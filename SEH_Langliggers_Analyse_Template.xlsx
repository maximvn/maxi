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smij" sheetId="1" state="visible" r:id="rId1"/>
    <sheet name="Data" sheetId="2" state="visible" r:id="rId2"/>
    <sheet name="Grafieken" sheetId="3" state="visible" r:id="rId3"/>
    <sheet name="Bezetting_Totaal" sheetId="4" state="visible" r:id="rId4"/>
    <sheet name="Bezetting_Langlig" sheetId="5" state="visible" r:id="rId5"/>
    <sheet name="Q1_Verdeling" sheetId="6" state="visible" r:id="rId6"/>
    <sheet name="Q2_Ratio" sheetId="7" state="visible" r:id="rId7"/>
    <sheet name="Q3_SEH-arts" sheetId="8" state="visible" r:id="rId8"/>
    <sheet name="Instellingen" sheetId="9" state="visible" r:id="rId9"/>
    <sheet name="Grafiekdata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-mm-yyyy hh:mm"/>
    <numFmt numFmtId="165" formatCode="yyyy-mm-dd h:mm:ss"/>
    <numFmt numFmtId="166" formatCode="0.0"/>
    <numFmt numFmtId="167" formatCode="yyyy-mm-dd"/>
    <numFmt numFmtId="168" formatCode="dd-mm-yyyy (ddd)"/>
  </numFmts>
  <fonts count="9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b val="1"/>
      <sz val="10"/>
    </font>
    <font>
      <name val="Arial"/>
      <sz val="10"/>
    </font>
    <font>
      <name val="Arial"/>
      <b val="1"/>
      <color rgb="001F4E79"/>
      <sz val="11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1"/>
    </font>
    <font>
      <name val="Arial"/>
      <b val="1"/>
      <color rgb="00C0504D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164" fontId="3" fillId="5" borderId="1" pivotButton="0" quotePrefix="0" xfId="0"/>
    <xf numFmtId="166" fontId="3" fillId="5" borderId="1" pivotButton="0" quotePrefix="0" xfId="0"/>
    <xf numFmtId="1" fontId="3" fillId="5" borderId="1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3" fillId="0" borderId="0" pivotButton="0" quotePrefix="0" xfId="0"/>
    <xf numFmtId="1" fontId="8" fillId="0" borderId="0" pivotButton="0" quotePrefix="0" xfId="0"/>
    <xf numFmtId="1" fontId="1" fillId="0" borderId="0" pivotButton="0" quotePrefix="0" xfId="0"/>
    <xf numFmtId="0" fontId="7" fillId="4" borderId="1" applyAlignment="1" pivotButton="0" quotePrefix="0" xfId="0">
      <alignment horizontal="center" vertical="center"/>
    </xf>
    <xf numFmtId="168" fontId="3" fillId="0" borderId="0" pivotButton="0" quotePrefix="0" xfId="0"/>
    <xf numFmtId="1" fontId="3" fillId="0" borderId="0" pivotButton="0" quotePrefix="0" xfId="0"/>
    <xf numFmtId="0" fontId="2" fillId="2" borderId="0" pivotButton="0" quotePrefix="0" xfId="0"/>
    <xf numFmtId="1" fontId="3" fillId="0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6" fillId="3" borderId="1" pivotButton="0" quotePrefix="0" xfId="0"/>
    <xf numFmtId="0" fontId="3" fillId="0" borderId="1" applyAlignment="1" pivotButton="0" quotePrefix="0" xfId="0">
      <alignment horizontal="center" vertical="center"/>
    </xf>
    <xf numFmtId="1" fontId="3" fillId="0" borderId="1" pivotButton="0" quotePrefix="0" xfId="0"/>
    <xf numFmtId="9" fontId="3" fillId="0" borderId="1" pivotButton="0" quotePrefix="0" xfId="0"/>
    <xf numFmtId="0" fontId="4" fillId="0" borderId="0" pivotButton="0" quotePrefix="0" xfId="0"/>
    <xf numFmtId="0" fontId="4" fillId="2" borderId="0" pivotButton="0" quotePrefix="0" xfId="0"/>
    <xf numFmtId="9" fontId="6" fillId="3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 een drukke dag (P95): patiënten per uur — langliggers (rood) vs. overige (grijs)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'Grafiekdata'!T3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'Grafiekdata'!$S$4:$S$27</f>
            </numRef>
          </cat>
          <val>
            <numRef>
              <f>'Grafiekdata'!$T$4:$T$27</f>
            </numRef>
          </val>
        </ser>
        <ser>
          <idx val="1"/>
          <order val="1"/>
          <tx>
            <strRef>
              <f>'Grafiekdata'!U3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'Grafiekdata'!$S$4:$S$27</f>
            </numRef>
          </cat>
          <val>
            <numRef>
              <f>'Grafiekdata'!$U$4:$U$27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Aantal patiënten tegelijk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Welk deel van de patiënten is langligger, per uur (gekozen dag, P95)</a:t>
            </a:r>
          </a:p>
        </rich>
      </tx>
    </title>
    <plotArea>
      <lineChart>
        <grouping val="standard"/>
        <ser>
          <idx val="0"/>
          <order val="0"/>
          <tx>
            <strRef>
              <f>'Grafiekdata'!W3</f>
            </strRef>
          </tx>
          <spPr>
            <a:ln w="28000">
              <a:solidFill>
                <a:srgbClr val="ED7D31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'Grafiekdata'!$S$4:$S$27</f>
            </numRef>
          </cat>
          <val>
            <numRef>
              <f>'Grafiekdata'!$W$4:$W$27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langliggers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Langliggers per uur — dagen vergeleken (P95) — vraag 1</a:t>
            </a:r>
          </a:p>
        </rich>
      </tx>
    </title>
    <plotArea>
      <lineChart>
        <grouping val="standard"/>
        <ser>
          <idx val="0"/>
          <order val="0"/>
          <tx>
            <strRef>
              <f>'Grafiekdata'!B3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'Grafiekdata'!$B$4:$B$27</f>
            </numRef>
          </val>
        </ser>
        <ser>
          <idx val="1"/>
          <order val="1"/>
          <tx>
            <strRef>
              <f>'Grafiekdata'!C3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'Grafiekdata'!$C$4:$C$27</f>
            </numRef>
          </val>
        </ser>
        <ser>
          <idx val="2"/>
          <order val="2"/>
          <tx>
            <strRef>
              <f>'Grafiekdata'!D3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'Grafiekdata'!$D$4:$D$27</f>
            </numRef>
          </val>
        </ser>
        <ser>
          <idx val="3"/>
          <order val="3"/>
          <tx>
            <strRef>
              <f>'Grafiekdata'!E3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'Grafiekdata'!$E$4:$E$27</f>
            </numRef>
          </val>
        </ser>
        <ser>
          <idx val="4"/>
          <order val="4"/>
          <tx>
            <strRef>
              <f>'Grafiekdata'!F3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'Grafiekdata'!$F$4:$F$27</f>
            </numRef>
          </val>
        </ser>
        <ser>
          <idx val="5"/>
          <order val="5"/>
          <tx>
            <strRef>
              <f>'Grafiekdata'!G3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'Grafiekdata'!$G$4:$G$27</f>
            </numRef>
          </val>
        </ser>
        <ser>
          <idx val="6"/>
          <order val="6"/>
          <tx>
            <strRef>
              <f>'Grafiekdata'!H3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'Grafiekdata'!$H$4:$H$27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Aantal langliggers tegelijk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Totaal patiënten per uur — dagen vergeleken (P95, = drukte)</a:t>
            </a:r>
          </a:p>
        </rich>
      </tx>
    </title>
    <plotArea>
      <lineChart>
        <grouping val="standard"/>
        <ser>
          <idx val="0"/>
          <order val="0"/>
          <tx>
            <strRef>
              <f>'Grafiekdata'!K3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'Grafiekdata'!$K$4:$K$27</f>
            </numRef>
          </val>
        </ser>
        <ser>
          <idx val="1"/>
          <order val="1"/>
          <tx>
            <strRef>
              <f>'Grafiekdata'!L3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'Grafiekdata'!$L$4:$L$27</f>
            </numRef>
          </val>
        </ser>
        <ser>
          <idx val="2"/>
          <order val="2"/>
          <tx>
            <strRef>
              <f>'Grafiekdata'!M3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'Grafiekdata'!$M$4:$M$27</f>
            </numRef>
          </val>
        </ser>
        <ser>
          <idx val="3"/>
          <order val="3"/>
          <tx>
            <strRef>
              <f>'Grafiekdata'!N3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'Grafiekdata'!$N$4:$N$27</f>
            </numRef>
          </val>
        </ser>
        <ser>
          <idx val="4"/>
          <order val="4"/>
          <tx>
            <strRef>
              <f>'Grafiekdata'!O3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'Grafiekdata'!$O$4:$O$27</f>
            </numRef>
          </val>
        </ser>
        <ser>
          <idx val="5"/>
          <order val="5"/>
          <tx>
            <strRef>
              <f>'Grafiekdata'!P3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'Grafiekdata'!$P$4:$P$27</f>
            </numRef>
          </val>
        </ser>
        <ser>
          <idx val="6"/>
          <order val="6"/>
          <tx>
            <strRef>
              <f>'Grafiekdata'!Q3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'Grafiekdata'!$Q$4:$Q$27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Aantal patiënten tegelijk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Regels en langliggers per specialisme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'Q3_SEH-arts'!B20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'Q3_SEH-arts'!$A$21:$A$32</f>
            </numRef>
          </cat>
          <val>
            <numRef>
              <f>'Q3_SEH-arts'!$B$21:$B$32</f>
            </numRef>
          </val>
        </ser>
        <ser>
          <idx val="1"/>
          <order val="1"/>
          <tx>
            <strRef>
              <f>'Q3_SEH-arts'!C20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'Q3_SEH-arts'!$A$21:$A$32</f>
            </numRef>
          </cat>
          <val>
            <numRef>
              <f>'Q3_SEH-arts'!$C$21:$C$32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108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27</row>
      <rowOff>0</rowOff>
    </from>
    <ext cx="108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1080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66</row>
      <rowOff>0</rowOff>
    </from>
    <ext cx="1080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Data" displayName="tData" ref="A1:X2" headerRowCount="1">
  <autoFilter ref="A1:X2"/>
  <tableColumns count="24">
    <tableColumn id="1" name="AfdelingLabel"/>
    <tableColumn id="2" name="SEHTrajectPeriodeIDIntern"/>
    <tableColumn id="3" name="SEHTrajectIDIntern"/>
    <tableColumn id="4" name="Jaar"/>
    <tableColumn id="5" name="WeekNummer"/>
    <tableColumn id="6" name="CodePreferent"/>
    <tableColumn id="7" name="SEHTrajectPeriodeDatumTijdVan"/>
    <tableColumn id="8" name="SEHTrajectPeriodeDatumTijdTotEnMet"/>
    <tableColumn id="9" name="SEHTrajectKlachtOmschrijving"/>
    <tableColumn id="10" name="Omschrijving"/>
    <tableColumn id="11" name="OmschrijvingIntern"/>
    <tableColumn id="12" name="SpecialismeLabelIntern"/>
    <tableColumn id="13" name="SEH specialist"/>
    <tableColumn id="14" name="SpecialismeCodeIntern"/>
    <tableColumn id="15" name="Aantal"/>
    <tableColumn id="16" name="Aantal_Minuten"/>
    <tableColumn id="17" name="Urgentiecategory"/>
    <tableColumn id="18" name="Fasttrack/ RAD geincludeerd"/>
    <tableColumn id="19" name="Start"/>
    <tableColumn id="20" name="Eind"/>
    <tableColumn id="21" name="Minuten"/>
    <tableColumn id="22" name="Uren"/>
    <tableColumn id="23" name="Langer dan 4 uur"/>
    <tableColumn id="24" name="Langligger01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2">
      <c r="B2" s="1" t="inlineStr">
        <is>
          <t>SEH – Langliggers versus bezetting/werkdruk</t>
        </is>
      </c>
    </row>
    <row r="4">
      <c r="B4" s="2" t="inlineStr">
        <is>
          <t>Doel: zien of de ligduur toeneemt naarmate de werkdruk op de regievoerend SEH-arts toeneemt.</t>
        </is>
      </c>
    </row>
    <row r="5">
      <c r="B5" s="2" t="inlineStr">
        <is>
          <t>Aanpak (precies in deze volgorde):</t>
        </is>
      </c>
    </row>
    <row r="6">
      <c r="B6" s="3" t="inlineStr">
        <is>
          <t>1.  Eerst bouwen we de BEZETTING op: per DATUM (rij) en per UUR (kolom) tellen we hoeveel patiënten er op dat moment aanwezig waren. We gebruiken hiervoor 'SEHTrajectPeriodeDatumTijdVan' en '…TotEnMet'. Zie tabblad 'Bezetting_Totaal' (alle patiënten) en 'Bezetting_Langlig' (alleen langliggers).</t>
        </is>
      </c>
    </row>
    <row r="7">
      <c r="B7" s="3" t="inlineStr">
        <is>
          <t>2.  Daarna maken we de analyses: per weekdag en uur nemen we het 95e percentiel (P95) van die bezetting. Zie 'Grafieken' (visueel) en 'Q1_Verdeling'/'Q2_Ratio' (als tabel).</t>
        </is>
      </c>
    </row>
    <row r="9">
      <c r="B9" s="4" t="inlineStr">
        <is>
          <t>ZO GEBRUIK JE HET</t>
        </is>
      </c>
    </row>
    <row r="10">
      <c r="B10" s="3" t="inlineStr">
        <is>
          <t>•  Plak je VOLLEDIGE lijst (alle patiënten) in tabblad 'Data', vanaf rij 2, ín de tabel. Plak alleen de gegevens, niet de kopregel. De hulpkolom (X: Langligger01) vult zich vanzelf.</t>
        </is>
      </c>
    </row>
    <row r="11">
      <c r="B11" s="3" t="inlineStr">
        <is>
          <t>•  'SEHTrajectPeriodeDatumTijdVan' (kolom G) en '…TotEnMet' (kolom H) moeten ECHTE datum-tijd-waarden zijn (rechts uitgelijnd). Elke regel is één periode; bij kamerwissels heeft een patiënt meerdere opeenvolgende perioden – die overlappen niet, dus op elk tijdstip telt de patiënt precies 1×.</t>
        </is>
      </c>
    </row>
    <row r="12">
      <c r="B12" s="3" t="inlineStr">
        <is>
          <t>•  Langligger = de kolom 'Langer dan 4 uur' (kolom W). De hulpkolom X zet 'Ja/Waar/True/1' om naar 1.</t>
        </is>
      </c>
    </row>
    <row r="13">
      <c r="B13" s="3" t="inlineStr">
        <is>
          <t>•  Controleer de bezetting op 'Bezetting_Totaal' – daar zie je letterlijk per datum en uur hoeveel patiënten er waren (met kleur). Kloppen die aantallen, dan kloppen ook de grafieken.</t>
        </is>
      </c>
    </row>
    <row r="15">
      <c r="B15" s="4" t="inlineStr">
        <is>
          <t>DE DRIE VRAGEN</t>
        </is>
      </c>
    </row>
    <row r="16">
      <c r="B16" s="3" t="inlineStr">
        <is>
          <t>Vraag 1 – Verdeling langliggers over week en dag → 'Grafieken' + 'Q1_Verdeling' (P95 langliggers per weekdag/uur). Leg dit naast je artsenbezetting.</t>
        </is>
      </c>
    </row>
    <row r="17">
      <c r="B17" s="3" t="inlineStr">
        <is>
          <t>Vraag 2 – Langliggers t.o.v. totaal → 'Grafieken' (langliggers vs. overige, en het aandeel) + 'Q2_Ratio'.</t>
        </is>
      </c>
    </row>
    <row r="18">
      <c r="B18" s="3" t="inlineStr">
        <is>
          <t>Vraag 3 – Per betrokken SEH-arts / specialisme → 'Q3_SEH-arts'. Filter op specialisme 'SEH' voor de SEH-artsen.</t>
        </is>
      </c>
    </row>
    <row r="20">
      <c r="B20" s="5" t="inlineStr">
        <is>
          <t>P95 = het niveau op de DRUKKE momenten: 95% van de tijd is het niet drukker dan dit getal (geen gemiddelde). Instelbaar in 'Instellingen'.</t>
        </is>
      </c>
    </row>
    <row r="21">
      <c r="B21" s="5" t="inlineStr">
        <is>
          <t>Kleuren: GEEL = zelf instellen · ORANJE = voorbeeldregel (overschrijven) · blauw lettertype = invoer.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7" customWidth="1" min="4" max="4"/>
    <col width="11" customWidth="1" min="5" max="5"/>
    <col width="13" customWidth="1" min="6" max="6"/>
    <col width="22" customWidth="1" min="7" max="7"/>
    <col width="22" customWidth="1" min="8" max="8"/>
    <col width="26" customWidth="1" min="9" max="9"/>
    <col width="22" customWidth="1" min="10" max="10"/>
    <col width="22" customWidth="1" min="11" max="11"/>
    <col width="20" customWidth="1" min="12" max="12"/>
    <col width="16" customWidth="1" min="13" max="13"/>
    <col width="18" customWidth="1" min="14" max="14"/>
    <col width="8" customWidth="1" min="15" max="15"/>
    <col width="14" customWidth="1" min="16" max="16"/>
    <col width="14" customWidth="1" min="17" max="17"/>
    <col width="20" customWidth="1" min="18" max="18"/>
    <col width="16" customWidth="1" min="19" max="19"/>
    <col width="16" customWidth="1" min="20" max="20"/>
    <col width="9" customWidth="1" min="21" max="21"/>
    <col width="8" customWidth="1" min="22" max="22"/>
    <col width="14" customWidth="1" min="23" max="23"/>
    <col width="12" customWidth="1" min="24" max="24"/>
  </cols>
  <sheetData>
    <row r="1" ht="42" customHeight="1">
      <c r="A1" s="6" t="inlineStr">
        <is>
          <t>AfdelingLabel</t>
        </is>
      </c>
      <c r="B1" s="6" t="inlineStr">
        <is>
          <t>SEHTrajectPeriodeIDIntern</t>
        </is>
      </c>
      <c r="C1" s="6" t="inlineStr">
        <is>
          <t>SEHTrajectIDIntern</t>
        </is>
      </c>
      <c r="D1" s="6" t="inlineStr">
        <is>
          <t>Jaar</t>
        </is>
      </c>
      <c r="E1" s="6" t="inlineStr">
        <is>
          <t>WeekNummer</t>
        </is>
      </c>
      <c r="F1" s="6" t="inlineStr">
        <is>
          <t>CodePreferent</t>
        </is>
      </c>
      <c r="G1" s="6" t="inlineStr">
        <is>
          <t>SEHTrajectPeriodeDatumTijdVan</t>
        </is>
      </c>
      <c r="H1" s="6" t="inlineStr">
        <is>
          <t>SEHTrajectPeriodeDatumTijdTotEnMet</t>
        </is>
      </c>
      <c r="I1" s="6" t="inlineStr">
        <is>
          <t>SEHTrajectKlachtOmschrijving</t>
        </is>
      </c>
      <c r="J1" s="6" t="inlineStr">
        <is>
          <t>Omschrijving</t>
        </is>
      </c>
      <c r="K1" s="6" t="inlineStr">
        <is>
          <t>OmschrijvingIntern</t>
        </is>
      </c>
      <c r="L1" s="6" t="inlineStr">
        <is>
          <t>SpecialismeLabelIntern</t>
        </is>
      </c>
      <c r="M1" s="6" t="inlineStr">
        <is>
          <t>SEH specialist</t>
        </is>
      </c>
      <c r="N1" s="6" t="inlineStr">
        <is>
          <t>SpecialismeCodeIntern</t>
        </is>
      </c>
      <c r="O1" s="6" t="inlineStr">
        <is>
          <t>Aantal</t>
        </is>
      </c>
      <c r="P1" s="6" t="inlineStr">
        <is>
          <t>Aantal_Minuten</t>
        </is>
      </c>
      <c r="Q1" s="6" t="inlineStr">
        <is>
          <t>Urgentiecategory</t>
        </is>
      </c>
      <c r="R1" s="6" t="inlineStr">
        <is>
          <t>Fasttrack/ RAD geincludeerd</t>
        </is>
      </c>
      <c r="S1" s="6" t="inlineStr">
        <is>
          <t>Start</t>
        </is>
      </c>
      <c r="T1" s="6" t="inlineStr">
        <is>
          <t>Eind</t>
        </is>
      </c>
      <c r="U1" s="6" t="inlineStr">
        <is>
          <t>Minuten</t>
        </is>
      </c>
      <c r="V1" s="6" t="inlineStr">
        <is>
          <t>Uren</t>
        </is>
      </c>
      <c r="W1" s="6" t="inlineStr">
        <is>
          <t>Langer dan 4 uur</t>
        </is>
      </c>
      <c r="X1" s="6" t="inlineStr">
        <is>
          <t>Langligger01</t>
        </is>
      </c>
    </row>
    <row r="2">
      <c r="A2" s="7" t="inlineStr">
        <is>
          <t>SEH</t>
        </is>
      </c>
      <c r="B2" s="7" t="n">
        <v>1001</v>
      </c>
      <c r="C2" s="7" t="n">
        <v>5001</v>
      </c>
      <c r="D2" s="7" t="n">
        <v>2025</v>
      </c>
      <c r="E2" s="7" t="n">
        <v>24</v>
      </c>
      <c r="F2" s="7" t="n">
        <v>123456</v>
      </c>
      <c r="G2" s="8" t="n">
        <v>45818.58333333334</v>
      </c>
      <c r="H2" s="8" t="n">
        <v>45818.8125</v>
      </c>
      <c r="I2" s="7" t="inlineStr">
        <is>
          <t>Pijn op de borst</t>
        </is>
      </c>
      <c r="J2" s="7" t="inlineStr">
        <is>
          <t>Thoraxpijn</t>
        </is>
      </c>
      <c r="K2" s="7" t="inlineStr">
        <is>
          <t>ACS-analyse</t>
        </is>
      </c>
      <c r="L2" s="7" t="inlineStr">
        <is>
          <t>Cardiologie</t>
        </is>
      </c>
      <c r="M2" s="7" t="inlineStr">
        <is>
          <t>Dr. Jansen</t>
        </is>
      </c>
      <c r="N2" s="7" t="inlineStr">
        <is>
          <t>SEH</t>
        </is>
      </c>
      <c r="O2" s="7" t="n">
        <v>1</v>
      </c>
      <c r="P2" s="7" t="n">
        <v>330</v>
      </c>
      <c r="Q2" s="7" t="inlineStr">
        <is>
          <t>U2</t>
        </is>
      </c>
      <c r="R2" s="7" t="inlineStr">
        <is>
          <t>Nee</t>
        </is>
      </c>
      <c r="S2" s="8" t="n">
        <v>45818.58333333334</v>
      </c>
      <c r="T2" s="8" t="n">
        <v>45818.8125</v>
      </c>
      <c r="U2" s="7" t="n">
        <v>330</v>
      </c>
      <c r="V2" s="9" t="n">
        <v>5.5</v>
      </c>
      <c r="W2" s="7" t="inlineStr">
        <is>
          <t>Ja</t>
        </is>
      </c>
      <c r="X2" s="10">
        <f>IF($W2="","",IF(OR($W2=TRUE,$W2=1,UPPER($W2&amp;"")="JA",UPPER($W2&amp;"")="WAAR",UPPER($W2&amp;"")="TRUE",UPPER($W2&amp;"")="J",UPPER($W2&amp;"")="Y"),1,0))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8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6" customWidth="1" min="3" max="3"/>
    <col width="24" customWidth="1" min="4" max="4"/>
    <col width="6" customWidth="1" min="6" max="6"/>
    <col hidden="1" width="13" customWidth="1" min="28" max="28"/>
  </cols>
  <sheetData>
    <row r="1">
      <c r="A1" s="11" t="inlineStr">
        <is>
          <t>Langliggers per uur — antwoord op vraag 1 en 2</t>
        </is>
      </c>
      <c r="AB1" s="12" t="inlineStr">
        <is>
          <t>maandag</t>
        </is>
      </c>
    </row>
    <row r="2" ht="28" customHeight="1">
      <c r="A2" s="3" t="inlineStr">
        <is>
          <t>Kies een dag (cel B4). 1e grafiek: per uur hoeveel langliggers (rood) en overige patiënten (grijs) er tegelijk liggen (samen = drukte). Daaronder het aandeel langliggers en een vergelijking tussen de dagen.</t>
        </is>
      </c>
      <c r="AB2" s="12" t="inlineStr">
        <is>
          <t>dinsdag</t>
        </is>
      </c>
    </row>
    <row r="3" ht="26" customHeight="1">
      <c r="A3" s="5" t="inlineStr">
        <is>
          <t>Alle getallen zijn het 95e PERCENTIEL (P95) = het niveau op de drukke momenten (95% van de tijd niet drukker). Berekend uit de bezetting per datum en uur.</t>
        </is>
      </c>
      <c r="AB3" s="12" t="inlineStr">
        <is>
          <t>woensdag</t>
        </is>
      </c>
    </row>
    <row r="4">
      <c r="A4" s="13" t="inlineStr">
        <is>
          <t>Kies een dag:</t>
        </is>
      </c>
      <c r="B4" s="14" t="inlineStr">
        <is>
          <t>maandag</t>
        </is>
      </c>
      <c r="AB4" s="12" t="inlineStr">
        <is>
          <t>donderdag</t>
        </is>
      </c>
    </row>
    <row r="5">
      <c r="A5" s="13" t="inlineStr">
        <is>
          <t>Op de drukke momenten (P95) liggen er tot:</t>
        </is>
      </c>
      <c r="AB5" s="12" t="inlineStr">
        <is>
          <t>vrijdag</t>
        </is>
      </c>
    </row>
    <row r="6">
      <c r="A6" s="15" t="inlineStr">
        <is>
          <t>langliggers tegelijk →</t>
        </is>
      </c>
      <c r="C6" s="16">
        <f>MAX('Q1_Verdeling'!$C$5:$Z$11)</f>
        <v/>
      </c>
      <c r="D6" s="15" t="inlineStr">
        <is>
          <t>patiënten tegelijk (totaal) →</t>
        </is>
      </c>
      <c r="F6" s="17">
        <f>MAX('Q2_Ratio'!$C$5:$Z$11)</f>
        <v/>
      </c>
      <c r="AB6" s="12" t="inlineStr">
        <is>
          <t>zaterdag</t>
        </is>
      </c>
    </row>
    <row r="7">
      <c r="AB7" s="12" t="inlineStr">
        <is>
          <t>zondag</t>
        </is>
      </c>
    </row>
    <row r="8">
      <c r="AB8">
        <f>MATCH($B$4,$AB$1:$AB$7,0)</f>
        <v/>
      </c>
    </row>
  </sheetData>
  <mergeCells count="3">
    <mergeCell ref="A5:C5"/>
    <mergeCell ref="A3:M3"/>
    <mergeCell ref="A2:M2"/>
  </mergeCells>
  <dataValidations count="1">
    <dataValidation sqref="B4" showDropDown="0" showInputMessage="0" showErrorMessage="0" allowBlank="0" type="list">
      <formula1>=$AB$1:$AB$7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</cols>
  <sheetData>
    <row r="1">
      <c r="A1" s="11" t="inlineStr">
        <is>
          <t>Bezetting – ALLE patiënten (per datum en uur)</t>
        </is>
      </c>
    </row>
    <row r="2">
      <c r="A2" s="5" t="inlineStr">
        <is>
          <t>Per DATUM (rij) en UUR (kolom): hoeveel patiënten waren op dat tijdstip aanwezig (Periode Van ≤ tijdstip &lt; TotEnMet). Kleur = drukte. Dit is de basis; de analyses nemen hiervan het P95.</t>
        </is>
      </c>
    </row>
    <row r="3">
      <c r="A3" s="18" t="inlineStr">
        <is>
          <t>Datum</t>
        </is>
      </c>
      <c r="B3" s="18" t="inlineStr">
        <is>
          <t>Weekdag</t>
        </is>
      </c>
      <c r="C3" s="18" t="inlineStr">
        <is>
          <t>InBereik</t>
        </is>
      </c>
      <c r="D3" s="18" t="n">
        <v>0</v>
      </c>
      <c r="E3" s="18" t="n">
        <v>1</v>
      </c>
      <c r="F3" s="18" t="n">
        <v>2</v>
      </c>
      <c r="G3" s="18" t="n">
        <v>3</v>
      </c>
      <c r="H3" s="18" t="n">
        <v>4</v>
      </c>
      <c r="I3" s="18" t="n">
        <v>5</v>
      </c>
      <c r="J3" s="18" t="n">
        <v>6</v>
      </c>
      <c r="K3" s="18" t="n">
        <v>7</v>
      </c>
      <c r="L3" s="18" t="n">
        <v>8</v>
      </c>
      <c r="M3" s="18" t="n">
        <v>9</v>
      </c>
      <c r="N3" s="18" t="n">
        <v>10</v>
      </c>
      <c r="O3" s="18" t="n">
        <v>11</v>
      </c>
      <c r="P3" s="18" t="n">
        <v>12</v>
      </c>
      <c r="Q3" s="18" t="n">
        <v>13</v>
      </c>
      <c r="R3" s="18" t="n">
        <v>14</v>
      </c>
      <c r="S3" s="18" t="n">
        <v>15</v>
      </c>
      <c r="T3" s="18" t="n">
        <v>16</v>
      </c>
      <c r="U3" s="18" t="n">
        <v>17</v>
      </c>
      <c r="V3" s="18" t="n">
        <v>18</v>
      </c>
      <c r="W3" s="18" t="n">
        <v>19</v>
      </c>
      <c r="X3" s="18" t="n">
        <v>20</v>
      </c>
      <c r="Y3" s="18" t="n">
        <v>21</v>
      </c>
      <c r="Z3" s="18" t="n">
        <v>22</v>
      </c>
      <c r="AA3" s="18" t="n">
        <v>23</v>
      </c>
    </row>
    <row r="4">
      <c r="A4" s="19" t="n">
        <v>45292</v>
      </c>
      <c r="B4" s="15">
        <f>WEEKDAY($A4,2)</f>
        <v/>
      </c>
      <c r="C4" s="15">
        <f>IF(AND($A4&gt;=INT(Instellingen!$B$5),$A4&lt;=INT(Instellingen!$B$6)),1,0)</f>
        <v/>
      </c>
      <c r="D4" s="20">
        <f>COUNTIFS(tData[SEHTrajectPeriodeDatumTijdVan],"&lt;="&amp;($A4+0/24),tData[SEHTrajectPeriodeDatumTijdTotEnMet],"&gt;"&amp;($A4+0/24))</f>
        <v/>
      </c>
      <c r="E4" s="20">
        <f>COUNTIFS(tData[SEHTrajectPeriodeDatumTijdVan],"&lt;="&amp;($A4+1/24),tData[SEHTrajectPeriodeDatumTijdTotEnMet],"&gt;"&amp;($A4+1/24))</f>
        <v/>
      </c>
      <c r="F4" s="20">
        <f>COUNTIFS(tData[SEHTrajectPeriodeDatumTijdVan],"&lt;="&amp;($A4+2/24),tData[SEHTrajectPeriodeDatumTijdTotEnMet],"&gt;"&amp;($A4+2/24))</f>
        <v/>
      </c>
      <c r="G4" s="20">
        <f>COUNTIFS(tData[SEHTrajectPeriodeDatumTijdVan],"&lt;="&amp;($A4+3/24),tData[SEHTrajectPeriodeDatumTijdTotEnMet],"&gt;"&amp;($A4+3/24))</f>
        <v/>
      </c>
      <c r="H4" s="20">
        <f>COUNTIFS(tData[SEHTrajectPeriodeDatumTijdVan],"&lt;="&amp;($A4+4/24),tData[SEHTrajectPeriodeDatumTijdTotEnMet],"&gt;"&amp;($A4+4/24))</f>
        <v/>
      </c>
      <c r="I4" s="20">
        <f>COUNTIFS(tData[SEHTrajectPeriodeDatumTijdVan],"&lt;="&amp;($A4+5/24),tData[SEHTrajectPeriodeDatumTijdTotEnMet],"&gt;"&amp;($A4+5/24))</f>
        <v/>
      </c>
      <c r="J4" s="20">
        <f>COUNTIFS(tData[SEHTrajectPeriodeDatumTijdVan],"&lt;="&amp;($A4+6/24),tData[SEHTrajectPeriodeDatumTijdTotEnMet],"&gt;"&amp;($A4+6/24))</f>
        <v/>
      </c>
      <c r="K4" s="20">
        <f>COUNTIFS(tData[SEHTrajectPeriodeDatumTijdVan],"&lt;="&amp;($A4+7/24),tData[SEHTrajectPeriodeDatumTijdTotEnMet],"&gt;"&amp;($A4+7/24))</f>
        <v/>
      </c>
      <c r="L4" s="20">
        <f>COUNTIFS(tData[SEHTrajectPeriodeDatumTijdVan],"&lt;="&amp;($A4+8/24),tData[SEHTrajectPeriodeDatumTijdTotEnMet],"&gt;"&amp;($A4+8/24))</f>
        <v/>
      </c>
      <c r="M4" s="20">
        <f>COUNTIFS(tData[SEHTrajectPeriodeDatumTijdVan],"&lt;="&amp;($A4+9/24),tData[SEHTrajectPeriodeDatumTijdTotEnMet],"&gt;"&amp;($A4+9/24))</f>
        <v/>
      </c>
      <c r="N4" s="20">
        <f>COUNTIFS(tData[SEHTrajectPeriodeDatumTijdVan],"&lt;="&amp;($A4+10/24),tData[SEHTrajectPeriodeDatumTijdTotEnMet],"&gt;"&amp;($A4+10/24))</f>
        <v/>
      </c>
      <c r="O4" s="20">
        <f>COUNTIFS(tData[SEHTrajectPeriodeDatumTijdVan],"&lt;="&amp;($A4+11/24),tData[SEHTrajectPeriodeDatumTijdTotEnMet],"&gt;"&amp;($A4+11/24))</f>
        <v/>
      </c>
      <c r="P4" s="20">
        <f>COUNTIFS(tData[SEHTrajectPeriodeDatumTijdVan],"&lt;="&amp;($A4+12/24),tData[SEHTrajectPeriodeDatumTijdTotEnMet],"&gt;"&amp;($A4+12/24))</f>
        <v/>
      </c>
      <c r="Q4" s="20">
        <f>COUNTIFS(tData[SEHTrajectPeriodeDatumTijdVan],"&lt;="&amp;($A4+13/24),tData[SEHTrajectPeriodeDatumTijdTotEnMet],"&gt;"&amp;($A4+13/24))</f>
        <v/>
      </c>
      <c r="R4" s="20">
        <f>COUNTIFS(tData[SEHTrajectPeriodeDatumTijdVan],"&lt;="&amp;($A4+14/24),tData[SEHTrajectPeriodeDatumTijdTotEnMet],"&gt;"&amp;($A4+14/24))</f>
        <v/>
      </c>
      <c r="S4" s="20">
        <f>COUNTIFS(tData[SEHTrajectPeriodeDatumTijdVan],"&lt;="&amp;($A4+15/24),tData[SEHTrajectPeriodeDatumTijdTotEnMet],"&gt;"&amp;($A4+15/24))</f>
        <v/>
      </c>
      <c r="T4" s="20">
        <f>COUNTIFS(tData[SEHTrajectPeriodeDatumTijdVan],"&lt;="&amp;($A4+16/24),tData[SEHTrajectPeriodeDatumTijdTotEnMet],"&gt;"&amp;($A4+16/24))</f>
        <v/>
      </c>
      <c r="U4" s="20">
        <f>COUNTIFS(tData[SEHTrajectPeriodeDatumTijdVan],"&lt;="&amp;($A4+17/24),tData[SEHTrajectPeriodeDatumTijdTotEnMet],"&gt;"&amp;($A4+17/24))</f>
        <v/>
      </c>
      <c r="V4" s="20">
        <f>COUNTIFS(tData[SEHTrajectPeriodeDatumTijdVan],"&lt;="&amp;($A4+18/24),tData[SEHTrajectPeriodeDatumTijdTotEnMet],"&gt;"&amp;($A4+18/24))</f>
        <v/>
      </c>
      <c r="W4" s="20">
        <f>COUNTIFS(tData[SEHTrajectPeriodeDatumTijdVan],"&lt;="&amp;($A4+19/24),tData[SEHTrajectPeriodeDatumTijdTotEnMet],"&gt;"&amp;($A4+19/24))</f>
        <v/>
      </c>
      <c r="X4" s="20">
        <f>COUNTIFS(tData[SEHTrajectPeriodeDatumTijdVan],"&lt;="&amp;($A4+20/24),tData[SEHTrajectPeriodeDatumTijdTotEnMet],"&gt;"&amp;($A4+20/24))</f>
        <v/>
      </c>
      <c r="Y4" s="20">
        <f>COUNTIFS(tData[SEHTrajectPeriodeDatumTijdVan],"&lt;="&amp;($A4+21/24),tData[SEHTrajectPeriodeDatumTijdTotEnMet],"&gt;"&amp;($A4+21/24))</f>
        <v/>
      </c>
      <c r="Z4" s="20">
        <f>COUNTIFS(tData[SEHTrajectPeriodeDatumTijdVan],"&lt;="&amp;($A4+22/24),tData[SEHTrajectPeriodeDatumTijdTotEnMet],"&gt;"&amp;($A4+22/24))</f>
        <v/>
      </c>
      <c r="AA4" s="20">
        <f>COUNTIFS(tData[SEHTrajectPeriodeDatumTijdVan],"&lt;="&amp;($A4+23/24),tData[SEHTrajectPeriodeDatumTijdTotEnMet],"&gt;"&amp;($A4+23/24))</f>
        <v/>
      </c>
    </row>
    <row r="5">
      <c r="A5" s="19" t="n">
        <v>45293</v>
      </c>
      <c r="B5" s="15">
        <f>WEEKDAY($A5,2)</f>
        <v/>
      </c>
      <c r="C5" s="15">
        <f>IF(AND($A5&gt;=INT(Instellingen!$B$5),$A5&lt;=INT(Instellingen!$B$6)),1,0)</f>
        <v/>
      </c>
      <c r="D5" s="20">
        <f>COUNTIFS(tData[SEHTrajectPeriodeDatumTijdVan],"&lt;="&amp;($A5+0/24),tData[SEHTrajectPeriodeDatumTijdTotEnMet],"&gt;"&amp;($A5+0/24))</f>
        <v/>
      </c>
      <c r="E5" s="20">
        <f>COUNTIFS(tData[SEHTrajectPeriodeDatumTijdVan],"&lt;="&amp;($A5+1/24),tData[SEHTrajectPeriodeDatumTijdTotEnMet],"&gt;"&amp;($A5+1/24))</f>
        <v/>
      </c>
      <c r="F5" s="20">
        <f>COUNTIFS(tData[SEHTrajectPeriodeDatumTijdVan],"&lt;="&amp;($A5+2/24),tData[SEHTrajectPeriodeDatumTijdTotEnMet],"&gt;"&amp;($A5+2/24))</f>
        <v/>
      </c>
      <c r="G5" s="20">
        <f>COUNTIFS(tData[SEHTrajectPeriodeDatumTijdVan],"&lt;="&amp;($A5+3/24),tData[SEHTrajectPeriodeDatumTijdTotEnMet],"&gt;"&amp;($A5+3/24))</f>
        <v/>
      </c>
      <c r="H5" s="20">
        <f>COUNTIFS(tData[SEHTrajectPeriodeDatumTijdVan],"&lt;="&amp;($A5+4/24),tData[SEHTrajectPeriodeDatumTijdTotEnMet],"&gt;"&amp;($A5+4/24))</f>
        <v/>
      </c>
      <c r="I5" s="20">
        <f>COUNTIFS(tData[SEHTrajectPeriodeDatumTijdVan],"&lt;="&amp;($A5+5/24),tData[SEHTrajectPeriodeDatumTijdTotEnMet],"&gt;"&amp;($A5+5/24))</f>
        <v/>
      </c>
      <c r="J5" s="20">
        <f>COUNTIFS(tData[SEHTrajectPeriodeDatumTijdVan],"&lt;="&amp;($A5+6/24),tData[SEHTrajectPeriodeDatumTijdTotEnMet],"&gt;"&amp;($A5+6/24))</f>
        <v/>
      </c>
      <c r="K5" s="20">
        <f>COUNTIFS(tData[SEHTrajectPeriodeDatumTijdVan],"&lt;="&amp;($A5+7/24),tData[SEHTrajectPeriodeDatumTijdTotEnMet],"&gt;"&amp;($A5+7/24))</f>
        <v/>
      </c>
      <c r="L5" s="20">
        <f>COUNTIFS(tData[SEHTrajectPeriodeDatumTijdVan],"&lt;="&amp;($A5+8/24),tData[SEHTrajectPeriodeDatumTijdTotEnMet],"&gt;"&amp;($A5+8/24))</f>
        <v/>
      </c>
      <c r="M5" s="20">
        <f>COUNTIFS(tData[SEHTrajectPeriodeDatumTijdVan],"&lt;="&amp;($A5+9/24),tData[SEHTrajectPeriodeDatumTijdTotEnMet],"&gt;"&amp;($A5+9/24))</f>
        <v/>
      </c>
      <c r="N5" s="20">
        <f>COUNTIFS(tData[SEHTrajectPeriodeDatumTijdVan],"&lt;="&amp;($A5+10/24),tData[SEHTrajectPeriodeDatumTijdTotEnMet],"&gt;"&amp;($A5+10/24))</f>
        <v/>
      </c>
      <c r="O5" s="20">
        <f>COUNTIFS(tData[SEHTrajectPeriodeDatumTijdVan],"&lt;="&amp;($A5+11/24),tData[SEHTrajectPeriodeDatumTijdTotEnMet],"&gt;"&amp;($A5+11/24))</f>
        <v/>
      </c>
      <c r="P5" s="20">
        <f>COUNTIFS(tData[SEHTrajectPeriodeDatumTijdVan],"&lt;="&amp;($A5+12/24),tData[SEHTrajectPeriodeDatumTijdTotEnMet],"&gt;"&amp;($A5+12/24))</f>
        <v/>
      </c>
      <c r="Q5" s="20">
        <f>COUNTIFS(tData[SEHTrajectPeriodeDatumTijdVan],"&lt;="&amp;($A5+13/24),tData[SEHTrajectPeriodeDatumTijdTotEnMet],"&gt;"&amp;($A5+13/24))</f>
        <v/>
      </c>
      <c r="R5" s="20">
        <f>COUNTIFS(tData[SEHTrajectPeriodeDatumTijdVan],"&lt;="&amp;($A5+14/24),tData[SEHTrajectPeriodeDatumTijdTotEnMet],"&gt;"&amp;($A5+14/24))</f>
        <v/>
      </c>
      <c r="S5" s="20">
        <f>COUNTIFS(tData[SEHTrajectPeriodeDatumTijdVan],"&lt;="&amp;($A5+15/24),tData[SEHTrajectPeriodeDatumTijdTotEnMet],"&gt;"&amp;($A5+15/24))</f>
        <v/>
      </c>
      <c r="T5" s="20">
        <f>COUNTIFS(tData[SEHTrajectPeriodeDatumTijdVan],"&lt;="&amp;($A5+16/24),tData[SEHTrajectPeriodeDatumTijdTotEnMet],"&gt;"&amp;($A5+16/24))</f>
        <v/>
      </c>
      <c r="U5" s="20">
        <f>COUNTIFS(tData[SEHTrajectPeriodeDatumTijdVan],"&lt;="&amp;($A5+17/24),tData[SEHTrajectPeriodeDatumTijdTotEnMet],"&gt;"&amp;($A5+17/24))</f>
        <v/>
      </c>
      <c r="V5" s="20">
        <f>COUNTIFS(tData[SEHTrajectPeriodeDatumTijdVan],"&lt;="&amp;($A5+18/24),tData[SEHTrajectPeriodeDatumTijdTotEnMet],"&gt;"&amp;($A5+18/24))</f>
        <v/>
      </c>
      <c r="W5" s="20">
        <f>COUNTIFS(tData[SEHTrajectPeriodeDatumTijdVan],"&lt;="&amp;($A5+19/24),tData[SEHTrajectPeriodeDatumTijdTotEnMet],"&gt;"&amp;($A5+19/24))</f>
        <v/>
      </c>
      <c r="X5" s="20">
        <f>COUNTIFS(tData[SEHTrajectPeriodeDatumTijdVan],"&lt;="&amp;($A5+20/24),tData[SEHTrajectPeriodeDatumTijdTotEnMet],"&gt;"&amp;($A5+20/24))</f>
        <v/>
      </c>
      <c r="Y5" s="20">
        <f>COUNTIFS(tData[SEHTrajectPeriodeDatumTijdVan],"&lt;="&amp;($A5+21/24),tData[SEHTrajectPeriodeDatumTijdTotEnMet],"&gt;"&amp;($A5+21/24))</f>
        <v/>
      </c>
      <c r="Z5" s="20">
        <f>COUNTIFS(tData[SEHTrajectPeriodeDatumTijdVan],"&lt;="&amp;($A5+22/24),tData[SEHTrajectPeriodeDatumTijdTotEnMet],"&gt;"&amp;($A5+22/24))</f>
        <v/>
      </c>
      <c r="AA5" s="20">
        <f>COUNTIFS(tData[SEHTrajectPeriodeDatumTijdVan],"&lt;="&amp;($A5+23/24),tData[SEHTrajectPeriodeDatumTijdTotEnMet],"&gt;"&amp;($A5+23/24))</f>
        <v/>
      </c>
    </row>
    <row r="6">
      <c r="A6" s="19" t="n">
        <v>45294</v>
      </c>
      <c r="B6" s="15">
        <f>WEEKDAY($A6,2)</f>
        <v/>
      </c>
      <c r="C6" s="15">
        <f>IF(AND($A6&gt;=INT(Instellingen!$B$5),$A6&lt;=INT(Instellingen!$B$6)),1,0)</f>
        <v/>
      </c>
      <c r="D6" s="20">
        <f>COUNTIFS(tData[SEHTrajectPeriodeDatumTijdVan],"&lt;="&amp;($A6+0/24),tData[SEHTrajectPeriodeDatumTijdTotEnMet],"&gt;"&amp;($A6+0/24))</f>
        <v/>
      </c>
      <c r="E6" s="20">
        <f>COUNTIFS(tData[SEHTrajectPeriodeDatumTijdVan],"&lt;="&amp;($A6+1/24),tData[SEHTrajectPeriodeDatumTijdTotEnMet],"&gt;"&amp;($A6+1/24))</f>
        <v/>
      </c>
      <c r="F6" s="20">
        <f>COUNTIFS(tData[SEHTrajectPeriodeDatumTijdVan],"&lt;="&amp;($A6+2/24),tData[SEHTrajectPeriodeDatumTijdTotEnMet],"&gt;"&amp;($A6+2/24))</f>
        <v/>
      </c>
      <c r="G6" s="20">
        <f>COUNTIFS(tData[SEHTrajectPeriodeDatumTijdVan],"&lt;="&amp;($A6+3/24),tData[SEHTrajectPeriodeDatumTijdTotEnMet],"&gt;"&amp;($A6+3/24))</f>
        <v/>
      </c>
      <c r="H6" s="20">
        <f>COUNTIFS(tData[SEHTrajectPeriodeDatumTijdVan],"&lt;="&amp;($A6+4/24),tData[SEHTrajectPeriodeDatumTijdTotEnMet],"&gt;"&amp;($A6+4/24))</f>
        <v/>
      </c>
      <c r="I6" s="20">
        <f>COUNTIFS(tData[SEHTrajectPeriodeDatumTijdVan],"&lt;="&amp;($A6+5/24),tData[SEHTrajectPeriodeDatumTijdTotEnMet],"&gt;"&amp;($A6+5/24))</f>
        <v/>
      </c>
      <c r="J6" s="20">
        <f>COUNTIFS(tData[SEHTrajectPeriodeDatumTijdVan],"&lt;="&amp;($A6+6/24),tData[SEHTrajectPeriodeDatumTijdTotEnMet],"&gt;"&amp;($A6+6/24))</f>
        <v/>
      </c>
      <c r="K6" s="20">
        <f>COUNTIFS(tData[SEHTrajectPeriodeDatumTijdVan],"&lt;="&amp;($A6+7/24),tData[SEHTrajectPeriodeDatumTijdTotEnMet],"&gt;"&amp;($A6+7/24))</f>
        <v/>
      </c>
      <c r="L6" s="20">
        <f>COUNTIFS(tData[SEHTrajectPeriodeDatumTijdVan],"&lt;="&amp;($A6+8/24),tData[SEHTrajectPeriodeDatumTijdTotEnMet],"&gt;"&amp;($A6+8/24))</f>
        <v/>
      </c>
      <c r="M6" s="20">
        <f>COUNTIFS(tData[SEHTrajectPeriodeDatumTijdVan],"&lt;="&amp;($A6+9/24),tData[SEHTrajectPeriodeDatumTijdTotEnMet],"&gt;"&amp;($A6+9/24))</f>
        <v/>
      </c>
      <c r="N6" s="20">
        <f>COUNTIFS(tData[SEHTrajectPeriodeDatumTijdVan],"&lt;="&amp;($A6+10/24),tData[SEHTrajectPeriodeDatumTijdTotEnMet],"&gt;"&amp;($A6+10/24))</f>
        <v/>
      </c>
      <c r="O6" s="20">
        <f>COUNTIFS(tData[SEHTrajectPeriodeDatumTijdVan],"&lt;="&amp;($A6+11/24),tData[SEHTrajectPeriodeDatumTijdTotEnMet],"&gt;"&amp;($A6+11/24))</f>
        <v/>
      </c>
      <c r="P6" s="20">
        <f>COUNTIFS(tData[SEHTrajectPeriodeDatumTijdVan],"&lt;="&amp;($A6+12/24),tData[SEHTrajectPeriodeDatumTijdTotEnMet],"&gt;"&amp;($A6+12/24))</f>
        <v/>
      </c>
      <c r="Q6" s="20">
        <f>COUNTIFS(tData[SEHTrajectPeriodeDatumTijdVan],"&lt;="&amp;($A6+13/24),tData[SEHTrajectPeriodeDatumTijdTotEnMet],"&gt;"&amp;($A6+13/24))</f>
        <v/>
      </c>
      <c r="R6" s="20">
        <f>COUNTIFS(tData[SEHTrajectPeriodeDatumTijdVan],"&lt;="&amp;($A6+14/24),tData[SEHTrajectPeriodeDatumTijdTotEnMet],"&gt;"&amp;($A6+14/24))</f>
        <v/>
      </c>
      <c r="S6" s="20">
        <f>COUNTIFS(tData[SEHTrajectPeriodeDatumTijdVan],"&lt;="&amp;($A6+15/24),tData[SEHTrajectPeriodeDatumTijdTotEnMet],"&gt;"&amp;($A6+15/24))</f>
        <v/>
      </c>
      <c r="T6" s="20">
        <f>COUNTIFS(tData[SEHTrajectPeriodeDatumTijdVan],"&lt;="&amp;($A6+16/24),tData[SEHTrajectPeriodeDatumTijdTotEnMet],"&gt;"&amp;($A6+16/24))</f>
        <v/>
      </c>
      <c r="U6" s="20">
        <f>COUNTIFS(tData[SEHTrajectPeriodeDatumTijdVan],"&lt;="&amp;($A6+17/24),tData[SEHTrajectPeriodeDatumTijdTotEnMet],"&gt;"&amp;($A6+17/24))</f>
        <v/>
      </c>
      <c r="V6" s="20">
        <f>COUNTIFS(tData[SEHTrajectPeriodeDatumTijdVan],"&lt;="&amp;($A6+18/24),tData[SEHTrajectPeriodeDatumTijdTotEnMet],"&gt;"&amp;($A6+18/24))</f>
        <v/>
      </c>
      <c r="W6" s="20">
        <f>COUNTIFS(tData[SEHTrajectPeriodeDatumTijdVan],"&lt;="&amp;($A6+19/24),tData[SEHTrajectPeriodeDatumTijdTotEnMet],"&gt;"&amp;($A6+19/24))</f>
        <v/>
      </c>
      <c r="X6" s="20">
        <f>COUNTIFS(tData[SEHTrajectPeriodeDatumTijdVan],"&lt;="&amp;($A6+20/24),tData[SEHTrajectPeriodeDatumTijdTotEnMet],"&gt;"&amp;($A6+20/24))</f>
        <v/>
      </c>
      <c r="Y6" s="20">
        <f>COUNTIFS(tData[SEHTrajectPeriodeDatumTijdVan],"&lt;="&amp;($A6+21/24),tData[SEHTrajectPeriodeDatumTijdTotEnMet],"&gt;"&amp;($A6+21/24))</f>
        <v/>
      </c>
      <c r="Z6" s="20">
        <f>COUNTIFS(tData[SEHTrajectPeriodeDatumTijdVan],"&lt;="&amp;($A6+22/24),tData[SEHTrajectPeriodeDatumTijdTotEnMet],"&gt;"&amp;($A6+22/24))</f>
        <v/>
      </c>
      <c r="AA6" s="20">
        <f>COUNTIFS(tData[SEHTrajectPeriodeDatumTijdVan],"&lt;="&amp;($A6+23/24),tData[SEHTrajectPeriodeDatumTijdTotEnMet],"&gt;"&amp;($A6+23/24))</f>
        <v/>
      </c>
    </row>
    <row r="7">
      <c r="A7" s="19" t="n">
        <v>45295</v>
      </c>
      <c r="B7" s="15">
        <f>WEEKDAY($A7,2)</f>
        <v/>
      </c>
      <c r="C7" s="15">
        <f>IF(AND($A7&gt;=INT(Instellingen!$B$5),$A7&lt;=INT(Instellingen!$B$6)),1,0)</f>
        <v/>
      </c>
      <c r="D7" s="20">
        <f>COUNTIFS(tData[SEHTrajectPeriodeDatumTijdVan],"&lt;="&amp;($A7+0/24),tData[SEHTrajectPeriodeDatumTijdTotEnMet],"&gt;"&amp;($A7+0/24))</f>
        <v/>
      </c>
      <c r="E7" s="20">
        <f>COUNTIFS(tData[SEHTrajectPeriodeDatumTijdVan],"&lt;="&amp;($A7+1/24),tData[SEHTrajectPeriodeDatumTijdTotEnMet],"&gt;"&amp;($A7+1/24))</f>
        <v/>
      </c>
      <c r="F7" s="20">
        <f>COUNTIFS(tData[SEHTrajectPeriodeDatumTijdVan],"&lt;="&amp;($A7+2/24),tData[SEHTrajectPeriodeDatumTijdTotEnMet],"&gt;"&amp;($A7+2/24))</f>
        <v/>
      </c>
      <c r="G7" s="20">
        <f>COUNTIFS(tData[SEHTrajectPeriodeDatumTijdVan],"&lt;="&amp;($A7+3/24),tData[SEHTrajectPeriodeDatumTijdTotEnMet],"&gt;"&amp;($A7+3/24))</f>
        <v/>
      </c>
      <c r="H7" s="20">
        <f>COUNTIFS(tData[SEHTrajectPeriodeDatumTijdVan],"&lt;="&amp;($A7+4/24),tData[SEHTrajectPeriodeDatumTijdTotEnMet],"&gt;"&amp;($A7+4/24))</f>
        <v/>
      </c>
      <c r="I7" s="20">
        <f>COUNTIFS(tData[SEHTrajectPeriodeDatumTijdVan],"&lt;="&amp;($A7+5/24),tData[SEHTrajectPeriodeDatumTijdTotEnMet],"&gt;"&amp;($A7+5/24))</f>
        <v/>
      </c>
      <c r="J7" s="20">
        <f>COUNTIFS(tData[SEHTrajectPeriodeDatumTijdVan],"&lt;="&amp;($A7+6/24),tData[SEHTrajectPeriodeDatumTijdTotEnMet],"&gt;"&amp;($A7+6/24))</f>
        <v/>
      </c>
      <c r="K7" s="20">
        <f>COUNTIFS(tData[SEHTrajectPeriodeDatumTijdVan],"&lt;="&amp;($A7+7/24),tData[SEHTrajectPeriodeDatumTijdTotEnMet],"&gt;"&amp;($A7+7/24))</f>
        <v/>
      </c>
      <c r="L7" s="20">
        <f>COUNTIFS(tData[SEHTrajectPeriodeDatumTijdVan],"&lt;="&amp;($A7+8/24),tData[SEHTrajectPeriodeDatumTijdTotEnMet],"&gt;"&amp;($A7+8/24))</f>
        <v/>
      </c>
      <c r="M7" s="20">
        <f>COUNTIFS(tData[SEHTrajectPeriodeDatumTijdVan],"&lt;="&amp;($A7+9/24),tData[SEHTrajectPeriodeDatumTijdTotEnMet],"&gt;"&amp;($A7+9/24))</f>
        <v/>
      </c>
      <c r="N7" s="20">
        <f>COUNTIFS(tData[SEHTrajectPeriodeDatumTijdVan],"&lt;="&amp;($A7+10/24),tData[SEHTrajectPeriodeDatumTijdTotEnMet],"&gt;"&amp;($A7+10/24))</f>
        <v/>
      </c>
      <c r="O7" s="20">
        <f>COUNTIFS(tData[SEHTrajectPeriodeDatumTijdVan],"&lt;="&amp;($A7+11/24),tData[SEHTrajectPeriodeDatumTijdTotEnMet],"&gt;"&amp;($A7+11/24))</f>
        <v/>
      </c>
      <c r="P7" s="20">
        <f>COUNTIFS(tData[SEHTrajectPeriodeDatumTijdVan],"&lt;="&amp;($A7+12/24),tData[SEHTrajectPeriodeDatumTijdTotEnMet],"&gt;"&amp;($A7+12/24))</f>
        <v/>
      </c>
      <c r="Q7" s="20">
        <f>COUNTIFS(tData[SEHTrajectPeriodeDatumTijdVan],"&lt;="&amp;($A7+13/24),tData[SEHTrajectPeriodeDatumTijdTotEnMet],"&gt;"&amp;($A7+13/24))</f>
        <v/>
      </c>
      <c r="R7" s="20">
        <f>COUNTIFS(tData[SEHTrajectPeriodeDatumTijdVan],"&lt;="&amp;($A7+14/24),tData[SEHTrajectPeriodeDatumTijdTotEnMet],"&gt;"&amp;($A7+14/24))</f>
        <v/>
      </c>
      <c r="S7" s="20">
        <f>COUNTIFS(tData[SEHTrajectPeriodeDatumTijdVan],"&lt;="&amp;($A7+15/24),tData[SEHTrajectPeriodeDatumTijdTotEnMet],"&gt;"&amp;($A7+15/24))</f>
        <v/>
      </c>
      <c r="T7" s="20">
        <f>COUNTIFS(tData[SEHTrajectPeriodeDatumTijdVan],"&lt;="&amp;($A7+16/24),tData[SEHTrajectPeriodeDatumTijdTotEnMet],"&gt;"&amp;($A7+16/24))</f>
        <v/>
      </c>
      <c r="U7" s="20">
        <f>COUNTIFS(tData[SEHTrajectPeriodeDatumTijdVan],"&lt;="&amp;($A7+17/24),tData[SEHTrajectPeriodeDatumTijdTotEnMet],"&gt;"&amp;($A7+17/24))</f>
        <v/>
      </c>
      <c r="V7" s="20">
        <f>COUNTIFS(tData[SEHTrajectPeriodeDatumTijdVan],"&lt;="&amp;($A7+18/24),tData[SEHTrajectPeriodeDatumTijdTotEnMet],"&gt;"&amp;($A7+18/24))</f>
        <v/>
      </c>
      <c r="W7" s="20">
        <f>COUNTIFS(tData[SEHTrajectPeriodeDatumTijdVan],"&lt;="&amp;($A7+19/24),tData[SEHTrajectPeriodeDatumTijdTotEnMet],"&gt;"&amp;($A7+19/24))</f>
        <v/>
      </c>
      <c r="X7" s="20">
        <f>COUNTIFS(tData[SEHTrajectPeriodeDatumTijdVan],"&lt;="&amp;($A7+20/24),tData[SEHTrajectPeriodeDatumTijdTotEnMet],"&gt;"&amp;($A7+20/24))</f>
        <v/>
      </c>
      <c r="Y7" s="20">
        <f>COUNTIFS(tData[SEHTrajectPeriodeDatumTijdVan],"&lt;="&amp;($A7+21/24),tData[SEHTrajectPeriodeDatumTijdTotEnMet],"&gt;"&amp;($A7+21/24))</f>
        <v/>
      </c>
      <c r="Z7" s="20">
        <f>COUNTIFS(tData[SEHTrajectPeriodeDatumTijdVan],"&lt;="&amp;($A7+22/24),tData[SEHTrajectPeriodeDatumTijdTotEnMet],"&gt;"&amp;($A7+22/24))</f>
        <v/>
      </c>
      <c r="AA7" s="20">
        <f>COUNTIFS(tData[SEHTrajectPeriodeDatumTijdVan],"&lt;="&amp;($A7+23/24),tData[SEHTrajectPeriodeDatumTijdTotEnMet],"&gt;"&amp;($A7+23/24))</f>
        <v/>
      </c>
    </row>
    <row r="8">
      <c r="A8" s="19" t="n">
        <v>45296</v>
      </c>
      <c r="B8" s="15">
        <f>WEEKDAY($A8,2)</f>
        <v/>
      </c>
      <c r="C8" s="15">
        <f>IF(AND($A8&gt;=INT(Instellingen!$B$5),$A8&lt;=INT(Instellingen!$B$6)),1,0)</f>
        <v/>
      </c>
      <c r="D8" s="20">
        <f>COUNTIFS(tData[SEHTrajectPeriodeDatumTijdVan],"&lt;="&amp;($A8+0/24),tData[SEHTrajectPeriodeDatumTijdTotEnMet],"&gt;"&amp;($A8+0/24))</f>
        <v/>
      </c>
      <c r="E8" s="20">
        <f>COUNTIFS(tData[SEHTrajectPeriodeDatumTijdVan],"&lt;="&amp;($A8+1/24),tData[SEHTrajectPeriodeDatumTijdTotEnMet],"&gt;"&amp;($A8+1/24))</f>
        <v/>
      </c>
      <c r="F8" s="20">
        <f>COUNTIFS(tData[SEHTrajectPeriodeDatumTijdVan],"&lt;="&amp;($A8+2/24),tData[SEHTrajectPeriodeDatumTijdTotEnMet],"&gt;"&amp;($A8+2/24))</f>
        <v/>
      </c>
      <c r="G8" s="20">
        <f>COUNTIFS(tData[SEHTrajectPeriodeDatumTijdVan],"&lt;="&amp;($A8+3/24),tData[SEHTrajectPeriodeDatumTijdTotEnMet],"&gt;"&amp;($A8+3/24))</f>
        <v/>
      </c>
      <c r="H8" s="20">
        <f>COUNTIFS(tData[SEHTrajectPeriodeDatumTijdVan],"&lt;="&amp;($A8+4/24),tData[SEHTrajectPeriodeDatumTijdTotEnMet],"&gt;"&amp;($A8+4/24))</f>
        <v/>
      </c>
      <c r="I8" s="20">
        <f>COUNTIFS(tData[SEHTrajectPeriodeDatumTijdVan],"&lt;="&amp;($A8+5/24),tData[SEHTrajectPeriodeDatumTijdTotEnMet],"&gt;"&amp;($A8+5/24))</f>
        <v/>
      </c>
      <c r="J8" s="20">
        <f>COUNTIFS(tData[SEHTrajectPeriodeDatumTijdVan],"&lt;="&amp;($A8+6/24),tData[SEHTrajectPeriodeDatumTijdTotEnMet],"&gt;"&amp;($A8+6/24))</f>
        <v/>
      </c>
      <c r="K8" s="20">
        <f>COUNTIFS(tData[SEHTrajectPeriodeDatumTijdVan],"&lt;="&amp;($A8+7/24),tData[SEHTrajectPeriodeDatumTijdTotEnMet],"&gt;"&amp;($A8+7/24))</f>
        <v/>
      </c>
      <c r="L8" s="20">
        <f>COUNTIFS(tData[SEHTrajectPeriodeDatumTijdVan],"&lt;="&amp;($A8+8/24),tData[SEHTrajectPeriodeDatumTijdTotEnMet],"&gt;"&amp;($A8+8/24))</f>
        <v/>
      </c>
      <c r="M8" s="20">
        <f>COUNTIFS(tData[SEHTrajectPeriodeDatumTijdVan],"&lt;="&amp;($A8+9/24),tData[SEHTrajectPeriodeDatumTijdTotEnMet],"&gt;"&amp;($A8+9/24))</f>
        <v/>
      </c>
      <c r="N8" s="20">
        <f>COUNTIFS(tData[SEHTrajectPeriodeDatumTijdVan],"&lt;="&amp;($A8+10/24),tData[SEHTrajectPeriodeDatumTijdTotEnMet],"&gt;"&amp;($A8+10/24))</f>
        <v/>
      </c>
      <c r="O8" s="20">
        <f>COUNTIFS(tData[SEHTrajectPeriodeDatumTijdVan],"&lt;="&amp;($A8+11/24),tData[SEHTrajectPeriodeDatumTijdTotEnMet],"&gt;"&amp;($A8+11/24))</f>
        <v/>
      </c>
      <c r="P8" s="20">
        <f>COUNTIFS(tData[SEHTrajectPeriodeDatumTijdVan],"&lt;="&amp;($A8+12/24),tData[SEHTrajectPeriodeDatumTijdTotEnMet],"&gt;"&amp;($A8+12/24))</f>
        <v/>
      </c>
      <c r="Q8" s="20">
        <f>COUNTIFS(tData[SEHTrajectPeriodeDatumTijdVan],"&lt;="&amp;($A8+13/24),tData[SEHTrajectPeriodeDatumTijdTotEnMet],"&gt;"&amp;($A8+13/24))</f>
        <v/>
      </c>
      <c r="R8" s="20">
        <f>COUNTIFS(tData[SEHTrajectPeriodeDatumTijdVan],"&lt;="&amp;($A8+14/24),tData[SEHTrajectPeriodeDatumTijdTotEnMet],"&gt;"&amp;($A8+14/24))</f>
        <v/>
      </c>
      <c r="S8" s="20">
        <f>COUNTIFS(tData[SEHTrajectPeriodeDatumTijdVan],"&lt;="&amp;($A8+15/24),tData[SEHTrajectPeriodeDatumTijdTotEnMet],"&gt;"&amp;($A8+15/24))</f>
        <v/>
      </c>
      <c r="T8" s="20">
        <f>COUNTIFS(tData[SEHTrajectPeriodeDatumTijdVan],"&lt;="&amp;($A8+16/24),tData[SEHTrajectPeriodeDatumTijdTotEnMet],"&gt;"&amp;($A8+16/24))</f>
        <v/>
      </c>
      <c r="U8" s="20">
        <f>COUNTIFS(tData[SEHTrajectPeriodeDatumTijdVan],"&lt;="&amp;($A8+17/24),tData[SEHTrajectPeriodeDatumTijdTotEnMet],"&gt;"&amp;($A8+17/24))</f>
        <v/>
      </c>
      <c r="V8" s="20">
        <f>COUNTIFS(tData[SEHTrajectPeriodeDatumTijdVan],"&lt;="&amp;($A8+18/24),tData[SEHTrajectPeriodeDatumTijdTotEnMet],"&gt;"&amp;($A8+18/24))</f>
        <v/>
      </c>
      <c r="W8" s="20">
        <f>COUNTIFS(tData[SEHTrajectPeriodeDatumTijdVan],"&lt;="&amp;($A8+19/24),tData[SEHTrajectPeriodeDatumTijdTotEnMet],"&gt;"&amp;($A8+19/24))</f>
        <v/>
      </c>
      <c r="X8" s="20">
        <f>COUNTIFS(tData[SEHTrajectPeriodeDatumTijdVan],"&lt;="&amp;($A8+20/24),tData[SEHTrajectPeriodeDatumTijdTotEnMet],"&gt;"&amp;($A8+20/24))</f>
        <v/>
      </c>
      <c r="Y8" s="20">
        <f>COUNTIFS(tData[SEHTrajectPeriodeDatumTijdVan],"&lt;="&amp;($A8+21/24),tData[SEHTrajectPeriodeDatumTijdTotEnMet],"&gt;"&amp;($A8+21/24))</f>
        <v/>
      </c>
      <c r="Z8" s="20">
        <f>COUNTIFS(tData[SEHTrajectPeriodeDatumTijdVan],"&lt;="&amp;($A8+22/24),tData[SEHTrajectPeriodeDatumTijdTotEnMet],"&gt;"&amp;($A8+22/24))</f>
        <v/>
      </c>
      <c r="AA8" s="20">
        <f>COUNTIFS(tData[SEHTrajectPeriodeDatumTijdVan],"&lt;="&amp;($A8+23/24),tData[SEHTrajectPeriodeDatumTijdTotEnMet],"&gt;"&amp;($A8+23/24))</f>
        <v/>
      </c>
    </row>
    <row r="9">
      <c r="A9" s="19" t="n">
        <v>45297</v>
      </c>
      <c r="B9" s="15">
        <f>WEEKDAY($A9,2)</f>
        <v/>
      </c>
      <c r="C9" s="15">
        <f>IF(AND($A9&gt;=INT(Instellingen!$B$5),$A9&lt;=INT(Instellingen!$B$6)),1,0)</f>
        <v/>
      </c>
      <c r="D9" s="20">
        <f>COUNTIFS(tData[SEHTrajectPeriodeDatumTijdVan],"&lt;="&amp;($A9+0/24),tData[SEHTrajectPeriodeDatumTijdTotEnMet],"&gt;"&amp;($A9+0/24))</f>
        <v/>
      </c>
      <c r="E9" s="20">
        <f>COUNTIFS(tData[SEHTrajectPeriodeDatumTijdVan],"&lt;="&amp;($A9+1/24),tData[SEHTrajectPeriodeDatumTijdTotEnMet],"&gt;"&amp;($A9+1/24))</f>
        <v/>
      </c>
      <c r="F9" s="20">
        <f>COUNTIFS(tData[SEHTrajectPeriodeDatumTijdVan],"&lt;="&amp;($A9+2/24),tData[SEHTrajectPeriodeDatumTijdTotEnMet],"&gt;"&amp;($A9+2/24))</f>
        <v/>
      </c>
      <c r="G9" s="20">
        <f>COUNTIFS(tData[SEHTrajectPeriodeDatumTijdVan],"&lt;="&amp;($A9+3/24),tData[SEHTrajectPeriodeDatumTijdTotEnMet],"&gt;"&amp;($A9+3/24))</f>
        <v/>
      </c>
      <c r="H9" s="20">
        <f>COUNTIFS(tData[SEHTrajectPeriodeDatumTijdVan],"&lt;="&amp;($A9+4/24),tData[SEHTrajectPeriodeDatumTijdTotEnMet],"&gt;"&amp;($A9+4/24))</f>
        <v/>
      </c>
      <c r="I9" s="20">
        <f>COUNTIFS(tData[SEHTrajectPeriodeDatumTijdVan],"&lt;="&amp;($A9+5/24),tData[SEHTrajectPeriodeDatumTijdTotEnMet],"&gt;"&amp;($A9+5/24))</f>
        <v/>
      </c>
      <c r="J9" s="20">
        <f>COUNTIFS(tData[SEHTrajectPeriodeDatumTijdVan],"&lt;="&amp;($A9+6/24),tData[SEHTrajectPeriodeDatumTijdTotEnMet],"&gt;"&amp;($A9+6/24))</f>
        <v/>
      </c>
      <c r="K9" s="20">
        <f>COUNTIFS(tData[SEHTrajectPeriodeDatumTijdVan],"&lt;="&amp;($A9+7/24),tData[SEHTrajectPeriodeDatumTijdTotEnMet],"&gt;"&amp;($A9+7/24))</f>
        <v/>
      </c>
      <c r="L9" s="20">
        <f>COUNTIFS(tData[SEHTrajectPeriodeDatumTijdVan],"&lt;="&amp;($A9+8/24),tData[SEHTrajectPeriodeDatumTijdTotEnMet],"&gt;"&amp;($A9+8/24))</f>
        <v/>
      </c>
      <c r="M9" s="20">
        <f>COUNTIFS(tData[SEHTrajectPeriodeDatumTijdVan],"&lt;="&amp;($A9+9/24),tData[SEHTrajectPeriodeDatumTijdTotEnMet],"&gt;"&amp;($A9+9/24))</f>
        <v/>
      </c>
      <c r="N9" s="20">
        <f>COUNTIFS(tData[SEHTrajectPeriodeDatumTijdVan],"&lt;="&amp;($A9+10/24),tData[SEHTrajectPeriodeDatumTijdTotEnMet],"&gt;"&amp;($A9+10/24))</f>
        <v/>
      </c>
      <c r="O9" s="20">
        <f>COUNTIFS(tData[SEHTrajectPeriodeDatumTijdVan],"&lt;="&amp;($A9+11/24),tData[SEHTrajectPeriodeDatumTijdTotEnMet],"&gt;"&amp;($A9+11/24))</f>
        <v/>
      </c>
      <c r="P9" s="20">
        <f>COUNTIFS(tData[SEHTrajectPeriodeDatumTijdVan],"&lt;="&amp;($A9+12/24),tData[SEHTrajectPeriodeDatumTijdTotEnMet],"&gt;"&amp;($A9+12/24))</f>
        <v/>
      </c>
      <c r="Q9" s="20">
        <f>COUNTIFS(tData[SEHTrajectPeriodeDatumTijdVan],"&lt;="&amp;($A9+13/24),tData[SEHTrajectPeriodeDatumTijdTotEnMet],"&gt;"&amp;($A9+13/24))</f>
        <v/>
      </c>
      <c r="R9" s="20">
        <f>COUNTIFS(tData[SEHTrajectPeriodeDatumTijdVan],"&lt;="&amp;($A9+14/24),tData[SEHTrajectPeriodeDatumTijdTotEnMet],"&gt;"&amp;($A9+14/24))</f>
        <v/>
      </c>
      <c r="S9" s="20">
        <f>COUNTIFS(tData[SEHTrajectPeriodeDatumTijdVan],"&lt;="&amp;($A9+15/24),tData[SEHTrajectPeriodeDatumTijdTotEnMet],"&gt;"&amp;($A9+15/24))</f>
        <v/>
      </c>
      <c r="T9" s="20">
        <f>COUNTIFS(tData[SEHTrajectPeriodeDatumTijdVan],"&lt;="&amp;($A9+16/24),tData[SEHTrajectPeriodeDatumTijdTotEnMet],"&gt;"&amp;($A9+16/24))</f>
        <v/>
      </c>
      <c r="U9" s="20">
        <f>COUNTIFS(tData[SEHTrajectPeriodeDatumTijdVan],"&lt;="&amp;($A9+17/24),tData[SEHTrajectPeriodeDatumTijdTotEnMet],"&gt;"&amp;($A9+17/24))</f>
        <v/>
      </c>
      <c r="V9" s="20">
        <f>COUNTIFS(tData[SEHTrajectPeriodeDatumTijdVan],"&lt;="&amp;($A9+18/24),tData[SEHTrajectPeriodeDatumTijdTotEnMet],"&gt;"&amp;($A9+18/24))</f>
        <v/>
      </c>
      <c r="W9" s="20">
        <f>COUNTIFS(tData[SEHTrajectPeriodeDatumTijdVan],"&lt;="&amp;($A9+19/24),tData[SEHTrajectPeriodeDatumTijdTotEnMet],"&gt;"&amp;($A9+19/24))</f>
        <v/>
      </c>
      <c r="X9" s="20">
        <f>COUNTIFS(tData[SEHTrajectPeriodeDatumTijdVan],"&lt;="&amp;($A9+20/24),tData[SEHTrajectPeriodeDatumTijdTotEnMet],"&gt;"&amp;($A9+20/24))</f>
        <v/>
      </c>
      <c r="Y9" s="20">
        <f>COUNTIFS(tData[SEHTrajectPeriodeDatumTijdVan],"&lt;="&amp;($A9+21/24),tData[SEHTrajectPeriodeDatumTijdTotEnMet],"&gt;"&amp;($A9+21/24))</f>
        <v/>
      </c>
      <c r="Z9" s="20">
        <f>COUNTIFS(tData[SEHTrajectPeriodeDatumTijdVan],"&lt;="&amp;($A9+22/24),tData[SEHTrajectPeriodeDatumTijdTotEnMet],"&gt;"&amp;($A9+22/24))</f>
        <v/>
      </c>
      <c r="AA9" s="20">
        <f>COUNTIFS(tData[SEHTrajectPeriodeDatumTijdVan],"&lt;="&amp;($A9+23/24),tData[SEHTrajectPeriodeDatumTijdTotEnMet],"&gt;"&amp;($A9+23/24))</f>
        <v/>
      </c>
    </row>
    <row r="10">
      <c r="A10" s="19" t="n">
        <v>45298</v>
      </c>
      <c r="B10" s="15">
        <f>WEEKDAY($A10,2)</f>
        <v/>
      </c>
      <c r="C10" s="15">
        <f>IF(AND($A10&gt;=INT(Instellingen!$B$5),$A10&lt;=INT(Instellingen!$B$6)),1,0)</f>
        <v/>
      </c>
      <c r="D10" s="20">
        <f>COUNTIFS(tData[SEHTrajectPeriodeDatumTijdVan],"&lt;="&amp;($A10+0/24),tData[SEHTrajectPeriodeDatumTijdTotEnMet],"&gt;"&amp;($A10+0/24))</f>
        <v/>
      </c>
      <c r="E10" s="20">
        <f>COUNTIFS(tData[SEHTrajectPeriodeDatumTijdVan],"&lt;="&amp;($A10+1/24),tData[SEHTrajectPeriodeDatumTijdTotEnMet],"&gt;"&amp;($A10+1/24))</f>
        <v/>
      </c>
      <c r="F10" s="20">
        <f>COUNTIFS(tData[SEHTrajectPeriodeDatumTijdVan],"&lt;="&amp;($A10+2/24),tData[SEHTrajectPeriodeDatumTijdTotEnMet],"&gt;"&amp;($A10+2/24))</f>
        <v/>
      </c>
      <c r="G10" s="20">
        <f>COUNTIFS(tData[SEHTrajectPeriodeDatumTijdVan],"&lt;="&amp;($A10+3/24),tData[SEHTrajectPeriodeDatumTijdTotEnMet],"&gt;"&amp;($A10+3/24))</f>
        <v/>
      </c>
      <c r="H10" s="20">
        <f>COUNTIFS(tData[SEHTrajectPeriodeDatumTijdVan],"&lt;="&amp;($A10+4/24),tData[SEHTrajectPeriodeDatumTijdTotEnMet],"&gt;"&amp;($A10+4/24))</f>
        <v/>
      </c>
      <c r="I10" s="20">
        <f>COUNTIFS(tData[SEHTrajectPeriodeDatumTijdVan],"&lt;="&amp;($A10+5/24),tData[SEHTrajectPeriodeDatumTijdTotEnMet],"&gt;"&amp;($A10+5/24))</f>
        <v/>
      </c>
      <c r="J10" s="20">
        <f>COUNTIFS(tData[SEHTrajectPeriodeDatumTijdVan],"&lt;="&amp;($A10+6/24),tData[SEHTrajectPeriodeDatumTijdTotEnMet],"&gt;"&amp;($A10+6/24))</f>
        <v/>
      </c>
      <c r="K10" s="20">
        <f>COUNTIFS(tData[SEHTrajectPeriodeDatumTijdVan],"&lt;="&amp;($A10+7/24),tData[SEHTrajectPeriodeDatumTijdTotEnMet],"&gt;"&amp;($A10+7/24))</f>
        <v/>
      </c>
      <c r="L10" s="20">
        <f>COUNTIFS(tData[SEHTrajectPeriodeDatumTijdVan],"&lt;="&amp;($A10+8/24),tData[SEHTrajectPeriodeDatumTijdTotEnMet],"&gt;"&amp;($A10+8/24))</f>
        <v/>
      </c>
      <c r="M10" s="20">
        <f>COUNTIFS(tData[SEHTrajectPeriodeDatumTijdVan],"&lt;="&amp;($A10+9/24),tData[SEHTrajectPeriodeDatumTijdTotEnMet],"&gt;"&amp;($A10+9/24))</f>
        <v/>
      </c>
      <c r="N10" s="20">
        <f>COUNTIFS(tData[SEHTrajectPeriodeDatumTijdVan],"&lt;="&amp;($A10+10/24),tData[SEHTrajectPeriodeDatumTijdTotEnMet],"&gt;"&amp;($A10+10/24))</f>
        <v/>
      </c>
      <c r="O10" s="20">
        <f>COUNTIFS(tData[SEHTrajectPeriodeDatumTijdVan],"&lt;="&amp;($A10+11/24),tData[SEHTrajectPeriodeDatumTijdTotEnMet],"&gt;"&amp;($A10+11/24))</f>
        <v/>
      </c>
      <c r="P10" s="20">
        <f>COUNTIFS(tData[SEHTrajectPeriodeDatumTijdVan],"&lt;="&amp;($A10+12/24),tData[SEHTrajectPeriodeDatumTijdTotEnMet],"&gt;"&amp;($A10+12/24))</f>
        <v/>
      </c>
      <c r="Q10" s="20">
        <f>COUNTIFS(tData[SEHTrajectPeriodeDatumTijdVan],"&lt;="&amp;($A10+13/24),tData[SEHTrajectPeriodeDatumTijdTotEnMet],"&gt;"&amp;($A10+13/24))</f>
        <v/>
      </c>
      <c r="R10" s="20">
        <f>COUNTIFS(tData[SEHTrajectPeriodeDatumTijdVan],"&lt;="&amp;($A10+14/24),tData[SEHTrajectPeriodeDatumTijdTotEnMet],"&gt;"&amp;($A10+14/24))</f>
        <v/>
      </c>
      <c r="S10" s="20">
        <f>COUNTIFS(tData[SEHTrajectPeriodeDatumTijdVan],"&lt;="&amp;($A10+15/24),tData[SEHTrajectPeriodeDatumTijdTotEnMet],"&gt;"&amp;($A10+15/24))</f>
        <v/>
      </c>
      <c r="T10" s="20">
        <f>COUNTIFS(tData[SEHTrajectPeriodeDatumTijdVan],"&lt;="&amp;($A10+16/24),tData[SEHTrajectPeriodeDatumTijdTotEnMet],"&gt;"&amp;($A10+16/24))</f>
        <v/>
      </c>
      <c r="U10" s="20">
        <f>COUNTIFS(tData[SEHTrajectPeriodeDatumTijdVan],"&lt;="&amp;($A10+17/24),tData[SEHTrajectPeriodeDatumTijdTotEnMet],"&gt;"&amp;($A10+17/24))</f>
        <v/>
      </c>
      <c r="V10" s="20">
        <f>COUNTIFS(tData[SEHTrajectPeriodeDatumTijdVan],"&lt;="&amp;($A10+18/24),tData[SEHTrajectPeriodeDatumTijdTotEnMet],"&gt;"&amp;($A10+18/24))</f>
        <v/>
      </c>
      <c r="W10" s="20">
        <f>COUNTIFS(tData[SEHTrajectPeriodeDatumTijdVan],"&lt;="&amp;($A10+19/24),tData[SEHTrajectPeriodeDatumTijdTotEnMet],"&gt;"&amp;($A10+19/24))</f>
        <v/>
      </c>
      <c r="X10" s="20">
        <f>COUNTIFS(tData[SEHTrajectPeriodeDatumTijdVan],"&lt;="&amp;($A10+20/24),tData[SEHTrajectPeriodeDatumTijdTotEnMet],"&gt;"&amp;($A10+20/24))</f>
        <v/>
      </c>
      <c r="Y10" s="20">
        <f>COUNTIFS(tData[SEHTrajectPeriodeDatumTijdVan],"&lt;="&amp;($A10+21/24),tData[SEHTrajectPeriodeDatumTijdTotEnMet],"&gt;"&amp;($A10+21/24))</f>
        <v/>
      </c>
      <c r="Z10" s="20">
        <f>COUNTIFS(tData[SEHTrajectPeriodeDatumTijdVan],"&lt;="&amp;($A10+22/24),tData[SEHTrajectPeriodeDatumTijdTotEnMet],"&gt;"&amp;($A10+22/24))</f>
        <v/>
      </c>
      <c r="AA10" s="20">
        <f>COUNTIFS(tData[SEHTrajectPeriodeDatumTijdVan],"&lt;="&amp;($A10+23/24),tData[SEHTrajectPeriodeDatumTijdTotEnMet],"&gt;"&amp;($A10+23/24))</f>
        <v/>
      </c>
    </row>
    <row r="11">
      <c r="A11" s="19" t="n">
        <v>45299</v>
      </c>
      <c r="B11" s="15">
        <f>WEEKDAY($A11,2)</f>
        <v/>
      </c>
      <c r="C11" s="15">
        <f>IF(AND($A11&gt;=INT(Instellingen!$B$5),$A11&lt;=INT(Instellingen!$B$6)),1,0)</f>
        <v/>
      </c>
      <c r="D11" s="20">
        <f>COUNTIFS(tData[SEHTrajectPeriodeDatumTijdVan],"&lt;="&amp;($A11+0/24),tData[SEHTrajectPeriodeDatumTijdTotEnMet],"&gt;"&amp;($A11+0/24))</f>
        <v/>
      </c>
      <c r="E11" s="20">
        <f>COUNTIFS(tData[SEHTrajectPeriodeDatumTijdVan],"&lt;="&amp;($A11+1/24),tData[SEHTrajectPeriodeDatumTijdTotEnMet],"&gt;"&amp;($A11+1/24))</f>
        <v/>
      </c>
      <c r="F11" s="20">
        <f>COUNTIFS(tData[SEHTrajectPeriodeDatumTijdVan],"&lt;="&amp;($A11+2/24),tData[SEHTrajectPeriodeDatumTijdTotEnMet],"&gt;"&amp;($A11+2/24))</f>
        <v/>
      </c>
      <c r="G11" s="20">
        <f>COUNTIFS(tData[SEHTrajectPeriodeDatumTijdVan],"&lt;="&amp;($A11+3/24),tData[SEHTrajectPeriodeDatumTijdTotEnMet],"&gt;"&amp;($A11+3/24))</f>
        <v/>
      </c>
      <c r="H11" s="20">
        <f>COUNTIFS(tData[SEHTrajectPeriodeDatumTijdVan],"&lt;="&amp;($A11+4/24),tData[SEHTrajectPeriodeDatumTijdTotEnMet],"&gt;"&amp;($A11+4/24))</f>
        <v/>
      </c>
      <c r="I11" s="20">
        <f>COUNTIFS(tData[SEHTrajectPeriodeDatumTijdVan],"&lt;="&amp;($A11+5/24),tData[SEHTrajectPeriodeDatumTijdTotEnMet],"&gt;"&amp;($A11+5/24))</f>
        <v/>
      </c>
      <c r="J11" s="20">
        <f>COUNTIFS(tData[SEHTrajectPeriodeDatumTijdVan],"&lt;="&amp;($A11+6/24),tData[SEHTrajectPeriodeDatumTijdTotEnMet],"&gt;"&amp;($A11+6/24))</f>
        <v/>
      </c>
      <c r="K11" s="20">
        <f>COUNTIFS(tData[SEHTrajectPeriodeDatumTijdVan],"&lt;="&amp;($A11+7/24),tData[SEHTrajectPeriodeDatumTijdTotEnMet],"&gt;"&amp;($A11+7/24))</f>
        <v/>
      </c>
      <c r="L11" s="20">
        <f>COUNTIFS(tData[SEHTrajectPeriodeDatumTijdVan],"&lt;="&amp;($A11+8/24),tData[SEHTrajectPeriodeDatumTijdTotEnMet],"&gt;"&amp;($A11+8/24))</f>
        <v/>
      </c>
      <c r="M11" s="20">
        <f>COUNTIFS(tData[SEHTrajectPeriodeDatumTijdVan],"&lt;="&amp;($A11+9/24),tData[SEHTrajectPeriodeDatumTijdTotEnMet],"&gt;"&amp;($A11+9/24))</f>
        <v/>
      </c>
      <c r="N11" s="20">
        <f>COUNTIFS(tData[SEHTrajectPeriodeDatumTijdVan],"&lt;="&amp;($A11+10/24),tData[SEHTrajectPeriodeDatumTijdTotEnMet],"&gt;"&amp;($A11+10/24))</f>
        <v/>
      </c>
      <c r="O11" s="20">
        <f>COUNTIFS(tData[SEHTrajectPeriodeDatumTijdVan],"&lt;="&amp;($A11+11/24),tData[SEHTrajectPeriodeDatumTijdTotEnMet],"&gt;"&amp;($A11+11/24))</f>
        <v/>
      </c>
      <c r="P11" s="20">
        <f>COUNTIFS(tData[SEHTrajectPeriodeDatumTijdVan],"&lt;="&amp;($A11+12/24),tData[SEHTrajectPeriodeDatumTijdTotEnMet],"&gt;"&amp;($A11+12/24))</f>
        <v/>
      </c>
      <c r="Q11" s="20">
        <f>COUNTIFS(tData[SEHTrajectPeriodeDatumTijdVan],"&lt;="&amp;($A11+13/24),tData[SEHTrajectPeriodeDatumTijdTotEnMet],"&gt;"&amp;($A11+13/24))</f>
        <v/>
      </c>
      <c r="R11" s="20">
        <f>COUNTIFS(tData[SEHTrajectPeriodeDatumTijdVan],"&lt;="&amp;($A11+14/24),tData[SEHTrajectPeriodeDatumTijdTotEnMet],"&gt;"&amp;($A11+14/24))</f>
        <v/>
      </c>
      <c r="S11" s="20">
        <f>COUNTIFS(tData[SEHTrajectPeriodeDatumTijdVan],"&lt;="&amp;($A11+15/24),tData[SEHTrajectPeriodeDatumTijdTotEnMet],"&gt;"&amp;($A11+15/24))</f>
        <v/>
      </c>
      <c r="T11" s="20">
        <f>COUNTIFS(tData[SEHTrajectPeriodeDatumTijdVan],"&lt;="&amp;($A11+16/24),tData[SEHTrajectPeriodeDatumTijdTotEnMet],"&gt;"&amp;($A11+16/24))</f>
        <v/>
      </c>
      <c r="U11" s="20">
        <f>COUNTIFS(tData[SEHTrajectPeriodeDatumTijdVan],"&lt;="&amp;($A11+17/24),tData[SEHTrajectPeriodeDatumTijdTotEnMet],"&gt;"&amp;($A11+17/24))</f>
        <v/>
      </c>
      <c r="V11" s="20">
        <f>COUNTIFS(tData[SEHTrajectPeriodeDatumTijdVan],"&lt;="&amp;($A11+18/24),tData[SEHTrajectPeriodeDatumTijdTotEnMet],"&gt;"&amp;($A11+18/24))</f>
        <v/>
      </c>
      <c r="W11" s="20">
        <f>COUNTIFS(tData[SEHTrajectPeriodeDatumTijdVan],"&lt;="&amp;($A11+19/24),tData[SEHTrajectPeriodeDatumTijdTotEnMet],"&gt;"&amp;($A11+19/24))</f>
        <v/>
      </c>
      <c r="X11" s="20">
        <f>COUNTIFS(tData[SEHTrajectPeriodeDatumTijdVan],"&lt;="&amp;($A11+20/24),tData[SEHTrajectPeriodeDatumTijdTotEnMet],"&gt;"&amp;($A11+20/24))</f>
        <v/>
      </c>
      <c r="Y11" s="20">
        <f>COUNTIFS(tData[SEHTrajectPeriodeDatumTijdVan],"&lt;="&amp;($A11+21/24),tData[SEHTrajectPeriodeDatumTijdTotEnMet],"&gt;"&amp;($A11+21/24))</f>
        <v/>
      </c>
      <c r="Z11" s="20">
        <f>COUNTIFS(tData[SEHTrajectPeriodeDatumTijdVan],"&lt;="&amp;($A11+22/24),tData[SEHTrajectPeriodeDatumTijdTotEnMet],"&gt;"&amp;($A11+22/24))</f>
        <v/>
      </c>
      <c r="AA11" s="20">
        <f>COUNTIFS(tData[SEHTrajectPeriodeDatumTijdVan],"&lt;="&amp;($A11+23/24),tData[SEHTrajectPeriodeDatumTijdTotEnMet],"&gt;"&amp;($A11+23/24))</f>
        <v/>
      </c>
    </row>
    <row r="12">
      <c r="A12" s="19" t="n">
        <v>45300</v>
      </c>
      <c r="B12" s="15">
        <f>WEEKDAY($A12,2)</f>
        <v/>
      </c>
      <c r="C12" s="15">
        <f>IF(AND($A12&gt;=INT(Instellingen!$B$5),$A12&lt;=INT(Instellingen!$B$6)),1,0)</f>
        <v/>
      </c>
      <c r="D12" s="20">
        <f>COUNTIFS(tData[SEHTrajectPeriodeDatumTijdVan],"&lt;="&amp;($A12+0/24),tData[SEHTrajectPeriodeDatumTijdTotEnMet],"&gt;"&amp;($A12+0/24))</f>
        <v/>
      </c>
      <c r="E12" s="20">
        <f>COUNTIFS(tData[SEHTrajectPeriodeDatumTijdVan],"&lt;="&amp;($A12+1/24),tData[SEHTrajectPeriodeDatumTijdTotEnMet],"&gt;"&amp;($A12+1/24))</f>
        <v/>
      </c>
      <c r="F12" s="20">
        <f>COUNTIFS(tData[SEHTrajectPeriodeDatumTijdVan],"&lt;="&amp;($A12+2/24),tData[SEHTrajectPeriodeDatumTijdTotEnMet],"&gt;"&amp;($A12+2/24))</f>
        <v/>
      </c>
      <c r="G12" s="20">
        <f>COUNTIFS(tData[SEHTrajectPeriodeDatumTijdVan],"&lt;="&amp;($A12+3/24),tData[SEHTrajectPeriodeDatumTijdTotEnMet],"&gt;"&amp;($A12+3/24))</f>
        <v/>
      </c>
      <c r="H12" s="20">
        <f>COUNTIFS(tData[SEHTrajectPeriodeDatumTijdVan],"&lt;="&amp;($A12+4/24),tData[SEHTrajectPeriodeDatumTijdTotEnMet],"&gt;"&amp;($A12+4/24))</f>
        <v/>
      </c>
      <c r="I12" s="20">
        <f>COUNTIFS(tData[SEHTrajectPeriodeDatumTijdVan],"&lt;="&amp;($A12+5/24),tData[SEHTrajectPeriodeDatumTijdTotEnMet],"&gt;"&amp;($A12+5/24))</f>
        <v/>
      </c>
      <c r="J12" s="20">
        <f>COUNTIFS(tData[SEHTrajectPeriodeDatumTijdVan],"&lt;="&amp;($A12+6/24),tData[SEHTrajectPeriodeDatumTijdTotEnMet],"&gt;"&amp;($A12+6/24))</f>
        <v/>
      </c>
      <c r="K12" s="20">
        <f>COUNTIFS(tData[SEHTrajectPeriodeDatumTijdVan],"&lt;="&amp;($A12+7/24),tData[SEHTrajectPeriodeDatumTijdTotEnMet],"&gt;"&amp;($A12+7/24))</f>
        <v/>
      </c>
      <c r="L12" s="20">
        <f>COUNTIFS(tData[SEHTrajectPeriodeDatumTijdVan],"&lt;="&amp;($A12+8/24),tData[SEHTrajectPeriodeDatumTijdTotEnMet],"&gt;"&amp;($A12+8/24))</f>
        <v/>
      </c>
      <c r="M12" s="20">
        <f>COUNTIFS(tData[SEHTrajectPeriodeDatumTijdVan],"&lt;="&amp;($A12+9/24),tData[SEHTrajectPeriodeDatumTijdTotEnMet],"&gt;"&amp;($A12+9/24))</f>
        <v/>
      </c>
      <c r="N12" s="20">
        <f>COUNTIFS(tData[SEHTrajectPeriodeDatumTijdVan],"&lt;="&amp;($A12+10/24),tData[SEHTrajectPeriodeDatumTijdTotEnMet],"&gt;"&amp;($A12+10/24))</f>
        <v/>
      </c>
      <c r="O12" s="20">
        <f>COUNTIFS(tData[SEHTrajectPeriodeDatumTijdVan],"&lt;="&amp;($A12+11/24),tData[SEHTrajectPeriodeDatumTijdTotEnMet],"&gt;"&amp;($A12+11/24))</f>
        <v/>
      </c>
      <c r="P12" s="20">
        <f>COUNTIFS(tData[SEHTrajectPeriodeDatumTijdVan],"&lt;="&amp;($A12+12/24),tData[SEHTrajectPeriodeDatumTijdTotEnMet],"&gt;"&amp;($A12+12/24))</f>
        <v/>
      </c>
      <c r="Q12" s="20">
        <f>COUNTIFS(tData[SEHTrajectPeriodeDatumTijdVan],"&lt;="&amp;($A12+13/24),tData[SEHTrajectPeriodeDatumTijdTotEnMet],"&gt;"&amp;($A12+13/24))</f>
        <v/>
      </c>
      <c r="R12" s="20">
        <f>COUNTIFS(tData[SEHTrajectPeriodeDatumTijdVan],"&lt;="&amp;($A12+14/24),tData[SEHTrajectPeriodeDatumTijdTotEnMet],"&gt;"&amp;($A12+14/24))</f>
        <v/>
      </c>
      <c r="S12" s="20">
        <f>COUNTIFS(tData[SEHTrajectPeriodeDatumTijdVan],"&lt;="&amp;($A12+15/24),tData[SEHTrajectPeriodeDatumTijdTotEnMet],"&gt;"&amp;($A12+15/24))</f>
        <v/>
      </c>
      <c r="T12" s="20">
        <f>COUNTIFS(tData[SEHTrajectPeriodeDatumTijdVan],"&lt;="&amp;($A12+16/24),tData[SEHTrajectPeriodeDatumTijdTotEnMet],"&gt;"&amp;($A12+16/24))</f>
        <v/>
      </c>
      <c r="U12" s="20">
        <f>COUNTIFS(tData[SEHTrajectPeriodeDatumTijdVan],"&lt;="&amp;($A12+17/24),tData[SEHTrajectPeriodeDatumTijdTotEnMet],"&gt;"&amp;($A12+17/24))</f>
        <v/>
      </c>
      <c r="V12" s="20">
        <f>COUNTIFS(tData[SEHTrajectPeriodeDatumTijdVan],"&lt;="&amp;($A12+18/24),tData[SEHTrajectPeriodeDatumTijdTotEnMet],"&gt;"&amp;($A12+18/24))</f>
        <v/>
      </c>
      <c r="W12" s="20">
        <f>COUNTIFS(tData[SEHTrajectPeriodeDatumTijdVan],"&lt;="&amp;($A12+19/24),tData[SEHTrajectPeriodeDatumTijdTotEnMet],"&gt;"&amp;($A12+19/24))</f>
        <v/>
      </c>
      <c r="X12" s="20">
        <f>COUNTIFS(tData[SEHTrajectPeriodeDatumTijdVan],"&lt;="&amp;($A12+20/24),tData[SEHTrajectPeriodeDatumTijdTotEnMet],"&gt;"&amp;($A12+20/24))</f>
        <v/>
      </c>
      <c r="Y12" s="20">
        <f>COUNTIFS(tData[SEHTrajectPeriodeDatumTijdVan],"&lt;="&amp;($A12+21/24),tData[SEHTrajectPeriodeDatumTijdTotEnMet],"&gt;"&amp;($A12+21/24))</f>
        <v/>
      </c>
      <c r="Z12" s="20">
        <f>COUNTIFS(tData[SEHTrajectPeriodeDatumTijdVan],"&lt;="&amp;($A12+22/24),tData[SEHTrajectPeriodeDatumTijdTotEnMet],"&gt;"&amp;($A12+22/24))</f>
        <v/>
      </c>
      <c r="AA12" s="20">
        <f>COUNTIFS(tData[SEHTrajectPeriodeDatumTijdVan],"&lt;="&amp;($A12+23/24),tData[SEHTrajectPeriodeDatumTijdTotEnMet],"&gt;"&amp;($A12+23/24))</f>
        <v/>
      </c>
    </row>
    <row r="13">
      <c r="A13" s="19" t="n">
        <v>45301</v>
      </c>
      <c r="B13" s="15">
        <f>WEEKDAY($A13,2)</f>
        <v/>
      </c>
      <c r="C13" s="15">
        <f>IF(AND($A13&gt;=INT(Instellingen!$B$5),$A13&lt;=INT(Instellingen!$B$6)),1,0)</f>
        <v/>
      </c>
      <c r="D13" s="20">
        <f>COUNTIFS(tData[SEHTrajectPeriodeDatumTijdVan],"&lt;="&amp;($A13+0/24),tData[SEHTrajectPeriodeDatumTijdTotEnMet],"&gt;"&amp;($A13+0/24))</f>
        <v/>
      </c>
      <c r="E13" s="20">
        <f>COUNTIFS(tData[SEHTrajectPeriodeDatumTijdVan],"&lt;="&amp;($A13+1/24),tData[SEHTrajectPeriodeDatumTijdTotEnMet],"&gt;"&amp;($A13+1/24))</f>
        <v/>
      </c>
      <c r="F13" s="20">
        <f>COUNTIFS(tData[SEHTrajectPeriodeDatumTijdVan],"&lt;="&amp;($A13+2/24),tData[SEHTrajectPeriodeDatumTijdTotEnMet],"&gt;"&amp;($A13+2/24))</f>
        <v/>
      </c>
      <c r="G13" s="20">
        <f>COUNTIFS(tData[SEHTrajectPeriodeDatumTijdVan],"&lt;="&amp;($A13+3/24),tData[SEHTrajectPeriodeDatumTijdTotEnMet],"&gt;"&amp;($A13+3/24))</f>
        <v/>
      </c>
      <c r="H13" s="20">
        <f>COUNTIFS(tData[SEHTrajectPeriodeDatumTijdVan],"&lt;="&amp;($A13+4/24),tData[SEHTrajectPeriodeDatumTijdTotEnMet],"&gt;"&amp;($A13+4/24))</f>
        <v/>
      </c>
      <c r="I13" s="20">
        <f>COUNTIFS(tData[SEHTrajectPeriodeDatumTijdVan],"&lt;="&amp;($A13+5/24),tData[SEHTrajectPeriodeDatumTijdTotEnMet],"&gt;"&amp;($A13+5/24))</f>
        <v/>
      </c>
      <c r="J13" s="20">
        <f>COUNTIFS(tData[SEHTrajectPeriodeDatumTijdVan],"&lt;="&amp;($A13+6/24),tData[SEHTrajectPeriodeDatumTijdTotEnMet],"&gt;"&amp;($A13+6/24))</f>
        <v/>
      </c>
      <c r="K13" s="20">
        <f>COUNTIFS(tData[SEHTrajectPeriodeDatumTijdVan],"&lt;="&amp;($A13+7/24),tData[SEHTrajectPeriodeDatumTijdTotEnMet],"&gt;"&amp;($A13+7/24))</f>
        <v/>
      </c>
      <c r="L13" s="20">
        <f>COUNTIFS(tData[SEHTrajectPeriodeDatumTijdVan],"&lt;="&amp;($A13+8/24),tData[SEHTrajectPeriodeDatumTijdTotEnMet],"&gt;"&amp;($A13+8/24))</f>
        <v/>
      </c>
      <c r="M13" s="20">
        <f>COUNTIFS(tData[SEHTrajectPeriodeDatumTijdVan],"&lt;="&amp;($A13+9/24),tData[SEHTrajectPeriodeDatumTijdTotEnMet],"&gt;"&amp;($A13+9/24))</f>
        <v/>
      </c>
      <c r="N13" s="20">
        <f>COUNTIFS(tData[SEHTrajectPeriodeDatumTijdVan],"&lt;="&amp;($A13+10/24),tData[SEHTrajectPeriodeDatumTijdTotEnMet],"&gt;"&amp;($A13+10/24))</f>
        <v/>
      </c>
      <c r="O13" s="20">
        <f>COUNTIFS(tData[SEHTrajectPeriodeDatumTijdVan],"&lt;="&amp;($A13+11/24),tData[SEHTrajectPeriodeDatumTijdTotEnMet],"&gt;"&amp;($A13+11/24))</f>
        <v/>
      </c>
      <c r="P13" s="20">
        <f>COUNTIFS(tData[SEHTrajectPeriodeDatumTijdVan],"&lt;="&amp;($A13+12/24),tData[SEHTrajectPeriodeDatumTijdTotEnMet],"&gt;"&amp;($A13+12/24))</f>
        <v/>
      </c>
      <c r="Q13" s="20">
        <f>COUNTIFS(tData[SEHTrajectPeriodeDatumTijdVan],"&lt;="&amp;($A13+13/24),tData[SEHTrajectPeriodeDatumTijdTotEnMet],"&gt;"&amp;($A13+13/24))</f>
        <v/>
      </c>
      <c r="R13" s="20">
        <f>COUNTIFS(tData[SEHTrajectPeriodeDatumTijdVan],"&lt;="&amp;($A13+14/24),tData[SEHTrajectPeriodeDatumTijdTotEnMet],"&gt;"&amp;($A13+14/24))</f>
        <v/>
      </c>
      <c r="S13" s="20">
        <f>COUNTIFS(tData[SEHTrajectPeriodeDatumTijdVan],"&lt;="&amp;($A13+15/24),tData[SEHTrajectPeriodeDatumTijdTotEnMet],"&gt;"&amp;($A13+15/24))</f>
        <v/>
      </c>
      <c r="T13" s="20">
        <f>COUNTIFS(tData[SEHTrajectPeriodeDatumTijdVan],"&lt;="&amp;($A13+16/24),tData[SEHTrajectPeriodeDatumTijdTotEnMet],"&gt;"&amp;($A13+16/24))</f>
        <v/>
      </c>
      <c r="U13" s="20">
        <f>COUNTIFS(tData[SEHTrajectPeriodeDatumTijdVan],"&lt;="&amp;($A13+17/24),tData[SEHTrajectPeriodeDatumTijdTotEnMet],"&gt;"&amp;($A13+17/24))</f>
        <v/>
      </c>
      <c r="V13" s="20">
        <f>COUNTIFS(tData[SEHTrajectPeriodeDatumTijdVan],"&lt;="&amp;($A13+18/24),tData[SEHTrajectPeriodeDatumTijdTotEnMet],"&gt;"&amp;($A13+18/24))</f>
        <v/>
      </c>
      <c r="W13" s="20">
        <f>COUNTIFS(tData[SEHTrajectPeriodeDatumTijdVan],"&lt;="&amp;($A13+19/24),tData[SEHTrajectPeriodeDatumTijdTotEnMet],"&gt;"&amp;($A13+19/24))</f>
        <v/>
      </c>
      <c r="X13" s="20">
        <f>COUNTIFS(tData[SEHTrajectPeriodeDatumTijdVan],"&lt;="&amp;($A13+20/24),tData[SEHTrajectPeriodeDatumTijdTotEnMet],"&gt;"&amp;($A13+20/24))</f>
        <v/>
      </c>
      <c r="Y13" s="20">
        <f>COUNTIFS(tData[SEHTrajectPeriodeDatumTijdVan],"&lt;="&amp;($A13+21/24),tData[SEHTrajectPeriodeDatumTijdTotEnMet],"&gt;"&amp;($A13+21/24))</f>
        <v/>
      </c>
      <c r="Z13" s="20">
        <f>COUNTIFS(tData[SEHTrajectPeriodeDatumTijdVan],"&lt;="&amp;($A13+22/24),tData[SEHTrajectPeriodeDatumTijdTotEnMet],"&gt;"&amp;($A13+22/24))</f>
        <v/>
      </c>
      <c r="AA13" s="20">
        <f>COUNTIFS(tData[SEHTrajectPeriodeDatumTijdVan],"&lt;="&amp;($A13+23/24),tData[SEHTrajectPeriodeDatumTijdTotEnMet],"&gt;"&amp;($A13+23/24))</f>
        <v/>
      </c>
    </row>
    <row r="14">
      <c r="A14" s="19" t="n">
        <v>45302</v>
      </c>
      <c r="B14" s="15">
        <f>WEEKDAY($A14,2)</f>
        <v/>
      </c>
      <c r="C14" s="15">
        <f>IF(AND($A14&gt;=INT(Instellingen!$B$5),$A14&lt;=INT(Instellingen!$B$6)),1,0)</f>
        <v/>
      </c>
      <c r="D14" s="20">
        <f>COUNTIFS(tData[SEHTrajectPeriodeDatumTijdVan],"&lt;="&amp;($A14+0/24),tData[SEHTrajectPeriodeDatumTijdTotEnMet],"&gt;"&amp;($A14+0/24))</f>
        <v/>
      </c>
      <c r="E14" s="20">
        <f>COUNTIFS(tData[SEHTrajectPeriodeDatumTijdVan],"&lt;="&amp;($A14+1/24),tData[SEHTrajectPeriodeDatumTijdTotEnMet],"&gt;"&amp;($A14+1/24))</f>
        <v/>
      </c>
      <c r="F14" s="20">
        <f>COUNTIFS(tData[SEHTrajectPeriodeDatumTijdVan],"&lt;="&amp;($A14+2/24),tData[SEHTrajectPeriodeDatumTijdTotEnMet],"&gt;"&amp;($A14+2/24))</f>
        <v/>
      </c>
      <c r="G14" s="20">
        <f>COUNTIFS(tData[SEHTrajectPeriodeDatumTijdVan],"&lt;="&amp;($A14+3/24),tData[SEHTrajectPeriodeDatumTijdTotEnMet],"&gt;"&amp;($A14+3/24))</f>
        <v/>
      </c>
      <c r="H14" s="20">
        <f>COUNTIFS(tData[SEHTrajectPeriodeDatumTijdVan],"&lt;="&amp;($A14+4/24),tData[SEHTrajectPeriodeDatumTijdTotEnMet],"&gt;"&amp;($A14+4/24))</f>
        <v/>
      </c>
      <c r="I14" s="20">
        <f>COUNTIFS(tData[SEHTrajectPeriodeDatumTijdVan],"&lt;="&amp;($A14+5/24),tData[SEHTrajectPeriodeDatumTijdTotEnMet],"&gt;"&amp;($A14+5/24))</f>
        <v/>
      </c>
      <c r="J14" s="20">
        <f>COUNTIFS(tData[SEHTrajectPeriodeDatumTijdVan],"&lt;="&amp;($A14+6/24),tData[SEHTrajectPeriodeDatumTijdTotEnMet],"&gt;"&amp;($A14+6/24))</f>
        <v/>
      </c>
      <c r="K14" s="20">
        <f>COUNTIFS(tData[SEHTrajectPeriodeDatumTijdVan],"&lt;="&amp;($A14+7/24),tData[SEHTrajectPeriodeDatumTijdTotEnMet],"&gt;"&amp;($A14+7/24))</f>
        <v/>
      </c>
      <c r="L14" s="20">
        <f>COUNTIFS(tData[SEHTrajectPeriodeDatumTijdVan],"&lt;="&amp;($A14+8/24),tData[SEHTrajectPeriodeDatumTijdTotEnMet],"&gt;"&amp;($A14+8/24))</f>
        <v/>
      </c>
      <c r="M14" s="20">
        <f>COUNTIFS(tData[SEHTrajectPeriodeDatumTijdVan],"&lt;="&amp;($A14+9/24),tData[SEHTrajectPeriodeDatumTijdTotEnMet],"&gt;"&amp;($A14+9/24))</f>
        <v/>
      </c>
      <c r="N14" s="20">
        <f>COUNTIFS(tData[SEHTrajectPeriodeDatumTijdVan],"&lt;="&amp;($A14+10/24),tData[SEHTrajectPeriodeDatumTijdTotEnMet],"&gt;"&amp;($A14+10/24))</f>
        <v/>
      </c>
      <c r="O14" s="20">
        <f>COUNTIFS(tData[SEHTrajectPeriodeDatumTijdVan],"&lt;="&amp;($A14+11/24),tData[SEHTrajectPeriodeDatumTijdTotEnMet],"&gt;"&amp;($A14+11/24))</f>
        <v/>
      </c>
      <c r="P14" s="20">
        <f>COUNTIFS(tData[SEHTrajectPeriodeDatumTijdVan],"&lt;="&amp;($A14+12/24),tData[SEHTrajectPeriodeDatumTijdTotEnMet],"&gt;"&amp;($A14+12/24))</f>
        <v/>
      </c>
      <c r="Q14" s="20">
        <f>COUNTIFS(tData[SEHTrajectPeriodeDatumTijdVan],"&lt;="&amp;($A14+13/24),tData[SEHTrajectPeriodeDatumTijdTotEnMet],"&gt;"&amp;($A14+13/24))</f>
        <v/>
      </c>
      <c r="R14" s="20">
        <f>COUNTIFS(tData[SEHTrajectPeriodeDatumTijdVan],"&lt;="&amp;($A14+14/24),tData[SEHTrajectPeriodeDatumTijdTotEnMet],"&gt;"&amp;($A14+14/24))</f>
        <v/>
      </c>
      <c r="S14" s="20">
        <f>COUNTIFS(tData[SEHTrajectPeriodeDatumTijdVan],"&lt;="&amp;($A14+15/24),tData[SEHTrajectPeriodeDatumTijdTotEnMet],"&gt;"&amp;($A14+15/24))</f>
        <v/>
      </c>
      <c r="T14" s="20">
        <f>COUNTIFS(tData[SEHTrajectPeriodeDatumTijdVan],"&lt;="&amp;($A14+16/24),tData[SEHTrajectPeriodeDatumTijdTotEnMet],"&gt;"&amp;($A14+16/24))</f>
        <v/>
      </c>
      <c r="U14" s="20">
        <f>COUNTIFS(tData[SEHTrajectPeriodeDatumTijdVan],"&lt;="&amp;($A14+17/24),tData[SEHTrajectPeriodeDatumTijdTotEnMet],"&gt;"&amp;($A14+17/24))</f>
        <v/>
      </c>
      <c r="V14" s="20">
        <f>COUNTIFS(tData[SEHTrajectPeriodeDatumTijdVan],"&lt;="&amp;($A14+18/24),tData[SEHTrajectPeriodeDatumTijdTotEnMet],"&gt;"&amp;($A14+18/24))</f>
        <v/>
      </c>
      <c r="W14" s="20">
        <f>COUNTIFS(tData[SEHTrajectPeriodeDatumTijdVan],"&lt;="&amp;($A14+19/24),tData[SEHTrajectPeriodeDatumTijdTotEnMet],"&gt;"&amp;($A14+19/24))</f>
        <v/>
      </c>
      <c r="X14" s="20">
        <f>COUNTIFS(tData[SEHTrajectPeriodeDatumTijdVan],"&lt;="&amp;($A14+20/24),tData[SEHTrajectPeriodeDatumTijdTotEnMet],"&gt;"&amp;($A14+20/24))</f>
        <v/>
      </c>
      <c r="Y14" s="20">
        <f>COUNTIFS(tData[SEHTrajectPeriodeDatumTijdVan],"&lt;="&amp;($A14+21/24),tData[SEHTrajectPeriodeDatumTijdTotEnMet],"&gt;"&amp;($A14+21/24))</f>
        <v/>
      </c>
      <c r="Z14" s="20">
        <f>COUNTIFS(tData[SEHTrajectPeriodeDatumTijdVan],"&lt;="&amp;($A14+22/24),tData[SEHTrajectPeriodeDatumTijdTotEnMet],"&gt;"&amp;($A14+22/24))</f>
        <v/>
      </c>
      <c r="AA14" s="20">
        <f>COUNTIFS(tData[SEHTrajectPeriodeDatumTijdVan],"&lt;="&amp;($A14+23/24),tData[SEHTrajectPeriodeDatumTijdTotEnMet],"&gt;"&amp;($A14+23/24))</f>
        <v/>
      </c>
    </row>
    <row r="15">
      <c r="A15" s="19" t="n">
        <v>45303</v>
      </c>
      <c r="B15" s="15">
        <f>WEEKDAY($A15,2)</f>
        <v/>
      </c>
      <c r="C15" s="15">
        <f>IF(AND($A15&gt;=INT(Instellingen!$B$5),$A15&lt;=INT(Instellingen!$B$6)),1,0)</f>
        <v/>
      </c>
      <c r="D15" s="20">
        <f>COUNTIFS(tData[SEHTrajectPeriodeDatumTijdVan],"&lt;="&amp;($A15+0/24),tData[SEHTrajectPeriodeDatumTijdTotEnMet],"&gt;"&amp;($A15+0/24))</f>
        <v/>
      </c>
      <c r="E15" s="20">
        <f>COUNTIFS(tData[SEHTrajectPeriodeDatumTijdVan],"&lt;="&amp;($A15+1/24),tData[SEHTrajectPeriodeDatumTijdTotEnMet],"&gt;"&amp;($A15+1/24))</f>
        <v/>
      </c>
      <c r="F15" s="20">
        <f>COUNTIFS(tData[SEHTrajectPeriodeDatumTijdVan],"&lt;="&amp;($A15+2/24),tData[SEHTrajectPeriodeDatumTijdTotEnMet],"&gt;"&amp;($A15+2/24))</f>
        <v/>
      </c>
      <c r="G15" s="20">
        <f>COUNTIFS(tData[SEHTrajectPeriodeDatumTijdVan],"&lt;="&amp;($A15+3/24),tData[SEHTrajectPeriodeDatumTijdTotEnMet],"&gt;"&amp;($A15+3/24))</f>
        <v/>
      </c>
      <c r="H15" s="20">
        <f>COUNTIFS(tData[SEHTrajectPeriodeDatumTijdVan],"&lt;="&amp;($A15+4/24),tData[SEHTrajectPeriodeDatumTijdTotEnMet],"&gt;"&amp;($A15+4/24))</f>
        <v/>
      </c>
      <c r="I15" s="20">
        <f>COUNTIFS(tData[SEHTrajectPeriodeDatumTijdVan],"&lt;="&amp;($A15+5/24),tData[SEHTrajectPeriodeDatumTijdTotEnMet],"&gt;"&amp;($A15+5/24))</f>
        <v/>
      </c>
      <c r="J15" s="20">
        <f>COUNTIFS(tData[SEHTrajectPeriodeDatumTijdVan],"&lt;="&amp;($A15+6/24),tData[SEHTrajectPeriodeDatumTijdTotEnMet],"&gt;"&amp;($A15+6/24))</f>
        <v/>
      </c>
      <c r="K15" s="20">
        <f>COUNTIFS(tData[SEHTrajectPeriodeDatumTijdVan],"&lt;="&amp;($A15+7/24),tData[SEHTrajectPeriodeDatumTijdTotEnMet],"&gt;"&amp;($A15+7/24))</f>
        <v/>
      </c>
      <c r="L15" s="20">
        <f>COUNTIFS(tData[SEHTrajectPeriodeDatumTijdVan],"&lt;="&amp;($A15+8/24),tData[SEHTrajectPeriodeDatumTijdTotEnMet],"&gt;"&amp;($A15+8/24))</f>
        <v/>
      </c>
      <c r="M15" s="20">
        <f>COUNTIFS(tData[SEHTrajectPeriodeDatumTijdVan],"&lt;="&amp;($A15+9/24),tData[SEHTrajectPeriodeDatumTijdTotEnMet],"&gt;"&amp;($A15+9/24))</f>
        <v/>
      </c>
      <c r="N15" s="20">
        <f>COUNTIFS(tData[SEHTrajectPeriodeDatumTijdVan],"&lt;="&amp;($A15+10/24),tData[SEHTrajectPeriodeDatumTijdTotEnMet],"&gt;"&amp;($A15+10/24))</f>
        <v/>
      </c>
      <c r="O15" s="20">
        <f>COUNTIFS(tData[SEHTrajectPeriodeDatumTijdVan],"&lt;="&amp;($A15+11/24),tData[SEHTrajectPeriodeDatumTijdTotEnMet],"&gt;"&amp;($A15+11/24))</f>
        <v/>
      </c>
      <c r="P15" s="20">
        <f>COUNTIFS(tData[SEHTrajectPeriodeDatumTijdVan],"&lt;="&amp;($A15+12/24),tData[SEHTrajectPeriodeDatumTijdTotEnMet],"&gt;"&amp;($A15+12/24))</f>
        <v/>
      </c>
      <c r="Q15" s="20">
        <f>COUNTIFS(tData[SEHTrajectPeriodeDatumTijdVan],"&lt;="&amp;($A15+13/24),tData[SEHTrajectPeriodeDatumTijdTotEnMet],"&gt;"&amp;($A15+13/24))</f>
        <v/>
      </c>
      <c r="R15" s="20">
        <f>COUNTIFS(tData[SEHTrajectPeriodeDatumTijdVan],"&lt;="&amp;($A15+14/24),tData[SEHTrajectPeriodeDatumTijdTotEnMet],"&gt;"&amp;($A15+14/24))</f>
        <v/>
      </c>
      <c r="S15" s="20">
        <f>COUNTIFS(tData[SEHTrajectPeriodeDatumTijdVan],"&lt;="&amp;($A15+15/24),tData[SEHTrajectPeriodeDatumTijdTotEnMet],"&gt;"&amp;($A15+15/24))</f>
        <v/>
      </c>
      <c r="T15" s="20">
        <f>COUNTIFS(tData[SEHTrajectPeriodeDatumTijdVan],"&lt;="&amp;($A15+16/24),tData[SEHTrajectPeriodeDatumTijdTotEnMet],"&gt;"&amp;($A15+16/24))</f>
        <v/>
      </c>
      <c r="U15" s="20">
        <f>COUNTIFS(tData[SEHTrajectPeriodeDatumTijdVan],"&lt;="&amp;($A15+17/24),tData[SEHTrajectPeriodeDatumTijdTotEnMet],"&gt;"&amp;($A15+17/24))</f>
        <v/>
      </c>
      <c r="V15" s="20">
        <f>COUNTIFS(tData[SEHTrajectPeriodeDatumTijdVan],"&lt;="&amp;($A15+18/24),tData[SEHTrajectPeriodeDatumTijdTotEnMet],"&gt;"&amp;($A15+18/24))</f>
        <v/>
      </c>
      <c r="W15" s="20">
        <f>COUNTIFS(tData[SEHTrajectPeriodeDatumTijdVan],"&lt;="&amp;($A15+19/24),tData[SEHTrajectPeriodeDatumTijdTotEnMet],"&gt;"&amp;($A15+19/24))</f>
        <v/>
      </c>
      <c r="X15" s="20">
        <f>COUNTIFS(tData[SEHTrajectPeriodeDatumTijdVan],"&lt;="&amp;($A15+20/24),tData[SEHTrajectPeriodeDatumTijdTotEnMet],"&gt;"&amp;($A15+20/24))</f>
        <v/>
      </c>
      <c r="Y15" s="20">
        <f>COUNTIFS(tData[SEHTrajectPeriodeDatumTijdVan],"&lt;="&amp;($A15+21/24),tData[SEHTrajectPeriodeDatumTijdTotEnMet],"&gt;"&amp;($A15+21/24))</f>
        <v/>
      </c>
      <c r="Z15" s="20">
        <f>COUNTIFS(tData[SEHTrajectPeriodeDatumTijdVan],"&lt;="&amp;($A15+22/24),tData[SEHTrajectPeriodeDatumTijdTotEnMet],"&gt;"&amp;($A15+22/24))</f>
        <v/>
      </c>
      <c r="AA15" s="20">
        <f>COUNTIFS(tData[SEHTrajectPeriodeDatumTijdVan],"&lt;="&amp;($A15+23/24),tData[SEHTrajectPeriodeDatumTijdTotEnMet],"&gt;"&amp;($A15+23/24))</f>
        <v/>
      </c>
    </row>
    <row r="16">
      <c r="A16" s="19" t="n">
        <v>45304</v>
      </c>
      <c r="B16" s="15">
        <f>WEEKDAY($A16,2)</f>
        <v/>
      </c>
      <c r="C16" s="15">
        <f>IF(AND($A16&gt;=INT(Instellingen!$B$5),$A16&lt;=INT(Instellingen!$B$6)),1,0)</f>
        <v/>
      </c>
      <c r="D16" s="20">
        <f>COUNTIFS(tData[SEHTrajectPeriodeDatumTijdVan],"&lt;="&amp;($A16+0/24),tData[SEHTrajectPeriodeDatumTijdTotEnMet],"&gt;"&amp;($A16+0/24))</f>
        <v/>
      </c>
      <c r="E16" s="20">
        <f>COUNTIFS(tData[SEHTrajectPeriodeDatumTijdVan],"&lt;="&amp;($A16+1/24),tData[SEHTrajectPeriodeDatumTijdTotEnMet],"&gt;"&amp;($A16+1/24))</f>
        <v/>
      </c>
      <c r="F16" s="20">
        <f>COUNTIFS(tData[SEHTrajectPeriodeDatumTijdVan],"&lt;="&amp;($A16+2/24),tData[SEHTrajectPeriodeDatumTijdTotEnMet],"&gt;"&amp;($A16+2/24))</f>
        <v/>
      </c>
      <c r="G16" s="20">
        <f>COUNTIFS(tData[SEHTrajectPeriodeDatumTijdVan],"&lt;="&amp;($A16+3/24),tData[SEHTrajectPeriodeDatumTijdTotEnMet],"&gt;"&amp;($A16+3/24))</f>
        <v/>
      </c>
      <c r="H16" s="20">
        <f>COUNTIFS(tData[SEHTrajectPeriodeDatumTijdVan],"&lt;="&amp;($A16+4/24),tData[SEHTrajectPeriodeDatumTijdTotEnMet],"&gt;"&amp;($A16+4/24))</f>
        <v/>
      </c>
      <c r="I16" s="20">
        <f>COUNTIFS(tData[SEHTrajectPeriodeDatumTijdVan],"&lt;="&amp;($A16+5/24),tData[SEHTrajectPeriodeDatumTijdTotEnMet],"&gt;"&amp;($A16+5/24))</f>
        <v/>
      </c>
      <c r="J16" s="20">
        <f>COUNTIFS(tData[SEHTrajectPeriodeDatumTijdVan],"&lt;="&amp;($A16+6/24),tData[SEHTrajectPeriodeDatumTijdTotEnMet],"&gt;"&amp;($A16+6/24))</f>
        <v/>
      </c>
      <c r="K16" s="20">
        <f>COUNTIFS(tData[SEHTrajectPeriodeDatumTijdVan],"&lt;="&amp;($A16+7/24),tData[SEHTrajectPeriodeDatumTijdTotEnMet],"&gt;"&amp;($A16+7/24))</f>
        <v/>
      </c>
      <c r="L16" s="20">
        <f>COUNTIFS(tData[SEHTrajectPeriodeDatumTijdVan],"&lt;="&amp;($A16+8/24),tData[SEHTrajectPeriodeDatumTijdTotEnMet],"&gt;"&amp;($A16+8/24))</f>
        <v/>
      </c>
      <c r="M16" s="20">
        <f>COUNTIFS(tData[SEHTrajectPeriodeDatumTijdVan],"&lt;="&amp;($A16+9/24),tData[SEHTrajectPeriodeDatumTijdTotEnMet],"&gt;"&amp;($A16+9/24))</f>
        <v/>
      </c>
      <c r="N16" s="20">
        <f>COUNTIFS(tData[SEHTrajectPeriodeDatumTijdVan],"&lt;="&amp;($A16+10/24),tData[SEHTrajectPeriodeDatumTijdTotEnMet],"&gt;"&amp;($A16+10/24))</f>
        <v/>
      </c>
      <c r="O16" s="20">
        <f>COUNTIFS(tData[SEHTrajectPeriodeDatumTijdVan],"&lt;="&amp;($A16+11/24),tData[SEHTrajectPeriodeDatumTijdTotEnMet],"&gt;"&amp;($A16+11/24))</f>
        <v/>
      </c>
      <c r="P16" s="20">
        <f>COUNTIFS(tData[SEHTrajectPeriodeDatumTijdVan],"&lt;="&amp;($A16+12/24),tData[SEHTrajectPeriodeDatumTijdTotEnMet],"&gt;"&amp;($A16+12/24))</f>
        <v/>
      </c>
      <c r="Q16" s="20">
        <f>COUNTIFS(tData[SEHTrajectPeriodeDatumTijdVan],"&lt;="&amp;($A16+13/24),tData[SEHTrajectPeriodeDatumTijdTotEnMet],"&gt;"&amp;($A16+13/24))</f>
        <v/>
      </c>
      <c r="R16" s="20">
        <f>COUNTIFS(tData[SEHTrajectPeriodeDatumTijdVan],"&lt;="&amp;($A16+14/24),tData[SEHTrajectPeriodeDatumTijdTotEnMet],"&gt;"&amp;($A16+14/24))</f>
        <v/>
      </c>
      <c r="S16" s="20">
        <f>COUNTIFS(tData[SEHTrajectPeriodeDatumTijdVan],"&lt;="&amp;($A16+15/24),tData[SEHTrajectPeriodeDatumTijdTotEnMet],"&gt;"&amp;($A16+15/24))</f>
        <v/>
      </c>
      <c r="T16" s="20">
        <f>COUNTIFS(tData[SEHTrajectPeriodeDatumTijdVan],"&lt;="&amp;($A16+16/24),tData[SEHTrajectPeriodeDatumTijdTotEnMet],"&gt;"&amp;($A16+16/24))</f>
        <v/>
      </c>
      <c r="U16" s="20">
        <f>COUNTIFS(tData[SEHTrajectPeriodeDatumTijdVan],"&lt;="&amp;($A16+17/24),tData[SEHTrajectPeriodeDatumTijdTotEnMet],"&gt;"&amp;($A16+17/24))</f>
        <v/>
      </c>
      <c r="V16" s="20">
        <f>COUNTIFS(tData[SEHTrajectPeriodeDatumTijdVan],"&lt;="&amp;($A16+18/24),tData[SEHTrajectPeriodeDatumTijdTotEnMet],"&gt;"&amp;($A16+18/24))</f>
        <v/>
      </c>
      <c r="W16" s="20">
        <f>COUNTIFS(tData[SEHTrajectPeriodeDatumTijdVan],"&lt;="&amp;($A16+19/24),tData[SEHTrajectPeriodeDatumTijdTotEnMet],"&gt;"&amp;($A16+19/24))</f>
        <v/>
      </c>
      <c r="X16" s="20">
        <f>COUNTIFS(tData[SEHTrajectPeriodeDatumTijdVan],"&lt;="&amp;($A16+20/24),tData[SEHTrajectPeriodeDatumTijdTotEnMet],"&gt;"&amp;($A16+20/24))</f>
        <v/>
      </c>
      <c r="Y16" s="20">
        <f>COUNTIFS(tData[SEHTrajectPeriodeDatumTijdVan],"&lt;="&amp;($A16+21/24),tData[SEHTrajectPeriodeDatumTijdTotEnMet],"&gt;"&amp;($A16+21/24))</f>
        <v/>
      </c>
      <c r="Z16" s="20">
        <f>COUNTIFS(tData[SEHTrajectPeriodeDatumTijdVan],"&lt;="&amp;($A16+22/24),tData[SEHTrajectPeriodeDatumTijdTotEnMet],"&gt;"&amp;($A16+22/24))</f>
        <v/>
      </c>
      <c r="AA16" s="20">
        <f>COUNTIFS(tData[SEHTrajectPeriodeDatumTijdVan],"&lt;="&amp;($A16+23/24),tData[SEHTrajectPeriodeDatumTijdTotEnMet],"&gt;"&amp;($A16+23/24))</f>
        <v/>
      </c>
    </row>
    <row r="17">
      <c r="A17" s="19" t="n">
        <v>45305</v>
      </c>
      <c r="B17" s="15">
        <f>WEEKDAY($A17,2)</f>
        <v/>
      </c>
      <c r="C17" s="15">
        <f>IF(AND($A17&gt;=INT(Instellingen!$B$5),$A17&lt;=INT(Instellingen!$B$6)),1,0)</f>
        <v/>
      </c>
      <c r="D17" s="20">
        <f>COUNTIFS(tData[SEHTrajectPeriodeDatumTijdVan],"&lt;="&amp;($A17+0/24),tData[SEHTrajectPeriodeDatumTijdTotEnMet],"&gt;"&amp;($A17+0/24))</f>
        <v/>
      </c>
      <c r="E17" s="20">
        <f>COUNTIFS(tData[SEHTrajectPeriodeDatumTijdVan],"&lt;="&amp;($A17+1/24),tData[SEHTrajectPeriodeDatumTijdTotEnMet],"&gt;"&amp;($A17+1/24))</f>
        <v/>
      </c>
      <c r="F17" s="20">
        <f>COUNTIFS(tData[SEHTrajectPeriodeDatumTijdVan],"&lt;="&amp;($A17+2/24),tData[SEHTrajectPeriodeDatumTijdTotEnMet],"&gt;"&amp;($A17+2/24))</f>
        <v/>
      </c>
      <c r="G17" s="20">
        <f>COUNTIFS(tData[SEHTrajectPeriodeDatumTijdVan],"&lt;="&amp;($A17+3/24),tData[SEHTrajectPeriodeDatumTijdTotEnMet],"&gt;"&amp;($A17+3/24))</f>
        <v/>
      </c>
      <c r="H17" s="20">
        <f>COUNTIFS(tData[SEHTrajectPeriodeDatumTijdVan],"&lt;="&amp;($A17+4/24),tData[SEHTrajectPeriodeDatumTijdTotEnMet],"&gt;"&amp;($A17+4/24))</f>
        <v/>
      </c>
      <c r="I17" s="20">
        <f>COUNTIFS(tData[SEHTrajectPeriodeDatumTijdVan],"&lt;="&amp;($A17+5/24),tData[SEHTrajectPeriodeDatumTijdTotEnMet],"&gt;"&amp;($A17+5/24))</f>
        <v/>
      </c>
      <c r="J17" s="20">
        <f>COUNTIFS(tData[SEHTrajectPeriodeDatumTijdVan],"&lt;="&amp;($A17+6/24),tData[SEHTrajectPeriodeDatumTijdTotEnMet],"&gt;"&amp;($A17+6/24))</f>
        <v/>
      </c>
      <c r="K17" s="20">
        <f>COUNTIFS(tData[SEHTrajectPeriodeDatumTijdVan],"&lt;="&amp;($A17+7/24),tData[SEHTrajectPeriodeDatumTijdTotEnMet],"&gt;"&amp;($A17+7/24))</f>
        <v/>
      </c>
      <c r="L17" s="20">
        <f>COUNTIFS(tData[SEHTrajectPeriodeDatumTijdVan],"&lt;="&amp;($A17+8/24),tData[SEHTrajectPeriodeDatumTijdTotEnMet],"&gt;"&amp;($A17+8/24))</f>
        <v/>
      </c>
      <c r="M17" s="20">
        <f>COUNTIFS(tData[SEHTrajectPeriodeDatumTijdVan],"&lt;="&amp;($A17+9/24),tData[SEHTrajectPeriodeDatumTijdTotEnMet],"&gt;"&amp;($A17+9/24))</f>
        <v/>
      </c>
      <c r="N17" s="20">
        <f>COUNTIFS(tData[SEHTrajectPeriodeDatumTijdVan],"&lt;="&amp;($A17+10/24),tData[SEHTrajectPeriodeDatumTijdTotEnMet],"&gt;"&amp;($A17+10/24))</f>
        <v/>
      </c>
      <c r="O17" s="20">
        <f>COUNTIFS(tData[SEHTrajectPeriodeDatumTijdVan],"&lt;="&amp;($A17+11/24),tData[SEHTrajectPeriodeDatumTijdTotEnMet],"&gt;"&amp;($A17+11/24))</f>
        <v/>
      </c>
      <c r="P17" s="20">
        <f>COUNTIFS(tData[SEHTrajectPeriodeDatumTijdVan],"&lt;="&amp;($A17+12/24),tData[SEHTrajectPeriodeDatumTijdTotEnMet],"&gt;"&amp;($A17+12/24))</f>
        <v/>
      </c>
      <c r="Q17" s="20">
        <f>COUNTIFS(tData[SEHTrajectPeriodeDatumTijdVan],"&lt;="&amp;($A17+13/24),tData[SEHTrajectPeriodeDatumTijdTotEnMet],"&gt;"&amp;($A17+13/24))</f>
        <v/>
      </c>
      <c r="R17" s="20">
        <f>COUNTIFS(tData[SEHTrajectPeriodeDatumTijdVan],"&lt;="&amp;($A17+14/24),tData[SEHTrajectPeriodeDatumTijdTotEnMet],"&gt;"&amp;($A17+14/24))</f>
        <v/>
      </c>
      <c r="S17" s="20">
        <f>COUNTIFS(tData[SEHTrajectPeriodeDatumTijdVan],"&lt;="&amp;($A17+15/24),tData[SEHTrajectPeriodeDatumTijdTotEnMet],"&gt;"&amp;($A17+15/24))</f>
        <v/>
      </c>
      <c r="T17" s="20">
        <f>COUNTIFS(tData[SEHTrajectPeriodeDatumTijdVan],"&lt;="&amp;($A17+16/24),tData[SEHTrajectPeriodeDatumTijdTotEnMet],"&gt;"&amp;($A17+16/24))</f>
        <v/>
      </c>
      <c r="U17" s="20">
        <f>COUNTIFS(tData[SEHTrajectPeriodeDatumTijdVan],"&lt;="&amp;($A17+17/24),tData[SEHTrajectPeriodeDatumTijdTotEnMet],"&gt;"&amp;($A17+17/24))</f>
        <v/>
      </c>
      <c r="V17" s="20">
        <f>COUNTIFS(tData[SEHTrajectPeriodeDatumTijdVan],"&lt;="&amp;($A17+18/24),tData[SEHTrajectPeriodeDatumTijdTotEnMet],"&gt;"&amp;($A17+18/24))</f>
        <v/>
      </c>
      <c r="W17" s="20">
        <f>COUNTIFS(tData[SEHTrajectPeriodeDatumTijdVan],"&lt;="&amp;($A17+19/24),tData[SEHTrajectPeriodeDatumTijdTotEnMet],"&gt;"&amp;($A17+19/24))</f>
        <v/>
      </c>
      <c r="X17" s="20">
        <f>COUNTIFS(tData[SEHTrajectPeriodeDatumTijdVan],"&lt;="&amp;($A17+20/24),tData[SEHTrajectPeriodeDatumTijdTotEnMet],"&gt;"&amp;($A17+20/24))</f>
        <v/>
      </c>
      <c r="Y17" s="20">
        <f>COUNTIFS(tData[SEHTrajectPeriodeDatumTijdVan],"&lt;="&amp;($A17+21/24),tData[SEHTrajectPeriodeDatumTijdTotEnMet],"&gt;"&amp;($A17+21/24))</f>
        <v/>
      </c>
      <c r="Z17" s="20">
        <f>COUNTIFS(tData[SEHTrajectPeriodeDatumTijdVan],"&lt;="&amp;($A17+22/24),tData[SEHTrajectPeriodeDatumTijdTotEnMet],"&gt;"&amp;($A17+22/24))</f>
        <v/>
      </c>
      <c r="AA17" s="20">
        <f>COUNTIFS(tData[SEHTrajectPeriodeDatumTijdVan],"&lt;="&amp;($A17+23/24),tData[SEHTrajectPeriodeDatumTijdTotEnMet],"&gt;"&amp;($A17+23/24))</f>
        <v/>
      </c>
    </row>
    <row r="18">
      <c r="A18" s="19" t="n">
        <v>45306</v>
      </c>
      <c r="B18" s="15">
        <f>WEEKDAY($A18,2)</f>
        <v/>
      </c>
      <c r="C18" s="15">
        <f>IF(AND($A18&gt;=INT(Instellingen!$B$5),$A18&lt;=INT(Instellingen!$B$6)),1,0)</f>
        <v/>
      </c>
      <c r="D18" s="20">
        <f>COUNTIFS(tData[SEHTrajectPeriodeDatumTijdVan],"&lt;="&amp;($A18+0/24),tData[SEHTrajectPeriodeDatumTijdTotEnMet],"&gt;"&amp;($A18+0/24))</f>
        <v/>
      </c>
      <c r="E18" s="20">
        <f>COUNTIFS(tData[SEHTrajectPeriodeDatumTijdVan],"&lt;="&amp;($A18+1/24),tData[SEHTrajectPeriodeDatumTijdTotEnMet],"&gt;"&amp;($A18+1/24))</f>
        <v/>
      </c>
      <c r="F18" s="20">
        <f>COUNTIFS(tData[SEHTrajectPeriodeDatumTijdVan],"&lt;="&amp;($A18+2/24),tData[SEHTrajectPeriodeDatumTijdTotEnMet],"&gt;"&amp;($A18+2/24))</f>
        <v/>
      </c>
      <c r="G18" s="20">
        <f>COUNTIFS(tData[SEHTrajectPeriodeDatumTijdVan],"&lt;="&amp;($A18+3/24),tData[SEHTrajectPeriodeDatumTijdTotEnMet],"&gt;"&amp;($A18+3/24))</f>
        <v/>
      </c>
      <c r="H18" s="20">
        <f>COUNTIFS(tData[SEHTrajectPeriodeDatumTijdVan],"&lt;="&amp;($A18+4/24),tData[SEHTrajectPeriodeDatumTijdTotEnMet],"&gt;"&amp;($A18+4/24))</f>
        <v/>
      </c>
      <c r="I18" s="20">
        <f>COUNTIFS(tData[SEHTrajectPeriodeDatumTijdVan],"&lt;="&amp;($A18+5/24),tData[SEHTrajectPeriodeDatumTijdTotEnMet],"&gt;"&amp;($A18+5/24))</f>
        <v/>
      </c>
      <c r="J18" s="20">
        <f>COUNTIFS(tData[SEHTrajectPeriodeDatumTijdVan],"&lt;="&amp;($A18+6/24),tData[SEHTrajectPeriodeDatumTijdTotEnMet],"&gt;"&amp;($A18+6/24))</f>
        <v/>
      </c>
      <c r="K18" s="20">
        <f>COUNTIFS(tData[SEHTrajectPeriodeDatumTijdVan],"&lt;="&amp;($A18+7/24),tData[SEHTrajectPeriodeDatumTijdTotEnMet],"&gt;"&amp;($A18+7/24))</f>
        <v/>
      </c>
      <c r="L18" s="20">
        <f>COUNTIFS(tData[SEHTrajectPeriodeDatumTijdVan],"&lt;="&amp;($A18+8/24),tData[SEHTrajectPeriodeDatumTijdTotEnMet],"&gt;"&amp;($A18+8/24))</f>
        <v/>
      </c>
      <c r="M18" s="20">
        <f>COUNTIFS(tData[SEHTrajectPeriodeDatumTijdVan],"&lt;="&amp;($A18+9/24),tData[SEHTrajectPeriodeDatumTijdTotEnMet],"&gt;"&amp;($A18+9/24))</f>
        <v/>
      </c>
      <c r="N18" s="20">
        <f>COUNTIFS(tData[SEHTrajectPeriodeDatumTijdVan],"&lt;="&amp;($A18+10/24),tData[SEHTrajectPeriodeDatumTijdTotEnMet],"&gt;"&amp;($A18+10/24))</f>
        <v/>
      </c>
      <c r="O18" s="20">
        <f>COUNTIFS(tData[SEHTrajectPeriodeDatumTijdVan],"&lt;="&amp;($A18+11/24),tData[SEHTrajectPeriodeDatumTijdTotEnMet],"&gt;"&amp;($A18+11/24))</f>
        <v/>
      </c>
      <c r="P18" s="20">
        <f>COUNTIFS(tData[SEHTrajectPeriodeDatumTijdVan],"&lt;="&amp;($A18+12/24),tData[SEHTrajectPeriodeDatumTijdTotEnMet],"&gt;"&amp;($A18+12/24))</f>
        <v/>
      </c>
      <c r="Q18" s="20">
        <f>COUNTIFS(tData[SEHTrajectPeriodeDatumTijdVan],"&lt;="&amp;($A18+13/24),tData[SEHTrajectPeriodeDatumTijdTotEnMet],"&gt;"&amp;($A18+13/24))</f>
        <v/>
      </c>
      <c r="R18" s="20">
        <f>COUNTIFS(tData[SEHTrajectPeriodeDatumTijdVan],"&lt;="&amp;($A18+14/24),tData[SEHTrajectPeriodeDatumTijdTotEnMet],"&gt;"&amp;($A18+14/24))</f>
        <v/>
      </c>
      <c r="S18" s="20">
        <f>COUNTIFS(tData[SEHTrajectPeriodeDatumTijdVan],"&lt;="&amp;($A18+15/24),tData[SEHTrajectPeriodeDatumTijdTotEnMet],"&gt;"&amp;($A18+15/24))</f>
        <v/>
      </c>
      <c r="T18" s="20">
        <f>COUNTIFS(tData[SEHTrajectPeriodeDatumTijdVan],"&lt;="&amp;($A18+16/24),tData[SEHTrajectPeriodeDatumTijdTotEnMet],"&gt;"&amp;($A18+16/24))</f>
        <v/>
      </c>
      <c r="U18" s="20">
        <f>COUNTIFS(tData[SEHTrajectPeriodeDatumTijdVan],"&lt;="&amp;($A18+17/24),tData[SEHTrajectPeriodeDatumTijdTotEnMet],"&gt;"&amp;($A18+17/24))</f>
        <v/>
      </c>
      <c r="V18" s="20">
        <f>COUNTIFS(tData[SEHTrajectPeriodeDatumTijdVan],"&lt;="&amp;($A18+18/24),tData[SEHTrajectPeriodeDatumTijdTotEnMet],"&gt;"&amp;($A18+18/24))</f>
        <v/>
      </c>
      <c r="W18" s="20">
        <f>COUNTIFS(tData[SEHTrajectPeriodeDatumTijdVan],"&lt;="&amp;($A18+19/24),tData[SEHTrajectPeriodeDatumTijdTotEnMet],"&gt;"&amp;($A18+19/24))</f>
        <v/>
      </c>
      <c r="X18" s="20">
        <f>COUNTIFS(tData[SEHTrajectPeriodeDatumTijdVan],"&lt;="&amp;($A18+20/24),tData[SEHTrajectPeriodeDatumTijdTotEnMet],"&gt;"&amp;($A18+20/24))</f>
        <v/>
      </c>
      <c r="Y18" s="20">
        <f>COUNTIFS(tData[SEHTrajectPeriodeDatumTijdVan],"&lt;="&amp;($A18+21/24),tData[SEHTrajectPeriodeDatumTijdTotEnMet],"&gt;"&amp;($A18+21/24))</f>
        <v/>
      </c>
      <c r="Z18" s="20">
        <f>COUNTIFS(tData[SEHTrajectPeriodeDatumTijdVan],"&lt;="&amp;($A18+22/24),tData[SEHTrajectPeriodeDatumTijdTotEnMet],"&gt;"&amp;($A18+22/24))</f>
        <v/>
      </c>
      <c r="AA18" s="20">
        <f>COUNTIFS(tData[SEHTrajectPeriodeDatumTijdVan],"&lt;="&amp;($A18+23/24),tData[SEHTrajectPeriodeDatumTijdTotEnMet],"&gt;"&amp;($A18+23/24))</f>
        <v/>
      </c>
    </row>
    <row r="19">
      <c r="A19" s="19" t="n">
        <v>45307</v>
      </c>
      <c r="B19" s="15">
        <f>WEEKDAY($A19,2)</f>
        <v/>
      </c>
      <c r="C19" s="15">
        <f>IF(AND($A19&gt;=INT(Instellingen!$B$5),$A19&lt;=INT(Instellingen!$B$6)),1,0)</f>
        <v/>
      </c>
      <c r="D19" s="20">
        <f>COUNTIFS(tData[SEHTrajectPeriodeDatumTijdVan],"&lt;="&amp;($A19+0/24),tData[SEHTrajectPeriodeDatumTijdTotEnMet],"&gt;"&amp;($A19+0/24))</f>
        <v/>
      </c>
      <c r="E19" s="20">
        <f>COUNTIFS(tData[SEHTrajectPeriodeDatumTijdVan],"&lt;="&amp;($A19+1/24),tData[SEHTrajectPeriodeDatumTijdTotEnMet],"&gt;"&amp;($A19+1/24))</f>
        <v/>
      </c>
      <c r="F19" s="20">
        <f>COUNTIFS(tData[SEHTrajectPeriodeDatumTijdVan],"&lt;="&amp;($A19+2/24),tData[SEHTrajectPeriodeDatumTijdTotEnMet],"&gt;"&amp;($A19+2/24))</f>
        <v/>
      </c>
      <c r="G19" s="20">
        <f>COUNTIFS(tData[SEHTrajectPeriodeDatumTijdVan],"&lt;="&amp;($A19+3/24),tData[SEHTrajectPeriodeDatumTijdTotEnMet],"&gt;"&amp;($A19+3/24))</f>
        <v/>
      </c>
      <c r="H19" s="20">
        <f>COUNTIFS(tData[SEHTrajectPeriodeDatumTijdVan],"&lt;="&amp;($A19+4/24),tData[SEHTrajectPeriodeDatumTijdTotEnMet],"&gt;"&amp;($A19+4/24))</f>
        <v/>
      </c>
      <c r="I19" s="20">
        <f>COUNTIFS(tData[SEHTrajectPeriodeDatumTijdVan],"&lt;="&amp;($A19+5/24),tData[SEHTrajectPeriodeDatumTijdTotEnMet],"&gt;"&amp;($A19+5/24))</f>
        <v/>
      </c>
      <c r="J19" s="20">
        <f>COUNTIFS(tData[SEHTrajectPeriodeDatumTijdVan],"&lt;="&amp;($A19+6/24),tData[SEHTrajectPeriodeDatumTijdTotEnMet],"&gt;"&amp;($A19+6/24))</f>
        <v/>
      </c>
      <c r="K19" s="20">
        <f>COUNTIFS(tData[SEHTrajectPeriodeDatumTijdVan],"&lt;="&amp;($A19+7/24),tData[SEHTrajectPeriodeDatumTijdTotEnMet],"&gt;"&amp;($A19+7/24))</f>
        <v/>
      </c>
      <c r="L19" s="20">
        <f>COUNTIFS(tData[SEHTrajectPeriodeDatumTijdVan],"&lt;="&amp;($A19+8/24),tData[SEHTrajectPeriodeDatumTijdTotEnMet],"&gt;"&amp;($A19+8/24))</f>
        <v/>
      </c>
      <c r="M19" s="20">
        <f>COUNTIFS(tData[SEHTrajectPeriodeDatumTijdVan],"&lt;="&amp;($A19+9/24),tData[SEHTrajectPeriodeDatumTijdTotEnMet],"&gt;"&amp;($A19+9/24))</f>
        <v/>
      </c>
      <c r="N19" s="20">
        <f>COUNTIFS(tData[SEHTrajectPeriodeDatumTijdVan],"&lt;="&amp;($A19+10/24),tData[SEHTrajectPeriodeDatumTijdTotEnMet],"&gt;"&amp;($A19+10/24))</f>
        <v/>
      </c>
      <c r="O19" s="20">
        <f>COUNTIFS(tData[SEHTrajectPeriodeDatumTijdVan],"&lt;="&amp;($A19+11/24),tData[SEHTrajectPeriodeDatumTijdTotEnMet],"&gt;"&amp;($A19+11/24))</f>
        <v/>
      </c>
      <c r="P19" s="20">
        <f>COUNTIFS(tData[SEHTrajectPeriodeDatumTijdVan],"&lt;="&amp;($A19+12/24),tData[SEHTrajectPeriodeDatumTijdTotEnMet],"&gt;"&amp;($A19+12/24))</f>
        <v/>
      </c>
      <c r="Q19" s="20">
        <f>COUNTIFS(tData[SEHTrajectPeriodeDatumTijdVan],"&lt;="&amp;($A19+13/24),tData[SEHTrajectPeriodeDatumTijdTotEnMet],"&gt;"&amp;($A19+13/24))</f>
        <v/>
      </c>
      <c r="R19" s="20">
        <f>COUNTIFS(tData[SEHTrajectPeriodeDatumTijdVan],"&lt;="&amp;($A19+14/24),tData[SEHTrajectPeriodeDatumTijdTotEnMet],"&gt;"&amp;($A19+14/24))</f>
        <v/>
      </c>
      <c r="S19" s="20">
        <f>COUNTIFS(tData[SEHTrajectPeriodeDatumTijdVan],"&lt;="&amp;($A19+15/24),tData[SEHTrajectPeriodeDatumTijdTotEnMet],"&gt;"&amp;($A19+15/24))</f>
        <v/>
      </c>
      <c r="T19" s="20">
        <f>COUNTIFS(tData[SEHTrajectPeriodeDatumTijdVan],"&lt;="&amp;($A19+16/24),tData[SEHTrajectPeriodeDatumTijdTotEnMet],"&gt;"&amp;($A19+16/24))</f>
        <v/>
      </c>
      <c r="U19" s="20">
        <f>COUNTIFS(tData[SEHTrajectPeriodeDatumTijdVan],"&lt;="&amp;($A19+17/24),tData[SEHTrajectPeriodeDatumTijdTotEnMet],"&gt;"&amp;($A19+17/24))</f>
        <v/>
      </c>
      <c r="V19" s="20">
        <f>COUNTIFS(tData[SEHTrajectPeriodeDatumTijdVan],"&lt;="&amp;($A19+18/24),tData[SEHTrajectPeriodeDatumTijdTotEnMet],"&gt;"&amp;($A19+18/24))</f>
        <v/>
      </c>
      <c r="W19" s="20">
        <f>COUNTIFS(tData[SEHTrajectPeriodeDatumTijdVan],"&lt;="&amp;($A19+19/24),tData[SEHTrajectPeriodeDatumTijdTotEnMet],"&gt;"&amp;($A19+19/24))</f>
        <v/>
      </c>
      <c r="X19" s="20">
        <f>COUNTIFS(tData[SEHTrajectPeriodeDatumTijdVan],"&lt;="&amp;($A19+20/24),tData[SEHTrajectPeriodeDatumTijdTotEnMet],"&gt;"&amp;($A19+20/24))</f>
        <v/>
      </c>
      <c r="Y19" s="20">
        <f>COUNTIFS(tData[SEHTrajectPeriodeDatumTijdVan],"&lt;="&amp;($A19+21/24),tData[SEHTrajectPeriodeDatumTijdTotEnMet],"&gt;"&amp;($A19+21/24))</f>
        <v/>
      </c>
      <c r="Z19" s="20">
        <f>COUNTIFS(tData[SEHTrajectPeriodeDatumTijdVan],"&lt;="&amp;($A19+22/24),tData[SEHTrajectPeriodeDatumTijdTotEnMet],"&gt;"&amp;($A19+22/24))</f>
        <v/>
      </c>
      <c r="AA19" s="20">
        <f>COUNTIFS(tData[SEHTrajectPeriodeDatumTijdVan],"&lt;="&amp;($A19+23/24),tData[SEHTrajectPeriodeDatumTijdTotEnMet],"&gt;"&amp;($A19+23/24))</f>
        <v/>
      </c>
    </row>
    <row r="20">
      <c r="A20" s="19" t="n">
        <v>45308</v>
      </c>
      <c r="B20" s="15">
        <f>WEEKDAY($A20,2)</f>
        <v/>
      </c>
      <c r="C20" s="15">
        <f>IF(AND($A20&gt;=INT(Instellingen!$B$5),$A20&lt;=INT(Instellingen!$B$6)),1,0)</f>
        <v/>
      </c>
      <c r="D20" s="20">
        <f>COUNTIFS(tData[SEHTrajectPeriodeDatumTijdVan],"&lt;="&amp;($A20+0/24),tData[SEHTrajectPeriodeDatumTijdTotEnMet],"&gt;"&amp;($A20+0/24))</f>
        <v/>
      </c>
      <c r="E20" s="20">
        <f>COUNTIFS(tData[SEHTrajectPeriodeDatumTijdVan],"&lt;="&amp;($A20+1/24),tData[SEHTrajectPeriodeDatumTijdTotEnMet],"&gt;"&amp;($A20+1/24))</f>
        <v/>
      </c>
      <c r="F20" s="20">
        <f>COUNTIFS(tData[SEHTrajectPeriodeDatumTijdVan],"&lt;="&amp;($A20+2/24),tData[SEHTrajectPeriodeDatumTijdTotEnMet],"&gt;"&amp;($A20+2/24))</f>
        <v/>
      </c>
      <c r="G20" s="20">
        <f>COUNTIFS(tData[SEHTrajectPeriodeDatumTijdVan],"&lt;="&amp;($A20+3/24),tData[SEHTrajectPeriodeDatumTijdTotEnMet],"&gt;"&amp;($A20+3/24))</f>
        <v/>
      </c>
      <c r="H20" s="20">
        <f>COUNTIFS(tData[SEHTrajectPeriodeDatumTijdVan],"&lt;="&amp;($A20+4/24),tData[SEHTrajectPeriodeDatumTijdTotEnMet],"&gt;"&amp;($A20+4/24))</f>
        <v/>
      </c>
      <c r="I20" s="20">
        <f>COUNTIFS(tData[SEHTrajectPeriodeDatumTijdVan],"&lt;="&amp;($A20+5/24),tData[SEHTrajectPeriodeDatumTijdTotEnMet],"&gt;"&amp;($A20+5/24))</f>
        <v/>
      </c>
      <c r="J20" s="20">
        <f>COUNTIFS(tData[SEHTrajectPeriodeDatumTijdVan],"&lt;="&amp;($A20+6/24),tData[SEHTrajectPeriodeDatumTijdTotEnMet],"&gt;"&amp;($A20+6/24))</f>
        <v/>
      </c>
      <c r="K20" s="20">
        <f>COUNTIFS(tData[SEHTrajectPeriodeDatumTijdVan],"&lt;="&amp;($A20+7/24),tData[SEHTrajectPeriodeDatumTijdTotEnMet],"&gt;"&amp;($A20+7/24))</f>
        <v/>
      </c>
      <c r="L20" s="20">
        <f>COUNTIFS(tData[SEHTrajectPeriodeDatumTijdVan],"&lt;="&amp;($A20+8/24),tData[SEHTrajectPeriodeDatumTijdTotEnMet],"&gt;"&amp;($A20+8/24))</f>
        <v/>
      </c>
      <c r="M20" s="20">
        <f>COUNTIFS(tData[SEHTrajectPeriodeDatumTijdVan],"&lt;="&amp;($A20+9/24),tData[SEHTrajectPeriodeDatumTijdTotEnMet],"&gt;"&amp;($A20+9/24))</f>
        <v/>
      </c>
      <c r="N20" s="20">
        <f>COUNTIFS(tData[SEHTrajectPeriodeDatumTijdVan],"&lt;="&amp;($A20+10/24),tData[SEHTrajectPeriodeDatumTijdTotEnMet],"&gt;"&amp;($A20+10/24))</f>
        <v/>
      </c>
      <c r="O20" s="20">
        <f>COUNTIFS(tData[SEHTrajectPeriodeDatumTijdVan],"&lt;="&amp;($A20+11/24),tData[SEHTrajectPeriodeDatumTijdTotEnMet],"&gt;"&amp;($A20+11/24))</f>
        <v/>
      </c>
      <c r="P20" s="20">
        <f>COUNTIFS(tData[SEHTrajectPeriodeDatumTijdVan],"&lt;="&amp;($A20+12/24),tData[SEHTrajectPeriodeDatumTijdTotEnMet],"&gt;"&amp;($A20+12/24))</f>
        <v/>
      </c>
      <c r="Q20" s="20">
        <f>COUNTIFS(tData[SEHTrajectPeriodeDatumTijdVan],"&lt;="&amp;($A20+13/24),tData[SEHTrajectPeriodeDatumTijdTotEnMet],"&gt;"&amp;($A20+13/24))</f>
        <v/>
      </c>
      <c r="R20" s="20">
        <f>COUNTIFS(tData[SEHTrajectPeriodeDatumTijdVan],"&lt;="&amp;($A20+14/24),tData[SEHTrajectPeriodeDatumTijdTotEnMet],"&gt;"&amp;($A20+14/24))</f>
        <v/>
      </c>
      <c r="S20" s="20">
        <f>COUNTIFS(tData[SEHTrajectPeriodeDatumTijdVan],"&lt;="&amp;($A20+15/24),tData[SEHTrajectPeriodeDatumTijdTotEnMet],"&gt;"&amp;($A20+15/24))</f>
        <v/>
      </c>
      <c r="T20" s="20">
        <f>COUNTIFS(tData[SEHTrajectPeriodeDatumTijdVan],"&lt;="&amp;($A20+16/24),tData[SEHTrajectPeriodeDatumTijdTotEnMet],"&gt;"&amp;($A20+16/24))</f>
        <v/>
      </c>
      <c r="U20" s="20">
        <f>COUNTIFS(tData[SEHTrajectPeriodeDatumTijdVan],"&lt;="&amp;($A20+17/24),tData[SEHTrajectPeriodeDatumTijdTotEnMet],"&gt;"&amp;($A20+17/24))</f>
        <v/>
      </c>
      <c r="V20" s="20">
        <f>COUNTIFS(tData[SEHTrajectPeriodeDatumTijdVan],"&lt;="&amp;($A20+18/24),tData[SEHTrajectPeriodeDatumTijdTotEnMet],"&gt;"&amp;($A20+18/24))</f>
        <v/>
      </c>
      <c r="W20" s="20">
        <f>COUNTIFS(tData[SEHTrajectPeriodeDatumTijdVan],"&lt;="&amp;($A20+19/24),tData[SEHTrajectPeriodeDatumTijdTotEnMet],"&gt;"&amp;($A20+19/24))</f>
        <v/>
      </c>
      <c r="X20" s="20">
        <f>COUNTIFS(tData[SEHTrajectPeriodeDatumTijdVan],"&lt;="&amp;($A20+20/24),tData[SEHTrajectPeriodeDatumTijdTotEnMet],"&gt;"&amp;($A20+20/24))</f>
        <v/>
      </c>
      <c r="Y20" s="20">
        <f>COUNTIFS(tData[SEHTrajectPeriodeDatumTijdVan],"&lt;="&amp;($A20+21/24),tData[SEHTrajectPeriodeDatumTijdTotEnMet],"&gt;"&amp;($A20+21/24))</f>
        <v/>
      </c>
      <c r="Z20" s="20">
        <f>COUNTIFS(tData[SEHTrajectPeriodeDatumTijdVan],"&lt;="&amp;($A20+22/24),tData[SEHTrajectPeriodeDatumTijdTotEnMet],"&gt;"&amp;($A20+22/24))</f>
        <v/>
      </c>
      <c r="AA20" s="20">
        <f>COUNTIFS(tData[SEHTrajectPeriodeDatumTijdVan],"&lt;="&amp;($A20+23/24),tData[SEHTrajectPeriodeDatumTijdTotEnMet],"&gt;"&amp;($A20+23/24))</f>
        <v/>
      </c>
    </row>
    <row r="21">
      <c r="A21" s="19" t="n">
        <v>45309</v>
      </c>
      <c r="B21" s="15">
        <f>WEEKDAY($A21,2)</f>
        <v/>
      </c>
      <c r="C21" s="15">
        <f>IF(AND($A21&gt;=INT(Instellingen!$B$5),$A21&lt;=INT(Instellingen!$B$6)),1,0)</f>
        <v/>
      </c>
      <c r="D21" s="20">
        <f>COUNTIFS(tData[SEHTrajectPeriodeDatumTijdVan],"&lt;="&amp;($A21+0/24),tData[SEHTrajectPeriodeDatumTijdTotEnMet],"&gt;"&amp;($A21+0/24))</f>
        <v/>
      </c>
      <c r="E21" s="20">
        <f>COUNTIFS(tData[SEHTrajectPeriodeDatumTijdVan],"&lt;="&amp;($A21+1/24),tData[SEHTrajectPeriodeDatumTijdTotEnMet],"&gt;"&amp;($A21+1/24))</f>
        <v/>
      </c>
      <c r="F21" s="20">
        <f>COUNTIFS(tData[SEHTrajectPeriodeDatumTijdVan],"&lt;="&amp;($A21+2/24),tData[SEHTrajectPeriodeDatumTijdTotEnMet],"&gt;"&amp;($A21+2/24))</f>
        <v/>
      </c>
      <c r="G21" s="20">
        <f>COUNTIFS(tData[SEHTrajectPeriodeDatumTijdVan],"&lt;="&amp;($A21+3/24),tData[SEHTrajectPeriodeDatumTijdTotEnMet],"&gt;"&amp;($A21+3/24))</f>
        <v/>
      </c>
      <c r="H21" s="20">
        <f>COUNTIFS(tData[SEHTrajectPeriodeDatumTijdVan],"&lt;="&amp;($A21+4/24),tData[SEHTrajectPeriodeDatumTijdTotEnMet],"&gt;"&amp;($A21+4/24))</f>
        <v/>
      </c>
      <c r="I21" s="20">
        <f>COUNTIFS(tData[SEHTrajectPeriodeDatumTijdVan],"&lt;="&amp;($A21+5/24),tData[SEHTrajectPeriodeDatumTijdTotEnMet],"&gt;"&amp;($A21+5/24))</f>
        <v/>
      </c>
      <c r="J21" s="20">
        <f>COUNTIFS(tData[SEHTrajectPeriodeDatumTijdVan],"&lt;="&amp;($A21+6/24),tData[SEHTrajectPeriodeDatumTijdTotEnMet],"&gt;"&amp;($A21+6/24))</f>
        <v/>
      </c>
      <c r="K21" s="20">
        <f>COUNTIFS(tData[SEHTrajectPeriodeDatumTijdVan],"&lt;="&amp;($A21+7/24),tData[SEHTrajectPeriodeDatumTijdTotEnMet],"&gt;"&amp;($A21+7/24))</f>
        <v/>
      </c>
      <c r="L21" s="20">
        <f>COUNTIFS(tData[SEHTrajectPeriodeDatumTijdVan],"&lt;="&amp;($A21+8/24),tData[SEHTrajectPeriodeDatumTijdTotEnMet],"&gt;"&amp;($A21+8/24))</f>
        <v/>
      </c>
      <c r="M21" s="20">
        <f>COUNTIFS(tData[SEHTrajectPeriodeDatumTijdVan],"&lt;="&amp;($A21+9/24),tData[SEHTrajectPeriodeDatumTijdTotEnMet],"&gt;"&amp;($A21+9/24))</f>
        <v/>
      </c>
      <c r="N21" s="20">
        <f>COUNTIFS(tData[SEHTrajectPeriodeDatumTijdVan],"&lt;="&amp;($A21+10/24),tData[SEHTrajectPeriodeDatumTijdTotEnMet],"&gt;"&amp;($A21+10/24))</f>
        <v/>
      </c>
      <c r="O21" s="20">
        <f>COUNTIFS(tData[SEHTrajectPeriodeDatumTijdVan],"&lt;="&amp;($A21+11/24),tData[SEHTrajectPeriodeDatumTijdTotEnMet],"&gt;"&amp;($A21+11/24))</f>
        <v/>
      </c>
      <c r="P21" s="20">
        <f>COUNTIFS(tData[SEHTrajectPeriodeDatumTijdVan],"&lt;="&amp;($A21+12/24),tData[SEHTrajectPeriodeDatumTijdTotEnMet],"&gt;"&amp;($A21+12/24))</f>
        <v/>
      </c>
      <c r="Q21" s="20">
        <f>COUNTIFS(tData[SEHTrajectPeriodeDatumTijdVan],"&lt;="&amp;($A21+13/24),tData[SEHTrajectPeriodeDatumTijdTotEnMet],"&gt;"&amp;($A21+13/24))</f>
        <v/>
      </c>
      <c r="R21" s="20">
        <f>COUNTIFS(tData[SEHTrajectPeriodeDatumTijdVan],"&lt;="&amp;($A21+14/24),tData[SEHTrajectPeriodeDatumTijdTotEnMet],"&gt;"&amp;($A21+14/24))</f>
        <v/>
      </c>
      <c r="S21" s="20">
        <f>COUNTIFS(tData[SEHTrajectPeriodeDatumTijdVan],"&lt;="&amp;($A21+15/24),tData[SEHTrajectPeriodeDatumTijdTotEnMet],"&gt;"&amp;($A21+15/24))</f>
        <v/>
      </c>
      <c r="T21" s="20">
        <f>COUNTIFS(tData[SEHTrajectPeriodeDatumTijdVan],"&lt;="&amp;($A21+16/24),tData[SEHTrajectPeriodeDatumTijdTotEnMet],"&gt;"&amp;($A21+16/24))</f>
        <v/>
      </c>
      <c r="U21" s="20">
        <f>COUNTIFS(tData[SEHTrajectPeriodeDatumTijdVan],"&lt;="&amp;($A21+17/24),tData[SEHTrajectPeriodeDatumTijdTotEnMet],"&gt;"&amp;($A21+17/24))</f>
        <v/>
      </c>
      <c r="V21" s="20">
        <f>COUNTIFS(tData[SEHTrajectPeriodeDatumTijdVan],"&lt;="&amp;($A21+18/24),tData[SEHTrajectPeriodeDatumTijdTotEnMet],"&gt;"&amp;($A21+18/24))</f>
        <v/>
      </c>
      <c r="W21" s="20">
        <f>COUNTIFS(tData[SEHTrajectPeriodeDatumTijdVan],"&lt;="&amp;($A21+19/24),tData[SEHTrajectPeriodeDatumTijdTotEnMet],"&gt;"&amp;($A21+19/24))</f>
        <v/>
      </c>
      <c r="X21" s="20">
        <f>COUNTIFS(tData[SEHTrajectPeriodeDatumTijdVan],"&lt;="&amp;($A21+20/24),tData[SEHTrajectPeriodeDatumTijdTotEnMet],"&gt;"&amp;($A21+20/24))</f>
        <v/>
      </c>
      <c r="Y21" s="20">
        <f>COUNTIFS(tData[SEHTrajectPeriodeDatumTijdVan],"&lt;="&amp;($A21+21/24),tData[SEHTrajectPeriodeDatumTijdTotEnMet],"&gt;"&amp;($A21+21/24))</f>
        <v/>
      </c>
      <c r="Z21" s="20">
        <f>COUNTIFS(tData[SEHTrajectPeriodeDatumTijdVan],"&lt;="&amp;($A21+22/24),tData[SEHTrajectPeriodeDatumTijdTotEnMet],"&gt;"&amp;($A21+22/24))</f>
        <v/>
      </c>
      <c r="AA21" s="20">
        <f>COUNTIFS(tData[SEHTrajectPeriodeDatumTijdVan],"&lt;="&amp;($A21+23/24),tData[SEHTrajectPeriodeDatumTijdTotEnMet],"&gt;"&amp;($A21+23/24))</f>
        <v/>
      </c>
    </row>
    <row r="22">
      <c r="A22" s="19" t="n">
        <v>45310</v>
      </c>
      <c r="B22" s="15">
        <f>WEEKDAY($A22,2)</f>
        <v/>
      </c>
      <c r="C22" s="15">
        <f>IF(AND($A22&gt;=INT(Instellingen!$B$5),$A22&lt;=INT(Instellingen!$B$6)),1,0)</f>
        <v/>
      </c>
      <c r="D22" s="20">
        <f>COUNTIFS(tData[SEHTrajectPeriodeDatumTijdVan],"&lt;="&amp;($A22+0/24),tData[SEHTrajectPeriodeDatumTijdTotEnMet],"&gt;"&amp;($A22+0/24))</f>
        <v/>
      </c>
      <c r="E22" s="20">
        <f>COUNTIFS(tData[SEHTrajectPeriodeDatumTijdVan],"&lt;="&amp;($A22+1/24),tData[SEHTrajectPeriodeDatumTijdTotEnMet],"&gt;"&amp;($A22+1/24))</f>
        <v/>
      </c>
      <c r="F22" s="20">
        <f>COUNTIFS(tData[SEHTrajectPeriodeDatumTijdVan],"&lt;="&amp;($A22+2/24),tData[SEHTrajectPeriodeDatumTijdTotEnMet],"&gt;"&amp;($A22+2/24))</f>
        <v/>
      </c>
      <c r="G22" s="20">
        <f>COUNTIFS(tData[SEHTrajectPeriodeDatumTijdVan],"&lt;="&amp;($A22+3/24),tData[SEHTrajectPeriodeDatumTijdTotEnMet],"&gt;"&amp;($A22+3/24))</f>
        <v/>
      </c>
      <c r="H22" s="20">
        <f>COUNTIFS(tData[SEHTrajectPeriodeDatumTijdVan],"&lt;="&amp;($A22+4/24),tData[SEHTrajectPeriodeDatumTijdTotEnMet],"&gt;"&amp;($A22+4/24))</f>
        <v/>
      </c>
      <c r="I22" s="20">
        <f>COUNTIFS(tData[SEHTrajectPeriodeDatumTijdVan],"&lt;="&amp;($A22+5/24),tData[SEHTrajectPeriodeDatumTijdTotEnMet],"&gt;"&amp;($A22+5/24))</f>
        <v/>
      </c>
      <c r="J22" s="20">
        <f>COUNTIFS(tData[SEHTrajectPeriodeDatumTijdVan],"&lt;="&amp;($A22+6/24),tData[SEHTrajectPeriodeDatumTijdTotEnMet],"&gt;"&amp;($A22+6/24))</f>
        <v/>
      </c>
      <c r="K22" s="20">
        <f>COUNTIFS(tData[SEHTrajectPeriodeDatumTijdVan],"&lt;="&amp;($A22+7/24),tData[SEHTrajectPeriodeDatumTijdTotEnMet],"&gt;"&amp;($A22+7/24))</f>
        <v/>
      </c>
      <c r="L22" s="20">
        <f>COUNTIFS(tData[SEHTrajectPeriodeDatumTijdVan],"&lt;="&amp;($A22+8/24),tData[SEHTrajectPeriodeDatumTijdTotEnMet],"&gt;"&amp;($A22+8/24))</f>
        <v/>
      </c>
      <c r="M22" s="20">
        <f>COUNTIFS(tData[SEHTrajectPeriodeDatumTijdVan],"&lt;="&amp;($A22+9/24),tData[SEHTrajectPeriodeDatumTijdTotEnMet],"&gt;"&amp;($A22+9/24))</f>
        <v/>
      </c>
      <c r="N22" s="20">
        <f>COUNTIFS(tData[SEHTrajectPeriodeDatumTijdVan],"&lt;="&amp;($A22+10/24),tData[SEHTrajectPeriodeDatumTijdTotEnMet],"&gt;"&amp;($A22+10/24))</f>
        <v/>
      </c>
      <c r="O22" s="20">
        <f>COUNTIFS(tData[SEHTrajectPeriodeDatumTijdVan],"&lt;="&amp;($A22+11/24),tData[SEHTrajectPeriodeDatumTijdTotEnMet],"&gt;"&amp;($A22+11/24))</f>
        <v/>
      </c>
      <c r="P22" s="20">
        <f>COUNTIFS(tData[SEHTrajectPeriodeDatumTijdVan],"&lt;="&amp;($A22+12/24),tData[SEHTrajectPeriodeDatumTijdTotEnMet],"&gt;"&amp;($A22+12/24))</f>
        <v/>
      </c>
      <c r="Q22" s="20">
        <f>COUNTIFS(tData[SEHTrajectPeriodeDatumTijdVan],"&lt;="&amp;($A22+13/24),tData[SEHTrajectPeriodeDatumTijdTotEnMet],"&gt;"&amp;($A22+13/24))</f>
        <v/>
      </c>
      <c r="R22" s="20">
        <f>COUNTIFS(tData[SEHTrajectPeriodeDatumTijdVan],"&lt;="&amp;($A22+14/24),tData[SEHTrajectPeriodeDatumTijdTotEnMet],"&gt;"&amp;($A22+14/24))</f>
        <v/>
      </c>
      <c r="S22" s="20">
        <f>COUNTIFS(tData[SEHTrajectPeriodeDatumTijdVan],"&lt;="&amp;($A22+15/24),tData[SEHTrajectPeriodeDatumTijdTotEnMet],"&gt;"&amp;($A22+15/24))</f>
        <v/>
      </c>
      <c r="T22" s="20">
        <f>COUNTIFS(tData[SEHTrajectPeriodeDatumTijdVan],"&lt;="&amp;($A22+16/24),tData[SEHTrajectPeriodeDatumTijdTotEnMet],"&gt;"&amp;($A22+16/24))</f>
        <v/>
      </c>
      <c r="U22" s="20">
        <f>COUNTIFS(tData[SEHTrajectPeriodeDatumTijdVan],"&lt;="&amp;($A22+17/24),tData[SEHTrajectPeriodeDatumTijdTotEnMet],"&gt;"&amp;($A22+17/24))</f>
        <v/>
      </c>
      <c r="V22" s="20">
        <f>COUNTIFS(tData[SEHTrajectPeriodeDatumTijdVan],"&lt;="&amp;($A22+18/24),tData[SEHTrajectPeriodeDatumTijdTotEnMet],"&gt;"&amp;($A22+18/24))</f>
        <v/>
      </c>
      <c r="W22" s="20">
        <f>COUNTIFS(tData[SEHTrajectPeriodeDatumTijdVan],"&lt;="&amp;($A22+19/24),tData[SEHTrajectPeriodeDatumTijdTotEnMet],"&gt;"&amp;($A22+19/24))</f>
        <v/>
      </c>
      <c r="X22" s="20">
        <f>COUNTIFS(tData[SEHTrajectPeriodeDatumTijdVan],"&lt;="&amp;($A22+20/24),tData[SEHTrajectPeriodeDatumTijdTotEnMet],"&gt;"&amp;($A22+20/24))</f>
        <v/>
      </c>
      <c r="Y22" s="20">
        <f>COUNTIFS(tData[SEHTrajectPeriodeDatumTijdVan],"&lt;="&amp;($A22+21/24),tData[SEHTrajectPeriodeDatumTijdTotEnMet],"&gt;"&amp;($A22+21/24))</f>
        <v/>
      </c>
      <c r="Z22" s="20">
        <f>COUNTIFS(tData[SEHTrajectPeriodeDatumTijdVan],"&lt;="&amp;($A22+22/24),tData[SEHTrajectPeriodeDatumTijdTotEnMet],"&gt;"&amp;($A22+22/24))</f>
        <v/>
      </c>
      <c r="AA22" s="20">
        <f>COUNTIFS(tData[SEHTrajectPeriodeDatumTijdVan],"&lt;="&amp;($A22+23/24),tData[SEHTrajectPeriodeDatumTijdTotEnMet],"&gt;"&amp;($A22+23/24))</f>
        <v/>
      </c>
    </row>
    <row r="23">
      <c r="A23" s="19" t="n">
        <v>45311</v>
      </c>
      <c r="B23" s="15">
        <f>WEEKDAY($A23,2)</f>
        <v/>
      </c>
      <c r="C23" s="15">
        <f>IF(AND($A23&gt;=INT(Instellingen!$B$5),$A23&lt;=INT(Instellingen!$B$6)),1,0)</f>
        <v/>
      </c>
      <c r="D23" s="20">
        <f>COUNTIFS(tData[SEHTrajectPeriodeDatumTijdVan],"&lt;="&amp;($A23+0/24),tData[SEHTrajectPeriodeDatumTijdTotEnMet],"&gt;"&amp;($A23+0/24))</f>
        <v/>
      </c>
      <c r="E23" s="20">
        <f>COUNTIFS(tData[SEHTrajectPeriodeDatumTijdVan],"&lt;="&amp;($A23+1/24),tData[SEHTrajectPeriodeDatumTijdTotEnMet],"&gt;"&amp;($A23+1/24))</f>
        <v/>
      </c>
      <c r="F23" s="20">
        <f>COUNTIFS(tData[SEHTrajectPeriodeDatumTijdVan],"&lt;="&amp;($A23+2/24),tData[SEHTrajectPeriodeDatumTijdTotEnMet],"&gt;"&amp;($A23+2/24))</f>
        <v/>
      </c>
      <c r="G23" s="20">
        <f>COUNTIFS(tData[SEHTrajectPeriodeDatumTijdVan],"&lt;="&amp;($A23+3/24),tData[SEHTrajectPeriodeDatumTijdTotEnMet],"&gt;"&amp;($A23+3/24))</f>
        <v/>
      </c>
      <c r="H23" s="20">
        <f>COUNTIFS(tData[SEHTrajectPeriodeDatumTijdVan],"&lt;="&amp;($A23+4/24),tData[SEHTrajectPeriodeDatumTijdTotEnMet],"&gt;"&amp;($A23+4/24))</f>
        <v/>
      </c>
      <c r="I23" s="20">
        <f>COUNTIFS(tData[SEHTrajectPeriodeDatumTijdVan],"&lt;="&amp;($A23+5/24),tData[SEHTrajectPeriodeDatumTijdTotEnMet],"&gt;"&amp;($A23+5/24))</f>
        <v/>
      </c>
      <c r="J23" s="20">
        <f>COUNTIFS(tData[SEHTrajectPeriodeDatumTijdVan],"&lt;="&amp;($A23+6/24),tData[SEHTrajectPeriodeDatumTijdTotEnMet],"&gt;"&amp;($A23+6/24))</f>
        <v/>
      </c>
      <c r="K23" s="20">
        <f>COUNTIFS(tData[SEHTrajectPeriodeDatumTijdVan],"&lt;="&amp;($A23+7/24),tData[SEHTrajectPeriodeDatumTijdTotEnMet],"&gt;"&amp;($A23+7/24))</f>
        <v/>
      </c>
      <c r="L23" s="20">
        <f>COUNTIFS(tData[SEHTrajectPeriodeDatumTijdVan],"&lt;="&amp;($A23+8/24),tData[SEHTrajectPeriodeDatumTijdTotEnMet],"&gt;"&amp;($A23+8/24))</f>
        <v/>
      </c>
      <c r="M23" s="20">
        <f>COUNTIFS(tData[SEHTrajectPeriodeDatumTijdVan],"&lt;="&amp;($A23+9/24),tData[SEHTrajectPeriodeDatumTijdTotEnMet],"&gt;"&amp;($A23+9/24))</f>
        <v/>
      </c>
      <c r="N23" s="20">
        <f>COUNTIFS(tData[SEHTrajectPeriodeDatumTijdVan],"&lt;="&amp;($A23+10/24),tData[SEHTrajectPeriodeDatumTijdTotEnMet],"&gt;"&amp;($A23+10/24))</f>
        <v/>
      </c>
      <c r="O23" s="20">
        <f>COUNTIFS(tData[SEHTrajectPeriodeDatumTijdVan],"&lt;="&amp;($A23+11/24),tData[SEHTrajectPeriodeDatumTijdTotEnMet],"&gt;"&amp;($A23+11/24))</f>
        <v/>
      </c>
      <c r="P23" s="20">
        <f>COUNTIFS(tData[SEHTrajectPeriodeDatumTijdVan],"&lt;="&amp;($A23+12/24),tData[SEHTrajectPeriodeDatumTijdTotEnMet],"&gt;"&amp;($A23+12/24))</f>
        <v/>
      </c>
      <c r="Q23" s="20">
        <f>COUNTIFS(tData[SEHTrajectPeriodeDatumTijdVan],"&lt;="&amp;($A23+13/24),tData[SEHTrajectPeriodeDatumTijdTotEnMet],"&gt;"&amp;($A23+13/24))</f>
        <v/>
      </c>
      <c r="R23" s="20">
        <f>COUNTIFS(tData[SEHTrajectPeriodeDatumTijdVan],"&lt;="&amp;($A23+14/24),tData[SEHTrajectPeriodeDatumTijdTotEnMet],"&gt;"&amp;($A23+14/24))</f>
        <v/>
      </c>
      <c r="S23" s="20">
        <f>COUNTIFS(tData[SEHTrajectPeriodeDatumTijdVan],"&lt;="&amp;($A23+15/24),tData[SEHTrajectPeriodeDatumTijdTotEnMet],"&gt;"&amp;($A23+15/24))</f>
        <v/>
      </c>
      <c r="T23" s="20">
        <f>COUNTIFS(tData[SEHTrajectPeriodeDatumTijdVan],"&lt;="&amp;($A23+16/24),tData[SEHTrajectPeriodeDatumTijdTotEnMet],"&gt;"&amp;($A23+16/24))</f>
        <v/>
      </c>
      <c r="U23" s="20">
        <f>COUNTIFS(tData[SEHTrajectPeriodeDatumTijdVan],"&lt;="&amp;($A23+17/24),tData[SEHTrajectPeriodeDatumTijdTotEnMet],"&gt;"&amp;($A23+17/24))</f>
        <v/>
      </c>
      <c r="V23" s="20">
        <f>COUNTIFS(tData[SEHTrajectPeriodeDatumTijdVan],"&lt;="&amp;($A23+18/24),tData[SEHTrajectPeriodeDatumTijdTotEnMet],"&gt;"&amp;($A23+18/24))</f>
        <v/>
      </c>
      <c r="W23" s="20">
        <f>COUNTIFS(tData[SEHTrajectPeriodeDatumTijdVan],"&lt;="&amp;($A23+19/24),tData[SEHTrajectPeriodeDatumTijdTotEnMet],"&gt;"&amp;($A23+19/24))</f>
        <v/>
      </c>
      <c r="X23" s="20">
        <f>COUNTIFS(tData[SEHTrajectPeriodeDatumTijdVan],"&lt;="&amp;($A23+20/24),tData[SEHTrajectPeriodeDatumTijdTotEnMet],"&gt;"&amp;($A23+20/24))</f>
        <v/>
      </c>
      <c r="Y23" s="20">
        <f>COUNTIFS(tData[SEHTrajectPeriodeDatumTijdVan],"&lt;="&amp;($A23+21/24),tData[SEHTrajectPeriodeDatumTijdTotEnMet],"&gt;"&amp;($A23+21/24))</f>
        <v/>
      </c>
      <c r="Z23" s="20">
        <f>COUNTIFS(tData[SEHTrajectPeriodeDatumTijdVan],"&lt;="&amp;($A23+22/24),tData[SEHTrajectPeriodeDatumTijdTotEnMet],"&gt;"&amp;($A23+22/24))</f>
        <v/>
      </c>
      <c r="AA23" s="20">
        <f>COUNTIFS(tData[SEHTrajectPeriodeDatumTijdVan],"&lt;="&amp;($A23+23/24),tData[SEHTrajectPeriodeDatumTijdTotEnMet],"&gt;"&amp;($A23+23/24))</f>
        <v/>
      </c>
    </row>
    <row r="24">
      <c r="A24" s="19" t="n">
        <v>45312</v>
      </c>
      <c r="B24" s="15">
        <f>WEEKDAY($A24,2)</f>
        <v/>
      </c>
      <c r="C24" s="15">
        <f>IF(AND($A24&gt;=INT(Instellingen!$B$5),$A24&lt;=INT(Instellingen!$B$6)),1,0)</f>
        <v/>
      </c>
      <c r="D24" s="20">
        <f>COUNTIFS(tData[SEHTrajectPeriodeDatumTijdVan],"&lt;="&amp;($A24+0/24),tData[SEHTrajectPeriodeDatumTijdTotEnMet],"&gt;"&amp;($A24+0/24))</f>
        <v/>
      </c>
      <c r="E24" s="20">
        <f>COUNTIFS(tData[SEHTrajectPeriodeDatumTijdVan],"&lt;="&amp;($A24+1/24),tData[SEHTrajectPeriodeDatumTijdTotEnMet],"&gt;"&amp;($A24+1/24))</f>
        <v/>
      </c>
      <c r="F24" s="20">
        <f>COUNTIFS(tData[SEHTrajectPeriodeDatumTijdVan],"&lt;="&amp;($A24+2/24),tData[SEHTrajectPeriodeDatumTijdTotEnMet],"&gt;"&amp;($A24+2/24))</f>
        <v/>
      </c>
      <c r="G24" s="20">
        <f>COUNTIFS(tData[SEHTrajectPeriodeDatumTijdVan],"&lt;="&amp;($A24+3/24),tData[SEHTrajectPeriodeDatumTijdTotEnMet],"&gt;"&amp;($A24+3/24))</f>
        <v/>
      </c>
      <c r="H24" s="20">
        <f>COUNTIFS(tData[SEHTrajectPeriodeDatumTijdVan],"&lt;="&amp;($A24+4/24),tData[SEHTrajectPeriodeDatumTijdTotEnMet],"&gt;"&amp;($A24+4/24))</f>
        <v/>
      </c>
      <c r="I24" s="20">
        <f>COUNTIFS(tData[SEHTrajectPeriodeDatumTijdVan],"&lt;="&amp;($A24+5/24),tData[SEHTrajectPeriodeDatumTijdTotEnMet],"&gt;"&amp;($A24+5/24))</f>
        <v/>
      </c>
      <c r="J24" s="20">
        <f>COUNTIFS(tData[SEHTrajectPeriodeDatumTijdVan],"&lt;="&amp;($A24+6/24),tData[SEHTrajectPeriodeDatumTijdTotEnMet],"&gt;"&amp;($A24+6/24))</f>
        <v/>
      </c>
      <c r="K24" s="20">
        <f>COUNTIFS(tData[SEHTrajectPeriodeDatumTijdVan],"&lt;="&amp;($A24+7/24),tData[SEHTrajectPeriodeDatumTijdTotEnMet],"&gt;"&amp;($A24+7/24))</f>
        <v/>
      </c>
      <c r="L24" s="20">
        <f>COUNTIFS(tData[SEHTrajectPeriodeDatumTijdVan],"&lt;="&amp;($A24+8/24),tData[SEHTrajectPeriodeDatumTijdTotEnMet],"&gt;"&amp;($A24+8/24))</f>
        <v/>
      </c>
      <c r="M24" s="20">
        <f>COUNTIFS(tData[SEHTrajectPeriodeDatumTijdVan],"&lt;="&amp;($A24+9/24),tData[SEHTrajectPeriodeDatumTijdTotEnMet],"&gt;"&amp;($A24+9/24))</f>
        <v/>
      </c>
      <c r="N24" s="20">
        <f>COUNTIFS(tData[SEHTrajectPeriodeDatumTijdVan],"&lt;="&amp;($A24+10/24),tData[SEHTrajectPeriodeDatumTijdTotEnMet],"&gt;"&amp;($A24+10/24))</f>
        <v/>
      </c>
      <c r="O24" s="20">
        <f>COUNTIFS(tData[SEHTrajectPeriodeDatumTijdVan],"&lt;="&amp;($A24+11/24),tData[SEHTrajectPeriodeDatumTijdTotEnMet],"&gt;"&amp;($A24+11/24))</f>
        <v/>
      </c>
      <c r="P24" s="20">
        <f>COUNTIFS(tData[SEHTrajectPeriodeDatumTijdVan],"&lt;="&amp;($A24+12/24),tData[SEHTrajectPeriodeDatumTijdTotEnMet],"&gt;"&amp;($A24+12/24))</f>
        <v/>
      </c>
      <c r="Q24" s="20">
        <f>COUNTIFS(tData[SEHTrajectPeriodeDatumTijdVan],"&lt;="&amp;($A24+13/24),tData[SEHTrajectPeriodeDatumTijdTotEnMet],"&gt;"&amp;($A24+13/24))</f>
        <v/>
      </c>
      <c r="R24" s="20">
        <f>COUNTIFS(tData[SEHTrajectPeriodeDatumTijdVan],"&lt;="&amp;($A24+14/24),tData[SEHTrajectPeriodeDatumTijdTotEnMet],"&gt;"&amp;($A24+14/24))</f>
        <v/>
      </c>
      <c r="S24" s="20">
        <f>COUNTIFS(tData[SEHTrajectPeriodeDatumTijdVan],"&lt;="&amp;($A24+15/24),tData[SEHTrajectPeriodeDatumTijdTotEnMet],"&gt;"&amp;($A24+15/24))</f>
        <v/>
      </c>
      <c r="T24" s="20">
        <f>COUNTIFS(tData[SEHTrajectPeriodeDatumTijdVan],"&lt;="&amp;($A24+16/24),tData[SEHTrajectPeriodeDatumTijdTotEnMet],"&gt;"&amp;($A24+16/24))</f>
        <v/>
      </c>
      <c r="U24" s="20">
        <f>COUNTIFS(tData[SEHTrajectPeriodeDatumTijdVan],"&lt;="&amp;($A24+17/24),tData[SEHTrajectPeriodeDatumTijdTotEnMet],"&gt;"&amp;($A24+17/24))</f>
        <v/>
      </c>
      <c r="V24" s="20">
        <f>COUNTIFS(tData[SEHTrajectPeriodeDatumTijdVan],"&lt;="&amp;($A24+18/24),tData[SEHTrajectPeriodeDatumTijdTotEnMet],"&gt;"&amp;($A24+18/24))</f>
        <v/>
      </c>
      <c r="W24" s="20">
        <f>COUNTIFS(tData[SEHTrajectPeriodeDatumTijdVan],"&lt;="&amp;($A24+19/24),tData[SEHTrajectPeriodeDatumTijdTotEnMet],"&gt;"&amp;($A24+19/24))</f>
        <v/>
      </c>
      <c r="X24" s="20">
        <f>COUNTIFS(tData[SEHTrajectPeriodeDatumTijdVan],"&lt;="&amp;($A24+20/24),tData[SEHTrajectPeriodeDatumTijdTotEnMet],"&gt;"&amp;($A24+20/24))</f>
        <v/>
      </c>
      <c r="Y24" s="20">
        <f>COUNTIFS(tData[SEHTrajectPeriodeDatumTijdVan],"&lt;="&amp;($A24+21/24),tData[SEHTrajectPeriodeDatumTijdTotEnMet],"&gt;"&amp;($A24+21/24))</f>
        <v/>
      </c>
      <c r="Z24" s="20">
        <f>COUNTIFS(tData[SEHTrajectPeriodeDatumTijdVan],"&lt;="&amp;($A24+22/24),tData[SEHTrajectPeriodeDatumTijdTotEnMet],"&gt;"&amp;($A24+22/24))</f>
        <v/>
      </c>
      <c r="AA24" s="20">
        <f>COUNTIFS(tData[SEHTrajectPeriodeDatumTijdVan],"&lt;="&amp;($A24+23/24),tData[SEHTrajectPeriodeDatumTijdTotEnMet],"&gt;"&amp;($A24+23/24))</f>
        <v/>
      </c>
    </row>
    <row r="25">
      <c r="A25" s="19" t="n">
        <v>45313</v>
      </c>
      <c r="B25" s="15">
        <f>WEEKDAY($A25,2)</f>
        <v/>
      </c>
      <c r="C25" s="15">
        <f>IF(AND($A25&gt;=INT(Instellingen!$B$5),$A25&lt;=INT(Instellingen!$B$6)),1,0)</f>
        <v/>
      </c>
      <c r="D25" s="20">
        <f>COUNTIFS(tData[SEHTrajectPeriodeDatumTijdVan],"&lt;="&amp;($A25+0/24),tData[SEHTrajectPeriodeDatumTijdTotEnMet],"&gt;"&amp;($A25+0/24))</f>
        <v/>
      </c>
      <c r="E25" s="20">
        <f>COUNTIFS(tData[SEHTrajectPeriodeDatumTijdVan],"&lt;="&amp;($A25+1/24),tData[SEHTrajectPeriodeDatumTijdTotEnMet],"&gt;"&amp;($A25+1/24))</f>
        <v/>
      </c>
      <c r="F25" s="20">
        <f>COUNTIFS(tData[SEHTrajectPeriodeDatumTijdVan],"&lt;="&amp;($A25+2/24),tData[SEHTrajectPeriodeDatumTijdTotEnMet],"&gt;"&amp;($A25+2/24))</f>
        <v/>
      </c>
      <c r="G25" s="20">
        <f>COUNTIFS(tData[SEHTrajectPeriodeDatumTijdVan],"&lt;="&amp;($A25+3/24),tData[SEHTrajectPeriodeDatumTijdTotEnMet],"&gt;"&amp;($A25+3/24))</f>
        <v/>
      </c>
      <c r="H25" s="20">
        <f>COUNTIFS(tData[SEHTrajectPeriodeDatumTijdVan],"&lt;="&amp;($A25+4/24),tData[SEHTrajectPeriodeDatumTijdTotEnMet],"&gt;"&amp;($A25+4/24))</f>
        <v/>
      </c>
      <c r="I25" s="20">
        <f>COUNTIFS(tData[SEHTrajectPeriodeDatumTijdVan],"&lt;="&amp;($A25+5/24),tData[SEHTrajectPeriodeDatumTijdTotEnMet],"&gt;"&amp;($A25+5/24))</f>
        <v/>
      </c>
      <c r="J25" s="20">
        <f>COUNTIFS(tData[SEHTrajectPeriodeDatumTijdVan],"&lt;="&amp;($A25+6/24),tData[SEHTrajectPeriodeDatumTijdTotEnMet],"&gt;"&amp;($A25+6/24))</f>
        <v/>
      </c>
      <c r="K25" s="20">
        <f>COUNTIFS(tData[SEHTrajectPeriodeDatumTijdVan],"&lt;="&amp;($A25+7/24),tData[SEHTrajectPeriodeDatumTijdTotEnMet],"&gt;"&amp;($A25+7/24))</f>
        <v/>
      </c>
      <c r="L25" s="20">
        <f>COUNTIFS(tData[SEHTrajectPeriodeDatumTijdVan],"&lt;="&amp;($A25+8/24),tData[SEHTrajectPeriodeDatumTijdTotEnMet],"&gt;"&amp;($A25+8/24))</f>
        <v/>
      </c>
      <c r="M25" s="20">
        <f>COUNTIFS(tData[SEHTrajectPeriodeDatumTijdVan],"&lt;="&amp;($A25+9/24),tData[SEHTrajectPeriodeDatumTijdTotEnMet],"&gt;"&amp;($A25+9/24))</f>
        <v/>
      </c>
      <c r="N25" s="20">
        <f>COUNTIFS(tData[SEHTrajectPeriodeDatumTijdVan],"&lt;="&amp;($A25+10/24),tData[SEHTrajectPeriodeDatumTijdTotEnMet],"&gt;"&amp;($A25+10/24))</f>
        <v/>
      </c>
      <c r="O25" s="20">
        <f>COUNTIFS(tData[SEHTrajectPeriodeDatumTijdVan],"&lt;="&amp;($A25+11/24),tData[SEHTrajectPeriodeDatumTijdTotEnMet],"&gt;"&amp;($A25+11/24))</f>
        <v/>
      </c>
      <c r="P25" s="20">
        <f>COUNTIFS(tData[SEHTrajectPeriodeDatumTijdVan],"&lt;="&amp;($A25+12/24),tData[SEHTrajectPeriodeDatumTijdTotEnMet],"&gt;"&amp;($A25+12/24))</f>
        <v/>
      </c>
      <c r="Q25" s="20">
        <f>COUNTIFS(tData[SEHTrajectPeriodeDatumTijdVan],"&lt;="&amp;($A25+13/24),tData[SEHTrajectPeriodeDatumTijdTotEnMet],"&gt;"&amp;($A25+13/24))</f>
        <v/>
      </c>
      <c r="R25" s="20">
        <f>COUNTIFS(tData[SEHTrajectPeriodeDatumTijdVan],"&lt;="&amp;($A25+14/24),tData[SEHTrajectPeriodeDatumTijdTotEnMet],"&gt;"&amp;($A25+14/24))</f>
        <v/>
      </c>
      <c r="S25" s="20">
        <f>COUNTIFS(tData[SEHTrajectPeriodeDatumTijdVan],"&lt;="&amp;($A25+15/24),tData[SEHTrajectPeriodeDatumTijdTotEnMet],"&gt;"&amp;($A25+15/24))</f>
        <v/>
      </c>
      <c r="T25" s="20">
        <f>COUNTIFS(tData[SEHTrajectPeriodeDatumTijdVan],"&lt;="&amp;($A25+16/24),tData[SEHTrajectPeriodeDatumTijdTotEnMet],"&gt;"&amp;($A25+16/24))</f>
        <v/>
      </c>
      <c r="U25" s="20">
        <f>COUNTIFS(tData[SEHTrajectPeriodeDatumTijdVan],"&lt;="&amp;($A25+17/24),tData[SEHTrajectPeriodeDatumTijdTotEnMet],"&gt;"&amp;($A25+17/24))</f>
        <v/>
      </c>
      <c r="V25" s="20">
        <f>COUNTIFS(tData[SEHTrajectPeriodeDatumTijdVan],"&lt;="&amp;($A25+18/24),tData[SEHTrajectPeriodeDatumTijdTotEnMet],"&gt;"&amp;($A25+18/24))</f>
        <v/>
      </c>
      <c r="W25" s="20">
        <f>COUNTIFS(tData[SEHTrajectPeriodeDatumTijdVan],"&lt;="&amp;($A25+19/24),tData[SEHTrajectPeriodeDatumTijdTotEnMet],"&gt;"&amp;($A25+19/24))</f>
        <v/>
      </c>
      <c r="X25" s="20">
        <f>COUNTIFS(tData[SEHTrajectPeriodeDatumTijdVan],"&lt;="&amp;($A25+20/24),tData[SEHTrajectPeriodeDatumTijdTotEnMet],"&gt;"&amp;($A25+20/24))</f>
        <v/>
      </c>
      <c r="Y25" s="20">
        <f>COUNTIFS(tData[SEHTrajectPeriodeDatumTijdVan],"&lt;="&amp;($A25+21/24),tData[SEHTrajectPeriodeDatumTijdTotEnMet],"&gt;"&amp;($A25+21/24))</f>
        <v/>
      </c>
      <c r="Z25" s="20">
        <f>COUNTIFS(tData[SEHTrajectPeriodeDatumTijdVan],"&lt;="&amp;($A25+22/24),tData[SEHTrajectPeriodeDatumTijdTotEnMet],"&gt;"&amp;($A25+22/24))</f>
        <v/>
      </c>
      <c r="AA25" s="20">
        <f>COUNTIFS(tData[SEHTrajectPeriodeDatumTijdVan],"&lt;="&amp;($A25+23/24),tData[SEHTrajectPeriodeDatumTijdTotEnMet],"&gt;"&amp;($A25+23/24))</f>
        <v/>
      </c>
    </row>
    <row r="26">
      <c r="A26" s="19" t="n">
        <v>45314</v>
      </c>
      <c r="B26" s="15">
        <f>WEEKDAY($A26,2)</f>
        <v/>
      </c>
      <c r="C26" s="15">
        <f>IF(AND($A26&gt;=INT(Instellingen!$B$5),$A26&lt;=INT(Instellingen!$B$6)),1,0)</f>
        <v/>
      </c>
      <c r="D26" s="20">
        <f>COUNTIFS(tData[SEHTrajectPeriodeDatumTijdVan],"&lt;="&amp;($A26+0/24),tData[SEHTrajectPeriodeDatumTijdTotEnMet],"&gt;"&amp;($A26+0/24))</f>
        <v/>
      </c>
      <c r="E26" s="20">
        <f>COUNTIFS(tData[SEHTrajectPeriodeDatumTijdVan],"&lt;="&amp;($A26+1/24),tData[SEHTrajectPeriodeDatumTijdTotEnMet],"&gt;"&amp;($A26+1/24))</f>
        <v/>
      </c>
      <c r="F26" s="20">
        <f>COUNTIFS(tData[SEHTrajectPeriodeDatumTijdVan],"&lt;="&amp;($A26+2/24),tData[SEHTrajectPeriodeDatumTijdTotEnMet],"&gt;"&amp;($A26+2/24))</f>
        <v/>
      </c>
      <c r="G26" s="20">
        <f>COUNTIFS(tData[SEHTrajectPeriodeDatumTijdVan],"&lt;="&amp;($A26+3/24),tData[SEHTrajectPeriodeDatumTijdTotEnMet],"&gt;"&amp;($A26+3/24))</f>
        <v/>
      </c>
      <c r="H26" s="20">
        <f>COUNTIFS(tData[SEHTrajectPeriodeDatumTijdVan],"&lt;="&amp;($A26+4/24),tData[SEHTrajectPeriodeDatumTijdTotEnMet],"&gt;"&amp;($A26+4/24))</f>
        <v/>
      </c>
      <c r="I26" s="20">
        <f>COUNTIFS(tData[SEHTrajectPeriodeDatumTijdVan],"&lt;="&amp;($A26+5/24),tData[SEHTrajectPeriodeDatumTijdTotEnMet],"&gt;"&amp;($A26+5/24))</f>
        <v/>
      </c>
      <c r="J26" s="20">
        <f>COUNTIFS(tData[SEHTrajectPeriodeDatumTijdVan],"&lt;="&amp;($A26+6/24),tData[SEHTrajectPeriodeDatumTijdTotEnMet],"&gt;"&amp;($A26+6/24))</f>
        <v/>
      </c>
      <c r="K26" s="20">
        <f>COUNTIFS(tData[SEHTrajectPeriodeDatumTijdVan],"&lt;="&amp;($A26+7/24),tData[SEHTrajectPeriodeDatumTijdTotEnMet],"&gt;"&amp;($A26+7/24))</f>
        <v/>
      </c>
      <c r="L26" s="20">
        <f>COUNTIFS(tData[SEHTrajectPeriodeDatumTijdVan],"&lt;="&amp;($A26+8/24),tData[SEHTrajectPeriodeDatumTijdTotEnMet],"&gt;"&amp;($A26+8/24))</f>
        <v/>
      </c>
      <c r="M26" s="20">
        <f>COUNTIFS(tData[SEHTrajectPeriodeDatumTijdVan],"&lt;="&amp;($A26+9/24),tData[SEHTrajectPeriodeDatumTijdTotEnMet],"&gt;"&amp;($A26+9/24))</f>
        <v/>
      </c>
      <c r="N26" s="20">
        <f>COUNTIFS(tData[SEHTrajectPeriodeDatumTijdVan],"&lt;="&amp;($A26+10/24),tData[SEHTrajectPeriodeDatumTijdTotEnMet],"&gt;"&amp;($A26+10/24))</f>
        <v/>
      </c>
      <c r="O26" s="20">
        <f>COUNTIFS(tData[SEHTrajectPeriodeDatumTijdVan],"&lt;="&amp;($A26+11/24),tData[SEHTrajectPeriodeDatumTijdTotEnMet],"&gt;"&amp;($A26+11/24))</f>
        <v/>
      </c>
      <c r="P26" s="20">
        <f>COUNTIFS(tData[SEHTrajectPeriodeDatumTijdVan],"&lt;="&amp;($A26+12/24),tData[SEHTrajectPeriodeDatumTijdTotEnMet],"&gt;"&amp;($A26+12/24))</f>
        <v/>
      </c>
      <c r="Q26" s="20">
        <f>COUNTIFS(tData[SEHTrajectPeriodeDatumTijdVan],"&lt;="&amp;($A26+13/24),tData[SEHTrajectPeriodeDatumTijdTotEnMet],"&gt;"&amp;($A26+13/24))</f>
        <v/>
      </c>
      <c r="R26" s="20">
        <f>COUNTIFS(tData[SEHTrajectPeriodeDatumTijdVan],"&lt;="&amp;($A26+14/24),tData[SEHTrajectPeriodeDatumTijdTotEnMet],"&gt;"&amp;($A26+14/24))</f>
        <v/>
      </c>
      <c r="S26" s="20">
        <f>COUNTIFS(tData[SEHTrajectPeriodeDatumTijdVan],"&lt;="&amp;($A26+15/24),tData[SEHTrajectPeriodeDatumTijdTotEnMet],"&gt;"&amp;($A26+15/24))</f>
        <v/>
      </c>
      <c r="T26" s="20">
        <f>COUNTIFS(tData[SEHTrajectPeriodeDatumTijdVan],"&lt;="&amp;($A26+16/24),tData[SEHTrajectPeriodeDatumTijdTotEnMet],"&gt;"&amp;($A26+16/24))</f>
        <v/>
      </c>
      <c r="U26" s="20">
        <f>COUNTIFS(tData[SEHTrajectPeriodeDatumTijdVan],"&lt;="&amp;($A26+17/24),tData[SEHTrajectPeriodeDatumTijdTotEnMet],"&gt;"&amp;($A26+17/24))</f>
        <v/>
      </c>
      <c r="V26" s="20">
        <f>COUNTIFS(tData[SEHTrajectPeriodeDatumTijdVan],"&lt;="&amp;($A26+18/24),tData[SEHTrajectPeriodeDatumTijdTotEnMet],"&gt;"&amp;($A26+18/24))</f>
        <v/>
      </c>
      <c r="W26" s="20">
        <f>COUNTIFS(tData[SEHTrajectPeriodeDatumTijdVan],"&lt;="&amp;($A26+19/24),tData[SEHTrajectPeriodeDatumTijdTotEnMet],"&gt;"&amp;($A26+19/24))</f>
        <v/>
      </c>
      <c r="X26" s="20">
        <f>COUNTIFS(tData[SEHTrajectPeriodeDatumTijdVan],"&lt;="&amp;($A26+20/24),tData[SEHTrajectPeriodeDatumTijdTotEnMet],"&gt;"&amp;($A26+20/24))</f>
        <v/>
      </c>
      <c r="Y26" s="20">
        <f>COUNTIFS(tData[SEHTrajectPeriodeDatumTijdVan],"&lt;="&amp;($A26+21/24),tData[SEHTrajectPeriodeDatumTijdTotEnMet],"&gt;"&amp;($A26+21/24))</f>
        <v/>
      </c>
      <c r="Z26" s="20">
        <f>COUNTIFS(tData[SEHTrajectPeriodeDatumTijdVan],"&lt;="&amp;($A26+22/24),tData[SEHTrajectPeriodeDatumTijdTotEnMet],"&gt;"&amp;($A26+22/24))</f>
        <v/>
      </c>
      <c r="AA26" s="20">
        <f>COUNTIFS(tData[SEHTrajectPeriodeDatumTijdVan],"&lt;="&amp;($A26+23/24),tData[SEHTrajectPeriodeDatumTijdTotEnMet],"&gt;"&amp;($A26+23/24))</f>
        <v/>
      </c>
    </row>
    <row r="27">
      <c r="A27" s="19" t="n">
        <v>45315</v>
      </c>
      <c r="B27" s="15">
        <f>WEEKDAY($A27,2)</f>
        <v/>
      </c>
      <c r="C27" s="15">
        <f>IF(AND($A27&gt;=INT(Instellingen!$B$5),$A27&lt;=INT(Instellingen!$B$6)),1,0)</f>
        <v/>
      </c>
      <c r="D27" s="20">
        <f>COUNTIFS(tData[SEHTrajectPeriodeDatumTijdVan],"&lt;="&amp;($A27+0/24),tData[SEHTrajectPeriodeDatumTijdTotEnMet],"&gt;"&amp;($A27+0/24))</f>
        <v/>
      </c>
      <c r="E27" s="20">
        <f>COUNTIFS(tData[SEHTrajectPeriodeDatumTijdVan],"&lt;="&amp;($A27+1/24),tData[SEHTrajectPeriodeDatumTijdTotEnMet],"&gt;"&amp;($A27+1/24))</f>
        <v/>
      </c>
      <c r="F27" s="20">
        <f>COUNTIFS(tData[SEHTrajectPeriodeDatumTijdVan],"&lt;="&amp;($A27+2/24),tData[SEHTrajectPeriodeDatumTijdTotEnMet],"&gt;"&amp;($A27+2/24))</f>
        <v/>
      </c>
      <c r="G27" s="20">
        <f>COUNTIFS(tData[SEHTrajectPeriodeDatumTijdVan],"&lt;="&amp;($A27+3/24),tData[SEHTrajectPeriodeDatumTijdTotEnMet],"&gt;"&amp;($A27+3/24))</f>
        <v/>
      </c>
      <c r="H27" s="20">
        <f>COUNTIFS(tData[SEHTrajectPeriodeDatumTijdVan],"&lt;="&amp;($A27+4/24),tData[SEHTrajectPeriodeDatumTijdTotEnMet],"&gt;"&amp;($A27+4/24))</f>
        <v/>
      </c>
      <c r="I27" s="20">
        <f>COUNTIFS(tData[SEHTrajectPeriodeDatumTijdVan],"&lt;="&amp;($A27+5/24),tData[SEHTrajectPeriodeDatumTijdTotEnMet],"&gt;"&amp;($A27+5/24))</f>
        <v/>
      </c>
      <c r="J27" s="20">
        <f>COUNTIFS(tData[SEHTrajectPeriodeDatumTijdVan],"&lt;="&amp;($A27+6/24),tData[SEHTrajectPeriodeDatumTijdTotEnMet],"&gt;"&amp;($A27+6/24))</f>
        <v/>
      </c>
      <c r="K27" s="20">
        <f>COUNTIFS(tData[SEHTrajectPeriodeDatumTijdVan],"&lt;="&amp;($A27+7/24),tData[SEHTrajectPeriodeDatumTijdTotEnMet],"&gt;"&amp;($A27+7/24))</f>
        <v/>
      </c>
      <c r="L27" s="20">
        <f>COUNTIFS(tData[SEHTrajectPeriodeDatumTijdVan],"&lt;="&amp;($A27+8/24),tData[SEHTrajectPeriodeDatumTijdTotEnMet],"&gt;"&amp;($A27+8/24))</f>
        <v/>
      </c>
      <c r="M27" s="20">
        <f>COUNTIFS(tData[SEHTrajectPeriodeDatumTijdVan],"&lt;="&amp;($A27+9/24),tData[SEHTrajectPeriodeDatumTijdTotEnMet],"&gt;"&amp;($A27+9/24))</f>
        <v/>
      </c>
      <c r="N27" s="20">
        <f>COUNTIFS(tData[SEHTrajectPeriodeDatumTijdVan],"&lt;="&amp;($A27+10/24),tData[SEHTrajectPeriodeDatumTijdTotEnMet],"&gt;"&amp;($A27+10/24))</f>
        <v/>
      </c>
      <c r="O27" s="20">
        <f>COUNTIFS(tData[SEHTrajectPeriodeDatumTijdVan],"&lt;="&amp;($A27+11/24),tData[SEHTrajectPeriodeDatumTijdTotEnMet],"&gt;"&amp;($A27+11/24))</f>
        <v/>
      </c>
      <c r="P27" s="20">
        <f>COUNTIFS(tData[SEHTrajectPeriodeDatumTijdVan],"&lt;="&amp;($A27+12/24),tData[SEHTrajectPeriodeDatumTijdTotEnMet],"&gt;"&amp;($A27+12/24))</f>
        <v/>
      </c>
      <c r="Q27" s="20">
        <f>COUNTIFS(tData[SEHTrajectPeriodeDatumTijdVan],"&lt;="&amp;($A27+13/24),tData[SEHTrajectPeriodeDatumTijdTotEnMet],"&gt;"&amp;($A27+13/24))</f>
        <v/>
      </c>
      <c r="R27" s="20">
        <f>COUNTIFS(tData[SEHTrajectPeriodeDatumTijdVan],"&lt;="&amp;($A27+14/24),tData[SEHTrajectPeriodeDatumTijdTotEnMet],"&gt;"&amp;($A27+14/24))</f>
        <v/>
      </c>
      <c r="S27" s="20">
        <f>COUNTIFS(tData[SEHTrajectPeriodeDatumTijdVan],"&lt;="&amp;($A27+15/24),tData[SEHTrajectPeriodeDatumTijdTotEnMet],"&gt;"&amp;($A27+15/24))</f>
        <v/>
      </c>
      <c r="T27" s="20">
        <f>COUNTIFS(tData[SEHTrajectPeriodeDatumTijdVan],"&lt;="&amp;($A27+16/24),tData[SEHTrajectPeriodeDatumTijdTotEnMet],"&gt;"&amp;($A27+16/24))</f>
        <v/>
      </c>
      <c r="U27" s="20">
        <f>COUNTIFS(tData[SEHTrajectPeriodeDatumTijdVan],"&lt;="&amp;($A27+17/24),tData[SEHTrajectPeriodeDatumTijdTotEnMet],"&gt;"&amp;($A27+17/24))</f>
        <v/>
      </c>
      <c r="V27" s="20">
        <f>COUNTIFS(tData[SEHTrajectPeriodeDatumTijdVan],"&lt;="&amp;($A27+18/24),tData[SEHTrajectPeriodeDatumTijdTotEnMet],"&gt;"&amp;($A27+18/24))</f>
        <v/>
      </c>
      <c r="W27" s="20">
        <f>COUNTIFS(tData[SEHTrajectPeriodeDatumTijdVan],"&lt;="&amp;($A27+19/24),tData[SEHTrajectPeriodeDatumTijdTotEnMet],"&gt;"&amp;($A27+19/24))</f>
        <v/>
      </c>
      <c r="X27" s="20">
        <f>COUNTIFS(tData[SEHTrajectPeriodeDatumTijdVan],"&lt;="&amp;($A27+20/24),tData[SEHTrajectPeriodeDatumTijdTotEnMet],"&gt;"&amp;($A27+20/24))</f>
        <v/>
      </c>
      <c r="Y27" s="20">
        <f>COUNTIFS(tData[SEHTrajectPeriodeDatumTijdVan],"&lt;="&amp;($A27+21/24),tData[SEHTrajectPeriodeDatumTijdTotEnMet],"&gt;"&amp;($A27+21/24))</f>
        <v/>
      </c>
      <c r="Z27" s="20">
        <f>COUNTIFS(tData[SEHTrajectPeriodeDatumTijdVan],"&lt;="&amp;($A27+22/24),tData[SEHTrajectPeriodeDatumTijdTotEnMet],"&gt;"&amp;($A27+22/24))</f>
        <v/>
      </c>
      <c r="AA27" s="20">
        <f>COUNTIFS(tData[SEHTrajectPeriodeDatumTijdVan],"&lt;="&amp;($A27+23/24),tData[SEHTrajectPeriodeDatumTijdTotEnMet],"&gt;"&amp;($A27+23/24))</f>
        <v/>
      </c>
    </row>
    <row r="28">
      <c r="A28" s="19" t="n">
        <v>45316</v>
      </c>
      <c r="B28" s="15">
        <f>WEEKDAY($A28,2)</f>
        <v/>
      </c>
      <c r="C28" s="15">
        <f>IF(AND($A28&gt;=INT(Instellingen!$B$5),$A28&lt;=INT(Instellingen!$B$6)),1,0)</f>
        <v/>
      </c>
      <c r="D28" s="20">
        <f>COUNTIFS(tData[SEHTrajectPeriodeDatumTijdVan],"&lt;="&amp;($A28+0/24),tData[SEHTrajectPeriodeDatumTijdTotEnMet],"&gt;"&amp;($A28+0/24))</f>
        <v/>
      </c>
      <c r="E28" s="20">
        <f>COUNTIFS(tData[SEHTrajectPeriodeDatumTijdVan],"&lt;="&amp;($A28+1/24),tData[SEHTrajectPeriodeDatumTijdTotEnMet],"&gt;"&amp;($A28+1/24))</f>
        <v/>
      </c>
      <c r="F28" s="20">
        <f>COUNTIFS(tData[SEHTrajectPeriodeDatumTijdVan],"&lt;="&amp;($A28+2/24),tData[SEHTrajectPeriodeDatumTijdTotEnMet],"&gt;"&amp;($A28+2/24))</f>
        <v/>
      </c>
      <c r="G28" s="20">
        <f>COUNTIFS(tData[SEHTrajectPeriodeDatumTijdVan],"&lt;="&amp;($A28+3/24),tData[SEHTrajectPeriodeDatumTijdTotEnMet],"&gt;"&amp;($A28+3/24))</f>
        <v/>
      </c>
      <c r="H28" s="20">
        <f>COUNTIFS(tData[SEHTrajectPeriodeDatumTijdVan],"&lt;="&amp;($A28+4/24),tData[SEHTrajectPeriodeDatumTijdTotEnMet],"&gt;"&amp;($A28+4/24))</f>
        <v/>
      </c>
      <c r="I28" s="20">
        <f>COUNTIFS(tData[SEHTrajectPeriodeDatumTijdVan],"&lt;="&amp;($A28+5/24),tData[SEHTrajectPeriodeDatumTijdTotEnMet],"&gt;"&amp;($A28+5/24))</f>
        <v/>
      </c>
      <c r="J28" s="20">
        <f>COUNTIFS(tData[SEHTrajectPeriodeDatumTijdVan],"&lt;="&amp;($A28+6/24),tData[SEHTrajectPeriodeDatumTijdTotEnMet],"&gt;"&amp;($A28+6/24))</f>
        <v/>
      </c>
      <c r="K28" s="20">
        <f>COUNTIFS(tData[SEHTrajectPeriodeDatumTijdVan],"&lt;="&amp;($A28+7/24),tData[SEHTrajectPeriodeDatumTijdTotEnMet],"&gt;"&amp;($A28+7/24))</f>
        <v/>
      </c>
      <c r="L28" s="20">
        <f>COUNTIFS(tData[SEHTrajectPeriodeDatumTijdVan],"&lt;="&amp;($A28+8/24),tData[SEHTrajectPeriodeDatumTijdTotEnMet],"&gt;"&amp;($A28+8/24))</f>
        <v/>
      </c>
      <c r="M28" s="20">
        <f>COUNTIFS(tData[SEHTrajectPeriodeDatumTijdVan],"&lt;="&amp;($A28+9/24),tData[SEHTrajectPeriodeDatumTijdTotEnMet],"&gt;"&amp;($A28+9/24))</f>
        <v/>
      </c>
      <c r="N28" s="20">
        <f>COUNTIFS(tData[SEHTrajectPeriodeDatumTijdVan],"&lt;="&amp;($A28+10/24),tData[SEHTrajectPeriodeDatumTijdTotEnMet],"&gt;"&amp;($A28+10/24))</f>
        <v/>
      </c>
      <c r="O28" s="20">
        <f>COUNTIFS(tData[SEHTrajectPeriodeDatumTijdVan],"&lt;="&amp;($A28+11/24),tData[SEHTrajectPeriodeDatumTijdTotEnMet],"&gt;"&amp;($A28+11/24))</f>
        <v/>
      </c>
      <c r="P28" s="20">
        <f>COUNTIFS(tData[SEHTrajectPeriodeDatumTijdVan],"&lt;="&amp;($A28+12/24),tData[SEHTrajectPeriodeDatumTijdTotEnMet],"&gt;"&amp;($A28+12/24))</f>
        <v/>
      </c>
      <c r="Q28" s="20">
        <f>COUNTIFS(tData[SEHTrajectPeriodeDatumTijdVan],"&lt;="&amp;($A28+13/24),tData[SEHTrajectPeriodeDatumTijdTotEnMet],"&gt;"&amp;($A28+13/24))</f>
        <v/>
      </c>
      <c r="R28" s="20">
        <f>COUNTIFS(tData[SEHTrajectPeriodeDatumTijdVan],"&lt;="&amp;($A28+14/24),tData[SEHTrajectPeriodeDatumTijdTotEnMet],"&gt;"&amp;($A28+14/24))</f>
        <v/>
      </c>
      <c r="S28" s="20">
        <f>COUNTIFS(tData[SEHTrajectPeriodeDatumTijdVan],"&lt;="&amp;($A28+15/24),tData[SEHTrajectPeriodeDatumTijdTotEnMet],"&gt;"&amp;($A28+15/24))</f>
        <v/>
      </c>
      <c r="T28" s="20">
        <f>COUNTIFS(tData[SEHTrajectPeriodeDatumTijdVan],"&lt;="&amp;($A28+16/24),tData[SEHTrajectPeriodeDatumTijdTotEnMet],"&gt;"&amp;($A28+16/24))</f>
        <v/>
      </c>
      <c r="U28" s="20">
        <f>COUNTIFS(tData[SEHTrajectPeriodeDatumTijdVan],"&lt;="&amp;($A28+17/24),tData[SEHTrajectPeriodeDatumTijdTotEnMet],"&gt;"&amp;($A28+17/24))</f>
        <v/>
      </c>
      <c r="V28" s="20">
        <f>COUNTIFS(tData[SEHTrajectPeriodeDatumTijdVan],"&lt;="&amp;($A28+18/24),tData[SEHTrajectPeriodeDatumTijdTotEnMet],"&gt;"&amp;($A28+18/24))</f>
        <v/>
      </c>
      <c r="W28" s="20">
        <f>COUNTIFS(tData[SEHTrajectPeriodeDatumTijdVan],"&lt;="&amp;($A28+19/24),tData[SEHTrajectPeriodeDatumTijdTotEnMet],"&gt;"&amp;($A28+19/24))</f>
        <v/>
      </c>
      <c r="X28" s="20">
        <f>COUNTIFS(tData[SEHTrajectPeriodeDatumTijdVan],"&lt;="&amp;($A28+20/24),tData[SEHTrajectPeriodeDatumTijdTotEnMet],"&gt;"&amp;($A28+20/24))</f>
        <v/>
      </c>
      <c r="Y28" s="20">
        <f>COUNTIFS(tData[SEHTrajectPeriodeDatumTijdVan],"&lt;="&amp;($A28+21/24),tData[SEHTrajectPeriodeDatumTijdTotEnMet],"&gt;"&amp;($A28+21/24))</f>
        <v/>
      </c>
      <c r="Z28" s="20">
        <f>COUNTIFS(tData[SEHTrajectPeriodeDatumTijdVan],"&lt;="&amp;($A28+22/24),tData[SEHTrajectPeriodeDatumTijdTotEnMet],"&gt;"&amp;($A28+22/24))</f>
        <v/>
      </c>
      <c r="AA28" s="20">
        <f>COUNTIFS(tData[SEHTrajectPeriodeDatumTijdVan],"&lt;="&amp;($A28+23/24),tData[SEHTrajectPeriodeDatumTijdTotEnMet],"&gt;"&amp;($A28+23/24))</f>
        <v/>
      </c>
    </row>
    <row r="29">
      <c r="A29" s="19" t="n">
        <v>45317</v>
      </c>
      <c r="B29" s="15">
        <f>WEEKDAY($A29,2)</f>
        <v/>
      </c>
      <c r="C29" s="15">
        <f>IF(AND($A29&gt;=INT(Instellingen!$B$5),$A29&lt;=INT(Instellingen!$B$6)),1,0)</f>
        <v/>
      </c>
      <c r="D29" s="20">
        <f>COUNTIFS(tData[SEHTrajectPeriodeDatumTijdVan],"&lt;="&amp;($A29+0/24),tData[SEHTrajectPeriodeDatumTijdTotEnMet],"&gt;"&amp;($A29+0/24))</f>
        <v/>
      </c>
      <c r="E29" s="20">
        <f>COUNTIFS(tData[SEHTrajectPeriodeDatumTijdVan],"&lt;="&amp;($A29+1/24),tData[SEHTrajectPeriodeDatumTijdTotEnMet],"&gt;"&amp;($A29+1/24))</f>
        <v/>
      </c>
      <c r="F29" s="20">
        <f>COUNTIFS(tData[SEHTrajectPeriodeDatumTijdVan],"&lt;="&amp;($A29+2/24),tData[SEHTrajectPeriodeDatumTijdTotEnMet],"&gt;"&amp;($A29+2/24))</f>
        <v/>
      </c>
      <c r="G29" s="20">
        <f>COUNTIFS(tData[SEHTrajectPeriodeDatumTijdVan],"&lt;="&amp;($A29+3/24),tData[SEHTrajectPeriodeDatumTijdTotEnMet],"&gt;"&amp;($A29+3/24))</f>
        <v/>
      </c>
      <c r="H29" s="20">
        <f>COUNTIFS(tData[SEHTrajectPeriodeDatumTijdVan],"&lt;="&amp;($A29+4/24),tData[SEHTrajectPeriodeDatumTijdTotEnMet],"&gt;"&amp;($A29+4/24))</f>
        <v/>
      </c>
      <c r="I29" s="20">
        <f>COUNTIFS(tData[SEHTrajectPeriodeDatumTijdVan],"&lt;="&amp;($A29+5/24),tData[SEHTrajectPeriodeDatumTijdTotEnMet],"&gt;"&amp;($A29+5/24))</f>
        <v/>
      </c>
      <c r="J29" s="20">
        <f>COUNTIFS(tData[SEHTrajectPeriodeDatumTijdVan],"&lt;="&amp;($A29+6/24),tData[SEHTrajectPeriodeDatumTijdTotEnMet],"&gt;"&amp;($A29+6/24))</f>
        <v/>
      </c>
      <c r="K29" s="20">
        <f>COUNTIFS(tData[SEHTrajectPeriodeDatumTijdVan],"&lt;="&amp;($A29+7/24),tData[SEHTrajectPeriodeDatumTijdTotEnMet],"&gt;"&amp;($A29+7/24))</f>
        <v/>
      </c>
      <c r="L29" s="20">
        <f>COUNTIFS(tData[SEHTrajectPeriodeDatumTijdVan],"&lt;="&amp;($A29+8/24),tData[SEHTrajectPeriodeDatumTijdTotEnMet],"&gt;"&amp;($A29+8/24))</f>
        <v/>
      </c>
      <c r="M29" s="20">
        <f>COUNTIFS(tData[SEHTrajectPeriodeDatumTijdVan],"&lt;="&amp;($A29+9/24),tData[SEHTrajectPeriodeDatumTijdTotEnMet],"&gt;"&amp;($A29+9/24))</f>
        <v/>
      </c>
      <c r="N29" s="20">
        <f>COUNTIFS(tData[SEHTrajectPeriodeDatumTijdVan],"&lt;="&amp;($A29+10/24),tData[SEHTrajectPeriodeDatumTijdTotEnMet],"&gt;"&amp;($A29+10/24))</f>
        <v/>
      </c>
      <c r="O29" s="20">
        <f>COUNTIFS(tData[SEHTrajectPeriodeDatumTijdVan],"&lt;="&amp;($A29+11/24),tData[SEHTrajectPeriodeDatumTijdTotEnMet],"&gt;"&amp;($A29+11/24))</f>
        <v/>
      </c>
      <c r="P29" s="20">
        <f>COUNTIFS(tData[SEHTrajectPeriodeDatumTijdVan],"&lt;="&amp;($A29+12/24),tData[SEHTrajectPeriodeDatumTijdTotEnMet],"&gt;"&amp;($A29+12/24))</f>
        <v/>
      </c>
      <c r="Q29" s="20">
        <f>COUNTIFS(tData[SEHTrajectPeriodeDatumTijdVan],"&lt;="&amp;($A29+13/24),tData[SEHTrajectPeriodeDatumTijdTotEnMet],"&gt;"&amp;($A29+13/24))</f>
        <v/>
      </c>
      <c r="R29" s="20">
        <f>COUNTIFS(tData[SEHTrajectPeriodeDatumTijdVan],"&lt;="&amp;($A29+14/24),tData[SEHTrajectPeriodeDatumTijdTotEnMet],"&gt;"&amp;($A29+14/24))</f>
        <v/>
      </c>
      <c r="S29" s="20">
        <f>COUNTIFS(tData[SEHTrajectPeriodeDatumTijdVan],"&lt;="&amp;($A29+15/24),tData[SEHTrajectPeriodeDatumTijdTotEnMet],"&gt;"&amp;($A29+15/24))</f>
        <v/>
      </c>
      <c r="T29" s="20">
        <f>COUNTIFS(tData[SEHTrajectPeriodeDatumTijdVan],"&lt;="&amp;($A29+16/24),tData[SEHTrajectPeriodeDatumTijdTotEnMet],"&gt;"&amp;($A29+16/24))</f>
        <v/>
      </c>
      <c r="U29" s="20">
        <f>COUNTIFS(tData[SEHTrajectPeriodeDatumTijdVan],"&lt;="&amp;($A29+17/24),tData[SEHTrajectPeriodeDatumTijdTotEnMet],"&gt;"&amp;($A29+17/24))</f>
        <v/>
      </c>
      <c r="V29" s="20">
        <f>COUNTIFS(tData[SEHTrajectPeriodeDatumTijdVan],"&lt;="&amp;($A29+18/24),tData[SEHTrajectPeriodeDatumTijdTotEnMet],"&gt;"&amp;($A29+18/24))</f>
        <v/>
      </c>
      <c r="W29" s="20">
        <f>COUNTIFS(tData[SEHTrajectPeriodeDatumTijdVan],"&lt;="&amp;($A29+19/24),tData[SEHTrajectPeriodeDatumTijdTotEnMet],"&gt;"&amp;($A29+19/24))</f>
        <v/>
      </c>
      <c r="X29" s="20">
        <f>COUNTIFS(tData[SEHTrajectPeriodeDatumTijdVan],"&lt;="&amp;($A29+20/24),tData[SEHTrajectPeriodeDatumTijdTotEnMet],"&gt;"&amp;($A29+20/24))</f>
        <v/>
      </c>
      <c r="Y29" s="20">
        <f>COUNTIFS(tData[SEHTrajectPeriodeDatumTijdVan],"&lt;="&amp;($A29+21/24),tData[SEHTrajectPeriodeDatumTijdTotEnMet],"&gt;"&amp;($A29+21/24))</f>
        <v/>
      </c>
      <c r="Z29" s="20">
        <f>COUNTIFS(tData[SEHTrajectPeriodeDatumTijdVan],"&lt;="&amp;($A29+22/24),tData[SEHTrajectPeriodeDatumTijdTotEnMet],"&gt;"&amp;($A29+22/24))</f>
        <v/>
      </c>
      <c r="AA29" s="20">
        <f>COUNTIFS(tData[SEHTrajectPeriodeDatumTijdVan],"&lt;="&amp;($A29+23/24),tData[SEHTrajectPeriodeDatumTijdTotEnMet],"&gt;"&amp;($A29+23/24))</f>
        <v/>
      </c>
    </row>
    <row r="30">
      <c r="A30" s="19" t="n">
        <v>45318</v>
      </c>
      <c r="B30" s="15">
        <f>WEEKDAY($A30,2)</f>
        <v/>
      </c>
      <c r="C30" s="15">
        <f>IF(AND($A30&gt;=INT(Instellingen!$B$5),$A30&lt;=INT(Instellingen!$B$6)),1,0)</f>
        <v/>
      </c>
      <c r="D30" s="20">
        <f>COUNTIFS(tData[SEHTrajectPeriodeDatumTijdVan],"&lt;="&amp;($A30+0/24),tData[SEHTrajectPeriodeDatumTijdTotEnMet],"&gt;"&amp;($A30+0/24))</f>
        <v/>
      </c>
      <c r="E30" s="20">
        <f>COUNTIFS(tData[SEHTrajectPeriodeDatumTijdVan],"&lt;="&amp;($A30+1/24),tData[SEHTrajectPeriodeDatumTijdTotEnMet],"&gt;"&amp;($A30+1/24))</f>
        <v/>
      </c>
      <c r="F30" s="20">
        <f>COUNTIFS(tData[SEHTrajectPeriodeDatumTijdVan],"&lt;="&amp;($A30+2/24),tData[SEHTrajectPeriodeDatumTijdTotEnMet],"&gt;"&amp;($A30+2/24))</f>
        <v/>
      </c>
      <c r="G30" s="20">
        <f>COUNTIFS(tData[SEHTrajectPeriodeDatumTijdVan],"&lt;="&amp;($A30+3/24),tData[SEHTrajectPeriodeDatumTijdTotEnMet],"&gt;"&amp;($A30+3/24))</f>
        <v/>
      </c>
      <c r="H30" s="20">
        <f>COUNTIFS(tData[SEHTrajectPeriodeDatumTijdVan],"&lt;="&amp;($A30+4/24),tData[SEHTrajectPeriodeDatumTijdTotEnMet],"&gt;"&amp;($A30+4/24))</f>
        <v/>
      </c>
      <c r="I30" s="20">
        <f>COUNTIFS(tData[SEHTrajectPeriodeDatumTijdVan],"&lt;="&amp;($A30+5/24),tData[SEHTrajectPeriodeDatumTijdTotEnMet],"&gt;"&amp;($A30+5/24))</f>
        <v/>
      </c>
      <c r="J30" s="20">
        <f>COUNTIFS(tData[SEHTrajectPeriodeDatumTijdVan],"&lt;="&amp;($A30+6/24),tData[SEHTrajectPeriodeDatumTijdTotEnMet],"&gt;"&amp;($A30+6/24))</f>
        <v/>
      </c>
      <c r="K30" s="20">
        <f>COUNTIFS(tData[SEHTrajectPeriodeDatumTijdVan],"&lt;="&amp;($A30+7/24),tData[SEHTrajectPeriodeDatumTijdTotEnMet],"&gt;"&amp;($A30+7/24))</f>
        <v/>
      </c>
      <c r="L30" s="20">
        <f>COUNTIFS(tData[SEHTrajectPeriodeDatumTijdVan],"&lt;="&amp;($A30+8/24),tData[SEHTrajectPeriodeDatumTijdTotEnMet],"&gt;"&amp;($A30+8/24))</f>
        <v/>
      </c>
      <c r="M30" s="20">
        <f>COUNTIFS(tData[SEHTrajectPeriodeDatumTijdVan],"&lt;="&amp;($A30+9/24),tData[SEHTrajectPeriodeDatumTijdTotEnMet],"&gt;"&amp;($A30+9/24))</f>
        <v/>
      </c>
      <c r="N30" s="20">
        <f>COUNTIFS(tData[SEHTrajectPeriodeDatumTijdVan],"&lt;="&amp;($A30+10/24),tData[SEHTrajectPeriodeDatumTijdTotEnMet],"&gt;"&amp;($A30+10/24))</f>
        <v/>
      </c>
      <c r="O30" s="20">
        <f>COUNTIFS(tData[SEHTrajectPeriodeDatumTijdVan],"&lt;="&amp;($A30+11/24),tData[SEHTrajectPeriodeDatumTijdTotEnMet],"&gt;"&amp;($A30+11/24))</f>
        <v/>
      </c>
      <c r="P30" s="20">
        <f>COUNTIFS(tData[SEHTrajectPeriodeDatumTijdVan],"&lt;="&amp;($A30+12/24),tData[SEHTrajectPeriodeDatumTijdTotEnMet],"&gt;"&amp;($A30+12/24))</f>
        <v/>
      </c>
      <c r="Q30" s="20">
        <f>COUNTIFS(tData[SEHTrajectPeriodeDatumTijdVan],"&lt;="&amp;($A30+13/24),tData[SEHTrajectPeriodeDatumTijdTotEnMet],"&gt;"&amp;($A30+13/24))</f>
        <v/>
      </c>
      <c r="R30" s="20">
        <f>COUNTIFS(tData[SEHTrajectPeriodeDatumTijdVan],"&lt;="&amp;($A30+14/24),tData[SEHTrajectPeriodeDatumTijdTotEnMet],"&gt;"&amp;($A30+14/24))</f>
        <v/>
      </c>
      <c r="S30" s="20">
        <f>COUNTIFS(tData[SEHTrajectPeriodeDatumTijdVan],"&lt;="&amp;($A30+15/24),tData[SEHTrajectPeriodeDatumTijdTotEnMet],"&gt;"&amp;($A30+15/24))</f>
        <v/>
      </c>
      <c r="T30" s="20">
        <f>COUNTIFS(tData[SEHTrajectPeriodeDatumTijdVan],"&lt;="&amp;($A30+16/24),tData[SEHTrajectPeriodeDatumTijdTotEnMet],"&gt;"&amp;($A30+16/24))</f>
        <v/>
      </c>
      <c r="U30" s="20">
        <f>COUNTIFS(tData[SEHTrajectPeriodeDatumTijdVan],"&lt;="&amp;($A30+17/24),tData[SEHTrajectPeriodeDatumTijdTotEnMet],"&gt;"&amp;($A30+17/24))</f>
        <v/>
      </c>
      <c r="V30" s="20">
        <f>COUNTIFS(tData[SEHTrajectPeriodeDatumTijdVan],"&lt;="&amp;($A30+18/24),tData[SEHTrajectPeriodeDatumTijdTotEnMet],"&gt;"&amp;($A30+18/24))</f>
        <v/>
      </c>
      <c r="W30" s="20">
        <f>COUNTIFS(tData[SEHTrajectPeriodeDatumTijdVan],"&lt;="&amp;($A30+19/24),tData[SEHTrajectPeriodeDatumTijdTotEnMet],"&gt;"&amp;($A30+19/24))</f>
        <v/>
      </c>
      <c r="X30" s="20">
        <f>COUNTIFS(tData[SEHTrajectPeriodeDatumTijdVan],"&lt;="&amp;($A30+20/24),tData[SEHTrajectPeriodeDatumTijdTotEnMet],"&gt;"&amp;($A30+20/24))</f>
        <v/>
      </c>
      <c r="Y30" s="20">
        <f>COUNTIFS(tData[SEHTrajectPeriodeDatumTijdVan],"&lt;="&amp;($A30+21/24),tData[SEHTrajectPeriodeDatumTijdTotEnMet],"&gt;"&amp;($A30+21/24))</f>
        <v/>
      </c>
      <c r="Z30" s="20">
        <f>COUNTIFS(tData[SEHTrajectPeriodeDatumTijdVan],"&lt;="&amp;($A30+22/24),tData[SEHTrajectPeriodeDatumTijdTotEnMet],"&gt;"&amp;($A30+22/24))</f>
        <v/>
      </c>
      <c r="AA30" s="20">
        <f>COUNTIFS(tData[SEHTrajectPeriodeDatumTijdVan],"&lt;="&amp;($A30+23/24),tData[SEHTrajectPeriodeDatumTijdTotEnMet],"&gt;"&amp;($A30+23/24))</f>
        <v/>
      </c>
    </row>
    <row r="31">
      <c r="A31" s="19" t="n">
        <v>45319</v>
      </c>
      <c r="B31" s="15">
        <f>WEEKDAY($A31,2)</f>
        <v/>
      </c>
      <c r="C31" s="15">
        <f>IF(AND($A31&gt;=INT(Instellingen!$B$5),$A31&lt;=INT(Instellingen!$B$6)),1,0)</f>
        <v/>
      </c>
      <c r="D31" s="20">
        <f>COUNTIFS(tData[SEHTrajectPeriodeDatumTijdVan],"&lt;="&amp;($A31+0/24),tData[SEHTrajectPeriodeDatumTijdTotEnMet],"&gt;"&amp;($A31+0/24))</f>
        <v/>
      </c>
      <c r="E31" s="20">
        <f>COUNTIFS(tData[SEHTrajectPeriodeDatumTijdVan],"&lt;="&amp;($A31+1/24),tData[SEHTrajectPeriodeDatumTijdTotEnMet],"&gt;"&amp;($A31+1/24))</f>
        <v/>
      </c>
      <c r="F31" s="20">
        <f>COUNTIFS(tData[SEHTrajectPeriodeDatumTijdVan],"&lt;="&amp;($A31+2/24),tData[SEHTrajectPeriodeDatumTijdTotEnMet],"&gt;"&amp;($A31+2/24))</f>
        <v/>
      </c>
      <c r="G31" s="20">
        <f>COUNTIFS(tData[SEHTrajectPeriodeDatumTijdVan],"&lt;="&amp;($A31+3/24),tData[SEHTrajectPeriodeDatumTijdTotEnMet],"&gt;"&amp;($A31+3/24))</f>
        <v/>
      </c>
      <c r="H31" s="20">
        <f>COUNTIFS(tData[SEHTrajectPeriodeDatumTijdVan],"&lt;="&amp;($A31+4/24),tData[SEHTrajectPeriodeDatumTijdTotEnMet],"&gt;"&amp;($A31+4/24))</f>
        <v/>
      </c>
      <c r="I31" s="20">
        <f>COUNTIFS(tData[SEHTrajectPeriodeDatumTijdVan],"&lt;="&amp;($A31+5/24),tData[SEHTrajectPeriodeDatumTijdTotEnMet],"&gt;"&amp;($A31+5/24))</f>
        <v/>
      </c>
      <c r="J31" s="20">
        <f>COUNTIFS(tData[SEHTrajectPeriodeDatumTijdVan],"&lt;="&amp;($A31+6/24),tData[SEHTrajectPeriodeDatumTijdTotEnMet],"&gt;"&amp;($A31+6/24))</f>
        <v/>
      </c>
      <c r="K31" s="20">
        <f>COUNTIFS(tData[SEHTrajectPeriodeDatumTijdVan],"&lt;="&amp;($A31+7/24),tData[SEHTrajectPeriodeDatumTijdTotEnMet],"&gt;"&amp;($A31+7/24))</f>
        <v/>
      </c>
      <c r="L31" s="20">
        <f>COUNTIFS(tData[SEHTrajectPeriodeDatumTijdVan],"&lt;="&amp;($A31+8/24),tData[SEHTrajectPeriodeDatumTijdTotEnMet],"&gt;"&amp;($A31+8/24))</f>
        <v/>
      </c>
      <c r="M31" s="20">
        <f>COUNTIFS(tData[SEHTrajectPeriodeDatumTijdVan],"&lt;="&amp;($A31+9/24),tData[SEHTrajectPeriodeDatumTijdTotEnMet],"&gt;"&amp;($A31+9/24))</f>
        <v/>
      </c>
      <c r="N31" s="20">
        <f>COUNTIFS(tData[SEHTrajectPeriodeDatumTijdVan],"&lt;="&amp;($A31+10/24),tData[SEHTrajectPeriodeDatumTijdTotEnMet],"&gt;"&amp;($A31+10/24))</f>
        <v/>
      </c>
      <c r="O31" s="20">
        <f>COUNTIFS(tData[SEHTrajectPeriodeDatumTijdVan],"&lt;="&amp;($A31+11/24),tData[SEHTrajectPeriodeDatumTijdTotEnMet],"&gt;"&amp;($A31+11/24))</f>
        <v/>
      </c>
      <c r="P31" s="20">
        <f>COUNTIFS(tData[SEHTrajectPeriodeDatumTijdVan],"&lt;="&amp;($A31+12/24),tData[SEHTrajectPeriodeDatumTijdTotEnMet],"&gt;"&amp;($A31+12/24))</f>
        <v/>
      </c>
      <c r="Q31" s="20">
        <f>COUNTIFS(tData[SEHTrajectPeriodeDatumTijdVan],"&lt;="&amp;($A31+13/24),tData[SEHTrajectPeriodeDatumTijdTotEnMet],"&gt;"&amp;($A31+13/24))</f>
        <v/>
      </c>
      <c r="R31" s="20">
        <f>COUNTIFS(tData[SEHTrajectPeriodeDatumTijdVan],"&lt;="&amp;($A31+14/24),tData[SEHTrajectPeriodeDatumTijdTotEnMet],"&gt;"&amp;($A31+14/24))</f>
        <v/>
      </c>
      <c r="S31" s="20">
        <f>COUNTIFS(tData[SEHTrajectPeriodeDatumTijdVan],"&lt;="&amp;($A31+15/24),tData[SEHTrajectPeriodeDatumTijdTotEnMet],"&gt;"&amp;($A31+15/24))</f>
        <v/>
      </c>
      <c r="T31" s="20">
        <f>COUNTIFS(tData[SEHTrajectPeriodeDatumTijdVan],"&lt;="&amp;($A31+16/24),tData[SEHTrajectPeriodeDatumTijdTotEnMet],"&gt;"&amp;($A31+16/24))</f>
        <v/>
      </c>
      <c r="U31" s="20">
        <f>COUNTIFS(tData[SEHTrajectPeriodeDatumTijdVan],"&lt;="&amp;($A31+17/24),tData[SEHTrajectPeriodeDatumTijdTotEnMet],"&gt;"&amp;($A31+17/24))</f>
        <v/>
      </c>
      <c r="V31" s="20">
        <f>COUNTIFS(tData[SEHTrajectPeriodeDatumTijdVan],"&lt;="&amp;($A31+18/24),tData[SEHTrajectPeriodeDatumTijdTotEnMet],"&gt;"&amp;($A31+18/24))</f>
        <v/>
      </c>
      <c r="W31" s="20">
        <f>COUNTIFS(tData[SEHTrajectPeriodeDatumTijdVan],"&lt;="&amp;($A31+19/24),tData[SEHTrajectPeriodeDatumTijdTotEnMet],"&gt;"&amp;($A31+19/24))</f>
        <v/>
      </c>
      <c r="X31" s="20">
        <f>COUNTIFS(tData[SEHTrajectPeriodeDatumTijdVan],"&lt;="&amp;($A31+20/24),tData[SEHTrajectPeriodeDatumTijdTotEnMet],"&gt;"&amp;($A31+20/24))</f>
        <v/>
      </c>
      <c r="Y31" s="20">
        <f>COUNTIFS(tData[SEHTrajectPeriodeDatumTijdVan],"&lt;="&amp;($A31+21/24),tData[SEHTrajectPeriodeDatumTijdTotEnMet],"&gt;"&amp;($A31+21/24))</f>
        <v/>
      </c>
      <c r="Z31" s="20">
        <f>COUNTIFS(tData[SEHTrajectPeriodeDatumTijdVan],"&lt;="&amp;($A31+22/24),tData[SEHTrajectPeriodeDatumTijdTotEnMet],"&gt;"&amp;($A31+22/24))</f>
        <v/>
      </c>
      <c r="AA31" s="20">
        <f>COUNTIFS(tData[SEHTrajectPeriodeDatumTijdVan],"&lt;="&amp;($A31+23/24),tData[SEHTrajectPeriodeDatumTijdTotEnMet],"&gt;"&amp;($A31+23/24))</f>
        <v/>
      </c>
    </row>
    <row r="32">
      <c r="A32" s="19" t="n">
        <v>45320</v>
      </c>
      <c r="B32" s="15">
        <f>WEEKDAY($A32,2)</f>
        <v/>
      </c>
      <c r="C32" s="15">
        <f>IF(AND($A32&gt;=INT(Instellingen!$B$5),$A32&lt;=INT(Instellingen!$B$6)),1,0)</f>
        <v/>
      </c>
      <c r="D32" s="20">
        <f>COUNTIFS(tData[SEHTrajectPeriodeDatumTijdVan],"&lt;="&amp;($A32+0/24),tData[SEHTrajectPeriodeDatumTijdTotEnMet],"&gt;"&amp;($A32+0/24))</f>
        <v/>
      </c>
      <c r="E32" s="20">
        <f>COUNTIFS(tData[SEHTrajectPeriodeDatumTijdVan],"&lt;="&amp;($A32+1/24),tData[SEHTrajectPeriodeDatumTijdTotEnMet],"&gt;"&amp;($A32+1/24))</f>
        <v/>
      </c>
      <c r="F32" s="20">
        <f>COUNTIFS(tData[SEHTrajectPeriodeDatumTijdVan],"&lt;="&amp;($A32+2/24),tData[SEHTrajectPeriodeDatumTijdTotEnMet],"&gt;"&amp;($A32+2/24))</f>
        <v/>
      </c>
      <c r="G32" s="20">
        <f>COUNTIFS(tData[SEHTrajectPeriodeDatumTijdVan],"&lt;="&amp;($A32+3/24),tData[SEHTrajectPeriodeDatumTijdTotEnMet],"&gt;"&amp;($A32+3/24))</f>
        <v/>
      </c>
      <c r="H32" s="20">
        <f>COUNTIFS(tData[SEHTrajectPeriodeDatumTijdVan],"&lt;="&amp;($A32+4/24),tData[SEHTrajectPeriodeDatumTijdTotEnMet],"&gt;"&amp;($A32+4/24))</f>
        <v/>
      </c>
      <c r="I32" s="20">
        <f>COUNTIFS(tData[SEHTrajectPeriodeDatumTijdVan],"&lt;="&amp;($A32+5/24),tData[SEHTrajectPeriodeDatumTijdTotEnMet],"&gt;"&amp;($A32+5/24))</f>
        <v/>
      </c>
      <c r="J32" s="20">
        <f>COUNTIFS(tData[SEHTrajectPeriodeDatumTijdVan],"&lt;="&amp;($A32+6/24),tData[SEHTrajectPeriodeDatumTijdTotEnMet],"&gt;"&amp;($A32+6/24))</f>
        <v/>
      </c>
      <c r="K32" s="20">
        <f>COUNTIFS(tData[SEHTrajectPeriodeDatumTijdVan],"&lt;="&amp;($A32+7/24),tData[SEHTrajectPeriodeDatumTijdTotEnMet],"&gt;"&amp;($A32+7/24))</f>
        <v/>
      </c>
      <c r="L32" s="20">
        <f>COUNTIFS(tData[SEHTrajectPeriodeDatumTijdVan],"&lt;="&amp;($A32+8/24),tData[SEHTrajectPeriodeDatumTijdTotEnMet],"&gt;"&amp;($A32+8/24))</f>
        <v/>
      </c>
      <c r="M32" s="20">
        <f>COUNTIFS(tData[SEHTrajectPeriodeDatumTijdVan],"&lt;="&amp;($A32+9/24),tData[SEHTrajectPeriodeDatumTijdTotEnMet],"&gt;"&amp;($A32+9/24))</f>
        <v/>
      </c>
      <c r="N32" s="20">
        <f>COUNTIFS(tData[SEHTrajectPeriodeDatumTijdVan],"&lt;="&amp;($A32+10/24),tData[SEHTrajectPeriodeDatumTijdTotEnMet],"&gt;"&amp;($A32+10/24))</f>
        <v/>
      </c>
      <c r="O32" s="20">
        <f>COUNTIFS(tData[SEHTrajectPeriodeDatumTijdVan],"&lt;="&amp;($A32+11/24),tData[SEHTrajectPeriodeDatumTijdTotEnMet],"&gt;"&amp;($A32+11/24))</f>
        <v/>
      </c>
      <c r="P32" s="20">
        <f>COUNTIFS(tData[SEHTrajectPeriodeDatumTijdVan],"&lt;="&amp;($A32+12/24),tData[SEHTrajectPeriodeDatumTijdTotEnMet],"&gt;"&amp;($A32+12/24))</f>
        <v/>
      </c>
      <c r="Q32" s="20">
        <f>COUNTIFS(tData[SEHTrajectPeriodeDatumTijdVan],"&lt;="&amp;($A32+13/24),tData[SEHTrajectPeriodeDatumTijdTotEnMet],"&gt;"&amp;($A32+13/24))</f>
        <v/>
      </c>
      <c r="R32" s="20">
        <f>COUNTIFS(tData[SEHTrajectPeriodeDatumTijdVan],"&lt;="&amp;($A32+14/24),tData[SEHTrajectPeriodeDatumTijdTotEnMet],"&gt;"&amp;($A32+14/24))</f>
        <v/>
      </c>
      <c r="S32" s="20">
        <f>COUNTIFS(tData[SEHTrajectPeriodeDatumTijdVan],"&lt;="&amp;($A32+15/24),tData[SEHTrajectPeriodeDatumTijdTotEnMet],"&gt;"&amp;($A32+15/24))</f>
        <v/>
      </c>
      <c r="T32" s="20">
        <f>COUNTIFS(tData[SEHTrajectPeriodeDatumTijdVan],"&lt;="&amp;($A32+16/24),tData[SEHTrajectPeriodeDatumTijdTotEnMet],"&gt;"&amp;($A32+16/24))</f>
        <v/>
      </c>
      <c r="U32" s="20">
        <f>COUNTIFS(tData[SEHTrajectPeriodeDatumTijdVan],"&lt;="&amp;($A32+17/24),tData[SEHTrajectPeriodeDatumTijdTotEnMet],"&gt;"&amp;($A32+17/24))</f>
        <v/>
      </c>
      <c r="V32" s="20">
        <f>COUNTIFS(tData[SEHTrajectPeriodeDatumTijdVan],"&lt;="&amp;($A32+18/24),tData[SEHTrajectPeriodeDatumTijdTotEnMet],"&gt;"&amp;($A32+18/24))</f>
        <v/>
      </c>
      <c r="W32" s="20">
        <f>COUNTIFS(tData[SEHTrajectPeriodeDatumTijdVan],"&lt;="&amp;($A32+19/24),tData[SEHTrajectPeriodeDatumTijdTotEnMet],"&gt;"&amp;($A32+19/24))</f>
        <v/>
      </c>
      <c r="X32" s="20">
        <f>COUNTIFS(tData[SEHTrajectPeriodeDatumTijdVan],"&lt;="&amp;($A32+20/24),tData[SEHTrajectPeriodeDatumTijdTotEnMet],"&gt;"&amp;($A32+20/24))</f>
        <v/>
      </c>
      <c r="Y32" s="20">
        <f>COUNTIFS(tData[SEHTrajectPeriodeDatumTijdVan],"&lt;="&amp;($A32+21/24),tData[SEHTrajectPeriodeDatumTijdTotEnMet],"&gt;"&amp;($A32+21/24))</f>
        <v/>
      </c>
      <c r="Z32" s="20">
        <f>COUNTIFS(tData[SEHTrajectPeriodeDatumTijdVan],"&lt;="&amp;($A32+22/24),tData[SEHTrajectPeriodeDatumTijdTotEnMet],"&gt;"&amp;($A32+22/24))</f>
        <v/>
      </c>
      <c r="AA32" s="20">
        <f>COUNTIFS(tData[SEHTrajectPeriodeDatumTijdVan],"&lt;="&amp;($A32+23/24),tData[SEHTrajectPeriodeDatumTijdTotEnMet],"&gt;"&amp;($A32+23/24))</f>
        <v/>
      </c>
    </row>
    <row r="33">
      <c r="A33" s="19" t="n">
        <v>45321</v>
      </c>
      <c r="B33" s="15">
        <f>WEEKDAY($A33,2)</f>
        <v/>
      </c>
      <c r="C33" s="15">
        <f>IF(AND($A33&gt;=INT(Instellingen!$B$5),$A33&lt;=INT(Instellingen!$B$6)),1,0)</f>
        <v/>
      </c>
      <c r="D33" s="20">
        <f>COUNTIFS(tData[SEHTrajectPeriodeDatumTijdVan],"&lt;="&amp;($A33+0/24),tData[SEHTrajectPeriodeDatumTijdTotEnMet],"&gt;"&amp;($A33+0/24))</f>
        <v/>
      </c>
      <c r="E33" s="20">
        <f>COUNTIFS(tData[SEHTrajectPeriodeDatumTijdVan],"&lt;="&amp;($A33+1/24),tData[SEHTrajectPeriodeDatumTijdTotEnMet],"&gt;"&amp;($A33+1/24))</f>
        <v/>
      </c>
      <c r="F33" s="20">
        <f>COUNTIFS(tData[SEHTrajectPeriodeDatumTijdVan],"&lt;="&amp;($A33+2/24),tData[SEHTrajectPeriodeDatumTijdTotEnMet],"&gt;"&amp;($A33+2/24))</f>
        <v/>
      </c>
      <c r="G33" s="20">
        <f>COUNTIFS(tData[SEHTrajectPeriodeDatumTijdVan],"&lt;="&amp;($A33+3/24),tData[SEHTrajectPeriodeDatumTijdTotEnMet],"&gt;"&amp;($A33+3/24))</f>
        <v/>
      </c>
      <c r="H33" s="20">
        <f>COUNTIFS(tData[SEHTrajectPeriodeDatumTijdVan],"&lt;="&amp;($A33+4/24),tData[SEHTrajectPeriodeDatumTijdTotEnMet],"&gt;"&amp;($A33+4/24))</f>
        <v/>
      </c>
      <c r="I33" s="20">
        <f>COUNTIFS(tData[SEHTrajectPeriodeDatumTijdVan],"&lt;="&amp;($A33+5/24),tData[SEHTrajectPeriodeDatumTijdTotEnMet],"&gt;"&amp;($A33+5/24))</f>
        <v/>
      </c>
      <c r="J33" s="20">
        <f>COUNTIFS(tData[SEHTrajectPeriodeDatumTijdVan],"&lt;="&amp;($A33+6/24),tData[SEHTrajectPeriodeDatumTijdTotEnMet],"&gt;"&amp;($A33+6/24))</f>
        <v/>
      </c>
      <c r="K33" s="20">
        <f>COUNTIFS(tData[SEHTrajectPeriodeDatumTijdVan],"&lt;="&amp;($A33+7/24),tData[SEHTrajectPeriodeDatumTijdTotEnMet],"&gt;"&amp;($A33+7/24))</f>
        <v/>
      </c>
      <c r="L33" s="20">
        <f>COUNTIFS(tData[SEHTrajectPeriodeDatumTijdVan],"&lt;="&amp;($A33+8/24),tData[SEHTrajectPeriodeDatumTijdTotEnMet],"&gt;"&amp;($A33+8/24))</f>
        <v/>
      </c>
      <c r="M33" s="20">
        <f>COUNTIFS(tData[SEHTrajectPeriodeDatumTijdVan],"&lt;="&amp;($A33+9/24),tData[SEHTrajectPeriodeDatumTijdTotEnMet],"&gt;"&amp;($A33+9/24))</f>
        <v/>
      </c>
      <c r="N33" s="20">
        <f>COUNTIFS(tData[SEHTrajectPeriodeDatumTijdVan],"&lt;="&amp;($A33+10/24),tData[SEHTrajectPeriodeDatumTijdTotEnMet],"&gt;"&amp;($A33+10/24))</f>
        <v/>
      </c>
      <c r="O33" s="20">
        <f>COUNTIFS(tData[SEHTrajectPeriodeDatumTijdVan],"&lt;="&amp;($A33+11/24),tData[SEHTrajectPeriodeDatumTijdTotEnMet],"&gt;"&amp;($A33+11/24))</f>
        <v/>
      </c>
      <c r="P33" s="20">
        <f>COUNTIFS(tData[SEHTrajectPeriodeDatumTijdVan],"&lt;="&amp;($A33+12/24),tData[SEHTrajectPeriodeDatumTijdTotEnMet],"&gt;"&amp;($A33+12/24))</f>
        <v/>
      </c>
      <c r="Q33" s="20">
        <f>COUNTIFS(tData[SEHTrajectPeriodeDatumTijdVan],"&lt;="&amp;($A33+13/24),tData[SEHTrajectPeriodeDatumTijdTotEnMet],"&gt;"&amp;($A33+13/24))</f>
        <v/>
      </c>
      <c r="R33" s="20">
        <f>COUNTIFS(tData[SEHTrajectPeriodeDatumTijdVan],"&lt;="&amp;($A33+14/24),tData[SEHTrajectPeriodeDatumTijdTotEnMet],"&gt;"&amp;($A33+14/24))</f>
        <v/>
      </c>
      <c r="S33" s="20">
        <f>COUNTIFS(tData[SEHTrajectPeriodeDatumTijdVan],"&lt;="&amp;($A33+15/24),tData[SEHTrajectPeriodeDatumTijdTotEnMet],"&gt;"&amp;($A33+15/24))</f>
        <v/>
      </c>
      <c r="T33" s="20">
        <f>COUNTIFS(tData[SEHTrajectPeriodeDatumTijdVan],"&lt;="&amp;($A33+16/24),tData[SEHTrajectPeriodeDatumTijdTotEnMet],"&gt;"&amp;($A33+16/24))</f>
        <v/>
      </c>
      <c r="U33" s="20">
        <f>COUNTIFS(tData[SEHTrajectPeriodeDatumTijdVan],"&lt;="&amp;($A33+17/24),tData[SEHTrajectPeriodeDatumTijdTotEnMet],"&gt;"&amp;($A33+17/24))</f>
        <v/>
      </c>
      <c r="V33" s="20">
        <f>COUNTIFS(tData[SEHTrajectPeriodeDatumTijdVan],"&lt;="&amp;($A33+18/24),tData[SEHTrajectPeriodeDatumTijdTotEnMet],"&gt;"&amp;($A33+18/24))</f>
        <v/>
      </c>
      <c r="W33" s="20">
        <f>COUNTIFS(tData[SEHTrajectPeriodeDatumTijdVan],"&lt;="&amp;($A33+19/24),tData[SEHTrajectPeriodeDatumTijdTotEnMet],"&gt;"&amp;($A33+19/24))</f>
        <v/>
      </c>
      <c r="X33" s="20">
        <f>COUNTIFS(tData[SEHTrajectPeriodeDatumTijdVan],"&lt;="&amp;($A33+20/24),tData[SEHTrajectPeriodeDatumTijdTotEnMet],"&gt;"&amp;($A33+20/24))</f>
        <v/>
      </c>
      <c r="Y33" s="20">
        <f>COUNTIFS(tData[SEHTrajectPeriodeDatumTijdVan],"&lt;="&amp;($A33+21/24),tData[SEHTrajectPeriodeDatumTijdTotEnMet],"&gt;"&amp;($A33+21/24))</f>
        <v/>
      </c>
      <c r="Z33" s="20">
        <f>COUNTIFS(tData[SEHTrajectPeriodeDatumTijdVan],"&lt;="&amp;($A33+22/24),tData[SEHTrajectPeriodeDatumTijdTotEnMet],"&gt;"&amp;($A33+22/24))</f>
        <v/>
      </c>
      <c r="AA33" s="20">
        <f>COUNTIFS(tData[SEHTrajectPeriodeDatumTijdVan],"&lt;="&amp;($A33+23/24),tData[SEHTrajectPeriodeDatumTijdTotEnMet],"&gt;"&amp;($A33+23/24))</f>
        <v/>
      </c>
    </row>
    <row r="34">
      <c r="A34" s="19" t="n">
        <v>45322</v>
      </c>
      <c r="B34" s="15">
        <f>WEEKDAY($A34,2)</f>
        <v/>
      </c>
      <c r="C34" s="15">
        <f>IF(AND($A34&gt;=INT(Instellingen!$B$5),$A34&lt;=INT(Instellingen!$B$6)),1,0)</f>
        <v/>
      </c>
      <c r="D34" s="20">
        <f>COUNTIFS(tData[SEHTrajectPeriodeDatumTijdVan],"&lt;="&amp;($A34+0/24),tData[SEHTrajectPeriodeDatumTijdTotEnMet],"&gt;"&amp;($A34+0/24))</f>
        <v/>
      </c>
      <c r="E34" s="20">
        <f>COUNTIFS(tData[SEHTrajectPeriodeDatumTijdVan],"&lt;="&amp;($A34+1/24),tData[SEHTrajectPeriodeDatumTijdTotEnMet],"&gt;"&amp;($A34+1/24))</f>
        <v/>
      </c>
      <c r="F34" s="20">
        <f>COUNTIFS(tData[SEHTrajectPeriodeDatumTijdVan],"&lt;="&amp;($A34+2/24),tData[SEHTrajectPeriodeDatumTijdTotEnMet],"&gt;"&amp;($A34+2/24))</f>
        <v/>
      </c>
      <c r="G34" s="20">
        <f>COUNTIFS(tData[SEHTrajectPeriodeDatumTijdVan],"&lt;="&amp;($A34+3/24),tData[SEHTrajectPeriodeDatumTijdTotEnMet],"&gt;"&amp;($A34+3/24))</f>
        <v/>
      </c>
      <c r="H34" s="20">
        <f>COUNTIFS(tData[SEHTrajectPeriodeDatumTijdVan],"&lt;="&amp;($A34+4/24),tData[SEHTrajectPeriodeDatumTijdTotEnMet],"&gt;"&amp;($A34+4/24))</f>
        <v/>
      </c>
      <c r="I34" s="20">
        <f>COUNTIFS(tData[SEHTrajectPeriodeDatumTijdVan],"&lt;="&amp;($A34+5/24),tData[SEHTrajectPeriodeDatumTijdTotEnMet],"&gt;"&amp;($A34+5/24))</f>
        <v/>
      </c>
      <c r="J34" s="20">
        <f>COUNTIFS(tData[SEHTrajectPeriodeDatumTijdVan],"&lt;="&amp;($A34+6/24),tData[SEHTrajectPeriodeDatumTijdTotEnMet],"&gt;"&amp;($A34+6/24))</f>
        <v/>
      </c>
      <c r="K34" s="20">
        <f>COUNTIFS(tData[SEHTrajectPeriodeDatumTijdVan],"&lt;="&amp;($A34+7/24),tData[SEHTrajectPeriodeDatumTijdTotEnMet],"&gt;"&amp;($A34+7/24))</f>
        <v/>
      </c>
      <c r="L34" s="20">
        <f>COUNTIFS(tData[SEHTrajectPeriodeDatumTijdVan],"&lt;="&amp;($A34+8/24),tData[SEHTrajectPeriodeDatumTijdTotEnMet],"&gt;"&amp;($A34+8/24))</f>
        <v/>
      </c>
      <c r="M34" s="20">
        <f>COUNTIFS(tData[SEHTrajectPeriodeDatumTijdVan],"&lt;="&amp;($A34+9/24),tData[SEHTrajectPeriodeDatumTijdTotEnMet],"&gt;"&amp;($A34+9/24))</f>
        <v/>
      </c>
      <c r="N34" s="20">
        <f>COUNTIFS(tData[SEHTrajectPeriodeDatumTijdVan],"&lt;="&amp;($A34+10/24),tData[SEHTrajectPeriodeDatumTijdTotEnMet],"&gt;"&amp;($A34+10/24))</f>
        <v/>
      </c>
      <c r="O34" s="20">
        <f>COUNTIFS(tData[SEHTrajectPeriodeDatumTijdVan],"&lt;="&amp;($A34+11/24),tData[SEHTrajectPeriodeDatumTijdTotEnMet],"&gt;"&amp;($A34+11/24))</f>
        <v/>
      </c>
      <c r="P34" s="20">
        <f>COUNTIFS(tData[SEHTrajectPeriodeDatumTijdVan],"&lt;="&amp;($A34+12/24),tData[SEHTrajectPeriodeDatumTijdTotEnMet],"&gt;"&amp;($A34+12/24))</f>
        <v/>
      </c>
      <c r="Q34" s="20">
        <f>COUNTIFS(tData[SEHTrajectPeriodeDatumTijdVan],"&lt;="&amp;($A34+13/24),tData[SEHTrajectPeriodeDatumTijdTotEnMet],"&gt;"&amp;($A34+13/24))</f>
        <v/>
      </c>
      <c r="R34" s="20">
        <f>COUNTIFS(tData[SEHTrajectPeriodeDatumTijdVan],"&lt;="&amp;($A34+14/24),tData[SEHTrajectPeriodeDatumTijdTotEnMet],"&gt;"&amp;($A34+14/24))</f>
        <v/>
      </c>
      <c r="S34" s="20">
        <f>COUNTIFS(tData[SEHTrajectPeriodeDatumTijdVan],"&lt;="&amp;($A34+15/24),tData[SEHTrajectPeriodeDatumTijdTotEnMet],"&gt;"&amp;($A34+15/24))</f>
        <v/>
      </c>
      <c r="T34" s="20">
        <f>COUNTIFS(tData[SEHTrajectPeriodeDatumTijdVan],"&lt;="&amp;($A34+16/24),tData[SEHTrajectPeriodeDatumTijdTotEnMet],"&gt;"&amp;($A34+16/24))</f>
        <v/>
      </c>
      <c r="U34" s="20">
        <f>COUNTIFS(tData[SEHTrajectPeriodeDatumTijdVan],"&lt;="&amp;($A34+17/24),tData[SEHTrajectPeriodeDatumTijdTotEnMet],"&gt;"&amp;($A34+17/24))</f>
        <v/>
      </c>
      <c r="V34" s="20">
        <f>COUNTIFS(tData[SEHTrajectPeriodeDatumTijdVan],"&lt;="&amp;($A34+18/24),tData[SEHTrajectPeriodeDatumTijdTotEnMet],"&gt;"&amp;($A34+18/24))</f>
        <v/>
      </c>
      <c r="W34" s="20">
        <f>COUNTIFS(tData[SEHTrajectPeriodeDatumTijdVan],"&lt;="&amp;($A34+19/24),tData[SEHTrajectPeriodeDatumTijdTotEnMet],"&gt;"&amp;($A34+19/24))</f>
        <v/>
      </c>
      <c r="X34" s="20">
        <f>COUNTIFS(tData[SEHTrajectPeriodeDatumTijdVan],"&lt;="&amp;($A34+20/24),tData[SEHTrajectPeriodeDatumTijdTotEnMet],"&gt;"&amp;($A34+20/24))</f>
        <v/>
      </c>
      <c r="Y34" s="20">
        <f>COUNTIFS(tData[SEHTrajectPeriodeDatumTijdVan],"&lt;="&amp;($A34+21/24),tData[SEHTrajectPeriodeDatumTijdTotEnMet],"&gt;"&amp;($A34+21/24))</f>
        <v/>
      </c>
      <c r="Z34" s="20">
        <f>COUNTIFS(tData[SEHTrajectPeriodeDatumTijdVan],"&lt;="&amp;($A34+22/24),tData[SEHTrajectPeriodeDatumTijdTotEnMet],"&gt;"&amp;($A34+22/24))</f>
        <v/>
      </c>
      <c r="AA34" s="20">
        <f>COUNTIFS(tData[SEHTrajectPeriodeDatumTijdVan],"&lt;="&amp;($A34+23/24),tData[SEHTrajectPeriodeDatumTijdTotEnMet],"&gt;"&amp;($A34+23/24))</f>
        <v/>
      </c>
    </row>
    <row r="35">
      <c r="A35" s="19" t="n">
        <v>45323</v>
      </c>
      <c r="B35" s="15">
        <f>WEEKDAY($A35,2)</f>
        <v/>
      </c>
      <c r="C35" s="15">
        <f>IF(AND($A35&gt;=INT(Instellingen!$B$5),$A35&lt;=INT(Instellingen!$B$6)),1,0)</f>
        <v/>
      </c>
      <c r="D35" s="20">
        <f>COUNTIFS(tData[SEHTrajectPeriodeDatumTijdVan],"&lt;="&amp;($A35+0/24),tData[SEHTrajectPeriodeDatumTijdTotEnMet],"&gt;"&amp;($A35+0/24))</f>
        <v/>
      </c>
      <c r="E35" s="20">
        <f>COUNTIFS(tData[SEHTrajectPeriodeDatumTijdVan],"&lt;="&amp;($A35+1/24),tData[SEHTrajectPeriodeDatumTijdTotEnMet],"&gt;"&amp;($A35+1/24))</f>
        <v/>
      </c>
      <c r="F35" s="20">
        <f>COUNTIFS(tData[SEHTrajectPeriodeDatumTijdVan],"&lt;="&amp;($A35+2/24),tData[SEHTrajectPeriodeDatumTijdTotEnMet],"&gt;"&amp;($A35+2/24))</f>
        <v/>
      </c>
      <c r="G35" s="20">
        <f>COUNTIFS(tData[SEHTrajectPeriodeDatumTijdVan],"&lt;="&amp;($A35+3/24),tData[SEHTrajectPeriodeDatumTijdTotEnMet],"&gt;"&amp;($A35+3/24))</f>
        <v/>
      </c>
      <c r="H35" s="20">
        <f>COUNTIFS(tData[SEHTrajectPeriodeDatumTijdVan],"&lt;="&amp;($A35+4/24),tData[SEHTrajectPeriodeDatumTijdTotEnMet],"&gt;"&amp;($A35+4/24))</f>
        <v/>
      </c>
      <c r="I35" s="20">
        <f>COUNTIFS(tData[SEHTrajectPeriodeDatumTijdVan],"&lt;="&amp;($A35+5/24),tData[SEHTrajectPeriodeDatumTijdTotEnMet],"&gt;"&amp;($A35+5/24))</f>
        <v/>
      </c>
      <c r="J35" s="20">
        <f>COUNTIFS(tData[SEHTrajectPeriodeDatumTijdVan],"&lt;="&amp;($A35+6/24),tData[SEHTrajectPeriodeDatumTijdTotEnMet],"&gt;"&amp;($A35+6/24))</f>
        <v/>
      </c>
      <c r="K35" s="20">
        <f>COUNTIFS(tData[SEHTrajectPeriodeDatumTijdVan],"&lt;="&amp;($A35+7/24),tData[SEHTrajectPeriodeDatumTijdTotEnMet],"&gt;"&amp;($A35+7/24))</f>
        <v/>
      </c>
      <c r="L35" s="20">
        <f>COUNTIFS(tData[SEHTrajectPeriodeDatumTijdVan],"&lt;="&amp;($A35+8/24),tData[SEHTrajectPeriodeDatumTijdTotEnMet],"&gt;"&amp;($A35+8/24))</f>
        <v/>
      </c>
      <c r="M35" s="20">
        <f>COUNTIFS(tData[SEHTrajectPeriodeDatumTijdVan],"&lt;="&amp;($A35+9/24),tData[SEHTrajectPeriodeDatumTijdTotEnMet],"&gt;"&amp;($A35+9/24))</f>
        <v/>
      </c>
      <c r="N35" s="20">
        <f>COUNTIFS(tData[SEHTrajectPeriodeDatumTijdVan],"&lt;="&amp;($A35+10/24),tData[SEHTrajectPeriodeDatumTijdTotEnMet],"&gt;"&amp;($A35+10/24))</f>
        <v/>
      </c>
      <c r="O35" s="20">
        <f>COUNTIFS(tData[SEHTrajectPeriodeDatumTijdVan],"&lt;="&amp;($A35+11/24),tData[SEHTrajectPeriodeDatumTijdTotEnMet],"&gt;"&amp;($A35+11/24))</f>
        <v/>
      </c>
      <c r="P35" s="20">
        <f>COUNTIFS(tData[SEHTrajectPeriodeDatumTijdVan],"&lt;="&amp;($A35+12/24),tData[SEHTrajectPeriodeDatumTijdTotEnMet],"&gt;"&amp;($A35+12/24))</f>
        <v/>
      </c>
      <c r="Q35" s="20">
        <f>COUNTIFS(tData[SEHTrajectPeriodeDatumTijdVan],"&lt;="&amp;($A35+13/24),tData[SEHTrajectPeriodeDatumTijdTotEnMet],"&gt;"&amp;($A35+13/24))</f>
        <v/>
      </c>
      <c r="R35" s="20">
        <f>COUNTIFS(tData[SEHTrajectPeriodeDatumTijdVan],"&lt;="&amp;($A35+14/24),tData[SEHTrajectPeriodeDatumTijdTotEnMet],"&gt;"&amp;($A35+14/24))</f>
        <v/>
      </c>
      <c r="S35" s="20">
        <f>COUNTIFS(tData[SEHTrajectPeriodeDatumTijdVan],"&lt;="&amp;($A35+15/24),tData[SEHTrajectPeriodeDatumTijdTotEnMet],"&gt;"&amp;($A35+15/24))</f>
        <v/>
      </c>
      <c r="T35" s="20">
        <f>COUNTIFS(tData[SEHTrajectPeriodeDatumTijdVan],"&lt;="&amp;($A35+16/24),tData[SEHTrajectPeriodeDatumTijdTotEnMet],"&gt;"&amp;($A35+16/24))</f>
        <v/>
      </c>
      <c r="U35" s="20">
        <f>COUNTIFS(tData[SEHTrajectPeriodeDatumTijdVan],"&lt;="&amp;($A35+17/24),tData[SEHTrajectPeriodeDatumTijdTotEnMet],"&gt;"&amp;($A35+17/24))</f>
        <v/>
      </c>
      <c r="V35" s="20">
        <f>COUNTIFS(tData[SEHTrajectPeriodeDatumTijdVan],"&lt;="&amp;($A35+18/24),tData[SEHTrajectPeriodeDatumTijdTotEnMet],"&gt;"&amp;($A35+18/24))</f>
        <v/>
      </c>
      <c r="W35" s="20">
        <f>COUNTIFS(tData[SEHTrajectPeriodeDatumTijdVan],"&lt;="&amp;($A35+19/24),tData[SEHTrajectPeriodeDatumTijdTotEnMet],"&gt;"&amp;($A35+19/24))</f>
        <v/>
      </c>
      <c r="X35" s="20">
        <f>COUNTIFS(tData[SEHTrajectPeriodeDatumTijdVan],"&lt;="&amp;($A35+20/24),tData[SEHTrajectPeriodeDatumTijdTotEnMet],"&gt;"&amp;($A35+20/24))</f>
        <v/>
      </c>
      <c r="Y35" s="20">
        <f>COUNTIFS(tData[SEHTrajectPeriodeDatumTijdVan],"&lt;="&amp;($A35+21/24),tData[SEHTrajectPeriodeDatumTijdTotEnMet],"&gt;"&amp;($A35+21/24))</f>
        <v/>
      </c>
      <c r="Z35" s="20">
        <f>COUNTIFS(tData[SEHTrajectPeriodeDatumTijdVan],"&lt;="&amp;($A35+22/24),tData[SEHTrajectPeriodeDatumTijdTotEnMet],"&gt;"&amp;($A35+22/24))</f>
        <v/>
      </c>
      <c r="AA35" s="20">
        <f>COUNTIFS(tData[SEHTrajectPeriodeDatumTijdVan],"&lt;="&amp;($A35+23/24),tData[SEHTrajectPeriodeDatumTijdTotEnMet],"&gt;"&amp;($A35+23/24))</f>
        <v/>
      </c>
    </row>
    <row r="36">
      <c r="A36" s="19" t="n">
        <v>45324</v>
      </c>
      <c r="B36" s="15">
        <f>WEEKDAY($A36,2)</f>
        <v/>
      </c>
      <c r="C36" s="15">
        <f>IF(AND($A36&gt;=INT(Instellingen!$B$5),$A36&lt;=INT(Instellingen!$B$6)),1,0)</f>
        <v/>
      </c>
      <c r="D36" s="20">
        <f>COUNTIFS(tData[SEHTrajectPeriodeDatumTijdVan],"&lt;="&amp;($A36+0/24),tData[SEHTrajectPeriodeDatumTijdTotEnMet],"&gt;"&amp;($A36+0/24))</f>
        <v/>
      </c>
      <c r="E36" s="20">
        <f>COUNTIFS(tData[SEHTrajectPeriodeDatumTijdVan],"&lt;="&amp;($A36+1/24),tData[SEHTrajectPeriodeDatumTijdTotEnMet],"&gt;"&amp;($A36+1/24))</f>
        <v/>
      </c>
      <c r="F36" s="20">
        <f>COUNTIFS(tData[SEHTrajectPeriodeDatumTijdVan],"&lt;="&amp;($A36+2/24),tData[SEHTrajectPeriodeDatumTijdTotEnMet],"&gt;"&amp;($A36+2/24))</f>
        <v/>
      </c>
      <c r="G36" s="20">
        <f>COUNTIFS(tData[SEHTrajectPeriodeDatumTijdVan],"&lt;="&amp;($A36+3/24),tData[SEHTrajectPeriodeDatumTijdTotEnMet],"&gt;"&amp;($A36+3/24))</f>
        <v/>
      </c>
      <c r="H36" s="20">
        <f>COUNTIFS(tData[SEHTrajectPeriodeDatumTijdVan],"&lt;="&amp;($A36+4/24),tData[SEHTrajectPeriodeDatumTijdTotEnMet],"&gt;"&amp;($A36+4/24))</f>
        <v/>
      </c>
      <c r="I36" s="20">
        <f>COUNTIFS(tData[SEHTrajectPeriodeDatumTijdVan],"&lt;="&amp;($A36+5/24),tData[SEHTrajectPeriodeDatumTijdTotEnMet],"&gt;"&amp;($A36+5/24))</f>
        <v/>
      </c>
      <c r="J36" s="20">
        <f>COUNTIFS(tData[SEHTrajectPeriodeDatumTijdVan],"&lt;="&amp;($A36+6/24),tData[SEHTrajectPeriodeDatumTijdTotEnMet],"&gt;"&amp;($A36+6/24))</f>
        <v/>
      </c>
      <c r="K36" s="20">
        <f>COUNTIFS(tData[SEHTrajectPeriodeDatumTijdVan],"&lt;="&amp;($A36+7/24),tData[SEHTrajectPeriodeDatumTijdTotEnMet],"&gt;"&amp;($A36+7/24))</f>
        <v/>
      </c>
      <c r="L36" s="20">
        <f>COUNTIFS(tData[SEHTrajectPeriodeDatumTijdVan],"&lt;="&amp;($A36+8/24),tData[SEHTrajectPeriodeDatumTijdTotEnMet],"&gt;"&amp;($A36+8/24))</f>
        <v/>
      </c>
      <c r="M36" s="20">
        <f>COUNTIFS(tData[SEHTrajectPeriodeDatumTijdVan],"&lt;="&amp;($A36+9/24),tData[SEHTrajectPeriodeDatumTijdTotEnMet],"&gt;"&amp;($A36+9/24))</f>
        <v/>
      </c>
      <c r="N36" s="20">
        <f>COUNTIFS(tData[SEHTrajectPeriodeDatumTijdVan],"&lt;="&amp;($A36+10/24),tData[SEHTrajectPeriodeDatumTijdTotEnMet],"&gt;"&amp;($A36+10/24))</f>
        <v/>
      </c>
      <c r="O36" s="20">
        <f>COUNTIFS(tData[SEHTrajectPeriodeDatumTijdVan],"&lt;="&amp;($A36+11/24),tData[SEHTrajectPeriodeDatumTijdTotEnMet],"&gt;"&amp;($A36+11/24))</f>
        <v/>
      </c>
      <c r="P36" s="20">
        <f>COUNTIFS(tData[SEHTrajectPeriodeDatumTijdVan],"&lt;="&amp;($A36+12/24),tData[SEHTrajectPeriodeDatumTijdTotEnMet],"&gt;"&amp;($A36+12/24))</f>
        <v/>
      </c>
      <c r="Q36" s="20">
        <f>COUNTIFS(tData[SEHTrajectPeriodeDatumTijdVan],"&lt;="&amp;($A36+13/24),tData[SEHTrajectPeriodeDatumTijdTotEnMet],"&gt;"&amp;($A36+13/24))</f>
        <v/>
      </c>
      <c r="R36" s="20">
        <f>COUNTIFS(tData[SEHTrajectPeriodeDatumTijdVan],"&lt;="&amp;($A36+14/24),tData[SEHTrajectPeriodeDatumTijdTotEnMet],"&gt;"&amp;($A36+14/24))</f>
        <v/>
      </c>
      <c r="S36" s="20">
        <f>COUNTIFS(tData[SEHTrajectPeriodeDatumTijdVan],"&lt;="&amp;($A36+15/24),tData[SEHTrajectPeriodeDatumTijdTotEnMet],"&gt;"&amp;($A36+15/24))</f>
        <v/>
      </c>
      <c r="T36" s="20">
        <f>COUNTIFS(tData[SEHTrajectPeriodeDatumTijdVan],"&lt;="&amp;($A36+16/24),tData[SEHTrajectPeriodeDatumTijdTotEnMet],"&gt;"&amp;($A36+16/24))</f>
        <v/>
      </c>
      <c r="U36" s="20">
        <f>COUNTIFS(tData[SEHTrajectPeriodeDatumTijdVan],"&lt;="&amp;($A36+17/24),tData[SEHTrajectPeriodeDatumTijdTotEnMet],"&gt;"&amp;($A36+17/24))</f>
        <v/>
      </c>
      <c r="V36" s="20">
        <f>COUNTIFS(tData[SEHTrajectPeriodeDatumTijdVan],"&lt;="&amp;($A36+18/24),tData[SEHTrajectPeriodeDatumTijdTotEnMet],"&gt;"&amp;($A36+18/24))</f>
        <v/>
      </c>
      <c r="W36" s="20">
        <f>COUNTIFS(tData[SEHTrajectPeriodeDatumTijdVan],"&lt;="&amp;($A36+19/24),tData[SEHTrajectPeriodeDatumTijdTotEnMet],"&gt;"&amp;($A36+19/24))</f>
        <v/>
      </c>
      <c r="X36" s="20">
        <f>COUNTIFS(tData[SEHTrajectPeriodeDatumTijdVan],"&lt;="&amp;($A36+20/24),tData[SEHTrajectPeriodeDatumTijdTotEnMet],"&gt;"&amp;($A36+20/24))</f>
        <v/>
      </c>
      <c r="Y36" s="20">
        <f>COUNTIFS(tData[SEHTrajectPeriodeDatumTijdVan],"&lt;="&amp;($A36+21/24),tData[SEHTrajectPeriodeDatumTijdTotEnMet],"&gt;"&amp;($A36+21/24))</f>
        <v/>
      </c>
      <c r="Z36" s="20">
        <f>COUNTIFS(tData[SEHTrajectPeriodeDatumTijdVan],"&lt;="&amp;($A36+22/24),tData[SEHTrajectPeriodeDatumTijdTotEnMet],"&gt;"&amp;($A36+22/24))</f>
        <v/>
      </c>
      <c r="AA36" s="20">
        <f>COUNTIFS(tData[SEHTrajectPeriodeDatumTijdVan],"&lt;="&amp;($A36+23/24),tData[SEHTrajectPeriodeDatumTijdTotEnMet],"&gt;"&amp;($A36+23/24))</f>
        <v/>
      </c>
    </row>
    <row r="37">
      <c r="A37" s="19" t="n">
        <v>45325</v>
      </c>
      <c r="B37" s="15">
        <f>WEEKDAY($A37,2)</f>
        <v/>
      </c>
      <c r="C37" s="15">
        <f>IF(AND($A37&gt;=INT(Instellingen!$B$5),$A37&lt;=INT(Instellingen!$B$6)),1,0)</f>
        <v/>
      </c>
      <c r="D37" s="20">
        <f>COUNTIFS(tData[SEHTrajectPeriodeDatumTijdVan],"&lt;="&amp;($A37+0/24),tData[SEHTrajectPeriodeDatumTijdTotEnMet],"&gt;"&amp;($A37+0/24))</f>
        <v/>
      </c>
      <c r="E37" s="20">
        <f>COUNTIFS(tData[SEHTrajectPeriodeDatumTijdVan],"&lt;="&amp;($A37+1/24),tData[SEHTrajectPeriodeDatumTijdTotEnMet],"&gt;"&amp;($A37+1/24))</f>
        <v/>
      </c>
      <c r="F37" s="20">
        <f>COUNTIFS(tData[SEHTrajectPeriodeDatumTijdVan],"&lt;="&amp;($A37+2/24),tData[SEHTrajectPeriodeDatumTijdTotEnMet],"&gt;"&amp;($A37+2/24))</f>
        <v/>
      </c>
      <c r="G37" s="20">
        <f>COUNTIFS(tData[SEHTrajectPeriodeDatumTijdVan],"&lt;="&amp;($A37+3/24),tData[SEHTrajectPeriodeDatumTijdTotEnMet],"&gt;"&amp;($A37+3/24))</f>
        <v/>
      </c>
      <c r="H37" s="20">
        <f>COUNTIFS(tData[SEHTrajectPeriodeDatumTijdVan],"&lt;="&amp;($A37+4/24),tData[SEHTrajectPeriodeDatumTijdTotEnMet],"&gt;"&amp;($A37+4/24))</f>
        <v/>
      </c>
      <c r="I37" s="20">
        <f>COUNTIFS(tData[SEHTrajectPeriodeDatumTijdVan],"&lt;="&amp;($A37+5/24),tData[SEHTrajectPeriodeDatumTijdTotEnMet],"&gt;"&amp;($A37+5/24))</f>
        <v/>
      </c>
      <c r="J37" s="20">
        <f>COUNTIFS(tData[SEHTrajectPeriodeDatumTijdVan],"&lt;="&amp;($A37+6/24),tData[SEHTrajectPeriodeDatumTijdTotEnMet],"&gt;"&amp;($A37+6/24))</f>
        <v/>
      </c>
      <c r="K37" s="20">
        <f>COUNTIFS(tData[SEHTrajectPeriodeDatumTijdVan],"&lt;="&amp;($A37+7/24),tData[SEHTrajectPeriodeDatumTijdTotEnMet],"&gt;"&amp;($A37+7/24))</f>
        <v/>
      </c>
      <c r="L37" s="20">
        <f>COUNTIFS(tData[SEHTrajectPeriodeDatumTijdVan],"&lt;="&amp;($A37+8/24),tData[SEHTrajectPeriodeDatumTijdTotEnMet],"&gt;"&amp;($A37+8/24))</f>
        <v/>
      </c>
      <c r="M37" s="20">
        <f>COUNTIFS(tData[SEHTrajectPeriodeDatumTijdVan],"&lt;="&amp;($A37+9/24),tData[SEHTrajectPeriodeDatumTijdTotEnMet],"&gt;"&amp;($A37+9/24))</f>
        <v/>
      </c>
      <c r="N37" s="20">
        <f>COUNTIFS(tData[SEHTrajectPeriodeDatumTijdVan],"&lt;="&amp;($A37+10/24),tData[SEHTrajectPeriodeDatumTijdTotEnMet],"&gt;"&amp;($A37+10/24))</f>
        <v/>
      </c>
      <c r="O37" s="20">
        <f>COUNTIFS(tData[SEHTrajectPeriodeDatumTijdVan],"&lt;="&amp;($A37+11/24),tData[SEHTrajectPeriodeDatumTijdTotEnMet],"&gt;"&amp;($A37+11/24))</f>
        <v/>
      </c>
      <c r="P37" s="20">
        <f>COUNTIFS(tData[SEHTrajectPeriodeDatumTijdVan],"&lt;="&amp;($A37+12/24),tData[SEHTrajectPeriodeDatumTijdTotEnMet],"&gt;"&amp;($A37+12/24))</f>
        <v/>
      </c>
      <c r="Q37" s="20">
        <f>COUNTIFS(tData[SEHTrajectPeriodeDatumTijdVan],"&lt;="&amp;($A37+13/24),tData[SEHTrajectPeriodeDatumTijdTotEnMet],"&gt;"&amp;($A37+13/24))</f>
        <v/>
      </c>
      <c r="R37" s="20">
        <f>COUNTIFS(tData[SEHTrajectPeriodeDatumTijdVan],"&lt;="&amp;($A37+14/24),tData[SEHTrajectPeriodeDatumTijdTotEnMet],"&gt;"&amp;($A37+14/24))</f>
        <v/>
      </c>
      <c r="S37" s="20">
        <f>COUNTIFS(tData[SEHTrajectPeriodeDatumTijdVan],"&lt;="&amp;($A37+15/24),tData[SEHTrajectPeriodeDatumTijdTotEnMet],"&gt;"&amp;($A37+15/24))</f>
        <v/>
      </c>
      <c r="T37" s="20">
        <f>COUNTIFS(tData[SEHTrajectPeriodeDatumTijdVan],"&lt;="&amp;($A37+16/24),tData[SEHTrajectPeriodeDatumTijdTotEnMet],"&gt;"&amp;($A37+16/24))</f>
        <v/>
      </c>
      <c r="U37" s="20">
        <f>COUNTIFS(tData[SEHTrajectPeriodeDatumTijdVan],"&lt;="&amp;($A37+17/24),tData[SEHTrajectPeriodeDatumTijdTotEnMet],"&gt;"&amp;($A37+17/24))</f>
        <v/>
      </c>
      <c r="V37" s="20">
        <f>COUNTIFS(tData[SEHTrajectPeriodeDatumTijdVan],"&lt;="&amp;($A37+18/24),tData[SEHTrajectPeriodeDatumTijdTotEnMet],"&gt;"&amp;($A37+18/24))</f>
        <v/>
      </c>
      <c r="W37" s="20">
        <f>COUNTIFS(tData[SEHTrajectPeriodeDatumTijdVan],"&lt;="&amp;($A37+19/24),tData[SEHTrajectPeriodeDatumTijdTotEnMet],"&gt;"&amp;($A37+19/24))</f>
        <v/>
      </c>
      <c r="X37" s="20">
        <f>COUNTIFS(tData[SEHTrajectPeriodeDatumTijdVan],"&lt;="&amp;($A37+20/24),tData[SEHTrajectPeriodeDatumTijdTotEnMet],"&gt;"&amp;($A37+20/24))</f>
        <v/>
      </c>
      <c r="Y37" s="20">
        <f>COUNTIFS(tData[SEHTrajectPeriodeDatumTijdVan],"&lt;="&amp;($A37+21/24),tData[SEHTrajectPeriodeDatumTijdTotEnMet],"&gt;"&amp;($A37+21/24))</f>
        <v/>
      </c>
      <c r="Z37" s="20">
        <f>COUNTIFS(tData[SEHTrajectPeriodeDatumTijdVan],"&lt;="&amp;($A37+22/24),tData[SEHTrajectPeriodeDatumTijdTotEnMet],"&gt;"&amp;($A37+22/24))</f>
        <v/>
      </c>
      <c r="AA37" s="20">
        <f>COUNTIFS(tData[SEHTrajectPeriodeDatumTijdVan],"&lt;="&amp;($A37+23/24),tData[SEHTrajectPeriodeDatumTijdTotEnMet],"&gt;"&amp;($A37+23/24))</f>
        <v/>
      </c>
    </row>
    <row r="38">
      <c r="A38" s="19" t="n">
        <v>45326</v>
      </c>
      <c r="B38" s="15">
        <f>WEEKDAY($A38,2)</f>
        <v/>
      </c>
      <c r="C38" s="15">
        <f>IF(AND($A38&gt;=INT(Instellingen!$B$5),$A38&lt;=INT(Instellingen!$B$6)),1,0)</f>
        <v/>
      </c>
      <c r="D38" s="20">
        <f>COUNTIFS(tData[SEHTrajectPeriodeDatumTijdVan],"&lt;="&amp;($A38+0/24),tData[SEHTrajectPeriodeDatumTijdTotEnMet],"&gt;"&amp;($A38+0/24))</f>
        <v/>
      </c>
      <c r="E38" s="20">
        <f>COUNTIFS(tData[SEHTrajectPeriodeDatumTijdVan],"&lt;="&amp;($A38+1/24),tData[SEHTrajectPeriodeDatumTijdTotEnMet],"&gt;"&amp;($A38+1/24))</f>
        <v/>
      </c>
      <c r="F38" s="20">
        <f>COUNTIFS(tData[SEHTrajectPeriodeDatumTijdVan],"&lt;="&amp;($A38+2/24),tData[SEHTrajectPeriodeDatumTijdTotEnMet],"&gt;"&amp;($A38+2/24))</f>
        <v/>
      </c>
      <c r="G38" s="20">
        <f>COUNTIFS(tData[SEHTrajectPeriodeDatumTijdVan],"&lt;="&amp;($A38+3/24),tData[SEHTrajectPeriodeDatumTijdTotEnMet],"&gt;"&amp;($A38+3/24))</f>
        <v/>
      </c>
      <c r="H38" s="20">
        <f>COUNTIFS(tData[SEHTrajectPeriodeDatumTijdVan],"&lt;="&amp;($A38+4/24),tData[SEHTrajectPeriodeDatumTijdTotEnMet],"&gt;"&amp;($A38+4/24))</f>
        <v/>
      </c>
      <c r="I38" s="20">
        <f>COUNTIFS(tData[SEHTrajectPeriodeDatumTijdVan],"&lt;="&amp;($A38+5/24),tData[SEHTrajectPeriodeDatumTijdTotEnMet],"&gt;"&amp;($A38+5/24))</f>
        <v/>
      </c>
      <c r="J38" s="20">
        <f>COUNTIFS(tData[SEHTrajectPeriodeDatumTijdVan],"&lt;="&amp;($A38+6/24),tData[SEHTrajectPeriodeDatumTijdTotEnMet],"&gt;"&amp;($A38+6/24))</f>
        <v/>
      </c>
      <c r="K38" s="20">
        <f>COUNTIFS(tData[SEHTrajectPeriodeDatumTijdVan],"&lt;="&amp;($A38+7/24),tData[SEHTrajectPeriodeDatumTijdTotEnMet],"&gt;"&amp;($A38+7/24))</f>
        <v/>
      </c>
      <c r="L38" s="20">
        <f>COUNTIFS(tData[SEHTrajectPeriodeDatumTijdVan],"&lt;="&amp;($A38+8/24),tData[SEHTrajectPeriodeDatumTijdTotEnMet],"&gt;"&amp;($A38+8/24))</f>
        <v/>
      </c>
      <c r="M38" s="20">
        <f>COUNTIFS(tData[SEHTrajectPeriodeDatumTijdVan],"&lt;="&amp;($A38+9/24),tData[SEHTrajectPeriodeDatumTijdTotEnMet],"&gt;"&amp;($A38+9/24))</f>
        <v/>
      </c>
      <c r="N38" s="20">
        <f>COUNTIFS(tData[SEHTrajectPeriodeDatumTijdVan],"&lt;="&amp;($A38+10/24),tData[SEHTrajectPeriodeDatumTijdTotEnMet],"&gt;"&amp;($A38+10/24))</f>
        <v/>
      </c>
      <c r="O38" s="20">
        <f>COUNTIFS(tData[SEHTrajectPeriodeDatumTijdVan],"&lt;="&amp;($A38+11/24),tData[SEHTrajectPeriodeDatumTijdTotEnMet],"&gt;"&amp;($A38+11/24))</f>
        <v/>
      </c>
      <c r="P38" s="20">
        <f>COUNTIFS(tData[SEHTrajectPeriodeDatumTijdVan],"&lt;="&amp;($A38+12/24),tData[SEHTrajectPeriodeDatumTijdTotEnMet],"&gt;"&amp;($A38+12/24))</f>
        <v/>
      </c>
      <c r="Q38" s="20">
        <f>COUNTIFS(tData[SEHTrajectPeriodeDatumTijdVan],"&lt;="&amp;($A38+13/24),tData[SEHTrajectPeriodeDatumTijdTotEnMet],"&gt;"&amp;($A38+13/24))</f>
        <v/>
      </c>
      <c r="R38" s="20">
        <f>COUNTIFS(tData[SEHTrajectPeriodeDatumTijdVan],"&lt;="&amp;($A38+14/24),tData[SEHTrajectPeriodeDatumTijdTotEnMet],"&gt;"&amp;($A38+14/24))</f>
        <v/>
      </c>
      <c r="S38" s="20">
        <f>COUNTIFS(tData[SEHTrajectPeriodeDatumTijdVan],"&lt;="&amp;($A38+15/24),tData[SEHTrajectPeriodeDatumTijdTotEnMet],"&gt;"&amp;($A38+15/24))</f>
        <v/>
      </c>
      <c r="T38" s="20">
        <f>COUNTIFS(tData[SEHTrajectPeriodeDatumTijdVan],"&lt;="&amp;($A38+16/24),tData[SEHTrajectPeriodeDatumTijdTotEnMet],"&gt;"&amp;($A38+16/24))</f>
        <v/>
      </c>
      <c r="U38" s="20">
        <f>COUNTIFS(tData[SEHTrajectPeriodeDatumTijdVan],"&lt;="&amp;($A38+17/24),tData[SEHTrajectPeriodeDatumTijdTotEnMet],"&gt;"&amp;($A38+17/24))</f>
        <v/>
      </c>
      <c r="V38" s="20">
        <f>COUNTIFS(tData[SEHTrajectPeriodeDatumTijdVan],"&lt;="&amp;($A38+18/24),tData[SEHTrajectPeriodeDatumTijdTotEnMet],"&gt;"&amp;($A38+18/24))</f>
        <v/>
      </c>
      <c r="W38" s="20">
        <f>COUNTIFS(tData[SEHTrajectPeriodeDatumTijdVan],"&lt;="&amp;($A38+19/24),tData[SEHTrajectPeriodeDatumTijdTotEnMet],"&gt;"&amp;($A38+19/24))</f>
        <v/>
      </c>
      <c r="X38" s="20">
        <f>COUNTIFS(tData[SEHTrajectPeriodeDatumTijdVan],"&lt;="&amp;($A38+20/24),tData[SEHTrajectPeriodeDatumTijdTotEnMet],"&gt;"&amp;($A38+20/24))</f>
        <v/>
      </c>
      <c r="Y38" s="20">
        <f>COUNTIFS(tData[SEHTrajectPeriodeDatumTijdVan],"&lt;="&amp;($A38+21/24),tData[SEHTrajectPeriodeDatumTijdTotEnMet],"&gt;"&amp;($A38+21/24))</f>
        <v/>
      </c>
      <c r="Z38" s="20">
        <f>COUNTIFS(tData[SEHTrajectPeriodeDatumTijdVan],"&lt;="&amp;($A38+22/24),tData[SEHTrajectPeriodeDatumTijdTotEnMet],"&gt;"&amp;($A38+22/24))</f>
        <v/>
      </c>
      <c r="AA38" s="20">
        <f>COUNTIFS(tData[SEHTrajectPeriodeDatumTijdVan],"&lt;="&amp;($A38+23/24),tData[SEHTrajectPeriodeDatumTijdTotEnMet],"&gt;"&amp;($A38+23/24))</f>
        <v/>
      </c>
    </row>
    <row r="39">
      <c r="A39" s="19" t="n">
        <v>45327</v>
      </c>
      <c r="B39" s="15">
        <f>WEEKDAY($A39,2)</f>
        <v/>
      </c>
      <c r="C39" s="15">
        <f>IF(AND($A39&gt;=INT(Instellingen!$B$5),$A39&lt;=INT(Instellingen!$B$6)),1,0)</f>
        <v/>
      </c>
      <c r="D39" s="20">
        <f>COUNTIFS(tData[SEHTrajectPeriodeDatumTijdVan],"&lt;="&amp;($A39+0/24),tData[SEHTrajectPeriodeDatumTijdTotEnMet],"&gt;"&amp;($A39+0/24))</f>
        <v/>
      </c>
      <c r="E39" s="20">
        <f>COUNTIFS(tData[SEHTrajectPeriodeDatumTijdVan],"&lt;="&amp;($A39+1/24),tData[SEHTrajectPeriodeDatumTijdTotEnMet],"&gt;"&amp;($A39+1/24))</f>
        <v/>
      </c>
      <c r="F39" s="20">
        <f>COUNTIFS(tData[SEHTrajectPeriodeDatumTijdVan],"&lt;="&amp;($A39+2/24),tData[SEHTrajectPeriodeDatumTijdTotEnMet],"&gt;"&amp;($A39+2/24))</f>
        <v/>
      </c>
      <c r="G39" s="20">
        <f>COUNTIFS(tData[SEHTrajectPeriodeDatumTijdVan],"&lt;="&amp;($A39+3/24),tData[SEHTrajectPeriodeDatumTijdTotEnMet],"&gt;"&amp;($A39+3/24))</f>
        <v/>
      </c>
      <c r="H39" s="20">
        <f>COUNTIFS(tData[SEHTrajectPeriodeDatumTijdVan],"&lt;="&amp;($A39+4/24),tData[SEHTrajectPeriodeDatumTijdTotEnMet],"&gt;"&amp;($A39+4/24))</f>
        <v/>
      </c>
      <c r="I39" s="20">
        <f>COUNTIFS(tData[SEHTrajectPeriodeDatumTijdVan],"&lt;="&amp;($A39+5/24),tData[SEHTrajectPeriodeDatumTijdTotEnMet],"&gt;"&amp;($A39+5/24))</f>
        <v/>
      </c>
      <c r="J39" s="20">
        <f>COUNTIFS(tData[SEHTrajectPeriodeDatumTijdVan],"&lt;="&amp;($A39+6/24),tData[SEHTrajectPeriodeDatumTijdTotEnMet],"&gt;"&amp;($A39+6/24))</f>
        <v/>
      </c>
      <c r="K39" s="20">
        <f>COUNTIFS(tData[SEHTrajectPeriodeDatumTijdVan],"&lt;="&amp;($A39+7/24),tData[SEHTrajectPeriodeDatumTijdTotEnMet],"&gt;"&amp;($A39+7/24))</f>
        <v/>
      </c>
      <c r="L39" s="20">
        <f>COUNTIFS(tData[SEHTrajectPeriodeDatumTijdVan],"&lt;="&amp;($A39+8/24),tData[SEHTrajectPeriodeDatumTijdTotEnMet],"&gt;"&amp;($A39+8/24))</f>
        <v/>
      </c>
      <c r="M39" s="20">
        <f>COUNTIFS(tData[SEHTrajectPeriodeDatumTijdVan],"&lt;="&amp;($A39+9/24),tData[SEHTrajectPeriodeDatumTijdTotEnMet],"&gt;"&amp;($A39+9/24))</f>
        <v/>
      </c>
      <c r="N39" s="20">
        <f>COUNTIFS(tData[SEHTrajectPeriodeDatumTijdVan],"&lt;="&amp;($A39+10/24),tData[SEHTrajectPeriodeDatumTijdTotEnMet],"&gt;"&amp;($A39+10/24))</f>
        <v/>
      </c>
      <c r="O39" s="20">
        <f>COUNTIFS(tData[SEHTrajectPeriodeDatumTijdVan],"&lt;="&amp;($A39+11/24),tData[SEHTrajectPeriodeDatumTijdTotEnMet],"&gt;"&amp;($A39+11/24))</f>
        <v/>
      </c>
      <c r="P39" s="20">
        <f>COUNTIFS(tData[SEHTrajectPeriodeDatumTijdVan],"&lt;="&amp;($A39+12/24),tData[SEHTrajectPeriodeDatumTijdTotEnMet],"&gt;"&amp;($A39+12/24))</f>
        <v/>
      </c>
      <c r="Q39" s="20">
        <f>COUNTIFS(tData[SEHTrajectPeriodeDatumTijdVan],"&lt;="&amp;($A39+13/24),tData[SEHTrajectPeriodeDatumTijdTotEnMet],"&gt;"&amp;($A39+13/24))</f>
        <v/>
      </c>
      <c r="R39" s="20">
        <f>COUNTIFS(tData[SEHTrajectPeriodeDatumTijdVan],"&lt;="&amp;($A39+14/24),tData[SEHTrajectPeriodeDatumTijdTotEnMet],"&gt;"&amp;($A39+14/24))</f>
        <v/>
      </c>
      <c r="S39" s="20">
        <f>COUNTIFS(tData[SEHTrajectPeriodeDatumTijdVan],"&lt;="&amp;($A39+15/24),tData[SEHTrajectPeriodeDatumTijdTotEnMet],"&gt;"&amp;($A39+15/24))</f>
        <v/>
      </c>
      <c r="T39" s="20">
        <f>COUNTIFS(tData[SEHTrajectPeriodeDatumTijdVan],"&lt;="&amp;($A39+16/24),tData[SEHTrajectPeriodeDatumTijdTotEnMet],"&gt;"&amp;($A39+16/24))</f>
        <v/>
      </c>
      <c r="U39" s="20">
        <f>COUNTIFS(tData[SEHTrajectPeriodeDatumTijdVan],"&lt;="&amp;($A39+17/24),tData[SEHTrajectPeriodeDatumTijdTotEnMet],"&gt;"&amp;($A39+17/24))</f>
        <v/>
      </c>
      <c r="V39" s="20">
        <f>COUNTIFS(tData[SEHTrajectPeriodeDatumTijdVan],"&lt;="&amp;($A39+18/24),tData[SEHTrajectPeriodeDatumTijdTotEnMet],"&gt;"&amp;($A39+18/24))</f>
        <v/>
      </c>
      <c r="W39" s="20">
        <f>COUNTIFS(tData[SEHTrajectPeriodeDatumTijdVan],"&lt;="&amp;($A39+19/24),tData[SEHTrajectPeriodeDatumTijdTotEnMet],"&gt;"&amp;($A39+19/24))</f>
        <v/>
      </c>
      <c r="X39" s="20">
        <f>COUNTIFS(tData[SEHTrajectPeriodeDatumTijdVan],"&lt;="&amp;($A39+20/24),tData[SEHTrajectPeriodeDatumTijdTotEnMet],"&gt;"&amp;($A39+20/24))</f>
        <v/>
      </c>
      <c r="Y39" s="20">
        <f>COUNTIFS(tData[SEHTrajectPeriodeDatumTijdVan],"&lt;="&amp;($A39+21/24),tData[SEHTrajectPeriodeDatumTijdTotEnMet],"&gt;"&amp;($A39+21/24))</f>
        <v/>
      </c>
      <c r="Z39" s="20">
        <f>COUNTIFS(tData[SEHTrajectPeriodeDatumTijdVan],"&lt;="&amp;($A39+22/24),tData[SEHTrajectPeriodeDatumTijdTotEnMet],"&gt;"&amp;($A39+22/24))</f>
        <v/>
      </c>
      <c r="AA39" s="20">
        <f>COUNTIFS(tData[SEHTrajectPeriodeDatumTijdVan],"&lt;="&amp;($A39+23/24),tData[SEHTrajectPeriodeDatumTijdTotEnMet],"&gt;"&amp;($A39+23/24))</f>
        <v/>
      </c>
    </row>
    <row r="40">
      <c r="A40" s="19" t="n">
        <v>45328</v>
      </c>
      <c r="B40" s="15">
        <f>WEEKDAY($A40,2)</f>
        <v/>
      </c>
      <c r="C40" s="15">
        <f>IF(AND($A40&gt;=INT(Instellingen!$B$5),$A40&lt;=INT(Instellingen!$B$6)),1,0)</f>
        <v/>
      </c>
      <c r="D40" s="20">
        <f>COUNTIFS(tData[SEHTrajectPeriodeDatumTijdVan],"&lt;="&amp;($A40+0/24),tData[SEHTrajectPeriodeDatumTijdTotEnMet],"&gt;"&amp;($A40+0/24))</f>
        <v/>
      </c>
      <c r="E40" s="20">
        <f>COUNTIFS(tData[SEHTrajectPeriodeDatumTijdVan],"&lt;="&amp;($A40+1/24),tData[SEHTrajectPeriodeDatumTijdTotEnMet],"&gt;"&amp;($A40+1/24))</f>
        <v/>
      </c>
      <c r="F40" s="20">
        <f>COUNTIFS(tData[SEHTrajectPeriodeDatumTijdVan],"&lt;="&amp;($A40+2/24),tData[SEHTrajectPeriodeDatumTijdTotEnMet],"&gt;"&amp;($A40+2/24))</f>
        <v/>
      </c>
      <c r="G40" s="20">
        <f>COUNTIFS(tData[SEHTrajectPeriodeDatumTijdVan],"&lt;="&amp;($A40+3/24),tData[SEHTrajectPeriodeDatumTijdTotEnMet],"&gt;"&amp;($A40+3/24))</f>
        <v/>
      </c>
      <c r="H40" s="20">
        <f>COUNTIFS(tData[SEHTrajectPeriodeDatumTijdVan],"&lt;="&amp;($A40+4/24),tData[SEHTrajectPeriodeDatumTijdTotEnMet],"&gt;"&amp;($A40+4/24))</f>
        <v/>
      </c>
      <c r="I40" s="20">
        <f>COUNTIFS(tData[SEHTrajectPeriodeDatumTijdVan],"&lt;="&amp;($A40+5/24),tData[SEHTrajectPeriodeDatumTijdTotEnMet],"&gt;"&amp;($A40+5/24))</f>
        <v/>
      </c>
      <c r="J40" s="20">
        <f>COUNTIFS(tData[SEHTrajectPeriodeDatumTijdVan],"&lt;="&amp;($A40+6/24),tData[SEHTrajectPeriodeDatumTijdTotEnMet],"&gt;"&amp;($A40+6/24))</f>
        <v/>
      </c>
      <c r="K40" s="20">
        <f>COUNTIFS(tData[SEHTrajectPeriodeDatumTijdVan],"&lt;="&amp;($A40+7/24),tData[SEHTrajectPeriodeDatumTijdTotEnMet],"&gt;"&amp;($A40+7/24))</f>
        <v/>
      </c>
      <c r="L40" s="20">
        <f>COUNTIFS(tData[SEHTrajectPeriodeDatumTijdVan],"&lt;="&amp;($A40+8/24),tData[SEHTrajectPeriodeDatumTijdTotEnMet],"&gt;"&amp;($A40+8/24))</f>
        <v/>
      </c>
      <c r="M40" s="20">
        <f>COUNTIFS(tData[SEHTrajectPeriodeDatumTijdVan],"&lt;="&amp;($A40+9/24),tData[SEHTrajectPeriodeDatumTijdTotEnMet],"&gt;"&amp;($A40+9/24))</f>
        <v/>
      </c>
      <c r="N40" s="20">
        <f>COUNTIFS(tData[SEHTrajectPeriodeDatumTijdVan],"&lt;="&amp;($A40+10/24),tData[SEHTrajectPeriodeDatumTijdTotEnMet],"&gt;"&amp;($A40+10/24))</f>
        <v/>
      </c>
      <c r="O40" s="20">
        <f>COUNTIFS(tData[SEHTrajectPeriodeDatumTijdVan],"&lt;="&amp;($A40+11/24),tData[SEHTrajectPeriodeDatumTijdTotEnMet],"&gt;"&amp;($A40+11/24))</f>
        <v/>
      </c>
      <c r="P40" s="20">
        <f>COUNTIFS(tData[SEHTrajectPeriodeDatumTijdVan],"&lt;="&amp;($A40+12/24),tData[SEHTrajectPeriodeDatumTijdTotEnMet],"&gt;"&amp;($A40+12/24))</f>
        <v/>
      </c>
      <c r="Q40" s="20">
        <f>COUNTIFS(tData[SEHTrajectPeriodeDatumTijdVan],"&lt;="&amp;($A40+13/24),tData[SEHTrajectPeriodeDatumTijdTotEnMet],"&gt;"&amp;($A40+13/24))</f>
        <v/>
      </c>
      <c r="R40" s="20">
        <f>COUNTIFS(tData[SEHTrajectPeriodeDatumTijdVan],"&lt;="&amp;($A40+14/24),tData[SEHTrajectPeriodeDatumTijdTotEnMet],"&gt;"&amp;($A40+14/24))</f>
        <v/>
      </c>
      <c r="S40" s="20">
        <f>COUNTIFS(tData[SEHTrajectPeriodeDatumTijdVan],"&lt;="&amp;($A40+15/24),tData[SEHTrajectPeriodeDatumTijdTotEnMet],"&gt;"&amp;($A40+15/24))</f>
        <v/>
      </c>
      <c r="T40" s="20">
        <f>COUNTIFS(tData[SEHTrajectPeriodeDatumTijdVan],"&lt;="&amp;($A40+16/24),tData[SEHTrajectPeriodeDatumTijdTotEnMet],"&gt;"&amp;($A40+16/24))</f>
        <v/>
      </c>
      <c r="U40" s="20">
        <f>COUNTIFS(tData[SEHTrajectPeriodeDatumTijdVan],"&lt;="&amp;($A40+17/24),tData[SEHTrajectPeriodeDatumTijdTotEnMet],"&gt;"&amp;($A40+17/24))</f>
        <v/>
      </c>
      <c r="V40" s="20">
        <f>COUNTIFS(tData[SEHTrajectPeriodeDatumTijdVan],"&lt;="&amp;($A40+18/24),tData[SEHTrajectPeriodeDatumTijdTotEnMet],"&gt;"&amp;($A40+18/24))</f>
        <v/>
      </c>
      <c r="W40" s="20">
        <f>COUNTIFS(tData[SEHTrajectPeriodeDatumTijdVan],"&lt;="&amp;($A40+19/24),tData[SEHTrajectPeriodeDatumTijdTotEnMet],"&gt;"&amp;($A40+19/24))</f>
        <v/>
      </c>
      <c r="X40" s="20">
        <f>COUNTIFS(tData[SEHTrajectPeriodeDatumTijdVan],"&lt;="&amp;($A40+20/24),tData[SEHTrajectPeriodeDatumTijdTotEnMet],"&gt;"&amp;($A40+20/24))</f>
        <v/>
      </c>
      <c r="Y40" s="20">
        <f>COUNTIFS(tData[SEHTrajectPeriodeDatumTijdVan],"&lt;="&amp;($A40+21/24),tData[SEHTrajectPeriodeDatumTijdTotEnMet],"&gt;"&amp;($A40+21/24))</f>
        <v/>
      </c>
      <c r="Z40" s="20">
        <f>COUNTIFS(tData[SEHTrajectPeriodeDatumTijdVan],"&lt;="&amp;($A40+22/24),tData[SEHTrajectPeriodeDatumTijdTotEnMet],"&gt;"&amp;($A40+22/24))</f>
        <v/>
      </c>
      <c r="AA40" s="20">
        <f>COUNTIFS(tData[SEHTrajectPeriodeDatumTijdVan],"&lt;="&amp;($A40+23/24),tData[SEHTrajectPeriodeDatumTijdTotEnMet],"&gt;"&amp;($A40+23/24))</f>
        <v/>
      </c>
    </row>
    <row r="41">
      <c r="A41" s="19" t="n">
        <v>45329</v>
      </c>
      <c r="B41" s="15">
        <f>WEEKDAY($A41,2)</f>
        <v/>
      </c>
      <c r="C41" s="15">
        <f>IF(AND($A41&gt;=INT(Instellingen!$B$5),$A41&lt;=INT(Instellingen!$B$6)),1,0)</f>
        <v/>
      </c>
      <c r="D41" s="20">
        <f>COUNTIFS(tData[SEHTrajectPeriodeDatumTijdVan],"&lt;="&amp;($A41+0/24),tData[SEHTrajectPeriodeDatumTijdTotEnMet],"&gt;"&amp;($A41+0/24))</f>
        <v/>
      </c>
      <c r="E41" s="20">
        <f>COUNTIFS(tData[SEHTrajectPeriodeDatumTijdVan],"&lt;="&amp;($A41+1/24),tData[SEHTrajectPeriodeDatumTijdTotEnMet],"&gt;"&amp;($A41+1/24))</f>
        <v/>
      </c>
      <c r="F41" s="20">
        <f>COUNTIFS(tData[SEHTrajectPeriodeDatumTijdVan],"&lt;="&amp;($A41+2/24),tData[SEHTrajectPeriodeDatumTijdTotEnMet],"&gt;"&amp;($A41+2/24))</f>
        <v/>
      </c>
      <c r="G41" s="20">
        <f>COUNTIFS(tData[SEHTrajectPeriodeDatumTijdVan],"&lt;="&amp;($A41+3/24),tData[SEHTrajectPeriodeDatumTijdTotEnMet],"&gt;"&amp;($A41+3/24))</f>
        <v/>
      </c>
      <c r="H41" s="20">
        <f>COUNTIFS(tData[SEHTrajectPeriodeDatumTijdVan],"&lt;="&amp;($A41+4/24),tData[SEHTrajectPeriodeDatumTijdTotEnMet],"&gt;"&amp;($A41+4/24))</f>
        <v/>
      </c>
      <c r="I41" s="20">
        <f>COUNTIFS(tData[SEHTrajectPeriodeDatumTijdVan],"&lt;="&amp;($A41+5/24),tData[SEHTrajectPeriodeDatumTijdTotEnMet],"&gt;"&amp;($A41+5/24))</f>
        <v/>
      </c>
      <c r="J41" s="20">
        <f>COUNTIFS(tData[SEHTrajectPeriodeDatumTijdVan],"&lt;="&amp;($A41+6/24),tData[SEHTrajectPeriodeDatumTijdTotEnMet],"&gt;"&amp;($A41+6/24))</f>
        <v/>
      </c>
      <c r="K41" s="20">
        <f>COUNTIFS(tData[SEHTrajectPeriodeDatumTijdVan],"&lt;="&amp;($A41+7/24),tData[SEHTrajectPeriodeDatumTijdTotEnMet],"&gt;"&amp;($A41+7/24))</f>
        <v/>
      </c>
      <c r="L41" s="20">
        <f>COUNTIFS(tData[SEHTrajectPeriodeDatumTijdVan],"&lt;="&amp;($A41+8/24),tData[SEHTrajectPeriodeDatumTijdTotEnMet],"&gt;"&amp;($A41+8/24))</f>
        <v/>
      </c>
      <c r="M41" s="20">
        <f>COUNTIFS(tData[SEHTrajectPeriodeDatumTijdVan],"&lt;="&amp;($A41+9/24),tData[SEHTrajectPeriodeDatumTijdTotEnMet],"&gt;"&amp;($A41+9/24))</f>
        <v/>
      </c>
      <c r="N41" s="20">
        <f>COUNTIFS(tData[SEHTrajectPeriodeDatumTijdVan],"&lt;="&amp;($A41+10/24),tData[SEHTrajectPeriodeDatumTijdTotEnMet],"&gt;"&amp;($A41+10/24))</f>
        <v/>
      </c>
      <c r="O41" s="20">
        <f>COUNTIFS(tData[SEHTrajectPeriodeDatumTijdVan],"&lt;="&amp;($A41+11/24),tData[SEHTrajectPeriodeDatumTijdTotEnMet],"&gt;"&amp;($A41+11/24))</f>
        <v/>
      </c>
      <c r="P41" s="20">
        <f>COUNTIFS(tData[SEHTrajectPeriodeDatumTijdVan],"&lt;="&amp;($A41+12/24),tData[SEHTrajectPeriodeDatumTijdTotEnMet],"&gt;"&amp;($A41+12/24))</f>
        <v/>
      </c>
      <c r="Q41" s="20">
        <f>COUNTIFS(tData[SEHTrajectPeriodeDatumTijdVan],"&lt;="&amp;($A41+13/24),tData[SEHTrajectPeriodeDatumTijdTotEnMet],"&gt;"&amp;($A41+13/24))</f>
        <v/>
      </c>
      <c r="R41" s="20">
        <f>COUNTIFS(tData[SEHTrajectPeriodeDatumTijdVan],"&lt;="&amp;($A41+14/24),tData[SEHTrajectPeriodeDatumTijdTotEnMet],"&gt;"&amp;($A41+14/24))</f>
        <v/>
      </c>
      <c r="S41" s="20">
        <f>COUNTIFS(tData[SEHTrajectPeriodeDatumTijdVan],"&lt;="&amp;($A41+15/24),tData[SEHTrajectPeriodeDatumTijdTotEnMet],"&gt;"&amp;($A41+15/24))</f>
        <v/>
      </c>
      <c r="T41" s="20">
        <f>COUNTIFS(tData[SEHTrajectPeriodeDatumTijdVan],"&lt;="&amp;($A41+16/24),tData[SEHTrajectPeriodeDatumTijdTotEnMet],"&gt;"&amp;($A41+16/24))</f>
        <v/>
      </c>
      <c r="U41" s="20">
        <f>COUNTIFS(tData[SEHTrajectPeriodeDatumTijdVan],"&lt;="&amp;($A41+17/24),tData[SEHTrajectPeriodeDatumTijdTotEnMet],"&gt;"&amp;($A41+17/24))</f>
        <v/>
      </c>
      <c r="V41" s="20">
        <f>COUNTIFS(tData[SEHTrajectPeriodeDatumTijdVan],"&lt;="&amp;($A41+18/24),tData[SEHTrajectPeriodeDatumTijdTotEnMet],"&gt;"&amp;($A41+18/24))</f>
        <v/>
      </c>
      <c r="W41" s="20">
        <f>COUNTIFS(tData[SEHTrajectPeriodeDatumTijdVan],"&lt;="&amp;($A41+19/24),tData[SEHTrajectPeriodeDatumTijdTotEnMet],"&gt;"&amp;($A41+19/24))</f>
        <v/>
      </c>
      <c r="X41" s="20">
        <f>COUNTIFS(tData[SEHTrajectPeriodeDatumTijdVan],"&lt;="&amp;($A41+20/24),tData[SEHTrajectPeriodeDatumTijdTotEnMet],"&gt;"&amp;($A41+20/24))</f>
        <v/>
      </c>
      <c r="Y41" s="20">
        <f>COUNTIFS(tData[SEHTrajectPeriodeDatumTijdVan],"&lt;="&amp;($A41+21/24),tData[SEHTrajectPeriodeDatumTijdTotEnMet],"&gt;"&amp;($A41+21/24))</f>
        <v/>
      </c>
      <c r="Z41" s="20">
        <f>COUNTIFS(tData[SEHTrajectPeriodeDatumTijdVan],"&lt;="&amp;($A41+22/24),tData[SEHTrajectPeriodeDatumTijdTotEnMet],"&gt;"&amp;($A41+22/24))</f>
        <v/>
      </c>
      <c r="AA41" s="20">
        <f>COUNTIFS(tData[SEHTrajectPeriodeDatumTijdVan],"&lt;="&amp;($A41+23/24),tData[SEHTrajectPeriodeDatumTijdTotEnMet],"&gt;"&amp;($A41+23/24))</f>
        <v/>
      </c>
    </row>
    <row r="42">
      <c r="A42" s="19" t="n">
        <v>45330</v>
      </c>
      <c r="B42" s="15">
        <f>WEEKDAY($A42,2)</f>
        <v/>
      </c>
      <c r="C42" s="15">
        <f>IF(AND($A42&gt;=INT(Instellingen!$B$5),$A42&lt;=INT(Instellingen!$B$6)),1,0)</f>
        <v/>
      </c>
      <c r="D42" s="20">
        <f>COUNTIFS(tData[SEHTrajectPeriodeDatumTijdVan],"&lt;="&amp;($A42+0/24),tData[SEHTrajectPeriodeDatumTijdTotEnMet],"&gt;"&amp;($A42+0/24))</f>
        <v/>
      </c>
      <c r="E42" s="20">
        <f>COUNTIFS(tData[SEHTrajectPeriodeDatumTijdVan],"&lt;="&amp;($A42+1/24),tData[SEHTrajectPeriodeDatumTijdTotEnMet],"&gt;"&amp;($A42+1/24))</f>
        <v/>
      </c>
      <c r="F42" s="20">
        <f>COUNTIFS(tData[SEHTrajectPeriodeDatumTijdVan],"&lt;="&amp;($A42+2/24),tData[SEHTrajectPeriodeDatumTijdTotEnMet],"&gt;"&amp;($A42+2/24))</f>
        <v/>
      </c>
      <c r="G42" s="20">
        <f>COUNTIFS(tData[SEHTrajectPeriodeDatumTijdVan],"&lt;="&amp;($A42+3/24),tData[SEHTrajectPeriodeDatumTijdTotEnMet],"&gt;"&amp;($A42+3/24))</f>
        <v/>
      </c>
      <c r="H42" s="20">
        <f>COUNTIFS(tData[SEHTrajectPeriodeDatumTijdVan],"&lt;="&amp;($A42+4/24),tData[SEHTrajectPeriodeDatumTijdTotEnMet],"&gt;"&amp;($A42+4/24))</f>
        <v/>
      </c>
      <c r="I42" s="20">
        <f>COUNTIFS(tData[SEHTrajectPeriodeDatumTijdVan],"&lt;="&amp;($A42+5/24),tData[SEHTrajectPeriodeDatumTijdTotEnMet],"&gt;"&amp;($A42+5/24))</f>
        <v/>
      </c>
      <c r="J42" s="20">
        <f>COUNTIFS(tData[SEHTrajectPeriodeDatumTijdVan],"&lt;="&amp;($A42+6/24),tData[SEHTrajectPeriodeDatumTijdTotEnMet],"&gt;"&amp;($A42+6/24))</f>
        <v/>
      </c>
      <c r="K42" s="20">
        <f>COUNTIFS(tData[SEHTrajectPeriodeDatumTijdVan],"&lt;="&amp;($A42+7/24),tData[SEHTrajectPeriodeDatumTijdTotEnMet],"&gt;"&amp;($A42+7/24))</f>
        <v/>
      </c>
      <c r="L42" s="20">
        <f>COUNTIFS(tData[SEHTrajectPeriodeDatumTijdVan],"&lt;="&amp;($A42+8/24),tData[SEHTrajectPeriodeDatumTijdTotEnMet],"&gt;"&amp;($A42+8/24))</f>
        <v/>
      </c>
      <c r="M42" s="20">
        <f>COUNTIFS(tData[SEHTrajectPeriodeDatumTijdVan],"&lt;="&amp;($A42+9/24),tData[SEHTrajectPeriodeDatumTijdTotEnMet],"&gt;"&amp;($A42+9/24))</f>
        <v/>
      </c>
      <c r="N42" s="20">
        <f>COUNTIFS(tData[SEHTrajectPeriodeDatumTijdVan],"&lt;="&amp;($A42+10/24),tData[SEHTrajectPeriodeDatumTijdTotEnMet],"&gt;"&amp;($A42+10/24))</f>
        <v/>
      </c>
      <c r="O42" s="20">
        <f>COUNTIFS(tData[SEHTrajectPeriodeDatumTijdVan],"&lt;="&amp;($A42+11/24),tData[SEHTrajectPeriodeDatumTijdTotEnMet],"&gt;"&amp;($A42+11/24))</f>
        <v/>
      </c>
      <c r="P42" s="20">
        <f>COUNTIFS(tData[SEHTrajectPeriodeDatumTijdVan],"&lt;="&amp;($A42+12/24),tData[SEHTrajectPeriodeDatumTijdTotEnMet],"&gt;"&amp;($A42+12/24))</f>
        <v/>
      </c>
      <c r="Q42" s="20">
        <f>COUNTIFS(tData[SEHTrajectPeriodeDatumTijdVan],"&lt;="&amp;($A42+13/24),tData[SEHTrajectPeriodeDatumTijdTotEnMet],"&gt;"&amp;($A42+13/24))</f>
        <v/>
      </c>
      <c r="R42" s="20">
        <f>COUNTIFS(tData[SEHTrajectPeriodeDatumTijdVan],"&lt;="&amp;($A42+14/24),tData[SEHTrajectPeriodeDatumTijdTotEnMet],"&gt;"&amp;($A42+14/24))</f>
        <v/>
      </c>
      <c r="S42" s="20">
        <f>COUNTIFS(tData[SEHTrajectPeriodeDatumTijdVan],"&lt;="&amp;($A42+15/24),tData[SEHTrajectPeriodeDatumTijdTotEnMet],"&gt;"&amp;($A42+15/24))</f>
        <v/>
      </c>
      <c r="T42" s="20">
        <f>COUNTIFS(tData[SEHTrajectPeriodeDatumTijdVan],"&lt;="&amp;($A42+16/24),tData[SEHTrajectPeriodeDatumTijdTotEnMet],"&gt;"&amp;($A42+16/24))</f>
        <v/>
      </c>
      <c r="U42" s="20">
        <f>COUNTIFS(tData[SEHTrajectPeriodeDatumTijdVan],"&lt;="&amp;($A42+17/24),tData[SEHTrajectPeriodeDatumTijdTotEnMet],"&gt;"&amp;($A42+17/24))</f>
        <v/>
      </c>
      <c r="V42" s="20">
        <f>COUNTIFS(tData[SEHTrajectPeriodeDatumTijdVan],"&lt;="&amp;($A42+18/24),tData[SEHTrajectPeriodeDatumTijdTotEnMet],"&gt;"&amp;($A42+18/24))</f>
        <v/>
      </c>
      <c r="W42" s="20">
        <f>COUNTIFS(tData[SEHTrajectPeriodeDatumTijdVan],"&lt;="&amp;($A42+19/24),tData[SEHTrajectPeriodeDatumTijdTotEnMet],"&gt;"&amp;($A42+19/24))</f>
        <v/>
      </c>
      <c r="X42" s="20">
        <f>COUNTIFS(tData[SEHTrajectPeriodeDatumTijdVan],"&lt;="&amp;($A42+20/24),tData[SEHTrajectPeriodeDatumTijdTotEnMet],"&gt;"&amp;($A42+20/24))</f>
        <v/>
      </c>
      <c r="Y42" s="20">
        <f>COUNTIFS(tData[SEHTrajectPeriodeDatumTijdVan],"&lt;="&amp;($A42+21/24),tData[SEHTrajectPeriodeDatumTijdTotEnMet],"&gt;"&amp;($A42+21/24))</f>
        <v/>
      </c>
      <c r="Z42" s="20">
        <f>COUNTIFS(tData[SEHTrajectPeriodeDatumTijdVan],"&lt;="&amp;($A42+22/24),tData[SEHTrajectPeriodeDatumTijdTotEnMet],"&gt;"&amp;($A42+22/24))</f>
        <v/>
      </c>
      <c r="AA42" s="20">
        <f>COUNTIFS(tData[SEHTrajectPeriodeDatumTijdVan],"&lt;="&amp;($A42+23/24),tData[SEHTrajectPeriodeDatumTijdTotEnMet],"&gt;"&amp;($A42+23/24))</f>
        <v/>
      </c>
    </row>
    <row r="43">
      <c r="A43" s="19" t="n">
        <v>45331</v>
      </c>
      <c r="B43" s="15">
        <f>WEEKDAY($A43,2)</f>
        <v/>
      </c>
      <c r="C43" s="15">
        <f>IF(AND($A43&gt;=INT(Instellingen!$B$5),$A43&lt;=INT(Instellingen!$B$6)),1,0)</f>
        <v/>
      </c>
      <c r="D43" s="20">
        <f>COUNTIFS(tData[SEHTrajectPeriodeDatumTijdVan],"&lt;="&amp;($A43+0/24),tData[SEHTrajectPeriodeDatumTijdTotEnMet],"&gt;"&amp;($A43+0/24))</f>
        <v/>
      </c>
      <c r="E43" s="20">
        <f>COUNTIFS(tData[SEHTrajectPeriodeDatumTijdVan],"&lt;="&amp;($A43+1/24),tData[SEHTrajectPeriodeDatumTijdTotEnMet],"&gt;"&amp;($A43+1/24))</f>
        <v/>
      </c>
      <c r="F43" s="20">
        <f>COUNTIFS(tData[SEHTrajectPeriodeDatumTijdVan],"&lt;="&amp;($A43+2/24),tData[SEHTrajectPeriodeDatumTijdTotEnMet],"&gt;"&amp;($A43+2/24))</f>
        <v/>
      </c>
      <c r="G43" s="20">
        <f>COUNTIFS(tData[SEHTrajectPeriodeDatumTijdVan],"&lt;="&amp;($A43+3/24),tData[SEHTrajectPeriodeDatumTijdTotEnMet],"&gt;"&amp;($A43+3/24))</f>
        <v/>
      </c>
      <c r="H43" s="20">
        <f>COUNTIFS(tData[SEHTrajectPeriodeDatumTijdVan],"&lt;="&amp;($A43+4/24),tData[SEHTrajectPeriodeDatumTijdTotEnMet],"&gt;"&amp;($A43+4/24))</f>
        <v/>
      </c>
      <c r="I43" s="20">
        <f>COUNTIFS(tData[SEHTrajectPeriodeDatumTijdVan],"&lt;="&amp;($A43+5/24),tData[SEHTrajectPeriodeDatumTijdTotEnMet],"&gt;"&amp;($A43+5/24))</f>
        <v/>
      </c>
      <c r="J43" s="20">
        <f>COUNTIFS(tData[SEHTrajectPeriodeDatumTijdVan],"&lt;="&amp;($A43+6/24),tData[SEHTrajectPeriodeDatumTijdTotEnMet],"&gt;"&amp;($A43+6/24))</f>
        <v/>
      </c>
      <c r="K43" s="20">
        <f>COUNTIFS(tData[SEHTrajectPeriodeDatumTijdVan],"&lt;="&amp;($A43+7/24),tData[SEHTrajectPeriodeDatumTijdTotEnMet],"&gt;"&amp;($A43+7/24))</f>
        <v/>
      </c>
      <c r="L43" s="20">
        <f>COUNTIFS(tData[SEHTrajectPeriodeDatumTijdVan],"&lt;="&amp;($A43+8/24),tData[SEHTrajectPeriodeDatumTijdTotEnMet],"&gt;"&amp;($A43+8/24))</f>
        <v/>
      </c>
      <c r="M43" s="20">
        <f>COUNTIFS(tData[SEHTrajectPeriodeDatumTijdVan],"&lt;="&amp;($A43+9/24),tData[SEHTrajectPeriodeDatumTijdTotEnMet],"&gt;"&amp;($A43+9/24))</f>
        <v/>
      </c>
      <c r="N43" s="20">
        <f>COUNTIFS(tData[SEHTrajectPeriodeDatumTijdVan],"&lt;="&amp;($A43+10/24),tData[SEHTrajectPeriodeDatumTijdTotEnMet],"&gt;"&amp;($A43+10/24))</f>
        <v/>
      </c>
      <c r="O43" s="20">
        <f>COUNTIFS(tData[SEHTrajectPeriodeDatumTijdVan],"&lt;="&amp;($A43+11/24),tData[SEHTrajectPeriodeDatumTijdTotEnMet],"&gt;"&amp;($A43+11/24))</f>
        <v/>
      </c>
      <c r="P43" s="20">
        <f>COUNTIFS(tData[SEHTrajectPeriodeDatumTijdVan],"&lt;="&amp;($A43+12/24),tData[SEHTrajectPeriodeDatumTijdTotEnMet],"&gt;"&amp;($A43+12/24))</f>
        <v/>
      </c>
      <c r="Q43" s="20">
        <f>COUNTIFS(tData[SEHTrajectPeriodeDatumTijdVan],"&lt;="&amp;($A43+13/24),tData[SEHTrajectPeriodeDatumTijdTotEnMet],"&gt;"&amp;($A43+13/24))</f>
        <v/>
      </c>
      <c r="R43" s="20">
        <f>COUNTIFS(tData[SEHTrajectPeriodeDatumTijdVan],"&lt;="&amp;($A43+14/24),tData[SEHTrajectPeriodeDatumTijdTotEnMet],"&gt;"&amp;($A43+14/24))</f>
        <v/>
      </c>
      <c r="S43" s="20">
        <f>COUNTIFS(tData[SEHTrajectPeriodeDatumTijdVan],"&lt;="&amp;($A43+15/24),tData[SEHTrajectPeriodeDatumTijdTotEnMet],"&gt;"&amp;($A43+15/24))</f>
        <v/>
      </c>
      <c r="T43" s="20">
        <f>COUNTIFS(tData[SEHTrajectPeriodeDatumTijdVan],"&lt;="&amp;($A43+16/24),tData[SEHTrajectPeriodeDatumTijdTotEnMet],"&gt;"&amp;($A43+16/24))</f>
        <v/>
      </c>
      <c r="U43" s="20">
        <f>COUNTIFS(tData[SEHTrajectPeriodeDatumTijdVan],"&lt;="&amp;($A43+17/24),tData[SEHTrajectPeriodeDatumTijdTotEnMet],"&gt;"&amp;($A43+17/24))</f>
        <v/>
      </c>
      <c r="V43" s="20">
        <f>COUNTIFS(tData[SEHTrajectPeriodeDatumTijdVan],"&lt;="&amp;($A43+18/24),tData[SEHTrajectPeriodeDatumTijdTotEnMet],"&gt;"&amp;($A43+18/24))</f>
        <v/>
      </c>
      <c r="W43" s="20">
        <f>COUNTIFS(tData[SEHTrajectPeriodeDatumTijdVan],"&lt;="&amp;($A43+19/24),tData[SEHTrajectPeriodeDatumTijdTotEnMet],"&gt;"&amp;($A43+19/24))</f>
        <v/>
      </c>
      <c r="X43" s="20">
        <f>COUNTIFS(tData[SEHTrajectPeriodeDatumTijdVan],"&lt;="&amp;($A43+20/24),tData[SEHTrajectPeriodeDatumTijdTotEnMet],"&gt;"&amp;($A43+20/24))</f>
        <v/>
      </c>
      <c r="Y43" s="20">
        <f>COUNTIFS(tData[SEHTrajectPeriodeDatumTijdVan],"&lt;="&amp;($A43+21/24),tData[SEHTrajectPeriodeDatumTijdTotEnMet],"&gt;"&amp;($A43+21/24))</f>
        <v/>
      </c>
      <c r="Z43" s="20">
        <f>COUNTIFS(tData[SEHTrajectPeriodeDatumTijdVan],"&lt;="&amp;($A43+22/24),tData[SEHTrajectPeriodeDatumTijdTotEnMet],"&gt;"&amp;($A43+22/24))</f>
        <v/>
      </c>
      <c r="AA43" s="20">
        <f>COUNTIFS(tData[SEHTrajectPeriodeDatumTijdVan],"&lt;="&amp;($A43+23/24),tData[SEHTrajectPeriodeDatumTijdTotEnMet],"&gt;"&amp;($A43+23/24))</f>
        <v/>
      </c>
    </row>
    <row r="44">
      <c r="A44" s="19" t="n">
        <v>45332</v>
      </c>
      <c r="B44" s="15">
        <f>WEEKDAY($A44,2)</f>
        <v/>
      </c>
      <c r="C44" s="15">
        <f>IF(AND($A44&gt;=INT(Instellingen!$B$5),$A44&lt;=INT(Instellingen!$B$6)),1,0)</f>
        <v/>
      </c>
      <c r="D44" s="20">
        <f>COUNTIFS(tData[SEHTrajectPeriodeDatumTijdVan],"&lt;="&amp;($A44+0/24),tData[SEHTrajectPeriodeDatumTijdTotEnMet],"&gt;"&amp;($A44+0/24))</f>
        <v/>
      </c>
      <c r="E44" s="20">
        <f>COUNTIFS(tData[SEHTrajectPeriodeDatumTijdVan],"&lt;="&amp;($A44+1/24),tData[SEHTrajectPeriodeDatumTijdTotEnMet],"&gt;"&amp;($A44+1/24))</f>
        <v/>
      </c>
      <c r="F44" s="20">
        <f>COUNTIFS(tData[SEHTrajectPeriodeDatumTijdVan],"&lt;="&amp;($A44+2/24),tData[SEHTrajectPeriodeDatumTijdTotEnMet],"&gt;"&amp;($A44+2/24))</f>
        <v/>
      </c>
      <c r="G44" s="20">
        <f>COUNTIFS(tData[SEHTrajectPeriodeDatumTijdVan],"&lt;="&amp;($A44+3/24),tData[SEHTrajectPeriodeDatumTijdTotEnMet],"&gt;"&amp;($A44+3/24))</f>
        <v/>
      </c>
      <c r="H44" s="20">
        <f>COUNTIFS(tData[SEHTrajectPeriodeDatumTijdVan],"&lt;="&amp;($A44+4/24),tData[SEHTrajectPeriodeDatumTijdTotEnMet],"&gt;"&amp;($A44+4/24))</f>
        <v/>
      </c>
      <c r="I44" s="20">
        <f>COUNTIFS(tData[SEHTrajectPeriodeDatumTijdVan],"&lt;="&amp;($A44+5/24),tData[SEHTrajectPeriodeDatumTijdTotEnMet],"&gt;"&amp;($A44+5/24))</f>
        <v/>
      </c>
      <c r="J44" s="20">
        <f>COUNTIFS(tData[SEHTrajectPeriodeDatumTijdVan],"&lt;="&amp;($A44+6/24),tData[SEHTrajectPeriodeDatumTijdTotEnMet],"&gt;"&amp;($A44+6/24))</f>
        <v/>
      </c>
      <c r="K44" s="20">
        <f>COUNTIFS(tData[SEHTrajectPeriodeDatumTijdVan],"&lt;="&amp;($A44+7/24),tData[SEHTrajectPeriodeDatumTijdTotEnMet],"&gt;"&amp;($A44+7/24))</f>
        <v/>
      </c>
      <c r="L44" s="20">
        <f>COUNTIFS(tData[SEHTrajectPeriodeDatumTijdVan],"&lt;="&amp;($A44+8/24),tData[SEHTrajectPeriodeDatumTijdTotEnMet],"&gt;"&amp;($A44+8/24))</f>
        <v/>
      </c>
      <c r="M44" s="20">
        <f>COUNTIFS(tData[SEHTrajectPeriodeDatumTijdVan],"&lt;="&amp;($A44+9/24),tData[SEHTrajectPeriodeDatumTijdTotEnMet],"&gt;"&amp;($A44+9/24))</f>
        <v/>
      </c>
      <c r="N44" s="20">
        <f>COUNTIFS(tData[SEHTrajectPeriodeDatumTijdVan],"&lt;="&amp;($A44+10/24),tData[SEHTrajectPeriodeDatumTijdTotEnMet],"&gt;"&amp;($A44+10/24))</f>
        <v/>
      </c>
      <c r="O44" s="20">
        <f>COUNTIFS(tData[SEHTrajectPeriodeDatumTijdVan],"&lt;="&amp;($A44+11/24),tData[SEHTrajectPeriodeDatumTijdTotEnMet],"&gt;"&amp;($A44+11/24))</f>
        <v/>
      </c>
      <c r="P44" s="20">
        <f>COUNTIFS(tData[SEHTrajectPeriodeDatumTijdVan],"&lt;="&amp;($A44+12/24),tData[SEHTrajectPeriodeDatumTijdTotEnMet],"&gt;"&amp;($A44+12/24))</f>
        <v/>
      </c>
      <c r="Q44" s="20">
        <f>COUNTIFS(tData[SEHTrajectPeriodeDatumTijdVan],"&lt;="&amp;($A44+13/24),tData[SEHTrajectPeriodeDatumTijdTotEnMet],"&gt;"&amp;($A44+13/24))</f>
        <v/>
      </c>
      <c r="R44" s="20">
        <f>COUNTIFS(tData[SEHTrajectPeriodeDatumTijdVan],"&lt;="&amp;($A44+14/24),tData[SEHTrajectPeriodeDatumTijdTotEnMet],"&gt;"&amp;($A44+14/24))</f>
        <v/>
      </c>
      <c r="S44" s="20">
        <f>COUNTIFS(tData[SEHTrajectPeriodeDatumTijdVan],"&lt;="&amp;($A44+15/24),tData[SEHTrajectPeriodeDatumTijdTotEnMet],"&gt;"&amp;($A44+15/24))</f>
        <v/>
      </c>
      <c r="T44" s="20">
        <f>COUNTIFS(tData[SEHTrajectPeriodeDatumTijdVan],"&lt;="&amp;($A44+16/24),tData[SEHTrajectPeriodeDatumTijdTotEnMet],"&gt;"&amp;($A44+16/24))</f>
        <v/>
      </c>
      <c r="U44" s="20">
        <f>COUNTIFS(tData[SEHTrajectPeriodeDatumTijdVan],"&lt;="&amp;($A44+17/24),tData[SEHTrajectPeriodeDatumTijdTotEnMet],"&gt;"&amp;($A44+17/24))</f>
        <v/>
      </c>
      <c r="V44" s="20">
        <f>COUNTIFS(tData[SEHTrajectPeriodeDatumTijdVan],"&lt;="&amp;($A44+18/24),tData[SEHTrajectPeriodeDatumTijdTotEnMet],"&gt;"&amp;($A44+18/24))</f>
        <v/>
      </c>
      <c r="W44" s="20">
        <f>COUNTIFS(tData[SEHTrajectPeriodeDatumTijdVan],"&lt;="&amp;($A44+19/24),tData[SEHTrajectPeriodeDatumTijdTotEnMet],"&gt;"&amp;($A44+19/24))</f>
        <v/>
      </c>
      <c r="X44" s="20">
        <f>COUNTIFS(tData[SEHTrajectPeriodeDatumTijdVan],"&lt;="&amp;($A44+20/24),tData[SEHTrajectPeriodeDatumTijdTotEnMet],"&gt;"&amp;($A44+20/24))</f>
        <v/>
      </c>
      <c r="Y44" s="20">
        <f>COUNTIFS(tData[SEHTrajectPeriodeDatumTijdVan],"&lt;="&amp;($A44+21/24),tData[SEHTrajectPeriodeDatumTijdTotEnMet],"&gt;"&amp;($A44+21/24))</f>
        <v/>
      </c>
      <c r="Z44" s="20">
        <f>COUNTIFS(tData[SEHTrajectPeriodeDatumTijdVan],"&lt;="&amp;($A44+22/24),tData[SEHTrajectPeriodeDatumTijdTotEnMet],"&gt;"&amp;($A44+22/24))</f>
        <v/>
      </c>
      <c r="AA44" s="20">
        <f>COUNTIFS(tData[SEHTrajectPeriodeDatumTijdVan],"&lt;="&amp;($A44+23/24),tData[SEHTrajectPeriodeDatumTijdTotEnMet],"&gt;"&amp;($A44+23/24))</f>
        <v/>
      </c>
    </row>
    <row r="45">
      <c r="A45" s="19" t="n">
        <v>45333</v>
      </c>
      <c r="B45" s="15">
        <f>WEEKDAY($A45,2)</f>
        <v/>
      </c>
      <c r="C45" s="15">
        <f>IF(AND($A45&gt;=INT(Instellingen!$B$5),$A45&lt;=INT(Instellingen!$B$6)),1,0)</f>
        <v/>
      </c>
      <c r="D45" s="20">
        <f>COUNTIFS(tData[SEHTrajectPeriodeDatumTijdVan],"&lt;="&amp;($A45+0/24),tData[SEHTrajectPeriodeDatumTijdTotEnMet],"&gt;"&amp;($A45+0/24))</f>
        <v/>
      </c>
      <c r="E45" s="20">
        <f>COUNTIFS(tData[SEHTrajectPeriodeDatumTijdVan],"&lt;="&amp;($A45+1/24),tData[SEHTrajectPeriodeDatumTijdTotEnMet],"&gt;"&amp;($A45+1/24))</f>
        <v/>
      </c>
      <c r="F45" s="20">
        <f>COUNTIFS(tData[SEHTrajectPeriodeDatumTijdVan],"&lt;="&amp;($A45+2/24),tData[SEHTrajectPeriodeDatumTijdTotEnMet],"&gt;"&amp;($A45+2/24))</f>
        <v/>
      </c>
      <c r="G45" s="20">
        <f>COUNTIFS(tData[SEHTrajectPeriodeDatumTijdVan],"&lt;="&amp;($A45+3/24),tData[SEHTrajectPeriodeDatumTijdTotEnMet],"&gt;"&amp;($A45+3/24))</f>
        <v/>
      </c>
      <c r="H45" s="20">
        <f>COUNTIFS(tData[SEHTrajectPeriodeDatumTijdVan],"&lt;="&amp;($A45+4/24),tData[SEHTrajectPeriodeDatumTijdTotEnMet],"&gt;"&amp;($A45+4/24))</f>
        <v/>
      </c>
      <c r="I45" s="20">
        <f>COUNTIFS(tData[SEHTrajectPeriodeDatumTijdVan],"&lt;="&amp;($A45+5/24),tData[SEHTrajectPeriodeDatumTijdTotEnMet],"&gt;"&amp;($A45+5/24))</f>
        <v/>
      </c>
      <c r="J45" s="20">
        <f>COUNTIFS(tData[SEHTrajectPeriodeDatumTijdVan],"&lt;="&amp;($A45+6/24),tData[SEHTrajectPeriodeDatumTijdTotEnMet],"&gt;"&amp;($A45+6/24))</f>
        <v/>
      </c>
      <c r="K45" s="20">
        <f>COUNTIFS(tData[SEHTrajectPeriodeDatumTijdVan],"&lt;="&amp;($A45+7/24),tData[SEHTrajectPeriodeDatumTijdTotEnMet],"&gt;"&amp;($A45+7/24))</f>
        <v/>
      </c>
      <c r="L45" s="20">
        <f>COUNTIFS(tData[SEHTrajectPeriodeDatumTijdVan],"&lt;="&amp;($A45+8/24),tData[SEHTrajectPeriodeDatumTijdTotEnMet],"&gt;"&amp;($A45+8/24))</f>
        <v/>
      </c>
      <c r="M45" s="20">
        <f>COUNTIFS(tData[SEHTrajectPeriodeDatumTijdVan],"&lt;="&amp;($A45+9/24),tData[SEHTrajectPeriodeDatumTijdTotEnMet],"&gt;"&amp;($A45+9/24))</f>
        <v/>
      </c>
      <c r="N45" s="20">
        <f>COUNTIFS(tData[SEHTrajectPeriodeDatumTijdVan],"&lt;="&amp;($A45+10/24),tData[SEHTrajectPeriodeDatumTijdTotEnMet],"&gt;"&amp;($A45+10/24))</f>
        <v/>
      </c>
      <c r="O45" s="20">
        <f>COUNTIFS(tData[SEHTrajectPeriodeDatumTijdVan],"&lt;="&amp;($A45+11/24),tData[SEHTrajectPeriodeDatumTijdTotEnMet],"&gt;"&amp;($A45+11/24))</f>
        <v/>
      </c>
      <c r="P45" s="20">
        <f>COUNTIFS(tData[SEHTrajectPeriodeDatumTijdVan],"&lt;="&amp;($A45+12/24),tData[SEHTrajectPeriodeDatumTijdTotEnMet],"&gt;"&amp;($A45+12/24))</f>
        <v/>
      </c>
      <c r="Q45" s="20">
        <f>COUNTIFS(tData[SEHTrajectPeriodeDatumTijdVan],"&lt;="&amp;($A45+13/24),tData[SEHTrajectPeriodeDatumTijdTotEnMet],"&gt;"&amp;($A45+13/24))</f>
        <v/>
      </c>
      <c r="R45" s="20">
        <f>COUNTIFS(tData[SEHTrajectPeriodeDatumTijdVan],"&lt;="&amp;($A45+14/24),tData[SEHTrajectPeriodeDatumTijdTotEnMet],"&gt;"&amp;($A45+14/24))</f>
        <v/>
      </c>
      <c r="S45" s="20">
        <f>COUNTIFS(tData[SEHTrajectPeriodeDatumTijdVan],"&lt;="&amp;($A45+15/24),tData[SEHTrajectPeriodeDatumTijdTotEnMet],"&gt;"&amp;($A45+15/24))</f>
        <v/>
      </c>
      <c r="T45" s="20">
        <f>COUNTIFS(tData[SEHTrajectPeriodeDatumTijdVan],"&lt;="&amp;($A45+16/24),tData[SEHTrajectPeriodeDatumTijdTotEnMet],"&gt;"&amp;($A45+16/24))</f>
        <v/>
      </c>
      <c r="U45" s="20">
        <f>COUNTIFS(tData[SEHTrajectPeriodeDatumTijdVan],"&lt;="&amp;($A45+17/24),tData[SEHTrajectPeriodeDatumTijdTotEnMet],"&gt;"&amp;($A45+17/24))</f>
        <v/>
      </c>
      <c r="V45" s="20">
        <f>COUNTIFS(tData[SEHTrajectPeriodeDatumTijdVan],"&lt;="&amp;($A45+18/24),tData[SEHTrajectPeriodeDatumTijdTotEnMet],"&gt;"&amp;($A45+18/24))</f>
        <v/>
      </c>
      <c r="W45" s="20">
        <f>COUNTIFS(tData[SEHTrajectPeriodeDatumTijdVan],"&lt;="&amp;($A45+19/24),tData[SEHTrajectPeriodeDatumTijdTotEnMet],"&gt;"&amp;($A45+19/24))</f>
        <v/>
      </c>
      <c r="X45" s="20">
        <f>COUNTIFS(tData[SEHTrajectPeriodeDatumTijdVan],"&lt;="&amp;($A45+20/24),tData[SEHTrajectPeriodeDatumTijdTotEnMet],"&gt;"&amp;($A45+20/24))</f>
        <v/>
      </c>
      <c r="Y45" s="20">
        <f>COUNTIFS(tData[SEHTrajectPeriodeDatumTijdVan],"&lt;="&amp;($A45+21/24),tData[SEHTrajectPeriodeDatumTijdTotEnMet],"&gt;"&amp;($A45+21/24))</f>
        <v/>
      </c>
      <c r="Z45" s="20">
        <f>COUNTIFS(tData[SEHTrajectPeriodeDatumTijdVan],"&lt;="&amp;($A45+22/24),tData[SEHTrajectPeriodeDatumTijdTotEnMet],"&gt;"&amp;($A45+22/24))</f>
        <v/>
      </c>
      <c r="AA45" s="20">
        <f>COUNTIFS(tData[SEHTrajectPeriodeDatumTijdVan],"&lt;="&amp;($A45+23/24),tData[SEHTrajectPeriodeDatumTijdTotEnMet],"&gt;"&amp;($A45+23/24))</f>
        <v/>
      </c>
    </row>
    <row r="46">
      <c r="A46" s="19" t="n">
        <v>45334</v>
      </c>
      <c r="B46" s="15">
        <f>WEEKDAY($A46,2)</f>
        <v/>
      </c>
      <c r="C46" s="15">
        <f>IF(AND($A46&gt;=INT(Instellingen!$B$5),$A46&lt;=INT(Instellingen!$B$6)),1,0)</f>
        <v/>
      </c>
      <c r="D46" s="20">
        <f>COUNTIFS(tData[SEHTrajectPeriodeDatumTijdVan],"&lt;="&amp;($A46+0/24),tData[SEHTrajectPeriodeDatumTijdTotEnMet],"&gt;"&amp;($A46+0/24))</f>
        <v/>
      </c>
      <c r="E46" s="20">
        <f>COUNTIFS(tData[SEHTrajectPeriodeDatumTijdVan],"&lt;="&amp;($A46+1/24),tData[SEHTrajectPeriodeDatumTijdTotEnMet],"&gt;"&amp;($A46+1/24))</f>
        <v/>
      </c>
      <c r="F46" s="20">
        <f>COUNTIFS(tData[SEHTrajectPeriodeDatumTijdVan],"&lt;="&amp;($A46+2/24),tData[SEHTrajectPeriodeDatumTijdTotEnMet],"&gt;"&amp;($A46+2/24))</f>
        <v/>
      </c>
      <c r="G46" s="20">
        <f>COUNTIFS(tData[SEHTrajectPeriodeDatumTijdVan],"&lt;="&amp;($A46+3/24),tData[SEHTrajectPeriodeDatumTijdTotEnMet],"&gt;"&amp;($A46+3/24))</f>
        <v/>
      </c>
      <c r="H46" s="20">
        <f>COUNTIFS(tData[SEHTrajectPeriodeDatumTijdVan],"&lt;="&amp;($A46+4/24),tData[SEHTrajectPeriodeDatumTijdTotEnMet],"&gt;"&amp;($A46+4/24))</f>
        <v/>
      </c>
      <c r="I46" s="20">
        <f>COUNTIFS(tData[SEHTrajectPeriodeDatumTijdVan],"&lt;="&amp;($A46+5/24),tData[SEHTrajectPeriodeDatumTijdTotEnMet],"&gt;"&amp;($A46+5/24))</f>
        <v/>
      </c>
      <c r="J46" s="20">
        <f>COUNTIFS(tData[SEHTrajectPeriodeDatumTijdVan],"&lt;="&amp;($A46+6/24),tData[SEHTrajectPeriodeDatumTijdTotEnMet],"&gt;"&amp;($A46+6/24))</f>
        <v/>
      </c>
      <c r="K46" s="20">
        <f>COUNTIFS(tData[SEHTrajectPeriodeDatumTijdVan],"&lt;="&amp;($A46+7/24),tData[SEHTrajectPeriodeDatumTijdTotEnMet],"&gt;"&amp;($A46+7/24))</f>
        <v/>
      </c>
      <c r="L46" s="20">
        <f>COUNTIFS(tData[SEHTrajectPeriodeDatumTijdVan],"&lt;="&amp;($A46+8/24),tData[SEHTrajectPeriodeDatumTijdTotEnMet],"&gt;"&amp;($A46+8/24))</f>
        <v/>
      </c>
      <c r="M46" s="20">
        <f>COUNTIFS(tData[SEHTrajectPeriodeDatumTijdVan],"&lt;="&amp;($A46+9/24),tData[SEHTrajectPeriodeDatumTijdTotEnMet],"&gt;"&amp;($A46+9/24))</f>
        <v/>
      </c>
      <c r="N46" s="20">
        <f>COUNTIFS(tData[SEHTrajectPeriodeDatumTijdVan],"&lt;="&amp;($A46+10/24),tData[SEHTrajectPeriodeDatumTijdTotEnMet],"&gt;"&amp;($A46+10/24))</f>
        <v/>
      </c>
      <c r="O46" s="20">
        <f>COUNTIFS(tData[SEHTrajectPeriodeDatumTijdVan],"&lt;="&amp;($A46+11/24),tData[SEHTrajectPeriodeDatumTijdTotEnMet],"&gt;"&amp;($A46+11/24))</f>
        <v/>
      </c>
      <c r="P46" s="20">
        <f>COUNTIFS(tData[SEHTrajectPeriodeDatumTijdVan],"&lt;="&amp;($A46+12/24),tData[SEHTrajectPeriodeDatumTijdTotEnMet],"&gt;"&amp;($A46+12/24))</f>
        <v/>
      </c>
      <c r="Q46" s="20">
        <f>COUNTIFS(tData[SEHTrajectPeriodeDatumTijdVan],"&lt;="&amp;($A46+13/24),tData[SEHTrajectPeriodeDatumTijdTotEnMet],"&gt;"&amp;($A46+13/24))</f>
        <v/>
      </c>
      <c r="R46" s="20">
        <f>COUNTIFS(tData[SEHTrajectPeriodeDatumTijdVan],"&lt;="&amp;($A46+14/24),tData[SEHTrajectPeriodeDatumTijdTotEnMet],"&gt;"&amp;($A46+14/24))</f>
        <v/>
      </c>
      <c r="S46" s="20">
        <f>COUNTIFS(tData[SEHTrajectPeriodeDatumTijdVan],"&lt;="&amp;($A46+15/24),tData[SEHTrajectPeriodeDatumTijdTotEnMet],"&gt;"&amp;($A46+15/24))</f>
        <v/>
      </c>
      <c r="T46" s="20">
        <f>COUNTIFS(tData[SEHTrajectPeriodeDatumTijdVan],"&lt;="&amp;($A46+16/24),tData[SEHTrajectPeriodeDatumTijdTotEnMet],"&gt;"&amp;($A46+16/24))</f>
        <v/>
      </c>
      <c r="U46" s="20">
        <f>COUNTIFS(tData[SEHTrajectPeriodeDatumTijdVan],"&lt;="&amp;($A46+17/24),tData[SEHTrajectPeriodeDatumTijdTotEnMet],"&gt;"&amp;($A46+17/24))</f>
        <v/>
      </c>
      <c r="V46" s="20">
        <f>COUNTIFS(tData[SEHTrajectPeriodeDatumTijdVan],"&lt;="&amp;($A46+18/24),tData[SEHTrajectPeriodeDatumTijdTotEnMet],"&gt;"&amp;($A46+18/24))</f>
        <v/>
      </c>
      <c r="W46" s="20">
        <f>COUNTIFS(tData[SEHTrajectPeriodeDatumTijdVan],"&lt;="&amp;($A46+19/24),tData[SEHTrajectPeriodeDatumTijdTotEnMet],"&gt;"&amp;($A46+19/24))</f>
        <v/>
      </c>
      <c r="X46" s="20">
        <f>COUNTIFS(tData[SEHTrajectPeriodeDatumTijdVan],"&lt;="&amp;($A46+20/24),tData[SEHTrajectPeriodeDatumTijdTotEnMet],"&gt;"&amp;($A46+20/24))</f>
        <v/>
      </c>
      <c r="Y46" s="20">
        <f>COUNTIFS(tData[SEHTrajectPeriodeDatumTijdVan],"&lt;="&amp;($A46+21/24),tData[SEHTrajectPeriodeDatumTijdTotEnMet],"&gt;"&amp;($A46+21/24))</f>
        <v/>
      </c>
      <c r="Z46" s="20">
        <f>COUNTIFS(tData[SEHTrajectPeriodeDatumTijdVan],"&lt;="&amp;($A46+22/24),tData[SEHTrajectPeriodeDatumTijdTotEnMet],"&gt;"&amp;($A46+22/24))</f>
        <v/>
      </c>
      <c r="AA46" s="20">
        <f>COUNTIFS(tData[SEHTrajectPeriodeDatumTijdVan],"&lt;="&amp;($A46+23/24),tData[SEHTrajectPeriodeDatumTijdTotEnMet],"&gt;"&amp;($A46+23/24))</f>
        <v/>
      </c>
    </row>
    <row r="47">
      <c r="A47" s="19" t="n">
        <v>45335</v>
      </c>
      <c r="B47" s="15">
        <f>WEEKDAY($A47,2)</f>
        <v/>
      </c>
      <c r="C47" s="15">
        <f>IF(AND($A47&gt;=INT(Instellingen!$B$5),$A47&lt;=INT(Instellingen!$B$6)),1,0)</f>
        <v/>
      </c>
      <c r="D47" s="20">
        <f>COUNTIFS(tData[SEHTrajectPeriodeDatumTijdVan],"&lt;="&amp;($A47+0/24),tData[SEHTrajectPeriodeDatumTijdTotEnMet],"&gt;"&amp;($A47+0/24))</f>
        <v/>
      </c>
      <c r="E47" s="20">
        <f>COUNTIFS(tData[SEHTrajectPeriodeDatumTijdVan],"&lt;="&amp;($A47+1/24),tData[SEHTrajectPeriodeDatumTijdTotEnMet],"&gt;"&amp;($A47+1/24))</f>
        <v/>
      </c>
      <c r="F47" s="20">
        <f>COUNTIFS(tData[SEHTrajectPeriodeDatumTijdVan],"&lt;="&amp;($A47+2/24),tData[SEHTrajectPeriodeDatumTijdTotEnMet],"&gt;"&amp;($A47+2/24))</f>
        <v/>
      </c>
      <c r="G47" s="20">
        <f>COUNTIFS(tData[SEHTrajectPeriodeDatumTijdVan],"&lt;="&amp;($A47+3/24),tData[SEHTrajectPeriodeDatumTijdTotEnMet],"&gt;"&amp;($A47+3/24))</f>
        <v/>
      </c>
      <c r="H47" s="20">
        <f>COUNTIFS(tData[SEHTrajectPeriodeDatumTijdVan],"&lt;="&amp;($A47+4/24),tData[SEHTrajectPeriodeDatumTijdTotEnMet],"&gt;"&amp;($A47+4/24))</f>
        <v/>
      </c>
      <c r="I47" s="20">
        <f>COUNTIFS(tData[SEHTrajectPeriodeDatumTijdVan],"&lt;="&amp;($A47+5/24),tData[SEHTrajectPeriodeDatumTijdTotEnMet],"&gt;"&amp;($A47+5/24))</f>
        <v/>
      </c>
      <c r="J47" s="20">
        <f>COUNTIFS(tData[SEHTrajectPeriodeDatumTijdVan],"&lt;="&amp;($A47+6/24),tData[SEHTrajectPeriodeDatumTijdTotEnMet],"&gt;"&amp;($A47+6/24))</f>
        <v/>
      </c>
      <c r="K47" s="20">
        <f>COUNTIFS(tData[SEHTrajectPeriodeDatumTijdVan],"&lt;="&amp;($A47+7/24),tData[SEHTrajectPeriodeDatumTijdTotEnMet],"&gt;"&amp;($A47+7/24))</f>
        <v/>
      </c>
      <c r="L47" s="20">
        <f>COUNTIFS(tData[SEHTrajectPeriodeDatumTijdVan],"&lt;="&amp;($A47+8/24),tData[SEHTrajectPeriodeDatumTijdTotEnMet],"&gt;"&amp;($A47+8/24))</f>
        <v/>
      </c>
      <c r="M47" s="20">
        <f>COUNTIFS(tData[SEHTrajectPeriodeDatumTijdVan],"&lt;="&amp;($A47+9/24),tData[SEHTrajectPeriodeDatumTijdTotEnMet],"&gt;"&amp;($A47+9/24))</f>
        <v/>
      </c>
      <c r="N47" s="20">
        <f>COUNTIFS(tData[SEHTrajectPeriodeDatumTijdVan],"&lt;="&amp;($A47+10/24),tData[SEHTrajectPeriodeDatumTijdTotEnMet],"&gt;"&amp;($A47+10/24))</f>
        <v/>
      </c>
      <c r="O47" s="20">
        <f>COUNTIFS(tData[SEHTrajectPeriodeDatumTijdVan],"&lt;="&amp;($A47+11/24),tData[SEHTrajectPeriodeDatumTijdTotEnMet],"&gt;"&amp;($A47+11/24))</f>
        <v/>
      </c>
      <c r="P47" s="20">
        <f>COUNTIFS(tData[SEHTrajectPeriodeDatumTijdVan],"&lt;="&amp;($A47+12/24),tData[SEHTrajectPeriodeDatumTijdTotEnMet],"&gt;"&amp;($A47+12/24))</f>
        <v/>
      </c>
      <c r="Q47" s="20">
        <f>COUNTIFS(tData[SEHTrajectPeriodeDatumTijdVan],"&lt;="&amp;($A47+13/24),tData[SEHTrajectPeriodeDatumTijdTotEnMet],"&gt;"&amp;($A47+13/24))</f>
        <v/>
      </c>
      <c r="R47" s="20">
        <f>COUNTIFS(tData[SEHTrajectPeriodeDatumTijdVan],"&lt;="&amp;($A47+14/24),tData[SEHTrajectPeriodeDatumTijdTotEnMet],"&gt;"&amp;($A47+14/24))</f>
        <v/>
      </c>
      <c r="S47" s="20">
        <f>COUNTIFS(tData[SEHTrajectPeriodeDatumTijdVan],"&lt;="&amp;($A47+15/24),tData[SEHTrajectPeriodeDatumTijdTotEnMet],"&gt;"&amp;($A47+15/24))</f>
        <v/>
      </c>
      <c r="T47" s="20">
        <f>COUNTIFS(tData[SEHTrajectPeriodeDatumTijdVan],"&lt;="&amp;($A47+16/24),tData[SEHTrajectPeriodeDatumTijdTotEnMet],"&gt;"&amp;($A47+16/24))</f>
        <v/>
      </c>
      <c r="U47" s="20">
        <f>COUNTIFS(tData[SEHTrajectPeriodeDatumTijdVan],"&lt;="&amp;($A47+17/24),tData[SEHTrajectPeriodeDatumTijdTotEnMet],"&gt;"&amp;($A47+17/24))</f>
        <v/>
      </c>
      <c r="V47" s="20">
        <f>COUNTIFS(tData[SEHTrajectPeriodeDatumTijdVan],"&lt;="&amp;($A47+18/24),tData[SEHTrajectPeriodeDatumTijdTotEnMet],"&gt;"&amp;($A47+18/24))</f>
        <v/>
      </c>
      <c r="W47" s="20">
        <f>COUNTIFS(tData[SEHTrajectPeriodeDatumTijdVan],"&lt;="&amp;($A47+19/24),tData[SEHTrajectPeriodeDatumTijdTotEnMet],"&gt;"&amp;($A47+19/24))</f>
        <v/>
      </c>
      <c r="X47" s="20">
        <f>COUNTIFS(tData[SEHTrajectPeriodeDatumTijdVan],"&lt;="&amp;($A47+20/24),tData[SEHTrajectPeriodeDatumTijdTotEnMet],"&gt;"&amp;($A47+20/24))</f>
        <v/>
      </c>
      <c r="Y47" s="20">
        <f>COUNTIFS(tData[SEHTrajectPeriodeDatumTijdVan],"&lt;="&amp;($A47+21/24),tData[SEHTrajectPeriodeDatumTijdTotEnMet],"&gt;"&amp;($A47+21/24))</f>
        <v/>
      </c>
      <c r="Z47" s="20">
        <f>COUNTIFS(tData[SEHTrajectPeriodeDatumTijdVan],"&lt;="&amp;($A47+22/24),tData[SEHTrajectPeriodeDatumTijdTotEnMet],"&gt;"&amp;($A47+22/24))</f>
        <v/>
      </c>
      <c r="AA47" s="20">
        <f>COUNTIFS(tData[SEHTrajectPeriodeDatumTijdVan],"&lt;="&amp;($A47+23/24),tData[SEHTrajectPeriodeDatumTijdTotEnMet],"&gt;"&amp;($A47+23/24))</f>
        <v/>
      </c>
    </row>
    <row r="48">
      <c r="A48" s="19" t="n">
        <v>45336</v>
      </c>
      <c r="B48" s="15">
        <f>WEEKDAY($A48,2)</f>
        <v/>
      </c>
      <c r="C48" s="15">
        <f>IF(AND($A48&gt;=INT(Instellingen!$B$5),$A48&lt;=INT(Instellingen!$B$6)),1,0)</f>
        <v/>
      </c>
      <c r="D48" s="20">
        <f>COUNTIFS(tData[SEHTrajectPeriodeDatumTijdVan],"&lt;="&amp;($A48+0/24),tData[SEHTrajectPeriodeDatumTijdTotEnMet],"&gt;"&amp;($A48+0/24))</f>
        <v/>
      </c>
      <c r="E48" s="20">
        <f>COUNTIFS(tData[SEHTrajectPeriodeDatumTijdVan],"&lt;="&amp;($A48+1/24),tData[SEHTrajectPeriodeDatumTijdTotEnMet],"&gt;"&amp;($A48+1/24))</f>
        <v/>
      </c>
      <c r="F48" s="20">
        <f>COUNTIFS(tData[SEHTrajectPeriodeDatumTijdVan],"&lt;="&amp;($A48+2/24),tData[SEHTrajectPeriodeDatumTijdTotEnMet],"&gt;"&amp;($A48+2/24))</f>
        <v/>
      </c>
      <c r="G48" s="20">
        <f>COUNTIFS(tData[SEHTrajectPeriodeDatumTijdVan],"&lt;="&amp;($A48+3/24),tData[SEHTrajectPeriodeDatumTijdTotEnMet],"&gt;"&amp;($A48+3/24))</f>
        <v/>
      </c>
      <c r="H48" s="20">
        <f>COUNTIFS(tData[SEHTrajectPeriodeDatumTijdVan],"&lt;="&amp;($A48+4/24),tData[SEHTrajectPeriodeDatumTijdTotEnMet],"&gt;"&amp;($A48+4/24))</f>
        <v/>
      </c>
      <c r="I48" s="20">
        <f>COUNTIFS(tData[SEHTrajectPeriodeDatumTijdVan],"&lt;="&amp;($A48+5/24),tData[SEHTrajectPeriodeDatumTijdTotEnMet],"&gt;"&amp;($A48+5/24))</f>
        <v/>
      </c>
      <c r="J48" s="20">
        <f>COUNTIFS(tData[SEHTrajectPeriodeDatumTijdVan],"&lt;="&amp;($A48+6/24),tData[SEHTrajectPeriodeDatumTijdTotEnMet],"&gt;"&amp;($A48+6/24))</f>
        <v/>
      </c>
      <c r="K48" s="20">
        <f>COUNTIFS(tData[SEHTrajectPeriodeDatumTijdVan],"&lt;="&amp;($A48+7/24),tData[SEHTrajectPeriodeDatumTijdTotEnMet],"&gt;"&amp;($A48+7/24))</f>
        <v/>
      </c>
      <c r="L48" s="20">
        <f>COUNTIFS(tData[SEHTrajectPeriodeDatumTijdVan],"&lt;="&amp;($A48+8/24),tData[SEHTrajectPeriodeDatumTijdTotEnMet],"&gt;"&amp;($A48+8/24))</f>
        <v/>
      </c>
      <c r="M48" s="20">
        <f>COUNTIFS(tData[SEHTrajectPeriodeDatumTijdVan],"&lt;="&amp;($A48+9/24),tData[SEHTrajectPeriodeDatumTijdTotEnMet],"&gt;"&amp;($A48+9/24))</f>
        <v/>
      </c>
      <c r="N48" s="20">
        <f>COUNTIFS(tData[SEHTrajectPeriodeDatumTijdVan],"&lt;="&amp;($A48+10/24),tData[SEHTrajectPeriodeDatumTijdTotEnMet],"&gt;"&amp;($A48+10/24))</f>
        <v/>
      </c>
      <c r="O48" s="20">
        <f>COUNTIFS(tData[SEHTrajectPeriodeDatumTijdVan],"&lt;="&amp;($A48+11/24),tData[SEHTrajectPeriodeDatumTijdTotEnMet],"&gt;"&amp;($A48+11/24))</f>
        <v/>
      </c>
      <c r="P48" s="20">
        <f>COUNTIFS(tData[SEHTrajectPeriodeDatumTijdVan],"&lt;="&amp;($A48+12/24),tData[SEHTrajectPeriodeDatumTijdTotEnMet],"&gt;"&amp;($A48+12/24))</f>
        <v/>
      </c>
      <c r="Q48" s="20">
        <f>COUNTIFS(tData[SEHTrajectPeriodeDatumTijdVan],"&lt;="&amp;($A48+13/24),tData[SEHTrajectPeriodeDatumTijdTotEnMet],"&gt;"&amp;($A48+13/24))</f>
        <v/>
      </c>
      <c r="R48" s="20">
        <f>COUNTIFS(tData[SEHTrajectPeriodeDatumTijdVan],"&lt;="&amp;($A48+14/24),tData[SEHTrajectPeriodeDatumTijdTotEnMet],"&gt;"&amp;($A48+14/24))</f>
        <v/>
      </c>
      <c r="S48" s="20">
        <f>COUNTIFS(tData[SEHTrajectPeriodeDatumTijdVan],"&lt;="&amp;($A48+15/24),tData[SEHTrajectPeriodeDatumTijdTotEnMet],"&gt;"&amp;($A48+15/24))</f>
        <v/>
      </c>
      <c r="T48" s="20">
        <f>COUNTIFS(tData[SEHTrajectPeriodeDatumTijdVan],"&lt;="&amp;($A48+16/24),tData[SEHTrajectPeriodeDatumTijdTotEnMet],"&gt;"&amp;($A48+16/24))</f>
        <v/>
      </c>
      <c r="U48" s="20">
        <f>COUNTIFS(tData[SEHTrajectPeriodeDatumTijdVan],"&lt;="&amp;($A48+17/24),tData[SEHTrajectPeriodeDatumTijdTotEnMet],"&gt;"&amp;($A48+17/24))</f>
        <v/>
      </c>
      <c r="V48" s="20">
        <f>COUNTIFS(tData[SEHTrajectPeriodeDatumTijdVan],"&lt;="&amp;($A48+18/24),tData[SEHTrajectPeriodeDatumTijdTotEnMet],"&gt;"&amp;($A48+18/24))</f>
        <v/>
      </c>
      <c r="W48" s="20">
        <f>COUNTIFS(tData[SEHTrajectPeriodeDatumTijdVan],"&lt;="&amp;($A48+19/24),tData[SEHTrajectPeriodeDatumTijdTotEnMet],"&gt;"&amp;($A48+19/24))</f>
        <v/>
      </c>
      <c r="X48" s="20">
        <f>COUNTIFS(tData[SEHTrajectPeriodeDatumTijdVan],"&lt;="&amp;($A48+20/24),tData[SEHTrajectPeriodeDatumTijdTotEnMet],"&gt;"&amp;($A48+20/24))</f>
        <v/>
      </c>
      <c r="Y48" s="20">
        <f>COUNTIFS(tData[SEHTrajectPeriodeDatumTijdVan],"&lt;="&amp;($A48+21/24),tData[SEHTrajectPeriodeDatumTijdTotEnMet],"&gt;"&amp;($A48+21/24))</f>
        <v/>
      </c>
      <c r="Z48" s="20">
        <f>COUNTIFS(tData[SEHTrajectPeriodeDatumTijdVan],"&lt;="&amp;($A48+22/24),tData[SEHTrajectPeriodeDatumTijdTotEnMet],"&gt;"&amp;($A48+22/24))</f>
        <v/>
      </c>
      <c r="AA48" s="20">
        <f>COUNTIFS(tData[SEHTrajectPeriodeDatumTijdVan],"&lt;="&amp;($A48+23/24),tData[SEHTrajectPeriodeDatumTijdTotEnMet],"&gt;"&amp;($A48+23/24))</f>
        <v/>
      </c>
    </row>
    <row r="49">
      <c r="A49" s="19" t="n">
        <v>45337</v>
      </c>
      <c r="B49" s="15">
        <f>WEEKDAY($A49,2)</f>
        <v/>
      </c>
      <c r="C49" s="15">
        <f>IF(AND($A49&gt;=INT(Instellingen!$B$5),$A49&lt;=INT(Instellingen!$B$6)),1,0)</f>
        <v/>
      </c>
      <c r="D49" s="20">
        <f>COUNTIFS(tData[SEHTrajectPeriodeDatumTijdVan],"&lt;="&amp;($A49+0/24),tData[SEHTrajectPeriodeDatumTijdTotEnMet],"&gt;"&amp;($A49+0/24))</f>
        <v/>
      </c>
      <c r="E49" s="20">
        <f>COUNTIFS(tData[SEHTrajectPeriodeDatumTijdVan],"&lt;="&amp;($A49+1/24),tData[SEHTrajectPeriodeDatumTijdTotEnMet],"&gt;"&amp;($A49+1/24))</f>
        <v/>
      </c>
      <c r="F49" s="20">
        <f>COUNTIFS(tData[SEHTrajectPeriodeDatumTijdVan],"&lt;="&amp;($A49+2/24),tData[SEHTrajectPeriodeDatumTijdTotEnMet],"&gt;"&amp;($A49+2/24))</f>
        <v/>
      </c>
      <c r="G49" s="20">
        <f>COUNTIFS(tData[SEHTrajectPeriodeDatumTijdVan],"&lt;="&amp;($A49+3/24),tData[SEHTrajectPeriodeDatumTijdTotEnMet],"&gt;"&amp;($A49+3/24))</f>
        <v/>
      </c>
      <c r="H49" s="20">
        <f>COUNTIFS(tData[SEHTrajectPeriodeDatumTijdVan],"&lt;="&amp;($A49+4/24),tData[SEHTrajectPeriodeDatumTijdTotEnMet],"&gt;"&amp;($A49+4/24))</f>
        <v/>
      </c>
      <c r="I49" s="20">
        <f>COUNTIFS(tData[SEHTrajectPeriodeDatumTijdVan],"&lt;="&amp;($A49+5/24),tData[SEHTrajectPeriodeDatumTijdTotEnMet],"&gt;"&amp;($A49+5/24))</f>
        <v/>
      </c>
      <c r="J49" s="20">
        <f>COUNTIFS(tData[SEHTrajectPeriodeDatumTijdVan],"&lt;="&amp;($A49+6/24),tData[SEHTrajectPeriodeDatumTijdTotEnMet],"&gt;"&amp;($A49+6/24))</f>
        <v/>
      </c>
      <c r="K49" s="20">
        <f>COUNTIFS(tData[SEHTrajectPeriodeDatumTijdVan],"&lt;="&amp;($A49+7/24),tData[SEHTrajectPeriodeDatumTijdTotEnMet],"&gt;"&amp;($A49+7/24))</f>
        <v/>
      </c>
      <c r="L49" s="20">
        <f>COUNTIFS(tData[SEHTrajectPeriodeDatumTijdVan],"&lt;="&amp;($A49+8/24),tData[SEHTrajectPeriodeDatumTijdTotEnMet],"&gt;"&amp;($A49+8/24))</f>
        <v/>
      </c>
      <c r="M49" s="20">
        <f>COUNTIFS(tData[SEHTrajectPeriodeDatumTijdVan],"&lt;="&amp;($A49+9/24),tData[SEHTrajectPeriodeDatumTijdTotEnMet],"&gt;"&amp;($A49+9/24))</f>
        <v/>
      </c>
      <c r="N49" s="20">
        <f>COUNTIFS(tData[SEHTrajectPeriodeDatumTijdVan],"&lt;="&amp;($A49+10/24),tData[SEHTrajectPeriodeDatumTijdTotEnMet],"&gt;"&amp;($A49+10/24))</f>
        <v/>
      </c>
      <c r="O49" s="20">
        <f>COUNTIFS(tData[SEHTrajectPeriodeDatumTijdVan],"&lt;="&amp;($A49+11/24),tData[SEHTrajectPeriodeDatumTijdTotEnMet],"&gt;"&amp;($A49+11/24))</f>
        <v/>
      </c>
      <c r="P49" s="20">
        <f>COUNTIFS(tData[SEHTrajectPeriodeDatumTijdVan],"&lt;="&amp;($A49+12/24),tData[SEHTrajectPeriodeDatumTijdTotEnMet],"&gt;"&amp;($A49+12/24))</f>
        <v/>
      </c>
      <c r="Q49" s="20">
        <f>COUNTIFS(tData[SEHTrajectPeriodeDatumTijdVan],"&lt;="&amp;($A49+13/24),tData[SEHTrajectPeriodeDatumTijdTotEnMet],"&gt;"&amp;($A49+13/24))</f>
        <v/>
      </c>
      <c r="R49" s="20">
        <f>COUNTIFS(tData[SEHTrajectPeriodeDatumTijdVan],"&lt;="&amp;($A49+14/24),tData[SEHTrajectPeriodeDatumTijdTotEnMet],"&gt;"&amp;($A49+14/24))</f>
        <v/>
      </c>
      <c r="S49" s="20">
        <f>COUNTIFS(tData[SEHTrajectPeriodeDatumTijdVan],"&lt;="&amp;($A49+15/24),tData[SEHTrajectPeriodeDatumTijdTotEnMet],"&gt;"&amp;($A49+15/24))</f>
        <v/>
      </c>
      <c r="T49" s="20">
        <f>COUNTIFS(tData[SEHTrajectPeriodeDatumTijdVan],"&lt;="&amp;($A49+16/24),tData[SEHTrajectPeriodeDatumTijdTotEnMet],"&gt;"&amp;($A49+16/24))</f>
        <v/>
      </c>
      <c r="U49" s="20">
        <f>COUNTIFS(tData[SEHTrajectPeriodeDatumTijdVan],"&lt;="&amp;($A49+17/24),tData[SEHTrajectPeriodeDatumTijdTotEnMet],"&gt;"&amp;($A49+17/24))</f>
        <v/>
      </c>
      <c r="V49" s="20">
        <f>COUNTIFS(tData[SEHTrajectPeriodeDatumTijdVan],"&lt;="&amp;($A49+18/24),tData[SEHTrajectPeriodeDatumTijdTotEnMet],"&gt;"&amp;($A49+18/24))</f>
        <v/>
      </c>
      <c r="W49" s="20">
        <f>COUNTIFS(tData[SEHTrajectPeriodeDatumTijdVan],"&lt;="&amp;($A49+19/24),tData[SEHTrajectPeriodeDatumTijdTotEnMet],"&gt;"&amp;($A49+19/24))</f>
        <v/>
      </c>
      <c r="X49" s="20">
        <f>COUNTIFS(tData[SEHTrajectPeriodeDatumTijdVan],"&lt;="&amp;($A49+20/24),tData[SEHTrajectPeriodeDatumTijdTotEnMet],"&gt;"&amp;($A49+20/24))</f>
        <v/>
      </c>
      <c r="Y49" s="20">
        <f>COUNTIFS(tData[SEHTrajectPeriodeDatumTijdVan],"&lt;="&amp;($A49+21/24),tData[SEHTrajectPeriodeDatumTijdTotEnMet],"&gt;"&amp;($A49+21/24))</f>
        <v/>
      </c>
      <c r="Z49" s="20">
        <f>COUNTIFS(tData[SEHTrajectPeriodeDatumTijdVan],"&lt;="&amp;($A49+22/24),tData[SEHTrajectPeriodeDatumTijdTotEnMet],"&gt;"&amp;($A49+22/24))</f>
        <v/>
      </c>
      <c r="AA49" s="20">
        <f>COUNTIFS(tData[SEHTrajectPeriodeDatumTijdVan],"&lt;="&amp;($A49+23/24),tData[SEHTrajectPeriodeDatumTijdTotEnMet],"&gt;"&amp;($A49+23/24))</f>
        <v/>
      </c>
    </row>
    <row r="50">
      <c r="A50" s="19" t="n">
        <v>45338</v>
      </c>
      <c r="B50" s="15">
        <f>WEEKDAY($A50,2)</f>
        <v/>
      </c>
      <c r="C50" s="15">
        <f>IF(AND($A50&gt;=INT(Instellingen!$B$5),$A50&lt;=INT(Instellingen!$B$6)),1,0)</f>
        <v/>
      </c>
      <c r="D50" s="20">
        <f>COUNTIFS(tData[SEHTrajectPeriodeDatumTijdVan],"&lt;="&amp;($A50+0/24),tData[SEHTrajectPeriodeDatumTijdTotEnMet],"&gt;"&amp;($A50+0/24))</f>
        <v/>
      </c>
      <c r="E50" s="20">
        <f>COUNTIFS(tData[SEHTrajectPeriodeDatumTijdVan],"&lt;="&amp;($A50+1/24),tData[SEHTrajectPeriodeDatumTijdTotEnMet],"&gt;"&amp;($A50+1/24))</f>
        <v/>
      </c>
      <c r="F50" s="20">
        <f>COUNTIFS(tData[SEHTrajectPeriodeDatumTijdVan],"&lt;="&amp;($A50+2/24),tData[SEHTrajectPeriodeDatumTijdTotEnMet],"&gt;"&amp;($A50+2/24))</f>
        <v/>
      </c>
      <c r="G50" s="20">
        <f>COUNTIFS(tData[SEHTrajectPeriodeDatumTijdVan],"&lt;="&amp;($A50+3/24),tData[SEHTrajectPeriodeDatumTijdTotEnMet],"&gt;"&amp;($A50+3/24))</f>
        <v/>
      </c>
      <c r="H50" s="20">
        <f>COUNTIFS(tData[SEHTrajectPeriodeDatumTijdVan],"&lt;="&amp;($A50+4/24),tData[SEHTrajectPeriodeDatumTijdTotEnMet],"&gt;"&amp;($A50+4/24))</f>
        <v/>
      </c>
      <c r="I50" s="20">
        <f>COUNTIFS(tData[SEHTrajectPeriodeDatumTijdVan],"&lt;="&amp;($A50+5/24),tData[SEHTrajectPeriodeDatumTijdTotEnMet],"&gt;"&amp;($A50+5/24))</f>
        <v/>
      </c>
      <c r="J50" s="20">
        <f>COUNTIFS(tData[SEHTrajectPeriodeDatumTijdVan],"&lt;="&amp;($A50+6/24),tData[SEHTrajectPeriodeDatumTijdTotEnMet],"&gt;"&amp;($A50+6/24))</f>
        <v/>
      </c>
      <c r="K50" s="20">
        <f>COUNTIFS(tData[SEHTrajectPeriodeDatumTijdVan],"&lt;="&amp;($A50+7/24),tData[SEHTrajectPeriodeDatumTijdTotEnMet],"&gt;"&amp;($A50+7/24))</f>
        <v/>
      </c>
      <c r="L50" s="20">
        <f>COUNTIFS(tData[SEHTrajectPeriodeDatumTijdVan],"&lt;="&amp;($A50+8/24),tData[SEHTrajectPeriodeDatumTijdTotEnMet],"&gt;"&amp;($A50+8/24))</f>
        <v/>
      </c>
      <c r="M50" s="20">
        <f>COUNTIFS(tData[SEHTrajectPeriodeDatumTijdVan],"&lt;="&amp;($A50+9/24),tData[SEHTrajectPeriodeDatumTijdTotEnMet],"&gt;"&amp;($A50+9/24))</f>
        <v/>
      </c>
      <c r="N50" s="20">
        <f>COUNTIFS(tData[SEHTrajectPeriodeDatumTijdVan],"&lt;="&amp;($A50+10/24),tData[SEHTrajectPeriodeDatumTijdTotEnMet],"&gt;"&amp;($A50+10/24))</f>
        <v/>
      </c>
      <c r="O50" s="20">
        <f>COUNTIFS(tData[SEHTrajectPeriodeDatumTijdVan],"&lt;="&amp;($A50+11/24),tData[SEHTrajectPeriodeDatumTijdTotEnMet],"&gt;"&amp;($A50+11/24))</f>
        <v/>
      </c>
      <c r="P50" s="20">
        <f>COUNTIFS(tData[SEHTrajectPeriodeDatumTijdVan],"&lt;="&amp;($A50+12/24),tData[SEHTrajectPeriodeDatumTijdTotEnMet],"&gt;"&amp;($A50+12/24))</f>
        <v/>
      </c>
      <c r="Q50" s="20">
        <f>COUNTIFS(tData[SEHTrajectPeriodeDatumTijdVan],"&lt;="&amp;($A50+13/24),tData[SEHTrajectPeriodeDatumTijdTotEnMet],"&gt;"&amp;($A50+13/24))</f>
        <v/>
      </c>
      <c r="R50" s="20">
        <f>COUNTIFS(tData[SEHTrajectPeriodeDatumTijdVan],"&lt;="&amp;($A50+14/24),tData[SEHTrajectPeriodeDatumTijdTotEnMet],"&gt;"&amp;($A50+14/24))</f>
        <v/>
      </c>
      <c r="S50" s="20">
        <f>COUNTIFS(tData[SEHTrajectPeriodeDatumTijdVan],"&lt;="&amp;($A50+15/24),tData[SEHTrajectPeriodeDatumTijdTotEnMet],"&gt;"&amp;($A50+15/24))</f>
        <v/>
      </c>
      <c r="T50" s="20">
        <f>COUNTIFS(tData[SEHTrajectPeriodeDatumTijdVan],"&lt;="&amp;($A50+16/24),tData[SEHTrajectPeriodeDatumTijdTotEnMet],"&gt;"&amp;($A50+16/24))</f>
        <v/>
      </c>
      <c r="U50" s="20">
        <f>COUNTIFS(tData[SEHTrajectPeriodeDatumTijdVan],"&lt;="&amp;($A50+17/24),tData[SEHTrajectPeriodeDatumTijdTotEnMet],"&gt;"&amp;($A50+17/24))</f>
        <v/>
      </c>
      <c r="V50" s="20">
        <f>COUNTIFS(tData[SEHTrajectPeriodeDatumTijdVan],"&lt;="&amp;($A50+18/24),tData[SEHTrajectPeriodeDatumTijdTotEnMet],"&gt;"&amp;($A50+18/24))</f>
        <v/>
      </c>
      <c r="W50" s="20">
        <f>COUNTIFS(tData[SEHTrajectPeriodeDatumTijdVan],"&lt;="&amp;($A50+19/24),tData[SEHTrajectPeriodeDatumTijdTotEnMet],"&gt;"&amp;($A50+19/24))</f>
        <v/>
      </c>
      <c r="X50" s="20">
        <f>COUNTIFS(tData[SEHTrajectPeriodeDatumTijdVan],"&lt;="&amp;($A50+20/24),tData[SEHTrajectPeriodeDatumTijdTotEnMet],"&gt;"&amp;($A50+20/24))</f>
        <v/>
      </c>
      <c r="Y50" s="20">
        <f>COUNTIFS(tData[SEHTrajectPeriodeDatumTijdVan],"&lt;="&amp;($A50+21/24),tData[SEHTrajectPeriodeDatumTijdTotEnMet],"&gt;"&amp;($A50+21/24))</f>
        <v/>
      </c>
      <c r="Z50" s="20">
        <f>COUNTIFS(tData[SEHTrajectPeriodeDatumTijdVan],"&lt;="&amp;($A50+22/24),tData[SEHTrajectPeriodeDatumTijdTotEnMet],"&gt;"&amp;($A50+22/24))</f>
        <v/>
      </c>
      <c r="AA50" s="20">
        <f>COUNTIFS(tData[SEHTrajectPeriodeDatumTijdVan],"&lt;="&amp;($A50+23/24),tData[SEHTrajectPeriodeDatumTijdTotEnMet],"&gt;"&amp;($A50+23/24))</f>
        <v/>
      </c>
    </row>
    <row r="51">
      <c r="A51" s="19" t="n">
        <v>45339</v>
      </c>
      <c r="B51" s="15">
        <f>WEEKDAY($A51,2)</f>
        <v/>
      </c>
      <c r="C51" s="15">
        <f>IF(AND($A51&gt;=INT(Instellingen!$B$5),$A51&lt;=INT(Instellingen!$B$6)),1,0)</f>
        <v/>
      </c>
      <c r="D51" s="20">
        <f>COUNTIFS(tData[SEHTrajectPeriodeDatumTijdVan],"&lt;="&amp;($A51+0/24),tData[SEHTrajectPeriodeDatumTijdTotEnMet],"&gt;"&amp;($A51+0/24))</f>
        <v/>
      </c>
      <c r="E51" s="20">
        <f>COUNTIFS(tData[SEHTrajectPeriodeDatumTijdVan],"&lt;="&amp;($A51+1/24),tData[SEHTrajectPeriodeDatumTijdTotEnMet],"&gt;"&amp;($A51+1/24))</f>
        <v/>
      </c>
      <c r="F51" s="20">
        <f>COUNTIFS(tData[SEHTrajectPeriodeDatumTijdVan],"&lt;="&amp;($A51+2/24),tData[SEHTrajectPeriodeDatumTijdTotEnMet],"&gt;"&amp;($A51+2/24))</f>
        <v/>
      </c>
      <c r="G51" s="20">
        <f>COUNTIFS(tData[SEHTrajectPeriodeDatumTijdVan],"&lt;="&amp;($A51+3/24),tData[SEHTrajectPeriodeDatumTijdTotEnMet],"&gt;"&amp;($A51+3/24))</f>
        <v/>
      </c>
      <c r="H51" s="20">
        <f>COUNTIFS(tData[SEHTrajectPeriodeDatumTijdVan],"&lt;="&amp;($A51+4/24),tData[SEHTrajectPeriodeDatumTijdTotEnMet],"&gt;"&amp;($A51+4/24))</f>
        <v/>
      </c>
      <c r="I51" s="20">
        <f>COUNTIFS(tData[SEHTrajectPeriodeDatumTijdVan],"&lt;="&amp;($A51+5/24),tData[SEHTrajectPeriodeDatumTijdTotEnMet],"&gt;"&amp;($A51+5/24))</f>
        <v/>
      </c>
      <c r="J51" s="20">
        <f>COUNTIFS(tData[SEHTrajectPeriodeDatumTijdVan],"&lt;="&amp;($A51+6/24),tData[SEHTrajectPeriodeDatumTijdTotEnMet],"&gt;"&amp;($A51+6/24))</f>
        <v/>
      </c>
      <c r="K51" s="20">
        <f>COUNTIFS(tData[SEHTrajectPeriodeDatumTijdVan],"&lt;="&amp;($A51+7/24),tData[SEHTrajectPeriodeDatumTijdTotEnMet],"&gt;"&amp;($A51+7/24))</f>
        <v/>
      </c>
      <c r="L51" s="20">
        <f>COUNTIFS(tData[SEHTrajectPeriodeDatumTijdVan],"&lt;="&amp;($A51+8/24),tData[SEHTrajectPeriodeDatumTijdTotEnMet],"&gt;"&amp;($A51+8/24))</f>
        <v/>
      </c>
      <c r="M51" s="20">
        <f>COUNTIFS(tData[SEHTrajectPeriodeDatumTijdVan],"&lt;="&amp;($A51+9/24),tData[SEHTrajectPeriodeDatumTijdTotEnMet],"&gt;"&amp;($A51+9/24))</f>
        <v/>
      </c>
      <c r="N51" s="20">
        <f>COUNTIFS(tData[SEHTrajectPeriodeDatumTijdVan],"&lt;="&amp;($A51+10/24),tData[SEHTrajectPeriodeDatumTijdTotEnMet],"&gt;"&amp;($A51+10/24))</f>
        <v/>
      </c>
      <c r="O51" s="20">
        <f>COUNTIFS(tData[SEHTrajectPeriodeDatumTijdVan],"&lt;="&amp;($A51+11/24),tData[SEHTrajectPeriodeDatumTijdTotEnMet],"&gt;"&amp;($A51+11/24))</f>
        <v/>
      </c>
      <c r="P51" s="20">
        <f>COUNTIFS(tData[SEHTrajectPeriodeDatumTijdVan],"&lt;="&amp;($A51+12/24),tData[SEHTrajectPeriodeDatumTijdTotEnMet],"&gt;"&amp;($A51+12/24))</f>
        <v/>
      </c>
      <c r="Q51" s="20">
        <f>COUNTIFS(tData[SEHTrajectPeriodeDatumTijdVan],"&lt;="&amp;($A51+13/24),tData[SEHTrajectPeriodeDatumTijdTotEnMet],"&gt;"&amp;($A51+13/24))</f>
        <v/>
      </c>
      <c r="R51" s="20">
        <f>COUNTIFS(tData[SEHTrajectPeriodeDatumTijdVan],"&lt;="&amp;($A51+14/24),tData[SEHTrajectPeriodeDatumTijdTotEnMet],"&gt;"&amp;($A51+14/24))</f>
        <v/>
      </c>
      <c r="S51" s="20">
        <f>COUNTIFS(tData[SEHTrajectPeriodeDatumTijdVan],"&lt;="&amp;($A51+15/24),tData[SEHTrajectPeriodeDatumTijdTotEnMet],"&gt;"&amp;($A51+15/24))</f>
        <v/>
      </c>
      <c r="T51" s="20">
        <f>COUNTIFS(tData[SEHTrajectPeriodeDatumTijdVan],"&lt;="&amp;($A51+16/24),tData[SEHTrajectPeriodeDatumTijdTotEnMet],"&gt;"&amp;($A51+16/24))</f>
        <v/>
      </c>
      <c r="U51" s="20">
        <f>COUNTIFS(tData[SEHTrajectPeriodeDatumTijdVan],"&lt;="&amp;($A51+17/24),tData[SEHTrajectPeriodeDatumTijdTotEnMet],"&gt;"&amp;($A51+17/24))</f>
        <v/>
      </c>
      <c r="V51" s="20">
        <f>COUNTIFS(tData[SEHTrajectPeriodeDatumTijdVan],"&lt;="&amp;($A51+18/24),tData[SEHTrajectPeriodeDatumTijdTotEnMet],"&gt;"&amp;($A51+18/24))</f>
        <v/>
      </c>
      <c r="W51" s="20">
        <f>COUNTIFS(tData[SEHTrajectPeriodeDatumTijdVan],"&lt;="&amp;($A51+19/24),tData[SEHTrajectPeriodeDatumTijdTotEnMet],"&gt;"&amp;($A51+19/24))</f>
        <v/>
      </c>
      <c r="X51" s="20">
        <f>COUNTIFS(tData[SEHTrajectPeriodeDatumTijdVan],"&lt;="&amp;($A51+20/24),tData[SEHTrajectPeriodeDatumTijdTotEnMet],"&gt;"&amp;($A51+20/24))</f>
        <v/>
      </c>
      <c r="Y51" s="20">
        <f>COUNTIFS(tData[SEHTrajectPeriodeDatumTijdVan],"&lt;="&amp;($A51+21/24),tData[SEHTrajectPeriodeDatumTijdTotEnMet],"&gt;"&amp;($A51+21/24))</f>
        <v/>
      </c>
      <c r="Z51" s="20">
        <f>COUNTIFS(tData[SEHTrajectPeriodeDatumTijdVan],"&lt;="&amp;($A51+22/24),tData[SEHTrajectPeriodeDatumTijdTotEnMet],"&gt;"&amp;($A51+22/24))</f>
        <v/>
      </c>
      <c r="AA51" s="20">
        <f>COUNTIFS(tData[SEHTrajectPeriodeDatumTijdVan],"&lt;="&amp;($A51+23/24),tData[SEHTrajectPeriodeDatumTijdTotEnMet],"&gt;"&amp;($A51+23/24))</f>
        <v/>
      </c>
    </row>
    <row r="52">
      <c r="A52" s="19" t="n">
        <v>45340</v>
      </c>
      <c r="B52" s="15">
        <f>WEEKDAY($A52,2)</f>
        <v/>
      </c>
      <c r="C52" s="15">
        <f>IF(AND($A52&gt;=INT(Instellingen!$B$5),$A52&lt;=INT(Instellingen!$B$6)),1,0)</f>
        <v/>
      </c>
      <c r="D52" s="20">
        <f>COUNTIFS(tData[SEHTrajectPeriodeDatumTijdVan],"&lt;="&amp;($A52+0/24),tData[SEHTrajectPeriodeDatumTijdTotEnMet],"&gt;"&amp;($A52+0/24))</f>
        <v/>
      </c>
      <c r="E52" s="20">
        <f>COUNTIFS(tData[SEHTrajectPeriodeDatumTijdVan],"&lt;="&amp;($A52+1/24),tData[SEHTrajectPeriodeDatumTijdTotEnMet],"&gt;"&amp;($A52+1/24))</f>
        <v/>
      </c>
      <c r="F52" s="20">
        <f>COUNTIFS(tData[SEHTrajectPeriodeDatumTijdVan],"&lt;="&amp;($A52+2/24),tData[SEHTrajectPeriodeDatumTijdTotEnMet],"&gt;"&amp;($A52+2/24))</f>
        <v/>
      </c>
      <c r="G52" s="20">
        <f>COUNTIFS(tData[SEHTrajectPeriodeDatumTijdVan],"&lt;="&amp;($A52+3/24),tData[SEHTrajectPeriodeDatumTijdTotEnMet],"&gt;"&amp;($A52+3/24))</f>
        <v/>
      </c>
      <c r="H52" s="20">
        <f>COUNTIFS(tData[SEHTrajectPeriodeDatumTijdVan],"&lt;="&amp;($A52+4/24),tData[SEHTrajectPeriodeDatumTijdTotEnMet],"&gt;"&amp;($A52+4/24))</f>
        <v/>
      </c>
      <c r="I52" s="20">
        <f>COUNTIFS(tData[SEHTrajectPeriodeDatumTijdVan],"&lt;="&amp;($A52+5/24),tData[SEHTrajectPeriodeDatumTijdTotEnMet],"&gt;"&amp;($A52+5/24))</f>
        <v/>
      </c>
      <c r="J52" s="20">
        <f>COUNTIFS(tData[SEHTrajectPeriodeDatumTijdVan],"&lt;="&amp;($A52+6/24),tData[SEHTrajectPeriodeDatumTijdTotEnMet],"&gt;"&amp;($A52+6/24))</f>
        <v/>
      </c>
      <c r="K52" s="20">
        <f>COUNTIFS(tData[SEHTrajectPeriodeDatumTijdVan],"&lt;="&amp;($A52+7/24),tData[SEHTrajectPeriodeDatumTijdTotEnMet],"&gt;"&amp;($A52+7/24))</f>
        <v/>
      </c>
      <c r="L52" s="20">
        <f>COUNTIFS(tData[SEHTrajectPeriodeDatumTijdVan],"&lt;="&amp;($A52+8/24),tData[SEHTrajectPeriodeDatumTijdTotEnMet],"&gt;"&amp;($A52+8/24))</f>
        <v/>
      </c>
      <c r="M52" s="20">
        <f>COUNTIFS(tData[SEHTrajectPeriodeDatumTijdVan],"&lt;="&amp;($A52+9/24),tData[SEHTrajectPeriodeDatumTijdTotEnMet],"&gt;"&amp;($A52+9/24))</f>
        <v/>
      </c>
      <c r="N52" s="20">
        <f>COUNTIFS(tData[SEHTrajectPeriodeDatumTijdVan],"&lt;="&amp;($A52+10/24),tData[SEHTrajectPeriodeDatumTijdTotEnMet],"&gt;"&amp;($A52+10/24))</f>
        <v/>
      </c>
      <c r="O52" s="20">
        <f>COUNTIFS(tData[SEHTrajectPeriodeDatumTijdVan],"&lt;="&amp;($A52+11/24),tData[SEHTrajectPeriodeDatumTijdTotEnMet],"&gt;"&amp;($A52+11/24))</f>
        <v/>
      </c>
      <c r="P52" s="20">
        <f>COUNTIFS(tData[SEHTrajectPeriodeDatumTijdVan],"&lt;="&amp;($A52+12/24),tData[SEHTrajectPeriodeDatumTijdTotEnMet],"&gt;"&amp;($A52+12/24))</f>
        <v/>
      </c>
      <c r="Q52" s="20">
        <f>COUNTIFS(tData[SEHTrajectPeriodeDatumTijdVan],"&lt;="&amp;($A52+13/24),tData[SEHTrajectPeriodeDatumTijdTotEnMet],"&gt;"&amp;($A52+13/24))</f>
        <v/>
      </c>
      <c r="R52" s="20">
        <f>COUNTIFS(tData[SEHTrajectPeriodeDatumTijdVan],"&lt;="&amp;($A52+14/24),tData[SEHTrajectPeriodeDatumTijdTotEnMet],"&gt;"&amp;($A52+14/24))</f>
        <v/>
      </c>
      <c r="S52" s="20">
        <f>COUNTIFS(tData[SEHTrajectPeriodeDatumTijdVan],"&lt;="&amp;($A52+15/24),tData[SEHTrajectPeriodeDatumTijdTotEnMet],"&gt;"&amp;($A52+15/24))</f>
        <v/>
      </c>
      <c r="T52" s="20">
        <f>COUNTIFS(tData[SEHTrajectPeriodeDatumTijdVan],"&lt;="&amp;($A52+16/24),tData[SEHTrajectPeriodeDatumTijdTotEnMet],"&gt;"&amp;($A52+16/24))</f>
        <v/>
      </c>
      <c r="U52" s="20">
        <f>COUNTIFS(tData[SEHTrajectPeriodeDatumTijdVan],"&lt;="&amp;($A52+17/24),tData[SEHTrajectPeriodeDatumTijdTotEnMet],"&gt;"&amp;($A52+17/24))</f>
        <v/>
      </c>
      <c r="V52" s="20">
        <f>COUNTIFS(tData[SEHTrajectPeriodeDatumTijdVan],"&lt;="&amp;($A52+18/24),tData[SEHTrajectPeriodeDatumTijdTotEnMet],"&gt;"&amp;($A52+18/24))</f>
        <v/>
      </c>
      <c r="W52" s="20">
        <f>COUNTIFS(tData[SEHTrajectPeriodeDatumTijdVan],"&lt;="&amp;($A52+19/24),tData[SEHTrajectPeriodeDatumTijdTotEnMet],"&gt;"&amp;($A52+19/24))</f>
        <v/>
      </c>
      <c r="X52" s="20">
        <f>COUNTIFS(tData[SEHTrajectPeriodeDatumTijdVan],"&lt;="&amp;($A52+20/24),tData[SEHTrajectPeriodeDatumTijdTotEnMet],"&gt;"&amp;($A52+20/24))</f>
        <v/>
      </c>
      <c r="Y52" s="20">
        <f>COUNTIFS(tData[SEHTrajectPeriodeDatumTijdVan],"&lt;="&amp;($A52+21/24),tData[SEHTrajectPeriodeDatumTijdTotEnMet],"&gt;"&amp;($A52+21/24))</f>
        <v/>
      </c>
      <c r="Z52" s="20">
        <f>COUNTIFS(tData[SEHTrajectPeriodeDatumTijdVan],"&lt;="&amp;($A52+22/24),tData[SEHTrajectPeriodeDatumTijdTotEnMet],"&gt;"&amp;($A52+22/24))</f>
        <v/>
      </c>
      <c r="AA52" s="20">
        <f>COUNTIFS(tData[SEHTrajectPeriodeDatumTijdVan],"&lt;="&amp;($A52+23/24),tData[SEHTrajectPeriodeDatumTijdTotEnMet],"&gt;"&amp;($A52+23/24))</f>
        <v/>
      </c>
    </row>
    <row r="53">
      <c r="A53" s="19" t="n">
        <v>45341</v>
      </c>
      <c r="B53" s="15">
        <f>WEEKDAY($A53,2)</f>
        <v/>
      </c>
      <c r="C53" s="15">
        <f>IF(AND($A53&gt;=INT(Instellingen!$B$5),$A53&lt;=INT(Instellingen!$B$6)),1,0)</f>
        <v/>
      </c>
      <c r="D53" s="20">
        <f>COUNTIFS(tData[SEHTrajectPeriodeDatumTijdVan],"&lt;="&amp;($A53+0/24),tData[SEHTrajectPeriodeDatumTijdTotEnMet],"&gt;"&amp;($A53+0/24))</f>
        <v/>
      </c>
      <c r="E53" s="20">
        <f>COUNTIFS(tData[SEHTrajectPeriodeDatumTijdVan],"&lt;="&amp;($A53+1/24),tData[SEHTrajectPeriodeDatumTijdTotEnMet],"&gt;"&amp;($A53+1/24))</f>
        <v/>
      </c>
      <c r="F53" s="20">
        <f>COUNTIFS(tData[SEHTrajectPeriodeDatumTijdVan],"&lt;="&amp;($A53+2/24),tData[SEHTrajectPeriodeDatumTijdTotEnMet],"&gt;"&amp;($A53+2/24))</f>
        <v/>
      </c>
      <c r="G53" s="20">
        <f>COUNTIFS(tData[SEHTrajectPeriodeDatumTijdVan],"&lt;="&amp;($A53+3/24),tData[SEHTrajectPeriodeDatumTijdTotEnMet],"&gt;"&amp;($A53+3/24))</f>
        <v/>
      </c>
      <c r="H53" s="20">
        <f>COUNTIFS(tData[SEHTrajectPeriodeDatumTijdVan],"&lt;="&amp;($A53+4/24),tData[SEHTrajectPeriodeDatumTijdTotEnMet],"&gt;"&amp;($A53+4/24))</f>
        <v/>
      </c>
      <c r="I53" s="20">
        <f>COUNTIFS(tData[SEHTrajectPeriodeDatumTijdVan],"&lt;="&amp;($A53+5/24),tData[SEHTrajectPeriodeDatumTijdTotEnMet],"&gt;"&amp;($A53+5/24))</f>
        <v/>
      </c>
      <c r="J53" s="20">
        <f>COUNTIFS(tData[SEHTrajectPeriodeDatumTijdVan],"&lt;="&amp;($A53+6/24),tData[SEHTrajectPeriodeDatumTijdTotEnMet],"&gt;"&amp;($A53+6/24))</f>
        <v/>
      </c>
      <c r="K53" s="20">
        <f>COUNTIFS(tData[SEHTrajectPeriodeDatumTijdVan],"&lt;="&amp;($A53+7/24),tData[SEHTrajectPeriodeDatumTijdTotEnMet],"&gt;"&amp;($A53+7/24))</f>
        <v/>
      </c>
      <c r="L53" s="20">
        <f>COUNTIFS(tData[SEHTrajectPeriodeDatumTijdVan],"&lt;="&amp;($A53+8/24),tData[SEHTrajectPeriodeDatumTijdTotEnMet],"&gt;"&amp;($A53+8/24))</f>
        <v/>
      </c>
      <c r="M53" s="20">
        <f>COUNTIFS(tData[SEHTrajectPeriodeDatumTijdVan],"&lt;="&amp;($A53+9/24),tData[SEHTrajectPeriodeDatumTijdTotEnMet],"&gt;"&amp;($A53+9/24))</f>
        <v/>
      </c>
      <c r="N53" s="20">
        <f>COUNTIFS(tData[SEHTrajectPeriodeDatumTijdVan],"&lt;="&amp;($A53+10/24),tData[SEHTrajectPeriodeDatumTijdTotEnMet],"&gt;"&amp;($A53+10/24))</f>
        <v/>
      </c>
      <c r="O53" s="20">
        <f>COUNTIFS(tData[SEHTrajectPeriodeDatumTijdVan],"&lt;="&amp;($A53+11/24),tData[SEHTrajectPeriodeDatumTijdTotEnMet],"&gt;"&amp;($A53+11/24))</f>
        <v/>
      </c>
      <c r="P53" s="20">
        <f>COUNTIFS(tData[SEHTrajectPeriodeDatumTijdVan],"&lt;="&amp;($A53+12/24),tData[SEHTrajectPeriodeDatumTijdTotEnMet],"&gt;"&amp;($A53+12/24))</f>
        <v/>
      </c>
      <c r="Q53" s="20">
        <f>COUNTIFS(tData[SEHTrajectPeriodeDatumTijdVan],"&lt;="&amp;($A53+13/24),tData[SEHTrajectPeriodeDatumTijdTotEnMet],"&gt;"&amp;($A53+13/24))</f>
        <v/>
      </c>
      <c r="R53" s="20">
        <f>COUNTIFS(tData[SEHTrajectPeriodeDatumTijdVan],"&lt;="&amp;($A53+14/24),tData[SEHTrajectPeriodeDatumTijdTotEnMet],"&gt;"&amp;($A53+14/24))</f>
        <v/>
      </c>
      <c r="S53" s="20">
        <f>COUNTIFS(tData[SEHTrajectPeriodeDatumTijdVan],"&lt;="&amp;($A53+15/24),tData[SEHTrajectPeriodeDatumTijdTotEnMet],"&gt;"&amp;($A53+15/24))</f>
        <v/>
      </c>
      <c r="T53" s="20">
        <f>COUNTIFS(tData[SEHTrajectPeriodeDatumTijdVan],"&lt;="&amp;($A53+16/24),tData[SEHTrajectPeriodeDatumTijdTotEnMet],"&gt;"&amp;($A53+16/24))</f>
        <v/>
      </c>
      <c r="U53" s="20">
        <f>COUNTIFS(tData[SEHTrajectPeriodeDatumTijdVan],"&lt;="&amp;($A53+17/24),tData[SEHTrajectPeriodeDatumTijdTotEnMet],"&gt;"&amp;($A53+17/24))</f>
        <v/>
      </c>
      <c r="V53" s="20">
        <f>COUNTIFS(tData[SEHTrajectPeriodeDatumTijdVan],"&lt;="&amp;($A53+18/24),tData[SEHTrajectPeriodeDatumTijdTotEnMet],"&gt;"&amp;($A53+18/24))</f>
        <v/>
      </c>
      <c r="W53" s="20">
        <f>COUNTIFS(tData[SEHTrajectPeriodeDatumTijdVan],"&lt;="&amp;($A53+19/24),tData[SEHTrajectPeriodeDatumTijdTotEnMet],"&gt;"&amp;($A53+19/24))</f>
        <v/>
      </c>
      <c r="X53" s="20">
        <f>COUNTIFS(tData[SEHTrajectPeriodeDatumTijdVan],"&lt;="&amp;($A53+20/24),tData[SEHTrajectPeriodeDatumTijdTotEnMet],"&gt;"&amp;($A53+20/24))</f>
        <v/>
      </c>
      <c r="Y53" s="20">
        <f>COUNTIFS(tData[SEHTrajectPeriodeDatumTijdVan],"&lt;="&amp;($A53+21/24),tData[SEHTrajectPeriodeDatumTijdTotEnMet],"&gt;"&amp;($A53+21/24))</f>
        <v/>
      </c>
      <c r="Z53" s="20">
        <f>COUNTIFS(tData[SEHTrajectPeriodeDatumTijdVan],"&lt;="&amp;($A53+22/24),tData[SEHTrajectPeriodeDatumTijdTotEnMet],"&gt;"&amp;($A53+22/24))</f>
        <v/>
      </c>
      <c r="AA53" s="20">
        <f>COUNTIFS(tData[SEHTrajectPeriodeDatumTijdVan],"&lt;="&amp;($A53+23/24),tData[SEHTrajectPeriodeDatumTijdTotEnMet],"&gt;"&amp;($A53+23/24))</f>
        <v/>
      </c>
    </row>
    <row r="54">
      <c r="A54" s="19" t="n">
        <v>45342</v>
      </c>
      <c r="B54" s="15">
        <f>WEEKDAY($A54,2)</f>
        <v/>
      </c>
      <c r="C54" s="15">
        <f>IF(AND($A54&gt;=INT(Instellingen!$B$5),$A54&lt;=INT(Instellingen!$B$6)),1,0)</f>
        <v/>
      </c>
      <c r="D54" s="20">
        <f>COUNTIFS(tData[SEHTrajectPeriodeDatumTijdVan],"&lt;="&amp;($A54+0/24),tData[SEHTrajectPeriodeDatumTijdTotEnMet],"&gt;"&amp;($A54+0/24))</f>
        <v/>
      </c>
      <c r="E54" s="20">
        <f>COUNTIFS(tData[SEHTrajectPeriodeDatumTijdVan],"&lt;="&amp;($A54+1/24),tData[SEHTrajectPeriodeDatumTijdTotEnMet],"&gt;"&amp;($A54+1/24))</f>
        <v/>
      </c>
      <c r="F54" s="20">
        <f>COUNTIFS(tData[SEHTrajectPeriodeDatumTijdVan],"&lt;="&amp;($A54+2/24),tData[SEHTrajectPeriodeDatumTijdTotEnMet],"&gt;"&amp;($A54+2/24))</f>
        <v/>
      </c>
      <c r="G54" s="20">
        <f>COUNTIFS(tData[SEHTrajectPeriodeDatumTijdVan],"&lt;="&amp;($A54+3/24),tData[SEHTrajectPeriodeDatumTijdTotEnMet],"&gt;"&amp;($A54+3/24))</f>
        <v/>
      </c>
      <c r="H54" s="20">
        <f>COUNTIFS(tData[SEHTrajectPeriodeDatumTijdVan],"&lt;="&amp;($A54+4/24),tData[SEHTrajectPeriodeDatumTijdTotEnMet],"&gt;"&amp;($A54+4/24))</f>
        <v/>
      </c>
      <c r="I54" s="20">
        <f>COUNTIFS(tData[SEHTrajectPeriodeDatumTijdVan],"&lt;="&amp;($A54+5/24),tData[SEHTrajectPeriodeDatumTijdTotEnMet],"&gt;"&amp;($A54+5/24))</f>
        <v/>
      </c>
      <c r="J54" s="20">
        <f>COUNTIFS(tData[SEHTrajectPeriodeDatumTijdVan],"&lt;="&amp;($A54+6/24),tData[SEHTrajectPeriodeDatumTijdTotEnMet],"&gt;"&amp;($A54+6/24))</f>
        <v/>
      </c>
      <c r="K54" s="20">
        <f>COUNTIFS(tData[SEHTrajectPeriodeDatumTijdVan],"&lt;="&amp;($A54+7/24),tData[SEHTrajectPeriodeDatumTijdTotEnMet],"&gt;"&amp;($A54+7/24))</f>
        <v/>
      </c>
      <c r="L54" s="20">
        <f>COUNTIFS(tData[SEHTrajectPeriodeDatumTijdVan],"&lt;="&amp;($A54+8/24),tData[SEHTrajectPeriodeDatumTijdTotEnMet],"&gt;"&amp;($A54+8/24))</f>
        <v/>
      </c>
      <c r="M54" s="20">
        <f>COUNTIFS(tData[SEHTrajectPeriodeDatumTijdVan],"&lt;="&amp;($A54+9/24),tData[SEHTrajectPeriodeDatumTijdTotEnMet],"&gt;"&amp;($A54+9/24))</f>
        <v/>
      </c>
      <c r="N54" s="20">
        <f>COUNTIFS(tData[SEHTrajectPeriodeDatumTijdVan],"&lt;="&amp;($A54+10/24),tData[SEHTrajectPeriodeDatumTijdTotEnMet],"&gt;"&amp;($A54+10/24))</f>
        <v/>
      </c>
      <c r="O54" s="20">
        <f>COUNTIFS(tData[SEHTrajectPeriodeDatumTijdVan],"&lt;="&amp;($A54+11/24),tData[SEHTrajectPeriodeDatumTijdTotEnMet],"&gt;"&amp;($A54+11/24))</f>
        <v/>
      </c>
      <c r="P54" s="20">
        <f>COUNTIFS(tData[SEHTrajectPeriodeDatumTijdVan],"&lt;="&amp;($A54+12/24),tData[SEHTrajectPeriodeDatumTijdTotEnMet],"&gt;"&amp;($A54+12/24))</f>
        <v/>
      </c>
      <c r="Q54" s="20">
        <f>COUNTIFS(tData[SEHTrajectPeriodeDatumTijdVan],"&lt;="&amp;($A54+13/24),tData[SEHTrajectPeriodeDatumTijdTotEnMet],"&gt;"&amp;($A54+13/24))</f>
        <v/>
      </c>
      <c r="R54" s="20">
        <f>COUNTIFS(tData[SEHTrajectPeriodeDatumTijdVan],"&lt;="&amp;($A54+14/24),tData[SEHTrajectPeriodeDatumTijdTotEnMet],"&gt;"&amp;($A54+14/24))</f>
        <v/>
      </c>
      <c r="S54" s="20">
        <f>COUNTIFS(tData[SEHTrajectPeriodeDatumTijdVan],"&lt;="&amp;($A54+15/24),tData[SEHTrajectPeriodeDatumTijdTotEnMet],"&gt;"&amp;($A54+15/24))</f>
        <v/>
      </c>
      <c r="T54" s="20">
        <f>COUNTIFS(tData[SEHTrajectPeriodeDatumTijdVan],"&lt;="&amp;($A54+16/24),tData[SEHTrajectPeriodeDatumTijdTotEnMet],"&gt;"&amp;($A54+16/24))</f>
        <v/>
      </c>
      <c r="U54" s="20">
        <f>COUNTIFS(tData[SEHTrajectPeriodeDatumTijdVan],"&lt;="&amp;($A54+17/24),tData[SEHTrajectPeriodeDatumTijdTotEnMet],"&gt;"&amp;($A54+17/24))</f>
        <v/>
      </c>
      <c r="V54" s="20">
        <f>COUNTIFS(tData[SEHTrajectPeriodeDatumTijdVan],"&lt;="&amp;($A54+18/24),tData[SEHTrajectPeriodeDatumTijdTotEnMet],"&gt;"&amp;($A54+18/24))</f>
        <v/>
      </c>
      <c r="W54" s="20">
        <f>COUNTIFS(tData[SEHTrajectPeriodeDatumTijdVan],"&lt;="&amp;($A54+19/24),tData[SEHTrajectPeriodeDatumTijdTotEnMet],"&gt;"&amp;($A54+19/24))</f>
        <v/>
      </c>
      <c r="X54" s="20">
        <f>COUNTIFS(tData[SEHTrajectPeriodeDatumTijdVan],"&lt;="&amp;($A54+20/24),tData[SEHTrajectPeriodeDatumTijdTotEnMet],"&gt;"&amp;($A54+20/24))</f>
        <v/>
      </c>
      <c r="Y54" s="20">
        <f>COUNTIFS(tData[SEHTrajectPeriodeDatumTijdVan],"&lt;="&amp;($A54+21/24),tData[SEHTrajectPeriodeDatumTijdTotEnMet],"&gt;"&amp;($A54+21/24))</f>
        <v/>
      </c>
      <c r="Z54" s="20">
        <f>COUNTIFS(tData[SEHTrajectPeriodeDatumTijdVan],"&lt;="&amp;($A54+22/24),tData[SEHTrajectPeriodeDatumTijdTotEnMet],"&gt;"&amp;($A54+22/24))</f>
        <v/>
      </c>
      <c r="AA54" s="20">
        <f>COUNTIFS(tData[SEHTrajectPeriodeDatumTijdVan],"&lt;="&amp;($A54+23/24),tData[SEHTrajectPeriodeDatumTijdTotEnMet],"&gt;"&amp;($A54+23/24))</f>
        <v/>
      </c>
    </row>
    <row r="55">
      <c r="A55" s="19" t="n">
        <v>45343</v>
      </c>
      <c r="B55" s="15">
        <f>WEEKDAY($A55,2)</f>
        <v/>
      </c>
      <c r="C55" s="15">
        <f>IF(AND($A55&gt;=INT(Instellingen!$B$5),$A55&lt;=INT(Instellingen!$B$6)),1,0)</f>
        <v/>
      </c>
      <c r="D55" s="20">
        <f>COUNTIFS(tData[SEHTrajectPeriodeDatumTijdVan],"&lt;="&amp;($A55+0/24),tData[SEHTrajectPeriodeDatumTijdTotEnMet],"&gt;"&amp;($A55+0/24))</f>
        <v/>
      </c>
      <c r="E55" s="20">
        <f>COUNTIFS(tData[SEHTrajectPeriodeDatumTijdVan],"&lt;="&amp;($A55+1/24),tData[SEHTrajectPeriodeDatumTijdTotEnMet],"&gt;"&amp;($A55+1/24))</f>
        <v/>
      </c>
      <c r="F55" s="20">
        <f>COUNTIFS(tData[SEHTrajectPeriodeDatumTijdVan],"&lt;="&amp;($A55+2/24),tData[SEHTrajectPeriodeDatumTijdTotEnMet],"&gt;"&amp;($A55+2/24))</f>
        <v/>
      </c>
      <c r="G55" s="20">
        <f>COUNTIFS(tData[SEHTrajectPeriodeDatumTijdVan],"&lt;="&amp;($A55+3/24),tData[SEHTrajectPeriodeDatumTijdTotEnMet],"&gt;"&amp;($A55+3/24))</f>
        <v/>
      </c>
      <c r="H55" s="20">
        <f>COUNTIFS(tData[SEHTrajectPeriodeDatumTijdVan],"&lt;="&amp;($A55+4/24),tData[SEHTrajectPeriodeDatumTijdTotEnMet],"&gt;"&amp;($A55+4/24))</f>
        <v/>
      </c>
      <c r="I55" s="20">
        <f>COUNTIFS(tData[SEHTrajectPeriodeDatumTijdVan],"&lt;="&amp;($A55+5/24),tData[SEHTrajectPeriodeDatumTijdTotEnMet],"&gt;"&amp;($A55+5/24))</f>
        <v/>
      </c>
      <c r="J55" s="20">
        <f>COUNTIFS(tData[SEHTrajectPeriodeDatumTijdVan],"&lt;="&amp;($A55+6/24),tData[SEHTrajectPeriodeDatumTijdTotEnMet],"&gt;"&amp;($A55+6/24))</f>
        <v/>
      </c>
      <c r="K55" s="20">
        <f>COUNTIFS(tData[SEHTrajectPeriodeDatumTijdVan],"&lt;="&amp;($A55+7/24),tData[SEHTrajectPeriodeDatumTijdTotEnMet],"&gt;"&amp;($A55+7/24))</f>
        <v/>
      </c>
      <c r="L55" s="20">
        <f>COUNTIFS(tData[SEHTrajectPeriodeDatumTijdVan],"&lt;="&amp;($A55+8/24),tData[SEHTrajectPeriodeDatumTijdTotEnMet],"&gt;"&amp;($A55+8/24))</f>
        <v/>
      </c>
      <c r="M55" s="20">
        <f>COUNTIFS(tData[SEHTrajectPeriodeDatumTijdVan],"&lt;="&amp;($A55+9/24),tData[SEHTrajectPeriodeDatumTijdTotEnMet],"&gt;"&amp;($A55+9/24))</f>
        <v/>
      </c>
      <c r="N55" s="20">
        <f>COUNTIFS(tData[SEHTrajectPeriodeDatumTijdVan],"&lt;="&amp;($A55+10/24),tData[SEHTrajectPeriodeDatumTijdTotEnMet],"&gt;"&amp;($A55+10/24))</f>
        <v/>
      </c>
      <c r="O55" s="20">
        <f>COUNTIFS(tData[SEHTrajectPeriodeDatumTijdVan],"&lt;="&amp;($A55+11/24),tData[SEHTrajectPeriodeDatumTijdTotEnMet],"&gt;"&amp;($A55+11/24))</f>
        <v/>
      </c>
      <c r="P55" s="20">
        <f>COUNTIFS(tData[SEHTrajectPeriodeDatumTijdVan],"&lt;="&amp;($A55+12/24),tData[SEHTrajectPeriodeDatumTijdTotEnMet],"&gt;"&amp;($A55+12/24))</f>
        <v/>
      </c>
      <c r="Q55" s="20">
        <f>COUNTIFS(tData[SEHTrajectPeriodeDatumTijdVan],"&lt;="&amp;($A55+13/24),tData[SEHTrajectPeriodeDatumTijdTotEnMet],"&gt;"&amp;($A55+13/24))</f>
        <v/>
      </c>
      <c r="R55" s="20">
        <f>COUNTIFS(tData[SEHTrajectPeriodeDatumTijdVan],"&lt;="&amp;($A55+14/24),tData[SEHTrajectPeriodeDatumTijdTotEnMet],"&gt;"&amp;($A55+14/24))</f>
        <v/>
      </c>
      <c r="S55" s="20">
        <f>COUNTIFS(tData[SEHTrajectPeriodeDatumTijdVan],"&lt;="&amp;($A55+15/24),tData[SEHTrajectPeriodeDatumTijdTotEnMet],"&gt;"&amp;($A55+15/24))</f>
        <v/>
      </c>
      <c r="T55" s="20">
        <f>COUNTIFS(tData[SEHTrajectPeriodeDatumTijdVan],"&lt;="&amp;($A55+16/24),tData[SEHTrajectPeriodeDatumTijdTotEnMet],"&gt;"&amp;($A55+16/24))</f>
        <v/>
      </c>
      <c r="U55" s="20">
        <f>COUNTIFS(tData[SEHTrajectPeriodeDatumTijdVan],"&lt;="&amp;($A55+17/24),tData[SEHTrajectPeriodeDatumTijdTotEnMet],"&gt;"&amp;($A55+17/24))</f>
        <v/>
      </c>
      <c r="V55" s="20">
        <f>COUNTIFS(tData[SEHTrajectPeriodeDatumTijdVan],"&lt;="&amp;($A55+18/24),tData[SEHTrajectPeriodeDatumTijdTotEnMet],"&gt;"&amp;($A55+18/24))</f>
        <v/>
      </c>
      <c r="W55" s="20">
        <f>COUNTIFS(tData[SEHTrajectPeriodeDatumTijdVan],"&lt;="&amp;($A55+19/24),tData[SEHTrajectPeriodeDatumTijdTotEnMet],"&gt;"&amp;($A55+19/24))</f>
        <v/>
      </c>
      <c r="X55" s="20">
        <f>COUNTIFS(tData[SEHTrajectPeriodeDatumTijdVan],"&lt;="&amp;($A55+20/24),tData[SEHTrajectPeriodeDatumTijdTotEnMet],"&gt;"&amp;($A55+20/24))</f>
        <v/>
      </c>
      <c r="Y55" s="20">
        <f>COUNTIFS(tData[SEHTrajectPeriodeDatumTijdVan],"&lt;="&amp;($A55+21/24),tData[SEHTrajectPeriodeDatumTijdTotEnMet],"&gt;"&amp;($A55+21/24))</f>
        <v/>
      </c>
      <c r="Z55" s="20">
        <f>COUNTIFS(tData[SEHTrajectPeriodeDatumTijdVan],"&lt;="&amp;($A55+22/24),tData[SEHTrajectPeriodeDatumTijdTotEnMet],"&gt;"&amp;($A55+22/24))</f>
        <v/>
      </c>
      <c r="AA55" s="20">
        <f>COUNTIFS(tData[SEHTrajectPeriodeDatumTijdVan],"&lt;="&amp;($A55+23/24),tData[SEHTrajectPeriodeDatumTijdTotEnMet],"&gt;"&amp;($A55+23/24))</f>
        <v/>
      </c>
    </row>
    <row r="56">
      <c r="A56" s="19" t="n">
        <v>45344</v>
      </c>
      <c r="B56" s="15">
        <f>WEEKDAY($A56,2)</f>
        <v/>
      </c>
      <c r="C56" s="15">
        <f>IF(AND($A56&gt;=INT(Instellingen!$B$5),$A56&lt;=INT(Instellingen!$B$6)),1,0)</f>
        <v/>
      </c>
      <c r="D56" s="20">
        <f>COUNTIFS(tData[SEHTrajectPeriodeDatumTijdVan],"&lt;="&amp;($A56+0/24),tData[SEHTrajectPeriodeDatumTijdTotEnMet],"&gt;"&amp;($A56+0/24))</f>
        <v/>
      </c>
      <c r="E56" s="20">
        <f>COUNTIFS(tData[SEHTrajectPeriodeDatumTijdVan],"&lt;="&amp;($A56+1/24),tData[SEHTrajectPeriodeDatumTijdTotEnMet],"&gt;"&amp;($A56+1/24))</f>
        <v/>
      </c>
      <c r="F56" s="20">
        <f>COUNTIFS(tData[SEHTrajectPeriodeDatumTijdVan],"&lt;="&amp;($A56+2/24),tData[SEHTrajectPeriodeDatumTijdTotEnMet],"&gt;"&amp;($A56+2/24))</f>
        <v/>
      </c>
      <c r="G56" s="20">
        <f>COUNTIFS(tData[SEHTrajectPeriodeDatumTijdVan],"&lt;="&amp;($A56+3/24),tData[SEHTrajectPeriodeDatumTijdTotEnMet],"&gt;"&amp;($A56+3/24))</f>
        <v/>
      </c>
      <c r="H56" s="20">
        <f>COUNTIFS(tData[SEHTrajectPeriodeDatumTijdVan],"&lt;="&amp;($A56+4/24),tData[SEHTrajectPeriodeDatumTijdTotEnMet],"&gt;"&amp;($A56+4/24))</f>
        <v/>
      </c>
      <c r="I56" s="20">
        <f>COUNTIFS(tData[SEHTrajectPeriodeDatumTijdVan],"&lt;="&amp;($A56+5/24),tData[SEHTrajectPeriodeDatumTijdTotEnMet],"&gt;"&amp;($A56+5/24))</f>
        <v/>
      </c>
      <c r="J56" s="20">
        <f>COUNTIFS(tData[SEHTrajectPeriodeDatumTijdVan],"&lt;="&amp;($A56+6/24),tData[SEHTrajectPeriodeDatumTijdTotEnMet],"&gt;"&amp;($A56+6/24))</f>
        <v/>
      </c>
      <c r="K56" s="20">
        <f>COUNTIFS(tData[SEHTrajectPeriodeDatumTijdVan],"&lt;="&amp;($A56+7/24),tData[SEHTrajectPeriodeDatumTijdTotEnMet],"&gt;"&amp;($A56+7/24))</f>
        <v/>
      </c>
      <c r="L56" s="20">
        <f>COUNTIFS(tData[SEHTrajectPeriodeDatumTijdVan],"&lt;="&amp;($A56+8/24),tData[SEHTrajectPeriodeDatumTijdTotEnMet],"&gt;"&amp;($A56+8/24))</f>
        <v/>
      </c>
      <c r="M56" s="20">
        <f>COUNTIFS(tData[SEHTrajectPeriodeDatumTijdVan],"&lt;="&amp;($A56+9/24),tData[SEHTrajectPeriodeDatumTijdTotEnMet],"&gt;"&amp;($A56+9/24))</f>
        <v/>
      </c>
      <c r="N56" s="20">
        <f>COUNTIFS(tData[SEHTrajectPeriodeDatumTijdVan],"&lt;="&amp;($A56+10/24),tData[SEHTrajectPeriodeDatumTijdTotEnMet],"&gt;"&amp;($A56+10/24))</f>
        <v/>
      </c>
      <c r="O56" s="20">
        <f>COUNTIFS(tData[SEHTrajectPeriodeDatumTijdVan],"&lt;="&amp;($A56+11/24),tData[SEHTrajectPeriodeDatumTijdTotEnMet],"&gt;"&amp;($A56+11/24))</f>
        <v/>
      </c>
      <c r="P56" s="20">
        <f>COUNTIFS(tData[SEHTrajectPeriodeDatumTijdVan],"&lt;="&amp;($A56+12/24),tData[SEHTrajectPeriodeDatumTijdTotEnMet],"&gt;"&amp;($A56+12/24))</f>
        <v/>
      </c>
      <c r="Q56" s="20">
        <f>COUNTIFS(tData[SEHTrajectPeriodeDatumTijdVan],"&lt;="&amp;($A56+13/24),tData[SEHTrajectPeriodeDatumTijdTotEnMet],"&gt;"&amp;($A56+13/24))</f>
        <v/>
      </c>
      <c r="R56" s="20">
        <f>COUNTIFS(tData[SEHTrajectPeriodeDatumTijdVan],"&lt;="&amp;($A56+14/24),tData[SEHTrajectPeriodeDatumTijdTotEnMet],"&gt;"&amp;($A56+14/24))</f>
        <v/>
      </c>
      <c r="S56" s="20">
        <f>COUNTIFS(tData[SEHTrajectPeriodeDatumTijdVan],"&lt;="&amp;($A56+15/24),tData[SEHTrajectPeriodeDatumTijdTotEnMet],"&gt;"&amp;($A56+15/24))</f>
        <v/>
      </c>
      <c r="T56" s="20">
        <f>COUNTIFS(tData[SEHTrajectPeriodeDatumTijdVan],"&lt;="&amp;($A56+16/24),tData[SEHTrajectPeriodeDatumTijdTotEnMet],"&gt;"&amp;($A56+16/24))</f>
        <v/>
      </c>
      <c r="U56" s="20">
        <f>COUNTIFS(tData[SEHTrajectPeriodeDatumTijdVan],"&lt;="&amp;($A56+17/24),tData[SEHTrajectPeriodeDatumTijdTotEnMet],"&gt;"&amp;($A56+17/24))</f>
        <v/>
      </c>
      <c r="V56" s="20">
        <f>COUNTIFS(tData[SEHTrajectPeriodeDatumTijdVan],"&lt;="&amp;($A56+18/24),tData[SEHTrajectPeriodeDatumTijdTotEnMet],"&gt;"&amp;($A56+18/24))</f>
        <v/>
      </c>
      <c r="W56" s="20">
        <f>COUNTIFS(tData[SEHTrajectPeriodeDatumTijdVan],"&lt;="&amp;($A56+19/24),tData[SEHTrajectPeriodeDatumTijdTotEnMet],"&gt;"&amp;($A56+19/24))</f>
        <v/>
      </c>
      <c r="X56" s="20">
        <f>COUNTIFS(tData[SEHTrajectPeriodeDatumTijdVan],"&lt;="&amp;($A56+20/24),tData[SEHTrajectPeriodeDatumTijdTotEnMet],"&gt;"&amp;($A56+20/24))</f>
        <v/>
      </c>
      <c r="Y56" s="20">
        <f>COUNTIFS(tData[SEHTrajectPeriodeDatumTijdVan],"&lt;="&amp;($A56+21/24),tData[SEHTrajectPeriodeDatumTijdTotEnMet],"&gt;"&amp;($A56+21/24))</f>
        <v/>
      </c>
      <c r="Z56" s="20">
        <f>COUNTIFS(tData[SEHTrajectPeriodeDatumTijdVan],"&lt;="&amp;($A56+22/24),tData[SEHTrajectPeriodeDatumTijdTotEnMet],"&gt;"&amp;($A56+22/24))</f>
        <v/>
      </c>
      <c r="AA56" s="20">
        <f>COUNTIFS(tData[SEHTrajectPeriodeDatumTijdVan],"&lt;="&amp;($A56+23/24),tData[SEHTrajectPeriodeDatumTijdTotEnMet],"&gt;"&amp;($A56+23/24))</f>
        <v/>
      </c>
    </row>
    <row r="57">
      <c r="A57" s="19" t="n">
        <v>45345</v>
      </c>
      <c r="B57" s="15">
        <f>WEEKDAY($A57,2)</f>
        <v/>
      </c>
      <c r="C57" s="15">
        <f>IF(AND($A57&gt;=INT(Instellingen!$B$5),$A57&lt;=INT(Instellingen!$B$6)),1,0)</f>
        <v/>
      </c>
      <c r="D57" s="20">
        <f>COUNTIFS(tData[SEHTrajectPeriodeDatumTijdVan],"&lt;="&amp;($A57+0/24),tData[SEHTrajectPeriodeDatumTijdTotEnMet],"&gt;"&amp;($A57+0/24))</f>
        <v/>
      </c>
      <c r="E57" s="20">
        <f>COUNTIFS(tData[SEHTrajectPeriodeDatumTijdVan],"&lt;="&amp;($A57+1/24),tData[SEHTrajectPeriodeDatumTijdTotEnMet],"&gt;"&amp;($A57+1/24))</f>
        <v/>
      </c>
      <c r="F57" s="20">
        <f>COUNTIFS(tData[SEHTrajectPeriodeDatumTijdVan],"&lt;="&amp;($A57+2/24),tData[SEHTrajectPeriodeDatumTijdTotEnMet],"&gt;"&amp;($A57+2/24))</f>
        <v/>
      </c>
      <c r="G57" s="20">
        <f>COUNTIFS(tData[SEHTrajectPeriodeDatumTijdVan],"&lt;="&amp;($A57+3/24),tData[SEHTrajectPeriodeDatumTijdTotEnMet],"&gt;"&amp;($A57+3/24))</f>
        <v/>
      </c>
      <c r="H57" s="20">
        <f>COUNTIFS(tData[SEHTrajectPeriodeDatumTijdVan],"&lt;="&amp;($A57+4/24),tData[SEHTrajectPeriodeDatumTijdTotEnMet],"&gt;"&amp;($A57+4/24))</f>
        <v/>
      </c>
      <c r="I57" s="20">
        <f>COUNTIFS(tData[SEHTrajectPeriodeDatumTijdVan],"&lt;="&amp;($A57+5/24),tData[SEHTrajectPeriodeDatumTijdTotEnMet],"&gt;"&amp;($A57+5/24))</f>
        <v/>
      </c>
      <c r="J57" s="20">
        <f>COUNTIFS(tData[SEHTrajectPeriodeDatumTijdVan],"&lt;="&amp;($A57+6/24),tData[SEHTrajectPeriodeDatumTijdTotEnMet],"&gt;"&amp;($A57+6/24))</f>
        <v/>
      </c>
      <c r="K57" s="20">
        <f>COUNTIFS(tData[SEHTrajectPeriodeDatumTijdVan],"&lt;="&amp;($A57+7/24),tData[SEHTrajectPeriodeDatumTijdTotEnMet],"&gt;"&amp;($A57+7/24))</f>
        <v/>
      </c>
      <c r="L57" s="20">
        <f>COUNTIFS(tData[SEHTrajectPeriodeDatumTijdVan],"&lt;="&amp;($A57+8/24),tData[SEHTrajectPeriodeDatumTijdTotEnMet],"&gt;"&amp;($A57+8/24))</f>
        <v/>
      </c>
      <c r="M57" s="20">
        <f>COUNTIFS(tData[SEHTrajectPeriodeDatumTijdVan],"&lt;="&amp;($A57+9/24),tData[SEHTrajectPeriodeDatumTijdTotEnMet],"&gt;"&amp;($A57+9/24))</f>
        <v/>
      </c>
      <c r="N57" s="20">
        <f>COUNTIFS(tData[SEHTrajectPeriodeDatumTijdVan],"&lt;="&amp;($A57+10/24),tData[SEHTrajectPeriodeDatumTijdTotEnMet],"&gt;"&amp;($A57+10/24))</f>
        <v/>
      </c>
      <c r="O57" s="20">
        <f>COUNTIFS(tData[SEHTrajectPeriodeDatumTijdVan],"&lt;="&amp;($A57+11/24),tData[SEHTrajectPeriodeDatumTijdTotEnMet],"&gt;"&amp;($A57+11/24))</f>
        <v/>
      </c>
      <c r="P57" s="20">
        <f>COUNTIFS(tData[SEHTrajectPeriodeDatumTijdVan],"&lt;="&amp;($A57+12/24),tData[SEHTrajectPeriodeDatumTijdTotEnMet],"&gt;"&amp;($A57+12/24))</f>
        <v/>
      </c>
      <c r="Q57" s="20">
        <f>COUNTIFS(tData[SEHTrajectPeriodeDatumTijdVan],"&lt;="&amp;($A57+13/24),tData[SEHTrajectPeriodeDatumTijdTotEnMet],"&gt;"&amp;($A57+13/24))</f>
        <v/>
      </c>
      <c r="R57" s="20">
        <f>COUNTIFS(tData[SEHTrajectPeriodeDatumTijdVan],"&lt;="&amp;($A57+14/24),tData[SEHTrajectPeriodeDatumTijdTotEnMet],"&gt;"&amp;($A57+14/24))</f>
        <v/>
      </c>
      <c r="S57" s="20">
        <f>COUNTIFS(tData[SEHTrajectPeriodeDatumTijdVan],"&lt;="&amp;($A57+15/24),tData[SEHTrajectPeriodeDatumTijdTotEnMet],"&gt;"&amp;($A57+15/24))</f>
        <v/>
      </c>
      <c r="T57" s="20">
        <f>COUNTIFS(tData[SEHTrajectPeriodeDatumTijdVan],"&lt;="&amp;($A57+16/24),tData[SEHTrajectPeriodeDatumTijdTotEnMet],"&gt;"&amp;($A57+16/24))</f>
        <v/>
      </c>
      <c r="U57" s="20">
        <f>COUNTIFS(tData[SEHTrajectPeriodeDatumTijdVan],"&lt;="&amp;($A57+17/24),tData[SEHTrajectPeriodeDatumTijdTotEnMet],"&gt;"&amp;($A57+17/24))</f>
        <v/>
      </c>
      <c r="V57" s="20">
        <f>COUNTIFS(tData[SEHTrajectPeriodeDatumTijdVan],"&lt;="&amp;($A57+18/24),tData[SEHTrajectPeriodeDatumTijdTotEnMet],"&gt;"&amp;($A57+18/24))</f>
        <v/>
      </c>
      <c r="W57" s="20">
        <f>COUNTIFS(tData[SEHTrajectPeriodeDatumTijdVan],"&lt;="&amp;($A57+19/24),tData[SEHTrajectPeriodeDatumTijdTotEnMet],"&gt;"&amp;($A57+19/24))</f>
        <v/>
      </c>
      <c r="X57" s="20">
        <f>COUNTIFS(tData[SEHTrajectPeriodeDatumTijdVan],"&lt;="&amp;($A57+20/24),tData[SEHTrajectPeriodeDatumTijdTotEnMet],"&gt;"&amp;($A57+20/24))</f>
        <v/>
      </c>
      <c r="Y57" s="20">
        <f>COUNTIFS(tData[SEHTrajectPeriodeDatumTijdVan],"&lt;="&amp;($A57+21/24),tData[SEHTrajectPeriodeDatumTijdTotEnMet],"&gt;"&amp;($A57+21/24))</f>
        <v/>
      </c>
      <c r="Z57" s="20">
        <f>COUNTIFS(tData[SEHTrajectPeriodeDatumTijdVan],"&lt;="&amp;($A57+22/24),tData[SEHTrajectPeriodeDatumTijdTotEnMet],"&gt;"&amp;($A57+22/24))</f>
        <v/>
      </c>
      <c r="AA57" s="20">
        <f>COUNTIFS(tData[SEHTrajectPeriodeDatumTijdVan],"&lt;="&amp;($A57+23/24),tData[SEHTrajectPeriodeDatumTijdTotEnMet],"&gt;"&amp;($A57+23/24))</f>
        <v/>
      </c>
    </row>
    <row r="58">
      <c r="A58" s="19" t="n">
        <v>45346</v>
      </c>
      <c r="B58" s="15">
        <f>WEEKDAY($A58,2)</f>
        <v/>
      </c>
      <c r="C58" s="15">
        <f>IF(AND($A58&gt;=INT(Instellingen!$B$5),$A58&lt;=INT(Instellingen!$B$6)),1,0)</f>
        <v/>
      </c>
      <c r="D58" s="20">
        <f>COUNTIFS(tData[SEHTrajectPeriodeDatumTijdVan],"&lt;="&amp;($A58+0/24),tData[SEHTrajectPeriodeDatumTijdTotEnMet],"&gt;"&amp;($A58+0/24))</f>
        <v/>
      </c>
      <c r="E58" s="20">
        <f>COUNTIFS(tData[SEHTrajectPeriodeDatumTijdVan],"&lt;="&amp;($A58+1/24),tData[SEHTrajectPeriodeDatumTijdTotEnMet],"&gt;"&amp;($A58+1/24))</f>
        <v/>
      </c>
      <c r="F58" s="20">
        <f>COUNTIFS(tData[SEHTrajectPeriodeDatumTijdVan],"&lt;="&amp;($A58+2/24),tData[SEHTrajectPeriodeDatumTijdTotEnMet],"&gt;"&amp;($A58+2/24))</f>
        <v/>
      </c>
      <c r="G58" s="20">
        <f>COUNTIFS(tData[SEHTrajectPeriodeDatumTijdVan],"&lt;="&amp;($A58+3/24),tData[SEHTrajectPeriodeDatumTijdTotEnMet],"&gt;"&amp;($A58+3/24))</f>
        <v/>
      </c>
      <c r="H58" s="20">
        <f>COUNTIFS(tData[SEHTrajectPeriodeDatumTijdVan],"&lt;="&amp;($A58+4/24),tData[SEHTrajectPeriodeDatumTijdTotEnMet],"&gt;"&amp;($A58+4/24))</f>
        <v/>
      </c>
      <c r="I58" s="20">
        <f>COUNTIFS(tData[SEHTrajectPeriodeDatumTijdVan],"&lt;="&amp;($A58+5/24),tData[SEHTrajectPeriodeDatumTijdTotEnMet],"&gt;"&amp;($A58+5/24))</f>
        <v/>
      </c>
      <c r="J58" s="20">
        <f>COUNTIFS(tData[SEHTrajectPeriodeDatumTijdVan],"&lt;="&amp;($A58+6/24),tData[SEHTrajectPeriodeDatumTijdTotEnMet],"&gt;"&amp;($A58+6/24))</f>
        <v/>
      </c>
      <c r="K58" s="20">
        <f>COUNTIFS(tData[SEHTrajectPeriodeDatumTijdVan],"&lt;="&amp;($A58+7/24),tData[SEHTrajectPeriodeDatumTijdTotEnMet],"&gt;"&amp;($A58+7/24))</f>
        <v/>
      </c>
      <c r="L58" s="20">
        <f>COUNTIFS(tData[SEHTrajectPeriodeDatumTijdVan],"&lt;="&amp;($A58+8/24),tData[SEHTrajectPeriodeDatumTijdTotEnMet],"&gt;"&amp;($A58+8/24))</f>
        <v/>
      </c>
      <c r="M58" s="20">
        <f>COUNTIFS(tData[SEHTrajectPeriodeDatumTijdVan],"&lt;="&amp;($A58+9/24),tData[SEHTrajectPeriodeDatumTijdTotEnMet],"&gt;"&amp;($A58+9/24))</f>
        <v/>
      </c>
      <c r="N58" s="20">
        <f>COUNTIFS(tData[SEHTrajectPeriodeDatumTijdVan],"&lt;="&amp;($A58+10/24),tData[SEHTrajectPeriodeDatumTijdTotEnMet],"&gt;"&amp;($A58+10/24))</f>
        <v/>
      </c>
      <c r="O58" s="20">
        <f>COUNTIFS(tData[SEHTrajectPeriodeDatumTijdVan],"&lt;="&amp;($A58+11/24),tData[SEHTrajectPeriodeDatumTijdTotEnMet],"&gt;"&amp;($A58+11/24))</f>
        <v/>
      </c>
      <c r="P58" s="20">
        <f>COUNTIFS(tData[SEHTrajectPeriodeDatumTijdVan],"&lt;="&amp;($A58+12/24),tData[SEHTrajectPeriodeDatumTijdTotEnMet],"&gt;"&amp;($A58+12/24))</f>
        <v/>
      </c>
      <c r="Q58" s="20">
        <f>COUNTIFS(tData[SEHTrajectPeriodeDatumTijdVan],"&lt;="&amp;($A58+13/24),tData[SEHTrajectPeriodeDatumTijdTotEnMet],"&gt;"&amp;($A58+13/24))</f>
        <v/>
      </c>
      <c r="R58" s="20">
        <f>COUNTIFS(tData[SEHTrajectPeriodeDatumTijdVan],"&lt;="&amp;($A58+14/24),tData[SEHTrajectPeriodeDatumTijdTotEnMet],"&gt;"&amp;($A58+14/24))</f>
        <v/>
      </c>
      <c r="S58" s="20">
        <f>COUNTIFS(tData[SEHTrajectPeriodeDatumTijdVan],"&lt;="&amp;($A58+15/24),tData[SEHTrajectPeriodeDatumTijdTotEnMet],"&gt;"&amp;($A58+15/24))</f>
        <v/>
      </c>
      <c r="T58" s="20">
        <f>COUNTIFS(tData[SEHTrajectPeriodeDatumTijdVan],"&lt;="&amp;($A58+16/24),tData[SEHTrajectPeriodeDatumTijdTotEnMet],"&gt;"&amp;($A58+16/24))</f>
        <v/>
      </c>
      <c r="U58" s="20">
        <f>COUNTIFS(tData[SEHTrajectPeriodeDatumTijdVan],"&lt;="&amp;($A58+17/24),tData[SEHTrajectPeriodeDatumTijdTotEnMet],"&gt;"&amp;($A58+17/24))</f>
        <v/>
      </c>
      <c r="V58" s="20">
        <f>COUNTIFS(tData[SEHTrajectPeriodeDatumTijdVan],"&lt;="&amp;($A58+18/24),tData[SEHTrajectPeriodeDatumTijdTotEnMet],"&gt;"&amp;($A58+18/24))</f>
        <v/>
      </c>
      <c r="W58" s="20">
        <f>COUNTIFS(tData[SEHTrajectPeriodeDatumTijdVan],"&lt;="&amp;($A58+19/24),tData[SEHTrajectPeriodeDatumTijdTotEnMet],"&gt;"&amp;($A58+19/24))</f>
        <v/>
      </c>
      <c r="X58" s="20">
        <f>COUNTIFS(tData[SEHTrajectPeriodeDatumTijdVan],"&lt;="&amp;($A58+20/24),tData[SEHTrajectPeriodeDatumTijdTotEnMet],"&gt;"&amp;($A58+20/24))</f>
        <v/>
      </c>
      <c r="Y58" s="20">
        <f>COUNTIFS(tData[SEHTrajectPeriodeDatumTijdVan],"&lt;="&amp;($A58+21/24),tData[SEHTrajectPeriodeDatumTijdTotEnMet],"&gt;"&amp;($A58+21/24))</f>
        <v/>
      </c>
      <c r="Z58" s="20">
        <f>COUNTIFS(tData[SEHTrajectPeriodeDatumTijdVan],"&lt;="&amp;($A58+22/24),tData[SEHTrajectPeriodeDatumTijdTotEnMet],"&gt;"&amp;($A58+22/24))</f>
        <v/>
      </c>
      <c r="AA58" s="20">
        <f>COUNTIFS(tData[SEHTrajectPeriodeDatumTijdVan],"&lt;="&amp;($A58+23/24),tData[SEHTrajectPeriodeDatumTijdTotEnMet],"&gt;"&amp;($A58+23/24))</f>
        <v/>
      </c>
    </row>
    <row r="59">
      <c r="A59" s="19" t="n">
        <v>45347</v>
      </c>
      <c r="B59" s="15">
        <f>WEEKDAY($A59,2)</f>
        <v/>
      </c>
      <c r="C59" s="15">
        <f>IF(AND($A59&gt;=INT(Instellingen!$B$5),$A59&lt;=INT(Instellingen!$B$6)),1,0)</f>
        <v/>
      </c>
      <c r="D59" s="20">
        <f>COUNTIFS(tData[SEHTrajectPeriodeDatumTijdVan],"&lt;="&amp;($A59+0/24),tData[SEHTrajectPeriodeDatumTijdTotEnMet],"&gt;"&amp;($A59+0/24))</f>
        <v/>
      </c>
      <c r="E59" s="20">
        <f>COUNTIFS(tData[SEHTrajectPeriodeDatumTijdVan],"&lt;="&amp;($A59+1/24),tData[SEHTrajectPeriodeDatumTijdTotEnMet],"&gt;"&amp;($A59+1/24))</f>
        <v/>
      </c>
      <c r="F59" s="20">
        <f>COUNTIFS(tData[SEHTrajectPeriodeDatumTijdVan],"&lt;="&amp;($A59+2/24),tData[SEHTrajectPeriodeDatumTijdTotEnMet],"&gt;"&amp;($A59+2/24))</f>
        <v/>
      </c>
      <c r="G59" s="20">
        <f>COUNTIFS(tData[SEHTrajectPeriodeDatumTijdVan],"&lt;="&amp;($A59+3/24),tData[SEHTrajectPeriodeDatumTijdTotEnMet],"&gt;"&amp;($A59+3/24))</f>
        <v/>
      </c>
      <c r="H59" s="20">
        <f>COUNTIFS(tData[SEHTrajectPeriodeDatumTijdVan],"&lt;="&amp;($A59+4/24),tData[SEHTrajectPeriodeDatumTijdTotEnMet],"&gt;"&amp;($A59+4/24))</f>
        <v/>
      </c>
      <c r="I59" s="20">
        <f>COUNTIFS(tData[SEHTrajectPeriodeDatumTijdVan],"&lt;="&amp;($A59+5/24),tData[SEHTrajectPeriodeDatumTijdTotEnMet],"&gt;"&amp;($A59+5/24))</f>
        <v/>
      </c>
      <c r="J59" s="20">
        <f>COUNTIFS(tData[SEHTrajectPeriodeDatumTijdVan],"&lt;="&amp;($A59+6/24),tData[SEHTrajectPeriodeDatumTijdTotEnMet],"&gt;"&amp;($A59+6/24))</f>
        <v/>
      </c>
      <c r="K59" s="20">
        <f>COUNTIFS(tData[SEHTrajectPeriodeDatumTijdVan],"&lt;="&amp;($A59+7/24),tData[SEHTrajectPeriodeDatumTijdTotEnMet],"&gt;"&amp;($A59+7/24))</f>
        <v/>
      </c>
      <c r="L59" s="20">
        <f>COUNTIFS(tData[SEHTrajectPeriodeDatumTijdVan],"&lt;="&amp;($A59+8/24),tData[SEHTrajectPeriodeDatumTijdTotEnMet],"&gt;"&amp;($A59+8/24))</f>
        <v/>
      </c>
      <c r="M59" s="20">
        <f>COUNTIFS(tData[SEHTrajectPeriodeDatumTijdVan],"&lt;="&amp;($A59+9/24),tData[SEHTrajectPeriodeDatumTijdTotEnMet],"&gt;"&amp;($A59+9/24))</f>
        <v/>
      </c>
      <c r="N59" s="20">
        <f>COUNTIFS(tData[SEHTrajectPeriodeDatumTijdVan],"&lt;="&amp;($A59+10/24),tData[SEHTrajectPeriodeDatumTijdTotEnMet],"&gt;"&amp;($A59+10/24))</f>
        <v/>
      </c>
      <c r="O59" s="20">
        <f>COUNTIFS(tData[SEHTrajectPeriodeDatumTijdVan],"&lt;="&amp;($A59+11/24),tData[SEHTrajectPeriodeDatumTijdTotEnMet],"&gt;"&amp;($A59+11/24))</f>
        <v/>
      </c>
      <c r="P59" s="20">
        <f>COUNTIFS(tData[SEHTrajectPeriodeDatumTijdVan],"&lt;="&amp;($A59+12/24),tData[SEHTrajectPeriodeDatumTijdTotEnMet],"&gt;"&amp;($A59+12/24))</f>
        <v/>
      </c>
      <c r="Q59" s="20">
        <f>COUNTIFS(tData[SEHTrajectPeriodeDatumTijdVan],"&lt;="&amp;($A59+13/24),tData[SEHTrajectPeriodeDatumTijdTotEnMet],"&gt;"&amp;($A59+13/24))</f>
        <v/>
      </c>
      <c r="R59" s="20">
        <f>COUNTIFS(tData[SEHTrajectPeriodeDatumTijdVan],"&lt;="&amp;($A59+14/24),tData[SEHTrajectPeriodeDatumTijdTotEnMet],"&gt;"&amp;($A59+14/24))</f>
        <v/>
      </c>
      <c r="S59" s="20">
        <f>COUNTIFS(tData[SEHTrajectPeriodeDatumTijdVan],"&lt;="&amp;($A59+15/24),tData[SEHTrajectPeriodeDatumTijdTotEnMet],"&gt;"&amp;($A59+15/24))</f>
        <v/>
      </c>
      <c r="T59" s="20">
        <f>COUNTIFS(tData[SEHTrajectPeriodeDatumTijdVan],"&lt;="&amp;($A59+16/24),tData[SEHTrajectPeriodeDatumTijdTotEnMet],"&gt;"&amp;($A59+16/24))</f>
        <v/>
      </c>
      <c r="U59" s="20">
        <f>COUNTIFS(tData[SEHTrajectPeriodeDatumTijdVan],"&lt;="&amp;($A59+17/24),tData[SEHTrajectPeriodeDatumTijdTotEnMet],"&gt;"&amp;($A59+17/24))</f>
        <v/>
      </c>
      <c r="V59" s="20">
        <f>COUNTIFS(tData[SEHTrajectPeriodeDatumTijdVan],"&lt;="&amp;($A59+18/24),tData[SEHTrajectPeriodeDatumTijdTotEnMet],"&gt;"&amp;($A59+18/24))</f>
        <v/>
      </c>
      <c r="W59" s="20">
        <f>COUNTIFS(tData[SEHTrajectPeriodeDatumTijdVan],"&lt;="&amp;($A59+19/24),tData[SEHTrajectPeriodeDatumTijdTotEnMet],"&gt;"&amp;($A59+19/24))</f>
        <v/>
      </c>
      <c r="X59" s="20">
        <f>COUNTIFS(tData[SEHTrajectPeriodeDatumTijdVan],"&lt;="&amp;($A59+20/24),tData[SEHTrajectPeriodeDatumTijdTotEnMet],"&gt;"&amp;($A59+20/24))</f>
        <v/>
      </c>
      <c r="Y59" s="20">
        <f>COUNTIFS(tData[SEHTrajectPeriodeDatumTijdVan],"&lt;="&amp;($A59+21/24),tData[SEHTrajectPeriodeDatumTijdTotEnMet],"&gt;"&amp;($A59+21/24))</f>
        <v/>
      </c>
      <c r="Z59" s="20">
        <f>COUNTIFS(tData[SEHTrajectPeriodeDatumTijdVan],"&lt;="&amp;($A59+22/24),tData[SEHTrajectPeriodeDatumTijdTotEnMet],"&gt;"&amp;($A59+22/24))</f>
        <v/>
      </c>
      <c r="AA59" s="20">
        <f>COUNTIFS(tData[SEHTrajectPeriodeDatumTijdVan],"&lt;="&amp;($A59+23/24),tData[SEHTrajectPeriodeDatumTijdTotEnMet],"&gt;"&amp;($A59+23/24))</f>
        <v/>
      </c>
    </row>
    <row r="60">
      <c r="A60" s="19" t="n">
        <v>45348</v>
      </c>
      <c r="B60" s="15">
        <f>WEEKDAY($A60,2)</f>
        <v/>
      </c>
      <c r="C60" s="15">
        <f>IF(AND($A60&gt;=INT(Instellingen!$B$5),$A60&lt;=INT(Instellingen!$B$6)),1,0)</f>
        <v/>
      </c>
      <c r="D60" s="20">
        <f>COUNTIFS(tData[SEHTrajectPeriodeDatumTijdVan],"&lt;="&amp;($A60+0/24),tData[SEHTrajectPeriodeDatumTijdTotEnMet],"&gt;"&amp;($A60+0/24))</f>
        <v/>
      </c>
      <c r="E60" s="20">
        <f>COUNTIFS(tData[SEHTrajectPeriodeDatumTijdVan],"&lt;="&amp;($A60+1/24),tData[SEHTrajectPeriodeDatumTijdTotEnMet],"&gt;"&amp;($A60+1/24))</f>
        <v/>
      </c>
      <c r="F60" s="20">
        <f>COUNTIFS(tData[SEHTrajectPeriodeDatumTijdVan],"&lt;="&amp;($A60+2/24),tData[SEHTrajectPeriodeDatumTijdTotEnMet],"&gt;"&amp;($A60+2/24))</f>
        <v/>
      </c>
      <c r="G60" s="20">
        <f>COUNTIFS(tData[SEHTrajectPeriodeDatumTijdVan],"&lt;="&amp;($A60+3/24),tData[SEHTrajectPeriodeDatumTijdTotEnMet],"&gt;"&amp;($A60+3/24))</f>
        <v/>
      </c>
      <c r="H60" s="20">
        <f>COUNTIFS(tData[SEHTrajectPeriodeDatumTijdVan],"&lt;="&amp;($A60+4/24),tData[SEHTrajectPeriodeDatumTijdTotEnMet],"&gt;"&amp;($A60+4/24))</f>
        <v/>
      </c>
      <c r="I60" s="20">
        <f>COUNTIFS(tData[SEHTrajectPeriodeDatumTijdVan],"&lt;="&amp;($A60+5/24),tData[SEHTrajectPeriodeDatumTijdTotEnMet],"&gt;"&amp;($A60+5/24))</f>
        <v/>
      </c>
      <c r="J60" s="20">
        <f>COUNTIFS(tData[SEHTrajectPeriodeDatumTijdVan],"&lt;="&amp;($A60+6/24),tData[SEHTrajectPeriodeDatumTijdTotEnMet],"&gt;"&amp;($A60+6/24))</f>
        <v/>
      </c>
      <c r="K60" s="20">
        <f>COUNTIFS(tData[SEHTrajectPeriodeDatumTijdVan],"&lt;="&amp;($A60+7/24),tData[SEHTrajectPeriodeDatumTijdTotEnMet],"&gt;"&amp;($A60+7/24))</f>
        <v/>
      </c>
      <c r="L60" s="20">
        <f>COUNTIFS(tData[SEHTrajectPeriodeDatumTijdVan],"&lt;="&amp;($A60+8/24),tData[SEHTrajectPeriodeDatumTijdTotEnMet],"&gt;"&amp;($A60+8/24))</f>
        <v/>
      </c>
      <c r="M60" s="20">
        <f>COUNTIFS(tData[SEHTrajectPeriodeDatumTijdVan],"&lt;="&amp;($A60+9/24),tData[SEHTrajectPeriodeDatumTijdTotEnMet],"&gt;"&amp;($A60+9/24))</f>
        <v/>
      </c>
      <c r="N60" s="20">
        <f>COUNTIFS(tData[SEHTrajectPeriodeDatumTijdVan],"&lt;="&amp;($A60+10/24),tData[SEHTrajectPeriodeDatumTijdTotEnMet],"&gt;"&amp;($A60+10/24))</f>
        <v/>
      </c>
      <c r="O60" s="20">
        <f>COUNTIFS(tData[SEHTrajectPeriodeDatumTijdVan],"&lt;="&amp;($A60+11/24),tData[SEHTrajectPeriodeDatumTijdTotEnMet],"&gt;"&amp;($A60+11/24))</f>
        <v/>
      </c>
      <c r="P60" s="20">
        <f>COUNTIFS(tData[SEHTrajectPeriodeDatumTijdVan],"&lt;="&amp;($A60+12/24),tData[SEHTrajectPeriodeDatumTijdTotEnMet],"&gt;"&amp;($A60+12/24))</f>
        <v/>
      </c>
      <c r="Q60" s="20">
        <f>COUNTIFS(tData[SEHTrajectPeriodeDatumTijdVan],"&lt;="&amp;($A60+13/24),tData[SEHTrajectPeriodeDatumTijdTotEnMet],"&gt;"&amp;($A60+13/24))</f>
        <v/>
      </c>
      <c r="R60" s="20">
        <f>COUNTIFS(tData[SEHTrajectPeriodeDatumTijdVan],"&lt;="&amp;($A60+14/24),tData[SEHTrajectPeriodeDatumTijdTotEnMet],"&gt;"&amp;($A60+14/24))</f>
        <v/>
      </c>
      <c r="S60" s="20">
        <f>COUNTIFS(tData[SEHTrajectPeriodeDatumTijdVan],"&lt;="&amp;($A60+15/24),tData[SEHTrajectPeriodeDatumTijdTotEnMet],"&gt;"&amp;($A60+15/24))</f>
        <v/>
      </c>
      <c r="T60" s="20">
        <f>COUNTIFS(tData[SEHTrajectPeriodeDatumTijdVan],"&lt;="&amp;($A60+16/24),tData[SEHTrajectPeriodeDatumTijdTotEnMet],"&gt;"&amp;($A60+16/24))</f>
        <v/>
      </c>
      <c r="U60" s="20">
        <f>COUNTIFS(tData[SEHTrajectPeriodeDatumTijdVan],"&lt;="&amp;($A60+17/24),tData[SEHTrajectPeriodeDatumTijdTotEnMet],"&gt;"&amp;($A60+17/24))</f>
        <v/>
      </c>
      <c r="V60" s="20">
        <f>COUNTIFS(tData[SEHTrajectPeriodeDatumTijdVan],"&lt;="&amp;($A60+18/24),tData[SEHTrajectPeriodeDatumTijdTotEnMet],"&gt;"&amp;($A60+18/24))</f>
        <v/>
      </c>
      <c r="W60" s="20">
        <f>COUNTIFS(tData[SEHTrajectPeriodeDatumTijdVan],"&lt;="&amp;($A60+19/24),tData[SEHTrajectPeriodeDatumTijdTotEnMet],"&gt;"&amp;($A60+19/24))</f>
        <v/>
      </c>
      <c r="X60" s="20">
        <f>COUNTIFS(tData[SEHTrajectPeriodeDatumTijdVan],"&lt;="&amp;($A60+20/24),tData[SEHTrajectPeriodeDatumTijdTotEnMet],"&gt;"&amp;($A60+20/24))</f>
        <v/>
      </c>
      <c r="Y60" s="20">
        <f>COUNTIFS(tData[SEHTrajectPeriodeDatumTijdVan],"&lt;="&amp;($A60+21/24),tData[SEHTrajectPeriodeDatumTijdTotEnMet],"&gt;"&amp;($A60+21/24))</f>
        <v/>
      </c>
      <c r="Z60" s="20">
        <f>COUNTIFS(tData[SEHTrajectPeriodeDatumTijdVan],"&lt;="&amp;($A60+22/24),tData[SEHTrajectPeriodeDatumTijdTotEnMet],"&gt;"&amp;($A60+22/24))</f>
        <v/>
      </c>
      <c r="AA60" s="20">
        <f>COUNTIFS(tData[SEHTrajectPeriodeDatumTijdVan],"&lt;="&amp;($A60+23/24),tData[SEHTrajectPeriodeDatumTijdTotEnMet],"&gt;"&amp;($A60+23/24))</f>
        <v/>
      </c>
    </row>
    <row r="61">
      <c r="A61" s="19" t="n">
        <v>45349</v>
      </c>
      <c r="B61" s="15">
        <f>WEEKDAY($A61,2)</f>
        <v/>
      </c>
      <c r="C61" s="15">
        <f>IF(AND($A61&gt;=INT(Instellingen!$B$5),$A61&lt;=INT(Instellingen!$B$6)),1,0)</f>
        <v/>
      </c>
      <c r="D61" s="20">
        <f>COUNTIFS(tData[SEHTrajectPeriodeDatumTijdVan],"&lt;="&amp;($A61+0/24),tData[SEHTrajectPeriodeDatumTijdTotEnMet],"&gt;"&amp;($A61+0/24))</f>
        <v/>
      </c>
      <c r="E61" s="20">
        <f>COUNTIFS(tData[SEHTrajectPeriodeDatumTijdVan],"&lt;="&amp;($A61+1/24),tData[SEHTrajectPeriodeDatumTijdTotEnMet],"&gt;"&amp;($A61+1/24))</f>
        <v/>
      </c>
      <c r="F61" s="20">
        <f>COUNTIFS(tData[SEHTrajectPeriodeDatumTijdVan],"&lt;="&amp;($A61+2/24),tData[SEHTrajectPeriodeDatumTijdTotEnMet],"&gt;"&amp;($A61+2/24))</f>
        <v/>
      </c>
      <c r="G61" s="20">
        <f>COUNTIFS(tData[SEHTrajectPeriodeDatumTijdVan],"&lt;="&amp;($A61+3/24),tData[SEHTrajectPeriodeDatumTijdTotEnMet],"&gt;"&amp;($A61+3/24))</f>
        <v/>
      </c>
      <c r="H61" s="20">
        <f>COUNTIFS(tData[SEHTrajectPeriodeDatumTijdVan],"&lt;="&amp;($A61+4/24),tData[SEHTrajectPeriodeDatumTijdTotEnMet],"&gt;"&amp;($A61+4/24))</f>
        <v/>
      </c>
      <c r="I61" s="20">
        <f>COUNTIFS(tData[SEHTrajectPeriodeDatumTijdVan],"&lt;="&amp;($A61+5/24),tData[SEHTrajectPeriodeDatumTijdTotEnMet],"&gt;"&amp;($A61+5/24))</f>
        <v/>
      </c>
      <c r="J61" s="20">
        <f>COUNTIFS(tData[SEHTrajectPeriodeDatumTijdVan],"&lt;="&amp;($A61+6/24),tData[SEHTrajectPeriodeDatumTijdTotEnMet],"&gt;"&amp;($A61+6/24))</f>
        <v/>
      </c>
      <c r="K61" s="20">
        <f>COUNTIFS(tData[SEHTrajectPeriodeDatumTijdVan],"&lt;="&amp;($A61+7/24),tData[SEHTrajectPeriodeDatumTijdTotEnMet],"&gt;"&amp;($A61+7/24))</f>
        <v/>
      </c>
      <c r="L61" s="20">
        <f>COUNTIFS(tData[SEHTrajectPeriodeDatumTijdVan],"&lt;="&amp;($A61+8/24),tData[SEHTrajectPeriodeDatumTijdTotEnMet],"&gt;"&amp;($A61+8/24))</f>
        <v/>
      </c>
      <c r="M61" s="20">
        <f>COUNTIFS(tData[SEHTrajectPeriodeDatumTijdVan],"&lt;="&amp;($A61+9/24),tData[SEHTrajectPeriodeDatumTijdTotEnMet],"&gt;"&amp;($A61+9/24))</f>
        <v/>
      </c>
      <c r="N61" s="20">
        <f>COUNTIFS(tData[SEHTrajectPeriodeDatumTijdVan],"&lt;="&amp;($A61+10/24),tData[SEHTrajectPeriodeDatumTijdTotEnMet],"&gt;"&amp;($A61+10/24))</f>
        <v/>
      </c>
      <c r="O61" s="20">
        <f>COUNTIFS(tData[SEHTrajectPeriodeDatumTijdVan],"&lt;="&amp;($A61+11/24),tData[SEHTrajectPeriodeDatumTijdTotEnMet],"&gt;"&amp;($A61+11/24))</f>
        <v/>
      </c>
      <c r="P61" s="20">
        <f>COUNTIFS(tData[SEHTrajectPeriodeDatumTijdVan],"&lt;="&amp;($A61+12/24),tData[SEHTrajectPeriodeDatumTijdTotEnMet],"&gt;"&amp;($A61+12/24))</f>
        <v/>
      </c>
      <c r="Q61" s="20">
        <f>COUNTIFS(tData[SEHTrajectPeriodeDatumTijdVan],"&lt;="&amp;($A61+13/24),tData[SEHTrajectPeriodeDatumTijdTotEnMet],"&gt;"&amp;($A61+13/24))</f>
        <v/>
      </c>
      <c r="R61" s="20">
        <f>COUNTIFS(tData[SEHTrajectPeriodeDatumTijdVan],"&lt;="&amp;($A61+14/24),tData[SEHTrajectPeriodeDatumTijdTotEnMet],"&gt;"&amp;($A61+14/24))</f>
        <v/>
      </c>
      <c r="S61" s="20">
        <f>COUNTIFS(tData[SEHTrajectPeriodeDatumTijdVan],"&lt;="&amp;($A61+15/24),tData[SEHTrajectPeriodeDatumTijdTotEnMet],"&gt;"&amp;($A61+15/24))</f>
        <v/>
      </c>
      <c r="T61" s="20">
        <f>COUNTIFS(tData[SEHTrajectPeriodeDatumTijdVan],"&lt;="&amp;($A61+16/24),tData[SEHTrajectPeriodeDatumTijdTotEnMet],"&gt;"&amp;($A61+16/24))</f>
        <v/>
      </c>
      <c r="U61" s="20">
        <f>COUNTIFS(tData[SEHTrajectPeriodeDatumTijdVan],"&lt;="&amp;($A61+17/24),tData[SEHTrajectPeriodeDatumTijdTotEnMet],"&gt;"&amp;($A61+17/24))</f>
        <v/>
      </c>
      <c r="V61" s="20">
        <f>COUNTIFS(tData[SEHTrajectPeriodeDatumTijdVan],"&lt;="&amp;($A61+18/24),tData[SEHTrajectPeriodeDatumTijdTotEnMet],"&gt;"&amp;($A61+18/24))</f>
        <v/>
      </c>
      <c r="W61" s="20">
        <f>COUNTIFS(tData[SEHTrajectPeriodeDatumTijdVan],"&lt;="&amp;($A61+19/24),tData[SEHTrajectPeriodeDatumTijdTotEnMet],"&gt;"&amp;($A61+19/24))</f>
        <v/>
      </c>
      <c r="X61" s="20">
        <f>COUNTIFS(tData[SEHTrajectPeriodeDatumTijdVan],"&lt;="&amp;($A61+20/24),tData[SEHTrajectPeriodeDatumTijdTotEnMet],"&gt;"&amp;($A61+20/24))</f>
        <v/>
      </c>
      <c r="Y61" s="20">
        <f>COUNTIFS(tData[SEHTrajectPeriodeDatumTijdVan],"&lt;="&amp;($A61+21/24),tData[SEHTrajectPeriodeDatumTijdTotEnMet],"&gt;"&amp;($A61+21/24))</f>
        <v/>
      </c>
      <c r="Z61" s="20">
        <f>COUNTIFS(tData[SEHTrajectPeriodeDatumTijdVan],"&lt;="&amp;($A61+22/24),tData[SEHTrajectPeriodeDatumTijdTotEnMet],"&gt;"&amp;($A61+22/24))</f>
        <v/>
      </c>
      <c r="AA61" s="20">
        <f>COUNTIFS(tData[SEHTrajectPeriodeDatumTijdVan],"&lt;="&amp;($A61+23/24),tData[SEHTrajectPeriodeDatumTijdTotEnMet],"&gt;"&amp;($A61+23/24))</f>
        <v/>
      </c>
    </row>
    <row r="62">
      <c r="A62" s="19" t="n">
        <v>45350</v>
      </c>
      <c r="B62" s="15">
        <f>WEEKDAY($A62,2)</f>
        <v/>
      </c>
      <c r="C62" s="15">
        <f>IF(AND($A62&gt;=INT(Instellingen!$B$5),$A62&lt;=INT(Instellingen!$B$6)),1,0)</f>
        <v/>
      </c>
      <c r="D62" s="20">
        <f>COUNTIFS(tData[SEHTrajectPeriodeDatumTijdVan],"&lt;="&amp;($A62+0/24),tData[SEHTrajectPeriodeDatumTijdTotEnMet],"&gt;"&amp;($A62+0/24))</f>
        <v/>
      </c>
      <c r="E62" s="20">
        <f>COUNTIFS(tData[SEHTrajectPeriodeDatumTijdVan],"&lt;="&amp;($A62+1/24),tData[SEHTrajectPeriodeDatumTijdTotEnMet],"&gt;"&amp;($A62+1/24))</f>
        <v/>
      </c>
      <c r="F62" s="20">
        <f>COUNTIFS(tData[SEHTrajectPeriodeDatumTijdVan],"&lt;="&amp;($A62+2/24),tData[SEHTrajectPeriodeDatumTijdTotEnMet],"&gt;"&amp;($A62+2/24))</f>
        <v/>
      </c>
      <c r="G62" s="20">
        <f>COUNTIFS(tData[SEHTrajectPeriodeDatumTijdVan],"&lt;="&amp;($A62+3/24),tData[SEHTrajectPeriodeDatumTijdTotEnMet],"&gt;"&amp;($A62+3/24))</f>
        <v/>
      </c>
      <c r="H62" s="20">
        <f>COUNTIFS(tData[SEHTrajectPeriodeDatumTijdVan],"&lt;="&amp;($A62+4/24),tData[SEHTrajectPeriodeDatumTijdTotEnMet],"&gt;"&amp;($A62+4/24))</f>
        <v/>
      </c>
      <c r="I62" s="20">
        <f>COUNTIFS(tData[SEHTrajectPeriodeDatumTijdVan],"&lt;="&amp;($A62+5/24),tData[SEHTrajectPeriodeDatumTijdTotEnMet],"&gt;"&amp;($A62+5/24))</f>
        <v/>
      </c>
      <c r="J62" s="20">
        <f>COUNTIFS(tData[SEHTrajectPeriodeDatumTijdVan],"&lt;="&amp;($A62+6/24),tData[SEHTrajectPeriodeDatumTijdTotEnMet],"&gt;"&amp;($A62+6/24))</f>
        <v/>
      </c>
      <c r="K62" s="20">
        <f>COUNTIFS(tData[SEHTrajectPeriodeDatumTijdVan],"&lt;="&amp;($A62+7/24),tData[SEHTrajectPeriodeDatumTijdTotEnMet],"&gt;"&amp;($A62+7/24))</f>
        <v/>
      </c>
      <c r="L62" s="20">
        <f>COUNTIFS(tData[SEHTrajectPeriodeDatumTijdVan],"&lt;="&amp;($A62+8/24),tData[SEHTrajectPeriodeDatumTijdTotEnMet],"&gt;"&amp;($A62+8/24))</f>
        <v/>
      </c>
      <c r="M62" s="20">
        <f>COUNTIFS(tData[SEHTrajectPeriodeDatumTijdVan],"&lt;="&amp;($A62+9/24),tData[SEHTrajectPeriodeDatumTijdTotEnMet],"&gt;"&amp;($A62+9/24))</f>
        <v/>
      </c>
      <c r="N62" s="20">
        <f>COUNTIFS(tData[SEHTrajectPeriodeDatumTijdVan],"&lt;="&amp;($A62+10/24),tData[SEHTrajectPeriodeDatumTijdTotEnMet],"&gt;"&amp;($A62+10/24))</f>
        <v/>
      </c>
      <c r="O62" s="20">
        <f>COUNTIFS(tData[SEHTrajectPeriodeDatumTijdVan],"&lt;="&amp;($A62+11/24),tData[SEHTrajectPeriodeDatumTijdTotEnMet],"&gt;"&amp;($A62+11/24))</f>
        <v/>
      </c>
      <c r="P62" s="20">
        <f>COUNTIFS(tData[SEHTrajectPeriodeDatumTijdVan],"&lt;="&amp;($A62+12/24),tData[SEHTrajectPeriodeDatumTijdTotEnMet],"&gt;"&amp;($A62+12/24))</f>
        <v/>
      </c>
      <c r="Q62" s="20">
        <f>COUNTIFS(tData[SEHTrajectPeriodeDatumTijdVan],"&lt;="&amp;($A62+13/24),tData[SEHTrajectPeriodeDatumTijdTotEnMet],"&gt;"&amp;($A62+13/24))</f>
        <v/>
      </c>
      <c r="R62" s="20">
        <f>COUNTIFS(tData[SEHTrajectPeriodeDatumTijdVan],"&lt;="&amp;($A62+14/24),tData[SEHTrajectPeriodeDatumTijdTotEnMet],"&gt;"&amp;($A62+14/24))</f>
        <v/>
      </c>
      <c r="S62" s="20">
        <f>COUNTIFS(tData[SEHTrajectPeriodeDatumTijdVan],"&lt;="&amp;($A62+15/24),tData[SEHTrajectPeriodeDatumTijdTotEnMet],"&gt;"&amp;($A62+15/24))</f>
        <v/>
      </c>
      <c r="T62" s="20">
        <f>COUNTIFS(tData[SEHTrajectPeriodeDatumTijdVan],"&lt;="&amp;($A62+16/24),tData[SEHTrajectPeriodeDatumTijdTotEnMet],"&gt;"&amp;($A62+16/24))</f>
        <v/>
      </c>
      <c r="U62" s="20">
        <f>COUNTIFS(tData[SEHTrajectPeriodeDatumTijdVan],"&lt;="&amp;($A62+17/24),tData[SEHTrajectPeriodeDatumTijdTotEnMet],"&gt;"&amp;($A62+17/24))</f>
        <v/>
      </c>
      <c r="V62" s="20">
        <f>COUNTIFS(tData[SEHTrajectPeriodeDatumTijdVan],"&lt;="&amp;($A62+18/24),tData[SEHTrajectPeriodeDatumTijdTotEnMet],"&gt;"&amp;($A62+18/24))</f>
        <v/>
      </c>
      <c r="W62" s="20">
        <f>COUNTIFS(tData[SEHTrajectPeriodeDatumTijdVan],"&lt;="&amp;($A62+19/24),tData[SEHTrajectPeriodeDatumTijdTotEnMet],"&gt;"&amp;($A62+19/24))</f>
        <v/>
      </c>
      <c r="X62" s="20">
        <f>COUNTIFS(tData[SEHTrajectPeriodeDatumTijdVan],"&lt;="&amp;($A62+20/24),tData[SEHTrajectPeriodeDatumTijdTotEnMet],"&gt;"&amp;($A62+20/24))</f>
        <v/>
      </c>
      <c r="Y62" s="20">
        <f>COUNTIFS(tData[SEHTrajectPeriodeDatumTijdVan],"&lt;="&amp;($A62+21/24),tData[SEHTrajectPeriodeDatumTijdTotEnMet],"&gt;"&amp;($A62+21/24))</f>
        <v/>
      </c>
      <c r="Z62" s="20">
        <f>COUNTIFS(tData[SEHTrajectPeriodeDatumTijdVan],"&lt;="&amp;($A62+22/24),tData[SEHTrajectPeriodeDatumTijdTotEnMet],"&gt;"&amp;($A62+22/24))</f>
        <v/>
      </c>
      <c r="AA62" s="20">
        <f>COUNTIFS(tData[SEHTrajectPeriodeDatumTijdVan],"&lt;="&amp;($A62+23/24),tData[SEHTrajectPeriodeDatumTijdTotEnMet],"&gt;"&amp;($A62+23/24))</f>
        <v/>
      </c>
    </row>
    <row r="63">
      <c r="A63" s="19" t="n">
        <v>45351</v>
      </c>
      <c r="B63" s="15">
        <f>WEEKDAY($A63,2)</f>
        <v/>
      </c>
      <c r="C63" s="15">
        <f>IF(AND($A63&gt;=INT(Instellingen!$B$5),$A63&lt;=INT(Instellingen!$B$6)),1,0)</f>
        <v/>
      </c>
      <c r="D63" s="20">
        <f>COUNTIFS(tData[SEHTrajectPeriodeDatumTijdVan],"&lt;="&amp;($A63+0/24),tData[SEHTrajectPeriodeDatumTijdTotEnMet],"&gt;"&amp;($A63+0/24))</f>
        <v/>
      </c>
      <c r="E63" s="20">
        <f>COUNTIFS(tData[SEHTrajectPeriodeDatumTijdVan],"&lt;="&amp;($A63+1/24),tData[SEHTrajectPeriodeDatumTijdTotEnMet],"&gt;"&amp;($A63+1/24))</f>
        <v/>
      </c>
      <c r="F63" s="20">
        <f>COUNTIFS(tData[SEHTrajectPeriodeDatumTijdVan],"&lt;="&amp;($A63+2/24),tData[SEHTrajectPeriodeDatumTijdTotEnMet],"&gt;"&amp;($A63+2/24))</f>
        <v/>
      </c>
      <c r="G63" s="20">
        <f>COUNTIFS(tData[SEHTrajectPeriodeDatumTijdVan],"&lt;="&amp;($A63+3/24),tData[SEHTrajectPeriodeDatumTijdTotEnMet],"&gt;"&amp;($A63+3/24))</f>
        <v/>
      </c>
      <c r="H63" s="20">
        <f>COUNTIFS(tData[SEHTrajectPeriodeDatumTijdVan],"&lt;="&amp;($A63+4/24),tData[SEHTrajectPeriodeDatumTijdTotEnMet],"&gt;"&amp;($A63+4/24))</f>
        <v/>
      </c>
      <c r="I63" s="20">
        <f>COUNTIFS(tData[SEHTrajectPeriodeDatumTijdVan],"&lt;="&amp;($A63+5/24),tData[SEHTrajectPeriodeDatumTijdTotEnMet],"&gt;"&amp;($A63+5/24))</f>
        <v/>
      </c>
      <c r="J63" s="20">
        <f>COUNTIFS(tData[SEHTrajectPeriodeDatumTijdVan],"&lt;="&amp;($A63+6/24),tData[SEHTrajectPeriodeDatumTijdTotEnMet],"&gt;"&amp;($A63+6/24))</f>
        <v/>
      </c>
      <c r="K63" s="20">
        <f>COUNTIFS(tData[SEHTrajectPeriodeDatumTijdVan],"&lt;="&amp;($A63+7/24),tData[SEHTrajectPeriodeDatumTijdTotEnMet],"&gt;"&amp;($A63+7/24))</f>
        <v/>
      </c>
      <c r="L63" s="20">
        <f>COUNTIFS(tData[SEHTrajectPeriodeDatumTijdVan],"&lt;="&amp;($A63+8/24),tData[SEHTrajectPeriodeDatumTijdTotEnMet],"&gt;"&amp;($A63+8/24))</f>
        <v/>
      </c>
      <c r="M63" s="20">
        <f>COUNTIFS(tData[SEHTrajectPeriodeDatumTijdVan],"&lt;="&amp;($A63+9/24),tData[SEHTrajectPeriodeDatumTijdTotEnMet],"&gt;"&amp;($A63+9/24))</f>
        <v/>
      </c>
      <c r="N63" s="20">
        <f>COUNTIFS(tData[SEHTrajectPeriodeDatumTijdVan],"&lt;="&amp;($A63+10/24),tData[SEHTrajectPeriodeDatumTijdTotEnMet],"&gt;"&amp;($A63+10/24))</f>
        <v/>
      </c>
      <c r="O63" s="20">
        <f>COUNTIFS(tData[SEHTrajectPeriodeDatumTijdVan],"&lt;="&amp;($A63+11/24),tData[SEHTrajectPeriodeDatumTijdTotEnMet],"&gt;"&amp;($A63+11/24))</f>
        <v/>
      </c>
      <c r="P63" s="20">
        <f>COUNTIFS(tData[SEHTrajectPeriodeDatumTijdVan],"&lt;="&amp;($A63+12/24),tData[SEHTrajectPeriodeDatumTijdTotEnMet],"&gt;"&amp;($A63+12/24))</f>
        <v/>
      </c>
      <c r="Q63" s="20">
        <f>COUNTIFS(tData[SEHTrajectPeriodeDatumTijdVan],"&lt;="&amp;($A63+13/24),tData[SEHTrajectPeriodeDatumTijdTotEnMet],"&gt;"&amp;($A63+13/24))</f>
        <v/>
      </c>
      <c r="R63" s="20">
        <f>COUNTIFS(tData[SEHTrajectPeriodeDatumTijdVan],"&lt;="&amp;($A63+14/24),tData[SEHTrajectPeriodeDatumTijdTotEnMet],"&gt;"&amp;($A63+14/24))</f>
        <v/>
      </c>
      <c r="S63" s="20">
        <f>COUNTIFS(tData[SEHTrajectPeriodeDatumTijdVan],"&lt;="&amp;($A63+15/24),tData[SEHTrajectPeriodeDatumTijdTotEnMet],"&gt;"&amp;($A63+15/24))</f>
        <v/>
      </c>
      <c r="T63" s="20">
        <f>COUNTIFS(tData[SEHTrajectPeriodeDatumTijdVan],"&lt;="&amp;($A63+16/24),tData[SEHTrajectPeriodeDatumTijdTotEnMet],"&gt;"&amp;($A63+16/24))</f>
        <v/>
      </c>
      <c r="U63" s="20">
        <f>COUNTIFS(tData[SEHTrajectPeriodeDatumTijdVan],"&lt;="&amp;($A63+17/24),tData[SEHTrajectPeriodeDatumTijdTotEnMet],"&gt;"&amp;($A63+17/24))</f>
        <v/>
      </c>
      <c r="V63" s="20">
        <f>COUNTIFS(tData[SEHTrajectPeriodeDatumTijdVan],"&lt;="&amp;($A63+18/24),tData[SEHTrajectPeriodeDatumTijdTotEnMet],"&gt;"&amp;($A63+18/24))</f>
        <v/>
      </c>
      <c r="W63" s="20">
        <f>COUNTIFS(tData[SEHTrajectPeriodeDatumTijdVan],"&lt;="&amp;($A63+19/24),tData[SEHTrajectPeriodeDatumTijdTotEnMet],"&gt;"&amp;($A63+19/24))</f>
        <v/>
      </c>
      <c r="X63" s="20">
        <f>COUNTIFS(tData[SEHTrajectPeriodeDatumTijdVan],"&lt;="&amp;($A63+20/24),tData[SEHTrajectPeriodeDatumTijdTotEnMet],"&gt;"&amp;($A63+20/24))</f>
        <v/>
      </c>
      <c r="Y63" s="20">
        <f>COUNTIFS(tData[SEHTrajectPeriodeDatumTijdVan],"&lt;="&amp;($A63+21/24),tData[SEHTrajectPeriodeDatumTijdTotEnMet],"&gt;"&amp;($A63+21/24))</f>
        <v/>
      </c>
      <c r="Z63" s="20">
        <f>COUNTIFS(tData[SEHTrajectPeriodeDatumTijdVan],"&lt;="&amp;($A63+22/24),tData[SEHTrajectPeriodeDatumTijdTotEnMet],"&gt;"&amp;($A63+22/24))</f>
        <v/>
      </c>
      <c r="AA63" s="20">
        <f>COUNTIFS(tData[SEHTrajectPeriodeDatumTijdVan],"&lt;="&amp;($A63+23/24),tData[SEHTrajectPeriodeDatumTijdTotEnMet],"&gt;"&amp;($A63+23/24))</f>
        <v/>
      </c>
    </row>
    <row r="64">
      <c r="A64" s="19" t="n">
        <v>45352</v>
      </c>
      <c r="B64" s="15">
        <f>WEEKDAY($A64,2)</f>
        <v/>
      </c>
      <c r="C64" s="15">
        <f>IF(AND($A64&gt;=INT(Instellingen!$B$5),$A64&lt;=INT(Instellingen!$B$6)),1,0)</f>
        <v/>
      </c>
      <c r="D64" s="20">
        <f>COUNTIFS(tData[SEHTrajectPeriodeDatumTijdVan],"&lt;="&amp;($A64+0/24),tData[SEHTrajectPeriodeDatumTijdTotEnMet],"&gt;"&amp;($A64+0/24))</f>
        <v/>
      </c>
      <c r="E64" s="20">
        <f>COUNTIFS(tData[SEHTrajectPeriodeDatumTijdVan],"&lt;="&amp;($A64+1/24),tData[SEHTrajectPeriodeDatumTijdTotEnMet],"&gt;"&amp;($A64+1/24))</f>
        <v/>
      </c>
      <c r="F64" s="20">
        <f>COUNTIFS(tData[SEHTrajectPeriodeDatumTijdVan],"&lt;="&amp;($A64+2/24),tData[SEHTrajectPeriodeDatumTijdTotEnMet],"&gt;"&amp;($A64+2/24))</f>
        <v/>
      </c>
      <c r="G64" s="20">
        <f>COUNTIFS(tData[SEHTrajectPeriodeDatumTijdVan],"&lt;="&amp;($A64+3/24),tData[SEHTrajectPeriodeDatumTijdTotEnMet],"&gt;"&amp;($A64+3/24))</f>
        <v/>
      </c>
      <c r="H64" s="20">
        <f>COUNTIFS(tData[SEHTrajectPeriodeDatumTijdVan],"&lt;="&amp;($A64+4/24),tData[SEHTrajectPeriodeDatumTijdTotEnMet],"&gt;"&amp;($A64+4/24))</f>
        <v/>
      </c>
      <c r="I64" s="20">
        <f>COUNTIFS(tData[SEHTrajectPeriodeDatumTijdVan],"&lt;="&amp;($A64+5/24),tData[SEHTrajectPeriodeDatumTijdTotEnMet],"&gt;"&amp;($A64+5/24))</f>
        <v/>
      </c>
      <c r="J64" s="20">
        <f>COUNTIFS(tData[SEHTrajectPeriodeDatumTijdVan],"&lt;="&amp;($A64+6/24),tData[SEHTrajectPeriodeDatumTijdTotEnMet],"&gt;"&amp;($A64+6/24))</f>
        <v/>
      </c>
      <c r="K64" s="20">
        <f>COUNTIFS(tData[SEHTrajectPeriodeDatumTijdVan],"&lt;="&amp;($A64+7/24),tData[SEHTrajectPeriodeDatumTijdTotEnMet],"&gt;"&amp;($A64+7/24))</f>
        <v/>
      </c>
      <c r="L64" s="20">
        <f>COUNTIFS(tData[SEHTrajectPeriodeDatumTijdVan],"&lt;="&amp;($A64+8/24),tData[SEHTrajectPeriodeDatumTijdTotEnMet],"&gt;"&amp;($A64+8/24))</f>
        <v/>
      </c>
      <c r="M64" s="20">
        <f>COUNTIFS(tData[SEHTrajectPeriodeDatumTijdVan],"&lt;="&amp;($A64+9/24),tData[SEHTrajectPeriodeDatumTijdTotEnMet],"&gt;"&amp;($A64+9/24))</f>
        <v/>
      </c>
      <c r="N64" s="20">
        <f>COUNTIFS(tData[SEHTrajectPeriodeDatumTijdVan],"&lt;="&amp;($A64+10/24),tData[SEHTrajectPeriodeDatumTijdTotEnMet],"&gt;"&amp;($A64+10/24))</f>
        <v/>
      </c>
      <c r="O64" s="20">
        <f>COUNTIFS(tData[SEHTrajectPeriodeDatumTijdVan],"&lt;="&amp;($A64+11/24),tData[SEHTrajectPeriodeDatumTijdTotEnMet],"&gt;"&amp;($A64+11/24))</f>
        <v/>
      </c>
      <c r="P64" s="20">
        <f>COUNTIFS(tData[SEHTrajectPeriodeDatumTijdVan],"&lt;="&amp;($A64+12/24),tData[SEHTrajectPeriodeDatumTijdTotEnMet],"&gt;"&amp;($A64+12/24))</f>
        <v/>
      </c>
      <c r="Q64" s="20">
        <f>COUNTIFS(tData[SEHTrajectPeriodeDatumTijdVan],"&lt;="&amp;($A64+13/24),tData[SEHTrajectPeriodeDatumTijdTotEnMet],"&gt;"&amp;($A64+13/24))</f>
        <v/>
      </c>
      <c r="R64" s="20">
        <f>COUNTIFS(tData[SEHTrajectPeriodeDatumTijdVan],"&lt;="&amp;($A64+14/24),tData[SEHTrajectPeriodeDatumTijdTotEnMet],"&gt;"&amp;($A64+14/24))</f>
        <v/>
      </c>
      <c r="S64" s="20">
        <f>COUNTIFS(tData[SEHTrajectPeriodeDatumTijdVan],"&lt;="&amp;($A64+15/24),tData[SEHTrajectPeriodeDatumTijdTotEnMet],"&gt;"&amp;($A64+15/24))</f>
        <v/>
      </c>
      <c r="T64" s="20">
        <f>COUNTIFS(tData[SEHTrajectPeriodeDatumTijdVan],"&lt;="&amp;($A64+16/24),tData[SEHTrajectPeriodeDatumTijdTotEnMet],"&gt;"&amp;($A64+16/24))</f>
        <v/>
      </c>
      <c r="U64" s="20">
        <f>COUNTIFS(tData[SEHTrajectPeriodeDatumTijdVan],"&lt;="&amp;($A64+17/24),tData[SEHTrajectPeriodeDatumTijdTotEnMet],"&gt;"&amp;($A64+17/24))</f>
        <v/>
      </c>
      <c r="V64" s="20">
        <f>COUNTIFS(tData[SEHTrajectPeriodeDatumTijdVan],"&lt;="&amp;($A64+18/24),tData[SEHTrajectPeriodeDatumTijdTotEnMet],"&gt;"&amp;($A64+18/24))</f>
        <v/>
      </c>
      <c r="W64" s="20">
        <f>COUNTIFS(tData[SEHTrajectPeriodeDatumTijdVan],"&lt;="&amp;($A64+19/24),tData[SEHTrajectPeriodeDatumTijdTotEnMet],"&gt;"&amp;($A64+19/24))</f>
        <v/>
      </c>
      <c r="X64" s="20">
        <f>COUNTIFS(tData[SEHTrajectPeriodeDatumTijdVan],"&lt;="&amp;($A64+20/24),tData[SEHTrajectPeriodeDatumTijdTotEnMet],"&gt;"&amp;($A64+20/24))</f>
        <v/>
      </c>
      <c r="Y64" s="20">
        <f>COUNTIFS(tData[SEHTrajectPeriodeDatumTijdVan],"&lt;="&amp;($A64+21/24),tData[SEHTrajectPeriodeDatumTijdTotEnMet],"&gt;"&amp;($A64+21/24))</f>
        <v/>
      </c>
      <c r="Z64" s="20">
        <f>COUNTIFS(tData[SEHTrajectPeriodeDatumTijdVan],"&lt;="&amp;($A64+22/24),tData[SEHTrajectPeriodeDatumTijdTotEnMet],"&gt;"&amp;($A64+22/24))</f>
        <v/>
      </c>
      <c r="AA64" s="20">
        <f>COUNTIFS(tData[SEHTrajectPeriodeDatumTijdVan],"&lt;="&amp;($A64+23/24),tData[SEHTrajectPeriodeDatumTijdTotEnMet],"&gt;"&amp;($A64+23/24))</f>
        <v/>
      </c>
    </row>
    <row r="65">
      <c r="A65" s="19" t="n">
        <v>45353</v>
      </c>
      <c r="B65" s="15">
        <f>WEEKDAY($A65,2)</f>
        <v/>
      </c>
      <c r="C65" s="15">
        <f>IF(AND($A65&gt;=INT(Instellingen!$B$5),$A65&lt;=INT(Instellingen!$B$6)),1,0)</f>
        <v/>
      </c>
      <c r="D65" s="20">
        <f>COUNTIFS(tData[SEHTrajectPeriodeDatumTijdVan],"&lt;="&amp;($A65+0/24),tData[SEHTrajectPeriodeDatumTijdTotEnMet],"&gt;"&amp;($A65+0/24))</f>
        <v/>
      </c>
      <c r="E65" s="20">
        <f>COUNTIFS(tData[SEHTrajectPeriodeDatumTijdVan],"&lt;="&amp;($A65+1/24),tData[SEHTrajectPeriodeDatumTijdTotEnMet],"&gt;"&amp;($A65+1/24))</f>
        <v/>
      </c>
      <c r="F65" s="20">
        <f>COUNTIFS(tData[SEHTrajectPeriodeDatumTijdVan],"&lt;="&amp;($A65+2/24),tData[SEHTrajectPeriodeDatumTijdTotEnMet],"&gt;"&amp;($A65+2/24))</f>
        <v/>
      </c>
      <c r="G65" s="20">
        <f>COUNTIFS(tData[SEHTrajectPeriodeDatumTijdVan],"&lt;="&amp;($A65+3/24),tData[SEHTrajectPeriodeDatumTijdTotEnMet],"&gt;"&amp;($A65+3/24))</f>
        <v/>
      </c>
      <c r="H65" s="20">
        <f>COUNTIFS(tData[SEHTrajectPeriodeDatumTijdVan],"&lt;="&amp;($A65+4/24),tData[SEHTrajectPeriodeDatumTijdTotEnMet],"&gt;"&amp;($A65+4/24))</f>
        <v/>
      </c>
      <c r="I65" s="20">
        <f>COUNTIFS(tData[SEHTrajectPeriodeDatumTijdVan],"&lt;="&amp;($A65+5/24),tData[SEHTrajectPeriodeDatumTijdTotEnMet],"&gt;"&amp;($A65+5/24))</f>
        <v/>
      </c>
      <c r="J65" s="20">
        <f>COUNTIFS(tData[SEHTrajectPeriodeDatumTijdVan],"&lt;="&amp;($A65+6/24),tData[SEHTrajectPeriodeDatumTijdTotEnMet],"&gt;"&amp;($A65+6/24))</f>
        <v/>
      </c>
      <c r="K65" s="20">
        <f>COUNTIFS(tData[SEHTrajectPeriodeDatumTijdVan],"&lt;="&amp;($A65+7/24),tData[SEHTrajectPeriodeDatumTijdTotEnMet],"&gt;"&amp;($A65+7/24))</f>
        <v/>
      </c>
      <c r="L65" s="20">
        <f>COUNTIFS(tData[SEHTrajectPeriodeDatumTijdVan],"&lt;="&amp;($A65+8/24),tData[SEHTrajectPeriodeDatumTijdTotEnMet],"&gt;"&amp;($A65+8/24))</f>
        <v/>
      </c>
      <c r="M65" s="20">
        <f>COUNTIFS(tData[SEHTrajectPeriodeDatumTijdVan],"&lt;="&amp;($A65+9/24),tData[SEHTrajectPeriodeDatumTijdTotEnMet],"&gt;"&amp;($A65+9/24))</f>
        <v/>
      </c>
      <c r="N65" s="20">
        <f>COUNTIFS(tData[SEHTrajectPeriodeDatumTijdVan],"&lt;="&amp;($A65+10/24),tData[SEHTrajectPeriodeDatumTijdTotEnMet],"&gt;"&amp;($A65+10/24))</f>
        <v/>
      </c>
      <c r="O65" s="20">
        <f>COUNTIFS(tData[SEHTrajectPeriodeDatumTijdVan],"&lt;="&amp;($A65+11/24),tData[SEHTrajectPeriodeDatumTijdTotEnMet],"&gt;"&amp;($A65+11/24))</f>
        <v/>
      </c>
      <c r="P65" s="20">
        <f>COUNTIFS(tData[SEHTrajectPeriodeDatumTijdVan],"&lt;="&amp;($A65+12/24),tData[SEHTrajectPeriodeDatumTijdTotEnMet],"&gt;"&amp;($A65+12/24))</f>
        <v/>
      </c>
      <c r="Q65" s="20">
        <f>COUNTIFS(tData[SEHTrajectPeriodeDatumTijdVan],"&lt;="&amp;($A65+13/24),tData[SEHTrajectPeriodeDatumTijdTotEnMet],"&gt;"&amp;($A65+13/24))</f>
        <v/>
      </c>
      <c r="R65" s="20">
        <f>COUNTIFS(tData[SEHTrajectPeriodeDatumTijdVan],"&lt;="&amp;($A65+14/24),tData[SEHTrajectPeriodeDatumTijdTotEnMet],"&gt;"&amp;($A65+14/24))</f>
        <v/>
      </c>
      <c r="S65" s="20">
        <f>COUNTIFS(tData[SEHTrajectPeriodeDatumTijdVan],"&lt;="&amp;($A65+15/24),tData[SEHTrajectPeriodeDatumTijdTotEnMet],"&gt;"&amp;($A65+15/24))</f>
        <v/>
      </c>
      <c r="T65" s="20">
        <f>COUNTIFS(tData[SEHTrajectPeriodeDatumTijdVan],"&lt;="&amp;($A65+16/24),tData[SEHTrajectPeriodeDatumTijdTotEnMet],"&gt;"&amp;($A65+16/24))</f>
        <v/>
      </c>
      <c r="U65" s="20">
        <f>COUNTIFS(tData[SEHTrajectPeriodeDatumTijdVan],"&lt;="&amp;($A65+17/24),tData[SEHTrajectPeriodeDatumTijdTotEnMet],"&gt;"&amp;($A65+17/24))</f>
        <v/>
      </c>
      <c r="V65" s="20">
        <f>COUNTIFS(tData[SEHTrajectPeriodeDatumTijdVan],"&lt;="&amp;($A65+18/24),tData[SEHTrajectPeriodeDatumTijdTotEnMet],"&gt;"&amp;($A65+18/24))</f>
        <v/>
      </c>
      <c r="W65" s="20">
        <f>COUNTIFS(tData[SEHTrajectPeriodeDatumTijdVan],"&lt;="&amp;($A65+19/24),tData[SEHTrajectPeriodeDatumTijdTotEnMet],"&gt;"&amp;($A65+19/24))</f>
        <v/>
      </c>
      <c r="X65" s="20">
        <f>COUNTIFS(tData[SEHTrajectPeriodeDatumTijdVan],"&lt;="&amp;($A65+20/24),tData[SEHTrajectPeriodeDatumTijdTotEnMet],"&gt;"&amp;($A65+20/24))</f>
        <v/>
      </c>
      <c r="Y65" s="20">
        <f>COUNTIFS(tData[SEHTrajectPeriodeDatumTijdVan],"&lt;="&amp;($A65+21/24),tData[SEHTrajectPeriodeDatumTijdTotEnMet],"&gt;"&amp;($A65+21/24))</f>
        <v/>
      </c>
      <c r="Z65" s="20">
        <f>COUNTIFS(tData[SEHTrajectPeriodeDatumTijdVan],"&lt;="&amp;($A65+22/24),tData[SEHTrajectPeriodeDatumTijdTotEnMet],"&gt;"&amp;($A65+22/24))</f>
        <v/>
      </c>
      <c r="AA65" s="20">
        <f>COUNTIFS(tData[SEHTrajectPeriodeDatumTijdVan],"&lt;="&amp;($A65+23/24),tData[SEHTrajectPeriodeDatumTijdTotEnMet],"&gt;"&amp;($A65+23/24))</f>
        <v/>
      </c>
    </row>
    <row r="66">
      <c r="A66" s="19" t="n">
        <v>45354</v>
      </c>
      <c r="B66" s="15">
        <f>WEEKDAY($A66,2)</f>
        <v/>
      </c>
      <c r="C66" s="15">
        <f>IF(AND($A66&gt;=INT(Instellingen!$B$5),$A66&lt;=INT(Instellingen!$B$6)),1,0)</f>
        <v/>
      </c>
      <c r="D66" s="20">
        <f>COUNTIFS(tData[SEHTrajectPeriodeDatumTijdVan],"&lt;="&amp;($A66+0/24),tData[SEHTrajectPeriodeDatumTijdTotEnMet],"&gt;"&amp;($A66+0/24))</f>
        <v/>
      </c>
      <c r="E66" s="20">
        <f>COUNTIFS(tData[SEHTrajectPeriodeDatumTijdVan],"&lt;="&amp;($A66+1/24),tData[SEHTrajectPeriodeDatumTijdTotEnMet],"&gt;"&amp;($A66+1/24))</f>
        <v/>
      </c>
      <c r="F66" s="20">
        <f>COUNTIFS(tData[SEHTrajectPeriodeDatumTijdVan],"&lt;="&amp;($A66+2/24),tData[SEHTrajectPeriodeDatumTijdTotEnMet],"&gt;"&amp;($A66+2/24))</f>
        <v/>
      </c>
      <c r="G66" s="20">
        <f>COUNTIFS(tData[SEHTrajectPeriodeDatumTijdVan],"&lt;="&amp;($A66+3/24),tData[SEHTrajectPeriodeDatumTijdTotEnMet],"&gt;"&amp;($A66+3/24))</f>
        <v/>
      </c>
      <c r="H66" s="20">
        <f>COUNTIFS(tData[SEHTrajectPeriodeDatumTijdVan],"&lt;="&amp;($A66+4/24),tData[SEHTrajectPeriodeDatumTijdTotEnMet],"&gt;"&amp;($A66+4/24))</f>
        <v/>
      </c>
      <c r="I66" s="20">
        <f>COUNTIFS(tData[SEHTrajectPeriodeDatumTijdVan],"&lt;="&amp;($A66+5/24),tData[SEHTrajectPeriodeDatumTijdTotEnMet],"&gt;"&amp;($A66+5/24))</f>
        <v/>
      </c>
      <c r="J66" s="20">
        <f>COUNTIFS(tData[SEHTrajectPeriodeDatumTijdVan],"&lt;="&amp;($A66+6/24),tData[SEHTrajectPeriodeDatumTijdTotEnMet],"&gt;"&amp;($A66+6/24))</f>
        <v/>
      </c>
      <c r="K66" s="20">
        <f>COUNTIFS(tData[SEHTrajectPeriodeDatumTijdVan],"&lt;="&amp;($A66+7/24),tData[SEHTrajectPeriodeDatumTijdTotEnMet],"&gt;"&amp;($A66+7/24))</f>
        <v/>
      </c>
      <c r="L66" s="20">
        <f>COUNTIFS(tData[SEHTrajectPeriodeDatumTijdVan],"&lt;="&amp;($A66+8/24),tData[SEHTrajectPeriodeDatumTijdTotEnMet],"&gt;"&amp;($A66+8/24))</f>
        <v/>
      </c>
      <c r="M66" s="20">
        <f>COUNTIFS(tData[SEHTrajectPeriodeDatumTijdVan],"&lt;="&amp;($A66+9/24),tData[SEHTrajectPeriodeDatumTijdTotEnMet],"&gt;"&amp;($A66+9/24))</f>
        <v/>
      </c>
      <c r="N66" s="20">
        <f>COUNTIFS(tData[SEHTrajectPeriodeDatumTijdVan],"&lt;="&amp;($A66+10/24),tData[SEHTrajectPeriodeDatumTijdTotEnMet],"&gt;"&amp;($A66+10/24))</f>
        <v/>
      </c>
      <c r="O66" s="20">
        <f>COUNTIFS(tData[SEHTrajectPeriodeDatumTijdVan],"&lt;="&amp;($A66+11/24),tData[SEHTrajectPeriodeDatumTijdTotEnMet],"&gt;"&amp;($A66+11/24))</f>
        <v/>
      </c>
      <c r="P66" s="20">
        <f>COUNTIFS(tData[SEHTrajectPeriodeDatumTijdVan],"&lt;="&amp;($A66+12/24),tData[SEHTrajectPeriodeDatumTijdTotEnMet],"&gt;"&amp;($A66+12/24))</f>
        <v/>
      </c>
      <c r="Q66" s="20">
        <f>COUNTIFS(tData[SEHTrajectPeriodeDatumTijdVan],"&lt;="&amp;($A66+13/24),tData[SEHTrajectPeriodeDatumTijdTotEnMet],"&gt;"&amp;($A66+13/24))</f>
        <v/>
      </c>
      <c r="R66" s="20">
        <f>COUNTIFS(tData[SEHTrajectPeriodeDatumTijdVan],"&lt;="&amp;($A66+14/24),tData[SEHTrajectPeriodeDatumTijdTotEnMet],"&gt;"&amp;($A66+14/24))</f>
        <v/>
      </c>
      <c r="S66" s="20">
        <f>COUNTIFS(tData[SEHTrajectPeriodeDatumTijdVan],"&lt;="&amp;($A66+15/24),tData[SEHTrajectPeriodeDatumTijdTotEnMet],"&gt;"&amp;($A66+15/24))</f>
        <v/>
      </c>
      <c r="T66" s="20">
        <f>COUNTIFS(tData[SEHTrajectPeriodeDatumTijdVan],"&lt;="&amp;($A66+16/24),tData[SEHTrajectPeriodeDatumTijdTotEnMet],"&gt;"&amp;($A66+16/24))</f>
        <v/>
      </c>
      <c r="U66" s="20">
        <f>COUNTIFS(tData[SEHTrajectPeriodeDatumTijdVan],"&lt;="&amp;($A66+17/24),tData[SEHTrajectPeriodeDatumTijdTotEnMet],"&gt;"&amp;($A66+17/24))</f>
        <v/>
      </c>
      <c r="V66" s="20">
        <f>COUNTIFS(tData[SEHTrajectPeriodeDatumTijdVan],"&lt;="&amp;($A66+18/24),tData[SEHTrajectPeriodeDatumTijdTotEnMet],"&gt;"&amp;($A66+18/24))</f>
        <v/>
      </c>
      <c r="W66" s="20">
        <f>COUNTIFS(tData[SEHTrajectPeriodeDatumTijdVan],"&lt;="&amp;($A66+19/24),tData[SEHTrajectPeriodeDatumTijdTotEnMet],"&gt;"&amp;($A66+19/24))</f>
        <v/>
      </c>
      <c r="X66" s="20">
        <f>COUNTIFS(tData[SEHTrajectPeriodeDatumTijdVan],"&lt;="&amp;($A66+20/24),tData[SEHTrajectPeriodeDatumTijdTotEnMet],"&gt;"&amp;($A66+20/24))</f>
        <v/>
      </c>
      <c r="Y66" s="20">
        <f>COUNTIFS(tData[SEHTrajectPeriodeDatumTijdVan],"&lt;="&amp;($A66+21/24),tData[SEHTrajectPeriodeDatumTijdTotEnMet],"&gt;"&amp;($A66+21/24))</f>
        <v/>
      </c>
      <c r="Z66" s="20">
        <f>COUNTIFS(tData[SEHTrajectPeriodeDatumTijdVan],"&lt;="&amp;($A66+22/24),tData[SEHTrajectPeriodeDatumTijdTotEnMet],"&gt;"&amp;($A66+22/24))</f>
        <v/>
      </c>
      <c r="AA66" s="20">
        <f>COUNTIFS(tData[SEHTrajectPeriodeDatumTijdVan],"&lt;="&amp;($A66+23/24),tData[SEHTrajectPeriodeDatumTijdTotEnMet],"&gt;"&amp;($A66+23/24))</f>
        <v/>
      </c>
    </row>
    <row r="67">
      <c r="A67" s="19" t="n">
        <v>45355</v>
      </c>
      <c r="B67" s="15">
        <f>WEEKDAY($A67,2)</f>
        <v/>
      </c>
      <c r="C67" s="15">
        <f>IF(AND($A67&gt;=INT(Instellingen!$B$5),$A67&lt;=INT(Instellingen!$B$6)),1,0)</f>
        <v/>
      </c>
      <c r="D67" s="20">
        <f>COUNTIFS(tData[SEHTrajectPeriodeDatumTijdVan],"&lt;="&amp;($A67+0/24),tData[SEHTrajectPeriodeDatumTijdTotEnMet],"&gt;"&amp;($A67+0/24))</f>
        <v/>
      </c>
      <c r="E67" s="20">
        <f>COUNTIFS(tData[SEHTrajectPeriodeDatumTijdVan],"&lt;="&amp;($A67+1/24),tData[SEHTrajectPeriodeDatumTijdTotEnMet],"&gt;"&amp;($A67+1/24))</f>
        <v/>
      </c>
      <c r="F67" s="20">
        <f>COUNTIFS(tData[SEHTrajectPeriodeDatumTijdVan],"&lt;="&amp;($A67+2/24),tData[SEHTrajectPeriodeDatumTijdTotEnMet],"&gt;"&amp;($A67+2/24))</f>
        <v/>
      </c>
      <c r="G67" s="20">
        <f>COUNTIFS(tData[SEHTrajectPeriodeDatumTijdVan],"&lt;="&amp;($A67+3/24),tData[SEHTrajectPeriodeDatumTijdTotEnMet],"&gt;"&amp;($A67+3/24))</f>
        <v/>
      </c>
      <c r="H67" s="20">
        <f>COUNTIFS(tData[SEHTrajectPeriodeDatumTijdVan],"&lt;="&amp;($A67+4/24),tData[SEHTrajectPeriodeDatumTijdTotEnMet],"&gt;"&amp;($A67+4/24))</f>
        <v/>
      </c>
      <c r="I67" s="20">
        <f>COUNTIFS(tData[SEHTrajectPeriodeDatumTijdVan],"&lt;="&amp;($A67+5/24),tData[SEHTrajectPeriodeDatumTijdTotEnMet],"&gt;"&amp;($A67+5/24))</f>
        <v/>
      </c>
      <c r="J67" s="20">
        <f>COUNTIFS(tData[SEHTrajectPeriodeDatumTijdVan],"&lt;="&amp;($A67+6/24),tData[SEHTrajectPeriodeDatumTijdTotEnMet],"&gt;"&amp;($A67+6/24))</f>
        <v/>
      </c>
      <c r="K67" s="20">
        <f>COUNTIFS(tData[SEHTrajectPeriodeDatumTijdVan],"&lt;="&amp;($A67+7/24),tData[SEHTrajectPeriodeDatumTijdTotEnMet],"&gt;"&amp;($A67+7/24))</f>
        <v/>
      </c>
      <c r="L67" s="20">
        <f>COUNTIFS(tData[SEHTrajectPeriodeDatumTijdVan],"&lt;="&amp;($A67+8/24),tData[SEHTrajectPeriodeDatumTijdTotEnMet],"&gt;"&amp;($A67+8/24))</f>
        <v/>
      </c>
      <c r="M67" s="20">
        <f>COUNTIFS(tData[SEHTrajectPeriodeDatumTijdVan],"&lt;="&amp;($A67+9/24),tData[SEHTrajectPeriodeDatumTijdTotEnMet],"&gt;"&amp;($A67+9/24))</f>
        <v/>
      </c>
      <c r="N67" s="20">
        <f>COUNTIFS(tData[SEHTrajectPeriodeDatumTijdVan],"&lt;="&amp;($A67+10/24),tData[SEHTrajectPeriodeDatumTijdTotEnMet],"&gt;"&amp;($A67+10/24))</f>
        <v/>
      </c>
      <c r="O67" s="20">
        <f>COUNTIFS(tData[SEHTrajectPeriodeDatumTijdVan],"&lt;="&amp;($A67+11/24),tData[SEHTrajectPeriodeDatumTijdTotEnMet],"&gt;"&amp;($A67+11/24))</f>
        <v/>
      </c>
      <c r="P67" s="20">
        <f>COUNTIFS(tData[SEHTrajectPeriodeDatumTijdVan],"&lt;="&amp;($A67+12/24),tData[SEHTrajectPeriodeDatumTijdTotEnMet],"&gt;"&amp;($A67+12/24))</f>
        <v/>
      </c>
      <c r="Q67" s="20">
        <f>COUNTIFS(tData[SEHTrajectPeriodeDatumTijdVan],"&lt;="&amp;($A67+13/24),tData[SEHTrajectPeriodeDatumTijdTotEnMet],"&gt;"&amp;($A67+13/24))</f>
        <v/>
      </c>
      <c r="R67" s="20">
        <f>COUNTIFS(tData[SEHTrajectPeriodeDatumTijdVan],"&lt;="&amp;($A67+14/24),tData[SEHTrajectPeriodeDatumTijdTotEnMet],"&gt;"&amp;($A67+14/24))</f>
        <v/>
      </c>
      <c r="S67" s="20">
        <f>COUNTIFS(tData[SEHTrajectPeriodeDatumTijdVan],"&lt;="&amp;($A67+15/24),tData[SEHTrajectPeriodeDatumTijdTotEnMet],"&gt;"&amp;($A67+15/24))</f>
        <v/>
      </c>
      <c r="T67" s="20">
        <f>COUNTIFS(tData[SEHTrajectPeriodeDatumTijdVan],"&lt;="&amp;($A67+16/24),tData[SEHTrajectPeriodeDatumTijdTotEnMet],"&gt;"&amp;($A67+16/24))</f>
        <v/>
      </c>
      <c r="U67" s="20">
        <f>COUNTIFS(tData[SEHTrajectPeriodeDatumTijdVan],"&lt;="&amp;($A67+17/24),tData[SEHTrajectPeriodeDatumTijdTotEnMet],"&gt;"&amp;($A67+17/24))</f>
        <v/>
      </c>
      <c r="V67" s="20">
        <f>COUNTIFS(tData[SEHTrajectPeriodeDatumTijdVan],"&lt;="&amp;($A67+18/24),tData[SEHTrajectPeriodeDatumTijdTotEnMet],"&gt;"&amp;($A67+18/24))</f>
        <v/>
      </c>
      <c r="W67" s="20">
        <f>COUNTIFS(tData[SEHTrajectPeriodeDatumTijdVan],"&lt;="&amp;($A67+19/24),tData[SEHTrajectPeriodeDatumTijdTotEnMet],"&gt;"&amp;($A67+19/24))</f>
        <v/>
      </c>
      <c r="X67" s="20">
        <f>COUNTIFS(tData[SEHTrajectPeriodeDatumTijdVan],"&lt;="&amp;($A67+20/24),tData[SEHTrajectPeriodeDatumTijdTotEnMet],"&gt;"&amp;($A67+20/24))</f>
        <v/>
      </c>
      <c r="Y67" s="20">
        <f>COUNTIFS(tData[SEHTrajectPeriodeDatumTijdVan],"&lt;="&amp;($A67+21/24),tData[SEHTrajectPeriodeDatumTijdTotEnMet],"&gt;"&amp;($A67+21/24))</f>
        <v/>
      </c>
      <c r="Z67" s="20">
        <f>COUNTIFS(tData[SEHTrajectPeriodeDatumTijdVan],"&lt;="&amp;($A67+22/24),tData[SEHTrajectPeriodeDatumTijdTotEnMet],"&gt;"&amp;($A67+22/24))</f>
        <v/>
      </c>
      <c r="AA67" s="20">
        <f>COUNTIFS(tData[SEHTrajectPeriodeDatumTijdVan],"&lt;="&amp;($A67+23/24),tData[SEHTrajectPeriodeDatumTijdTotEnMet],"&gt;"&amp;($A67+23/24))</f>
        <v/>
      </c>
    </row>
    <row r="68">
      <c r="A68" s="19" t="n">
        <v>45356</v>
      </c>
      <c r="B68" s="15">
        <f>WEEKDAY($A68,2)</f>
        <v/>
      </c>
      <c r="C68" s="15">
        <f>IF(AND($A68&gt;=INT(Instellingen!$B$5),$A68&lt;=INT(Instellingen!$B$6)),1,0)</f>
        <v/>
      </c>
      <c r="D68" s="20">
        <f>COUNTIFS(tData[SEHTrajectPeriodeDatumTijdVan],"&lt;="&amp;($A68+0/24),tData[SEHTrajectPeriodeDatumTijdTotEnMet],"&gt;"&amp;($A68+0/24))</f>
        <v/>
      </c>
      <c r="E68" s="20">
        <f>COUNTIFS(tData[SEHTrajectPeriodeDatumTijdVan],"&lt;="&amp;($A68+1/24),tData[SEHTrajectPeriodeDatumTijdTotEnMet],"&gt;"&amp;($A68+1/24))</f>
        <v/>
      </c>
      <c r="F68" s="20">
        <f>COUNTIFS(tData[SEHTrajectPeriodeDatumTijdVan],"&lt;="&amp;($A68+2/24),tData[SEHTrajectPeriodeDatumTijdTotEnMet],"&gt;"&amp;($A68+2/24))</f>
        <v/>
      </c>
      <c r="G68" s="20">
        <f>COUNTIFS(tData[SEHTrajectPeriodeDatumTijdVan],"&lt;="&amp;($A68+3/24),tData[SEHTrajectPeriodeDatumTijdTotEnMet],"&gt;"&amp;($A68+3/24))</f>
        <v/>
      </c>
      <c r="H68" s="20">
        <f>COUNTIFS(tData[SEHTrajectPeriodeDatumTijdVan],"&lt;="&amp;($A68+4/24),tData[SEHTrajectPeriodeDatumTijdTotEnMet],"&gt;"&amp;($A68+4/24))</f>
        <v/>
      </c>
      <c r="I68" s="20">
        <f>COUNTIFS(tData[SEHTrajectPeriodeDatumTijdVan],"&lt;="&amp;($A68+5/24),tData[SEHTrajectPeriodeDatumTijdTotEnMet],"&gt;"&amp;($A68+5/24))</f>
        <v/>
      </c>
      <c r="J68" s="20">
        <f>COUNTIFS(tData[SEHTrajectPeriodeDatumTijdVan],"&lt;="&amp;($A68+6/24),tData[SEHTrajectPeriodeDatumTijdTotEnMet],"&gt;"&amp;($A68+6/24))</f>
        <v/>
      </c>
      <c r="K68" s="20">
        <f>COUNTIFS(tData[SEHTrajectPeriodeDatumTijdVan],"&lt;="&amp;($A68+7/24),tData[SEHTrajectPeriodeDatumTijdTotEnMet],"&gt;"&amp;($A68+7/24))</f>
        <v/>
      </c>
      <c r="L68" s="20">
        <f>COUNTIFS(tData[SEHTrajectPeriodeDatumTijdVan],"&lt;="&amp;($A68+8/24),tData[SEHTrajectPeriodeDatumTijdTotEnMet],"&gt;"&amp;($A68+8/24))</f>
        <v/>
      </c>
      <c r="M68" s="20">
        <f>COUNTIFS(tData[SEHTrajectPeriodeDatumTijdVan],"&lt;="&amp;($A68+9/24),tData[SEHTrajectPeriodeDatumTijdTotEnMet],"&gt;"&amp;($A68+9/24))</f>
        <v/>
      </c>
      <c r="N68" s="20">
        <f>COUNTIFS(tData[SEHTrajectPeriodeDatumTijdVan],"&lt;="&amp;($A68+10/24),tData[SEHTrajectPeriodeDatumTijdTotEnMet],"&gt;"&amp;($A68+10/24))</f>
        <v/>
      </c>
      <c r="O68" s="20">
        <f>COUNTIFS(tData[SEHTrajectPeriodeDatumTijdVan],"&lt;="&amp;($A68+11/24),tData[SEHTrajectPeriodeDatumTijdTotEnMet],"&gt;"&amp;($A68+11/24))</f>
        <v/>
      </c>
      <c r="P68" s="20">
        <f>COUNTIFS(tData[SEHTrajectPeriodeDatumTijdVan],"&lt;="&amp;($A68+12/24),tData[SEHTrajectPeriodeDatumTijdTotEnMet],"&gt;"&amp;($A68+12/24))</f>
        <v/>
      </c>
      <c r="Q68" s="20">
        <f>COUNTIFS(tData[SEHTrajectPeriodeDatumTijdVan],"&lt;="&amp;($A68+13/24),tData[SEHTrajectPeriodeDatumTijdTotEnMet],"&gt;"&amp;($A68+13/24))</f>
        <v/>
      </c>
      <c r="R68" s="20">
        <f>COUNTIFS(tData[SEHTrajectPeriodeDatumTijdVan],"&lt;="&amp;($A68+14/24),tData[SEHTrajectPeriodeDatumTijdTotEnMet],"&gt;"&amp;($A68+14/24))</f>
        <v/>
      </c>
      <c r="S68" s="20">
        <f>COUNTIFS(tData[SEHTrajectPeriodeDatumTijdVan],"&lt;="&amp;($A68+15/24),tData[SEHTrajectPeriodeDatumTijdTotEnMet],"&gt;"&amp;($A68+15/24))</f>
        <v/>
      </c>
      <c r="T68" s="20">
        <f>COUNTIFS(tData[SEHTrajectPeriodeDatumTijdVan],"&lt;="&amp;($A68+16/24),tData[SEHTrajectPeriodeDatumTijdTotEnMet],"&gt;"&amp;($A68+16/24))</f>
        <v/>
      </c>
      <c r="U68" s="20">
        <f>COUNTIFS(tData[SEHTrajectPeriodeDatumTijdVan],"&lt;="&amp;($A68+17/24),tData[SEHTrajectPeriodeDatumTijdTotEnMet],"&gt;"&amp;($A68+17/24))</f>
        <v/>
      </c>
      <c r="V68" s="20">
        <f>COUNTIFS(tData[SEHTrajectPeriodeDatumTijdVan],"&lt;="&amp;($A68+18/24),tData[SEHTrajectPeriodeDatumTijdTotEnMet],"&gt;"&amp;($A68+18/24))</f>
        <v/>
      </c>
      <c r="W68" s="20">
        <f>COUNTIFS(tData[SEHTrajectPeriodeDatumTijdVan],"&lt;="&amp;($A68+19/24),tData[SEHTrajectPeriodeDatumTijdTotEnMet],"&gt;"&amp;($A68+19/24))</f>
        <v/>
      </c>
      <c r="X68" s="20">
        <f>COUNTIFS(tData[SEHTrajectPeriodeDatumTijdVan],"&lt;="&amp;($A68+20/24),tData[SEHTrajectPeriodeDatumTijdTotEnMet],"&gt;"&amp;($A68+20/24))</f>
        <v/>
      </c>
      <c r="Y68" s="20">
        <f>COUNTIFS(tData[SEHTrajectPeriodeDatumTijdVan],"&lt;="&amp;($A68+21/24),tData[SEHTrajectPeriodeDatumTijdTotEnMet],"&gt;"&amp;($A68+21/24))</f>
        <v/>
      </c>
      <c r="Z68" s="20">
        <f>COUNTIFS(tData[SEHTrajectPeriodeDatumTijdVan],"&lt;="&amp;($A68+22/24),tData[SEHTrajectPeriodeDatumTijdTotEnMet],"&gt;"&amp;($A68+22/24))</f>
        <v/>
      </c>
      <c r="AA68" s="20">
        <f>COUNTIFS(tData[SEHTrajectPeriodeDatumTijdVan],"&lt;="&amp;($A68+23/24),tData[SEHTrajectPeriodeDatumTijdTotEnMet],"&gt;"&amp;($A68+23/24))</f>
        <v/>
      </c>
    </row>
    <row r="69">
      <c r="A69" s="19" t="n">
        <v>45357</v>
      </c>
      <c r="B69" s="15">
        <f>WEEKDAY($A69,2)</f>
        <v/>
      </c>
      <c r="C69" s="15">
        <f>IF(AND($A69&gt;=INT(Instellingen!$B$5),$A69&lt;=INT(Instellingen!$B$6)),1,0)</f>
        <v/>
      </c>
      <c r="D69" s="20">
        <f>COUNTIFS(tData[SEHTrajectPeriodeDatumTijdVan],"&lt;="&amp;($A69+0/24),tData[SEHTrajectPeriodeDatumTijdTotEnMet],"&gt;"&amp;($A69+0/24))</f>
        <v/>
      </c>
      <c r="E69" s="20">
        <f>COUNTIFS(tData[SEHTrajectPeriodeDatumTijdVan],"&lt;="&amp;($A69+1/24),tData[SEHTrajectPeriodeDatumTijdTotEnMet],"&gt;"&amp;($A69+1/24))</f>
        <v/>
      </c>
      <c r="F69" s="20">
        <f>COUNTIFS(tData[SEHTrajectPeriodeDatumTijdVan],"&lt;="&amp;($A69+2/24),tData[SEHTrajectPeriodeDatumTijdTotEnMet],"&gt;"&amp;($A69+2/24))</f>
        <v/>
      </c>
      <c r="G69" s="20">
        <f>COUNTIFS(tData[SEHTrajectPeriodeDatumTijdVan],"&lt;="&amp;($A69+3/24),tData[SEHTrajectPeriodeDatumTijdTotEnMet],"&gt;"&amp;($A69+3/24))</f>
        <v/>
      </c>
      <c r="H69" s="20">
        <f>COUNTIFS(tData[SEHTrajectPeriodeDatumTijdVan],"&lt;="&amp;($A69+4/24),tData[SEHTrajectPeriodeDatumTijdTotEnMet],"&gt;"&amp;($A69+4/24))</f>
        <v/>
      </c>
      <c r="I69" s="20">
        <f>COUNTIFS(tData[SEHTrajectPeriodeDatumTijdVan],"&lt;="&amp;($A69+5/24),tData[SEHTrajectPeriodeDatumTijdTotEnMet],"&gt;"&amp;($A69+5/24))</f>
        <v/>
      </c>
      <c r="J69" s="20">
        <f>COUNTIFS(tData[SEHTrajectPeriodeDatumTijdVan],"&lt;="&amp;($A69+6/24),tData[SEHTrajectPeriodeDatumTijdTotEnMet],"&gt;"&amp;($A69+6/24))</f>
        <v/>
      </c>
      <c r="K69" s="20">
        <f>COUNTIFS(tData[SEHTrajectPeriodeDatumTijdVan],"&lt;="&amp;($A69+7/24),tData[SEHTrajectPeriodeDatumTijdTotEnMet],"&gt;"&amp;($A69+7/24))</f>
        <v/>
      </c>
      <c r="L69" s="20">
        <f>COUNTIFS(tData[SEHTrajectPeriodeDatumTijdVan],"&lt;="&amp;($A69+8/24),tData[SEHTrajectPeriodeDatumTijdTotEnMet],"&gt;"&amp;($A69+8/24))</f>
        <v/>
      </c>
      <c r="M69" s="20">
        <f>COUNTIFS(tData[SEHTrajectPeriodeDatumTijdVan],"&lt;="&amp;($A69+9/24),tData[SEHTrajectPeriodeDatumTijdTotEnMet],"&gt;"&amp;($A69+9/24))</f>
        <v/>
      </c>
      <c r="N69" s="20">
        <f>COUNTIFS(tData[SEHTrajectPeriodeDatumTijdVan],"&lt;="&amp;($A69+10/24),tData[SEHTrajectPeriodeDatumTijdTotEnMet],"&gt;"&amp;($A69+10/24))</f>
        <v/>
      </c>
      <c r="O69" s="20">
        <f>COUNTIFS(tData[SEHTrajectPeriodeDatumTijdVan],"&lt;="&amp;($A69+11/24),tData[SEHTrajectPeriodeDatumTijdTotEnMet],"&gt;"&amp;($A69+11/24))</f>
        <v/>
      </c>
      <c r="P69" s="20">
        <f>COUNTIFS(tData[SEHTrajectPeriodeDatumTijdVan],"&lt;="&amp;($A69+12/24),tData[SEHTrajectPeriodeDatumTijdTotEnMet],"&gt;"&amp;($A69+12/24))</f>
        <v/>
      </c>
      <c r="Q69" s="20">
        <f>COUNTIFS(tData[SEHTrajectPeriodeDatumTijdVan],"&lt;="&amp;($A69+13/24),tData[SEHTrajectPeriodeDatumTijdTotEnMet],"&gt;"&amp;($A69+13/24))</f>
        <v/>
      </c>
      <c r="R69" s="20">
        <f>COUNTIFS(tData[SEHTrajectPeriodeDatumTijdVan],"&lt;="&amp;($A69+14/24),tData[SEHTrajectPeriodeDatumTijdTotEnMet],"&gt;"&amp;($A69+14/24))</f>
        <v/>
      </c>
      <c r="S69" s="20">
        <f>COUNTIFS(tData[SEHTrajectPeriodeDatumTijdVan],"&lt;="&amp;($A69+15/24),tData[SEHTrajectPeriodeDatumTijdTotEnMet],"&gt;"&amp;($A69+15/24))</f>
        <v/>
      </c>
      <c r="T69" s="20">
        <f>COUNTIFS(tData[SEHTrajectPeriodeDatumTijdVan],"&lt;="&amp;($A69+16/24),tData[SEHTrajectPeriodeDatumTijdTotEnMet],"&gt;"&amp;($A69+16/24))</f>
        <v/>
      </c>
      <c r="U69" s="20">
        <f>COUNTIFS(tData[SEHTrajectPeriodeDatumTijdVan],"&lt;="&amp;($A69+17/24),tData[SEHTrajectPeriodeDatumTijdTotEnMet],"&gt;"&amp;($A69+17/24))</f>
        <v/>
      </c>
      <c r="V69" s="20">
        <f>COUNTIFS(tData[SEHTrajectPeriodeDatumTijdVan],"&lt;="&amp;($A69+18/24),tData[SEHTrajectPeriodeDatumTijdTotEnMet],"&gt;"&amp;($A69+18/24))</f>
        <v/>
      </c>
      <c r="W69" s="20">
        <f>COUNTIFS(tData[SEHTrajectPeriodeDatumTijdVan],"&lt;="&amp;($A69+19/24),tData[SEHTrajectPeriodeDatumTijdTotEnMet],"&gt;"&amp;($A69+19/24))</f>
        <v/>
      </c>
      <c r="X69" s="20">
        <f>COUNTIFS(tData[SEHTrajectPeriodeDatumTijdVan],"&lt;="&amp;($A69+20/24),tData[SEHTrajectPeriodeDatumTijdTotEnMet],"&gt;"&amp;($A69+20/24))</f>
        <v/>
      </c>
      <c r="Y69" s="20">
        <f>COUNTIFS(tData[SEHTrajectPeriodeDatumTijdVan],"&lt;="&amp;($A69+21/24),tData[SEHTrajectPeriodeDatumTijdTotEnMet],"&gt;"&amp;($A69+21/24))</f>
        <v/>
      </c>
      <c r="Z69" s="20">
        <f>COUNTIFS(tData[SEHTrajectPeriodeDatumTijdVan],"&lt;="&amp;($A69+22/24),tData[SEHTrajectPeriodeDatumTijdTotEnMet],"&gt;"&amp;($A69+22/24))</f>
        <v/>
      </c>
      <c r="AA69" s="20">
        <f>COUNTIFS(tData[SEHTrajectPeriodeDatumTijdVan],"&lt;="&amp;($A69+23/24),tData[SEHTrajectPeriodeDatumTijdTotEnMet],"&gt;"&amp;($A69+23/24))</f>
        <v/>
      </c>
    </row>
    <row r="70">
      <c r="A70" s="19" t="n">
        <v>45358</v>
      </c>
      <c r="B70" s="15">
        <f>WEEKDAY($A70,2)</f>
        <v/>
      </c>
      <c r="C70" s="15">
        <f>IF(AND($A70&gt;=INT(Instellingen!$B$5),$A70&lt;=INT(Instellingen!$B$6)),1,0)</f>
        <v/>
      </c>
      <c r="D70" s="20">
        <f>COUNTIFS(tData[SEHTrajectPeriodeDatumTijdVan],"&lt;="&amp;($A70+0/24),tData[SEHTrajectPeriodeDatumTijdTotEnMet],"&gt;"&amp;($A70+0/24))</f>
        <v/>
      </c>
      <c r="E70" s="20">
        <f>COUNTIFS(tData[SEHTrajectPeriodeDatumTijdVan],"&lt;="&amp;($A70+1/24),tData[SEHTrajectPeriodeDatumTijdTotEnMet],"&gt;"&amp;($A70+1/24))</f>
        <v/>
      </c>
      <c r="F70" s="20">
        <f>COUNTIFS(tData[SEHTrajectPeriodeDatumTijdVan],"&lt;="&amp;($A70+2/24),tData[SEHTrajectPeriodeDatumTijdTotEnMet],"&gt;"&amp;($A70+2/24))</f>
        <v/>
      </c>
      <c r="G70" s="20">
        <f>COUNTIFS(tData[SEHTrajectPeriodeDatumTijdVan],"&lt;="&amp;($A70+3/24),tData[SEHTrajectPeriodeDatumTijdTotEnMet],"&gt;"&amp;($A70+3/24))</f>
        <v/>
      </c>
      <c r="H70" s="20">
        <f>COUNTIFS(tData[SEHTrajectPeriodeDatumTijdVan],"&lt;="&amp;($A70+4/24),tData[SEHTrajectPeriodeDatumTijdTotEnMet],"&gt;"&amp;($A70+4/24))</f>
        <v/>
      </c>
      <c r="I70" s="20">
        <f>COUNTIFS(tData[SEHTrajectPeriodeDatumTijdVan],"&lt;="&amp;($A70+5/24),tData[SEHTrajectPeriodeDatumTijdTotEnMet],"&gt;"&amp;($A70+5/24))</f>
        <v/>
      </c>
      <c r="J70" s="20">
        <f>COUNTIFS(tData[SEHTrajectPeriodeDatumTijdVan],"&lt;="&amp;($A70+6/24),tData[SEHTrajectPeriodeDatumTijdTotEnMet],"&gt;"&amp;($A70+6/24))</f>
        <v/>
      </c>
      <c r="K70" s="20">
        <f>COUNTIFS(tData[SEHTrajectPeriodeDatumTijdVan],"&lt;="&amp;($A70+7/24),tData[SEHTrajectPeriodeDatumTijdTotEnMet],"&gt;"&amp;($A70+7/24))</f>
        <v/>
      </c>
      <c r="L70" s="20">
        <f>COUNTIFS(tData[SEHTrajectPeriodeDatumTijdVan],"&lt;="&amp;($A70+8/24),tData[SEHTrajectPeriodeDatumTijdTotEnMet],"&gt;"&amp;($A70+8/24))</f>
        <v/>
      </c>
      <c r="M70" s="20">
        <f>COUNTIFS(tData[SEHTrajectPeriodeDatumTijdVan],"&lt;="&amp;($A70+9/24),tData[SEHTrajectPeriodeDatumTijdTotEnMet],"&gt;"&amp;($A70+9/24))</f>
        <v/>
      </c>
      <c r="N70" s="20">
        <f>COUNTIFS(tData[SEHTrajectPeriodeDatumTijdVan],"&lt;="&amp;($A70+10/24),tData[SEHTrajectPeriodeDatumTijdTotEnMet],"&gt;"&amp;($A70+10/24))</f>
        <v/>
      </c>
      <c r="O70" s="20">
        <f>COUNTIFS(tData[SEHTrajectPeriodeDatumTijdVan],"&lt;="&amp;($A70+11/24),tData[SEHTrajectPeriodeDatumTijdTotEnMet],"&gt;"&amp;($A70+11/24))</f>
        <v/>
      </c>
      <c r="P70" s="20">
        <f>COUNTIFS(tData[SEHTrajectPeriodeDatumTijdVan],"&lt;="&amp;($A70+12/24),tData[SEHTrajectPeriodeDatumTijdTotEnMet],"&gt;"&amp;($A70+12/24))</f>
        <v/>
      </c>
      <c r="Q70" s="20">
        <f>COUNTIFS(tData[SEHTrajectPeriodeDatumTijdVan],"&lt;="&amp;($A70+13/24),tData[SEHTrajectPeriodeDatumTijdTotEnMet],"&gt;"&amp;($A70+13/24))</f>
        <v/>
      </c>
      <c r="R70" s="20">
        <f>COUNTIFS(tData[SEHTrajectPeriodeDatumTijdVan],"&lt;="&amp;($A70+14/24),tData[SEHTrajectPeriodeDatumTijdTotEnMet],"&gt;"&amp;($A70+14/24))</f>
        <v/>
      </c>
      <c r="S70" s="20">
        <f>COUNTIFS(tData[SEHTrajectPeriodeDatumTijdVan],"&lt;="&amp;($A70+15/24),tData[SEHTrajectPeriodeDatumTijdTotEnMet],"&gt;"&amp;($A70+15/24))</f>
        <v/>
      </c>
      <c r="T70" s="20">
        <f>COUNTIFS(tData[SEHTrajectPeriodeDatumTijdVan],"&lt;="&amp;($A70+16/24),tData[SEHTrajectPeriodeDatumTijdTotEnMet],"&gt;"&amp;($A70+16/24))</f>
        <v/>
      </c>
      <c r="U70" s="20">
        <f>COUNTIFS(tData[SEHTrajectPeriodeDatumTijdVan],"&lt;="&amp;($A70+17/24),tData[SEHTrajectPeriodeDatumTijdTotEnMet],"&gt;"&amp;($A70+17/24))</f>
        <v/>
      </c>
      <c r="V70" s="20">
        <f>COUNTIFS(tData[SEHTrajectPeriodeDatumTijdVan],"&lt;="&amp;($A70+18/24),tData[SEHTrajectPeriodeDatumTijdTotEnMet],"&gt;"&amp;($A70+18/24))</f>
        <v/>
      </c>
      <c r="W70" s="20">
        <f>COUNTIFS(tData[SEHTrajectPeriodeDatumTijdVan],"&lt;="&amp;($A70+19/24),tData[SEHTrajectPeriodeDatumTijdTotEnMet],"&gt;"&amp;($A70+19/24))</f>
        <v/>
      </c>
      <c r="X70" s="20">
        <f>COUNTIFS(tData[SEHTrajectPeriodeDatumTijdVan],"&lt;="&amp;($A70+20/24),tData[SEHTrajectPeriodeDatumTijdTotEnMet],"&gt;"&amp;($A70+20/24))</f>
        <v/>
      </c>
      <c r="Y70" s="20">
        <f>COUNTIFS(tData[SEHTrajectPeriodeDatumTijdVan],"&lt;="&amp;($A70+21/24),tData[SEHTrajectPeriodeDatumTijdTotEnMet],"&gt;"&amp;($A70+21/24))</f>
        <v/>
      </c>
      <c r="Z70" s="20">
        <f>COUNTIFS(tData[SEHTrajectPeriodeDatumTijdVan],"&lt;="&amp;($A70+22/24),tData[SEHTrajectPeriodeDatumTijdTotEnMet],"&gt;"&amp;($A70+22/24))</f>
        <v/>
      </c>
      <c r="AA70" s="20">
        <f>COUNTIFS(tData[SEHTrajectPeriodeDatumTijdVan],"&lt;="&amp;($A70+23/24),tData[SEHTrajectPeriodeDatumTijdTotEnMet],"&gt;"&amp;($A70+23/24))</f>
        <v/>
      </c>
    </row>
    <row r="71">
      <c r="A71" s="19" t="n">
        <v>45359</v>
      </c>
      <c r="B71" s="15">
        <f>WEEKDAY($A71,2)</f>
        <v/>
      </c>
      <c r="C71" s="15">
        <f>IF(AND($A71&gt;=INT(Instellingen!$B$5),$A71&lt;=INT(Instellingen!$B$6)),1,0)</f>
        <v/>
      </c>
      <c r="D71" s="20">
        <f>COUNTIFS(tData[SEHTrajectPeriodeDatumTijdVan],"&lt;="&amp;($A71+0/24),tData[SEHTrajectPeriodeDatumTijdTotEnMet],"&gt;"&amp;($A71+0/24))</f>
        <v/>
      </c>
      <c r="E71" s="20">
        <f>COUNTIFS(tData[SEHTrajectPeriodeDatumTijdVan],"&lt;="&amp;($A71+1/24),tData[SEHTrajectPeriodeDatumTijdTotEnMet],"&gt;"&amp;($A71+1/24))</f>
        <v/>
      </c>
      <c r="F71" s="20">
        <f>COUNTIFS(tData[SEHTrajectPeriodeDatumTijdVan],"&lt;="&amp;($A71+2/24),tData[SEHTrajectPeriodeDatumTijdTotEnMet],"&gt;"&amp;($A71+2/24))</f>
        <v/>
      </c>
      <c r="G71" s="20">
        <f>COUNTIFS(tData[SEHTrajectPeriodeDatumTijdVan],"&lt;="&amp;($A71+3/24),tData[SEHTrajectPeriodeDatumTijdTotEnMet],"&gt;"&amp;($A71+3/24))</f>
        <v/>
      </c>
      <c r="H71" s="20">
        <f>COUNTIFS(tData[SEHTrajectPeriodeDatumTijdVan],"&lt;="&amp;($A71+4/24),tData[SEHTrajectPeriodeDatumTijdTotEnMet],"&gt;"&amp;($A71+4/24))</f>
        <v/>
      </c>
      <c r="I71" s="20">
        <f>COUNTIFS(tData[SEHTrajectPeriodeDatumTijdVan],"&lt;="&amp;($A71+5/24),tData[SEHTrajectPeriodeDatumTijdTotEnMet],"&gt;"&amp;($A71+5/24))</f>
        <v/>
      </c>
      <c r="J71" s="20">
        <f>COUNTIFS(tData[SEHTrajectPeriodeDatumTijdVan],"&lt;="&amp;($A71+6/24),tData[SEHTrajectPeriodeDatumTijdTotEnMet],"&gt;"&amp;($A71+6/24))</f>
        <v/>
      </c>
      <c r="K71" s="20">
        <f>COUNTIFS(tData[SEHTrajectPeriodeDatumTijdVan],"&lt;="&amp;($A71+7/24),tData[SEHTrajectPeriodeDatumTijdTotEnMet],"&gt;"&amp;($A71+7/24))</f>
        <v/>
      </c>
      <c r="L71" s="20">
        <f>COUNTIFS(tData[SEHTrajectPeriodeDatumTijdVan],"&lt;="&amp;($A71+8/24),tData[SEHTrajectPeriodeDatumTijdTotEnMet],"&gt;"&amp;($A71+8/24))</f>
        <v/>
      </c>
      <c r="M71" s="20">
        <f>COUNTIFS(tData[SEHTrajectPeriodeDatumTijdVan],"&lt;="&amp;($A71+9/24),tData[SEHTrajectPeriodeDatumTijdTotEnMet],"&gt;"&amp;($A71+9/24))</f>
        <v/>
      </c>
      <c r="N71" s="20">
        <f>COUNTIFS(tData[SEHTrajectPeriodeDatumTijdVan],"&lt;="&amp;($A71+10/24),tData[SEHTrajectPeriodeDatumTijdTotEnMet],"&gt;"&amp;($A71+10/24))</f>
        <v/>
      </c>
      <c r="O71" s="20">
        <f>COUNTIFS(tData[SEHTrajectPeriodeDatumTijdVan],"&lt;="&amp;($A71+11/24),tData[SEHTrajectPeriodeDatumTijdTotEnMet],"&gt;"&amp;($A71+11/24))</f>
        <v/>
      </c>
      <c r="P71" s="20">
        <f>COUNTIFS(tData[SEHTrajectPeriodeDatumTijdVan],"&lt;="&amp;($A71+12/24),tData[SEHTrajectPeriodeDatumTijdTotEnMet],"&gt;"&amp;($A71+12/24))</f>
        <v/>
      </c>
      <c r="Q71" s="20">
        <f>COUNTIFS(tData[SEHTrajectPeriodeDatumTijdVan],"&lt;="&amp;($A71+13/24),tData[SEHTrajectPeriodeDatumTijdTotEnMet],"&gt;"&amp;($A71+13/24))</f>
        <v/>
      </c>
      <c r="R71" s="20">
        <f>COUNTIFS(tData[SEHTrajectPeriodeDatumTijdVan],"&lt;="&amp;($A71+14/24),tData[SEHTrajectPeriodeDatumTijdTotEnMet],"&gt;"&amp;($A71+14/24))</f>
        <v/>
      </c>
      <c r="S71" s="20">
        <f>COUNTIFS(tData[SEHTrajectPeriodeDatumTijdVan],"&lt;="&amp;($A71+15/24),tData[SEHTrajectPeriodeDatumTijdTotEnMet],"&gt;"&amp;($A71+15/24))</f>
        <v/>
      </c>
      <c r="T71" s="20">
        <f>COUNTIFS(tData[SEHTrajectPeriodeDatumTijdVan],"&lt;="&amp;($A71+16/24),tData[SEHTrajectPeriodeDatumTijdTotEnMet],"&gt;"&amp;($A71+16/24))</f>
        <v/>
      </c>
      <c r="U71" s="20">
        <f>COUNTIFS(tData[SEHTrajectPeriodeDatumTijdVan],"&lt;="&amp;($A71+17/24),tData[SEHTrajectPeriodeDatumTijdTotEnMet],"&gt;"&amp;($A71+17/24))</f>
        <v/>
      </c>
      <c r="V71" s="20">
        <f>COUNTIFS(tData[SEHTrajectPeriodeDatumTijdVan],"&lt;="&amp;($A71+18/24),tData[SEHTrajectPeriodeDatumTijdTotEnMet],"&gt;"&amp;($A71+18/24))</f>
        <v/>
      </c>
      <c r="W71" s="20">
        <f>COUNTIFS(tData[SEHTrajectPeriodeDatumTijdVan],"&lt;="&amp;($A71+19/24),tData[SEHTrajectPeriodeDatumTijdTotEnMet],"&gt;"&amp;($A71+19/24))</f>
        <v/>
      </c>
      <c r="X71" s="20">
        <f>COUNTIFS(tData[SEHTrajectPeriodeDatumTijdVan],"&lt;="&amp;($A71+20/24),tData[SEHTrajectPeriodeDatumTijdTotEnMet],"&gt;"&amp;($A71+20/24))</f>
        <v/>
      </c>
      <c r="Y71" s="20">
        <f>COUNTIFS(tData[SEHTrajectPeriodeDatumTijdVan],"&lt;="&amp;($A71+21/24),tData[SEHTrajectPeriodeDatumTijdTotEnMet],"&gt;"&amp;($A71+21/24))</f>
        <v/>
      </c>
      <c r="Z71" s="20">
        <f>COUNTIFS(tData[SEHTrajectPeriodeDatumTijdVan],"&lt;="&amp;($A71+22/24),tData[SEHTrajectPeriodeDatumTijdTotEnMet],"&gt;"&amp;($A71+22/24))</f>
        <v/>
      </c>
      <c r="AA71" s="20">
        <f>COUNTIFS(tData[SEHTrajectPeriodeDatumTijdVan],"&lt;="&amp;($A71+23/24),tData[SEHTrajectPeriodeDatumTijdTotEnMet],"&gt;"&amp;($A71+23/24))</f>
        <v/>
      </c>
    </row>
    <row r="72">
      <c r="A72" s="19" t="n">
        <v>45360</v>
      </c>
      <c r="B72" s="15">
        <f>WEEKDAY($A72,2)</f>
        <v/>
      </c>
      <c r="C72" s="15">
        <f>IF(AND($A72&gt;=INT(Instellingen!$B$5),$A72&lt;=INT(Instellingen!$B$6)),1,0)</f>
        <v/>
      </c>
      <c r="D72" s="20">
        <f>COUNTIFS(tData[SEHTrajectPeriodeDatumTijdVan],"&lt;="&amp;($A72+0/24),tData[SEHTrajectPeriodeDatumTijdTotEnMet],"&gt;"&amp;($A72+0/24))</f>
        <v/>
      </c>
      <c r="E72" s="20">
        <f>COUNTIFS(tData[SEHTrajectPeriodeDatumTijdVan],"&lt;="&amp;($A72+1/24),tData[SEHTrajectPeriodeDatumTijdTotEnMet],"&gt;"&amp;($A72+1/24))</f>
        <v/>
      </c>
      <c r="F72" s="20">
        <f>COUNTIFS(tData[SEHTrajectPeriodeDatumTijdVan],"&lt;="&amp;($A72+2/24),tData[SEHTrajectPeriodeDatumTijdTotEnMet],"&gt;"&amp;($A72+2/24))</f>
        <v/>
      </c>
      <c r="G72" s="20">
        <f>COUNTIFS(tData[SEHTrajectPeriodeDatumTijdVan],"&lt;="&amp;($A72+3/24),tData[SEHTrajectPeriodeDatumTijdTotEnMet],"&gt;"&amp;($A72+3/24))</f>
        <v/>
      </c>
      <c r="H72" s="20">
        <f>COUNTIFS(tData[SEHTrajectPeriodeDatumTijdVan],"&lt;="&amp;($A72+4/24),tData[SEHTrajectPeriodeDatumTijdTotEnMet],"&gt;"&amp;($A72+4/24))</f>
        <v/>
      </c>
      <c r="I72" s="20">
        <f>COUNTIFS(tData[SEHTrajectPeriodeDatumTijdVan],"&lt;="&amp;($A72+5/24),tData[SEHTrajectPeriodeDatumTijdTotEnMet],"&gt;"&amp;($A72+5/24))</f>
        <v/>
      </c>
      <c r="J72" s="20">
        <f>COUNTIFS(tData[SEHTrajectPeriodeDatumTijdVan],"&lt;="&amp;($A72+6/24),tData[SEHTrajectPeriodeDatumTijdTotEnMet],"&gt;"&amp;($A72+6/24))</f>
        <v/>
      </c>
      <c r="K72" s="20">
        <f>COUNTIFS(tData[SEHTrajectPeriodeDatumTijdVan],"&lt;="&amp;($A72+7/24),tData[SEHTrajectPeriodeDatumTijdTotEnMet],"&gt;"&amp;($A72+7/24))</f>
        <v/>
      </c>
      <c r="L72" s="20">
        <f>COUNTIFS(tData[SEHTrajectPeriodeDatumTijdVan],"&lt;="&amp;($A72+8/24),tData[SEHTrajectPeriodeDatumTijdTotEnMet],"&gt;"&amp;($A72+8/24))</f>
        <v/>
      </c>
      <c r="M72" s="20">
        <f>COUNTIFS(tData[SEHTrajectPeriodeDatumTijdVan],"&lt;="&amp;($A72+9/24),tData[SEHTrajectPeriodeDatumTijdTotEnMet],"&gt;"&amp;($A72+9/24))</f>
        <v/>
      </c>
      <c r="N72" s="20">
        <f>COUNTIFS(tData[SEHTrajectPeriodeDatumTijdVan],"&lt;="&amp;($A72+10/24),tData[SEHTrajectPeriodeDatumTijdTotEnMet],"&gt;"&amp;($A72+10/24))</f>
        <v/>
      </c>
      <c r="O72" s="20">
        <f>COUNTIFS(tData[SEHTrajectPeriodeDatumTijdVan],"&lt;="&amp;($A72+11/24),tData[SEHTrajectPeriodeDatumTijdTotEnMet],"&gt;"&amp;($A72+11/24))</f>
        <v/>
      </c>
      <c r="P72" s="20">
        <f>COUNTIFS(tData[SEHTrajectPeriodeDatumTijdVan],"&lt;="&amp;($A72+12/24),tData[SEHTrajectPeriodeDatumTijdTotEnMet],"&gt;"&amp;($A72+12/24))</f>
        <v/>
      </c>
      <c r="Q72" s="20">
        <f>COUNTIFS(tData[SEHTrajectPeriodeDatumTijdVan],"&lt;="&amp;($A72+13/24),tData[SEHTrajectPeriodeDatumTijdTotEnMet],"&gt;"&amp;($A72+13/24))</f>
        <v/>
      </c>
      <c r="R72" s="20">
        <f>COUNTIFS(tData[SEHTrajectPeriodeDatumTijdVan],"&lt;="&amp;($A72+14/24),tData[SEHTrajectPeriodeDatumTijdTotEnMet],"&gt;"&amp;($A72+14/24))</f>
        <v/>
      </c>
      <c r="S72" s="20">
        <f>COUNTIFS(tData[SEHTrajectPeriodeDatumTijdVan],"&lt;="&amp;($A72+15/24),tData[SEHTrajectPeriodeDatumTijdTotEnMet],"&gt;"&amp;($A72+15/24))</f>
        <v/>
      </c>
      <c r="T72" s="20">
        <f>COUNTIFS(tData[SEHTrajectPeriodeDatumTijdVan],"&lt;="&amp;($A72+16/24),tData[SEHTrajectPeriodeDatumTijdTotEnMet],"&gt;"&amp;($A72+16/24))</f>
        <v/>
      </c>
      <c r="U72" s="20">
        <f>COUNTIFS(tData[SEHTrajectPeriodeDatumTijdVan],"&lt;="&amp;($A72+17/24),tData[SEHTrajectPeriodeDatumTijdTotEnMet],"&gt;"&amp;($A72+17/24))</f>
        <v/>
      </c>
      <c r="V72" s="20">
        <f>COUNTIFS(tData[SEHTrajectPeriodeDatumTijdVan],"&lt;="&amp;($A72+18/24),tData[SEHTrajectPeriodeDatumTijdTotEnMet],"&gt;"&amp;($A72+18/24))</f>
        <v/>
      </c>
      <c r="W72" s="20">
        <f>COUNTIFS(tData[SEHTrajectPeriodeDatumTijdVan],"&lt;="&amp;($A72+19/24),tData[SEHTrajectPeriodeDatumTijdTotEnMet],"&gt;"&amp;($A72+19/24))</f>
        <v/>
      </c>
      <c r="X72" s="20">
        <f>COUNTIFS(tData[SEHTrajectPeriodeDatumTijdVan],"&lt;="&amp;($A72+20/24),tData[SEHTrajectPeriodeDatumTijdTotEnMet],"&gt;"&amp;($A72+20/24))</f>
        <v/>
      </c>
      <c r="Y72" s="20">
        <f>COUNTIFS(tData[SEHTrajectPeriodeDatumTijdVan],"&lt;="&amp;($A72+21/24),tData[SEHTrajectPeriodeDatumTijdTotEnMet],"&gt;"&amp;($A72+21/24))</f>
        <v/>
      </c>
      <c r="Z72" s="20">
        <f>COUNTIFS(tData[SEHTrajectPeriodeDatumTijdVan],"&lt;="&amp;($A72+22/24),tData[SEHTrajectPeriodeDatumTijdTotEnMet],"&gt;"&amp;($A72+22/24))</f>
        <v/>
      </c>
      <c r="AA72" s="20">
        <f>COUNTIFS(tData[SEHTrajectPeriodeDatumTijdVan],"&lt;="&amp;($A72+23/24),tData[SEHTrajectPeriodeDatumTijdTotEnMet],"&gt;"&amp;($A72+23/24))</f>
        <v/>
      </c>
    </row>
    <row r="73">
      <c r="A73" s="19" t="n">
        <v>45361</v>
      </c>
      <c r="B73" s="15">
        <f>WEEKDAY($A73,2)</f>
        <v/>
      </c>
      <c r="C73" s="15">
        <f>IF(AND($A73&gt;=INT(Instellingen!$B$5),$A73&lt;=INT(Instellingen!$B$6)),1,0)</f>
        <v/>
      </c>
      <c r="D73" s="20">
        <f>COUNTIFS(tData[SEHTrajectPeriodeDatumTijdVan],"&lt;="&amp;($A73+0/24),tData[SEHTrajectPeriodeDatumTijdTotEnMet],"&gt;"&amp;($A73+0/24))</f>
        <v/>
      </c>
      <c r="E73" s="20">
        <f>COUNTIFS(tData[SEHTrajectPeriodeDatumTijdVan],"&lt;="&amp;($A73+1/24),tData[SEHTrajectPeriodeDatumTijdTotEnMet],"&gt;"&amp;($A73+1/24))</f>
        <v/>
      </c>
      <c r="F73" s="20">
        <f>COUNTIFS(tData[SEHTrajectPeriodeDatumTijdVan],"&lt;="&amp;($A73+2/24),tData[SEHTrajectPeriodeDatumTijdTotEnMet],"&gt;"&amp;($A73+2/24))</f>
        <v/>
      </c>
      <c r="G73" s="20">
        <f>COUNTIFS(tData[SEHTrajectPeriodeDatumTijdVan],"&lt;="&amp;($A73+3/24),tData[SEHTrajectPeriodeDatumTijdTotEnMet],"&gt;"&amp;($A73+3/24))</f>
        <v/>
      </c>
      <c r="H73" s="20">
        <f>COUNTIFS(tData[SEHTrajectPeriodeDatumTijdVan],"&lt;="&amp;($A73+4/24),tData[SEHTrajectPeriodeDatumTijdTotEnMet],"&gt;"&amp;($A73+4/24))</f>
        <v/>
      </c>
      <c r="I73" s="20">
        <f>COUNTIFS(tData[SEHTrajectPeriodeDatumTijdVan],"&lt;="&amp;($A73+5/24),tData[SEHTrajectPeriodeDatumTijdTotEnMet],"&gt;"&amp;($A73+5/24))</f>
        <v/>
      </c>
      <c r="J73" s="20">
        <f>COUNTIFS(tData[SEHTrajectPeriodeDatumTijdVan],"&lt;="&amp;($A73+6/24),tData[SEHTrajectPeriodeDatumTijdTotEnMet],"&gt;"&amp;($A73+6/24))</f>
        <v/>
      </c>
      <c r="K73" s="20">
        <f>COUNTIFS(tData[SEHTrajectPeriodeDatumTijdVan],"&lt;="&amp;($A73+7/24),tData[SEHTrajectPeriodeDatumTijdTotEnMet],"&gt;"&amp;($A73+7/24))</f>
        <v/>
      </c>
      <c r="L73" s="20">
        <f>COUNTIFS(tData[SEHTrajectPeriodeDatumTijdVan],"&lt;="&amp;($A73+8/24),tData[SEHTrajectPeriodeDatumTijdTotEnMet],"&gt;"&amp;($A73+8/24))</f>
        <v/>
      </c>
      <c r="M73" s="20">
        <f>COUNTIFS(tData[SEHTrajectPeriodeDatumTijdVan],"&lt;="&amp;($A73+9/24),tData[SEHTrajectPeriodeDatumTijdTotEnMet],"&gt;"&amp;($A73+9/24))</f>
        <v/>
      </c>
      <c r="N73" s="20">
        <f>COUNTIFS(tData[SEHTrajectPeriodeDatumTijdVan],"&lt;="&amp;($A73+10/24),tData[SEHTrajectPeriodeDatumTijdTotEnMet],"&gt;"&amp;($A73+10/24))</f>
        <v/>
      </c>
      <c r="O73" s="20">
        <f>COUNTIFS(tData[SEHTrajectPeriodeDatumTijdVan],"&lt;="&amp;($A73+11/24),tData[SEHTrajectPeriodeDatumTijdTotEnMet],"&gt;"&amp;($A73+11/24))</f>
        <v/>
      </c>
      <c r="P73" s="20">
        <f>COUNTIFS(tData[SEHTrajectPeriodeDatumTijdVan],"&lt;="&amp;($A73+12/24),tData[SEHTrajectPeriodeDatumTijdTotEnMet],"&gt;"&amp;($A73+12/24))</f>
        <v/>
      </c>
      <c r="Q73" s="20">
        <f>COUNTIFS(tData[SEHTrajectPeriodeDatumTijdVan],"&lt;="&amp;($A73+13/24),tData[SEHTrajectPeriodeDatumTijdTotEnMet],"&gt;"&amp;($A73+13/24))</f>
        <v/>
      </c>
      <c r="R73" s="20">
        <f>COUNTIFS(tData[SEHTrajectPeriodeDatumTijdVan],"&lt;="&amp;($A73+14/24),tData[SEHTrajectPeriodeDatumTijdTotEnMet],"&gt;"&amp;($A73+14/24))</f>
        <v/>
      </c>
      <c r="S73" s="20">
        <f>COUNTIFS(tData[SEHTrajectPeriodeDatumTijdVan],"&lt;="&amp;($A73+15/24),tData[SEHTrajectPeriodeDatumTijdTotEnMet],"&gt;"&amp;($A73+15/24))</f>
        <v/>
      </c>
      <c r="T73" s="20">
        <f>COUNTIFS(tData[SEHTrajectPeriodeDatumTijdVan],"&lt;="&amp;($A73+16/24),tData[SEHTrajectPeriodeDatumTijdTotEnMet],"&gt;"&amp;($A73+16/24))</f>
        <v/>
      </c>
      <c r="U73" s="20">
        <f>COUNTIFS(tData[SEHTrajectPeriodeDatumTijdVan],"&lt;="&amp;($A73+17/24),tData[SEHTrajectPeriodeDatumTijdTotEnMet],"&gt;"&amp;($A73+17/24))</f>
        <v/>
      </c>
      <c r="V73" s="20">
        <f>COUNTIFS(tData[SEHTrajectPeriodeDatumTijdVan],"&lt;="&amp;($A73+18/24),tData[SEHTrajectPeriodeDatumTijdTotEnMet],"&gt;"&amp;($A73+18/24))</f>
        <v/>
      </c>
      <c r="W73" s="20">
        <f>COUNTIFS(tData[SEHTrajectPeriodeDatumTijdVan],"&lt;="&amp;($A73+19/24),tData[SEHTrajectPeriodeDatumTijdTotEnMet],"&gt;"&amp;($A73+19/24))</f>
        <v/>
      </c>
      <c r="X73" s="20">
        <f>COUNTIFS(tData[SEHTrajectPeriodeDatumTijdVan],"&lt;="&amp;($A73+20/24),tData[SEHTrajectPeriodeDatumTijdTotEnMet],"&gt;"&amp;($A73+20/24))</f>
        <v/>
      </c>
      <c r="Y73" s="20">
        <f>COUNTIFS(tData[SEHTrajectPeriodeDatumTijdVan],"&lt;="&amp;($A73+21/24),tData[SEHTrajectPeriodeDatumTijdTotEnMet],"&gt;"&amp;($A73+21/24))</f>
        <v/>
      </c>
      <c r="Z73" s="20">
        <f>COUNTIFS(tData[SEHTrajectPeriodeDatumTijdVan],"&lt;="&amp;($A73+22/24),tData[SEHTrajectPeriodeDatumTijdTotEnMet],"&gt;"&amp;($A73+22/24))</f>
        <v/>
      </c>
      <c r="AA73" s="20">
        <f>COUNTIFS(tData[SEHTrajectPeriodeDatumTijdVan],"&lt;="&amp;($A73+23/24),tData[SEHTrajectPeriodeDatumTijdTotEnMet],"&gt;"&amp;($A73+23/24))</f>
        <v/>
      </c>
    </row>
    <row r="74">
      <c r="A74" s="19" t="n">
        <v>45362</v>
      </c>
      <c r="B74" s="15">
        <f>WEEKDAY($A74,2)</f>
        <v/>
      </c>
      <c r="C74" s="15">
        <f>IF(AND($A74&gt;=INT(Instellingen!$B$5),$A74&lt;=INT(Instellingen!$B$6)),1,0)</f>
        <v/>
      </c>
      <c r="D74" s="20">
        <f>COUNTIFS(tData[SEHTrajectPeriodeDatumTijdVan],"&lt;="&amp;($A74+0/24),tData[SEHTrajectPeriodeDatumTijdTotEnMet],"&gt;"&amp;($A74+0/24))</f>
        <v/>
      </c>
      <c r="E74" s="20">
        <f>COUNTIFS(tData[SEHTrajectPeriodeDatumTijdVan],"&lt;="&amp;($A74+1/24),tData[SEHTrajectPeriodeDatumTijdTotEnMet],"&gt;"&amp;($A74+1/24))</f>
        <v/>
      </c>
      <c r="F74" s="20">
        <f>COUNTIFS(tData[SEHTrajectPeriodeDatumTijdVan],"&lt;="&amp;($A74+2/24),tData[SEHTrajectPeriodeDatumTijdTotEnMet],"&gt;"&amp;($A74+2/24))</f>
        <v/>
      </c>
      <c r="G74" s="20">
        <f>COUNTIFS(tData[SEHTrajectPeriodeDatumTijdVan],"&lt;="&amp;($A74+3/24),tData[SEHTrajectPeriodeDatumTijdTotEnMet],"&gt;"&amp;($A74+3/24))</f>
        <v/>
      </c>
      <c r="H74" s="20">
        <f>COUNTIFS(tData[SEHTrajectPeriodeDatumTijdVan],"&lt;="&amp;($A74+4/24),tData[SEHTrajectPeriodeDatumTijdTotEnMet],"&gt;"&amp;($A74+4/24))</f>
        <v/>
      </c>
      <c r="I74" s="20">
        <f>COUNTIFS(tData[SEHTrajectPeriodeDatumTijdVan],"&lt;="&amp;($A74+5/24),tData[SEHTrajectPeriodeDatumTijdTotEnMet],"&gt;"&amp;($A74+5/24))</f>
        <v/>
      </c>
      <c r="J74" s="20">
        <f>COUNTIFS(tData[SEHTrajectPeriodeDatumTijdVan],"&lt;="&amp;($A74+6/24),tData[SEHTrajectPeriodeDatumTijdTotEnMet],"&gt;"&amp;($A74+6/24))</f>
        <v/>
      </c>
      <c r="K74" s="20">
        <f>COUNTIFS(tData[SEHTrajectPeriodeDatumTijdVan],"&lt;="&amp;($A74+7/24),tData[SEHTrajectPeriodeDatumTijdTotEnMet],"&gt;"&amp;($A74+7/24))</f>
        <v/>
      </c>
      <c r="L74" s="20">
        <f>COUNTIFS(tData[SEHTrajectPeriodeDatumTijdVan],"&lt;="&amp;($A74+8/24),tData[SEHTrajectPeriodeDatumTijdTotEnMet],"&gt;"&amp;($A74+8/24))</f>
        <v/>
      </c>
      <c r="M74" s="20">
        <f>COUNTIFS(tData[SEHTrajectPeriodeDatumTijdVan],"&lt;="&amp;($A74+9/24),tData[SEHTrajectPeriodeDatumTijdTotEnMet],"&gt;"&amp;($A74+9/24))</f>
        <v/>
      </c>
      <c r="N74" s="20">
        <f>COUNTIFS(tData[SEHTrajectPeriodeDatumTijdVan],"&lt;="&amp;($A74+10/24),tData[SEHTrajectPeriodeDatumTijdTotEnMet],"&gt;"&amp;($A74+10/24))</f>
        <v/>
      </c>
      <c r="O74" s="20">
        <f>COUNTIFS(tData[SEHTrajectPeriodeDatumTijdVan],"&lt;="&amp;($A74+11/24),tData[SEHTrajectPeriodeDatumTijdTotEnMet],"&gt;"&amp;($A74+11/24))</f>
        <v/>
      </c>
      <c r="P74" s="20">
        <f>COUNTIFS(tData[SEHTrajectPeriodeDatumTijdVan],"&lt;="&amp;($A74+12/24),tData[SEHTrajectPeriodeDatumTijdTotEnMet],"&gt;"&amp;($A74+12/24))</f>
        <v/>
      </c>
      <c r="Q74" s="20">
        <f>COUNTIFS(tData[SEHTrajectPeriodeDatumTijdVan],"&lt;="&amp;($A74+13/24),tData[SEHTrajectPeriodeDatumTijdTotEnMet],"&gt;"&amp;($A74+13/24))</f>
        <v/>
      </c>
      <c r="R74" s="20">
        <f>COUNTIFS(tData[SEHTrajectPeriodeDatumTijdVan],"&lt;="&amp;($A74+14/24),tData[SEHTrajectPeriodeDatumTijdTotEnMet],"&gt;"&amp;($A74+14/24))</f>
        <v/>
      </c>
      <c r="S74" s="20">
        <f>COUNTIFS(tData[SEHTrajectPeriodeDatumTijdVan],"&lt;="&amp;($A74+15/24),tData[SEHTrajectPeriodeDatumTijdTotEnMet],"&gt;"&amp;($A74+15/24))</f>
        <v/>
      </c>
      <c r="T74" s="20">
        <f>COUNTIFS(tData[SEHTrajectPeriodeDatumTijdVan],"&lt;="&amp;($A74+16/24),tData[SEHTrajectPeriodeDatumTijdTotEnMet],"&gt;"&amp;($A74+16/24))</f>
        <v/>
      </c>
      <c r="U74" s="20">
        <f>COUNTIFS(tData[SEHTrajectPeriodeDatumTijdVan],"&lt;="&amp;($A74+17/24),tData[SEHTrajectPeriodeDatumTijdTotEnMet],"&gt;"&amp;($A74+17/24))</f>
        <v/>
      </c>
      <c r="V74" s="20">
        <f>COUNTIFS(tData[SEHTrajectPeriodeDatumTijdVan],"&lt;="&amp;($A74+18/24),tData[SEHTrajectPeriodeDatumTijdTotEnMet],"&gt;"&amp;($A74+18/24))</f>
        <v/>
      </c>
      <c r="W74" s="20">
        <f>COUNTIFS(tData[SEHTrajectPeriodeDatumTijdVan],"&lt;="&amp;($A74+19/24),tData[SEHTrajectPeriodeDatumTijdTotEnMet],"&gt;"&amp;($A74+19/24))</f>
        <v/>
      </c>
      <c r="X74" s="20">
        <f>COUNTIFS(tData[SEHTrajectPeriodeDatumTijdVan],"&lt;="&amp;($A74+20/24),tData[SEHTrajectPeriodeDatumTijdTotEnMet],"&gt;"&amp;($A74+20/24))</f>
        <v/>
      </c>
      <c r="Y74" s="20">
        <f>COUNTIFS(tData[SEHTrajectPeriodeDatumTijdVan],"&lt;="&amp;($A74+21/24),tData[SEHTrajectPeriodeDatumTijdTotEnMet],"&gt;"&amp;($A74+21/24))</f>
        <v/>
      </c>
      <c r="Z74" s="20">
        <f>COUNTIFS(tData[SEHTrajectPeriodeDatumTijdVan],"&lt;="&amp;($A74+22/24),tData[SEHTrajectPeriodeDatumTijdTotEnMet],"&gt;"&amp;($A74+22/24))</f>
        <v/>
      </c>
      <c r="AA74" s="20">
        <f>COUNTIFS(tData[SEHTrajectPeriodeDatumTijdVan],"&lt;="&amp;($A74+23/24),tData[SEHTrajectPeriodeDatumTijdTotEnMet],"&gt;"&amp;($A74+23/24))</f>
        <v/>
      </c>
    </row>
    <row r="75">
      <c r="A75" s="19" t="n">
        <v>45363</v>
      </c>
      <c r="B75" s="15">
        <f>WEEKDAY($A75,2)</f>
        <v/>
      </c>
      <c r="C75" s="15">
        <f>IF(AND($A75&gt;=INT(Instellingen!$B$5),$A75&lt;=INT(Instellingen!$B$6)),1,0)</f>
        <v/>
      </c>
      <c r="D75" s="20">
        <f>COUNTIFS(tData[SEHTrajectPeriodeDatumTijdVan],"&lt;="&amp;($A75+0/24),tData[SEHTrajectPeriodeDatumTijdTotEnMet],"&gt;"&amp;($A75+0/24))</f>
        <v/>
      </c>
      <c r="E75" s="20">
        <f>COUNTIFS(tData[SEHTrajectPeriodeDatumTijdVan],"&lt;="&amp;($A75+1/24),tData[SEHTrajectPeriodeDatumTijdTotEnMet],"&gt;"&amp;($A75+1/24))</f>
        <v/>
      </c>
      <c r="F75" s="20">
        <f>COUNTIFS(tData[SEHTrajectPeriodeDatumTijdVan],"&lt;="&amp;($A75+2/24),tData[SEHTrajectPeriodeDatumTijdTotEnMet],"&gt;"&amp;($A75+2/24))</f>
        <v/>
      </c>
      <c r="G75" s="20">
        <f>COUNTIFS(tData[SEHTrajectPeriodeDatumTijdVan],"&lt;="&amp;($A75+3/24),tData[SEHTrajectPeriodeDatumTijdTotEnMet],"&gt;"&amp;($A75+3/24))</f>
        <v/>
      </c>
      <c r="H75" s="20">
        <f>COUNTIFS(tData[SEHTrajectPeriodeDatumTijdVan],"&lt;="&amp;($A75+4/24),tData[SEHTrajectPeriodeDatumTijdTotEnMet],"&gt;"&amp;($A75+4/24))</f>
        <v/>
      </c>
      <c r="I75" s="20">
        <f>COUNTIFS(tData[SEHTrajectPeriodeDatumTijdVan],"&lt;="&amp;($A75+5/24),tData[SEHTrajectPeriodeDatumTijdTotEnMet],"&gt;"&amp;($A75+5/24))</f>
        <v/>
      </c>
      <c r="J75" s="20">
        <f>COUNTIFS(tData[SEHTrajectPeriodeDatumTijdVan],"&lt;="&amp;($A75+6/24),tData[SEHTrajectPeriodeDatumTijdTotEnMet],"&gt;"&amp;($A75+6/24))</f>
        <v/>
      </c>
      <c r="K75" s="20">
        <f>COUNTIFS(tData[SEHTrajectPeriodeDatumTijdVan],"&lt;="&amp;($A75+7/24),tData[SEHTrajectPeriodeDatumTijdTotEnMet],"&gt;"&amp;($A75+7/24))</f>
        <v/>
      </c>
      <c r="L75" s="20">
        <f>COUNTIFS(tData[SEHTrajectPeriodeDatumTijdVan],"&lt;="&amp;($A75+8/24),tData[SEHTrajectPeriodeDatumTijdTotEnMet],"&gt;"&amp;($A75+8/24))</f>
        <v/>
      </c>
      <c r="M75" s="20">
        <f>COUNTIFS(tData[SEHTrajectPeriodeDatumTijdVan],"&lt;="&amp;($A75+9/24),tData[SEHTrajectPeriodeDatumTijdTotEnMet],"&gt;"&amp;($A75+9/24))</f>
        <v/>
      </c>
      <c r="N75" s="20">
        <f>COUNTIFS(tData[SEHTrajectPeriodeDatumTijdVan],"&lt;="&amp;($A75+10/24),tData[SEHTrajectPeriodeDatumTijdTotEnMet],"&gt;"&amp;($A75+10/24))</f>
        <v/>
      </c>
      <c r="O75" s="20">
        <f>COUNTIFS(tData[SEHTrajectPeriodeDatumTijdVan],"&lt;="&amp;($A75+11/24),tData[SEHTrajectPeriodeDatumTijdTotEnMet],"&gt;"&amp;($A75+11/24))</f>
        <v/>
      </c>
      <c r="P75" s="20">
        <f>COUNTIFS(tData[SEHTrajectPeriodeDatumTijdVan],"&lt;="&amp;($A75+12/24),tData[SEHTrajectPeriodeDatumTijdTotEnMet],"&gt;"&amp;($A75+12/24))</f>
        <v/>
      </c>
      <c r="Q75" s="20">
        <f>COUNTIFS(tData[SEHTrajectPeriodeDatumTijdVan],"&lt;="&amp;($A75+13/24),tData[SEHTrajectPeriodeDatumTijdTotEnMet],"&gt;"&amp;($A75+13/24))</f>
        <v/>
      </c>
      <c r="R75" s="20">
        <f>COUNTIFS(tData[SEHTrajectPeriodeDatumTijdVan],"&lt;="&amp;($A75+14/24),tData[SEHTrajectPeriodeDatumTijdTotEnMet],"&gt;"&amp;($A75+14/24))</f>
        <v/>
      </c>
      <c r="S75" s="20">
        <f>COUNTIFS(tData[SEHTrajectPeriodeDatumTijdVan],"&lt;="&amp;($A75+15/24),tData[SEHTrajectPeriodeDatumTijdTotEnMet],"&gt;"&amp;($A75+15/24))</f>
        <v/>
      </c>
      <c r="T75" s="20">
        <f>COUNTIFS(tData[SEHTrajectPeriodeDatumTijdVan],"&lt;="&amp;($A75+16/24),tData[SEHTrajectPeriodeDatumTijdTotEnMet],"&gt;"&amp;($A75+16/24))</f>
        <v/>
      </c>
      <c r="U75" s="20">
        <f>COUNTIFS(tData[SEHTrajectPeriodeDatumTijdVan],"&lt;="&amp;($A75+17/24),tData[SEHTrajectPeriodeDatumTijdTotEnMet],"&gt;"&amp;($A75+17/24))</f>
        <v/>
      </c>
      <c r="V75" s="20">
        <f>COUNTIFS(tData[SEHTrajectPeriodeDatumTijdVan],"&lt;="&amp;($A75+18/24),tData[SEHTrajectPeriodeDatumTijdTotEnMet],"&gt;"&amp;($A75+18/24))</f>
        <v/>
      </c>
      <c r="W75" s="20">
        <f>COUNTIFS(tData[SEHTrajectPeriodeDatumTijdVan],"&lt;="&amp;($A75+19/24),tData[SEHTrajectPeriodeDatumTijdTotEnMet],"&gt;"&amp;($A75+19/24))</f>
        <v/>
      </c>
      <c r="X75" s="20">
        <f>COUNTIFS(tData[SEHTrajectPeriodeDatumTijdVan],"&lt;="&amp;($A75+20/24),tData[SEHTrajectPeriodeDatumTijdTotEnMet],"&gt;"&amp;($A75+20/24))</f>
        <v/>
      </c>
      <c r="Y75" s="20">
        <f>COUNTIFS(tData[SEHTrajectPeriodeDatumTijdVan],"&lt;="&amp;($A75+21/24),tData[SEHTrajectPeriodeDatumTijdTotEnMet],"&gt;"&amp;($A75+21/24))</f>
        <v/>
      </c>
      <c r="Z75" s="20">
        <f>COUNTIFS(tData[SEHTrajectPeriodeDatumTijdVan],"&lt;="&amp;($A75+22/24),tData[SEHTrajectPeriodeDatumTijdTotEnMet],"&gt;"&amp;($A75+22/24))</f>
        <v/>
      </c>
      <c r="AA75" s="20">
        <f>COUNTIFS(tData[SEHTrajectPeriodeDatumTijdVan],"&lt;="&amp;($A75+23/24),tData[SEHTrajectPeriodeDatumTijdTotEnMet],"&gt;"&amp;($A75+23/24))</f>
        <v/>
      </c>
    </row>
    <row r="76">
      <c r="A76" s="19" t="n">
        <v>45364</v>
      </c>
      <c r="B76" s="15">
        <f>WEEKDAY($A76,2)</f>
        <v/>
      </c>
      <c r="C76" s="15">
        <f>IF(AND($A76&gt;=INT(Instellingen!$B$5),$A76&lt;=INT(Instellingen!$B$6)),1,0)</f>
        <v/>
      </c>
      <c r="D76" s="20">
        <f>COUNTIFS(tData[SEHTrajectPeriodeDatumTijdVan],"&lt;="&amp;($A76+0/24),tData[SEHTrajectPeriodeDatumTijdTotEnMet],"&gt;"&amp;($A76+0/24))</f>
        <v/>
      </c>
      <c r="E76" s="20">
        <f>COUNTIFS(tData[SEHTrajectPeriodeDatumTijdVan],"&lt;="&amp;($A76+1/24),tData[SEHTrajectPeriodeDatumTijdTotEnMet],"&gt;"&amp;($A76+1/24))</f>
        <v/>
      </c>
      <c r="F76" s="20">
        <f>COUNTIFS(tData[SEHTrajectPeriodeDatumTijdVan],"&lt;="&amp;($A76+2/24),tData[SEHTrajectPeriodeDatumTijdTotEnMet],"&gt;"&amp;($A76+2/24))</f>
        <v/>
      </c>
      <c r="G76" s="20">
        <f>COUNTIFS(tData[SEHTrajectPeriodeDatumTijdVan],"&lt;="&amp;($A76+3/24),tData[SEHTrajectPeriodeDatumTijdTotEnMet],"&gt;"&amp;($A76+3/24))</f>
        <v/>
      </c>
      <c r="H76" s="20">
        <f>COUNTIFS(tData[SEHTrajectPeriodeDatumTijdVan],"&lt;="&amp;($A76+4/24),tData[SEHTrajectPeriodeDatumTijdTotEnMet],"&gt;"&amp;($A76+4/24))</f>
        <v/>
      </c>
      <c r="I76" s="20">
        <f>COUNTIFS(tData[SEHTrajectPeriodeDatumTijdVan],"&lt;="&amp;($A76+5/24),tData[SEHTrajectPeriodeDatumTijdTotEnMet],"&gt;"&amp;($A76+5/24))</f>
        <v/>
      </c>
      <c r="J76" s="20">
        <f>COUNTIFS(tData[SEHTrajectPeriodeDatumTijdVan],"&lt;="&amp;($A76+6/24),tData[SEHTrajectPeriodeDatumTijdTotEnMet],"&gt;"&amp;($A76+6/24))</f>
        <v/>
      </c>
      <c r="K76" s="20">
        <f>COUNTIFS(tData[SEHTrajectPeriodeDatumTijdVan],"&lt;="&amp;($A76+7/24),tData[SEHTrajectPeriodeDatumTijdTotEnMet],"&gt;"&amp;($A76+7/24))</f>
        <v/>
      </c>
      <c r="L76" s="20">
        <f>COUNTIFS(tData[SEHTrajectPeriodeDatumTijdVan],"&lt;="&amp;($A76+8/24),tData[SEHTrajectPeriodeDatumTijdTotEnMet],"&gt;"&amp;($A76+8/24))</f>
        <v/>
      </c>
      <c r="M76" s="20">
        <f>COUNTIFS(tData[SEHTrajectPeriodeDatumTijdVan],"&lt;="&amp;($A76+9/24),tData[SEHTrajectPeriodeDatumTijdTotEnMet],"&gt;"&amp;($A76+9/24))</f>
        <v/>
      </c>
      <c r="N76" s="20">
        <f>COUNTIFS(tData[SEHTrajectPeriodeDatumTijdVan],"&lt;="&amp;($A76+10/24),tData[SEHTrajectPeriodeDatumTijdTotEnMet],"&gt;"&amp;($A76+10/24))</f>
        <v/>
      </c>
      <c r="O76" s="20">
        <f>COUNTIFS(tData[SEHTrajectPeriodeDatumTijdVan],"&lt;="&amp;($A76+11/24),tData[SEHTrajectPeriodeDatumTijdTotEnMet],"&gt;"&amp;($A76+11/24))</f>
        <v/>
      </c>
      <c r="P76" s="20">
        <f>COUNTIFS(tData[SEHTrajectPeriodeDatumTijdVan],"&lt;="&amp;($A76+12/24),tData[SEHTrajectPeriodeDatumTijdTotEnMet],"&gt;"&amp;($A76+12/24))</f>
        <v/>
      </c>
      <c r="Q76" s="20">
        <f>COUNTIFS(tData[SEHTrajectPeriodeDatumTijdVan],"&lt;="&amp;($A76+13/24),tData[SEHTrajectPeriodeDatumTijdTotEnMet],"&gt;"&amp;($A76+13/24))</f>
        <v/>
      </c>
      <c r="R76" s="20">
        <f>COUNTIFS(tData[SEHTrajectPeriodeDatumTijdVan],"&lt;="&amp;($A76+14/24),tData[SEHTrajectPeriodeDatumTijdTotEnMet],"&gt;"&amp;($A76+14/24))</f>
        <v/>
      </c>
      <c r="S76" s="20">
        <f>COUNTIFS(tData[SEHTrajectPeriodeDatumTijdVan],"&lt;="&amp;($A76+15/24),tData[SEHTrajectPeriodeDatumTijdTotEnMet],"&gt;"&amp;($A76+15/24))</f>
        <v/>
      </c>
      <c r="T76" s="20">
        <f>COUNTIFS(tData[SEHTrajectPeriodeDatumTijdVan],"&lt;="&amp;($A76+16/24),tData[SEHTrajectPeriodeDatumTijdTotEnMet],"&gt;"&amp;($A76+16/24))</f>
        <v/>
      </c>
      <c r="U76" s="20">
        <f>COUNTIFS(tData[SEHTrajectPeriodeDatumTijdVan],"&lt;="&amp;($A76+17/24),tData[SEHTrajectPeriodeDatumTijdTotEnMet],"&gt;"&amp;($A76+17/24))</f>
        <v/>
      </c>
      <c r="V76" s="20">
        <f>COUNTIFS(tData[SEHTrajectPeriodeDatumTijdVan],"&lt;="&amp;($A76+18/24),tData[SEHTrajectPeriodeDatumTijdTotEnMet],"&gt;"&amp;($A76+18/24))</f>
        <v/>
      </c>
      <c r="W76" s="20">
        <f>COUNTIFS(tData[SEHTrajectPeriodeDatumTijdVan],"&lt;="&amp;($A76+19/24),tData[SEHTrajectPeriodeDatumTijdTotEnMet],"&gt;"&amp;($A76+19/24))</f>
        <v/>
      </c>
      <c r="X76" s="20">
        <f>COUNTIFS(tData[SEHTrajectPeriodeDatumTijdVan],"&lt;="&amp;($A76+20/24),tData[SEHTrajectPeriodeDatumTijdTotEnMet],"&gt;"&amp;($A76+20/24))</f>
        <v/>
      </c>
      <c r="Y76" s="20">
        <f>COUNTIFS(tData[SEHTrajectPeriodeDatumTijdVan],"&lt;="&amp;($A76+21/24),tData[SEHTrajectPeriodeDatumTijdTotEnMet],"&gt;"&amp;($A76+21/24))</f>
        <v/>
      </c>
      <c r="Z76" s="20">
        <f>COUNTIFS(tData[SEHTrajectPeriodeDatumTijdVan],"&lt;="&amp;($A76+22/24),tData[SEHTrajectPeriodeDatumTijdTotEnMet],"&gt;"&amp;($A76+22/24))</f>
        <v/>
      </c>
      <c r="AA76" s="20">
        <f>COUNTIFS(tData[SEHTrajectPeriodeDatumTijdVan],"&lt;="&amp;($A76+23/24),tData[SEHTrajectPeriodeDatumTijdTotEnMet],"&gt;"&amp;($A76+23/24))</f>
        <v/>
      </c>
    </row>
    <row r="77">
      <c r="A77" s="19" t="n">
        <v>45365</v>
      </c>
      <c r="B77" s="15">
        <f>WEEKDAY($A77,2)</f>
        <v/>
      </c>
      <c r="C77" s="15">
        <f>IF(AND($A77&gt;=INT(Instellingen!$B$5),$A77&lt;=INT(Instellingen!$B$6)),1,0)</f>
        <v/>
      </c>
      <c r="D77" s="20">
        <f>COUNTIFS(tData[SEHTrajectPeriodeDatumTijdVan],"&lt;="&amp;($A77+0/24),tData[SEHTrajectPeriodeDatumTijdTotEnMet],"&gt;"&amp;($A77+0/24))</f>
        <v/>
      </c>
      <c r="E77" s="20">
        <f>COUNTIFS(tData[SEHTrajectPeriodeDatumTijdVan],"&lt;="&amp;($A77+1/24),tData[SEHTrajectPeriodeDatumTijdTotEnMet],"&gt;"&amp;($A77+1/24))</f>
        <v/>
      </c>
      <c r="F77" s="20">
        <f>COUNTIFS(tData[SEHTrajectPeriodeDatumTijdVan],"&lt;="&amp;($A77+2/24),tData[SEHTrajectPeriodeDatumTijdTotEnMet],"&gt;"&amp;($A77+2/24))</f>
        <v/>
      </c>
      <c r="G77" s="20">
        <f>COUNTIFS(tData[SEHTrajectPeriodeDatumTijdVan],"&lt;="&amp;($A77+3/24),tData[SEHTrajectPeriodeDatumTijdTotEnMet],"&gt;"&amp;($A77+3/24))</f>
        <v/>
      </c>
      <c r="H77" s="20">
        <f>COUNTIFS(tData[SEHTrajectPeriodeDatumTijdVan],"&lt;="&amp;($A77+4/24),tData[SEHTrajectPeriodeDatumTijdTotEnMet],"&gt;"&amp;($A77+4/24))</f>
        <v/>
      </c>
      <c r="I77" s="20">
        <f>COUNTIFS(tData[SEHTrajectPeriodeDatumTijdVan],"&lt;="&amp;($A77+5/24),tData[SEHTrajectPeriodeDatumTijdTotEnMet],"&gt;"&amp;($A77+5/24))</f>
        <v/>
      </c>
      <c r="J77" s="20">
        <f>COUNTIFS(tData[SEHTrajectPeriodeDatumTijdVan],"&lt;="&amp;($A77+6/24),tData[SEHTrajectPeriodeDatumTijdTotEnMet],"&gt;"&amp;($A77+6/24))</f>
        <v/>
      </c>
      <c r="K77" s="20">
        <f>COUNTIFS(tData[SEHTrajectPeriodeDatumTijdVan],"&lt;="&amp;($A77+7/24),tData[SEHTrajectPeriodeDatumTijdTotEnMet],"&gt;"&amp;($A77+7/24))</f>
        <v/>
      </c>
      <c r="L77" s="20">
        <f>COUNTIFS(tData[SEHTrajectPeriodeDatumTijdVan],"&lt;="&amp;($A77+8/24),tData[SEHTrajectPeriodeDatumTijdTotEnMet],"&gt;"&amp;($A77+8/24))</f>
        <v/>
      </c>
      <c r="M77" s="20">
        <f>COUNTIFS(tData[SEHTrajectPeriodeDatumTijdVan],"&lt;="&amp;($A77+9/24),tData[SEHTrajectPeriodeDatumTijdTotEnMet],"&gt;"&amp;($A77+9/24))</f>
        <v/>
      </c>
      <c r="N77" s="20">
        <f>COUNTIFS(tData[SEHTrajectPeriodeDatumTijdVan],"&lt;="&amp;($A77+10/24),tData[SEHTrajectPeriodeDatumTijdTotEnMet],"&gt;"&amp;($A77+10/24))</f>
        <v/>
      </c>
      <c r="O77" s="20">
        <f>COUNTIFS(tData[SEHTrajectPeriodeDatumTijdVan],"&lt;="&amp;($A77+11/24),tData[SEHTrajectPeriodeDatumTijdTotEnMet],"&gt;"&amp;($A77+11/24))</f>
        <v/>
      </c>
      <c r="P77" s="20">
        <f>COUNTIFS(tData[SEHTrajectPeriodeDatumTijdVan],"&lt;="&amp;($A77+12/24),tData[SEHTrajectPeriodeDatumTijdTotEnMet],"&gt;"&amp;($A77+12/24))</f>
        <v/>
      </c>
      <c r="Q77" s="20">
        <f>COUNTIFS(tData[SEHTrajectPeriodeDatumTijdVan],"&lt;="&amp;($A77+13/24),tData[SEHTrajectPeriodeDatumTijdTotEnMet],"&gt;"&amp;($A77+13/24))</f>
        <v/>
      </c>
      <c r="R77" s="20">
        <f>COUNTIFS(tData[SEHTrajectPeriodeDatumTijdVan],"&lt;="&amp;($A77+14/24),tData[SEHTrajectPeriodeDatumTijdTotEnMet],"&gt;"&amp;($A77+14/24))</f>
        <v/>
      </c>
      <c r="S77" s="20">
        <f>COUNTIFS(tData[SEHTrajectPeriodeDatumTijdVan],"&lt;="&amp;($A77+15/24),tData[SEHTrajectPeriodeDatumTijdTotEnMet],"&gt;"&amp;($A77+15/24))</f>
        <v/>
      </c>
      <c r="T77" s="20">
        <f>COUNTIFS(tData[SEHTrajectPeriodeDatumTijdVan],"&lt;="&amp;($A77+16/24),tData[SEHTrajectPeriodeDatumTijdTotEnMet],"&gt;"&amp;($A77+16/24))</f>
        <v/>
      </c>
      <c r="U77" s="20">
        <f>COUNTIFS(tData[SEHTrajectPeriodeDatumTijdVan],"&lt;="&amp;($A77+17/24),tData[SEHTrajectPeriodeDatumTijdTotEnMet],"&gt;"&amp;($A77+17/24))</f>
        <v/>
      </c>
      <c r="V77" s="20">
        <f>COUNTIFS(tData[SEHTrajectPeriodeDatumTijdVan],"&lt;="&amp;($A77+18/24),tData[SEHTrajectPeriodeDatumTijdTotEnMet],"&gt;"&amp;($A77+18/24))</f>
        <v/>
      </c>
      <c r="W77" s="20">
        <f>COUNTIFS(tData[SEHTrajectPeriodeDatumTijdVan],"&lt;="&amp;($A77+19/24),tData[SEHTrajectPeriodeDatumTijdTotEnMet],"&gt;"&amp;($A77+19/24))</f>
        <v/>
      </c>
      <c r="X77" s="20">
        <f>COUNTIFS(tData[SEHTrajectPeriodeDatumTijdVan],"&lt;="&amp;($A77+20/24),tData[SEHTrajectPeriodeDatumTijdTotEnMet],"&gt;"&amp;($A77+20/24))</f>
        <v/>
      </c>
      <c r="Y77" s="20">
        <f>COUNTIFS(tData[SEHTrajectPeriodeDatumTijdVan],"&lt;="&amp;($A77+21/24),tData[SEHTrajectPeriodeDatumTijdTotEnMet],"&gt;"&amp;($A77+21/24))</f>
        <v/>
      </c>
      <c r="Z77" s="20">
        <f>COUNTIFS(tData[SEHTrajectPeriodeDatumTijdVan],"&lt;="&amp;($A77+22/24),tData[SEHTrajectPeriodeDatumTijdTotEnMet],"&gt;"&amp;($A77+22/24))</f>
        <v/>
      </c>
      <c r="AA77" s="20">
        <f>COUNTIFS(tData[SEHTrajectPeriodeDatumTijdVan],"&lt;="&amp;($A77+23/24),tData[SEHTrajectPeriodeDatumTijdTotEnMet],"&gt;"&amp;($A77+23/24))</f>
        <v/>
      </c>
    </row>
    <row r="78">
      <c r="A78" s="19" t="n">
        <v>45366</v>
      </c>
      <c r="B78" s="15">
        <f>WEEKDAY($A78,2)</f>
        <v/>
      </c>
      <c r="C78" s="15">
        <f>IF(AND($A78&gt;=INT(Instellingen!$B$5),$A78&lt;=INT(Instellingen!$B$6)),1,0)</f>
        <v/>
      </c>
      <c r="D78" s="20">
        <f>COUNTIFS(tData[SEHTrajectPeriodeDatumTijdVan],"&lt;="&amp;($A78+0/24),tData[SEHTrajectPeriodeDatumTijdTotEnMet],"&gt;"&amp;($A78+0/24))</f>
        <v/>
      </c>
      <c r="E78" s="20">
        <f>COUNTIFS(tData[SEHTrajectPeriodeDatumTijdVan],"&lt;="&amp;($A78+1/24),tData[SEHTrajectPeriodeDatumTijdTotEnMet],"&gt;"&amp;($A78+1/24))</f>
        <v/>
      </c>
      <c r="F78" s="20">
        <f>COUNTIFS(tData[SEHTrajectPeriodeDatumTijdVan],"&lt;="&amp;($A78+2/24),tData[SEHTrajectPeriodeDatumTijdTotEnMet],"&gt;"&amp;($A78+2/24))</f>
        <v/>
      </c>
      <c r="G78" s="20">
        <f>COUNTIFS(tData[SEHTrajectPeriodeDatumTijdVan],"&lt;="&amp;($A78+3/24),tData[SEHTrajectPeriodeDatumTijdTotEnMet],"&gt;"&amp;($A78+3/24))</f>
        <v/>
      </c>
      <c r="H78" s="20">
        <f>COUNTIFS(tData[SEHTrajectPeriodeDatumTijdVan],"&lt;="&amp;($A78+4/24),tData[SEHTrajectPeriodeDatumTijdTotEnMet],"&gt;"&amp;($A78+4/24))</f>
        <v/>
      </c>
      <c r="I78" s="20">
        <f>COUNTIFS(tData[SEHTrajectPeriodeDatumTijdVan],"&lt;="&amp;($A78+5/24),tData[SEHTrajectPeriodeDatumTijdTotEnMet],"&gt;"&amp;($A78+5/24))</f>
        <v/>
      </c>
      <c r="J78" s="20">
        <f>COUNTIFS(tData[SEHTrajectPeriodeDatumTijdVan],"&lt;="&amp;($A78+6/24),tData[SEHTrajectPeriodeDatumTijdTotEnMet],"&gt;"&amp;($A78+6/24))</f>
        <v/>
      </c>
      <c r="K78" s="20">
        <f>COUNTIFS(tData[SEHTrajectPeriodeDatumTijdVan],"&lt;="&amp;($A78+7/24),tData[SEHTrajectPeriodeDatumTijdTotEnMet],"&gt;"&amp;($A78+7/24))</f>
        <v/>
      </c>
      <c r="L78" s="20">
        <f>COUNTIFS(tData[SEHTrajectPeriodeDatumTijdVan],"&lt;="&amp;($A78+8/24),tData[SEHTrajectPeriodeDatumTijdTotEnMet],"&gt;"&amp;($A78+8/24))</f>
        <v/>
      </c>
      <c r="M78" s="20">
        <f>COUNTIFS(tData[SEHTrajectPeriodeDatumTijdVan],"&lt;="&amp;($A78+9/24),tData[SEHTrajectPeriodeDatumTijdTotEnMet],"&gt;"&amp;($A78+9/24))</f>
        <v/>
      </c>
      <c r="N78" s="20">
        <f>COUNTIFS(tData[SEHTrajectPeriodeDatumTijdVan],"&lt;="&amp;($A78+10/24),tData[SEHTrajectPeriodeDatumTijdTotEnMet],"&gt;"&amp;($A78+10/24))</f>
        <v/>
      </c>
      <c r="O78" s="20">
        <f>COUNTIFS(tData[SEHTrajectPeriodeDatumTijdVan],"&lt;="&amp;($A78+11/24),tData[SEHTrajectPeriodeDatumTijdTotEnMet],"&gt;"&amp;($A78+11/24))</f>
        <v/>
      </c>
      <c r="P78" s="20">
        <f>COUNTIFS(tData[SEHTrajectPeriodeDatumTijdVan],"&lt;="&amp;($A78+12/24),tData[SEHTrajectPeriodeDatumTijdTotEnMet],"&gt;"&amp;($A78+12/24))</f>
        <v/>
      </c>
      <c r="Q78" s="20">
        <f>COUNTIFS(tData[SEHTrajectPeriodeDatumTijdVan],"&lt;="&amp;($A78+13/24),tData[SEHTrajectPeriodeDatumTijdTotEnMet],"&gt;"&amp;($A78+13/24))</f>
        <v/>
      </c>
      <c r="R78" s="20">
        <f>COUNTIFS(tData[SEHTrajectPeriodeDatumTijdVan],"&lt;="&amp;($A78+14/24),tData[SEHTrajectPeriodeDatumTijdTotEnMet],"&gt;"&amp;($A78+14/24))</f>
        <v/>
      </c>
      <c r="S78" s="20">
        <f>COUNTIFS(tData[SEHTrajectPeriodeDatumTijdVan],"&lt;="&amp;($A78+15/24),tData[SEHTrajectPeriodeDatumTijdTotEnMet],"&gt;"&amp;($A78+15/24))</f>
        <v/>
      </c>
      <c r="T78" s="20">
        <f>COUNTIFS(tData[SEHTrajectPeriodeDatumTijdVan],"&lt;="&amp;($A78+16/24),tData[SEHTrajectPeriodeDatumTijdTotEnMet],"&gt;"&amp;($A78+16/24))</f>
        <v/>
      </c>
      <c r="U78" s="20">
        <f>COUNTIFS(tData[SEHTrajectPeriodeDatumTijdVan],"&lt;="&amp;($A78+17/24),tData[SEHTrajectPeriodeDatumTijdTotEnMet],"&gt;"&amp;($A78+17/24))</f>
        <v/>
      </c>
      <c r="V78" s="20">
        <f>COUNTIFS(tData[SEHTrajectPeriodeDatumTijdVan],"&lt;="&amp;($A78+18/24),tData[SEHTrajectPeriodeDatumTijdTotEnMet],"&gt;"&amp;($A78+18/24))</f>
        <v/>
      </c>
      <c r="W78" s="20">
        <f>COUNTIFS(tData[SEHTrajectPeriodeDatumTijdVan],"&lt;="&amp;($A78+19/24),tData[SEHTrajectPeriodeDatumTijdTotEnMet],"&gt;"&amp;($A78+19/24))</f>
        <v/>
      </c>
      <c r="X78" s="20">
        <f>COUNTIFS(tData[SEHTrajectPeriodeDatumTijdVan],"&lt;="&amp;($A78+20/24),tData[SEHTrajectPeriodeDatumTijdTotEnMet],"&gt;"&amp;($A78+20/24))</f>
        <v/>
      </c>
      <c r="Y78" s="20">
        <f>COUNTIFS(tData[SEHTrajectPeriodeDatumTijdVan],"&lt;="&amp;($A78+21/24),tData[SEHTrajectPeriodeDatumTijdTotEnMet],"&gt;"&amp;($A78+21/24))</f>
        <v/>
      </c>
      <c r="Z78" s="20">
        <f>COUNTIFS(tData[SEHTrajectPeriodeDatumTijdVan],"&lt;="&amp;($A78+22/24),tData[SEHTrajectPeriodeDatumTijdTotEnMet],"&gt;"&amp;($A78+22/24))</f>
        <v/>
      </c>
      <c r="AA78" s="20">
        <f>COUNTIFS(tData[SEHTrajectPeriodeDatumTijdVan],"&lt;="&amp;($A78+23/24),tData[SEHTrajectPeriodeDatumTijdTotEnMet],"&gt;"&amp;($A78+23/24))</f>
        <v/>
      </c>
    </row>
    <row r="79">
      <c r="A79" s="19" t="n">
        <v>45367</v>
      </c>
      <c r="B79" s="15">
        <f>WEEKDAY($A79,2)</f>
        <v/>
      </c>
      <c r="C79" s="15">
        <f>IF(AND($A79&gt;=INT(Instellingen!$B$5),$A79&lt;=INT(Instellingen!$B$6)),1,0)</f>
        <v/>
      </c>
      <c r="D79" s="20">
        <f>COUNTIFS(tData[SEHTrajectPeriodeDatumTijdVan],"&lt;="&amp;($A79+0/24),tData[SEHTrajectPeriodeDatumTijdTotEnMet],"&gt;"&amp;($A79+0/24))</f>
        <v/>
      </c>
      <c r="E79" s="20">
        <f>COUNTIFS(tData[SEHTrajectPeriodeDatumTijdVan],"&lt;="&amp;($A79+1/24),tData[SEHTrajectPeriodeDatumTijdTotEnMet],"&gt;"&amp;($A79+1/24))</f>
        <v/>
      </c>
      <c r="F79" s="20">
        <f>COUNTIFS(tData[SEHTrajectPeriodeDatumTijdVan],"&lt;="&amp;($A79+2/24),tData[SEHTrajectPeriodeDatumTijdTotEnMet],"&gt;"&amp;($A79+2/24))</f>
        <v/>
      </c>
      <c r="G79" s="20">
        <f>COUNTIFS(tData[SEHTrajectPeriodeDatumTijdVan],"&lt;="&amp;($A79+3/24),tData[SEHTrajectPeriodeDatumTijdTotEnMet],"&gt;"&amp;($A79+3/24))</f>
        <v/>
      </c>
      <c r="H79" s="20">
        <f>COUNTIFS(tData[SEHTrajectPeriodeDatumTijdVan],"&lt;="&amp;($A79+4/24),tData[SEHTrajectPeriodeDatumTijdTotEnMet],"&gt;"&amp;($A79+4/24))</f>
        <v/>
      </c>
      <c r="I79" s="20">
        <f>COUNTIFS(tData[SEHTrajectPeriodeDatumTijdVan],"&lt;="&amp;($A79+5/24),tData[SEHTrajectPeriodeDatumTijdTotEnMet],"&gt;"&amp;($A79+5/24))</f>
        <v/>
      </c>
      <c r="J79" s="20">
        <f>COUNTIFS(tData[SEHTrajectPeriodeDatumTijdVan],"&lt;="&amp;($A79+6/24),tData[SEHTrajectPeriodeDatumTijdTotEnMet],"&gt;"&amp;($A79+6/24))</f>
        <v/>
      </c>
      <c r="K79" s="20">
        <f>COUNTIFS(tData[SEHTrajectPeriodeDatumTijdVan],"&lt;="&amp;($A79+7/24),tData[SEHTrajectPeriodeDatumTijdTotEnMet],"&gt;"&amp;($A79+7/24))</f>
        <v/>
      </c>
      <c r="L79" s="20">
        <f>COUNTIFS(tData[SEHTrajectPeriodeDatumTijdVan],"&lt;="&amp;($A79+8/24),tData[SEHTrajectPeriodeDatumTijdTotEnMet],"&gt;"&amp;($A79+8/24))</f>
        <v/>
      </c>
      <c r="M79" s="20">
        <f>COUNTIFS(tData[SEHTrajectPeriodeDatumTijdVan],"&lt;="&amp;($A79+9/24),tData[SEHTrajectPeriodeDatumTijdTotEnMet],"&gt;"&amp;($A79+9/24))</f>
        <v/>
      </c>
      <c r="N79" s="20">
        <f>COUNTIFS(tData[SEHTrajectPeriodeDatumTijdVan],"&lt;="&amp;($A79+10/24),tData[SEHTrajectPeriodeDatumTijdTotEnMet],"&gt;"&amp;($A79+10/24))</f>
        <v/>
      </c>
      <c r="O79" s="20">
        <f>COUNTIFS(tData[SEHTrajectPeriodeDatumTijdVan],"&lt;="&amp;($A79+11/24),tData[SEHTrajectPeriodeDatumTijdTotEnMet],"&gt;"&amp;($A79+11/24))</f>
        <v/>
      </c>
      <c r="P79" s="20">
        <f>COUNTIFS(tData[SEHTrajectPeriodeDatumTijdVan],"&lt;="&amp;($A79+12/24),tData[SEHTrajectPeriodeDatumTijdTotEnMet],"&gt;"&amp;($A79+12/24))</f>
        <v/>
      </c>
      <c r="Q79" s="20">
        <f>COUNTIFS(tData[SEHTrajectPeriodeDatumTijdVan],"&lt;="&amp;($A79+13/24),tData[SEHTrajectPeriodeDatumTijdTotEnMet],"&gt;"&amp;($A79+13/24))</f>
        <v/>
      </c>
      <c r="R79" s="20">
        <f>COUNTIFS(tData[SEHTrajectPeriodeDatumTijdVan],"&lt;="&amp;($A79+14/24),tData[SEHTrajectPeriodeDatumTijdTotEnMet],"&gt;"&amp;($A79+14/24))</f>
        <v/>
      </c>
      <c r="S79" s="20">
        <f>COUNTIFS(tData[SEHTrajectPeriodeDatumTijdVan],"&lt;="&amp;($A79+15/24),tData[SEHTrajectPeriodeDatumTijdTotEnMet],"&gt;"&amp;($A79+15/24))</f>
        <v/>
      </c>
      <c r="T79" s="20">
        <f>COUNTIFS(tData[SEHTrajectPeriodeDatumTijdVan],"&lt;="&amp;($A79+16/24),tData[SEHTrajectPeriodeDatumTijdTotEnMet],"&gt;"&amp;($A79+16/24))</f>
        <v/>
      </c>
      <c r="U79" s="20">
        <f>COUNTIFS(tData[SEHTrajectPeriodeDatumTijdVan],"&lt;="&amp;($A79+17/24),tData[SEHTrajectPeriodeDatumTijdTotEnMet],"&gt;"&amp;($A79+17/24))</f>
        <v/>
      </c>
      <c r="V79" s="20">
        <f>COUNTIFS(tData[SEHTrajectPeriodeDatumTijdVan],"&lt;="&amp;($A79+18/24),tData[SEHTrajectPeriodeDatumTijdTotEnMet],"&gt;"&amp;($A79+18/24))</f>
        <v/>
      </c>
      <c r="W79" s="20">
        <f>COUNTIFS(tData[SEHTrajectPeriodeDatumTijdVan],"&lt;="&amp;($A79+19/24),tData[SEHTrajectPeriodeDatumTijdTotEnMet],"&gt;"&amp;($A79+19/24))</f>
        <v/>
      </c>
      <c r="X79" s="20">
        <f>COUNTIFS(tData[SEHTrajectPeriodeDatumTijdVan],"&lt;="&amp;($A79+20/24),tData[SEHTrajectPeriodeDatumTijdTotEnMet],"&gt;"&amp;($A79+20/24))</f>
        <v/>
      </c>
      <c r="Y79" s="20">
        <f>COUNTIFS(tData[SEHTrajectPeriodeDatumTijdVan],"&lt;="&amp;($A79+21/24),tData[SEHTrajectPeriodeDatumTijdTotEnMet],"&gt;"&amp;($A79+21/24))</f>
        <v/>
      </c>
      <c r="Z79" s="20">
        <f>COUNTIFS(tData[SEHTrajectPeriodeDatumTijdVan],"&lt;="&amp;($A79+22/24),tData[SEHTrajectPeriodeDatumTijdTotEnMet],"&gt;"&amp;($A79+22/24))</f>
        <v/>
      </c>
      <c r="AA79" s="20">
        <f>COUNTIFS(tData[SEHTrajectPeriodeDatumTijdVan],"&lt;="&amp;($A79+23/24),tData[SEHTrajectPeriodeDatumTijdTotEnMet],"&gt;"&amp;($A79+23/24))</f>
        <v/>
      </c>
    </row>
    <row r="80">
      <c r="A80" s="19" t="n">
        <v>45368</v>
      </c>
      <c r="B80" s="15">
        <f>WEEKDAY($A80,2)</f>
        <v/>
      </c>
      <c r="C80" s="15">
        <f>IF(AND($A80&gt;=INT(Instellingen!$B$5),$A80&lt;=INT(Instellingen!$B$6)),1,0)</f>
        <v/>
      </c>
      <c r="D80" s="20">
        <f>COUNTIFS(tData[SEHTrajectPeriodeDatumTijdVan],"&lt;="&amp;($A80+0/24),tData[SEHTrajectPeriodeDatumTijdTotEnMet],"&gt;"&amp;($A80+0/24))</f>
        <v/>
      </c>
      <c r="E80" s="20">
        <f>COUNTIFS(tData[SEHTrajectPeriodeDatumTijdVan],"&lt;="&amp;($A80+1/24),tData[SEHTrajectPeriodeDatumTijdTotEnMet],"&gt;"&amp;($A80+1/24))</f>
        <v/>
      </c>
      <c r="F80" s="20">
        <f>COUNTIFS(tData[SEHTrajectPeriodeDatumTijdVan],"&lt;="&amp;($A80+2/24),tData[SEHTrajectPeriodeDatumTijdTotEnMet],"&gt;"&amp;($A80+2/24))</f>
        <v/>
      </c>
      <c r="G80" s="20">
        <f>COUNTIFS(tData[SEHTrajectPeriodeDatumTijdVan],"&lt;="&amp;($A80+3/24),tData[SEHTrajectPeriodeDatumTijdTotEnMet],"&gt;"&amp;($A80+3/24))</f>
        <v/>
      </c>
      <c r="H80" s="20">
        <f>COUNTIFS(tData[SEHTrajectPeriodeDatumTijdVan],"&lt;="&amp;($A80+4/24),tData[SEHTrajectPeriodeDatumTijdTotEnMet],"&gt;"&amp;($A80+4/24))</f>
        <v/>
      </c>
      <c r="I80" s="20">
        <f>COUNTIFS(tData[SEHTrajectPeriodeDatumTijdVan],"&lt;="&amp;($A80+5/24),tData[SEHTrajectPeriodeDatumTijdTotEnMet],"&gt;"&amp;($A80+5/24))</f>
        <v/>
      </c>
      <c r="J80" s="20">
        <f>COUNTIFS(tData[SEHTrajectPeriodeDatumTijdVan],"&lt;="&amp;($A80+6/24),tData[SEHTrajectPeriodeDatumTijdTotEnMet],"&gt;"&amp;($A80+6/24))</f>
        <v/>
      </c>
      <c r="K80" s="20">
        <f>COUNTIFS(tData[SEHTrajectPeriodeDatumTijdVan],"&lt;="&amp;($A80+7/24),tData[SEHTrajectPeriodeDatumTijdTotEnMet],"&gt;"&amp;($A80+7/24))</f>
        <v/>
      </c>
      <c r="L80" s="20">
        <f>COUNTIFS(tData[SEHTrajectPeriodeDatumTijdVan],"&lt;="&amp;($A80+8/24),tData[SEHTrajectPeriodeDatumTijdTotEnMet],"&gt;"&amp;($A80+8/24))</f>
        <v/>
      </c>
      <c r="M80" s="20">
        <f>COUNTIFS(tData[SEHTrajectPeriodeDatumTijdVan],"&lt;="&amp;($A80+9/24),tData[SEHTrajectPeriodeDatumTijdTotEnMet],"&gt;"&amp;($A80+9/24))</f>
        <v/>
      </c>
      <c r="N80" s="20">
        <f>COUNTIFS(tData[SEHTrajectPeriodeDatumTijdVan],"&lt;="&amp;($A80+10/24),tData[SEHTrajectPeriodeDatumTijdTotEnMet],"&gt;"&amp;($A80+10/24))</f>
        <v/>
      </c>
      <c r="O80" s="20">
        <f>COUNTIFS(tData[SEHTrajectPeriodeDatumTijdVan],"&lt;="&amp;($A80+11/24),tData[SEHTrajectPeriodeDatumTijdTotEnMet],"&gt;"&amp;($A80+11/24))</f>
        <v/>
      </c>
      <c r="P80" s="20">
        <f>COUNTIFS(tData[SEHTrajectPeriodeDatumTijdVan],"&lt;="&amp;($A80+12/24),tData[SEHTrajectPeriodeDatumTijdTotEnMet],"&gt;"&amp;($A80+12/24))</f>
        <v/>
      </c>
      <c r="Q80" s="20">
        <f>COUNTIFS(tData[SEHTrajectPeriodeDatumTijdVan],"&lt;="&amp;($A80+13/24),tData[SEHTrajectPeriodeDatumTijdTotEnMet],"&gt;"&amp;($A80+13/24))</f>
        <v/>
      </c>
      <c r="R80" s="20">
        <f>COUNTIFS(tData[SEHTrajectPeriodeDatumTijdVan],"&lt;="&amp;($A80+14/24),tData[SEHTrajectPeriodeDatumTijdTotEnMet],"&gt;"&amp;($A80+14/24))</f>
        <v/>
      </c>
      <c r="S80" s="20">
        <f>COUNTIFS(tData[SEHTrajectPeriodeDatumTijdVan],"&lt;="&amp;($A80+15/24),tData[SEHTrajectPeriodeDatumTijdTotEnMet],"&gt;"&amp;($A80+15/24))</f>
        <v/>
      </c>
      <c r="T80" s="20">
        <f>COUNTIFS(tData[SEHTrajectPeriodeDatumTijdVan],"&lt;="&amp;($A80+16/24),tData[SEHTrajectPeriodeDatumTijdTotEnMet],"&gt;"&amp;($A80+16/24))</f>
        <v/>
      </c>
      <c r="U80" s="20">
        <f>COUNTIFS(tData[SEHTrajectPeriodeDatumTijdVan],"&lt;="&amp;($A80+17/24),tData[SEHTrajectPeriodeDatumTijdTotEnMet],"&gt;"&amp;($A80+17/24))</f>
        <v/>
      </c>
      <c r="V80" s="20">
        <f>COUNTIFS(tData[SEHTrajectPeriodeDatumTijdVan],"&lt;="&amp;($A80+18/24),tData[SEHTrajectPeriodeDatumTijdTotEnMet],"&gt;"&amp;($A80+18/24))</f>
        <v/>
      </c>
      <c r="W80" s="20">
        <f>COUNTIFS(tData[SEHTrajectPeriodeDatumTijdVan],"&lt;="&amp;($A80+19/24),tData[SEHTrajectPeriodeDatumTijdTotEnMet],"&gt;"&amp;($A80+19/24))</f>
        <v/>
      </c>
      <c r="X80" s="20">
        <f>COUNTIFS(tData[SEHTrajectPeriodeDatumTijdVan],"&lt;="&amp;($A80+20/24),tData[SEHTrajectPeriodeDatumTijdTotEnMet],"&gt;"&amp;($A80+20/24))</f>
        <v/>
      </c>
      <c r="Y80" s="20">
        <f>COUNTIFS(tData[SEHTrajectPeriodeDatumTijdVan],"&lt;="&amp;($A80+21/24),tData[SEHTrajectPeriodeDatumTijdTotEnMet],"&gt;"&amp;($A80+21/24))</f>
        <v/>
      </c>
      <c r="Z80" s="20">
        <f>COUNTIFS(tData[SEHTrajectPeriodeDatumTijdVan],"&lt;="&amp;($A80+22/24),tData[SEHTrajectPeriodeDatumTijdTotEnMet],"&gt;"&amp;($A80+22/24))</f>
        <v/>
      </c>
      <c r="AA80" s="20">
        <f>COUNTIFS(tData[SEHTrajectPeriodeDatumTijdVan],"&lt;="&amp;($A80+23/24),tData[SEHTrajectPeriodeDatumTijdTotEnMet],"&gt;"&amp;($A80+23/24))</f>
        <v/>
      </c>
    </row>
    <row r="81">
      <c r="A81" s="19" t="n">
        <v>45369</v>
      </c>
      <c r="B81" s="15">
        <f>WEEKDAY($A81,2)</f>
        <v/>
      </c>
      <c r="C81" s="15">
        <f>IF(AND($A81&gt;=INT(Instellingen!$B$5),$A81&lt;=INT(Instellingen!$B$6)),1,0)</f>
        <v/>
      </c>
      <c r="D81" s="20">
        <f>COUNTIFS(tData[SEHTrajectPeriodeDatumTijdVan],"&lt;="&amp;($A81+0/24),tData[SEHTrajectPeriodeDatumTijdTotEnMet],"&gt;"&amp;($A81+0/24))</f>
        <v/>
      </c>
      <c r="E81" s="20">
        <f>COUNTIFS(tData[SEHTrajectPeriodeDatumTijdVan],"&lt;="&amp;($A81+1/24),tData[SEHTrajectPeriodeDatumTijdTotEnMet],"&gt;"&amp;($A81+1/24))</f>
        <v/>
      </c>
      <c r="F81" s="20">
        <f>COUNTIFS(tData[SEHTrajectPeriodeDatumTijdVan],"&lt;="&amp;($A81+2/24),tData[SEHTrajectPeriodeDatumTijdTotEnMet],"&gt;"&amp;($A81+2/24))</f>
        <v/>
      </c>
      <c r="G81" s="20">
        <f>COUNTIFS(tData[SEHTrajectPeriodeDatumTijdVan],"&lt;="&amp;($A81+3/24),tData[SEHTrajectPeriodeDatumTijdTotEnMet],"&gt;"&amp;($A81+3/24))</f>
        <v/>
      </c>
      <c r="H81" s="20">
        <f>COUNTIFS(tData[SEHTrajectPeriodeDatumTijdVan],"&lt;="&amp;($A81+4/24),tData[SEHTrajectPeriodeDatumTijdTotEnMet],"&gt;"&amp;($A81+4/24))</f>
        <v/>
      </c>
      <c r="I81" s="20">
        <f>COUNTIFS(tData[SEHTrajectPeriodeDatumTijdVan],"&lt;="&amp;($A81+5/24),tData[SEHTrajectPeriodeDatumTijdTotEnMet],"&gt;"&amp;($A81+5/24))</f>
        <v/>
      </c>
      <c r="J81" s="20">
        <f>COUNTIFS(tData[SEHTrajectPeriodeDatumTijdVan],"&lt;="&amp;($A81+6/24),tData[SEHTrajectPeriodeDatumTijdTotEnMet],"&gt;"&amp;($A81+6/24))</f>
        <v/>
      </c>
      <c r="K81" s="20">
        <f>COUNTIFS(tData[SEHTrajectPeriodeDatumTijdVan],"&lt;="&amp;($A81+7/24),tData[SEHTrajectPeriodeDatumTijdTotEnMet],"&gt;"&amp;($A81+7/24))</f>
        <v/>
      </c>
      <c r="L81" s="20">
        <f>COUNTIFS(tData[SEHTrajectPeriodeDatumTijdVan],"&lt;="&amp;($A81+8/24),tData[SEHTrajectPeriodeDatumTijdTotEnMet],"&gt;"&amp;($A81+8/24))</f>
        <v/>
      </c>
      <c r="M81" s="20">
        <f>COUNTIFS(tData[SEHTrajectPeriodeDatumTijdVan],"&lt;="&amp;($A81+9/24),tData[SEHTrajectPeriodeDatumTijdTotEnMet],"&gt;"&amp;($A81+9/24))</f>
        <v/>
      </c>
      <c r="N81" s="20">
        <f>COUNTIFS(tData[SEHTrajectPeriodeDatumTijdVan],"&lt;="&amp;($A81+10/24),tData[SEHTrajectPeriodeDatumTijdTotEnMet],"&gt;"&amp;($A81+10/24))</f>
        <v/>
      </c>
      <c r="O81" s="20">
        <f>COUNTIFS(tData[SEHTrajectPeriodeDatumTijdVan],"&lt;="&amp;($A81+11/24),tData[SEHTrajectPeriodeDatumTijdTotEnMet],"&gt;"&amp;($A81+11/24))</f>
        <v/>
      </c>
      <c r="P81" s="20">
        <f>COUNTIFS(tData[SEHTrajectPeriodeDatumTijdVan],"&lt;="&amp;($A81+12/24),tData[SEHTrajectPeriodeDatumTijdTotEnMet],"&gt;"&amp;($A81+12/24))</f>
        <v/>
      </c>
      <c r="Q81" s="20">
        <f>COUNTIFS(tData[SEHTrajectPeriodeDatumTijdVan],"&lt;="&amp;($A81+13/24),tData[SEHTrajectPeriodeDatumTijdTotEnMet],"&gt;"&amp;($A81+13/24))</f>
        <v/>
      </c>
      <c r="R81" s="20">
        <f>COUNTIFS(tData[SEHTrajectPeriodeDatumTijdVan],"&lt;="&amp;($A81+14/24),tData[SEHTrajectPeriodeDatumTijdTotEnMet],"&gt;"&amp;($A81+14/24))</f>
        <v/>
      </c>
      <c r="S81" s="20">
        <f>COUNTIFS(tData[SEHTrajectPeriodeDatumTijdVan],"&lt;="&amp;($A81+15/24),tData[SEHTrajectPeriodeDatumTijdTotEnMet],"&gt;"&amp;($A81+15/24))</f>
        <v/>
      </c>
      <c r="T81" s="20">
        <f>COUNTIFS(tData[SEHTrajectPeriodeDatumTijdVan],"&lt;="&amp;($A81+16/24),tData[SEHTrajectPeriodeDatumTijdTotEnMet],"&gt;"&amp;($A81+16/24))</f>
        <v/>
      </c>
      <c r="U81" s="20">
        <f>COUNTIFS(tData[SEHTrajectPeriodeDatumTijdVan],"&lt;="&amp;($A81+17/24),tData[SEHTrajectPeriodeDatumTijdTotEnMet],"&gt;"&amp;($A81+17/24))</f>
        <v/>
      </c>
      <c r="V81" s="20">
        <f>COUNTIFS(tData[SEHTrajectPeriodeDatumTijdVan],"&lt;="&amp;($A81+18/24),tData[SEHTrajectPeriodeDatumTijdTotEnMet],"&gt;"&amp;($A81+18/24))</f>
        <v/>
      </c>
      <c r="W81" s="20">
        <f>COUNTIFS(tData[SEHTrajectPeriodeDatumTijdVan],"&lt;="&amp;($A81+19/24),tData[SEHTrajectPeriodeDatumTijdTotEnMet],"&gt;"&amp;($A81+19/24))</f>
        <v/>
      </c>
      <c r="X81" s="20">
        <f>COUNTIFS(tData[SEHTrajectPeriodeDatumTijdVan],"&lt;="&amp;($A81+20/24),tData[SEHTrajectPeriodeDatumTijdTotEnMet],"&gt;"&amp;($A81+20/24))</f>
        <v/>
      </c>
      <c r="Y81" s="20">
        <f>COUNTIFS(tData[SEHTrajectPeriodeDatumTijdVan],"&lt;="&amp;($A81+21/24),tData[SEHTrajectPeriodeDatumTijdTotEnMet],"&gt;"&amp;($A81+21/24))</f>
        <v/>
      </c>
      <c r="Z81" s="20">
        <f>COUNTIFS(tData[SEHTrajectPeriodeDatumTijdVan],"&lt;="&amp;($A81+22/24),tData[SEHTrajectPeriodeDatumTijdTotEnMet],"&gt;"&amp;($A81+22/24))</f>
        <v/>
      </c>
      <c r="AA81" s="20">
        <f>COUNTIFS(tData[SEHTrajectPeriodeDatumTijdVan],"&lt;="&amp;($A81+23/24),tData[SEHTrajectPeriodeDatumTijdTotEnMet],"&gt;"&amp;($A81+23/24))</f>
        <v/>
      </c>
    </row>
    <row r="82">
      <c r="A82" s="19" t="n">
        <v>45370</v>
      </c>
      <c r="B82" s="15">
        <f>WEEKDAY($A82,2)</f>
        <v/>
      </c>
      <c r="C82" s="15">
        <f>IF(AND($A82&gt;=INT(Instellingen!$B$5),$A82&lt;=INT(Instellingen!$B$6)),1,0)</f>
        <v/>
      </c>
      <c r="D82" s="20">
        <f>COUNTIFS(tData[SEHTrajectPeriodeDatumTijdVan],"&lt;="&amp;($A82+0/24),tData[SEHTrajectPeriodeDatumTijdTotEnMet],"&gt;"&amp;($A82+0/24))</f>
        <v/>
      </c>
      <c r="E82" s="20">
        <f>COUNTIFS(tData[SEHTrajectPeriodeDatumTijdVan],"&lt;="&amp;($A82+1/24),tData[SEHTrajectPeriodeDatumTijdTotEnMet],"&gt;"&amp;($A82+1/24))</f>
        <v/>
      </c>
      <c r="F82" s="20">
        <f>COUNTIFS(tData[SEHTrajectPeriodeDatumTijdVan],"&lt;="&amp;($A82+2/24),tData[SEHTrajectPeriodeDatumTijdTotEnMet],"&gt;"&amp;($A82+2/24))</f>
        <v/>
      </c>
      <c r="G82" s="20">
        <f>COUNTIFS(tData[SEHTrajectPeriodeDatumTijdVan],"&lt;="&amp;($A82+3/24),tData[SEHTrajectPeriodeDatumTijdTotEnMet],"&gt;"&amp;($A82+3/24))</f>
        <v/>
      </c>
      <c r="H82" s="20">
        <f>COUNTIFS(tData[SEHTrajectPeriodeDatumTijdVan],"&lt;="&amp;($A82+4/24),tData[SEHTrajectPeriodeDatumTijdTotEnMet],"&gt;"&amp;($A82+4/24))</f>
        <v/>
      </c>
      <c r="I82" s="20">
        <f>COUNTIFS(tData[SEHTrajectPeriodeDatumTijdVan],"&lt;="&amp;($A82+5/24),tData[SEHTrajectPeriodeDatumTijdTotEnMet],"&gt;"&amp;($A82+5/24))</f>
        <v/>
      </c>
      <c r="J82" s="20">
        <f>COUNTIFS(tData[SEHTrajectPeriodeDatumTijdVan],"&lt;="&amp;($A82+6/24),tData[SEHTrajectPeriodeDatumTijdTotEnMet],"&gt;"&amp;($A82+6/24))</f>
        <v/>
      </c>
      <c r="K82" s="20">
        <f>COUNTIFS(tData[SEHTrajectPeriodeDatumTijdVan],"&lt;="&amp;($A82+7/24),tData[SEHTrajectPeriodeDatumTijdTotEnMet],"&gt;"&amp;($A82+7/24))</f>
        <v/>
      </c>
      <c r="L82" s="20">
        <f>COUNTIFS(tData[SEHTrajectPeriodeDatumTijdVan],"&lt;="&amp;($A82+8/24),tData[SEHTrajectPeriodeDatumTijdTotEnMet],"&gt;"&amp;($A82+8/24))</f>
        <v/>
      </c>
      <c r="M82" s="20">
        <f>COUNTIFS(tData[SEHTrajectPeriodeDatumTijdVan],"&lt;="&amp;($A82+9/24),tData[SEHTrajectPeriodeDatumTijdTotEnMet],"&gt;"&amp;($A82+9/24))</f>
        <v/>
      </c>
      <c r="N82" s="20">
        <f>COUNTIFS(tData[SEHTrajectPeriodeDatumTijdVan],"&lt;="&amp;($A82+10/24),tData[SEHTrajectPeriodeDatumTijdTotEnMet],"&gt;"&amp;($A82+10/24))</f>
        <v/>
      </c>
      <c r="O82" s="20">
        <f>COUNTIFS(tData[SEHTrajectPeriodeDatumTijdVan],"&lt;="&amp;($A82+11/24),tData[SEHTrajectPeriodeDatumTijdTotEnMet],"&gt;"&amp;($A82+11/24))</f>
        <v/>
      </c>
      <c r="P82" s="20">
        <f>COUNTIFS(tData[SEHTrajectPeriodeDatumTijdVan],"&lt;="&amp;($A82+12/24),tData[SEHTrajectPeriodeDatumTijdTotEnMet],"&gt;"&amp;($A82+12/24))</f>
        <v/>
      </c>
      <c r="Q82" s="20">
        <f>COUNTIFS(tData[SEHTrajectPeriodeDatumTijdVan],"&lt;="&amp;($A82+13/24),tData[SEHTrajectPeriodeDatumTijdTotEnMet],"&gt;"&amp;($A82+13/24))</f>
        <v/>
      </c>
      <c r="R82" s="20">
        <f>COUNTIFS(tData[SEHTrajectPeriodeDatumTijdVan],"&lt;="&amp;($A82+14/24),tData[SEHTrajectPeriodeDatumTijdTotEnMet],"&gt;"&amp;($A82+14/24))</f>
        <v/>
      </c>
      <c r="S82" s="20">
        <f>COUNTIFS(tData[SEHTrajectPeriodeDatumTijdVan],"&lt;="&amp;($A82+15/24),tData[SEHTrajectPeriodeDatumTijdTotEnMet],"&gt;"&amp;($A82+15/24))</f>
        <v/>
      </c>
      <c r="T82" s="20">
        <f>COUNTIFS(tData[SEHTrajectPeriodeDatumTijdVan],"&lt;="&amp;($A82+16/24),tData[SEHTrajectPeriodeDatumTijdTotEnMet],"&gt;"&amp;($A82+16/24))</f>
        <v/>
      </c>
      <c r="U82" s="20">
        <f>COUNTIFS(tData[SEHTrajectPeriodeDatumTijdVan],"&lt;="&amp;($A82+17/24),tData[SEHTrajectPeriodeDatumTijdTotEnMet],"&gt;"&amp;($A82+17/24))</f>
        <v/>
      </c>
      <c r="V82" s="20">
        <f>COUNTIFS(tData[SEHTrajectPeriodeDatumTijdVan],"&lt;="&amp;($A82+18/24),tData[SEHTrajectPeriodeDatumTijdTotEnMet],"&gt;"&amp;($A82+18/24))</f>
        <v/>
      </c>
      <c r="W82" s="20">
        <f>COUNTIFS(tData[SEHTrajectPeriodeDatumTijdVan],"&lt;="&amp;($A82+19/24),tData[SEHTrajectPeriodeDatumTijdTotEnMet],"&gt;"&amp;($A82+19/24))</f>
        <v/>
      </c>
      <c r="X82" s="20">
        <f>COUNTIFS(tData[SEHTrajectPeriodeDatumTijdVan],"&lt;="&amp;($A82+20/24),tData[SEHTrajectPeriodeDatumTijdTotEnMet],"&gt;"&amp;($A82+20/24))</f>
        <v/>
      </c>
      <c r="Y82" s="20">
        <f>COUNTIFS(tData[SEHTrajectPeriodeDatumTijdVan],"&lt;="&amp;($A82+21/24),tData[SEHTrajectPeriodeDatumTijdTotEnMet],"&gt;"&amp;($A82+21/24))</f>
        <v/>
      </c>
      <c r="Z82" s="20">
        <f>COUNTIFS(tData[SEHTrajectPeriodeDatumTijdVan],"&lt;="&amp;($A82+22/24),tData[SEHTrajectPeriodeDatumTijdTotEnMet],"&gt;"&amp;($A82+22/24))</f>
        <v/>
      </c>
      <c r="AA82" s="20">
        <f>COUNTIFS(tData[SEHTrajectPeriodeDatumTijdVan],"&lt;="&amp;($A82+23/24),tData[SEHTrajectPeriodeDatumTijdTotEnMet],"&gt;"&amp;($A82+23/24))</f>
        <v/>
      </c>
    </row>
    <row r="83">
      <c r="A83" s="19" t="n">
        <v>45371</v>
      </c>
      <c r="B83" s="15">
        <f>WEEKDAY($A83,2)</f>
        <v/>
      </c>
      <c r="C83" s="15">
        <f>IF(AND($A83&gt;=INT(Instellingen!$B$5),$A83&lt;=INT(Instellingen!$B$6)),1,0)</f>
        <v/>
      </c>
      <c r="D83" s="20">
        <f>COUNTIFS(tData[SEHTrajectPeriodeDatumTijdVan],"&lt;="&amp;($A83+0/24),tData[SEHTrajectPeriodeDatumTijdTotEnMet],"&gt;"&amp;($A83+0/24))</f>
        <v/>
      </c>
      <c r="E83" s="20">
        <f>COUNTIFS(tData[SEHTrajectPeriodeDatumTijdVan],"&lt;="&amp;($A83+1/24),tData[SEHTrajectPeriodeDatumTijdTotEnMet],"&gt;"&amp;($A83+1/24))</f>
        <v/>
      </c>
      <c r="F83" s="20">
        <f>COUNTIFS(tData[SEHTrajectPeriodeDatumTijdVan],"&lt;="&amp;($A83+2/24),tData[SEHTrajectPeriodeDatumTijdTotEnMet],"&gt;"&amp;($A83+2/24))</f>
        <v/>
      </c>
      <c r="G83" s="20">
        <f>COUNTIFS(tData[SEHTrajectPeriodeDatumTijdVan],"&lt;="&amp;($A83+3/24),tData[SEHTrajectPeriodeDatumTijdTotEnMet],"&gt;"&amp;($A83+3/24))</f>
        <v/>
      </c>
      <c r="H83" s="20">
        <f>COUNTIFS(tData[SEHTrajectPeriodeDatumTijdVan],"&lt;="&amp;($A83+4/24),tData[SEHTrajectPeriodeDatumTijdTotEnMet],"&gt;"&amp;($A83+4/24))</f>
        <v/>
      </c>
      <c r="I83" s="20">
        <f>COUNTIFS(tData[SEHTrajectPeriodeDatumTijdVan],"&lt;="&amp;($A83+5/24),tData[SEHTrajectPeriodeDatumTijdTotEnMet],"&gt;"&amp;($A83+5/24))</f>
        <v/>
      </c>
      <c r="J83" s="20">
        <f>COUNTIFS(tData[SEHTrajectPeriodeDatumTijdVan],"&lt;="&amp;($A83+6/24),tData[SEHTrajectPeriodeDatumTijdTotEnMet],"&gt;"&amp;($A83+6/24))</f>
        <v/>
      </c>
      <c r="K83" s="20">
        <f>COUNTIFS(tData[SEHTrajectPeriodeDatumTijdVan],"&lt;="&amp;($A83+7/24),tData[SEHTrajectPeriodeDatumTijdTotEnMet],"&gt;"&amp;($A83+7/24))</f>
        <v/>
      </c>
      <c r="L83" s="20">
        <f>COUNTIFS(tData[SEHTrajectPeriodeDatumTijdVan],"&lt;="&amp;($A83+8/24),tData[SEHTrajectPeriodeDatumTijdTotEnMet],"&gt;"&amp;($A83+8/24))</f>
        <v/>
      </c>
      <c r="M83" s="20">
        <f>COUNTIFS(tData[SEHTrajectPeriodeDatumTijdVan],"&lt;="&amp;($A83+9/24),tData[SEHTrajectPeriodeDatumTijdTotEnMet],"&gt;"&amp;($A83+9/24))</f>
        <v/>
      </c>
      <c r="N83" s="20">
        <f>COUNTIFS(tData[SEHTrajectPeriodeDatumTijdVan],"&lt;="&amp;($A83+10/24),tData[SEHTrajectPeriodeDatumTijdTotEnMet],"&gt;"&amp;($A83+10/24))</f>
        <v/>
      </c>
      <c r="O83" s="20">
        <f>COUNTIFS(tData[SEHTrajectPeriodeDatumTijdVan],"&lt;="&amp;($A83+11/24),tData[SEHTrajectPeriodeDatumTijdTotEnMet],"&gt;"&amp;($A83+11/24))</f>
        <v/>
      </c>
      <c r="P83" s="20">
        <f>COUNTIFS(tData[SEHTrajectPeriodeDatumTijdVan],"&lt;="&amp;($A83+12/24),tData[SEHTrajectPeriodeDatumTijdTotEnMet],"&gt;"&amp;($A83+12/24))</f>
        <v/>
      </c>
      <c r="Q83" s="20">
        <f>COUNTIFS(tData[SEHTrajectPeriodeDatumTijdVan],"&lt;="&amp;($A83+13/24),tData[SEHTrajectPeriodeDatumTijdTotEnMet],"&gt;"&amp;($A83+13/24))</f>
        <v/>
      </c>
      <c r="R83" s="20">
        <f>COUNTIFS(tData[SEHTrajectPeriodeDatumTijdVan],"&lt;="&amp;($A83+14/24),tData[SEHTrajectPeriodeDatumTijdTotEnMet],"&gt;"&amp;($A83+14/24))</f>
        <v/>
      </c>
      <c r="S83" s="20">
        <f>COUNTIFS(tData[SEHTrajectPeriodeDatumTijdVan],"&lt;="&amp;($A83+15/24),tData[SEHTrajectPeriodeDatumTijdTotEnMet],"&gt;"&amp;($A83+15/24))</f>
        <v/>
      </c>
      <c r="T83" s="20">
        <f>COUNTIFS(tData[SEHTrajectPeriodeDatumTijdVan],"&lt;="&amp;($A83+16/24),tData[SEHTrajectPeriodeDatumTijdTotEnMet],"&gt;"&amp;($A83+16/24))</f>
        <v/>
      </c>
      <c r="U83" s="20">
        <f>COUNTIFS(tData[SEHTrajectPeriodeDatumTijdVan],"&lt;="&amp;($A83+17/24),tData[SEHTrajectPeriodeDatumTijdTotEnMet],"&gt;"&amp;($A83+17/24))</f>
        <v/>
      </c>
      <c r="V83" s="20">
        <f>COUNTIFS(tData[SEHTrajectPeriodeDatumTijdVan],"&lt;="&amp;($A83+18/24),tData[SEHTrajectPeriodeDatumTijdTotEnMet],"&gt;"&amp;($A83+18/24))</f>
        <v/>
      </c>
      <c r="W83" s="20">
        <f>COUNTIFS(tData[SEHTrajectPeriodeDatumTijdVan],"&lt;="&amp;($A83+19/24),tData[SEHTrajectPeriodeDatumTijdTotEnMet],"&gt;"&amp;($A83+19/24))</f>
        <v/>
      </c>
      <c r="X83" s="20">
        <f>COUNTIFS(tData[SEHTrajectPeriodeDatumTijdVan],"&lt;="&amp;($A83+20/24),tData[SEHTrajectPeriodeDatumTijdTotEnMet],"&gt;"&amp;($A83+20/24))</f>
        <v/>
      </c>
      <c r="Y83" s="20">
        <f>COUNTIFS(tData[SEHTrajectPeriodeDatumTijdVan],"&lt;="&amp;($A83+21/24),tData[SEHTrajectPeriodeDatumTijdTotEnMet],"&gt;"&amp;($A83+21/24))</f>
        <v/>
      </c>
      <c r="Z83" s="20">
        <f>COUNTIFS(tData[SEHTrajectPeriodeDatumTijdVan],"&lt;="&amp;($A83+22/24),tData[SEHTrajectPeriodeDatumTijdTotEnMet],"&gt;"&amp;($A83+22/24))</f>
        <v/>
      </c>
      <c r="AA83" s="20">
        <f>COUNTIFS(tData[SEHTrajectPeriodeDatumTijdVan],"&lt;="&amp;($A83+23/24),tData[SEHTrajectPeriodeDatumTijdTotEnMet],"&gt;"&amp;($A83+23/24))</f>
        <v/>
      </c>
    </row>
    <row r="84">
      <c r="A84" s="19" t="n">
        <v>45372</v>
      </c>
      <c r="B84" s="15">
        <f>WEEKDAY($A84,2)</f>
        <v/>
      </c>
      <c r="C84" s="15">
        <f>IF(AND($A84&gt;=INT(Instellingen!$B$5),$A84&lt;=INT(Instellingen!$B$6)),1,0)</f>
        <v/>
      </c>
      <c r="D84" s="20">
        <f>COUNTIFS(tData[SEHTrajectPeriodeDatumTijdVan],"&lt;="&amp;($A84+0/24),tData[SEHTrajectPeriodeDatumTijdTotEnMet],"&gt;"&amp;($A84+0/24))</f>
        <v/>
      </c>
      <c r="E84" s="20">
        <f>COUNTIFS(tData[SEHTrajectPeriodeDatumTijdVan],"&lt;="&amp;($A84+1/24),tData[SEHTrajectPeriodeDatumTijdTotEnMet],"&gt;"&amp;($A84+1/24))</f>
        <v/>
      </c>
      <c r="F84" s="20">
        <f>COUNTIFS(tData[SEHTrajectPeriodeDatumTijdVan],"&lt;="&amp;($A84+2/24),tData[SEHTrajectPeriodeDatumTijdTotEnMet],"&gt;"&amp;($A84+2/24))</f>
        <v/>
      </c>
      <c r="G84" s="20">
        <f>COUNTIFS(tData[SEHTrajectPeriodeDatumTijdVan],"&lt;="&amp;($A84+3/24),tData[SEHTrajectPeriodeDatumTijdTotEnMet],"&gt;"&amp;($A84+3/24))</f>
        <v/>
      </c>
      <c r="H84" s="20">
        <f>COUNTIFS(tData[SEHTrajectPeriodeDatumTijdVan],"&lt;="&amp;($A84+4/24),tData[SEHTrajectPeriodeDatumTijdTotEnMet],"&gt;"&amp;($A84+4/24))</f>
        <v/>
      </c>
      <c r="I84" s="20">
        <f>COUNTIFS(tData[SEHTrajectPeriodeDatumTijdVan],"&lt;="&amp;($A84+5/24),tData[SEHTrajectPeriodeDatumTijdTotEnMet],"&gt;"&amp;($A84+5/24))</f>
        <v/>
      </c>
      <c r="J84" s="20">
        <f>COUNTIFS(tData[SEHTrajectPeriodeDatumTijdVan],"&lt;="&amp;($A84+6/24),tData[SEHTrajectPeriodeDatumTijdTotEnMet],"&gt;"&amp;($A84+6/24))</f>
        <v/>
      </c>
      <c r="K84" s="20">
        <f>COUNTIFS(tData[SEHTrajectPeriodeDatumTijdVan],"&lt;="&amp;($A84+7/24),tData[SEHTrajectPeriodeDatumTijdTotEnMet],"&gt;"&amp;($A84+7/24))</f>
        <v/>
      </c>
      <c r="L84" s="20">
        <f>COUNTIFS(tData[SEHTrajectPeriodeDatumTijdVan],"&lt;="&amp;($A84+8/24),tData[SEHTrajectPeriodeDatumTijdTotEnMet],"&gt;"&amp;($A84+8/24))</f>
        <v/>
      </c>
      <c r="M84" s="20">
        <f>COUNTIFS(tData[SEHTrajectPeriodeDatumTijdVan],"&lt;="&amp;($A84+9/24),tData[SEHTrajectPeriodeDatumTijdTotEnMet],"&gt;"&amp;($A84+9/24))</f>
        <v/>
      </c>
      <c r="N84" s="20">
        <f>COUNTIFS(tData[SEHTrajectPeriodeDatumTijdVan],"&lt;="&amp;($A84+10/24),tData[SEHTrajectPeriodeDatumTijdTotEnMet],"&gt;"&amp;($A84+10/24))</f>
        <v/>
      </c>
      <c r="O84" s="20">
        <f>COUNTIFS(tData[SEHTrajectPeriodeDatumTijdVan],"&lt;="&amp;($A84+11/24),tData[SEHTrajectPeriodeDatumTijdTotEnMet],"&gt;"&amp;($A84+11/24))</f>
        <v/>
      </c>
      <c r="P84" s="20">
        <f>COUNTIFS(tData[SEHTrajectPeriodeDatumTijdVan],"&lt;="&amp;($A84+12/24),tData[SEHTrajectPeriodeDatumTijdTotEnMet],"&gt;"&amp;($A84+12/24))</f>
        <v/>
      </c>
      <c r="Q84" s="20">
        <f>COUNTIFS(tData[SEHTrajectPeriodeDatumTijdVan],"&lt;="&amp;($A84+13/24),tData[SEHTrajectPeriodeDatumTijdTotEnMet],"&gt;"&amp;($A84+13/24))</f>
        <v/>
      </c>
      <c r="R84" s="20">
        <f>COUNTIFS(tData[SEHTrajectPeriodeDatumTijdVan],"&lt;="&amp;($A84+14/24),tData[SEHTrajectPeriodeDatumTijdTotEnMet],"&gt;"&amp;($A84+14/24))</f>
        <v/>
      </c>
      <c r="S84" s="20">
        <f>COUNTIFS(tData[SEHTrajectPeriodeDatumTijdVan],"&lt;="&amp;($A84+15/24),tData[SEHTrajectPeriodeDatumTijdTotEnMet],"&gt;"&amp;($A84+15/24))</f>
        <v/>
      </c>
      <c r="T84" s="20">
        <f>COUNTIFS(tData[SEHTrajectPeriodeDatumTijdVan],"&lt;="&amp;($A84+16/24),tData[SEHTrajectPeriodeDatumTijdTotEnMet],"&gt;"&amp;($A84+16/24))</f>
        <v/>
      </c>
      <c r="U84" s="20">
        <f>COUNTIFS(tData[SEHTrajectPeriodeDatumTijdVan],"&lt;="&amp;($A84+17/24),tData[SEHTrajectPeriodeDatumTijdTotEnMet],"&gt;"&amp;($A84+17/24))</f>
        <v/>
      </c>
      <c r="V84" s="20">
        <f>COUNTIFS(tData[SEHTrajectPeriodeDatumTijdVan],"&lt;="&amp;($A84+18/24),tData[SEHTrajectPeriodeDatumTijdTotEnMet],"&gt;"&amp;($A84+18/24))</f>
        <v/>
      </c>
      <c r="W84" s="20">
        <f>COUNTIFS(tData[SEHTrajectPeriodeDatumTijdVan],"&lt;="&amp;($A84+19/24),tData[SEHTrajectPeriodeDatumTijdTotEnMet],"&gt;"&amp;($A84+19/24))</f>
        <v/>
      </c>
      <c r="X84" s="20">
        <f>COUNTIFS(tData[SEHTrajectPeriodeDatumTijdVan],"&lt;="&amp;($A84+20/24),tData[SEHTrajectPeriodeDatumTijdTotEnMet],"&gt;"&amp;($A84+20/24))</f>
        <v/>
      </c>
      <c r="Y84" s="20">
        <f>COUNTIFS(tData[SEHTrajectPeriodeDatumTijdVan],"&lt;="&amp;($A84+21/24),tData[SEHTrajectPeriodeDatumTijdTotEnMet],"&gt;"&amp;($A84+21/24))</f>
        <v/>
      </c>
      <c r="Z84" s="20">
        <f>COUNTIFS(tData[SEHTrajectPeriodeDatumTijdVan],"&lt;="&amp;($A84+22/24),tData[SEHTrajectPeriodeDatumTijdTotEnMet],"&gt;"&amp;($A84+22/24))</f>
        <v/>
      </c>
      <c r="AA84" s="20">
        <f>COUNTIFS(tData[SEHTrajectPeriodeDatumTijdVan],"&lt;="&amp;($A84+23/24),tData[SEHTrajectPeriodeDatumTijdTotEnMet],"&gt;"&amp;($A84+23/24))</f>
        <v/>
      </c>
    </row>
    <row r="85">
      <c r="A85" s="19" t="n">
        <v>45373</v>
      </c>
      <c r="B85" s="15">
        <f>WEEKDAY($A85,2)</f>
        <v/>
      </c>
      <c r="C85" s="15">
        <f>IF(AND($A85&gt;=INT(Instellingen!$B$5),$A85&lt;=INT(Instellingen!$B$6)),1,0)</f>
        <v/>
      </c>
      <c r="D85" s="20">
        <f>COUNTIFS(tData[SEHTrajectPeriodeDatumTijdVan],"&lt;="&amp;($A85+0/24),tData[SEHTrajectPeriodeDatumTijdTotEnMet],"&gt;"&amp;($A85+0/24))</f>
        <v/>
      </c>
      <c r="E85" s="20">
        <f>COUNTIFS(tData[SEHTrajectPeriodeDatumTijdVan],"&lt;="&amp;($A85+1/24),tData[SEHTrajectPeriodeDatumTijdTotEnMet],"&gt;"&amp;($A85+1/24))</f>
        <v/>
      </c>
      <c r="F85" s="20">
        <f>COUNTIFS(tData[SEHTrajectPeriodeDatumTijdVan],"&lt;="&amp;($A85+2/24),tData[SEHTrajectPeriodeDatumTijdTotEnMet],"&gt;"&amp;($A85+2/24))</f>
        <v/>
      </c>
      <c r="G85" s="20">
        <f>COUNTIFS(tData[SEHTrajectPeriodeDatumTijdVan],"&lt;="&amp;($A85+3/24),tData[SEHTrajectPeriodeDatumTijdTotEnMet],"&gt;"&amp;($A85+3/24))</f>
        <v/>
      </c>
      <c r="H85" s="20">
        <f>COUNTIFS(tData[SEHTrajectPeriodeDatumTijdVan],"&lt;="&amp;($A85+4/24),tData[SEHTrajectPeriodeDatumTijdTotEnMet],"&gt;"&amp;($A85+4/24))</f>
        <v/>
      </c>
      <c r="I85" s="20">
        <f>COUNTIFS(tData[SEHTrajectPeriodeDatumTijdVan],"&lt;="&amp;($A85+5/24),tData[SEHTrajectPeriodeDatumTijdTotEnMet],"&gt;"&amp;($A85+5/24))</f>
        <v/>
      </c>
      <c r="J85" s="20">
        <f>COUNTIFS(tData[SEHTrajectPeriodeDatumTijdVan],"&lt;="&amp;($A85+6/24),tData[SEHTrajectPeriodeDatumTijdTotEnMet],"&gt;"&amp;($A85+6/24))</f>
        <v/>
      </c>
      <c r="K85" s="20">
        <f>COUNTIFS(tData[SEHTrajectPeriodeDatumTijdVan],"&lt;="&amp;($A85+7/24),tData[SEHTrajectPeriodeDatumTijdTotEnMet],"&gt;"&amp;($A85+7/24))</f>
        <v/>
      </c>
      <c r="L85" s="20">
        <f>COUNTIFS(tData[SEHTrajectPeriodeDatumTijdVan],"&lt;="&amp;($A85+8/24),tData[SEHTrajectPeriodeDatumTijdTotEnMet],"&gt;"&amp;($A85+8/24))</f>
        <v/>
      </c>
      <c r="M85" s="20">
        <f>COUNTIFS(tData[SEHTrajectPeriodeDatumTijdVan],"&lt;="&amp;($A85+9/24),tData[SEHTrajectPeriodeDatumTijdTotEnMet],"&gt;"&amp;($A85+9/24))</f>
        <v/>
      </c>
      <c r="N85" s="20">
        <f>COUNTIFS(tData[SEHTrajectPeriodeDatumTijdVan],"&lt;="&amp;($A85+10/24),tData[SEHTrajectPeriodeDatumTijdTotEnMet],"&gt;"&amp;($A85+10/24))</f>
        <v/>
      </c>
      <c r="O85" s="20">
        <f>COUNTIFS(tData[SEHTrajectPeriodeDatumTijdVan],"&lt;="&amp;($A85+11/24),tData[SEHTrajectPeriodeDatumTijdTotEnMet],"&gt;"&amp;($A85+11/24))</f>
        <v/>
      </c>
      <c r="P85" s="20">
        <f>COUNTIFS(tData[SEHTrajectPeriodeDatumTijdVan],"&lt;="&amp;($A85+12/24),tData[SEHTrajectPeriodeDatumTijdTotEnMet],"&gt;"&amp;($A85+12/24))</f>
        <v/>
      </c>
      <c r="Q85" s="20">
        <f>COUNTIFS(tData[SEHTrajectPeriodeDatumTijdVan],"&lt;="&amp;($A85+13/24),tData[SEHTrajectPeriodeDatumTijdTotEnMet],"&gt;"&amp;($A85+13/24))</f>
        <v/>
      </c>
      <c r="R85" s="20">
        <f>COUNTIFS(tData[SEHTrajectPeriodeDatumTijdVan],"&lt;="&amp;($A85+14/24),tData[SEHTrajectPeriodeDatumTijdTotEnMet],"&gt;"&amp;($A85+14/24))</f>
        <v/>
      </c>
      <c r="S85" s="20">
        <f>COUNTIFS(tData[SEHTrajectPeriodeDatumTijdVan],"&lt;="&amp;($A85+15/24),tData[SEHTrajectPeriodeDatumTijdTotEnMet],"&gt;"&amp;($A85+15/24))</f>
        <v/>
      </c>
      <c r="T85" s="20">
        <f>COUNTIFS(tData[SEHTrajectPeriodeDatumTijdVan],"&lt;="&amp;($A85+16/24),tData[SEHTrajectPeriodeDatumTijdTotEnMet],"&gt;"&amp;($A85+16/24))</f>
        <v/>
      </c>
      <c r="U85" s="20">
        <f>COUNTIFS(tData[SEHTrajectPeriodeDatumTijdVan],"&lt;="&amp;($A85+17/24),tData[SEHTrajectPeriodeDatumTijdTotEnMet],"&gt;"&amp;($A85+17/24))</f>
        <v/>
      </c>
      <c r="V85" s="20">
        <f>COUNTIFS(tData[SEHTrajectPeriodeDatumTijdVan],"&lt;="&amp;($A85+18/24),tData[SEHTrajectPeriodeDatumTijdTotEnMet],"&gt;"&amp;($A85+18/24))</f>
        <v/>
      </c>
      <c r="W85" s="20">
        <f>COUNTIFS(tData[SEHTrajectPeriodeDatumTijdVan],"&lt;="&amp;($A85+19/24),tData[SEHTrajectPeriodeDatumTijdTotEnMet],"&gt;"&amp;($A85+19/24))</f>
        <v/>
      </c>
      <c r="X85" s="20">
        <f>COUNTIFS(tData[SEHTrajectPeriodeDatumTijdVan],"&lt;="&amp;($A85+20/24),tData[SEHTrajectPeriodeDatumTijdTotEnMet],"&gt;"&amp;($A85+20/24))</f>
        <v/>
      </c>
      <c r="Y85" s="20">
        <f>COUNTIFS(tData[SEHTrajectPeriodeDatumTijdVan],"&lt;="&amp;($A85+21/24),tData[SEHTrajectPeriodeDatumTijdTotEnMet],"&gt;"&amp;($A85+21/24))</f>
        <v/>
      </c>
      <c r="Z85" s="20">
        <f>COUNTIFS(tData[SEHTrajectPeriodeDatumTijdVan],"&lt;="&amp;($A85+22/24),tData[SEHTrajectPeriodeDatumTijdTotEnMet],"&gt;"&amp;($A85+22/24))</f>
        <v/>
      </c>
      <c r="AA85" s="20">
        <f>COUNTIFS(tData[SEHTrajectPeriodeDatumTijdVan],"&lt;="&amp;($A85+23/24),tData[SEHTrajectPeriodeDatumTijdTotEnMet],"&gt;"&amp;($A85+23/24))</f>
        <v/>
      </c>
    </row>
    <row r="86">
      <c r="A86" s="19" t="n">
        <v>45374</v>
      </c>
      <c r="B86" s="15">
        <f>WEEKDAY($A86,2)</f>
        <v/>
      </c>
      <c r="C86" s="15">
        <f>IF(AND($A86&gt;=INT(Instellingen!$B$5),$A86&lt;=INT(Instellingen!$B$6)),1,0)</f>
        <v/>
      </c>
      <c r="D86" s="20">
        <f>COUNTIFS(tData[SEHTrajectPeriodeDatumTijdVan],"&lt;="&amp;($A86+0/24),tData[SEHTrajectPeriodeDatumTijdTotEnMet],"&gt;"&amp;($A86+0/24))</f>
        <v/>
      </c>
      <c r="E86" s="20">
        <f>COUNTIFS(tData[SEHTrajectPeriodeDatumTijdVan],"&lt;="&amp;($A86+1/24),tData[SEHTrajectPeriodeDatumTijdTotEnMet],"&gt;"&amp;($A86+1/24))</f>
        <v/>
      </c>
      <c r="F86" s="20">
        <f>COUNTIFS(tData[SEHTrajectPeriodeDatumTijdVan],"&lt;="&amp;($A86+2/24),tData[SEHTrajectPeriodeDatumTijdTotEnMet],"&gt;"&amp;($A86+2/24))</f>
        <v/>
      </c>
      <c r="G86" s="20">
        <f>COUNTIFS(tData[SEHTrajectPeriodeDatumTijdVan],"&lt;="&amp;($A86+3/24),tData[SEHTrajectPeriodeDatumTijdTotEnMet],"&gt;"&amp;($A86+3/24))</f>
        <v/>
      </c>
      <c r="H86" s="20">
        <f>COUNTIFS(tData[SEHTrajectPeriodeDatumTijdVan],"&lt;="&amp;($A86+4/24),tData[SEHTrajectPeriodeDatumTijdTotEnMet],"&gt;"&amp;($A86+4/24))</f>
        <v/>
      </c>
      <c r="I86" s="20">
        <f>COUNTIFS(tData[SEHTrajectPeriodeDatumTijdVan],"&lt;="&amp;($A86+5/24),tData[SEHTrajectPeriodeDatumTijdTotEnMet],"&gt;"&amp;($A86+5/24))</f>
        <v/>
      </c>
      <c r="J86" s="20">
        <f>COUNTIFS(tData[SEHTrajectPeriodeDatumTijdVan],"&lt;="&amp;($A86+6/24),tData[SEHTrajectPeriodeDatumTijdTotEnMet],"&gt;"&amp;($A86+6/24))</f>
        <v/>
      </c>
      <c r="K86" s="20">
        <f>COUNTIFS(tData[SEHTrajectPeriodeDatumTijdVan],"&lt;="&amp;($A86+7/24),tData[SEHTrajectPeriodeDatumTijdTotEnMet],"&gt;"&amp;($A86+7/24))</f>
        <v/>
      </c>
      <c r="L86" s="20">
        <f>COUNTIFS(tData[SEHTrajectPeriodeDatumTijdVan],"&lt;="&amp;($A86+8/24),tData[SEHTrajectPeriodeDatumTijdTotEnMet],"&gt;"&amp;($A86+8/24))</f>
        <v/>
      </c>
      <c r="M86" s="20">
        <f>COUNTIFS(tData[SEHTrajectPeriodeDatumTijdVan],"&lt;="&amp;($A86+9/24),tData[SEHTrajectPeriodeDatumTijdTotEnMet],"&gt;"&amp;($A86+9/24))</f>
        <v/>
      </c>
      <c r="N86" s="20">
        <f>COUNTIFS(tData[SEHTrajectPeriodeDatumTijdVan],"&lt;="&amp;($A86+10/24),tData[SEHTrajectPeriodeDatumTijdTotEnMet],"&gt;"&amp;($A86+10/24))</f>
        <v/>
      </c>
      <c r="O86" s="20">
        <f>COUNTIFS(tData[SEHTrajectPeriodeDatumTijdVan],"&lt;="&amp;($A86+11/24),tData[SEHTrajectPeriodeDatumTijdTotEnMet],"&gt;"&amp;($A86+11/24))</f>
        <v/>
      </c>
      <c r="P86" s="20">
        <f>COUNTIFS(tData[SEHTrajectPeriodeDatumTijdVan],"&lt;="&amp;($A86+12/24),tData[SEHTrajectPeriodeDatumTijdTotEnMet],"&gt;"&amp;($A86+12/24))</f>
        <v/>
      </c>
      <c r="Q86" s="20">
        <f>COUNTIFS(tData[SEHTrajectPeriodeDatumTijdVan],"&lt;="&amp;($A86+13/24),tData[SEHTrajectPeriodeDatumTijdTotEnMet],"&gt;"&amp;($A86+13/24))</f>
        <v/>
      </c>
      <c r="R86" s="20">
        <f>COUNTIFS(tData[SEHTrajectPeriodeDatumTijdVan],"&lt;="&amp;($A86+14/24),tData[SEHTrajectPeriodeDatumTijdTotEnMet],"&gt;"&amp;($A86+14/24))</f>
        <v/>
      </c>
      <c r="S86" s="20">
        <f>COUNTIFS(tData[SEHTrajectPeriodeDatumTijdVan],"&lt;="&amp;($A86+15/24),tData[SEHTrajectPeriodeDatumTijdTotEnMet],"&gt;"&amp;($A86+15/24))</f>
        <v/>
      </c>
      <c r="T86" s="20">
        <f>COUNTIFS(tData[SEHTrajectPeriodeDatumTijdVan],"&lt;="&amp;($A86+16/24),tData[SEHTrajectPeriodeDatumTijdTotEnMet],"&gt;"&amp;($A86+16/24))</f>
        <v/>
      </c>
      <c r="U86" s="20">
        <f>COUNTIFS(tData[SEHTrajectPeriodeDatumTijdVan],"&lt;="&amp;($A86+17/24),tData[SEHTrajectPeriodeDatumTijdTotEnMet],"&gt;"&amp;($A86+17/24))</f>
        <v/>
      </c>
      <c r="V86" s="20">
        <f>COUNTIFS(tData[SEHTrajectPeriodeDatumTijdVan],"&lt;="&amp;($A86+18/24),tData[SEHTrajectPeriodeDatumTijdTotEnMet],"&gt;"&amp;($A86+18/24))</f>
        <v/>
      </c>
      <c r="W86" s="20">
        <f>COUNTIFS(tData[SEHTrajectPeriodeDatumTijdVan],"&lt;="&amp;($A86+19/24),tData[SEHTrajectPeriodeDatumTijdTotEnMet],"&gt;"&amp;($A86+19/24))</f>
        <v/>
      </c>
      <c r="X86" s="20">
        <f>COUNTIFS(tData[SEHTrajectPeriodeDatumTijdVan],"&lt;="&amp;($A86+20/24),tData[SEHTrajectPeriodeDatumTijdTotEnMet],"&gt;"&amp;($A86+20/24))</f>
        <v/>
      </c>
      <c r="Y86" s="20">
        <f>COUNTIFS(tData[SEHTrajectPeriodeDatumTijdVan],"&lt;="&amp;($A86+21/24),tData[SEHTrajectPeriodeDatumTijdTotEnMet],"&gt;"&amp;($A86+21/24))</f>
        <v/>
      </c>
      <c r="Z86" s="20">
        <f>COUNTIFS(tData[SEHTrajectPeriodeDatumTijdVan],"&lt;="&amp;($A86+22/24),tData[SEHTrajectPeriodeDatumTijdTotEnMet],"&gt;"&amp;($A86+22/24))</f>
        <v/>
      </c>
      <c r="AA86" s="20">
        <f>COUNTIFS(tData[SEHTrajectPeriodeDatumTijdVan],"&lt;="&amp;($A86+23/24),tData[SEHTrajectPeriodeDatumTijdTotEnMet],"&gt;"&amp;($A86+23/24))</f>
        <v/>
      </c>
    </row>
    <row r="87">
      <c r="A87" s="19" t="n">
        <v>45375</v>
      </c>
      <c r="B87" s="15">
        <f>WEEKDAY($A87,2)</f>
        <v/>
      </c>
      <c r="C87" s="15">
        <f>IF(AND($A87&gt;=INT(Instellingen!$B$5),$A87&lt;=INT(Instellingen!$B$6)),1,0)</f>
        <v/>
      </c>
      <c r="D87" s="20">
        <f>COUNTIFS(tData[SEHTrajectPeriodeDatumTijdVan],"&lt;="&amp;($A87+0/24),tData[SEHTrajectPeriodeDatumTijdTotEnMet],"&gt;"&amp;($A87+0/24))</f>
        <v/>
      </c>
      <c r="E87" s="20">
        <f>COUNTIFS(tData[SEHTrajectPeriodeDatumTijdVan],"&lt;="&amp;($A87+1/24),tData[SEHTrajectPeriodeDatumTijdTotEnMet],"&gt;"&amp;($A87+1/24))</f>
        <v/>
      </c>
      <c r="F87" s="20">
        <f>COUNTIFS(tData[SEHTrajectPeriodeDatumTijdVan],"&lt;="&amp;($A87+2/24),tData[SEHTrajectPeriodeDatumTijdTotEnMet],"&gt;"&amp;($A87+2/24))</f>
        <v/>
      </c>
      <c r="G87" s="20">
        <f>COUNTIFS(tData[SEHTrajectPeriodeDatumTijdVan],"&lt;="&amp;($A87+3/24),tData[SEHTrajectPeriodeDatumTijdTotEnMet],"&gt;"&amp;($A87+3/24))</f>
        <v/>
      </c>
      <c r="H87" s="20">
        <f>COUNTIFS(tData[SEHTrajectPeriodeDatumTijdVan],"&lt;="&amp;($A87+4/24),tData[SEHTrajectPeriodeDatumTijdTotEnMet],"&gt;"&amp;($A87+4/24))</f>
        <v/>
      </c>
      <c r="I87" s="20">
        <f>COUNTIFS(tData[SEHTrajectPeriodeDatumTijdVan],"&lt;="&amp;($A87+5/24),tData[SEHTrajectPeriodeDatumTijdTotEnMet],"&gt;"&amp;($A87+5/24))</f>
        <v/>
      </c>
      <c r="J87" s="20">
        <f>COUNTIFS(tData[SEHTrajectPeriodeDatumTijdVan],"&lt;="&amp;($A87+6/24),tData[SEHTrajectPeriodeDatumTijdTotEnMet],"&gt;"&amp;($A87+6/24))</f>
        <v/>
      </c>
      <c r="K87" s="20">
        <f>COUNTIFS(tData[SEHTrajectPeriodeDatumTijdVan],"&lt;="&amp;($A87+7/24),tData[SEHTrajectPeriodeDatumTijdTotEnMet],"&gt;"&amp;($A87+7/24))</f>
        <v/>
      </c>
      <c r="L87" s="20">
        <f>COUNTIFS(tData[SEHTrajectPeriodeDatumTijdVan],"&lt;="&amp;($A87+8/24),tData[SEHTrajectPeriodeDatumTijdTotEnMet],"&gt;"&amp;($A87+8/24))</f>
        <v/>
      </c>
      <c r="M87" s="20">
        <f>COUNTIFS(tData[SEHTrajectPeriodeDatumTijdVan],"&lt;="&amp;($A87+9/24),tData[SEHTrajectPeriodeDatumTijdTotEnMet],"&gt;"&amp;($A87+9/24))</f>
        <v/>
      </c>
      <c r="N87" s="20">
        <f>COUNTIFS(tData[SEHTrajectPeriodeDatumTijdVan],"&lt;="&amp;($A87+10/24),tData[SEHTrajectPeriodeDatumTijdTotEnMet],"&gt;"&amp;($A87+10/24))</f>
        <v/>
      </c>
      <c r="O87" s="20">
        <f>COUNTIFS(tData[SEHTrajectPeriodeDatumTijdVan],"&lt;="&amp;($A87+11/24),tData[SEHTrajectPeriodeDatumTijdTotEnMet],"&gt;"&amp;($A87+11/24))</f>
        <v/>
      </c>
      <c r="P87" s="20">
        <f>COUNTIFS(tData[SEHTrajectPeriodeDatumTijdVan],"&lt;="&amp;($A87+12/24),tData[SEHTrajectPeriodeDatumTijdTotEnMet],"&gt;"&amp;($A87+12/24))</f>
        <v/>
      </c>
      <c r="Q87" s="20">
        <f>COUNTIFS(tData[SEHTrajectPeriodeDatumTijdVan],"&lt;="&amp;($A87+13/24),tData[SEHTrajectPeriodeDatumTijdTotEnMet],"&gt;"&amp;($A87+13/24))</f>
        <v/>
      </c>
      <c r="R87" s="20">
        <f>COUNTIFS(tData[SEHTrajectPeriodeDatumTijdVan],"&lt;="&amp;($A87+14/24),tData[SEHTrajectPeriodeDatumTijdTotEnMet],"&gt;"&amp;($A87+14/24))</f>
        <v/>
      </c>
      <c r="S87" s="20">
        <f>COUNTIFS(tData[SEHTrajectPeriodeDatumTijdVan],"&lt;="&amp;($A87+15/24),tData[SEHTrajectPeriodeDatumTijdTotEnMet],"&gt;"&amp;($A87+15/24))</f>
        <v/>
      </c>
      <c r="T87" s="20">
        <f>COUNTIFS(tData[SEHTrajectPeriodeDatumTijdVan],"&lt;="&amp;($A87+16/24),tData[SEHTrajectPeriodeDatumTijdTotEnMet],"&gt;"&amp;($A87+16/24))</f>
        <v/>
      </c>
      <c r="U87" s="20">
        <f>COUNTIFS(tData[SEHTrajectPeriodeDatumTijdVan],"&lt;="&amp;($A87+17/24),tData[SEHTrajectPeriodeDatumTijdTotEnMet],"&gt;"&amp;($A87+17/24))</f>
        <v/>
      </c>
      <c r="V87" s="20">
        <f>COUNTIFS(tData[SEHTrajectPeriodeDatumTijdVan],"&lt;="&amp;($A87+18/24),tData[SEHTrajectPeriodeDatumTijdTotEnMet],"&gt;"&amp;($A87+18/24))</f>
        <v/>
      </c>
      <c r="W87" s="20">
        <f>COUNTIFS(tData[SEHTrajectPeriodeDatumTijdVan],"&lt;="&amp;($A87+19/24),tData[SEHTrajectPeriodeDatumTijdTotEnMet],"&gt;"&amp;($A87+19/24))</f>
        <v/>
      </c>
      <c r="X87" s="20">
        <f>COUNTIFS(tData[SEHTrajectPeriodeDatumTijdVan],"&lt;="&amp;($A87+20/24),tData[SEHTrajectPeriodeDatumTijdTotEnMet],"&gt;"&amp;($A87+20/24))</f>
        <v/>
      </c>
      <c r="Y87" s="20">
        <f>COUNTIFS(tData[SEHTrajectPeriodeDatumTijdVan],"&lt;="&amp;($A87+21/24),tData[SEHTrajectPeriodeDatumTijdTotEnMet],"&gt;"&amp;($A87+21/24))</f>
        <v/>
      </c>
      <c r="Z87" s="20">
        <f>COUNTIFS(tData[SEHTrajectPeriodeDatumTijdVan],"&lt;="&amp;($A87+22/24),tData[SEHTrajectPeriodeDatumTijdTotEnMet],"&gt;"&amp;($A87+22/24))</f>
        <v/>
      </c>
      <c r="AA87" s="20">
        <f>COUNTIFS(tData[SEHTrajectPeriodeDatumTijdVan],"&lt;="&amp;($A87+23/24),tData[SEHTrajectPeriodeDatumTijdTotEnMet],"&gt;"&amp;($A87+23/24))</f>
        <v/>
      </c>
    </row>
    <row r="88">
      <c r="A88" s="19" t="n">
        <v>45376</v>
      </c>
      <c r="B88" s="15">
        <f>WEEKDAY($A88,2)</f>
        <v/>
      </c>
      <c r="C88" s="15">
        <f>IF(AND($A88&gt;=INT(Instellingen!$B$5),$A88&lt;=INT(Instellingen!$B$6)),1,0)</f>
        <v/>
      </c>
      <c r="D88" s="20">
        <f>COUNTIFS(tData[SEHTrajectPeriodeDatumTijdVan],"&lt;="&amp;($A88+0/24),tData[SEHTrajectPeriodeDatumTijdTotEnMet],"&gt;"&amp;($A88+0/24))</f>
        <v/>
      </c>
      <c r="E88" s="20">
        <f>COUNTIFS(tData[SEHTrajectPeriodeDatumTijdVan],"&lt;="&amp;($A88+1/24),tData[SEHTrajectPeriodeDatumTijdTotEnMet],"&gt;"&amp;($A88+1/24))</f>
        <v/>
      </c>
      <c r="F88" s="20">
        <f>COUNTIFS(tData[SEHTrajectPeriodeDatumTijdVan],"&lt;="&amp;($A88+2/24),tData[SEHTrajectPeriodeDatumTijdTotEnMet],"&gt;"&amp;($A88+2/24))</f>
        <v/>
      </c>
      <c r="G88" s="20">
        <f>COUNTIFS(tData[SEHTrajectPeriodeDatumTijdVan],"&lt;="&amp;($A88+3/24),tData[SEHTrajectPeriodeDatumTijdTotEnMet],"&gt;"&amp;($A88+3/24))</f>
        <v/>
      </c>
      <c r="H88" s="20">
        <f>COUNTIFS(tData[SEHTrajectPeriodeDatumTijdVan],"&lt;="&amp;($A88+4/24),tData[SEHTrajectPeriodeDatumTijdTotEnMet],"&gt;"&amp;($A88+4/24))</f>
        <v/>
      </c>
      <c r="I88" s="20">
        <f>COUNTIFS(tData[SEHTrajectPeriodeDatumTijdVan],"&lt;="&amp;($A88+5/24),tData[SEHTrajectPeriodeDatumTijdTotEnMet],"&gt;"&amp;($A88+5/24))</f>
        <v/>
      </c>
      <c r="J88" s="20">
        <f>COUNTIFS(tData[SEHTrajectPeriodeDatumTijdVan],"&lt;="&amp;($A88+6/24),tData[SEHTrajectPeriodeDatumTijdTotEnMet],"&gt;"&amp;($A88+6/24))</f>
        <v/>
      </c>
      <c r="K88" s="20">
        <f>COUNTIFS(tData[SEHTrajectPeriodeDatumTijdVan],"&lt;="&amp;($A88+7/24),tData[SEHTrajectPeriodeDatumTijdTotEnMet],"&gt;"&amp;($A88+7/24))</f>
        <v/>
      </c>
      <c r="L88" s="20">
        <f>COUNTIFS(tData[SEHTrajectPeriodeDatumTijdVan],"&lt;="&amp;($A88+8/24),tData[SEHTrajectPeriodeDatumTijdTotEnMet],"&gt;"&amp;($A88+8/24))</f>
        <v/>
      </c>
      <c r="M88" s="20">
        <f>COUNTIFS(tData[SEHTrajectPeriodeDatumTijdVan],"&lt;="&amp;($A88+9/24),tData[SEHTrajectPeriodeDatumTijdTotEnMet],"&gt;"&amp;($A88+9/24))</f>
        <v/>
      </c>
      <c r="N88" s="20">
        <f>COUNTIFS(tData[SEHTrajectPeriodeDatumTijdVan],"&lt;="&amp;($A88+10/24),tData[SEHTrajectPeriodeDatumTijdTotEnMet],"&gt;"&amp;($A88+10/24))</f>
        <v/>
      </c>
      <c r="O88" s="20">
        <f>COUNTIFS(tData[SEHTrajectPeriodeDatumTijdVan],"&lt;="&amp;($A88+11/24),tData[SEHTrajectPeriodeDatumTijdTotEnMet],"&gt;"&amp;($A88+11/24))</f>
        <v/>
      </c>
      <c r="P88" s="20">
        <f>COUNTIFS(tData[SEHTrajectPeriodeDatumTijdVan],"&lt;="&amp;($A88+12/24),tData[SEHTrajectPeriodeDatumTijdTotEnMet],"&gt;"&amp;($A88+12/24))</f>
        <v/>
      </c>
      <c r="Q88" s="20">
        <f>COUNTIFS(tData[SEHTrajectPeriodeDatumTijdVan],"&lt;="&amp;($A88+13/24),tData[SEHTrajectPeriodeDatumTijdTotEnMet],"&gt;"&amp;($A88+13/24))</f>
        <v/>
      </c>
      <c r="R88" s="20">
        <f>COUNTIFS(tData[SEHTrajectPeriodeDatumTijdVan],"&lt;="&amp;($A88+14/24),tData[SEHTrajectPeriodeDatumTijdTotEnMet],"&gt;"&amp;($A88+14/24))</f>
        <v/>
      </c>
      <c r="S88" s="20">
        <f>COUNTIFS(tData[SEHTrajectPeriodeDatumTijdVan],"&lt;="&amp;($A88+15/24),tData[SEHTrajectPeriodeDatumTijdTotEnMet],"&gt;"&amp;($A88+15/24))</f>
        <v/>
      </c>
      <c r="T88" s="20">
        <f>COUNTIFS(tData[SEHTrajectPeriodeDatumTijdVan],"&lt;="&amp;($A88+16/24),tData[SEHTrajectPeriodeDatumTijdTotEnMet],"&gt;"&amp;($A88+16/24))</f>
        <v/>
      </c>
      <c r="U88" s="20">
        <f>COUNTIFS(tData[SEHTrajectPeriodeDatumTijdVan],"&lt;="&amp;($A88+17/24),tData[SEHTrajectPeriodeDatumTijdTotEnMet],"&gt;"&amp;($A88+17/24))</f>
        <v/>
      </c>
      <c r="V88" s="20">
        <f>COUNTIFS(tData[SEHTrajectPeriodeDatumTijdVan],"&lt;="&amp;($A88+18/24),tData[SEHTrajectPeriodeDatumTijdTotEnMet],"&gt;"&amp;($A88+18/24))</f>
        <v/>
      </c>
      <c r="W88" s="20">
        <f>COUNTIFS(tData[SEHTrajectPeriodeDatumTijdVan],"&lt;="&amp;($A88+19/24),tData[SEHTrajectPeriodeDatumTijdTotEnMet],"&gt;"&amp;($A88+19/24))</f>
        <v/>
      </c>
      <c r="X88" s="20">
        <f>COUNTIFS(tData[SEHTrajectPeriodeDatumTijdVan],"&lt;="&amp;($A88+20/24),tData[SEHTrajectPeriodeDatumTijdTotEnMet],"&gt;"&amp;($A88+20/24))</f>
        <v/>
      </c>
      <c r="Y88" s="20">
        <f>COUNTIFS(tData[SEHTrajectPeriodeDatumTijdVan],"&lt;="&amp;($A88+21/24),tData[SEHTrajectPeriodeDatumTijdTotEnMet],"&gt;"&amp;($A88+21/24))</f>
        <v/>
      </c>
      <c r="Z88" s="20">
        <f>COUNTIFS(tData[SEHTrajectPeriodeDatumTijdVan],"&lt;="&amp;($A88+22/24),tData[SEHTrajectPeriodeDatumTijdTotEnMet],"&gt;"&amp;($A88+22/24))</f>
        <v/>
      </c>
      <c r="AA88" s="20">
        <f>COUNTIFS(tData[SEHTrajectPeriodeDatumTijdVan],"&lt;="&amp;($A88+23/24),tData[SEHTrajectPeriodeDatumTijdTotEnMet],"&gt;"&amp;($A88+23/24))</f>
        <v/>
      </c>
    </row>
    <row r="89">
      <c r="A89" s="19" t="n">
        <v>45377</v>
      </c>
      <c r="B89" s="15">
        <f>WEEKDAY($A89,2)</f>
        <v/>
      </c>
      <c r="C89" s="15">
        <f>IF(AND($A89&gt;=INT(Instellingen!$B$5),$A89&lt;=INT(Instellingen!$B$6)),1,0)</f>
        <v/>
      </c>
      <c r="D89" s="20">
        <f>COUNTIFS(tData[SEHTrajectPeriodeDatumTijdVan],"&lt;="&amp;($A89+0/24),tData[SEHTrajectPeriodeDatumTijdTotEnMet],"&gt;"&amp;($A89+0/24))</f>
        <v/>
      </c>
      <c r="E89" s="20">
        <f>COUNTIFS(tData[SEHTrajectPeriodeDatumTijdVan],"&lt;="&amp;($A89+1/24),tData[SEHTrajectPeriodeDatumTijdTotEnMet],"&gt;"&amp;($A89+1/24))</f>
        <v/>
      </c>
      <c r="F89" s="20">
        <f>COUNTIFS(tData[SEHTrajectPeriodeDatumTijdVan],"&lt;="&amp;($A89+2/24),tData[SEHTrajectPeriodeDatumTijdTotEnMet],"&gt;"&amp;($A89+2/24))</f>
        <v/>
      </c>
      <c r="G89" s="20">
        <f>COUNTIFS(tData[SEHTrajectPeriodeDatumTijdVan],"&lt;="&amp;($A89+3/24),tData[SEHTrajectPeriodeDatumTijdTotEnMet],"&gt;"&amp;($A89+3/24))</f>
        <v/>
      </c>
      <c r="H89" s="20">
        <f>COUNTIFS(tData[SEHTrajectPeriodeDatumTijdVan],"&lt;="&amp;($A89+4/24),tData[SEHTrajectPeriodeDatumTijdTotEnMet],"&gt;"&amp;($A89+4/24))</f>
        <v/>
      </c>
      <c r="I89" s="20">
        <f>COUNTIFS(tData[SEHTrajectPeriodeDatumTijdVan],"&lt;="&amp;($A89+5/24),tData[SEHTrajectPeriodeDatumTijdTotEnMet],"&gt;"&amp;($A89+5/24))</f>
        <v/>
      </c>
      <c r="J89" s="20">
        <f>COUNTIFS(tData[SEHTrajectPeriodeDatumTijdVan],"&lt;="&amp;($A89+6/24),tData[SEHTrajectPeriodeDatumTijdTotEnMet],"&gt;"&amp;($A89+6/24))</f>
        <v/>
      </c>
      <c r="K89" s="20">
        <f>COUNTIFS(tData[SEHTrajectPeriodeDatumTijdVan],"&lt;="&amp;($A89+7/24),tData[SEHTrajectPeriodeDatumTijdTotEnMet],"&gt;"&amp;($A89+7/24))</f>
        <v/>
      </c>
      <c r="L89" s="20">
        <f>COUNTIFS(tData[SEHTrajectPeriodeDatumTijdVan],"&lt;="&amp;($A89+8/24),tData[SEHTrajectPeriodeDatumTijdTotEnMet],"&gt;"&amp;($A89+8/24))</f>
        <v/>
      </c>
      <c r="M89" s="20">
        <f>COUNTIFS(tData[SEHTrajectPeriodeDatumTijdVan],"&lt;="&amp;($A89+9/24),tData[SEHTrajectPeriodeDatumTijdTotEnMet],"&gt;"&amp;($A89+9/24))</f>
        <v/>
      </c>
      <c r="N89" s="20">
        <f>COUNTIFS(tData[SEHTrajectPeriodeDatumTijdVan],"&lt;="&amp;($A89+10/24),tData[SEHTrajectPeriodeDatumTijdTotEnMet],"&gt;"&amp;($A89+10/24))</f>
        <v/>
      </c>
      <c r="O89" s="20">
        <f>COUNTIFS(tData[SEHTrajectPeriodeDatumTijdVan],"&lt;="&amp;($A89+11/24),tData[SEHTrajectPeriodeDatumTijdTotEnMet],"&gt;"&amp;($A89+11/24))</f>
        <v/>
      </c>
      <c r="P89" s="20">
        <f>COUNTIFS(tData[SEHTrajectPeriodeDatumTijdVan],"&lt;="&amp;($A89+12/24),tData[SEHTrajectPeriodeDatumTijdTotEnMet],"&gt;"&amp;($A89+12/24))</f>
        <v/>
      </c>
      <c r="Q89" s="20">
        <f>COUNTIFS(tData[SEHTrajectPeriodeDatumTijdVan],"&lt;="&amp;($A89+13/24),tData[SEHTrajectPeriodeDatumTijdTotEnMet],"&gt;"&amp;($A89+13/24))</f>
        <v/>
      </c>
      <c r="R89" s="20">
        <f>COUNTIFS(tData[SEHTrajectPeriodeDatumTijdVan],"&lt;="&amp;($A89+14/24),tData[SEHTrajectPeriodeDatumTijdTotEnMet],"&gt;"&amp;($A89+14/24))</f>
        <v/>
      </c>
      <c r="S89" s="20">
        <f>COUNTIFS(tData[SEHTrajectPeriodeDatumTijdVan],"&lt;="&amp;($A89+15/24),tData[SEHTrajectPeriodeDatumTijdTotEnMet],"&gt;"&amp;($A89+15/24))</f>
        <v/>
      </c>
      <c r="T89" s="20">
        <f>COUNTIFS(tData[SEHTrajectPeriodeDatumTijdVan],"&lt;="&amp;($A89+16/24),tData[SEHTrajectPeriodeDatumTijdTotEnMet],"&gt;"&amp;($A89+16/24))</f>
        <v/>
      </c>
      <c r="U89" s="20">
        <f>COUNTIFS(tData[SEHTrajectPeriodeDatumTijdVan],"&lt;="&amp;($A89+17/24),tData[SEHTrajectPeriodeDatumTijdTotEnMet],"&gt;"&amp;($A89+17/24))</f>
        <v/>
      </c>
      <c r="V89" s="20">
        <f>COUNTIFS(tData[SEHTrajectPeriodeDatumTijdVan],"&lt;="&amp;($A89+18/24),tData[SEHTrajectPeriodeDatumTijdTotEnMet],"&gt;"&amp;($A89+18/24))</f>
        <v/>
      </c>
      <c r="W89" s="20">
        <f>COUNTIFS(tData[SEHTrajectPeriodeDatumTijdVan],"&lt;="&amp;($A89+19/24),tData[SEHTrajectPeriodeDatumTijdTotEnMet],"&gt;"&amp;($A89+19/24))</f>
        <v/>
      </c>
      <c r="X89" s="20">
        <f>COUNTIFS(tData[SEHTrajectPeriodeDatumTijdVan],"&lt;="&amp;($A89+20/24),tData[SEHTrajectPeriodeDatumTijdTotEnMet],"&gt;"&amp;($A89+20/24))</f>
        <v/>
      </c>
      <c r="Y89" s="20">
        <f>COUNTIFS(tData[SEHTrajectPeriodeDatumTijdVan],"&lt;="&amp;($A89+21/24),tData[SEHTrajectPeriodeDatumTijdTotEnMet],"&gt;"&amp;($A89+21/24))</f>
        <v/>
      </c>
      <c r="Z89" s="20">
        <f>COUNTIFS(tData[SEHTrajectPeriodeDatumTijdVan],"&lt;="&amp;($A89+22/24),tData[SEHTrajectPeriodeDatumTijdTotEnMet],"&gt;"&amp;($A89+22/24))</f>
        <v/>
      </c>
      <c r="AA89" s="20">
        <f>COUNTIFS(tData[SEHTrajectPeriodeDatumTijdVan],"&lt;="&amp;($A89+23/24),tData[SEHTrajectPeriodeDatumTijdTotEnMet],"&gt;"&amp;($A89+23/24))</f>
        <v/>
      </c>
    </row>
    <row r="90">
      <c r="A90" s="19" t="n">
        <v>45378</v>
      </c>
      <c r="B90" s="15">
        <f>WEEKDAY($A90,2)</f>
        <v/>
      </c>
      <c r="C90" s="15">
        <f>IF(AND($A90&gt;=INT(Instellingen!$B$5),$A90&lt;=INT(Instellingen!$B$6)),1,0)</f>
        <v/>
      </c>
      <c r="D90" s="20">
        <f>COUNTIFS(tData[SEHTrajectPeriodeDatumTijdVan],"&lt;="&amp;($A90+0/24),tData[SEHTrajectPeriodeDatumTijdTotEnMet],"&gt;"&amp;($A90+0/24))</f>
        <v/>
      </c>
      <c r="E90" s="20">
        <f>COUNTIFS(tData[SEHTrajectPeriodeDatumTijdVan],"&lt;="&amp;($A90+1/24),tData[SEHTrajectPeriodeDatumTijdTotEnMet],"&gt;"&amp;($A90+1/24))</f>
        <v/>
      </c>
      <c r="F90" s="20">
        <f>COUNTIFS(tData[SEHTrajectPeriodeDatumTijdVan],"&lt;="&amp;($A90+2/24),tData[SEHTrajectPeriodeDatumTijdTotEnMet],"&gt;"&amp;($A90+2/24))</f>
        <v/>
      </c>
      <c r="G90" s="20">
        <f>COUNTIFS(tData[SEHTrajectPeriodeDatumTijdVan],"&lt;="&amp;($A90+3/24),tData[SEHTrajectPeriodeDatumTijdTotEnMet],"&gt;"&amp;($A90+3/24))</f>
        <v/>
      </c>
      <c r="H90" s="20">
        <f>COUNTIFS(tData[SEHTrajectPeriodeDatumTijdVan],"&lt;="&amp;($A90+4/24),tData[SEHTrajectPeriodeDatumTijdTotEnMet],"&gt;"&amp;($A90+4/24))</f>
        <v/>
      </c>
      <c r="I90" s="20">
        <f>COUNTIFS(tData[SEHTrajectPeriodeDatumTijdVan],"&lt;="&amp;($A90+5/24),tData[SEHTrajectPeriodeDatumTijdTotEnMet],"&gt;"&amp;($A90+5/24))</f>
        <v/>
      </c>
      <c r="J90" s="20">
        <f>COUNTIFS(tData[SEHTrajectPeriodeDatumTijdVan],"&lt;="&amp;($A90+6/24),tData[SEHTrajectPeriodeDatumTijdTotEnMet],"&gt;"&amp;($A90+6/24))</f>
        <v/>
      </c>
      <c r="K90" s="20">
        <f>COUNTIFS(tData[SEHTrajectPeriodeDatumTijdVan],"&lt;="&amp;($A90+7/24),tData[SEHTrajectPeriodeDatumTijdTotEnMet],"&gt;"&amp;($A90+7/24))</f>
        <v/>
      </c>
      <c r="L90" s="20">
        <f>COUNTIFS(tData[SEHTrajectPeriodeDatumTijdVan],"&lt;="&amp;($A90+8/24),tData[SEHTrajectPeriodeDatumTijdTotEnMet],"&gt;"&amp;($A90+8/24))</f>
        <v/>
      </c>
      <c r="M90" s="20">
        <f>COUNTIFS(tData[SEHTrajectPeriodeDatumTijdVan],"&lt;="&amp;($A90+9/24),tData[SEHTrajectPeriodeDatumTijdTotEnMet],"&gt;"&amp;($A90+9/24))</f>
        <v/>
      </c>
      <c r="N90" s="20">
        <f>COUNTIFS(tData[SEHTrajectPeriodeDatumTijdVan],"&lt;="&amp;($A90+10/24),tData[SEHTrajectPeriodeDatumTijdTotEnMet],"&gt;"&amp;($A90+10/24))</f>
        <v/>
      </c>
      <c r="O90" s="20">
        <f>COUNTIFS(tData[SEHTrajectPeriodeDatumTijdVan],"&lt;="&amp;($A90+11/24),tData[SEHTrajectPeriodeDatumTijdTotEnMet],"&gt;"&amp;($A90+11/24))</f>
        <v/>
      </c>
      <c r="P90" s="20">
        <f>COUNTIFS(tData[SEHTrajectPeriodeDatumTijdVan],"&lt;="&amp;($A90+12/24),tData[SEHTrajectPeriodeDatumTijdTotEnMet],"&gt;"&amp;($A90+12/24))</f>
        <v/>
      </c>
      <c r="Q90" s="20">
        <f>COUNTIFS(tData[SEHTrajectPeriodeDatumTijdVan],"&lt;="&amp;($A90+13/24),tData[SEHTrajectPeriodeDatumTijdTotEnMet],"&gt;"&amp;($A90+13/24))</f>
        <v/>
      </c>
      <c r="R90" s="20">
        <f>COUNTIFS(tData[SEHTrajectPeriodeDatumTijdVan],"&lt;="&amp;($A90+14/24),tData[SEHTrajectPeriodeDatumTijdTotEnMet],"&gt;"&amp;($A90+14/24))</f>
        <v/>
      </c>
      <c r="S90" s="20">
        <f>COUNTIFS(tData[SEHTrajectPeriodeDatumTijdVan],"&lt;="&amp;($A90+15/24),tData[SEHTrajectPeriodeDatumTijdTotEnMet],"&gt;"&amp;($A90+15/24))</f>
        <v/>
      </c>
      <c r="T90" s="20">
        <f>COUNTIFS(tData[SEHTrajectPeriodeDatumTijdVan],"&lt;="&amp;($A90+16/24),tData[SEHTrajectPeriodeDatumTijdTotEnMet],"&gt;"&amp;($A90+16/24))</f>
        <v/>
      </c>
      <c r="U90" s="20">
        <f>COUNTIFS(tData[SEHTrajectPeriodeDatumTijdVan],"&lt;="&amp;($A90+17/24),tData[SEHTrajectPeriodeDatumTijdTotEnMet],"&gt;"&amp;($A90+17/24))</f>
        <v/>
      </c>
      <c r="V90" s="20">
        <f>COUNTIFS(tData[SEHTrajectPeriodeDatumTijdVan],"&lt;="&amp;($A90+18/24),tData[SEHTrajectPeriodeDatumTijdTotEnMet],"&gt;"&amp;($A90+18/24))</f>
        <v/>
      </c>
      <c r="W90" s="20">
        <f>COUNTIFS(tData[SEHTrajectPeriodeDatumTijdVan],"&lt;="&amp;($A90+19/24),tData[SEHTrajectPeriodeDatumTijdTotEnMet],"&gt;"&amp;($A90+19/24))</f>
        <v/>
      </c>
      <c r="X90" s="20">
        <f>COUNTIFS(tData[SEHTrajectPeriodeDatumTijdVan],"&lt;="&amp;($A90+20/24),tData[SEHTrajectPeriodeDatumTijdTotEnMet],"&gt;"&amp;($A90+20/24))</f>
        <v/>
      </c>
      <c r="Y90" s="20">
        <f>COUNTIFS(tData[SEHTrajectPeriodeDatumTijdVan],"&lt;="&amp;($A90+21/24),tData[SEHTrajectPeriodeDatumTijdTotEnMet],"&gt;"&amp;($A90+21/24))</f>
        <v/>
      </c>
      <c r="Z90" s="20">
        <f>COUNTIFS(tData[SEHTrajectPeriodeDatumTijdVan],"&lt;="&amp;($A90+22/24),tData[SEHTrajectPeriodeDatumTijdTotEnMet],"&gt;"&amp;($A90+22/24))</f>
        <v/>
      </c>
      <c r="AA90" s="20">
        <f>COUNTIFS(tData[SEHTrajectPeriodeDatumTijdVan],"&lt;="&amp;($A90+23/24),tData[SEHTrajectPeriodeDatumTijdTotEnMet],"&gt;"&amp;($A90+23/24))</f>
        <v/>
      </c>
    </row>
    <row r="91">
      <c r="A91" s="19" t="n">
        <v>45379</v>
      </c>
      <c r="B91" s="15">
        <f>WEEKDAY($A91,2)</f>
        <v/>
      </c>
      <c r="C91" s="15">
        <f>IF(AND($A91&gt;=INT(Instellingen!$B$5),$A91&lt;=INT(Instellingen!$B$6)),1,0)</f>
        <v/>
      </c>
      <c r="D91" s="20">
        <f>COUNTIFS(tData[SEHTrajectPeriodeDatumTijdVan],"&lt;="&amp;($A91+0/24),tData[SEHTrajectPeriodeDatumTijdTotEnMet],"&gt;"&amp;($A91+0/24))</f>
        <v/>
      </c>
      <c r="E91" s="20">
        <f>COUNTIFS(tData[SEHTrajectPeriodeDatumTijdVan],"&lt;="&amp;($A91+1/24),tData[SEHTrajectPeriodeDatumTijdTotEnMet],"&gt;"&amp;($A91+1/24))</f>
        <v/>
      </c>
      <c r="F91" s="20">
        <f>COUNTIFS(tData[SEHTrajectPeriodeDatumTijdVan],"&lt;="&amp;($A91+2/24),tData[SEHTrajectPeriodeDatumTijdTotEnMet],"&gt;"&amp;($A91+2/24))</f>
        <v/>
      </c>
      <c r="G91" s="20">
        <f>COUNTIFS(tData[SEHTrajectPeriodeDatumTijdVan],"&lt;="&amp;($A91+3/24),tData[SEHTrajectPeriodeDatumTijdTotEnMet],"&gt;"&amp;($A91+3/24))</f>
        <v/>
      </c>
      <c r="H91" s="20">
        <f>COUNTIFS(tData[SEHTrajectPeriodeDatumTijdVan],"&lt;="&amp;($A91+4/24),tData[SEHTrajectPeriodeDatumTijdTotEnMet],"&gt;"&amp;($A91+4/24))</f>
        <v/>
      </c>
      <c r="I91" s="20">
        <f>COUNTIFS(tData[SEHTrajectPeriodeDatumTijdVan],"&lt;="&amp;($A91+5/24),tData[SEHTrajectPeriodeDatumTijdTotEnMet],"&gt;"&amp;($A91+5/24))</f>
        <v/>
      </c>
      <c r="J91" s="20">
        <f>COUNTIFS(tData[SEHTrajectPeriodeDatumTijdVan],"&lt;="&amp;($A91+6/24),tData[SEHTrajectPeriodeDatumTijdTotEnMet],"&gt;"&amp;($A91+6/24))</f>
        <v/>
      </c>
      <c r="K91" s="20">
        <f>COUNTIFS(tData[SEHTrajectPeriodeDatumTijdVan],"&lt;="&amp;($A91+7/24),tData[SEHTrajectPeriodeDatumTijdTotEnMet],"&gt;"&amp;($A91+7/24))</f>
        <v/>
      </c>
      <c r="L91" s="20">
        <f>COUNTIFS(tData[SEHTrajectPeriodeDatumTijdVan],"&lt;="&amp;($A91+8/24),tData[SEHTrajectPeriodeDatumTijdTotEnMet],"&gt;"&amp;($A91+8/24))</f>
        <v/>
      </c>
      <c r="M91" s="20">
        <f>COUNTIFS(tData[SEHTrajectPeriodeDatumTijdVan],"&lt;="&amp;($A91+9/24),tData[SEHTrajectPeriodeDatumTijdTotEnMet],"&gt;"&amp;($A91+9/24))</f>
        <v/>
      </c>
      <c r="N91" s="20">
        <f>COUNTIFS(tData[SEHTrajectPeriodeDatumTijdVan],"&lt;="&amp;($A91+10/24),tData[SEHTrajectPeriodeDatumTijdTotEnMet],"&gt;"&amp;($A91+10/24))</f>
        <v/>
      </c>
      <c r="O91" s="20">
        <f>COUNTIFS(tData[SEHTrajectPeriodeDatumTijdVan],"&lt;="&amp;($A91+11/24),tData[SEHTrajectPeriodeDatumTijdTotEnMet],"&gt;"&amp;($A91+11/24))</f>
        <v/>
      </c>
      <c r="P91" s="20">
        <f>COUNTIFS(tData[SEHTrajectPeriodeDatumTijdVan],"&lt;="&amp;($A91+12/24),tData[SEHTrajectPeriodeDatumTijdTotEnMet],"&gt;"&amp;($A91+12/24))</f>
        <v/>
      </c>
      <c r="Q91" s="20">
        <f>COUNTIFS(tData[SEHTrajectPeriodeDatumTijdVan],"&lt;="&amp;($A91+13/24),tData[SEHTrajectPeriodeDatumTijdTotEnMet],"&gt;"&amp;($A91+13/24))</f>
        <v/>
      </c>
      <c r="R91" s="20">
        <f>COUNTIFS(tData[SEHTrajectPeriodeDatumTijdVan],"&lt;="&amp;($A91+14/24),tData[SEHTrajectPeriodeDatumTijdTotEnMet],"&gt;"&amp;($A91+14/24))</f>
        <v/>
      </c>
      <c r="S91" s="20">
        <f>COUNTIFS(tData[SEHTrajectPeriodeDatumTijdVan],"&lt;="&amp;($A91+15/24),tData[SEHTrajectPeriodeDatumTijdTotEnMet],"&gt;"&amp;($A91+15/24))</f>
        <v/>
      </c>
      <c r="T91" s="20">
        <f>COUNTIFS(tData[SEHTrajectPeriodeDatumTijdVan],"&lt;="&amp;($A91+16/24),tData[SEHTrajectPeriodeDatumTijdTotEnMet],"&gt;"&amp;($A91+16/24))</f>
        <v/>
      </c>
      <c r="U91" s="20">
        <f>COUNTIFS(tData[SEHTrajectPeriodeDatumTijdVan],"&lt;="&amp;($A91+17/24),tData[SEHTrajectPeriodeDatumTijdTotEnMet],"&gt;"&amp;($A91+17/24))</f>
        <v/>
      </c>
      <c r="V91" s="20">
        <f>COUNTIFS(tData[SEHTrajectPeriodeDatumTijdVan],"&lt;="&amp;($A91+18/24),tData[SEHTrajectPeriodeDatumTijdTotEnMet],"&gt;"&amp;($A91+18/24))</f>
        <v/>
      </c>
      <c r="W91" s="20">
        <f>COUNTIFS(tData[SEHTrajectPeriodeDatumTijdVan],"&lt;="&amp;($A91+19/24),tData[SEHTrajectPeriodeDatumTijdTotEnMet],"&gt;"&amp;($A91+19/24))</f>
        <v/>
      </c>
      <c r="X91" s="20">
        <f>COUNTIFS(tData[SEHTrajectPeriodeDatumTijdVan],"&lt;="&amp;($A91+20/24),tData[SEHTrajectPeriodeDatumTijdTotEnMet],"&gt;"&amp;($A91+20/24))</f>
        <v/>
      </c>
      <c r="Y91" s="20">
        <f>COUNTIFS(tData[SEHTrajectPeriodeDatumTijdVan],"&lt;="&amp;($A91+21/24),tData[SEHTrajectPeriodeDatumTijdTotEnMet],"&gt;"&amp;($A91+21/24))</f>
        <v/>
      </c>
      <c r="Z91" s="20">
        <f>COUNTIFS(tData[SEHTrajectPeriodeDatumTijdVan],"&lt;="&amp;($A91+22/24),tData[SEHTrajectPeriodeDatumTijdTotEnMet],"&gt;"&amp;($A91+22/24))</f>
        <v/>
      </c>
      <c r="AA91" s="20">
        <f>COUNTIFS(tData[SEHTrajectPeriodeDatumTijdVan],"&lt;="&amp;($A91+23/24),tData[SEHTrajectPeriodeDatumTijdTotEnMet],"&gt;"&amp;($A91+23/24))</f>
        <v/>
      </c>
    </row>
    <row r="92">
      <c r="A92" s="19" t="n">
        <v>45380</v>
      </c>
      <c r="B92" s="15">
        <f>WEEKDAY($A92,2)</f>
        <v/>
      </c>
      <c r="C92" s="15">
        <f>IF(AND($A92&gt;=INT(Instellingen!$B$5),$A92&lt;=INT(Instellingen!$B$6)),1,0)</f>
        <v/>
      </c>
      <c r="D92" s="20">
        <f>COUNTIFS(tData[SEHTrajectPeriodeDatumTijdVan],"&lt;="&amp;($A92+0/24),tData[SEHTrajectPeriodeDatumTijdTotEnMet],"&gt;"&amp;($A92+0/24))</f>
        <v/>
      </c>
      <c r="E92" s="20">
        <f>COUNTIFS(tData[SEHTrajectPeriodeDatumTijdVan],"&lt;="&amp;($A92+1/24),tData[SEHTrajectPeriodeDatumTijdTotEnMet],"&gt;"&amp;($A92+1/24))</f>
        <v/>
      </c>
      <c r="F92" s="20">
        <f>COUNTIFS(tData[SEHTrajectPeriodeDatumTijdVan],"&lt;="&amp;($A92+2/24),tData[SEHTrajectPeriodeDatumTijdTotEnMet],"&gt;"&amp;($A92+2/24))</f>
        <v/>
      </c>
      <c r="G92" s="20">
        <f>COUNTIFS(tData[SEHTrajectPeriodeDatumTijdVan],"&lt;="&amp;($A92+3/24),tData[SEHTrajectPeriodeDatumTijdTotEnMet],"&gt;"&amp;($A92+3/24))</f>
        <v/>
      </c>
      <c r="H92" s="20">
        <f>COUNTIFS(tData[SEHTrajectPeriodeDatumTijdVan],"&lt;="&amp;($A92+4/24),tData[SEHTrajectPeriodeDatumTijdTotEnMet],"&gt;"&amp;($A92+4/24))</f>
        <v/>
      </c>
      <c r="I92" s="20">
        <f>COUNTIFS(tData[SEHTrajectPeriodeDatumTijdVan],"&lt;="&amp;($A92+5/24),tData[SEHTrajectPeriodeDatumTijdTotEnMet],"&gt;"&amp;($A92+5/24))</f>
        <v/>
      </c>
      <c r="J92" s="20">
        <f>COUNTIFS(tData[SEHTrajectPeriodeDatumTijdVan],"&lt;="&amp;($A92+6/24),tData[SEHTrajectPeriodeDatumTijdTotEnMet],"&gt;"&amp;($A92+6/24))</f>
        <v/>
      </c>
      <c r="K92" s="20">
        <f>COUNTIFS(tData[SEHTrajectPeriodeDatumTijdVan],"&lt;="&amp;($A92+7/24),tData[SEHTrajectPeriodeDatumTijdTotEnMet],"&gt;"&amp;($A92+7/24))</f>
        <v/>
      </c>
      <c r="L92" s="20">
        <f>COUNTIFS(tData[SEHTrajectPeriodeDatumTijdVan],"&lt;="&amp;($A92+8/24),tData[SEHTrajectPeriodeDatumTijdTotEnMet],"&gt;"&amp;($A92+8/24))</f>
        <v/>
      </c>
      <c r="M92" s="20">
        <f>COUNTIFS(tData[SEHTrajectPeriodeDatumTijdVan],"&lt;="&amp;($A92+9/24),tData[SEHTrajectPeriodeDatumTijdTotEnMet],"&gt;"&amp;($A92+9/24))</f>
        <v/>
      </c>
      <c r="N92" s="20">
        <f>COUNTIFS(tData[SEHTrajectPeriodeDatumTijdVan],"&lt;="&amp;($A92+10/24),tData[SEHTrajectPeriodeDatumTijdTotEnMet],"&gt;"&amp;($A92+10/24))</f>
        <v/>
      </c>
      <c r="O92" s="20">
        <f>COUNTIFS(tData[SEHTrajectPeriodeDatumTijdVan],"&lt;="&amp;($A92+11/24),tData[SEHTrajectPeriodeDatumTijdTotEnMet],"&gt;"&amp;($A92+11/24))</f>
        <v/>
      </c>
      <c r="P92" s="20">
        <f>COUNTIFS(tData[SEHTrajectPeriodeDatumTijdVan],"&lt;="&amp;($A92+12/24),tData[SEHTrajectPeriodeDatumTijdTotEnMet],"&gt;"&amp;($A92+12/24))</f>
        <v/>
      </c>
      <c r="Q92" s="20">
        <f>COUNTIFS(tData[SEHTrajectPeriodeDatumTijdVan],"&lt;="&amp;($A92+13/24),tData[SEHTrajectPeriodeDatumTijdTotEnMet],"&gt;"&amp;($A92+13/24))</f>
        <v/>
      </c>
      <c r="R92" s="20">
        <f>COUNTIFS(tData[SEHTrajectPeriodeDatumTijdVan],"&lt;="&amp;($A92+14/24),tData[SEHTrajectPeriodeDatumTijdTotEnMet],"&gt;"&amp;($A92+14/24))</f>
        <v/>
      </c>
      <c r="S92" s="20">
        <f>COUNTIFS(tData[SEHTrajectPeriodeDatumTijdVan],"&lt;="&amp;($A92+15/24),tData[SEHTrajectPeriodeDatumTijdTotEnMet],"&gt;"&amp;($A92+15/24))</f>
        <v/>
      </c>
      <c r="T92" s="20">
        <f>COUNTIFS(tData[SEHTrajectPeriodeDatumTijdVan],"&lt;="&amp;($A92+16/24),tData[SEHTrajectPeriodeDatumTijdTotEnMet],"&gt;"&amp;($A92+16/24))</f>
        <v/>
      </c>
      <c r="U92" s="20">
        <f>COUNTIFS(tData[SEHTrajectPeriodeDatumTijdVan],"&lt;="&amp;($A92+17/24),tData[SEHTrajectPeriodeDatumTijdTotEnMet],"&gt;"&amp;($A92+17/24))</f>
        <v/>
      </c>
      <c r="V92" s="20">
        <f>COUNTIFS(tData[SEHTrajectPeriodeDatumTijdVan],"&lt;="&amp;($A92+18/24),tData[SEHTrajectPeriodeDatumTijdTotEnMet],"&gt;"&amp;($A92+18/24))</f>
        <v/>
      </c>
      <c r="W92" s="20">
        <f>COUNTIFS(tData[SEHTrajectPeriodeDatumTijdVan],"&lt;="&amp;($A92+19/24),tData[SEHTrajectPeriodeDatumTijdTotEnMet],"&gt;"&amp;($A92+19/24))</f>
        <v/>
      </c>
      <c r="X92" s="20">
        <f>COUNTIFS(tData[SEHTrajectPeriodeDatumTijdVan],"&lt;="&amp;($A92+20/24),tData[SEHTrajectPeriodeDatumTijdTotEnMet],"&gt;"&amp;($A92+20/24))</f>
        <v/>
      </c>
      <c r="Y92" s="20">
        <f>COUNTIFS(tData[SEHTrajectPeriodeDatumTijdVan],"&lt;="&amp;($A92+21/24),tData[SEHTrajectPeriodeDatumTijdTotEnMet],"&gt;"&amp;($A92+21/24))</f>
        <v/>
      </c>
      <c r="Z92" s="20">
        <f>COUNTIFS(tData[SEHTrajectPeriodeDatumTijdVan],"&lt;="&amp;($A92+22/24),tData[SEHTrajectPeriodeDatumTijdTotEnMet],"&gt;"&amp;($A92+22/24))</f>
        <v/>
      </c>
      <c r="AA92" s="20">
        <f>COUNTIFS(tData[SEHTrajectPeriodeDatumTijdVan],"&lt;="&amp;($A92+23/24),tData[SEHTrajectPeriodeDatumTijdTotEnMet],"&gt;"&amp;($A92+23/24))</f>
        <v/>
      </c>
    </row>
    <row r="93">
      <c r="A93" s="19" t="n">
        <v>45381</v>
      </c>
      <c r="B93" s="15">
        <f>WEEKDAY($A93,2)</f>
        <v/>
      </c>
      <c r="C93" s="15">
        <f>IF(AND($A93&gt;=INT(Instellingen!$B$5),$A93&lt;=INT(Instellingen!$B$6)),1,0)</f>
        <v/>
      </c>
      <c r="D93" s="20">
        <f>COUNTIFS(tData[SEHTrajectPeriodeDatumTijdVan],"&lt;="&amp;($A93+0/24),tData[SEHTrajectPeriodeDatumTijdTotEnMet],"&gt;"&amp;($A93+0/24))</f>
        <v/>
      </c>
      <c r="E93" s="20">
        <f>COUNTIFS(tData[SEHTrajectPeriodeDatumTijdVan],"&lt;="&amp;($A93+1/24),tData[SEHTrajectPeriodeDatumTijdTotEnMet],"&gt;"&amp;($A93+1/24))</f>
        <v/>
      </c>
      <c r="F93" s="20">
        <f>COUNTIFS(tData[SEHTrajectPeriodeDatumTijdVan],"&lt;="&amp;($A93+2/24),tData[SEHTrajectPeriodeDatumTijdTotEnMet],"&gt;"&amp;($A93+2/24))</f>
        <v/>
      </c>
      <c r="G93" s="20">
        <f>COUNTIFS(tData[SEHTrajectPeriodeDatumTijdVan],"&lt;="&amp;($A93+3/24),tData[SEHTrajectPeriodeDatumTijdTotEnMet],"&gt;"&amp;($A93+3/24))</f>
        <v/>
      </c>
      <c r="H93" s="20">
        <f>COUNTIFS(tData[SEHTrajectPeriodeDatumTijdVan],"&lt;="&amp;($A93+4/24),tData[SEHTrajectPeriodeDatumTijdTotEnMet],"&gt;"&amp;($A93+4/24))</f>
        <v/>
      </c>
      <c r="I93" s="20">
        <f>COUNTIFS(tData[SEHTrajectPeriodeDatumTijdVan],"&lt;="&amp;($A93+5/24),tData[SEHTrajectPeriodeDatumTijdTotEnMet],"&gt;"&amp;($A93+5/24))</f>
        <v/>
      </c>
      <c r="J93" s="20">
        <f>COUNTIFS(tData[SEHTrajectPeriodeDatumTijdVan],"&lt;="&amp;($A93+6/24),tData[SEHTrajectPeriodeDatumTijdTotEnMet],"&gt;"&amp;($A93+6/24))</f>
        <v/>
      </c>
      <c r="K93" s="20">
        <f>COUNTIFS(tData[SEHTrajectPeriodeDatumTijdVan],"&lt;="&amp;($A93+7/24),tData[SEHTrajectPeriodeDatumTijdTotEnMet],"&gt;"&amp;($A93+7/24))</f>
        <v/>
      </c>
      <c r="L93" s="20">
        <f>COUNTIFS(tData[SEHTrajectPeriodeDatumTijdVan],"&lt;="&amp;($A93+8/24),tData[SEHTrajectPeriodeDatumTijdTotEnMet],"&gt;"&amp;($A93+8/24))</f>
        <v/>
      </c>
      <c r="M93" s="20">
        <f>COUNTIFS(tData[SEHTrajectPeriodeDatumTijdVan],"&lt;="&amp;($A93+9/24),tData[SEHTrajectPeriodeDatumTijdTotEnMet],"&gt;"&amp;($A93+9/24))</f>
        <v/>
      </c>
      <c r="N93" s="20">
        <f>COUNTIFS(tData[SEHTrajectPeriodeDatumTijdVan],"&lt;="&amp;($A93+10/24),tData[SEHTrajectPeriodeDatumTijdTotEnMet],"&gt;"&amp;($A93+10/24))</f>
        <v/>
      </c>
      <c r="O93" s="20">
        <f>COUNTIFS(tData[SEHTrajectPeriodeDatumTijdVan],"&lt;="&amp;($A93+11/24),tData[SEHTrajectPeriodeDatumTijdTotEnMet],"&gt;"&amp;($A93+11/24))</f>
        <v/>
      </c>
      <c r="P93" s="20">
        <f>COUNTIFS(tData[SEHTrajectPeriodeDatumTijdVan],"&lt;="&amp;($A93+12/24),tData[SEHTrajectPeriodeDatumTijdTotEnMet],"&gt;"&amp;($A93+12/24))</f>
        <v/>
      </c>
      <c r="Q93" s="20">
        <f>COUNTIFS(tData[SEHTrajectPeriodeDatumTijdVan],"&lt;="&amp;($A93+13/24),tData[SEHTrajectPeriodeDatumTijdTotEnMet],"&gt;"&amp;($A93+13/24))</f>
        <v/>
      </c>
      <c r="R93" s="20">
        <f>COUNTIFS(tData[SEHTrajectPeriodeDatumTijdVan],"&lt;="&amp;($A93+14/24),tData[SEHTrajectPeriodeDatumTijdTotEnMet],"&gt;"&amp;($A93+14/24))</f>
        <v/>
      </c>
      <c r="S93" s="20">
        <f>COUNTIFS(tData[SEHTrajectPeriodeDatumTijdVan],"&lt;="&amp;($A93+15/24),tData[SEHTrajectPeriodeDatumTijdTotEnMet],"&gt;"&amp;($A93+15/24))</f>
        <v/>
      </c>
      <c r="T93" s="20">
        <f>COUNTIFS(tData[SEHTrajectPeriodeDatumTijdVan],"&lt;="&amp;($A93+16/24),tData[SEHTrajectPeriodeDatumTijdTotEnMet],"&gt;"&amp;($A93+16/24))</f>
        <v/>
      </c>
      <c r="U93" s="20">
        <f>COUNTIFS(tData[SEHTrajectPeriodeDatumTijdVan],"&lt;="&amp;($A93+17/24),tData[SEHTrajectPeriodeDatumTijdTotEnMet],"&gt;"&amp;($A93+17/24))</f>
        <v/>
      </c>
      <c r="V93" s="20">
        <f>COUNTIFS(tData[SEHTrajectPeriodeDatumTijdVan],"&lt;="&amp;($A93+18/24),tData[SEHTrajectPeriodeDatumTijdTotEnMet],"&gt;"&amp;($A93+18/24))</f>
        <v/>
      </c>
      <c r="W93" s="20">
        <f>COUNTIFS(tData[SEHTrajectPeriodeDatumTijdVan],"&lt;="&amp;($A93+19/24),tData[SEHTrajectPeriodeDatumTijdTotEnMet],"&gt;"&amp;($A93+19/24))</f>
        <v/>
      </c>
      <c r="X93" s="20">
        <f>COUNTIFS(tData[SEHTrajectPeriodeDatumTijdVan],"&lt;="&amp;($A93+20/24),tData[SEHTrajectPeriodeDatumTijdTotEnMet],"&gt;"&amp;($A93+20/24))</f>
        <v/>
      </c>
      <c r="Y93" s="20">
        <f>COUNTIFS(tData[SEHTrajectPeriodeDatumTijdVan],"&lt;="&amp;($A93+21/24),tData[SEHTrajectPeriodeDatumTijdTotEnMet],"&gt;"&amp;($A93+21/24))</f>
        <v/>
      </c>
      <c r="Z93" s="20">
        <f>COUNTIFS(tData[SEHTrajectPeriodeDatumTijdVan],"&lt;="&amp;($A93+22/24),tData[SEHTrajectPeriodeDatumTijdTotEnMet],"&gt;"&amp;($A93+22/24))</f>
        <v/>
      </c>
      <c r="AA93" s="20">
        <f>COUNTIFS(tData[SEHTrajectPeriodeDatumTijdVan],"&lt;="&amp;($A93+23/24),tData[SEHTrajectPeriodeDatumTijdTotEnMet],"&gt;"&amp;($A93+23/24))</f>
        <v/>
      </c>
    </row>
    <row r="94">
      <c r="A94" s="19" t="n">
        <v>45382</v>
      </c>
      <c r="B94" s="15">
        <f>WEEKDAY($A94,2)</f>
        <v/>
      </c>
      <c r="C94" s="15">
        <f>IF(AND($A94&gt;=INT(Instellingen!$B$5),$A94&lt;=INT(Instellingen!$B$6)),1,0)</f>
        <v/>
      </c>
      <c r="D94" s="20">
        <f>COUNTIFS(tData[SEHTrajectPeriodeDatumTijdVan],"&lt;="&amp;($A94+0/24),tData[SEHTrajectPeriodeDatumTijdTotEnMet],"&gt;"&amp;($A94+0/24))</f>
        <v/>
      </c>
      <c r="E94" s="20">
        <f>COUNTIFS(tData[SEHTrajectPeriodeDatumTijdVan],"&lt;="&amp;($A94+1/24),tData[SEHTrajectPeriodeDatumTijdTotEnMet],"&gt;"&amp;($A94+1/24))</f>
        <v/>
      </c>
      <c r="F94" s="20">
        <f>COUNTIFS(tData[SEHTrajectPeriodeDatumTijdVan],"&lt;="&amp;($A94+2/24),tData[SEHTrajectPeriodeDatumTijdTotEnMet],"&gt;"&amp;($A94+2/24))</f>
        <v/>
      </c>
      <c r="G94" s="20">
        <f>COUNTIFS(tData[SEHTrajectPeriodeDatumTijdVan],"&lt;="&amp;($A94+3/24),tData[SEHTrajectPeriodeDatumTijdTotEnMet],"&gt;"&amp;($A94+3/24))</f>
        <v/>
      </c>
      <c r="H94" s="20">
        <f>COUNTIFS(tData[SEHTrajectPeriodeDatumTijdVan],"&lt;="&amp;($A94+4/24),tData[SEHTrajectPeriodeDatumTijdTotEnMet],"&gt;"&amp;($A94+4/24))</f>
        <v/>
      </c>
      <c r="I94" s="20">
        <f>COUNTIFS(tData[SEHTrajectPeriodeDatumTijdVan],"&lt;="&amp;($A94+5/24),tData[SEHTrajectPeriodeDatumTijdTotEnMet],"&gt;"&amp;($A94+5/24))</f>
        <v/>
      </c>
      <c r="J94" s="20">
        <f>COUNTIFS(tData[SEHTrajectPeriodeDatumTijdVan],"&lt;="&amp;($A94+6/24),tData[SEHTrajectPeriodeDatumTijdTotEnMet],"&gt;"&amp;($A94+6/24))</f>
        <v/>
      </c>
      <c r="K94" s="20">
        <f>COUNTIFS(tData[SEHTrajectPeriodeDatumTijdVan],"&lt;="&amp;($A94+7/24),tData[SEHTrajectPeriodeDatumTijdTotEnMet],"&gt;"&amp;($A94+7/24))</f>
        <v/>
      </c>
      <c r="L94" s="20">
        <f>COUNTIFS(tData[SEHTrajectPeriodeDatumTijdVan],"&lt;="&amp;($A94+8/24),tData[SEHTrajectPeriodeDatumTijdTotEnMet],"&gt;"&amp;($A94+8/24))</f>
        <v/>
      </c>
      <c r="M94" s="20">
        <f>COUNTIFS(tData[SEHTrajectPeriodeDatumTijdVan],"&lt;="&amp;($A94+9/24),tData[SEHTrajectPeriodeDatumTijdTotEnMet],"&gt;"&amp;($A94+9/24))</f>
        <v/>
      </c>
      <c r="N94" s="20">
        <f>COUNTIFS(tData[SEHTrajectPeriodeDatumTijdVan],"&lt;="&amp;($A94+10/24),tData[SEHTrajectPeriodeDatumTijdTotEnMet],"&gt;"&amp;($A94+10/24))</f>
        <v/>
      </c>
      <c r="O94" s="20">
        <f>COUNTIFS(tData[SEHTrajectPeriodeDatumTijdVan],"&lt;="&amp;($A94+11/24),tData[SEHTrajectPeriodeDatumTijdTotEnMet],"&gt;"&amp;($A94+11/24))</f>
        <v/>
      </c>
      <c r="P94" s="20">
        <f>COUNTIFS(tData[SEHTrajectPeriodeDatumTijdVan],"&lt;="&amp;($A94+12/24),tData[SEHTrajectPeriodeDatumTijdTotEnMet],"&gt;"&amp;($A94+12/24))</f>
        <v/>
      </c>
      <c r="Q94" s="20">
        <f>COUNTIFS(tData[SEHTrajectPeriodeDatumTijdVan],"&lt;="&amp;($A94+13/24),tData[SEHTrajectPeriodeDatumTijdTotEnMet],"&gt;"&amp;($A94+13/24))</f>
        <v/>
      </c>
      <c r="R94" s="20">
        <f>COUNTIFS(tData[SEHTrajectPeriodeDatumTijdVan],"&lt;="&amp;($A94+14/24),tData[SEHTrajectPeriodeDatumTijdTotEnMet],"&gt;"&amp;($A94+14/24))</f>
        <v/>
      </c>
      <c r="S94" s="20">
        <f>COUNTIFS(tData[SEHTrajectPeriodeDatumTijdVan],"&lt;="&amp;($A94+15/24),tData[SEHTrajectPeriodeDatumTijdTotEnMet],"&gt;"&amp;($A94+15/24))</f>
        <v/>
      </c>
      <c r="T94" s="20">
        <f>COUNTIFS(tData[SEHTrajectPeriodeDatumTijdVan],"&lt;="&amp;($A94+16/24),tData[SEHTrajectPeriodeDatumTijdTotEnMet],"&gt;"&amp;($A94+16/24))</f>
        <v/>
      </c>
      <c r="U94" s="20">
        <f>COUNTIFS(tData[SEHTrajectPeriodeDatumTijdVan],"&lt;="&amp;($A94+17/24),tData[SEHTrajectPeriodeDatumTijdTotEnMet],"&gt;"&amp;($A94+17/24))</f>
        <v/>
      </c>
      <c r="V94" s="20">
        <f>COUNTIFS(tData[SEHTrajectPeriodeDatumTijdVan],"&lt;="&amp;($A94+18/24),tData[SEHTrajectPeriodeDatumTijdTotEnMet],"&gt;"&amp;($A94+18/24))</f>
        <v/>
      </c>
      <c r="W94" s="20">
        <f>COUNTIFS(tData[SEHTrajectPeriodeDatumTijdVan],"&lt;="&amp;($A94+19/24),tData[SEHTrajectPeriodeDatumTijdTotEnMet],"&gt;"&amp;($A94+19/24))</f>
        <v/>
      </c>
      <c r="X94" s="20">
        <f>COUNTIFS(tData[SEHTrajectPeriodeDatumTijdVan],"&lt;="&amp;($A94+20/24),tData[SEHTrajectPeriodeDatumTijdTotEnMet],"&gt;"&amp;($A94+20/24))</f>
        <v/>
      </c>
      <c r="Y94" s="20">
        <f>COUNTIFS(tData[SEHTrajectPeriodeDatumTijdVan],"&lt;="&amp;($A94+21/24),tData[SEHTrajectPeriodeDatumTijdTotEnMet],"&gt;"&amp;($A94+21/24))</f>
        <v/>
      </c>
      <c r="Z94" s="20">
        <f>COUNTIFS(tData[SEHTrajectPeriodeDatumTijdVan],"&lt;="&amp;($A94+22/24),tData[SEHTrajectPeriodeDatumTijdTotEnMet],"&gt;"&amp;($A94+22/24))</f>
        <v/>
      </c>
      <c r="AA94" s="20">
        <f>COUNTIFS(tData[SEHTrajectPeriodeDatumTijdVan],"&lt;="&amp;($A94+23/24),tData[SEHTrajectPeriodeDatumTijdTotEnMet],"&gt;"&amp;($A94+23/24))</f>
        <v/>
      </c>
    </row>
    <row r="95">
      <c r="A95" s="19" t="n">
        <v>45383</v>
      </c>
      <c r="B95" s="15">
        <f>WEEKDAY($A95,2)</f>
        <v/>
      </c>
      <c r="C95" s="15">
        <f>IF(AND($A95&gt;=INT(Instellingen!$B$5),$A95&lt;=INT(Instellingen!$B$6)),1,0)</f>
        <v/>
      </c>
      <c r="D95" s="20">
        <f>COUNTIFS(tData[SEHTrajectPeriodeDatumTijdVan],"&lt;="&amp;($A95+0/24),tData[SEHTrajectPeriodeDatumTijdTotEnMet],"&gt;"&amp;($A95+0/24))</f>
        <v/>
      </c>
      <c r="E95" s="20">
        <f>COUNTIFS(tData[SEHTrajectPeriodeDatumTijdVan],"&lt;="&amp;($A95+1/24),tData[SEHTrajectPeriodeDatumTijdTotEnMet],"&gt;"&amp;($A95+1/24))</f>
        <v/>
      </c>
      <c r="F95" s="20">
        <f>COUNTIFS(tData[SEHTrajectPeriodeDatumTijdVan],"&lt;="&amp;($A95+2/24),tData[SEHTrajectPeriodeDatumTijdTotEnMet],"&gt;"&amp;($A95+2/24))</f>
        <v/>
      </c>
      <c r="G95" s="20">
        <f>COUNTIFS(tData[SEHTrajectPeriodeDatumTijdVan],"&lt;="&amp;($A95+3/24),tData[SEHTrajectPeriodeDatumTijdTotEnMet],"&gt;"&amp;($A95+3/24))</f>
        <v/>
      </c>
      <c r="H95" s="20">
        <f>COUNTIFS(tData[SEHTrajectPeriodeDatumTijdVan],"&lt;="&amp;($A95+4/24),tData[SEHTrajectPeriodeDatumTijdTotEnMet],"&gt;"&amp;($A95+4/24))</f>
        <v/>
      </c>
      <c r="I95" s="20">
        <f>COUNTIFS(tData[SEHTrajectPeriodeDatumTijdVan],"&lt;="&amp;($A95+5/24),tData[SEHTrajectPeriodeDatumTijdTotEnMet],"&gt;"&amp;($A95+5/24))</f>
        <v/>
      </c>
      <c r="J95" s="20">
        <f>COUNTIFS(tData[SEHTrajectPeriodeDatumTijdVan],"&lt;="&amp;($A95+6/24),tData[SEHTrajectPeriodeDatumTijdTotEnMet],"&gt;"&amp;($A95+6/24))</f>
        <v/>
      </c>
      <c r="K95" s="20">
        <f>COUNTIFS(tData[SEHTrajectPeriodeDatumTijdVan],"&lt;="&amp;($A95+7/24),tData[SEHTrajectPeriodeDatumTijdTotEnMet],"&gt;"&amp;($A95+7/24))</f>
        <v/>
      </c>
      <c r="L95" s="20">
        <f>COUNTIFS(tData[SEHTrajectPeriodeDatumTijdVan],"&lt;="&amp;($A95+8/24),tData[SEHTrajectPeriodeDatumTijdTotEnMet],"&gt;"&amp;($A95+8/24))</f>
        <v/>
      </c>
      <c r="M95" s="20">
        <f>COUNTIFS(tData[SEHTrajectPeriodeDatumTijdVan],"&lt;="&amp;($A95+9/24),tData[SEHTrajectPeriodeDatumTijdTotEnMet],"&gt;"&amp;($A95+9/24))</f>
        <v/>
      </c>
      <c r="N95" s="20">
        <f>COUNTIFS(tData[SEHTrajectPeriodeDatumTijdVan],"&lt;="&amp;($A95+10/24),tData[SEHTrajectPeriodeDatumTijdTotEnMet],"&gt;"&amp;($A95+10/24))</f>
        <v/>
      </c>
      <c r="O95" s="20">
        <f>COUNTIFS(tData[SEHTrajectPeriodeDatumTijdVan],"&lt;="&amp;($A95+11/24),tData[SEHTrajectPeriodeDatumTijdTotEnMet],"&gt;"&amp;($A95+11/24))</f>
        <v/>
      </c>
      <c r="P95" s="20">
        <f>COUNTIFS(tData[SEHTrajectPeriodeDatumTijdVan],"&lt;="&amp;($A95+12/24),tData[SEHTrajectPeriodeDatumTijdTotEnMet],"&gt;"&amp;($A95+12/24))</f>
        <v/>
      </c>
      <c r="Q95" s="20">
        <f>COUNTIFS(tData[SEHTrajectPeriodeDatumTijdVan],"&lt;="&amp;($A95+13/24),tData[SEHTrajectPeriodeDatumTijdTotEnMet],"&gt;"&amp;($A95+13/24))</f>
        <v/>
      </c>
      <c r="R95" s="20">
        <f>COUNTIFS(tData[SEHTrajectPeriodeDatumTijdVan],"&lt;="&amp;($A95+14/24),tData[SEHTrajectPeriodeDatumTijdTotEnMet],"&gt;"&amp;($A95+14/24))</f>
        <v/>
      </c>
      <c r="S95" s="20">
        <f>COUNTIFS(tData[SEHTrajectPeriodeDatumTijdVan],"&lt;="&amp;($A95+15/24),tData[SEHTrajectPeriodeDatumTijdTotEnMet],"&gt;"&amp;($A95+15/24))</f>
        <v/>
      </c>
      <c r="T95" s="20">
        <f>COUNTIFS(tData[SEHTrajectPeriodeDatumTijdVan],"&lt;="&amp;($A95+16/24),tData[SEHTrajectPeriodeDatumTijdTotEnMet],"&gt;"&amp;($A95+16/24))</f>
        <v/>
      </c>
      <c r="U95" s="20">
        <f>COUNTIFS(tData[SEHTrajectPeriodeDatumTijdVan],"&lt;="&amp;($A95+17/24),tData[SEHTrajectPeriodeDatumTijdTotEnMet],"&gt;"&amp;($A95+17/24))</f>
        <v/>
      </c>
      <c r="V95" s="20">
        <f>COUNTIFS(tData[SEHTrajectPeriodeDatumTijdVan],"&lt;="&amp;($A95+18/24),tData[SEHTrajectPeriodeDatumTijdTotEnMet],"&gt;"&amp;($A95+18/24))</f>
        <v/>
      </c>
      <c r="W95" s="20">
        <f>COUNTIFS(tData[SEHTrajectPeriodeDatumTijdVan],"&lt;="&amp;($A95+19/24),tData[SEHTrajectPeriodeDatumTijdTotEnMet],"&gt;"&amp;($A95+19/24))</f>
        <v/>
      </c>
      <c r="X95" s="20">
        <f>COUNTIFS(tData[SEHTrajectPeriodeDatumTijdVan],"&lt;="&amp;($A95+20/24),tData[SEHTrajectPeriodeDatumTijdTotEnMet],"&gt;"&amp;($A95+20/24))</f>
        <v/>
      </c>
      <c r="Y95" s="20">
        <f>COUNTIFS(tData[SEHTrajectPeriodeDatumTijdVan],"&lt;="&amp;($A95+21/24),tData[SEHTrajectPeriodeDatumTijdTotEnMet],"&gt;"&amp;($A95+21/24))</f>
        <v/>
      </c>
      <c r="Z95" s="20">
        <f>COUNTIFS(tData[SEHTrajectPeriodeDatumTijdVan],"&lt;="&amp;($A95+22/24),tData[SEHTrajectPeriodeDatumTijdTotEnMet],"&gt;"&amp;($A95+22/24))</f>
        <v/>
      </c>
      <c r="AA95" s="20">
        <f>COUNTIFS(tData[SEHTrajectPeriodeDatumTijdVan],"&lt;="&amp;($A95+23/24),tData[SEHTrajectPeriodeDatumTijdTotEnMet],"&gt;"&amp;($A95+23/24))</f>
        <v/>
      </c>
    </row>
    <row r="96">
      <c r="A96" s="19" t="n">
        <v>45384</v>
      </c>
      <c r="B96" s="15">
        <f>WEEKDAY($A96,2)</f>
        <v/>
      </c>
      <c r="C96" s="15">
        <f>IF(AND($A96&gt;=INT(Instellingen!$B$5),$A96&lt;=INT(Instellingen!$B$6)),1,0)</f>
        <v/>
      </c>
      <c r="D96" s="20">
        <f>COUNTIFS(tData[SEHTrajectPeriodeDatumTijdVan],"&lt;="&amp;($A96+0/24),tData[SEHTrajectPeriodeDatumTijdTotEnMet],"&gt;"&amp;($A96+0/24))</f>
        <v/>
      </c>
      <c r="E96" s="20">
        <f>COUNTIFS(tData[SEHTrajectPeriodeDatumTijdVan],"&lt;="&amp;($A96+1/24),tData[SEHTrajectPeriodeDatumTijdTotEnMet],"&gt;"&amp;($A96+1/24))</f>
        <v/>
      </c>
      <c r="F96" s="20">
        <f>COUNTIFS(tData[SEHTrajectPeriodeDatumTijdVan],"&lt;="&amp;($A96+2/24),tData[SEHTrajectPeriodeDatumTijdTotEnMet],"&gt;"&amp;($A96+2/24))</f>
        <v/>
      </c>
      <c r="G96" s="20">
        <f>COUNTIFS(tData[SEHTrajectPeriodeDatumTijdVan],"&lt;="&amp;($A96+3/24),tData[SEHTrajectPeriodeDatumTijdTotEnMet],"&gt;"&amp;($A96+3/24))</f>
        <v/>
      </c>
      <c r="H96" s="20">
        <f>COUNTIFS(tData[SEHTrajectPeriodeDatumTijdVan],"&lt;="&amp;($A96+4/24),tData[SEHTrajectPeriodeDatumTijdTotEnMet],"&gt;"&amp;($A96+4/24))</f>
        <v/>
      </c>
      <c r="I96" s="20">
        <f>COUNTIFS(tData[SEHTrajectPeriodeDatumTijdVan],"&lt;="&amp;($A96+5/24),tData[SEHTrajectPeriodeDatumTijdTotEnMet],"&gt;"&amp;($A96+5/24))</f>
        <v/>
      </c>
      <c r="J96" s="20">
        <f>COUNTIFS(tData[SEHTrajectPeriodeDatumTijdVan],"&lt;="&amp;($A96+6/24),tData[SEHTrajectPeriodeDatumTijdTotEnMet],"&gt;"&amp;($A96+6/24))</f>
        <v/>
      </c>
      <c r="K96" s="20">
        <f>COUNTIFS(tData[SEHTrajectPeriodeDatumTijdVan],"&lt;="&amp;($A96+7/24),tData[SEHTrajectPeriodeDatumTijdTotEnMet],"&gt;"&amp;($A96+7/24))</f>
        <v/>
      </c>
      <c r="L96" s="20">
        <f>COUNTIFS(tData[SEHTrajectPeriodeDatumTijdVan],"&lt;="&amp;($A96+8/24),tData[SEHTrajectPeriodeDatumTijdTotEnMet],"&gt;"&amp;($A96+8/24))</f>
        <v/>
      </c>
      <c r="M96" s="20">
        <f>COUNTIFS(tData[SEHTrajectPeriodeDatumTijdVan],"&lt;="&amp;($A96+9/24),tData[SEHTrajectPeriodeDatumTijdTotEnMet],"&gt;"&amp;($A96+9/24))</f>
        <v/>
      </c>
      <c r="N96" s="20">
        <f>COUNTIFS(tData[SEHTrajectPeriodeDatumTijdVan],"&lt;="&amp;($A96+10/24),tData[SEHTrajectPeriodeDatumTijdTotEnMet],"&gt;"&amp;($A96+10/24))</f>
        <v/>
      </c>
      <c r="O96" s="20">
        <f>COUNTIFS(tData[SEHTrajectPeriodeDatumTijdVan],"&lt;="&amp;($A96+11/24),tData[SEHTrajectPeriodeDatumTijdTotEnMet],"&gt;"&amp;($A96+11/24))</f>
        <v/>
      </c>
      <c r="P96" s="20">
        <f>COUNTIFS(tData[SEHTrajectPeriodeDatumTijdVan],"&lt;="&amp;($A96+12/24),tData[SEHTrajectPeriodeDatumTijdTotEnMet],"&gt;"&amp;($A96+12/24))</f>
        <v/>
      </c>
      <c r="Q96" s="20">
        <f>COUNTIFS(tData[SEHTrajectPeriodeDatumTijdVan],"&lt;="&amp;($A96+13/24),tData[SEHTrajectPeriodeDatumTijdTotEnMet],"&gt;"&amp;($A96+13/24))</f>
        <v/>
      </c>
      <c r="R96" s="20">
        <f>COUNTIFS(tData[SEHTrajectPeriodeDatumTijdVan],"&lt;="&amp;($A96+14/24),tData[SEHTrajectPeriodeDatumTijdTotEnMet],"&gt;"&amp;($A96+14/24))</f>
        <v/>
      </c>
      <c r="S96" s="20">
        <f>COUNTIFS(tData[SEHTrajectPeriodeDatumTijdVan],"&lt;="&amp;($A96+15/24),tData[SEHTrajectPeriodeDatumTijdTotEnMet],"&gt;"&amp;($A96+15/24))</f>
        <v/>
      </c>
      <c r="T96" s="20">
        <f>COUNTIFS(tData[SEHTrajectPeriodeDatumTijdVan],"&lt;="&amp;($A96+16/24),tData[SEHTrajectPeriodeDatumTijdTotEnMet],"&gt;"&amp;($A96+16/24))</f>
        <v/>
      </c>
      <c r="U96" s="20">
        <f>COUNTIFS(tData[SEHTrajectPeriodeDatumTijdVan],"&lt;="&amp;($A96+17/24),tData[SEHTrajectPeriodeDatumTijdTotEnMet],"&gt;"&amp;($A96+17/24))</f>
        <v/>
      </c>
      <c r="V96" s="20">
        <f>COUNTIFS(tData[SEHTrajectPeriodeDatumTijdVan],"&lt;="&amp;($A96+18/24),tData[SEHTrajectPeriodeDatumTijdTotEnMet],"&gt;"&amp;($A96+18/24))</f>
        <v/>
      </c>
      <c r="W96" s="20">
        <f>COUNTIFS(tData[SEHTrajectPeriodeDatumTijdVan],"&lt;="&amp;($A96+19/24),tData[SEHTrajectPeriodeDatumTijdTotEnMet],"&gt;"&amp;($A96+19/24))</f>
        <v/>
      </c>
      <c r="X96" s="20">
        <f>COUNTIFS(tData[SEHTrajectPeriodeDatumTijdVan],"&lt;="&amp;($A96+20/24),tData[SEHTrajectPeriodeDatumTijdTotEnMet],"&gt;"&amp;($A96+20/24))</f>
        <v/>
      </c>
      <c r="Y96" s="20">
        <f>COUNTIFS(tData[SEHTrajectPeriodeDatumTijdVan],"&lt;="&amp;($A96+21/24),tData[SEHTrajectPeriodeDatumTijdTotEnMet],"&gt;"&amp;($A96+21/24))</f>
        <v/>
      </c>
      <c r="Z96" s="20">
        <f>COUNTIFS(tData[SEHTrajectPeriodeDatumTijdVan],"&lt;="&amp;($A96+22/24),tData[SEHTrajectPeriodeDatumTijdTotEnMet],"&gt;"&amp;($A96+22/24))</f>
        <v/>
      </c>
      <c r="AA96" s="20">
        <f>COUNTIFS(tData[SEHTrajectPeriodeDatumTijdVan],"&lt;="&amp;($A96+23/24),tData[SEHTrajectPeriodeDatumTijdTotEnMet],"&gt;"&amp;($A96+23/24))</f>
        <v/>
      </c>
    </row>
    <row r="97">
      <c r="A97" s="19" t="n">
        <v>45385</v>
      </c>
      <c r="B97" s="15">
        <f>WEEKDAY($A97,2)</f>
        <v/>
      </c>
      <c r="C97" s="15">
        <f>IF(AND($A97&gt;=INT(Instellingen!$B$5),$A97&lt;=INT(Instellingen!$B$6)),1,0)</f>
        <v/>
      </c>
      <c r="D97" s="20">
        <f>COUNTIFS(tData[SEHTrajectPeriodeDatumTijdVan],"&lt;="&amp;($A97+0/24),tData[SEHTrajectPeriodeDatumTijdTotEnMet],"&gt;"&amp;($A97+0/24))</f>
        <v/>
      </c>
      <c r="E97" s="20">
        <f>COUNTIFS(tData[SEHTrajectPeriodeDatumTijdVan],"&lt;="&amp;($A97+1/24),tData[SEHTrajectPeriodeDatumTijdTotEnMet],"&gt;"&amp;($A97+1/24))</f>
        <v/>
      </c>
      <c r="F97" s="20">
        <f>COUNTIFS(tData[SEHTrajectPeriodeDatumTijdVan],"&lt;="&amp;($A97+2/24),tData[SEHTrajectPeriodeDatumTijdTotEnMet],"&gt;"&amp;($A97+2/24))</f>
        <v/>
      </c>
      <c r="G97" s="20">
        <f>COUNTIFS(tData[SEHTrajectPeriodeDatumTijdVan],"&lt;="&amp;($A97+3/24),tData[SEHTrajectPeriodeDatumTijdTotEnMet],"&gt;"&amp;($A97+3/24))</f>
        <v/>
      </c>
      <c r="H97" s="20">
        <f>COUNTIFS(tData[SEHTrajectPeriodeDatumTijdVan],"&lt;="&amp;($A97+4/24),tData[SEHTrajectPeriodeDatumTijdTotEnMet],"&gt;"&amp;($A97+4/24))</f>
        <v/>
      </c>
      <c r="I97" s="20">
        <f>COUNTIFS(tData[SEHTrajectPeriodeDatumTijdVan],"&lt;="&amp;($A97+5/24),tData[SEHTrajectPeriodeDatumTijdTotEnMet],"&gt;"&amp;($A97+5/24))</f>
        <v/>
      </c>
      <c r="J97" s="20">
        <f>COUNTIFS(tData[SEHTrajectPeriodeDatumTijdVan],"&lt;="&amp;($A97+6/24),tData[SEHTrajectPeriodeDatumTijdTotEnMet],"&gt;"&amp;($A97+6/24))</f>
        <v/>
      </c>
      <c r="K97" s="20">
        <f>COUNTIFS(tData[SEHTrajectPeriodeDatumTijdVan],"&lt;="&amp;($A97+7/24),tData[SEHTrajectPeriodeDatumTijdTotEnMet],"&gt;"&amp;($A97+7/24))</f>
        <v/>
      </c>
      <c r="L97" s="20">
        <f>COUNTIFS(tData[SEHTrajectPeriodeDatumTijdVan],"&lt;="&amp;($A97+8/24),tData[SEHTrajectPeriodeDatumTijdTotEnMet],"&gt;"&amp;($A97+8/24))</f>
        <v/>
      </c>
      <c r="M97" s="20">
        <f>COUNTIFS(tData[SEHTrajectPeriodeDatumTijdVan],"&lt;="&amp;($A97+9/24),tData[SEHTrajectPeriodeDatumTijdTotEnMet],"&gt;"&amp;($A97+9/24))</f>
        <v/>
      </c>
      <c r="N97" s="20">
        <f>COUNTIFS(tData[SEHTrajectPeriodeDatumTijdVan],"&lt;="&amp;($A97+10/24),tData[SEHTrajectPeriodeDatumTijdTotEnMet],"&gt;"&amp;($A97+10/24))</f>
        <v/>
      </c>
      <c r="O97" s="20">
        <f>COUNTIFS(tData[SEHTrajectPeriodeDatumTijdVan],"&lt;="&amp;($A97+11/24),tData[SEHTrajectPeriodeDatumTijdTotEnMet],"&gt;"&amp;($A97+11/24))</f>
        <v/>
      </c>
      <c r="P97" s="20">
        <f>COUNTIFS(tData[SEHTrajectPeriodeDatumTijdVan],"&lt;="&amp;($A97+12/24),tData[SEHTrajectPeriodeDatumTijdTotEnMet],"&gt;"&amp;($A97+12/24))</f>
        <v/>
      </c>
      <c r="Q97" s="20">
        <f>COUNTIFS(tData[SEHTrajectPeriodeDatumTijdVan],"&lt;="&amp;($A97+13/24),tData[SEHTrajectPeriodeDatumTijdTotEnMet],"&gt;"&amp;($A97+13/24))</f>
        <v/>
      </c>
      <c r="R97" s="20">
        <f>COUNTIFS(tData[SEHTrajectPeriodeDatumTijdVan],"&lt;="&amp;($A97+14/24),tData[SEHTrajectPeriodeDatumTijdTotEnMet],"&gt;"&amp;($A97+14/24))</f>
        <v/>
      </c>
      <c r="S97" s="20">
        <f>COUNTIFS(tData[SEHTrajectPeriodeDatumTijdVan],"&lt;="&amp;($A97+15/24),tData[SEHTrajectPeriodeDatumTijdTotEnMet],"&gt;"&amp;($A97+15/24))</f>
        <v/>
      </c>
      <c r="T97" s="20">
        <f>COUNTIFS(tData[SEHTrajectPeriodeDatumTijdVan],"&lt;="&amp;($A97+16/24),tData[SEHTrajectPeriodeDatumTijdTotEnMet],"&gt;"&amp;($A97+16/24))</f>
        <v/>
      </c>
      <c r="U97" s="20">
        <f>COUNTIFS(tData[SEHTrajectPeriodeDatumTijdVan],"&lt;="&amp;($A97+17/24),tData[SEHTrajectPeriodeDatumTijdTotEnMet],"&gt;"&amp;($A97+17/24))</f>
        <v/>
      </c>
      <c r="V97" s="20">
        <f>COUNTIFS(tData[SEHTrajectPeriodeDatumTijdVan],"&lt;="&amp;($A97+18/24),tData[SEHTrajectPeriodeDatumTijdTotEnMet],"&gt;"&amp;($A97+18/24))</f>
        <v/>
      </c>
      <c r="W97" s="20">
        <f>COUNTIFS(tData[SEHTrajectPeriodeDatumTijdVan],"&lt;="&amp;($A97+19/24),tData[SEHTrajectPeriodeDatumTijdTotEnMet],"&gt;"&amp;($A97+19/24))</f>
        <v/>
      </c>
      <c r="X97" s="20">
        <f>COUNTIFS(tData[SEHTrajectPeriodeDatumTijdVan],"&lt;="&amp;($A97+20/24),tData[SEHTrajectPeriodeDatumTijdTotEnMet],"&gt;"&amp;($A97+20/24))</f>
        <v/>
      </c>
      <c r="Y97" s="20">
        <f>COUNTIFS(tData[SEHTrajectPeriodeDatumTijdVan],"&lt;="&amp;($A97+21/24),tData[SEHTrajectPeriodeDatumTijdTotEnMet],"&gt;"&amp;($A97+21/24))</f>
        <v/>
      </c>
      <c r="Z97" s="20">
        <f>COUNTIFS(tData[SEHTrajectPeriodeDatumTijdVan],"&lt;="&amp;($A97+22/24),tData[SEHTrajectPeriodeDatumTijdTotEnMet],"&gt;"&amp;($A97+22/24))</f>
        <v/>
      </c>
      <c r="AA97" s="20">
        <f>COUNTIFS(tData[SEHTrajectPeriodeDatumTijdVan],"&lt;="&amp;($A97+23/24),tData[SEHTrajectPeriodeDatumTijdTotEnMet],"&gt;"&amp;($A97+23/24))</f>
        <v/>
      </c>
    </row>
    <row r="98">
      <c r="A98" s="19" t="n">
        <v>45386</v>
      </c>
      <c r="B98" s="15">
        <f>WEEKDAY($A98,2)</f>
        <v/>
      </c>
      <c r="C98" s="15">
        <f>IF(AND($A98&gt;=INT(Instellingen!$B$5),$A98&lt;=INT(Instellingen!$B$6)),1,0)</f>
        <v/>
      </c>
      <c r="D98" s="20">
        <f>COUNTIFS(tData[SEHTrajectPeriodeDatumTijdVan],"&lt;="&amp;($A98+0/24),tData[SEHTrajectPeriodeDatumTijdTotEnMet],"&gt;"&amp;($A98+0/24))</f>
        <v/>
      </c>
      <c r="E98" s="20">
        <f>COUNTIFS(tData[SEHTrajectPeriodeDatumTijdVan],"&lt;="&amp;($A98+1/24),tData[SEHTrajectPeriodeDatumTijdTotEnMet],"&gt;"&amp;($A98+1/24))</f>
        <v/>
      </c>
      <c r="F98" s="20">
        <f>COUNTIFS(tData[SEHTrajectPeriodeDatumTijdVan],"&lt;="&amp;($A98+2/24),tData[SEHTrajectPeriodeDatumTijdTotEnMet],"&gt;"&amp;($A98+2/24))</f>
        <v/>
      </c>
      <c r="G98" s="20">
        <f>COUNTIFS(tData[SEHTrajectPeriodeDatumTijdVan],"&lt;="&amp;($A98+3/24),tData[SEHTrajectPeriodeDatumTijdTotEnMet],"&gt;"&amp;($A98+3/24))</f>
        <v/>
      </c>
      <c r="H98" s="20">
        <f>COUNTIFS(tData[SEHTrajectPeriodeDatumTijdVan],"&lt;="&amp;($A98+4/24),tData[SEHTrajectPeriodeDatumTijdTotEnMet],"&gt;"&amp;($A98+4/24))</f>
        <v/>
      </c>
      <c r="I98" s="20">
        <f>COUNTIFS(tData[SEHTrajectPeriodeDatumTijdVan],"&lt;="&amp;($A98+5/24),tData[SEHTrajectPeriodeDatumTijdTotEnMet],"&gt;"&amp;($A98+5/24))</f>
        <v/>
      </c>
      <c r="J98" s="20">
        <f>COUNTIFS(tData[SEHTrajectPeriodeDatumTijdVan],"&lt;="&amp;($A98+6/24),tData[SEHTrajectPeriodeDatumTijdTotEnMet],"&gt;"&amp;($A98+6/24))</f>
        <v/>
      </c>
      <c r="K98" s="20">
        <f>COUNTIFS(tData[SEHTrajectPeriodeDatumTijdVan],"&lt;="&amp;($A98+7/24),tData[SEHTrajectPeriodeDatumTijdTotEnMet],"&gt;"&amp;($A98+7/24))</f>
        <v/>
      </c>
      <c r="L98" s="20">
        <f>COUNTIFS(tData[SEHTrajectPeriodeDatumTijdVan],"&lt;="&amp;($A98+8/24),tData[SEHTrajectPeriodeDatumTijdTotEnMet],"&gt;"&amp;($A98+8/24))</f>
        <v/>
      </c>
      <c r="M98" s="20">
        <f>COUNTIFS(tData[SEHTrajectPeriodeDatumTijdVan],"&lt;="&amp;($A98+9/24),tData[SEHTrajectPeriodeDatumTijdTotEnMet],"&gt;"&amp;($A98+9/24))</f>
        <v/>
      </c>
      <c r="N98" s="20">
        <f>COUNTIFS(tData[SEHTrajectPeriodeDatumTijdVan],"&lt;="&amp;($A98+10/24),tData[SEHTrajectPeriodeDatumTijdTotEnMet],"&gt;"&amp;($A98+10/24))</f>
        <v/>
      </c>
      <c r="O98" s="20">
        <f>COUNTIFS(tData[SEHTrajectPeriodeDatumTijdVan],"&lt;="&amp;($A98+11/24),tData[SEHTrajectPeriodeDatumTijdTotEnMet],"&gt;"&amp;($A98+11/24))</f>
        <v/>
      </c>
      <c r="P98" s="20">
        <f>COUNTIFS(tData[SEHTrajectPeriodeDatumTijdVan],"&lt;="&amp;($A98+12/24),tData[SEHTrajectPeriodeDatumTijdTotEnMet],"&gt;"&amp;($A98+12/24))</f>
        <v/>
      </c>
      <c r="Q98" s="20">
        <f>COUNTIFS(tData[SEHTrajectPeriodeDatumTijdVan],"&lt;="&amp;($A98+13/24),tData[SEHTrajectPeriodeDatumTijdTotEnMet],"&gt;"&amp;($A98+13/24))</f>
        <v/>
      </c>
      <c r="R98" s="20">
        <f>COUNTIFS(tData[SEHTrajectPeriodeDatumTijdVan],"&lt;="&amp;($A98+14/24),tData[SEHTrajectPeriodeDatumTijdTotEnMet],"&gt;"&amp;($A98+14/24))</f>
        <v/>
      </c>
      <c r="S98" s="20">
        <f>COUNTIFS(tData[SEHTrajectPeriodeDatumTijdVan],"&lt;="&amp;($A98+15/24),tData[SEHTrajectPeriodeDatumTijdTotEnMet],"&gt;"&amp;($A98+15/24))</f>
        <v/>
      </c>
      <c r="T98" s="20">
        <f>COUNTIFS(tData[SEHTrajectPeriodeDatumTijdVan],"&lt;="&amp;($A98+16/24),tData[SEHTrajectPeriodeDatumTijdTotEnMet],"&gt;"&amp;($A98+16/24))</f>
        <v/>
      </c>
      <c r="U98" s="20">
        <f>COUNTIFS(tData[SEHTrajectPeriodeDatumTijdVan],"&lt;="&amp;($A98+17/24),tData[SEHTrajectPeriodeDatumTijdTotEnMet],"&gt;"&amp;($A98+17/24))</f>
        <v/>
      </c>
      <c r="V98" s="20">
        <f>COUNTIFS(tData[SEHTrajectPeriodeDatumTijdVan],"&lt;="&amp;($A98+18/24),tData[SEHTrajectPeriodeDatumTijdTotEnMet],"&gt;"&amp;($A98+18/24))</f>
        <v/>
      </c>
      <c r="W98" s="20">
        <f>COUNTIFS(tData[SEHTrajectPeriodeDatumTijdVan],"&lt;="&amp;($A98+19/24),tData[SEHTrajectPeriodeDatumTijdTotEnMet],"&gt;"&amp;($A98+19/24))</f>
        <v/>
      </c>
      <c r="X98" s="20">
        <f>COUNTIFS(tData[SEHTrajectPeriodeDatumTijdVan],"&lt;="&amp;($A98+20/24),tData[SEHTrajectPeriodeDatumTijdTotEnMet],"&gt;"&amp;($A98+20/24))</f>
        <v/>
      </c>
      <c r="Y98" s="20">
        <f>COUNTIFS(tData[SEHTrajectPeriodeDatumTijdVan],"&lt;="&amp;($A98+21/24),tData[SEHTrajectPeriodeDatumTijdTotEnMet],"&gt;"&amp;($A98+21/24))</f>
        <v/>
      </c>
      <c r="Z98" s="20">
        <f>COUNTIFS(tData[SEHTrajectPeriodeDatumTijdVan],"&lt;="&amp;($A98+22/24),tData[SEHTrajectPeriodeDatumTijdTotEnMet],"&gt;"&amp;($A98+22/24))</f>
        <v/>
      </c>
      <c r="AA98" s="20">
        <f>COUNTIFS(tData[SEHTrajectPeriodeDatumTijdVan],"&lt;="&amp;($A98+23/24),tData[SEHTrajectPeriodeDatumTijdTotEnMet],"&gt;"&amp;($A98+23/24))</f>
        <v/>
      </c>
    </row>
    <row r="99">
      <c r="A99" s="19" t="n">
        <v>45387</v>
      </c>
      <c r="B99" s="15">
        <f>WEEKDAY($A99,2)</f>
        <v/>
      </c>
      <c r="C99" s="15">
        <f>IF(AND($A99&gt;=INT(Instellingen!$B$5),$A99&lt;=INT(Instellingen!$B$6)),1,0)</f>
        <v/>
      </c>
      <c r="D99" s="20">
        <f>COUNTIFS(tData[SEHTrajectPeriodeDatumTijdVan],"&lt;="&amp;($A99+0/24),tData[SEHTrajectPeriodeDatumTijdTotEnMet],"&gt;"&amp;($A99+0/24))</f>
        <v/>
      </c>
      <c r="E99" s="20">
        <f>COUNTIFS(tData[SEHTrajectPeriodeDatumTijdVan],"&lt;="&amp;($A99+1/24),tData[SEHTrajectPeriodeDatumTijdTotEnMet],"&gt;"&amp;($A99+1/24))</f>
        <v/>
      </c>
      <c r="F99" s="20">
        <f>COUNTIFS(tData[SEHTrajectPeriodeDatumTijdVan],"&lt;="&amp;($A99+2/24),tData[SEHTrajectPeriodeDatumTijdTotEnMet],"&gt;"&amp;($A99+2/24))</f>
        <v/>
      </c>
      <c r="G99" s="20">
        <f>COUNTIFS(tData[SEHTrajectPeriodeDatumTijdVan],"&lt;="&amp;($A99+3/24),tData[SEHTrajectPeriodeDatumTijdTotEnMet],"&gt;"&amp;($A99+3/24))</f>
        <v/>
      </c>
      <c r="H99" s="20">
        <f>COUNTIFS(tData[SEHTrajectPeriodeDatumTijdVan],"&lt;="&amp;($A99+4/24),tData[SEHTrajectPeriodeDatumTijdTotEnMet],"&gt;"&amp;($A99+4/24))</f>
        <v/>
      </c>
      <c r="I99" s="20">
        <f>COUNTIFS(tData[SEHTrajectPeriodeDatumTijdVan],"&lt;="&amp;($A99+5/24),tData[SEHTrajectPeriodeDatumTijdTotEnMet],"&gt;"&amp;($A99+5/24))</f>
        <v/>
      </c>
      <c r="J99" s="20">
        <f>COUNTIFS(tData[SEHTrajectPeriodeDatumTijdVan],"&lt;="&amp;($A99+6/24),tData[SEHTrajectPeriodeDatumTijdTotEnMet],"&gt;"&amp;($A99+6/24))</f>
        <v/>
      </c>
      <c r="K99" s="20">
        <f>COUNTIFS(tData[SEHTrajectPeriodeDatumTijdVan],"&lt;="&amp;($A99+7/24),tData[SEHTrajectPeriodeDatumTijdTotEnMet],"&gt;"&amp;($A99+7/24))</f>
        <v/>
      </c>
      <c r="L99" s="20">
        <f>COUNTIFS(tData[SEHTrajectPeriodeDatumTijdVan],"&lt;="&amp;($A99+8/24),tData[SEHTrajectPeriodeDatumTijdTotEnMet],"&gt;"&amp;($A99+8/24))</f>
        <v/>
      </c>
      <c r="M99" s="20">
        <f>COUNTIFS(tData[SEHTrajectPeriodeDatumTijdVan],"&lt;="&amp;($A99+9/24),tData[SEHTrajectPeriodeDatumTijdTotEnMet],"&gt;"&amp;($A99+9/24))</f>
        <v/>
      </c>
      <c r="N99" s="20">
        <f>COUNTIFS(tData[SEHTrajectPeriodeDatumTijdVan],"&lt;="&amp;($A99+10/24),tData[SEHTrajectPeriodeDatumTijdTotEnMet],"&gt;"&amp;($A99+10/24))</f>
        <v/>
      </c>
      <c r="O99" s="20">
        <f>COUNTIFS(tData[SEHTrajectPeriodeDatumTijdVan],"&lt;="&amp;($A99+11/24),tData[SEHTrajectPeriodeDatumTijdTotEnMet],"&gt;"&amp;($A99+11/24))</f>
        <v/>
      </c>
      <c r="P99" s="20">
        <f>COUNTIFS(tData[SEHTrajectPeriodeDatumTijdVan],"&lt;="&amp;($A99+12/24),tData[SEHTrajectPeriodeDatumTijdTotEnMet],"&gt;"&amp;($A99+12/24))</f>
        <v/>
      </c>
      <c r="Q99" s="20">
        <f>COUNTIFS(tData[SEHTrajectPeriodeDatumTijdVan],"&lt;="&amp;($A99+13/24),tData[SEHTrajectPeriodeDatumTijdTotEnMet],"&gt;"&amp;($A99+13/24))</f>
        <v/>
      </c>
      <c r="R99" s="20">
        <f>COUNTIFS(tData[SEHTrajectPeriodeDatumTijdVan],"&lt;="&amp;($A99+14/24),tData[SEHTrajectPeriodeDatumTijdTotEnMet],"&gt;"&amp;($A99+14/24))</f>
        <v/>
      </c>
      <c r="S99" s="20">
        <f>COUNTIFS(tData[SEHTrajectPeriodeDatumTijdVan],"&lt;="&amp;($A99+15/24),tData[SEHTrajectPeriodeDatumTijdTotEnMet],"&gt;"&amp;($A99+15/24))</f>
        <v/>
      </c>
      <c r="T99" s="20">
        <f>COUNTIFS(tData[SEHTrajectPeriodeDatumTijdVan],"&lt;="&amp;($A99+16/24),tData[SEHTrajectPeriodeDatumTijdTotEnMet],"&gt;"&amp;($A99+16/24))</f>
        <v/>
      </c>
      <c r="U99" s="20">
        <f>COUNTIFS(tData[SEHTrajectPeriodeDatumTijdVan],"&lt;="&amp;($A99+17/24),tData[SEHTrajectPeriodeDatumTijdTotEnMet],"&gt;"&amp;($A99+17/24))</f>
        <v/>
      </c>
      <c r="V99" s="20">
        <f>COUNTIFS(tData[SEHTrajectPeriodeDatumTijdVan],"&lt;="&amp;($A99+18/24),tData[SEHTrajectPeriodeDatumTijdTotEnMet],"&gt;"&amp;($A99+18/24))</f>
        <v/>
      </c>
      <c r="W99" s="20">
        <f>COUNTIFS(tData[SEHTrajectPeriodeDatumTijdVan],"&lt;="&amp;($A99+19/24),tData[SEHTrajectPeriodeDatumTijdTotEnMet],"&gt;"&amp;($A99+19/24))</f>
        <v/>
      </c>
      <c r="X99" s="20">
        <f>COUNTIFS(tData[SEHTrajectPeriodeDatumTijdVan],"&lt;="&amp;($A99+20/24),tData[SEHTrajectPeriodeDatumTijdTotEnMet],"&gt;"&amp;($A99+20/24))</f>
        <v/>
      </c>
      <c r="Y99" s="20">
        <f>COUNTIFS(tData[SEHTrajectPeriodeDatumTijdVan],"&lt;="&amp;($A99+21/24),tData[SEHTrajectPeriodeDatumTijdTotEnMet],"&gt;"&amp;($A99+21/24))</f>
        <v/>
      </c>
      <c r="Z99" s="20">
        <f>COUNTIFS(tData[SEHTrajectPeriodeDatumTijdVan],"&lt;="&amp;($A99+22/24),tData[SEHTrajectPeriodeDatumTijdTotEnMet],"&gt;"&amp;($A99+22/24))</f>
        <v/>
      </c>
      <c r="AA99" s="20">
        <f>COUNTIFS(tData[SEHTrajectPeriodeDatumTijdVan],"&lt;="&amp;($A99+23/24),tData[SEHTrajectPeriodeDatumTijdTotEnMet],"&gt;"&amp;($A99+23/24))</f>
        <v/>
      </c>
    </row>
    <row r="100">
      <c r="A100" s="19" t="n">
        <v>45388</v>
      </c>
      <c r="B100" s="15">
        <f>WEEKDAY($A100,2)</f>
        <v/>
      </c>
      <c r="C100" s="15">
        <f>IF(AND($A100&gt;=INT(Instellingen!$B$5),$A100&lt;=INT(Instellingen!$B$6)),1,0)</f>
        <v/>
      </c>
      <c r="D100" s="20">
        <f>COUNTIFS(tData[SEHTrajectPeriodeDatumTijdVan],"&lt;="&amp;($A100+0/24),tData[SEHTrajectPeriodeDatumTijdTotEnMet],"&gt;"&amp;($A100+0/24))</f>
        <v/>
      </c>
      <c r="E100" s="20">
        <f>COUNTIFS(tData[SEHTrajectPeriodeDatumTijdVan],"&lt;="&amp;($A100+1/24),tData[SEHTrajectPeriodeDatumTijdTotEnMet],"&gt;"&amp;($A100+1/24))</f>
        <v/>
      </c>
      <c r="F100" s="20">
        <f>COUNTIFS(tData[SEHTrajectPeriodeDatumTijdVan],"&lt;="&amp;($A100+2/24),tData[SEHTrajectPeriodeDatumTijdTotEnMet],"&gt;"&amp;($A100+2/24))</f>
        <v/>
      </c>
      <c r="G100" s="20">
        <f>COUNTIFS(tData[SEHTrajectPeriodeDatumTijdVan],"&lt;="&amp;($A100+3/24),tData[SEHTrajectPeriodeDatumTijdTotEnMet],"&gt;"&amp;($A100+3/24))</f>
        <v/>
      </c>
      <c r="H100" s="20">
        <f>COUNTIFS(tData[SEHTrajectPeriodeDatumTijdVan],"&lt;="&amp;($A100+4/24),tData[SEHTrajectPeriodeDatumTijdTotEnMet],"&gt;"&amp;($A100+4/24))</f>
        <v/>
      </c>
      <c r="I100" s="20">
        <f>COUNTIFS(tData[SEHTrajectPeriodeDatumTijdVan],"&lt;="&amp;($A100+5/24),tData[SEHTrajectPeriodeDatumTijdTotEnMet],"&gt;"&amp;($A100+5/24))</f>
        <v/>
      </c>
      <c r="J100" s="20">
        <f>COUNTIFS(tData[SEHTrajectPeriodeDatumTijdVan],"&lt;="&amp;($A100+6/24),tData[SEHTrajectPeriodeDatumTijdTotEnMet],"&gt;"&amp;($A100+6/24))</f>
        <v/>
      </c>
      <c r="K100" s="20">
        <f>COUNTIFS(tData[SEHTrajectPeriodeDatumTijdVan],"&lt;="&amp;($A100+7/24),tData[SEHTrajectPeriodeDatumTijdTotEnMet],"&gt;"&amp;($A100+7/24))</f>
        <v/>
      </c>
      <c r="L100" s="20">
        <f>COUNTIFS(tData[SEHTrajectPeriodeDatumTijdVan],"&lt;="&amp;($A100+8/24),tData[SEHTrajectPeriodeDatumTijdTotEnMet],"&gt;"&amp;($A100+8/24))</f>
        <v/>
      </c>
      <c r="M100" s="20">
        <f>COUNTIFS(tData[SEHTrajectPeriodeDatumTijdVan],"&lt;="&amp;($A100+9/24),tData[SEHTrajectPeriodeDatumTijdTotEnMet],"&gt;"&amp;($A100+9/24))</f>
        <v/>
      </c>
      <c r="N100" s="20">
        <f>COUNTIFS(tData[SEHTrajectPeriodeDatumTijdVan],"&lt;="&amp;($A100+10/24),tData[SEHTrajectPeriodeDatumTijdTotEnMet],"&gt;"&amp;($A100+10/24))</f>
        <v/>
      </c>
      <c r="O100" s="20">
        <f>COUNTIFS(tData[SEHTrajectPeriodeDatumTijdVan],"&lt;="&amp;($A100+11/24),tData[SEHTrajectPeriodeDatumTijdTotEnMet],"&gt;"&amp;($A100+11/24))</f>
        <v/>
      </c>
      <c r="P100" s="20">
        <f>COUNTIFS(tData[SEHTrajectPeriodeDatumTijdVan],"&lt;="&amp;($A100+12/24),tData[SEHTrajectPeriodeDatumTijdTotEnMet],"&gt;"&amp;($A100+12/24))</f>
        <v/>
      </c>
      <c r="Q100" s="20">
        <f>COUNTIFS(tData[SEHTrajectPeriodeDatumTijdVan],"&lt;="&amp;($A100+13/24),tData[SEHTrajectPeriodeDatumTijdTotEnMet],"&gt;"&amp;($A100+13/24))</f>
        <v/>
      </c>
      <c r="R100" s="20">
        <f>COUNTIFS(tData[SEHTrajectPeriodeDatumTijdVan],"&lt;="&amp;($A100+14/24),tData[SEHTrajectPeriodeDatumTijdTotEnMet],"&gt;"&amp;($A100+14/24))</f>
        <v/>
      </c>
      <c r="S100" s="20">
        <f>COUNTIFS(tData[SEHTrajectPeriodeDatumTijdVan],"&lt;="&amp;($A100+15/24),tData[SEHTrajectPeriodeDatumTijdTotEnMet],"&gt;"&amp;($A100+15/24))</f>
        <v/>
      </c>
      <c r="T100" s="20">
        <f>COUNTIFS(tData[SEHTrajectPeriodeDatumTijdVan],"&lt;="&amp;($A100+16/24),tData[SEHTrajectPeriodeDatumTijdTotEnMet],"&gt;"&amp;($A100+16/24))</f>
        <v/>
      </c>
      <c r="U100" s="20">
        <f>COUNTIFS(tData[SEHTrajectPeriodeDatumTijdVan],"&lt;="&amp;($A100+17/24),tData[SEHTrajectPeriodeDatumTijdTotEnMet],"&gt;"&amp;($A100+17/24))</f>
        <v/>
      </c>
      <c r="V100" s="20">
        <f>COUNTIFS(tData[SEHTrajectPeriodeDatumTijdVan],"&lt;="&amp;($A100+18/24),tData[SEHTrajectPeriodeDatumTijdTotEnMet],"&gt;"&amp;($A100+18/24))</f>
        <v/>
      </c>
      <c r="W100" s="20">
        <f>COUNTIFS(tData[SEHTrajectPeriodeDatumTijdVan],"&lt;="&amp;($A100+19/24),tData[SEHTrajectPeriodeDatumTijdTotEnMet],"&gt;"&amp;($A100+19/24))</f>
        <v/>
      </c>
      <c r="X100" s="20">
        <f>COUNTIFS(tData[SEHTrajectPeriodeDatumTijdVan],"&lt;="&amp;($A100+20/24),tData[SEHTrajectPeriodeDatumTijdTotEnMet],"&gt;"&amp;($A100+20/24))</f>
        <v/>
      </c>
      <c r="Y100" s="20">
        <f>COUNTIFS(tData[SEHTrajectPeriodeDatumTijdVan],"&lt;="&amp;($A100+21/24),tData[SEHTrajectPeriodeDatumTijdTotEnMet],"&gt;"&amp;($A100+21/24))</f>
        <v/>
      </c>
      <c r="Z100" s="20">
        <f>COUNTIFS(tData[SEHTrajectPeriodeDatumTijdVan],"&lt;="&amp;($A100+22/24),tData[SEHTrajectPeriodeDatumTijdTotEnMet],"&gt;"&amp;($A100+22/24))</f>
        <v/>
      </c>
      <c r="AA100" s="20">
        <f>COUNTIFS(tData[SEHTrajectPeriodeDatumTijdVan],"&lt;="&amp;($A100+23/24),tData[SEHTrajectPeriodeDatumTijdTotEnMet],"&gt;"&amp;($A100+23/24))</f>
        <v/>
      </c>
    </row>
    <row r="101">
      <c r="A101" s="19" t="n">
        <v>45389</v>
      </c>
      <c r="B101" s="15">
        <f>WEEKDAY($A101,2)</f>
        <v/>
      </c>
      <c r="C101" s="15">
        <f>IF(AND($A101&gt;=INT(Instellingen!$B$5),$A101&lt;=INT(Instellingen!$B$6)),1,0)</f>
        <v/>
      </c>
      <c r="D101" s="20">
        <f>COUNTIFS(tData[SEHTrajectPeriodeDatumTijdVan],"&lt;="&amp;($A101+0/24),tData[SEHTrajectPeriodeDatumTijdTotEnMet],"&gt;"&amp;($A101+0/24))</f>
        <v/>
      </c>
      <c r="E101" s="20">
        <f>COUNTIFS(tData[SEHTrajectPeriodeDatumTijdVan],"&lt;="&amp;($A101+1/24),tData[SEHTrajectPeriodeDatumTijdTotEnMet],"&gt;"&amp;($A101+1/24))</f>
        <v/>
      </c>
      <c r="F101" s="20">
        <f>COUNTIFS(tData[SEHTrajectPeriodeDatumTijdVan],"&lt;="&amp;($A101+2/24),tData[SEHTrajectPeriodeDatumTijdTotEnMet],"&gt;"&amp;($A101+2/24))</f>
        <v/>
      </c>
      <c r="G101" s="20">
        <f>COUNTIFS(tData[SEHTrajectPeriodeDatumTijdVan],"&lt;="&amp;($A101+3/24),tData[SEHTrajectPeriodeDatumTijdTotEnMet],"&gt;"&amp;($A101+3/24))</f>
        <v/>
      </c>
      <c r="H101" s="20">
        <f>COUNTIFS(tData[SEHTrajectPeriodeDatumTijdVan],"&lt;="&amp;($A101+4/24),tData[SEHTrajectPeriodeDatumTijdTotEnMet],"&gt;"&amp;($A101+4/24))</f>
        <v/>
      </c>
      <c r="I101" s="20">
        <f>COUNTIFS(tData[SEHTrajectPeriodeDatumTijdVan],"&lt;="&amp;($A101+5/24),tData[SEHTrajectPeriodeDatumTijdTotEnMet],"&gt;"&amp;($A101+5/24))</f>
        <v/>
      </c>
      <c r="J101" s="20">
        <f>COUNTIFS(tData[SEHTrajectPeriodeDatumTijdVan],"&lt;="&amp;($A101+6/24),tData[SEHTrajectPeriodeDatumTijdTotEnMet],"&gt;"&amp;($A101+6/24))</f>
        <v/>
      </c>
      <c r="K101" s="20">
        <f>COUNTIFS(tData[SEHTrajectPeriodeDatumTijdVan],"&lt;="&amp;($A101+7/24),tData[SEHTrajectPeriodeDatumTijdTotEnMet],"&gt;"&amp;($A101+7/24))</f>
        <v/>
      </c>
      <c r="L101" s="20">
        <f>COUNTIFS(tData[SEHTrajectPeriodeDatumTijdVan],"&lt;="&amp;($A101+8/24),tData[SEHTrajectPeriodeDatumTijdTotEnMet],"&gt;"&amp;($A101+8/24))</f>
        <v/>
      </c>
      <c r="M101" s="20">
        <f>COUNTIFS(tData[SEHTrajectPeriodeDatumTijdVan],"&lt;="&amp;($A101+9/24),tData[SEHTrajectPeriodeDatumTijdTotEnMet],"&gt;"&amp;($A101+9/24))</f>
        <v/>
      </c>
      <c r="N101" s="20">
        <f>COUNTIFS(tData[SEHTrajectPeriodeDatumTijdVan],"&lt;="&amp;($A101+10/24),tData[SEHTrajectPeriodeDatumTijdTotEnMet],"&gt;"&amp;($A101+10/24))</f>
        <v/>
      </c>
      <c r="O101" s="20">
        <f>COUNTIFS(tData[SEHTrajectPeriodeDatumTijdVan],"&lt;="&amp;($A101+11/24),tData[SEHTrajectPeriodeDatumTijdTotEnMet],"&gt;"&amp;($A101+11/24))</f>
        <v/>
      </c>
      <c r="P101" s="20">
        <f>COUNTIFS(tData[SEHTrajectPeriodeDatumTijdVan],"&lt;="&amp;($A101+12/24),tData[SEHTrajectPeriodeDatumTijdTotEnMet],"&gt;"&amp;($A101+12/24))</f>
        <v/>
      </c>
      <c r="Q101" s="20">
        <f>COUNTIFS(tData[SEHTrajectPeriodeDatumTijdVan],"&lt;="&amp;($A101+13/24),tData[SEHTrajectPeriodeDatumTijdTotEnMet],"&gt;"&amp;($A101+13/24))</f>
        <v/>
      </c>
      <c r="R101" s="20">
        <f>COUNTIFS(tData[SEHTrajectPeriodeDatumTijdVan],"&lt;="&amp;($A101+14/24),tData[SEHTrajectPeriodeDatumTijdTotEnMet],"&gt;"&amp;($A101+14/24))</f>
        <v/>
      </c>
      <c r="S101" s="20">
        <f>COUNTIFS(tData[SEHTrajectPeriodeDatumTijdVan],"&lt;="&amp;($A101+15/24),tData[SEHTrajectPeriodeDatumTijdTotEnMet],"&gt;"&amp;($A101+15/24))</f>
        <v/>
      </c>
      <c r="T101" s="20">
        <f>COUNTIFS(tData[SEHTrajectPeriodeDatumTijdVan],"&lt;="&amp;($A101+16/24),tData[SEHTrajectPeriodeDatumTijdTotEnMet],"&gt;"&amp;($A101+16/24))</f>
        <v/>
      </c>
      <c r="U101" s="20">
        <f>COUNTIFS(tData[SEHTrajectPeriodeDatumTijdVan],"&lt;="&amp;($A101+17/24),tData[SEHTrajectPeriodeDatumTijdTotEnMet],"&gt;"&amp;($A101+17/24))</f>
        <v/>
      </c>
      <c r="V101" s="20">
        <f>COUNTIFS(tData[SEHTrajectPeriodeDatumTijdVan],"&lt;="&amp;($A101+18/24),tData[SEHTrajectPeriodeDatumTijdTotEnMet],"&gt;"&amp;($A101+18/24))</f>
        <v/>
      </c>
      <c r="W101" s="20">
        <f>COUNTIFS(tData[SEHTrajectPeriodeDatumTijdVan],"&lt;="&amp;($A101+19/24),tData[SEHTrajectPeriodeDatumTijdTotEnMet],"&gt;"&amp;($A101+19/24))</f>
        <v/>
      </c>
      <c r="X101" s="20">
        <f>COUNTIFS(tData[SEHTrajectPeriodeDatumTijdVan],"&lt;="&amp;($A101+20/24),tData[SEHTrajectPeriodeDatumTijdTotEnMet],"&gt;"&amp;($A101+20/24))</f>
        <v/>
      </c>
      <c r="Y101" s="20">
        <f>COUNTIFS(tData[SEHTrajectPeriodeDatumTijdVan],"&lt;="&amp;($A101+21/24),tData[SEHTrajectPeriodeDatumTijdTotEnMet],"&gt;"&amp;($A101+21/24))</f>
        <v/>
      </c>
      <c r="Z101" s="20">
        <f>COUNTIFS(tData[SEHTrajectPeriodeDatumTijdVan],"&lt;="&amp;($A101+22/24),tData[SEHTrajectPeriodeDatumTijdTotEnMet],"&gt;"&amp;($A101+22/24))</f>
        <v/>
      </c>
      <c r="AA101" s="20">
        <f>COUNTIFS(tData[SEHTrajectPeriodeDatumTijdVan],"&lt;="&amp;($A101+23/24),tData[SEHTrajectPeriodeDatumTijdTotEnMet],"&gt;"&amp;($A101+23/24))</f>
        <v/>
      </c>
    </row>
    <row r="102">
      <c r="A102" s="19" t="n">
        <v>45390</v>
      </c>
      <c r="B102" s="15">
        <f>WEEKDAY($A102,2)</f>
        <v/>
      </c>
      <c r="C102" s="15">
        <f>IF(AND($A102&gt;=INT(Instellingen!$B$5),$A102&lt;=INT(Instellingen!$B$6)),1,0)</f>
        <v/>
      </c>
      <c r="D102" s="20">
        <f>COUNTIFS(tData[SEHTrajectPeriodeDatumTijdVan],"&lt;="&amp;($A102+0/24),tData[SEHTrajectPeriodeDatumTijdTotEnMet],"&gt;"&amp;($A102+0/24))</f>
        <v/>
      </c>
      <c r="E102" s="20">
        <f>COUNTIFS(tData[SEHTrajectPeriodeDatumTijdVan],"&lt;="&amp;($A102+1/24),tData[SEHTrajectPeriodeDatumTijdTotEnMet],"&gt;"&amp;($A102+1/24))</f>
        <v/>
      </c>
      <c r="F102" s="20">
        <f>COUNTIFS(tData[SEHTrajectPeriodeDatumTijdVan],"&lt;="&amp;($A102+2/24),tData[SEHTrajectPeriodeDatumTijdTotEnMet],"&gt;"&amp;($A102+2/24))</f>
        <v/>
      </c>
      <c r="G102" s="20">
        <f>COUNTIFS(tData[SEHTrajectPeriodeDatumTijdVan],"&lt;="&amp;($A102+3/24),tData[SEHTrajectPeriodeDatumTijdTotEnMet],"&gt;"&amp;($A102+3/24))</f>
        <v/>
      </c>
      <c r="H102" s="20">
        <f>COUNTIFS(tData[SEHTrajectPeriodeDatumTijdVan],"&lt;="&amp;($A102+4/24),tData[SEHTrajectPeriodeDatumTijdTotEnMet],"&gt;"&amp;($A102+4/24))</f>
        <v/>
      </c>
      <c r="I102" s="20">
        <f>COUNTIFS(tData[SEHTrajectPeriodeDatumTijdVan],"&lt;="&amp;($A102+5/24),tData[SEHTrajectPeriodeDatumTijdTotEnMet],"&gt;"&amp;($A102+5/24))</f>
        <v/>
      </c>
      <c r="J102" s="20">
        <f>COUNTIFS(tData[SEHTrajectPeriodeDatumTijdVan],"&lt;="&amp;($A102+6/24),tData[SEHTrajectPeriodeDatumTijdTotEnMet],"&gt;"&amp;($A102+6/24))</f>
        <v/>
      </c>
      <c r="K102" s="20">
        <f>COUNTIFS(tData[SEHTrajectPeriodeDatumTijdVan],"&lt;="&amp;($A102+7/24),tData[SEHTrajectPeriodeDatumTijdTotEnMet],"&gt;"&amp;($A102+7/24))</f>
        <v/>
      </c>
      <c r="L102" s="20">
        <f>COUNTIFS(tData[SEHTrajectPeriodeDatumTijdVan],"&lt;="&amp;($A102+8/24),tData[SEHTrajectPeriodeDatumTijdTotEnMet],"&gt;"&amp;($A102+8/24))</f>
        <v/>
      </c>
      <c r="M102" s="20">
        <f>COUNTIFS(tData[SEHTrajectPeriodeDatumTijdVan],"&lt;="&amp;($A102+9/24),tData[SEHTrajectPeriodeDatumTijdTotEnMet],"&gt;"&amp;($A102+9/24))</f>
        <v/>
      </c>
      <c r="N102" s="20">
        <f>COUNTIFS(tData[SEHTrajectPeriodeDatumTijdVan],"&lt;="&amp;($A102+10/24),tData[SEHTrajectPeriodeDatumTijdTotEnMet],"&gt;"&amp;($A102+10/24))</f>
        <v/>
      </c>
      <c r="O102" s="20">
        <f>COUNTIFS(tData[SEHTrajectPeriodeDatumTijdVan],"&lt;="&amp;($A102+11/24),tData[SEHTrajectPeriodeDatumTijdTotEnMet],"&gt;"&amp;($A102+11/24))</f>
        <v/>
      </c>
      <c r="P102" s="20">
        <f>COUNTIFS(tData[SEHTrajectPeriodeDatumTijdVan],"&lt;="&amp;($A102+12/24),tData[SEHTrajectPeriodeDatumTijdTotEnMet],"&gt;"&amp;($A102+12/24))</f>
        <v/>
      </c>
      <c r="Q102" s="20">
        <f>COUNTIFS(tData[SEHTrajectPeriodeDatumTijdVan],"&lt;="&amp;($A102+13/24),tData[SEHTrajectPeriodeDatumTijdTotEnMet],"&gt;"&amp;($A102+13/24))</f>
        <v/>
      </c>
      <c r="R102" s="20">
        <f>COUNTIFS(tData[SEHTrajectPeriodeDatumTijdVan],"&lt;="&amp;($A102+14/24),tData[SEHTrajectPeriodeDatumTijdTotEnMet],"&gt;"&amp;($A102+14/24))</f>
        <v/>
      </c>
      <c r="S102" s="20">
        <f>COUNTIFS(tData[SEHTrajectPeriodeDatumTijdVan],"&lt;="&amp;($A102+15/24),tData[SEHTrajectPeriodeDatumTijdTotEnMet],"&gt;"&amp;($A102+15/24))</f>
        <v/>
      </c>
      <c r="T102" s="20">
        <f>COUNTIFS(tData[SEHTrajectPeriodeDatumTijdVan],"&lt;="&amp;($A102+16/24),tData[SEHTrajectPeriodeDatumTijdTotEnMet],"&gt;"&amp;($A102+16/24))</f>
        <v/>
      </c>
      <c r="U102" s="20">
        <f>COUNTIFS(tData[SEHTrajectPeriodeDatumTijdVan],"&lt;="&amp;($A102+17/24),tData[SEHTrajectPeriodeDatumTijdTotEnMet],"&gt;"&amp;($A102+17/24))</f>
        <v/>
      </c>
      <c r="V102" s="20">
        <f>COUNTIFS(tData[SEHTrajectPeriodeDatumTijdVan],"&lt;="&amp;($A102+18/24),tData[SEHTrajectPeriodeDatumTijdTotEnMet],"&gt;"&amp;($A102+18/24))</f>
        <v/>
      </c>
      <c r="W102" s="20">
        <f>COUNTIFS(tData[SEHTrajectPeriodeDatumTijdVan],"&lt;="&amp;($A102+19/24),tData[SEHTrajectPeriodeDatumTijdTotEnMet],"&gt;"&amp;($A102+19/24))</f>
        <v/>
      </c>
      <c r="X102" s="20">
        <f>COUNTIFS(tData[SEHTrajectPeriodeDatumTijdVan],"&lt;="&amp;($A102+20/24),tData[SEHTrajectPeriodeDatumTijdTotEnMet],"&gt;"&amp;($A102+20/24))</f>
        <v/>
      </c>
      <c r="Y102" s="20">
        <f>COUNTIFS(tData[SEHTrajectPeriodeDatumTijdVan],"&lt;="&amp;($A102+21/24),tData[SEHTrajectPeriodeDatumTijdTotEnMet],"&gt;"&amp;($A102+21/24))</f>
        <v/>
      </c>
      <c r="Z102" s="20">
        <f>COUNTIFS(tData[SEHTrajectPeriodeDatumTijdVan],"&lt;="&amp;($A102+22/24),tData[SEHTrajectPeriodeDatumTijdTotEnMet],"&gt;"&amp;($A102+22/24))</f>
        <v/>
      </c>
      <c r="AA102" s="20">
        <f>COUNTIFS(tData[SEHTrajectPeriodeDatumTijdVan],"&lt;="&amp;($A102+23/24),tData[SEHTrajectPeriodeDatumTijdTotEnMet],"&gt;"&amp;($A102+23/24))</f>
        <v/>
      </c>
    </row>
    <row r="103">
      <c r="A103" s="19" t="n">
        <v>45391</v>
      </c>
      <c r="B103" s="15">
        <f>WEEKDAY($A103,2)</f>
        <v/>
      </c>
      <c r="C103" s="15">
        <f>IF(AND($A103&gt;=INT(Instellingen!$B$5),$A103&lt;=INT(Instellingen!$B$6)),1,0)</f>
        <v/>
      </c>
      <c r="D103" s="20">
        <f>COUNTIFS(tData[SEHTrajectPeriodeDatumTijdVan],"&lt;="&amp;($A103+0/24),tData[SEHTrajectPeriodeDatumTijdTotEnMet],"&gt;"&amp;($A103+0/24))</f>
        <v/>
      </c>
      <c r="E103" s="20">
        <f>COUNTIFS(tData[SEHTrajectPeriodeDatumTijdVan],"&lt;="&amp;($A103+1/24),tData[SEHTrajectPeriodeDatumTijdTotEnMet],"&gt;"&amp;($A103+1/24))</f>
        <v/>
      </c>
      <c r="F103" s="20">
        <f>COUNTIFS(tData[SEHTrajectPeriodeDatumTijdVan],"&lt;="&amp;($A103+2/24),tData[SEHTrajectPeriodeDatumTijdTotEnMet],"&gt;"&amp;($A103+2/24))</f>
        <v/>
      </c>
      <c r="G103" s="20">
        <f>COUNTIFS(tData[SEHTrajectPeriodeDatumTijdVan],"&lt;="&amp;($A103+3/24),tData[SEHTrajectPeriodeDatumTijdTotEnMet],"&gt;"&amp;($A103+3/24))</f>
        <v/>
      </c>
      <c r="H103" s="20">
        <f>COUNTIFS(tData[SEHTrajectPeriodeDatumTijdVan],"&lt;="&amp;($A103+4/24),tData[SEHTrajectPeriodeDatumTijdTotEnMet],"&gt;"&amp;($A103+4/24))</f>
        <v/>
      </c>
      <c r="I103" s="20">
        <f>COUNTIFS(tData[SEHTrajectPeriodeDatumTijdVan],"&lt;="&amp;($A103+5/24),tData[SEHTrajectPeriodeDatumTijdTotEnMet],"&gt;"&amp;($A103+5/24))</f>
        <v/>
      </c>
      <c r="J103" s="20">
        <f>COUNTIFS(tData[SEHTrajectPeriodeDatumTijdVan],"&lt;="&amp;($A103+6/24),tData[SEHTrajectPeriodeDatumTijdTotEnMet],"&gt;"&amp;($A103+6/24))</f>
        <v/>
      </c>
      <c r="K103" s="20">
        <f>COUNTIFS(tData[SEHTrajectPeriodeDatumTijdVan],"&lt;="&amp;($A103+7/24),tData[SEHTrajectPeriodeDatumTijdTotEnMet],"&gt;"&amp;($A103+7/24))</f>
        <v/>
      </c>
      <c r="L103" s="20">
        <f>COUNTIFS(tData[SEHTrajectPeriodeDatumTijdVan],"&lt;="&amp;($A103+8/24),tData[SEHTrajectPeriodeDatumTijdTotEnMet],"&gt;"&amp;($A103+8/24))</f>
        <v/>
      </c>
      <c r="M103" s="20">
        <f>COUNTIFS(tData[SEHTrajectPeriodeDatumTijdVan],"&lt;="&amp;($A103+9/24),tData[SEHTrajectPeriodeDatumTijdTotEnMet],"&gt;"&amp;($A103+9/24))</f>
        <v/>
      </c>
      <c r="N103" s="20">
        <f>COUNTIFS(tData[SEHTrajectPeriodeDatumTijdVan],"&lt;="&amp;($A103+10/24),tData[SEHTrajectPeriodeDatumTijdTotEnMet],"&gt;"&amp;($A103+10/24))</f>
        <v/>
      </c>
      <c r="O103" s="20">
        <f>COUNTIFS(tData[SEHTrajectPeriodeDatumTijdVan],"&lt;="&amp;($A103+11/24),tData[SEHTrajectPeriodeDatumTijdTotEnMet],"&gt;"&amp;($A103+11/24))</f>
        <v/>
      </c>
      <c r="P103" s="20">
        <f>COUNTIFS(tData[SEHTrajectPeriodeDatumTijdVan],"&lt;="&amp;($A103+12/24),tData[SEHTrajectPeriodeDatumTijdTotEnMet],"&gt;"&amp;($A103+12/24))</f>
        <v/>
      </c>
      <c r="Q103" s="20">
        <f>COUNTIFS(tData[SEHTrajectPeriodeDatumTijdVan],"&lt;="&amp;($A103+13/24),tData[SEHTrajectPeriodeDatumTijdTotEnMet],"&gt;"&amp;($A103+13/24))</f>
        <v/>
      </c>
      <c r="R103" s="20">
        <f>COUNTIFS(tData[SEHTrajectPeriodeDatumTijdVan],"&lt;="&amp;($A103+14/24),tData[SEHTrajectPeriodeDatumTijdTotEnMet],"&gt;"&amp;($A103+14/24))</f>
        <v/>
      </c>
      <c r="S103" s="20">
        <f>COUNTIFS(tData[SEHTrajectPeriodeDatumTijdVan],"&lt;="&amp;($A103+15/24),tData[SEHTrajectPeriodeDatumTijdTotEnMet],"&gt;"&amp;($A103+15/24))</f>
        <v/>
      </c>
      <c r="T103" s="20">
        <f>COUNTIFS(tData[SEHTrajectPeriodeDatumTijdVan],"&lt;="&amp;($A103+16/24),tData[SEHTrajectPeriodeDatumTijdTotEnMet],"&gt;"&amp;($A103+16/24))</f>
        <v/>
      </c>
      <c r="U103" s="20">
        <f>COUNTIFS(tData[SEHTrajectPeriodeDatumTijdVan],"&lt;="&amp;($A103+17/24),tData[SEHTrajectPeriodeDatumTijdTotEnMet],"&gt;"&amp;($A103+17/24))</f>
        <v/>
      </c>
      <c r="V103" s="20">
        <f>COUNTIFS(tData[SEHTrajectPeriodeDatumTijdVan],"&lt;="&amp;($A103+18/24),tData[SEHTrajectPeriodeDatumTijdTotEnMet],"&gt;"&amp;($A103+18/24))</f>
        <v/>
      </c>
      <c r="W103" s="20">
        <f>COUNTIFS(tData[SEHTrajectPeriodeDatumTijdVan],"&lt;="&amp;($A103+19/24),tData[SEHTrajectPeriodeDatumTijdTotEnMet],"&gt;"&amp;($A103+19/24))</f>
        <v/>
      </c>
      <c r="X103" s="20">
        <f>COUNTIFS(tData[SEHTrajectPeriodeDatumTijdVan],"&lt;="&amp;($A103+20/24),tData[SEHTrajectPeriodeDatumTijdTotEnMet],"&gt;"&amp;($A103+20/24))</f>
        <v/>
      </c>
      <c r="Y103" s="20">
        <f>COUNTIFS(tData[SEHTrajectPeriodeDatumTijdVan],"&lt;="&amp;($A103+21/24),tData[SEHTrajectPeriodeDatumTijdTotEnMet],"&gt;"&amp;($A103+21/24))</f>
        <v/>
      </c>
      <c r="Z103" s="20">
        <f>COUNTIFS(tData[SEHTrajectPeriodeDatumTijdVan],"&lt;="&amp;($A103+22/24),tData[SEHTrajectPeriodeDatumTijdTotEnMet],"&gt;"&amp;($A103+22/24))</f>
        <v/>
      </c>
      <c r="AA103" s="20">
        <f>COUNTIFS(tData[SEHTrajectPeriodeDatumTijdVan],"&lt;="&amp;($A103+23/24),tData[SEHTrajectPeriodeDatumTijdTotEnMet],"&gt;"&amp;($A103+23/24))</f>
        <v/>
      </c>
    </row>
    <row r="104">
      <c r="A104" s="19" t="n">
        <v>45392</v>
      </c>
      <c r="B104" s="15">
        <f>WEEKDAY($A104,2)</f>
        <v/>
      </c>
      <c r="C104" s="15">
        <f>IF(AND($A104&gt;=INT(Instellingen!$B$5),$A104&lt;=INT(Instellingen!$B$6)),1,0)</f>
        <v/>
      </c>
      <c r="D104" s="20">
        <f>COUNTIFS(tData[SEHTrajectPeriodeDatumTijdVan],"&lt;="&amp;($A104+0/24),tData[SEHTrajectPeriodeDatumTijdTotEnMet],"&gt;"&amp;($A104+0/24))</f>
        <v/>
      </c>
      <c r="E104" s="20">
        <f>COUNTIFS(tData[SEHTrajectPeriodeDatumTijdVan],"&lt;="&amp;($A104+1/24),tData[SEHTrajectPeriodeDatumTijdTotEnMet],"&gt;"&amp;($A104+1/24))</f>
        <v/>
      </c>
      <c r="F104" s="20">
        <f>COUNTIFS(tData[SEHTrajectPeriodeDatumTijdVan],"&lt;="&amp;($A104+2/24),tData[SEHTrajectPeriodeDatumTijdTotEnMet],"&gt;"&amp;($A104+2/24))</f>
        <v/>
      </c>
      <c r="G104" s="20">
        <f>COUNTIFS(tData[SEHTrajectPeriodeDatumTijdVan],"&lt;="&amp;($A104+3/24),tData[SEHTrajectPeriodeDatumTijdTotEnMet],"&gt;"&amp;($A104+3/24))</f>
        <v/>
      </c>
      <c r="H104" s="20">
        <f>COUNTIFS(tData[SEHTrajectPeriodeDatumTijdVan],"&lt;="&amp;($A104+4/24),tData[SEHTrajectPeriodeDatumTijdTotEnMet],"&gt;"&amp;($A104+4/24))</f>
        <v/>
      </c>
      <c r="I104" s="20">
        <f>COUNTIFS(tData[SEHTrajectPeriodeDatumTijdVan],"&lt;="&amp;($A104+5/24),tData[SEHTrajectPeriodeDatumTijdTotEnMet],"&gt;"&amp;($A104+5/24))</f>
        <v/>
      </c>
      <c r="J104" s="20">
        <f>COUNTIFS(tData[SEHTrajectPeriodeDatumTijdVan],"&lt;="&amp;($A104+6/24),tData[SEHTrajectPeriodeDatumTijdTotEnMet],"&gt;"&amp;($A104+6/24))</f>
        <v/>
      </c>
      <c r="K104" s="20">
        <f>COUNTIFS(tData[SEHTrajectPeriodeDatumTijdVan],"&lt;="&amp;($A104+7/24),tData[SEHTrajectPeriodeDatumTijdTotEnMet],"&gt;"&amp;($A104+7/24))</f>
        <v/>
      </c>
      <c r="L104" s="20">
        <f>COUNTIFS(tData[SEHTrajectPeriodeDatumTijdVan],"&lt;="&amp;($A104+8/24),tData[SEHTrajectPeriodeDatumTijdTotEnMet],"&gt;"&amp;($A104+8/24))</f>
        <v/>
      </c>
      <c r="M104" s="20">
        <f>COUNTIFS(tData[SEHTrajectPeriodeDatumTijdVan],"&lt;="&amp;($A104+9/24),tData[SEHTrajectPeriodeDatumTijdTotEnMet],"&gt;"&amp;($A104+9/24))</f>
        <v/>
      </c>
      <c r="N104" s="20">
        <f>COUNTIFS(tData[SEHTrajectPeriodeDatumTijdVan],"&lt;="&amp;($A104+10/24),tData[SEHTrajectPeriodeDatumTijdTotEnMet],"&gt;"&amp;($A104+10/24))</f>
        <v/>
      </c>
      <c r="O104" s="20">
        <f>COUNTIFS(tData[SEHTrajectPeriodeDatumTijdVan],"&lt;="&amp;($A104+11/24),tData[SEHTrajectPeriodeDatumTijdTotEnMet],"&gt;"&amp;($A104+11/24))</f>
        <v/>
      </c>
      <c r="P104" s="20">
        <f>COUNTIFS(tData[SEHTrajectPeriodeDatumTijdVan],"&lt;="&amp;($A104+12/24),tData[SEHTrajectPeriodeDatumTijdTotEnMet],"&gt;"&amp;($A104+12/24))</f>
        <v/>
      </c>
      <c r="Q104" s="20">
        <f>COUNTIFS(tData[SEHTrajectPeriodeDatumTijdVan],"&lt;="&amp;($A104+13/24),tData[SEHTrajectPeriodeDatumTijdTotEnMet],"&gt;"&amp;($A104+13/24))</f>
        <v/>
      </c>
      <c r="R104" s="20">
        <f>COUNTIFS(tData[SEHTrajectPeriodeDatumTijdVan],"&lt;="&amp;($A104+14/24),tData[SEHTrajectPeriodeDatumTijdTotEnMet],"&gt;"&amp;($A104+14/24))</f>
        <v/>
      </c>
      <c r="S104" s="20">
        <f>COUNTIFS(tData[SEHTrajectPeriodeDatumTijdVan],"&lt;="&amp;($A104+15/24),tData[SEHTrajectPeriodeDatumTijdTotEnMet],"&gt;"&amp;($A104+15/24))</f>
        <v/>
      </c>
      <c r="T104" s="20">
        <f>COUNTIFS(tData[SEHTrajectPeriodeDatumTijdVan],"&lt;="&amp;($A104+16/24),tData[SEHTrajectPeriodeDatumTijdTotEnMet],"&gt;"&amp;($A104+16/24))</f>
        <v/>
      </c>
      <c r="U104" s="20">
        <f>COUNTIFS(tData[SEHTrajectPeriodeDatumTijdVan],"&lt;="&amp;($A104+17/24),tData[SEHTrajectPeriodeDatumTijdTotEnMet],"&gt;"&amp;($A104+17/24))</f>
        <v/>
      </c>
      <c r="V104" s="20">
        <f>COUNTIFS(tData[SEHTrajectPeriodeDatumTijdVan],"&lt;="&amp;($A104+18/24),tData[SEHTrajectPeriodeDatumTijdTotEnMet],"&gt;"&amp;($A104+18/24))</f>
        <v/>
      </c>
      <c r="W104" s="20">
        <f>COUNTIFS(tData[SEHTrajectPeriodeDatumTijdVan],"&lt;="&amp;($A104+19/24),tData[SEHTrajectPeriodeDatumTijdTotEnMet],"&gt;"&amp;($A104+19/24))</f>
        <v/>
      </c>
      <c r="X104" s="20">
        <f>COUNTIFS(tData[SEHTrajectPeriodeDatumTijdVan],"&lt;="&amp;($A104+20/24),tData[SEHTrajectPeriodeDatumTijdTotEnMet],"&gt;"&amp;($A104+20/24))</f>
        <v/>
      </c>
      <c r="Y104" s="20">
        <f>COUNTIFS(tData[SEHTrajectPeriodeDatumTijdVan],"&lt;="&amp;($A104+21/24),tData[SEHTrajectPeriodeDatumTijdTotEnMet],"&gt;"&amp;($A104+21/24))</f>
        <v/>
      </c>
      <c r="Z104" s="20">
        <f>COUNTIFS(tData[SEHTrajectPeriodeDatumTijdVan],"&lt;="&amp;($A104+22/24),tData[SEHTrajectPeriodeDatumTijdTotEnMet],"&gt;"&amp;($A104+22/24))</f>
        <v/>
      </c>
      <c r="AA104" s="20">
        <f>COUNTIFS(tData[SEHTrajectPeriodeDatumTijdVan],"&lt;="&amp;($A104+23/24),tData[SEHTrajectPeriodeDatumTijdTotEnMet],"&gt;"&amp;($A104+23/24))</f>
        <v/>
      </c>
    </row>
    <row r="105">
      <c r="A105" s="19" t="n">
        <v>45393</v>
      </c>
      <c r="B105" s="15">
        <f>WEEKDAY($A105,2)</f>
        <v/>
      </c>
      <c r="C105" s="15">
        <f>IF(AND($A105&gt;=INT(Instellingen!$B$5),$A105&lt;=INT(Instellingen!$B$6)),1,0)</f>
        <v/>
      </c>
      <c r="D105" s="20">
        <f>COUNTIFS(tData[SEHTrajectPeriodeDatumTijdVan],"&lt;="&amp;($A105+0/24),tData[SEHTrajectPeriodeDatumTijdTotEnMet],"&gt;"&amp;($A105+0/24))</f>
        <v/>
      </c>
      <c r="E105" s="20">
        <f>COUNTIFS(tData[SEHTrajectPeriodeDatumTijdVan],"&lt;="&amp;($A105+1/24),tData[SEHTrajectPeriodeDatumTijdTotEnMet],"&gt;"&amp;($A105+1/24))</f>
        <v/>
      </c>
      <c r="F105" s="20">
        <f>COUNTIFS(tData[SEHTrajectPeriodeDatumTijdVan],"&lt;="&amp;($A105+2/24),tData[SEHTrajectPeriodeDatumTijdTotEnMet],"&gt;"&amp;($A105+2/24))</f>
        <v/>
      </c>
      <c r="G105" s="20">
        <f>COUNTIFS(tData[SEHTrajectPeriodeDatumTijdVan],"&lt;="&amp;($A105+3/24),tData[SEHTrajectPeriodeDatumTijdTotEnMet],"&gt;"&amp;($A105+3/24))</f>
        <v/>
      </c>
      <c r="H105" s="20">
        <f>COUNTIFS(tData[SEHTrajectPeriodeDatumTijdVan],"&lt;="&amp;($A105+4/24),tData[SEHTrajectPeriodeDatumTijdTotEnMet],"&gt;"&amp;($A105+4/24))</f>
        <v/>
      </c>
      <c r="I105" s="20">
        <f>COUNTIFS(tData[SEHTrajectPeriodeDatumTijdVan],"&lt;="&amp;($A105+5/24),tData[SEHTrajectPeriodeDatumTijdTotEnMet],"&gt;"&amp;($A105+5/24))</f>
        <v/>
      </c>
      <c r="J105" s="20">
        <f>COUNTIFS(tData[SEHTrajectPeriodeDatumTijdVan],"&lt;="&amp;($A105+6/24),tData[SEHTrajectPeriodeDatumTijdTotEnMet],"&gt;"&amp;($A105+6/24))</f>
        <v/>
      </c>
      <c r="K105" s="20">
        <f>COUNTIFS(tData[SEHTrajectPeriodeDatumTijdVan],"&lt;="&amp;($A105+7/24),tData[SEHTrajectPeriodeDatumTijdTotEnMet],"&gt;"&amp;($A105+7/24))</f>
        <v/>
      </c>
      <c r="L105" s="20">
        <f>COUNTIFS(tData[SEHTrajectPeriodeDatumTijdVan],"&lt;="&amp;($A105+8/24),tData[SEHTrajectPeriodeDatumTijdTotEnMet],"&gt;"&amp;($A105+8/24))</f>
        <v/>
      </c>
      <c r="M105" s="20">
        <f>COUNTIFS(tData[SEHTrajectPeriodeDatumTijdVan],"&lt;="&amp;($A105+9/24),tData[SEHTrajectPeriodeDatumTijdTotEnMet],"&gt;"&amp;($A105+9/24))</f>
        <v/>
      </c>
      <c r="N105" s="20">
        <f>COUNTIFS(tData[SEHTrajectPeriodeDatumTijdVan],"&lt;="&amp;($A105+10/24),tData[SEHTrajectPeriodeDatumTijdTotEnMet],"&gt;"&amp;($A105+10/24))</f>
        <v/>
      </c>
      <c r="O105" s="20">
        <f>COUNTIFS(tData[SEHTrajectPeriodeDatumTijdVan],"&lt;="&amp;($A105+11/24),tData[SEHTrajectPeriodeDatumTijdTotEnMet],"&gt;"&amp;($A105+11/24))</f>
        <v/>
      </c>
      <c r="P105" s="20">
        <f>COUNTIFS(tData[SEHTrajectPeriodeDatumTijdVan],"&lt;="&amp;($A105+12/24),tData[SEHTrajectPeriodeDatumTijdTotEnMet],"&gt;"&amp;($A105+12/24))</f>
        <v/>
      </c>
      <c r="Q105" s="20">
        <f>COUNTIFS(tData[SEHTrajectPeriodeDatumTijdVan],"&lt;="&amp;($A105+13/24),tData[SEHTrajectPeriodeDatumTijdTotEnMet],"&gt;"&amp;($A105+13/24))</f>
        <v/>
      </c>
      <c r="R105" s="20">
        <f>COUNTIFS(tData[SEHTrajectPeriodeDatumTijdVan],"&lt;="&amp;($A105+14/24),tData[SEHTrajectPeriodeDatumTijdTotEnMet],"&gt;"&amp;($A105+14/24))</f>
        <v/>
      </c>
      <c r="S105" s="20">
        <f>COUNTIFS(tData[SEHTrajectPeriodeDatumTijdVan],"&lt;="&amp;($A105+15/24),tData[SEHTrajectPeriodeDatumTijdTotEnMet],"&gt;"&amp;($A105+15/24))</f>
        <v/>
      </c>
      <c r="T105" s="20">
        <f>COUNTIFS(tData[SEHTrajectPeriodeDatumTijdVan],"&lt;="&amp;($A105+16/24),tData[SEHTrajectPeriodeDatumTijdTotEnMet],"&gt;"&amp;($A105+16/24))</f>
        <v/>
      </c>
      <c r="U105" s="20">
        <f>COUNTIFS(tData[SEHTrajectPeriodeDatumTijdVan],"&lt;="&amp;($A105+17/24),tData[SEHTrajectPeriodeDatumTijdTotEnMet],"&gt;"&amp;($A105+17/24))</f>
        <v/>
      </c>
      <c r="V105" s="20">
        <f>COUNTIFS(tData[SEHTrajectPeriodeDatumTijdVan],"&lt;="&amp;($A105+18/24),tData[SEHTrajectPeriodeDatumTijdTotEnMet],"&gt;"&amp;($A105+18/24))</f>
        <v/>
      </c>
      <c r="W105" s="20">
        <f>COUNTIFS(tData[SEHTrajectPeriodeDatumTijdVan],"&lt;="&amp;($A105+19/24),tData[SEHTrajectPeriodeDatumTijdTotEnMet],"&gt;"&amp;($A105+19/24))</f>
        <v/>
      </c>
      <c r="X105" s="20">
        <f>COUNTIFS(tData[SEHTrajectPeriodeDatumTijdVan],"&lt;="&amp;($A105+20/24),tData[SEHTrajectPeriodeDatumTijdTotEnMet],"&gt;"&amp;($A105+20/24))</f>
        <v/>
      </c>
      <c r="Y105" s="20">
        <f>COUNTIFS(tData[SEHTrajectPeriodeDatumTijdVan],"&lt;="&amp;($A105+21/24),tData[SEHTrajectPeriodeDatumTijdTotEnMet],"&gt;"&amp;($A105+21/24))</f>
        <v/>
      </c>
      <c r="Z105" s="20">
        <f>COUNTIFS(tData[SEHTrajectPeriodeDatumTijdVan],"&lt;="&amp;($A105+22/24),tData[SEHTrajectPeriodeDatumTijdTotEnMet],"&gt;"&amp;($A105+22/24))</f>
        <v/>
      </c>
      <c r="AA105" s="20">
        <f>COUNTIFS(tData[SEHTrajectPeriodeDatumTijdVan],"&lt;="&amp;($A105+23/24),tData[SEHTrajectPeriodeDatumTijdTotEnMet],"&gt;"&amp;($A105+23/24))</f>
        <v/>
      </c>
    </row>
    <row r="106">
      <c r="A106" s="19" t="n">
        <v>45394</v>
      </c>
      <c r="B106" s="15">
        <f>WEEKDAY($A106,2)</f>
        <v/>
      </c>
      <c r="C106" s="15">
        <f>IF(AND($A106&gt;=INT(Instellingen!$B$5),$A106&lt;=INT(Instellingen!$B$6)),1,0)</f>
        <v/>
      </c>
      <c r="D106" s="20">
        <f>COUNTIFS(tData[SEHTrajectPeriodeDatumTijdVan],"&lt;="&amp;($A106+0/24),tData[SEHTrajectPeriodeDatumTijdTotEnMet],"&gt;"&amp;($A106+0/24))</f>
        <v/>
      </c>
      <c r="E106" s="20">
        <f>COUNTIFS(tData[SEHTrajectPeriodeDatumTijdVan],"&lt;="&amp;($A106+1/24),tData[SEHTrajectPeriodeDatumTijdTotEnMet],"&gt;"&amp;($A106+1/24))</f>
        <v/>
      </c>
      <c r="F106" s="20">
        <f>COUNTIFS(tData[SEHTrajectPeriodeDatumTijdVan],"&lt;="&amp;($A106+2/24),tData[SEHTrajectPeriodeDatumTijdTotEnMet],"&gt;"&amp;($A106+2/24))</f>
        <v/>
      </c>
      <c r="G106" s="20">
        <f>COUNTIFS(tData[SEHTrajectPeriodeDatumTijdVan],"&lt;="&amp;($A106+3/24),tData[SEHTrajectPeriodeDatumTijdTotEnMet],"&gt;"&amp;($A106+3/24))</f>
        <v/>
      </c>
      <c r="H106" s="20">
        <f>COUNTIFS(tData[SEHTrajectPeriodeDatumTijdVan],"&lt;="&amp;($A106+4/24),tData[SEHTrajectPeriodeDatumTijdTotEnMet],"&gt;"&amp;($A106+4/24))</f>
        <v/>
      </c>
      <c r="I106" s="20">
        <f>COUNTIFS(tData[SEHTrajectPeriodeDatumTijdVan],"&lt;="&amp;($A106+5/24),tData[SEHTrajectPeriodeDatumTijdTotEnMet],"&gt;"&amp;($A106+5/24))</f>
        <v/>
      </c>
      <c r="J106" s="20">
        <f>COUNTIFS(tData[SEHTrajectPeriodeDatumTijdVan],"&lt;="&amp;($A106+6/24),tData[SEHTrajectPeriodeDatumTijdTotEnMet],"&gt;"&amp;($A106+6/24))</f>
        <v/>
      </c>
      <c r="K106" s="20">
        <f>COUNTIFS(tData[SEHTrajectPeriodeDatumTijdVan],"&lt;="&amp;($A106+7/24),tData[SEHTrajectPeriodeDatumTijdTotEnMet],"&gt;"&amp;($A106+7/24))</f>
        <v/>
      </c>
      <c r="L106" s="20">
        <f>COUNTIFS(tData[SEHTrajectPeriodeDatumTijdVan],"&lt;="&amp;($A106+8/24),tData[SEHTrajectPeriodeDatumTijdTotEnMet],"&gt;"&amp;($A106+8/24))</f>
        <v/>
      </c>
      <c r="M106" s="20">
        <f>COUNTIFS(tData[SEHTrajectPeriodeDatumTijdVan],"&lt;="&amp;($A106+9/24),tData[SEHTrajectPeriodeDatumTijdTotEnMet],"&gt;"&amp;($A106+9/24))</f>
        <v/>
      </c>
      <c r="N106" s="20">
        <f>COUNTIFS(tData[SEHTrajectPeriodeDatumTijdVan],"&lt;="&amp;($A106+10/24),tData[SEHTrajectPeriodeDatumTijdTotEnMet],"&gt;"&amp;($A106+10/24))</f>
        <v/>
      </c>
      <c r="O106" s="20">
        <f>COUNTIFS(tData[SEHTrajectPeriodeDatumTijdVan],"&lt;="&amp;($A106+11/24),tData[SEHTrajectPeriodeDatumTijdTotEnMet],"&gt;"&amp;($A106+11/24))</f>
        <v/>
      </c>
      <c r="P106" s="20">
        <f>COUNTIFS(tData[SEHTrajectPeriodeDatumTijdVan],"&lt;="&amp;($A106+12/24),tData[SEHTrajectPeriodeDatumTijdTotEnMet],"&gt;"&amp;($A106+12/24))</f>
        <v/>
      </c>
      <c r="Q106" s="20">
        <f>COUNTIFS(tData[SEHTrajectPeriodeDatumTijdVan],"&lt;="&amp;($A106+13/24),tData[SEHTrajectPeriodeDatumTijdTotEnMet],"&gt;"&amp;($A106+13/24))</f>
        <v/>
      </c>
      <c r="R106" s="20">
        <f>COUNTIFS(tData[SEHTrajectPeriodeDatumTijdVan],"&lt;="&amp;($A106+14/24),tData[SEHTrajectPeriodeDatumTijdTotEnMet],"&gt;"&amp;($A106+14/24))</f>
        <v/>
      </c>
      <c r="S106" s="20">
        <f>COUNTIFS(tData[SEHTrajectPeriodeDatumTijdVan],"&lt;="&amp;($A106+15/24),tData[SEHTrajectPeriodeDatumTijdTotEnMet],"&gt;"&amp;($A106+15/24))</f>
        <v/>
      </c>
      <c r="T106" s="20">
        <f>COUNTIFS(tData[SEHTrajectPeriodeDatumTijdVan],"&lt;="&amp;($A106+16/24),tData[SEHTrajectPeriodeDatumTijdTotEnMet],"&gt;"&amp;($A106+16/24))</f>
        <v/>
      </c>
      <c r="U106" s="20">
        <f>COUNTIFS(tData[SEHTrajectPeriodeDatumTijdVan],"&lt;="&amp;($A106+17/24),tData[SEHTrajectPeriodeDatumTijdTotEnMet],"&gt;"&amp;($A106+17/24))</f>
        <v/>
      </c>
      <c r="V106" s="20">
        <f>COUNTIFS(tData[SEHTrajectPeriodeDatumTijdVan],"&lt;="&amp;($A106+18/24),tData[SEHTrajectPeriodeDatumTijdTotEnMet],"&gt;"&amp;($A106+18/24))</f>
        <v/>
      </c>
      <c r="W106" s="20">
        <f>COUNTIFS(tData[SEHTrajectPeriodeDatumTijdVan],"&lt;="&amp;($A106+19/24),tData[SEHTrajectPeriodeDatumTijdTotEnMet],"&gt;"&amp;($A106+19/24))</f>
        <v/>
      </c>
      <c r="X106" s="20">
        <f>COUNTIFS(tData[SEHTrajectPeriodeDatumTijdVan],"&lt;="&amp;($A106+20/24),tData[SEHTrajectPeriodeDatumTijdTotEnMet],"&gt;"&amp;($A106+20/24))</f>
        <v/>
      </c>
      <c r="Y106" s="20">
        <f>COUNTIFS(tData[SEHTrajectPeriodeDatumTijdVan],"&lt;="&amp;($A106+21/24),tData[SEHTrajectPeriodeDatumTijdTotEnMet],"&gt;"&amp;($A106+21/24))</f>
        <v/>
      </c>
      <c r="Z106" s="20">
        <f>COUNTIFS(tData[SEHTrajectPeriodeDatumTijdVan],"&lt;="&amp;($A106+22/24),tData[SEHTrajectPeriodeDatumTijdTotEnMet],"&gt;"&amp;($A106+22/24))</f>
        <v/>
      </c>
      <c r="AA106" s="20">
        <f>COUNTIFS(tData[SEHTrajectPeriodeDatumTijdVan],"&lt;="&amp;($A106+23/24),tData[SEHTrajectPeriodeDatumTijdTotEnMet],"&gt;"&amp;($A106+23/24))</f>
        <v/>
      </c>
    </row>
    <row r="107">
      <c r="A107" s="19" t="n">
        <v>45395</v>
      </c>
      <c r="B107" s="15">
        <f>WEEKDAY($A107,2)</f>
        <v/>
      </c>
      <c r="C107" s="15">
        <f>IF(AND($A107&gt;=INT(Instellingen!$B$5),$A107&lt;=INT(Instellingen!$B$6)),1,0)</f>
        <v/>
      </c>
      <c r="D107" s="20">
        <f>COUNTIFS(tData[SEHTrajectPeriodeDatumTijdVan],"&lt;="&amp;($A107+0/24),tData[SEHTrajectPeriodeDatumTijdTotEnMet],"&gt;"&amp;($A107+0/24))</f>
        <v/>
      </c>
      <c r="E107" s="20">
        <f>COUNTIFS(tData[SEHTrajectPeriodeDatumTijdVan],"&lt;="&amp;($A107+1/24),tData[SEHTrajectPeriodeDatumTijdTotEnMet],"&gt;"&amp;($A107+1/24))</f>
        <v/>
      </c>
      <c r="F107" s="20">
        <f>COUNTIFS(tData[SEHTrajectPeriodeDatumTijdVan],"&lt;="&amp;($A107+2/24),tData[SEHTrajectPeriodeDatumTijdTotEnMet],"&gt;"&amp;($A107+2/24))</f>
        <v/>
      </c>
      <c r="G107" s="20">
        <f>COUNTIFS(tData[SEHTrajectPeriodeDatumTijdVan],"&lt;="&amp;($A107+3/24),tData[SEHTrajectPeriodeDatumTijdTotEnMet],"&gt;"&amp;($A107+3/24))</f>
        <v/>
      </c>
      <c r="H107" s="20">
        <f>COUNTIFS(tData[SEHTrajectPeriodeDatumTijdVan],"&lt;="&amp;($A107+4/24),tData[SEHTrajectPeriodeDatumTijdTotEnMet],"&gt;"&amp;($A107+4/24))</f>
        <v/>
      </c>
      <c r="I107" s="20">
        <f>COUNTIFS(tData[SEHTrajectPeriodeDatumTijdVan],"&lt;="&amp;($A107+5/24),tData[SEHTrajectPeriodeDatumTijdTotEnMet],"&gt;"&amp;($A107+5/24))</f>
        <v/>
      </c>
      <c r="J107" s="20">
        <f>COUNTIFS(tData[SEHTrajectPeriodeDatumTijdVan],"&lt;="&amp;($A107+6/24),tData[SEHTrajectPeriodeDatumTijdTotEnMet],"&gt;"&amp;($A107+6/24))</f>
        <v/>
      </c>
      <c r="K107" s="20">
        <f>COUNTIFS(tData[SEHTrajectPeriodeDatumTijdVan],"&lt;="&amp;($A107+7/24),tData[SEHTrajectPeriodeDatumTijdTotEnMet],"&gt;"&amp;($A107+7/24))</f>
        <v/>
      </c>
      <c r="L107" s="20">
        <f>COUNTIFS(tData[SEHTrajectPeriodeDatumTijdVan],"&lt;="&amp;($A107+8/24),tData[SEHTrajectPeriodeDatumTijdTotEnMet],"&gt;"&amp;($A107+8/24))</f>
        <v/>
      </c>
      <c r="M107" s="20">
        <f>COUNTIFS(tData[SEHTrajectPeriodeDatumTijdVan],"&lt;="&amp;($A107+9/24),tData[SEHTrajectPeriodeDatumTijdTotEnMet],"&gt;"&amp;($A107+9/24))</f>
        <v/>
      </c>
      <c r="N107" s="20">
        <f>COUNTIFS(tData[SEHTrajectPeriodeDatumTijdVan],"&lt;="&amp;($A107+10/24),tData[SEHTrajectPeriodeDatumTijdTotEnMet],"&gt;"&amp;($A107+10/24))</f>
        <v/>
      </c>
      <c r="O107" s="20">
        <f>COUNTIFS(tData[SEHTrajectPeriodeDatumTijdVan],"&lt;="&amp;($A107+11/24),tData[SEHTrajectPeriodeDatumTijdTotEnMet],"&gt;"&amp;($A107+11/24))</f>
        <v/>
      </c>
      <c r="P107" s="20">
        <f>COUNTIFS(tData[SEHTrajectPeriodeDatumTijdVan],"&lt;="&amp;($A107+12/24),tData[SEHTrajectPeriodeDatumTijdTotEnMet],"&gt;"&amp;($A107+12/24))</f>
        <v/>
      </c>
      <c r="Q107" s="20">
        <f>COUNTIFS(tData[SEHTrajectPeriodeDatumTijdVan],"&lt;="&amp;($A107+13/24),tData[SEHTrajectPeriodeDatumTijdTotEnMet],"&gt;"&amp;($A107+13/24))</f>
        <v/>
      </c>
      <c r="R107" s="20">
        <f>COUNTIFS(tData[SEHTrajectPeriodeDatumTijdVan],"&lt;="&amp;($A107+14/24),tData[SEHTrajectPeriodeDatumTijdTotEnMet],"&gt;"&amp;($A107+14/24))</f>
        <v/>
      </c>
      <c r="S107" s="20">
        <f>COUNTIFS(tData[SEHTrajectPeriodeDatumTijdVan],"&lt;="&amp;($A107+15/24),tData[SEHTrajectPeriodeDatumTijdTotEnMet],"&gt;"&amp;($A107+15/24))</f>
        <v/>
      </c>
      <c r="T107" s="20">
        <f>COUNTIFS(tData[SEHTrajectPeriodeDatumTijdVan],"&lt;="&amp;($A107+16/24),tData[SEHTrajectPeriodeDatumTijdTotEnMet],"&gt;"&amp;($A107+16/24))</f>
        <v/>
      </c>
      <c r="U107" s="20">
        <f>COUNTIFS(tData[SEHTrajectPeriodeDatumTijdVan],"&lt;="&amp;($A107+17/24),tData[SEHTrajectPeriodeDatumTijdTotEnMet],"&gt;"&amp;($A107+17/24))</f>
        <v/>
      </c>
      <c r="V107" s="20">
        <f>COUNTIFS(tData[SEHTrajectPeriodeDatumTijdVan],"&lt;="&amp;($A107+18/24),tData[SEHTrajectPeriodeDatumTijdTotEnMet],"&gt;"&amp;($A107+18/24))</f>
        <v/>
      </c>
      <c r="W107" s="20">
        <f>COUNTIFS(tData[SEHTrajectPeriodeDatumTijdVan],"&lt;="&amp;($A107+19/24),tData[SEHTrajectPeriodeDatumTijdTotEnMet],"&gt;"&amp;($A107+19/24))</f>
        <v/>
      </c>
      <c r="X107" s="20">
        <f>COUNTIFS(tData[SEHTrajectPeriodeDatumTijdVan],"&lt;="&amp;($A107+20/24),tData[SEHTrajectPeriodeDatumTijdTotEnMet],"&gt;"&amp;($A107+20/24))</f>
        <v/>
      </c>
      <c r="Y107" s="20">
        <f>COUNTIFS(tData[SEHTrajectPeriodeDatumTijdVan],"&lt;="&amp;($A107+21/24),tData[SEHTrajectPeriodeDatumTijdTotEnMet],"&gt;"&amp;($A107+21/24))</f>
        <v/>
      </c>
      <c r="Z107" s="20">
        <f>COUNTIFS(tData[SEHTrajectPeriodeDatumTijdVan],"&lt;="&amp;($A107+22/24),tData[SEHTrajectPeriodeDatumTijdTotEnMet],"&gt;"&amp;($A107+22/24))</f>
        <v/>
      </c>
      <c r="AA107" s="20">
        <f>COUNTIFS(tData[SEHTrajectPeriodeDatumTijdVan],"&lt;="&amp;($A107+23/24),tData[SEHTrajectPeriodeDatumTijdTotEnMet],"&gt;"&amp;($A107+23/24))</f>
        <v/>
      </c>
    </row>
    <row r="108">
      <c r="A108" s="19" t="n">
        <v>45396</v>
      </c>
      <c r="B108" s="15">
        <f>WEEKDAY($A108,2)</f>
        <v/>
      </c>
      <c r="C108" s="15">
        <f>IF(AND($A108&gt;=INT(Instellingen!$B$5),$A108&lt;=INT(Instellingen!$B$6)),1,0)</f>
        <v/>
      </c>
      <c r="D108" s="20">
        <f>COUNTIFS(tData[SEHTrajectPeriodeDatumTijdVan],"&lt;="&amp;($A108+0/24),tData[SEHTrajectPeriodeDatumTijdTotEnMet],"&gt;"&amp;($A108+0/24))</f>
        <v/>
      </c>
      <c r="E108" s="20">
        <f>COUNTIFS(tData[SEHTrajectPeriodeDatumTijdVan],"&lt;="&amp;($A108+1/24),tData[SEHTrajectPeriodeDatumTijdTotEnMet],"&gt;"&amp;($A108+1/24))</f>
        <v/>
      </c>
      <c r="F108" s="20">
        <f>COUNTIFS(tData[SEHTrajectPeriodeDatumTijdVan],"&lt;="&amp;($A108+2/24),tData[SEHTrajectPeriodeDatumTijdTotEnMet],"&gt;"&amp;($A108+2/24))</f>
        <v/>
      </c>
      <c r="G108" s="20">
        <f>COUNTIFS(tData[SEHTrajectPeriodeDatumTijdVan],"&lt;="&amp;($A108+3/24),tData[SEHTrajectPeriodeDatumTijdTotEnMet],"&gt;"&amp;($A108+3/24))</f>
        <v/>
      </c>
      <c r="H108" s="20">
        <f>COUNTIFS(tData[SEHTrajectPeriodeDatumTijdVan],"&lt;="&amp;($A108+4/24),tData[SEHTrajectPeriodeDatumTijdTotEnMet],"&gt;"&amp;($A108+4/24))</f>
        <v/>
      </c>
      <c r="I108" s="20">
        <f>COUNTIFS(tData[SEHTrajectPeriodeDatumTijdVan],"&lt;="&amp;($A108+5/24),tData[SEHTrajectPeriodeDatumTijdTotEnMet],"&gt;"&amp;($A108+5/24))</f>
        <v/>
      </c>
      <c r="J108" s="20">
        <f>COUNTIFS(tData[SEHTrajectPeriodeDatumTijdVan],"&lt;="&amp;($A108+6/24),tData[SEHTrajectPeriodeDatumTijdTotEnMet],"&gt;"&amp;($A108+6/24))</f>
        <v/>
      </c>
      <c r="K108" s="20">
        <f>COUNTIFS(tData[SEHTrajectPeriodeDatumTijdVan],"&lt;="&amp;($A108+7/24),tData[SEHTrajectPeriodeDatumTijdTotEnMet],"&gt;"&amp;($A108+7/24))</f>
        <v/>
      </c>
      <c r="L108" s="20">
        <f>COUNTIFS(tData[SEHTrajectPeriodeDatumTijdVan],"&lt;="&amp;($A108+8/24),tData[SEHTrajectPeriodeDatumTijdTotEnMet],"&gt;"&amp;($A108+8/24))</f>
        <v/>
      </c>
      <c r="M108" s="20">
        <f>COUNTIFS(tData[SEHTrajectPeriodeDatumTijdVan],"&lt;="&amp;($A108+9/24),tData[SEHTrajectPeriodeDatumTijdTotEnMet],"&gt;"&amp;($A108+9/24))</f>
        <v/>
      </c>
      <c r="N108" s="20">
        <f>COUNTIFS(tData[SEHTrajectPeriodeDatumTijdVan],"&lt;="&amp;($A108+10/24),tData[SEHTrajectPeriodeDatumTijdTotEnMet],"&gt;"&amp;($A108+10/24))</f>
        <v/>
      </c>
      <c r="O108" s="20">
        <f>COUNTIFS(tData[SEHTrajectPeriodeDatumTijdVan],"&lt;="&amp;($A108+11/24),tData[SEHTrajectPeriodeDatumTijdTotEnMet],"&gt;"&amp;($A108+11/24))</f>
        <v/>
      </c>
      <c r="P108" s="20">
        <f>COUNTIFS(tData[SEHTrajectPeriodeDatumTijdVan],"&lt;="&amp;($A108+12/24),tData[SEHTrajectPeriodeDatumTijdTotEnMet],"&gt;"&amp;($A108+12/24))</f>
        <v/>
      </c>
      <c r="Q108" s="20">
        <f>COUNTIFS(tData[SEHTrajectPeriodeDatumTijdVan],"&lt;="&amp;($A108+13/24),tData[SEHTrajectPeriodeDatumTijdTotEnMet],"&gt;"&amp;($A108+13/24))</f>
        <v/>
      </c>
      <c r="R108" s="20">
        <f>COUNTIFS(tData[SEHTrajectPeriodeDatumTijdVan],"&lt;="&amp;($A108+14/24),tData[SEHTrajectPeriodeDatumTijdTotEnMet],"&gt;"&amp;($A108+14/24))</f>
        <v/>
      </c>
      <c r="S108" s="20">
        <f>COUNTIFS(tData[SEHTrajectPeriodeDatumTijdVan],"&lt;="&amp;($A108+15/24),tData[SEHTrajectPeriodeDatumTijdTotEnMet],"&gt;"&amp;($A108+15/24))</f>
        <v/>
      </c>
      <c r="T108" s="20">
        <f>COUNTIFS(tData[SEHTrajectPeriodeDatumTijdVan],"&lt;="&amp;($A108+16/24),tData[SEHTrajectPeriodeDatumTijdTotEnMet],"&gt;"&amp;($A108+16/24))</f>
        <v/>
      </c>
      <c r="U108" s="20">
        <f>COUNTIFS(tData[SEHTrajectPeriodeDatumTijdVan],"&lt;="&amp;($A108+17/24),tData[SEHTrajectPeriodeDatumTijdTotEnMet],"&gt;"&amp;($A108+17/24))</f>
        <v/>
      </c>
      <c r="V108" s="20">
        <f>COUNTIFS(tData[SEHTrajectPeriodeDatumTijdVan],"&lt;="&amp;($A108+18/24),tData[SEHTrajectPeriodeDatumTijdTotEnMet],"&gt;"&amp;($A108+18/24))</f>
        <v/>
      </c>
      <c r="W108" s="20">
        <f>COUNTIFS(tData[SEHTrajectPeriodeDatumTijdVan],"&lt;="&amp;($A108+19/24),tData[SEHTrajectPeriodeDatumTijdTotEnMet],"&gt;"&amp;($A108+19/24))</f>
        <v/>
      </c>
      <c r="X108" s="20">
        <f>COUNTIFS(tData[SEHTrajectPeriodeDatumTijdVan],"&lt;="&amp;($A108+20/24),tData[SEHTrajectPeriodeDatumTijdTotEnMet],"&gt;"&amp;($A108+20/24))</f>
        <v/>
      </c>
      <c r="Y108" s="20">
        <f>COUNTIFS(tData[SEHTrajectPeriodeDatumTijdVan],"&lt;="&amp;($A108+21/24),tData[SEHTrajectPeriodeDatumTijdTotEnMet],"&gt;"&amp;($A108+21/24))</f>
        <v/>
      </c>
      <c r="Z108" s="20">
        <f>COUNTIFS(tData[SEHTrajectPeriodeDatumTijdVan],"&lt;="&amp;($A108+22/24),tData[SEHTrajectPeriodeDatumTijdTotEnMet],"&gt;"&amp;($A108+22/24))</f>
        <v/>
      </c>
      <c r="AA108" s="20">
        <f>COUNTIFS(tData[SEHTrajectPeriodeDatumTijdVan],"&lt;="&amp;($A108+23/24),tData[SEHTrajectPeriodeDatumTijdTotEnMet],"&gt;"&amp;($A108+23/24))</f>
        <v/>
      </c>
    </row>
    <row r="109">
      <c r="A109" s="19" t="n">
        <v>45397</v>
      </c>
      <c r="B109" s="15">
        <f>WEEKDAY($A109,2)</f>
        <v/>
      </c>
      <c r="C109" s="15">
        <f>IF(AND($A109&gt;=INT(Instellingen!$B$5),$A109&lt;=INT(Instellingen!$B$6)),1,0)</f>
        <v/>
      </c>
      <c r="D109" s="20">
        <f>COUNTIFS(tData[SEHTrajectPeriodeDatumTijdVan],"&lt;="&amp;($A109+0/24),tData[SEHTrajectPeriodeDatumTijdTotEnMet],"&gt;"&amp;($A109+0/24))</f>
        <v/>
      </c>
      <c r="E109" s="20">
        <f>COUNTIFS(tData[SEHTrajectPeriodeDatumTijdVan],"&lt;="&amp;($A109+1/24),tData[SEHTrajectPeriodeDatumTijdTotEnMet],"&gt;"&amp;($A109+1/24))</f>
        <v/>
      </c>
      <c r="F109" s="20">
        <f>COUNTIFS(tData[SEHTrajectPeriodeDatumTijdVan],"&lt;="&amp;($A109+2/24),tData[SEHTrajectPeriodeDatumTijdTotEnMet],"&gt;"&amp;($A109+2/24))</f>
        <v/>
      </c>
      <c r="G109" s="20">
        <f>COUNTIFS(tData[SEHTrajectPeriodeDatumTijdVan],"&lt;="&amp;($A109+3/24),tData[SEHTrajectPeriodeDatumTijdTotEnMet],"&gt;"&amp;($A109+3/24))</f>
        <v/>
      </c>
      <c r="H109" s="20">
        <f>COUNTIFS(tData[SEHTrajectPeriodeDatumTijdVan],"&lt;="&amp;($A109+4/24),tData[SEHTrajectPeriodeDatumTijdTotEnMet],"&gt;"&amp;($A109+4/24))</f>
        <v/>
      </c>
      <c r="I109" s="20">
        <f>COUNTIFS(tData[SEHTrajectPeriodeDatumTijdVan],"&lt;="&amp;($A109+5/24),tData[SEHTrajectPeriodeDatumTijdTotEnMet],"&gt;"&amp;($A109+5/24))</f>
        <v/>
      </c>
      <c r="J109" s="20">
        <f>COUNTIFS(tData[SEHTrajectPeriodeDatumTijdVan],"&lt;="&amp;($A109+6/24),tData[SEHTrajectPeriodeDatumTijdTotEnMet],"&gt;"&amp;($A109+6/24))</f>
        <v/>
      </c>
      <c r="K109" s="20">
        <f>COUNTIFS(tData[SEHTrajectPeriodeDatumTijdVan],"&lt;="&amp;($A109+7/24),tData[SEHTrajectPeriodeDatumTijdTotEnMet],"&gt;"&amp;($A109+7/24))</f>
        <v/>
      </c>
      <c r="L109" s="20">
        <f>COUNTIFS(tData[SEHTrajectPeriodeDatumTijdVan],"&lt;="&amp;($A109+8/24),tData[SEHTrajectPeriodeDatumTijdTotEnMet],"&gt;"&amp;($A109+8/24))</f>
        <v/>
      </c>
      <c r="M109" s="20">
        <f>COUNTIFS(tData[SEHTrajectPeriodeDatumTijdVan],"&lt;="&amp;($A109+9/24),tData[SEHTrajectPeriodeDatumTijdTotEnMet],"&gt;"&amp;($A109+9/24))</f>
        <v/>
      </c>
      <c r="N109" s="20">
        <f>COUNTIFS(tData[SEHTrajectPeriodeDatumTijdVan],"&lt;="&amp;($A109+10/24),tData[SEHTrajectPeriodeDatumTijdTotEnMet],"&gt;"&amp;($A109+10/24))</f>
        <v/>
      </c>
      <c r="O109" s="20">
        <f>COUNTIFS(tData[SEHTrajectPeriodeDatumTijdVan],"&lt;="&amp;($A109+11/24),tData[SEHTrajectPeriodeDatumTijdTotEnMet],"&gt;"&amp;($A109+11/24))</f>
        <v/>
      </c>
      <c r="P109" s="20">
        <f>COUNTIFS(tData[SEHTrajectPeriodeDatumTijdVan],"&lt;="&amp;($A109+12/24),tData[SEHTrajectPeriodeDatumTijdTotEnMet],"&gt;"&amp;($A109+12/24))</f>
        <v/>
      </c>
      <c r="Q109" s="20">
        <f>COUNTIFS(tData[SEHTrajectPeriodeDatumTijdVan],"&lt;="&amp;($A109+13/24),tData[SEHTrajectPeriodeDatumTijdTotEnMet],"&gt;"&amp;($A109+13/24))</f>
        <v/>
      </c>
      <c r="R109" s="20">
        <f>COUNTIFS(tData[SEHTrajectPeriodeDatumTijdVan],"&lt;="&amp;($A109+14/24),tData[SEHTrajectPeriodeDatumTijdTotEnMet],"&gt;"&amp;($A109+14/24))</f>
        <v/>
      </c>
      <c r="S109" s="20">
        <f>COUNTIFS(tData[SEHTrajectPeriodeDatumTijdVan],"&lt;="&amp;($A109+15/24),tData[SEHTrajectPeriodeDatumTijdTotEnMet],"&gt;"&amp;($A109+15/24))</f>
        <v/>
      </c>
      <c r="T109" s="20">
        <f>COUNTIFS(tData[SEHTrajectPeriodeDatumTijdVan],"&lt;="&amp;($A109+16/24),tData[SEHTrajectPeriodeDatumTijdTotEnMet],"&gt;"&amp;($A109+16/24))</f>
        <v/>
      </c>
      <c r="U109" s="20">
        <f>COUNTIFS(tData[SEHTrajectPeriodeDatumTijdVan],"&lt;="&amp;($A109+17/24),tData[SEHTrajectPeriodeDatumTijdTotEnMet],"&gt;"&amp;($A109+17/24))</f>
        <v/>
      </c>
      <c r="V109" s="20">
        <f>COUNTIFS(tData[SEHTrajectPeriodeDatumTijdVan],"&lt;="&amp;($A109+18/24),tData[SEHTrajectPeriodeDatumTijdTotEnMet],"&gt;"&amp;($A109+18/24))</f>
        <v/>
      </c>
      <c r="W109" s="20">
        <f>COUNTIFS(tData[SEHTrajectPeriodeDatumTijdVan],"&lt;="&amp;($A109+19/24),tData[SEHTrajectPeriodeDatumTijdTotEnMet],"&gt;"&amp;($A109+19/24))</f>
        <v/>
      </c>
      <c r="X109" s="20">
        <f>COUNTIFS(tData[SEHTrajectPeriodeDatumTijdVan],"&lt;="&amp;($A109+20/24),tData[SEHTrajectPeriodeDatumTijdTotEnMet],"&gt;"&amp;($A109+20/24))</f>
        <v/>
      </c>
      <c r="Y109" s="20">
        <f>COUNTIFS(tData[SEHTrajectPeriodeDatumTijdVan],"&lt;="&amp;($A109+21/24),tData[SEHTrajectPeriodeDatumTijdTotEnMet],"&gt;"&amp;($A109+21/24))</f>
        <v/>
      </c>
      <c r="Z109" s="20">
        <f>COUNTIFS(tData[SEHTrajectPeriodeDatumTijdVan],"&lt;="&amp;($A109+22/24),tData[SEHTrajectPeriodeDatumTijdTotEnMet],"&gt;"&amp;($A109+22/24))</f>
        <v/>
      </c>
      <c r="AA109" s="20">
        <f>COUNTIFS(tData[SEHTrajectPeriodeDatumTijdVan],"&lt;="&amp;($A109+23/24),tData[SEHTrajectPeriodeDatumTijdTotEnMet],"&gt;"&amp;($A109+23/24))</f>
        <v/>
      </c>
    </row>
    <row r="110">
      <c r="A110" s="19" t="n">
        <v>45398</v>
      </c>
      <c r="B110" s="15">
        <f>WEEKDAY($A110,2)</f>
        <v/>
      </c>
      <c r="C110" s="15">
        <f>IF(AND($A110&gt;=INT(Instellingen!$B$5),$A110&lt;=INT(Instellingen!$B$6)),1,0)</f>
        <v/>
      </c>
      <c r="D110" s="20">
        <f>COUNTIFS(tData[SEHTrajectPeriodeDatumTijdVan],"&lt;="&amp;($A110+0/24),tData[SEHTrajectPeriodeDatumTijdTotEnMet],"&gt;"&amp;($A110+0/24))</f>
        <v/>
      </c>
      <c r="E110" s="20">
        <f>COUNTIFS(tData[SEHTrajectPeriodeDatumTijdVan],"&lt;="&amp;($A110+1/24),tData[SEHTrajectPeriodeDatumTijdTotEnMet],"&gt;"&amp;($A110+1/24))</f>
        <v/>
      </c>
      <c r="F110" s="20">
        <f>COUNTIFS(tData[SEHTrajectPeriodeDatumTijdVan],"&lt;="&amp;($A110+2/24),tData[SEHTrajectPeriodeDatumTijdTotEnMet],"&gt;"&amp;($A110+2/24))</f>
        <v/>
      </c>
      <c r="G110" s="20">
        <f>COUNTIFS(tData[SEHTrajectPeriodeDatumTijdVan],"&lt;="&amp;($A110+3/24),tData[SEHTrajectPeriodeDatumTijdTotEnMet],"&gt;"&amp;($A110+3/24))</f>
        <v/>
      </c>
      <c r="H110" s="20">
        <f>COUNTIFS(tData[SEHTrajectPeriodeDatumTijdVan],"&lt;="&amp;($A110+4/24),tData[SEHTrajectPeriodeDatumTijdTotEnMet],"&gt;"&amp;($A110+4/24))</f>
        <v/>
      </c>
      <c r="I110" s="20">
        <f>COUNTIFS(tData[SEHTrajectPeriodeDatumTijdVan],"&lt;="&amp;($A110+5/24),tData[SEHTrajectPeriodeDatumTijdTotEnMet],"&gt;"&amp;($A110+5/24))</f>
        <v/>
      </c>
      <c r="J110" s="20">
        <f>COUNTIFS(tData[SEHTrajectPeriodeDatumTijdVan],"&lt;="&amp;($A110+6/24),tData[SEHTrajectPeriodeDatumTijdTotEnMet],"&gt;"&amp;($A110+6/24))</f>
        <v/>
      </c>
      <c r="K110" s="20">
        <f>COUNTIFS(tData[SEHTrajectPeriodeDatumTijdVan],"&lt;="&amp;($A110+7/24),tData[SEHTrajectPeriodeDatumTijdTotEnMet],"&gt;"&amp;($A110+7/24))</f>
        <v/>
      </c>
      <c r="L110" s="20">
        <f>COUNTIFS(tData[SEHTrajectPeriodeDatumTijdVan],"&lt;="&amp;($A110+8/24),tData[SEHTrajectPeriodeDatumTijdTotEnMet],"&gt;"&amp;($A110+8/24))</f>
        <v/>
      </c>
      <c r="M110" s="20">
        <f>COUNTIFS(tData[SEHTrajectPeriodeDatumTijdVan],"&lt;="&amp;($A110+9/24),tData[SEHTrajectPeriodeDatumTijdTotEnMet],"&gt;"&amp;($A110+9/24))</f>
        <v/>
      </c>
      <c r="N110" s="20">
        <f>COUNTIFS(tData[SEHTrajectPeriodeDatumTijdVan],"&lt;="&amp;($A110+10/24),tData[SEHTrajectPeriodeDatumTijdTotEnMet],"&gt;"&amp;($A110+10/24))</f>
        <v/>
      </c>
      <c r="O110" s="20">
        <f>COUNTIFS(tData[SEHTrajectPeriodeDatumTijdVan],"&lt;="&amp;($A110+11/24),tData[SEHTrajectPeriodeDatumTijdTotEnMet],"&gt;"&amp;($A110+11/24))</f>
        <v/>
      </c>
      <c r="P110" s="20">
        <f>COUNTIFS(tData[SEHTrajectPeriodeDatumTijdVan],"&lt;="&amp;($A110+12/24),tData[SEHTrajectPeriodeDatumTijdTotEnMet],"&gt;"&amp;($A110+12/24))</f>
        <v/>
      </c>
      <c r="Q110" s="20">
        <f>COUNTIFS(tData[SEHTrajectPeriodeDatumTijdVan],"&lt;="&amp;($A110+13/24),tData[SEHTrajectPeriodeDatumTijdTotEnMet],"&gt;"&amp;($A110+13/24))</f>
        <v/>
      </c>
      <c r="R110" s="20">
        <f>COUNTIFS(tData[SEHTrajectPeriodeDatumTijdVan],"&lt;="&amp;($A110+14/24),tData[SEHTrajectPeriodeDatumTijdTotEnMet],"&gt;"&amp;($A110+14/24))</f>
        <v/>
      </c>
      <c r="S110" s="20">
        <f>COUNTIFS(tData[SEHTrajectPeriodeDatumTijdVan],"&lt;="&amp;($A110+15/24),tData[SEHTrajectPeriodeDatumTijdTotEnMet],"&gt;"&amp;($A110+15/24))</f>
        <v/>
      </c>
      <c r="T110" s="20">
        <f>COUNTIFS(tData[SEHTrajectPeriodeDatumTijdVan],"&lt;="&amp;($A110+16/24),tData[SEHTrajectPeriodeDatumTijdTotEnMet],"&gt;"&amp;($A110+16/24))</f>
        <v/>
      </c>
      <c r="U110" s="20">
        <f>COUNTIFS(tData[SEHTrajectPeriodeDatumTijdVan],"&lt;="&amp;($A110+17/24),tData[SEHTrajectPeriodeDatumTijdTotEnMet],"&gt;"&amp;($A110+17/24))</f>
        <v/>
      </c>
      <c r="V110" s="20">
        <f>COUNTIFS(tData[SEHTrajectPeriodeDatumTijdVan],"&lt;="&amp;($A110+18/24),tData[SEHTrajectPeriodeDatumTijdTotEnMet],"&gt;"&amp;($A110+18/24))</f>
        <v/>
      </c>
      <c r="W110" s="20">
        <f>COUNTIFS(tData[SEHTrajectPeriodeDatumTijdVan],"&lt;="&amp;($A110+19/24),tData[SEHTrajectPeriodeDatumTijdTotEnMet],"&gt;"&amp;($A110+19/24))</f>
        <v/>
      </c>
      <c r="X110" s="20">
        <f>COUNTIFS(tData[SEHTrajectPeriodeDatumTijdVan],"&lt;="&amp;($A110+20/24),tData[SEHTrajectPeriodeDatumTijdTotEnMet],"&gt;"&amp;($A110+20/24))</f>
        <v/>
      </c>
      <c r="Y110" s="20">
        <f>COUNTIFS(tData[SEHTrajectPeriodeDatumTijdVan],"&lt;="&amp;($A110+21/24),tData[SEHTrajectPeriodeDatumTijdTotEnMet],"&gt;"&amp;($A110+21/24))</f>
        <v/>
      </c>
      <c r="Z110" s="20">
        <f>COUNTIFS(tData[SEHTrajectPeriodeDatumTijdVan],"&lt;="&amp;($A110+22/24),tData[SEHTrajectPeriodeDatumTijdTotEnMet],"&gt;"&amp;($A110+22/24))</f>
        <v/>
      </c>
      <c r="AA110" s="20">
        <f>COUNTIFS(tData[SEHTrajectPeriodeDatumTijdVan],"&lt;="&amp;($A110+23/24),tData[SEHTrajectPeriodeDatumTijdTotEnMet],"&gt;"&amp;($A110+23/24))</f>
        <v/>
      </c>
    </row>
    <row r="111">
      <c r="A111" s="19" t="n">
        <v>45399</v>
      </c>
      <c r="B111" s="15">
        <f>WEEKDAY($A111,2)</f>
        <v/>
      </c>
      <c r="C111" s="15">
        <f>IF(AND($A111&gt;=INT(Instellingen!$B$5),$A111&lt;=INT(Instellingen!$B$6)),1,0)</f>
        <v/>
      </c>
      <c r="D111" s="20">
        <f>COUNTIFS(tData[SEHTrajectPeriodeDatumTijdVan],"&lt;="&amp;($A111+0/24),tData[SEHTrajectPeriodeDatumTijdTotEnMet],"&gt;"&amp;($A111+0/24))</f>
        <v/>
      </c>
      <c r="E111" s="20">
        <f>COUNTIFS(tData[SEHTrajectPeriodeDatumTijdVan],"&lt;="&amp;($A111+1/24),tData[SEHTrajectPeriodeDatumTijdTotEnMet],"&gt;"&amp;($A111+1/24))</f>
        <v/>
      </c>
      <c r="F111" s="20">
        <f>COUNTIFS(tData[SEHTrajectPeriodeDatumTijdVan],"&lt;="&amp;($A111+2/24),tData[SEHTrajectPeriodeDatumTijdTotEnMet],"&gt;"&amp;($A111+2/24))</f>
        <v/>
      </c>
      <c r="G111" s="20">
        <f>COUNTIFS(tData[SEHTrajectPeriodeDatumTijdVan],"&lt;="&amp;($A111+3/24),tData[SEHTrajectPeriodeDatumTijdTotEnMet],"&gt;"&amp;($A111+3/24))</f>
        <v/>
      </c>
      <c r="H111" s="20">
        <f>COUNTIFS(tData[SEHTrajectPeriodeDatumTijdVan],"&lt;="&amp;($A111+4/24),tData[SEHTrajectPeriodeDatumTijdTotEnMet],"&gt;"&amp;($A111+4/24))</f>
        <v/>
      </c>
      <c r="I111" s="20">
        <f>COUNTIFS(tData[SEHTrajectPeriodeDatumTijdVan],"&lt;="&amp;($A111+5/24),tData[SEHTrajectPeriodeDatumTijdTotEnMet],"&gt;"&amp;($A111+5/24))</f>
        <v/>
      </c>
      <c r="J111" s="20">
        <f>COUNTIFS(tData[SEHTrajectPeriodeDatumTijdVan],"&lt;="&amp;($A111+6/24),tData[SEHTrajectPeriodeDatumTijdTotEnMet],"&gt;"&amp;($A111+6/24))</f>
        <v/>
      </c>
      <c r="K111" s="20">
        <f>COUNTIFS(tData[SEHTrajectPeriodeDatumTijdVan],"&lt;="&amp;($A111+7/24),tData[SEHTrajectPeriodeDatumTijdTotEnMet],"&gt;"&amp;($A111+7/24))</f>
        <v/>
      </c>
      <c r="L111" s="20">
        <f>COUNTIFS(tData[SEHTrajectPeriodeDatumTijdVan],"&lt;="&amp;($A111+8/24),tData[SEHTrajectPeriodeDatumTijdTotEnMet],"&gt;"&amp;($A111+8/24))</f>
        <v/>
      </c>
      <c r="M111" s="20">
        <f>COUNTIFS(tData[SEHTrajectPeriodeDatumTijdVan],"&lt;="&amp;($A111+9/24),tData[SEHTrajectPeriodeDatumTijdTotEnMet],"&gt;"&amp;($A111+9/24))</f>
        <v/>
      </c>
      <c r="N111" s="20">
        <f>COUNTIFS(tData[SEHTrajectPeriodeDatumTijdVan],"&lt;="&amp;($A111+10/24),tData[SEHTrajectPeriodeDatumTijdTotEnMet],"&gt;"&amp;($A111+10/24))</f>
        <v/>
      </c>
      <c r="O111" s="20">
        <f>COUNTIFS(tData[SEHTrajectPeriodeDatumTijdVan],"&lt;="&amp;($A111+11/24),tData[SEHTrajectPeriodeDatumTijdTotEnMet],"&gt;"&amp;($A111+11/24))</f>
        <v/>
      </c>
      <c r="P111" s="20">
        <f>COUNTIFS(tData[SEHTrajectPeriodeDatumTijdVan],"&lt;="&amp;($A111+12/24),tData[SEHTrajectPeriodeDatumTijdTotEnMet],"&gt;"&amp;($A111+12/24))</f>
        <v/>
      </c>
      <c r="Q111" s="20">
        <f>COUNTIFS(tData[SEHTrajectPeriodeDatumTijdVan],"&lt;="&amp;($A111+13/24),tData[SEHTrajectPeriodeDatumTijdTotEnMet],"&gt;"&amp;($A111+13/24))</f>
        <v/>
      </c>
      <c r="R111" s="20">
        <f>COUNTIFS(tData[SEHTrajectPeriodeDatumTijdVan],"&lt;="&amp;($A111+14/24),tData[SEHTrajectPeriodeDatumTijdTotEnMet],"&gt;"&amp;($A111+14/24))</f>
        <v/>
      </c>
      <c r="S111" s="20">
        <f>COUNTIFS(tData[SEHTrajectPeriodeDatumTijdVan],"&lt;="&amp;($A111+15/24),tData[SEHTrajectPeriodeDatumTijdTotEnMet],"&gt;"&amp;($A111+15/24))</f>
        <v/>
      </c>
      <c r="T111" s="20">
        <f>COUNTIFS(tData[SEHTrajectPeriodeDatumTijdVan],"&lt;="&amp;($A111+16/24),tData[SEHTrajectPeriodeDatumTijdTotEnMet],"&gt;"&amp;($A111+16/24))</f>
        <v/>
      </c>
      <c r="U111" s="20">
        <f>COUNTIFS(tData[SEHTrajectPeriodeDatumTijdVan],"&lt;="&amp;($A111+17/24),tData[SEHTrajectPeriodeDatumTijdTotEnMet],"&gt;"&amp;($A111+17/24))</f>
        <v/>
      </c>
      <c r="V111" s="20">
        <f>COUNTIFS(tData[SEHTrajectPeriodeDatumTijdVan],"&lt;="&amp;($A111+18/24),tData[SEHTrajectPeriodeDatumTijdTotEnMet],"&gt;"&amp;($A111+18/24))</f>
        <v/>
      </c>
      <c r="W111" s="20">
        <f>COUNTIFS(tData[SEHTrajectPeriodeDatumTijdVan],"&lt;="&amp;($A111+19/24),tData[SEHTrajectPeriodeDatumTijdTotEnMet],"&gt;"&amp;($A111+19/24))</f>
        <v/>
      </c>
      <c r="X111" s="20">
        <f>COUNTIFS(tData[SEHTrajectPeriodeDatumTijdVan],"&lt;="&amp;($A111+20/24),tData[SEHTrajectPeriodeDatumTijdTotEnMet],"&gt;"&amp;($A111+20/24))</f>
        <v/>
      </c>
      <c r="Y111" s="20">
        <f>COUNTIFS(tData[SEHTrajectPeriodeDatumTijdVan],"&lt;="&amp;($A111+21/24),tData[SEHTrajectPeriodeDatumTijdTotEnMet],"&gt;"&amp;($A111+21/24))</f>
        <v/>
      </c>
      <c r="Z111" s="20">
        <f>COUNTIFS(tData[SEHTrajectPeriodeDatumTijdVan],"&lt;="&amp;($A111+22/24),tData[SEHTrajectPeriodeDatumTijdTotEnMet],"&gt;"&amp;($A111+22/24))</f>
        <v/>
      </c>
      <c r="AA111" s="20">
        <f>COUNTIFS(tData[SEHTrajectPeriodeDatumTijdVan],"&lt;="&amp;($A111+23/24),tData[SEHTrajectPeriodeDatumTijdTotEnMet],"&gt;"&amp;($A111+23/24))</f>
        <v/>
      </c>
    </row>
    <row r="112">
      <c r="A112" s="19" t="n">
        <v>45400</v>
      </c>
      <c r="B112" s="15">
        <f>WEEKDAY($A112,2)</f>
        <v/>
      </c>
      <c r="C112" s="15">
        <f>IF(AND($A112&gt;=INT(Instellingen!$B$5),$A112&lt;=INT(Instellingen!$B$6)),1,0)</f>
        <v/>
      </c>
      <c r="D112" s="20">
        <f>COUNTIFS(tData[SEHTrajectPeriodeDatumTijdVan],"&lt;="&amp;($A112+0/24),tData[SEHTrajectPeriodeDatumTijdTotEnMet],"&gt;"&amp;($A112+0/24))</f>
        <v/>
      </c>
      <c r="E112" s="20">
        <f>COUNTIFS(tData[SEHTrajectPeriodeDatumTijdVan],"&lt;="&amp;($A112+1/24),tData[SEHTrajectPeriodeDatumTijdTotEnMet],"&gt;"&amp;($A112+1/24))</f>
        <v/>
      </c>
      <c r="F112" s="20">
        <f>COUNTIFS(tData[SEHTrajectPeriodeDatumTijdVan],"&lt;="&amp;($A112+2/24),tData[SEHTrajectPeriodeDatumTijdTotEnMet],"&gt;"&amp;($A112+2/24))</f>
        <v/>
      </c>
      <c r="G112" s="20">
        <f>COUNTIFS(tData[SEHTrajectPeriodeDatumTijdVan],"&lt;="&amp;($A112+3/24),tData[SEHTrajectPeriodeDatumTijdTotEnMet],"&gt;"&amp;($A112+3/24))</f>
        <v/>
      </c>
      <c r="H112" s="20">
        <f>COUNTIFS(tData[SEHTrajectPeriodeDatumTijdVan],"&lt;="&amp;($A112+4/24),tData[SEHTrajectPeriodeDatumTijdTotEnMet],"&gt;"&amp;($A112+4/24))</f>
        <v/>
      </c>
      <c r="I112" s="20">
        <f>COUNTIFS(tData[SEHTrajectPeriodeDatumTijdVan],"&lt;="&amp;($A112+5/24),tData[SEHTrajectPeriodeDatumTijdTotEnMet],"&gt;"&amp;($A112+5/24))</f>
        <v/>
      </c>
      <c r="J112" s="20">
        <f>COUNTIFS(tData[SEHTrajectPeriodeDatumTijdVan],"&lt;="&amp;($A112+6/24),tData[SEHTrajectPeriodeDatumTijdTotEnMet],"&gt;"&amp;($A112+6/24))</f>
        <v/>
      </c>
      <c r="K112" s="20">
        <f>COUNTIFS(tData[SEHTrajectPeriodeDatumTijdVan],"&lt;="&amp;($A112+7/24),tData[SEHTrajectPeriodeDatumTijdTotEnMet],"&gt;"&amp;($A112+7/24))</f>
        <v/>
      </c>
      <c r="L112" s="20">
        <f>COUNTIFS(tData[SEHTrajectPeriodeDatumTijdVan],"&lt;="&amp;($A112+8/24),tData[SEHTrajectPeriodeDatumTijdTotEnMet],"&gt;"&amp;($A112+8/24))</f>
        <v/>
      </c>
      <c r="M112" s="20">
        <f>COUNTIFS(tData[SEHTrajectPeriodeDatumTijdVan],"&lt;="&amp;($A112+9/24),tData[SEHTrajectPeriodeDatumTijdTotEnMet],"&gt;"&amp;($A112+9/24))</f>
        <v/>
      </c>
      <c r="N112" s="20">
        <f>COUNTIFS(tData[SEHTrajectPeriodeDatumTijdVan],"&lt;="&amp;($A112+10/24),tData[SEHTrajectPeriodeDatumTijdTotEnMet],"&gt;"&amp;($A112+10/24))</f>
        <v/>
      </c>
      <c r="O112" s="20">
        <f>COUNTIFS(tData[SEHTrajectPeriodeDatumTijdVan],"&lt;="&amp;($A112+11/24),tData[SEHTrajectPeriodeDatumTijdTotEnMet],"&gt;"&amp;($A112+11/24))</f>
        <v/>
      </c>
      <c r="P112" s="20">
        <f>COUNTIFS(tData[SEHTrajectPeriodeDatumTijdVan],"&lt;="&amp;($A112+12/24),tData[SEHTrajectPeriodeDatumTijdTotEnMet],"&gt;"&amp;($A112+12/24))</f>
        <v/>
      </c>
      <c r="Q112" s="20">
        <f>COUNTIFS(tData[SEHTrajectPeriodeDatumTijdVan],"&lt;="&amp;($A112+13/24),tData[SEHTrajectPeriodeDatumTijdTotEnMet],"&gt;"&amp;($A112+13/24))</f>
        <v/>
      </c>
      <c r="R112" s="20">
        <f>COUNTIFS(tData[SEHTrajectPeriodeDatumTijdVan],"&lt;="&amp;($A112+14/24),tData[SEHTrajectPeriodeDatumTijdTotEnMet],"&gt;"&amp;($A112+14/24))</f>
        <v/>
      </c>
      <c r="S112" s="20">
        <f>COUNTIFS(tData[SEHTrajectPeriodeDatumTijdVan],"&lt;="&amp;($A112+15/24),tData[SEHTrajectPeriodeDatumTijdTotEnMet],"&gt;"&amp;($A112+15/24))</f>
        <v/>
      </c>
      <c r="T112" s="20">
        <f>COUNTIFS(tData[SEHTrajectPeriodeDatumTijdVan],"&lt;="&amp;($A112+16/24),tData[SEHTrajectPeriodeDatumTijdTotEnMet],"&gt;"&amp;($A112+16/24))</f>
        <v/>
      </c>
      <c r="U112" s="20">
        <f>COUNTIFS(tData[SEHTrajectPeriodeDatumTijdVan],"&lt;="&amp;($A112+17/24),tData[SEHTrajectPeriodeDatumTijdTotEnMet],"&gt;"&amp;($A112+17/24))</f>
        <v/>
      </c>
      <c r="V112" s="20">
        <f>COUNTIFS(tData[SEHTrajectPeriodeDatumTijdVan],"&lt;="&amp;($A112+18/24),tData[SEHTrajectPeriodeDatumTijdTotEnMet],"&gt;"&amp;($A112+18/24))</f>
        <v/>
      </c>
      <c r="W112" s="20">
        <f>COUNTIFS(tData[SEHTrajectPeriodeDatumTijdVan],"&lt;="&amp;($A112+19/24),tData[SEHTrajectPeriodeDatumTijdTotEnMet],"&gt;"&amp;($A112+19/24))</f>
        <v/>
      </c>
      <c r="X112" s="20">
        <f>COUNTIFS(tData[SEHTrajectPeriodeDatumTijdVan],"&lt;="&amp;($A112+20/24),tData[SEHTrajectPeriodeDatumTijdTotEnMet],"&gt;"&amp;($A112+20/24))</f>
        <v/>
      </c>
      <c r="Y112" s="20">
        <f>COUNTIFS(tData[SEHTrajectPeriodeDatumTijdVan],"&lt;="&amp;($A112+21/24),tData[SEHTrajectPeriodeDatumTijdTotEnMet],"&gt;"&amp;($A112+21/24))</f>
        <v/>
      </c>
      <c r="Z112" s="20">
        <f>COUNTIFS(tData[SEHTrajectPeriodeDatumTijdVan],"&lt;="&amp;($A112+22/24),tData[SEHTrajectPeriodeDatumTijdTotEnMet],"&gt;"&amp;($A112+22/24))</f>
        <v/>
      </c>
      <c r="AA112" s="20">
        <f>COUNTIFS(tData[SEHTrajectPeriodeDatumTijdVan],"&lt;="&amp;($A112+23/24),tData[SEHTrajectPeriodeDatumTijdTotEnMet],"&gt;"&amp;($A112+23/24))</f>
        <v/>
      </c>
    </row>
    <row r="113">
      <c r="A113" s="19" t="n">
        <v>45401</v>
      </c>
      <c r="B113" s="15">
        <f>WEEKDAY($A113,2)</f>
        <v/>
      </c>
      <c r="C113" s="15">
        <f>IF(AND($A113&gt;=INT(Instellingen!$B$5),$A113&lt;=INT(Instellingen!$B$6)),1,0)</f>
        <v/>
      </c>
      <c r="D113" s="20">
        <f>COUNTIFS(tData[SEHTrajectPeriodeDatumTijdVan],"&lt;="&amp;($A113+0/24),tData[SEHTrajectPeriodeDatumTijdTotEnMet],"&gt;"&amp;($A113+0/24))</f>
        <v/>
      </c>
      <c r="E113" s="20">
        <f>COUNTIFS(tData[SEHTrajectPeriodeDatumTijdVan],"&lt;="&amp;($A113+1/24),tData[SEHTrajectPeriodeDatumTijdTotEnMet],"&gt;"&amp;($A113+1/24))</f>
        <v/>
      </c>
      <c r="F113" s="20">
        <f>COUNTIFS(tData[SEHTrajectPeriodeDatumTijdVan],"&lt;="&amp;($A113+2/24),tData[SEHTrajectPeriodeDatumTijdTotEnMet],"&gt;"&amp;($A113+2/24))</f>
        <v/>
      </c>
      <c r="G113" s="20">
        <f>COUNTIFS(tData[SEHTrajectPeriodeDatumTijdVan],"&lt;="&amp;($A113+3/24),tData[SEHTrajectPeriodeDatumTijdTotEnMet],"&gt;"&amp;($A113+3/24))</f>
        <v/>
      </c>
      <c r="H113" s="20">
        <f>COUNTIFS(tData[SEHTrajectPeriodeDatumTijdVan],"&lt;="&amp;($A113+4/24),tData[SEHTrajectPeriodeDatumTijdTotEnMet],"&gt;"&amp;($A113+4/24))</f>
        <v/>
      </c>
      <c r="I113" s="20">
        <f>COUNTIFS(tData[SEHTrajectPeriodeDatumTijdVan],"&lt;="&amp;($A113+5/24),tData[SEHTrajectPeriodeDatumTijdTotEnMet],"&gt;"&amp;($A113+5/24))</f>
        <v/>
      </c>
      <c r="J113" s="20">
        <f>COUNTIFS(tData[SEHTrajectPeriodeDatumTijdVan],"&lt;="&amp;($A113+6/24),tData[SEHTrajectPeriodeDatumTijdTotEnMet],"&gt;"&amp;($A113+6/24))</f>
        <v/>
      </c>
      <c r="K113" s="20">
        <f>COUNTIFS(tData[SEHTrajectPeriodeDatumTijdVan],"&lt;="&amp;($A113+7/24),tData[SEHTrajectPeriodeDatumTijdTotEnMet],"&gt;"&amp;($A113+7/24))</f>
        <v/>
      </c>
      <c r="L113" s="20">
        <f>COUNTIFS(tData[SEHTrajectPeriodeDatumTijdVan],"&lt;="&amp;($A113+8/24),tData[SEHTrajectPeriodeDatumTijdTotEnMet],"&gt;"&amp;($A113+8/24))</f>
        <v/>
      </c>
      <c r="M113" s="20">
        <f>COUNTIFS(tData[SEHTrajectPeriodeDatumTijdVan],"&lt;="&amp;($A113+9/24),tData[SEHTrajectPeriodeDatumTijdTotEnMet],"&gt;"&amp;($A113+9/24))</f>
        <v/>
      </c>
      <c r="N113" s="20">
        <f>COUNTIFS(tData[SEHTrajectPeriodeDatumTijdVan],"&lt;="&amp;($A113+10/24),tData[SEHTrajectPeriodeDatumTijdTotEnMet],"&gt;"&amp;($A113+10/24))</f>
        <v/>
      </c>
      <c r="O113" s="20">
        <f>COUNTIFS(tData[SEHTrajectPeriodeDatumTijdVan],"&lt;="&amp;($A113+11/24),tData[SEHTrajectPeriodeDatumTijdTotEnMet],"&gt;"&amp;($A113+11/24))</f>
        <v/>
      </c>
      <c r="P113" s="20">
        <f>COUNTIFS(tData[SEHTrajectPeriodeDatumTijdVan],"&lt;="&amp;($A113+12/24),tData[SEHTrajectPeriodeDatumTijdTotEnMet],"&gt;"&amp;($A113+12/24))</f>
        <v/>
      </c>
      <c r="Q113" s="20">
        <f>COUNTIFS(tData[SEHTrajectPeriodeDatumTijdVan],"&lt;="&amp;($A113+13/24),tData[SEHTrajectPeriodeDatumTijdTotEnMet],"&gt;"&amp;($A113+13/24))</f>
        <v/>
      </c>
      <c r="R113" s="20">
        <f>COUNTIFS(tData[SEHTrajectPeriodeDatumTijdVan],"&lt;="&amp;($A113+14/24),tData[SEHTrajectPeriodeDatumTijdTotEnMet],"&gt;"&amp;($A113+14/24))</f>
        <v/>
      </c>
      <c r="S113" s="20">
        <f>COUNTIFS(tData[SEHTrajectPeriodeDatumTijdVan],"&lt;="&amp;($A113+15/24),tData[SEHTrajectPeriodeDatumTijdTotEnMet],"&gt;"&amp;($A113+15/24))</f>
        <v/>
      </c>
      <c r="T113" s="20">
        <f>COUNTIFS(tData[SEHTrajectPeriodeDatumTijdVan],"&lt;="&amp;($A113+16/24),tData[SEHTrajectPeriodeDatumTijdTotEnMet],"&gt;"&amp;($A113+16/24))</f>
        <v/>
      </c>
      <c r="U113" s="20">
        <f>COUNTIFS(tData[SEHTrajectPeriodeDatumTijdVan],"&lt;="&amp;($A113+17/24),tData[SEHTrajectPeriodeDatumTijdTotEnMet],"&gt;"&amp;($A113+17/24))</f>
        <v/>
      </c>
      <c r="V113" s="20">
        <f>COUNTIFS(tData[SEHTrajectPeriodeDatumTijdVan],"&lt;="&amp;($A113+18/24),tData[SEHTrajectPeriodeDatumTijdTotEnMet],"&gt;"&amp;($A113+18/24))</f>
        <v/>
      </c>
      <c r="W113" s="20">
        <f>COUNTIFS(tData[SEHTrajectPeriodeDatumTijdVan],"&lt;="&amp;($A113+19/24),tData[SEHTrajectPeriodeDatumTijdTotEnMet],"&gt;"&amp;($A113+19/24))</f>
        <v/>
      </c>
      <c r="X113" s="20">
        <f>COUNTIFS(tData[SEHTrajectPeriodeDatumTijdVan],"&lt;="&amp;($A113+20/24),tData[SEHTrajectPeriodeDatumTijdTotEnMet],"&gt;"&amp;($A113+20/24))</f>
        <v/>
      </c>
      <c r="Y113" s="20">
        <f>COUNTIFS(tData[SEHTrajectPeriodeDatumTijdVan],"&lt;="&amp;($A113+21/24),tData[SEHTrajectPeriodeDatumTijdTotEnMet],"&gt;"&amp;($A113+21/24))</f>
        <v/>
      </c>
      <c r="Z113" s="20">
        <f>COUNTIFS(tData[SEHTrajectPeriodeDatumTijdVan],"&lt;="&amp;($A113+22/24),tData[SEHTrajectPeriodeDatumTijdTotEnMet],"&gt;"&amp;($A113+22/24))</f>
        <v/>
      </c>
      <c r="AA113" s="20">
        <f>COUNTIFS(tData[SEHTrajectPeriodeDatumTijdVan],"&lt;="&amp;($A113+23/24),tData[SEHTrajectPeriodeDatumTijdTotEnMet],"&gt;"&amp;($A113+23/24))</f>
        <v/>
      </c>
    </row>
    <row r="114">
      <c r="A114" s="19" t="n">
        <v>45402</v>
      </c>
      <c r="B114" s="15">
        <f>WEEKDAY($A114,2)</f>
        <v/>
      </c>
      <c r="C114" s="15">
        <f>IF(AND($A114&gt;=INT(Instellingen!$B$5),$A114&lt;=INT(Instellingen!$B$6)),1,0)</f>
        <v/>
      </c>
      <c r="D114" s="20">
        <f>COUNTIFS(tData[SEHTrajectPeriodeDatumTijdVan],"&lt;="&amp;($A114+0/24),tData[SEHTrajectPeriodeDatumTijdTotEnMet],"&gt;"&amp;($A114+0/24))</f>
        <v/>
      </c>
      <c r="E114" s="20">
        <f>COUNTIFS(tData[SEHTrajectPeriodeDatumTijdVan],"&lt;="&amp;($A114+1/24),tData[SEHTrajectPeriodeDatumTijdTotEnMet],"&gt;"&amp;($A114+1/24))</f>
        <v/>
      </c>
      <c r="F114" s="20">
        <f>COUNTIFS(tData[SEHTrajectPeriodeDatumTijdVan],"&lt;="&amp;($A114+2/24),tData[SEHTrajectPeriodeDatumTijdTotEnMet],"&gt;"&amp;($A114+2/24))</f>
        <v/>
      </c>
      <c r="G114" s="20">
        <f>COUNTIFS(tData[SEHTrajectPeriodeDatumTijdVan],"&lt;="&amp;($A114+3/24),tData[SEHTrajectPeriodeDatumTijdTotEnMet],"&gt;"&amp;($A114+3/24))</f>
        <v/>
      </c>
      <c r="H114" s="20">
        <f>COUNTIFS(tData[SEHTrajectPeriodeDatumTijdVan],"&lt;="&amp;($A114+4/24),tData[SEHTrajectPeriodeDatumTijdTotEnMet],"&gt;"&amp;($A114+4/24))</f>
        <v/>
      </c>
      <c r="I114" s="20">
        <f>COUNTIFS(tData[SEHTrajectPeriodeDatumTijdVan],"&lt;="&amp;($A114+5/24),tData[SEHTrajectPeriodeDatumTijdTotEnMet],"&gt;"&amp;($A114+5/24))</f>
        <v/>
      </c>
      <c r="J114" s="20">
        <f>COUNTIFS(tData[SEHTrajectPeriodeDatumTijdVan],"&lt;="&amp;($A114+6/24),tData[SEHTrajectPeriodeDatumTijdTotEnMet],"&gt;"&amp;($A114+6/24))</f>
        <v/>
      </c>
      <c r="K114" s="20">
        <f>COUNTIFS(tData[SEHTrajectPeriodeDatumTijdVan],"&lt;="&amp;($A114+7/24),tData[SEHTrajectPeriodeDatumTijdTotEnMet],"&gt;"&amp;($A114+7/24))</f>
        <v/>
      </c>
      <c r="L114" s="20">
        <f>COUNTIFS(tData[SEHTrajectPeriodeDatumTijdVan],"&lt;="&amp;($A114+8/24),tData[SEHTrajectPeriodeDatumTijdTotEnMet],"&gt;"&amp;($A114+8/24))</f>
        <v/>
      </c>
      <c r="M114" s="20">
        <f>COUNTIFS(tData[SEHTrajectPeriodeDatumTijdVan],"&lt;="&amp;($A114+9/24),tData[SEHTrajectPeriodeDatumTijdTotEnMet],"&gt;"&amp;($A114+9/24))</f>
        <v/>
      </c>
      <c r="N114" s="20">
        <f>COUNTIFS(tData[SEHTrajectPeriodeDatumTijdVan],"&lt;="&amp;($A114+10/24),tData[SEHTrajectPeriodeDatumTijdTotEnMet],"&gt;"&amp;($A114+10/24))</f>
        <v/>
      </c>
      <c r="O114" s="20">
        <f>COUNTIFS(tData[SEHTrajectPeriodeDatumTijdVan],"&lt;="&amp;($A114+11/24),tData[SEHTrajectPeriodeDatumTijdTotEnMet],"&gt;"&amp;($A114+11/24))</f>
        <v/>
      </c>
      <c r="P114" s="20">
        <f>COUNTIFS(tData[SEHTrajectPeriodeDatumTijdVan],"&lt;="&amp;($A114+12/24),tData[SEHTrajectPeriodeDatumTijdTotEnMet],"&gt;"&amp;($A114+12/24))</f>
        <v/>
      </c>
      <c r="Q114" s="20">
        <f>COUNTIFS(tData[SEHTrajectPeriodeDatumTijdVan],"&lt;="&amp;($A114+13/24),tData[SEHTrajectPeriodeDatumTijdTotEnMet],"&gt;"&amp;($A114+13/24))</f>
        <v/>
      </c>
      <c r="R114" s="20">
        <f>COUNTIFS(tData[SEHTrajectPeriodeDatumTijdVan],"&lt;="&amp;($A114+14/24),tData[SEHTrajectPeriodeDatumTijdTotEnMet],"&gt;"&amp;($A114+14/24))</f>
        <v/>
      </c>
      <c r="S114" s="20">
        <f>COUNTIFS(tData[SEHTrajectPeriodeDatumTijdVan],"&lt;="&amp;($A114+15/24),tData[SEHTrajectPeriodeDatumTijdTotEnMet],"&gt;"&amp;($A114+15/24))</f>
        <v/>
      </c>
      <c r="T114" s="20">
        <f>COUNTIFS(tData[SEHTrajectPeriodeDatumTijdVan],"&lt;="&amp;($A114+16/24),tData[SEHTrajectPeriodeDatumTijdTotEnMet],"&gt;"&amp;($A114+16/24))</f>
        <v/>
      </c>
      <c r="U114" s="20">
        <f>COUNTIFS(tData[SEHTrajectPeriodeDatumTijdVan],"&lt;="&amp;($A114+17/24),tData[SEHTrajectPeriodeDatumTijdTotEnMet],"&gt;"&amp;($A114+17/24))</f>
        <v/>
      </c>
      <c r="V114" s="20">
        <f>COUNTIFS(tData[SEHTrajectPeriodeDatumTijdVan],"&lt;="&amp;($A114+18/24),tData[SEHTrajectPeriodeDatumTijdTotEnMet],"&gt;"&amp;($A114+18/24))</f>
        <v/>
      </c>
      <c r="W114" s="20">
        <f>COUNTIFS(tData[SEHTrajectPeriodeDatumTijdVan],"&lt;="&amp;($A114+19/24),tData[SEHTrajectPeriodeDatumTijdTotEnMet],"&gt;"&amp;($A114+19/24))</f>
        <v/>
      </c>
      <c r="X114" s="20">
        <f>COUNTIFS(tData[SEHTrajectPeriodeDatumTijdVan],"&lt;="&amp;($A114+20/24),tData[SEHTrajectPeriodeDatumTijdTotEnMet],"&gt;"&amp;($A114+20/24))</f>
        <v/>
      </c>
      <c r="Y114" s="20">
        <f>COUNTIFS(tData[SEHTrajectPeriodeDatumTijdVan],"&lt;="&amp;($A114+21/24),tData[SEHTrajectPeriodeDatumTijdTotEnMet],"&gt;"&amp;($A114+21/24))</f>
        <v/>
      </c>
      <c r="Z114" s="20">
        <f>COUNTIFS(tData[SEHTrajectPeriodeDatumTijdVan],"&lt;="&amp;($A114+22/24),tData[SEHTrajectPeriodeDatumTijdTotEnMet],"&gt;"&amp;($A114+22/24))</f>
        <v/>
      </c>
      <c r="AA114" s="20">
        <f>COUNTIFS(tData[SEHTrajectPeriodeDatumTijdVan],"&lt;="&amp;($A114+23/24),tData[SEHTrajectPeriodeDatumTijdTotEnMet],"&gt;"&amp;($A114+23/24))</f>
        <v/>
      </c>
    </row>
    <row r="115">
      <c r="A115" s="19" t="n">
        <v>45403</v>
      </c>
      <c r="B115" s="15">
        <f>WEEKDAY($A115,2)</f>
        <v/>
      </c>
      <c r="C115" s="15">
        <f>IF(AND($A115&gt;=INT(Instellingen!$B$5),$A115&lt;=INT(Instellingen!$B$6)),1,0)</f>
        <v/>
      </c>
      <c r="D115" s="20">
        <f>COUNTIFS(tData[SEHTrajectPeriodeDatumTijdVan],"&lt;="&amp;($A115+0/24),tData[SEHTrajectPeriodeDatumTijdTotEnMet],"&gt;"&amp;($A115+0/24))</f>
        <v/>
      </c>
      <c r="E115" s="20">
        <f>COUNTIFS(tData[SEHTrajectPeriodeDatumTijdVan],"&lt;="&amp;($A115+1/24),tData[SEHTrajectPeriodeDatumTijdTotEnMet],"&gt;"&amp;($A115+1/24))</f>
        <v/>
      </c>
      <c r="F115" s="20">
        <f>COUNTIFS(tData[SEHTrajectPeriodeDatumTijdVan],"&lt;="&amp;($A115+2/24),tData[SEHTrajectPeriodeDatumTijdTotEnMet],"&gt;"&amp;($A115+2/24))</f>
        <v/>
      </c>
      <c r="G115" s="20">
        <f>COUNTIFS(tData[SEHTrajectPeriodeDatumTijdVan],"&lt;="&amp;($A115+3/24),tData[SEHTrajectPeriodeDatumTijdTotEnMet],"&gt;"&amp;($A115+3/24))</f>
        <v/>
      </c>
      <c r="H115" s="20">
        <f>COUNTIFS(tData[SEHTrajectPeriodeDatumTijdVan],"&lt;="&amp;($A115+4/24),tData[SEHTrajectPeriodeDatumTijdTotEnMet],"&gt;"&amp;($A115+4/24))</f>
        <v/>
      </c>
      <c r="I115" s="20">
        <f>COUNTIFS(tData[SEHTrajectPeriodeDatumTijdVan],"&lt;="&amp;($A115+5/24),tData[SEHTrajectPeriodeDatumTijdTotEnMet],"&gt;"&amp;($A115+5/24))</f>
        <v/>
      </c>
      <c r="J115" s="20">
        <f>COUNTIFS(tData[SEHTrajectPeriodeDatumTijdVan],"&lt;="&amp;($A115+6/24),tData[SEHTrajectPeriodeDatumTijdTotEnMet],"&gt;"&amp;($A115+6/24))</f>
        <v/>
      </c>
      <c r="K115" s="20">
        <f>COUNTIFS(tData[SEHTrajectPeriodeDatumTijdVan],"&lt;="&amp;($A115+7/24),tData[SEHTrajectPeriodeDatumTijdTotEnMet],"&gt;"&amp;($A115+7/24))</f>
        <v/>
      </c>
      <c r="L115" s="20">
        <f>COUNTIFS(tData[SEHTrajectPeriodeDatumTijdVan],"&lt;="&amp;($A115+8/24),tData[SEHTrajectPeriodeDatumTijdTotEnMet],"&gt;"&amp;($A115+8/24))</f>
        <v/>
      </c>
      <c r="M115" s="20">
        <f>COUNTIFS(tData[SEHTrajectPeriodeDatumTijdVan],"&lt;="&amp;($A115+9/24),tData[SEHTrajectPeriodeDatumTijdTotEnMet],"&gt;"&amp;($A115+9/24))</f>
        <v/>
      </c>
      <c r="N115" s="20">
        <f>COUNTIFS(tData[SEHTrajectPeriodeDatumTijdVan],"&lt;="&amp;($A115+10/24),tData[SEHTrajectPeriodeDatumTijdTotEnMet],"&gt;"&amp;($A115+10/24))</f>
        <v/>
      </c>
      <c r="O115" s="20">
        <f>COUNTIFS(tData[SEHTrajectPeriodeDatumTijdVan],"&lt;="&amp;($A115+11/24),tData[SEHTrajectPeriodeDatumTijdTotEnMet],"&gt;"&amp;($A115+11/24))</f>
        <v/>
      </c>
      <c r="P115" s="20">
        <f>COUNTIFS(tData[SEHTrajectPeriodeDatumTijdVan],"&lt;="&amp;($A115+12/24),tData[SEHTrajectPeriodeDatumTijdTotEnMet],"&gt;"&amp;($A115+12/24))</f>
        <v/>
      </c>
      <c r="Q115" s="20">
        <f>COUNTIFS(tData[SEHTrajectPeriodeDatumTijdVan],"&lt;="&amp;($A115+13/24),tData[SEHTrajectPeriodeDatumTijdTotEnMet],"&gt;"&amp;($A115+13/24))</f>
        <v/>
      </c>
      <c r="R115" s="20">
        <f>COUNTIFS(tData[SEHTrajectPeriodeDatumTijdVan],"&lt;="&amp;($A115+14/24),tData[SEHTrajectPeriodeDatumTijdTotEnMet],"&gt;"&amp;($A115+14/24))</f>
        <v/>
      </c>
      <c r="S115" s="20">
        <f>COUNTIFS(tData[SEHTrajectPeriodeDatumTijdVan],"&lt;="&amp;($A115+15/24),tData[SEHTrajectPeriodeDatumTijdTotEnMet],"&gt;"&amp;($A115+15/24))</f>
        <v/>
      </c>
      <c r="T115" s="20">
        <f>COUNTIFS(tData[SEHTrajectPeriodeDatumTijdVan],"&lt;="&amp;($A115+16/24),tData[SEHTrajectPeriodeDatumTijdTotEnMet],"&gt;"&amp;($A115+16/24))</f>
        <v/>
      </c>
      <c r="U115" s="20">
        <f>COUNTIFS(tData[SEHTrajectPeriodeDatumTijdVan],"&lt;="&amp;($A115+17/24),tData[SEHTrajectPeriodeDatumTijdTotEnMet],"&gt;"&amp;($A115+17/24))</f>
        <v/>
      </c>
      <c r="V115" s="20">
        <f>COUNTIFS(tData[SEHTrajectPeriodeDatumTijdVan],"&lt;="&amp;($A115+18/24),tData[SEHTrajectPeriodeDatumTijdTotEnMet],"&gt;"&amp;($A115+18/24))</f>
        <v/>
      </c>
      <c r="W115" s="20">
        <f>COUNTIFS(tData[SEHTrajectPeriodeDatumTijdVan],"&lt;="&amp;($A115+19/24),tData[SEHTrajectPeriodeDatumTijdTotEnMet],"&gt;"&amp;($A115+19/24))</f>
        <v/>
      </c>
      <c r="X115" s="20">
        <f>COUNTIFS(tData[SEHTrajectPeriodeDatumTijdVan],"&lt;="&amp;($A115+20/24),tData[SEHTrajectPeriodeDatumTijdTotEnMet],"&gt;"&amp;($A115+20/24))</f>
        <v/>
      </c>
      <c r="Y115" s="20">
        <f>COUNTIFS(tData[SEHTrajectPeriodeDatumTijdVan],"&lt;="&amp;($A115+21/24),tData[SEHTrajectPeriodeDatumTijdTotEnMet],"&gt;"&amp;($A115+21/24))</f>
        <v/>
      </c>
      <c r="Z115" s="20">
        <f>COUNTIFS(tData[SEHTrajectPeriodeDatumTijdVan],"&lt;="&amp;($A115+22/24),tData[SEHTrajectPeriodeDatumTijdTotEnMet],"&gt;"&amp;($A115+22/24))</f>
        <v/>
      </c>
      <c r="AA115" s="20">
        <f>COUNTIFS(tData[SEHTrajectPeriodeDatumTijdVan],"&lt;="&amp;($A115+23/24),tData[SEHTrajectPeriodeDatumTijdTotEnMet],"&gt;"&amp;($A115+23/24))</f>
        <v/>
      </c>
    </row>
    <row r="116">
      <c r="A116" s="19" t="n">
        <v>45404</v>
      </c>
      <c r="B116" s="15">
        <f>WEEKDAY($A116,2)</f>
        <v/>
      </c>
      <c r="C116" s="15">
        <f>IF(AND($A116&gt;=INT(Instellingen!$B$5),$A116&lt;=INT(Instellingen!$B$6)),1,0)</f>
        <v/>
      </c>
      <c r="D116" s="20">
        <f>COUNTIFS(tData[SEHTrajectPeriodeDatumTijdVan],"&lt;="&amp;($A116+0/24),tData[SEHTrajectPeriodeDatumTijdTotEnMet],"&gt;"&amp;($A116+0/24))</f>
        <v/>
      </c>
      <c r="E116" s="20">
        <f>COUNTIFS(tData[SEHTrajectPeriodeDatumTijdVan],"&lt;="&amp;($A116+1/24),tData[SEHTrajectPeriodeDatumTijdTotEnMet],"&gt;"&amp;($A116+1/24))</f>
        <v/>
      </c>
      <c r="F116" s="20">
        <f>COUNTIFS(tData[SEHTrajectPeriodeDatumTijdVan],"&lt;="&amp;($A116+2/24),tData[SEHTrajectPeriodeDatumTijdTotEnMet],"&gt;"&amp;($A116+2/24))</f>
        <v/>
      </c>
      <c r="G116" s="20">
        <f>COUNTIFS(tData[SEHTrajectPeriodeDatumTijdVan],"&lt;="&amp;($A116+3/24),tData[SEHTrajectPeriodeDatumTijdTotEnMet],"&gt;"&amp;($A116+3/24))</f>
        <v/>
      </c>
      <c r="H116" s="20">
        <f>COUNTIFS(tData[SEHTrajectPeriodeDatumTijdVan],"&lt;="&amp;($A116+4/24),tData[SEHTrajectPeriodeDatumTijdTotEnMet],"&gt;"&amp;($A116+4/24))</f>
        <v/>
      </c>
      <c r="I116" s="20">
        <f>COUNTIFS(tData[SEHTrajectPeriodeDatumTijdVan],"&lt;="&amp;($A116+5/24),tData[SEHTrajectPeriodeDatumTijdTotEnMet],"&gt;"&amp;($A116+5/24))</f>
        <v/>
      </c>
      <c r="J116" s="20">
        <f>COUNTIFS(tData[SEHTrajectPeriodeDatumTijdVan],"&lt;="&amp;($A116+6/24),tData[SEHTrajectPeriodeDatumTijdTotEnMet],"&gt;"&amp;($A116+6/24))</f>
        <v/>
      </c>
      <c r="K116" s="20">
        <f>COUNTIFS(tData[SEHTrajectPeriodeDatumTijdVan],"&lt;="&amp;($A116+7/24),tData[SEHTrajectPeriodeDatumTijdTotEnMet],"&gt;"&amp;($A116+7/24))</f>
        <v/>
      </c>
      <c r="L116" s="20">
        <f>COUNTIFS(tData[SEHTrajectPeriodeDatumTijdVan],"&lt;="&amp;($A116+8/24),tData[SEHTrajectPeriodeDatumTijdTotEnMet],"&gt;"&amp;($A116+8/24))</f>
        <v/>
      </c>
      <c r="M116" s="20">
        <f>COUNTIFS(tData[SEHTrajectPeriodeDatumTijdVan],"&lt;="&amp;($A116+9/24),tData[SEHTrajectPeriodeDatumTijdTotEnMet],"&gt;"&amp;($A116+9/24))</f>
        <v/>
      </c>
      <c r="N116" s="20">
        <f>COUNTIFS(tData[SEHTrajectPeriodeDatumTijdVan],"&lt;="&amp;($A116+10/24),tData[SEHTrajectPeriodeDatumTijdTotEnMet],"&gt;"&amp;($A116+10/24))</f>
        <v/>
      </c>
      <c r="O116" s="20">
        <f>COUNTIFS(tData[SEHTrajectPeriodeDatumTijdVan],"&lt;="&amp;($A116+11/24),tData[SEHTrajectPeriodeDatumTijdTotEnMet],"&gt;"&amp;($A116+11/24))</f>
        <v/>
      </c>
      <c r="P116" s="20">
        <f>COUNTIFS(tData[SEHTrajectPeriodeDatumTijdVan],"&lt;="&amp;($A116+12/24),tData[SEHTrajectPeriodeDatumTijdTotEnMet],"&gt;"&amp;($A116+12/24))</f>
        <v/>
      </c>
      <c r="Q116" s="20">
        <f>COUNTIFS(tData[SEHTrajectPeriodeDatumTijdVan],"&lt;="&amp;($A116+13/24),tData[SEHTrajectPeriodeDatumTijdTotEnMet],"&gt;"&amp;($A116+13/24))</f>
        <v/>
      </c>
      <c r="R116" s="20">
        <f>COUNTIFS(tData[SEHTrajectPeriodeDatumTijdVan],"&lt;="&amp;($A116+14/24),tData[SEHTrajectPeriodeDatumTijdTotEnMet],"&gt;"&amp;($A116+14/24))</f>
        <v/>
      </c>
      <c r="S116" s="20">
        <f>COUNTIFS(tData[SEHTrajectPeriodeDatumTijdVan],"&lt;="&amp;($A116+15/24),tData[SEHTrajectPeriodeDatumTijdTotEnMet],"&gt;"&amp;($A116+15/24))</f>
        <v/>
      </c>
      <c r="T116" s="20">
        <f>COUNTIFS(tData[SEHTrajectPeriodeDatumTijdVan],"&lt;="&amp;($A116+16/24),tData[SEHTrajectPeriodeDatumTijdTotEnMet],"&gt;"&amp;($A116+16/24))</f>
        <v/>
      </c>
      <c r="U116" s="20">
        <f>COUNTIFS(tData[SEHTrajectPeriodeDatumTijdVan],"&lt;="&amp;($A116+17/24),tData[SEHTrajectPeriodeDatumTijdTotEnMet],"&gt;"&amp;($A116+17/24))</f>
        <v/>
      </c>
      <c r="V116" s="20">
        <f>COUNTIFS(tData[SEHTrajectPeriodeDatumTijdVan],"&lt;="&amp;($A116+18/24),tData[SEHTrajectPeriodeDatumTijdTotEnMet],"&gt;"&amp;($A116+18/24))</f>
        <v/>
      </c>
      <c r="W116" s="20">
        <f>COUNTIFS(tData[SEHTrajectPeriodeDatumTijdVan],"&lt;="&amp;($A116+19/24),tData[SEHTrajectPeriodeDatumTijdTotEnMet],"&gt;"&amp;($A116+19/24))</f>
        <v/>
      </c>
      <c r="X116" s="20">
        <f>COUNTIFS(tData[SEHTrajectPeriodeDatumTijdVan],"&lt;="&amp;($A116+20/24),tData[SEHTrajectPeriodeDatumTijdTotEnMet],"&gt;"&amp;($A116+20/24))</f>
        <v/>
      </c>
      <c r="Y116" s="20">
        <f>COUNTIFS(tData[SEHTrajectPeriodeDatumTijdVan],"&lt;="&amp;($A116+21/24),tData[SEHTrajectPeriodeDatumTijdTotEnMet],"&gt;"&amp;($A116+21/24))</f>
        <v/>
      </c>
      <c r="Z116" s="20">
        <f>COUNTIFS(tData[SEHTrajectPeriodeDatumTijdVan],"&lt;="&amp;($A116+22/24),tData[SEHTrajectPeriodeDatumTijdTotEnMet],"&gt;"&amp;($A116+22/24))</f>
        <v/>
      </c>
      <c r="AA116" s="20">
        <f>COUNTIFS(tData[SEHTrajectPeriodeDatumTijdVan],"&lt;="&amp;($A116+23/24),tData[SEHTrajectPeriodeDatumTijdTotEnMet],"&gt;"&amp;($A116+23/24))</f>
        <v/>
      </c>
    </row>
    <row r="117">
      <c r="A117" s="19" t="n">
        <v>45405</v>
      </c>
      <c r="B117" s="15">
        <f>WEEKDAY($A117,2)</f>
        <v/>
      </c>
      <c r="C117" s="15">
        <f>IF(AND($A117&gt;=INT(Instellingen!$B$5),$A117&lt;=INT(Instellingen!$B$6)),1,0)</f>
        <v/>
      </c>
      <c r="D117" s="20">
        <f>COUNTIFS(tData[SEHTrajectPeriodeDatumTijdVan],"&lt;="&amp;($A117+0/24),tData[SEHTrajectPeriodeDatumTijdTotEnMet],"&gt;"&amp;($A117+0/24))</f>
        <v/>
      </c>
      <c r="E117" s="20">
        <f>COUNTIFS(tData[SEHTrajectPeriodeDatumTijdVan],"&lt;="&amp;($A117+1/24),tData[SEHTrajectPeriodeDatumTijdTotEnMet],"&gt;"&amp;($A117+1/24))</f>
        <v/>
      </c>
      <c r="F117" s="20">
        <f>COUNTIFS(tData[SEHTrajectPeriodeDatumTijdVan],"&lt;="&amp;($A117+2/24),tData[SEHTrajectPeriodeDatumTijdTotEnMet],"&gt;"&amp;($A117+2/24))</f>
        <v/>
      </c>
      <c r="G117" s="20">
        <f>COUNTIFS(tData[SEHTrajectPeriodeDatumTijdVan],"&lt;="&amp;($A117+3/24),tData[SEHTrajectPeriodeDatumTijdTotEnMet],"&gt;"&amp;($A117+3/24))</f>
        <v/>
      </c>
      <c r="H117" s="20">
        <f>COUNTIFS(tData[SEHTrajectPeriodeDatumTijdVan],"&lt;="&amp;($A117+4/24),tData[SEHTrajectPeriodeDatumTijdTotEnMet],"&gt;"&amp;($A117+4/24))</f>
        <v/>
      </c>
      <c r="I117" s="20">
        <f>COUNTIFS(tData[SEHTrajectPeriodeDatumTijdVan],"&lt;="&amp;($A117+5/24),tData[SEHTrajectPeriodeDatumTijdTotEnMet],"&gt;"&amp;($A117+5/24))</f>
        <v/>
      </c>
      <c r="J117" s="20">
        <f>COUNTIFS(tData[SEHTrajectPeriodeDatumTijdVan],"&lt;="&amp;($A117+6/24),tData[SEHTrajectPeriodeDatumTijdTotEnMet],"&gt;"&amp;($A117+6/24))</f>
        <v/>
      </c>
      <c r="K117" s="20">
        <f>COUNTIFS(tData[SEHTrajectPeriodeDatumTijdVan],"&lt;="&amp;($A117+7/24),tData[SEHTrajectPeriodeDatumTijdTotEnMet],"&gt;"&amp;($A117+7/24))</f>
        <v/>
      </c>
      <c r="L117" s="20">
        <f>COUNTIFS(tData[SEHTrajectPeriodeDatumTijdVan],"&lt;="&amp;($A117+8/24),tData[SEHTrajectPeriodeDatumTijdTotEnMet],"&gt;"&amp;($A117+8/24))</f>
        <v/>
      </c>
      <c r="M117" s="20">
        <f>COUNTIFS(tData[SEHTrajectPeriodeDatumTijdVan],"&lt;="&amp;($A117+9/24),tData[SEHTrajectPeriodeDatumTijdTotEnMet],"&gt;"&amp;($A117+9/24))</f>
        <v/>
      </c>
      <c r="N117" s="20">
        <f>COUNTIFS(tData[SEHTrajectPeriodeDatumTijdVan],"&lt;="&amp;($A117+10/24),tData[SEHTrajectPeriodeDatumTijdTotEnMet],"&gt;"&amp;($A117+10/24))</f>
        <v/>
      </c>
      <c r="O117" s="20">
        <f>COUNTIFS(tData[SEHTrajectPeriodeDatumTijdVan],"&lt;="&amp;($A117+11/24),tData[SEHTrajectPeriodeDatumTijdTotEnMet],"&gt;"&amp;($A117+11/24))</f>
        <v/>
      </c>
      <c r="P117" s="20">
        <f>COUNTIFS(tData[SEHTrajectPeriodeDatumTijdVan],"&lt;="&amp;($A117+12/24),tData[SEHTrajectPeriodeDatumTijdTotEnMet],"&gt;"&amp;($A117+12/24))</f>
        <v/>
      </c>
      <c r="Q117" s="20">
        <f>COUNTIFS(tData[SEHTrajectPeriodeDatumTijdVan],"&lt;="&amp;($A117+13/24),tData[SEHTrajectPeriodeDatumTijdTotEnMet],"&gt;"&amp;($A117+13/24))</f>
        <v/>
      </c>
      <c r="R117" s="20">
        <f>COUNTIFS(tData[SEHTrajectPeriodeDatumTijdVan],"&lt;="&amp;($A117+14/24),tData[SEHTrajectPeriodeDatumTijdTotEnMet],"&gt;"&amp;($A117+14/24))</f>
        <v/>
      </c>
      <c r="S117" s="20">
        <f>COUNTIFS(tData[SEHTrajectPeriodeDatumTijdVan],"&lt;="&amp;($A117+15/24),tData[SEHTrajectPeriodeDatumTijdTotEnMet],"&gt;"&amp;($A117+15/24))</f>
        <v/>
      </c>
      <c r="T117" s="20">
        <f>COUNTIFS(tData[SEHTrajectPeriodeDatumTijdVan],"&lt;="&amp;($A117+16/24),tData[SEHTrajectPeriodeDatumTijdTotEnMet],"&gt;"&amp;($A117+16/24))</f>
        <v/>
      </c>
      <c r="U117" s="20">
        <f>COUNTIFS(tData[SEHTrajectPeriodeDatumTijdVan],"&lt;="&amp;($A117+17/24),tData[SEHTrajectPeriodeDatumTijdTotEnMet],"&gt;"&amp;($A117+17/24))</f>
        <v/>
      </c>
      <c r="V117" s="20">
        <f>COUNTIFS(tData[SEHTrajectPeriodeDatumTijdVan],"&lt;="&amp;($A117+18/24),tData[SEHTrajectPeriodeDatumTijdTotEnMet],"&gt;"&amp;($A117+18/24))</f>
        <v/>
      </c>
      <c r="W117" s="20">
        <f>COUNTIFS(tData[SEHTrajectPeriodeDatumTijdVan],"&lt;="&amp;($A117+19/24),tData[SEHTrajectPeriodeDatumTijdTotEnMet],"&gt;"&amp;($A117+19/24))</f>
        <v/>
      </c>
      <c r="X117" s="20">
        <f>COUNTIFS(tData[SEHTrajectPeriodeDatumTijdVan],"&lt;="&amp;($A117+20/24),tData[SEHTrajectPeriodeDatumTijdTotEnMet],"&gt;"&amp;($A117+20/24))</f>
        <v/>
      </c>
      <c r="Y117" s="20">
        <f>COUNTIFS(tData[SEHTrajectPeriodeDatumTijdVan],"&lt;="&amp;($A117+21/24),tData[SEHTrajectPeriodeDatumTijdTotEnMet],"&gt;"&amp;($A117+21/24))</f>
        <v/>
      </c>
      <c r="Z117" s="20">
        <f>COUNTIFS(tData[SEHTrajectPeriodeDatumTijdVan],"&lt;="&amp;($A117+22/24),tData[SEHTrajectPeriodeDatumTijdTotEnMet],"&gt;"&amp;($A117+22/24))</f>
        <v/>
      </c>
      <c r="AA117" s="20">
        <f>COUNTIFS(tData[SEHTrajectPeriodeDatumTijdVan],"&lt;="&amp;($A117+23/24),tData[SEHTrajectPeriodeDatumTijdTotEnMet],"&gt;"&amp;($A117+23/24))</f>
        <v/>
      </c>
    </row>
    <row r="118">
      <c r="A118" s="19" t="n">
        <v>45406</v>
      </c>
      <c r="B118" s="15">
        <f>WEEKDAY($A118,2)</f>
        <v/>
      </c>
      <c r="C118" s="15">
        <f>IF(AND($A118&gt;=INT(Instellingen!$B$5),$A118&lt;=INT(Instellingen!$B$6)),1,0)</f>
        <v/>
      </c>
      <c r="D118" s="20">
        <f>COUNTIFS(tData[SEHTrajectPeriodeDatumTijdVan],"&lt;="&amp;($A118+0/24),tData[SEHTrajectPeriodeDatumTijdTotEnMet],"&gt;"&amp;($A118+0/24))</f>
        <v/>
      </c>
      <c r="E118" s="20">
        <f>COUNTIFS(tData[SEHTrajectPeriodeDatumTijdVan],"&lt;="&amp;($A118+1/24),tData[SEHTrajectPeriodeDatumTijdTotEnMet],"&gt;"&amp;($A118+1/24))</f>
        <v/>
      </c>
      <c r="F118" s="20">
        <f>COUNTIFS(tData[SEHTrajectPeriodeDatumTijdVan],"&lt;="&amp;($A118+2/24),tData[SEHTrajectPeriodeDatumTijdTotEnMet],"&gt;"&amp;($A118+2/24))</f>
        <v/>
      </c>
      <c r="G118" s="20">
        <f>COUNTIFS(tData[SEHTrajectPeriodeDatumTijdVan],"&lt;="&amp;($A118+3/24),tData[SEHTrajectPeriodeDatumTijdTotEnMet],"&gt;"&amp;($A118+3/24))</f>
        <v/>
      </c>
      <c r="H118" s="20">
        <f>COUNTIFS(tData[SEHTrajectPeriodeDatumTijdVan],"&lt;="&amp;($A118+4/24),tData[SEHTrajectPeriodeDatumTijdTotEnMet],"&gt;"&amp;($A118+4/24))</f>
        <v/>
      </c>
      <c r="I118" s="20">
        <f>COUNTIFS(tData[SEHTrajectPeriodeDatumTijdVan],"&lt;="&amp;($A118+5/24),tData[SEHTrajectPeriodeDatumTijdTotEnMet],"&gt;"&amp;($A118+5/24))</f>
        <v/>
      </c>
      <c r="J118" s="20">
        <f>COUNTIFS(tData[SEHTrajectPeriodeDatumTijdVan],"&lt;="&amp;($A118+6/24),tData[SEHTrajectPeriodeDatumTijdTotEnMet],"&gt;"&amp;($A118+6/24))</f>
        <v/>
      </c>
      <c r="K118" s="20">
        <f>COUNTIFS(tData[SEHTrajectPeriodeDatumTijdVan],"&lt;="&amp;($A118+7/24),tData[SEHTrajectPeriodeDatumTijdTotEnMet],"&gt;"&amp;($A118+7/24))</f>
        <v/>
      </c>
      <c r="L118" s="20">
        <f>COUNTIFS(tData[SEHTrajectPeriodeDatumTijdVan],"&lt;="&amp;($A118+8/24),tData[SEHTrajectPeriodeDatumTijdTotEnMet],"&gt;"&amp;($A118+8/24))</f>
        <v/>
      </c>
      <c r="M118" s="20">
        <f>COUNTIFS(tData[SEHTrajectPeriodeDatumTijdVan],"&lt;="&amp;($A118+9/24),tData[SEHTrajectPeriodeDatumTijdTotEnMet],"&gt;"&amp;($A118+9/24))</f>
        <v/>
      </c>
      <c r="N118" s="20">
        <f>COUNTIFS(tData[SEHTrajectPeriodeDatumTijdVan],"&lt;="&amp;($A118+10/24),tData[SEHTrajectPeriodeDatumTijdTotEnMet],"&gt;"&amp;($A118+10/24))</f>
        <v/>
      </c>
      <c r="O118" s="20">
        <f>COUNTIFS(tData[SEHTrajectPeriodeDatumTijdVan],"&lt;="&amp;($A118+11/24),tData[SEHTrajectPeriodeDatumTijdTotEnMet],"&gt;"&amp;($A118+11/24))</f>
        <v/>
      </c>
      <c r="P118" s="20">
        <f>COUNTIFS(tData[SEHTrajectPeriodeDatumTijdVan],"&lt;="&amp;($A118+12/24),tData[SEHTrajectPeriodeDatumTijdTotEnMet],"&gt;"&amp;($A118+12/24))</f>
        <v/>
      </c>
      <c r="Q118" s="20">
        <f>COUNTIFS(tData[SEHTrajectPeriodeDatumTijdVan],"&lt;="&amp;($A118+13/24),tData[SEHTrajectPeriodeDatumTijdTotEnMet],"&gt;"&amp;($A118+13/24))</f>
        <v/>
      </c>
      <c r="R118" s="20">
        <f>COUNTIFS(tData[SEHTrajectPeriodeDatumTijdVan],"&lt;="&amp;($A118+14/24),tData[SEHTrajectPeriodeDatumTijdTotEnMet],"&gt;"&amp;($A118+14/24))</f>
        <v/>
      </c>
      <c r="S118" s="20">
        <f>COUNTIFS(tData[SEHTrajectPeriodeDatumTijdVan],"&lt;="&amp;($A118+15/24),tData[SEHTrajectPeriodeDatumTijdTotEnMet],"&gt;"&amp;($A118+15/24))</f>
        <v/>
      </c>
      <c r="T118" s="20">
        <f>COUNTIFS(tData[SEHTrajectPeriodeDatumTijdVan],"&lt;="&amp;($A118+16/24),tData[SEHTrajectPeriodeDatumTijdTotEnMet],"&gt;"&amp;($A118+16/24))</f>
        <v/>
      </c>
      <c r="U118" s="20">
        <f>COUNTIFS(tData[SEHTrajectPeriodeDatumTijdVan],"&lt;="&amp;($A118+17/24),tData[SEHTrajectPeriodeDatumTijdTotEnMet],"&gt;"&amp;($A118+17/24))</f>
        <v/>
      </c>
      <c r="V118" s="20">
        <f>COUNTIFS(tData[SEHTrajectPeriodeDatumTijdVan],"&lt;="&amp;($A118+18/24),tData[SEHTrajectPeriodeDatumTijdTotEnMet],"&gt;"&amp;($A118+18/24))</f>
        <v/>
      </c>
      <c r="W118" s="20">
        <f>COUNTIFS(tData[SEHTrajectPeriodeDatumTijdVan],"&lt;="&amp;($A118+19/24),tData[SEHTrajectPeriodeDatumTijdTotEnMet],"&gt;"&amp;($A118+19/24))</f>
        <v/>
      </c>
      <c r="X118" s="20">
        <f>COUNTIFS(tData[SEHTrajectPeriodeDatumTijdVan],"&lt;="&amp;($A118+20/24),tData[SEHTrajectPeriodeDatumTijdTotEnMet],"&gt;"&amp;($A118+20/24))</f>
        <v/>
      </c>
      <c r="Y118" s="20">
        <f>COUNTIFS(tData[SEHTrajectPeriodeDatumTijdVan],"&lt;="&amp;($A118+21/24),tData[SEHTrajectPeriodeDatumTijdTotEnMet],"&gt;"&amp;($A118+21/24))</f>
        <v/>
      </c>
      <c r="Z118" s="20">
        <f>COUNTIFS(tData[SEHTrajectPeriodeDatumTijdVan],"&lt;="&amp;($A118+22/24),tData[SEHTrajectPeriodeDatumTijdTotEnMet],"&gt;"&amp;($A118+22/24))</f>
        <v/>
      </c>
      <c r="AA118" s="20">
        <f>COUNTIFS(tData[SEHTrajectPeriodeDatumTijdVan],"&lt;="&amp;($A118+23/24),tData[SEHTrajectPeriodeDatumTijdTotEnMet],"&gt;"&amp;($A118+23/24))</f>
        <v/>
      </c>
    </row>
    <row r="119">
      <c r="A119" s="19" t="n">
        <v>45407</v>
      </c>
      <c r="B119" s="15">
        <f>WEEKDAY($A119,2)</f>
        <v/>
      </c>
      <c r="C119" s="15">
        <f>IF(AND($A119&gt;=INT(Instellingen!$B$5),$A119&lt;=INT(Instellingen!$B$6)),1,0)</f>
        <v/>
      </c>
      <c r="D119" s="20">
        <f>COUNTIFS(tData[SEHTrajectPeriodeDatumTijdVan],"&lt;="&amp;($A119+0/24),tData[SEHTrajectPeriodeDatumTijdTotEnMet],"&gt;"&amp;($A119+0/24))</f>
        <v/>
      </c>
      <c r="E119" s="20">
        <f>COUNTIFS(tData[SEHTrajectPeriodeDatumTijdVan],"&lt;="&amp;($A119+1/24),tData[SEHTrajectPeriodeDatumTijdTotEnMet],"&gt;"&amp;($A119+1/24))</f>
        <v/>
      </c>
      <c r="F119" s="20">
        <f>COUNTIFS(tData[SEHTrajectPeriodeDatumTijdVan],"&lt;="&amp;($A119+2/24),tData[SEHTrajectPeriodeDatumTijdTotEnMet],"&gt;"&amp;($A119+2/24))</f>
        <v/>
      </c>
      <c r="G119" s="20">
        <f>COUNTIFS(tData[SEHTrajectPeriodeDatumTijdVan],"&lt;="&amp;($A119+3/24),tData[SEHTrajectPeriodeDatumTijdTotEnMet],"&gt;"&amp;($A119+3/24))</f>
        <v/>
      </c>
      <c r="H119" s="20">
        <f>COUNTIFS(tData[SEHTrajectPeriodeDatumTijdVan],"&lt;="&amp;($A119+4/24),tData[SEHTrajectPeriodeDatumTijdTotEnMet],"&gt;"&amp;($A119+4/24))</f>
        <v/>
      </c>
      <c r="I119" s="20">
        <f>COUNTIFS(tData[SEHTrajectPeriodeDatumTijdVan],"&lt;="&amp;($A119+5/24),tData[SEHTrajectPeriodeDatumTijdTotEnMet],"&gt;"&amp;($A119+5/24))</f>
        <v/>
      </c>
      <c r="J119" s="20">
        <f>COUNTIFS(tData[SEHTrajectPeriodeDatumTijdVan],"&lt;="&amp;($A119+6/24),tData[SEHTrajectPeriodeDatumTijdTotEnMet],"&gt;"&amp;($A119+6/24))</f>
        <v/>
      </c>
      <c r="K119" s="20">
        <f>COUNTIFS(tData[SEHTrajectPeriodeDatumTijdVan],"&lt;="&amp;($A119+7/24),tData[SEHTrajectPeriodeDatumTijdTotEnMet],"&gt;"&amp;($A119+7/24))</f>
        <v/>
      </c>
      <c r="L119" s="20">
        <f>COUNTIFS(tData[SEHTrajectPeriodeDatumTijdVan],"&lt;="&amp;($A119+8/24),tData[SEHTrajectPeriodeDatumTijdTotEnMet],"&gt;"&amp;($A119+8/24))</f>
        <v/>
      </c>
      <c r="M119" s="20">
        <f>COUNTIFS(tData[SEHTrajectPeriodeDatumTijdVan],"&lt;="&amp;($A119+9/24),tData[SEHTrajectPeriodeDatumTijdTotEnMet],"&gt;"&amp;($A119+9/24))</f>
        <v/>
      </c>
      <c r="N119" s="20">
        <f>COUNTIFS(tData[SEHTrajectPeriodeDatumTijdVan],"&lt;="&amp;($A119+10/24),tData[SEHTrajectPeriodeDatumTijdTotEnMet],"&gt;"&amp;($A119+10/24))</f>
        <v/>
      </c>
      <c r="O119" s="20">
        <f>COUNTIFS(tData[SEHTrajectPeriodeDatumTijdVan],"&lt;="&amp;($A119+11/24),tData[SEHTrajectPeriodeDatumTijdTotEnMet],"&gt;"&amp;($A119+11/24))</f>
        <v/>
      </c>
      <c r="P119" s="20">
        <f>COUNTIFS(tData[SEHTrajectPeriodeDatumTijdVan],"&lt;="&amp;($A119+12/24),tData[SEHTrajectPeriodeDatumTijdTotEnMet],"&gt;"&amp;($A119+12/24))</f>
        <v/>
      </c>
      <c r="Q119" s="20">
        <f>COUNTIFS(tData[SEHTrajectPeriodeDatumTijdVan],"&lt;="&amp;($A119+13/24),tData[SEHTrajectPeriodeDatumTijdTotEnMet],"&gt;"&amp;($A119+13/24))</f>
        <v/>
      </c>
      <c r="R119" s="20">
        <f>COUNTIFS(tData[SEHTrajectPeriodeDatumTijdVan],"&lt;="&amp;($A119+14/24),tData[SEHTrajectPeriodeDatumTijdTotEnMet],"&gt;"&amp;($A119+14/24))</f>
        <v/>
      </c>
      <c r="S119" s="20">
        <f>COUNTIFS(tData[SEHTrajectPeriodeDatumTijdVan],"&lt;="&amp;($A119+15/24),tData[SEHTrajectPeriodeDatumTijdTotEnMet],"&gt;"&amp;($A119+15/24))</f>
        <v/>
      </c>
      <c r="T119" s="20">
        <f>COUNTIFS(tData[SEHTrajectPeriodeDatumTijdVan],"&lt;="&amp;($A119+16/24),tData[SEHTrajectPeriodeDatumTijdTotEnMet],"&gt;"&amp;($A119+16/24))</f>
        <v/>
      </c>
      <c r="U119" s="20">
        <f>COUNTIFS(tData[SEHTrajectPeriodeDatumTijdVan],"&lt;="&amp;($A119+17/24),tData[SEHTrajectPeriodeDatumTijdTotEnMet],"&gt;"&amp;($A119+17/24))</f>
        <v/>
      </c>
      <c r="V119" s="20">
        <f>COUNTIFS(tData[SEHTrajectPeriodeDatumTijdVan],"&lt;="&amp;($A119+18/24),tData[SEHTrajectPeriodeDatumTijdTotEnMet],"&gt;"&amp;($A119+18/24))</f>
        <v/>
      </c>
      <c r="W119" s="20">
        <f>COUNTIFS(tData[SEHTrajectPeriodeDatumTijdVan],"&lt;="&amp;($A119+19/24),tData[SEHTrajectPeriodeDatumTijdTotEnMet],"&gt;"&amp;($A119+19/24))</f>
        <v/>
      </c>
      <c r="X119" s="20">
        <f>COUNTIFS(tData[SEHTrajectPeriodeDatumTijdVan],"&lt;="&amp;($A119+20/24),tData[SEHTrajectPeriodeDatumTijdTotEnMet],"&gt;"&amp;($A119+20/24))</f>
        <v/>
      </c>
      <c r="Y119" s="20">
        <f>COUNTIFS(tData[SEHTrajectPeriodeDatumTijdVan],"&lt;="&amp;($A119+21/24),tData[SEHTrajectPeriodeDatumTijdTotEnMet],"&gt;"&amp;($A119+21/24))</f>
        <v/>
      </c>
      <c r="Z119" s="20">
        <f>COUNTIFS(tData[SEHTrajectPeriodeDatumTijdVan],"&lt;="&amp;($A119+22/24),tData[SEHTrajectPeriodeDatumTijdTotEnMet],"&gt;"&amp;($A119+22/24))</f>
        <v/>
      </c>
      <c r="AA119" s="20">
        <f>COUNTIFS(tData[SEHTrajectPeriodeDatumTijdVan],"&lt;="&amp;($A119+23/24),tData[SEHTrajectPeriodeDatumTijdTotEnMet],"&gt;"&amp;($A119+23/24))</f>
        <v/>
      </c>
    </row>
    <row r="120">
      <c r="A120" s="19" t="n">
        <v>45408</v>
      </c>
      <c r="B120" s="15">
        <f>WEEKDAY($A120,2)</f>
        <v/>
      </c>
      <c r="C120" s="15">
        <f>IF(AND($A120&gt;=INT(Instellingen!$B$5),$A120&lt;=INT(Instellingen!$B$6)),1,0)</f>
        <v/>
      </c>
      <c r="D120" s="20">
        <f>COUNTIFS(tData[SEHTrajectPeriodeDatumTijdVan],"&lt;="&amp;($A120+0/24),tData[SEHTrajectPeriodeDatumTijdTotEnMet],"&gt;"&amp;($A120+0/24))</f>
        <v/>
      </c>
      <c r="E120" s="20">
        <f>COUNTIFS(tData[SEHTrajectPeriodeDatumTijdVan],"&lt;="&amp;($A120+1/24),tData[SEHTrajectPeriodeDatumTijdTotEnMet],"&gt;"&amp;($A120+1/24))</f>
        <v/>
      </c>
      <c r="F120" s="20">
        <f>COUNTIFS(tData[SEHTrajectPeriodeDatumTijdVan],"&lt;="&amp;($A120+2/24),tData[SEHTrajectPeriodeDatumTijdTotEnMet],"&gt;"&amp;($A120+2/24))</f>
        <v/>
      </c>
      <c r="G120" s="20">
        <f>COUNTIFS(tData[SEHTrajectPeriodeDatumTijdVan],"&lt;="&amp;($A120+3/24),tData[SEHTrajectPeriodeDatumTijdTotEnMet],"&gt;"&amp;($A120+3/24))</f>
        <v/>
      </c>
      <c r="H120" s="20">
        <f>COUNTIFS(tData[SEHTrajectPeriodeDatumTijdVan],"&lt;="&amp;($A120+4/24),tData[SEHTrajectPeriodeDatumTijdTotEnMet],"&gt;"&amp;($A120+4/24))</f>
        <v/>
      </c>
      <c r="I120" s="20">
        <f>COUNTIFS(tData[SEHTrajectPeriodeDatumTijdVan],"&lt;="&amp;($A120+5/24),tData[SEHTrajectPeriodeDatumTijdTotEnMet],"&gt;"&amp;($A120+5/24))</f>
        <v/>
      </c>
      <c r="J120" s="20">
        <f>COUNTIFS(tData[SEHTrajectPeriodeDatumTijdVan],"&lt;="&amp;($A120+6/24),tData[SEHTrajectPeriodeDatumTijdTotEnMet],"&gt;"&amp;($A120+6/24))</f>
        <v/>
      </c>
      <c r="K120" s="20">
        <f>COUNTIFS(tData[SEHTrajectPeriodeDatumTijdVan],"&lt;="&amp;($A120+7/24),tData[SEHTrajectPeriodeDatumTijdTotEnMet],"&gt;"&amp;($A120+7/24))</f>
        <v/>
      </c>
      <c r="L120" s="20">
        <f>COUNTIFS(tData[SEHTrajectPeriodeDatumTijdVan],"&lt;="&amp;($A120+8/24),tData[SEHTrajectPeriodeDatumTijdTotEnMet],"&gt;"&amp;($A120+8/24))</f>
        <v/>
      </c>
      <c r="M120" s="20">
        <f>COUNTIFS(tData[SEHTrajectPeriodeDatumTijdVan],"&lt;="&amp;($A120+9/24),tData[SEHTrajectPeriodeDatumTijdTotEnMet],"&gt;"&amp;($A120+9/24))</f>
        <v/>
      </c>
      <c r="N120" s="20">
        <f>COUNTIFS(tData[SEHTrajectPeriodeDatumTijdVan],"&lt;="&amp;($A120+10/24),tData[SEHTrajectPeriodeDatumTijdTotEnMet],"&gt;"&amp;($A120+10/24))</f>
        <v/>
      </c>
      <c r="O120" s="20">
        <f>COUNTIFS(tData[SEHTrajectPeriodeDatumTijdVan],"&lt;="&amp;($A120+11/24),tData[SEHTrajectPeriodeDatumTijdTotEnMet],"&gt;"&amp;($A120+11/24))</f>
        <v/>
      </c>
      <c r="P120" s="20">
        <f>COUNTIFS(tData[SEHTrajectPeriodeDatumTijdVan],"&lt;="&amp;($A120+12/24),tData[SEHTrajectPeriodeDatumTijdTotEnMet],"&gt;"&amp;($A120+12/24))</f>
        <v/>
      </c>
      <c r="Q120" s="20">
        <f>COUNTIFS(tData[SEHTrajectPeriodeDatumTijdVan],"&lt;="&amp;($A120+13/24),tData[SEHTrajectPeriodeDatumTijdTotEnMet],"&gt;"&amp;($A120+13/24))</f>
        <v/>
      </c>
      <c r="R120" s="20">
        <f>COUNTIFS(tData[SEHTrajectPeriodeDatumTijdVan],"&lt;="&amp;($A120+14/24),tData[SEHTrajectPeriodeDatumTijdTotEnMet],"&gt;"&amp;($A120+14/24))</f>
        <v/>
      </c>
      <c r="S120" s="20">
        <f>COUNTIFS(tData[SEHTrajectPeriodeDatumTijdVan],"&lt;="&amp;($A120+15/24),tData[SEHTrajectPeriodeDatumTijdTotEnMet],"&gt;"&amp;($A120+15/24))</f>
        <v/>
      </c>
      <c r="T120" s="20">
        <f>COUNTIFS(tData[SEHTrajectPeriodeDatumTijdVan],"&lt;="&amp;($A120+16/24),tData[SEHTrajectPeriodeDatumTijdTotEnMet],"&gt;"&amp;($A120+16/24))</f>
        <v/>
      </c>
      <c r="U120" s="20">
        <f>COUNTIFS(tData[SEHTrajectPeriodeDatumTijdVan],"&lt;="&amp;($A120+17/24),tData[SEHTrajectPeriodeDatumTijdTotEnMet],"&gt;"&amp;($A120+17/24))</f>
        <v/>
      </c>
      <c r="V120" s="20">
        <f>COUNTIFS(tData[SEHTrajectPeriodeDatumTijdVan],"&lt;="&amp;($A120+18/24),tData[SEHTrajectPeriodeDatumTijdTotEnMet],"&gt;"&amp;($A120+18/24))</f>
        <v/>
      </c>
      <c r="W120" s="20">
        <f>COUNTIFS(tData[SEHTrajectPeriodeDatumTijdVan],"&lt;="&amp;($A120+19/24),tData[SEHTrajectPeriodeDatumTijdTotEnMet],"&gt;"&amp;($A120+19/24))</f>
        <v/>
      </c>
      <c r="X120" s="20">
        <f>COUNTIFS(tData[SEHTrajectPeriodeDatumTijdVan],"&lt;="&amp;($A120+20/24),tData[SEHTrajectPeriodeDatumTijdTotEnMet],"&gt;"&amp;($A120+20/24))</f>
        <v/>
      </c>
      <c r="Y120" s="20">
        <f>COUNTIFS(tData[SEHTrajectPeriodeDatumTijdVan],"&lt;="&amp;($A120+21/24),tData[SEHTrajectPeriodeDatumTijdTotEnMet],"&gt;"&amp;($A120+21/24))</f>
        <v/>
      </c>
      <c r="Z120" s="20">
        <f>COUNTIFS(tData[SEHTrajectPeriodeDatumTijdVan],"&lt;="&amp;($A120+22/24),tData[SEHTrajectPeriodeDatumTijdTotEnMet],"&gt;"&amp;($A120+22/24))</f>
        <v/>
      </c>
      <c r="AA120" s="20">
        <f>COUNTIFS(tData[SEHTrajectPeriodeDatumTijdVan],"&lt;="&amp;($A120+23/24),tData[SEHTrajectPeriodeDatumTijdTotEnMet],"&gt;"&amp;($A120+23/24))</f>
        <v/>
      </c>
    </row>
    <row r="121">
      <c r="A121" s="19" t="n">
        <v>45409</v>
      </c>
      <c r="B121" s="15">
        <f>WEEKDAY($A121,2)</f>
        <v/>
      </c>
      <c r="C121" s="15">
        <f>IF(AND($A121&gt;=INT(Instellingen!$B$5),$A121&lt;=INT(Instellingen!$B$6)),1,0)</f>
        <v/>
      </c>
      <c r="D121" s="20">
        <f>COUNTIFS(tData[SEHTrajectPeriodeDatumTijdVan],"&lt;="&amp;($A121+0/24),tData[SEHTrajectPeriodeDatumTijdTotEnMet],"&gt;"&amp;($A121+0/24))</f>
        <v/>
      </c>
      <c r="E121" s="20">
        <f>COUNTIFS(tData[SEHTrajectPeriodeDatumTijdVan],"&lt;="&amp;($A121+1/24),tData[SEHTrajectPeriodeDatumTijdTotEnMet],"&gt;"&amp;($A121+1/24))</f>
        <v/>
      </c>
      <c r="F121" s="20">
        <f>COUNTIFS(tData[SEHTrajectPeriodeDatumTijdVan],"&lt;="&amp;($A121+2/24),tData[SEHTrajectPeriodeDatumTijdTotEnMet],"&gt;"&amp;($A121+2/24))</f>
        <v/>
      </c>
      <c r="G121" s="20">
        <f>COUNTIFS(tData[SEHTrajectPeriodeDatumTijdVan],"&lt;="&amp;($A121+3/24),tData[SEHTrajectPeriodeDatumTijdTotEnMet],"&gt;"&amp;($A121+3/24))</f>
        <v/>
      </c>
      <c r="H121" s="20">
        <f>COUNTIFS(tData[SEHTrajectPeriodeDatumTijdVan],"&lt;="&amp;($A121+4/24),tData[SEHTrajectPeriodeDatumTijdTotEnMet],"&gt;"&amp;($A121+4/24))</f>
        <v/>
      </c>
      <c r="I121" s="20">
        <f>COUNTIFS(tData[SEHTrajectPeriodeDatumTijdVan],"&lt;="&amp;($A121+5/24),tData[SEHTrajectPeriodeDatumTijdTotEnMet],"&gt;"&amp;($A121+5/24))</f>
        <v/>
      </c>
      <c r="J121" s="20">
        <f>COUNTIFS(tData[SEHTrajectPeriodeDatumTijdVan],"&lt;="&amp;($A121+6/24),tData[SEHTrajectPeriodeDatumTijdTotEnMet],"&gt;"&amp;($A121+6/24))</f>
        <v/>
      </c>
      <c r="K121" s="20">
        <f>COUNTIFS(tData[SEHTrajectPeriodeDatumTijdVan],"&lt;="&amp;($A121+7/24),tData[SEHTrajectPeriodeDatumTijdTotEnMet],"&gt;"&amp;($A121+7/24))</f>
        <v/>
      </c>
      <c r="L121" s="20">
        <f>COUNTIFS(tData[SEHTrajectPeriodeDatumTijdVan],"&lt;="&amp;($A121+8/24),tData[SEHTrajectPeriodeDatumTijdTotEnMet],"&gt;"&amp;($A121+8/24))</f>
        <v/>
      </c>
      <c r="M121" s="20">
        <f>COUNTIFS(tData[SEHTrajectPeriodeDatumTijdVan],"&lt;="&amp;($A121+9/24),tData[SEHTrajectPeriodeDatumTijdTotEnMet],"&gt;"&amp;($A121+9/24))</f>
        <v/>
      </c>
      <c r="N121" s="20">
        <f>COUNTIFS(tData[SEHTrajectPeriodeDatumTijdVan],"&lt;="&amp;($A121+10/24),tData[SEHTrajectPeriodeDatumTijdTotEnMet],"&gt;"&amp;($A121+10/24))</f>
        <v/>
      </c>
      <c r="O121" s="20">
        <f>COUNTIFS(tData[SEHTrajectPeriodeDatumTijdVan],"&lt;="&amp;($A121+11/24),tData[SEHTrajectPeriodeDatumTijdTotEnMet],"&gt;"&amp;($A121+11/24))</f>
        <v/>
      </c>
      <c r="P121" s="20">
        <f>COUNTIFS(tData[SEHTrajectPeriodeDatumTijdVan],"&lt;="&amp;($A121+12/24),tData[SEHTrajectPeriodeDatumTijdTotEnMet],"&gt;"&amp;($A121+12/24))</f>
        <v/>
      </c>
      <c r="Q121" s="20">
        <f>COUNTIFS(tData[SEHTrajectPeriodeDatumTijdVan],"&lt;="&amp;($A121+13/24),tData[SEHTrajectPeriodeDatumTijdTotEnMet],"&gt;"&amp;($A121+13/24))</f>
        <v/>
      </c>
      <c r="R121" s="20">
        <f>COUNTIFS(tData[SEHTrajectPeriodeDatumTijdVan],"&lt;="&amp;($A121+14/24),tData[SEHTrajectPeriodeDatumTijdTotEnMet],"&gt;"&amp;($A121+14/24))</f>
        <v/>
      </c>
      <c r="S121" s="20">
        <f>COUNTIFS(tData[SEHTrajectPeriodeDatumTijdVan],"&lt;="&amp;($A121+15/24),tData[SEHTrajectPeriodeDatumTijdTotEnMet],"&gt;"&amp;($A121+15/24))</f>
        <v/>
      </c>
      <c r="T121" s="20">
        <f>COUNTIFS(tData[SEHTrajectPeriodeDatumTijdVan],"&lt;="&amp;($A121+16/24),tData[SEHTrajectPeriodeDatumTijdTotEnMet],"&gt;"&amp;($A121+16/24))</f>
        <v/>
      </c>
      <c r="U121" s="20">
        <f>COUNTIFS(tData[SEHTrajectPeriodeDatumTijdVan],"&lt;="&amp;($A121+17/24),tData[SEHTrajectPeriodeDatumTijdTotEnMet],"&gt;"&amp;($A121+17/24))</f>
        <v/>
      </c>
      <c r="V121" s="20">
        <f>COUNTIFS(tData[SEHTrajectPeriodeDatumTijdVan],"&lt;="&amp;($A121+18/24),tData[SEHTrajectPeriodeDatumTijdTotEnMet],"&gt;"&amp;($A121+18/24))</f>
        <v/>
      </c>
      <c r="W121" s="20">
        <f>COUNTIFS(tData[SEHTrajectPeriodeDatumTijdVan],"&lt;="&amp;($A121+19/24),tData[SEHTrajectPeriodeDatumTijdTotEnMet],"&gt;"&amp;($A121+19/24))</f>
        <v/>
      </c>
      <c r="X121" s="20">
        <f>COUNTIFS(tData[SEHTrajectPeriodeDatumTijdVan],"&lt;="&amp;($A121+20/24),tData[SEHTrajectPeriodeDatumTijdTotEnMet],"&gt;"&amp;($A121+20/24))</f>
        <v/>
      </c>
      <c r="Y121" s="20">
        <f>COUNTIFS(tData[SEHTrajectPeriodeDatumTijdVan],"&lt;="&amp;($A121+21/24),tData[SEHTrajectPeriodeDatumTijdTotEnMet],"&gt;"&amp;($A121+21/24))</f>
        <v/>
      </c>
      <c r="Z121" s="20">
        <f>COUNTIFS(tData[SEHTrajectPeriodeDatumTijdVan],"&lt;="&amp;($A121+22/24),tData[SEHTrajectPeriodeDatumTijdTotEnMet],"&gt;"&amp;($A121+22/24))</f>
        <v/>
      </c>
      <c r="AA121" s="20">
        <f>COUNTIFS(tData[SEHTrajectPeriodeDatumTijdVan],"&lt;="&amp;($A121+23/24),tData[SEHTrajectPeriodeDatumTijdTotEnMet],"&gt;"&amp;($A121+23/24))</f>
        <v/>
      </c>
    </row>
    <row r="122">
      <c r="A122" s="19" t="n">
        <v>45410</v>
      </c>
      <c r="B122" s="15">
        <f>WEEKDAY($A122,2)</f>
        <v/>
      </c>
      <c r="C122" s="15">
        <f>IF(AND($A122&gt;=INT(Instellingen!$B$5),$A122&lt;=INT(Instellingen!$B$6)),1,0)</f>
        <v/>
      </c>
      <c r="D122" s="20">
        <f>COUNTIFS(tData[SEHTrajectPeriodeDatumTijdVan],"&lt;="&amp;($A122+0/24),tData[SEHTrajectPeriodeDatumTijdTotEnMet],"&gt;"&amp;($A122+0/24))</f>
        <v/>
      </c>
      <c r="E122" s="20">
        <f>COUNTIFS(tData[SEHTrajectPeriodeDatumTijdVan],"&lt;="&amp;($A122+1/24),tData[SEHTrajectPeriodeDatumTijdTotEnMet],"&gt;"&amp;($A122+1/24))</f>
        <v/>
      </c>
      <c r="F122" s="20">
        <f>COUNTIFS(tData[SEHTrajectPeriodeDatumTijdVan],"&lt;="&amp;($A122+2/24),tData[SEHTrajectPeriodeDatumTijdTotEnMet],"&gt;"&amp;($A122+2/24))</f>
        <v/>
      </c>
      <c r="G122" s="20">
        <f>COUNTIFS(tData[SEHTrajectPeriodeDatumTijdVan],"&lt;="&amp;($A122+3/24),tData[SEHTrajectPeriodeDatumTijdTotEnMet],"&gt;"&amp;($A122+3/24))</f>
        <v/>
      </c>
      <c r="H122" s="20">
        <f>COUNTIFS(tData[SEHTrajectPeriodeDatumTijdVan],"&lt;="&amp;($A122+4/24),tData[SEHTrajectPeriodeDatumTijdTotEnMet],"&gt;"&amp;($A122+4/24))</f>
        <v/>
      </c>
      <c r="I122" s="20">
        <f>COUNTIFS(tData[SEHTrajectPeriodeDatumTijdVan],"&lt;="&amp;($A122+5/24),tData[SEHTrajectPeriodeDatumTijdTotEnMet],"&gt;"&amp;($A122+5/24))</f>
        <v/>
      </c>
      <c r="J122" s="20">
        <f>COUNTIFS(tData[SEHTrajectPeriodeDatumTijdVan],"&lt;="&amp;($A122+6/24),tData[SEHTrajectPeriodeDatumTijdTotEnMet],"&gt;"&amp;($A122+6/24))</f>
        <v/>
      </c>
      <c r="K122" s="20">
        <f>COUNTIFS(tData[SEHTrajectPeriodeDatumTijdVan],"&lt;="&amp;($A122+7/24),tData[SEHTrajectPeriodeDatumTijdTotEnMet],"&gt;"&amp;($A122+7/24))</f>
        <v/>
      </c>
      <c r="L122" s="20">
        <f>COUNTIFS(tData[SEHTrajectPeriodeDatumTijdVan],"&lt;="&amp;($A122+8/24),tData[SEHTrajectPeriodeDatumTijdTotEnMet],"&gt;"&amp;($A122+8/24))</f>
        <v/>
      </c>
      <c r="M122" s="20">
        <f>COUNTIFS(tData[SEHTrajectPeriodeDatumTijdVan],"&lt;="&amp;($A122+9/24),tData[SEHTrajectPeriodeDatumTijdTotEnMet],"&gt;"&amp;($A122+9/24))</f>
        <v/>
      </c>
      <c r="N122" s="20">
        <f>COUNTIFS(tData[SEHTrajectPeriodeDatumTijdVan],"&lt;="&amp;($A122+10/24),tData[SEHTrajectPeriodeDatumTijdTotEnMet],"&gt;"&amp;($A122+10/24))</f>
        <v/>
      </c>
      <c r="O122" s="20">
        <f>COUNTIFS(tData[SEHTrajectPeriodeDatumTijdVan],"&lt;="&amp;($A122+11/24),tData[SEHTrajectPeriodeDatumTijdTotEnMet],"&gt;"&amp;($A122+11/24))</f>
        <v/>
      </c>
      <c r="P122" s="20">
        <f>COUNTIFS(tData[SEHTrajectPeriodeDatumTijdVan],"&lt;="&amp;($A122+12/24),tData[SEHTrajectPeriodeDatumTijdTotEnMet],"&gt;"&amp;($A122+12/24))</f>
        <v/>
      </c>
      <c r="Q122" s="20">
        <f>COUNTIFS(tData[SEHTrajectPeriodeDatumTijdVan],"&lt;="&amp;($A122+13/24),tData[SEHTrajectPeriodeDatumTijdTotEnMet],"&gt;"&amp;($A122+13/24))</f>
        <v/>
      </c>
      <c r="R122" s="20">
        <f>COUNTIFS(tData[SEHTrajectPeriodeDatumTijdVan],"&lt;="&amp;($A122+14/24),tData[SEHTrajectPeriodeDatumTijdTotEnMet],"&gt;"&amp;($A122+14/24))</f>
        <v/>
      </c>
      <c r="S122" s="20">
        <f>COUNTIFS(tData[SEHTrajectPeriodeDatumTijdVan],"&lt;="&amp;($A122+15/24),tData[SEHTrajectPeriodeDatumTijdTotEnMet],"&gt;"&amp;($A122+15/24))</f>
        <v/>
      </c>
      <c r="T122" s="20">
        <f>COUNTIFS(tData[SEHTrajectPeriodeDatumTijdVan],"&lt;="&amp;($A122+16/24),tData[SEHTrajectPeriodeDatumTijdTotEnMet],"&gt;"&amp;($A122+16/24))</f>
        <v/>
      </c>
      <c r="U122" s="20">
        <f>COUNTIFS(tData[SEHTrajectPeriodeDatumTijdVan],"&lt;="&amp;($A122+17/24),tData[SEHTrajectPeriodeDatumTijdTotEnMet],"&gt;"&amp;($A122+17/24))</f>
        <v/>
      </c>
      <c r="V122" s="20">
        <f>COUNTIFS(tData[SEHTrajectPeriodeDatumTijdVan],"&lt;="&amp;($A122+18/24),tData[SEHTrajectPeriodeDatumTijdTotEnMet],"&gt;"&amp;($A122+18/24))</f>
        <v/>
      </c>
      <c r="W122" s="20">
        <f>COUNTIFS(tData[SEHTrajectPeriodeDatumTijdVan],"&lt;="&amp;($A122+19/24),tData[SEHTrajectPeriodeDatumTijdTotEnMet],"&gt;"&amp;($A122+19/24))</f>
        <v/>
      </c>
      <c r="X122" s="20">
        <f>COUNTIFS(tData[SEHTrajectPeriodeDatumTijdVan],"&lt;="&amp;($A122+20/24),tData[SEHTrajectPeriodeDatumTijdTotEnMet],"&gt;"&amp;($A122+20/24))</f>
        <v/>
      </c>
      <c r="Y122" s="20">
        <f>COUNTIFS(tData[SEHTrajectPeriodeDatumTijdVan],"&lt;="&amp;($A122+21/24),tData[SEHTrajectPeriodeDatumTijdTotEnMet],"&gt;"&amp;($A122+21/24))</f>
        <v/>
      </c>
      <c r="Z122" s="20">
        <f>COUNTIFS(tData[SEHTrajectPeriodeDatumTijdVan],"&lt;="&amp;($A122+22/24),tData[SEHTrajectPeriodeDatumTijdTotEnMet],"&gt;"&amp;($A122+22/24))</f>
        <v/>
      </c>
      <c r="AA122" s="20">
        <f>COUNTIFS(tData[SEHTrajectPeriodeDatumTijdVan],"&lt;="&amp;($A122+23/24),tData[SEHTrajectPeriodeDatumTijdTotEnMet],"&gt;"&amp;($A122+23/24))</f>
        <v/>
      </c>
    </row>
    <row r="123">
      <c r="A123" s="19" t="n">
        <v>45411</v>
      </c>
      <c r="B123" s="15">
        <f>WEEKDAY($A123,2)</f>
        <v/>
      </c>
      <c r="C123" s="15">
        <f>IF(AND($A123&gt;=INT(Instellingen!$B$5),$A123&lt;=INT(Instellingen!$B$6)),1,0)</f>
        <v/>
      </c>
      <c r="D123" s="20">
        <f>COUNTIFS(tData[SEHTrajectPeriodeDatumTijdVan],"&lt;="&amp;($A123+0/24),tData[SEHTrajectPeriodeDatumTijdTotEnMet],"&gt;"&amp;($A123+0/24))</f>
        <v/>
      </c>
      <c r="E123" s="20">
        <f>COUNTIFS(tData[SEHTrajectPeriodeDatumTijdVan],"&lt;="&amp;($A123+1/24),tData[SEHTrajectPeriodeDatumTijdTotEnMet],"&gt;"&amp;($A123+1/24))</f>
        <v/>
      </c>
      <c r="F123" s="20">
        <f>COUNTIFS(tData[SEHTrajectPeriodeDatumTijdVan],"&lt;="&amp;($A123+2/24),tData[SEHTrajectPeriodeDatumTijdTotEnMet],"&gt;"&amp;($A123+2/24))</f>
        <v/>
      </c>
      <c r="G123" s="20">
        <f>COUNTIFS(tData[SEHTrajectPeriodeDatumTijdVan],"&lt;="&amp;($A123+3/24),tData[SEHTrajectPeriodeDatumTijdTotEnMet],"&gt;"&amp;($A123+3/24))</f>
        <v/>
      </c>
      <c r="H123" s="20">
        <f>COUNTIFS(tData[SEHTrajectPeriodeDatumTijdVan],"&lt;="&amp;($A123+4/24),tData[SEHTrajectPeriodeDatumTijdTotEnMet],"&gt;"&amp;($A123+4/24))</f>
        <v/>
      </c>
      <c r="I123" s="20">
        <f>COUNTIFS(tData[SEHTrajectPeriodeDatumTijdVan],"&lt;="&amp;($A123+5/24),tData[SEHTrajectPeriodeDatumTijdTotEnMet],"&gt;"&amp;($A123+5/24))</f>
        <v/>
      </c>
      <c r="J123" s="20">
        <f>COUNTIFS(tData[SEHTrajectPeriodeDatumTijdVan],"&lt;="&amp;($A123+6/24),tData[SEHTrajectPeriodeDatumTijdTotEnMet],"&gt;"&amp;($A123+6/24))</f>
        <v/>
      </c>
      <c r="K123" s="20">
        <f>COUNTIFS(tData[SEHTrajectPeriodeDatumTijdVan],"&lt;="&amp;($A123+7/24),tData[SEHTrajectPeriodeDatumTijdTotEnMet],"&gt;"&amp;($A123+7/24))</f>
        <v/>
      </c>
      <c r="L123" s="20">
        <f>COUNTIFS(tData[SEHTrajectPeriodeDatumTijdVan],"&lt;="&amp;($A123+8/24),tData[SEHTrajectPeriodeDatumTijdTotEnMet],"&gt;"&amp;($A123+8/24))</f>
        <v/>
      </c>
      <c r="M123" s="20">
        <f>COUNTIFS(tData[SEHTrajectPeriodeDatumTijdVan],"&lt;="&amp;($A123+9/24),tData[SEHTrajectPeriodeDatumTijdTotEnMet],"&gt;"&amp;($A123+9/24))</f>
        <v/>
      </c>
      <c r="N123" s="20">
        <f>COUNTIFS(tData[SEHTrajectPeriodeDatumTijdVan],"&lt;="&amp;($A123+10/24),tData[SEHTrajectPeriodeDatumTijdTotEnMet],"&gt;"&amp;($A123+10/24))</f>
        <v/>
      </c>
      <c r="O123" s="20">
        <f>COUNTIFS(tData[SEHTrajectPeriodeDatumTijdVan],"&lt;="&amp;($A123+11/24),tData[SEHTrajectPeriodeDatumTijdTotEnMet],"&gt;"&amp;($A123+11/24))</f>
        <v/>
      </c>
      <c r="P123" s="20">
        <f>COUNTIFS(tData[SEHTrajectPeriodeDatumTijdVan],"&lt;="&amp;($A123+12/24),tData[SEHTrajectPeriodeDatumTijdTotEnMet],"&gt;"&amp;($A123+12/24))</f>
        <v/>
      </c>
      <c r="Q123" s="20">
        <f>COUNTIFS(tData[SEHTrajectPeriodeDatumTijdVan],"&lt;="&amp;($A123+13/24),tData[SEHTrajectPeriodeDatumTijdTotEnMet],"&gt;"&amp;($A123+13/24))</f>
        <v/>
      </c>
      <c r="R123" s="20">
        <f>COUNTIFS(tData[SEHTrajectPeriodeDatumTijdVan],"&lt;="&amp;($A123+14/24),tData[SEHTrajectPeriodeDatumTijdTotEnMet],"&gt;"&amp;($A123+14/24))</f>
        <v/>
      </c>
      <c r="S123" s="20">
        <f>COUNTIFS(tData[SEHTrajectPeriodeDatumTijdVan],"&lt;="&amp;($A123+15/24),tData[SEHTrajectPeriodeDatumTijdTotEnMet],"&gt;"&amp;($A123+15/24))</f>
        <v/>
      </c>
      <c r="T123" s="20">
        <f>COUNTIFS(tData[SEHTrajectPeriodeDatumTijdVan],"&lt;="&amp;($A123+16/24),tData[SEHTrajectPeriodeDatumTijdTotEnMet],"&gt;"&amp;($A123+16/24))</f>
        <v/>
      </c>
      <c r="U123" s="20">
        <f>COUNTIFS(tData[SEHTrajectPeriodeDatumTijdVan],"&lt;="&amp;($A123+17/24),tData[SEHTrajectPeriodeDatumTijdTotEnMet],"&gt;"&amp;($A123+17/24))</f>
        <v/>
      </c>
      <c r="V123" s="20">
        <f>COUNTIFS(tData[SEHTrajectPeriodeDatumTijdVan],"&lt;="&amp;($A123+18/24),tData[SEHTrajectPeriodeDatumTijdTotEnMet],"&gt;"&amp;($A123+18/24))</f>
        <v/>
      </c>
      <c r="W123" s="20">
        <f>COUNTIFS(tData[SEHTrajectPeriodeDatumTijdVan],"&lt;="&amp;($A123+19/24),tData[SEHTrajectPeriodeDatumTijdTotEnMet],"&gt;"&amp;($A123+19/24))</f>
        <v/>
      </c>
      <c r="X123" s="20">
        <f>COUNTIFS(tData[SEHTrajectPeriodeDatumTijdVan],"&lt;="&amp;($A123+20/24),tData[SEHTrajectPeriodeDatumTijdTotEnMet],"&gt;"&amp;($A123+20/24))</f>
        <v/>
      </c>
      <c r="Y123" s="20">
        <f>COUNTIFS(tData[SEHTrajectPeriodeDatumTijdVan],"&lt;="&amp;($A123+21/24),tData[SEHTrajectPeriodeDatumTijdTotEnMet],"&gt;"&amp;($A123+21/24))</f>
        <v/>
      </c>
      <c r="Z123" s="20">
        <f>COUNTIFS(tData[SEHTrajectPeriodeDatumTijdVan],"&lt;="&amp;($A123+22/24),tData[SEHTrajectPeriodeDatumTijdTotEnMet],"&gt;"&amp;($A123+22/24))</f>
        <v/>
      </c>
      <c r="AA123" s="20">
        <f>COUNTIFS(tData[SEHTrajectPeriodeDatumTijdVan],"&lt;="&amp;($A123+23/24),tData[SEHTrajectPeriodeDatumTijdTotEnMet],"&gt;"&amp;($A123+23/24))</f>
        <v/>
      </c>
    </row>
    <row r="124">
      <c r="A124" s="19" t="n">
        <v>45412</v>
      </c>
      <c r="B124" s="15">
        <f>WEEKDAY($A124,2)</f>
        <v/>
      </c>
      <c r="C124" s="15">
        <f>IF(AND($A124&gt;=INT(Instellingen!$B$5),$A124&lt;=INT(Instellingen!$B$6)),1,0)</f>
        <v/>
      </c>
      <c r="D124" s="20">
        <f>COUNTIFS(tData[SEHTrajectPeriodeDatumTijdVan],"&lt;="&amp;($A124+0/24),tData[SEHTrajectPeriodeDatumTijdTotEnMet],"&gt;"&amp;($A124+0/24))</f>
        <v/>
      </c>
      <c r="E124" s="20">
        <f>COUNTIFS(tData[SEHTrajectPeriodeDatumTijdVan],"&lt;="&amp;($A124+1/24),tData[SEHTrajectPeriodeDatumTijdTotEnMet],"&gt;"&amp;($A124+1/24))</f>
        <v/>
      </c>
      <c r="F124" s="20">
        <f>COUNTIFS(tData[SEHTrajectPeriodeDatumTijdVan],"&lt;="&amp;($A124+2/24),tData[SEHTrajectPeriodeDatumTijdTotEnMet],"&gt;"&amp;($A124+2/24))</f>
        <v/>
      </c>
      <c r="G124" s="20">
        <f>COUNTIFS(tData[SEHTrajectPeriodeDatumTijdVan],"&lt;="&amp;($A124+3/24),tData[SEHTrajectPeriodeDatumTijdTotEnMet],"&gt;"&amp;($A124+3/24))</f>
        <v/>
      </c>
      <c r="H124" s="20">
        <f>COUNTIFS(tData[SEHTrajectPeriodeDatumTijdVan],"&lt;="&amp;($A124+4/24),tData[SEHTrajectPeriodeDatumTijdTotEnMet],"&gt;"&amp;($A124+4/24))</f>
        <v/>
      </c>
      <c r="I124" s="20">
        <f>COUNTIFS(tData[SEHTrajectPeriodeDatumTijdVan],"&lt;="&amp;($A124+5/24),tData[SEHTrajectPeriodeDatumTijdTotEnMet],"&gt;"&amp;($A124+5/24))</f>
        <v/>
      </c>
      <c r="J124" s="20">
        <f>COUNTIFS(tData[SEHTrajectPeriodeDatumTijdVan],"&lt;="&amp;($A124+6/24),tData[SEHTrajectPeriodeDatumTijdTotEnMet],"&gt;"&amp;($A124+6/24))</f>
        <v/>
      </c>
      <c r="K124" s="20">
        <f>COUNTIFS(tData[SEHTrajectPeriodeDatumTijdVan],"&lt;="&amp;($A124+7/24),tData[SEHTrajectPeriodeDatumTijdTotEnMet],"&gt;"&amp;($A124+7/24))</f>
        <v/>
      </c>
      <c r="L124" s="20">
        <f>COUNTIFS(tData[SEHTrajectPeriodeDatumTijdVan],"&lt;="&amp;($A124+8/24),tData[SEHTrajectPeriodeDatumTijdTotEnMet],"&gt;"&amp;($A124+8/24))</f>
        <v/>
      </c>
      <c r="M124" s="20">
        <f>COUNTIFS(tData[SEHTrajectPeriodeDatumTijdVan],"&lt;="&amp;($A124+9/24),tData[SEHTrajectPeriodeDatumTijdTotEnMet],"&gt;"&amp;($A124+9/24))</f>
        <v/>
      </c>
      <c r="N124" s="20">
        <f>COUNTIFS(tData[SEHTrajectPeriodeDatumTijdVan],"&lt;="&amp;($A124+10/24),tData[SEHTrajectPeriodeDatumTijdTotEnMet],"&gt;"&amp;($A124+10/24))</f>
        <v/>
      </c>
      <c r="O124" s="20">
        <f>COUNTIFS(tData[SEHTrajectPeriodeDatumTijdVan],"&lt;="&amp;($A124+11/24),tData[SEHTrajectPeriodeDatumTijdTotEnMet],"&gt;"&amp;($A124+11/24))</f>
        <v/>
      </c>
      <c r="P124" s="20">
        <f>COUNTIFS(tData[SEHTrajectPeriodeDatumTijdVan],"&lt;="&amp;($A124+12/24),tData[SEHTrajectPeriodeDatumTijdTotEnMet],"&gt;"&amp;($A124+12/24))</f>
        <v/>
      </c>
      <c r="Q124" s="20">
        <f>COUNTIFS(tData[SEHTrajectPeriodeDatumTijdVan],"&lt;="&amp;($A124+13/24),tData[SEHTrajectPeriodeDatumTijdTotEnMet],"&gt;"&amp;($A124+13/24))</f>
        <v/>
      </c>
      <c r="R124" s="20">
        <f>COUNTIFS(tData[SEHTrajectPeriodeDatumTijdVan],"&lt;="&amp;($A124+14/24),tData[SEHTrajectPeriodeDatumTijdTotEnMet],"&gt;"&amp;($A124+14/24))</f>
        <v/>
      </c>
      <c r="S124" s="20">
        <f>COUNTIFS(tData[SEHTrajectPeriodeDatumTijdVan],"&lt;="&amp;($A124+15/24),tData[SEHTrajectPeriodeDatumTijdTotEnMet],"&gt;"&amp;($A124+15/24))</f>
        <v/>
      </c>
      <c r="T124" s="20">
        <f>COUNTIFS(tData[SEHTrajectPeriodeDatumTijdVan],"&lt;="&amp;($A124+16/24),tData[SEHTrajectPeriodeDatumTijdTotEnMet],"&gt;"&amp;($A124+16/24))</f>
        <v/>
      </c>
      <c r="U124" s="20">
        <f>COUNTIFS(tData[SEHTrajectPeriodeDatumTijdVan],"&lt;="&amp;($A124+17/24),tData[SEHTrajectPeriodeDatumTijdTotEnMet],"&gt;"&amp;($A124+17/24))</f>
        <v/>
      </c>
      <c r="V124" s="20">
        <f>COUNTIFS(tData[SEHTrajectPeriodeDatumTijdVan],"&lt;="&amp;($A124+18/24),tData[SEHTrajectPeriodeDatumTijdTotEnMet],"&gt;"&amp;($A124+18/24))</f>
        <v/>
      </c>
      <c r="W124" s="20">
        <f>COUNTIFS(tData[SEHTrajectPeriodeDatumTijdVan],"&lt;="&amp;($A124+19/24),tData[SEHTrajectPeriodeDatumTijdTotEnMet],"&gt;"&amp;($A124+19/24))</f>
        <v/>
      </c>
      <c r="X124" s="20">
        <f>COUNTIFS(tData[SEHTrajectPeriodeDatumTijdVan],"&lt;="&amp;($A124+20/24),tData[SEHTrajectPeriodeDatumTijdTotEnMet],"&gt;"&amp;($A124+20/24))</f>
        <v/>
      </c>
      <c r="Y124" s="20">
        <f>COUNTIFS(tData[SEHTrajectPeriodeDatumTijdVan],"&lt;="&amp;($A124+21/24),tData[SEHTrajectPeriodeDatumTijdTotEnMet],"&gt;"&amp;($A124+21/24))</f>
        <v/>
      </c>
      <c r="Z124" s="20">
        <f>COUNTIFS(tData[SEHTrajectPeriodeDatumTijdVan],"&lt;="&amp;($A124+22/24),tData[SEHTrajectPeriodeDatumTijdTotEnMet],"&gt;"&amp;($A124+22/24))</f>
        <v/>
      </c>
      <c r="AA124" s="20">
        <f>COUNTIFS(tData[SEHTrajectPeriodeDatumTijdVan],"&lt;="&amp;($A124+23/24),tData[SEHTrajectPeriodeDatumTijdTotEnMet],"&gt;"&amp;($A124+23/24))</f>
        <v/>
      </c>
    </row>
    <row r="125">
      <c r="A125" s="19" t="n">
        <v>45413</v>
      </c>
      <c r="B125" s="15">
        <f>WEEKDAY($A125,2)</f>
        <v/>
      </c>
      <c r="C125" s="15">
        <f>IF(AND($A125&gt;=INT(Instellingen!$B$5),$A125&lt;=INT(Instellingen!$B$6)),1,0)</f>
        <v/>
      </c>
      <c r="D125" s="20">
        <f>COUNTIFS(tData[SEHTrajectPeriodeDatumTijdVan],"&lt;="&amp;($A125+0/24),tData[SEHTrajectPeriodeDatumTijdTotEnMet],"&gt;"&amp;($A125+0/24))</f>
        <v/>
      </c>
      <c r="E125" s="20">
        <f>COUNTIFS(tData[SEHTrajectPeriodeDatumTijdVan],"&lt;="&amp;($A125+1/24),tData[SEHTrajectPeriodeDatumTijdTotEnMet],"&gt;"&amp;($A125+1/24))</f>
        <v/>
      </c>
      <c r="F125" s="20">
        <f>COUNTIFS(tData[SEHTrajectPeriodeDatumTijdVan],"&lt;="&amp;($A125+2/24),tData[SEHTrajectPeriodeDatumTijdTotEnMet],"&gt;"&amp;($A125+2/24))</f>
        <v/>
      </c>
      <c r="G125" s="20">
        <f>COUNTIFS(tData[SEHTrajectPeriodeDatumTijdVan],"&lt;="&amp;($A125+3/24),tData[SEHTrajectPeriodeDatumTijdTotEnMet],"&gt;"&amp;($A125+3/24))</f>
        <v/>
      </c>
      <c r="H125" s="20">
        <f>COUNTIFS(tData[SEHTrajectPeriodeDatumTijdVan],"&lt;="&amp;($A125+4/24),tData[SEHTrajectPeriodeDatumTijdTotEnMet],"&gt;"&amp;($A125+4/24))</f>
        <v/>
      </c>
      <c r="I125" s="20">
        <f>COUNTIFS(tData[SEHTrajectPeriodeDatumTijdVan],"&lt;="&amp;($A125+5/24),tData[SEHTrajectPeriodeDatumTijdTotEnMet],"&gt;"&amp;($A125+5/24))</f>
        <v/>
      </c>
      <c r="J125" s="20">
        <f>COUNTIFS(tData[SEHTrajectPeriodeDatumTijdVan],"&lt;="&amp;($A125+6/24),tData[SEHTrajectPeriodeDatumTijdTotEnMet],"&gt;"&amp;($A125+6/24))</f>
        <v/>
      </c>
      <c r="K125" s="20">
        <f>COUNTIFS(tData[SEHTrajectPeriodeDatumTijdVan],"&lt;="&amp;($A125+7/24),tData[SEHTrajectPeriodeDatumTijdTotEnMet],"&gt;"&amp;($A125+7/24))</f>
        <v/>
      </c>
      <c r="L125" s="20">
        <f>COUNTIFS(tData[SEHTrajectPeriodeDatumTijdVan],"&lt;="&amp;($A125+8/24),tData[SEHTrajectPeriodeDatumTijdTotEnMet],"&gt;"&amp;($A125+8/24))</f>
        <v/>
      </c>
      <c r="M125" s="20">
        <f>COUNTIFS(tData[SEHTrajectPeriodeDatumTijdVan],"&lt;="&amp;($A125+9/24),tData[SEHTrajectPeriodeDatumTijdTotEnMet],"&gt;"&amp;($A125+9/24))</f>
        <v/>
      </c>
      <c r="N125" s="20">
        <f>COUNTIFS(tData[SEHTrajectPeriodeDatumTijdVan],"&lt;="&amp;($A125+10/24),tData[SEHTrajectPeriodeDatumTijdTotEnMet],"&gt;"&amp;($A125+10/24))</f>
        <v/>
      </c>
      <c r="O125" s="20">
        <f>COUNTIFS(tData[SEHTrajectPeriodeDatumTijdVan],"&lt;="&amp;($A125+11/24),tData[SEHTrajectPeriodeDatumTijdTotEnMet],"&gt;"&amp;($A125+11/24))</f>
        <v/>
      </c>
      <c r="P125" s="20">
        <f>COUNTIFS(tData[SEHTrajectPeriodeDatumTijdVan],"&lt;="&amp;($A125+12/24),tData[SEHTrajectPeriodeDatumTijdTotEnMet],"&gt;"&amp;($A125+12/24))</f>
        <v/>
      </c>
      <c r="Q125" s="20">
        <f>COUNTIFS(tData[SEHTrajectPeriodeDatumTijdVan],"&lt;="&amp;($A125+13/24),tData[SEHTrajectPeriodeDatumTijdTotEnMet],"&gt;"&amp;($A125+13/24))</f>
        <v/>
      </c>
      <c r="R125" s="20">
        <f>COUNTIFS(tData[SEHTrajectPeriodeDatumTijdVan],"&lt;="&amp;($A125+14/24),tData[SEHTrajectPeriodeDatumTijdTotEnMet],"&gt;"&amp;($A125+14/24))</f>
        <v/>
      </c>
      <c r="S125" s="20">
        <f>COUNTIFS(tData[SEHTrajectPeriodeDatumTijdVan],"&lt;="&amp;($A125+15/24),tData[SEHTrajectPeriodeDatumTijdTotEnMet],"&gt;"&amp;($A125+15/24))</f>
        <v/>
      </c>
      <c r="T125" s="20">
        <f>COUNTIFS(tData[SEHTrajectPeriodeDatumTijdVan],"&lt;="&amp;($A125+16/24),tData[SEHTrajectPeriodeDatumTijdTotEnMet],"&gt;"&amp;($A125+16/24))</f>
        <v/>
      </c>
      <c r="U125" s="20">
        <f>COUNTIFS(tData[SEHTrajectPeriodeDatumTijdVan],"&lt;="&amp;($A125+17/24),tData[SEHTrajectPeriodeDatumTijdTotEnMet],"&gt;"&amp;($A125+17/24))</f>
        <v/>
      </c>
      <c r="V125" s="20">
        <f>COUNTIFS(tData[SEHTrajectPeriodeDatumTijdVan],"&lt;="&amp;($A125+18/24),tData[SEHTrajectPeriodeDatumTijdTotEnMet],"&gt;"&amp;($A125+18/24))</f>
        <v/>
      </c>
      <c r="W125" s="20">
        <f>COUNTIFS(tData[SEHTrajectPeriodeDatumTijdVan],"&lt;="&amp;($A125+19/24),tData[SEHTrajectPeriodeDatumTijdTotEnMet],"&gt;"&amp;($A125+19/24))</f>
        <v/>
      </c>
      <c r="X125" s="20">
        <f>COUNTIFS(tData[SEHTrajectPeriodeDatumTijdVan],"&lt;="&amp;($A125+20/24),tData[SEHTrajectPeriodeDatumTijdTotEnMet],"&gt;"&amp;($A125+20/24))</f>
        <v/>
      </c>
      <c r="Y125" s="20">
        <f>COUNTIFS(tData[SEHTrajectPeriodeDatumTijdVan],"&lt;="&amp;($A125+21/24),tData[SEHTrajectPeriodeDatumTijdTotEnMet],"&gt;"&amp;($A125+21/24))</f>
        <v/>
      </c>
      <c r="Z125" s="20">
        <f>COUNTIFS(tData[SEHTrajectPeriodeDatumTijdVan],"&lt;="&amp;($A125+22/24),tData[SEHTrajectPeriodeDatumTijdTotEnMet],"&gt;"&amp;($A125+22/24))</f>
        <v/>
      </c>
      <c r="AA125" s="20">
        <f>COUNTIFS(tData[SEHTrajectPeriodeDatumTijdVan],"&lt;="&amp;($A125+23/24),tData[SEHTrajectPeriodeDatumTijdTotEnMet],"&gt;"&amp;($A125+23/24))</f>
        <v/>
      </c>
    </row>
    <row r="126">
      <c r="A126" s="19" t="n">
        <v>45414</v>
      </c>
      <c r="B126" s="15">
        <f>WEEKDAY($A126,2)</f>
        <v/>
      </c>
      <c r="C126" s="15">
        <f>IF(AND($A126&gt;=INT(Instellingen!$B$5),$A126&lt;=INT(Instellingen!$B$6)),1,0)</f>
        <v/>
      </c>
      <c r="D126" s="20">
        <f>COUNTIFS(tData[SEHTrajectPeriodeDatumTijdVan],"&lt;="&amp;($A126+0/24),tData[SEHTrajectPeriodeDatumTijdTotEnMet],"&gt;"&amp;($A126+0/24))</f>
        <v/>
      </c>
      <c r="E126" s="20">
        <f>COUNTIFS(tData[SEHTrajectPeriodeDatumTijdVan],"&lt;="&amp;($A126+1/24),tData[SEHTrajectPeriodeDatumTijdTotEnMet],"&gt;"&amp;($A126+1/24))</f>
        <v/>
      </c>
      <c r="F126" s="20">
        <f>COUNTIFS(tData[SEHTrajectPeriodeDatumTijdVan],"&lt;="&amp;($A126+2/24),tData[SEHTrajectPeriodeDatumTijdTotEnMet],"&gt;"&amp;($A126+2/24))</f>
        <v/>
      </c>
      <c r="G126" s="20">
        <f>COUNTIFS(tData[SEHTrajectPeriodeDatumTijdVan],"&lt;="&amp;($A126+3/24),tData[SEHTrajectPeriodeDatumTijdTotEnMet],"&gt;"&amp;($A126+3/24))</f>
        <v/>
      </c>
      <c r="H126" s="20">
        <f>COUNTIFS(tData[SEHTrajectPeriodeDatumTijdVan],"&lt;="&amp;($A126+4/24),tData[SEHTrajectPeriodeDatumTijdTotEnMet],"&gt;"&amp;($A126+4/24))</f>
        <v/>
      </c>
      <c r="I126" s="20">
        <f>COUNTIFS(tData[SEHTrajectPeriodeDatumTijdVan],"&lt;="&amp;($A126+5/24),tData[SEHTrajectPeriodeDatumTijdTotEnMet],"&gt;"&amp;($A126+5/24))</f>
        <v/>
      </c>
      <c r="J126" s="20">
        <f>COUNTIFS(tData[SEHTrajectPeriodeDatumTijdVan],"&lt;="&amp;($A126+6/24),tData[SEHTrajectPeriodeDatumTijdTotEnMet],"&gt;"&amp;($A126+6/24))</f>
        <v/>
      </c>
      <c r="K126" s="20">
        <f>COUNTIFS(tData[SEHTrajectPeriodeDatumTijdVan],"&lt;="&amp;($A126+7/24),tData[SEHTrajectPeriodeDatumTijdTotEnMet],"&gt;"&amp;($A126+7/24))</f>
        <v/>
      </c>
      <c r="L126" s="20">
        <f>COUNTIFS(tData[SEHTrajectPeriodeDatumTijdVan],"&lt;="&amp;($A126+8/24),tData[SEHTrajectPeriodeDatumTijdTotEnMet],"&gt;"&amp;($A126+8/24))</f>
        <v/>
      </c>
      <c r="M126" s="20">
        <f>COUNTIFS(tData[SEHTrajectPeriodeDatumTijdVan],"&lt;="&amp;($A126+9/24),tData[SEHTrajectPeriodeDatumTijdTotEnMet],"&gt;"&amp;($A126+9/24))</f>
        <v/>
      </c>
      <c r="N126" s="20">
        <f>COUNTIFS(tData[SEHTrajectPeriodeDatumTijdVan],"&lt;="&amp;($A126+10/24),tData[SEHTrajectPeriodeDatumTijdTotEnMet],"&gt;"&amp;($A126+10/24))</f>
        <v/>
      </c>
      <c r="O126" s="20">
        <f>COUNTIFS(tData[SEHTrajectPeriodeDatumTijdVan],"&lt;="&amp;($A126+11/24),tData[SEHTrajectPeriodeDatumTijdTotEnMet],"&gt;"&amp;($A126+11/24))</f>
        <v/>
      </c>
      <c r="P126" s="20">
        <f>COUNTIFS(tData[SEHTrajectPeriodeDatumTijdVan],"&lt;="&amp;($A126+12/24),tData[SEHTrajectPeriodeDatumTijdTotEnMet],"&gt;"&amp;($A126+12/24))</f>
        <v/>
      </c>
      <c r="Q126" s="20">
        <f>COUNTIFS(tData[SEHTrajectPeriodeDatumTijdVan],"&lt;="&amp;($A126+13/24),tData[SEHTrajectPeriodeDatumTijdTotEnMet],"&gt;"&amp;($A126+13/24))</f>
        <v/>
      </c>
      <c r="R126" s="20">
        <f>COUNTIFS(tData[SEHTrajectPeriodeDatumTijdVan],"&lt;="&amp;($A126+14/24),tData[SEHTrajectPeriodeDatumTijdTotEnMet],"&gt;"&amp;($A126+14/24))</f>
        <v/>
      </c>
      <c r="S126" s="20">
        <f>COUNTIFS(tData[SEHTrajectPeriodeDatumTijdVan],"&lt;="&amp;($A126+15/24),tData[SEHTrajectPeriodeDatumTijdTotEnMet],"&gt;"&amp;($A126+15/24))</f>
        <v/>
      </c>
      <c r="T126" s="20">
        <f>COUNTIFS(tData[SEHTrajectPeriodeDatumTijdVan],"&lt;="&amp;($A126+16/24),tData[SEHTrajectPeriodeDatumTijdTotEnMet],"&gt;"&amp;($A126+16/24))</f>
        <v/>
      </c>
      <c r="U126" s="20">
        <f>COUNTIFS(tData[SEHTrajectPeriodeDatumTijdVan],"&lt;="&amp;($A126+17/24),tData[SEHTrajectPeriodeDatumTijdTotEnMet],"&gt;"&amp;($A126+17/24))</f>
        <v/>
      </c>
      <c r="V126" s="20">
        <f>COUNTIFS(tData[SEHTrajectPeriodeDatumTijdVan],"&lt;="&amp;($A126+18/24),tData[SEHTrajectPeriodeDatumTijdTotEnMet],"&gt;"&amp;($A126+18/24))</f>
        <v/>
      </c>
      <c r="W126" s="20">
        <f>COUNTIFS(tData[SEHTrajectPeriodeDatumTijdVan],"&lt;="&amp;($A126+19/24),tData[SEHTrajectPeriodeDatumTijdTotEnMet],"&gt;"&amp;($A126+19/24))</f>
        <v/>
      </c>
      <c r="X126" s="20">
        <f>COUNTIFS(tData[SEHTrajectPeriodeDatumTijdVan],"&lt;="&amp;($A126+20/24),tData[SEHTrajectPeriodeDatumTijdTotEnMet],"&gt;"&amp;($A126+20/24))</f>
        <v/>
      </c>
      <c r="Y126" s="20">
        <f>COUNTIFS(tData[SEHTrajectPeriodeDatumTijdVan],"&lt;="&amp;($A126+21/24),tData[SEHTrajectPeriodeDatumTijdTotEnMet],"&gt;"&amp;($A126+21/24))</f>
        <v/>
      </c>
      <c r="Z126" s="20">
        <f>COUNTIFS(tData[SEHTrajectPeriodeDatumTijdVan],"&lt;="&amp;($A126+22/24),tData[SEHTrajectPeriodeDatumTijdTotEnMet],"&gt;"&amp;($A126+22/24))</f>
        <v/>
      </c>
      <c r="AA126" s="20">
        <f>COUNTIFS(tData[SEHTrajectPeriodeDatumTijdVan],"&lt;="&amp;($A126+23/24),tData[SEHTrajectPeriodeDatumTijdTotEnMet],"&gt;"&amp;($A126+23/24))</f>
        <v/>
      </c>
    </row>
    <row r="127">
      <c r="A127" s="19" t="n">
        <v>45415</v>
      </c>
      <c r="B127" s="15">
        <f>WEEKDAY($A127,2)</f>
        <v/>
      </c>
      <c r="C127" s="15">
        <f>IF(AND($A127&gt;=INT(Instellingen!$B$5),$A127&lt;=INT(Instellingen!$B$6)),1,0)</f>
        <v/>
      </c>
      <c r="D127" s="20">
        <f>COUNTIFS(tData[SEHTrajectPeriodeDatumTijdVan],"&lt;="&amp;($A127+0/24),tData[SEHTrajectPeriodeDatumTijdTotEnMet],"&gt;"&amp;($A127+0/24))</f>
        <v/>
      </c>
      <c r="E127" s="20">
        <f>COUNTIFS(tData[SEHTrajectPeriodeDatumTijdVan],"&lt;="&amp;($A127+1/24),tData[SEHTrajectPeriodeDatumTijdTotEnMet],"&gt;"&amp;($A127+1/24))</f>
        <v/>
      </c>
      <c r="F127" s="20">
        <f>COUNTIFS(tData[SEHTrajectPeriodeDatumTijdVan],"&lt;="&amp;($A127+2/24),tData[SEHTrajectPeriodeDatumTijdTotEnMet],"&gt;"&amp;($A127+2/24))</f>
        <v/>
      </c>
      <c r="G127" s="20">
        <f>COUNTIFS(tData[SEHTrajectPeriodeDatumTijdVan],"&lt;="&amp;($A127+3/24),tData[SEHTrajectPeriodeDatumTijdTotEnMet],"&gt;"&amp;($A127+3/24))</f>
        <v/>
      </c>
      <c r="H127" s="20">
        <f>COUNTIFS(tData[SEHTrajectPeriodeDatumTijdVan],"&lt;="&amp;($A127+4/24),tData[SEHTrajectPeriodeDatumTijdTotEnMet],"&gt;"&amp;($A127+4/24))</f>
        <v/>
      </c>
      <c r="I127" s="20">
        <f>COUNTIFS(tData[SEHTrajectPeriodeDatumTijdVan],"&lt;="&amp;($A127+5/24),tData[SEHTrajectPeriodeDatumTijdTotEnMet],"&gt;"&amp;($A127+5/24))</f>
        <v/>
      </c>
      <c r="J127" s="20">
        <f>COUNTIFS(tData[SEHTrajectPeriodeDatumTijdVan],"&lt;="&amp;($A127+6/24),tData[SEHTrajectPeriodeDatumTijdTotEnMet],"&gt;"&amp;($A127+6/24))</f>
        <v/>
      </c>
      <c r="K127" s="20">
        <f>COUNTIFS(tData[SEHTrajectPeriodeDatumTijdVan],"&lt;="&amp;($A127+7/24),tData[SEHTrajectPeriodeDatumTijdTotEnMet],"&gt;"&amp;($A127+7/24))</f>
        <v/>
      </c>
      <c r="L127" s="20">
        <f>COUNTIFS(tData[SEHTrajectPeriodeDatumTijdVan],"&lt;="&amp;($A127+8/24),tData[SEHTrajectPeriodeDatumTijdTotEnMet],"&gt;"&amp;($A127+8/24))</f>
        <v/>
      </c>
      <c r="M127" s="20">
        <f>COUNTIFS(tData[SEHTrajectPeriodeDatumTijdVan],"&lt;="&amp;($A127+9/24),tData[SEHTrajectPeriodeDatumTijdTotEnMet],"&gt;"&amp;($A127+9/24))</f>
        <v/>
      </c>
      <c r="N127" s="20">
        <f>COUNTIFS(tData[SEHTrajectPeriodeDatumTijdVan],"&lt;="&amp;($A127+10/24),tData[SEHTrajectPeriodeDatumTijdTotEnMet],"&gt;"&amp;($A127+10/24))</f>
        <v/>
      </c>
      <c r="O127" s="20">
        <f>COUNTIFS(tData[SEHTrajectPeriodeDatumTijdVan],"&lt;="&amp;($A127+11/24),tData[SEHTrajectPeriodeDatumTijdTotEnMet],"&gt;"&amp;($A127+11/24))</f>
        <v/>
      </c>
      <c r="P127" s="20">
        <f>COUNTIFS(tData[SEHTrajectPeriodeDatumTijdVan],"&lt;="&amp;($A127+12/24),tData[SEHTrajectPeriodeDatumTijdTotEnMet],"&gt;"&amp;($A127+12/24))</f>
        <v/>
      </c>
      <c r="Q127" s="20">
        <f>COUNTIFS(tData[SEHTrajectPeriodeDatumTijdVan],"&lt;="&amp;($A127+13/24),tData[SEHTrajectPeriodeDatumTijdTotEnMet],"&gt;"&amp;($A127+13/24))</f>
        <v/>
      </c>
      <c r="R127" s="20">
        <f>COUNTIFS(tData[SEHTrajectPeriodeDatumTijdVan],"&lt;="&amp;($A127+14/24),tData[SEHTrajectPeriodeDatumTijdTotEnMet],"&gt;"&amp;($A127+14/24))</f>
        <v/>
      </c>
      <c r="S127" s="20">
        <f>COUNTIFS(tData[SEHTrajectPeriodeDatumTijdVan],"&lt;="&amp;($A127+15/24),tData[SEHTrajectPeriodeDatumTijdTotEnMet],"&gt;"&amp;($A127+15/24))</f>
        <v/>
      </c>
      <c r="T127" s="20">
        <f>COUNTIFS(tData[SEHTrajectPeriodeDatumTijdVan],"&lt;="&amp;($A127+16/24),tData[SEHTrajectPeriodeDatumTijdTotEnMet],"&gt;"&amp;($A127+16/24))</f>
        <v/>
      </c>
      <c r="U127" s="20">
        <f>COUNTIFS(tData[SEHTrajectPeriodeDatumTijdVan],"&lt;="&amp;($A127+17/24),tData[SEHTrajectPeriodeDatumTijdTotEnMet],"&gt;"&amp;($A127+17/24))</f>
        <v/>
      </c>
      <c r="V127" s="20">
        <f>COUNTIFS(tData[SEHTrajectPeriodeDatumTijdVan],"&lt;="&amp;($A127+18/24),tData[SEHTrajectPeriodeDatumTijdTotEnMet],"&gt;"&amp;($A127+18/24))</f>
        <v/>
      </c>
      <c r="W127" s="20">
        <f>COUNTIFS(tData[SEHTrajectPeriodeDatumTijdVan],"&lt;="&amp;($A127+19/24),tData[SEHTrajectPeriodeDatumTijdTotEnMet],"&gt;"&amp;($A127+19/24))</f>
        <v/>
      </c>
      <c r="X127" s="20">
        <f>COUNTIFS(tData[SEHTrajectPeriodeDatumTijdVan],"&lt;="&amp;($A127+20/24),tData[SEHTrajectPeriodeDatumTijdTotEnMet],"&gt;"&amp;($A127+20/24))</f>
        <v/>
      </c>
      <c r="Y127" s="20">
        <f>COUNTIFS(tData[SEHTrajectPeriodeDatumTijdVan],"&lt;="&amp;($A127+21/24),tData[SEHTrajectPeriodeDatumTijdTotEnMet],"&gt;"&amp;($A127+21/24))</f>
        <v/>
      </c>
      <c r="Z127" s="20">
        <f>COUNTIFS(tData[SEHTrajectPeriodeDatumTijdVan],"&lt;="&amp;($A127+22/24),tData[SEHTrajectPeriodeDatumTijdTotEnMet],"&gt;"&amp;($A127+22/24))</f>
        <v/>
      </c>
      <c r="AA127" s="20">
        <f>COUNTIFS(tData[SEHTrajectPeriodeDatumTijdVan],"&lt;="&amp;($A127+23/24),tData[SEHTrajectPeriodeDatumTijdTotEnMet],"&gt;"&amp;($A127+23/24))</f>
        <v/>
      </c>
    </row>
    <row r="128">
      <c r="A128" s="19" t="n">
        <v>45416</v>
      </c>
      <c r="B128" s="15">
        <f>WEEKDAY($A128,2)</f>
        <v/>
      </c>
      <c r="C128" s="15">
        <f>IF(AND($A128&gt;=INT(Instellingen!$B$5),$A128&lt;=INT(Instellingen!$B$6)),1,0)</f>
        <v/>
      </c>
      <c r="D128" s="20">
        <f>COUNTIFS(tData[SEHTrajectPeriodeDatumTijdVan],"&lt;="&amp;($A128+0/24),tData[SEHTrajectPeriodeDatumTijdTotEnMet],"&gt;"&amp;($A128+0/24))</f>
        <v/>
      </c>
      <c r="E128" s="20">
        <f>COUNTIFS(tData[SEHTrajectPeriodeDatumTijdVan],"&lt;="&amp;($A128+1/24),tData[SEHTrajectPeriodeDatumTijdTotEnMet],"&gt;"&amp;($A128+1/24))</f>
        <v/>
      </c>
      <c r="F128" s="20">
        <f>COUNTIFS(tData[SEHTrajectPeriodeDatumTijdVan],"&lt;="&amp;($A128+2/24),tData[SEHTrajectPeriodeDatumTijdTotEnMet],"&gt;"&amp;($A128+2/24))</f>
        <v/>
      </c>
      <c r="G128" s="20">
        <f>COUNTIFS(tData[SEHTrajectPeriodeDatumTijdVan],"&lt;="&amp;($A128+3/24),tData[SEHTrajectPeriodeDatumTijdTotEnMet],"&gt;"&amp;($A128+3/24))</f>
        <v/>
      </c>
      <c r="H128" s="20">
        <f>COUNTIFS(tData[SEHTrajectPeriodeDatumTijdVan],"&lt;="&amp;($A128+4/24),tData[SEHTrajectPeriodeDatumTijdTotEnMet],"&gt;"&amp;($A128+4/24))</f>
        <v/>
      </c>
      <c r="I128" s="20">
        <f>COUNTIFS(tData[SEHTrajectPeriodeDatumTijdVan],"&lt;="&amp;($A128+5/24),tData[SEHTrajectPeriodeDatumTijdTotEnMet],"&gt;"&amp;($A128+5/24))</f>
        <v/>
      </c>
      <c r="J128" s="20">
        <f>COUNTIFS(tData[SEHTrajectPeriodeDatumTijdVan],"&lt;="&amp;($A128+6/24),tData[SEHTrajectPeriodeDatumTijdTotEnMet],"&gt;"&amp;($A128+6/24))</f>
        <v/>
      </c>
      <c r="K128" s="20">
        <f>COUNTIFS(tData[SEHTrajectPeriodeDatumTijdVan],"&lt;="&amp;($A128+7/24),tData[SEHTrajectPeriodeDatumTijdTotEnMet],"&gt;"&amp;($A128+7/24))</f>
        <v/>
      </c>
      <c r="L128" s="20">
        <f>COUNTIFS(tData[SEHTrajectPeriodeDatumTijdVan],"&lt;="&amp;($A128+8/24),tData[SEHTrajectPeriodeDatumTijdTotEnMet],"&gt;"&amp;($A128+8/24))</f>
        <v/>
      </c>
      <c r="M128" s="20">
        <f>COUNTIFS(tData[SEHTrajectPeriodeDatumTijdVan],"&lt;="&amp;($A128+9/24),tData[SEHTrajectPeriodeDatumTijdTotEnMet],"&gt;"&amp;($A128+9/24))</f>
        <v/>
      </c>
      <c r="N128" s="20">
        <f>COUNTIFS(tData[SEHTrajectPeriodeDatumTijdVan],"&lt;="&amp;($A128+10/24),tData[SEHTrajectPeriodeDatumTijdTotEnMet],"&gt;"&amp;($A128+10/24))</f>
        <v/>
      </c>
      <c r="O128" s="20">
        <f>COUNTIFS(tData[SEHTrajectPeriodeDatumTijdVan],"&lt;="&amp;($A128+11/24),tData[SEHTrajectPeriodeDatumTijdTotEnMet],"&gt;"&amp;($A128+11/24))</f>
        <v/>
      </c>
      <c r="P128" s="20">
        <f>COUNTIFS(tData[SEHTrajectPeriodeDatumTijdVan],"&lt;="&amp;($A128+12/24),tData[SEHTrajectPeriodeDatumTijdTotEnMet],"&gt;"&amp;($A128+12/24))</f>
        <v/>
      </c>
      <c r="Q128" s="20">
        <f>COUNTIFS(tData[SEHTrajectPeriodeDatumTijdVan],"&lt;="&amp;($A128+13/24),tData[SEHTrajectPeriodeDatumTijdTotEnMet],"&gt;"&amp;($A128+13/24))</f>
        <v/>
      </c>
      <c r="R128" s="20">
        <f>COUNTIFS(tData[SEHTrajectPeriodeDatumTijdVan],"&lt;="&amp;($A128+14/24),tData[SEHTrajectPeriodeDatumTijdTotEnMet],"&gt;"&amp;($A128+14/24))</f>
        <v/>
      </c>
      <c r="S128" s="20">
        <f>COUNTIFS(tData[SEHTrajectPeriodeDatumTijdVan],"&lt;="&amp;($A128+15/24),tData[SEHTrajectPeriodeDatumTijdTotEnMet],"&gt;"&amp;($A128+15/24))</f>
        <v/>
      </c>
      <c r="T128" s="20">
        <f>COUNTIFS(tData[SEHTrajectPeriodeDatumTijdVan],"&lt;="&amp;($A128+16/24),tData[SEHTrajectPeriodeDatumTijdTotEnMet],"&gt;"&amp;($A128+16/24))</f>
        <v/>
      </c>
      <c r="U128" s="20">
        <f>COUNTIFS(tData[SEHTrajectPeriodeDatumTijdVan],"&lt;="&amp;($A128+17/24),tData[SEHTrajectPeriodeDatumTijdTotEnMet],"&gt;"&amp;($A128+17/24))</f>
        <v/>
      </c>
      <c r="V128" s="20">
        <f>COUNTIFS(tData[SEHTrajectPeriodeDatumTijdVan],"&lt;="&amp;($A128+18/24),tData[SEHTrajectPeriodeDatumTijdTotEnMet],"&gt;"&amp;($A128+18/24))</f>
        <v/>
      </c>
      <c r="W128" s="20">
        <f>COUNTIFS(tData[SEHTrajectPeriodeDatumTijdVan],"&lt;="&amp;($A128+19/24),tData[SEHTrajectPeriodeDatumTijdTotEnMet],"&gt;"&amp;($A128+19/24))</f>
        <v/>
      </c>
      <c r="X128" s="20">
        <f>COUNTIFS(tData[SEHTrajectPeriodeDatumTijdVan],"&lt;="&amp;($A128+20/24),tData[SEHTrajectPeriodeDatumTijdTotEnMet],"&gt;"&amp;($A128+20/24))</f>
        <v/>
      </c>
      <c r="Y128" s="20">
        <f>COUNTIFS(tData[SEHTrajectPeriodeDatumTijdVan],"&lt;="&amp;($A128+21/24),tData[SEHTrajectPeriodeDatumTijdTotEnMet],"&gt;"&amp;($A128+21/24))</f>
        <v/>
      </c>
      <c r="Z128" s="20">
        <f>COUNTIFS(tData[SEHTrajectPeriodeDatumTijdVan],"&lt;="&amp;($A128+22/24),tData[SEHTrajectPeriodeDatumTijdTotEnMet],"&gt;"&amp;($A128+22/24))</f>
        <v/>
      </c>
      <c r="AA128" s="20">
        <f>COUNTIFS(tData[SEHTrajectPeriodeDatumTijdVan],"&lt;="&amp;($A128+23/24),tData[SEHTrajectPeriodeDatumTijdTotEnMet],"&gt;"&amp;($A128+23/24))</f>
        <v/>
      </c>
    </row>
    <row r="129">
      <c r="A129" s="19" t="n">
        <v>45417</v>
      </c>
      <c r="B129" s="15">
        <f>WEEKDAY($A129,2)</f>
        <v/>
      </c>
      <c r="C129" s="15">
        <f>IF(AND($A129&gt;=INT(Instellingen!$B$5),$A129&lt;=INT(Instellingen!$B$6)),1,0)</f>
        <v/>
      </c>
      <c r="D129" s="20">
        <f>COUNTIFS(tData[SEHTrajectPeriodeDatumTijdVan],"&lt;="&amp;($A129+0/24),tData[SEHTrajectPeriodeDatumTijdTotEnMet],"&gt;"&amp;($A129+0/24))</f>
        <v/>
      </c>
      <c r="E129" s="20">
        <f>COUNTIFS(tData[SEHTrajectPeriodeDatumTijdVan],"&lt;="&amp;($A129+1/24),tData[SEHTrajectPeriodeDatumTijdTotEnMet],"&gt;"&amp;($A129+1/24))</f>
        <v/>
      </c>
      <c r="F129" s="20">
        <f>COUNTIFS(tData[SEHTrajectPeriodeDatumTijdVan],"&lt;="&amp;($A129+2/24),tData[SEHTrajectPeriodeDatumTijdTotEnMet],"&gt;"&amp;($A129+2/24))</f>
        <v/>
      </c>
      <c r="G129" s="20">
        <f>COUNTIFS(tData[SEHTrajectPeriodeDatumTijdVan],"&lt;="&amp;($A129+3/24),tData[SEHTrajectPeriodeDatumTijdTotEnMet],"&gt;"&amp;($A129+3/24))</f>
        <v/>
      </c>
      <c r="H129" s="20">
        <f>COUNTIFS(tData[SEHTrajectPeriodeDatumTijdVan],"&lt;="&amp;($A129+4/24),tData[SEHTrajectPeriodeDatumTijdTotEnMet],"&gt;"&amp;($A129+4/24))</f>
        <v/>
      </c>
      <c r="I129" s="20">
        <f>COUNTIFS(tData[SEHTrajectPeriodeDatumTijdVan],"&lt;="&amp;($A129+5/24),tData[SEHTrajectPeriodeDatumTijdTotEnMet],"&gt;"&amp;($A129+5/24))</f>
        <v/>
      </c>
      <c r="J129" s="20">
        <f>COUNTIFS(tData[SEHTrajectPeriodeDatumTijdVan],"&lt;="&amp;($A129+6/24),tData[SEHTrajectPeriodeDatumTijdTotEnMet],"&gt;"&amp;($A129+6/24))</f>
        <v/>
      </c>
      <c r="K129" s="20">
        <f>COUNTIFS(tData[SEHTrajectPeriodeDatumTijdVan],"&lt;="&amp;($A129+7/24),tData[SEHTrajectPeriodeDatumTijdTotEnMet],"&gt;"&amp;($A129+7/24))</f>
        <v/>
      </c>
      <c r="L129" s="20">
        <f>COUNTIFS(tData[SEHTrajectPeriodeDatumTijdVan],"&lt;="&amp;($A129+8/24),tData[SEHTrajectPeriodeDatumTijdTotEnMet],"&gt;"&amp;($A129+8/24))</f>
        <v/>
      </c>
      <c r="M129" s="20">
        <f>COUNTIFS(tData[SEHTrajectPeriodeDatumTijdVan],"&lt;="&amp;($A129+9/24),tData[SEHTrajectPeriodeDatumTijdTotEnMet],"&gt;"&amp;($A129+9/24))</f>
        <v/>
      </c>
      <c r="N129" s="20">
        <f>COUNTIFS(tData[SEHTrajectPeriodeDatumTijdVan],"&lt;="&amp;($A129+10/24),tData[SEHTrajectPeriodeDatumTijdTotEnMet],"&gt;"&amp;($A129+10/24))</f>
        <v/>
      </c>
      <c r="O129" s="20">
        <f>COUNTIFS(tData[SEHTrajectPeriodeDatumTijdVan],"&lt;="&amp;($A129+11/24),tData[SEHTrajectPeriodeDatumTijdTotEnMet],"&gt;"&amp;($A129+11/24))</f>
        <v/>
      </c>
      <c r="P129" s="20">
        <f>COUNTIFS(tData[SEHTrajectPeriodeDatumTijdVan],"&lt;="&amp;($A129+12/24),tData[SEHTrajectPeriodeDatumTijdTotEnMet],"&gt;"&amp;($A129+12/24))</f>
        <v/>
      </c>
      <c r="Q129" s="20">
        <f>COUNTIFS(tData[SEHTrajectPeriodeDatumTijdVan],"&lt;="&amp;($A129+13/24),tData[SEHTrajectPeriodeDatumTijdTotEnMet],"&gt;"&amp;($A129+13/24))</f>
        <v/>
      </c>
      <c r="R129" s="20">
        <f>COUNTIFS(tData[SEHTrajectPeriodeDatumTijdVan],"&lt;="&amp;($A129+14/24),tData[SEHTrajectPeriodeDatumTijdTotEnMet],"&gt;"&amp;($A129+14/24))</f>
        <v/>
      </c>
      <c r="S129" s="20">
        <f>COUNTIFS(tData[SEHTrajectPeriodeDatumTijdVan],"&lt;="&amp;($A129+15/24),tData[SEHTrajectPeriodeDatumTijdTotEnMet],"&gt;"&amp;($A129+15/24))</f>
        <v/>
      </c>
      <c r="T129" s="20">
        <f>COUNTIFS(tData[SEHTrajectPeriodeDatumTijdVan],"&lt;="&amp;($A129+16/24),tData[SEHTrajectPeriodeDatumTijdTotEnMet],"&gt;"&amp;($A129+16/24))</f>
        <v/>
      </c>
      <c r="U129" s="20">
        <f>COUNTIFS(tData[SEHTrajectPeriodeDatumTijdVan],"&lt;="&amp;($A129+17/24),tData[SEHTrajectPeriodeDatumTijdTotEnMet],"&gt;"&amp;($A129+17/24))</f>
        <v/>
      </c>
      <c r="V129" s="20">
        <f>COUNTIFS(tData[SEHTrajectPeriodeDatumTijdVan],"&lt;="&amp;($A129+18/24),tData[SEHTrajectPeriodeDatumTijdTotEnMet],"&gt;"&amp;($A129+18/24))</f>
        <v/>
      </c>
      <c r="W129" s="20">
        <f>COUNTIFS(tData[SEHTrajectPeriodeDatumTijdVan],"&lt;="&amp;($A129+19/24),tData[SEHTrajectPeriodeDatumTijdTotEnMet],"&gt;"&amp;($A129+19/24))</f>
        <v/>
      </c>
      <c r="X129" s="20">
        <f>COUNTIFS(tData[SEHTrajectPeriodeDatumTijdVan],"&lt;="&amp;($A129+20/24),tData[SEHTrajectPeriodeDatumTijdTotEnMet],"&gt;"&amp;($A129+20/24))</f>
        <v/>
      </c>
      <c r="Y129" s="20">
        <f>COUNTIFS(tData[SEHTrajectPeriodeDatumTijdVan],"&lt;="&amp;($A129+21/24),tData[SEHTrajectPeriodeDatumTijdTotEnMet],"&gt;"&amp;($A129+21/24))</f>
        <v/>
      </c>
      <c r="Z129" s="20">
        <f>COUNTIFS(tData[SEHTrajectPeriodeDatumTijdVan],"&lt;="&amp;($A129+22/24),tData[SEHTrajectPeriodeDatumTijdTotEnMet],"&gt;"&amp;($A129+22/24))</f>
        <v/>
      </c>
      <c r="AA129" s="20">
        <f>COUNTIFS(tData[SEHTrajectPeriodeDatumTijdVan],"&lt;="&amp;($A129+23/24),tData[SEHTrajectPeriodeDatumTijdTotEnMet],"&gt;"&amp;($A129+23/24))</f>
        <v/>
      </c>
    </row>
    <row r="130">
      <c r="A130" s="19" t="n">
        <v>45418</v>
      </c>
      <c r="B130" s="15">
        <f>WEEKDAY($A130,2)</f>
        <v/>
      </c>
      <c r="C130" s="15">
        <f>IF(AND($A130&gt;=INT(Instellingen!$B$5),$A130&lt;=INT(Instellingen!$B$6)),1,0)</f>
        <v/>
      </c>
      <c r="D130" s="20">
        <f>COUNTIFS(tData[SEHTrajectPeriodeDatumTijdVan],"&lt;="&amp;($A130+0/24),tData[SEHTrajectPeriodeDatumTijdTotEnMet],"&gt;"&amp;($A130+0/24))</f>
        <v/>
      </c>
      <c r="E130" s="20">
        <f>COUNTIFS(tData[SEHTrajectPeriodeDatumTijdVan],"&lt;="&amp;($A130+1/24),tData[SEHTrajectPeriodeDatumTijdTotEnMet],"&gt;"&amp;($A130+1/24))</f>
        <v/>
      </c>
      <c r="F130" s="20">
        <f>COUNTIFS(tData[SEHTrajectPeriodeDatumTijdVan],"&lt;="&amp;($A130+2/24),tData[SEHTrajectPeriodeDatumTijdTotEnMet],"&gt;"&amp;($A130+2/24))</f>
        <v/>
      </c>
      <c r="G130" s="20">
        <f>COUNTIFS(tData[SEHTrajectPeriodeDatumTijdVan],"&lt;="&amp;($A130+3/24),tData[SEHTrajectPeriodeDatumTijdTotEnMet],"&gt;"&amp;($A130+3/24))</f>
        <v/>
      </c>
      <c r="H130" s="20">
        <f>COUNTIFS(tData[SEHTrajectPeriodeDatumTijdVan],"&lt;="&amp;($A130+4/24),tData[SEHTrajectPeriodeDatumTijdTotEnMet],"&gt;"&amp;($A130+4/24))</f>
        <v/>
      </c>
      <c r="I130" s="20">
        <f>COUNTIFS(tData[SEHTrajectPeriodeDatumTijdVan],"&lt;="&amp;($A130+5/24),tData[SEHTrajectPeriodeDatumTijdTotEnMet],"&gt;"&amp;($A130+5/24))</f>
        <v/>
      </c>
      <c r="J130" s="20">
        <f>COUNTIFS(tData[SEHTrajectPeriodeDatumTijdVan],"&lt;="&amp;($A130+6/24),tData[SEHTrajectPeriodeDatumTijdTotEnMet],"&gt;"&amp;($A130+6/24))</f>
        <v/>
      </c>
      <c r="K130" s="20">
        <f>COUNTIFS(tData[SEHTrajectPeriodeDatumTijdVan],"&lt;="&amp;($A130+7/24),tData[SEHTrajectPeriodeDatumTijdTotEnMet],"&gt;"&amp;($A130+7/24))</f>
        <v/>
      </c>
      <c r="L130" s="20">
        <f>COUNTIFS(tData[SEHTrajectPeriodeDatumTijdVan],"&lt;="&amp;($A130+8/24),tData[SEHTrajectPeriodeDatumTijdTotEnMet],"&gt;"&amp;($A130+8/24))</f>
        <v/>
      </c>
      <c r="M130" s="20">
        <f>COUNTIFS(tData[SEHTrajectPeriodeDatumTijdVan],"&lt;="&amp;($A130+9/24),tData[SEHTrajectPeriodeDatumTijdTotEnMet],"&gt;"&amp;($A130+9/24))</f>
        <v/>
      </c>
      <c r="N130" s="20">
        <f>COUNTIFS(tData[SEHTrajectPeriodeDatumTijdVan],"&lt;="&amp;($A130+10/24),tData[SEHTrajectPeriodeDatumTijdTotEnMet],"&gt;"&amp;($A130+10/24))</f>
        <v/>
      </c>
      <c r="O130" s="20">
        <f>COUNTIFS(tData[SEHTrajectPeriodeDatumTijdVan],"&lt;="&amp;($A130+11/24),tData[SEHTrajectPeriodeDatumTijdTotEnMet],"&gt;"&amp;($A130+11/24))</f>
        <v/>
      </c>
      <c r="P130" s="20">
        <f>COUNTIFS(tData[SEHTrajectPeriodeDatumTijdVan],"&lt;="&amp;($A130+12/24),tData[SEHTrajectPeriodeDatumTijdTotEnMet],"&gt;"&amp;($A130+12/24))</f>
        <v/>
      </c>
      <c r="Q130" s="20">
        <f>COUNTIFS(tData[SEHTrajectPeriodeDatumTijdVan],"&lt;="&amp;($A130+13/24),tData[SEHTrajectPeriodeDatumTijdTotEnMet],"&gt;"&amp;($A130+13/24))</f>
        <v/>
      </c>
      <c r="R130" s="20">
        <f>COUNTIFS(tData[SEHTrajectPeriodeDatumTijdVan],"&lt;="&amp;($A130+14/24),tData[SEHTrajectPeriodeDatumTijdTotEnMet],"&gt;"&amp;($A130+14/24))</f>
        <v/>
      </c>
      <c r="S130" s="20">
        <f>COUNTIFS(tData[SEHTrajectPeriodeDatumTijdVan],"&lt;="&amp;($A130+15/24),tData[SEHTrajectPeriodeDatumTijdTotEnMet],"&gt;"&amp;($A130+15/24))</f>
        <v/>
      </c>
      <c r="T130" s="20">
        <f>COUNTIFS(tData[SEHTrajectPeriodeDatumTijdVan],"&lt;="&amp;($A130+16/24),tData[SEHTrajectPeriodeDatumTijdTotEnMet],"&gt;"&amp;($A130+16/24))</f>
        <v/>
      </c>
      <c r="U130" s="20">
        <f>COUNTIFS(tData[SEHTrajectPeriodeDatumTijdVan],"&lt;="&amp;($A130+17/24),tData[SEHTrajectPeriodeDatumTijdTotEnMet],"&gt;"&amp;($A130+17/24))</f>
        <v/>
      </c>
      <c r="V130" s="20">
        <f>COUNTIFS(tData[SEHTrajectPeriodeDatumTijdVan],"&lt;="&amp;($A130+18/24),tData[SEHTrajectPeriodeDatumTijdTotEnMet],"&gt;"&amp;($A130+18/24))</f>
        <v/>
      </c>
      <c r="W130" s="20">
        <f>COUNTIFS(tData[SEHTrajectPeriodeDatumTijdVan],"&lt;="&amp;($A130+19/24),tData[SEHTrajectPeriodeDatumTijdTotEnMet],"&gt;"&amp;($A130+19/24))</f>
        <v/>
      </c>
      <c r="X130" s="20">
        <f>COUNTIFS(tData[SEHTrajectPeriodeDatumTijdVan],"&lt;="&amp;($A130+20/24),tData[SEHTrajectPeriodeDatumTijdTotEnMet],"&gt;"&amp;($A130+20/24))</f>
        <v/>
      </c>
      <c r="Y130" s="20">
        <f>COUNTIFS(tData[SEHTrajectPeriodeDatumTijdVan],"&lt;="&amp;($A130+21/24),tData[SEHTrajectPeriodeDatumTijdTotEnMet],"&gt;"&amp;($A130+21/24))</f>
        <v/>
      </c>
      <c r="Z130" s="20">
        <f>COUNTIFS(tData[SEHTrajectPeriodeDatumTijdVan],"&lt;="&amp;($A130+22/24),tData[SEHTrajectPeriodeDatumTijdTotEnMet],"&gt;"&amp;($A130+22/24))</f>
        <v/>
      </c>
      <c r="AA130" s="20">
        <f>COUNTIFS(tData[SEHTrajectPeriodeDatumTijdVan],"&lt;="&amp;($A130+23/24),tData[SEHTrajectPeriodeDatumTijdTotEnMet],"&gt;"&amp;($A130+23/24))</f>
        <v/>
      </c>
    </row>
    <row r="131">
      <c r="A131" s="19" t="n">
        <v>45419</v>
      </c>
      <c r="B131" s="15">
        <f>WEEKDAY($A131,2)</f>
        <v/>
      </c>
      <c r="C131" s="15">
        <f>IF(AND($A131&gt;=INT(Instellingen!$B$5),$A131&lt;=INT(Instellingen!$B$6)),1,0)</f>
        <v/>
      </c>
      <c r="D131" s="20">
        <f>COUNTIFS(tData[SEHTrajectPeriodeDatumTijdVan],"&lt;="&amp;($A131+0/24),tData[SEHTrajectPeriodeDatumTijdTotEnMet],"&gt;"&amp;($A131+0/24))</f>
        <v/>
      </c>
      <c r="E131" s="20">
        <f>COUNTIFS(tData[SEHTrajectPeriodeDatumTijdVan],"&lt;="&amp;($A131+1/24),tData[SEHTrajectPeriodeDatumTijdTotEnMet],"&gt;"&amp;($A131+1/24))</f>
        <v/>
      </c>
      <c r="F131" s="20">
        <f>COUNTIFS(tData[SEHTrajectPeriodeDatumTijdVan],"&lt;="&amp;($A131+2/24),tData[SEHTrajectPeriodeDatumTijdTotEnMet],"&gt;"&amp;($A131+2/24))</f>
        <v/>
      </c>
      <c r="G131" s="20">
        <f>COUNTIFS(tData[SEHTrajectPeriodeDatumTijdVan],"&lt;="&amp;($A131+3/24),tData[SEHTrajectPeriodeDatumTijdTotEnMet],"&gt;"&amp;($A131+3/24))</f>
        <v/>
      </c>
      <c r="H131" s="20">
        <f>COUNTIFS(tData[SEHTrajectPeriodeDatumTijdVan],"&lt;="&amp;($A131+4/24),tData[SEHTrajectPeriodeDatumTijdTotEnMet],"&gt;"&amp;($A131+4/24))</f>
        <v/>
      </c>
      <c r="I131" s="20">
        <f>COUNTIFS(tData[SEHTrajectPeriodeDatumTijdVan],"&lt;="&amp;($A131+5/24),tData[SEHTrajectPeriodeDatumTijdTotEnMet],"&gt;"&amp;($A131+5/24))</f>
        <v/>
      </c>
      <c r="J131" s="20">
        <f>COUNTIFS(tData[SEHTrajectPeriodeDatumTijdVan],"&lt;="&amp;($A131+6/24),tData[SEHTrajectPeriodeDatumTijdTotEnMet],"&gt;"&amp;($A131+6/24))</f>
        <v/>
      </c>
      <c r="K131" s="20">
        <f>COUNTIFS(tData[SEHTrajectPeriodeDatumTijdVan],"&lt;="&amp;($A131+7/24),tData[SEHTrajectPeriodeDatumTijdTotEnMet],"&gt;"&amp;($A131+7/24))</f>
        <v/>
      </c>
      <c r="L131" s="20">
        <f>COUNTIFS(tData[SEHTrajectPeriodeDatumTijdVan],"&lt;="&amp;($A131+8/24),tData[SEHTrajectPeriodeDatumTijdTotEnMet],"&gt;"&amp;($A131+8/24))</f>
        <v/>
      </c>
      <c r="M131" s="20">
        <f>COUNTIFS(tData[SEHTrajectPeriodeDatumTijdVan],"&lt;="&amp;($A131+9/24),tData[SEHTrajectPeriodeDatumTijdTotEnMet],"&gt;"&amp;($A131+9/24))</f>
        <v/>
      </c>
      <c r="N131" s="20">
        <f>COUNTIFS(tData[SEHTrajectPeriodeDatumTijdVan],"&lt;="&amp;($A131+10/24),tData[SEHTrajectPeriodeDatumTijdTotEnMet],"&gt;"&amp;($A131+10/24))</f>
        <v/>
      </c>
      <c r="O131" s="20">
        <f>COUNTIFS(tData[SEHTrajectPeriodeDatumTijdVan],"&lt;="&amp;($A131+11/24),tData[SEHTrajectPeriodeDatumTijdTotEnMet],"&gt;"&amp;($A131+11/24))</f>
        <v/>
      </c>
      <c r="P131" s="20">
        <f>COUNTIFS(tData[SEHTrajectPeriodeDatumTijdVan],"&lt;="&amp;($A131+12/24),tData[SEHTrajectPeriodeDatumTijdTotEnMet],"&gt;"&amp;($A131+12/24))</f>
        <v/>
      </c>
      <c r="Q131" s="20">
        <f>COUNTIFS(tData[SEHTrajectPeriodeDatumTijdVan],"&lt;="&amp;($A131+13/24),tData[SEHTrajectPeriodeDatumTijdTotEnMet],"&gt;"&amp;($A131+13/24))</f>
        <v/>
      </c>
      <c r="R131" s="20">
        <f>COUNTIFS(tData[SEHTrajectPeriodeDatumTijdVan],"&lt;="&amp;($A131+14/24),tData[SEHTrajectPeriodeDatumTijdTotEnMet],"&gt;"&amp;($A131+14/24))</f>
        <v/>
      </c>
      <c r="S131" s="20">
        <f>COUNTIFS(tData[SEHTrajectPeriodeDatumTijdVan],"&lt;="&amp;($A131+15/24),tData[SEHTrajectPeriodeDatumTijdTotEnMet],"&gt;"&amp;($A131+15/24))</f>
        <v/>
      </c>
      <c r="T131" s="20">
        <f>COUNTIFS(tData[SEHTrajectPeriodeDatumTijdVan],"&lt;="&amp;($A131+16/24),tData[SEHTrajectPeriodeDatumTijdTotEnMet],"&gt;"&amp;($A131+16/24))</f>
        <v/>
      </c>
      <c r="U131" s="20">
        <f>COUNTIFS(tData[SEHTrajectPeriodeDatumTijdVan],"&lt;="&amp;($A131+17/24),tData[SEHTrajectPeriodeDatumTijdTotEnMet],"&gt;"&amp;($A131+17/24))</f>
        <v/>
      </c>
      <c r="V131" s="20">
        <f>COUNTIFS(tData[SEHTrajectPeriodeDatumTijdVan],"&lt;="&amp;($A131+18/24),tData[SEHTrajectPeriodeDatumTijdTotEnMet],"&gt;"&amp;($A131+18/24))</f>
        <v/>
      </c>
      <c r="W131" s="20">
        <f>COUNTIFS(tData[SEHTrajectPeriodeDatumTijdVan],"&lt;="&amp;($A131+19/24),tData[SEHTrajectPeriodeDatumTijdTotEnMet],"&gt;"&amp;($A131+19/24))</f>
        <v/>
      </c>
      <c r="X131" s="20">
        <f>COUNTIFS(tData[SEHTrajectPeriodeDatumTijdVan],"&lt;="&amp;($A131+20/24),tData[SEHTrajectPeriodeDatumTijdTotEnMet],"&gt;"&amp;($A131+20/24))</f>
        <v/>
      </c>
      <c r="Y131" s="20">
        <f>COUNTIFS(tData[SEHTrajectPeriodeDatumTijdVan],"&lt;="&amp;($A131+21/24),tData[SEHTrajectPeriodeDatumTijdTotEnMet],"&gt;"&amp;($A131+21/24))</f>
        <v/>
      </c>
      <c r="Z131" s="20">
        <f>COUNTIFS(tData[SEHTrajectPeriodeDatumTijdVan],"&lt;="&amp;($A131+22/24),tData[SEHTrajectPeriodeDatumTijdTotEnMet],"&gt;"&amp;($A131+22/24))</f>
        <v/>
      </c>
      <c r="AA131" s="20">
        <f>COUNTIFS(tData[SEHTrajectPeriodeDatumTijdVan],"&lt;="&amp;($A131+23/24),tData[SEHTrajectPeriodeDatumTijdTotEnMet],"&gt;"&amp;($A131+23/24))</f>
        <v/>
      </c>
    </row>
    <row r="132">
      <c r="A132" s="19" t="n">
        <v>45420</v>
      </c>
      <c r="B132" s="15">
        <f>WEEKDAY($A132,2)</f>
        <v/>
      </c>
      <c r="C132" s="15">
        <f>IF(AND($A132&gt;=INT(Instellingen!$B$5),$A132&lt;=INT(Instellingen!$B$6)),1,0)</f>
        <v/>
      </c>
      <c r="D132" s="20">
        <f>COUNTIFS(tData[SEHTrajectPeriodeDatumTijdVan],"&lt;="&amp;($A132+0/24),tData[SEHTrajectPeriodeDatumTijdTotEnMet],"&gt;"&amp;($A132+0/24))</f>
        <v/>
      </c>
      <c r="E132" s="20">
        <f>COUNTIFS(tData[SEHTrajectPeriodeDatumTijdVan],"&lt;="&amp;($A132+1/24),tData[SEHTrajectPeriodeDatumTijdTotEnMet],"&gt;"&amp;($A132+1/24))</f>
        <v/>
      </c>
      <c r="F132" s="20">
        <f>COUNTIFS(tData[SEHTrajectPeriodeDatumTijdVan],"&lt;="&amp;($A132+2/24),tData[SEHTrajectPeriodeDatumTijdTotEnMet],"&gt;"&amp;($A132+2/24))</f>
        <v/>
      </c>
      <c r="G132" s="20">
        <f>COUNTIFS(tData[SEHTrajectPeriodeDatumTijdVan],"&lt;="&amp;($A132+3/24),tData[SEHTrajectPeriodeDatumTijdTotEnMet],"&gt;"&amp;($A132+3/24))</f>
        <v/>
      </c>
      <c r="H132" s="20">
        <f>COUNTIFS(tData[SEHTrajectPeriodeDatumTijdVan],"&lt;="&amp;($A132+4/24),tData[SEHTrajectPeriodeDatumTijdTotEnMet],"&gt;"&amp;($A132+4/24))</f>
        <v/>
      </c>
      <c r="I132" s="20">
        <f>COUNTIFS(tData[SEHTrajectPeriodeDatumTijdVan],"&lt;="&amp;($A132+5/24),tData[SEHTrajectPeriodeDatumTijdTotEnMet],"&gt;"&amp;($A132+5/24))</f>
        <v/>
      </c>
      <c r="J132" s="20">
        <f>COUNTIFS(tData[SEHTrajectPeriodeDatumTijdVan],"&lt;="&amp;($A132+6/24),tData[SEHTrajectPeriodeDatumTijdTotEnMet],"&gt;"&amp;($A132+6/24))</f>
        <v/>
      </c>
      <c r="K132" s="20">
        <f>COUNTIFS(tData[SEHTrajectPeriodeDatumTijdVan],"&lt;="&amp;($A132+7/24),tData[SEHTrajectPeriodeDatumTijdTotEnMet],"&gt;"&amp;($A132+7/24))</f>
        <v/>
      </c>
      <c r="L132" s="20">
        <f>COUNTIFS(tData[SEHTrajectPeriodeDatumTijdVan],"&lt;="&amp;($A132+8/24),tData[SEHTrajectPeriodeDatumTijdTotEnMet],"&gt;"&amp;($A132+8/24))</f>
        <v/>
      </c>
      <c r="M132" s="20">
        <f>COUNTIFS(tData[SEHTrajectPeriodeDatumTijdVan],"&lt;="&amp;($A132+9/24),tData[SEHTrajectPeriodeDatumTijdTotEnMet],"&gt;"&amp;($A132+9/24))</f>
        <v/>
      </c>
      <c r="N132" s="20">
        <f>COUNTIFS(tData[SEHTrajectPeriodeDatumTijdVan],"&lt;="&amp;($A132+10/24),tData[SEHTrajectPeriodeDatumTijdTotEnMet],"&gt;"&amp;($A132+10/24))</f>
        <v/>
      </c>
      <c r="O132" s="20">
        <f>COUNTIFS(tData[SEHTrajectPeriodeDatumTijdVan],"&lt;="&amp;($A132+11/24),tData[SEHTrajectPeriodeDatumTijdTotEnMet],"&gt;"&amp;($A132+11/24))</f>
        <v/>
      </c>
      <c r="P132" s="20">
        <f>COUNTIFS(tData[SEHTrajectPeriodeDatumTijdVan],"&lt;="&amp;($A132+12/24),tData[SEHTrajectPeriodeDatumTijdTotEnMet],"&gt;"&amp;($A132+12/24))</f>
        <v/>
      </c>
      <c r="Q132" s="20">
        <f>COUNTIFS(tData[SEHTrajectPeriodeDatumTijdVan],"&lt;="&amp;($A132+13/24),tData[SEHTrajectPeriodeDatumTijdTotEnMet],"&gt;"&amp;($A132+13/24))</f>
        <v/>
      </c>
      <c r="R132" s="20">
        <f>COUNTIFS(tData[SEHTrajectPeriodeDatumTijdVan],"&lt;="&amp;($A132+14/24),tData[SEHTrajectPeriodeDatumTijdTotEnMet],"&gt;"&amp;($A132+14/24))</f>
        <v/>
      </c>
      <c r="S132" s="20">
        <f>COUNTIFS(tData[SEHTrajectPeriodeDatumTijdVan],"&lt;="&amp;($A132+15/24),tData[SEHTrajectPeriodeDatumTijdTotEnMet],"&gt;"&amp;($A132+15/24))</f>
        <v/>
      </c>
      <c r="T132" s="20">
        <f>COUNTIFS(tData[SEHTrajectPeriodeDatumTijdVan],"&lt;="&amp;($A132+16/24),tData[SEHTrajectPeriodeDatumTijdTotEnMet],"&gt;"&amp;($A132+16/24))</f>
        <v/>
      </c>
      <c r="U132" s="20">
        <f>COUNTIFS(tData[SEHTrajectPeriodeDatumTijdVan],"&lt;="&amp;($A132+17/24),tData[SEHTrajectPeriodeDatumTijdTotEnMet],"&gt;"&amp;($A132+17/24))</f>
        <v/>
      </c>
      <c r="V132" s="20">
        <f>COUNTIFS(tData[SEHTrajectPeriodeDatumTijdVan],"&lt;="&amp;($A132+18/24),tData[SEHTrajectPeriodeDatumTijdTotEnMet],"&gt;"&amp;($A132+18/24))</f>
        <v/>
      </c>
      <c r="W132" s="20">
        <f>COUNTIFS(tData[SEHTrajectPeriodeDatumTijdVan],"&lt;="&amp;($A132+19/24),tData[SEHTrajectPeriodeDatumTijdTotEnMet],"&gt;"&amp;($A132+19/24))</f>
        <v/>
      </c>
      <c r="X132" s="20">
        <f>COUNTIFS(tData[SEHTrajectPeriodeDatumTijdVan],"&lt;="&amp;($A132+20/24),tData[SEHTrajectPeriodeDatumTijdTotEnMet],"&gt;"&amp;($A132+20/24))</f>
        <v/>
      </c>
      <c r="Y132" s="20">
        <f>COUNTIFS(tData[SEHTrajectPeriodeDatumTijdVan],"&lt;="&amp;($A132+21/24),tData[SEHTrajectPeriodeDatumTijdTotEnMet],"&gt;"&amp;($A132+21/24))</f>
        <v/>
      </c>
      <c r="Z132" s="20">
        <f>COUNTIFS(tData[SEHTrajectPeriodeDatumTijdVan],"&lt;="&amp;($A132+22/24),tData[SEHTrajectPeriodeDatumTijdTotEnMet],"&gt;"&amp;($A132+22/24))</f>
        <v/>
      </c>
      <c r="AA132" s="20">
        <f>COUNTIFS(tData[SEHTrajectPeriodeDatumTijdVan],"&lt;="&amp;($A132+23/24),tData[SEHTrajectPeriodeDatumTijdTotEnMet],"&gt;"&amp;($A132+23/24))</f>
        <v/>
      </c>
    </row>
    <row r="133">
      <c r="A133" s="19" t="n">
        <v>45421</v>
      </c>
      <c r="B133" s="15">
        <f>WEEKDAY($A133,2)</f>
        <v/>
      </c>
      <c r="C133" s="15">
        <f>IF(AND($A133&gt;=INT(Instellingen!$B$5),$A133&lt;=INT(Instellingen!$B$6)),1,0)</f>
        <v/>
      </c>
      <c r="D133" s="20">
        <f>COUNTIFS(tData[SEHTrajectPeriodeDatumTijdVan],"&lt;="&amp;($A133+0/24),tData[SEHTrajectPeriodeDatumTijdTotEnMet],"&gt;"&amp;($A133+0/24))</f>
        <v/>
      </c>
      <c r="E133" s="20">
        <f>COUNTIFS(tData[SEHTrajectPeriodeDatumTijdVan],"&lt;="&amp;($A133+1/24),tData[SEHTrajectPeriodeDatumTijdTotEnMet],"&gt;"&amp;($A133+1/24))</f>
        <v/>
      </c>
      <c r="F133" s="20">
        <f>COUNTIFS(tData[SEHTrajectPeriodeDatumTijdVan],"&lt;="&amp;($A133+2/24),tData[SEHTrajectPeriodeDatumTijdTotEnMet],"&gt;"&amp;($A133+2/24))</f>
        <v/>
      </c>
      <c r="G133" s="20">
        <f>COUNTIFS(tData[SEHTrajectPeriodeDatumTijdVan],"&lt;="&amp;($A133+3/24),tData[SEHTrajectPeriodeDatumTijdTotEnMet],"&gt;"&amp;($A133+3/24))</f>
        <v/>
      </c>
      <c r="H133" s="20">
        <f>COUNTIFS(tData[SEHTrajectPeriodeDatumTijdVan],"&lt;="&amp;($A133+4/24),tData[SEHTrajectPeriodeDatumTijdTotEnMet],"&gt;"&amp;($A133+4/24))</f>
        <v/>
      </c>
      <c r="I133" s="20">
        <f>COUNTIFS(tData[SEHTrajectPeriodeDatumTijdVan],"&lt;="&amp;($A133+5/24),tData[SEHTrajectPeriodeDatumTijdTotEnMet],"&gt;"&amp;($A133+5/24))</f>
        <v/>
      </c>
      <c r="J133" s="20">
        <f>COUNTIFS(tData[SEHTrajectPeriodeDatumTijdVan],"&lt;="&amp;($A133+6/24),tData[SEHTrajectPeriodeDatumTijdTotEnMet],"&gt;"&amp;($A133+6/24))</f>
        <v/>
      </c>
      <c r="K133" s="20">
        <f>COUNTIFS(tData[SEHTrajectPeriodeDatumTijdVan],"&lt;="&amp;($A133+7/24),tData[SEHTrajectPeriodeDatumTijdTotEnMet],"&gt;"&amp;($A133+7/24))</f>
        <v/>
      </c>
      <c r="L133" s="20">
        <f>COUNTIFS(tData[SEHTrajectPeriodeDatumTijdVan],"&lt;="&amp;($A133+8/24),tData[SEHTrajectPeriodeDatumTijdTotEnMet],"&gt;"&amp;($A133+8/24))</f>
        <v/>
      </c>
      <c r="M133" s="20">
        <f>COUNTIFS(tData[SEHTrajectPeriodeDatumTijdVan],"&lt;="&amp;($A133+9/24),tData[SEHTrajectPeriodeDatumTijdTotEnMet],"&gt;"&amp;($A133+9/24))</f>
        <v/>
      </c>
      <c r="N133" s="20">
        <f>COUNTIFS(tData[SEHTrajectPeriodeDatumTijdVan],"&lt;="&amp;($A133+10/24),tData[SEHTrajectPeriodeDatumTijdTotEnMet],"&gt;"&amp;($A133+10/24))</f>
        <v/>
      </c>
      <c r="O133" s="20">
        <f>COUNTIFS(tData[SEHTrajectPeriodeDatumTijdVan],"&lt;="&amp;($A133+11/24),tData[SEHTrajectPeriodeDatumTijdTotEnMet],"&gt;"&amp;($A133+11/24))</f>
        <v/>
      </c>
      <c r="P133" s="20">
        <f>COUNTIFS(tData[SEHTrajectPeriodeDatumTijdVan],"&lt;="&amp;($A133+12/24),tData[SEHTrajectPeriodeDatumTijdTotEnMet],"&gt;"&amp;($A133+12/24))</f>
        <v/>
      </c>
      <c r="Q133" s="20">
        <f>COUNTIFS(tData[SEHTrajectPeriodeDatumTijdVan],"&lt;="&amp;($A133+13/24),tData[SEHTrajectPeriodeDatumTijdTotEnMet],"&gt;"&amp;($A133+13/24))</f>
        <v/>
      </c>
      <c r="R133" s="20">
        <f>COUNTIFS(tData[SEHTrajectPeriodeDatumTijdVan],"&lt;="&amp;($A133+14/24),tData[SEHTrajectPeriodeDatumTijdTotEnMet],"&gt;"&amp;($A133+14/24))</f>
        <v/>
      </c>
      <c r="S133" s="20">
        <f>COUNTIFS(tData[SEHTrajectPeriodeDatumTijdVan],"&lt;="&amp;($A133+15/24),tData[SEHTrajectPeriodeDatumTijdTotEnMet],"&gt;"&amp;($A133+15/24))</f>
        <v/>
      </c>
      <c r="T133" s="20">
        <f>COUNTIFS(tData[SEHTrajectPeriodeDatumTijdVan],"&lt;="&amp;($A133+16/24),tData[SEHTrajectPeriodeDatumTijdTotEnMet],"&gt;"&amp;($A133+16/24))</f>
        <v/>
      </c>
      <c r="U133" s="20">
        <f>COUNTIFS(tData[SEHTrajectPeriodeDatumTijdVan],"&lt;="&amp;($A133+17/24),tData[SEHTrajectPeriodeDatumTijdTotEnMet],"&gt;"&amp;($A133+17/24))</f>
        <v/>
      </c>
      <c r="V133" s="20">
        <f>COUNTIFS(tData[SEHTrajectPeriodeDatumTijdVan],"&lt;="&amp;($A133+18/24),tData[SEHTrajectPeriodeDatumTijdTotEnMet],"&gt;"&amp;($A133+18/24))</f>
        <v/>
      </c>
      <c r="W133" s="20">
        <f>COUNTIFS(tData[SEHTrajectPeriodeDatumTijdVan],"&lt;="&amp;($A133+19/24),tData[SEHTrajectPeriodeDatumTijdTotEnMet],"&gt;"&amp;($A133+19/24))</f>
        <v/>
      </c>
      <c r="X133" s="20">
        <f>COUNTIFS(tData[SEHTrajectPeriodeDatumTijdVan],"&lt;="&amp;($A133+20/24),tData[SEHTrajectPeriodeDatumTijdTotEnMet],"&gt;"&amp;($A133+20/24))</f>
        <v/>
      </c>
      <c r="Y133" s="20">
        <f>COUNTIFS(tData[SEHTrajectPeriodeDatumTijdVan],"&lt;="&amp;($A133+21/24),tData[SEHTrajectPeriodeDatumTijdTotEnMet],"&gt;"&amp;($A133+21/24))</f>
        <v/>
      </c>
      <c r="Z133" s="20">
        <f>COUNTIFS(tData[SEHTrajectPeriodeDatumTijdVan],"&lt;="&amp;($A133+22/24),tData[SEHTrajectPeriodeDatumTijdTotEnMet],"&gt;"&amp;($A133+22/24))</f>
        <v/>
      </c>
      <c r="AA133" s="20">
        <f>COUNTIFS(tData[SEHTrajectPeriodeDatumTijdVan],"&lt;="&amp;($A133+23/24),tData[SEHTrajectPeriodeDatumTijdTotEnMet],"&gt;"&amp;($A133+23/24))</f>
        <v/>
      </c>
    </row>
    <row r="134">
      <c r="A134" s="19" t="n">
        <v>45422</v>
      </c>
      <c r="B134" s="15">
        <f>WEEKDAY($A134,2)</f>
        <v/>
      </c>
      <c r="C134" s="15">
        <f>IF(AND($A134&gt;=INT(Instellingen!$B$5),$A134&lt;=INT(Instellingen!$B$6)),1,0)</f>
        <v/>
      </c>
      <c r="D134" s="20">
        <f>COUNTIFS(tData[SEHTrajectPeriodeDatumTijdVan],"&lt;="&amp;($A134+0/24),tData[SEHTrajectPeriodeDatumTijdTotEnMet],"&gt;"&amp;($A134+0/24))</f>
        <v/>
      </c>
      <c r="E134" s="20">
        <f>COUNTIFS(tData[SEHTrajectPeriodeDatumTijdVan],"&lt;="&amp;($A134+1/24),tData[SEHTrajectPeriodeDatumTijdTotEnMet],"&gt;"&amp;($A134+1/24))</f>
        <v/>
      </c>
      <c r="F134" s="20">
        <f>COUNTIFS(tData[SEHTrajectPeriodeDatumTijdVan],"&lt;="&amp;($A134+2/24),tData[SEHTrajectPeriodeDatumTijdTotEnMet],"&gt;"&amp;($A134+2/24))</f>
        <v/>
      </c>
      <c r="G134" s="20">
        <f>COUNTIFS(tData[SEHTrajectPeriodeDatumTijdVan],"&lt;="&amp;($A134+3/24),tData[SEHTrajectPeriodeDatumTijdTotEnMet],"&gt;"&amp;($A134+3/24))</f>
        <v/>
      </c>
      <c r="H134" s="20">
        <f>COUNTIFS(tData[SEHTrajectPeriodeDatumTijdVan],"&lt;="&amp;($A134+4/24),tData[SEHTrajectPeriodeDatumTijdTotEnMet],"&gt;"&amp;($A134+4/24))</f>
        <v/>
      </c>
      <c r="I134" s="20">
        <f>COUNTIFS(tData[SEHTrajectPeriodeDatumTijdVan],"&lt;="&amp;($A134+5/24),tData[SEHTrajectPeriodeDatumTijdTotEnMet],"&gt;"&amp;($A134+5/24))</f>
        <v/>
      </c>
      <c r="J134" s="20">
        <f>COUNTIFS(tData[SEHTrajectPeriodeDatumTijdVan],"&lt;="&amp;($A134+6/24),tData[SEHTrajectPeriodeDatumTijdTotEnMet],"&gt;"&amp;($A134+6/24))</f>
        <v/>
      </c>
      <c r="K134" s="20">
        <f>COUNTIFS(tData[SEHTrajectPeriodeDatumTijdVan],"&lt;="&amp;($A134+7/24),tData[SEHTrajectPeriodeDatumTijdTotEnMet],"&gt;"&amp;($A134+7/24))</f>
        <v/>
      </c>
      <c r="L134" s="20">
        <f>COUNTIFS(tData[SEHTrajectPeriodeDatumTijdVan],"&lt;="&amp;($A134+8/24),tData[SEHTrajectPeriodeDatumTijdTotEnMet],"&gt;"&amp;($A134+8/24))</f>
        <v/>
      </c>
      <c r="M134" s="20">
        <f>COUNTIFS(tData[SEHTrajectPeriodeDatumTijdVan],"&lt;="&amp;($A134+9/24),tData[SEHTrajectPeriodeDatumTijdTotEnMet],"&gt;"&amp;($A134+9/24))</f>
        <v/>
      </c>
      <c r="N134" s="20">
        <f>COUNTIFS(tData[SEHTrajectPeriodeDatumTijdVan],"&lt;="&amp;($A134+10/24),tData[SEHTrajectPeriodeDatumTijdTotEnMet],"&gt;"&amp;($A134+10/24))</f>
        <v/>
      </c>
      <c r="O134" s="20">
        <f>COUNTIFS(tData[SEHTrajectPeriodeDatumTijdVan],"&lt;="&amp;($A134+11/24),tData[SEHTrajectPeriodeDatumTijdTotEnMet],"&gt;"&amp;($A134+11/24))</f>
        <v/>
      </c>
      <c r="P134" s="20">
        <f>COUNTIFS(tData[SEHTrajectPeriodeDatumTijdVan],"&lt;="&amp;($A134+12/24),tData[SEHTrajectPeriodeDatumTijdTotEnMet],"&gt;"&amp;($A134+12/24))</f>
        <v/>
      </c>
      <c r="Q134" s="20">
        <f>COUNTIFS(tData[SEHTrajectPeriodeDatumTijdVan],"&lt;="&amp;($A134+13/24),tData[SEHTrajectPeriodeDatumTijdTotEnMet],"&gt;"&amp;($A134+13/24))</f>
        <v/>
      </c>
      <c r="R134" s="20">
        <f>COUNTIFS(tData[SEHTrajectPeriodeDatumTijdVan],"&lt;="&amp;($A134+14/24),tData[SEHTrajectPeriodeDatumTijdTotEnMet],"&gt;"&amp;($A134+14/24))</f>
        <v/>
      </c>
      <c r="S134" s="20">
        <f>COUNTIFS(tData[SEHTrajectPeriodeDatumTijdVan],"&lt;="&amp;($A134+15/24),tData[SEHTrajectPeriodeDatumTijdTotEnMet],"&gt;"&amp;($A134+15/24))</f>
        <v/>
      </c>
      <c r="T134" s="20">
        <f>COUNTIFS(tData[SEHTrajectPeriodeDatumTijdVan],"&lt;="&amp;($A134+16/24),tData[SEHTrajectPeriodeDatumTijdTotEnMet],"&gt;"&amp;($A134+16/24))</f>
        <v/>
      </c>
      <c r="U134" s="20">
        <f>COUNTIFS(tData[SEHTrajectPeriodeDatumTijdVan],"&lt;="&amp;($A134+17/24),tData[SEHTrajectPeriodeDatumTijdTotEnMet],"&gt;"&amp;($A134+17/24))</f>
        <v/>
      </c>
      <c r="V134" s="20">
        <f>COUNTIFS(tData[SEHTrajectPeriodeDatumTijdVan],"&lt;="&amp;($A134+18/24),tData[SEHTrajectPeriodeDatumTijdTotEnMet],"&gt;"&amp;($A134+18/24))</f>
        <v/>
      </c>
      <c r="W134" s="20">
        <f>COUNTIFS(tData[SEHTrajectPeriodeDatumTijdVan],"&lt;="&amp;($A134+19/24),tData[SEHTrajectPeriodeDatumTijdTotEnMet],"&gt;"&amp;($A134+19/24))</f>
        <v/>
      </c>
      <c r="X134" s="20">
        <f>COUNTIFS(tData[SEHTrajectPeriodeDatumTijdVan],"&lt;="&amp;($A134+20/24),tData[SEHTrajectPeriodeDatumTijdTotEnMet],"&gt;"&amp;($A134+20/24))</f>
        <v/>
      </c>
      <c r="Y134" s="20">
        <f>COUNTIFS(tData[SEHTrajectPeriodeDatumTijdVan],"&lt;="&amp;($A134+21/24),tData[SEHTrajectPeriodeDatumTijdTotEnMet],"&gt;"&amp;($A134+21/24))</f>
        <v/>
      </c>
      <c r="Z134" s="20">
        <f>COUNTIFS(tData[SEHTrajectPeriodeDatumTijdVan],"&lt;="&amp;($A134+22/24),tData[SEHTrajectPeriodeDatumTijdTotEnMet],"&gt;"&amp;($A134+22/24))</f>
        <v/>
      </c>
      <c r="AA134" s="20">
        <f>COUNTIFS(tData[SEHTrajectPeriodeDatumTijdVan],"&lt;="&amp;($A134+23/24),tData[SEHTrajectPeriodeDatumTijdTotEnMet],"&gt;"&amp;($A134+23/24))</f>
        <v/>
      </c>
    </row>
    <row r="135">
      <c r="A135" s="19" t="n">
        <v>45423</v>
      </c>
      <c r="B135" s="15">
        <f>WEEKDAY($A135,2)</f>
        <v/>
      </c>
      <c r="C135" s="15">
        <f>IF(AND($A135&gt;=INT(Instellingen!$B$5),$A135&lt;=INT(Instellingen!$B$6)),1,0)</f>
        <v/>
      </c>
      <c r="D135" s="20">
        <f>COUNTIFS(tData[SEHTrajectPeriodeDatumTijdVan],"&lt;="&amp;($A135+0/24),tData[SEHTrajectPeriodeDatumTijdTotEnMet],"&gt;"&amp;($A135+0/24))</f>
        <v/>
      </c>
      <c r="E135" s="20">
        <f>COUNTIFS(tData[SEHTrajectPeriodeDatumTijdVan],"&lt;="&amp;($A135+1/24),tData[SEHTrajectPeriodeDatumTijdTotEnMet],"&gt;"&amp;($A135+1/24))</f>
        <v/>
      </c>
      <c r="F135" s="20">
        <f>COUNTIFS(tData[SEHTrajectPeriodeDatumTijdVan],"&lt;="&amp;($A135+2/24),tData[SEHTrajectPeriodeDatumTijdTotEnMet],"&gt;"&amp;($A135+2/24))</f>
        <v/>
      </c>
      <c r="G135" s="20">
        <f>COUNTIFS(tData[SEHTrajectPeriodeDatumTijdVan],"&lt;="&amp;($A135+3/24),tData[SEHTrajectPeriodeDatumTijdTotEnMet],"&gt;"&amp;($A135+3/24))</f>
        <v/>
      </c>
      <c r="H135" s="20">
        <f>COUNTIFS(tData[SEHTrajectPeriodeDatumTijdVan],"&lt;="&amp;($A135+4/24),tData[SEHTrajectPeriodeDatumTijdTotEnMet],"&gt;"&amp;($A135+4/24))</f>
        <v/>
      </c>
      <c r="I135" s="20">
        <f>COUNTIFS(tData[SEHTrajectPeriodeDatumTijdVan],"&lt;="&amp;($A135+5/24),tData[SEHTrajectPeriodeDatumTijdTotEnMet],"&gt;"&amp;($A135+5/24))</f>
        <v/>
      </c>
      <c r="J135" s="20">
        <f>COUNTIFS(tData[SEHTrajectPeriodeDatumTijdVan],"&lt;="&amp;($A135+6/24),tData[SEHTrajectPeriodeDatumTijdTotEnMet],"&gt;"&amp;($A135+6/24))</f>
        <v/>
      </c>
      <c r="K135" s="20">
        <f>COUNTIFS(tData[SEHTrajectPeriodeDatumTijdVan],"&lt;="&amp;($A135+7/24),tData[SEHTrajectPeriodeDatumTijdTotEnMet],"&gt;"&amp;($A135+7/24))</f>
        <v/>
      </c>
      <c r="L135" s="20">
        <f>COUNTIFS(tData[SEHTrajectPeriodeDatumTijdVan],"&lt;="&amp;($A135+8/24),tData[SEHTrajectPeriodeDatumTijdTotEnMet],"&gt;"&amp;($A135+8/24))</f>
        <v/>
      </c>
      <c r="M135" s="20">
        <f>COUNTIFS(tData[SEHTrajectPeriodeDatumTijdVan],"&lt;="&amp;($A135+9/24),tData[SEHTrajectPeriodeDatumTijdTotEnMet],"&gt;"&amp;($A135+9/24))</f>
        <v/>
      </c>
      <c r="N135" s="20">
        <f>COUNTIFS(tData[SEHTrajectPeriodeDatumTijdVan],"&lt;="&amp;($A135+10/24),tData[SEHTrajectPeriodeDatumTijdTotEnMet],"&gt;"&amp;($A135+10/24))</f>
        <v/>
      </c>
      <c r="O135" s="20">
        <f>COUNTIFS(tData[SEHTrajectPeriodeDatumTijdVan],"&lt;="&amp;($A135+11/24),tData[SEHTrajectPeriodeDatumTijdTotEnMet],"&gt;"&amp;($A135+11/24))</f>
        <v/>
      </c>
      <c r="P135" s="20">
        <f>COUNTIFS(tData[SEHTrajectPeriodeDatumTijdVan],"&lt;="&amp;($A135+12/24),tData[SEHTrajectPeriodeDatumTijdTotEnMet],"&gt;"&amp;($A135+12/24))</f>
        <v/>
      </c>
      <c r="Q135" s="20">
        <f>COUNTIFS(tData[SEHTrajectPeriodeDatumTijdVan],"&lt;="&amp;($A135+13/24),tData[SEHTrajectPeriodeDatumTijdTotEnMet],"&gt;"&amp;($A135+13/24))</f>
        <v/>
      </c>
      <c r="R135" s="20">
        <f>COUNTIFS(tData[SEHTrajectPeriodeDatumTijdVan],"&lt;="&amp;($A135+14/24),tData[SEHTrajectPeriodeDatumTijdTotEnMet],"&gt;"&amp;($A135+14/24))</f>
        <v/>
      </c>
      <c r="S135" s="20">
        <f>COUNTIFS(tData[SEHTrajectPeriodeDatumTijdVan],"&lt;="&amp;($A135+15/24),tData[SEHTrajectPeriodeDatumTijdTotEnMet],"&gt;"&amp;($A135+15/24))</f>
        <v/>
      </c>
      <c r="T135" s="20">
        <f>COUNTIFS(tData[SEHTrajectPeriodeDatumTijdVan],"&lt;="&amp;($A135+16/24),tData[SEHTrajectPeriodeDatumTijdTotEnMet],"&gt;"&amp;($A135+16/24))</f>
        <v/>
      </c>
      <c r="U135" s="20">
        <f>COUNTIFS(tData[SEHTrajectPeriodeDatumTijdVan],"&lt;="&amp;($A135+17/24),tData[SEHTrajectPeriodeDatumTijdTotEnMet],"&gt;"&amp;($A135+17/24))</f>
        <v/>
      </c>
      <c r="V135" s="20">
        <f>COUNTIFS(tData[SEHTrajectPeriodeDatumTijdVan],"&lt;="&amp;($A135+18/24),tData[SEHTrajectPeriodeDatumTijdTotEnMet],"&gt;"&amp;($A135+18/24))</f>
        <v/>
      </c>
      <c r="W135" s="20">
        <f>COUNTIFS(tData[SEHTrajectPeriodeDatumTijdVan],"&lt;="&amp;($A135+19/24),tData[SEHTrajectPeriodeDatumTijdTotEnMet],"&gt;"&amp;($A135+19/24))</f>
        <v/>
      </c>
      <c r="X135" s="20">
        <f>COUNTIFS(tData[SEHTrajectPeriodeDatumTijdVan],"&lt;="&amp;($A135+20/24),tData[SEHTrajectPeriodeDatumTijdTotEnMet],"&gt;"&amp;($A135+20/24))</f>
        <v/>
      </c>
      <c r="Y135" s="20">
        <f>COUNTIFS(tData[SEHTrajectPeriodeDatumTijdVan],"&lt;="&amp;($A135+21/24),tData[SEHTrajectPeriodeDatumTijdTotEnMet],"&gt;"&amp;($A135+21/24))</f>
        <v/>
      </c>
      <c r="Z135" s="20">
        <f>COUNTIFS(tData[SEHTrajectPeriodeDatumTijdVan],"&lt;="&amp;($A135+22/24),tData[SEHTrajectPeriodeDatumTijdTotEnMet],"&gt;"&amp;($A135+22/24))</f>
        <v/>
      </c>
      <c r="AA135" s="20">
        <f>COUNTIFS(tData[SEHTrajectPeriodeDatumTijdVan],"&lt;="&amp;($A135+23/24),tData[SEHTrajectPeriodeDatumTijdTotEnMet],"&gt;"&amp;($A135+23/24))</f>
        <v/>
      </c>
    </row>
    <row r="136">
      <c r="A136" s="19" t="n">
        <v>45424</v>
      </c>
      <c r="B136" s="15">
        <f>WEEKDAY($A136,2)</f>
        <v/>
      </c>
      <c r="C136" s="15">
        <f>IF(AND($A136&gt;=INT(Instellingen!$B$5),$A136&lt;=INT(Instellingen!$B$6)),1,0)</f>
        <v/>
      </c>
      <c r="D136" s="20">
        <f>COUNTIFS(tData[SEHTrajectPeriodeDatumTijdVan],"&lt;="&amp;($A136+0/24),tData[SEHTrajectPeriodeDatumTijdTotEnMet],"&gt;"&amp;($A136+0/24))</f>
        <v/>
      </c>
      <c r="E136" s="20">
        <f>COUNTIFS(tData[SEHTrajectPeriodeDatumTijdVan],"&lt;="&amp;($A136+1/24),tData[SEHTrajectPeriodeDatumTijdTotEnMet],"&gt;"&amp;($A136+1/24))</f>
        <v/>
      </c>
      <c r="F136" s="20">
        <f>COUNTIFS(tData[SEHTrajectPeriodeDatumTijdVan],"&lt;="&amp;($A136+2/24),tData[SEHTrajectPeriodeDatumTijdTotEnMet],"&gt;"&amp;($A136+2/24))</f>
        <v/>
      </c>
      <c r="G136" s="20">
        <f>COUNTIFS(tData[SEHTrajectPeriodeDatumTijdVan],"&lt;="&amp;($A136+3/24),tData[SEHTrajectPeriodeDatumTijdTotEnMet],"&gt;"&amp;($A136+3/24))</f>
        <v/>
      </c>
      <c r="H136" s="20">
        <f>COUNTIFS(tData[SEHTrajectPeriodeDatumTijdVan],"&lt;="&amp;($A136+4/24),tData[SEHTrajectPeriodeDatumTijdTotEnMet],"&gt;"&amp;($A136+4/24))</f>
        <v/>
      </c>
      <c r="I136" s="20">
        <f>COUNTIFS(tData[SEHTrajectPeriodeDatumTijdVan],"&lt;="&amp;($A136+5/24),tData[SEHTrajectPeriodeDatumTijdTotEnMet],"&gt;"&amp;($A136+5/24))</f>
        <v/>
      </c>
      <c r="J136" s="20">
        <f>COUNTIFS(tData[SEHTrajectPeriodeDatumTijdVan],"&lt;="&amp;($A136+6/24),tData[SEHTrajectPeriodeDatumTijdTotEnMet],"&gt;"&amp;($A136+6/24))</f>
        <v/>
      </c>
      <c r="K136" s="20">
        <f>COUNTIFS(tData[SEHTrajectPeriodeDatumTijdVan],"&lt;="&amp;($A136+7/24),tData[SEHTrajectPeriodeDatumTijdTotEnMet],"&gt;"&amp;($A136+7/24))</f>
        <v/>
      </c>
      <c r="L136" s="20">
        <f>COUNTIFS(tData[SEHTrajectPeriodeDatumTijdVan],"&lt;="&amp;($A136+8/24),tData[SEHTrajectPeriodeDatumTijdTotEnMet],"&gt;"&amp;($A136+8/24))</f>
        <v/>
      </c>
      <c r="M136" s="20">
        <f>COUNTIFS(tData[SEHTrajectPeriodeDatumTijdVan],"&lt;="&amp;($A136+9/24),tData[SEHTrajectPeriodeDatumTijdTotEnMet],"&gt;"&amp;($A136+9/24))</f>
        <v/>
      </c>
      <c r="N136" s="20">
        <f>COUNTIFS(tData[SEHTrajectPeriodeDatumTijdVan],"&lt;="&amp;($A136+10/24),tData[SEHTrajectPeriodeDatumTijdTotEnMet],"&gt;"&amp;($A136+10/24))</f>
        <v/>
      </c>
      <c r="O136" s="20">
        <f>COUNTIFS(tData[SEHTrajectPeriodeDatumTijdVan],"&lt;="&amp;($A136+11/24),tData[SEHTrajectPeriodeDatumTijdTotEnMet],"&gt;"&amp;($A136+11/24))</f>
        <v/>
      </c>
      <c r="P136" s="20">
        <f>COUNTIFS(tData[SEHTrajectPeriodeDatumTijdVan],"&lt;="&amp;($A136+12/24),tData[SEHTrajectPeriodeDatumTijdTotEnMet],"&gt;"&amp;($A136+12/24))</f>
        <v/>
      </c>
      <c r="Q136" s="20">
        <f>COUNTIFS(tData[SEHTrajectPeriodeDatumTijdVan],"&lt;="&amp;($A136+13/24),tData[SEHTrajectPeriodeDatumTijdTotEnMet],"&gt;"&amp;($A136+13/24))</f>
        <v/>
      </c>
      <c r="R136" s="20">
        <f>COUNTIFS(tData[SEHTrajectPeriodeDatumTijdVan],"&lt;="&amp;($A136+14/24),tData[SEHTrajectPeriodeDatumTijdTotEnMet],"&gt;"&amp;($A136+14/24))</f>
        <v/>
      </c>
      <c r="S136" s="20">
        <f>COUNTIFS(tData[SEHTrajectPeriodeDatumTijdVan],"&lt;="&amp;($A136+15/24),tData[SEHTrajectPeriodeDatumTijdTotEnMet],"&gt;"&amp;($A136+15/24))</f>
        <v/>
      </c>
      <c r="T136" s="20">
        <f>COUNTIFS(tData[SEHTrajectPeriodeDatumTijdVan],"&lt;="&amp;($A136+16/24),tData[SEHTrajectPeriodeDatumTijdTotEnMet],"&gt;"&amp;($A136+16/24))</f>
        <v/>
      </c>
      <c r="U136" s="20">
        <f>COUNTIFS(tData[SEHTrajectPeriodeDatumTijdVan],"&lt;="&amp;($A136+17/24),tData[SEHTrajectPeriodeDatumTijdTotEnMet],"&gt;"&amp;($A136+17/24))</f>
        <v/>
      </c>
      <c r="V136" s="20">
        <f>COUNTIFS(tData[SEHTrajectPeriodeDatumTijdVan],"&lt;="&amp;($A136+18/24),tData[SEHTrajectPeriodeDatumTijdTotEnMet],"&gt;"&amp;($A136+18/24))</f>
        <v/>
      </c>
      <c r="W136" s="20">
        <f>COUNTIFS(tData[SEHTrajectPeriodeDatumTijdVan],"&lt;="&amp;($A136+19/24),tData[SEHTrajectPeriodeDatumTijdTotEnMet],"&gt;"&amp;($A136+19/24))</f>
        <v/>
      </c>
      <c r="X136" s="20">
        <f>COUNTIFS(tData[SEHTrajectPeriodeDatumTijdVan],"&lt;="&amp;($A136+20/24),tData[SEHTrajectPeriodeDatumTijdTotEnMet],"&gt;"&amp;($A136+20/24))</f>
        <v/>
      </c>
      <c r="Y136" s="20">
        <f>COUNTIFS(tData[SEHTrajectPeriodeDatumTijdVan],"&lt;="&amp;($A136+21/24),tData[SEHTrajectPeriodeDatumTijdTotEnMet],"&gt;"&amp;($A136+21/24))</f>
        <v/>
      </c>
      <c r="Z136" s="20">
        <f>COUNTIFS(tData[SEHTrajectPeriodeDatumTijdVan],"&lt;="&amp;($A136+22/24),tData[SEHTrajectPeriodeDatumTijdTotEnMet],"&gt;"&amp;($A136+22/24))</f>
        <v/>
      </c>
      <c r="AA136" s="20">
        <f>COUNTIFS(tData[SEHTrajectPeriodeDatumTijdVan],"&lt;="&amp;($A136+23/24),tData[SEHTrajectPeriodeDatumTijdTotEnMet],"&gt;"&amp;($A136+23/24))</f>
        <v/>
      </c>
    </row>
    <row r="137">
      <c r="A137" s="19" t="n">
        <v>45425</v>
      </c>
      <c r="B137" s="15">
        <f>WEEKDAY($A137,2)</f>
        <v/>
      </c>
      <c r="C137" s="15">
        <f>IF(AND($A137&gt;=INT(Instellingen!$B$5),$A137&lt;=INT(Instellingen!$B$6)),1,0)</f>
        <v/>
      </c>
      <c r="D137" s="20">
        <f>COUNTIFS(tData[SEHTrajectPeriodeDatumTijdVan],"&lt;="&amp;($A137+0/24),tData[SEHTrajectPeriodeDatumTijdTotEnMet],"&gt;"&amp;($A137+0/24))</f>
        <v/>
      </c>
      <c r="E137" s="20">
        <f>COUNTIFS(tData[SEHTrajectPeriodeDatumTijdVan],"&lt;="&amp;($A137+1/24),tData[SEHTrajectPeriodeDatumTijdTotEnMet],"&gt;"&amp;($A137+1/24))</f>
        <v/>
      </c>
      <c r="F137" s="20">
        <f>COUNTIFS(tData[SEHTrajectPeriodeDatumTijdVan],"&lt;="&amp;($A137+2/24),tData[SEHTrajectPeriodeDatumTijdTotEnMet],"&gt;"&amp;($A137+2/24))</f>
        <v/>
      </c>
      <c r="G137" s="20">
        <f>COUNTIFS(tData[SEHTrajectPeriodeDatumTijdVan],"&lt;="&amp;($A137+3/24),tData[SEHTrajectPeriodeDatumTijdTotEnMet],"&gt;"&amp;($A137+3/24))</f>
        <v/>
      </c>
      <c r="H137" s="20">
        <f>COUNTIFS(tData[SEHTrajectPeriodeDatumTijdVan],"&lt;="&amp;($A137+4/24),tData[SEHTrajectPeriodeDatumTijdTotEnMet],"&gt;"&amp;($A137+4/24))</f>
        <v/>
      </c>
      <c r="I137" s="20">
        <f>COUNTIFS(tData[SEHTrajectPeriodeDatumTijdVan],"&lt;="&amp;($A137+5/24),tData[SEHTrajectPeriodeDatumTijdTotEnMet],"&gt;"&amp;($A137+5/24))</f>
        <v/>
      </c>
      <c r="J137" s="20">
        <f>COUNTIFS(tData[SEHTrajectPeriodeDatumTijdVan],"&lt;="&amp;($A137+6/24),tData[SEHTrajectPeriodeDatumTijdTotEnMet],"&gt;"&amp;($A137+6/24))</f>
        <v/>
      </c>
      <c r="K137" s="20">
        <f>COUNTIFS(tData[SEHTrajectPeriodeDatumTijdVan],"&lt;="&amp;($A137+7/24),tData[SEHTrajectPeriodeDatumTijdTotEnMet],"&gt;"&amp;($A137+7/24))</f>
        <v/>
      </c>
      <c r="L137" s="20">
        <f>COUNTIFS(tData[SEHTrajectPeriodeDatumTijdVan],"&lt;="&amp;($A137+8/24),tData[SEHTrajectPeriodeDatumTijdTotEnMet],"&gt;"&amp;($A137+8/24))</f>
        <v/>
      </c>
      <c r="M137" s="20">
        <f>COUNTIFS(tData[SEHTrajectPeriodeDatumTijdVan],"&lt;="&amp;($A137+9/24),tData[SEHTrajectPeriodeDatumTijdTotEnMet],"&gt;"&amp;($A137+9/24))</f>
        <v/>
      </c>
      <c r="N137" s="20">
        <f>COUNTIFS(tData[SEHTrajectPeriodeDatumTijdVan],"&lt;="&amp;($A137+10/24),tData[SEHTrajectPeriodeDatumTijdTotEnMet],"&gt;"&amp;($A137+10/24))</f>
        <v/>
      </c>
      <c r="O137" s="20">
        <f>COUNTIFS(tData[SEHTrajectPeriodeDatumTijdVan],"&lt;="&amp;($A137+11/24),tData[SEHTrajectPeriodeDatumTijdTotEnMet],"&gt;"&amp;($A137+11/24))</f>
        <v/>
      </c>
      <c r="P137" s="20">
        <f>COUNTIFS(tData[SEHTrajectPeriodeDatumTijdVan],"&lt;="&amp;($A137+12/24),tData[SEHTrajectPeriodeDatumTijdTotEnMet],"&gt;"&amp;($A137+12/24))</f>
        <v/>
      </c>
      <c r="Q137" s="20">
        <f>COUNTIFS(tData[SEHTrajectPeriodeDatumTijdVan],"&lt;="&amp;($A137+13/24),tData[SEHTrajectPeriodeDatumTijdTotEnMet],"&gt;"&amp;($A137+13/24))</f>
        <v/>
      </c>
      <c r="R137" s="20">
        <f>COUNTIFS(tData[SEHTrajectPeriodeDatumTijdVan],"&lt;="&amp;($A137+14/24),tData[SEHTrajectPeriodeDatumTijdTotEnMet],"&gt;"&amp;($A137+14/24))</f>
        <v/>
      </c>
      <c r="S137" s="20">
        <f>COUNTIFS(tData[SEHTrajectPeriodeDatumTijdVan],"&lt;="&amp;($A137+15/24),tData[SEHTrajectPeriodeDatumTijdTotEnMet],"&gt;"&amp;($A137+15/24))</f>
        <v/>
      </c>
      <c r="T137" s="20">
        <f>COUNTIFS(tData[SEHTrajectPeriodeDatumTijdVan],"&lt;="&amp;($A137+16/24),tData[SEHTrajectPeriodeDatumTijdTotEnMet],"&gt;"&amp;($A137+16/24))</f>
        <v/>
      </c>
      <c r="U137" s="20">
        <f>COUNTIFS(tData[SEHTrajectPeriodeDatumTijdVan],"&lt;="&amp;($A137+17/24),tData[SEHTrajectPeriodeDatumTijdTotEnMet],"&gt;"&amp;($A137+17/24))</f>
        <v/>
      </c>
      <c r="V137" s="20">
        <f>COUNTIFS(tData[SEHTrajectPeriodeDatumTijdVan],"&lt;="&amp;($A137+18/24),tData[SEHTrajectPeriodeDatumTijdTotEnMet],"&gt;"&amp;($A137+18/24))</f>
        <v/>
      </c>
      <c r="W137" s="20">
        <f>COUNTIFS(tData[SEHTrajectPeriodeDatumTijdVan],"&lt;="&amp;($A137+19/24),tData[SEHTrajectPeriodeDatumTijdTotEnMet],"&gt;"&amp;($A137+19/24))</f>
        <v/>
      </c>
      <c r="X137" s="20">
        <f>COUNTIFS(tData[SEHTrajectPeriodeDatumTijdVan],"&lt;="&amp;($A137+20/24),tData[SEHTrajectPeriodeDatumTijdTotEnMet],"&gt;"&amp;($A137+20/24))</f>
        <v/>
      </c>
      <c r="Y137" s="20">
        <f>COUNTIFS(tData[SEHTrajectPeriodeDatumTijdVan],"&lt;="&amp;($A137+21/24),tData[SEHTrajectPeriodeDatumTijdTotEnMet],"&gt;"&amp;($A137+21/24))</f>
        <v/>
      </c>
      <c r="Z137" s="20">
        <f>COUNTIFS(tData[SEHTrajectPeriodeDatumTijdVan],"&lt;="&amp;($A137+22/24),tData[SEHTrajectPeriodeDatumTijdTotEnMet],"&gt;"&amp;($A137+22/24))</f>
        <v/>
      </c>
      <c r="AA137" s="20">
        <f>COUNTIFS(tData[SEHTrajectPeriodeDatumTijdVan],"&lt;="&amp;($A137+23/24),tData[SEHTrajectPeriodeDatumTijdTotEnMet],"&gt;"&amp;($A137+23/24))</f>
        <v/>
      </c>
    </row>
    <row r="138">
      <c r="A138" s="19" t="n">
        <v>45426</v>
      </c>
      <c r="B138" s="15">
        <f>WEEKDAY($A138,2)</f>
        <v/>
      </c>
      <c r="C138" s="15">
        <f>IF(AND($A138&gt;=INT(Instellingen!$B$5),$A138&lt;=INT(Instellingen!$B$6)),1,0)</f>
        <v/>
      </c>
      <c r="D138" s="20">
        <f>COUNTIFS(tData[SEHTrajectPeriodeDatumTijdVan],"&lt;="&amp;($A138+0/24),tData[SEHTrajectPeriodeDatumTijdTotEnMet],"&gt;"&amp;($A138+0/24))</f>
        <v/>
      </c>
      <c r="E138" s="20">
        <f>COUNTIFS(tData[SEHTrajectPeriodeDatumTijdVan],"&lt;="&amp;($A138+1/24),tData[SEHTrajectPeriodeDatumTijdTotEnMet],"&gt;"&amp;($A138+1/24))</f>
        <v/>
      </c>
      <c r="F138" s="20">
        <f>COUNTIFS(tData[SEHTrajectPeriodeDatumTijdVan],"&lt;="&amp;($A138+2/24),tData[SEHTrajectPeriodeDatumTijdTotEnMet],"&gt;"&amp;($A138+2/24))</f>
        <v/>
      </c>
      <c r="G138" s="20">
        <f>COUNTIFS(tData[SEHTrajectPeriodeDatumTijdVan],"&lt;="&amp;($A138+3/24),tData[SEHTrajectPeriodeDatumTijdTotEnMet],"&gt;"&amp;($A138+3/24))</f>
        <v/>
      </c>
      <c r="H138" s="20">
        <f>COUNTIFS(tData[SEHTrajectPeriodeDatumTijdVan],"&lt;="&amp;($A138+4/24),tData[SEHTrajectPeriodeDatumTijdTotEnMet],"&gt;"&amp;($A138+4/24))</f>
        <v/>
      </c>
      <c r="I138" s="20">
        <f>COUNTIFS(tData[SEHTrajectPeriodeDatumTijdVan],"&lt;="&amp;($A138+5/24),tData[SEHTrajectPeriodeDatumTijdTotEnMet],"&gt;"&amp;($A138+5/24))</f>
        <v/>
      </c>
      <c r="J138" s="20">
        <f>COUNTIFS(tData[SEHTrajectPeriodeDatumTijdVan],"&lt;="&amp;($A138+6/24),tData[SEHTrajectPeriodeDatumTijdTotEnMet],"&gt;"&amp;($A138+6/24))</f>
        <v/>
      </c>
      <c r="K138" s="20">
        <f>COUNTIFS(tData[SEHTrajectPeriodeDatumTijdVan],"&lt;="&amp;($A138+7/24),tData[SEHTrajectPeriodeDatumTijdTotEnMet],"&gt;"&amp;($A138+7/24))</f>
        <v/>
      </c>
      <c r="L138" s="20">
        <f>COUNTIFS(tData[SEHTrajectPeriodeDatumTijdVan],"&lt;="&amp;($A138+8/24),tData[SEHTrajectPeriodeDatumTijdTotEnMet],"&gt;"&amp;($A138+8/24))</f>
        <v/>
      </c>
      <c r="M138" s="20">
        <f>COUNTIFS(tData[SEHTrajectPeriodeDatumTijdVan],"&lt;="&amp;($A138+9/24),tData[SEHTrajectPeriodeDatumTijdTotEnMet],"&gt;"&amp;($A138+9/24))</f>
        <v/>
      </c>
      <c r="N138" s="20">
        <f>COUNTIFS(tData[SEHTrajectPeriodeDatumTijdVan],"&lt;="&amp;($A138+10/24),tData[SEHTrajectPeriodeDatumTijdTotEnMet],"&gt;"&amp;($A138+10/24))</f>
        <v/>
      </c>
      <c r="O138" s="20">
        <f>COUNTIFS(tData[SEHTrajectPeriodeDatumTijdVan],"&lt;="&amp;($A138+11/24),tData[SEHTrajectPeriodeDatumTijdTotEnMet],"&gt;"&amp;($A138+11/24))</f>
        <v/>
      </c>
      <c r="P138" s="20">
        <f>COUNTIFS(tData[SEHTrajectPeriodeDatumTijdVan],"&lt;="&amp;($A138+12/24),tData[SEHTrajectPeriodeDatumTijdTotEnMet],"&gt;"&amp;($A138+12/24))</f>
        <v/>
      </c>
      <c r="Q138" s="20">
        <f>COUNTIFS(tData[SEHTrajectPeriodeDatumTijdVan],"&lt;="&amp;($A138+13/24),tData[SEHTrajectPeriodeDatumTijdTotEnMet],"&gt;"&amp;($A138+13/24))</f>
        <v/>
      </c>
      <c r="R138" s="20">
        <f>COUNTIFS(tData[SEHTrajectPeriodeDatumTijdVan],"&lt;="&amp;($A138+14/24),tData[SEHTrajectPeriodeDatumTijdTotEnMet],"&gt;"&amp;($A138+14/24))</f>
        <v/>
      </c>
      <c r="S138" s="20">
        <f>COUNTIFS(tData[SEHTrajectPeriodeDatumTijdVan],"&lt;="&amp;($A138+15/24),tData[SEHTrajectPeriodeDatumTijdTotEnMet],"&gt;"&amp;($A138+15/24))</f>
        <v/>
      </c>
      <c r="T138" s="20">
        <f>COUNTIFS(tData[SEHTrajectPeriodeDatumTijdVan],"&lt;="&amp;($A138+16/24),tData[SEHTrajectPeriodeDatumTijdTotEnMet],"&gt;"&amp;($A138+16/24))</f>
        <v/>
      </c>
      <c r="U138" s="20">
        <f>COUNTIFS(tData[SEHTrajectPeriodeDatumTijdVan],"&lt;="&amp;($A138+17/24),tData[SEHTrajectPeriodeDatumTijdTotEnMet],"&gt;"&amp;($A138+17/24))</f>
        <v/>
      </c>
      <c r="V138" s="20">
        <f>COUNTIFS(tData[SEHTrajectPeriodeDatumTijdVan],"&lt;="&amp;($A138+18/24),tData[SEHTrajectPeriodeDatumTijdTotEnMet],"&gt;"&amp;($A138+18/24))</f>
        <v/>
      </c>
      <c r="W138" s="20">
        <f>COUNTIFS(tData[SEHTrajectPeriodeDatumTijdVan],"&lt;="&amp;($A138+19/24),tData[SEHTrajectPeriodeDatumTijdTotEnMet],"&gt;"&amp;($A138+19/24))</f>
        <v/>
      </c>
      <c r="X138" s="20">
        <f>COUNTIFS(tData[SEHTrajectPeriodeDatumTijdVan],"&lt;="&amp;($A138+20/24),tData[SEHTrajectPeriodeDatumTijdTotEnMet],"&gt;"&amp;($A138+20/24))</f>
        <v/>
      </c>
      <c r="Y138" s="20">
        <f>COUNTIFS(tData[SEHTrajectPeriodeDatumTijdVan],"&lt;="&amp;($A138+21/24),tData[SEHTrajectPeriodeDatumTijdTotEnMet],"&gt;"&amp;($A138+21/24))</f>
        <v/>
      </c>
      <c r="Z138" s="20">
        <f>COUNTIFS(tData[SEHTrajectPeriodeDatumTijdVan],"&lt;="&amp;($A138+22/24),tData[SEHTrajectPeriodeDatumTijdTotEnMet],"&gt;"&amp;($A138+22/24))</f>
        <v/>
      </c>
      <c r="AA138" s="20">
        <f>COUNTIFS(tData[SEHTrajectPeriodeDatumTijdVan],"&lt;="&amp;($A138+23/24),tData[SEHTrajectPeriodeDatumTijdTotEnMet],"&gt;"&amp;($A138+23/24))</f>
        <v/>
      </c>
    </row>
    <row r="139">
      <c r="A139" s="19" t="n">
        <v>45427</v>
      </c>
      <c r="B139" s="15">
        <f>WEEKDAY($A139,2)</f>
        <v/>
      </c>
      <c r="C139" s="15">
        <f>IF(AND($A139&gt;=INT(Instellingen!$B$5),$A139&lt;=INT(Instellingen!$B$6)),1,0)</f>
        <v/>
      </c>
      <c r="D139" s="20">
        <f>COUNTIFS(tData[SEHTrajectPeriodeDatumTijdVan],"&lt;="&amp;($A139+0/24),tData[SEHTrajectPeriodeDatumTijdTotEnMet],"&gt;"&amp;($A139+0/24))</f>
        <v/>
      </c>
      <c r="E139" s="20">
        <f>COUNTIFS(tData[SEHTrajectPeriodeDatumTijdVan],"&lt;="&amp;($A139+1/24),tData[SEHTrajectPeriodeDatumTijdTotEnMet],"&gt;"&amp;($A139+1/24))</f>
        <v/>
      </c>
      <c r="F139" s="20">
        <f>COUNTIFS(tData[SEHTrajectPeriodeDatumTijdVan],"&lt;="&amp;($A139+2/24),tData[SEHTrajectPeriodeDatumTijdTotEnMet],"&gt;"&amp;($A139+2/24))</f>
        <v/>
      </c>
      <c r="G139" s="20">
        <f>COUNTIFS(tData[SEHTrajectPeriodeDatumTijdVan],"&lt;="&amp;($A139+3/24),tData[SEHTrajectPeriodeDatumTijdTotEnMet],"&gt;"&amp;($A139+3/24))</f>
        <v/>
      </c>
      <c r="H139" s="20">
        <f>COUNTIFS(tData[SEHTrajectPeriodeDatumTijdVan],"&lt;="&amp;($A139+4/24),tData[SEHTrajectPeriodeDatumTijdTotEnMet],"&gt;"&amp;($A139+4/24))</f>
        <v/>
      </c>
      <c r="I139" s="20">
        <f>COUNTIFS(tData[SEHTrajectPeriodeDatumTijdVan],"&lt;="&amp;($A139+5/24),tData[SEHTrajectPeriodeDatumTijdTotEnMet],"&gt;"&amp;($A139+5/24))</f>
        <v/>
      </c>
      <c r="J139" s="20">
        <f>COUNTIFS(tData[SEHTrajectPeriodeDatumTijdVan],"&lt;="&amp;($A139+6/24),tData[SEHTrajectPeriodeDatumTijdTotEnMet],"&gt;"&amp;($A139+6/24))</f>
        <v/>
      </c>
      <c r="K139" s="20">
        <f>COUNTIFS(tData[SEHTrajectPeriodeDatumTijdVan],"&lt;="&amp;($A139+7/24),tData[SEHTrajectPeriodeDatumTijdTotEnMet],"&gt;"&amp;($A139+7/24))</f>
        <v/>
      </c>
      <c r="L139" s="20">
        <f>COUNTIFS(tData[SEHTrajectPeriodeDatumTijdVan],"&lt;="&amp;($A139+8/24),tData[SEHTrajectPeriodeDatumTijdTotEnMet],"&gt;"&amp;($A139+8/24))</f>
        <v/>
      </c>
      <c r="M139" s="20">
        <f>COUNTIFS(tData[SEHTrajectPeriodeDatumTijdVan],"&lt;="&amp;($A139+9/24),tData[SEHTrajectPeriodeDatumTijdTotEnMet],"&gt;"&amp;($A139+9/24))</f>
        <v/>
      </c>
      <c r="N139" s="20">
        <f>COUNTIFS(tData[SEHTrajectPeriodeDatumTijdVan],"&lt;="&amp;($A139+10/24),tData[SEHTrajectPeriodeDatumTijdTotEnMet],"&gt;"&amp;($A139+10/24))</f>
        <v/>
      </c>
      <c r="O139" s="20">
        <f>COUNTIFS(tData[SEHTrajectPeriodeDatumTijdVan],"&lt;="&amp;($A139+11/24),tData[SEHTrajectPeriodeDatumTijdTotEnMet],"&gt;"&amp;($A139+11/24))</f>
        <v/>
      </c>
      <c r="P139" s="20">
        <f>COUNTIFS(tData[SEHTrajectPeriodeDatumTijdVan],"&lt;="&amp;($A139+12/24),tData[SEHTrajectPeriodeDatumTijdTotEnMet],"&gt;"&amp;($A139+12/24))</f>
        <v/>
      </c>
      <c r="Q139" s="20">
        <f>COUNTIFS(tData[SEHTrajectPeriodeDatumTijdVan],"&lt;="&amp;($A139+13/24),tData[SEHTrajectPeriodeDatumTijdTotEnMet],"&gt;"&amp;($A139+13/24))</f>
        <v/>
      </c>
      <c r="R139" s="20">
        <f>COUNTIFS(tData[SEHTrajectPeriodeDatumTijdVan],"&lt;="&amp;($A139+14/24),tData[SEHTrajectPeriodeDatumTijdTotEnMet],"&gt;"&amp;($A139+14/24))</f>
        <v/>
      </c>
      <c r="S139" s="20">
        <f>COUNTIFS(tData[SEHTrajectPeriodeDatumTijdVan],"&lt;="&amp;($A139+15/24),tData[SEHTrajectPeriodeDatumTijdTotEnMet],"&gt;"&amp;($A139+15/24))</f>
        <v/>
      </c>
      <c r="T139" s="20">
        <f>COUNTIFS(tData[SEHTrajectPeriodeDatumTijdVan],"&lt;="&amp;($A139+16/24),tData[SEHTrajectPeriodeDatumTijdTotEnMet],"&gt;"&amp;($A139+16/24))</f>
        <v/>
      </c>
      <c r="U139" s="20">
        <f>COUNTIFS(tData[SEHTrajectPeriodeDatumTijdVan],"&lt;="&amp;($A139+17/24),tData[SEHTrajectPeriodeDatumTijdTotEnMet],"&gt;"&amp;($A139+17/24))</f>
        <v/>
      </c>
      <c r="V139" s="20">
        <f>COUNTIFS(tData[SEHTrajectPeriodeDatumTijdVan],"&lt;="&amp;($A139+18/24),tData[SEHTrajectPeriodeDatumTijdTotEnMet],"&gt;"&amp;($A139+18/24))</f>
        <v/>
      </c>
      <c r="W139" s="20">
        <f>COUNTIFS(tData[SEHTrajectPeriodeDatumTijdVan],"&lt;="&amp;($A139+19/24),tData[SEHTrajectPeriodeDatumTijdTotEnMet],"&gt;"&amp;($A139+19/24))</f>
        <v/>
      </c>
      <c r="X139" s="20">
        <f>COUNTIFS(tData[SEHTrajectPeriodeDatumTijdVan],"&lt;="&amp;($A139+20/24),tData[SEHTrajectPeriodeDatumTijdTotEnMet],"&gt;"&amp;($A139+20/24))</f>
        <v/>
      </c>
      <c r="Y139" s="20">
        <f>COUNTIFS(tData[SEHTrajectPeriodeDatumTijdVan],"&lt;="&amp;($A139+21/24),tData[SEHTrajectPeriodeDatumTijdTotEnMet],"&gt;"&amp;($A139+21/24))</f>
        <v/>
      </c>
      <c r="Z139" s="20">
        <f>COUNTIFS(tData[SEHTrajectPeriodeDatumTijdVan],"&lt;="&amp;($A139+22/24),tData[SEHTrajectPeriodeDatumTijdTotEnMet],"&gt;"&amp;($A139+22/24))</f>
        <v/>
      </c>
      <c r="AA139" s="20">
        <f>COUNTIFS(tData[SEHTrajectPeriodeDatumTijdVan],"&lt;="&amp;($A139+23/24),tData[SEHTrajectPeriodeDatumTijdTotEnMet],"&gt;"&amp;($A139+23/24))</f>
        <v/>
      </c>
    </row>
    <row r="140">
      <c r="A140" s="19" t="n">
        <v>45428</v>
      </c>
      <c r="B140" s="15">
        <f>WEEKDAY($A140,2)</f>
        <v/>
      </c>
      <c r="C140" s="15">
        <f>IF(AND($A140&gt;=INT(Instellingen!$B$5),$A140&lt;=INT(Instellingen!$B$6)),1,0)</f>
        <v/>
      </c>
      <c r="D140" s="20">
        <f>COUNTIFS(tData[SEHTrajectPeriodeDatumTijdVan],"&lt;="&amp;($A140+0/24),tData[SEHTrajectPeriodeDatumTijdTotEnMet],"&gt;"&amp;($A140+0/24))</f>
        <v/>
      </c>
      <c r="E140" s="20">
        <f>COUNTIFS(tData[SEHTrajectPeriodeDatumTijdVan],"&lt;="&amp;($A140+1/24),tData[SEHTrajectPeriodeDatumTijdTotEnMet],"&gt;"&amp;($A140+1/24))</f>
        <v/>
      </c>
      <c r="F140" s="20">
        <f>COUNTIFS(tData[SEHTrajectPeriodeDatumTijdVan],"&lt;="&amp;($A140+2/24),tData[SEHTrajectPeriodeDatumTijdTotEnMet],"&gt;"&amp;($A140+2/24))</f>
        <v/>
      </c>
      <c r="G140" s="20">
        <f>COUNTIFS(tData[SEHTrajectPeriodeDatumTijdVan],"&lt;="&amp;($A140+3/24),tData[SEHTrajectPeriodeDatumTijdTotEnMet],"&gt;"&amp;($A140+3/24))</f>
        <v/>
      </c>
      <c r="H140" s="20">
        <f>COUNTIFS(tData[SEHTrajectPeriodeDatumTijdVan],"&lt;="&amp;($A140+4/24),tData[SEHTrajectPeriodeDatumTijdTotEnMet],"&gt;"&amp;($A140+4/24))</f>
        <v/>
      </c>
      <c r="I140" s="20">
        <f>COUNTIFS(tData[SEHTrajectPeriodeDatumTijdVan],"&lt;="&amp;($A140+5/24),tData[SEHTrajectPeriodeDatumTijdTotEnMet],"&gt;"&amp;($A140+5/24))</f>
        <v/>
      </c>
      <c r="J140" s="20">
        <f>COUNTIFS(tData[SEHTrajectPeriodeDatumTijdVan],"&lt;="&amp;($A140+6/24),tData[SEHTrajectPeriodeDatumTijdTotEnMet],"&gt;"&amp;($A140+6/24))</f>
        <v/>
      </c>
      <c r="K140" s="20">
        <f>COUNTIFS(tData[SEHTrajectPeriodeDatumTijdVan],"&lt;="&amp;($A140+7/24),tData[SEHTrajectPeriodeDatumTijdTotEnMet],"&gt;"&amp;($A140+7/24))</f>
        <v/>
      </c>
      <c r="L140" s="20">
        <f>COUNTIFS(tData[SEHTrajectPeriodeDatumTijdVan],"&lt;="&amp;($A140+8/24),tData[SEHTrajectPeriodeDatumTijdTotEnMet],"&gt;"&amp;($A140+8/24))</f>
        <v/>
      </c>
      <c r="M140" s="20">
        <f>COUNTIFS(tData[SEHTrajectPeriodeDatumTijdVan],"&lt;="&amp;($A140+9/24),tData[SEHTrajectPeriodeDatumTijdTotEnMet],"&gt;"&amp;($A140+9/24))</f>
        <v/>
      </c>
      <c r="N140" s="20">
        <f>COUNTIFS(tData[SEHTrajectPeriodeDatumTijdVan],"&lt;="&amp;($A140+10/24),tData[SEHTrajectPeriodeDatumTijdTotEnMet],"&gt;"&amp;($A140+10/24))</f>
        <v/>
      </c>
      <c r="O140" s="20">
        <f>COUNTIFS(tData[SEHTrajectPeriodeDatumTijdVan],"&lt;="&amp;($A140+11/24),tData[SEHTrajectPeriodeDatumTijdTotEnMet],"&gt;"&amp;($A140+11/24))</f>
        <v/>
      </c>
      <c r="P140" s="20">
        <f>COUNTIFS(tData[SEHTrajectPeriodeDatumTijdVan],"&lt;="&amp;($A140+12/24),tData[SEHTrajectPeriodeDatumTijdTotEnMet],"&gt;"&amp;($A140+12/24))</f>
        <v/>
      </c>
      <c r="Q140" s="20">
        <f>COUNTIFS(tData[SEHTrajectPeriodeDatumTijdVan],"&lt;="&amp;($A140+13/24),tData[SEHTrajectPeriodeDatumTijdTotEnMet],"&gt;"&amp;($A140+13/24))</f>
        <v/>
      </c>
      <c r="R140" s="20">
        <f>COUNTIFS(tData[SEHTrajectPeriodeDatumTijdVan],"&lt;="&amp;($A140+14/24),tData[SEHTrajectPeriodeDatumTijdTotEnMet],"&gt;"&amp;($A140+14/24))</f>
        <v/>
      </c>
      <c r="S140" s="20">
        <f>COUNTIFS(tData[SEHTrajectPeriodeDatumTijdVan],"&lt;="&amp;($A140+15/24),tData[SEHTrajectPeriodeDatumTijdTotEnMet],"&gt;"&amp;($A140+15/24))</f>
        <v/>
      </c>
      <c r="T140" s="20">
        <f>COUNTIFS(tData[SEHTrajectPeriodeDatumTijdVan],"&lt;="&amp;($A140+16/24),tData[SEHTrajectPeriodeDatumTijdTotEnMet],"&gt;"&amp;($A140+16/24))</f>
        <v/>
      </c>
      <c r="U140" s="20">
        <f>COUNTIFS(tData[SEHTrajectPeriodeDatumTijdVan],"&lt;="&amp;($A140+17/24),tData[SEHTrajectPeriodeDatumTijdTotEnMet],"&gt;"&amp;($A140+17/24))</f>
        <v/>
      </c>
      <c r="V140" s="20">
        <f>COUNTIFS(tData[SEHTrajectPeriodeDatumTijdVan],"&lt;="&amp;($A140+18/24),tData[SEHTrajectPeriodeDatumTijdTotEnMet],"&gt;"&amp;($A140+18/24))</f>
        <v/>
      </c>
      <c r="W140" s="20">
        <f>COUNTIFS(tData[SEHTrajectPeriodeDatumTijdVan],"&lt;="&amp;($A140+19/24),tData[SEHTrajectPeriodeDatumTijdTotEnMet],"&gt;"&amp;($A140+19/24))</f>
        <v/>
      </c>
      <c r="X140" s="20">
        <f>COUNTIFS(tData[SEHTrajectPeriodeDatumTijdVan],"&lt;="&amp;($A140+20/24),tData[SEHTrajectPeriodeDatumTijdTotEnMet],"&gt;"&amp;($A140+20/24))</f>
        <v/>
      </c>
      <c r="Y140" s="20">
        <f>COUNTIFS(tData[SEHTrajectPeriodeDatumTijdVan],"&lt;="&amp;($A140+21/24),tData[SEHTrajectPeriodeDatumTijdTotEnMet],"&gt;"&amp;($A140+21/24))</f>
        <v/>
      </c>
      <c r="Z140" s="20">
        <f>COUNTIFS(tData[SEHTrajectPeriodeDatumTijdVan],"&lt;="&amp;($A140+22/24),tData[SEHTrajectPeriodeDatumTijdTotEnMet],"&gt;"&amp;($A140+22/24))</f>
        <v/>
      </c>
      <c r="AA140" s="20">
        <f>COUNTIFS(tData[SEHTrajectPeriodeDatumTijdVan],"&lt;="&amp;($A140+23/24),tData[SEHTrajectPeriodeDatumTijdTotEnMet],"&gt;"&amp;($A140+23/24))</f>
        <v/>
      </c>
    </row>
    <row r="141">
      <c r="A141" s="19" t="n">
        <v>45429</v>
      </c>
      <c r="B141" s="15">
        <f>WEEKDAY($A141,2)</f>
        <v/>
      </c>
      <c r="C141" s="15">
        <f>IF(AND($A141&gt;=INT(Instellingen!$B$5),$A141&lt;=INT(Instellingen!$B$6)),1,0)</f>
        <v/>
      </c>
      <c r="D141" s="20">
        <f>COUNTIFS(tData[SEHTrajectPeriodeDatumTijdVan],"&lt;="&amp;($A141+0/24),tData[SEHTrajectPeriodeDatumTijdTotEnMet],"&gt;"&amp;($A141+0/24))</f>
        <v/>
      </c>
      <c r="E141" s="20">
        <f>COUNTIFS(tData[SEHTrajectPeriodeDatumTijdVan],"&lt;="&amp;($A141+1/24),tData[SEHTrajectPeriodeDatumTijdTotEnMet],"&gt;"&amp;($A141+1/24))</f>
        <v/>
      </c>
      <c r="F141" s="20">
        <f>COUNTIFS(tData[SEHTrajectPeriodeDatumTijdVan],"&lt;="&amp;($A141+2/24),tData[SEHTrajectPeriodeDatumTijdTotEnMet],"&gt;"&amp;($A141+2/24))</f>
        <v/>
      </c>
      <c r="G141" s="20">
        <f>COUNTIFS(tData[SEHTrajectPeriodeDatumTijdVan],"&lt;="&amp;($A141+3/24),tData[SEHTrajectPeriodeDatumTijdTotEnMet],"&gt;"&amp;($A141+3/24))</f>
        <v/>
      </c>
      <c r="H141" s="20">
        <f>COUNTIFS(tData[SEHTrajectPeriodeDatumTijdVan],"&lt;="&amp;($A141+4/24),tData[SEHTrajectPeriodeDatumTijdTotEnMet],"&gt;"&amp;($A141+4/24))</f>
        <v/>
      </c>
      <c r="I141" s="20">
        <f>COUNTIFS(tData[SEHTrajectPeriodeDatumTijdVan],"&lt;="&amp;($A141+5/24),tData[SEHTrajectPeriodeDatumTijdTotEnMet],"&gt;"&amp;($A141+5/24))</f>
        <v/>
      </c>
      <c r="J141" s="20">
        <f>COUNTIFS(tData[SEHTrajectPeriodeDatumTijdVan],"&lt;="&amp;($A141+6/24),tData[SEHTrajectPeriodeDatumTijdTotEnMet],"&gt;"&amp;($A141+6/24))</f>
        <v/>
      </c>
      <c r="K141" s="20">
        <f>COUNTIFS(tData[SEHTrajectPeriodeDatumTijdVan],"&lt;="&amp;($A141+7/24),tData[SEHTrajectPeriodeDatumTijdTotEnMet],"&gt;"&amp;($A141+7/24))</f>
        <v/>
      </c>
      <c r="L141" s="20">
        <f>COUNTIFS(tData[SEHTrajectPeriodeDatumTijdVan],"&lt;="&amp;($A141+8/24),tData[SEHTrajectPeriodeDatumTijdTotEnMet],"&gt;"&amp;($A141+8/24))</f>
        <v/>
      </c>
      <c r="M141" s="20">
        <f>COUNTIFS(tData[SEHTrajectPeriodeDatumTijdVan],"&lt;="&amp;($A141+9/24),tData[SEHTrajectPeriodeDatumTijdTotEnMet],"&gt;"&amp;($A141+9/24))</f>
        <v/>
      </c>
      <c r="N141" s="20">
        <f>COUNTIFS(tData[SEHTrajectPeriodeDatumTijdVan],"&lt;="&amp;($A141+10/24),tData[SEHTrajectPeriodeDatumTijdTotEnMet],"&gt;"&amp;($A141+10/24))</f>
        <v/>
      </c>
      <c r="O141" s="20">
        <f>COUNTIFS(tData[SEHTrajectPeriodeDatumTijdVan],"&lt;="&amp;($A141+11/24),tData[SEHTrajectPeriodeDatumTijdTotEnMet],"&gt;"&amp;($A141+11/24))</f>
        <v/>
      </c>
      <c r="P141" s="20">
        <f>COUNTIFS(tData[SEHTrajectPeriodeDatumTijdVan],"&lt;="&amp;($A141+12/24),tData[SEHTrajectPeriodeDatumTijdTotEnMet],"&gt;"&amp;($A141+12/24))</f>
        <v/>
      </c>
      <c r="Q141" s="20">
        <f>COUNTIFS(tData[SEHTrajectPeriodeDatumTijdVan],"&lt;="&amp;($A141+13/24),tData[SEHTrajectPeriodeDatumTijdTotEnMet],"&gt;"&amp;($A141+13/24))</f>
        <v/>
      </c>
      <c r="R141" s="20">
        <f>COUNTIFS(tData[SEHTrajectPeriodeDatumTijdVan],"&lt;="&amp;($A141+14/24),tData[SEHTrajectPeriodeDatumTijdTotEnMet],"&gt;"&amp;($A141+14/24))</f>
        <v/>
      </c>
      <c r="S141" s="20">
        <f>COUNTIFS(tData[SEHTrajectPeriodeDatumTijdVan],"&lt;="&amp;($A141+15/24),tData[SEHTrajectPeriodeDatumTijdTotEnMet],"&gt;"&amp;($A141+15/24))</f>
        <v/>
      </c>
      <c r="T141" s="20">
        <f>COUNTIFS(tData[SEHTrajectPeriodeDatumTijdVan],"&lt;="&amp;($A141+16/24),tData[SEHTrajectPeriodeDatumTijdTotEnMet],"&gt;"&amp;($A141+16/24))</f>
        <v/>
      </c>
      <c r="U141" s="20">
        <f>COUNTIFS(tData[SEHTrajectPeriodeDatumTijdVan],"&lt;="&amp;($A141+17/24),tData[SEHTrajectPeriodeDatumTijdTotEnMet],"&gt;"&amp;($A141+17/24))</f>
        <v/>
      </c>
      <c r="V141" s="20">
        <f>COUNTIFS(tData[SEHTrajectPeriodeDatumTijdVan],"&lt;="&amp;($A141+18/24),tData[SEHTrajectPeriodeDatumTijdTotEnMet],"&gt;"&amp;($A141+18/24))</f>
        <v/>
      </c>
      <c r="W141" s="20">
        <f>COUNTIFS(tData[SEHTrajectPeriodeDatumTijdVan],"&lt;="&amp;($A141+19/24),tData[SEHTrajectPeriodeDatumTijdTotEnMet],"&gt;"&amp;($A141+19/24))</f>
        <v/>
      </c>
      <c r="X141" s="20">
        <f>COUNTIFS(tData[SEHTrajectPeriodeDatumTijdVan],"&lt;="&amp;($A141+20/24),tData[SEHTrajectPeriodeDatumTijdTotEnMet],"&gt;"&amp;($A141+20/24))</f>
        <v/>
      </c>
      <c r="Y141" s="20">
        <f>COUNTIFS(tData[SEHTrajectPeriodeDatumTijdVan],"&lt;="&amp;($A141+21/24),tData[SEHTrajectPeriodeDatumTijdTotEnMet],"&gt;"&amp;($A141+21/24))</f>
        <v/>
      </c>
      <c r="Z141" s="20">
        <f>COUNTIFS(tData[SEHTrajectPeriodeDatumTijdVan],"&lt;="&amp;($A141+22/24),tData[SEHTrajectPeriodeDatumTijdTotEnMet],"&gt;"&amp;($A141+22/24))</f>
        <v/>
      </c>
      <c r="AA141" s="20">
        <f>COUNTIFS(tData[SEHTrajectPeriodeDatumTijdVan],"&lt;="&amp;($A141+23/24),tData[SEHTrajectPeriodeDatumTijdTotEnMet],"&gt;"&amp;($A141+23/24))</f>
        <v/>
      </c>
    </row>
    <row r="142">
      <c r="A142" s="19" t="n">
        <v>45430</v>
      </c>
      <c r="B142" s="15">
        <f>WEEKDAY($A142,2)</f>
        <v/>
      </c>
      <c r="C142" s="15">
        <f>IF(AND($A142&gt;=INT(Instellingen!$B$5),$A142&lt;=INT(Instellingen!$B$6)),1,0)</f>
        <v/>
      </c>
      <c r="D142" s="20">
        <f>COUNTIFS(tData[SEHTrajectPeriodeDatumTijdVan],"&lt;="&amp;($A142+0/24),tData[SEHTrajectPeriodeDatumTijdTotEnMet],"&gt;"&amp;($A142+0/24))</f>
        <v/>
      </c>
      <c r="E142" s="20">
        <f>COUNTIFS(tData[SEHTrajectPeriodeDatumTijdVan],"&lt;="&amp;($A142+1/24),tData[SEHTrajectPeriodeDatumTijdTotEnMet],"&gt;"&amp;($A142+1/24))</f>
        <v/>
      </c>
      <c r="F142" s="20">
        <f>COUNTIFS(tData[SEHTrajectPeriodeDatumTijdVan],"&lt;="&amp;($A142+2/24),tData[SEHTrajectPeriodeDatumTijdTotEnMet],"&gt;"&amp;($A142+2/24))</f>
        <v/>
      </c>
      <c r="G142" s="20">
        <f>COUNTIFS(tData[SEHTrajectPeriodeDatumTijdVan],"&lt;="&amp;($A142+3/24),tData[SEHTrajectPeriodeDatumTijdTotEnMet],"&gt;"&amp;($A142+3/24))</f>
        <v/>
      </c>
      <c r="H142" s="20">
        <f>COUNTIFS(tData[SEHTrajectPeriodeDatumTijdVan],"&lt;="&amp;($A142+4/24),tData[SEHTrajectPeriodeDatumTijdTotEnMet],"&gt;"&amp;($A142+4/24))</f>
        <v/>
      </c>
      <c r="I142" s="20">
        <f>COUNTIFS(tData[SEHTrajectPeriodeDatumTijdVan],"&lt;="&amp;($A142+5/24),tData[SEHTrajectPeriodeDatumTijdTotEnMet],"&gt;"&amp;($A142+5/24))</f>
        <v/>
      </c>
      <c r="J142" s="20">
        <f>COUNTIFS(tData[SEHTrajectPeriodeDatumTijdVan],"&lt;="&amp;($A142+6/24),tData[SEHTrajectPeriodeDatumTijdTotEnMet],"&gt;"&amp;($A142+6/24))</f>
        <v/>
      </c>
      <c r="K142" s="20">
        <f>COUNTIFS(tData[SEHTrajectPeriodeDatumTijdVan],"&lt;="&amp;($A142+7/24),tData[SEHTrajectPeriodeDatumTijdTotEnMet],"&gt;"&amp;($A142+7/24))</f>
        <v/>
      </c>
      <c r="L142" s="20">
        <f>COUNTIFS(tData[SEHTrajectPeriodeDatumTijdVan],"&lt;="&amp;($A142+8/24),tData[SEHTrajectPeriodeDatumTijdTotEnMet],"&gt;"&amp;($A142+8/24))</f>
        <v/>
      </c>
      <c r="M142" s="20">
        <f>COUNTIFS(tData[SEHTrajectPeriodeDatumTijdVan],"&lt;="&amp;($A142+9/24),tData[SEHTrajectPeriodeDatumTijdTotEnMet],"&gt;"&amp;($A142+9/24))</f>
        <v/>
      </c>
      <c r="N142" s="20">
        <f>COUNTIFS(tData[SEHTrajectPeriodeDatumTijdVan],"&lt;="&amp;($A142+10/24),tData[SEHTrajectPeriodeDatumTijdTotEnMet],"&gt;"&amp;($A142+10/24))</f>
        <v/>
      </c>
      <c r="O142" s="20">
        <f>COUNTIFS(tData[SEHTrajectPeriodeDatumTijdVan],"&lt;="&amp;($A142+11/24),tData[SEHTrajectPeriodeDatumTijdTotEnMet],"&gt;"&amp;($A142+11/24))</f>
        <v/>
      </c>
      <c r="P142" s="20">
        <f>COUNTIFS(tData[SEHTrajectPeriodeDatumTijdVan],"&lt;="&amp;($A142+12/24),tData[SEHTrajectPeriodeDatumTijdTotEnMet],"&gt;"&amp;($A142+12/24))</f>
        <v/>
      </c>
      <c r="Q142" s="20">
        <f>COUNTIFS(tData[SEHTrajectPeriodeDatumTijdVan],"&lt;="&amp;($A142+13/24),tData[SEHTrajectPeriodeDatumTijdTotEnMet],"&gt;"&amp;($A142+13/24))</f>
        <v/>
      </c>
      <c r="R142" s="20">
        <f>COUNTIFS(tData[SEHTrajectPeriodeDatumTijdVan],"&lt;="&amp;($A142+14/24),tData[SEHTrajectPeriodeDatumTijdTotEnMet],"&gt;"&amp;($A142+14/24))</f>
        <v/>
      </c>
      <c r="S142" s="20">
        <f>COUNTIFS(tData[SEHTrajectPeriodeDatumTijdVan],"&lt;="&amp;($A142+15/24),tData[SEHTrajectPeriodeDatumTijdTotEnMet],"&gt;"&amp;($A142+15/24))</f>
        <v/>
      </c>
      <c r="T142" s="20">
        <f>COUNTIFS(tData[SEHTrajectPeriodeDatumTijdVan],"&lt;="&amp;($A142+16/24),tData[SEHTrajectPeriodeDatumTijdTotEnMet],"&gt;"&amp;($A142+16/24))</f>
        <v/>
      </c>
      <c r="U142" s="20">
        <f>COUNTIFS(tData[SEHTrajectPeriodeDatumTijdVan],"&lt;="&amp;($A142+17/24),tData[SEHTrajectPeriodeDatumTijdTotEnMet],"&gt;"&amp;($A142+17/24))</f>
        <v/>
      </c>
      <c r="V142" s="20">
        <f>COUNTIFS(tData[SEHTrajectPeriodeDatumTijdVan],"&lt;="&amp;($A142+18/24),tData[SEHTrajectPeriodeDatumTijdTotEnMet],"&gt;"&amp;($A142+18/24))</f>
        <v/>
      </c>
      <c r="W142" s="20">
        <f>COUNTIFS(tData[SEHTrajectPeriodeDatumTijdVan],"&lt;="&amp;($A142+19/24),tData[SEHTrajectPeriodeDatumTijdTotEnMet],"&gt;"&amp;($A142+19/24))</f>
        <v/>
      </c>
      <c r="X142" s="20">
        <f>COUNTIFS(tData[SEHTrajectPeriodeDatumTijdVan],"&lt;="&amp;($A142+20/24),tData[SEHTrajectPeriodeDatumTijdTotEnMet],"&gt;"&amp;($A142+20/24))</f>
        <v/>
      </c>
      <c r="Y142" s="20">
        <f>COUNTIFS(tData[SEHTrajectPeriodeDatumTijdVan],"&lt;="&amp;($A142+21/24),tData[SEHTrajectPeriodeDatumTijdTotEnMet],"&gt;"&amp;($A142+21/24))</f>
        <v/>
      </c>
      <c r="Z142" s="20">
        <f>COUNTIFS(tData[SEHTrajectPeriodeDatumTijdVan],"&lt;="&amp;($A142+22/24),tData[SEHTrajectPeriodeDatumTijdTotEnMet],"&gt;"&amp;($A142+22/24))</f>
        <v/>
      </c>
      <c r="AA142" s="20">
        <f>COUNTIFS(tData[SEHTrajectPeriodeDatumTijdVan],"&lt;="&amp;($A142+23/24),tData[SEHTrajectPeriodeDatumTijdTotEnMet],"&gt;"&amp;($A142+23/24))</f>
        <v/>
      </c>
    </row>
    <row r="143">
      <c r="A143" s="19" t="n">
        <v>45431</v>
      </c>
      <c r="B143" s="15">
        <f>WEEKDAY($A143,2)</f>
        <v/>
      </c>
      <c r="C143" s="15">
        <f>IF(AND($A143&gt;=INT(Instellingen!$B$5),$A143&lt;=INT(Instellingen!$B$6)),1,0)</f>
        <v/>
      </c>
      <c r="D143" s="20">
        <f>COUNTIFS(tData[SEHTrajectPeriodeDatumTijdVan],"&lt;="&amp;($A143+0/24),tData[SEHTrajectPeriodeDatumTijdTotEnMet],"&gt;"&amp;($A143+0/24))</f>
        <v/>
      </c>
      <c r="E143" s="20">
        <f>COUNTIFS(tData[SEHTrajectPeriodeDatumTijdVan],"&lt;="&amp;($A143+1/24),tData[SEHTrajectPeriodeDatumTijdTotEnMet],"&gt;"&amp;($A143+1/24))</f>
        <v/>
      </c>
      <c r="F143" s="20">
        <f>COUNTIFS(tData[SEHTrajectPeriodeDatumTijdVan],"&lt;="&amp;($A143+2/24),tData[SEHTrajectPeriodeDatumTijdTotEnMet],"&gt;"&amp;($A143+2/24))</f>
        <v/>
      </c>
      <c r="G143" s="20">
        <f>COUNTIFS(tData[SEHTrajectPeriodeDatumTijdVan],"&lt;="&amp;($A143+3/24),tData[SEHTrajectPeriodeDatumTijdTotEnMet],"&gt;"&amp;($A143+3/24))</f>
        <v/>
      </c>
      <c r="H143" s="20">
        <f>COUNTIFS(tData[SEHTrajectPeriodeDatumTijdVan],"&lt;="&amp;($A143+4/24),tData[SEHTrajectPeriodeDatumTijdTotEnMet],"&gt;"&amp;($A143+4/24))</f>
        <v/>
      </c>
      <c r="I143" s="20">
        <f>COUNTIFS(tData[SEHTrajectPeriodeDatumTijdVan],"&lt;="&amp;($A143+5/24),tData[SEHTrajectPeriodeDatumTijdTotEnMet],"&gt;"&amp;($A143+5/24))</f>
        <v/>
      </c>
      <c r="J143" s="20">
        <f>COUNTIFS(tData[SEHTrajectPeriodeDatumTijdVan],"&lt;="&amp;($A143+6/24),tData[SEHTrajectPeriodeDatumTijdTotEnMet],"&gt;"&amp;($A143+6/24))</f>
        <v/>
      </c>
      <c r="K143" s="20">
        <f>COUNTIFS(tData[SEHTrajectPeriodeDatumTijdVan],"&lt;="&amp;($A143+7/24),tData[SEHTrajectPeriodeDatumTijdTotEnMet],"&gt;"&amp;($A143+7/24))</f>
        <v/>
      </c>
      <c r="L143" s="20">
        <f>COUNTIFS(tData[SEHTrajectPeriodeDatumTijdVan],"&lt;="&amp;($A143+8/24),tData[SEHTrajectPeriodeDatumTijdTotEnMet],"&gt;"&amp;($A143+8/24))</f>
        <v/>
      </c>
      <c r="M143" s="20">
        <f>COUNTIFS(tData[SEHTrajectPeriodeDatumTijdVan],"&lt;="&amp;($A143+9/24),tData[SEHTrajectPeriodeDatumTijdTotEnMet],"&gt;"&amp;($A143+9/24))</f>
        <v/>
      </c>
      <c r="N143" s="20">
        <f>COUNTIFS(tData[SEHTrajectPeriodeDatumTijdVan],"&lt;="&amp;($A143+10/24),tData[SEHTrajectPeriodeDatumTijdTotEnMet],"&gt;"&amp;($A143+10/24))</f>
        <v/>
      </c>
      <c r="O143" s="20">
        <f>COUNTIFS(tData[SEHTrajectPeriodeDatumTijdVan],"&lt;="&amp;($A143+11/24),tData[SEHTrajectPeriodeDatumTijdTotEnMet],"&gt;"&amp;($A143+11/24))</f>
        <v/>
      </c>
      <c r="P143" s="20">
        <f>COUNTIFS(tData[SEHTrajectPeriodeDatumTijdVan],"&lt;="&amp;($A143+12/24),tData[SEHTrajectPeriodeDatumTijdTotEnMet],"&gt;"&amp;($A143+12/24))</f>
        <v/>
      </c>
      <c r="Q143" s="20">
        <f>COUNTIFS(tData[SEHTrajectPeriodeDatumTijdVan],"&lt;="&amp;($A143+13/24),tData[SEHTrajectPeriodeDatumTijdTotEnMet],"&gt;"&amp;($A143+13/24))</f>
        <v/>
      </c>
      <c r="R143" s="20">
        <f>COUNTIFS(tData[SEHTrajectPeriodeDatumTijdVan],"&lt;="&amp;($A143+14/24),tData[SEHTrajectPeriodeDatumTijdTotEnMet],"&gt;"&amp;($A143+14/24))</f>
        <v/>
      </c>
      <c r="S143" s="20">
        <f>COUNTIFS(tData[SEHTrajectPeriodeDatumTijdVan],"&lt;="&amp;($A143+15/24),tData[SEHTrajectPeriodeDatumTijdTotEnMet],"&gt;"&amp;($A143+15/24))</f>
        <v/>
      </c>
      <c r="T143" s="20">
        <f>COUNTIFS(tData[SEHTrajectPeriodeDatumTijdVan],"&lt;="&amp;($A143+16/24),tData[SEHTrajectPeriodeDatumTijdTotEnMet],"&gt;"&amp;($A143+16/24))</f>
        <v/>
      </c>
      <c r="U143" s="20">
        <f>COUNTIFS(tData[SEHTrajectPeriodeDatumTijdVan],"&lt;="&amp;($A143+17/24),tData[SEHTrajectPeriodeDatumTijdTotEnMet],"&gt;"&amp;($A143+17/24))</f>
        <v/>
      </c>
      <c r="V143" s="20">
        <f>COUNTIFS(tData[SEHTrajectPeriodeDatumTijdVan],"&lt;="&amp;($A143+18/24),tData[SEHTrajectPeriodeDatumTijdTotEnMet],"&gt;"&amp;($A143+18/24))</f>
        <v/>
      </c>
      <c r="W143" s="20">
        <f>COUNTIFS(tData[SEHTrajectPeriodeDatumTijdVan],"&lt;="&amp;($A143+19/24),tData[SEHTrajectPeriodeDatumTijdTotEnMet],"&gt;"&amp;($A143+19/24))</f>
        <v/>
      </c>
      <c r="X143" s="20">
        <f>COUNTIFS(tData[SEHTrajectPeriodeDatumTijdVan],"&lt;="&amp;($A143+20/24),tData[SEHTrajectPeriodeDatumTijdTotEnMet],"&gt;"&amp;($A143+20/24))</f>
        <v/>
      </c>
      <c r="Y143" s="20">
        <f>COUNTIFS(tData[SEHTrajectPeriodeDatumTijdVan],"&lt;="&amp;($A143+21/24),tData[SEHTrajectPeriodeDatumTijdTotEnMet],"&gt;"&amp;($A143+21/24))</f>
        <v/>
      </c>
      <c r="Z143" s="20">
        <f>COUNTIFS(tData[SEHTrajectPeriodeDatumTijdVan],"&lt;="&amp;($A143+22/24),tData[SEHTrajectPeriodeDatumTijdTotEnMet],"&gt;"&amp;($A143+22/24))</f>
        <v/>
      </c>
      <c r="AA143" s="20">
        <f>COUNTIFS(tData[SEHTrajectPeriodeDatumTijdVan],"&lt;="&amp;($A143+23/24),tData[SEHTrajectPeriodeDatumTijdTotEnMet],"&gt;"&amp;($A143+23/24))</f>
        <v/>
      </c>
    </row>
    <row r="144">
      <c r="A144" s="19" t="n">
        <v>45432</v>
      </c>
      <c r="B144" s="15">
        <f>WEEKDAY($A144,2)</f>
        <v/>
      </c>
      <c r="C144" s="15">
        <f>IF(AND($A144&gt;=INT(Instellingen!$B$5),$A144&lt;=INT(Instellingen!$B$6)),1,0)</f>
        <v/>
      </c>
      <c r="D144" s="20">
        <f>COUNTIFS(tData[SEHTrajectPeriodeDatumTijdVan],"&lt;="&amp;($A144+0/24),tData[SEHTrajectPeriodeDatumTijdTotEnMet],"&gt;"&amp;($A144+0/24))</f>
        <v/>
      </c>
      <c r="E144" s="20">
        <f>COUNTIFS(tData[SEHTrajectPeriodeDatumTijdVan],"&lt;="&amp;($A144+1/24),tData[SEHTrajectPeriodeDatumTijdTotEnMet],"&gt;"&amp;($A144+1/24))</f>
        <v/>
      </c>
      <c r="F144" s="20">
        <f>COUNTIFS(tData[SEHTrajectPeriodeDatumTijdVan],"&lt;="&amp;($A144+2/24),tData[SEHTrajectPeriodeDatumTijdTotEnMet],"&gt;"&amp;($A144+2/24))</f>
        <v/>
      </c>
      <c r="G144" s="20">
        <f>COUNTIFS(tData[SEHTrajectPeriodeDatumTijdVan],"&lt;="&amp;($A144+3/24),tData[SEHTrajectPeriodeDatumTijdTotEnMet],"&gt;"&amp;($A144+3/24))</f>
        <v/>
      </c>
      <c r="H144" s="20">
        <f>COUNTIFS(tData[SEHTrajectPeriodeDatumTijdVan],"&lt;="&amp;($A144+4/24),tData[SEHTrajectPeriodeDatumTijdTotEnMet],"&gt;"&amp;($A144+4/24))</f>
        <v/>
      </c>
      <c r="I144" s="20">
        <f>COUNTIFS(tData[SEHTrajectPeriodeDatumTijdVan],"&lt;="&amp;($A144+5/24),tData[SEHTrajectPeriodeDatumTijdTotEnMet],"&gt;"&amp;($A144+5/24))</f>
        <v/>
      </c>
      <c r="J144" s="20">
        <f>COUNTIFS(tData[SEHTrajectPeriodeDatumTijdVan],"&lt;="&amp;($A144+6/24),tData[SEHTrajectPeriodeDatumTijdTotEnMet],"&gt;"&amp;($A144+6/24))</f>
        <v/>
      </c>
      <c r="K144" s="20">
        <f>COUNTIFS(tData[SEHTrajectPeriodeDatumTijdVan],"&lt;="&amp;($A144+7/24),tData[SEHTrajectPeriodeDatumTijdTotEnMet],"&gt;"&amp;($A144+7/24))</f>
        <v/>
      </c>
      <c r="L144" s="20">
        <f>COUNTIFS(tData[SEHTrajectPeriodeDatumTijdVan],"&lt;="&amp;($A144+8/24),tData[SEHTrajectPeriodeDatumTijdTotEnMet],"&gt;"&amp;($A144+8/24))</f>
        <v/>
      </c>
      <c r="M144" s="20">
        <f>COUNTIFS(tData[SEHTrajectPeriodeDatumTijdVan],"&lt;="&amp;($A144+9/24),tData[SEHTrajectPeriodeDatumTijdTotEnMet],"&gt;"&amp;($A144+9/24))</f>
        <v/>
      </c>
      <c r="N144" s="20">
        <f>COUNTIFS(tData[SEHTrajectPeriodeDatumTijdVan],"&lt;="&amp;($A144+10/24),tData[SEHTrajectPeriodeDatumTijdTotEnMet],"&gt;"&amp;($A144+10/24))</f>
        <v/>
      </c>
      <c r="O144" s="20">
        <f>COUNTIFS(tData[SEHTrajectPeriodeDatumTijdVan],"&lt;="&amp;($A144+11/24),tData[SEHTrajectPeriodeDatumTijdTotEnMet],"&gt;"&amp;($A144+11/24))</f>
        <v/>
      </c>
      <c r="P144" s="20">
        <f>COUNTIFS(tData[SEHTrajectPeriodeDatumTijdVan],"&lt;="&amp;($A144+12/24),tData[SEHTrajectPeriodeDatumTijdTotEnMet],"&gt;"&amp;($A144+12/24))</f>
        <v/>
      </c>
      <c r="Q144" s="20">
        <f>COUNTIFS(tData[SEHTrajectPeriodeDatumTijdVan],"&lt;="&amp;($A144+13/24),tData[SEHTrajectPeriodeDatumTijdTotEnMet],"&gt;"&amp;($A144+13/24))</f>
        <v/>
      </c>
      <c r="R144" s="20">
        <f>COUNTIFS(tData[SEHTrajectPeriodeDatumTijdVan],"&lt;="&amp;($A144+14/24),tData[SEHTrajectPeriodeDatumTijdTotEnMet],"&gt;"&amp;($A144+14/24))</f>
        <v/>
      </c>
      <c r="S144" s="20">
        <f>COUNTIFS(tData[SEHTrajectPeriodeDatumTijdVan],"&lt;="&amp;($A144+15/24),tData[SEHTrajectPeriodeDatumTijdTotEnMet],"&gt;"&amp;($A144+15/24))</f>
        <v/>
      </c>
      <c r="T144" s="20">
        <f>COUNTIFS(tData[SEHTrajectPeriodeDatumTijdVan],"&lt;="&amp;($A144+16/24),tData[SEHTrajectPeriodeDatumTijdTotEnMet],"&gt;"&amp;($A144+16/24))</f>
        <v/>
      </c>
      <c r="U144" s="20">
        <f>COUNTIFS(tData[SEHTrajectPeriodeDatumTijdVan],"&lt;="&amp;($A144+17/24),tData[SEHTrajectPeriodeDatumTijdTotEnMet],"&gt;"&amp;($A144+17/24))</f>
        <v/>
      </c>
      <c r="V144" s="20">
        <f>COUNTIFS(tData[SEHTrajectPeriodeDatumTijdVan],"&lt;="&amp;($A144+18/24),tData[SEHTrajectPeriodeDatumTijdTotEnMet],"&gt;"&amp;($A144+18/24))</f>
        <v/>
      </c>
      <c r="W144" s="20">
        <f>COUNTIFS(tData[SEHTrajectPeriodeDatumTijdVan],"&lt;="&amp;($A144+19/24),tData[SEHTrajectPeriodeDatumTijdTotEnMet],"&gt;"&amp;($A144+19/24))</f>
        <v/>
      </c>
      <c r="X144" s="20">
        <f>COUNTIFS(tData[SEHTrajectPeriodeDatumTijdVan],"&lt;="&amp;($A144+20/24),tData[SEHTrajectPeriodeDatumTijdTotEnMet],"&gt;"&amp;($A144+20/24))</f>
        <v/>
      </c>
      <c r="Y144" s="20">
        <f>COUNTIFS(tData[SEHTrajectPeriodeDatumTijdVan],"&lt;="&amp;($A144+21/24),tData[SEHTrajectPeriodeDatumTijdTotEnMet],"&gt;"&amp;($A144+21/24))</f>
        <v/>
      </c>
      <c r="Z144" s="20">
        <f>COUNTIFS(tData[SEHTrajectPeriodeDatumTijdVan],"&lt;="&amp;($A144+22/24),tData[SEHTrajectPeriodeDatumTijdTotEnMet],"&gt;"&amp;($A144+22/24))</f>
        <v/>
      </c>
      <c r="AA144" s="20">
        <f>COUNTIFS(tData[SEHTrajectPeriodeDatumTijdVan],"&lt;="&amp;($A144+23/24),tData[SEHTrajectPeriodeDatumTijdTotEnMet],"&gt;"&amp;($A144+23/24))</f>
        <v/>
      </c>
    </row>
    <row r="145">
      <c r="A145" s="19" t="n">
        <v>45433</v>
      </c>
      <c r="B145" s="15">
        <f>WEEKDAY($A145,2)</f>
        <v/>
      </c>
      <c r="C145" s="15">
        <f>IF(AND($A145&gt;=INT(Instellingen!$B$5),$A145&lt;=INT(Instellingen!$B$6)),1,0)</f>
        <v/>
      </c>
      <c r="D145" s="20">
        <f>COUNTIFS(tData[SEHTrajectPeriodeDatumTijdVan],"&lt;="&amp;($A145+0/24),tData[SEHTrajectPeriodeDatumTijdTotEnMet],"&gt;"&amp;($A145+0/24))</f>
        <v/>
      </c>
      <c r="E145" s="20">
        <f>COUNTIFS(tData[SEHTrajectPeriodeDatumTijdVan],"&lt;="&amp;($A145+1/24),tData[SEHTrajectPeriodeDatumTijdTotEnMet],"&gt;"&amp;($A145+1/24))</f>
        <v/>
      </c>
      <c r="F145" s="20">
        <f>COUNTIFS(tData[SEHTrajectPeriodeDatumTijdVan],"&lt;="&amp;($A145+2/24),tData[SEHTrajectPeriodeDatumTijdTotEnMet],"&gt;"&amp;($A145+2/24))</f>
        <v/>
      </c>
      <c r="G145" s="20">
        <f>COUNTIFS(tData[SEHTrajectPeriodeDatumTijdVan],"&lt;="&amp;($A145+3/24),tData[SEHTrajectPeriodeDatumTijdTotEnMet],"&gt;"&amp;($A145+3/24))</f>
        <v/>
      </c>
      <c r="H145" s="20">
        <f>COUNTIFS(tData[SEHTrajectPeriodeDatumTijdVan],"&lt;="&amp;($A145+4/24),tData[SEHTrajectPeriodeDatumTijdTotEnMet],"&gt;"&amp;($A145+4/24))</f>
        <v/>
      </c>
      <c r="I145" s="20">
        <f>COUNTIFS(tData[SEHTrajectPeriodeDatumTijdVan],"&lt;="&amp;($A145+5/24),tData[SEHTrajectPeriodeDatumTijdTotEnMet],"&gt;"&amp;($A145+5/24))</f>
        <v/>
      </c>
      <c r="J145" s="20">
        <f>COUNTIFS(tData[SEHTrajectPeriodeDatumTijdVan],"&lt;="&amp;($A145+6/24),tData[SEHTrajectPeriodeDatumTijdTotEnMet],"&gt;"&amp;($A145+6/24))</f>
        <v/>
      </c>
      <c r="K145" s="20">
        <f>COUNTIFS(tData[SEHTrajectPeriodeDatumTijdVan],"&lt;="&amp;($A145+7/24),tData[SEHTrajectPeriodeDatumTijdTotEnMet],"&gt;"&amp;($A145+7/24))</f>
        <v/>
      </c>
      <c r="L145" s="20">
        <f>COUNTIFS(tData[SEHTrajectPeriodeDatumTijdVan],"&lt;="&amp;($A145+8/24),tData[SEHTrajectPeriodeDatumTijdTotEnMet],"&gt;"&amp;($A145+8/24))</f>
        <v/>
      </c>
      <c r="M145" s="20">
        <f>COUNTIFS(tData[SEHTrajectPeriodeDatumTijdVan],"&lt;="&amp;($A145+9/24),tData[SEHTrajectPeriodeDatumTijdTotEnMet],"&gt;"&amp;($A145+9/24))</f>
        <v/>
      </c>
      <c r="N145" s="20">
        <f>COUNTIFS(tData[SEHTrajectPeriodeDatumTijdVan],"&lt;="&amp;($A145+10/24),tData[SEHTrajectPeriodeDatumTijdTotEnMet],"&gt;"&amp;($A145+10/24))</f>
        <v/>
      </c>
      <c r="O145" s="20">
        <f>COUNTIFS(tData[SEHTrajectPeriodeDatumTijdVan],"&lt;="&amp;($A145+11/24),tData[SEHTrajectPeriodeDatumTijdTotEnMet],"&gt;"&amp;($A145+11/24))</f>
        <v/>
      </c>
      <c r="P145" s="20">
        <f>COUNTIFS(tData[SEHTrajectPeriodeDatumTijdVan],"&lt;="&amp;($A145+12/24),tData[SEHTrajectPeriodeDatumTijdTotEnMet],"&gt;"&amp;($A145+12/24))</f>
        <v/>
      </c>
      <c r="Q145" s="20">
        <f>COUNTIFS(tData[SEHTrajectPeriodeDatumTijdVan],"&lt;="&amp;($A145+13/24),tData[SEHTrajectPeriodeDatumTijdTotEnMet],"&gt;"&amp;($A145+13/24))</f>
        <v/>
      </c>
      <c r="R145" s="20">
        <f>COUNTIFS(tData[SEHTrajectPeriodeDatumTijdVan],"&lt;="&amp;($A145+14/24),tData[SEHTrajectPeriodeDatumTijdTotEnMet],"&gt;"&amp;($A145+14/24))</f>
        <v/>
      </c>
      <c r="S145" s="20">
        <f>COUNTIFS(tData[SEHTrajectPeriodeDatumTijdVan],"&lt;="&amp;($A145+15/24),tData[SEHTrajectPeriodeDatumTijdTotEnMet],"&gt;"&amp;($A145+15/24))</f>
        <v/>
      </c>
      <c r="T145" s="20">
        <f>COUNTIFS(tData[SEHTrajectPeriodeDatumTijdVan],"&lt;="&amp;($A145+16/24),tData[SEHTrajectPeriodeDatumTijdTotEnMet],"&gt;"&amp;($A145+16/24))</f>
        <v/>
      </c>
      <c r="U145" s="20">
        <f>COUNTIFS(tData[SEHTrajectPeriodeDatumTijdVan],"&lt;="&amp;($A145+17/24),tData[SEHTrajectPeriodeDatumTijdTotEnMet],"&gt;"&amp;($A145+17/24))</f>
        <v/>
      </c>
      <c r="V145" s="20">
        <f>COUNTIFS(tData[SEHTrajectPeriodeDatumTijdVan],"&lt;="&amp;($A145+18/24),tData[SEHTrajectPeriodeDatumTijdTotEnMet],"&gt;"&amp;($A145+18/24))</f>
        <v/>
      </c>
      <c r="W145" s="20">
        <f>COUNTIFS(tData[SEHTrajectPeriodeDatumTijdVan],"&lt;="&amp;($A145+19/24),tData[SEHTrajectPeriodeDatumTijdTotEnMet],"&gt;"&amp;($A145+19/24))</f>
        <v/>
      </c>
      <c r="X145" s="20">
        <f>COUNTIFS(tData[SEHTrajectPeriodeDatumTijdVan],"&lt;="&amp;($A145+20/24),tData[SEHTrajectPeriodeDatumTijdTotEnMet],"&gt;"&amp;($A145+20/24))</f>
        <v/>
      </c>
      <c r="Y145" s="20">
        <f>COUNTIFS(tData[SEHTrajectPeriodeDatumTijdVan],"&lt;="&amp;($A145+21/24),tData[SEHTrajectPeriodeDatumTijdTotEnMet],"&gt;"&amp;($A145+21/24))</f>
        <v/>
      </c>
      <c r="Z145" s="20">
        <f>COUNTIFS(tData[SEHTrajectPeriodeDatumTijdVan],"&lt;="&amp;($A145+22/24),tData[SEHTrajectPeriodeDatumTijdTotEnMet],"&gt;"&amp;($A145+22/24))</f>
        <v/>
      </c>
      <c r="AA145" s="20">
        <f>COUNTIFS(tData[SEHTrajectPeriodeDatumTijdVan],"&lt;="&amp;($A145+23/24),tData[SEHTrajectPeriodeDatumTijdTotEnMet],"&gt;"&amp;($A145+23/24))</f>
        <v/>
      </c>
    </row>
    <row r="146">
      <c r="A146" s="19" t="n">
        <v>45434</v>
      </c>
      <c r="B146" s="15">
        <f>WEEKDAY($A146,2)</f>
        <v/>
      </c>
      <c r="C146" s="15">
        <f>IF(AND($A146&gt;=INT(Instellingen!$B$5),$A146&lt;=INT(Instellingen!$B$6)),1,0)</f>
        <v/>
      </c>
      <c r="D146" s="20">
        <f>COUNTIFS(tData[SEHTrajectPeriodeDatumTijdVan],"&lt;="&amp;($A146+0/24),tData[SEHTrajectPeriodeDatumTijdTotEnMet],"&gt;"&amp;($A146+0/24))</f>
        <v/>
      </c>
      <c r="E146" s="20">
        <f>COUNTIFS(tData[SEHTrajectPeriodeDatumTijdVan],"&lt;="&amp;($A146+1/24),tData[SEHTrajectPeriodeDatumTijdTotEnMet],"&gt;"&amp;($A146+1/24))</f>
        <v/>
      </c>
      <c r="F146" s="20">
        <f>COUNTIFS(tData[SEHTrajectPeriodeDatumTijdVan],"&lt;="&amp;($A146+2/24),tData[SEHTrajectPeriodeDatumTijdTotEnMet],"&gt;"&amp;($A146+2/24))</f>
        <v/>
      </c>
      <c r="G146" s="20">
        <f>COUNTIFS(tData[SEHTrajectPeriodeDatumTijdVan],"&lt;="&amp;($A146+3/24),tData[SEHTrajectPeriodeDatumTijdTotEnMet],"&gt;"&amp;($A146+3/24))</f>
        <v/>
      </c>
      <c r="H146" s="20">
        <f>COUNTIFS(tData[SEHTrajectPeriodeDatumTijdVan],"&lt;="&amp;($A146+4/24),tData[SEHTrajectPeriodeDatumTijdTotEnMet],"&gt;"&amp;($A146+4/24))</f>
        <v/>
      </c>
      <c r="I146" s="20">
        <f>COUNTIFS(tData[SEHTrajectPeriodeDatumTijdVan],"&lt;="&amp;($A146+5/24),tData[SEHTrajectPeriodeDatumTijdTotEnMet],"&gt;"&amp;($A146+5/24))</f>
        <v/>
      </c>
      <c r="J146" s="20">
        <f>COUNTIFS(tData[SEHTrajectPeriodeDatumTijdVan],"&lt;="&amp;($A146+6/24),tData[SEHTrajectPeriodeDatumTijdTotEnMet],"&gt;"&amp;($A146+6/24))</f>
        <v/>
      </c>
      <c r="K146" s="20">
        <f>COUNTIFS(tData[SEHTrajectPeriodeDatumTijdVan],"&lt;="&amp;($A146+7/24),tData[SEHTrajectPeriodeDatumTijdTotEnMet],"&gt;"&amp;($A146+7/24))</f>
        <v/>
      </c>
      <c r="L146" s="20">
        <f>COUNTIFS(tData[SEHTrajectPeriodeDatumTijdVan],"&lt;="&amp;($A146+8/24),tData[SEHTrajectPeriodeDatumTijdTotEnMet],"&gt;"&amp;($A146+8/24))</f>
        <v/>
      </c>
      <c r="M146" s="20">
        <f>COUNTIFS(tData[SEHTrajectPeriodeDatumTijdVan],"&lt;="&amp;($A146+9/24),tData[SEHTrajectPeriodeDatumTijdTotEnMet],"&gt;"&amp;($A146+9/24))</f>
        <v/>
      </c>
      <c r="N146" s="20">
        <f>COUNTIFS(tData[SEHTrajectPeriodeDatumTijdVan],"&lt;="&amp;($A146+10/24),tData[SEHTrajectPeriodeDatumTijdTotEnMet],"&gt;"&amp;($A146+10/24))</f>
        <v/>
      </c>
      <c r="O146" s="20">
        <f>COUNTIFS(tData[SEHTrajectPeriodeDatumTijdVan],"&lt;="&amp;($A146+11/24),tData[SEHTrajectPeriodeDatumTijdTotEnMet],"&gt;"&amp;($A146+11/24))</f>
        <v/>
      </c>
      <c r="P146" s="20">
        <f>COUNTIFS(tData[SEHTrajectPeriodeDatumTijdVan],"&lt;="&amp;($A146+12/24),tData[SEHTrajectPeriodeDatumTijdTotEnMet],"&gt;"&amp;($A146+12/24))</f>
        <v/>
      </c>
      <c r="Q146" s="20">
        <f>COUNTIFS(tData[SEHTrajectPeriodeDatumTijdVan],"&lt;="&amp;($A146+13/24),tData[SEHTrajectPeriodeDatumTijdTotEnMet],"&gt;"&amp;($A146+13/24))</f>
        <v/>
      </c>
      <c r="R146" s="20">
        <f>COUNTIFS(tData[SEHTrajectPeriodeDatumTijdVan],"&lt;="&amp;($A146+14/24),tData[SEHTrajectPeriodeDatumTijdTotEnMet],"&gt;"&amp;($A146+14/24))</f>
        <v/>
      </c>
      <c r="S146" s="20">
        <f>COUNTIFS(tData[SEHTrajectPeriodeDatumTijdVan],"&lt;="&amp;($A146+15/24),tData[SEHTrajectPeriodeDatumTijdTotEnMet],"&gt;"&amp;($A146+15/24))</f>
        <v/>
      </c>
      <c r="T146" s="20">
        <f>COUNTIFS(tData[SEHTrajectPeriodeDatumTijdVan],"&lt;="&amp;($A146+16/24),tData[SEHTrajectPeriodeDatumTijdTotEnMet],"&gt;"&amp;($A146+16/24))</f>
        <v/>
      </c>
      <c r="U146" s="20">
        <f>COUNTIFS(tData[SEHTrajectPeriodeDatumTijdVan],"&lt;="&amp;($A146+17/24),tData[SEHTrajectPeriodeDatumTijdTotEnMet],"&gt;"&amp;($A146+17/24))</f>
        <v/>
      </c>
      <c r="V146" s="20">
        <f>COUNTIFS(tData[SEHTrajectPeriodeDatumTijdVan],"&lt;="&amp;($A146+18/24),tData[SEHTrajectPeriodeDatumTijdTotEnMet],"&gt;"&amp;($A146+18/24))</f>
        <v/>
      </c>
      <c r="W146" s="20">
        <f>COUNTIFS(tData[SEHTrajectPeriodeDatumTijdVan],"&lt;="&amp;($A146+19/24),tData[SEHTrajectPeriodeDatumTijdTotEnMet],"&gt;"&amp;($A146+19/24))</f>
        <v/>
      </c>
      <c r="X146" s="20">
        <f>COUNTIFS(tData[SEHTrajectPeriodeDatumTijdVan],"&lt;="&amp;($A146+20/24),tData[SEHTrajectPeriodeDatumTijdTotEnMet],"&gt;"&amp;($A146+20/24))</f>
        <v/>
      </c>
      <c r="Y146" s="20">
        <f>COUNTIFS(tData[SEHTrajectPeriodeDatumTijdVan],"&lt;="&amp;($A146+21/24),tData[SEHTrajectPeriodeDatumTijdTotEnMet],"&gt;"&amp;($A146+21/24))</f>
        <v/>
      </c>
      <c r="Z146" s="20">
        <f>COUNTIFS(tData[SEHTrajectPeriodeDatumTijdVan],"&lt;="&amp;($A146+22/24),tData[SEHTrajectPeriodeDatumTijdTotEnMet],"&gt;"&amp;($A146+22/24))</f>
        <v/>
      </c>
      <c r="AA146" s="20">
        <f>COUNTIFS(tData[SEHTrajectPeriodeDatumTijdVan],"&lt;="&amp;($A146+23/24),tData[SEHTrajectPeriodeDatumTijdTotEnMet],"&gt;"&amp;($A146+23/24))</f>
        <v/>
      </c>
    </row>
    <row r="147">
      <c r="A147" s="19" t="n">
        <v>45435</v>
      </c>
      <c r="B147" s="15">
        <f>WEEKDAY($A147,2)</f>
        <v/>
      </c>
      <c r="C147" s="15">
        <f>IF(AND($A147&gt;=INT(Instellingen!$B$5),$A147&lt;=INT(Instellingen!$B$6)),1,0)</f>
        <v/>
      </c>
      <c r="D147" s="20">
        <f>COUNTIFS(tData[SEHTrajectPeriodeDatumTijdVan],"&lt;="&amp;($A147+0/24),tData[SEHTrajectPeriodeDatumTijdTotEnMet],"&gt;"&amp;($A147+0/24))</f>
        <v/>
      </c>
      <c r="E147" s="20">
        <f>COUNTIFS(tData[SEHTrajectPeriodeDatumTijdVan],"&lt;="&amp;($A147+1/24),tData[SEHTrajectPeriodeDatumTijdTotEnMet],"&gt;"&amp;($A147+1/24))</f>
        <v/>
      </c>
      <c r="F147" s="20">
        <f>COUNTIFS(tData[SEHTrajectPeriodeDatumTijdVan],"&lt;="&amp;($A147+2/24),tData[SEHTrajectPeriodeDatumTijdTotEnMet],"&gt;"&amp;($A147+2/24))</f>
        <v/>
      </c>
      <c r="G147" s="20">
        <f>COUNTIFS(tData[SEHTrajectPeriodeDatumTijdVan],"&lt;="&amp;($A147+3/24),tData[SEHTrajectPeriodeDatumTijdTotEnMet],"&gt;"&amp;($A147+3/24))</f>
        <v/>
      </c>
      <c r="H147" s="20">
        <f>COUNTIFS(tData[SEHTrajectPeriodeDatumTijdVan],"&lt;="&amp;($A147+4/24),tData[SEHTrajectPeriodeDatumTijdTotEnMet],"&gt;"&amp;($A147+4/24))</f>
        <v/>
      </c>
      <c r="I147" s="20">
        <f>COUNTIFS(tData[SEHTrajectPeriodeDatumTijdVan],"&lt;="&amp;($A147+5/24),tData[SEHTrajectPeriodeDatumTijdTotEnMet],"&gt;"&amp;($A147+5/24))</f>
        <v/>
      </c>
      <c r="J147" s="20">
        <f>COUNTIFS(tData[SEHTrajectPeriodeDatumTijdVan],"&lt;="&amp;($A147+6/24),tData[SEHTrajectPeriodeDatumTijdTotEnMet],"&gt;"&amp;($A147+6/24))</f>
        <v/>
      </c>
      <c r="K147" s="20">
        <f>COUNTIFS(tData[SEHTrajectPeriodeDatumTijdVan],"&lt;="&amp;($A147+7/24),tData[SEHTrajectPeriodeDatumTijdTotEnMet],"&gt;"&amp;($A147+7/24))</f>
        <v/>
      </c>
      <c r="L147" s="20">
        <f>COUNTIFS(tData[SEHTrajectPeriodeDatumTijdVan],"&lt;="&amp;($A147+8/24),tData[SEHTrajectPeriodeDatumTijdTotEnMet],"&gt;"&amp;($A147+8/24))</f>
        <v/>
      </c>
      <c r="M147" s="20">
        <f>COUNTIFS(tData[SEHTrajectPeriodeDatumTijdVan],"&lt;="&amp;($A147+9/24),tData[SEHTrajectPeriodeDatumTijdTotEnMet],"&gt;"&amp;($A147+9/24))</f>
        <v/>
      </c>
      <c r="N147" s="20">
        <f>COUNTIFS(tData[SEHTrajectPeriodeDatumTijdVan],"&lt;="&amp;($A147+10/24),tData[SEHTrajectPeriodeDatumTijdTotEnMet],"&gt;"&amp;($A147+10/24))</f>
        <v/>
      </c>
      <c r="O147" s="20">
        <f>COUNTIFS(tData[SEHTrajectPeriodeDatumTijdVan],"&lt;="&amp;($A147+11/24),tData[SEHTrajectPeriodeDatumTijdTotEnMet],"&gt;"&amp;($A147+11/24))</f>
        <v/>
      </c>
      <c r="P147" s="20">
        <f>COUNTIFS(tData[SEHTrajectPeriodeDatumTijdVan],"&lt;="&amp;($A147+12/24),tData[SEHTrajectPeriodeDatumTijdTotEnMet],"&gt;"&amp;($A147+12/24))</f>
        <v/>
      </c>
      <c r="Q147" s="20">
        <f>COUNTIFS(tData[SEHTrajectPeriodeDatumTijdVan],"&lt;="&amp;($A147+13/24),tData[SEHTrajectPeriodeDatumTijdTotEnMet],"&gt;"&amp;($A147+13/24))</f>
        <v/>
      </c>
      <c r="R147" s="20">
        <f>COUNTIFS(tData[SEHTrajectPeriodeDatumTijdVan],"&lt;="&amp;($A147+14/24),tData[SEHTrajectPeriodeDatumTijdTotEnMet],"&gt;"&amp;($A147+14/24))</f>
        <v/>
      </c>
      <c r="S147" s="20">
        <f>COUNTIFS(tData[SEHTrajectPeriodeDatumTijdVan],"&lt;="&amp;($A147+15/24),tData[SEHTrajectPeriodeDatumTijdTotEnMet],"&gt;"&amp;($A147+15/24))</f>
        <v/>
      </c>
      <c r="T147" s="20">
        <f>COUNTIFS(tData[SEHTrajectPeriodeDatumTijdVan],"&lt;="&amp;($A147+16/24),tData[SEHTrajectPeriodeDatumTijdTotEnMet],"&gt;"&amp;($A147+16/24))</f>
        <v/>
      </c>
      <c r="U147" s="20">
        <f>COUNTIFS(tData[SEHTrajectPeriodeDatumTijdVan],"&lt;="&amp;($A147+17/24),tData[SEHTrajectPeriodeDatumTijdTotEnMet],"&gt;"&amp;($A147+17/24))</f>
        <v/>
      </c>
      <c r="V147" s="20">
        <f>COUNTIFS(tData[SEHTrajectPeriodeDatumTijdVan],"&lt;="&amp;($A147+18/24),tData[SEHTrajectPeriodeDatumTijdTotEnMet],"&gt;"&amp;($A147+18/24))</f>
        <v/>
      </c>
      <c r="W147" s="20">
        <f>COUNTIFS(tData[SEHTrajectPeriodeDatumTijdVan],"&lt;="&amp;($A147+19/24),tData[SEHTrajectPeriodeDatumTijdTotEnMet],"&gt;"&amp;($A147+19/24))</f>
        <v/>
      </c>
      <c r="X147" s="20">
        <f>COUNTIFS(tData[SEHTrajectPeriodeDatumTijdVan],"&lt;="&amp;($A147+20/24),tData[SEHTrajectPeriodeDatumTijdTotEnMet],"&gt;"&amp;($A147+20/24))</f>
        <v/>
      </c>
      <c r="Y147" s="20">
        <f>COUNTIFS(tData[SEHTrajectPeriodeDatumTijdVan],"&lt;="&amp;($A147+21/24),tData[SEHTrajectPeriodeDatumTijdTotEnMet],"&gt;"&amp;($A147+21/24))</f>
        <v/>
      </c>
      <c r="Z147" s="20">
        <f>COUNTIFS(tData[SEHTrajectPeriodeDatumTijdVan],"&lt;="&amp;($A147+22/24),tData[SEHTrajectPeriodeDatumTijdTotEnMet],"&gt;"&amp;($A147+22/24))</f>
        <v/>
      </c>
      <c r="AA147" s="20">
        <f>COUNTIFS(tData[SEHTrajectPeriodeDatumTijdVan],"&lt;="&amp;($A147+23/24),tData[SEHTrajectPeriodeDatumTijdTotEnMet],"&gt;"&amp;($A147+23/24))</f>
        <v/>
      </c>
    </row>
    <row r="148">
      <c r="A148" s="19" t="n">
        <v>45436</v>
      </c>
      <c r="B148" s="15">
        <f>WEEKDAY($A148,2)</f>
        <v/>
      </c>
      <c r="C148" s="15">
        <f>IF(AND($A148&gt;=INT(Instellingen!$B$5),$A148&lt;=INT(Instellingen!$B$6)),1,0)</f>
        <v/>
      </c>
      <c r="D148" s="20">
        <f>COUNTIFS(tData[SEHTrajectPeriodeDatumTijdVan],"&lt;="&amp;($A148+0/24),tData[SEHTrajectPeriodeDatumTijdTotEnMet],"&gt;"&amp;($A148+0/24))</f>
        <v/>
      </c>
      <c r="E148" s="20">
        <f>COUNTIFS(tData[SEHTrajectPeriodeDatumTijdVan],"&lt;="&amp;($A148+1/24),tData[SEHTrajectPeriodeDatumTijdTotEnMet],"&gt;"&amp;($A148+1/24))</f>
        <v/>
      </c>
      <c r="F148" s="20">
        <f>COUNTIFS(tData[SEHTrajectPeriodeDatumTijdVan],"&lt;="&amp;($A148+2/24),tData[SEHTrajectPeriodeDatumTijdTotEnMet],"&gt;"&amp;($A148+2/24))</f>
        <v/>
      </c>
      <c r="G148" s="20">
        <f>COUNTIFS(tData[SEHTrajectPeriodeDatumTijdVan],"&lt;="&amp;($A148+3/24),tData[SEHTrajectPeriodeDatumTijdTotEnMet],"&gt;"&amp;($A148+3/24))</f>
        <v/>
      </c>
      <c r="H148" s="20">
        <f>COUNTIFS(tData[SEHTrajectPeriodeDatumTijdVan],"&lt;="&amp;($A148+4/24),tData[SEHTrajectPeriodeDatumTijdTotEnMet],"&gt;"&amp;($A148+4/24))</f>
        <v/>
      </c>
      <c r="I148" s="20">
        <f>COUNTIFS(tData[SEHTrajectPeriodeDatumTijdVan],"&lt;="&amp;($A148+5/24),tData[SEHTrajectPeriodeDatumTijdTotEnMet],"&gt;"&amp;($A148+5/24))</f>
        <v/>
      </c>
      <c r="J148" s="20">
        <f>COUNTIFS(tData[SEHTrajectPeriodeDatumTijdVan],"&lt;="&amp;($A148+6/24),tData[SEHTrajectPeriodeDatumTijdTotEnMet],"&gt;"&amp;($A148+6/24))</f>
        <v/>
      </c>
      <c r="K148" s="20">
        <f>COUNTIFS(tData[SEHTrajectPeriodeDatumTijdVan],"&lt;="&amp;($A148+7/24),tData[SEHTrajectPeriodeDatumTijdTotEnMet],"&gt;"&amp;($A148+7/24))</f>
        <v/>
      </c>
      <c r="L148" s="20">
        <f>COUNTIFS(tData[SEHTrajectPeriodeDatumTijdVan],"&lt;="&amp;($A148+8/24),tData[SEHTrajectPeriodeDatumTijdTotEnMet],"&gt;"&amp;($A148+8/24))</f>
        <v/>
      </c>
      <c r="M148" s="20">
        <f>COUNTIFS(tData[SEHTrajectPeriodeDatumTijdVan],"&lt;="&amp;($A148+9/24),tData[SEHTrajectPeriodeDatumTijdTotEnMet],"&gt;"&amp;($A148+9/24))</f>
        <v/>
      </c>
      <c r="N148" s="20">
        <f>COUNTIFS(tData[SEHTrajectPeriodeDatumTijdVan],"&lt;="&amp;($A148+10/24),tData[SEHTrajectPeriodeDatumTijdTotEnMet],"&gt;"&amp;($A148+10/24))</f>
        <v/>
      </c>
      <c r="O148" s="20">
        <f>COUNTIFS(tData[SEHTrajectPeriodeDatumTijdVan],"&lt;="&amp;($A148+11/24),tData[SEHTrajectPeriodeDatumTijdTotEnMet],"&gt;"&amp;($A148+11/24))</f>
        <v/>
      </c>
      <c r="P148" s="20">
        <f>COUNTIFS(tData[SEHTrajectPeriodeDatumTijdVan],"&lt;="&amp;($A148+12/24),tData[SEHTrajectPeriodeDatumTijdTotEnMet],"&gt;"&amp;($A148+12/24))</f>
        <v/>
      </c>
      <c r="Q148" s="20">
        <f>COUNTIFS(tData[SEHTrajectPeriodeDatumTijdVan],"&lt;="&amp;($A148+13/24),tData[SEHTrajectPeriodeDatumTijdTotEnMet],"&gt;"&amp;($A148+13/24))</f>
        <v/>
      </c>
      <c r="R148" s="20">
        <f>COUNTIFS(tData[SEHTrajectPeriodeDatumTijdVan],"&lt;="&amp;($A148+14/24),tData[SEHTrajectPeriodeDatumTijdTotEnMet],"&gt;"&amp;($A148+14/24))</f>
        <v/>
      </c>
      <c r="S148" s="20">
        <f>COUNTIFS(tData[SEHTrajectPeriodeDatumTijdVan],"&lt;="&amp;($A148+15/24),tData[SEHTrajectPeriodeDatumTijdTotEnMet],"&gt;"&amp;($A148+15/24))</f>
        <v/>
      </c>
      <c r="T148" s="20">
        <f>COUNTIFS(tData[SEHTrajectPeriodeDatumTijdVan],"&lt;="&amp;($A148+16/24),tData[SEHTrajectPeriodeDatumTijdTotEnMet],"&gt;"&amp;($A148+16/24))</f>
        <v/>
      </c>
      <c r="U148" s="20">
        <f>COUNTIFS(tData[SEHTrajectPeriodeDatumTijdVan],"&lt;="&amp;($A148+17/24),tData[SEHTrajectPeriodeDatumTijdTotEnMet],"&gt;"&amp;($A148+17/24))</f>
        <v/>
      </c>
      <c r="V148" s="20">
        <f>COUNTIFS(tData[SEHTrajectPeriodeDatumTijdVan],"&lt;="&amp;($A148+18/24),tData[SEHTrajectPeriodeDatumTijdTotEnMet],"&gt;"&amp;($A148+18/24))</f>
        <v/>
      </c>
      <c r="W148" s="20">
        <f>COUNTIFS(tData[SEHTrajectPeriodeDatumTijdVan],"&lt;="&amp;($A148+19/24),tData[SEHTrajectPeriodeDatumTijdTotEnMet],"&gt;"&amp;($A148+19/24))</f>
        <v/>
      </c>
      <c r="X148" s="20">
        <f>COUNTIFS(tData[SEHTrajectPeriodeDatumTijdVan],"&lt;="&amp;($A148+20/24),tData[SEHTrajectPeriodeDatumTijdTotEnMet],"&gt;"&amp;($A148+20/24))</f>
        <v/>
      </c>
      <c r="Y148" s="20">
        <f>COUNTIFS(tData[SEHTrajectPeriodeDatumTijdVan],"&lt;="&amp;($A148+21/24),tData[SEHTrajectPeriodeDatumTijdTotEnMet],"&gt;"&amp;($A148+21/24))</f>
        <v/>
      </c>
      <c r="Z148" s="20">
        <f>COUNTIFS(tData[SEHTrajectPeriodeDatumTijdVan],"&lt;="&amp;($A148+22/24),tData[SEHTrajectPeriodeDatumTijdTotEnMet],"&gt;"&amp;($A148+22/24))</f>
        <v/>
      </c>
      <c r="AA148" s="20">
        <f>COUNTIFS(tData[SEHTrajectPeriodeDatumTijdVan],"&lt;="&amp;($A148+23/24),tData[SEHTrajectPeriodeDatumTijdTotEnMet],"&gt;"&amp;($A148+23/24))</f>
        <v/>
      </c>
    </row>
    <row r="149">
      <c r="A149" s="19" t="n">
        <v>45437</v>
      </c>
      <c r="B149" s="15">
        <f>WEEKDAY($A149,2)</f>
        <v/>
      </c>
      <c r="C149" s="15">
        <f>IF(AND($A149&gt;=INT(Instellingen!$B$5),$A149&lt;=INT(Instellingen!$B$6)),1,0)</f>
        <v/>
      </c>
      <c r="D149" s="20">
        <f>COUNTIFS(tData[SEHTrajectPeriodeDatumTijdVan],"&lt;="&amp;($A149+0/24),tData[SEHTrajectPeriodeDatumTijdTotEnMet],"&gt;"&amp;($A149+0/24))</f>
        <v/>
      </c>
      <c r="E149" s="20">
        <f>COUNTIFS(tData[SEHTrajectPeriodeDatumTijdVan],"&lt;="&amp;($A149+1/24),tData[SEHTrajectPeriodeDatumTijdTotEnMet],"&gt;"&amp;($A149+1/24))</f>
        <v/>
      </c>
      <c r="F149" s="20">
        <f>COUNTIFS(tData[SEHTrajectPeriodeDatumTijdVan],"&lt;="&amp;($A149+2/24),tData[SEHTrajectPeriodeDatumTijdTotEnMet],"&gt;"&amp;($A149+2/24))</f>
        <v/>
      </c>
      <c r="G149" s="20">
        <f>COUNTIFS(tData[SEHTrajectPeriodeDatumTijdVan],"&lt;="&amp;($A149+3/24),tData[SEHTrajectPeriodeDatumTijdTotEnMet],"&gt;"&amp;($A149+3/24))</f>
        <v/>
      </c>
      <c r="H149" s="20">
        <f>COUNTIFS(tData[SEHTrajectPeriodeDatumTijdVan],"&lt;="&amp;($A149+4/24),tData[SEHTrajectPeriodeDatumTijdTotEnMet],"&gt;"&amp;($A149+4/24))</f>
        <v/>
      </c>
      <c r="I149" s="20">
        <f>COUNTIFS(tData[SEHTrajectPeriodeDatumTijdVan],"&lt;="&amp;($A149+5/24),tData[SEHTrajectPeriodeDatumTijdTotEnMet],"&gt;"&amp;($A149+5/24))</f>
        <v/>
      </c>
      <c r="J149" s="20">
        <f>COUNTIFS(tData[SEHTrajectPeriodeDatumTijdVan],"&lt;="&amp;($A149+6/24),tData[SEHTrajectPeriodeDatumTijdTotEnMet],"&gt;"&amp;($A149+6/24))</f>
        <v/>
      </c>
      <c r="K149" s="20">
        <f>COUNTIFS(tData[SEHTrajectPeriodeDatumTijdVan],"&lt;="&amp;($A149+7/24),tData[SEHTrajectPeriodeDatumTijdTotEnMet],"&gt;"&amp;($A149+7/24))</f>
        <v/>
      </c>
      <c r="L149" s="20">
        <f>COUNTIFS(tData[SEHTrajectPeriodeDatumTijdVan],"&lt;="&amp;($A149+8/24),tData[SEHTrajectPeriodeDatumTijdTotEnMet],"&gt;"&amp;($A149+8/24))</f>
        <v/>
      </c>
      <c r="M149" s="20">
        <f>COUNTIFS(tData[SEHTrajectPeriodeDatumTijdVan],"&lt;="&amp;($A149+9/24),tData[SEHTrajectPeriodeDatumTijdTotEnMet],"&gt;"&amp;($A149+9/24))</f>
        <v/>
      </c>
      <c r="N149" s="20">
        <f>COUNTIFS(tData[SEHTrajectPeriodeDatumTijdVan],"&lt;="&amp;($A149+10/24),tData[SEHTrajectPeriodeDatumTijdTotEnMet],"&gt;"&amp;($A149+10/24))</f>
        <v/>
      </c>
      <c r="O149" s="20">
        <f>COUNTIFS(tData[SEHTrajectPeriodeDatumTijdVan],"&lt;="&amp;($A149+11/24),tData[SEHTrajectPeriodeDatumTijdTotEnMet],"&gt;"&amp;($A149+11/24))</f>
        <v/>
      </c>
      <c r="P149" s="20">
        <f>COUNTIFS(tData[SEHTrajectPeriodeDatumTijdVan],"&lt;="&amp;($A149+12/24),tData[SEHTrajectPeriodeDatumTijdTotEnMet],"&gt;"&amp;($A149+12/24))</f>
        <v/>
      </c>
      <c r="Q149" s="20">
        <f>COUNTIFS(tData[SEHTrajectPeriodeDatumTijdVan],"&lt;="&amp;($A149+13/24),tData[SEHTrajectPeriodeDatumTijdTotEnMet],"&gt;"&amp;($A149+13/24))</f>
        <v/>
      </c>
      <c r="R149" s="20">
        <f>COUNTIFS(tData[SEHTrajectPeriodeDatumTijdVan],"&lt;="&amp;($A149+14/24),tData[SEHTrajectPeriodeDatumTijdTotEnMet],"&gt;"&amp;($A149+14/24))</f>
        <v/>
      </c>
      <c r="S149" s="20">
        <f>COUNTIFS(tData[SEHTrajectPeriodeDatumTijdVan],"&lt;="&amp;($A149+15/24),tData[SEHTrajectPeriodeDatumTijdTotEnMet],"&gt;"&amp;($A149+15/24))</f>
        <v/>
      </c>
      <c r="T149" s="20">
        <f>COUNTIFS(tData[SEHTrajectPeriodeDatumTijdVan],"&lt;="&amp;($A149+16/24),tData[SEHTrajectPeriodeDatumTijdTotEnMet],"&gt;"&amp;($A149+16/24))</f>
        <v/>
      </c>
      <c r="U149" s="20">
        <f>COUNTIFS(tData[SEHTrajectPeriodeDatumTijdVan],"&lt;="&amp;($A149+17/24),tData[SEHTrajectPeriodeDatumTijdTotEnMet],"&gt;"&amp;($A149+17/24))</f>
        <v/>
      </c>
      <c r="V149" s="20">
        <f>COUNTIFS(tData[SEHTrajectPeriodeDatumTijdVan],"&lt;="&amp;($A149+18/24),tData[SEHTrajectPeriodeDatumTijdTotEnMet],"&gt;"&amp;($A149+18/24))</f>
        <v/>
      </c>
      <c r="W149" s="20">
        <f>COUNTIFS(tData[SEHTrajectPeriodeDatumTijdVan],"&lt;="&amp;($A149+19/24),tData[SEHTrajectPeriodeDatumTijdTotEnMet],"&gt;"&amp;($A149+19/24))</f>
        <v/>
      </c>
      <c r="X149" s="20">
        <f>COUNTIFS(tData[SEHTrajectPeriodeDatumTijdVan],"&lt;="&amp;($A149+20/24),tData[SEHTrajectPeriodeDatumTijdTotEnMet],"&gt;"&amp;($A149+20/24))</f>
        <v/>
      </c>
      <c r="Y149" s="20">
        <f>COUNTIFS(tData[SEHTrajectPeriodeDatumTijdVan],"&lt;="&amp;($A149+21/24),tData[SEHTrajectPeriodeDatumTijdTotEnMet],"&gt;"&amp;($A149+21/24))</f>
        <v/>
      </c>
      <c r="Z149" s="20">
        <f>COUNTIFS(tData[SEHTrajectPeriodeDatumTijdVan],"&lt;="&amp;($A149+22/24),tData[SEHTrajectPeriodeDatumTijdTotEnMet],"&gt;"&amp;($A149+22/24))</f>
        <v/>
      </c>
      <c r="AA149" s="20">
        <f>COUNTIFS(tData[SEHTrajectPeriodeDatumTijdVan],"&lt;="&amp;($A149+23/24),tData[SEHTrajectPeriodeDatumTijdTotEnMet],"&gt;"&amp;($A149+23/24))</f>
        <v/>
      </c>
    </row>
    <row r="150">
      <c r="A150" s="19" t="n">
        <v>45438</v>
      </c>
      <c r="B150" s="15">
        <f>WEEKDAY($A150,2)</f>
        <v/>
      </c>
      <c r="C150" s="15">
        <f>IF(AND($A150&gt;=INT(Instellingen!$B$5),$A150&lt;=INT(Instellingen!$B$6)),1,0)</f>
        <v/>
      </c>
      <c r="D150" s="20">
        <f>COUNTIFS(tData[SEHTrajectPeriodeDatumTijdVan],"&lt;="&amp;($A150+0/24),tData[SEHTrajectPeriodeDatumTijdTotEnMet],"&gt;"&amp;($A150+0/24))</f>
        <v/>
      </c>
      <c r="E150" s="20">
        <f>COUNTIFS(tData[SEHTrajectPeriodeDatumTijdVan],"&lt;="&amp;($A150+1/24),tData[SEHTrajectPeriodeDatumTijdTotEnMet],"&gt;"&amp;($A150+1/24))</f>
        <v/>
      </c>
      <c r="F150" s="20">
        <f>COUNTIFS(tData[SEHTrajectPeriodeDatumTijdVan],"&lt;="&amp;($A150+2/24),tData[SEHTrajectPeriodeDatumTijdTotEnMet],"&gt;"&amp;($A150+2/24))</f>
        <v/>
      </c>
      <c r="G150" s="20">
        <f>COUNTIFS(tData[SEHTrajectPeriodeDatumTijdVan],"&lt;="&amp;($A150+3/24),tData[SEHTrajectPeriodeDatumTijdTotEnMet],"&gt;"&amp;($A150+3/24))</f>
        <v/>
      </c>
      <c r="H150" s="20">
        <f>COUNTIFS(tData[SEHTrajectPeriodeDatumTijdVan],"&lt;="&amp;($A150+4/24),tData[SEHTrajectPeriodeDatumTijdTotEnMet],"&gt;"&amp;($A150+4/24))</f>
        <v/>
      </c>
      <c r="I150" s="20">
        <f>COUNTIFS(tData[SEHTrajectPeriodeDatumTijdVan],"&lt;="&amp;($A150+5/24),tData[SEHTrajectPeriodeDatumTijdTotEnMet],"&gt;"&amp;($A150+5/24))</f>
        <v/>
      </c>
      <c r="J150" s="20">
        <f>COUNTIFS(tData[SEHTrajectPeriodeDatumTijdVan],"&lt;="&amp;($A150+6/24),tData[SEHTrajectPeriodeDatumTijdTotEnMet],"&gt;"&amp;($A150+6/24))</f>
        <v/>
      </c>
      <c r="K150" s="20">
        <f>COUNTIFS(tData[SEHTrajectPeriodeDatumTijdVan],"&lt;="&amp;($A150+7/24),tData[SEHTrajectPeriodeDatumTijdTotEnMet],"&gt;"&amp;($A150+7/24))</f>
        <v/>
      </c>
      <c r="L150" s="20">
        <f>COUNTIFS(tData[SEHTrajectPeriodeDatumTijdVan],"&lt;="&amp;($A150+8/24),tData[SEHTrajectPeriodeDatumTijdTotEnMet],"&gt;"&amp;($A150+8/24))</f>
        <v/>
      </c>
      <c r="M150" s="20">
        <f>COUNTIFS(tData[SEHTrajectPeriodeDatumTijdVan],"&lt;="&amp;($A150+9/24),tData[SEHTrajectPeriodeDatumTijdTotEnMet],"&gt;"&amp;($A150+9/24))</f>
        <v/>
      </c>
      <c r="N150" s="20">
        <f>COUNTIFS(tData[SEHTrajectPeriodeDatumTijdVan],"&lt;="&amp;($A150+10/24),tData[SEHTrajectPeriodeDatumTijdTotEnMet],"&gt;"&amp;($A150+10/24))</f>
        <v/>
      </c>
      <c r="O150" s="20">
        <f>COUNTIFS(tData[SEHTrajectPeriodeDatumTijdVan],"&lt;="&amp;($A150+11/24),tData[SEHTrajectPeriodeDatumTijdTotEnMet],"&gt;"&amp;($A150+11/24))</f>
        <v/>
      </c>
      <c r="P150" s="20">
        <f>COUNTIFS(tData[SEHTrajectPeriodeDatumTijdVan],"&lt;="&amp;($A150+12/24),tData[SEHTrajectPeriodeDatumTijdTotEnMet],"&gt;"&amp;($A150+12/24))</f>
        <v/>
      </c>
      <c r="Q150" s="20">
        <f>COUNTIFS(tData[SEHTrajectPeriodeDatumTijdVan],"&lt;="&amp;($A150+13/24),tData[SEHTrajectPeriodeDatumTijdTotEnMet],"&gt;"&amp;($A150+13/24))</f>
        <v/>
      </c>
      <c r="R150" s="20">
        <f>COUNTIFS(tData[SEHTrajectPeriodeDatumTijdVan],"&lt;="&amp;($A150+14/24),tData[SEHTrajectPeriodeDatumTijdTotEnMet],"&gt;"&amp;($A150+14/24))</f>
        <v/>
      </c>
      <c r="S150" s="20">
        <f>COUNTIFS(tData[SEHTrajectPeriodeDatumTijdVan],"&lt;="&amp;($A150+15/24),tData[SEHTrajectPeriodeDatumTijdTotEnMet],"&gt;"&amp;($A150+15/24))</f>
        <v/>
      </c>
      <c r="T150" s="20">
        <f>COUNTIFS(tData[SEHTrajectPeriodeDatumTijdVan],"&lt;="&amp;($A150+16/24),tData[SEHTrajectPeriodeDatumTijdTotEnMet],"&gt;"&amp;($A150+16/24))</f>
        <v/>
      </c>
      <c r="U150" s="20">
        <f>COUNTIFS(tData[SEHTrajectPeriodeDatumTijdVan],"&lt;="&amp;($A150+17/24),tData[SEHTrajectPeriodeDatumTijdTotEnMet],"&gt;"&amp;($A150+17/24))</f>
        <v/>
      </c>
      <c r="V150" s="20">
        <f>COUNTIFS(tData[SEHTrajectPeriodeDatumTijdVan],"&lt;="&amp;($A150+18/24),tData[SEHTrajectPeriodeDatumTijdTotEnMet],"&gt;"&amp;($A150+18/24))</f>
        <v/>
      </c>
      <c r="W150" s="20">
        <f>COUNTIFS(tData[SEHTrajectPeriodeDatumTijdVan],"&lt;="&amp;($A150+19/24),tData[SEHTrajectPeriodeDatumTijdTotEnMet],"&gt;"&amp;($A150+19/24))</f>
        <v/>
      </c>
      <c r="X150" s="20">
        <f>COUNTIFS(tData[SEHTrajectPeriodeDatumTijdVan],"&lt;="&amp;($A150+20/24),tData[SEHTrajectPeriodeDatumTijdTotEnMet],"&gt;"&amp;($A150+20/24))</f>
        <v/>
      </c>
      <c r="Y150" s="20">
        <f>COUNTIFS(tData[SEHTrajectPeriodeDatumTijdVan],"&lt;="&amp;($A150+21/24),tData[SEHTrajectPeriodeDatumTijdTotEnMet],"&gt;"&amp;($A150+21/24))</f>
        <v/>
      </c>
      <c r="Z150" s="20">
        <f>COUNTIFS(tData[SEHTrajectPeriodeDatumTijdVan],"&lt;="&amp;($A150+22/24),tData[SEHTrajectPeriodeDatumTijdTotEnMet],"&gt;"&amp;($A150+22/24))</f>
        <v/>
      </c>
      <c r="AA150" s="20">
        <f>COUNTIFS(tData[SEHTrajectPeriodeDatumTijdVan],"&lt;="&amp;($A150+23/24),tData[SEHTrajectPeriodeDatumTijdTotEnMet],"&gt;"&amp;($A150+23/24))</f>
        <v/>
      </c>
    </row>
    <row r="151">
      <c r="A151" s="19" t="n">
        <v>45439</v>
      </c>
      <c r="B151" s="15">
        <f>WEEKDAY($A151,2)</f>
        <v/>
      </c>
      <c r="C151" s="15">
        <f>IF(AND($A151&gt;=INT(Instellingen!$B$5),$A151&lt;=INT(Instellingen!$B$6)),1,0)</f>
        <v/>
      </c>
      <c r="D151" s="20">
        <f>COUNTIFS(tData[SEHTrajectPeriodeDatumTijdVan],"&lt;="&amp;($A151+0/24),tData[SEHTrajectPeriodeDatumTijdTotEnMet],"&gt;"&amp;($A151+0/24))</f>
        <v/>
      </c>
      <c r="E151" s="20">
        <f>COUNTIFS(tData[SEHTrajectPeriodeDatumTijdVan],"&lt;="&amp;($A151+1/24),tData[SEHTrajectPeriodeDatumTijdTotEnMet],"&gt;"&amp;($A151+1/24))</f>
        <v/>
      </c>
      <c r="F151" s="20">
        <f>COUNTIFS(tData[SEHTrajectPeriodeDatumTijdVan],"&lt;="&amp;($A151+2/24),tData[SEHTrajectPeriodeDatumTijdTotEnMet],"&gt;"&amp;($A151+2/24))</f>
        <v/>
      </c>
      <c r="G151" s="20">
        <f>COUNTIFS(tData[SEHTrajectPeriodeDatumTijdVan],"&lt;="&amp;($A151+3/24),tData[SEHTrajectPeriodeDatumTijdTotEnMet],"&gt;"&amp;($A151+3/24))</f>
        <v/>
      </c>
      <c r="H151" s="20">
        <f>COUNTIFS(tData[SEHTrajectPeriodeDatumTijdVan],"&lt;="&amp;($A151+4/24),tData[SEHTrajectPeriodeDatumTijdTotEnMet],"&gt;"&amp;($A151+4/24))</f>
        <v/>
      </c>
      <c r="I151" s="20">
        <f>COUNTIFS(tData[SEHTrajectPeriodeDatumTijdVan],"&lt;="&amp;($A151+5/24),tData[SEHTrajectPeriodeDatumTijdTotEnMet],"&gt;"&amp;($A151+5/24))</f>
        <v/>
      </c>
      <c r="J151" s="20">
        <f>COUNTIFS(tData[SEHTrajectPeriodeDatumTijdVan],"&lt;="&amp;($A151+6/24),tData[SEHTrajectPeriodeDatumTijdTotEnMet],"&gt;"&amp;($A151+6/24))</f>
        <v/>
      </c>
      <c r="K151" s="20">
        <f>COUNTIFS(tData[SEHTrajectPeriodeDatumTijdVan],"&lt;="&amp;($A151+7/24),tData[SEHTrajectPeriodeDatumTijdTotEnMet],"&gt;"&amp;($A151+7/24))</f>
        <v/>
      </c>
      <c r="L151" s="20">
        <f>COUNTIFS(tData[SEHTrajectPeriodeDatumTijdVan],"&lt;="&amp;($A151+8/24),tData[SEHTrajectPeriodeDatumTijdTotEnMet],"&gt;"&amp;($A151+8/24))</f>
        <v/>
      </c>
      <c r="M151" s="20">
        <f>COUNTIFS(tData[SEHTrajectPeriodeDatumTijdVan],"&lt;="&amp;($A151+9/24),tData[SEHTrajectPeriodeDatumTijdTotEnMet],"&gt;"&amp;($A151+9/24))</f>
        <v/>
      </c>
      <c r="N151" s="20">
        <f>COUNTIFS(tData[SEHTrajectPeriodeDatumTijdVan],"&lt;="&amp;($A151+10/24),tData[SEHTrajectPeriodeDatumTijdTotEnMet],"&gt;"&amp;($A151+10/24))</f>
        <v/>
      </c>
      <c r="O151" s="20">
        <f>COUNTIFS(tData[SEHTrajectPeriodeDatumTijdVan],"&lt;="&amp;($A151+11/24),tData[SEHTrajectPeriodeDatumTijdTotEnMet],"&gt;"&amp;($A151+11/24))</f>
        <v/>
      </c>
      <c r="P151" s="20">
        <f>COUNTIFS(tData[SEHTrajectPeriodeDatumTijdVan],"&lt;="&amp;($A151+12/24),tData[SEHTrajectPeriodeDatumTijdTotEnMet],"&gt;"&amp;($A151+12/24))</f>
        <v/>
      </c>
      <c r="Q151" s="20">
        <f>COUNTIFS(tData[SEHTrajectPeriodeDatumTijdVan],"&lt;="&amp;($A151+13/24),tData[SEHTrajectPeriodeDatumTijdTotEnMet],"&gt;"&amp;($A151+13/24))</f>
        <v/>
      </c>
      <c r="R151" s="20">
        <f>COUNTIFS(tData[SEHTrajectPeriodeDatumTijdVan],"&lt;="&amp;($A151+14/24),tData[SEHTrajectPeriodeDatumTijdTotEnMet],"&gt;"&amp;($A151+14/24))</f>
        <v/>
      </c>
      <c r="S151" s="20">
        <f>COUNTIFS(tData[SEHTrajectPeriodeDatumTijdVan],"&lt;="&amp;($A151+15/24),tData[SEHTrajectPeriodeDatumTijdTotEnMet],"&gt;"&amp;($A151+15/24))</f>
        <v/>
      </c>
      <c r="T151" s="20">
        <f>COUNTIFS(tData[SEHTrajectPeriodeDatumTijdVan],"&lt;="&amp;($A151+16/24),tData[SEHTrajectPeriodeDatumTijdTotEnMet],"&gt;"&amp;($A151+16/24))</f>
        <v/>
      </c>
      <c r="U151" s="20">
        <f>COUNTIFS(tData[SEHTrajectPeriodeDatumTijdVan],"&lt;="&amp;($A151+17/24),tData[SEHTrajectPeriodeDatumTijdTotEnMet],"&gt;"&amp;($A151+17/24))</f>
        <v/>
      </c>
      <c r="V151" s="20">
        <f>COUNTIFS(tData[SEHTrajectPeriodeDatumTijdVan],"&lt;="&amp;($A151+18/24),tData[SEHTrajectPeriodeDatumTijdTotEnMet],"&gt;"&amp;($A151+18/24))</f>
        <v/>
      </c>
      <c r="W151" s="20">
        <f>COUNTIFS(tData[SEHTrajectPeriodeDatumTijdVan],"&lt;="&amp;($A151+19/24),tData[SEHTrajectPeriodeDatumTijdTotEnMet],"&gt;"&amp;($A151+19/24))</f>
        <v/>
      </c>
      <c r="X151" s="20">
        <f>COUNTIFS(tData[SEHTrajectPeriodeDatumTijdVan],"&lt;="&amp;($A151+20/24),tData[SEHTrajectPeriodeDatumTijdTotEnMet],"&gt;"&amp;($A151+20/24))</f>
        <v/>
      </c>
      <c r="Y151" s="20">
        <f>COUNTIFS(tData[SEHTrajectPeriodeDatumTijdVan],"&lt;="&amp;($A151+21/24),tData[SEHTrajectPeriodeDatumTijdTotEnMet],"&gt;"&amp;($A151+21/24))</f>
        <v/>
      </c>
      <c r="Z151" s="20">
        <f>COUNTIFS(tData[SEHTrajectPeriodeDatumTijdVan],"&lt;="&amp;($A151+22/24),tData[SEHTrajectPeriodeDatumTijdTotEnMet],"&gt;"&amp;($A151+22/24))</f>
        <v/>
      </c>
      <c r="AA151" s="20">
        <f>COUNTIFS(tData[SEHTrajectPeriodeDatumTijdVan],"&lt;="&amp;($A151+23/24),tData[SEHTrajectPeriodeDatumTijdTotEnMet],"&gt;"&amp;($A151+23/24))</f>
        <v/>
      </c>
    </row>
    <row r="152">
      <c r="A152" s="19" t="n">
        <v>45440</v>
      </c>
      <c r="B152" s="15">
        <f>WEEKDAY($A152,2)</f>
        <v/>
      </c>
      <c r="C152" s="15">
        <f>IF(AND($A152&gt;=INT(Instellingen!$B$5),$A152&lt;=INT(Instellingen!$B$6)),1,0)</f>
        <v/>
      </c>
      <c r="D152" s="20">
        <f>COUNTIFS(tData[SEHTrajectPeriodeDatumTijdVan],"&lt;="&amp;($A152+0/24),tData[SEHTrajectPeriodeDatumTijdTotEnMet],"&gt;"&amp;($A152+0/24))</f>
        <v/>
      </c>
      <c r="E152" s="20">
        <f>COUNTIFS(tData[SEHTrajectPeriodeDatumTijdVan],"&lt;="&amp;($A152+1/24),tData[SEHTrajectPeriodeDatumTijdTotEnMet],"&gt;"&amp;($A152+1/24))</f>
        <v/>
      </c>
      <c r="F152" s="20">
        <f>COUNTIFS(tData[SEHTrajectPeriodeDatumTijdVan],"&lt;="&amp;($A152+2/24),tData[SEHTrajectPeriodeDatumTijdTotEnMet],"&gt;"&amp;($A152+2/24))</f>
        <v/>
      </c>
      <c r="G152" s="20">
        <f>COUNTIFS(tData[SEHTrajectPeriodeDatumTijdVan],"&lt;="&amp;($A152+3/24),tData[SEHTrajectPeriodeDatumTijdTotEnMet],"&gt;"&amp;($A152+3/24))</f>
        <v/>
      </c>
      <c r="H152" s="20">
        <f>COUNTIFS(tData[SEHTrajectPeriodeDatumTijdVan],"&lt;="&amp;($A152+4/24),tData[SEHTrajectPeriodeDatumTijdTotEnMet],"&gt;"&amp;($A152+4/24))</f>
        <v/>
      </c>
      <c r="I152" s="20">
        <f>COUNTIFS(tData[SEHTrajectPeriodeDatumTijdVan],"&lt;="&amp;($A152+5/24),tData[SEHTrajectPeriodeDatumTijdTotEnMet],"&gt;"&amp;($A152+5/24))</f>
        <v/>
      </c>
      <c r="J152" s="20">
        <f>COUNTIFS(tData[SEHTrajectPeriodeDatumTijdVan],"&lt;="&amp;($A152+6/24),tData[SEHTrajectPeriodeDatumTijdTotEnMet],"&gt;"&amp;($A152+6/24))</f>
        <v/>
      </c>
      <c r="K152" s="20">
        <f>COUNTIFS(tData[SEHTrajectPeriodeDatumTijdVan],"&lt;="&amp;($A152+7/24),tData[SEHTrajectPeriodeDatumTijdTotEnMet],"&gt;"&amp;($A152+7/24))</f>
        <v/>
      </c>
      <c r="L152" s="20">
        <f>COUNTIFS(tData[SEHTrajectPeriodeDatumTijdVan],"&lt;="&amp;($A152+8/24),tData[SEHTrajectPeriodeDatumTijdTotEnMet],"&gt;"&amp;($A152+8/24))</f>
        <v/>
      </c>
      <c r="M152" s="20">
        <f>COUNTIFS(tData[SEHTrajectPeriodeDatumTijdVan],"&lt;="&amp;($A152+9/24),tData[SEHTrajectPeriodeDatumTijdTotEnMet],"&gt;"&amp;($A152+9/24))</f>
        <v/>
      </c>
      <c r="N152" s="20">
        <f>COUNTIFS(tData[SEHTrajectPeriodeDatumTijdVan],"&lt;="&amp;($A152+10/24),tData[SEHTrajectPeriodeDatumTijdTotEnMet],"&gt;"&amp;($A152+10/24))</f>
        <v/>
      </c>
      <c r="O152" s="20">
        <f>COUNTIFS(tData[SEHTrajectPeriodeDatumTijdVan],"&lt;="&amp;($A152+11/24),tData[SEHTrajectPeriodeDatumTijdTotEnMet],"&gt;"&amp;($A152+11/24))</f>
        <v/>
      </c>
      <c r="P152" s="20">
        <f>COUNTIFS(tData[SEHTrajectPeriodeDatumTijdVan],"&lt;="&amp;($A152+12/24),tData[SEHTrajectPeriodeDatumTijdTotEnMet],"&gt;"&amp;($A152+12/24))</f>
        <v/>
      </c>
      <c r="Q152" s="20">
        <f>COUNTIFS(tData[SEHTrajectPeriodeDatumTijdVan],"&lt;="&amp;($A152+13/24),tData[SEHTrajectPeriodeDatumTijdTotEnMet],"&gt;"&amp;($A152+13/24))</f>
        <v/>
      </c>
      <c r="R152" s="20">
        <f>COUNTIFS(tData[SEHTrajectPeriodeDatumTijdVan],"&lt;="&amp;($A152+14/24),tData[SEHTrajectPeriodeDatumTijdTotEnMet],"&gt;"&amp;($A152+14/24))</f>
        <v/>
      </c>
      <c r="S152" s="20">
        <f>COUNTIFS(tData[SEHTrajectPeriodeDatumTijdVan],"&lt;="&amp;($A152+15/24),tData[SEHTrajectPeriodeDatumTijdTotEnMet],"&gt;"&amp;($A152+15/24))</f>
        <v/>
      </c>
      <c r="T152" s="20">
        <f>COUNTIFS(tData[SEHTrajectPeriodeDatumTijdVan],"&lt;="&amp;($A152+16/24),tData[SEHTrajectPeriodeDatumTijdTotEnMet],"&gt;"&amp;($A152+16/24))</f>
        <v/>
      </c>
      <c r="U152" s="20">
        <f>COUNTIFS(tData[SEHTrajectPeriodeDatumTijdVan],"&lt;="&amp;($A152+17/24),tData[SEHTrajectPeriodeDatumTijdTotEnMet],"&gt;"&amp;($A152+17/24))</f>
        <v/>
      </c>
      <c r="V152" s="20">
        <f>COUNTIFS(tData[SEHTrajectPeriodeDatumTijdVan],"&lt;="&amp;($A152+18/24),tData[SEHTrajectPeriodeDatumTijdTotEnMet],"&gt;"&amp;($A152+18/24))</f>
        <v/>
      </c>
      <c r="W152" s="20">
        <f>COUNTIFS(tData[SEHTrajectPeriodeDatumTijdVan],"&lt;="&amp;($A152+19/24),tData[SEHTrajectPeriodeDatumTijdTotEnMet],"&gt;"&amp;($A152+19/24))</f>
        <v/>
      </c>
      <c r="X152" s="20">
        <f>COUNTIFS(tData[SEHTrajectPeriodeDatumTijdVan],"&lt;="&amp;($A152+20/24),tData[SEHTrajectPeriodeDatumTijdTotEnMet],"&gt;"&amp;($A152+20/24))</f>
        <v/>
      </c>
      <c r="Y152" s="20">
        <f>COUNTIFS(tData[SEHTrajectPeriodeDatumTijdVan],"&lt;="&amp;($A152+21/24),tData[SEHTrajectPeriodeDatumTijdTotEnMet],"&gt;"&amp;($A152+21/24))</f>
        <v/>
      </c>
      <c r="Z152" s="20">
        <f>COUNTIFS(tData[SEHTrajectPeriodeDatumTijdVan],"&lt;="&amp;($A152+22/24),tData[SEHTrajectPeriodeDatumTijdTotEnMet],"&gt;"&amp;($A152+22/24))</f>
        <v/>
      </c>
      <c r="AA152" s="20">
        <f>COUNTIFS(tData[SEHTrajectPeriodeDatumTijdVan],"&lt;="&amp;($A152+23/24),tData[SEHTrajectPeriodeDatumTijdTotEnMet],"&gt;"&amp;($A152+23/24))</f>
        <v/>
      </c>
    </row>
    <row r="153">
      <c r="A153" s="19" t="n">
        <v>45441</v>
      </c>
      <c r="B153" s="15">
        <f>WEEKDAY($A153,2)</f>
        <v/>
      </c>
      <c r="C153" s="15">
        <f>IF(AND($A153&gt;=INT(Instellingen!$B$5),$A153&lt;=INT(Instellingen!$B$6)),1,0)</f>
        <v/>
      </c>
      <c r="D153" s="20">
        <f>COUNTIFS(tData[SEHTrajectPeriodeDatumTijdVan],"&lt;="&amp;($A153+0/24),tData[SEHTrajectPeriodeDatumTijdTotEnMet],"&gt;"&amp;($A153+0/24))</f>
        <v/>
      </c>
      <c r="E153" s="20">
        <f>COUNTIFS(tData[SEHTrajectPeriodeDatumTijdVan],"&lt;="&amp;($A153+1/24),tData[SEHTrajectPeriodeDatumTijdTotEnMet],"&gt;"&amp;($A153+1/24))</f>
        <v/>
      </c>
      <c r="F153" s="20">
        <f>COUNTIFS(tData[SEHTrajectPeriodeDatumTijdVan],"&lt;="&amp;($A153+2/24),tData[SEHTrajectPeriodeDatumTijdTotEnMet],"&gt;"&amp;($A153+2/24))</f>
        <v/>
      </c>
      <c r="G153" s="20">
        <f>COUNTIFS(tData[SEHTrajectPeriodeDatumTijdVan],"&lt;="&amp;($A153+3/24),tData[SEHTrajectPeriodeDatumTijdTotEnMet],"&gt;"&amp;($A153+3/24))</f>
        <v/>
      </c>
      <c r="H153" s="20">
        <f>COUNTIFS(tData[SEHTrajectPeriodeDatumTijdVan],"&lt;="&amp;($A153+4/24),tData[SEHTrajectPeriodeDatumTijdTotEnMet],"&gt;"&amp;($A153+4/24))</f>
        <v/>
      </c>
      <c r="I153" s="20">
        <f>COUNTIFS(tData[SEHTrajectPeriodeDatumTijdVan],"&lt;="&amp;($A153+5/24),tData[SEHTrajectPeriodeDatumTijdTotEnMet],"&gt;"&amp;($A153+5/24))</f>
        <v/>
      </c>
      <c r="J153" s="20">
        <f>COUNTIFS(tData[SEHTrajectPeriodeDatumTijdVan],"&lt;="&amp;($A153+6/24),tData[SEHTrajectPeriodeDatumTijdTotEnMet],"&gt;"&amp;($A153+6/24))</f>
        <v/>
      </c>
      <c r="K153" s="20">
        <f>COUNTIFS(tData[SEHTrajectPeriodeDatumTijdVan],"&lt;="&amp;($A153+7/24),tData[SEHTrajectPeriodeDatumTijdTotEnMet],"&gt;"&amp;($A153+7/24))</f>
        <v/>
      </c>
      <c r="L153" s="20">
        <f>COUNTIFS(tData[SEHTrajectPeriodeDatumTijdVan],"&lt;="&amp;($A153+8/24),tData[SEHTrajectPeriodeDatumTijdTotEnMet],"&gt;"&amp;($A153+8/24))</f>
        <v/>
      </c>
      <c r="M153" s="20">
        <f>COUNTIFS(tData[SEHTrajectPeriodeDatumTijdVan],"&lt;="&amp;($A153+9/24),tData[SEHTrajectPeriodeDatumTijdTotEnMet],"&gt;"&amp;($A153+9/24))</f>
        <v/>
      </c>
      <c r="N153" s="20">
        <f>COUNTIFS(tData[SEHTrajectPeriodeDatumTijdVan],"&lt;="&amp;($A153+10/24),tData[SEHTrajectPeriodeDatumTijdTotEnMet],"&gt;"&amp;($A153+10/24))</f>
        <v/>
      </c>
      <c r="O153" s="20">
        <f>COUNTIFS(tData[SEHTrajectPeriodeDatumTijdVan],"&lt;="&amp;($A153+11/24),tData[SEHTrajectPeriodeDatumTijdTotEnMet],"&gt;"&amp;($A153+11/24))</f>
        <v/>
      </c>
      <c r="P153" s="20">
        <f>COUNTIFS(tData[SEHTrajectPeriodeDatumTijdVan],"&lt;="&amp;($A153+12/24),tData[SEHTrajectPeriodeDatumTijdTotEnMet],"&gt;"&amp;($A153+12/24))</f>
        <v/>
      </c>
      <c r="Q153" s="20">
        <f>COUNTIFS(tData[SEHTrajectPeriodeDatumTijdVan],"&lt;="&amp;($A153+13/24),tData[SEHTrajectPeriodeDatumTijdTotEnMet],"&gt;"&amp;($A153+13/24))</f>
        <v/>
      </c>
      <c r="R153" s="20">
        <f>COUNTIFS(tData[SEHTrajectPeriodeDatumTijdVan],"&lt;="&amp;($A153+14/24),tData[SEHTrajectPeriodeDatumTijdTotEnMet],"&gt;"&amp;($A153+14/24))</f>
        <v/>
      </c>
      <c r="S153" s="20">
        <f>COUNTIFS(tData[SEHTrajectPeriodeDatumTijdVan],"&lt;="&amp;($A153+15/24),tData[SEHTrajectPeriodeDatumTijdTotEnMet],"&gt;"&amp;($A153+15/24))</f>
        <v/>
      </c>
      <c r="T153" s="20">
        <f>COUNTIFS(tData[SEHTrajectPeriodeDatumTijdVan],"&lt;="&amp;($A153+16/24),tData[SEHTrajectPeriodeDatumTijdTotEnMet],"&gt;"&amp;($A153+16/24))</f>
        <v/>
      </c>
      <c r="U153" s="20">
        <f>COUNTIFS(tData[SEHTrajectPeriodeDatumTijdVan],"&lt;="&amp;($A153+17/24),tData[SEHTrajectPeriodeDatumTijdTotEnMet],"&gt;"&amp;($A153+17/24))</f>
        <v/>
      </c>
      <c r="V153" s="20">
        <f>COUNTIFS(tData[SEHTrajectPeriodeDatumTijdVan],"&lt;="&amp;($A153+18/24),tData[SEHTrajectPeriodeDatumTijdTotEnMet],"&gt;"&amp;($A153+18/24))</f>
        <v/>
      </c>
      <c r="W153" s="20">
        <f>COUNTIFS(tData[SEHTrajectPeriodeDatumTijdVan],"&lt;="&amp;($A153+19/24),tData[SEHTrajectPeriodeDatumTijdTotEnMet],"&gt;"&amp;($A153+19/24))</f>
        <v/>
      </c>
      <c r="X153" s="20">
        <f>COUNTIFS(tData[SEHTrajectPeriodeDatumTijdVan],"&lt;="&amp;($A153+20/24),tData[SEHTrajectPeriodeDatumTijdTotEnMet],"&gt;"&amp;($A153+20/24))</f>
        <v/>
      </c>
      <c r="Y153" s="20">
        <f>COUNTIFS(tData[SEHTrajectPeriodeDatumTijdVan],"&lt;="&amp;($A153+21/24),tData[SEHTrajectPeriodeDatumTijdTotEnMet],"&gt;"&amp;($A153+21/24))</f>
        <v/>
      </c>
      <c r="Z153" s="20">
        <f>COUNTIFS(tData[SEHTrajectPeriodeDatumTijdVan],"&lt;="&amp;($A153+22/24),tData[SEHTrajectPeriodeDatumTijdTotEnMet],"&gt;"&amp;($A153+22/24))</f>
        <v/>
      </c>
      <c r="AA153" s="20">
        <f>COUNTIFS(tData[SEHTrajectPeriodeDatumTijdVan],"&lt;="&amp;($A153+23/24),tData[SEHTrajectPeriodeDatumTijdTotEnMet],"&gt;"&amp;($A153+23/24))</f>
        <v/>
      </c>
    </row>
    <row r="154">
      <c r="A154" s="19" t="n">
        <v>45442</v>
      </c>
      <c r="B154" s="15">
        <f>WEEKDAY($A154,2)</f>
        <v/>
      </c>
      <c r="C154" s="15">
        <f>IF(AND($A154&gt;=INT(Instellingen!$B$5),$A154&lt;=INT(Instellingen!$B$6)),1,0)</f>
        <v/>
      </c>
      <c r="D154" s="20">
        <f>COUNTIFS(tData[SEHTrajectPeriodeDatumTijdVan],"&lt;="&amp;($A154+0/24),tData[SEHTrajectPeriodeDatumTijdTotEnMet],"&gt;"&amp;($A154+0/24))</f>
        <v/>
      </c>
      <c r="E154" s="20">
        <f>COUNTIFS(tData[SEHTrajectPeriodeDatumTijdVan],"&lt;="&amp;($A154+1/24),tData[SEHTrajectPeriodeDatumTijdTotEnMet],"&gt;"&amp;($A154+1/24))</f>
        <v/>
      </c>
      <c r="F154" s="20">
        <f>COUNTIFS(tData[SEHTrajectPeriodeDatumTijdVan],"&lt;="&amp;($A154+2/24),tData[SEHTrajectPeriodeDatumTijdTotEnMet],"&gt;"&amp;($A154+2/24))</f>
        <v/>
      </c>
      <c r="G154" s="20">
        <f>COUNTIFS(tData[SEHTrajectPeriodeDatumTijdVan],"&lt;="&amp;($A154+3/24),tData[SEHTrajectPeriodeDatumTijdTotEnMet],"&gt;"&amp;($A154+3/24))</f>
        <v/>
      </c>
      <c r="H154" s="20">
        <f>COUNTIFS(tData[SEHTrajectPeriodeDatumTijdVan],"&lt;="&amp;($A154+4/24),tData[SEHTrajectPeriodeDatumTijdTotEnMet],"&gt;"&amp;($A154+4/24))</f>
        <v/>
      </c>
      <c r="I154" s="20">
        <f>COUNTIFS(tData[SEHTrajectPeriodeDatumTijdVan],"&lt;="&amp;($A154+5/24),tData[SEHTrajectPeriodeDatumTijdTotEnMet],"&gt;"&amp;($A154+5/24))</f>
        <v/>
      </c>
      <c r="J154" s="20">
        <f>COUNTIFS(tData[SEHTrajectPeriodeDatumTijdVan],"&lt;="&amp;($A154+6/24),tData[SEHTrajectPeriodeDatumTijdTotEnMet],"&gt;"&amp;($A154+6/24))</f>
        <v/>
      </c>
      <c r="K154" s="20">
        <f>COUNTIFS(tData[SEHTrajectPeriodeDatumTijdVan],"&lt;="&amp;($A154+7/24),tData[SEHTrajectPeriodeDatumTijdTotEnMet],"&gt;"&amp;($A154+7/24))</f>
        <v/>
      </c>
      <c r="L154" s="20">
        <f>COUNTIFS(tData[SEHTrajectPeriodeDatumTijdVan],"&lt;="&amp;($A154+8/24),tData[SEHTrajectPeriodeDatumTijdTotEnMet],"&gt;"&amp;($A154+8/24))</f>
        <v/>
      </c>
      <c r="M154" s="20">
        <f>COUNTIFS(tData[SEHTrajectPeriodeDatumTijdVan],"&lt;="&amp;($A154+9/24),tData[SEHTrajectPeriodeDatumTijdTotEnMet],"&gt;"&amp;($A154+9/24))</f>
        <v/>
      </c>
      <c r="N154" s="20">
        <f>COUNTIFS(tData[SEHTrajectPeriodeDatumTijdVan],"&lt;="&amp;($A154+10/24),tData[SEHTrajectPeriodeDatumTijdTotEnMet],"&gt;"&amp;($A154+10/24))</f>
        <v/>
      </c>
      <c r="O154" s="20">
        <f>COUNTIFS(tData[SEHTrajectPeriodeDatumTijdVan],"&lt;="&amp;($A154+11/24),tData[SEHTrajectPeriodeDatumTijdTotEnMet],"&gt;"&amp;($A154+11/24))</f>
        <v/>
      </c>
      <c r="P154" s="20">
        <f>COUNTIFS(tData[SEHTrajectPeriodeDatumTijdVan],"&lt;="&amp;($A154+12/24),tData[SEHTrajectPeriodeDatumTijdTotEnMet],"&gt;"&amp;($A154+12/24))</f>
        <v/>
      </c>
      <c r="Q154" s="20">
        <f>COUNTIFS(tData[SEHTrajectPeriodeDatumTijdVan],"&lt;="&amp;($A154+13/24),tData[SEHTrajectPeriodeDatumTijdTotEnMet],"&gt;"&amp;($A154+13/24))</f>
        <v/>
      </c>
      <c r="R154" s="20">
        <f>COUNTIFS(tData[SEHTrajectPeriodeDatumTijdVan],"&lt;="&amp;($A154+14/24),tData[SEHTrajectPeriodeDatumTijdTotEnMet],"&gt;"&amp;($A154+14/24))</f>
        <v/>
      </c>
      <c r="S154" s="20">
        <f>COUNTIFS(tData[SEHTrajectPeriodeDatumTijdVan],"&lt;="&amp;($A154+15/24),tData[SEHTrajectPeriodeDatumTijdTotEnMet],"&gt;"&amp;($A154+15/24))</f>
        <v/>
      </c>
      <c r="T154" s="20">
        <f>COUNTIFS(tData[SEHTrajectPeriodeDatumTijdVan],"&lt;="&amp;($A154+16/24),tData[SEHTrajectPeriodeDatumTijdTotEnMet],"&gt;"&amp;($A154+16/24))</f>
        <v/>
      </c>
      <c r="U154" s="20">
        <f>COUNTIFS(tData[SEHTrajectPeriodeDatumTijdVan],"&lt;="&amp;($A154+17/24),tData[SEHTrajectPeriodeDatumTijdTotEnMet],"&gt;"&amp;($A154+17/24))</f>
        <v/>
      </c>
      <c r="V154" s="20">
        <f>COUNTIFS(tData[SEHTrajectPeriodeDatumTijdVan],"&lt;="&amp;($A154+18/24),tData[SEHTrajectPeriodeDatumTijdTotEnMet],"&gt;"&amp;($A154+18/24))</f>
        <v/>
      </c>
      <c r="W154" s="20">
        <f>COUNTIFS(tData[SEHTrajectPeriodeDatumTijdVan],"&lt;="&amp;($A154+19/24),tData[SEHTrajectPeriodeDatumTijdTotEnMet],"&gt;"&amp;($A154+19/24))</f>
        <v/>
      </c>
      <c r="X154" s="20">
        <f>COUNTIFS(tData[SEHTrajectPeriodeDatumTijdVan],"&lt;="&amp;($A154+20/24),tData[SEHTrajectPeriodeDatumTijdTotEnMet],"&gt;"&amp;($A154+20/24))</f>
        <v/>
      </c>
      <c r="Y154" s="20">
        <f>COUNTIFS(tData[SEHTrajectPeriodeDatumTijdVan],"&lt;="&amp;($A154+21/24),tData[SEHTrajectPeriodeDatumTijdTotEnMet],"&gt;"&amp;($A154+21/24))</f>
        <v/>
      </c>
      <c r="Z154" s="20">
        <f>COUNTIFS(tData[SEHTrajectPeriodeDatumTijdVan],"&lt;="&amp;($A154+22/24),tData[SEHTrajectPeriodeDatumTijdTotEnMet],"&gt;"&amp;($A154+22/24))</f>
        <v/>
      </c>
      <c r="AA154" s="20">
        <f>COUNTIFS(tData[SEHTrajectPeriodeDatumTijdVan],"&lt;="&amp;($A154+23/24),tData[SEHTrajectPeriodeDatumTijdTotEnMet],"&gt;"&amp;($A154+23/24))</f>
        <v/>
      </c>
    </row>
    <row r="155">
      <c r="A155" s="19" t="n">
        <v>45443</v>
      </c>
      <c r="B155" s="15">
        <f>WEEKDAY($A155,2)</f>
        <v/>
      </c>
      <c r="C155" s="15">
        <f>IF(AND($A155&gt;=INT(Instellingen!$B$5),$A155&lt;=INT(Instellingen!$B$6)),1,0)</f>
        <v/>
      </c>
      <c r="D155" s="20">
        <f>COUNTIFS(tData[SEHTrajectPeriodeDatumTijdVan],"&lt;="&amp;($A155+0/24),tData[SEHTrajectPeriodeDatumTijdTotEnMet],"&gt;"&amp;($A155+0/24))</f>
        <v/>
      </c>
      <c r="E155" s="20">
        <f>COUNTIFS(tData[SEHTrajectPeriodeDatumTijdVan],"&lt;="&amp;($A155+1/24),tData[SEHTrajectPeriodeDatumTijdTotEnMet],"&gt;"&amp;($A155+1/24))</f>
        <v/>
      </c>
      <c r="F155" s="20">
        <f>COUNTIFS(tData[SEHTrajectPeriodeDatumTijdVan],"&lt;="&amp;($A155+2/24),tData[SEHTrajectPeriodeDatumTijdTotEnMet],"&gt;"&amp;($A155+2/24))</f>
        <v/>
      </c>
      <c r="G155" s="20">
        <f>COUNTIFS(tData[SEHTrajectPeriodeDatumTijdVan],"&lt;="&amp;($A155+3/24),tData[SEHTrajectPeriodeDatumTijdTotEnMet],"&gt;"&amp;($A155+3/24))</f>
        <v/>
      </c>
      <c r="H155" s="20">
        <f>COUNTIFS(tData[SEHTrajectPeriodeDatumTijdVan],"&lt;="&amp;($A155+4/24),tData[SEHTrajectPeriodeDatumTijdTotEnMet],"&gt;"&amp;($A155+4/24))</f>
        <v/>
      </c>
      <c r="I155" s="20">
        <f>COUNTIFS(tData[SEHTrajectPeriodeDatumTijdVan],"&lt;="&amp;($A155+5/24),tData[SEHTrajectPeriodeDatumTijdTotEnMet],"&gt;"&amp;($A155+5/24))</f>
        <v/>
      </c>
      <c r="J155" s="20">
        <f>COUNTIFS(tData[SEHTrajectPeriodeDatumTijdVan],"&lt;="&amp;($A155+6/24),tData[SEHTrajectPeriodeDatumTijdTotEnMet],"&gt;"&amp;($A155+6/24))</f>
        <v/>
      </c>
      <c r="K155" s="20">
        <f>COUNTIFS(tData[SEHTrajectPeriodeDatumTijdVan],"&lt;="&amp;($A155+7/24),tData[SEHTrajectPeriodeDatumTijdTotEnMet],"&gt;"&amp;($A155+7/24))</f>
        <v/>
      </c>
      <c r="L155" s="20">
        <f>COUNTIFS(tData[SEHTrajectPeriodeDatumTijdVan],"&lt;="&amp;($A155+8/24),tData[SEHTrajectPeriodeDatumTijdTotEnMet],"&gt;"&amp;($A155+8/24))</f>
        <v/>
      </c>
      <c r="M155" s="20">
        <f>COUNTIFS(tData[SEHTrajectPeriodeDatumTijdVan],"&lt;="&amp;($A155+9/24),tData[SEHTrajectPeriodeDatumTijdTotEnMet],"&gt;"&amp;($A155+9/24))</f>
        <v/>
      </c>
      <c r="N155" s="20">
        <f>COUNTIFS(tData[SEHTrajectPeriodeDatumTijdVan],"&lt;="&amp;($A155+10/24),tData[SEHTrajectPeriodeDatumTijdTotEnMet],"&gt;"&amp;($A155+10/24))</f>
        <v/>
      </c>
      <c r="O155" s="20">
        <f>COUNTIFS(tData[SEHTrajectPeriodeDatumTijdVan],"&lt;="&amp;($A155+11/24),tData[SEHTrajectPeriodeDatumTijdTotEnMet],"&gt;"&amp;($A155+11/24))</f>
        <v/>
      </c>
      <c r="P155" s="20">
        <f>COUNTIFS(tData[SEHTrajectPeriodeDatumTijdVan],"&lt;="&amp;($A155+12/24),tData[SEHTrajectPeriodeDatumTijdTotEnMet],"&gt;"&amp;($A155+12/24))</f>
        <v/>
      </c>
      <c r="Q155" s="20">
        <f>COUNTIFS(tData[SEHTrajectPeriodeDatumTijdVan],"&lt;="&amp;($A155+13/24),tData[SEHTrajectPeriodeDatumTijdTotEnMet],"&gt;"&amp;($A155+13/24))</f>
        <v/>
      </c>
      <c r="R155" s="20">
        <f>COUNTIFS(tData[SEHTrajectPeriodeDatumTijdVan],"&lt;="&amp;($A155+14/24),tData[SEHTrajectPeriodeDatumTijdTotEnMet],"&gt;"&amp;($A155+14/24))</f>
        <v/>
      </c>
      <c r="S155" s="20">
        <f>COUNTIFS(tData[SEHTrajectPeriodeDatumTijdVan],"&lt;="&amp;($A155+15/24),tData[SEHTrajectPeriodeDatumTijdTotEnMet],"&gt;"&amp;($A155+15/24))</f>
        <v/>
      </c>
      <c r="T155" s="20">
        <f>COUNTIFS(tData[SEHTrajectPeriodeDatumTijdVan],"&lt;="&amp;($A155+16/24),tData[SEHTrajectPeriodeDatumTijdTotEnMet],"&gt;"&amp;($A155+16/24))</f>
        <v/>
      </c>
      <c r="U155" s="20">
        <f>COUNTIFS(tData[SEHTrajectPeriodeDatumTijdVan],"&lt;="&amp;($A155+17/24),tData[SEHTrajectPeriodeDatumTijdTotEnMet],"&gt;"&amp;($A155+17/24))</f>
        <v/>
      </c>
      <c r="V155" s="20">
        <f>COUNTIFS(tData[SEHTrajectPeriodeDatumTijdVan],"&lt;="&amp;($A155+18/24),tData[SEHTrajectPeriodeDatumTijdTotEnMet],"&gt;"&amp;($A155+18/24))</f>
        <v/>
      </c>
      <c r="W155" s="20">
        <f>COUNTIFS(tData[SEHTrajectPeriodeDatumTijdVan],"&lt;="&amp;($A155+19/24),tData[SEHTrajectPeriodeDatumTijdTotEnMet],"&gt;"&amp;($A155+19/24))</f>
        <v/>
      </c>
      <c r="X155" s="20">
        <f>COUNTIFS(tData[SEHTrajectPeriodeDatumTijdVan],"&lt;="&amp;($A155+20/24),tData[SEHTrajectPeriodeDatumTijdTotEnMet],"&gt;"&amp;($A155+20/24))</f>
        <v/>
      </c>
      <c r="Y155" s="20">
        <f>COUNTIFS(tData[SEHTrajectPeriodeDatumTijdVan],"&lt;="&amp;($A155+21/24),tData[SEHTrajectPeriodeDatumTijdTotEnMet],"&gt;"&amp;($A155+21/24))</f>
        <v/>
      </c>
      <c r="Z155" s="20">
        <f>COUNTIFS(tData[SEHTrajectPeriodeDatumTijdVan],"&lt;="&amp;($A155+22/24),tData[SEHTrajectPeriodeDatumTijdTotEnMet],"&gt;"&amp;($A155+22/24))</f>
        <v/>
      </c>
      <c r="AA155" s="20">
        <f>COUNTIFS(tData[SEHTrajectPeriodeDatumTijdVan],"&lt;="&amp;($A155+23/24),tData[SEHTrajectPeriodeDatumTijdTotEnMet],"&gt;"&amp;($A155+23/24))</f>
        <v/>
      </c>
    </row>
    <row r="156">
      <c r="A156" s="19" t="n">
        <v>45444</v>
      </c>
      <c r="B156" s="15">
        <f>WEEKDAY($A156,2)</f>
        <v/>
      </c>
      <c r="C156" s="15">
        <f>IF(AND($A156&gt;=INT(Instellingen!$B$5),$A156&lt;=INT(Instellingen!$B$6)),1,0)</f>
        <v/>
      </c>
      <c r="D156" s="20">
        <f>COUNTIFS(tData[SEHTrajectPeriodeDatumTijdVan],"&lt;="&amp;($A156+0/24),tData[SEHTrajectPeriodeDatumTijdTotEnMet],"&gt;"&amp;($A156+0/24))</f>
        <v/>
      </c>
      <c r="E156" s="20">
        <f>COUNTIFS(tData[SEHTrajectPeriodeDatumTijdVan],"&lt;="&amp;($A156+1/24),tData[SEHTrajectPeriodeDatumTijdTotEnMet],"&gt;"&amp;($A156+1/24))</f>
        <v/>
      </c>
      <c r="F156" s="20">
        <f>COUNTIFS(tData[SEHTrajectPeriodeDatumTijdVan],"&lt;="&amp;($A156+2/24),tData[SEHTrajectPeriodeDatumTijdTotEnMet],"&gt;"&amp;($A156+2/24))</f>
        <v/>
      </c>
      <c r="G156" s="20">
        <f>COUNTIFS(tData[SEHTrajectPeriodeDatumTijdVan],"&lt;="&amp;($A156+3/24),tData[SEHTrajectPeriodeDatumTijdTotEnMet],"&gt;"&amp;($A156+3/24))</f>
        <v/>
      </c>
      <c r="H156" s="20">
        <f>COUNTIFS(tData[SEHTrajectPeriodeDatumTijdVan],"&lt;="&amp;($A156+4/24),tData[SEHTrajectPeriodeDatumTijdTotEnMet],"&gt;"&amp;($A156+4/24))</f>
        <v/>
      </c>
      <c r="I156" s="20">
        <f>COUNTIFS(tData[SEHTrajectPeriodeDatumTijdVan],"&lt;="&amp;($A156+5/24),tData[SEHTrajectPeriodeDatumTijdTotEnMet],"&gt;"&amp;($A156+5/24))</f>
        <v/>
      </c>
      <c r="J156" s="20">
        <f>COUNTIFS(tData[SEHTrajectPeriodeDatumTijdVan],"&lt;="&amp;($A156+6/24),tData[SEHTrajectPeriodeDatumTijdTotEnMet],"&gt;"&amp;($A156+6/24))</f>
        <v/>
      </c>
      <c r="K156" s="20">
        <f>COUNTIFS(tData[SEHTrajectPeriodeDatumTijdVan],"&lt;="&amp;($A156+7/24),tData[SEHTrajectPeriodeDatumTijdTotEnMet],"&gt;"&amp;($A156+7/24))</f>
        <v/>
      </c>
      <c r="L156" s="20">
        <f>COUNTIFS(tData[SEHTrajectPeriodeDatumTijdVan],"&lt;="&amp;($A156+8/24),tData[SEHTrajectPeriodeDatumTijdTotEnMet],"&gt;"&amp;($A156+8/24))</f>
        <v/>
      </c>
      <c r="M156" s="20">
        <f>COUNTIFS(tData[SEHTrajectPeriodeDatumTijdVan],"&lt;="&amp;($A156+9/24),tData[SEHTrajectPeriodeDatumTijdTotEnMet],"&gt;"&amp;($A156+9/24))</f>
        <v/>
      </c>
      <c r="N156" s="20">
        <f>COUNTIFS(tData[SEHTrajectPeriodeDatumTijdVan],"&lt;="&amp;($A156+10/24),tData[SEHTrajectPeriodeDatumTijdTotEnMet],"&gt;"&amp;($A156+10/24))</f>
        <v/>
      </c>
      <c r="O156" s="20">
        <f>COUNTIFS(tData[SEHTrajectPeriodeDatumTijdVan],"&lt;="&amp;($A156+11/24),tData[SEHTrajectPeriodeDatumTijdTotEnMet],"&gt;"&amp;($A156+11/24))</f>
        <v/>
      </c>
      <c r="P156" s="20">
        <f>COUNTIFS(tData[SEHTrajectPeriodeDatumTijdVan],"&lt;="&amp;($A156+12/24),tData[SEHTrajectPeriodeDatumTijdTotEnMet],"&gt;"&amp;($A156+12/24))</f>
        <v/>
      </c>
      <c r="Q156" s="20">
        <f>COUNTIFS(tData[SEHTrajectPeriodeDatumTijdVan],"&lt;="&amp;($A156+13/24),tData[SEHTrajectPeriodeDatumTijdTotEnMet],"&gt;"&amp;($A156+13/24))</f>
        <v/>
      </c>
      <c r="R156" s="20">
        <f>COUNTIFS(tData[SEHTrajectPeriodeDatumTijdVan],"&lt;="&amp;($A156+14/24),tData[SEHTrajectPeriodeDatumTijdTotEnMet],"&gt;"&amp;($A156+14/24))</f>
        <v/>
      </c>
      <c r="S156" s="20">
        <f>COUNTIFS(tData[SEHTrajectPeriodeDatumTijdVan],"&lt;="&amp;($A156+15/24),tData[SEHTrajectPeriodeDatumTijdTotEnMet],"&gt;"&amp;($A156+15/24))</f>
        <v/>
      </c>
      <c r="T156" s="20">
        <f>COUNTIFS(tData[SEHTrajectPeriodeDatumTijdVan],"&lt;="&amp;($A156+16/24),tData[SEHTrajectPeriodeDatumTijdTotEnMet],"&gt;"&amp;($A156+16/24))</f>
        <v/>
      </c>
      <c r="U156" s="20">
        <f>COUNTIFS(tData[SEHTrajectPeriodeDatumTijdVan],"&lt;="&amp;($A156+17/24),tData[SEHTrajectPeriodeDatumTijdTotEnMet],"&gt;"&amp;($A156+17/24))</f>
        <v/>
      </c>
      <c r="V156" s="20">
        <f>COUNTIFS(tData[SEHTrajectPeriodeDatumTijdVan],"&lt;="&amp;($A156+18/24),tData[SEHTrajectPeriodeDatumTijdTotEnMet],"&gt;"&amp;($A156+18/24))</f>
        <v/>
      </c>
      <c r="W156" s="20">
        <f>COUNTIFS(tData[SEHTrajectPeriodeDatumTijdVan],"&lt;="&amp;($A156+19/24),tData[SEHTrajectPeriodeDatumTijdTotEnMet],"&gt;"&amp;($A156+19/24))</f>
        <v/>
      </c>
      <c r="X156" s="20">
        <f>COUNTIFS(tData[SEHTrajectPeriodeDatumTijdVan],"&lt;="&amp;($A156+20/24),tData[SEHTrajectPeriodeDatumTijdTotEnMet],"&gt;"&amp;($A156+20/24))</f>
        <v/>
      </c>
      <c r="Y156" s="20">
        <f>COUNTIFS(tData[SEHTrajectPeriodeDatumTijdVan],"&lt;="&amp;($A156+21/24),tData[SEHTrajectPeriodeDatumTijdTotEnMet],"&gt;"&amp;($A156+21/24))</f>
        <v/>
      </c>
      <c r="Z156" s="20">
        <f>COUNTIFS(tData[SEHTrajectPeriodeDatumTijdVan],"&lt;="&amp;($A156+22/24),tData[SEHTrajectPeriodeDatumTijdTotEnMet],"&gt;"&amp;($A156+22/24))</f>
        <v/>
      </c>
      <c r="AA156" s="20">
        <f>COUNTIFS(tData[SEHTrajectPeriodeDatumTijdVan],"&lt;="&amp;($A156+23/24),tData[SEHTrajectPeriodeDatumTijdTotEnMet],"&gt;"&amp;($A156+23/24))</f>
        <v/>
      </c>
    </row>
    <row r="157">
      <c r="A157" s="19" t="n">
        <v>45445</v>
      </c>
      <c r="B157" s="15">
        <f>WEEKDAY($A157,2)</f>
        <v/>
      </c>
      <c r="C157" s="15">
        <f>IF(AND($A157&gt;=INT(Instellingen!$B$5),$A157&lt;=INT(Instellingen!$B$6)),1,0)</f>
        <v/>
      </c>
      <c r="D157" s="20">
        <f>COUNTIFS(tData[SEHTrajectPeriodeDatumTijdVan],"&lt;="&amp;($A157+0/24),tData[SEHTrajectPeriodeDatumTijdTotEnMet],"&gt;"&amp;($A157+0/24))</f>
        <v/>
      </c>
      <c r="E157" s="20">
        <f>COUNTIFS(tData[SEHTrajectPeriodeDatumTijdVan],"&lt;="&amp;($A157+1/24),tData[SEHTrajectPeriodeDatumTijdTotEnMet],"&gt;"&amp;($A157+1/24))</f>
        <v/>
      </c>
      <c r="F157" s="20">
        <f>COUNTIFS(tData[SEHTrajectPeriodeDatumTijdVan],"&lt;="&amp;($A157+2/24),tData[SEHTrajectPeriodeDatumTijdTotEnMet],"&gt;"&amp;($A157+2/24))</f>
        <v/>
      </c>
      <c r="G157" s="20">
        <f>COUNTIFS(tData[SEHTrajectPeriodeDatumTijdVan],"&lt;="&amp;($A157+3/24),tData[SEHTrajectPeriodeDatumTijdTotEnMet],"&gt;"&amp;($A157+3/24))</f>
        <v/>
      </c>
      <c r="H157" s="20">
        <f>COUNTIFS(tData[SEHTrajectPeriodeDatumTijdVan],"&lt;="&amp;($A157+4/24),tData[SEHTrajectPeriodeDatumTijdTotEnMet],"&gt;"&amp;($A157+4/24))</f>
        <v/>
      </c>
      <c r="I157" s="20">
        <f>COUNTIFS(tData[SEHTrajectPeriodeDatumTijdVan],"&lt;="&amp;($A157+5/24),tData[SEHTrajectPeriodeDatumTijdTotEnMet],"&gt;"&amp;($A157+5/24))</f>
        <v/>
      </c>
      <c r="J157" s="20">
        <f>COUNTIFS(tData[SEHTrajectPeriodeDatumTijdVan],"&lt;="&amp;($A157+6/24),tData[SEHTrajectPeriodeDatumTijdTotEnMet],"&gt;"&amp;($A157+6/24))</f>
        <v/>
      </c>
      <c r="K157" s="20">
        <f>COUNTIFS(tData[SEHTrajectPeriodeDatumTijdVan],"&lt;="&amp;($A157+7/24),tData[SEHTrajectPeriodeDatumTijdTotEnMet],"&gt;"&amp;($A157+7/24))</f>
        <v/>
      </c>
      <c r="L157" s="20">
        <f>COUNTIFS(tData[SEHTrajectPeriodeDatumTijdVan],"&lt;="&amp;($A157+8/24),tData[SEHTrajectPeriodeDatumTijdTotEnMet],"&gt;"&amp;($A157+8/24))</f>
        <v/>
      </c>
      <c r="M157" s="20">
        <f>COUNTIFS(tData[SEHTrajectPeriodeDatumTijdVan],"&lt;="&amp;($A157+9/24),tData[SEHTrajectPeriodeDatumTijdTotEnMet],"&gt;"&amp;($A157+9/24))</f>
        <v/>
      </c>
      <c r="N157" s="20">
        <f>COUNTIFS(tData[SEHTrajectPeriodeDatumTijdVan],"&lt;="&amp;($A157+10/24),tData[SEHTrajectPeriodeDatumTijdTotEnMet],"&gt;"&amp;($A157+10/24))</f>
        <v/>
      </c>
      <c r="O157" s="20">
        <f>COUNTIFS(tData[SEHTrajectPeriodeDatumTijdVan],"&lt;="&amp;($A157+11/24),tData[SEHTrajectPeriodeDatumTijdTotEnMet],"&gt;"&amp;($A157+11/24))</f>
        <v/>
      </c>
      <c r="P157" s="20">
        <f>COUNTIFS(tData[SEHTrajectPeriodeDatumTijdVan],"&lt;="&amp;($A157+12/24),tData[SEHTrajectPeriodeDatumTijdTotEnMet],"&gt;"&amp;($A157+12/24))</f>
        <v/>
      </c>
      <c r="Q157" s="20">
        <f>COUNTIFS(tData[SEHTrajectPeriodeDatumTijdVan],"&lt;="&amp;($A157+13/24),tData[SEHTrajectPeriodeDatumTijdTotEnMet],"&gt;"&amp;($A157+13/24))</f>
        <v/>
      </c>
      <c r="R157" s="20">
        <f>COUNTIFS(tData[SEHTrajectPeriodeDatumTijdVan],"&lt;="&amp;($A157+14/24),tData[SEHTrajectPeriodeDatumTijdTotEnMet],"&gt;"&amp;($A157+14/24))</f>
        <v/>
      </c>
      <c r="S157" s="20">
        <f>COUNTIFS(tData[SEHTrajectPeriodeDatumTijdVan],"&lt;="&amp;($A157+15/24),tData[SEHTrajectPeriodeDatumTijdTotEnMet],"&gt;"&amp;($A157+15/24))</f>
        <v/>
      </c>
      <c r="T157" s="20">
        <f>COUNTIFS(tData[SEHTrajectPeriodeDatumTijdVan],"&lt;="&amp;($A157+16/24),tData[SEHTrajectPeriodeDatumTijdTotEnMet],"&gt;"&amp;($A157+16/24))</f>
        <v/>
      </c>
      <c r="U157" s="20">
        <f>COUNTIFS(tData[SEHTrajectPeriodeDatumTijdVan],"&lt;="&amp;($A157+17/24),tData[SEHTrajectPeriodeDatumTijdTotEnMet],"&gt;"&amp;($A157+17/24))</f>
        <v/>
      </c>
      <c r="V157" s="20">
        <f>COUNTIFS(tData[SEHTrajectPeriodeDatumTijdVan],"&lt;="&amp;($A157+18/24),tData[SEHTrajectPeriodeDatumTijdTotEnMet],"&gt;"&amp;($A157+18/24))</f>
        <v/>
      </c>
      <c r="W157" s="20">
        <f>COUNTIFS(tData[SEHTrajectPeriodeDatumTijdVan],"&lt;="&amp;($A157+19/24),tData[SEHTrajectPeriodeDatumTijdTotEnMet],"&gt;"&amp;($A157+19/24))</f>
        <v/>
      </c>
      <c r="X157" s="20">
        <f>COUNTIFS(tData[SEHTrajectPeriodeDatumTijdVan],"&lt;="&amp;($A157+20/24),tData[SEHTrajectPeriodeDatumTijdTotEnMet],"&gt;"&amp;($A157+20/24))</f>
        <v/>
      </c>
      <c r="Y157" s="20">
        <f>COUNTIFS(tData[SEHTrajectPeriodeDatumTijdVan],"&lt;="&amp;($A157+21/24),tData[SEHTrajectPeriodeDatumTijdTotEnMet],"&gt;"&amp;($A157+21/24))</f>
        <v/>
      </c>
      <c r="Z157" s="20">
        <f>COUNTIFS(tData[SEHTrajectPeriodeDatumTijdVan],"&lt;="&amp;($A157+22/24),tData[SEHTrajectPeriodeDatumTijdTotEnMet],"&gt;"&amp;($A157+22/24))</f>
        <v/>
      </c>
      <c r="AA157" s="20">
        <f>COUNTIFS(tData[SEHTrajectPeriodeDatumTijdVan],"&lt;="&amp;($A157+23/24),tData[SEHTrajectPeriodeDatumTijdTotEnMet],"&gt;"&amp;($A157+23/24))</f>
        <v/>
      </c>
    </row>
    <row r="158">
      <c r="A158" s="19" t="n">
        <v>45446</v>
      </c>
      <c r="B158" s="15">
        <f>WEEKDAY($A158,2)</f>
        <v/>
      </c>
      <c r="C158" s="15">
        <f>IF(AND($A158&gt;=INT(Instellingen!$B$5),$A158&lt;=INT(Instellingen!$B$6)),1,0)</f>
        <v/>
      </c>
      <c r="D158" s="20">
        <f>COUNTIFS(tData[SEHTrajectPeriodeDatumTijdVan],"&lt;="&amp;($A158+0/24),tData[SEHTrajectPeriodeDatumTijdTotEnMet],"&gt;"&amp;($A158+0/24))</f>
        <v/>
      </c>
      <c r="E158" s="20">
        <f>COUNTIFS(tData[SEHTrajectPeriodeDatumTijdVan],"&lt;="&amp;($A158+1/24),tData[SEHTrajectPeriodeDatumTijdTotEnMet],"&gt;"&amp;($A158+1/24))</f>
        <v/>
      </c>
      <c r="F158" s="20">
        <f>COUNTIFS(tData[SEHTrajectPeriodeDatumTijdVan],"&lt;="&amp;($A158+2/24),tData[SEHTrajectPeriodeDatumTijdTotEnMet],"&gt;"&amp;($A158+2/24))</f>
        <v/>
      </c>
      <c r="G158" s="20">
        <f>COUNTIFS(tData[SEHTrajectPeriodeDatumTijdVan],"&lt;="&amp;($A158+3/24),tData[SEHTrajectPeriodeDatumTijdTotEnMet],"&gt;"&amp;($A158+3/24))</f>
        <v/>
      </c>
      <c r="H158" s="20">
        <f>COUNTIFS(tData[SEHTrajectPeriodeDatumTijdVan],"&lt;="&amp;($A158+4/24),tData[SEHTrajectPeriodeDatumTijdTotEnMet],"&gt;"&amp;($A158+4/24))</f>
        <v/>
      </c>
      <c r="I158" s="20">
        <f>COUNTIFS(tData[SEHTrajectPeriodeDatumTijdVan],"&lt;="&amp;($A158+5/24),tData[SEHTrajectPeriodeDatumTijdTotEnMet],"&gt;"&amp;($A158+5/24))</f>
        <v/>
      </c>
      <c r="J158" s="20">
        <f>COUNTIFS(tData[SEHTrajectPeriodeDatumTijdVan],"&lt;="&amp;($A158+6/24),tData[SEHTrajectPeriodeDatumTijdTotEnMet],"&gt;"&amp;($A158+6/24))</f>
        <v/>
      </c>
      <c r="K158" s="20">
        <f>COUNTIFS(tData[SEHTrajectPeriodeDatumTijdVan],"&lt;="&amp;($A158+7/24),tData[SEHTrajectPeriodeDatumTijdTotEnMet],"&gt;"&amp;($A158+7/24))</f>
        <v/>
      </c>
      <c r="L158" s="20">
        <f>COUNTIFS(tData[SEHTrajectPeriodeDatumTijdVan],"&lt;="&amp;($A158+8/24),tData[SEHTrajectPeriodeDatumTijdTotEnMet],"&gt;"&amp;($A158+8/24))</f>
        <v/>
      </c>
      <c r="M158" s="20">
        <f>COUNTIFS(tData[SEHTrajectPeriodeDatumTijdVan],"&lt;="&amp;($A158+9/24),tData[SEHTrajectPeriodeDatumTijdTotEnMet],"&gt;"&amp;($A158+9/24))</f>
        <v/>
      </c>
      <c r="N158" s="20">
        <f>COUNTIFS(tData[SEHTrajectPeriodeDatumTijdVan],"&lt;="&amp;($A158+10/24),tData[SEHTrajectPeriodeDatumTijdTotEnMet],"&gt;"&amp;($A158+10/24))</f>
        <v/>
      </c>
      <c r="O158" s="20">
        <f>COUNTIFS(tData[SEHTrajectPeriodeDatumTijdVan],"&lt;="&amp;($A158+11/24),tData[SEHTrajectPeriodeDatumTijdTotEnMet],"&gt;"&amp;($A158+11/24))</f>
        <v/>
      </c>
      <c r="P158" s="20">
        <f>COUNTIFS(tData[SEHTrajectPeriodeDatumTijdVan],"&lt;="&amp;($A158+12/24),tData[SEHTrajectPeriodeDatumTijdTotEnMet],"&gt;"&amp;($A158+12/24))</f>
        <v/>
      </c>
      <c r="Q158" s="20">
        <f>COUNTIFS(tData[SEHTrajectPeriodeDatumTijdVan],"&lt;="&amp;($A158+13/24),tData[SEHTrajectPeriodeDatumTijdTotEnMet],"&gt;"&amp;($A158+13/24))</f>
        <v/>
      </c>
      <c r="R158" s="20">
        <f>COUNTIFS(tData[SEHTrajectPeriodeDatumTijdVan],"&lt;="&amp;($A158+14/24),tData[SEHTrajectPeriodeDatumTijdTotEnMet],"&gt;"&amp;($A158+14/24))</f>
        <v/>
      </c>
      <c r="S158" s="20">
        <f>COUNTIFS(tData[SEHTrajectPeriodeDatumTijdVan],"&lt;="&amp;($A158+15/24),tData[SEHTrajectPeriodeDatumTijdTotEnMet],"&gt;"&amp;($A158+15/24))</f>
        <v/>
      </c>
      <c r="T158" s="20">
        <f>COUNTIFS(tData[SEHTrajectPeriodeDatumTijdVan],"&lt;="&amp;($A158+16/24),tData[SEHTrajectPeriodeDatumTijdTotEnMet],"&gt;"&amp;($A158+16/24))</f>
        <v/>
      </c>
      <c r="U158" s="20">
        <f>COUNTIFS(tData[SEHTrajectPeriodeDatumTijdVan],"&lt;="&amp;($A158+17/24),tData[SEHTrajectPeriodeDatumTijdTotEnMet],"&gt;"&amp;($A158+17/24))</f>
        <v/>
      </c>
      <c r="V158" s="20">
        <f>COUNTIFS(tData[SEHTrajectPeriodeDatumTijdVan],"&lt;="&amp;($A158+18/24),tData[SEHTrajectPeriodeDatumTijdTotEnMet],"&gt;"&amp;($A158+18/24))</f>
        <v/>
      </c>
      <c r="W158" s="20">
        <f>COUNTIFS(tData[SEHTrajectPeriodeDatumTijdVan],"&lt;="&amp;($A158+19/24),tData[SEHTrajectPeriodeDatumTijdTotEnMet],"&gt;"&amp;($A158+19/24))</f>
        <v/>
      </c>
      <c r="X158" s="20">
        <f>COUNTIFS(tData[SEHTrajectPeriodeDatumTijdVan],"&lt;="&amp;($A158+20/24),tData[SEHTrajectPeriodeDatumTijdTotEnMet],"&gt;"&amp;($A158+20/24))</f>
        <v/>
      </c>
      <c r="Y158" s="20">
        <f>COUNTIFS(tData[SEHTrajectPeriodeDatumTijdVan],"&lt;="&amp;($A158+21/24),tData[SEHTrajectPeriodeDatumTijdTotEnMet],"&gt;"&amp;($A158+21/24))</f>
        <v/>
      </c>
      <c r="Z158" s="20">
        <f>COUNTIFS(tData[SEHTrajectPeriodeDatumTijdVan],"&lt;="&amp;($A158+22/24),tData[SEHTrajectPeriodeDatumTijdTotEnMet],"&gt;"&amp;($A158+22/24))</f>
        <v/>
      </c>
      <c r="AA158" s="20">
        <f>COUNTIFS(tData[SEHTrajectPeriodeDatumTijdVan],"&lt;="&amp;($A158+23/24),tData[SEHTrajectPeriodeDatumTijdTotEnMet],"&gt;"&amp;($A158+23/24))</f>
        <v/>
      </c>
    </row>
    <row r="159">
      <c r="A159" s="19" t="n">
        <v>45447</v>
      </c>
      <c r="B159" s="15">
        <f>WEEKDAY($A159,2)</f>
        <v/>
      </c>
      <c r="C159" s="15">
        <f>IF(AND($A159&gt;=INT(Instellingen!$B$5),$A159&lt;=INT(Instellingen!$B$6)),1,0)</f>
        <v/>
      </c>
      <c r="D159" s="20">
        <f>COUNTIFS(tData[SEHTrajectPeriodeDatumTijdVan],"&lt;="&amp;($A159+0/24),tData[SEHTrajectPeriodeDatumTijdTotEnMet],"&gt;"&amp;($A159+0/24))</f>
        <v/>
      </c>
      <c r="E159" s="20">
        <f>COUNTIFS(tData[SEHTrajectPeriodeDatumTijdVan],"&lt;="&amp;($A159+1/24),tData[SEHTrajectPeriodeDatumTijdTotEnMet],"&gt;"&amp;($A159+1/24))</f>
        <v/>
      </c>
      <c r="F159" s="20">
        <f>COUNTIFS(tData[SEHTrajectPeriodeDatumTijdVan],"&lt;="&amp;($A159+2/24),tData[SEHTrajectPeriodeDatumTijdTotEnMet],"&gt;"&amp;($A159+2/24))</f>
        <v/>
      </c>
      <c r="G159" s="20">
        <f>COUNTIFS(tData[SEHTrajectPeriodeDatumTijdVan],"&lt;="&amp;($A159+3/24),tData[SEHTrajectPeriodeDatumTijdTotEnMet],"&gt;"&amp;($A159+3/24))</f>
        <v/>
      </c>
      <c r="H159" s="20">
        <f>COUNTIFS(tData[SEHTrajectPeriodeDatumTijdVan],"&lt;="&amp;($A159+4/24),tData[SEHTrajectPeriodeDatumTijdTotEnMet],"&gt;"&amp;($A159+4/24))</f>
        <v/>
      </c>
      <c r="I159" s="20">
        <f>COUNTIFS(tData[SEHTrajectPeriodeDatumTijdVan],"&lt;="&amp;($A159+5/24),tData[SEHTrajectPeriodeDatumTijdTotEnMet],"&gt;"&amp;($A159+5/24))</f>
        <v/>
      </c>
      <c r="J159" s="20">
        <f>COUNTIFS(tData[SEHTrajectPeriodeDatumTijdVan],"&lt;="&amp;($A159+6/24),tData[SEHTrajectPeriodeDatumTijdTotEnMet],"&gt;"&amp;($A159+6/24))</f>
        <v/>
      </c>
      <c r="K159" s="20">
        <f>COUNTIFS(tData[SEHTrajectPeriodeDatumTijdVan],"&lt;="&amp;($A159+7/24),tData[SEHTrajectPeriodeDatumTijdTotEnMet],"&gt;"&amp;($A159+7/24))</f>
        <v/>
      </c>
      <c r="L159" s="20">
        <f>COUNTIFS(tData[SEHTrajectPeriodeDatumTijdVan],"&lt;="&amp;($A159+8/24),tData[SEHTrajectPeriodeDatumTijdTotEnMet],"&gt;"&amp;($A159+8/24))</f>
        <v/>
      </c>
      <c r="M159" s="20">
        <f>COUNTIFS(tData[SEHTrajectPeriodeDatumTijdVan],"&lt;="&amp;($A159+9/24),tData[SEHTrajectPeriodeDatumTijdTotEnMet],"&gt;"&amp;($A159+9/24))</f>
        <v/>
      </c>
      <c r="N159" s="20">
        <f>COUNTIFS(tData[SEHTrajectPeriodeDatumTijdVan],"&lt;="&amp;($A159+10/24),tData[SEHTrajectPeriodeDatumTijdTotEnMet],"&gt;"&amp;($A159+10/24))</f>
        <v/>
      </c>
      <c r="O159" s="20">
        <f>COUNTIFS(tData[SEHTrajectPeriodeDatumTijdVan],"&lt;="&amp;($A159+11/24),tData[SEHTrajectPeriodeDatumTijdTotEnMet],"&gt;"&amp;($A159+11/24))</f>
        <v/>
      </c>
      <c r="P159" s="20">
        <f>COUNTIFS(tData[SEHTrajectPeriodeDatumTijdVan],"&lt;="&amp;($A159+12/24),tData[SEHTrajectPeriodeDatumTijdTotEnMet],"&gt;"&amp;($A159+12/24))</f>
        <v/>
      </c>
      <c r="Q159" s="20">
        <f>COUNTIFS(tData[SEHTrajectPeriodeDatumTijdVan],"&lt;="&amp;($A159+13/24),tData[SEHTrajectPeriodeDatumTijdTotEnMet],"&gt;"&amp;($A159+13/24))</f>
        <v/>
      </c>
      <c r="R159" s="20">
        <f>COUNTIFS(tData[SEHTrajectPeriodeDatumTijdVan],"&lt;="&amp;($A159+14/24),tData[SEHTrajectPeriodeDatumTijdTotEnMet],"&gt;"&amp;($A159+14/24))</f>
        <v/>
      </c>
      <c r="S159" s="20">
        <f>COUNTIFS(tData[SEHTrajectPeriodeDatumTijdVan],"&lt;="&amp;($A159+15/24),tData[SEHTrajectPeriodeDatumTijdTotEnMet],"&gt;"&amp;($A159+15/24))</f>
        <v/>
      </c>
      <c r="T159" s="20">
        <f>COUNTIFS(tData[SEHTrajectPeriodeDatumTijdVan],"&lt;="&amp;($A159+16/24),tData[SEHTrajectPeriodeDatumTijdTotEnMet],"&gt;"&amp;($A159+16/24))</f>
        <v/>
      </c>
      <c r="U159" s="20">
        <f>COUNTIFS(tData[SEHTrajectPeriodeDatumTijdVan],"&lt;="&amp;($A159+17/24),tData[SEHTrajectPeriodeDatumTijdTotEnMet],"&gt;"&amp;($A159+17/24))</f>
        <v/>
      </c>
      <c r="V159" s="20">
        <f>COUNTIFS(tData[SEHTrajectPeriodeDatumTijdVan],"&lt;="&amp;($A159+18/24),tData[SEHTrajectPeriodeDatumTijdTotEnMet],"&gt;"&amp;($A159+18/24))</f>
        <v/>
      </c>
      <c r="W159" s="20">
        <f>COUNTIFS(tData[SEHTrajectPeriodeDatumTijdVan],"&lt;="&amp;($A159+19/24),tData[SEHTrajectPeriodeDatumTijdTotEnMet],"&gt;"&amp;($A159+19/24))</f>
        <v/>
      </c>
      <c r="X159" s="20">
        <f>COUNTIFS(tData[SEHTrajectPeriodeDatumTijdVan],"&lt;="&amp;($A159+20/24),tData[SEHTrajectPeriodeDatumTijdTotEnMet],"&gt;"&amp;($A159+20/24))</f>
        <v/>
      </c>
      <c r="Y159" s="20">
        <f>COUNTIFS(tData[SEHTrajectPeriodeDatumTijdVan],"&lt;="&amp;($A159+21/24),tData[SEHTrajectPeriodeDatumTijdTotEnMet],"&gt;"&amp;($A159+21/24))</f>
        <v/>
      </c>
      <c r="Z159" s="20">
        <f>COUNTIFS(tData[SEHTrajectPeriodeDatumTijdVan],"&lt;="&amp;($A159+22/24),tData[SEHTrajectPeriodeDatumTijdTotEnMet],"&gt;"&amp;($A159+22/24))</f>
        <v/>
      </c>
      <c r="AA159" s="20">
        <f>COUNTIFS(tData[SEHTrajectPeriodeDatumTijdVan],"&lt;="&amp;($A159+23/24),tData[SEHTrajectPeriodeDatumTijdTotEnMet],"&gt;"&amp;($A159+23/24))</f>
        <v/>
      </c>
    </row>
    <row r="160">
      <c r="A160" s="19" t="n">
        <v>45448</v>
      </c>
      <c r="B160" s="15">
        <f>WEEKDAY($A160,2)</f>
        <v/>
      </c>
      <c r="C160" s="15">
        <f>IF(AND($A160&gt;=INT(Instellingen!$B$5),$A160&lt;=INT(Instellingen!$B$6)),1,0)</f>
        <v/>
      </c>
      <c r="D160" s="20">
        <f>COUNTIFS(tData[SEHTrajectPeriodeDatumTijdVan],"&lt;="&amp;($A160+0/24),tData[SEHTrajectPeriodeDatumTijdTotEnMet],"&gt;"&amp;($A160+0/24))</f>
        <v/>
      </c>
      <c r="E160" s="20">
        <f>COUNTIFS(tData[SEHTrajectPeriodeDatumTijdVan],"&lt;="&amp;($A160+1/24),tData[SEHTrajectPeriodeDatumTijdTotEnMet],"&gt;"&amp;($A160+1/24))</f>
        <v/>
      </c>
      <c r="F160" s="20">
        <f>COUNTIFS(tData[SEHTrajectPeriodeDatumTijdVan],"&lt;="&amp;($A160+2/24),tData[SEHTrajectPeriodeDatumTijdTotEnMet],"&gt;"&amp;($A160+2/24))</f>
        <v/>
      </c>
      <c r="G160" s="20">
        <f>COUNTIFS(tData[SEHTrajectPeriodeDatumTijdVan],"&lt;="&amp;($A160+3/24),tData[SEHTrajectPeriodeDatumTijdTotEnMet],"&gt;"&amp;($A160+3/24))</f>
        <v/>
      </c>
      <c r="H160" s="20">
        <f>COUNTIFS(tData[SEHTrajectPeriodeDatumTijdVan],"&lt;="&amp;($A160+4/24),tData[SEHTrajectPeriodeDatumTijdTotEnMet],"&gt;"&amp;($A160+4/24))</f>
        <v/>
      </c>
      <c r="I160" s="20">
        <f>COUNTIFS(tData[SEHTrajectPeriodeDatumTijdVan],"&lt;="&amp;($A160+5/24),tData[SEHTrajectPeriodeDatumTijdTotEnMet],"&gt;"&amp;($A160+5/24))</f>
        <v/>
      </c>
      <c r="J160" s="20">
        <f>COUNTIFS(tData[SEHTrajectPeriodeDatumTijdVan],"&lt;="&amp;($A160+6/24),tData[SEHTrajectPeriodeDatumTijdTotEnMet],"&gt;"&amp;($A160+6/24))</f>
        <v/>
      </c>
      <c r="K160" s="20">
        <f>COUNTIFS(tData[SEHTrajectPeriodeDatumTijdVan],"&lt;="&amp;($A160+7/24),tData[SEHTrajectPeriodeDatumTijdTotEnMet],"&gt;"&amp;($A160+7/24))</f>
        <v/>
      </c>
      <c r="L160" s="20">
        <f>COUNTIFS(tData[SEHTrajectPeriodeDatumTijdVan],"&lt;="&amp;($A160+8/24),tData[SEHTrajectPeriodeDatumTijdTotEnMet],"&gt;"&amp;($A160+8/24))</f>
        <v/>
      </c>
      <c r="M160" s="20">
        <f>COUNTIFS(tData[SEHTrajectPeriodeDatumTijdVan],"&lt;="&amp;($A160+9/24),tData[SEHTrajectPeriodeDatumTijdTotEnMet],"&gt;"&amp;($A160+9/24))</f>
        <v/>
      </c>
      <c r="N160" s="20">
        <f>COUNTIFS(tData[SEHTrajectPeriodeDatumTijdVan],"&lt;="&amp;($A160+10/24),tData[SEHTrajectPeriodeDatumTijdTotEnMet],"&gt;"&amp;($A160+10/24))</f>
        <v/>
      </c>
      <c r="O160" s="20">
        <f>COUNTIFS(tData[SEHTrajectPeriodeDatumTijdVan],"&lt;="&amp;($A160+11/24),tData[SEHTrajectPeriodeDatumTijdTotEnMet],"&gt;"&amp;($A160+11/24))</f>
        <v/>
      </c>
      <c r="P160" s="20">
        <f>COUNTIFS(tData[SEHTrajectPeriodeDatumTijdVan],"&lt;="&amp;($A160+12/24),tData[SEHTrajectPeriodeDatumTijdTotEnMet],"&gt;"&amp;($A160+12/24))</f>
        <v/>
      </c>
      <c r="Q160" s="20">
        <f>COUNTIFS(tData[SEHTrajectPeriodeDatumTijdVan],"&lt;="&amp;($A160+13/24),tData[SEHTrajectPeriodeDatumTijdTotEnMet],"&gt;"&amp;($A160+13/24))</f>
        <v/>
      </c>
      <c r="R160" s="20">
        <f>COUNTIFS(tData[SEHTrajectPeriodeDatumTijdVan],"&lt;="&amp;($A160+14/24),tData[SEHTrajectPeriodeDatumTijdTotEnMet],"&gt;"&amp;($A160+14/24))</f>
        <v/>
      </c>
      <c r="S160" s="20">
        <f>COUNTIFS(tData[SEHTrajectPeriodeDatumTijdVan],"&lt;="&amp;($A160+15/24),tData[SEHTrajectPeriodeDatumTijdTotEnMet],"&gt;"&amp;($A160+15/24))</f>
        <v/>
      </c>
      <c r="T160" s="20">
        <f>COUNTIFS(tData[SEHTrajectPeriodeDatumTijdVan],"&lt;="&amp;($A160+16/24),tData[SEHTrajectPeriodeDatumTijdTotEnMet],"&gt;"&amp;($A160+16/24))</f>
        <v/>
      </c>
      <c r="U160" s="20">
        <f>COUNTIFS(tData[SEHTrajectPeriodeDatumTijdVan],"&lt;="&amp;($A160+17/24),tData[SEHTrajectPeriodeDatumTijdTotEnMet],"&gt;"&amp;($A160+17/24))</f>
        <v/>
      </c>
      <c r="V160" s="20">
        <f>COUNTIFS(tData[SEHTrajectPeriodeDatumTijdVan],"&lt;="&amp;($A160+18/24),tData[SEHTrajectPeriodeDatumTijdTotEnMet],"&gt;"&amp;($A160+18/24))</f>
        <v/>
      </c>
      <c r="W160" s="20">
        <f>COUNTIFS(tData[SEHTrajectPeriodeDatumTijdVan],"&lt;="&amp;($A160+19/24),tData[SEHTrajectPeriodeDatumTijdTotEnMet],"&gt;"&amp;($A160+19/24))</f>
        <v/>
      </c>
      <c r="X160" s="20">
        <f>COUNTIFS(tData[SEHTrajectPeriodeDatumTijdVan],"&lt;="&amp;($A160+20/24),tData[SEHTrajectPeriodeDatumTijdTotEnMet],"&gt;"&amp;($A160+20/24))</f>
        <v/>
      </c>
      <c r="Y160" s="20">
        <f>COUNTIFS(tData[SEHTrajectPeriodeDatumTijdVan],"&lt;="&amp;($A160+21/24),tData[SEHTrajectPeriodeDatumTijdTotEnMet],"&gt;"&amp;($A160+21/24))</f>
        <v/>
      </c>
      <c r="Z160" s="20">
        <f>COUNTIFS(tData[SEHTrajectPeriodeDatumTijdVan],"&lt;="&amp;($A160+22/24),tData[SEHTrajectPeriodeDatumTijdTotEnMet],"&gt;"&amp;($A160+22/24))</f>
        <v/>
      </c>
      <c r="AA160" s="20">
        <f>COUNTIFS(tData[SEHTrajectPeriodeDatumTijdVan],"&lt;="&amp;($A160+23/24),tData[SEHTrajectPeriodeDatumTijdTotEnMet],"&gt;"&amp;($A160+23/24))</f>
        <v/>
      </c>
    </row>
    <row r="161">
      <c r="A161" s="19" t="n">
        <v>45449</v>
      </c>
      <c r="B161" s="15">
        <f>WEEKDAY($A161,2)</f>
        <v/>
      </c>
      <c r="C161" s="15">
        <f>IF(AND($A161&gt;=INT(Instellingen!$B$5),$A161&lt;=INT(Instellingen!$B$6)),1,0)</f>
        <v/>
      </c>
      <c r="D161" s="20">
        <f>COUNTIFS(tData[SEHTrajectPeriodeDatumTijdVan],"&lt;="&amp;($A161+0/24),tData[SEHTrajectPeriodeDatumTijdTotEnMet],"&gt;"&amp;($A161+0/24))</f>
        <v/>
      </c>
      <c r="E161" s="20">
        <f>COUNTIFS(tData[SEHTrajectPeriodeDatumTijdVan],"&lt;="&amp;($A161+1/24),tData[SEHTrajectPeriodeDatumTijdTotEnMet],"&gt;"&amp;($A161+1/24))</f>
        <v/>
      </c>
      <c r="F161" s="20">
        <f>COUNTIFS(tData[SEHTrajectPeriodeDatumTijdVan],"&lt;="&amp;($A161+2/24),tData[SEHTrajectPeriodeDatumTijdTotEnMet],"&gt;"&amp;($A161+2/24))</f>
        <v/>
      </c>
      <c r="G161" s="20">
        <f>COUNTIFS(tData[SEHTrajectPeriodeDatumTijdVan],"&lt;="&amp;($A161+3/24),tData[SEHTrajectPeriodeDatumTijdTotEnMet],"&gt;"&amp;($A161+3/24))</f>
        <v/>
      </c>
      <c r="H161" s="20">
        <f>COUNTIFS(tData[SEHTrajectPeriodeDatumTijdVan],"&lt;="&amp;($A161+4/24),tData[SEHTrajectPeriodeDatumTijdTotEnMet],"&gt;"&amp;($A161+4/24))</f>
        <v/>
      </c>
      <c r="I161" s="20">
        <f>COUNTIFS(tData[SEHTrajectPeriodeDatumTijdVan],"&lt;="&amp;($A161+5/24),tData[SEHTrajectPeriodeDatumTijdTotEnMet],"&gt;"&amp;($A161+5/24))</f>
        <v/>
      </c>
      <c r="J161" s="20">
        <f>COUNTIFS(tData[SEHTrajectPeriodeDatumTijdVan],"&lt;="&amp;($A161+6/24),tData[SEHTrajectPeriodeDatumTijdTotEnMet],"&gt;"&amp;($A161+6/24))</f>
        <v/>
      </c>
      <c r="K161" s="20">
        <f>COUNTIFS(tData[SEHTrajectPeriodeDatumTijdVan],"&lt;="&amp;($A161+7/24),tData[SEHTrajectPeriodeDatumTijdTotEnMet],"&gt;"&amp;($A161+7/24))</f>
        <v/>
      </c>
      <c r="L161" s="20">
        <f>COUNTIFS(tData[SEHTrajectPeriodeDatumTijdVan],"&lt;="&amp;($A161+8/24),tData[SEHTrajectPeriodeDatumTijdTotEnMet],"&gt;"&amp;($A161+8/24))</f>
        <v/>
      </c>
      <c r="M161" s="20">
        <f>COUNTIFS(tData[SEHTrajectPeriodeDatumTijdVan],"&lt;="&amp;($A161+9/24),tData[SEHTrajectPeriodeDatumTijdTotEnMet],"&gt;"&amp;($A161+9/24))</f>
        <v/>
      </c>
      <c r="N161" s="20">
        <f>COUNTIFS(tData[SEHTrajectPeriodeDatumTijdVan],"&lt;="&amp;($A161+10/24),tData[SEHTrajectPeriodeDatumTijdTotEnMet],"&gt;"&amp;($A161+10/24))</f>
        <v/>
      </c>
      <c r="O161" s="20">
        <f>COUNTIFS(tData[SEHTrajectPeriodeDatumTijdVan],"&lt;="&amp;($A161+11/24),tData[SEHTrajectPeriodeDatumTijdTotEnMet],"&gt;"&amp;($A161+11/24))</f>
        <v/>
      </c>
      <c r="P161" s="20">
        <f>COUNTIFS(tData[SEHTrajectPeriodeDatumTijdVan],"&lt;="&amp;($A161+12/24),tData[SEHTrajectPeriodeDatumTijdTotEnMet],"&gt;"&amp;($A161+12/24))</f>
        <v/>
      </c>
      <c r="Q161" s="20">
        <f>COUNTIFS(tData[SEHTrajectPeriodeDatumTijdVan],"&lt;="&amp;($A161+13/24),tData[SEHTrajectPeriodeDatumTijdTotEnMet],"&gt;"&amp;($A161+13/24))</f>
        <v/>
      </c>
      <c r="R161" s="20">
        <f>COUNTIFS(tData[SEHTrajectPeriodeDatumTijdVan],"&lt;="&amp;($A161+14/24),tData[SEHTrajectPeriodeDatumTijdTotEnMet],"&gt;"&amp;($A161+14/24))</f>
        <v/>
      </c>
      <c r="S161" s="20">
        <f>COUNTIFS(tData[SEHTrajectPeriodeDatumTijdVan],"&lt;="&amp;($A161+15/24),tData[SEHTrajectPeriodeDatumTijdTotEnMet],"&gt;"&amp;($A161+15/24))</f>
        <v/>
      </c>
      <c r="T161" s="20">
        <f>COUNTIFS(tData[SEHTrajectPeriodeDatumTijdVan],"&lt;="&amp;($A161+16/24),tData[SEHTrajectPeriodeDatumTijdTotEnMet],"&gt;"&amp;($A161+16/24))</f>
        <v/>
      </c>
      <c r="U161" s="20">
        <f>COUNTIFS(tData[SEHTrajectPeriodeDatumTijdVan],"&lt;="&amp;($A161+17/24),tData[SEHTrajectPeriodeDatumTijdTotEnMet],"&gt;"&amp;($A161+17/24))</f>
        <v/>
      </c>
      <c r="V161" s="20">
        <f>COUNTIFS(tData[SEHTrajectPeriodeDatumTijdVan],"&lt;="&amp;($A161+18/24),tData[SEHTrajectPeriodeDatumTijdTotEnMet],"&gt;"&amp;($A161+18/24))</f>
        <v/>
      </c>
      <c r="W161" s="20">
        <f>COUNTIFS(tData[SEHTrajectPeriodeDatumTijdVan],"&lt;="&amp;($A161+19/24),tData[SEHTrajectPeriodeDatumTijdTotEnMet],"&gt;"&amp;($A161+19/24))</f>
        <v/>
      </c>
      <c r="X161" s="20">
        <f>COUNTIFS(tData[SEHTrajectPeriodeDatumTijdVan],"&lt;="&amp;($A161+20/24),tData[SEHTrajectPeriodeDatumTijdTotEnMet],"&gt;"&amp;($A161+20/24))</f>
        <v/>
      </c>
      <c r="Y161" s="20">
        <f>COUNTIFS(tData[SEHTrajectPeriodeDatumTijdVan],"&lt;="&amp;($A161+21/24),tData[SEHTrajectPeriodeDatumTijdTotEnMet],"&gt;"&amp;($A161+21/24))</f>
        <v/>
      </c>
      <c r="Z161" s="20">
        <f>COUNTIFS(tData[SEHTrajectPeriodeDatumTijdVan],"&lt;="&amp;($A161+22/24),tData[SEHTrajectPeriodeDatumTijdTotEnMet],"&gt;"&amp;($A161+22/24))</f>
        <v/>
      </c>
      <c r="AA161" s="20">
        <f>COUNTIFS(tData[SEHTrajectPeriodeDatumTijdVan],"&lt;="&amp;($A161+23/24),tData[SEHTrajectPeriodeDatumTijdTotEnMet],"&gt;"&amp;($A161+23/24))</f>
        <v/>
      </c>
    </row>
    <row r="162">
      <c r="A162" s="19" t="n">
        <v>45450</v>
      </c>
      <c r="B162" s="15">
        <f>WEEKDAY($A162,2)</f>
        <v/>
      </c>
      <c r="C162" s="15">
        <f>IF(AND($A162&gt;=INT(Instellingen!$B$5),$A162&lt;=INT(Instellingen!$B$6)),1,0)</f>
        <v/>
      </c>
      <c r="D162" s="20">
        <f>COUNTIFS(tData[SEHTrajectPeriodeDatumTijdVan],"&lt;="&amp;($A162+0/24),tData[SEHTrajectPeriodeDatumTijdTotEnMet],"&gt;"&amp;($A162+0/24))</f>
        <v/>
      </c>
      <c r="E162" s="20">
        <f>COUNTIFS(tData[SEHTrajectPeriodeDatumTijdVan],"&lt;="&amp;($A162+1/24),tData[SEHTrajectPeriodeDatumTijdTotEnMet],"&gt;"&amp;($A162+1/24))</f>
        <v/>
      </c>
      <c r="F162" s="20">
        <f>COUNTIFS(tData[SEHTrajectPeriodeDatumTijdVan],"&lt;="&amp;($A162+2/24),tData[SEHTrajectPeriodeDatumTijdTotEnMet],"&gt;"&amp;($A162+2/24))</f>
        <v/>
      </c>
      <c r="G162" s="20">
        <f>COUNTIFS(tData[SEHTrajectPeriodeDatumTijdVan],"&lt;="&amp;($A162+3/24),tData[SEHTrajectPeriodeDatumTijdTotEnMet],"&gt;"&amp;($A162+3/24))</f>
        <v/>
      </c>
      <c r="H162" s="20">
        <f>COUNTIFS(tData[SEHTrajectPeriodeDatumTijdVan],"&lt;="&amp;($A162+4/24),tData[SEHTrajectPeriodeDatumTijdTotEnMet],"&gt;"&amp;($A162+4/24))</f>
        <v/>
      </c>
      <c r="I162" s="20">
        <f>COUNTIFS(tData[SEHTrajectPeriodeDatumTijdVan],"&lt;="&amp;($A162+5/24),tData[SEHTrajectPeriodeDatumTijdTotEnMet],"&gt;"&amp;($A162+5/24))</f>
        <v/>
      </c>
      <c r="J162" s="20">
        <f>COUNTIFS(tData[SEHTrajectPeriodeDatumTijdVan],"&lt;="&amp;($A162+6/24),tData[SEHTrajectPeriodeDatumTijdTotEnMet],"&gt;"&amp;($A162+6/24))</f>
        <v/>
      </c>
      <c r="K162" s="20">
        <f>COUNTIFS(tData[SEHTrajectPeriodeDatumTijdVan],"&lt;="&amp;($A162+7/24),tData[SEHTrajectPeriodeDatumTijdTotEnMet],"&gt;"&amp;($A162+7/24))</f>
        <v/>
      </c>
      <c r="L162" s="20">
        <f>COUNTIFS(tData[SEHTrajectPeriodeDatumTijdVan],"&lt;="&amp;($A162+8/24),tData[SEHTrajectPeriodeDatumTijdTotEnMet],"&gt;"&amp;($A162+8/24))</f>
        <v/>
      </c>
      <c r="M162" s="20">
        <f>COUNTIFS(tData[SEHTrajectPeriodeDatumTijdVan],"&lt;="&amp;($A162+9/24),tData[SEHTrajectPeriodeDatumTijdTotEnMet],"&gt;"&amp;($A162+9/24))</f>
        <v/>
      </c>
      <c r="N162" s="20">
        <f>COUNTIFS(tData[SEHTrajectPeriodeDatumTijdVan],"&lt;="&amp;($A162+10/24),tData[SEHTrajectPeriodeDatumTijdTotEnMet],"&gt;"&amp;($A162+10/24))</f>
        <v/>
      </c>
      <c r="O162" s="20">
        <f>COUNTIFS(tData[SEHTrajectPeriodeDatumTijdVan],"&lt;="&amp;($A162+11/24),tData[SEHTrajectPeriodeDatumTijdTotEnMet],"&gt;"&amp;($A162+11/24))</f>
        <v/>
      </c>
      <c r="P162" s="20">
        <f>COUNTIFS(tData[SEHTrajectPeriodeDatumTijdVan],"&lt;="&amp;($A162+12/24),tData[SEHTrajectPeriodeDatumTijdTotEnMet],"&gt;"&amp;($A162+12/24))</f>
        <v/>
      </c>
      <c r="Q162" s="20">
        <f>COUNTIFS(tData[SEHTrajectPeriodeDatumTijdVan],"&lt;="&amp;($A162+13/24),tData[SEHTrajectPeriodeDatumTijdTotEnMet],"&gt;"&amp;($A162+13/24))</f>
        <v/>
      </c>
      <c r="R162" s="20">
        <f>COUNTIFS(tData[SEHTrajectPeriodeDatumTijdVan],"&lt;="&amp;($A162+14/24),tData[SEHTrajectPeriodeDatumTijdTotEnMet],"&gt;"&amp;($A162+14/24))</f>
        <v/>
      </c>
      <c r="S162" s="20">
        <f>COUNTIFS(tData[SEHTrajectPeriodeDatumTijdVan],"&lt;="&amp;($A162+15/24),tData[SEHTrajectPeriodeDatumTijdTotEnMet],"&gt;"&amp;($A162+15/24))</f>
        <v/>
      </c>
      <c r="T162" s="20">
        <f>COUNTIFS(tData[SEHTrajectPeriodeDatumTijdVan],"&lt;="&amp;($A162+16/24),tData[SEHTrajectPeriodeDatumTijdTotEnMet],"&gt;"&amp;($A162+16/24))</f>
        <v/>
      </c>
      <c r="U162" s="20">
        <f>COUNTIFS(tData[SEHTrajectPeriodeDatumTijdVan],"&lt;="&amp;($A162+17/24),tData[SEHTrajectPeriodeDatumTijdTotEnMet],"&gt;"&amp;($A162+17/24))</f>
        <v/>
      </c>
      <c r="V162" s="20">
        <f>COUNTIFS(tData[SEHTrajectPeriodeDatumTijdVan],"&lt;="&amp;($A162+18/24),tData[SEHTrajectPeriodeDatumTijdTotEnMet],"&gt;"&amp;($A162+18/24))</f>
        <v/>
      </c>
      <c r="W162" s="20">
        <f>COUNTIFS(tData[SEHTrajectPeriodeDatumTijdVan],"&lt;="&amp;($A162+19/24),tData[SEHTrajectPeriodeDatumTijdTotEnMet],"&gt;"&amp;($A162+19/24))</f>
        <v/>
      </c>
      <c r="X162" s="20">
        <f>COUNTIFS(tData[SEHTrajectPeriodeDatumTijdVan],"&lt;="&amp;($A162+20/24),tData[SEHTrajectPeriodeDatumTijdTotEnMet],"&gt;"&amp;($A162+20/24))</f>
        <v/>
      </c>
      <c r="Y162" s="20">
        <f>COUNTIFS(tData[SEHTrajectPeriodeDatumTijdVan],"&lt;="&amp;($A162+21/24),tData[SEHTrajectPeriodeDatumTijdTotEnMet],"&gt;"&amp;($A162+21/24))</f>
        <v/>
      </c>
      <c r="Z162" s="20">
        <f>COUNTIFS(tData[SEHTrajectPeriodeDatumTijdVan],"&lt;="&amp;($A162+22/24),tData[SEHTrajectPeriodeDatumTijdTotEnMet],"&gt;"&amp;($A162+22/24))</f>
        <v/>
      </c>
      <c r="AA162" s="20">
        <f>COUNTIFS(tData[SEHTrajectPeriodeDatumTijdVan],"&lt;="&amp;($A162+23/24),tData[SEHTrajectPeriodeDatumTijdTotEnMet],"&gt;"&amp;($A162+23/24))</f>
        <v/>
      </c>
    </row>
    <row r="163">
      <c r="A163" s="19" t="n">
        <v>45451</v>
      </c>
      <c r="B163" s="15">
        <f>WEEKDAY($A163,2)</f>
        <v/>
      </c>
      <c r="C163" s="15">
        <f>IF(AND($A163&gt;=INT(Instellingen!$B$5),$A163&lt;=INT(Instellingen!$B$6)),1,0)</f>
        <v/>
      </c>
      <c r="D163" s="20">
        <f>COUNTIFS(tData[SEHTrajectPeriodeDatumTijdVan],"&lt;="&amp;($A163+0/24),tData[SEHTrajectPeriodeDatumTijdTotEnMet],"&gt;"&amp;($A163+0/24))</f>
        <v/>
      </c>
      <c r="E163" s="20">
        <f>COUNTIFS(tData[SEHTrajectPeriodeDatumTijdVan],"&lt;="&amp;($A163+1/24),tData[SEHTrajectPeriodeDatumTijdTotEnMet],"&gt;"&amp;($A163+1/24))</f>
        <v/>
      </c>
      <c r="F163" s="20">
        <f>COUNTIFS(tData[SEHTrajectPeriodeDatumTijdVan],"&lt;="&amp;($A163+2/24),tData[SEHTrajectPeriodeDatumTijdTotEnMet],"&gt;"&amp;($A163+2/24))</f>
        <v/>
      </c>
      <c r="G163" s="20">
        <f>COUNTIFS(tData[SEHTrajectPeriodeDatumTijdVan],"&lt;="&amp;($A163+3/24),tData[SEHTrajectPeriodeDatumTijdTotEnMet],"&gt;"&amp;($A163+3/24))</f>
        <v/>
      </c>
      <c r="H163" s="20">
        <f>COUNTIFS(tData[SEHTrajectPeriodeDatumTijdVan],"&lt;="&amp;($A163+4/24),tData[SEHTrajectPeriodeDatumTijdTotEnMet],"&gt;"&amp;($A163+4/24))</f>
        <v/>
      </c>
      <c r="I163" s="20">
        <f>COUNTIFS(tData[SEHTrajectPeriodeDatumTijdVan],"&lt;="&amp;($A163+5/24),tData[SEHTrajectPeriodeDatumTijdTotEnMet],"&gt;"&amp;($A163+5/24))</f>
        <v/>
      </c>
      <c r="J163" s="20">
        <f>COUNTIFS(tData[SEHTrajectPeriodeDatumTijdVan],"&lt;="&amp;($A163+6/24),tData[SEHTrajectPeriodeDatumTijdTotEnMet],"&gt;"&amp;($A163+6/24))</f>
        <v/>
      </c>
      <c r="K163" s="20">
        <f>COUNTIFS(tData[SEHTrajectPeriodeDatumTijdVan],"&lt;="&amp;($A163+7/24),tData[SEHTrajectPeriodeDatumTijdTotEnMet],"&gt;"&amp;($A163+7/24))</f>
        <v/>
      </c>
      <c r="L163" s="20">
        <f>COUNTIFS(tData[SEHTrajectPeriodeDatumTijdVan],"&lt;="&amp;($A163+8/24),tData[SEHTrajectPeriodeDatumTijdTotEnMet],"&gt;"&amp;($A163+8/24))</f>
        <v/>
      </c>
      <c r="M163" s="20">
        <f>COUNTIFS(tData[SEHTrajectPeriodeDatumTijdVan],"&lt;="&amp;($A163+9/24),tData[SEHTrajectPeriodeDatumTijdTotEnMet],"&gt;"&amp;($A163+9/24))</f>
        <v/>
      </c>
      <c r="N163" s="20">
        <f>COUNTIFS(tData[SEHTrajectPeriodeDatumTijdVan],"&lt;="&amp;($A163+10/24),tData[SEHTrajectPeriodeDatumTijdTotEnMet],"&gt;"&amp;($A163+10/24))</f>
        <v/>
      </c>
      <c r="O163" s="20">
        <f>COUNTIFS(tData[SEHTrajectPeriodeDatumTijdVan],"&lt;="&amp;($A163+11/24),tData[SEHTrajectPeriodeDatumTijdTotEnMet],"&gt;"&amp;($A163+11/24))</f>
        <v/>
      </c>
      <c r="P163" s="20">
        <f>COUNTIFS(tData[SEHTrajectPeriodeDatumTijdVan],"&lt;="&amp;($A163+12/24),tData[SEHTrajectPeriodeDatumTijdTotEnMet],"&gt;"&amp;($A163+12/24))</f>
        <v/>
      </c>
      <c r="Q163" s="20">
        <f>COUNTIFS(tData[SEHTrajectPeriodeDatumTijdVan],"&lt;="&amp;($A163+13/24),tData[SEHTrajectPeriodeDatumTijdTotEnMet],"&gt;"&amp;($A163+13/24))</f>
        <v/>
      </c>
      <c r="R163" s="20">
        <f>COUNTIFS(tData[SEHTrajectPeriodeDatumTijdVan],"&lt;="&amp;($A163+14/24),tData[SEHTrajectPeriodeDatumTijdTotEnMet],"&gt;"&amp;($A163+14/24))</f>
        <v/>
      </c>
      <c r="S163" s="20">
        <f>COUNTIFS(tData[SEHTrajectPeriodeDatumTijdVan],"&lt;="&amp;($A163+15/24),tData[SEHTrajectPeriodeDatumTijdTotEnMet],"&gt;"&amp;($A163+15/24))</f>
        <v/>
      </c>
      <c r="T163" s="20">
        <f>COUNTIFS(tData[SEHTrajectPeriodeDatumTijdVan],"&lt;="&amp;($A163+16/24),tData[SEHTrajectPeriodeDatumTijdTotEnMet],"&gt;"&amp;($A163+16/24))</f>
        <v/>
      </c>
      <c r="U163" s="20">
        <f>COUNTIFS(tData[SEHTrajectPeriodeDatumTijdVan],"&lt;="&amp;($A163+17/24),tData[SEHTrajectPeriodeDatumTijdTotEnMet],"&gt;"&amp;($A163+17/24))</f>
        <v/>
      </c>
      <c r="V163" s="20">
        <f>COUNTIFS(tData[SEHTrajectPeriodeDatumTijdVan],"&lt;="&amp;($A163+18/24),tData[SEHTrajectPeriodeDatumTijdTotEnMet],"&gt;"&amp;($A163+18/24))</f>
        <v/>
      </c>
      <c r="W163" s="20">
        <f>COUNTIFS(tData[SEHTrajectPeriodeDatumTijdVan],"&lt;="&amp;($A163+19/24),tData[SEHTrajectPeriodeDatumTijdTotEnMet],"&gt;"&amp;($A163+19/24))</f>
        <v/>
      </c>
      <c r="X163" s="20">
        <f>COUNTIFS(tData[SEHTrajectPeriodeDatumTijdVan],"&lt;="&amp;($A163+20/24),tData[SEHTrajectPeriodeDatumTijdTotEnMet],"&gt;"&amp;($A163+20/24))</f>
        <v/>
      </c>
      <c r="Y163" s="20">
        <f>COUNTIFS(tData[SEHTrajectPeriodeDatumTijdVan],"&lt;="&amp;($A163+21/24),tData[SEHTrajectPeriodeDatumTijdTotEnMet],"&gt;"&amp;($A163+21/24))</f>
        <v/>
      </c>
      <c r="Z163" s="20">
        <f>COUNTIFS(tData[SEHTrajectPeriodeDatumTijdVan],"&lt;="&amp;($A163+22/24),tData[SEHTrajectPeriodeDatumTijdTotEnMet],"&gt;"&amp;($A163+22/24))</f>
        <v/>
      </c>
      <c r="AA163" s="20">
        <f>COUNTIFS(tData[SEHTrajectPeriodeDatumTijdVan],"&lt;="&amp;($A163+23/24),tData[SEHTrajectPeriodeDatumTijdTotEnMet],"&gt;"&amp;($A163+23/24))</f>
        <v/>
      </c>
    </row>
    <row r="164">
      <c r="A164" s="19" t="n">
        <v>45452</v>
      </c>
      <c r="B164" s="15">
        <f>WEEKDAY($A164,2)</f>
        <v/>
      </c>
      <c r="C164" s="15">
        <f>IF(AND($A164&gt;=INT(Instellingen!$B$5),$A164&lt;=INT(Instellingen!$B$6)),1,0)</f>
        <v/>
      </c>
      <c r="D164" s="20">
        <f>COUNTIFS(tData[SEHTrajectPeriodeDatumTijdVan],"&lt;="&amp;($A164+0/24),tData[SEHTrajectPeriodeDatumTijdTotEnMet],"&gt;"&amp;($A164+0/24))</f>
        <v/>
      </c>
      <c r="E164" s="20">
        <f>COUNTIFS(tData[SEHTrajectPeriodeDatumTijdVan],"&lt;="&amp;($A164+1/24),tData[SEHTrajectPeriodeDatumTijdTotEnMet],"&gt;"&amp;($A164+1/24))</f>
        <v/>
      </c>
      <c r="F164" s="20">
        <f>COUNTIFS(tData[SEHTrajectPeriodeDatumTijdVan],"&lt;="&amp;($A164+2/24),tData[SEHTrajectPeriodeDatumTijdTotEnMet],"&gt;"&amp;($A164+2/24))</f>
        <v/>
      </c>
      <c r="G164" s="20">
        <f>COUNTIFS(tData[SEHTrajectPeriodeDatumTijdVan],"&lt;="&amp;($A164+3/24),tData[SEHTrajectPeriodeDatumTijdTotEnMet],"&gt;"&amp;($A164+3/24))</f>
        <v/>
      </c>
      <c r="H164" s="20">
        <f>COUNTIFS(tData[SEHTrajectPeriodeDatumTijdVan],"&lt;="&amp;($A164+4/24),tData[SEHTrajectPeriodeDatumTijdTotEnMet],"&gt;"&amp;($A164+4/24))</f>
        <v/>
      </c>
      <c r="I164" s="20">
        <f>COUNTIFS(tData[SEHTrajectPeriodeDatumTijdVan],"&lt;="&amp;($A164+5/24),tData[SEHTrajectPeriodeDatumTijdTotEnMet],"&gt;"&amp;($A164+5/24))</f>
        <v/>
      </c>
      <c r="J164" s="20">
        <f>COUNTIFS(tData[SEHTrajectPeriodeDatumTijdVan],"&lt;="&amp;($A164+6/24),tData[SEHTrajectPeriodeDatumTijdTotEnMet],"&gt;"&amp;($A164+6/24))</f>
        <v/>
      </c>
      <c r="K164" s="20">
        <f>COUNTIFS(tData[SEHTrajectPeriodeDatumTijdVan],"&lt;="&amp;($A164+7/24),tData[SEHTrajectPeriodeDatumTijdTotEnMet],"&gt;"&amp;($A164+7/24))</f>
        <v/>
      </c>
      <c r="L164" s="20">
        <f>COUNTIFS(tData[SEHTrajectPeriodeDatumTijdVan],"&lt;="&amp;($A164+8/24),tData[SEHTrajectPeriodeDatumTijdTotEnMet],"&gt;"&amp;($A164+8/24))</f>
        <v/>
      </c>
      <c r="M164" s="20">
        <f>COUNTIFS(tData[SEHTrajectPeriodeDatumTijdVan],"&lt;="&amp;($A164+9/24),tData[SEHTrajectPeriodeDatumTijdTotEnMet],"&gt;"&amp;($A164+9/24))</f>
        <v/>
      </c>
      <c r="N164" s="20">
        <f>COUNTIFS(tData[SEHTrajectPeriodeDatumTijdVan],"&lt;="&amp;($A164+10/24),tData[SEHTrajectPeriodeDatumTijdTotEnMet],"&gt;"&amp;($A164+10/24))</f>
        <v/>
      </c>
      <c r="O164" s="20">
        <f>COUNTIFS(tData[SEHTrajectPeriodeDatumTijdVan],"&lt;="&amp;($A164+11/24),tData[SEHTrajectPeriodeDatumTijdTotEnMet],"&gt;"&amp;($A164+11/24))</f>
        <v/>
      </c>
      <c r="P164" s="20">
        <f>COUNTIFS(tData[SEHTrajectPeriodeDatumTijdVan],"&lt;="&amp;($A164+12/24),tData[SEHTrajectPeriodeDatumTijdTotEnMet],"&gt;"&amp;($A164+12/24))</f>
        <v/>
      </c>
      <c r="Q164" s="20">
        <f>COUNTIFS(tData[SEHTrajectPeriodeDatumTijdVan],"&lt;="&amp;($A164+13/24),tData[SEHTrajectPeriodeDatumTijdTotEnMet],"&gt;"&amp;($A164+13/24))</f>
        <v/>
      </c>
      <c r="R164" s="20">
        <f>COUNTIFS(tData[SEHTrajectPeriodeDatumTijdVan],"&lt;="&amp;($A164+14/24),tData[SEHTrajectPeriodeDatumTijdTotEnMet],"&gt;"&amp;($A164+14/24))</f>
        <v/>
      </c>
      <c r="S164" s="20">
        <f>COUNTIFS(tData[SEHTrajectPeriodeDatumTijdVan],"&lt;="&amp;($A164+15/24),tData[SEHTrajectPeriodeDatumTijdTotEnMet],"&gt;"&amp;($A164+15/24))</f>
        <v/>
      </c>
      <c r="T164" s="20">
        <f>COUNTIFS(tData[SEHTrajectPeriodeDatumTijdVan],"&lt;="&amp;($A164+16/24),tData[SEHTrajectPeriodeDatumTijdTotEnMet],"&gt;"&amp;($A164+16/24))</f>
        <v/>
      </c>
      <c r="U164" s="20">
        <f>COUNTIFS(tData[SEHTrajectPeriodeDatumTijdVan],"&lt;="&amp;($A164+17/24),tData[SEHTrajectPeriodeDatumTijdTotEnMet],"&gt;"&amp;($A164+17/24))</f>
        <v/>
      </c>
      <c r="V164" s="20">
        <f>COUNTIFS(tData[SEHTrajectPeriodeDatumTijdVan],"&lt;="&amp;($A164+18/24),tData[SEHTrajectPeriodeDatumTijdTotEnMet],"&gt;"&amp;($A164+18/24))</f>
        <v/>
      </c>
      <c r="W164" s="20">
        <f>COUNTIFS(tData[SEHTrajectPeriodeDatumTijdVan],"&lt;="&amp;($A164+19/24),tData[SEHTrajectPeriodeDatumTijdTotEnMet],"&gt;"&amp;($A164+19/24))</f>
        <v/>
      </c>
      <c r="X164" s="20">
        <f>COUNTIFS(tData[SEHTrajectPeriodeDatumTijdVan],"&lt;="&amp;($A164+20/24),tData[SEHTrajectPeriodeDatumTijdTotEnMet],"&gt;"&amp;($A164+20/24))</f>
        <v/>
      </c>
      <c r="Y164" s="20">
        <f>COUNTIFS(tData[SEHTrajectPeriodeDatumTijdVan],"&lt;="&amp;($A164+21/24),tData[SEHTrajectPeriodeDatumTijdTotEnMet],"&gt;"&amp;($A164+21/24))</f>
        <v/>
      </c>
      <c r="Z164" s="20">
        <f>COUNTIFS(tData[SEHTrajectPeriodeDatumTijdVan],"&lt;="&amp;($A164+22/24),tData[SEHTrajectPeriodeDatumTijdTotEnMet],"&gt;"&amp;($A164+22/24))</f>
        <v/>
      </c>
      <c r="AA164" s="20">
        <f>COUNTIFS(tData[SEHTrajectPeriodeDatumTijdVan],"&lt;="&amp;($A164+23/24),tData[SEHTrajectPeriodeDatumTijdTotEnMet],"&gt;"&amp;($A164+23/24))</f>
        <v/>
      </c>
    </row>
    <row r="165">
      <c r="A165" s="19" t="n">
        <v>45453</v>
      </c>
      <c r="B165" s="15">
        <f>WEEKDAY($A165,2)</f>
        <v/>
      </c>
      <c r="C165" s="15">
        <f>IF(AND($A165&gt;=INT(Instellingen!$B$5),$A165&lt;=INT(Instellingen!$B$6)),1,0)</f>
        <v/>
      </c>
      <c r="D165" s="20">
        <f>COUNTIFS(tData[SEHTrajectPeriodeDatumTijdVan],"&lt;="&amp;($A165+0/24),tData[SEHTrajectPeriodeDatumTijdTotEnMet],"&gt;"&amp;($A165+0/24))</f>
        <v/>
      </c>
      <c r="E165" s="20">
        <f>COUNTIFS(tData[SEHTrajectPeriodeDatumTijdVan],"&lt;="&amp;($A165+1/24),tData[SEHTrajectPeriodeDatumTijdTotEnMet],"&gt;"&amp;($A165+1/24))</f>
        <v/>
      </c>
      <c r="F165" s="20">
        <f>COUNTIFS(tData[SEHTrajectPeriodeDatumTijdVan],"&lt;="&amp;($A165+2/24),tData[SEHTrajectPeriodeDatumTijdTotEnMet],"&gt;"&amp;($A165+2/24))</f>
        <v/>
      </c>
      <c r="G165" s="20">
        <f>COUNTIFS(tData[SEHTrajectPeriodeDatumTijdVan],"&lt;="&amp;($A165+3/24),tData[SEHTrajectPeriodeDatumTijdTotEnMet],"&gt;"&amp;($A165+3/24))</f>
        <v/>
      </c>
      <c r="H165" s="20">
        <f>COUNTIFS(tData[SEHTrajectPeriodeDatumTijdVan],"&lt;="&amp;($A165+4/24),tData[SEHTrajectPeriodeDatumTijdTotEnMet],"&gt;"&amp;($A165+4/24))</f>
        <v/>
      </c>
      <c r="I165" s="20">
        <f>COUNTIFS(tData[SEHTrajectPeriodeDatumTijdVan],"&lt;="&amp;($A165+5/24),tData[SEHTrajectPeriodeDatumTijdTotEnMet],"&gt;"&amp;($A165+5/24))</f>
        <v/>
      </c>
      <c r="J165" s="20">
        <f>COUNTIFS(tData[SEHTrajectPeriodeDatumTijdVan],"&lt;="&amp;($A165+6/24),tData[SEHTrajectPeriodeDatumTijdTotEnMet],"&gt;"&amp;($A165+6/24))</f>
        <v/>
      </c>
      <c r="K165" s="20">
        <f>COUNTIFS(tData[SEHTrajectPeriodeDatumTijdVan],"&lt;="&amp;($A165+7/24),tData[SEHTrajectPeriodeDatumTijdTotEnMet],"&gt;"&amp;($A165+7/24))</f>
        <v/>
      </c>
      <c r="L165" s="20">
        <f>COUNTIFS(tData[SEHTrajectPeriodeDatumTijdVan],"&lt;="&amp;($A165+8/24),tData[SEHTrajectPeriodeDatumTijdTotEnMet],"&gt;"&amp;($A165+8/24))</f>
        <v/>
      </c>
      <c r="M165" s="20">
        <f>COUNTIFS(tData[SEHTrajectPeriodeDatumTijdVan],"&lt;="&amp;($A165+9/24),tData[SEHTrajectPeriodeDatumTijdTotEnMet],"&gt;"&amp;($A165+9/24))</f>
        <v/>
      </c>
      <c r="N165" s="20">
        <f>COUNTIFS(tData[SEHTrajectPeriodeDatumTijdVan],"&lt;="&amp;($A165+10/24),tData[SEHTrajectPeriodeDatumTijdTotEnMet],"&gt;"&amp;($A165+10/24))</f>
        <v/>
      </c>
      <c r="O165" s="20">
        <f>COUNTIFS(tData[SEHTrajectPeriodeDatumTijdVan],"&lt;="&amp;($A165+11/24),tData[SEHTrajectPeriodeDatumTijdTotEnMet],"&gt;"&amp;($A165+11/24))</f>
        <v/>
      </c>
      <c r="P165" s="20">
        <f>COUNTIFS(tData[SEHTrajectPeriodeDatumTijdVan],"&lt;="&amp;($A165+12/24),tData[SEHTrajectPeriodeDatumTijdTotEnMet],"&gt;"&amp;($A165+12/24))</f>
        <v/>
      </c>
      <c r="Q165" s="20">
        <f>COUNTIFS(tData[SEHTrajectPeriodeDatumTijdVan],"&lt;="&amp;($A165+13/24),tData[SEHTrajectPeriodeDatumTijdTotEnMet],"&gt;"&amp;($A165+13/24))</f>
        <v/>
      </c>
      <c r="R165" s="20">
        <f>COUNTIFS(tData[SEHTrajectPeriodeDatumTijdVan],"&lt;="&amp;($A165+14/24),tData[SEHTrajectPeriodeDatumTijdTotEnMet],"&gt;"&amp;($A165+14/24))</f>
        <v/>
      </c>
      <c r="S165" s="20">
        <f>COUNTIFS(tData[SEHTrajectPeriodeDatumTijdVan],"&lt;="&amp;($A165+15/24),tData[SEHTrajectPeriodeDatumTijdTotEnMet],"&gt;"&amp;($A165+15/24))</f>
        <v/>
      </c>
      <c r="T165" s="20">
        <f>COUNTIFS(tData[SEHTrajectPeriodeDatumTijdVan],"&lt;="&amp;($A165+16/24),tData[SEHTrajectPeriodeDatumTijdTotEnMet],"&gt;"&amp;($A165+16/24))</f>
        <v/>
      </c>
      <c r="U165" s="20">
        <f>COUNTIFS(tData[SEHTrajectPeriodeDatumTijdVan],"&lt;="&amp;($A165+17/24),tData[SEHTrajectPeriodeDatumTijdTotEnMet],"&gt;"&amp;($A165+17/24))</f>
        <v/>
      </c>
      <c r="V165" s="20">
        <f>COUNTIFS(tData[SEHTrajectPeriodeDatumTijdVan],"&lt;="&amp;($A165+18/24),tData[SEHTrajectPeriodeDatumTijdTotEnMet],"&gt;"&amp;($A165+18/24))</f>
        <v/>
      </c>
      <c r="W165" s="20">
        <f>COUNTIFS(tData[SEHTrajectPeriodeDatumTijdVan],"&lt;="&amp;($A165+19/24),tData[SEHTrajectPeriodeDatumTijdTotEnMet],"&gt;"&amp;($A165+19/24))</f>
        <v/>
      </c>
      <c r="X165" s="20">
        <f>COUNTIFS(tData[SEHTrajectPeriodeDatumTijdVan],"&lt;="&amp;($A165+20/24),tData[SEHTrajectPeriodeDatumTijdTotEnMet],"&gt;"&amp;($A165+20/24))</f>
        <v/>
      </c>
      <c r="Y165" s="20">
        <f>COUNTIFS(tData[SEHTrajectPeriodeDatumTijdVan],"&lt;="&amp;($A165+21/24),tData[SEHTrajectPeriodeDatumTijdTotEnMet],"&gt;"&amp;($A165+21/24))</f>
        <v/>
      </c>
      <c r="Z165" s="20">
        <f>COUNTIFS(tData[SEHTrajectPeriodeDatumTijdVan],"&lt;="&amp;($A165+22/24),tData[SEHTrajectPeriodeDatumTijdTotEnMet],"&gt;"&amp;($A165+22/24))</f>
        <v/>
      </c>
      <c r="AA165" s="20">
        <f>COUNTIFS(tData[SEHTrajectPeriodeDatumTijdVan],"&lt;="&amp;($A165+23/24),tData[SEHTrajectPeriodeDatumTijdTotEnMet],"&gt;"&amp;($A165+23/24))</f>
        <v/>
      </c>
    </row>
    <row r="166">
      <c r="A166" s="19" t="n">
        <v>45454</v>
      </c>
      <c r="B166" s="15">
        <f>WEEKDAY($A166,2)</f>
        <v/>
      </c>
      <c r="C166" s="15">
        <f>IF(AND($A166&gt;=INT(Instellingen!$B$5),$A166&lt;=INT(Instellingen!$B$6)),1,0)</f>
        <v/>
      </c>
      <c r="D166" s="20">
        <f>COUNTIFS(tData[SEHTrajectPeriodeDatumTijdVan],"&lt;="&amp;($A166+0/24),tData[SEHTrajectPeriodeDatumTijdTotEnMet],"&gt;"&amp;($A166+0/24))</f>
        <v/>
      </c>
      <c r="E166" s="20">
        <f>COUNTIFS(tData[SEHTrajectPeriodeDatumTijdVan],"&lt;="&amp;($A166+1/24),tData[SEHTrajectPeriodeDatumTijdTotEnMet],"&gt;"&amp;($A166+1/24))</f>
        <v/>
      </c>
      <c r="F166" s="20">
        <f>COUNTIFS(tData[SEHTrajectPeriodeDatumTijdVan],"&lt;="&amp;($A166+2/24),tData[SEHTrajectPeriodeDatumTijdTotEnMet],"&gt;"&amp;($A166+2/24))</f>
        <v/>
      </c>
      <c r="G166" s="20">
        <f>COUNTIFS(tData[SEHTrajectPeriodeDatumTijdVan],"&lt;="&amp;($A166+3/24),tData[SEHTrajectPeriodeDatumTijdTotEnMet],"&gt;"&amp;($A166+3/24))</f>
        <v/>
      </c>
      <c r="H166" s="20">
        <f>COUNTIFS(tData[SEHTrajectPeriodeDatumTijdVan],"&lt;="&amp;($A166+4/24),tData[SEHTrajectPeriodeDatumTijdTotEnMet],"&gt;"&amp;($A166+4/24))</f>
        <v/>
      </c>
      <c r="I166" s="20">
        <f>COUNTIFS(tData[SEHTrajectPeriodeDatumTijdVan],"&lt;="&amp;($A166+5/24),tData[SEHTrajectPeriodeDatumTijdTotEnMet],"&gt;"&amp;($A166+5/24))</f>
        <v/>
      </c>
      <c r="J166" s="20">
        <f>COUNTIFS(tData[SEHTrajectPeriodeDatumTijdVan],"&lt;="&amp;($A166+6/24),tData[SEHTrajectPeriodeDatumTijdTotEnMet],"&gt;"&amp;($A166+6/24))</f>
        <v/>
      </c>
      <c r="K166" s="20">
        <f>COUNTIFS(tData[SEHTrajectPeriodeDatumTijdVan],"&lt;="&amp;($A166+7/24),tData[SEHTrajectPeriodeDatumTijdTotEnMet],"&gt;"&amp;($A166+7/24))</f>
        <v/>
      </c>
      <c r="L166" s="20">
        <f>COUNTIFS(tData[SEHTrajectPeriodeDatumTijdVan],"&lt;="&amp;($A166+8/24),tData[SEHTrajectPeriodeDatumTijdTotEnMet],"&gt;"&amp;($A166+8/24))</f>
        <v/>
      </c>
      <c r="M166" s="20">
        <f>COUNTIFS(tData[SEHTrajectPeriodeDatumTijdVan],"&lt;="&amp;($A166+9/24),tData[SEHTrajectPeriodeDatumTijdTotEnMet],"&gt;"&amp;($A166+9/24))</f>
        <v/>
      </c>
      <c r="N166" s="20">
        <f>COUNTIFS(tData[SEHTrajectPeriodeDatumTijdVan],"&lt;="&amp;($A166+10/24),tData[SEHTrajectPeriodeDatumTijdTotEnMet],"&gt;"&amp;($A166+10/24))</f>
        <v/>
      </c>
      <c r="O166" s="20">
        <f>COUNTIFS(tData[SEHTrajectPeriodeDatumTijdVan],"&lt;="&amp;($A166+11/24),tData[SEHTrajectPeriodeDatumTijdTotEnMet],"&gt;"&amp;($A166+11/24))</f>
        <v/>
      </c>
      <c r="P166" s="20">
        <f>COUNTIFS(tData[SEHTrajectPeriodeDatumTijdVan],"&lt;="&amp;($A166+12/24),tData[SEHTrajectPeriodeDatumTijdTotEnMet],"&gt;"&amp;($A166+12/24))</f>
        <v/>
      </c>
      <c r="Q166" s="20">
        <f>COUNTIFS(tData[SEHTrajectPeriodeDatumTijdVan],"&lt;="&amp;($A166+13/24),tData[SEHTrajectPeriodeDatumTijdTotEnMet],"&gt;"&amp;($A166+13/24))</f>
        <v/>
      </c>
      <c r="R166" s="20">
        <f>COUNTIFS(tData[SEHTrajectPeriodeDatumTijdVan],"&lt;="&amp;($A166+14/24),tData[SEHTrajectPeriodeDatumTijdTotEnMet],"&gt;"&amp;($A166+14/24))</f>
        <v/>
      </c>
      <c r="S166" s="20">
        <f>COUNTIFS(tData[SEHTrajectPeriodeDatumTijdVan],"&lt;="&amp;($A166+15/24),tData[SEHTrajectPeriodeDatumTijdTotEnMet],"&gt;"&amp;($A166+15/24))</f>
        <v/>
      </c>
      <c r="T166" s="20">
        <f>COUNTIFS(tData[SEHTrajectPeriodeDatumTijdVan],"&lt;="&amp;($A166+16/24),tData[SEHTrajectPeriodeDatumTijdTotEnMet],"&gt;"&amp;($A166+16/24))</f>
        <v/>
      </c>
      <c r="U166" s="20">
        <f>COUNTIFS(tData[SEHTrajectPeriodeDatumTijdVan],"&lt;="&amp;($A166+17/24),tData[SEHTrajectPeriodeDatumTijdTotEnMet],"&gt;"&amp;($A166+17/24))</f>
        <v/>
      </c>
      <c r="V166" s="20">
        <f>COUNTIFS(tData[SEHTrajectPeriodeDatumTijdVan],"&lt;="&amp;($A166+18/24),tData[SEHTrajectPeriodeDatumTijdTotEnMet],"&gt;"&amp;($A166+18/24))</f>
        <v/>
      </c>
      <c r="W166" s="20">
        <f>COUNTIFS(tData[SEHTrajectPeriodeDatumTijdVan],"&lt;="&amp;($A166+19/24),tData[SEHTrajectPeriodeDatumTijdTotEnMet],"&gt;"&amp;($A166+19/24))</f>
        <v/>
      </c>
      <c r="X166" s="20">
        <f>COUNTIFS(tData[SEHTrajectPeriodeDatumTijdVan],"&lt;="&amp;($A166+20/24),tData[SEHTrajectPeriodeDatumTijdTotEnMet],"&gt;"&amp;($A166+20/24))</f>
        <v/>
      </c>
      <c r="Y166" s="20">
        <f>COUNTIFS(tData[SEHTrajectPeriodeDatumTijdVan],"&lt;="&amp;($A166+21/24),tData[SEHTrajectPeriodeDatumTijdTotEnMet],"&gt;"&amp;($A166+21/24))</f>
        <v/>
      </c>
      <c r="Z166" s="20">
        <f>COUNTIFS(tData[SEHTrajectPeriodeDatumTijdVan],"&lt;="&amp;($A166+22/24),tData[SEHTrajectPeriodeDatumTijdTotEnMet],"&gt;"&amp;($A166+22/24))</f>
        <v/>
      </c>
      <c r="AA166" s="20">
        <f>COUNTIFS(tData[SEHTrajectPeriodeDatumTijdVan],"&lt;="&amp;($A166+23/24),tData[SEHTrajectPeriodeDatumTijdTotEnMet],"&gt;"&amp;($A166+23/24))</f>
        <v/>
      </c>
    </row>
    <row r="167">
      <c r="A167" s="19" t="n">
        <v>45455</v>
      </c>
      <c r="B167" s="15">
        <f>WEEKDAY($A167,2)</f>
        <v/>
      </c>
      <c r="C167" s="15">
        <f>IF(AND($A167&gt;=INT(Instellingen!$B$5),$A167&lt;=INT(Instellingen!$B$6)),1,0)</f>
        <v/>
      </c>
      <c r="D167" s="20">
        <f>COUNTIFS(tData[SEHTrajectPeriodeDatumTijdVan],"&lt;="&amp;($A167+0/24),tData[SEHTrajectPeriodeDatumTijdTotEnMet],"&gt;"&amp;($A167+0/24))</f>
        <v/>
      </c>
      <c r="E167" s="20">
        <f>COUNTIFS(tData[SEHTrajectPeriodeDatumTijdVan],"&lt;="&amp;($A167+1/24),tData[SEHTrajectPeriodeDatumTijdTotEnMet],"&gt;"&amp;($A167+1/24))</f>
        <v/>
      </c>
      <c r="F167" s="20">
        <f>COUNTIFS(tData[SEHTrajectPeriodeDatumTijdVan],"&lt;="&amp;($A167+2/24),tData[SEHTrajectPeriodeDatumTijdTotEnMet],"&gt;"&amp;($A167+2/24))</f>
        <v/>
      </c>
      <c r="G167" s="20">
        <f>COUNTIFS(tData[SEHTrajectPeriodeDatumTijdVan],"&lt;="&amp;($A167+3/24),tData[SEHTrajectPeriodeDatumTijdTotEnMet],"&gt;"&amp;($A167+3/24))</f>
        <v/>
      </c>
      <c r="H167" s="20">
        <f>COUNTIFS(tData[SEHTrajectPeriodeDatumTijdVan],"&lt;="&amp;($A167+4/24),tData[SEHTrajectPeriodeDatumTijdTotEnMet],"&gt;"&amp;($A167+4/24))</f>
        <v/>
      </c>
      <c r="I167" s="20">
        <f>COUNTIFS(tData[SEHTrajectPeriodeDatumTijdVan],"&lt;="&amp;($A167+5/24),tData[SEHTrajectPeriodeDatumTijdTotEnMet],"&gt;"&amp;($A167+5/24))</f>
        <v/>
      </c>
      <c r="J167" s="20">
        <f>COUNTIFS(tData[SEHTrajectPeriodeDatumTijdVan],"&lt;="&amp;($A167+6/24),tData[SEHTrajectPeriodeDatumTijdTotEnMet],"&gt;"&amp;($A167+6/24))</f>
        <v/>
      </c>
      <c r="K167" s="20">
        <f>COUNTIFS(tData[SEHTrajectPeriodeDatumTijdVan],"&lt;="&amp;($A167+7/24),tData[SEHTrajectPeriodeDatumTijdTotEnMet],"&gt;"&amp;($A167+7/24))</f>
        <v/>
      </c>
      <c r="L167" s="20">
        <f>COUNTIFS(tData[SEHTrajectPeriodeDatumTijdVan],"&lt;="&amp;($A167+8/24),tData[SEHTrajectPeriodeDatumTijdTotEnMet],"&gt;"&amp;($A167+8/24))</f>
        <v/>
      </c>
      <c r="M167" s="20">
        <f>COUNTIFS(tData[SEHTrajectPeriodeDatumTijdVan],"&lt;="&amp;($A167+9/24),tData[SEHTrajectPeriodeDatumTijdTotEnMet],"&gt;"&amp;($A167+9/24))</f>
        <v/>
      </c>
      <c r="N167" s="20">
        <f>COUNTIFS(tData[SEHTrajectPeriodeDatumTijdVan],"&lt;="&amp;($A167+10/24),tData[SEHTrajectPeriodeDatumTijdTotEnMet],"&gt;"&amp;($A167+10/24))</f>
        <v/>
      </c>
      <c r="O167" s="20">
        <f>COUNTIFS(tData[SEHTrajectPeriodeDatumTijdVan],"&lt;="&amp;($A167+11/24),tData[SEHTrajectPeriodeDatumTijdTotEnMet],"&gt;"&amp;($A167+11/24))</f>
        <v/>
      </c>
      <c r="P167" s="20">
        <f>COUNTIFS(tData[SEHTrajectPeriodeDatumTijdVan],"&lt;="&amp;($A167+12/24),tData[SEHTrajectPeriodeDatumTijdTotEnMet],"&gt;"&amp;($A167+12/24))</f>
        <v/>
      </c>
      <c r="Q167" s="20">
        <f>COUNTIFS(tData[SEHTrajectPeriodeDatumTijdVan],"&lt;="&amp;($A167+13/24),tData[SEHTrajectPeriodeDatumTijdTotEnMet],"&gt;"&amp;($A167+13/24))</f>
        <v/>
      </c>
      <c r="R167" s="20">
        <f>COUNTIFS(tData[SEHTrajectPeriodeDatumTijdVan],"&lt;="&amp;($A167+14/24),tData[SEHTrajectPeriodeDatumTijdTotEnMet],"&gt;"&amp;($A167+14/24))</f>
        <v/>
      </c>
      <c r="S167" s="20">
        <f>COUNTIFS(tData[SEHTrajectPeriodeDatumTijdVan],"&lt;="&amp;($A167+15/24),tData[SEHTrajectPeriodeDatumTijdTotEnMet],"&gt;"&amp;($A167+15/24))</f>
        <v/>
      </c>
      <c r="T167" s="20">
        <f>COUNTIFS(tData[SEHTrajectPeriodeDatumTijdVan],"&lt;="&amp;($A167+16/24),tData[SEHTrajectPeriodeDatumTijdTotEnMet],"&gt;"&amp;($A167+16/24))</f>
        <v/>
      </c>
      <c r="U167" s="20">
        <f>COUNTIFS(tData[SEHTrajectPeriodeDatumTijdVan],"&lt;="&amp;($A167+17/24),tData[SEHTrajectPeriodeDatumTijdTotEnMet],"&gt;"&amp;($A167+17/24))</f>
        <v/>
      </c>
      <c r="V167" s="20">
        <f>COUNTIFS(tData[SEHTrajectPeriodeDatumTijdVan],"&lt;="&amp;($A167+18/24),tData[SEHTrajectPeriodeDatumTijdTotEnMet],"&gt;"&amp;($A167+18/24))</f>
        <v/>
      </c>
      <c r="W167" s="20">
        <f>COUNTIFS(tData[SEHTrajectPeriodeDatumTijdVan],"&lt;="&amp;($A167+19/24),tData[SEHTrajectPeriodeDatumTijdTotEnMet],"&gt;"&amp;($A167+19/24))</f>
        <v/>
      </c>
      <c r="X167" s="20">
        <f>COUNTIFS(tData[SEHTrajectPeriodeDatumTijdVan],"&lt;="&amp;($A167+20/24),tData[SEHTrajectPeriodeDatumTijdTotEnMet],"&gt;"&amp;($A167+20/24))</f>
        <v/>
      </c>
      <c r="Y167" s="20">
        <f>COUNTIFS(tData[SEHTrajectPeriodeDatumTijdVan],"&lt;="&amp;($A167+21/24),tData[SEHTrajectPeriodeDatumTijdTotEnMet],"&gt;"&amp;($A167+21/24))</f>
        <v/>
      </c>
      <c r="Z167" s="20">
        <f>COUNTIFS(tData[SEHTrajectPeriodeDatumTijdVan],"&lt;="&amp;($A167+22/24),tData[SEHTrajectPeriodeDatumTijdTotEnMet],"&gt;"&amp;($A167+22/24))</f>
        <v/>
      </c>
      <c r="AA167" s="20">
        <f>COUNTIFS(tData[SEHTrajectPeriodeDatumTijdVan],"&lt;="&amp;($A167+23/24),tData[SEHTrajectPeriodeDatumTijdTotEnMet],"&gt;"&amp;($A167+23/24))</f>
        <v/>
      </c>
    </row>
    <row r="168">
      <c r="A168" s="19" t="n">
        <v>45456</v>
      </c>
      <c r="B168" s="15">
        <f>WEEKDAY($A168,2)</f>
        <v/>
      </c>
      <c r="C168" s="15">
        <f>IF(AND($A168&gt;=INT(Instellingen!$B$5),$A168&lt;=INT(Instellingen!$B$6)),1,0)</f>
        <v/>
      </c>
      <c r="D168" s="20">
        <f>COUNTIFS(tData[SEHTrajectPeriodeDatumTijdVan],"&lt;="&amp;($A168+0/24),tData[SEHTrajectPeriodeDatumTijdTotEnMet],"&gt;"&amp;($A168+0/24))</f>
        <v/>
      </c>
      <c r="E168" s="20">
        <f>COUNTIFS(tData[SEHTrajectPeriodeDatumTijdVan],"&lt;="&amp;($A168+1/24),tData[SEHTrajectPeriodeDatumTijdTotEnMet],"&gt;"&amp;($A168+1/24))</f>
        <v/>
      </c>
      <c r="F168" s="20">
        <f>COUNTIFS(tData[SEHTrajectPeriodeDatumTijdVan],"&lt;="&amp;($A168+2/24),tData[SEHTrajectPeriodeDatumTijdTotEnMet],"&gt;"&amp;($A168+2/24))</f>
        <v/>
      </c>
      <c r="G168" s="20">
        <f>COUNTIFS(tData[SEHTrajectPeriodeDatumTijdVan],"&lt;="&amp;($A168+3/24),tData[SEHTrajectPeriodeDatumTijdTotEnMet],"&gt;"&amp;($A168+3/24))</f>
        <v/>
      </c>
      <c r="H168" s="20">
        <f>COUNTIFS(tData[SEHTrajectPeriodeDatumTijdVan],"&lt;="&amp;($A168+4/24),tData[SEHTrajectPeriodeDatumTijdTotEnMet],"&gt;"&amp;($A168+4/24))</f>
        <v/>
      </c>
      <c r="I168" s="20">
        <f>COUNTIFS(tData[SEHTrajectPeriodeDatumTijdVan],"&lt;="&amp;($A168+5/24),tData[SEHTrajectPeriodeDatumTijdTotEnMet],"&gt;"&amp;($A168+5/24))</f>
        <v/>
      </c>
      <c r="J168" s="20">
        <f>COUNTIFS(tData[SEHTrajectPeriodeDatumTijdVan],"&lt;="&amp;($A168+6/24),tData[SEHTrajectPeriodeDatumTijdTotEnMet],"&gt;"&amp;($A168+6/24))</f>
        <v/>
      </c>
      <c r="K168" s="20">
        <f>COUNTIFS(tData[SEHTrajectPeriodeDatumTijdVan],"&lt;="&amp;($A168+7/24),tData[SEHTrajectPeriodeDatumTijdTotEnMet],"&gt;"&amp;($A168+7/24))</f>
        <v/>
      </c>
      <c r="L168" s="20">
        <f>COUNTIFS(tData[SEHTrajectPeriodeDatumTijdVan],"&lt;="&amp;($A168+8/24),tData[SEHTrajectPeriodeDatumTijdTotEnMet],"&gt;"&amp;($A168+8/24))</f>
        <v/>
      </c>
      <c r="M168" s="20">
        <f>COUNTIFS(tData[SEHTrajectPeriodeDatumTijdVan],"&lt;="&amp;($A168+9/24),tData[SEHTrajectPeriodeDatumTijdTotEnMet],"&gt;"&amp;($A168+9/24))</f>
        <v/>
      </c>
      <c r="N168" s="20">
        <f>COUNTIFS(tData[SEHTrajectPeriodeDatumTijdVan],"&lt;="&amp;($A168+10/24),tData[SEHTrajectPeriodeDatumTijdTotEnMet],"&gt;"&amp;($A168+10/24))</f>
        <v/>
      </c>
      <c r="O168" s="20">
        <f>COUNTIFS(tData[SEHTrajectPeriodeDatumTijdVan],"&lt;="&amp;($A168+11/24),tData[SEHTrajectPeriodeDatumTijdTotEnMet],"&gt;"&amp;($A168+11/24))</f>
        <v/>
      </c>
      <c r="P168" s="20">
        <f>COUNTIFS(tData[SEHTrajectPeriodeDatumTijdVan],"&lt;="&amp;($A168+12/24),tData[SEHTrajectPeriodeDatumTijdTotEnMet],"&gt;"&amp;($A168+12/24))</f>
        <v/>
      </c>
      <c r="Q168" s="20">
        <f>COUNTIFS(tData[SEHTrajectPeriodeDatumTijdVan],"&lt;="&amp;($A168+13/24),tData[SEHTrajectPeriodeDatumTijdTotEnMet],"&gt;"&amp;($A168+13/24))</f>
        <v/>
      </c>
      <c r="R168" s="20">
        <f>COUNTIFS(tData[SEHTrajectPeriodeDatumTijdVan],"&lt;="&amp;($A168+14/24),tData[SEHTrajectPeriodeDatumTijdTotEnMet],"&gt;"&amp;($A168+14/24))</f>
        <v/>
      </c>
      <c r="S168" s="20">
        <f>COUNTIFS(tData[SEHTrajectPeriodeDatumTijdVan],"&lt;="&amp;($A168+15/24),tData[SEHTrajectPeriodeDatumTijdTotEnMet],"&gt;"&amp;($A168+15/24))</f>
        <v/>
      </c>
      <c r="T168" s="20">
        <f>COUNTIFS(tData[SEHTrajectPeriodeDatumTijdVan],"&lt;="&amp;($A168+16/24),tData[SEHTrajectPeriodeDatumTijdTotEnMet],"&gt;"&amp;($A168+16/24))</f>
        <v/>
      </c>
      <c r="U168" s="20">
        <f>COUNTIFS(tData[SEHTrajectPeriodeDatumTijdVan],"&lt;="&amp;($A168+17/24),tData[SEHTrajectPeriodeDatumTijdTotEnMet],"&gt;"&amp;($A168+17/24))</f>
        <v/>
      </c>
      <c r="V168" s="20">
        <f>COUNTIFS(tData[SEHTrajectPeriodeDatumTijdVan],"&lt;="&amp;($A168+18/24),tData[SEHTrajectPeriodeDatumTijdTotEnMet],"&gt;"&amp;($A168+18/24))</f>
        <v/>
      </c>
      <c r="W168" s="20">
        <f>COUNTIFS(tData[SEHTrajectPeriodeDatumTijdVan],"&lt;="&amp;($A168+19/24),tData[SEHTrajectPeriodeDatumTijdTotEnMet],"&gt;"&amp;($A168+19/24))</f>
        <v/>
      </c>
      <c r="X168" s="20">
        <f>COUNTIFS(tData[SEHTrajectPeriodeDatumTijdVan],"&lt;="&amp;($A168+20/24),tData[SEHTrajectPeriodeDatumTijdTotEnMet],"&gt;"&amp;($A168+20/24))</f>
        <v/>
      </c>
      <c r="Y168" s="20">
        <f>COUNTIFS(tData[SEHTrajectPeriodeDatumTijdVan],"&lt;="&amp;($A168+21/24),tData[SEHTrajectPeriodeDatumTijdTotEnMet],"&gt;"&amp;($A168+21/24))</f>
        <v/>
      </c>
      <c r="Z168" s="20">
        <f>COUNTIFS(tData[SEHTrajectPeriodeDatumTijdVan],"&lt;="&amp;($A168+22/24),tData[SEHTrajectPeriodeDatumTijdTotEnMet],"&gt;"&amp;($A168+22/24))</f>
        <v/>
      </c>
      <c r="AA168" s="20">
        <f>COUNTIFS(tData[SEHTrajectPeriodeDatumTijdVan],"&lt;="&amp;($A168+23/24),tData[SEHTrajectPeriodeDatumTijdTotEnMet],"&gt;"&amp;($A168+23/24))</f>
        <v/>
      </c>
    </row>
    <row r="169">
      <c r="A169" s="19" t="n">
        <v>45457</v>
      </c>
      <c r="B169" s="15">
        <f>WEEKDAY($A169,2)</f>
        <v/>
      </c>
      <c r="C169" s="15">
        <f>IF(AND($A169&gt;=INT(Instellingen!$B$5),$A169&lt;=INT(Instellingen!$B$6)),1,0)</f>
        <v/>
      </c>
      <c r="D169" s="20">
        <f>COUNTIFS(tData[SEHTrajectPeriodeDatumTijdVan],"&lt;="&amp;($A169+0/24),tData[SEHTrajectPeriodeDatumTijdTotEnMet],"&gt;"&amp;($A169+0/24))</f>
        <v/>
      </c>
      <c r="E169" s="20">
        <f>COUNTIFS(tData[SEHTrajectPeriodeDatumTijdVan],"&lt;="&amp;($A169+1/24),tData[SEHTrajectPeriodeDatumTijdTotEnMet],"&gt;"&amp;($A169+1/24))</f>
        <v/>
      </c>
      <c r="F169" s="20">
        <f>COUNTIFS(tData[SEHTrajectPeriodeDatumTijdVan],"&lt;="&amp;($A169+2/24),tData[SEHTrajectPeriodeDatumTijdTotEnMet],"&gt;"&amp;($A169+2/24))</f>
        <v/>
      </c>
      <c r="G169" s="20">
        <f>COUNTIFS(tData[SEHTrajectPeriodeDatumTijdVan],"&lt;="&amp;($A169+3/24),tData[SEHTrajectPeriodeDatumTijdTotEnMet],"&gt;"&amp;($A169+3/24))</f>
        <v/>
      </c>
      <c r="H169" s="20">
        <f>COUNTIFS(tData[SEHTrajectPeriodeDatumTijdVan],"&lt;="&amp;($A169+4/24),tData[SEHTrajectPeriodeDatumTijdTotEnMet],"&gt;"&amp;($A169+4/24))</f>
        <v/>
      </c>
      <c r="I169" s="20">
        <f>COUNTIFS(tData[SEHTrajectPeriodeDatumTijdVan],"&lt;="&amp;($A169+5/24),tData[SEHTrajectPeriodeDatumTijdTotEnMet],"&gt;"&amp;($A169+5/24))</f>
        <v/>
      </c>
      <c r="J169" s="20">
        <f>COUNTIFS(tData[SEHTrajectPeriodeDatumTijdVan],"&lt;="&amp;($A169+6/24),tData[SEHTrajectPeriodeDatumTijdTotEnMet],"&gt;"&amp;($A169+6/24))</f>
        <v/>
      </c>
      <c r="K169" s="20">
        <f>COUNTIFS(tData[SEHTrajectPeriodeDatumTijdVan],"&lt;="&amp;($A169+7/24),tData[SEHTrajectPeriodeDatumTijdTotEnMet],"&gt;"&amp;($A169+7/24))</f>
        <v/>
      </c>
      <c r="L169" s="20">
        <f>COUNTIFS(tData[SEHTrajectPeriodeDatumTijdVan],"&lt;="&amp;($A169+8/24),tData[SEHTrajectPeriodeDatumTijdTotEnMet],"&gt;"&amp;($A169+8/24))</f>
        <v/>
      </c>
      <c r="M169" s="20">
        <f>COUNTIFS(tData[SEHTrajectPeriodeDatumTijdVan],"&lt;="&amp;($A169+9/24),tData[SEHTrajectPeriodeDatumTijdTotEnMet],"&gt;"&amp;($A169+9/24))</f>
        <v/>
      </c>
      <c r="N169" s="20">
        <f>COUNTIFS(tData[SEHTrajectPeriodeDatumTijdVan],"&lt;="&amp;($A169+10/24),tData[SEHTrajectPeriodeDatumTijdTotEnMet],"&gt;"&amp;($A169+10/24))</f>
        <v/>
      </c>
      <c r="O169" s="20">
        <f>COUNTIFS(tData[SEHTrajectPeriodeDatumTijdVan],"&lt;="&amp;($A169+11/24),tData[SEHTrajectPeriodeDatumTijdTotEnMet],"&gt;"&amp;($A169+11/24))</f>
        <v/>
      </c>
      <c r="P169" s="20">
        <f>COUNTIFS(tData[SEHTrajectPeriodeDatumTijdVan],"&lt;="&amp;($A169+12/24),tData[SEHTrajectPeriodeDatumTijdTotEnMet],"&gt;"&amp;($A169+12/24))</f>
        <v/>
      </c>
      <c r="Q169" s="20">
        <f>COUNTIFS(tData[SEHTrajectPeriodeDatumTijdVan],"&lt;="&amp;($A169+13/24),tData[SEHTrajectPeriodeDatumTijdTotEnMet],"&gt;"&amp;($A169+13/24))</f>
        <v/>
      </c>
      <c r="R169" s="20">
        <f>COUNTIFS(tData[SEHTrajectPeriodeDatumTijdVan],"&lt;="&amp;($A169+14/24),tData[SEHTrajectPeriodeDatumTijdTotEnMet],"&gt;"&amp;($A169+14/24))</f>
        <v/>
      </c>
      <c r="S169" s="20">
        <f>COUNTIFS(tData[SEHTrajectPeriodeDatumTijdVan],"&lt;="&amp;($A169+15/24),tData[SEHTrajectPeriodeDatumTijdTotEnMet],"&gt;"&amp;($A169+15/24))</f>
        <v/>
      </c>
      <c r="T169" s="20">
        <f>COUNTIFS(tData[SEHTrajectPeriodeDatumTijdVan],"&lt;="&amp;($A169+16/24),tData[SEHTrajectPeriodeDatumTijdTotEnMet],"&gt;"&amp;($A169+16/24))</f>
        <v/>
      </c>
      <c r="U169" s="20">
        <f>COUNTIFS(tData[SEHTrajectPeriodeDatumTijdVan],"&lt;="&amp;($A169+17/24),tData[SEHTrajectPeriodeDatumTijdTotEnMet],"&gt;"&amp;($A169+17/24))</f>
        <v/>
      </c>
      <c r="V169" s="20">
        <f>COUNTIFS(tData[SEHTrajectPeriodeDatumTijdVan],"&lt;="&amp;($A169+18/24),tData[SEHTrajectPeriodeDatumTijdTotEnMet],"&gt;"&amp;($A169+18/24))</f>
        <v/>
      </c>
      <c r="W169" s="20">
        <f>COUNTIFS(tData[SEHTrajectPeriodeDatumTijdVan],"&lt;="&amp;($A169+19/24),tData[SEHTrajectPeriodeDatumTijdTotEnMet],"&gt;"&amp;($A169+19/24))</f>
        <v/>
      </c>
      <c r="X169" s="20">
        <f>COUNTIFS(tData[SEHTrajectPeriodeDatumTijdVan],"&lt;="&amp;($A169+20/24),tData[SEHTrajectPeriodeDatumTijdTotEnMet],"&gt;"&amp;($A169+20/24))</f>
        <v/>
      </c>
      <c r="Y169" s="20">
        <f>COUNTIFS(tData[SEHTrajectPeriodeDatumTijdVan],"&lt;="&amp;($A169+21/24),tData[SEHTrajectPeriodeDatumTijdTotEnMet],"&gt;"&amp;($A169+21/24))</f>
        <v/>
      </c>
      <c r="Z169" s="20">
        <f>COUNTIFS(tData[SEHTrajectPeriodeDatumTijdVan],"&lt;="&amp;($A169+22/24),tData[SEHTrajectPeriodeDatumTijdTotEnMet],"&gt;"&amp;($A169+22/24))</f>
        <v/>
      </c>
      <c r="AA169" s="20">
        <f>COUNTIFS(tData[SEHTrajectPeriodeDatumTijdVan],"&lt;="&amp;($A169+23/24),tData[SEHTrajectPeriodeDatumTijdTotEnMet],"&gt;"&amp;($A169+23/24))</f>
        <v/>
      </c>
    </row>
    <row r="170">
      <c r="A170" s="19" t="n">
        <v>45458</v>
      </c>
      <c r="B170" s="15">
        <f>WEEKDAY($A170,2)</f>
        <v/>
      </c>
      <c r="C170" s="15">
        <f>IF(AND($A170&gt;=INT(Instellingen!$B$5),$A170&lt;=INT(Instellingen!$B$6)),1,0)</f>
        <v/>
      </c>
      <c r="D170" s="20">
        <f>COUNTIFS(tData[SEHTrajectPeriodeDatumTijdVan],"&lt;="&amp;($A170+0/24),tData[SEHTrajectPeriodeDatumTijdTotEnMet],"&gt;"&amp;($A170+0/24))</f>
        <v/>
      </c>
      <c r="E170" s="20">
        <f>COUNTIFS(tData[SEHTrajectPeriodeDatumTijdVan],"&lt;="&amp;($A170+1/24),tData[SEHTrajectPeriodeDatumTijdTotEnMet],"&gt;"&amp;($A170+1/24))</f>
        <v/>
      </c>
      <c r="F170" s="20">
        <f>COUNTIFS(tData[SEHTrajectPeriodeDatumTijdVan],"&lt;="&amp;($A170+2/24),tData[SEHTrajectPeriodeDatumTijdTotEnMet],"&gt;"&amp;($A170+2/24))</f>
        <v/>
      </c>
      <c r="G170" s="20">
        <f>COUNTIFS(tData[SEHTrajectPeriodeDatumTijdVan],"&lt;="&amp;($A170+3/24),tData[SEHTrajectPeriodeDatumTijdTotEnMet],"&gt;"&amp;($A170+3/24))</f>
        <v/>
      </c>
      <c r="H170" s="20">
        <f>COUNTIFS(tData[SEHTrajectPeriodeDatumTijdVan],"&lt;="&amp;($A170+4/24),tData[SEHTrajectPeriodeDatumTijdTotEnMet],"&gt;"&amp;($A170+4/24))</f>
        <v/>
      </c>
      <c r="I170" s="20">
        <f>COUNTIFS(tData[SEHTrajectPeriodeDatumTijdVan],"&lt;="&amp;($A170+5/24),tData[SEHTrajectPeriodeDatumTijdTotEnMet],"&gt;"&amp;($A170+5/24))</f>
        <v/>
      </c>
      <c r="J170" s="20">
        <f>COUNTIFS(tData[SEHTrajectPeriodeDatumTijdVan],"&lt;="&amp;($A170+6/24),tData[SEHTrajectPeriodeDatumTijdTotEnMet],"&gt;"&amp;($A170+6/24))</f>
        <v/>
      </c>
      <c r="K170" s="20">
        <f>COUNTIFS(tData[SEHTrajectPeriodeDatumTijdVan],"&lt;="&amp;($A170+7/24),tData[SEHTrajectPeriodeDatumTijdTotEnMet],"&gt;"&amp;($A170+7/24))</f>
        <v/>
      </c>
      <c r="L170" s="20">
        <f>COUNTIFS(tData[SEHTrajectPeriodeDatumTijdVan],"&lt;="&amp;($A170+8/24),tData[SEHTrajectPeriodeDatumTijdTotEnMet],"&gt;"&amp;($A170+8/24))</f>
        <v/>
      </c>
      <c r="M170" s="20">
        <f>COUNTIFS(tData[SEHTrajectPeriodeDatumTijdVan],"&lt;="&amp;($A170+9/24),tData[SEHTrajectPeriodeDatumTijdTotEnMet],"&gt;"&amp;($A170+9/24))</f>
        <v/>
      </c>
      <c r="N170" s="20">
        <f>COUNTIFS(tData[SEHTrajectPeriodeDatumTijdVan],"&lt;="&amp;($A170+10/24),tData[SEHTrajectPeriodeDatumTijdTotEnMet],"&gt;"&amp;($A170+10/24))</f>
        <v/>
      </c>
      <c r="O170" s="20">
        <f>COUNTIFS(tData[SEHTrajectPeriodeDatumTijdVan],"&lt;="&amp;($A170+11/24),tData[SEHTrajectPeriodeDatumTijdTotEnMet],"&gt;"&amp;($A170+11/24))</f>
        <v/>
      </c>
      <c r="P170" s="20">
        <f>COUNTIFS(tData[SEHTrajectPeriodeDatumTijdVan],"&lt;="&amp;($A170+12/24),tData[SEHTrajectPeriodeDatumTijdTotEnMet],"&gt;"&amp;($A170+12/24))</f>
        <v/>
      </c>
      <c r="Q170" s="20">
        <f>COUNTIFS(tData[SEHTrajectPeriodeDatumTijdVan],"&lt;="&amp;($A170+13/24),tData[SEHTrajectPeriodeDatumTijdTotEnMet],"&gt;"&amp;($A170+13/24))</f>
        <v/>
      </c>
      <c r="R170" s="20">
        <f>COUNTIFS(tData[SEHTrajectPeriodeDatumTijdVan],"&lt;="&amp;($A170+14/24),tData[SEHTrajectPeriodeDatumTijdTotEnMet],"&gt;"&amp;($A170+14/24))</f>
        <v/>
      </c>
      <c r="S170" s="20">
        <f>COUNTIFS(tData[SEHTrajectPeriodeDatumTijdVan],"&lt;="&amp;($A170+15/24),tData[SEHTrajectPeriodeDatumTijdTotEnMet],"&gt;"&amp;($A170+15/24))</f>
        <v/>
      </c>
      <c r="T170" s="20">
        <f>COUNTIFS(tData[SEHTrajectPeriodeDatumTijdVan],"&lt;="&amp;($A170+16/24),tData[SEHTrajectPeriodeDatumTijdTotEnMet],"&gt;"&amp;($A170+16/24))</f>
        <v/>
      </c>
      <c r="U170" s="20">
        <f>COUNTIFS(tData[SEHTrajectPeriodeDatumTijdVan],"&lt;="&amp;($A170+17/24),tData[SEHTrajectPeriodeDatumTijdTotEnMet],"&gt;"&amp;($A170+17/24))</f>
        <v/>
      </c>
      <c r="V170" s="20">
        <f>COUNTIFS(tData[SEHTrajectPeriodeDatumTijdVan],"&lt;="&amp;($A170+18/24),tData[SEHTrajectPeriodeDatumTijdTotEnMet],"&gt;"&amp;($A170+18/24))</f>
        <v/>
      </c>
      <c r="W170" s="20">
        <f>COUNTIFS(tData[SEHTrajectPeriodeDatumTijdVan],"&lt;="&amp;($A170+19/24),tData[SEHTrajectPeriodeDatumTijdTotEnMet],"&gt;"&amp;($A170+19/24))</f>
        <v/>
      </c>
      <c r="X170" s="20">
        <f>COUNTIFS(tData[SEHTrajectPeriodeDatumTijdVan],"&lt;="&amp;($A170+20/24),tData[SEHTrajectPeriodeDatumTijdTotEnMet],"&gt;"&amp;($A170+20/24))</f>
        <v/>
      </c>
      <c r="Y170" s="20">
        <f>COUNTIFS(tData[SEHTrajectPeriodeDatumTijdVan],"&lt;="&amp;($A170+21/24),tData[SEHTrajectPeriodeDatumTijdTotEnMet],"&gt;"&amp;($A170+21/24))</f>
        <v/>
      </c>
      <c r="Z170" s="20">
        <f>COUNTIFS(tData[SEHTrajectPeriodeDatumTijdVan],"&lt;="&amp;($A170+22/24),tData[SEHTrajectPeriodeDatumTijdTotEnMet],"&gt;"&amp;($A170+22/24))</f>
        <v/>
      </c>
      <c r="AA170" s="20">
        <f>COUNTIFS(tData[SEHTrajectPeriodeDatumTijdVan],"&lt;="&amp;($A170+23/24),tData[SEHTrajectPeriodeDatumTijdTotEnMet],"&gt;"&amp;($A170+23/24))</f>
        <v/>
      </c>
    </row>
    <row r="171">
      <c r="A171" s="19" t="n">
        <v>45459</v>
      </c>
      <c r="B171" s="15">
        <f>WEEKDAY($A171,2)</f>
        <v/>
      </c>
      <c r="C171" s="15">
        <f>IF(AND($A171&gt;=INT(Instellingen!$B$5),$A171&lt;=INT(Instellingen!$B$6)),1,0)</f>
        <v/>
      </c>
      <c r="D171" s="20">
        <f>COUNTIFS(tData[SEHTrajectPeriodeDatumTijdVan],"&lt;="&amp;($A171+0/24),tData[SEHTrajectPeriodeDatumTijdTotEnMet],"&gt;"&amp;($A171+0/24))</f>
        <v/>
      </c>
      <c r="E171" s="20">
        <f>COUNTIFS(tData[SEHTrajectPeriodeDatumTijdVan],"&lt;="&amp;($A171+1/24),tData[SEHTrajectPeriodeDatumTijdTotEnMet],"&gt;"&amp;($A171+1/24))</f>
        <v/>
      </c>
      <c r="F171" s="20">
        <f>COUNTIFS(tData[SEHTrajectPeriodeDatumTijdVan],"&lt;="&amp;($A171+2/24),tData[SEHTrajectPeriodeDatumTijdTotEnMet],"&gt;"&amp;($A171+2/24))</f>
        <v/>
      </c>
      <c r="G171" s="20">
        <f>COUNTIFS(tData[SEHTrajectPeriodeDatumTijdVan],"&lt;="&amp;($A171+3/24),tData[SEHTrajectPeriodeDatumTijdTotEnMet],"&gt;"&amp;($A171+3/24))</f>
        <v/>
      </c>
      <c r="H171" s="20">
        <f>COUNTIFS(tData[SEHTrajectPeriodeDatumTijdVan],"&lt;="&amp;($A171+4/24),tData[SEHTrajectPeriodeDatumTijdTotEnMet],"&gt;"&amp;($A171+4/24))</f>
        <v/>
      </c>
      <c r="I171" s="20">
        <f>COUNTIFS(tData[SEHTrajectPeriodeDatumTijdVan],"&lt;="&amp;($A171+5/24),tData[SEHTrajectPeriodeDatumTijdTotEnMet],"&gt;"&amp;($A171+5/24))</f>
        <v/>
      </c>
      <c r="J171" s="20">
        <f>COUNTIFS(tData[SEHTrajectPeriodeDatumTijdVan],"&lt;="&amp;($A171+6/24),tData[SEHTrajectPeriodeDatumTijdTotEnMet],"&gt;"&amp;($A171+6/24))</f>
        <v/>
      </c>
      <c r="K171" s="20">
        <f>COUNTIFS(tData[SEHTrajectPeriodeDatumTijdVan],"&lt;="&amp;($A171+7/24),tData[SEHTrajectPeriodeDatumTijdTotEnMet],"&gt;"&amp;($A171+7/24))</f>
        <v/>
      </c>
      <c r="L171" s="20">
        <f>COUNTIFS(tData[SEHTrajectPeriodeDatumTijdVan],"&lt;="&amp;($A171+8/24),tData[SEHTrajectPeriodeDatumTijdTotEnMet],"&gt;"&amp;($A171+8/24))</f>
        <v/>
      </c>
      <c r="M171" s="20">
        <f>COUNTIFS(tData[SEHTrajectPeriodeDatumTijdVan],"&lt;="&amp;($A171+9/24),tData[SEHTrajectPeriodeDatumTijdTotEnMet],"&gt;"&amp;($A171+9/24))</f>
        <v/>
      </c>
      <c r="N171" s="20">
        <f>COUNTIFS(tData[SEHTrajectPeriodeDatumTijdVan],"&lt;="&amp;($A171+10/24),tData[SEHTrajectPeriodeDatumTijdTotEnMet],"&gt;"&amp;($A171+10/24))</f>
        <v/>
      </c>
      <c r="O171" s="20">
        <f>COUNTIFS(tData[SEHTrajectPeriodeDatumTijdVan],"&lt;="&amp;($A171+11/24),tData[SEHTrajectPeriodeDatumTijdTotEnMet],"&gt;"&amp;($A171+11/24))</f>
        <v/>
      </c>
      <c r="P171" s="20">
        <f>COUNTIFS(tData[SEHTrajectPeriodeDatumTijdVan],"&lt;="&amp;($A171+12/24),tData[SEHTrajectPeriodeDatumTijdTotEnMet],"&gt;"&amp;($A171+12/24))</f>
        <v/>
      </c>
      <c r="Q171" s="20">
        <f>COUNTIFS(tData[SEHTrajectPeriodeDatumTijdVan],"&lt;="&amp;($A171+13/24),tData[SEHTrajectPeriodeDatumTijdTotEnMet],"&gt;"&amp;($A171+13/24))</f>
        <v/>
      </c>
      <c r="R171" s="20">
        <f>COUNTIFS(tData[SEHTrajectPeriodeDatumTijdVan],"&lt;="&amp;($A171+14/24),tData[SEHTrajectPeriodeDatumTijdTotEnMet],"&gt;"&amp;($A171+14/24))</f>
        <v/>
      </c>
      <c r="S171" s="20">
        <f>COUNTIFS(tData[SEHTrajectPeriodeDatumTijdVan],"&lt;="&amp;($A171+15/24),tData[SEHTrajectPeriodeDatumTijdTotEnMet],"&gt;"&amp;($A171+15/24))</f>
        <v/>
      </c>
      <c r="T171" s="20">
        <f>COUNTIFS(tData[SEHTrajectPeriodeDatumTijdVan],"&lt;="&amp;($A171+16/24),tData[SEHTrajectPeriodeDatumTijdTotEnMet],"&gt;"&amp;($A171+16/24))</f>
        <v/>
      </c>
      <c r="U171" s="20">
        <f>COUNTIFS(tData[SEHTrajectPeriodeDatumTijdVan],"&lt;="&amp;($A171+17/24),tData[SEHTrajectPeriodeDatumTijdTotEnMet],"&gt;"&amp;($A171+17/24))</f>
        <v/>
      </c>
      <c r="V171" s="20">
        <f>COUNTIFS(tData[SEHTrajectPeriodeDatumTijdVan],"&lt;="&amp;($A171+18/24),tData[SEHTrajectPeriodeDatumTijdTotEnMet],"&gt;"&amp;($A171+18/24))</f>
        <v/>
      </c>
      <c r="W171" s="20">
        <f>COUNTIFS(tData[SEHTrajectPeriodeDatumTijdVan],"&lt;="&amp;($A171+19/24),tData[SEHTrajectPeriodeDatumTijdTotEnMet],"&gt;"&amp;($A171+19/24))</f>
        <v/>
      </c>
      <c r="X171" s="20">
        <f>COUNTIFS(tData[SEHTrajectPeriodeDatumTijdVan],"&lt;="&amp;($A171+20/24),tData[SEHTrajectPeriodeDatumTijdTotEnMet],"&gt;"&amp;($A171+20/24))</f>
        <v/>
      </c>
      <c r="Y171" s="20">
        <f>COUNTIFS(tData[SEHTrajectPeriodeDatumTijdVan],"&lt;="&amp;($A171+21/24),tData[SEHTrajectPeriodeDatumTijdTotEnMet],"&gt;"&amp;($A171+21/24))</f>
        <v/>
      </c>
      <c r="Z171" s="20">
        <f>COUNTIFS(tData[SEHTrajectPeriodeDatumTijdVan],"&lt;="&amp;($A171+22/24),tData[SEHTrajectPeriodeDatumTijdTotEnMet],"&gt;"&amp;($A171+22/24))</f>
        <v/>
      </c>
      <c r="AA171" s="20">
        <f>COUNTIFS(tData[SEHTrajectPeriodeDatumTijdVan],"&lt;="&amp;($A171+23/24),tData[SEHTrajectPeriodeDatumTijdTotEnMet],"&gt;"&amp;($A171+23/24))</f>
        <v/>
      </c>
    </row>
    <row r="172">
      <c r="A172" s="19" t="n">
        <v>45460</v>
      </c>
      <c r="B172" s="15">
        <f>WEEKDAY($A172,2)</f>
        <v/>
      </c>
      <c r="C172" s="15">
        <f>IF(AND($A172&gt;=INT(Instellingen!$B$5),$A172&lt;=INT(Instellingen!$B$6)),1,0)</f>
        <v/>
      </c>
      <c r="D172" s="20">
        <f>COUNTIFS(tData[SEHTrajectPeriodeDatumTijdVan],"&lt;="&amp;($A172+0/24),tData[SEHTrajectPeriodeDatumTijdTotEnMet],"&gt;"&amp;($A172+0/24))</f>
        <v/>
      </c>
      <c r="E172" s="20">
        <f>COUNTIFS(tData[SEHTrajectPeriodeDatumTijdVan],"&lt;="&amp;($A172+1/24),tData[SEHTrajectPeriodeDatumTijdTotEnMet],"&gt;"&amp;($A172+1/24))</f>
        <v/>
      </c>
      <c r="F172" s="20">
        <f>COUNTIFS(tData[SEHTrajectPeriodeDatumTijdVan],"&lt;="&amp;($A172+2/24),tData[SEHTrajectPeriodeDatumTijdTotEnMet],"&gt;"&amp;($A172+2/24))</f>
        <v/>
      </c>
      <c r="G172" s="20">
        <f>COUNTIFS(tData[SEHTrajectPeriodeDatumTijdVan],"&lt;="&amp;($A172+3/24),tData[SEHTrajectPeriodeDatumTijdTotEnMet],"&gt;"&amp;($A172+3/24))</f>
        <v/>
      </c>
      <c r="H172" s="20">
        <f>COUNTIFS(tData[SEHTrajectPeriodeDatumTijdVan],"&lt;="&amp;($A172+4/24),tData[SEHTrajectPeriodeDatumTijdTotEnMet],"&gt;"&amp;($A172+4/24))</f>
        <v/>
      </c>
      <c r="I172" s="20">
        <f>COUNTIFS(tData[SEHTrajectPeriodeDatumTijdVan],"&lt;="&amp;($A172+5/24),tData[SEHTrajectPeriodeDatumTijdTotEnMet],"&gt;"&amp;($A172+5/24))</f>
        <v/>
      </c>
      <c r="J172" s="20">
        <f>COUNTIFS(tData[SEHTrajectPeriodeDatumTijdVan],"&lt;="&amp;($A172+6/24),tData[SEHTrajectPeriodeDatumTijdTotEnMet],"&gt;"&amp;($A172+6/24))</f>
        <v/>
      </c>
      <c r="K172" s="20">
        <f>COUNTIFS(tData[SEHTrajectPeriodeDatumTijdVan],"&lt;="&amp;($A172+7/24),tData[SEHTrajectPeriodeDatumTijdTotEnMet],"&gt;"&amp;($A172+7/24))</f>
        <v/>
      </c>
      <c r="L172" s="20">
        <f>COUNTIFS(tData[SEHTrajectPeriodeDatumTijdVan],"&lt;="&amp;($A172+8/24),tData[SEHTrajectPeriodeDatumTijdTotEnMet],"&gt;"&amp;($A172+8/24))</f>
        <v/>
      </c>
      <c r="M172" s="20">
        <f>COUNTIFS(tData[SEHTrajectPeriodeDatumTijdVan],"&lt;="&amp;($A172+9/24),tData[SEHTrajectPeriodeDatumTijdTotEnMet],"&gt;"&amp;($A172+9/24))</f>
        <v/>
      </c>
      <c r="N172" s="20">
        <f>COUNTIFS(tData[SEHTrajectPeriodeDatumTijdVan],"&lt;="&amp;($A172+10/24),tData[SEHTrajectPeriodeDatumTijdTotEnMet],"&gt;"&amp;($A172+10/24))</f>
        <v/>
      </c>
      <c r="O172" s="20">
        <f>COUNTIFS(tData[SEHTrajectPeriodeDatumTijdVan],"&lt;="&amp;($A172+11/24),tData[SEHTrajectPeriodeDatumTijdTotEnMet],"&gt;"&amp;($A172+11/24))</f>
        <v/>
      </c>
      <c r="P172" s="20">
        <f>COUNTIFS(tData[SEHTrajectPeriodeDatumTijdVan],"&lt;="&amp;($A172+12/24),tData[SEHTrajectPeriodeDatumTijdTotEnMet],"&gt;"&amp;($A172+12/24))</f>
        <v/>
      </c>
      <c r="Q172" s="20">
        <f>COUNTIFS(tData[SEHTrajectPeriodeDatumTijdVan],"&lt;="&amp;($A172+13/24),tData[SEHTrajectPeriodeDatumTijdTotEnMet],"&gt;"&amp;($A172+13/24))</f>
        <v/>
      </c>
      <c r="R172" s="20">
        <f>COUNTIFS(tData[SEHTrajectPeriodeDatumTijdVan],"&lt;="&amp;($A172+14/24),tData[SEHTrajectPeriodeDatumTijdTotEnMet],"&gt;"&amp;($A172+14/24))</f>
        <v/>
      </c>
      <c r="S172" s="20">
        <f>COUNTIFS(tData[SEHTrajectPeriodeDatumTijdVan],"&lt;="&amp;($A172+15/24),tData[SEHTrajectPeriodeDatumTijdTotEnMet],"&gt;"&amp;($A172+15/24))</f>
        <v/>
      </c>
      <c r="T172" s="20">
        <f>COUNTIFS(tData[SEHTrajectPeriodeDatumTijdVan],"&lt;="&amp;($A172+16/24),tData[SEHTrajectPeriodeDatumTijdTotEnMet],"&gt;"&amp;($A172+16/24))</f>
        <v/>
      </c>
      <c r="U172" s="20">
        <f>COUNTIFS(tData[SEHTrajectPeriodeDatumTijdVan],"&lt;="&amp;($A172+17/24),tData[SEHTrajectPeriodeDatumTijdTotEnMet],"&gt;"&amp;($A172+17/24))</f>
        <v/>
      </c>
      <c r="V172" s="20">
        <f>COUNTIFS(tData[SEHTrajectPeriodeDatumTijdVan],"&lt;="&amp;($A172+18/24),tData[SEHTrajectPeriodeDatumTijdTotEnMet],"&gt;"&amp;($A172+18/24))</f>
        <v/>
      </c>
      <c r="W172" s="20">
        <f>COUNTIFS(tData[SEHTrajectPeriodeDatumTijdVan],"&lt;="&amp;($A172+19/24),tData[SEHTrajectPeriodeDatumTijdTotEnMet],"&gt;"&amp;($A172+19/24))</f>
        <v/>
      </c>
      <c r="X172" s="20">
        <f>COUNTIFS(tData[SEHTrajectPeriodeDatumTijdVan],"&lt;="&amp;($A172+20/24),tData[SEHTrajectPeriodeDatumTijdTotEnMet],"&gt;"&amp;($A172+20/24))</f>
        <v/>
      </c>
      <c r="Y172" s="20">
        <f>COUNTIFS(tData[SEHTrajectPeriodeDatumTijdVan],"&lt;="&amp;($A172+21/24),tData[SEHTrajectPeriodeDatumTijdTotEnMet],"&gt;"&amp;($A172+21/24))</f>
        <v/>
      </c>
      <c r="Z172" s="20">
        <f>COUNTIFS(tData[SEHTrajectPeriodeDatumTijdVan],"&lt;="&amp;($A172+22/24),tData[SEHTrajectPeriodeDatumTijdTotEnMet],"&gt;"&amp;($A172+22/24))</f>
        <v/>
      </c>
      <c r="AA172" s="20">
        <f>COUNTIFS(tData[SEHTrajectPeriodeDatumTijdVan],"&lt;="&amp;($A172+23/24),tData[SEHTrajectPeriodeDatumTijdTotEnMet],"&gt;"&amp;($A172+23/24))</f>
        <v/>
      </c>
    </row>
    <row r="173">
      <c r="A173" s="19" t="n">
        <v>45461</v>
      </c>
      <c r="B173" s="15">
        <f>WEEKDAY($A173,2)</f>
        <v/>
      </c>
      <c r="C173" s="15">
        <f>IF(AND($A173&gt;=INT(Instellingen!$B$5),$A173&lt;=INT(Instellingen!$B$6)),1,0)</f>
        <v/>
      </c>
      <c r="D173" s="20">
        <f>COUNTIFS(tData[SEHTrajectPeriodeDatumTijdVan],"&lt;="&amp;($A173+0/24),tData[SEHTrajectPeriodeDatumTijdTotEnMet],"&gt;"&amp;($A173+0/24))</f>
        <v/>
      </c>
      <c r="E173" s="20">
        <f>COUNTIFS(tData[SEHTrajectPeriodeDatumTijdVan],"&lt;="&amp;($A173+1/24),tData[SEHTrajectPeriodeDatumTijdTotEnMet],"&gt;"&amp;($A173+1/24))</f>
        <v/>
      </c>
      <c r="F173" s="20">
        <f>COUNTIFS(tData[SEHTrajectPeriodeDatumTijdVan],"&lt;="&amp;($A173+2/24),tData[SEHTrajectPeriodeDatumTijdTotEnMet],"&gt;"&amp;($A173+2/24))</f>
        <v/>
      </c>
      <c r="G173" s="20">
        <f>COUNTIFS(tData[SEHTrajectPeriodeDatumTijdVan],"&lt;="&amp;($A173+3/24),tData[SEHTrajectPeriodeDatumTijdTotEnMet],"&gt;"&amp;($A173+3/24))</f>
        <v/>
      </c>
      <c r="H173" s="20">
        <f>COUNTIFS(tData[SEHTrajectPeriodeDatumTijdVan],"&lt;="&amp;($A173+4/24),tData[SEHTrajectPeriodeDatumTijdTotEnMet],"&gt;"&amp;($A173+4/24))</f>
        <v/>
      </c>
      <c r="I173" s="20">
        <f>COUNTIFS(tData[SEHTrajectPeriodeDatumTijdVan],"&lt;="&amp;($A173+5/24),tData[SEHTrajectPeriodeDatumTijdTotEnMet],"&gt;"&amp;($A173+5/24))</f>
        <v/>
      </c>
      <c r="J173" s="20">
        <f>COUNTIFS(tData[SEHTrajectPeriodeDatumTijdVan],"&lt;="&amp;($A173+6/24),tData[SEHTrajectPeriodeDatumTijdTotEnMet],"&gt;"&amp;($A173+6/24))</f>
        <v/>
      </c>
      <c r="K173" s="20">
        <f>COUNTIFS(tData[SEHTrajectPeriodeDatumTijdVan],"&lt;="&amp;($A173+7/24),tData[SEHTrajectPeriodeDatumTijdTotEnMet],"&gt;"&amp;($A173+7/24))</f>
        <v/>
      </c>
      <c r="L173" s="20">
        <f>COUNTIFS(tData[SEHTrajectPeriodeDatumTijdVan],"&lt;="&amp;($A173+8/24),tData[SEHTrajectPeriodeDatumTijdTotEnMet],"&gt;"&amp;($A173+8/24))</f>
        <v/>
      </c>
      <c r="M173" s="20">
        <f>COUNTIFS(tData[SEHTrajectPeriodeDatumTijdVan],"&lt;="&amp;($A173+9/24),tData[SEHTrajectPeriodeDatumTijdTotEnMet],"&gt;"&amp;($A173+9/24))</f>
        <v/>
      </c>
      <c r="N173" s="20">
        <f>COUNTIFS(tData[SEHTrajectPeriodeDatumTijdVan],"&lt;="&amp;($A173+10/24),tData[SEHTrajectPeriodeDatumTijdTotEnMet],"&gt;"&amp;($A173+10/24))</f>
        <v/>
      </c>
      <c r="O173" s="20">
        <f>COUNTIFS(tData[SEHTrajectPeriodeDatumTijdVan],"&lt;="&amp;($A173+11/24),tData[SEHTrajectPeriodeDatumTijdTotEnMet],"&gt;"&amp;($A173+11/24))</f>
        <v/>
      </c>
      <c r="P173" s="20">
        <f>COUNTIFS(tData[SEHTrajectPeriodeDatumTijdVan],"&lt;="&amp;($A173+12/24),tData[SEHTrajectPeriodeDatumTijdTotEnMet],"&gt;"&amp;($A173+12/24))</f>
        <v/>
      </c>
      <c r="Q173" s="20">
        <f>COUNTIFS(tData[SEHTrajectPeriodeDatumTijdVan],"&lt;="&amp;($A173+13/24),tData[SEHTrajectPeriodeDatumTijdTotEnMet],"&gt;"&amp;($A173+13/24))</f>
        <v/>
      </c>
      <c r="R173" s="20">
        <f>COUNTIFS(tData[SEHTrajectPeriodeDatumTijdVan],"&lt;="&amp;($A173+14/24),tData[SEHTrajectPeriodeDatumTijdTotEnMet],"&gt;"&amp;($A173+14/24))</f>
        <v/>
      </c>
      <c r="S173" s="20">
        <f>COUNTIFS(tData[SEHTrajectPeriodeDatumTijdVan],"&lt;="&amp;($A173+15/24),tData[SEHTrajectPeriodeDatumTijdTotEnMet],"&gt;"&amp;($A173+15/24))</f>
        <v/>
      </c>
      <c r="T173" s="20">
        <f>COUNTIFS(tData[SEHTrajectPeriodeDatumTijdVan],"&lt;="&amp;($A173+16/24),tData[SEHTrajectPeriodeDatumTijdTotEnMet],"&gt;"&amp;($A173+16/24))</f>
        <v/>
      </c>
      <c r="U173" s="20">
        <f>COUNTIFS(tData[SEHTrajectPeriodeDatumTijdVan],"&lt;="&amp;($A173+17/24),tData[SEHTrajectPeriodeDatumTijdTotEnMet],"&gt;"&amp;($A173+17/24))</f>
        <v/>
      </c>
      <c r="V173" s="20">
        <f>COUNTIFS(tData[SEHTrajectPeriodeDatumTijdVan],"&lt;="&amp;($A173+18/24),tData[SEHTrajectPeriodeDatumTijdTotEnMet],"&gt;"&amp;($A173+18/24))</f>
        <v/>
      </c>
      <c r="W173" s="20">
        <f>COUNTIFS(tData[SEHTrajectPeriodeDatumTijdVan],"&lt;="&amp;($A173+19/24),tData[SEHTrajectPeriodeDatumTijdTotEnMet],"&gt;"&amp;($A173+19/24))</f>
        <v/>
      </c>
      <c r="X173" s="20">
        <f>COUNTIFS(tData[SEHTrajectPeriodeDatumTijdVan],"&lt;="&amp;($A173+20/24),tData[SEHTrajectPeriodeDatumTijdTotEnMet],"&gt;"&amp;($A173+20/24))</f>
        <v/>
      </c>
      <c r="Y173" s="20">
        <f>COUNTIFS(tData[SEHTrajectPeriodeDatumTijdVan],"&lt;="&amp;($A173+21/24),tData[SEHTrajectPeriodeDatumTijdTotEnMet],"&gt;"&amp;($A173+21/24))</f>
        <v/>
      </c>
      <c r="Z173" s="20">
        <f>COUNTIFS(tData[SEHTrajectPeriodeDatumTijdVan],"&lt;="&amp;($A173+22/24),tData[SEHTrajectPeriodeDatumTijdTotEnMet],"&gt;"&amp;($A173+22/24))</f>
        <v/>
      </c>
      <c r="AA173" s="20">
        <f>COUNTIFS(tData[SEHTrajectPeriodeDatumTijdVan],"&lt;="&amp;($A173+23/24),tData[SEHTrajectPeriodeDatumTijdTotEnMet],"&gt;"&amp;($A173+23/24))</f>
        <v/>
      </c>
    </row>
    <row r="174">
      <c r="A174" s="19" t="n">
        <v>45462</v>
      </c>
      <c r="B174" s="15">
        <f>WEEKDAY($A174,2)</f>
        <v/>
      </c>
      <c r="C174" s="15">
        <f>IF(AND($A174&gt;=INT(Instellingen!$B$5),$A174&lt;=INT(Instellingen!$B$6)),1,0)</f>
        <v/>
      </c>
      <c r="D174" s="20">
        <f>COUNTIFS(tData[SEHTrajectPeriodeDatumTijdVan],"&lt;="&amp;($A174+0/24),tData[SEHTrajectPeriodeDatumTijdTotEnMet],"&gt;"&amp;($A174+0/24))</f>
        <v/>
      </c>
      <c r="E174" s="20">
        <f>COUNTIFS(tData[SEHTrajectPeriodeDatumTijdVan],"&lt;="&amp;($A174+1/24),tData[SEHTrajectPeriodeDatumTijdTotEnMet],"&gt;"&amp;($A174+1/24))</f>
        <v/>
      </c>
      <c r="F174" s="20">
        <f>COUNTIFS(tData[SEHTrajectPeriodeDatumTijdVan],"&lt;="&amp;($A174+2/24),tData[SEHTrajectPeriodeDatumTijdTotEnMet],"&gt;"&amp;($A174+2/24))</f>
        <v/>
      </c>
      <c r="G174" s="20">
        <f>COUNTIFS(tData[SEHTrajectPeriodeDatumTijdVan],"&lt;="&amp;($A174+3/24),tData[SEHTrajectPeriodeDatumTijdTotEnMet],"&gt;"&amp;($A174+3/24))</f>
        <v/>
      </c>
      <c r="H174" s="20">
        <f>COUNTIFS(tData[SEHTrajectPeriodeDatumTijdVan],"&lt;="&amp;($A174+4/24),tData[SEHTrajectPeriodeDatumTijdTotEnMet],"&gt;"&amp;($A174+4/24))</f>
        <v/>
      </c>
      <c r="I174" s="20">
        <f>COUNTIFS(tData[SEHTrajectPeriodeDatumTijdVan],"&lt;="&amp;($A174+5/24),tData[SEHTrajectPeriodeDatumTijdTotEnMet],"&gt;"&amp;($A174+5/24))</f>
        <v/>
      </c>
      <c r="J174" s="20">
        <f>COUNTIFS(tData[SEHTrajectPeriodeDatumTijdVan],"&lt;="&amp;($A174+6/24),tData[SEHTrajectPeriodeDatumTijdTotEnMet],"&gt;"&amp;($A174+6/24))</f>
        <v/>
      </c>
      <c r="K174" s="20">
        <f>COUNTIFS(tData[SEHTrajectPeriodeDatumTijdVan],"&lt;="&amp;($A174+7/24),tData[SEHTrajectPeriodeDatumTijdTotEnMet],"&gt;"&amp;($A174+7/24))</f>
        <v/>
      </c>
      <c r="L174" s="20">
        <f>COUNTIFS(tData[SEHTrajectPeriodeDatumTijdVan],"&lt;="&amp;($A174+8/24),tData[SEHTrajectPeriodeDatumTijdTotEnMet],"&gt;"&amp;($A174+8/24))</f>
        <v/>
      </c>
      <c r="M174" s="20">
        <f>COUNTIFS(tData[SEHTrajectPeriodeDatumTijdVan],"&lt;="&amp;($A174+9/24),tData[SEHTrajectPeriodeDatumTijdTotEnMet],"&gt;"&amp;($A174+9/24))</f>
        <v/>
      </c>
      <c r="N174" s="20">
        <f>COUNTIFS(tData[SEHTrajectPeriodeDatumTijdVan],"&lt;="&amp;($A174+10/24),tData[SEHTrajectPeriodeDatumTijdTotEnMet],"&gt;"&amp;($A174+10/24))</f>
        <v/>
      </c>
      <c r="O174" s="20">
        <f>COUNTIFS(tData[SEHTrajectPeriodeDatumTijdVan],"&lt;="&amp;($A174+11/24),tData[SEHTrajectPeriodeDatumTijdTotEnMet],"&gt;"&amp;($A174+11/24))</f>
        <v/>
      </c>
      <c r="P174" s="20">
        <f>COUNTIFS(tData[SEHTrajectPeriodeDatumTijdVan],"&lt;="&amp;($A174+12/24),tData[SEHTrajectPeriodeDatumTijdTotEnMet],"&gt;"&amp;($A174+12/24))</f>
        <v/>
      </c>
      <c r="Q174" s="20">
        <f>COUNTIFS(tData[SEHTrajectPeriodeDatumTijdVan],"&lt;="&amp;($A174+13/24),tData[SEHTrajectPeriodeDatumTijdTotEnMet],"&gt;"&amp;($A174+13/24))</f>
        <v/>
      </c>
      <c r="R174" s="20">
        <f>COUNTIFS(tData[SEHTrajectPeriodeDatumTijdVan],"&lt;="&amp;($A174+14/24),tData[SEHTrajectPeriodeDatumTijdTotEnMet],"&gt;"&amp;($A174+14/24))</f>
        <v/>
      </c>
      <c r="S174" s="20">
        <f>COUNTIFS(tData[SEHTrajectPeriodeDatumTijdVan],"&lt;="&amp;($A174+15/24),tData[SEHTrajectPeriodeDatumTijdTotEnMet],"&gt;"&amp;($A174+15/24))</f>
        <v/>
      </c>
      <c r="T174" s="20">
        <f>COUNTIFS(tData[SEHTrajectPeriodeDatumTijdVan],"&lt;="&amp;($A174+16/24),tData[SEHTrajectPeriodeDatumTijdTotEnMet],"&gt;"&amp;($A174+16/24))</f>
        <v/>
      </c>
      <c r="U174" s="20">
        <f>COUNTIFS(tData[SEHTrajectPeriodeDatumTijdVan],"&lt;="&amp;($A174+17/24),tData[SEHTrajectPeriodeDatumTijdTotEnMet],"&gt;"&amp;($A174+17/24))</f>
        <v/>
      </c>
      <c r="V174" s="20">
        <f>COUNTIFS(tData[SEHTrajectPeriodeDatumTijdVan],"&lt;="&amp;($A174+18/24),tData[SEHTrajectPeriodeDatumTijdTotEnMet],"&gt;"&amp;($A174+18/24))</f>
        <v/>
      </c>
      <c r="W174" s="20">
        <f>COUNTIFS(tData[SEHTrajectPeriodeDatumTijdVan],"&lt;="&amp;($A174+19/24),tData[SEHTrajectPeriodeDatumTijdTotEnMet],"&gt;"&amp;($A174+19/24))</f>
        <v/>
      </c>
      <c r="X174" s="20">
        <f>COUNTIFS(tData[SEHTrajectPeriodeDatumTijdVan],"&lt;="&amp;($A174+20/24),tData[SEHTrajectPeriodeDatumTijdTotEnMet],"&gt;"&amp;($A174+20/24))</f>
        <v/>
      </c>
      <c r="Y174" s="20">
        <f>COUNTIFS(tData[SEHTrajectPeriodeDatumTijdVan],"&lt;="&amp;($A174+21/24),tData[SEHTrajectPeriodeDatumTijdTotEnMet],"&gt;"&amp;($A174+21/24))</f>
        <v/>
      </c>
      <c r="Z174" s="20">
        <f>COUNTIFS(tData[SEHTrajectPeriodeDatumTijdVan],"&lt;="&amp;($A174+22/24),tData[SEHTrajectPeriodeDatumTijdTotEnMet],"&gt;"&amp;($A174+22/24))</f>
        <v/>
      </c>
      <c r="AA174" s="20">
        <f>COUNTIFS(tData[SEHTrajectPeriodeDatumTijdVan],"&lt;="&amp;($A174+23/24),tData[SEHTrajectPeriodeDatumTijdTotEnMet],"&gt;"&amp;($A174+23/24))</f>
        <v/>
      </c>
    </row>
    <row r="175">
      <c r="A175" s="19" t="n">
        <v>45463</v>
      </c>
      <c r="B175" s="15">
        <f>WEEKDAY($A175,2)</f>
        <v/>
      </c>
      <c r="C175" s="15">
        <f>IF(AND($A175&gt;=INT(Instellingen!$B$5),$A175&lt;=INT(Instellingen!$B$6)),1,0)</f>
        <v/>
      </c>
      <c r="D175" s="20">
        <f>COUNTIFS(tData[SEHTrajectPeriodeDatumTijdVan],"&lt;="&amp;($A175+0/24),tData[SEHTrajectPeriodeDatumTijdTotEnMet],"&gt;"&amp;($A175+0/24))</f>
        <v/>
      </c>
      <c r="E175" s="20">
        <f>COUNTIFS(tData[SEHTrajectPeriodeDatumTijdVan],"&lt;="&amp;($A175+1/24),tData[SEHTrajectPeriodeDatumTijdTotEnMet],"&gt;"&amp;($A175+1/24))</f>
        <v/>
      </c>
      <c r="F175" s="20">
        <f>COUNTIFS(tData[SEHTrajectPeriodeDatumTijdVan],"&lt;="&amp;($A175+2/24),tData[SEHTrajectPeriodeDatumTijdTotEnMet],"&gt;"&amp;($A175+2/24))</f>
        <v/>
      </c>
      <c r="G175" s="20">
        <f>COUNTIFS(tData[SEHTrajectPeriodeDatumTijdVan],"&lt;="&amp;($A175+3/24),tData[SEHTrajectPeriodeDatumTijdTotEnMet],"&gt;"&amp;($A175+3/24))</f>
        <v/>
      </c>
      <c r="H175" s="20">
        <f>COUNTIFS(tData[SEHTrajectPeriodeDatumTijdVan],"&lt;="&amp;($A175+4/24),tData[SEHTrajectPeriodeDatumTijdTotEnMet],"&gt;"&amp;($A175+4/24))</f>
        <v/>
      </c>
      <c r="I175" s="20">
        <f>COUNTIFS(tData[SEHTrajectPeriodeDatumTijdVan],"&lt;="&amp;($A175+5/24),tData[SEHTrajectPeriodeDatumTijdTotEnMet],"&gt;"&amp;($A175+5/24))</f>
        <v/>
      </c>
      <c r="J175" s="20">
        <f>COUNTIFS(tData[SEHTrajectPeriodeDatumTijdVan],"&lt;="&amp;($A175+6/24),tData[SEHTrajectPeriodeDatumTijdTotEnMet],"&gt;"&amp;($A175+6/24))</f>
        <v/>
      </c>
      <c r="K175" s="20">
        <f>COUNTIFS(tData[SEHTrajectPeriodeDatumTijdVan],"&lt;="&amp;($A175+7/24),tData[SEHTrajectPeriodeDatumTijdTotEnMet],"&gt;"&amp;($A175+7/24))</f>
        <v/>
      </c>
      <c r="L175" s="20">
        <f>COUNTIFS(tData[SEHTrajectPeriodeDatumTijdVan],"&lt;="&amp;($A175+8/24),tData[SEHTrajectPeriodeDatumTijdTotEnMet],"&gt;"&amp;($A175+8/24))</f>
        <v/>
      </c>
      <c r="M175" s="20">
        <f>COUNTIFS(tData[SEHTrajectPeriodeDatumTijdVan],"&lt;="&amp;($A175+9/24),tData[SEHTrajectPeriodeDatumTijdTotEnMet],"&gt;"&amp;($A175+9/24))</f>
        <v/>
      </c>
      <c r="N175" s="20">
        <f>COUNTIFS(tData[SEHTrajectPeriodeDatumTijdVan],"&lt;="&amp;($A175+10/24),tData[SEHTrajectPeriodeDatumTijdTotEnMet],"&gt;"&amp;($A175+10/24))</f>
        <v/>
      </c>
      <c r="O175" s="20">
        <f>COUNTIFS(tData[SEHTrajectPeriodeDatumTijdVan],"&lt;="&amp;($A175+11/24),tData[SEHTrajectPeriodeDatumTijdTotEnMet],"&gt;"&amp;($A175+11/24))</f>
        <v/>
      </c>
      <c r="P175" s="20">
        <f>COUNTIFS(tData[SEHTrajectPeriodeDatumTijdVan],"&lt;="&amp;($A175+12/24),tData[SEHTrajectPeriodeDatumTijdTotEnMet],"&gt;"&amp;($A175+12/24))</f>
        <v/>
      </c>
      <c r="Q175" s="20">
        <f>COUNTIFS(tData[SEHTrajectPeriodeDatumTijdVan],"&lt;="&amp;($A175+13/24),tData[SEHTrajectPeriodeDatumTijdTotEnMet],"&gt;"&amp;($A175+13/24))</f>
        <v/>
      </c>
      <c r="R175" s="20">
        <f>COUNTIFS(tData[SEHTrajectPeriodeDatumTijdVan],"&lt;="&amp;($A175+14/24),tData[SEHTrajectPeriodeDatumTijdTotEnMet],"&gt;"&amp;($A175+14/24))</f>
        <v/>
      </c>
      <c r="S175" s="20">
        <f>COUNTIFS(tData[SEHTrajectPeriodeDatumTijdVan],"&lt;="&amp;($A175+15/24),tData[SEHTrajectPeriodeDatumTijdTotEnMet],"&gt;"&amp;($A175+15/24))</f>
        <v/>
      </c>
      <c r="T175" s="20">
        <f>COUNTIFS(tData[SEHTrajectPeriodeDatumTijdVan],"&lt;="&amp;($A175+16/24),tData[SEHTrajectPeriodeDatumTijdTotEnMet],"&gt;"&amp;($A175+16/24))</f>
        <v/>
      </c>
      <c r="U175" s="20">
        <f>COUNTIFS(tData[SEHTrajectPeriodeDatumTijdVan],"&lt;="&amp;($A175+17/24),tData[SEHTrajectPeriodeDatumTijdTotEnMet],"&gt;"&amp;($A175+17/24))</f>
        <v/>
      </c>
      <c r="V175" s="20">
        <f>COUNTIFS(tData[SEHTrajectPeriodeDatumTijdVan],"&lt;="&amp;($A175+18/24),tData[SEHTrajectPeriodeDatumTijdTotEnMet],"&gt;"&amp;($A175+18/24))</f>
        <v/>
      </c>
      <c r="W175" s="20">
        <f>COUNTIFS(tData[SEHTrajectPeriodeDatumTijdVan],"&lt;="&amp;($A175+19/24),tData[SEHTrajectPeriodeDatumTijdTotEnMet],"&gt;"&amp;($A175+19/24))</f>
        <v/>
      </c>
      <c r="X175" s="20">
        <f>COUNTIFS(tData[SEHTrajectPeriodeDatumTijdVan],"&lt;="&amp;($A175+20/24),tData[SEHTrajectPeriodeDatumTijdTotEnMet],"&gt;"&amp;($A175+20/24))</f>
        <v/>
      </c>
      <c r="Y175" s="20">
        <f>COUNTIFS(tData[SEHTrajectPeriodeDatumTijdVan],"&lt;="&amp;($A175+21/24),tData[SEHTrajectPeriodeDatumTijdTotEnMet],"&gt;"&amp;($A175+21/24))</f>
        <v/>
      </c>
      <c r="Z175" s="20">
        <f>COUNTIFS(tData[SEHTrajectPeriodeDatumTijdVan],"&lt;="&amp;($A175+22/24),tData[SEHTrajectPeriodeDatumTijdTotEnMet],"&gt;"&amp;($A175+22/24))</f>
        <v/>
      </c>
      <c r="AA175" s="20">
        <f>COUNTIFS(tData[SEHTrajectPeriodeDatumTijdVan],"&lt;="&amp;($A175+23/24),tData[SEHTrajectPeriodeDatumTijdTotEnMet],"&gt;"&amp;($A175+23/24))</f>
        <v/>
      </c>
    </row>
    <row r="176">
      <c r="A176" s="19" t="n">
        <v>45464</v>
      </c>
      <c r="B176" s="15">
        <f>WEEKDAY($A176,2)</f>
        <v/>
      </c>
      <c r="C176" s="15">
        <f>IF(AND($A176&gt;=INT(Instellingen!$B$5),$A176&lt;=INT(Instellingen!$B$6)),1,0)</f>
        <v/>
      </c>
      <c r="D176" s="20">
        <f>COUNTIFS(tData[SEHTrajectPeriodeDatumTijdVan],"&lt;="&amp;($A176+0/24),tData[SEHTrajectPeriodeDatumTijdTotEnMet],"&gt;"&amp;($A176+0/24))</f>
        <v/>
      </c>
      <c r="E176" s="20">
        <f>COUNTIFS(tData[SEHTrajectPeriodeDatumTijdVan],"&lt;="&amp;($A176+1/24),tData[SEHTrajectPeriodeDatumTijdTotEnMet],"&gt;"&amp;($A176+1/24))</f>
        <v/>
      </c>
      <c r="F176" s="20">
        <f>COUNTIFS(tData[SEHTrajectPeriodeDatumTijdVan],"&lt;="&amp;($A176+2/24),tData[SEHTrajectPeriodeDatumTijdTotEnMet],"&gt;"&amp;($A176+2/24))</f>
        <v/>
      </c>
      <c r="G176" s="20">
        <f>COUNTIFS(tData[SEHTrajectPeriodeDatumTijdVan],"&lt;="&amp;($A176+3/24),tData[SEHTrajectPeriodeDatumTijdTotEnMet],"&gt;"&amp;($A176+3/24))</f>
        <v/>
      </c>
      <c r="H176" s="20">
        <f>COUNTIFS(tData[SEHTrajectPeriodeDatumTijdVan],"&lt;="&amp;($A176+4/24),tData[SEHTrajectPeriodeDatumTijdTotEnMet],"&gt;"&amp;($A176+4/24))</f>
        <v/>
      </c>
      <c r="I176" s="20">
        <f>COUNTIFS(tData[SEHTrajectPeriodeDatumTijdVan],"&lt;="&amp;($A176+5/24),tData[SEHTrajectPeriodeDatumTijdTotEnMet],"&gt;"&amp;($A176+5/24))</f>
        <v/>
      </c>
      <c r="J176" s="20">
        <f>COUNTIFS(tData[SEHTrajectPeriodeDatumTijdVan],"&lt;="&amp;($A176+6/24),tData[SEHTrajectPeriodeDatumTijdTotEnMet],"&gt;"&amp;($A176+6/24))</f>
        <v/>
      </c>
      <c r="K176" s="20">
        <f>COUNTIFS(tData[SEHTrajectPeriodeDatumTijdVan],"&lt;="&amp;($A176+7/24),tData[SEHTrajectPeriodeDatumTijdTotEnMet],"&gt;"&amp;($A176+7/24))</f>
        <v/>
      </c>
      <c r="L176" s="20">
        <f>COUNTIFS(tData[SEHTrajectPeriodeDatumTijdVan],"&lt;="&amp;($A176+8/24),tData[SEHTrajectPeriodeDatumTijdTotEnMet],"&gt;"&amp;($A176+8/24))</f>
        <v/>
      </c>
      <c r="M176" s="20">
        <f>COUNTIFS(tData[SEHTrajectPeriodeDatumTijdVan],"&lt;="&amp;($A176+9/24),tData[SEHTrajectPeriodeDatumTijdTotEnMet],"&gt;"&amp;($A176+9/24))</f>
        <v/>
      </c>
      <c r="N176" s="20">
        <f>COUNTIFS(tData[SEHTrajectPeriodeDatumTijdVan],"&lt;="&amp;($A176+10/24),tData[SEHTrajectPeriodeDatumTijdTotEnMet],"&gt;"&amp;($A176+10/24))</f>
        <v/>
      </c>
      <c r="O176" s="20">
        <f>COUNTIFS(tData[SEHTrajectPeriodeDatumTijdVan],"&lt;="&amp;($A176+11/24),tData[SEHTrajectPeriodeDatumTijdTotEnMet],"&gt;"&amp;($A176+11/24))</f>
        <v/>
      </c>
      <c r="P176" s="20">
        <f>COUNTIFS(tData[SEHTrajectPeriodeDatumTijdVan],"&lt;="&amp;($A176+12/24),tData[SEHTrajectPeriodeDatumTijdTotEnMet],"&gt;"&amp;($A176+12/24))</f>
        <v/>
      </c>
      <c r="Q176" s="20">
        <f>COUNTIFS(tData[SEHTrajectPeriodeDatumTijdVan],"&lt;="&amp;($A176+13/24),tData[SEHTrajectPeriodeDatumTijdTotEnMet],"&gt;"&amp;($A176+13/24))</f>
        <v/>
      </c>
      <c r="R176" s="20">
        <f>COUNTIFS(tData[SEHTrajectPeriodeDatumTijdVan],"&lt;="&amp;($A176+14/24),tData[SEHTrajectPeriodeDatumTijdTotEnMet],"&gt;"&amp;($A176+14/24))</f>
        <v/>
      </c>
      <c r="S176" s="20">
        <f>COUNTIFS(tData[SEHTrajectPeriodeDatumTijdVan],"&lt;="&amp;($A176+15/24),tData[SEHTrajectPeriodeDatumTijdTotEnMet],"&gt;"&amp;($A176+15/24))</f>
        <v/>
      </c>
      <c r="T176" s="20">
        <f>COUNTIFS(tData[SEHTrajectPeriodeDatumTijdVan],"&lt;="&amp;($A176+16/24),tData[SEHTrajectPeriodeDatumTijdTotEnMet],"&gt;"&amp;($A176+16/24))</f>
        <v/>
      </c>
      <c r="U176" s="20">
        <f>COUNTIFS(tData[SEHTrajectPeriodeDatumTijdVan],"&lt;="&amp;($A176+17/24),tData[SEHTrajectPeriodeDatumTijdTotEnMet],"&gt;"&amp;($A176+17/24))</f>
        <v/>
      </c>
      <c r="V176" s="20">
        <f>COUNTIFS(tData[SEHTrajectPeriodeDatumTijdVan],"&lt;="&amp;($A176+18/24),tData[SEHTrajectPeriodeDatumTijdTotEnMet],"&gt;"&amp;($A176+18/24))</f>
        <v/>
      </c>
      <c r="W176" s="20">
        <f>COUNTIFS(tData[SEHTrajectPeriodeDatumTijdVan],"&lt;="&amp;($A176+19/24),tData[SEHTrajectPeriodeDatumTijdTotEnMet],"&gt;"&amp;($A176+19/24))</f>
        <v/>
      </c>
      <c r="X176" s="20">
        <f>COUNTIFS(tData[SEHTrajectPeriodeDatumTijdVan],"&lt;="&amp;($A176+20/24),tData[SEHTrajectPeriodeDatumTijdTotEnMet],"&gt;"&amp;($A176+20/24))</f>
        <v/>
      </c>
      <c r="Y176" s="20">
        <f>COUNTIFS(tData[SEHTrajectPeriodeDatumTijdVan],"&lt;="&amp;($A176+21/24),tData[SEHTrajectPeriodeDatumTijdTotEnMet],"&gt;"&amp;($A176+21/24))</f>
        <v/>
      </c>
      <c r="Z176" s="20">
        <f>COUNTIFS(tData[SEHTrajectPeriodeDatumTijdVan],"&lt;="&amp;($A176+22/24),tData[SEHTrajectPeriodeDatumTijdTotEnMet],"&gt;"&amp;($A176+22/24))</f>
        <v/>
      </c>
      <c r="AA176" s="20">
        <f>COUNTIFS(tData[SEHTrajectPeriodeDatumTijdVan],"&lt;="&amp;($A176+23/24),tData[SEHTrajectPeriodeDatumTijdTotEnMet],"&gt;"&amp;($A176+23/24))</f>
        <v/>
      </c>
    </row>
    <row r="177">
      <c r="A177" s="19" t="n">
        <v>45465</v>
      </c>
      <c r="B177" s="15">
        <f>WEEKDAY($A177,2)</f>
        <v/>
      </c>
      <c r="C177" s="15">
        <f>IF(AND($A177&gt;=INT(Instellingen!$B$5),$A177&lt;=INT(Instellingen!$B$6)),1,0)</f>
        <v/>
      </c>
      <c r="D177" s="20">
        <f>COUNTIFS(tData[SEHTrajectPeriodeDatumTijdVan],"&lt;="&amp;($A177+0/24),tData[SEHTrajectPeriodeDatumTijdTotEnMet],"&gt;"&amp;($A177+0/24))</f>
        <v/>
      </c>
      <c r="E177" s="20">
        <f>COUNTIFS(tData[SEHTrajectPeriodeDatumTijdVan],"&lt;="&amp;($A177+1/24),tData[SEHTrajectPeriodeDatumTijdTotEnMet],"&gt;"&amp;($A177+1/24))</f>
        <v/>
      </c>
      <c r="F177" s="20">
        <f>COUNTIFS(tData[SEHTrajectPeriodeDatumTijdVan],"&lt;="&amp;($A177+2/24),tData[SEHTrajectPeriodeDatumTijdTotEnMet],"&gt;"&amp;($A177+2/24))</f>
        <v/>
      </c>
      <c r="G177" s="20">
        <f>COUNTIFS(tData[SEHTrajectPeriodeDatumTijdVan],"&lt;="&amp;($A177+3/24),tData[SEHTrajectPeriodeDatumTijdTotEnMet],"&gt;"&amp;($A177+3/24))</f>
        <v/>
      </c>
      <c r="H177" s="20">
        <f>COUNTIFS(tData[SEHTrajectPeriodeDatumTijdVan],"&lt;="&amp;($A177+4/24),tData[SEHTrajectPeriodeDatumTijdTotEnMet],"&gt;"&amp;($A177+4/24))</f>
        <v/>
      </c>
      <c r="I177" s="20">
        <f>COUNTIFS(tData[SEHTrajectPeriodeDatumTijdVan],"&lt;="&amp;($A177+5/24),tData[SEHTrajectPeriodeDatumTijdTotEnMet],"&gt;"&amp;($A177+5/24))</f>
        <v/>
      </c>
      <c r="J177" s="20">
        <f>COUNTIFS(tData[SEHTrajectPeriodeDatumTijdVan],"&lt;="&amp;($A177+6/24),tData[SEHTrajectPeriodeDatumTijdTotEnMet],"&gt;"&amp;($A177+6/24))</f>
        <v/>
      </c>
      <c r="K177" s="20">
        <f>COUNTIFS(tData[SEHTrajectPeriodeDatumTijdVan],"&lt;="&amp;($A177+7/24),tData[SEHTrajectPeriodeDatumTijdTotEnMet],"&gt;"&amp;($A177+7/24))</f>
        <v/>
      </c>
      <c r="L177" s="20">
        <f>COUNTIFS(tData[SEHTrajectPeriodeDatumTijdVan],"&lt;="&amp;($A177+8/24),tData[SEHTrajectPeriodeDatumTijdTotEnMet],"&gt;"&amp;($A177+8/24))</f>
        <v/>
      </c>
      <c r="M177" s="20">
        <f>COUNTIFS(tData[SEHTrajectPeriodeDatumTijdVan],"&lt;="&amp;($A177+9/24),tData[SEHTrajectPeriodeDatumTijdTotEnMet],"&gt;"&amp;($A177+9/24))</f>
        <v/>
      </c>
      <c r="N177" s="20">
        <f>COUNTIFS(tData[SEHTrajectPeriodeDatumTijdVan],"&lt;="&amp;($A177+10/24),tData[SEHTrajectPeriodeDatumTijdTotEnMet],"&gt;"&amp;($A177+10/24))</f>
        <v/>
      </c>
      <c r="O177" s="20">
        <f>COUNTIFS(tData[SEHTrajectPeriodeDatumTijdVan],"&lt;="&amp;($A177+11/24),tData[SEHTrajectPeriodeDatumTijdTotEnMet],"&gt;"&amp;($A177+11/24))</f>
        <v/>
      </c>
      <c r="P177" s="20">
        <f>COUNTIFS(tData[SEHTrajectPeriodeDatumTijdVan],"&lt;="&amp;($A177+12/24),tData[SEHTrajectPeriodeDatumTijdTotEnMet],"&gt;"&amp;($A177+12/24))</f>
        <v/>
      </c>
      <c r="Q177" s="20">
        <f>COUNTIFS(tData[SEHTrajectPeriodeDatumTijdVan],"&lt;="&amp;($A177+13/24),tData[SEHTrajectPeriodeDatumTijdTotEnMet],"&gt;"&amp;($A177+13/24))</f>
        <v/>
      </c>
      <c r="R177" s="20">
        <f>COUNTIFS(tData[SEHTrajectPeriodeDatumTijdVan],"&lt;="&amp;($A177+14/24),tData[SEHTrajectPeriodeDatumTijdTotEnMet],"&gt;"&amp;($A177+14/24))</f>
        <v/>
      </c>
      <c r="S177" s="20">
        <f>COUNTIFS(tData[SEHTrajectPeriodeDatumTijdVan],"&lt;="&amp;($A177+15/24),tData[SEHTrajectPeriodeDatumTijdTotEnMet],"&gt;"&amp;($A177+15/24))</f>
        <v/>
      </c>
      <c r="T177" s="20">
        <f>COUNTIFS(tData[SEHTrajectPeriodeDatumTijdVan],"&lt;="&amp;($A177+16/24),tData[SEHTrajectPeriodeDatumTijdTotEnMet],"&gt;"&amp;($A177+16/24))</f>
        <v/>
      </c>
      <c r="U177" s="20">
        <f>COUNTIFS(tData[SEHTrajectPeriodeDatumTijdVan],"&lt;="&amp;($A177+17/24),tData[SEHTrajectPeriodeDatumTijdTotEnMet],"&gt;"&amp;($A177+17/24))</f>
        <v/>
      </c>
      <c r="V177" s="20">
        <f>COUNTIFS(tData[SEHTrajectPeriodeDatumTijdVan],"&lt;="&amp;($A177+18/24),tData[SEHTrajectPeriodeDatumTijdTotEnMet],"&gt;"&amp;($A177+18/24))</f>
        <v/>
      </c>
      <c r="W177" s="20">
        <f>COUNTIFS(tData[SEHTrajectPeriodeDatumTijdVan],"&lt;="&amp;($A177+19/24),tData[SEHTrajectPeriodeDatumTijdTotEnMet],"&gt;"&amp;($A177+19/24))</f>
        <v/>
      </c>
      <c r="X177" s="20">
        <f>COUNTIFS(tData[SEHTrajectPeriodeDatumTijdVan],"&lt;="&amp;($A177+20/24),tData[SEHTrajectPeriodeDatumTijdTotEnMet],"&gt;"&amp;($A177+20/24))</f>
        <v/>
      </c>
      <c r="Y177" s="20">
        <f>COUNTIFS(tData[SEHTrajectPeriodeDatumTijdVan],"&lt;="&amp;($A177+21/24),tData[SEHTrajectPeriodeDatumTijdTotEnMet],"&gt;"&amp;($A177+21/24))</f>
        <v/>
      </c>
      <c r="Z177" s="20">
        <f>COUNTIFS(tData[SEHTrajectPeriodeDatumTijdVan],"&lt;="&amp;($A177+22/24),tData[SEHTrajectPeriodeDatumTijdTotEnMet],"&gt;"&amp;($A177+22/24))</f>
        <v/>
      </c>
      <c r="AA177" s="20">
        <f>COUNTIFS(tData[SEHTrajectPeriodeDatumTijdVan],"&lt;="&amp;($A177+23/24),tData[SEHTrajectPeriodeDatumTijdTotEnMet],"&gt;"&amp;($A177+23/24))</f>
        <v/>
      </c>
    </row>
    <row r="178">
      <c r="A178" s="19" t="n">
        <v>45466</v>
      </c>
      <c r="B178" s="15">
        <f>WEEKDAY($A178,2)</f>
        <v/>
      </c>
      <c r="C178" s="15">
        <f>IF(AND($A178&gt;=INT(Instellingen!$B$5),$A178&lt;=INT(Instellingen!$B$6)),1,0)</f>
        <v/>
      </c>
      <c r="D178" s="20">
        <f>COUNTIFS(tData[SEHTrajectPeriodeDatumTijdVan],"&lt;="&amp;($A178+0/24),tData[SEHTrajectPeriodeDatumTijdTotEnMet],"&gt;"&amp;($A178+0/24))</f>
        <v/>
      </c>
      <c r="E178" s="20">
        <f>COUNTIFS(tData[SEHTrajectPeriodeDatumTijdVan],"&lt;="&amp;($A178+1/24),tData[SEHTrajectPeriodeDatumTijdTotEnMet],"&gt;"&amp;($A178+1/24))</f>
        <v/>
      </c>
      <c r="F178" s="20">
        <f>COUNTIFS(tData[SEHTrajectPeriodeDatumTijdVan],"&lt;="&amp;($A178+2/24),tData[SEHTrajectPeriodeDatumTijdTotEnMet],"&gt;"&amp;($A178+2/24))</f>
        <v/>
      </c>
      <c r="G178" s="20">
        <f>COUNTIFS(tData[SEHTrajectPeriodeDatumTijdVan],"&lt;="&amp;($A178+3/24),tData[SEHTrajectPeriodeDatumTijdTotEnMet],"&gt;"&amp;($A178+3/24))</f>
        <v/>
      </c>
      <c r="H178" s="20">
        <f>COUNTIFS(tData[SEHTrajectPeriodeDatumTijdVan],"&lt;="&amp;($A178+4/24),tData[SEHTrajectPeriodeDatumTijdTotEnMet],"&gt;"&amp;($A178+4/24))</f>
        <v/>
      </c>
      <c r="I178" s="20">
        <f>COUNTIFS(tData[SEHTrajectPeriodeDatumTijdVan],"&lt;="&amp;($A178+5/24),tData[SEHTrajectPeriodeDatumTijdTotEnMet],"&gt;"&amp;($A178+5/24))</f>
        <v/>
      </c>
      <c r="J178" s="20">
        <f>COUNTIFS(tData[SEHTrajectPeriodeDatumTijdVan],"&lt;="&amp;($A178+6/24),tData[SEHTrajectPeriodeDatumTijdTotEnMet],"&gt;"&amp;($A178+6/24))</f>
        <v/>
      </c>
      <c r="K178" s="20">
        <f>COUNTIFS(tData[SEHTrajectPeriodeDatumTijdVan],"&lt;="&amp;($A178+7/24),tData[SEHTrajectPeriodeDatumTijdTotEnMet],"&gt;"&amp;($A178+7/24))</f>
        <v/>
      </c>
      <c r="L178" s="20">
        <f>COUNTIFS(tData[SEHTrajectPeriodeDatumTijdVan],"&lt;="&amp;($A178+8/24),tData[SEHTrajectPeriodeDatumTijdTotEnMet],"&gt;"&amp;($A178+8/24))</f>
        <v/>
      </c>
      <c r="M178" s="20">
        <f>COUNTIFS(tData[SEHTrajectPeriodeDatumTijdVan],"&lt;="&amp;($A178+9/24),tData[SEHTrajectPeriodeDatumTijdTotEnMet],"&gt;"&amp;($A178+9/24))</f>
        <v/>
      </c>
      <c r="N178" s="20">
        <f>COUNTIFS(tData[SEHTrajectPeriodeDatumTijdVan],"&lt;="&amp;($A178+10/24),tData[SEHTrajectPeriodeDatumTijdTotEnMet],"&gt;"&amp;($A178+10/24))</f>
        <v/>
      </c>
      <c r="O178" s="20">
        <f>COUNTIFS(tData[SEHTrajectPeriodeDatumTijdVan],"&lt;="&amp;($A178+11/24),tData[SEHTrajectPeriodeDatumTijdTotEnMet],"&gt;"&amp;($A178+11/24))</f>
        <v/>
      </c>
      <c r="P178" s="20">
        <f>COUNTIFS(tData[SEHTrajectPeriodeDatumTijdVan],"&lt;="&amp;($A178+12/24),tData[SEHTrajectPeriodeDatumTijdTotEnMet],"&gt;"&amp;($A178+12/24))</f>
        <v/>
      </c>
      <c r="Q178" s="20">
        <f>COUNTIFS(tData[SEHTrajectPeriodeDatumTijdVan],"&lt;="&amp;($A178+13/24),tData[SEHTrajectPeriodeDatumTijdTotEnMet],"&gt;"&amp;($A178+13/24))</f>
        <v/>
      </c>
      <c r="R178" s="20">
        <f>COUNTIFS(tData[SEHTrajectPeriodeDatumTijdVan],"&lt;="&amp;($A178+14/24),tData[SEHTrajectPeriodeDatumTijdTotEnMet],"&gt;"&amp;($A178+14/24))</f>
        <v/>
      </c>
      <c r="S178" s="20">
        <f>COUNTIFS(tData[SEHTrajectPeriodeDatumTijdVan],"&lt;="&amp;($A178+15/24),tData[SEHTrajectPeriodeDatumTijdTotEnMet],"&gt;"&amp;($A178+15/24))</f>
        <v/>
      </c>
      <c r="T178" s="20">
        <f>COUNTIFS(tData[SEHTrajectPeriodeDatumTijdVan],"&lt;="&amp;($A178+16/24),tData[SEHTrajectPeriodeDatumTijdTotEnMet],"&gt;"&amp;($A178+16/24))</f>
        <v/>
      </c>
      <c r="U178" s="20">
        <f>COUNTIFS(tData[SEHTrajectPeriodeDatumTijdVan],"&lt;="&amp;($A178+17/24),tData[SEHTrajectPeriodeDatumTijdTotEnMet],"&gt;"&amp;($A178+17/24))</f>
        <v/>
      </c>
      <c r="V178" s="20">
        <f>COUNTIFS(tData[SEHTrajectPeriodeDatumTijdVan],"&lt;="&amp;($A178+18/24),tData[SEHTrajectPeriodeDatumTijdTotEnMet],"&gt;"&amp;($A178+18/24))</f>
        <v/>
      </c>
      <c r="W178" s="20">
        <f>COUNTIFS(tData[SEHTrajectPeriodeDatumTijdVan],"&lt;="&amp;($A178+19/24),tData[SEHTrajectPeriodeDatumTijdTotEnMet],"&gt;"&amp;($A178+19/24))</f>
        <v/>
      </c>
      <c r="X178" s="20">
        <f>COUNTIFS(tData[SEHTrajectPeriodeDatumTijdVan],"&lt;="&amp;($A178+20/24),tData[SEHTrajectPeriodeDatumTijdTotEnMet],"&gt;"&amp;($A178+20/24))</f>
        <v/>
      </c>
      <c r="Y178" s="20">
        <f>COUNTIFS(tData[SEHTrajectPeriodeDatumTijdVan],"&lt;="&amp;($A178+21/24),tData[SEHTrajectPeriodeDatumTijdTotEnMet],"&gt;"&amp;($A178+21/24))</f>
        <v/>
      </c>
      <c r="Z178" s="20">
        <f>COUNTIFS(tData[SEHTrajectPeriodeDatumTijdVan],"&lt;="&amp;($A178+22/24),tData[SEHTrajectPeriodeDatumTijdTotEnMet],"&gt;"&amp;($A178+22/24))</f>
        <v/>
      </c>
      <c r="AA178" s="20">
        <f>COUNTIFS(tData[SEHTrajectPeriodeDatumTijdVan],"&lt;="&amp;($A178+23/24),tData[SEHTrajectPeriodeDatumTijdTotEnMet],"&gt;"&amp;($A178+23/24))</f>
        <v/>
      </c>
    </row>
    <row r="179">
      <c r="A179" s="19" t="n">
        <v>45467</v>
      </c>
      <c r="B179" s="15">
        <f>WEEKDAY($A179,2)</f>
        <v/>
      </c>
      <c r="C179" s="15">
        <f>IF(AND($A179&gt;=INT(Instellingen!$B$5),$A179&lt;=INT(Instellingen!$B$6)),1,0)</f>
        <v/>
      </c>
      <c r="D179" s="20">
        <f>COUNTIFS(tData[SEHTrajectPeriodeDatumTijdVan],"&lt;="&amp;($A179+0/24),tData[SEHTrajectPeriodeDatumTijdTotEnMet],"&gt;"&amp;($A179+0/24))</f>
        <v/>
      </c>
      <c r="E179" s="20">
        <f>COUNTIFS(tData[SEHTrajectPeriodeDatumTijdVan],"&lt;="&amp;($A179+1/24),tData[SEHTrajectPeriodeDatumTijdTotEnMet],"&gt;"&amp;($A179+1/24))</f>
        <v/>
      </c>
      <c r="F179" s="20">
        <f>COUNTIFS(tData[SEHTrajectPeriodeDatumTijdVan],"&lt;="&amp;($A179+2/24),tData[SEHTrajectPeriodeDatumTijdTotEnMet],"&gt;"&amp;($A179+2/24))</f>
        <v/>
      </c>
      <c r="G179" s="20">
        <f>COUNTIFS(tData[SEHTrajectPeriodeDatumTijdVan],"&lt;="&amp;($A179+3/24),tData[SEHTrajectPeriodeDatumTijdTotEnMet],"&gt;"&amp;($A179+3/24))</f>
        <v/>
      </c>
      <c r="H179" s="20">
        <f>COUNTIFS(tData[SEHTrajectPeriodeDatumTijdVan],"&lt;="&amp;($A179+4/24),tData[SEHTrajectPeriodeDatumTijdTotEnMet],"&gt;"&amp;($A179+4/24))</f>
        <v/>
      </c>
      <c r="I179" s="20">
        <f>COUNTIFS(tData[SEHTrajectPeriodeDatumTijdVan],"&lt;="&amp;($A179+5/24),tData[SEHTrajectPeriodeDatumTijdTotEnMet],"&gt;"&amp;($A179+5/24))</f>
        <v/>
      </c>
      <c r="J179" s="20">
        <f>COUNTIFS(tData[SEHTrajectPeriodeDatumTijdVan],"&lt;="&amp;($A179+6/24),tData[SEHTrajectPeriodeDatumTijdTotEnMet],"&gt;"&amp;($A179+6/24))</f>
        <v/>
      </c>
      <c r="K179" s="20">
        <f>COUNTIFS(tData[SEHTrajectPeriodeDatumTijdVan],"&lt;="&amp;($A179+7/24),tData[SEHTrajectPeriodeDatumTijdTotEnMet],"&gt;"&amp;($A179+7/24))</f>
        <v/>
      </c>
      <c r="L179" s="20">
        <f>COUNTIFS(tData[SEHTrajectPeriodeDatumTijdVan],"&lt;="&amp;($A179+8/24),tData[SEHTrajectPeriodeDatumTijdTotEnMet],"&gt;"&amp;($A179+8/24))</f>
        <v/>
      </c>
      <c r="M179" s="20">
        <f>COUNTIFS(tData[SEHTrajectPeriodeDatumTijdVan],"&lt;="&amp;($A179+9/24),tData[SEHTrajectPeriodeDatumTijdTotEnMet],"&gt;"&amp;($A179+9/24))</f>
        <v/>
      </c>
      <c r="N179" s="20">
        <f>COUNTIFS(tData[SEHTrajectPeriodeDatumTijdVan],"&lt;="&amp;($A179+10/24),tData[SEHTrajectPeriodeDatumTijdTotEnMet],"&gt;"&amp;($A179+10/24))</f>
        <v/>
      </c>
      <c r="O179" s="20">
        <f>COUNTIFS(tData[SEHTrajectPeriodeDatumTijdVan],"&lt;="&amp;($A179+11/24),tData[SEHTrajectPeriodeDatumTijdTotEnMet],"&gt;"&amp;($A179+11/24))</f>
        <v/>
      </c>
      <c r="P179" s="20">
        <f>COUNTIFS(tData[SEHTrajectPeriodeDatumTijdVan],"&lt;="&amp;($A179+12/24),tData[SEHTrajectPeriodeDatumTijdTotEnMet],"&gt;"&amp;($A179+12/24))</f>
        <v/>
      </c>
      <c r="Q179" s="20">
        <f>COUNTIFS(tData[SEHTrajectPeriodeDatumTijdVan],"&lt;="&amp;($A179+13/24),tData[SEHTrajectPeriodeDatumTijdTotEnMet],"&gt;"&amp;($A179+13/24))</f>
        <v/>
      </c>
      <c r="R179" s="20">
        <f>COUNTIFS(tData[SEHTrajectPeriodeDatumTijdVan],"&lt;="&amp;($A179+14/24),tData[SEHTrajectPeriodeDatumTijdTotEnMet],"&gt;"&amp;($A179+14/24))</f>
        <v/>
      </c>
      <c r="S179" s="20">
        <f>COUNTIFS(tData[SEHTrajectPeriodeDatumTijdVan],"&lt;="&amp;($A179+15/24),tData[SEHTrajectPeriodeDatumTijdTotEnMet],"&gt;"&amp;($A179+15/24))</f>
        <v/>
      </c>
      <c r="T179" s="20">
        <f>COUNTIFS(tData[SEHTrajectPeriodeDatumTijdVan],"&lt;="&amp;($A179+16/24),tData[SEHTrajectPeriodeDatumTijdTotEnMet],"&gt;"&amp;($A179+16/24))</f>
        <v/>
      </c>
      <c r="U179" s="20">
        <f>COUNTIFS(tData[SEHTrajectPeriodeDatumTijdVan],"&lt;="&amp;($A179+17/24),tData[SEHTrajectPeriodeDatumTijdTotEnMet],"&gt;"&amp;($A179+17/24))</f>
        <v/>
      </c>
      <c r="V179" s="20">
        <f>COUNTIFS(tData[SEHTrajectPeriodeDatumTijdVan],"&lt;="&amp;($A179+18/24),tData[SEHTrajectPeriodeDatumTijdTotEnMet],"&gt;"&amp;($A179+18/24))</f>
        <v/>
      </c>
      <c r="W179" s="20">
        <f>COUNTIFS(tData[SEHTrajectPeriodeDatumTijdVan],"&lt;="&amp;($A179+19/24),tData[SEHTrajectPeriodeDatumTijdTotEnMet],"&gt;"&amp;($A179+19/24))</f>
        <v/>
      </c>
      <c r="X179" s="20">
        <f>COUNTIFS(tData[SEHTrajectPeriodeDatumTijdVan],"&lt;="&amp;($A179+20/24),tData[SEHTrajectPeriodeDatumTijdTotEnMet],"&gt;"&amp;($A179+20/24))</f>
        <v/>
      </c>
      <c r="Y179" s="20">
        <f>COUNTIFS(tData[SEHTrajectPeriodeDatumTijdVan],"&lt;="&amp;($A179+21/24),tData[SEHTrajectPeriodeDatumTijdTotEnMet],"&gt;"&amp;($A179+21/24))</f>
        <v/>
      </c>
      <c r="Z179" s="20">
        <f>COUNTIFS(tData[SEHTrajectPeriodeDatumTijdVan],"&lt;="&amp;($A179+22/24),tData[SEHTrajectPeriodeDatumTijdTotEnMet],"&gt;"&amp;($A179+22/24))</f>
        <v/>
      </c>
      <c r="AA179" s="20">
        <f>COUNTIFS(tData[SEHTrajectPeriodeDatumTijdVan],"&lt;="&amp;($A179+23/24),tData[SEHTrajectPeriodeDatumTijdTotEnMet],"&gt;"&amp;($A179+23/24))</f>
        <v/>
      </c>
    </row>
    <row r="180">
      <c r="A180" s="19" t="n">
        <v>45468</v>
      </c>
      <c r="B180" s="15">
        <f>WEEKDAY($A180,2)</f>
        <v/>
      </c>
      <c r="C180" s="15">
        <f>IF(AND($A180&gt;=INT(Instellingen!$B$5),$A180&lt;=INT(Instellingen!$B$6)),1,0)</f>
        <v/>
      </c>
      <c r="D180" s="20">
        <f>COUNTIFS(tData[SEHTrajectPeriodeDatumTijdVan],"&lt;="&amp;($A180+0/24),tData[SEHTrajectPeriodeDatumTijdTotEnMet],"&gt;"&amp;($A180+0/24))</f>
        <v/>
      </c>
      <c r="E180" s="20">
        <f>COUNTIFS(tData[SEHTrajectPeriodeDatumTijdVan],"&lt;="&amp;($A180+1/24),tData[SEHTrajectPeriodeDatumTijdTotEnMet],"&gt;"&amp;($A180+1/24))</f>
        <v/>
      </c>
      <c r="F180" s="20">
        <f>COUNTIFS(tData[SEHTrajectPeriodeDatumTijdVan],"&lt;="&amp;($A180+2/24),tData[SEHTrajectPeriodeDatumTijdTotEnMet],"&gt;"&amp;($A180+2/24))</f>
        <v/>
      </c>
      <c r="G180" s="20">
        <f>COUNTIFS(tData[SEHTrajectPeriodeDatumTijdVan],"&lt;="&amp;($A180+3/24),tData[SEHTrajectPeriodeDatumTijdTotEnMet],"&gt;"&amp;($A180+3/24))</f>
        <v/>
      </c>
      <c r="H180" s="20">
        <f>COUNTIFS(tData[SEHTrajectPeriodeDatumTijdVan],"&lt;="&amp;($A180+4/24),tData[SEHTrajectPeriodeDatumTijdTotEnMet],"&gt;"&amp;($A180+4/24))</f>
        <v/>
      </c>
      <c r="I180" s="20">
        <f>COUNTIFS(tData[SEHTrajectPeriodeDatumTijdVan],"&lt;="&amp;($A180+5/24),tData[SEHTrajectPeriodeDatumTijdTotEnMet],"&gt;"&amp;($A180+5/24))</f>
        <v/>
      </c>
      <c r="J180" s="20">
        <f>COUNTIFS(tData[SEHTrajectPeriodeDatumTijdVan],"&lt;="&amp;($A180+6/24),tData[SEHTrajectPeriodeDatumTijdTotEnMet],"&gt;"&amp;($A180+6/24))</f>
        <v/>
      </c>
      <c r="K180" s="20">
        <f>COUNTIFS(tData[SEHTrajectPeriodeDatumTijdVan],"&lt;="&amp;($A180+7/24),tData[SEHTrajectPeriodeDatumTijdTotEnMet],"&gt;"&amp;($A180+7/24))</f>
        <v/>
      </c>
      <c r="L180" s="20">
        <f>COUNTIFS(tData[SEHTrajectPeriodeDatumTijdVan],"&lt;="&amp;($A180+8/24),tData[SEHTrajectPeriodeDatumTijdTotEnMet],"&gt;"&amp;($A180+8/24))</f>
        <v/>
      </c>
      <c r="M180" s="20">
        <f>COUNTIFS(tData[SEHTrajectPeriodeDatumTijdVan],"&lt;="&amp;($A180+9/24),tData[SEHTrajectPeriodeDatumTijdTotEnMet],"&gt;"&amp;($A180+9/24))</f>
        <v/>
      </c>
      <c r="N180" s="20">
        <f>COUNTIFS(tData[SEHTrajectPeriodeDatumTijdVan],"&lt;="&amp;($A180+10/24),tData[SEHTrajectPeriodeDatumTijdTotEnMet],"&gt;"&amp;($A180+10/24))</f>
        <v/>
      </c>
      <c r="O180" s="20">
        <f>COUNTIFS(tData[SEHTrajectPeriodeDatumTijdVan],"&lt;="&amp;($A180+11/24),tData[SEHTrajectPeriodeDatumTijdTotEnMet],"&gt;"&amp;($A180+11/24))</f>
        <v/>
      </c>
      <c r="P180" s="20">
        <f>COUNTIFS(tData[SEHTrajectPeriodeDatumTijdVan],"&lt;="&amp;($A180+12/24),tData[SEHTrajectPeriodeDatumTijdTotEnMet],"&gt;"&amp;($A180+12/24))</f>
        <v/>
      </c>
      <c r="Q180" s="20">
        <f>COUNTIFS(tData[SEHTrajectPeriodeDatumTijdVan],"&lt;="&amp;($A180+13/24),tData[SEHTrajectPeriodeDatumTijdTotEnMet],"&gt;"&amp;($A180+13/24))</f>
        <v/>
      </c>
      <c r="R180" s="20">
        <f>COUNTIFS(tData[SEHTrajectPeriodeDatumTijdVan],"&lt;="&amp;($A180+14/24),tData[SEHTrajectPeriodeDatumTijdTotEnMet],"&gt;"&amp;($A180+14/24))</f>
        <v/>
      </c>
      <c r="S180" s="20">
        <f>COUNTIFS(tData[SEHTrajectPeriodeDatumTijdVan],"&lt;="&amp;($A180+15/24),tData[SEHTrajectPeriodeDatumTijdTotEnMet],"&gt;"&amp;($A180+15/24))</f>
        <v/>
      </c>
      <c r="T180" s="20">
        <f>COUNTIFS(tData[SEHTrajectPeriodeDatumTijdVan],"&lt;="&amp;($A180+16/24),tData[SEHTrajectPeriodeDatumTijdTotEnMet],"&gt;"&amp;($A180+16/24))</f>
        <v/>
      </c>
      <c r="U180" s="20">
        <f>COUNTIFS(tData[SEHTrajectPeriodeDatumTijdVan],"&lt;="&amp;($A180+17/24),tData[SEHTrajectPeriodeDatumTijdTotEnMet],"&gt;"&amp;($A180+17/24))</f>
        <v/>
      </c>
      <c r="V180" s="20">
        <f>COUNTIFS(tData[SEHTrajectPeriodeDatumTijdVan],"&lt;="&amp;($A180+18/24),tData[SEHTrajectPeriodeDatumTijdTotEnMet],"&gt;"&amp;($A180+18/24))</f>
        <v/>
      </c>
      <c r="W180" s="20">
        <f>COUNTIFS(tData[SEHTrajectPeriodeDatumTijdVan],"&lt;="&amp;($A180+19/24),tData[SEHTrajectPeriodeDatumTijdTotEnMet],"&gt;"&amp;($A180+19/24))</f>
        <v/>
      </c>
      <c r="X180" s="20">
        <f>COUNTIFS(tData[SEHTrajectPeriodeDatumTijdVan],"&lt;="&amp;($A180+20/24),tData[SEHTrajectPeriodeDatumTijdTotEnMet],"&gt;"&amp;($A180+20/24))</f>
        <v/>
      </c>
      <c r="Y180" s="20">
        <f>COUNTIFS(tData[SEHTrajectPeriodeDatumTijdVan],"&lt;="&amp;($A180+21/24),tData[SEHTrajectPeriodeDatumTijdTotEnMet],"&gt;"&amp;($A180+21/24))</f>
        <v/>
      </c>
      <c r="Z180" s="20">
        <f>COUNTIFS(tData[SEHTrajectPeriodeDatumTijdVan],"&lt;="&amp;($A180+22/24),tData[SEHTrajectPeriodeDatumTijdTotEnMet],"&gt;"&amp;($A180+22/24))</f>
        <v/>
      </c>
      <c r="AA180" s="20">
        <f>COUNTIFS(tData[SEHTrajectPeriodeDatumTijdVan],"&lt;="&amp;($A180+23/24),tData[SEHTrajectPeriodeDatumTijdTotEnMet],"&gt;"&amp;($A180+23/24))</f>
        <v/>
      </c>
    </row>
    <row r="181">
      <c r="A181" s="19" t="n">
        <v>45469</v>
      </c>
      <c r="B181" s="15">
        <f>WEEKDAY($A181,2)</f>
        <v/>
      </c>
      <c r="C181" s="15">
        <f>IF(AND($A181&gt;=INT(Instellingen!$B$5),$A181&lt;=INT(Instellingen!$B$6)),1,0)</f>
        <v/>
      </c>
      <c r="D181" s="20">
        <f>COUNTIFS(tData[SEHTrajectPeriodeDatumTijdVan],"&lt;="&amp;($A181+0/24),tData[SEHTrajectPeriodeDatumTijdTotEnMet],"&gt;"&amp;($A181+0/24))</f>
        <v/>
      </c>
      <c r="E181" s="20">
        <f>COUNTIFS(tData[SEHTrajectPeriodeDatumTijdVan],"&lt;="&amp;($A181+1/24),tData[SEHTrajectPeriodeDatumTijdTotEnMet],"&gt;"&amp;($A181+1/24))</f>
        <v/>
      </c>
      <c r="F181" s="20">
        <f>COUNTIFS(tData[SEHTrajectPeriodeDatumTijdVan],"&lt;="&amp;($A181+2/24),tData[SEHTrajectPeriodeDatumTijdTotEnMet],"&gt;"&amp;($A181+2/24))</f>
        <v/>
      </c>
      <c r="G181" s="20">
        <f>COUNTIFS(tData[SEHTrajectPeriodeDatumTijdVan],"&lt;="&amp;($A181+3/24),tData[SEHTrajectPeriodeDatumTijdTotEnMet],"&gt;"&amp;($A181+3/24))</f>
        <v/>
      </c>
      <c r="H181" s="20">
        <f>COUNTIFS(tData[SEHTrajectPeriodeDatumTijdVan],"&lt;="&amp;($A181+4/24),tData[SEHTrajectPeriodeDatumTijdTotEnMet],"&gt;"&amp;($A181+4/24))</f>
        <v/>
      </c>
      <c r="I181" s="20">
        <f>COUNTIFS(tData[SEHTrajectPeriodeDatumTijdVan],"&lt;="&amp;($A181+5/24),tData[SEHTrajectPeriodeDatumTijdTotEnMet],"&gt;"&amp;($A181+5/24))</f>
        <v/>
      </c>
      <c r="J181" s="20">
        <f>COUNTIFS(tData[SEHTrajectPeriodeDatumTijdVan],"&lt;="&amp;($A181+6/24),tData[SEHTrajectPeriodeDatumTijdTotEnMet],"&gt;"&amp;($A181+6/24))</f>
        <v/>
      </c>
      <c r="K181" s="20">
        <f>COUNTIFS(tData[SEHTrajectPeriodeDatumTijdVan],"&lt;="&amp;($A181+7/24),tData[SEHTrajectPeriodeDatumTijdTotEnMet],"&gt;"&amp;($A181+7/24))</f>
        <v/>
      </c>
      <c r="L181" s="20">
        <f>COUNTIFS(tData[SEHTrajectPeriodeDatumTijdVan],"&lt;="&amp;($A181+8/24),tData[SEHTrajectPeriodeDatumTijdTotEnMet],"&gt;"&amp;($A181+8/24))</f>
        <v/>
      </c>
      <c r="M181" s="20">
        <f>COUNTIFS(tData[SEHTrajectPeriodeDatumTijdVan],"&lt;="&amp;($A181+9/24),tData[SEHTrajectPeriodeDatumTijdTotEnMet],"&gt;"&amp;($A181+9/24))</f>
        <v/>
      </c>
      <c r="N181" s="20">
        <f>COUNTIFS(tData[SEHTrajectPeriodeDatumTijdVan],"&lt;="&amp;($A181+10/24),tData[SEHTrajectPeriodeDatumTijdTotEnMet],"&gt;"&amp;($A181+10/24))</f>
        <v/>
      </c>
      <c r="O181" s="20">
        <f>COUNTIFS(tData[SEHTrajectPeriodeDatumTijdVan],"&lt;="&amp;($A181+11/24),tData[SEHTrajectPeriodeDatumTijdTotEnMet],"&gt;"&amp;($A181+11/24))</f>
        <v/>
      </c>
      <c r="P181" s="20">
        <f>COUNTIFS(tData[SEHTrajectPeriodeDatumTijdVan],"&lt;="&amp;($A181+12/24),tData[SEHTrajectPeriodeDatumTijdTotEnMet],"&gt;"&amp;($A181+12/24))</f>
        <v/>
      </c>
      <c r="Q181" s="20">
        <f>COUNTIFS(tData[SEHTrajectPeriodeDatumTijdVan],"&lt;="&amp;($A181+13/24),tData[SEHTrajectPeriodeDatumTijdTotEnMet],"&gt;"&amp;($A181+13/24))</f>
        <v/>
      </c>
      <c r="R181" s="20">
        <f>COUNTIFS(tData[SEHTrajectPeriodeDatumTijdVan],"&lt;="&amp;($A181+14/24),tData[SEHTrajectPeriodeDatumTijdTotEnMet],"&gt;"&amp;($A181+14/24))</f>
        <v/>
      </c>
      <c r="S181" s="20">
        <f>COUNTIFS(tData[SEHTrajectPeriodeDatumTijdVan],"&lt;="&amp;($A181+15/24),tData[SEHTrajectPeriodeDatumTijdTotEnMet],"&gt;"&amp;($A181+15/24))</f>
        <v/>
      </c>
      <c r="T181" s="20">
        <f>COUNTIFS(tData[SEHTrajectPeriodeDatumTijdVan],"&lt;="&amp;($A181+16/24),tData[SEHTrajectPeriodeDatumTijdTotEnMet],"&gt;"&amp;($A181+16/24))</f>
        <v/>
      </c>
      <c r="U181" s="20">
        <f>COUNTIFS(tData[SEHTrajectPeriodeDatumTijdVan],"&lt;="&amp;($A181+17/24),tData[SEHTrajectPeriodeDatumTijdTotEnMet],"&gt;"&amp;($A181+17/24))</f>
        <v/>
      </c>
      <c r="V181" s="20">
        <f>COUNTIFS(tData[SEHTrajectPeriodeDatumTijdVan],"&lt;="&amp;($A181+18/24),tData[SEHTrajectPeriodeDatumTijdTotEnMet],"&gt;"&amp;($A181+18/24))</f>
        <v/>
      </c>
      <c r="W181" s="20">
        <f>COUNTIFS(tData[SEHTrajectPeriodeDatumTijdVan],"&lt;="&amp;($A181+19/24),tData[SEHTrajectPeriodeDatumTijdTotEnMet],"&gt;"&amp;($A181+19/24))</f>
        <v/>
      </c>
      <c r="X181" s="20">
        <f>COUNTIFS(tData[SEHTrajectPeriodeDatumTijdVan],"&lt;="&amp;($A181+20/24),tData[SEHTrajectPeriodeDatumTijdTotEnMet],"&gt;"&amp;($A181+20/24))</f>
        <v/>
      </c>
      <c r="Y181" s="20">
        <f>COUNTIFS(tData[SEHTrajectPeriodeDatumTijdVan],"&lt;="&amp;($A181+21/24),tData[SEHTrajectPeriodeDatumTijdTotEnMet],"&gt;"&amp;($A181+21/24))</f>
        <v/>
      </c>
      <c r="Z181" s="20">
        <f>COUNTIFS(tData[SEHTrajectPeriodeDatumTijdVan],"&lt;="&amp;($A181+22/24),tData[SEHTrajectPeriodeDatumTijdTotEnMet],"&gt;"&amp;($A181+22/24))</f>
        <v/>
      </c>
      <c r="AA181" s="20">
        <f>COUNTIFS(tData[SEHTrajectPeriodeDatumTijdVan],"&lt;="&amp;($A181+23/24),tData[SEHTrajectPeriodeDatumTijdTotEnMet],"&gt;"&amp;($A181+23/24))</f>
        <v/>
      </c>
    </row>
    <row r="182">
      <c r="A182" s="19" t="n">
        <v>45470</v>
      </c>
      <c r="B182" s="15">
        <f>WEEKDAY($A182,2)</f>
        <v/>
      </c>
      <c r="C182" s="15">
        <f>IF(AND($A182&gt;=INT(Instellingen!$B$5),$A182&lt;=INT(Instellingen!$B$6)),1,0)</f>
        <v/>
      </c>
      <c r="D182" s="20">
        <f>COUNTIFS(tData[SEHTrajectPeriodeDatumTijdVan],"&lt;="&amp;($A182+0/24),tData[SEHTrajectPeriodeDatumTijdTotEnMet],"&gt;"&amp;($A182+0/24))</f>
        <v/>
      </c>
      <c r="E182" s="20">
        <f>COUNTIFS(tData[SEHTrajectPeriodeDatumTijdVan],"&lt;="&amp;($A182+1/24),tData[SEHTrajectPeriodeDatumTijdTotEnMet],"&gt;"&amp;($A182+1/24))</f>
        <v/>
      </c>
      <c r="F182" s="20">
        <f>COUNTIFS(tData[SEHTrajectPeriodeDatumTijdVan],"&lt;="&amp;($A182+2/24),tData[SEHTrajectPeriodeDatumTijdTotEnMet],"&gt;"&amp;($A182+2/24))</f>
        <v/>
      </c>
      <c r="G182" s="20">
        <f>COUNTIFS(tData[SEHTrajectPeriodeDatumTijdVan],"&lt;="&amp;($A182+3/24),tData[SEHTrajectPeriodeDatumTijdTotEnMet],"&gt;"&amp;($A182+3/24))</f>
        <v/>
      </c>
      <c r="H182" s="20">
        <f>COUNTIFS(tData[SEHTrajectPeriodeDatumTijdVan],"&lt;="&amp;($A182+4/24),tData[SEHTrajectPeriodeDatumTijdTotEnMet],"&gt;"&amp;($A182+4/24))</f>
        <v/>
      </c>
      <c r="I182" s="20">
        <f>COUNTIFS(tData[SEHTrajectPeriodeDatumTijdVan],"&lt;="&amp;($A182+5/24),tData[SEHTrajectPeriodeDatumTijdTotEnMet],"&gt;"&amp;($A182+5/24))</f>
        <v/>
      </c>
      <c r="J182" s="20">
        <f>COUNTIFS(tData[SEHTrajectPeriodeDatumTijdVan],"&lt;="&amp;($A182+6/24),tData[SEHTrajectPeriodeDatumTijdTotEnMet],"&gt;"&amp;($A182+6/24))</f>
        <v/>
      </c>
      <c r="K182" s="20">
        <f>COUNTIFS(tData[SEHTrajectPeriodeDatumTijdVan],"&lt;="&amp;($A182+7/24),tData[SEHTrajectPeriodeDatumTijdTotEnMet],"&gt;"&amp;($A182+7/24))</f>
        <v/>
      </c>
      <c r="L182" s="20">
        <f>COUNTIFS(tData[SEHTrajectPeriodeDatumTijdVan],"&lt;="&amp;($A182+8/24),tData[SEHTrajectPeriodeDatumTijdTotEnMet],"&gt;"&amp;($A182+8/24))</f>
        <v/>
      </c>
      <c r="M182" s="20">
        <f>COUNTIFS(tData[SEHTrajectPeriodeDatumTijdVan],"&lt;="&amp;($A182+9/24),tData[SEHTrajectPeriodeDatumTijdTotEnMet],"&gt;"&amp;($A182+9/24))</f>
        <v/>
      </c>
      <c r="N182" s="20">
        <f>COUNTIFS(tData[SEHTrajectPeriodeDatumTijdVan],"&lt;="&amp;($A182+10/24),tData[SEHTrajectPeriodeDatumTijdTotEnMet],"&gt;"&amp;($A182+10/24))</f>
        <v/>
      </c>
      <c r="O182" s="20">
        <f>COUNTIFS(tData[SEHTrajectPeriodeDatumTijdVan],"&lt;="&amp;($A182+11/24),tData[SEHTrajectPeriodeDatumTijdTotEnMet],"&gt;"&amp;($A182+11/24))</f>
        <v/>
      </c>
      <c r="P182" s="20">
        <f>COUNTIFS(tData[SEHTrajectPeriodeDatumTijdVan],"&lt;="&amp;($A182+12/24),tData[SEHTrajectPeriodeDatumTijdTotEnMet],"&gt;"&amp;($A182+12/24))</f>
        <v/>
      </c>
      <c r="Q182" s="20">
        <f>COUNTIFS(tData[SEHTrajectPeriodeDatumTijdVan],"&lt;="&amp;($A182+13/24),tData[SEHTrajectPeriodeDatumTijdTotEnMet],"&gt;"&amp;($A182+13/24))</f>
        <v/>
      </c>
      <c r="R182" s="20">
        <f>COUNTIFS(tData[SEHTrajectPeriodeDatumTijdVan],"&lt;="&amp;($A182+14/24),tData[SEHTrajectPeriodeDatumTijdTotEnMet],"&gt;"&amp;($A182+14/24))</f>
        <v/>
      </c>
      <c r="S182" s="20">
        <f>COUNTIFS(tData[SEHTrajectPeriodeDatumTijdVan],"&lt;="&amp;($A182+15/24),tData[SEHTrajectPeriodeDatumTijdTotEnMet],"&gt;"&amp;($A182+15/24))</f>
        <v/>
      </c>
      <c r="T182" s="20">
        <f>COUNTIFS(tData[SEHTrajectPeriodeDatumTijdVan],"&lt;="&amp;($A182+16/24),tData[SEHTrajectPeriodeDatumTijdTotEnMet],"&gt;"&amp;($A182+16/24))</f>
        <v/>
      </c>
      <c r="U182" s="20">
        <f>COUNTIFS(tData[SEHTrajectPeriodeDatumTijdVan],"&lt;="&amp;($A182+17/24),tData[SEHTrajectPeriodeDatumTijdTotEnMet],"&gt;"&amp;($A182+17/24))</f>
        <v/>
      </c>
      <c r="V182" s="20">
        <f>COUNTIFS(tData[SEHTrajectPeriodeDatumTijdVan],"&lt;="&amp;($A182+18/24),tData[SEHTrajectPeriodeDatumTijdTotEnMet],"&gt;"&amp;($A182+18/24))</f>
        <v/>
      </c>
      <c r="W182" s="20">
        <f>COUNTIFS(tData[SEHTrajectPeriodeDatumTijdVan],"&lt;="&amp;($A182+19/24),tData[SEHTrajectPeriodeDatumTijdTotEnMet],"&gt;"&amp;($A182+19/24))</f>
        <v/>
      </c>
      <c r="X182" s="20">
        <f>COUNTIFS(tData[SEHTrajectPeriodeDatumTijdVan],"&lt;="&amp;($A182+20/24),tData[SEHTrajectPeriodeDatumTijdTotEnMet],"&gt;"&amp;($A182+20/24))</f>
        <v/>
      </c>
      <c r="Y182" s="20">
        <f>COUNTIFS(tData[SEHTrajectPeriodeDatumTijdVan],"&lt;="&amp;($A182+21/24),tData[SEHTrajectPeriodeDatumTijdTotEnMet],"&gt;"&amp;($A182+21/24))</f>
        <v/>
      </c>
      <c r="Z182" s="20">
        <f>COUNTIFS(tData[SEHTrajectPeriodeDatumTijdVan],"&lt;="&amp;($A182+22/24),tData[SEHTrajectPeriodeDatumTijdTotEnMet],"&gt;"&amp;($A182+22/24))</f>
        <v/>
      </c>
      <c r="AA182" s="20">
        <f>COUNTIFS(tData[SEHTrajectPeriodeDatumTijdVan],"&lt;="&amp;($A182+23/24),tData[SEHTrajectPeriodeDatumTijdTotEnMet],"&gt;"&amp;($A182+23/24))</f>
        <v/>
      </c>
    </row>
    <row r="183">
      <c r="A183" s="19" t="n">
        <v>45471</v>
      </c>
      <c r="B183" s="15">
        <f>WEEKDAY($A183,2)</f>
        <v/>
      </c>
      <c r="C183" s="15">
        <f>IF(AND($A183&gt;=INT(Instellingen!$B$5),$A183&lt;=INT(Instellingen!$B$6)),1,0)</f>
        <v/>
      </c>
      <c r="D183" s="20">
        <f>COUNTIFS(tData[SEHTrajectPeriodeDatumTijdVan],"&lt;="&amp;($A183+0/24),tData[SEHTrajectPeriodeDatumTijdTotEnMet],"&gt;"&amp;($A183+0/24))</f>
        <v/>
      </c>
      <c r="E183" s="20">
        <f>COUNTIFS(tData[SEHTrajectPeriodeDatumTijdVan],"&lt;="&amp;($A183+1/24),tData[SEHTrajectPeriodeDatumTijdTotEnMet],"&gt;"&amp;($A183+1/24))</f>
        <v/>
      </c>
      <c r="F183" s="20">
        <f>COUNTIFS(tData[SEHTrajectPeriodeDatumTijdVan],"&lt;="&amp;($A183+2/24),tData[SEHTrajectPeriodeDatumTijdTotEnMet],"&gt;"&amp;($A183+2/24))</f>
        <v/>
      </c>
      <c r="G183" s="20">
        <f>COUNTIFS(tData[SEHTrajectPeriodeDatumTijdVan],"&lt;="&amp;($A183+3/24),tData[SEHTrajectPeriodeDatumTijdTotEnMet],"&gt;"&amp;($A183+3/24))</f>
        <v/>
      </c>
      <c r="H183" s="20">
        <f>COUNTIFS(tData[SEHTrajectPeriodeDatumTijdVan],"&lt;="&amp;($A183+4/24),tData[SEHTrajectPeriodeDatumTijdTotEnMet],"&gt;"&amp;($A183+4/24))</f>
        <v/>
      </c>
      <c r="I183" s="20">
        <f>COUNTIFS(tData[SEHTrajectPeriodeDatumTijdVan],"&lt;="&amp;($A183+5/24),tData[SEHTrajectPeriodeDatumTijdTotEnMet],"&gt;"&amp;($A183+5/24))</f>
        <v/>
      </c>
      <c r="J183" s="20">
        <f>COUNTIFS(tData[SEHTrajectPeriodeDatumTijdVan],"&lt;="&amp;($A183+6/24),tData[SEHTrajectPeriodeDatumTijdTotEnMet],"&gt;"&amp;($A183+6/24))</f>
        <v/>
      </c>
      <c r="K183" s="20">
        <f>COUNTIFS(tData[SEHTrajectPeriodeDatumTijdVan],"&lt;="&amp;($A183+7/24),tData[SEHTrajectPeriodeDatumTijdTotEnMet],"&gt;"&amp;($A183+7/24))</f>
        <v/>
      </c>
      <c r="L183" s="20">
        <f>COUNTIFS(tData[SEHTrajectPeriodeDatumTijdVan],"&lt;="&amp;($A183+8/24),tData[SEHTrajectPeriodeDatumTijdTotEnMet],"&gt;"&amp;($A183+8/24))</f>
        <v/>
      </c>
      <c r="M183" s="20">
        <f>COUNTIFS(tData[SEHTrajectPeriodeDatumTijdVan],"&lt;="&amp;($A183+9/24),tData[SEHTrajectPeriodeDatumTijdTotEnMet],"&gt;"&amp;($A183+9/24))</f>
        <v/>
      </c>
      <c r="N183" s="20">
        <f>COUNTIFS(tData[SEHTrajectPeriodeDatumTijdVan],"&lt;="&amp;($A183+10/24),tData[SEHTrajectPeriodeDatumTijdTotEnMet],"&gt;"&amp;($A183+10/24))</f>
        <v/>
      </c>
      <c r="O183" s="20">
        <f>COUNTIFS(tData[SEHTrajectPeriodeDatumTijdVan],"&lt;="&amp;($A183+11/24),tData[SEHTrajectPeriodeDatumTijdTotEnMet],"&gt;"&amp;($A183+11/24))</f>
        <v/>
      </c>
      <c r="P183" s="20">
        <f>COUNTIFS(tData[SEHTrajectPeriodeDatumTijdVan],"&lt;="&amp;($A183+12/24),tData[SEHTrajectPeriodeDatumTijdTotEnMet],"&gt;"&amp;($A183+12/24))</f>
        <v/>
      </c>
      <c r="Q183" s="20">
        <f>COUNTIFS(tData[SEHTrajectPeriodeDatumTijdVan],"&lt;="&amp;($A183+13/24),tData[SEHTrajectPeriodeDatumTijdTotEnMet],"&gt;"&amp;($A183+13/24))</f>
        <v/>
      </c>
      <c r="R183" s="20">
        <f>COUNTIFS(tData[SEHTrajectPeriodeDatumTijdVan],"&lt;="&amp;($A183+14/24),tData[SEHTrajectPeriodeDatumTijdTotEnMet],"&gt;"&amp;($A183+14/24))</f>
        <v/>
      </c>
      <c r="S183" s="20">
        <f>COUNTIFS(tData[SEHTrajectPeriodeDatumTijdVan],"&lt;="&amp;($A183+15/24),tData[SEHTrajectPeriodeDatumTijdTotEnMet],"&gt;"&amp;($A183+15/24))</f>
        <v/>
      </c>
      <c r="T183" s="20">
        <f>COUNTIFS(tData[SEHTrajectPeriodeDatumTijdVan],"&lt;="&amp;($A183+16/24),tData[SEHTrajectPeriodeDatumTijdTotEnMet],"&gt;"&amp;($A183+16/24))</f>
        <v/>
      </c>
      <c r="U183" s="20">
        <f>COUNTIFS(tData[SEHTrajectPeriodeDatumTijdVan],"&lt;="&amp;($A183+17/24),tData[SEHTrajectPeriodeDatumTijdTotEnMet],"&gt;"&amp;($A183+17/24))</f>
        <v/>
      </c>
      <c r="V183" s="20">
        <f>COUNTIFS(tData[SEHTrajectPeriodeDatumTijdVan],"&lt;="&amp;($A183+18/24),tData[SEHTrajectPeriodeDatumTijdTotEnMet],"&gt;"&amp;($A183+18/24))</f>
        <v/>
      </c>
      <c r="W183" s="20">
        <f>COUNTIFS(tData[SEHTrajectPeriodeDatumTijdVan],"&lt;="&amp;($A183+19/24),tData[SEHTrajectPeriodeDatumTijdTotEnMet],"&gt;"&amp;($A183+19/24))</f>
        <v/>
      </c>
      <c r="X183" s="20">
        <f>COUNTIFS(tData[SEHTrajectPeriodeDatumTijdVan],"&lt;="&amp;($A183+20/24),tData[SEHTrajectPeriodeDatumTijdTotEnMet],"&gt;"&amp;($A183+20/24))</f>
        <v/>
      </c>
      <c r="Y183" s="20">
        <f>COUNTIFS(tData[SEHTrajectPeriodeDatumTijdVan],"&lt;="&amp;($A183+21/24),tData[SEHTrajectPeriodeDatumTijdTotEnMet],"&gt;"&amp;($A183+21/24))</f>
        <v/>
      </c>
      <c r="Z183" s="20">
        <f>COUNTIFS(tData[SEHTrajectPeriodeDatumTijdVan],"&lt;="&amp;($A183+22/24),tData[SEHTrajectPeriodeDatumTijdTotEnMet],"&gt;"&amp;($A183+22/24))</f>
        <v/>
      </c>
      <c r="AA183" s="20">
        <f>COUNTIFS(tData[SEHTrajectPeriodeDatumTijdVan],"&lt;="&amp;($A183+23/24),tData[SEHTrajectPeriodeDatumTijdTotEnMet],"&gt;"&amp;($A183+23/24))</f>
        <v/>
      </c>
    </row>
    <row r="184">
      <c r="A184" s="19" t="n">
        <v>45472</v>
      </c>
      <c r="B184" s="15">
        <f>WEEKDAY($A184,2)</f>
        <v/>
      </c>
      <c r="C184" s="15">
        <f>IF(AND($A184&gt;=INT(Instellingen!$B$5),$A184&lt;=INT(Instellingen!$B$6)),1,0)</f>
        <v/>
      </c>
      <c r="D184" s="20">
        <f>COUNTIFS(tData[SEHTrajectPeriodeDatumTijdVan],"&lt;="&amp;($A184+0/24),tData[SEHTrajectPeriodeDatumTijdTotEnMet],"&gt;"&amp;($A184+0/24))</f>
        <v/>
      </c>
      <c r="E184" s="20">
        <f>COUNTIFS(tData[SEHTrajectPeriodeDatumTijdVan],"&lt;="&amp;($A184+1/24),tData[SEHTrajectPeriodeDatumTijdTotEnMet],"&gt;"&amp;($A184+1/24))</f>
        <v/>
      </c>
      <c r="F184" s="20">
        <f>COUNTIFS(tData[SEHTrajectPeriodeDatumTijdVan],"&lt;="&amp;($A184+2/24),tData[SEHTrajectPeriodeDatumTijdTotEnMet],"&gt;"&amp;($A184+2/24))</f>
        <v/>
      </c>
      <c r="G184" s="20">
        <f>COUNTIFS(tData[SEHTrajectPeriodeDatumTijdVan],"&lt;="&amp;($A184+3/24),tData[SEHTrajectPeriodeDatumTijdTotEnMet],"&gt;"&amp;($A184+3/24))</f>
        <v/>
      </c>
      <c r="H184" s="20">
        <f>COUNTIFS(tData[SEHTrajectPeriodeDatumTijdVan],"&lt;="&amp;($A184+4/24),tData[SEHTrajectPeriodeDatumTijdTotEnMet],"&gt;"&amp;($A184+4/24))</f>
        <v/>
      </c>
      <c r="I184" s="20">
        <f>COUNTIFS(tData[SEHTrajectPeriodeDatumTijdVan],"&lt;="&amp;($A184+5/24),tData[SEHTrajectPeriodeDatumTijdTotEnMet],"&gt;"&amp;($A184+5/24))</f>
        <v/>
      </c>
      <c r="J184" s="20">
        <f>COUNTIFS(tData[SEHTrajectPeriodeDatumTijdVan],"&lt;="&amp;($A184+6/24),tData[SEHTrajectPeriodeDatumTijdTotEnMet],"&gt;"&amp;($A184+6/24))</f>
        <v/>
      </c>
      <c r="K184" s="20">
        <f>COUNTIFS(tData[SEHTrajectPeriodeDatumTijdVan],"&lt;="&amp;($A184+7/24),tData[SEHTrajectPeriodeDatumTijdTotEnMet],"&gt;"&amp;($A184+7/24))</f>
        <v/>
      </c>
      <c r="L184" s="20">
        <f>COUNTIFS(tData[SEHTrajectPeriodeDatumTijdVan],"&lt;="&amp;($A184+8/24),tData[SEHTrajectPeriodeDatumTijdTotEnMet],"&gt;"&amp;($A184+8/24))</f>
        <v/>
      </c>
      <c r="M184" s="20">
        <f>COUNTIFS(tData[SEHTrajectPeriodeDatumTijdVan],"&lt;="&amp;($A184+9/24),tData[SEHTrajectPeriodeDatumTijdTotEnMet],"&gt;"&amp;($A184+9/24))</f>
        <v/>
      </c>
      <c r="N184" s="20">
        <f>COUNTIFS(tData[SEHTrajectPeriodeDatumTijdVan],"&lt;="&amp;($A184+10/24),tData[SEHTrajectPeriodeDatumTijdTotEnMet],"&gt;"&amp;($A184+10/24))</f>
        <v/>
      </c>
      <c r="O184" s="20">
        <f>COUNTIFS(tData[SEHTrajectPeriodeDatumTijdVan],"&lt;="&amp;($A184+11/24),tData[SEHTrajectPeriodeDatumTijdTotEnMet],"&gt;"&amp;($A184+11/24))</f>
        <v/>
      </c>
      <c r="P184" s="20">
        <f>COUNTIFS(tData[SEHTrajectPeriodeDatumTijdVan],"&lt;="&amp;($A184+12/24),tData[SEHTrajectPeriodeDatumTijdTotEnMet],"&gt;"&amp;($A184+12/24))</f>
        <v/>
      </c>
      <c r="Q184" s="20">
        <f>COUNTIFS(tData[SEHTrajectPeriodeDatumTijdVan],"&lt;="&amp;($A184+13/24),tData[SEHTrajectPeriodeDatumTijdTotEnMet],"&gt;"&amp;($A184+13/24))</f>
        <v/>
      </c>
      <c r="R184" s="20">
        <f>COUNTIFS(tData[SEHTrajectPeriodeDatumTijdVan],"&lt;="&amp;($A184+14/24),tData[SEHTrajectPeriodeDatumTijdTotEnMet],"&gt;"&amp;($A184+14/24))</f>
        <v/>
      </c>
      <c r="S184" s="20">
        <f>COUNTIFS(tData[SEHTrajectPeriodeDatumTijdVan],"&lt;="&amp;($A184+15/24),tData[SEHTrajectPeriodeDatumTijdTotEnMet],"&gt;"&amp;($A184+15/24))</f>
        <v/>
      </c>
      <c r="T184" s="20">
        <f>COUNTIFS(tData[SEHTrajectPeriodeDatumTijdVan],"&lt;="&amp;($A184+16/24),tData[SEHTrajectPeriodeDatumTijdTotEnMet],"&gt;"&amp;($A184+16/24))</f>
        <v/>
      </c>
      <c r="U184" s="20">
        <f>COUNTIFS(tData[SEHTrajectPeriodeDatumTijdVan],"&lt;="&amp;($A184+17/24),tData[SEHTrajectPeriodeDatumTijdTotEnMet],"&gt;"&amp;($A184+17/24))</f>
        <v/>
      </c>
      <c r="V184" s="20">
        <f>COUNTIFS(tData[SEHTrajectPeriodeDatumTijdVan],"&lt;="&amp;($A184+18/24),tData[SEHTrajectPeriodeDatumTijdTotEnMet],"&gt;"&amp;($A184+18/24))</f>
        <v/>
      </c>
      <c r="W184" s="20">
        <f>COUNTIFS(tData[SEHTrajectPeriodeDatumTijdVan],"&lt;="&amp;($A184+19/24),tData[SEHTrajectPeriodeDatumTijdTotEnMet],"&gt;"&amp;($A184+19/24))</f>
        <v/>
      </c>
      <c r="X184" s="20">
        <f>COUNTIFS(tData[SEHTrajectPeriodeDatumTijdVan],"&lt;="&amp;($A184+20/24),tData[SEHTrajectPeriodeDatumTijdTotEnMet],"&gt;"&amp;($A184+20/24))</f>
        <v/>
      </c>
      <c r="Y184" s="20">
        <f>COUNTIFS(tData[SEHTrajectPeriodeDatumTijdVan],"&lt;="&amp;($A184+21/24),tData[SEHTrajectPeriodeDatumTijdTotEnMet],"&gt;"&amp;($A184+21/24))</f>
        <v/>
      </c>
      <c r="Z184" s="20">
        <f>COUNTIFS(tData[SEHTrajectPeriodeDatumTijdVan],"&lt;="&amp;($A184+22/24),tData[SEHTrajectPeriodeDatumTijdTotEnMet],"&gt;"&amp;($A184+22/24))</f>
        <v/>
      </c>
      <c r="AA184" s="20">
        <f>COUNTIFS(tData[SEHTrajectPeriodeDatumTijdVan],"&lt;="&amp;($A184+23/24),tData[SEHTrajectPeriodeDatumTijdTotEnMet],"&gt;"&amp;($A184+23/24))</f>
        <v/>
      </c>
    </row>
    <row r="185">
      <c r="A185" s="19" t="n">
        <v>45473</v>
      </c>
      <c r="B185" s="15">
        <f>WEEKDAY($A185,2)</f>
        <v/>
      </c>
      <c r="C185" s="15">
        <f>IF(AND($A185&gt;=INT(Instellingen!$B$5),$A185&lt;=INT(Instellingen!$B$6)),1,0)</f>
        <v/>
      </c>
      <c r="D185" s="20">
        <f>COUNTIFS(tData[SEHTrajectPeriodeDatumTijdVan],"&lt;="&amp;($A185+0/24),tData[SEHTrajectPeriodeDatumTijdTotEnMet],"&gt;"&amp;($A185+0/24))</f>
        <v/>
      </c>
      <c r="E185" s="20">
        <f>COUNTIFS(tData[SEHTrajectPeriodeDatumTijdVan],"&lt;="&amp;($A185+1/24),tData[SEHTrajectPeriodeDatumTijdTotEnMet],"&gt;"&amp;($A185+1/24))</f>
        <v/>
      </c>
      <c r="F185" s="20">
        <f>COUNTIFS(tData[SEHTrajectPeriodeDatumTijdVan],"&lt;="&amp;($A185+2/24),tData[SEHTrajectPeriodeDatumTijdTotEnMet],"&gt;"&amp;($A185+2/24))</f>
        <v/>
      </c>
      <c r="G185" s="20">
        <f>COUNTIFS(tData[SEHTrajectPeriodeDatumTijdVan],"&lt;="&amp;($A185+3/24),tData[SEHTrajectPeriodeDatumTijdTotEnMet],"&gt;"&amp;($A185+3/24))</f>
        <v/>
      </c>
      <c r="H185" s="20">
        <f>COUNTIFS(tData[SEHTrajectPeriodeDatumTijdVan],"&lt;="&amp;($A185+4/24),tData[SEHTrajectPeriodeDatumTijdTotEnMet],"&gt;"&amp;($A185+4/24))</f>
        <v/>
      </c>
      <c r="I185" s="20">
        <f>COUNTIFS(tData[SEHTrajectPeriodeDatumTijdVan],"&lt;="&amp;($A185+5/24),tData[SEHTrajectPeriodeDatumTijdTotEnMet],"&gt;"&amp;($A185+5/24))</f>
        <v/>
      </c>
      <c r="J185" s="20">
        <f>COUNTIFS(tData[SEHTrajectPeriodeDatumTijdVan],"&lt;="&amp;($A185+6/24),tData[SEHTrajectPeriodeDatumTijdTotEnMet],"&gt;"&amp;($A185+6/24))</f>
        <v/>
      </c>
      <c r="K185" s="20">
        <f>COUNTIFS(tData[SEHTrajectPeriodeDatumTijdVan],"&lt;="&amp;($A185+7/24),tData[SEHTrajectPeriodeDatumTijdTotEnMet],"&gt;"&amp;($A185+7/24))</f>
        <v/>
      </c>
      <c r="L185" s="20">
        <f>COUNTIFS(tData[SEHTrajectPeriodeDatumTijdVan],"&lt;="&amp;($A185+8/24),tData[SEHTrajectPeriodeDatumTijdTotEnMet],"&gt;"&amp;($A185+8/24))</f>
        <v/>
      </c>
      <c r="M185" s="20">
        <f>COUNTIFS(tData[SEHTrajectPeriodeDatumTijdVan],"&lt;="&amp;($A185+9/24),tData[SEHTrajectPeriodeDatumTijdTotEnMet],"&gt;"&amp;($A185+9/24))</f>
        <v/>
      </c>
      <c r="N185" s="20">
        <f>COUNTIFS(tData[SEHTrajectPeriodeDatumTijdVan],"&lt;="&amp;($A185+10/24),tData[SEHTrajectPeriodeDatumTijdTotEnMet],"&gt;"&amp;($A185+10/24))</f>
        <v/>
      </c>
      <c r="O185" s="20">
        <f>COUNTIFS(tData[SEHTrajectPeriodeDatumTijdVan],"&lt;="&amp;($A185+11/24),tData[SEHTrajectPeriodeDatumTijdTotEnMet],"&gt;"&amp;($A185+11/24))</f>
        <v/>
      </c>
      <c r="P185" s="20">
        <f>COUNTIFS(tData[SEHTrajectPeriodeDatumTijdVan],"&lt;="&amp;($A185+12/24),tData[SEHTrajectPeriodeDatumTijdTotEnMet],"&gt;"&amp;($A185+12/24))</f>
        <v/>
      </c>
      <c r="Q185" s="20">
        <f>COUNTIFS(tData[SEHTrajectPeriodeDatumTijdVan],"&lt;="&amp;($A185+13/24),tData[SEHTrajectPeriodeDatumTijdTotEnMet],"&gt;"&amp;($A185+13/24))</f>
        <v/>
      </c>
      <c r="R185" s="20">
        <f>COUNTIFS(tData[SEHTrajectPeriodeDatumTijdVan],"&lt;="&amp;($A185+14/24),tData[SEHTrajectPeriodeDatumTijdTotEnMet],"&gt;"&amp;($A185+14/24))</f>
        <v/>
      </c>
      <c r="S185" s="20">
        <f>COUNTIFS(tData[SEHTrajectPeriodeDatumTijdVan],"&lt;="&amp;($A185+15/24),tData[SEHTrajectPeriodeDatumTijdTotEnMet],"&gt;"&amp;($A185+15/24))</f>
        <v/>
      </c>
      <c r="T185" s="20">
        <f>COUNTIFS(tData[SEHTrajectPeriodeDatumTijdVan],"&lt;="&amp;($A185+16/24),tData[SEHTrajectPeriodeDatumTijdTotEnMet],"&gt;"&amp;($A185+16/24))</f>
        <v/>
      </c>
      <c r="U185" s="20">
        <f>COUNTIFS(tData[SEHTrajectPeriodeDatumTijdVan],"&lt;="&amp;($A185+17/24),tData[SEHTrajectPeriodeDatumTijdTotEnMet],"&gt;"&amp;($A185+17/24))</f>
        <v/>
      </c>
      <c r="V185" s="20">
        <f>COUNTIFS(tData[SEHTrajectPeriodeDatumTijdVan],"&lt;="&amp;($A185+18/24),tData[SEHTrajectPeriodeDatumTijdTotEnMet],"&gt;"&amp;($A185+18/24))</f>
        <v/>
      </c>
      <c r="W185" s="20">
        <f>COUNTIFS(tData[SEHTrajectPeriodeDatumTijdVan],"&lt;="&amp;($A185+19/24),tData[SEHTrajectPeriodeDatumTijdTotEnMet],"&gt;"&amp;($A185+19/24))</f>
        <v/>
      </c>
      <c r="X185" s="20">
        <f>COUNTIFS(tData[SEHTrajectPeriodeDatumTijdVan],"&lt;="&amp;($A185+20/24),tData[SEHTrajectPeriodeDatumTijdTotEnMet],"&gt;"&amp;($A185+20/24))</f>
        <v/>
      </c>
      <c r="Y185" s="20">
        <f>COUNTIFS(tData[SEHTrajectPeriodeDatumTijdVan],"&lt;="&amp;($A185+21/24),tData[SEHTrajectPeriodeDatumTijdTotEnMet],"&gt;"&amp;($A185+21/24))</f>
        <v/>
      </c>
      <c r="Z185" s="20">
        <f>COUNTIFS(tData[SEHTrajectPeriodeDatumTijdVan],"&lt;="&amp;($A185+22/24),tData[SEHTrajectPeriodeDatumTijdTotEnMet],"&gt;"&amp;($A185+22/24))</f>
        <v/>
      </c>
      <c r="AA185" s="20">
        <f>COUNTIFS(tData[SEHTrajectPeriodeDatumTijdVan],"&lt;="&amp;($A185+23/24),tData[SEHTrajectPeriodeDatumTijdTotEnMet],"&gt;"&amp;($A185+23/24))</f>
        <v/>
      </c>
    </row>
    <row r="186">
      <c r="A186" s="19" t="n">
        <v>45474</v>
      </c>
      <c r="B186" s="15">
        <f>WEEKDAY($A186,2)</f>
        <v/>
      </c>
      <c r="C186" s="15">
        <f>IF(AND($A186&gt;=INT(Instellingen!$B$5),$A186&lt;=INT(Instellingen!$B$6)),1,0)</f>
        <v/>
      </c>
      <c r="D186" s="20">
        <f>COUNTIFS(tData[SEHTrajectPeriodeDatumTijdVan],"&lt;="&amp;($A186+0/24),tData[SEHTrajectPeriodeDatumTijdTotEnMet],"&gt;"&amp;($A186+0/24))</f>
        <v/>
      </c>
      <c r="E186" s="20">
        <f>COUNTIFS(tData[SEHTrajectPeriodeDatumTijdVan],"&lt;="&amp;($A186+1/24),tData[SEHTrajectPeriodeDatumTijdTotEnMet],"&gt;"&amp;($A186+1/24))</f>
        <v/>
      </c>
      <c r="F186" s="20">
        <f>COUNTIFS(tData[SEHTrajectPeriodeDatumTijdVan],"&lt;="&amp;($A186+2/24),tData[SEHTrajectPeriodeDatumTijdTotEnMet],"&gt;"&amp;($A186+2/24))</f>
        <v/>
      </c>
      <c r="G186" s="20">
        <f>COUNTIFS(tData[SEHTrajectPeriodeDatumTijdVan],"&lt;="&amp;($A186+3/24),tData[SEHTrajectPeriodeDatumTijdTotEnMet],"&gt;"&amp;($A186+3/24))</f>
        <v/>
      </c>
      <c r="H186" s="20">
        <f>COUNTIFS(tData[SEHTrajectPeriodeDatumTijdVan],"&lt;="&amp;($A186+4/24),tData[SEHTrajectPeriodeDatumTijdTotEnMet],"&gt;"&amp;($A186+4/24))</f>
        <v/>
      </c>
      <c r="I186" s="20">
        <f>COUNTIFS(tData[SEHTrajectPeriodeDatumTijdVan],"&lt;="&amp;($A186+5/24),tData[SEHTrajectPeriodeDatumTijdTotEnMet],"&gt;"&amp;($A186+5/24))</f>
        <v/>
      </c>
      <c r="J186" s="20">
        <f>COUNTIFS(tData[SEHTrajectPeriodeDatumTijdVan],"&lt;="&amp;($A186+6/24),tData[SEHTrajectPeriodeDatumTijdTotEnMet],"&gt;"&amp;($A186+6/24))</f>
        <v/>
      </c>
      <c r="K186" s="20">
        <f>COUNTIFS(tData[SEHTrajectPeriodeDatumTijdVan],"&lt;="&amp;($A186+7/24),tData[SEHTrajectPeriodeDatumTijdTotEnMet],"&gt;"&amp;($A186+7/24))</f>
        <v/>
      </c>
      <c r="L186" s="20">
        <f>COUNTIFS(tData[SEHTrajectPeriodeDatumTijdVan],"&lt;="&amp;($A186+8/24),tData[SEHTrajectPeriodeDatumTijdTotEnMet],"&gt;"&amp;($A186+8/24))</f>
        <v/>
      </c>
      <c r="M186" s="20">
        <f>COUNTIFS(tData[SEHTrajectPeriodeDatumTijdVan],"&lt;="&amp;($A186+9/24),tData[SEHTrajectPeriodeDatumTijdTotEnMet],"&gt;"&amp;($A186+9/24))</f>
        <v/>
      </c>
      <c r="N186" s="20">
        <f>COUNTIFS(tData[SEHTrajectPeriodeDatumTijdVan],"&lt;="&amp;($A186+10/24),tData[SEHTrajectPeriodeDatumTijdTotEnMet],"&gt;"&amp;($A186+10/24))</f>
        <v/>
      </c>
      <c r="O186" s="20">
        <f>COUNTIFS(tData[SEHTrajectPeriodeDatumTijdVan],"&lt;="&amp;($A186+11/24),tData[SEHTrajectPeriodeDatumTijdTotEnMet],"&gt;"&amp;($A186+11/24))</f>
        <v/>
      </c>
      <c r="P186" s="20">
        <f>COUNTIFS(tData[SEHTrajectPeriodeDatumTijdVan],"&lt;="&amp;($A186+12/24),tData[SEHTrajectPeriodeDatumTijdTotEnMet],"&gt;"&amp;($A186+12/24))</f>
        <v/>
      </c>
      <c r="Q186" s="20">
        <f>COUNTIFS(tData[SEHTrajectPeriodeDatumTijdVan],"&lt;="&amp;($A186+13/24),tData[SEHTrajectPeriodeDatumTijdTotEnMet],"&gt;"&amp;($A186+13/24))</f>
        <v/>
      </c>
      <c r="R186" s="20">
        <f>COUNTIFS(tData[SEHTrajectPeriodeDatumTijdVan],"&lt;="&amp;($A186+14/24),tData[SEHTrajectPeriodeDatumTijdTotEnMet],"&gt;"&amp;($A186+14/24))</f>
        <v/>
      </c>
      <c r="S186" s="20">
        <f>COUNTIFS(tData[SEHTrajectPeriodeDatumTijdVan],"&lt;="&amp;($A186+15/24),tData[SEHTrajectPeriodeDatumTijdTotEnMet],"&gt;"&amp;($A186+15/24))</f>
        <v/>
      </c>
      <c r="T186" s="20">
        <f>COUNTIFS(tData[SEHTrajectPeriodeDatumTijdVan],"&lt;="&amp;($A186+16/24),tData[SEHTrajectPeriodeDatumTijdTotEnMet],"&gt;"&amp;($A186+16/24))</f>
        <v/>
      </c>
      <c r="U186" s="20">
        <f>COUNTIFS(tData[SEHTrajectPeriodeDatumTijdVan],"&lt;="&amp;($A186+17/24),tData[SEHTrajectPeriodeDatumTijdTotEnMet],"&gt;"&amp;($A186+17/24))</f>
        <v/>
      </c>
      <c r="V186" s="20">
        <f>COUNTIFS(tData[SEHTrajectPeriodeDatumTijdVan],"&lt;="&amp;($A186+18/24),tData[SEHTrajectPeriodeDatumTijdTotEnMet],"&gt;"&amp;($A186+18/24))</f>
        <v/>
      </c>
      <c r="W186" s="20">
        <f>COUNTIFS(tData[SEHTrajectPeriodeDatumTijdVan],"&lt;="&amp;($A186+19/24),tData[SEHTrajectPeriodeDatumTijdTotEnMet],"&gt;"&amp;($A186+19/24))</f>
        <v/>
      </c>
      <c r="X186" s="20">
        <f>COUNTIFS(tData[SEHTrajectPeriodeDatumTijdVan],"&lt;="&amp;($A186+20/24),tData[SEHTrajectPeriodeDatumTijdTotEnMet],"&gt;"&amp;($A186+20/24))</f>
        <v/>
      </c>
      <c r="Y186" s="20">
        <f>COUNTIFS(tData[SEHTrajectPeriodeDatumTijdVan],"&lt;="&amp;($A186+21/24),tData[SEHTrajectPeriodeDatumTijdTotEnMet],"&gt;"&amp;($A186+21/24))</f>
        <v/>
      </c>
      <c r="Z186" s="20">
        <f>COUNTIFS(tData[SEHTrajectPeriodeDatumTijdVan],"&lt;="&amp;($A186+22/24),tData[SEHTrajectPeriodeDatumTijdTotEnMet],"&gt;"&amp;($A186+22/24))</f>
        <v/>
      </c>
      <c r="AA186" s="20">
        <f>COUNTIFS(tData[SEHTrajectPeriodeDatumTijdVan],"&lt;="&amp;($A186+23/24),tData[SEHTrajectPeriodeDatumTijdTotEnMet],"&gt;"&amp;($A186+23/24))</f>
        <v/>
      </c>
    </row>
    <row r="187">
      <c r="A187" s="19" t="n">
        <v>45475</v>
      </c>
      <c r="B187" s="15">
        <f>WEEKDAY($A187,2)</f>
        <v/>
      </c>
      <c r="C187" s="15">
        <f>IF(AND($A187&gt;=INT(Instellingen!$B$5),$A187&lt;=INT(Instellingen!$B$6)),1,0)</f>
        <v/>
      </c>
      <c r="D187" s="20">
        <f>COUNTIFS(tData[SEHTrajectPeriodeDatumTijdVan],"&lt;="&amp;($A187+0/24),tData[SEHTrajectPeriodeDatumTijdTotEnMet],"&gt;"&amp;($A187+0/24))</f>
        <v/>
      </c>
      <c r="E187" s="20">
        <f>COUNTIFS(tData[SEHTrajectPeriodeDatumTijdVan],"&lt;="&amp;($A187+1/24),tData[SEHTrajectPeriodeDatumTijdTotEnMet],"&gt;"&amp;($A187+1/24))</f>
        <v/>
      </c>
      <c r="F187" s="20">
        <f>COUNTIFS(tData[SEHTrajectPeriodeDatumTijdVan],"&lt;="&amp;($A187+2/24),tData[SEHTrajectPeriodeDatumTijdTotEnMet],"&gt;"&amp;($A187+2/24))</f>
        <v/>
      </c>
      <c r="G187" s="20">
        <f>COUNTIFS(tData[SEHTrajectPeriodeDatumTijdVan],"&lt;="&amp;($A187+3/24),tData[SEHTrajectPeriodeDatumTijdTotEnMet],"&gt;"&amp;($A187+3/24))</f>
        <v/>
      </c>
      <c r="H187" s="20">
        <f>COUNTIFS(tData[SEHTrajectPeriodeDatumTijdVan],"&lt;="&amp;($A187+4/24),tData[SEHTrajectPeriodeDatumTijdTotEnMet],"&gt;"&amp;($A187+4/24))</f>
        <v/>
      </c>
      <c r="I187" s="20">
        <f>COUNTIFS(tData[SEHTrajectPeriodeDatumTijdVan],"&lt;="&amp;($A187+5/24),tData[SEHTrajectPeriodeDatumTijdTotEnMet],"&gt;"&amp;($A187+5/24))</f>
        <v/>
      </c>
      <c r="J187" s="20">
        <f>COUNTIFS(tData[SEHTrajectPeriodeDatumTijdVan],"&lt;="&amp;($A187+6/24),tData[SEHTrajectPeriodeDatumTijdTotEnMet],"&gt;"&amp;($A187+6/24))</f>
        <v/>
      </c>
      <c r="K187" s="20">
        <f>COUNTIFS(tData[SEHTrajectPeriodeDatumTijdVan],"&lt;="&amp;($A187+7/24),tData[SEHTrajectPeriodeDatumTijdTotEnMet],"&gt;"&amp;($A187+7/24))</f>
        <v/>
      </c>
      <c r="L187" s="20">
        <f>COUNTIFS(tData[SEHTrajectPeriodeDatumTijdVan],"&lt;="&amp;($A187+8/24),tData[SEHTrajectPeriodeDatumTijdTotEnMet],"&gt;"&amp;($A187+8/24))</f>
        <v/>
      </c>
      <c r="M187" s="20">
        <f>COUNTIFS(tData[SEHTrajectPeriodeDatumTijdVan],"&lt;="&amp;($A187+9/24),tData[SEHTrajectPeriodeDatumTijdTotEnMet],"&gt;"&amp;($A187+9/24))</f>
        <v/>
      </c>
      <c r="N187" s="20">
        <f>COUNTIFS(tData[SEHTrajectPeriodeDatumTijdVan],"&lt;="&amp;($A187+10/24),tData[SEHTrajectPeriodeDatumTijdTotEnMet],"&gt;"&amp;($A187+10/24))</f>
        <v/>
      </c>
      <c r="O187" s="20">
        <f>COUNTIFS(tData[SEHTrajectPeriodeDatumTijdVan],"&lt;="&amp;($A187+11/24),tData[SEHTrajectPeriodeDatumTijdTotEnMet],"&gt;"&amp;($A187+11/24))</f>
        <v/>
      </c>
      <c r="P187" s="20">
        <f>COUNTIFS(tData[SEHTrajectPeriodeDatumTijdVan],"&lt;="&amp;($A187+12/24),tData[SEHTrajectPeriodeDatumTijdTotEnMet],"&gt;"&amp;($A187+12/24))</f>
        <v/>
      </c>
      <c r="Q187" s="20">
        <f>COUNTIFS(tData[SEHTrajectPeriodeDatumTijdVan],"&lt;="&amp;($A187+13/24),tData[SEHTrajectPeriodeDatumTijdTotEnMet],"&gt;"&amp;($A187+13/24))</f>
        <v/>
      </c>
      <c r="R187" s="20">
        <f>COUNTIFS(tData[SEHTrajectPeriodeDatumTijdVan],"&lt;="&amp;($A187+14/24),tData[SEHTrajectPeriodeDatumTijdTotEnMet],"&gt;"&amp;($A187+14/24))</f>
        <v/>
      </c>
      <c r="S187" s="20">
        <f>COUNTIFS(tData[SEHTrajectPeriodeDatumTijdVan],"&lt;="&amp;($A187+15/24),tData[SEHTrajectPeriodeDatumTijdTotEnMet],"&gt;"&amp;($A187+15/24))</f>
        <v/>
      </c>
      <c r="T187" s="20">
        <f>COUNTIFS(tData[SEHTrajectPeriodeDatumTijdVan],"&lt;="&amp;($A187+16/24),tData[SEHTrajectPeriodeDatumTijdTotEnMet],"&gt;"&amp;($A187+16/24))</f>
        <v/>
      </c>
      <c r="U187" s="20">
        <f>COUNTIFS(tData[SEHTrajectPeriodeDatumTijdVan],"&lt;="&amp;($A187+17/24),tData[SEHTrajectPeriodeDatumTijdTotEnMet],"&gt;"&amp;($A187+17/24))</f>
        <v/>
      </c>
      <c r="V187" s="20">
        <f>COUNTIFS(tData[SEHTrajectPeriodeDatumTijdVan],"&lt;="&amp;($A187+18/24),tData[SEHTrajectPeriodeDatumTijdTotEnMet],"&gt;"&amp;($A187+18/24))</f>
        <v/>
      </c>
      <c r="W187" s="20">
        <f>COUNTIFS(tData[SEHTrajectPeriodeDatumTijdVan],"&lt;="&amp;($A187+19/24),tData[SEHTrajectPeriodeDatumTijdTotEnMet],"&gt;"&amp;($A187+19/24))</f>
        <v/>
      </c>
      <c r="X187" s="20">
        <f>COUNTIFS(tData[SEHTrajectPeriodeDatumTijdVan],"&lt;="&amp;($A187+20/24),tData[SEHTrajectPeriodeDatumTijdTotEnMet],"&gt;"&amp;($A187+20/24))</f>
        <v/>
      </c>
      <c r="Y187" s="20">
        <f>COUNTIFS(tData[SEHTrajectPeriodeDatumTijdVan],"&lt;="&amp;($A187+21/24),tData[SEHTrajectPeriodeDatumTijdTotEnMet],"&gt;"&amp;($A187+21/24))</f>
        <v/>
      </c>
      <c r="Z187" s="20">
        <f>COUNTIFS(tData[SEHTrajectPeriodeDatumTijdVan],"&lt;="&amp;($A187+22/24),tData[SEHTrajectPeriodeDatumTijdTotEnMet],"&gt;"&amp;($A187+22/24))</f>
        <v/>
      </c>
      <c r="AA187" s="20">
        <f>COUNTIFS(tData[SEHTrajectPeriodeDatumTijdVan],"&lt;="&amp;($A187+23/24),tData[SEHTrajectPeriodeDatumTijdTotEnMet],"&gt;"&amp;($A187+23/24))</f>
        <v/>
      </c>
    </row>
    <row r="188">
      <c r="A188" s="19" t="n">
        <v>45476</v>
      </c>
      <c r="B188" s="15">
        <f>WEEKDAY($A188,2)</f>
        <v/>
      </c>
      <c r="C188" s="15">
        <f>IF(AND($A188&gt;=INT(Instellingen!$B$5),$A188&lt;=INT(Instellingen!$B$6)),1,0)</f>
        <v/>
      </c>
      <c r="D188" s="20">
        <f>COUNTIFS(tData[SEHTrajectPeriodeDatumTijdVan],"&lt;="&amp;($A188+0/24),tData[SEHTrajectPeriodeDatumTijdTotEnMet],"&gt;"&amp;($A188+0/24))</f>
        <v/>
      </c>
      <c r="E188" s="20">
        <f>COUNTIFS(tData[SEHTrajectPeriodeDatumTijdVan],"&lt;="&amp;($A188+1/24),tData[SEHTrajectPeriodeDatumTijdTotEnMet],"&gt;"&amp;($A188+1/24))</f>
        <v/>
      </c>
      <c r="F188" s="20">
        <f>COUNTIFS(tData[SEHTrajectPeriodeDatumTijdVan],"&lt;="&amp;($A188+2/24),tData[SEHTrajectPeriodeDatumTijdTotEnMet],"&gt;"&amp;($A188+2/24))</f>
        <v/>
      </c>
      <c r="G188" s="20">
        <f>COUNTIFS(tData[SEHTrajectPeriodeDatumTijdVan],"&lt;="&amp;($A188+3/24),tData[SEHTrajectPeriodeDatumTijdTotEnMet],"&gt;"&amp;($A188+3/24))</f>
        <v/>
      </c>
      <c r="H188" s="20">
        <f>COUNTIFS(tData[SEHTrajectPeriodeDatumTijdVan],"&lt;="&amp;($A188+4/24),tData[SEHTrajectPeriodeDatumTijdTotEnMet],"&gt;"&amp;($A188+4/24))</f>
        <v/>
      </c>
      <c r="I188" s="20">
        <f>COUNTIFS(tData[SEHTrajectPeriodeDatumTijdVan],"&lt;="&amp;($A188+5/24),tData[SEHTrajectPeriodeDatumTijdTotEnMet],"&gt;"&amp;($A188+5/24))</f>
        <v/>
      </c>
      <c r="J188" s="20">
        <f>COUNTIFS(tData[SEHTrajectPeriodeDatumTijdVan],"&lt;="&amp;($A188+6/24),tData[SEHTrajectPeriodeDatumTijdTotEnMet],"&gt;"&amp;($A188+6/24))</f>
        <v/>
      </c>
      <c r="K188" s="20">
        <f>COUNTIFS(tData[SEHTrajectPeriodeDatumTijdVan],"&lt;="&amp;($A188+7/24),tData[SEHTrajectPeriodeDatumTijdTotEnMet],"&gt;"&amp;($A188+7/24))</f>
        <v/>
      </c>
      <c r="L188" s="20">
        <f>COUNTIFS(tData[SEHTrajectPeriodeDatumTijdVan],"&lt;="&amp;($A188+8/24),tData[SEHTrajectPeriodeDatumTijdTotEnMet],"&gt;"&amp;($A188+8/24))</f>
        <v/>
      </c>
      <c r="M188" s="20">
        <f>COUNTIFS(tData[SEHTrajectPeriodeDatumTijdVan],"&lt;="&amp;($A188+9/24),tData[SEHTrajectPeriodeDatumTijdTotEnMet],"&gt;"&amp;($A188+9/24))</f>
        <v/>
      </c>
      <c r="N188" s="20">
        <f>COUNTIFS(tData[SEHTrajectPeriodeDatumTijdVan],"&lt;="&amp;($A188+10/24),tData[SEHTrajectPeriodeDatumTijdTotEnMet],"&gt;"&amp;($A188+10/24))</f>
        <v/>
      </c>
      <c r="O188" s="20">
        <f>COUNTIFS(tData[SEHTrajectPeriodeDatumTijdVan],"&lt;="&amp;($A188+11/24),tData[SEHTrajectPeriodeDatumTijdTotEnMet],"&gt;"&amp;($A188+11/24))</f>
        <v/>
      </c>
      <c r="P188" s="20">
        <f>COUNTIFS(tData[SEHTrajectPeriodeDatumTijdVan],"&lt;="&amp;($A188+12/24),tData[SEHTrajectPeriodeDatumTijdTotEnMet],"&gt;"&amp;($A188+12/24))</f>
        <v/>
      </c>
      <c r="Q188" s="20">
        <f>COUNTIFS(tData[SEHTrajectPeriodeDatumTijdVan],"&lt;="&amp;($A188+13/24),tData[SEHTrajectPeriodeDatumTijdTotEnMet],"&gt;"&amp;($A188+13/24))</f>
        <v/>
      </c>
      <c r="R188" s="20">
        <f>COUNTIFS(tData[SEHTrajectPeriodeDatumTijdVan],"&lt;="&amp;($A188+14/24),tData[SEHTrajectPeriodeDatumTijdTotEnMet],"&gt;"&amp;($A188+14/24))</f>
        <v/>
      </c>
      <c r="S188" s="20">
        <f>COUNTIFS(tData[SEHTrajectPeriodeDatumTijdVan],"&lt;="&amp;($A188+15/24),tData[SEHTrajectPeriodeDatumTijdTotEnMet],"&gt;"&amp;($A188+15/24))</f>
        <v/>
      </c>
      <c r="T188" s="20">
        <f>COUNTIFS(tData[SEHTrajectPeriodeDatumTijdVan],"&lt;="&amp;($A188+16/24),tData[SEHTrajectPeriodeDatumTijdTotEnMet],"&gt;"&amp;($A188+16/24))</f>
        <v/>
      </c>
      <c r="U188" s="20">
        <f>COUNTIFS(tData[SEHTrajectPeriodeDatumTijdVan],"&lt;="&amp;($A188+17/24),tData[SEHTrajectPeriodeDatumTijdTotEnMet],"&gt;"&amp;($A188+17/24))</f>
        <v/>
      </c>
      <c r="V188" s="20">
        <f>COUNTIFS(tData[SEHTrajectPeriodeDatumTijdVan],"&lt;="&amp;($A188+18/24),tData[SEHTrajectPeriodeDatumTijdTotEnMet],"&gt;"&amp;($A188+18/24))</f>
        <v/>
      </c>
      <c r="W188" s="20">
        <f>COUNTIFS(tData[SEHTrajectPeriodeDatumTijdVan],"&lt;="&amp;($A188+19/24),tData[SEHTrajectPeriodeDatumTijdTotEnMet],"&gt;"&amp;($A188+19/24))</f>
        <v/>
      </c>
      <c r="X188" s="20">
        <f>COUNTIFS(tData[SEHTrajectPeriodeDatumTijdVan],"&lt;="&amp;($A188+20/24),tData[SEHTrajectPeriodeDatumTijdTotEnMet],"&gt;"&amp;($A188+20/24))</f>
        <v/>
      </c>
      <c r="Y188" s="20">
        <f>COUNTIFS(tData[SEHTrajectPeriodeDatumTijdVan],"&lt;="&amp;($A188+21/24),tData[SEHTrajectPeriodeDatumTijdTotEnMet],"&gt;"&amp;($A188+21/24))</f>
        <v/>
      </c>
      <c r="Z188" s="20">
        <f>COUNTIFS(tData[SEHTrajectPeriodeDatumTijdVan],"&lt;="&amp;($A188+22/24),tData[SEHTrajectPeriodeDatumTijdTotEnMet],"&gt;"&amp;($A188+22/24))</f>
        <v/>
      </c>
      <c r="AA188" s="20">
        <f>COUNTIFS(tData[SEHTrajectPeriodeDatumTijdVan],"&lt;="&amp;($A188+23/24),tData[SEHTrajectPeriodeDatumTijdTotEnMet],"&gt;"&amp;($A188+23/24))</f>
        <v/>
      </c>
    </row>
    <row r="189">
      <c r="A189" s="19" t="n">
        <v>45477</v>
      </c>
      <c r="B189" s="15">
        <f>WEEKDAY($A189,2)</f>
        <v/>
      </c>
      <c r="C189" s="15">
        <f>IF(AND($A189&gt;=INT(Instellingen!$B$5),$A189&lt;=INT(Instellingen!$B$6)),1,0)</f>
        <v/>
      </c>
      <c r="D189" s="20">
        <f>COUNTIFS(tData[SEHTrajectPeriodeDatumTijdVan],"&lt;="&amp;($A189+0/24),tData[SEHTrajectPeriodeDatumTijdTotEnMet],"&gt;"&amp;($A189+0/24))</f>
        <v/>
      </c>
      <c r="E189" s="20">
        <f>COUNTIFS(tData[SEHTrajectPeriodeDatumTijdVan],"&lt;="&amp;($A189+1/24),tData[SEHTrajectPeriodeDatumTijdTotEnMet],"&gt;"&amp;($A189+1/24))</f>
        <v/>
      </c>
      <c r="F189" s="20">
        <f>COUNTIFS(tData[SEHTrajectPeriodeDatumTijdVan],"&lt;="&amp;($A189+2/24),tData[SEHTrajectPeriodeDatumTijdTotEnMet],"&gt;"&amp;($A189+2/24))</f>
        <v/>
      </c>
      <c r="G189" s="20">
        <f>COUNTIFS(tData[SEHTrajectPeriodeDatumTijdVan],"&lt;="&amp;($A189+3/24),tData[SEHTrajectPeriodeDatumTijdTotEnMet],"&gt;"&amp;($A189+3/24))</f>
        <v/>
      </c>
      <c r="H189" s="20">
        <f>COUNTIFS(tData[SEHTrajectPeriodeDatumTijdVan],"&lt;="&amp;($A189+4/24),tData[SEHTrajectPeriodeDatumTijdTotEnMet],"&gt;"&amp;($A189+4/24))</f>
        <v/>
      </c>
      <c r="I189" s="20">
        <f>COUNTIFS(tData[SEHTrajectPeriodeDatumTijdVan],"&lt;="&amp;($A189+5/24),tData[SEHTrajectPeriodeDatumTijdTotEnMet],"&gt;"&amp;($A189+5/24))</f>
        <v/>
      </c>
      <c r="J189" s="20">
        <f>COUNTIFS(tData[SEHTrajectPeriodeDatumTijdVan],"&lt;="&amp;($A189+6/24),tData[SEHTrajectPeriodeDatumTijdTotEnMet],"&gt;"&amp;($A189+6/24))</f>
        <v/>
      </c>
      <c r="K189" s="20">
        <f>COUNTIFS(tData[SEHTrajectPeriodeDatumTijdVan],"&lt;="&amp;($A189+7/24),tData[SEHTrajectPeriodeDatumTijdTotEnMet],"&gt;"&amp;($A189+7/24))</f>
        <v/>
      </c>
      <c r="L189" s="20">
        <f>COUNTIFS(tData[SEHTrajectPeriodeDatumTijdVan],"&lt;="&amp;($A189+8/24),tData[SEHTrajectPeriodeDatumTijdTotEnMet],"&gt;"&amp;($A189+8/24))</f>
        <v/>
      </c>
      <c r="M189" s="20">
        <f>COUNTIFS(tData[SEHTrajectPeriodeDatumTijdVan],"&lt;="&amp;($A189+9/24),tData[SEHTrajectPeriodeDatumTijdTotEnMet],"&gt;"&amp;($A189+9/24))</f>
        <v/>
      </c>
      <c r="N189" s="20">
        <f>COUNTIFS(tData[SEHTrajectPeriodeDatumTijdVan],"&lt;="&amp;($A189+10/24),tData[SEHTrajectPeriodeDatumTijdTotEnMet],"&gt;"&amp;($A189+10/24))</f>
        <v/>
      </c>
      <c r="O189" s="20">
        <f>COUNTIFS(tData[SEHTrajectPeriodeDatumTijdVan],"&lt;="&amp;($A189+11/24),tData[SEHTrajectPeriodeDatumTijdTotEnMet],"&gt;"&amp;($A189+11/24))</f>
        <v/>
      </c>
      <c r="P189" s="20">
        <f>COUNTIFS(tData[SEHTrajectPeriodeDatumTijdVan],"&lt;="&amp;($A189+12/24),tData[SEHTrajectPeriodeDatumTijdTotEnMet],"&gt;"&amp;($A189+12/24))</f>
        <v/>
      </c>
      <c r="Q189" s="20">
        <f>COUNTIFS(tData[SEHTrajectPeriodeDatumTijdVan],"&lt;="&amp;($A189+13/24),tData[SEHTrajectPeriodeDatumTijdTotEnMet],"&gt;"&amp;($A189+13/24))</f>
        <v/>
      </c>
      <c r="R189" s="20">
        <f>COUNTIFS(tData[SEHTrajectPeriodeDatumTijdVan],"&lt;="&amp;($A189+14/24),tData[SEHTrajectPeriodeDatumTijdTotEnMet],"&gt;"&amp;($A189+14/24))</f>
        <v/>
      </c>
      <c r="S189" s="20">
        <f>COUNTIFS(tData[SEHTrajectPeriodeDatumTijdVan],"&lt;="&amp;($A189+15/24),tData[SEHTrajectPeriodeDatumTijdTotEnMet],"&gt;"&amp;($A189+15/24))</f>
        <v/>
      </c>
      <c r="T189" s="20">
        <f>COUNTIFS(tData[SEHTrajectPeriodeDatumTijdVan],"&lt;="&amp;($A189+16/24),tData[SEHTrajectPeriodeDatumTijdTotEnMet],"&gt;"&amp;($A189+16/24))</f>
        <v/>
      </c>
      <c r="U189" s="20">
        <f>COUNTIFS(tData[SEHTrajectPeriodeDatumTijdVan],"&lt;="&amp;($A189+17/24),tData[SEHTrajectPeriodeDatumTijdTotEnMet],"&gt;"&amp;($A189+17/24))</f>
        <v/>
      </c>
      <c r="V189" s="20">
        <f>COUNTIFS(tData[SEHTrajectPeriodeDatumTijdVan],"&lt;="&amp;($A189+18/24),tData[SEHTrajectPeriodeDatumTijdTotEnMet],"&gt;"&amp;($A189+18/24))</f>
        <v/>
      </c>
      <c r="W189" s="20">
        <f>COUNTIFS(tData[SEHTrajectPeriodeDatumTijdVan],"&lt;="&amp;($A189+19/24),tData[SEHTrajectPeriodeDatumTijdTotEnMet],"&gt;"&amp;($A189+19/24))</f>
        <v/>
      </c>
      <c r="X189" s="20">
        <f>COUNTIFS(tData[SEHTrajectPeriodeDatumTijdVan],"&lt;="&amp;($A189+20/24),tData[SEHTrajectPeriodeDatumTijdTotEnMet],"&gt;"&amp;($A189+20/24))</f>
        <v/>
      </c>
      <c r="Y189" s="20">
        <f>COUNTIFS(tData[SEHTrajectPeriodeDatumTijdVan],"&lt;="&amp;($A189+21/24),tData[SEHTrajectPeriodeDatumTijdTotEnMet],"&gt;"&amp;($A189+21/24))</f>
        <v/>
      </c>
      <c r="Z189" s="20">
        <f>COUNTIFS(tData[SEHTrajectPeriodeDatumTijdVan],"&lt;="&amp;($A189+22/24),tData[SEHTrajectPeriodeDatumTijdTotEnMet],"&gt;"&amp;($A189+22/24))</f>
        <v/>
      </c>
      <c r="AA189" s="20">
        <f>COUNTIFS(tData[SEHTrajectPeriodeDatumTijdVan],"&lt;="&amp;($A189+23/24),tData[SEHTrajectPeriodeDatumTijdTotEnMet],"&gt;"&amp;($A189+23/24))</f>
        <v/>
      </c>
    </row>
    <row r="190">
      <c r="A190" s="19" t="n">
        <v>45478</v>
      </c>
      <c r="B190" s="15">
        <f>WEEKDAY($A190,2)</f>
        <v/>
      </c>
      <c r="C190" s="15">
        <f>IF(AND($A190&gt;=INT(Instellingen!$B$5),$A190&lt;=INT(Instellingen!$B$6)),1,0)</f>
        <v/>
      </c>
      <c r="D190" s="20">
        <f>COUNTIFS(tData[SEHTrajectPeriodeDatumTijdVan],"&lt;="&amp;($A190+0/24),tData[SEHTrajectPeriodeDatumTijdTotEnMet],"&gt;"&amp;($A190+0/24))</f>
        <v/>
      </c>
      <c r="E190" s="20">
        <f>COUNTIFS(tData[SEHTrajectPeriodeDatumTijdVan],"&lt;="&amp;($A190+1/24),tData[SEHTrajectPeriodeDatumTijdTotEnMet],"&gt;"&amp;($A190+1/24))</f>
        <v/>
      </c>
      <c r="F190" s="20">
        <f>COUNTIFS(tData[SEHTrajectPeriodeDatumTijdVan],"&lt;="&amp;($A190+2/24),tData[SEHTrajectPeriodeDatumTijdTotEnMet],"&gt;"&amp;($A190+2/24))</f>
        <v/>
      </c>
      <c r="G190" s="20">
        <f>COUNTIFS(tData[SEHTrajectPeriodeDatumTijdVan],"&lt;="&amp;($A190+3/24),tData[SEHTrajectPeriodeDatumTijdTotEnMet],"&gt;"&amp;($A190+3/24))</f>
        <v/>
      </c>
      <c r="H190" s="20">
        <f>COUNTIFS(tData[SEHTrajectPeriodeDatumTijdVan],"&lt;="&amp;($A190+4/24),tData[SEHTrajectPeriodeDatumTijdTotEnMet],"&gt;"&amp;($A190+4/24))</f>
        <v/>
      </c>
      <c r="I190" s="20">
        <f>COUNTIFS(tData[SEHTrajectPeriodeDatumTijdVan],"&lt;="&amp;($A190+5/24),tData[SEHTrajectPeriodeDatumTijdTotEnMet],"&gt;"&amp;($A190+5/24))</f>
        <v/>
      </c>
      <c r="J190" s="20">
        <f>COUNTIFS(tData[SEHTrajectPeriodeDatumTijdVan],"&lt;="&amp;($A190+6/24),tData[SEHTrajectPeriodeDatumTijdTotEnMet],"&gt;"&amp;($A190+6/24))</f>
        <v/>
      </c>
      <c r="K190" s="20">
        <f>COUNTIFS(tData[SEHTrajectPeriodeDatumTijdVan],"&lt;="&amp;($A190+7/24),tData[SEHTrajectPeriodeDatumTijdTotEnMet],"&gt;"&amp;($A190+7/24))</f>
        <v/>
      </c>
      <c r="L190" s="20">
        <f>COUNTIFS(tData[SEHTrajectPeriodeDatumTijdVan],"&lt;="&amp;($A190+8/24),tData[SEHTrajectPeriodeDatumTijdTotEnMet],"&gt;"&amp;($A190+8/24))</f>
        <v/>
      </c>
      <c r="M190" s="20">
        <f>COUNTIFS(tData[SEHTrajectPeriodeDatumTijdVan],"&lt;="&amp;($A190+9/24),tData[SEHTrajectPeriodeDatumTijdTotEnMet],"&gt;"&amp;($A190+9/24))</f>
        <v/>
      </c>
      <c r="N190" s="20">
        <f>COUNTIFS(tData[SEHTrajectPeriodeDatumTijdVan],"&lt;="&amp;($A190+10/24),tData[SEHTrajectPeriodeDatumTijdTotEnMet],"&gt;"&amp;($A190+10/24))</f>
        <v/>
      </c>
      <c r="O190" s="20">
        <f>COUNTIFS(tData[SEHTrajectPeriodeDatumTijdVan],"&lt;="&amp;($A190+11/24),tData[SEHTrajectPeriodeDatumTijdTotEnMet],"&gt;"&amp;($A190+11/24))</f>
        <v/>
      </c>
      <c r="P190" s="20">
        <f>COUNTIFS(tData[SEHTrajectPeriodeDatumTijdVan],"&lt;="&amp;($A190+12/24),tData[SEHTrajectPeriodeDatumTijdTotEnMet],"&gt;"&amp;($A190+12/24))</f>
        <v/>
      </c>
      <c r="Q190" s="20">
        <f>COUNTIFS(tData[SEHTrajectPeriodeDatumTijdVan],"&lt;="&amp;($A190+13/24),tData[SEHTrajectPeriodeDatumTijdTotEnMet],"&gt;"&amp;($A190+13/24))</f>
        <v/>
      </c>
      <c r="R190" s="20">
        <f>COUNTIFS(tData[SEHTrajectPeriodeDatumTijdVan],"&lt;="&amp;($A190+14/24),tData[SEHTrajectPeriodeDatumTijdTotEnMet],"&gt;"&amp;($A190+14/24))</f>
        <v/>
      </c>
      <c r="S190" s="20">
        <f>COUNTIFS(tData[SEHTrajectPeriodeDatumTijdVan],"&lt;="&amp;($A190+15/24),tData[SEHTrajectPeriodeDatumTijdTotEnMet],"&gt;"&amp;($A190+15/24))</f>
        <v/>
      </c>
      <c r="T190" s="20">
        <f>COUNTIFS(tData[SEHTrajectPeriodeDatumTijdVan],"&lt;="&amp;($A190+16/24),tData[SEHTrajectPeriodeDatumTijdTotEnMet],"&gt;"&amp;($A190+16/24))</f>
        <v/>
      </c>
      <c r="U190" s="20">
        <f>COUNTIFS(tData[SEHTrajectPeriodeDatumTijdVan],"&lt;="&amp;($A190+17/24),tData[SEHTrajectPeriodeDatumTijdTotEnMet],"&gt;"&amp;($A190+17/24))</f>
        <v/>
      </c>
      <c r="V190" s="20">
        <f>COUNTIFS(tData[SEHTrajectPeriodeDatumTijdVan],"&lt;="&amp;($A190+18/24),tData[SEHTrajectPeriodeDatumTijdTotEnMet],"&gt;"&amp;($A190+18/24))</f>
        <v/>
      </c>
      <c r="W190" s="20">
        <f>COUNTIFS(tData[SEHTrajectPeriodeDatumTijdVan],"&lt;="&amp;($A190+19/24),tData[SEHTrajectPeriodeDatumTijdTotEnMet],"&gt;"&amp;($A190+19/24))</f>
        <v/>
      </c>
      <c r="X190" s="20">
        <f>COUNTIFS(tData[SEHTrajectPeriodeDatumTijdVan],"&lt;="&amp;($A190+20/24),tData[SEHTrajectPeriodeDatumTijdTotEnMet],"&gt;"&amp;($A190+20/24))</f>
        <v/>
      </c>
      <c r="Y190" s="20">
        <f>COUNTIFS(tData[SEHTrajectPeriodeDatumTijdVan],"&lt;="&amp;($A190+21/24),tData[SEHTrajectPeriodeDatumTijdTotEnMet],"&gt;"&amp;($A190+21/24))</f>
        <v/>
      </c>
      <c r="Z190" s="20">
        <f>COUNTIFS(tData[SEHTrajectPeriodeDatumTijdVan],"&lt;="&amp;($A190+22/24),tData[SEHTrajectPeriodeDatumTijdTotEnMet],"&gt;"&amp;($A190+22/24))</f>
        <v/>
      </c>
      <c r="AA190" s="20">
        <f>COUNTIFS(tData[SEHTrajectPeriodeDatumTijdVan],"&lt;="&amp;($A190+23/24),tData[SEHTrajectPeriodeDatumTijdTotEnMet],"&gt;"&amp;($A190+23/24))</f>
        <v/>
      </c>
    </row>
    <row r="191">
      <c r="A191" s="19" t="n">
        <v>45479</v>
      </c>
      <c r="B191" s="15">
        <f>WEEKDAY($A191,2)</f>
        <v/>
      </c>
      <c r="C191" s="15">
        <f>IF(AND($A191&gt;=INT(Instellingen!$B$5),$A191&lt;=INT(Instellingen!$B$6)),1,0)</f>
        <v/>
      </c>
      <c r="D191" s="20">
        <f>COUNTIFS(tData[SEHTrajectPeriodeDatumTijdVan],"&lt;="&amp;($A191+0/24),tData[SEHTrajectPeriodeDatumTijdTotEnMet],"&gt;"&amp;($A191+0/24))</f>
        <v/>
      </c>
      <c r="E191" s="20">
        <f>COUNTIFS(tData[SEHTrajectPeriodeDatumTijdVan],"&lt;="&amp;($A191+1/24),tData[SEHTrajectPeriodeDatumTijdTotEnMet],"&gt;"&amp;($A191+1/24))</f>
        <v/>
      </c>
      <c r="F191" s="20">
        <f>COUNTIFS(tData[SEHTrajectPeriodeDatumTijdVan],"&lt;="&amp;($A191+2/24),tData[SEHTrajectPeriodeDatumTijdTotEnMet],"&gt;"&amp;($A191+2/24))</f>
        <v/>
      </c>
      <c r="G191" s="20">
        <f>COUNTIFS(tData[SEHTrajectPeriodeDatumTijdVan],"&lt;="&amp;($A191+3/24),tData[SEHTrajectPeriodeDatumTijdTotEnMet],"&gt;"&amp;($A191+3/24))</f>
        <v/>
      </c>
      <c r="H191" s="20">
        <f>COUNTIFS(tData[SEHTrajectPeriodeDatumTijdVan],"&lt;="&amp;($A191+4/24),tData[SEHTrajectPeriodeDatumTijdTotEnMet],"&gt;"&amp;($A191+4/24))</f>
        <v/>
      </c>
      <c r="I191" s="20">
        <f>COUNTIFS(tData[SEHTrajectPeriodeDatumTijdVan],"&lt;="&amp;($A191+5/24),tData[SEHTrajectPeriodeDatumTijdTotEnMet],"&gt;"&amp;($A191+5/24))</f>
        <v/>
      </c>
      <c r="J191" s="20">
        <f>COUNTIFS(tData[SEHTrajectPeriodeDatumTijdVan],"&lt;="&amp;($A191+6/24),tData[SEHTrajectPeriodeDatumTijdTotEnMet],"&gt;"&amp;($A191+6/24))</f>
        <v/>
      </c>
      <c r="K191" s="20">
        <f>COUNTIFS(tData[SEHTrajectPeriodeDatumTijdVan],"&lt;="&amp;($A191+7/24),tData[SEHTrajectPeriodeDatumTijdTotEnMet],"&gt;"&amp;($A191+7/24))</f>
        <v/>
      </c>
      <c r="L191" s="20">
        <f>COUNTIFS(tData[SEHTrajectPeriodeDatumTijdVan],"&lt;="&amp;($A191+8/24),tData[SEHTrajectPeriodeDatumTijdTotEnMet],"&gt;"&amp;($A191+8/24))</f>
        <v/>
      </c>
      <c r="M191" s="20">
        <f>COUNTIFS(tData[SEHTrajectPeriodeDatumTijdVan],"&lt;="&amp;($A191+9/24),tData[SEHTrajectPeriodeDatumTijdTotEnMet],"&gt;"&amp;($A191+9/24))</f>
        <v/>
      </c>
      <c r="N191" s="20">
        <f>COUNTIFS(tData[SEHTrajectPeriodeDatumTijdVan],"&lt;="&amp;($A191+10/24),tData[SEHTrajectPeriodeDatumTijdTotEnMet],"&gt;"&amp;($A191+10/24))</f>
        <v/>
      </c>
      <c r="O191" s="20">
        <f>COUNTIFS(tData[SEHTrajectPeriodeDatumTijdVan],"&lt;="&amp;($A191+11/24),tData[SEHTrajectPeriodeDatumTijdTotEnMet],"&gt;"&amp;($A191+11/24))</f>
        <v/>
      </c>
      <c r="P191" s="20">
        <f>COUNTIFS(tData[SEHTrajectPeriodeDatumTijdVan],"&lt;="&amp;($A191+12/24),tData[SEHTrajectPeriodeDatumTijdTotEnMet],"&gt;"&amp;($A191+12/24))</f>
        <v/>
      </c>
      <c r="Q191" s="20">
        <f>COUNTIFS(tData[SEHTrajectPeriodeDatumTijdVan],"&lt;="&amp;($A191+13/24),tData[SEHTrajectPeriodeDatumTijdTotEnMet],"&gt;"&amp;($A191+13/24))</f>
        <v/>
      </c>
      <c r="R191" s="20">
        <f>COUNTIFS(tData[SEHTrajectPeriodeDatumTijdVan],"&lt;="&amp;($A191+14/24),tData[SEHTrajectPeriodeDatumTijdTotEnMet],"&gt;"&amp;($A191+14/24))</f>
        <v/>
      </c>
      <c r="S191" s="20">
        <f>COUNTIFS(tData[SEHTrajectPeriodeDatumTijdVan],"&lt;="&amp;($A191+15/24),tData[SEHTrajectPeriodeDatumTijdTotEnMet],"&gt;"&amp;($A191+15/24))</f>
        <v/>
      </c>
      <c r="T191" s="20">
        <f>COUNTIFS(tData[SEHTrajectPeriodeDatumTijdVan],"&lt;="&amp;($A191+16/24),tData[SEHTrajectPeriodeDatumTijdTotEnMet],"&gt;"&amp;($A191+16/24))</f>
        <v/>
      </c>
      <c r="U191" s="20">
        <f>COUNTIFS(tData[SEHTrajectPeriodeDatumTijdVan],"&lt;="&amp;($A191+17/24),tData[SEHTrajectPeriodeDatumTijdTotEnMet],"&gt;"&amp;($A191+17/24))</f>
        <v/>
      </c>
      <c r="V191" s="20">
        <f>COUNTIFS(tData[SEHTrajectPeriodeDatumTijdVan],"&lt;="&amp;($A191+18/24),tData[SEHTrajectPeriodeDatumTijdTotEnMet],"&gt;"&amp;($A191+18/24))</f>
        <v/>
      </c>
      <c r="W191" s="20">
        <f>COUNTIFS(tData[SEHTrajectPeriodeDatumTijdVan],"&lt;="&amp;($A191+19/24),tData[SEHTrajectPeriodeDatumTijdTotEnMet],"&gt;"&amp;($A191+19/24))</f>
        <v/>
      </c>
      <c r="X191" s="20">
        <f>COUNTIFS(tData[SEHTrajectPeriodeDatumTijdVan],"&lt;="&amp;($A191+20/24),tData[SEHTrajectPeriodeDatumTijdTotEnMet],"&gt;"&amp;($A191+20/24))</f>
        <v/>
      </c>
      <c r="Y191" s="20">
        <f>COUNTIFS(tData[SEHTrajectPeriodeDatumTijdVan],"&lt;="&amp;($A191+21/24),tData[SEHTrajectPeriodeDatumTijdTotEnMet],"&gt;"&amp;($A191+21/24))</f>
        <v/>
      </c>
      <c r="Z191" s="20">
        <f>COUNTIFS(tData[SEHTrajectPeriodeDatumTijdVan],"&lt;="&amp;($A191+22/24),tData[SEHTrajectPeriodeDatumTijdTotEnMet],"&gt;"&amp;($A191+22/24))</f>
        <v/>
      </c>
      <c r="AA191" s="20">
        <f>COUNTIFS(tData[SEHTrajectPeriodeDatumTijdVan],"&lt;="&amp;($A191+23/24),tData[SEHTrajectPeriodeDatumTijdTotEnMet],"&gt;"&amp;($A191+23/24))</f>
        <v/>
      </c>
    </row>
    <row r="192">
      <c r="A192" s="19" t="n">
        <v>45480</v>
      </c>
      <c r="B192" s="15">
        <f>WEEKDAY($A192,2)</f>
        <v/>
      </c>
      <c r="C192" s="15">
        <f>IF(AND($A192&gt;=INT(Instellingen!$B$5),$A192&lt;=INT(Instellingen!$B$6)),1,0)</f>
        <v/>
      </c>
      <c r="D192" s="20">
        <f>COUNTIFS(tData[SEHTrajectPeriodeDatumTijdVan],"&lt;="&amp;($A192+0/24),tData[SEHTrajectPeriodeDatumTijdTotEnMet],"&gt;"&amp;($A192+0/24))</f>
        <v/>
      </c>
      <c r="E192" s="20">
        <f>COUNTIFS(tData[SEHTrajectPeriodeDatumTijdVan],"&lt;="&amp;($A192+1/24),tData[SEHTrajectPeriodeDatumTijdTotEnMet],"&gt;"&amp;($A192+1/24))</f>
        <v/>
      </c>
      <c r="F192" s="20">
        <f>COUNTIFS(tData[SEHTrajectPeriodeDatumTijdVan],"&lt;="&amp;($A192+2/24),tData[SEHTrajectPeriodeDatumTijdTotEnMet],"&gt;"&amp;($A192+2/24))</f>
        <v/>
      </c>
      <c r="G192" s="20">
        <f>COUNTIFS(tData[SEHTrajectPeriodeDatumTijdVan],"&lt;="&amp;($A192+3/24),tData[SEHTrajectPeriodeDatumTijdTotEnMet],"&gt;"&amp;($A192+3/24))</f>
        <v/>
      </c>
      <c r="H192" s="20">
        <f>COUNTIFS(tData[SEHTrajectPeriodeDatumTijdVan],"&lt;="&amp;($A192+4/24),tData[SEHTrajectPeriodeDatumTijdTotEnMet],"&gt;"&amp;($A192+4/24))</f>
        <v/>
      </c>
      <c r="I192" s="20">
        <f>COUNTIFS(tData[SEHTrajectPeriodeDatumTijdVan],"&lt;="&amp;($A192+5/24),tData[SEHTrajectPeriodeDatumTijdTotEnMet],"&gt;"&amp;($A192+5/24))</f>
        <v/>
      </c>
      <c r="J192" s="20">
        <f>COUNTIFS(tData[SEHTrajectPeriodeDatumTijdVan],"&lt;="&amp;($A192+6/24),tData[SEHTrajectPeriodeDatumTijdTotEnMet],"&gt;"&amp;($A192+6/24))</f>
        <v/>
      </c>
      <c r="K192" s="20">
        <f>COUNTIFS(tData[SEHTrajectPeriodeDatumTijdVan],"&lt;="&amp;($A192+7/24),tData[SEHTrajectPeriodeDatumTijdTotEnMet],"&gt;"&amp;($A192+7/24))</f>
        <v/>
      </c>
      <c r="L192" s="20">
        <f>COUNTIFS(tData[SEHTrajectPeriodeDatumTijdVan],"&lt;="&amp;($A192+8/24),tData[SEHTrajectPeriodeDatumTijdTotEnMet],"&gt;"&amp;($A192+8/24))</f>
        <v/>
      </c>
      <c r="M192" s="20">
        <f>COUNTIFS(tData[SEHTrajectPeriodeDatumTijdVan],"&lt;="&amp;($A192+9/24),tData[SEHTrajectPeriodeDatumTijdTotEnMet],"&gt;"&amp;($A192+9/24))</f>
        <v/>
      </c>
      <c r="N192" s="20">
        <f>COUNTIFS(tData[SEHTrajectPeriodeDatumTijdVan],"&lt;="&amp;($A192+10/24),tData[SEHTrajectPeriodeDatumTijdTotEnMet],"&gt;"&amp;($A192+10/24))</f>
        <v/>
      </c>
      <c r="O192" s="20">
        <f>COUNTIFS(tData[SEHTrajectPeriodeDatumTijdVan],"&lt;="&amp;($A192+11/24),tData[SEHTrajectPeriodeDatumTijdTotEnMet],"&gt;"&amp;($A192+11/24))</f>
        <v/>
      </c>
      <c r="P192" s="20">
        <f>COUNTIFS(tData[SEHTrajectPeriodeDatumTijdVan],"&lt;="&amp;($A192+12/24),tData[SEHTrajectPeriodeDatumTijdTotEnMet],"&gt;"&amp;($A192+12/24))</f>
        <v/>
      </c>
      <c r="Q192" s="20">
        <f>COUNTIFS(tData[SEHTrajectPeriodeDatumTijdVan],"&lt;="&amp;($A192+13/24),tData[SEHTrajectPeriodeDatumTijdTotEnMet],"&gt;"&amp;($A192+13/24))</f>
        <v/>
      </c>
      <c r="R192" s="20">
        <f>COUNTIFS(tData[SEHTrajectPeriodeDatumTijdVan],"&lt;="&amp;($A192+14/24),tData[SEHTrajectPeriodeDatumTijdTotEnMet],"&gt;"&amp;($A192+14/24))</f>
        <v/>
      </c>
      <c r="S192" s="20">
        <f>COUNTIFS(tData[SEHTrajectPeriodeDatumTijdVan],"&lt;="&amp;($A192+15/24),tData[SEHTrajectPeriodeDatumTijdTotEnMet],"&gt;"&amp;($A192+15/24))</f>
        <v/>
      </c>
      <c r="T192" s="20">
        <f>COUNTIFS(tData[SEHTrajectPeriodeDatumTijdVan],"&lt;="&amp;($A192+16/24),tData[SEHTrajectPeriodeDatumTijdTotEnMet],"&gt;"&amp;($A192+16/24))</f>
        <v/>
      </c>
      <c r="U192" s="20">
        <f>COUNTIFS(tData[SEHTrajectPeriodeDatumTijdVan],"&lt;="&amp;($A192+17/24),tData[SEHTrajectPeriodeDatumTijdTotEnMet],"&gt;"&amp;($A192+17/24))</f>
        <v/>
      </c>
      <c r="V192" s="20">
        <f>COUNTIFS(tData[SEHTrajectPeriodeDatumTijdVan],"&lt;="&amp;($A192+18/24),tData[SEHTrajectPeriodeDatumTijdTotEnMet],"&gt;"&amp;($A192+18/24))</f>
        <v/>
      </c>
      <c r="W192" s="20">
        <f>COUNTIFS(tData[SEHTrajectPeriodeDatumTijdVan],"&lt;="&amp;($A192+19/24),tData[SEHTrajectPeriodeDatumTijdTotEnMet],"&gt;"&amp;($A192+19/24))</f>
        <v/>
      </c>
      <c r="X192" s="20">
        <f>COUNTIFS(tData[SEHTrajectPeriodeDatumTijdVan],"&lt;="&amp;($A192+20/24),tData[SEHTrajectPeriodeDatumTijdTotEnMet],"&gt;"&amp;($A192+20/24))</f>
        <v/>
      </c>
      <c r="Y192" s="20">
        <f>COUNTIFS(tData[SEHTrajectPeriodeDatumTijdVan],"&lt;="&amp;($A192+21/24),tData[SEHTrajectPeriodeDatumTijdTotEnMet],"&gt;"&amp;($A192+21/24))</f>
        <v/>
      </c>
      <c r="Z192" s="20">
        <f>COUNTIFS(tData[SEHTrajectPeriodeDatumTijdVan],"&lt;="&amp;($A192+22/24),tData[SEHTrajectPeriodeDatumTijdTotEnMet],"&gt;"&amp;($A192+22/24))</f>
        <v/>
      </c>
      <c r="AA192" s="20">
        <f>COUNTIFS(tData[SEHTrajectPeriodeDatumTijdVan],"&lt;="&amp;($A192+23/24),tData[SEHTrajectPeriodeDatumTijdTotEnMet],"&gt;"&amp;($A192+23/24))</f>
        <v/>
      </c>
    </row>
    <row r="193">
      <c r="A193" s="19" t="n">
        <v>45481</v>
      </c>
      <c r="B193" s="15">
        <f>WEEKDAY($A193,2)</f>
        <v/>
      </c>
      <c r="C193" s="15">
        <f>IF(AND($A193&gt;=INT(Instellingen!$B$5),$A193&lt;=INT(Instellingen!$B$6)),1,0)</f>
        <v/>
      </c>
      <c r="D193" s="20">
        <f>COUNTIFS(tData[SEHTrajectPeriodeDatumTijdVan],"&lt;="&amp;($A193+0/24),tData[SEHTrajectPeriodeDatumTijdTotEnMet],"&gt;"&amp;($A193+0/24))</f>
        <v/>
      </c>
      <c r="E193" s="20">
        <f>COUNTIFS(tData[SEHTrajectPeriodeDatumTijdVan],"&lt;="&amp;($A193+1/24),tData[SEHTrajectPeriodeDatumTijdTotEnMet],"&gt;"&amp;($A193+1/24))</f>
        <v/>
      </c>
      <c r="F193" s="20">
        <f>COUNTIFS(tData[SEHTrajectPeriodeDatumTijdVan],"&lt;="&amp;($A193+2/24),tData[SEHTrajectPeriodeDatumTijdTotEnMet],"&gt;"&amp;($A193+2/24))</f>
        <v/>
      </c>
      <c r="G193" s="20">
        <f>COUNTIFS(tData[SEHTrajectPeriodeDatumTijdVan],"&lt;="&amp;($A193+3/24),tData[SEHTrajectPeriodeDatumTijdTotEnMet],"&gt;"&amp;($A193+3/24))</f>
        <v/>
      </c>
      <c r="H193" s="20">
        <f>COUNTIFS(tData[SEHTrajectPeriodeDatumTijdVan],"&lt;="&amp;($A193+4/24),tData[SEHTrajectPeriodeDatumTijdTotEnMet],"&gt;"&amp;($A193+4/24))</f>
        <v/>
      </c>
      <c r="I193" s="20">
        <f>COUNTIFS(tData[SEHTrajectPeriodeDatumTijdVan],"&lt;="&amp;($A193+5/24),tData[SEHTrajectPeriodeDatumTijdTotEnMet],"&gt;"&amp;($A193+5/24))</f>
        <v/>
      </c>
      <c r="J193" s="20">
        <f>COUNTIFS(tData[SEHTrajectPeriodeDatumTijdVan],"&lt;="&amp;($A193+6/24),tData[SEHTrajectPeriodeDatumTijdTotEnMet],"&gt;"&amp;($A193+6/24))</f>
        <v/>
      </c>
      <c r="K193" s="20">
        <f>COUNTIFS(tData[SEHTrajectPeriodeDatumTijdVan],"&lt;="&amp;($A193+7/24),tData[SEHTrajectPeriodeDatumTijdTotEnMet],"&gt;"&amp;($A193+7/24))</f>
        <v/>
      </c>
      <c r="L193" s="20">
        <f>COUNTIFS(tData[SEHTrajectPeriodeDatumTijdVan],"&lt;="&amp;($A193+8/24),tData[SEHTrajectPeriodeDatumTijdTotEnMet],"&gt;"&amp;($A193+8/24))</f>
        <v/>
      </c>
      <c r="M193" s="20">
        <f>COUNTIFS(tData[SEHTrajectPeriodeDatumTijdVan],"&lt;="&amp;($A193+9/24),tData[SEHTrajectPeriodeDatumTijdTotEnMet],"&gt;"&amp;($A193+9/24))</f>
        <v/>
      </c>
      <c r="N193" s="20">
        <f>COUNTIFS(tData[SEHTrajectPeriodeDatumTijdVan],"&lt;="&amp;($A193+10/24),tData[SEHTrajectPeriodeDatumTijdTotEnMet],"&gt;"&amp;($A193+10/24))</f>
        <v/>
      </c>
      <c r="O193" s="20">
        <f>COUNTIFS(tData[SEHTrajectPeriodeDatumTijdVan],"&lt;="&amp;($A193+11/24),tData[SEHTrajectPeriodeDatumTijdTotEnMet],"&gt;"&amp;($A193+11/24))</f>
        <v/>
      </c>
      <c r="P193" s="20">
        <f>COUNTIFS(tData[SEHTrajectPeriodeDatumTijdVan],"&lt;="&amp;($A193+12/24),tData[SEHTrajectPeriodeDatumTijdTotEnMet],"&gt;"&amp;($A193+12/24))</f>
        <v/>
      </c>
      <c r="Q193" s="20">
        <f>COUNTIFS(tData[SEHTrajectPeriodeDatumTijdVan],"&lt;="&amp;($A193+13/24),tData[SEHTrajectPeriodeDatumTijdTotEnMet],"&gt;"&amp;($A193+13/24))</f>
        <v/>
      </c>
      <c r="R193" s="20">
        <f>COUNTIFS(tData[SEHTrajectPeriodeDatumTijdVan],"&lt;="&amp;($A193+14/24),tData[SEHTrajectPeriodeDatumTijdTotEnMet],"&gt;"&amp;($A193+14/24))</f>
        <v/>
      </c>
      <c r="S193" s="20">
        <f>COUNTIFS(tData[SEHTrajectPeriodeDatumTijdVan],"&lt;="&amp;($A193+15/24),tData[SEHTrajectPeriodeDatumTijdTotEnMet],"&gt;"&amp;($A193+15/24))</f>
        <v/>
      </c>
      <c r="T193" s="20">
        <f>COUNTIFS(tData[SEHTrajectPeriodeDatumTijdVan],"&lt;="&amp;($A193+16/24),tData[SEHTrajectPeriodeDatumTijdTotEnMet],"&gt;"&amp;($A193+16/24))</f>
        <v/>
      </c>
      <c r="U193" s="20">
        <f>COUNTIFS(tData[SEHTrajectPeriodeDatumTijdVan],"&lt;="&amp;($A193+17/24),tData[SEHTrajectPeriodeDatumTijdTotEnMet],"&gt;"&amp;($A193+17/24))</f>
        <v/>
      </c>
      <c r="V193" s="20">
        <f>COUNTIFS(tData[SEHTrajectPeriodeDatumTijdVan],"&lt;="&amp;($A193+18/24),tData[SEHTrajectPeriodeDatumTijdTotEnMet],"&gt;"&amp;($A193+18/24))</f>
        <v/>
      </c>
      <c r="W193" s="20">
        <f>COUNTIFS(tData[SEHTrajectPeriodeDatumTijdVan],"&lt;="&amp;($A193+19/24),tData[SEHTrajectPeriodeDatumTijdTotEnMet],"&gt;"&amp;($A193+19/24))</f>
        <v/>
      </c>
      <c r="X193" s="20">
        <f>COUNTIFS(tData[SEHTrajectPeriodeDatumTijdVan],"&lt;="&amp;($A193+20/24),tData[SEHTrajectPeriodeDatumTijdTotEnMet],"&gt;"&amp;($A193+20/24))</f>
        <v/>
      </c>
      <c r="Y193" s="20">
        <f>COUNTIFS(tData[SEHTrajectPeriodeDatumTijdVan],"&lt;="&amp;($A193+21/24),tData[SEHTrajectPeriodeDatumTijdTotEnMet],"&gt;"&amp;($A193+21/24))</f>
        <v/>
      </c>
      <c r="Z193" s="20">
        <f>COUNTIFS(tData[SEHTrajectPeriodeDatumTijdVan],"&lt;="&amp;($A193+22/24),tData[SEHTrajectPeriodeDatumTijdTotEnMet],"&gt;"&amp;($A193+22/24))</f>
        <v/>
      </c>
      <c r="AA193" s="20">
        <f>COUNTIFS(tData[SEHTrajectPeriodeDatumTijdVan],"&lt;="&amp;($A193+23/24),tData[SEHTrajectPeriodeDatumTijdTotEnMet],"&gt;"&amp;($A193+23/24))</f>
        <v/>
      </c>
    </row>
    <row r="194">
      <c r="A194" s="19" t="n">
        <v>45482</v>
      </c>
      <c r="B194" s="15">
        <f>WEEKDAY($A194,2)</f>
        <v/>
      </c>
      <c r="C194" s="15">
        <f>IF(AND($A194&gt;=INT(Instellingen!$B$5),$A194&lt;=INT(Instellingen!$B$6)),1,0)</f>
        <v/>
      </c>
      <c r="D194" s="20">
        <f>COUNTIFS(tData[SEHTrajectPeriodeDatumTijdVan],"&lt;="&amp;($A194+0/24),tData[SEHTrajectPeriodeDatumTijdTotEnMet],"&gt;"&amp;($A194+0/24))</f>
        <v/>
      </c>
      <c r="E194" s="20">
        <f>COUNTIFS(tData[SEHTrajectPeriodeDatumTijdVan],"&lt;="&amp;($A194+1/24),tData[SEHTrajectPeriodeDatumTijdTotEnMet],"&gt;"&amp;($A194+1/24))</f>
        <v/>
      </c>
      <c r="F194" s="20">
        <f>COUNTIFS(tData[SEHTrajectPeriodeDatumTijdVan],"&lt;="&amp;($A194+2/24),tData[SEHTrajectPeriodeDatumTijdTotEnMet],"&gt;"&amp;($A194+2/24))</f>
        <v/>
      </c>
      <c r="G194" s="20">
        <f>COUNTIFS(tData[SEHTrajectPeriodeDatumTijdVan],"&lt;="&amp;($A194+3/24),tData[SEHTrajectPeriodeDatumTijdTotEnMet],"&gt;"&amp;($A194+3/24))</f>
        <v/>
      </c>
      <c r="H194" s="20">
        <f>COUNTIFS(tData[SEHTrajectPeriodeDatumTijdVan],"&lt;="&amp;($A194+4/24),tData[SEHTrajectPeriodeDatumTijdTotEnMet],"&gt;"&amp;($A194+4/24))</f>
        <v/>
      </c>
      <c r="I194" s="20">
        <f>COUNTIFS(tData[SEHTrajectPeriodeDatumTijdVan],"&lt;="&amp;($A194+5/24),tData[SEHTrajectPeriodeDatumTijdTotEnMet],"&gt;"&amp;($A194+5/24))</f>
        <v/>
      </c>
      <c r="J194" s="20">
        <f>COUNTIFS(tData[SEHTrajectPeriodeDatumTijdVan],"&lt;="&amp;($A194+6/24),tData[SEHTrajectPeriodeDatumTijdTotEnMet],"&gt;"&amp;($A194+6/24))</f>
        <v/>
      </c>
      <c r="K194" s="20">
        <f>COUNTIFS(tData[SEHTrajectPeriodeDatumTijdVan],"&lt;="&amp;($A194+7/24),tData[SEHTrajectPeriodeDatumTijdTotEnMet],"&gt;"&amp;($A194+7/24))</f>
        <v/>
      </c>
      <c r="L194" s="20">
        <f>COUNTIFS(tData[SEHTrajectPeriodeDatumTijdVan],"&lt;="&amp;($A194+8/24),tData[SEHTrajectPeriodeDatumTijdTotEnMet],"&gt;"&amp;($A194+8/24))</f>
        <v/>
      </c>
      <c r="M194" s="20">
        <f>COUNTIFS(tData[SEHTrajectPeriodeDatumTijdVan],"&lt;="&amp;($A194+9/24),tData[SEHTrajectPeriodeDatumTijdTotEnMet],"&gt;"&amp;($A194+9/24))</f>
        <v/>
      </c>
      <c r="N194" s="20">
        <f>COUNTIFS(tData[SEHTrajectPeriodeDatumTijdVan],"&lt;="&amp;($A194+10/24),tData[SEHTrajectPeriodeDatumTijdTotEnMet],"&gt;"&amp;($A194+10/24))</f>
        <v/>
      </c>
      <c r="O194" s="20">
        <f>COUNTIFS(tData[SEHTrajectPeriodeDatumTijdVan],"&lt;="&amp;($A194+11/24),tData[SEHTrajectPeriodeDatumTijdTotEnMet],"&gt;"&amp;($A194+11/24))</f>
        <v/>
      </c>
      <c r="P194" s="20">
        <f>COUNTIFS(tData[SEHTrajectPeriodeDatumTijdVan],"&lt;="&amp;($A194+12/24),tData[SEHTrajectPeriodeDatumTijdTotEnMet],"&gt;"&amp;($A194+12/24))</f>
        <v/>
      </c>
      <c r="Q194" s="20">
        <f>COUNTIFS(tData[SEHTrajectPeriodeDatumTijdVan],"&lt;="&amp;($A194+13/24),tData[SEHTrajectPeriodeDatumTijdTotEnMet],"&gt;"&amp;($A194+13/24))</f>
        <v/>
      </c>
      <c r="R194" s="20">
        <f>COUNTIFS(tData[SEHTrajectPeriodeDatumTijdVan],"&lt;="&amp;($A194+14/24),tData[SEHTrajectPeriodeDatumTijdTotEnMet],"&gt;"&amp;($A194+14/24))</f>
        <v/>
      </c>
      <c r="S194" s="20">
        <f>COUNTIFS(tData[SEHTrajectPeriodeDatumTijdVan],"&lt;="&amp;($A194+15/24),tData[SEHTrajectPeriodeDatumTijdTotEnMet],"&gt;"&amp;($A194+15/24))</f>
        <v/>
      </c>
      <c r="T194" s="20">
        <f>COUNTIFS(tData[SEHTrajectPeriodeDatumTijdVan],"&lt;="&amp;($A194+16/24),tData[SEHTrajectPeriodeDatumTijdTotEnMet],"&gt;"&amp;($A194+16/24))</f>
        <v/>
      </c>
      <c r="U194" s="20">
        <f>COUNTIFS(tData[SEHTrajectPeriodeDatumTijdVan],"&lt;="&amp;($A194+17/24),tData[SEHTrajectPeriodeDatumTijdTotEnMet],"&gt;"&amp;($A194+17/24))</f>
        <v/>
      </c>
      <c r="V194" s="20">
        <f>COUNTIFS(tData[SEHTrajectPeriodeDatumTijdVan],"&lt;="&amp;($A194+18/24),tData[SEHTrajectPeriodeDatumTijdTotEnMet],"&gt;"&amp;($A194+18/24))</f>
        <v/>
      </c>
      <c r="W194" s="20">
        <f>COUNTIFS(tData[SEHTrajectPeriodeDatumTijdVan],"&lt;="&amp;($A194+19/24),tData[SEHTrajectPeriodeDatumTijdTotEnMet],"&gt;"&amp;($A194+19/24))</f>
        <v/>
      </c>
      <c r="X194" s="20">
        <f>COUNTIFS(tData[SEHTrajectPeriodeDatumTijdVan],"&lt;="&amp;($A194+20/24),tData[SEHTrajectPeriodeDatumTijdTotEnMet],"&gt;"&amp;($A194+20/24))</f>
        <v/>
      </c>
      <c r="Y194" s="20">
        <f>COUNTIFS(tData[SEHTrajectPeriodeDatumTijdVan],"&lt;="&amp;($A194+21/24),tData[SEHTrajectPeriodeDatumTijdTotEnMet],"&gt;"&amp;($A194+21/24))</f>
        <v/>
      </c>
      <c r="Z194" s="20">
        <f>COUNTIFS(tData[SEHTrajectPeriodeDatumTijdVan],"&lt;="&amp;($A194+22/24),tData[SEHTrajectPeriodeDatumTijdTotEnMet],"&gt;"&amp;($A194+22/24))</f>
        <v/>
      </c>
      <c r="AA194" s="20">
        <f>COUNTIFS(tData[SEHTrajectPeriodeDatumTijdVan],"&lt;="&amp;($A194+23/24),tData[SEHTrajectPeriodeDatumTijdTotEnMet],"&gt;"&amp;($A194+23/24))</f>
        <v/>
      </c>
    </row>
    <row r="195">
      <c r="A195" s="19" t="n">
        <v>45483</v>
      </c>
      <c r="B195" s="15">
        <f>WEEKDAY($A195,2)</f>
        <v/>
      </c>
      <c r="C195" s="15">
        <f>IF(AND($A195&gt;=INT(Instellingen!$B$5),$A195&lt;=INT(Instellingen!$B$6)),1,0)</f>
        <v/>
      </c>
      <c r="D195" s="20">
        <f>COUNTIFS(tData[SEHTrajectPeriodeDatumTijdVan],"&lt;="&amp;($A195+0/24),tData[SEHTrajectPeriodeDatumTijdTotEnMet],"&gt;"&amp;($A195+0/24))</f>
        <v/>
      </c>
      <c r="E195" s="20">
        <f>COUNTIFS(tData[SEHTrajectPeriodeDatumTijdVan],"&lt;="&amp;($A195+1/24),tData[SEHTrajectPeriodeDatumTijdTotEnMet],"&gt;"&amp;($A195+1/24))</f>
        <v/>
      </c>
      <c r="F195" s="20">
        <f>COUNTIFS(tData[SEHTrajectPeriodeDatumTijdVan],"&lt;="&amp;($A195+2/24),tData[SEHTrajectPeriodeDatumTijdTotEnMet],"&gt;"&amp;($A195+2/24))</f>
        <v/>
      </c>
      <c r="G195" s="20">
        <f>COUNTIFS(tData[SEHTrajectPeriodeDatumTijdVan],"&lt;="&amp;($A195+3/24),tData[SEHTrajectPeriodeDatumTijdTotEnMet],"&gt;"&amp;($A195+3/24))</f>
        <v/>
      </c>
      <c r="H195" s="20">
        <f>COUNTIFS(tData[SEHTrajectPeriodeDatumTijdVan],"&lt;="&amp;($A195+4/24),tData[SEHTrajectPeriodeDatumTijdTotEnMet],"&gt;"&amp;($A195+4/24))</f>
        <v/>
      </c>
      <c r="I195" s="20">
        <f>COUNTIFS(tData[SEHTrajectPeriodeDatumTijdVan],"&lt;="&amp;($A195+5/24),tData[SEHTrajectPeriodeDatumTijdTotEnMet],"&gt;"&amp;($A195+5/24))</f>
        <v/>
      </c>
      <c r="J195" s="20">
        <f>COUNTIFS(tData[SEHTrajectPeriodeDatumTijdVan],"&lt;="&amp;($A195+6/24),tData[SEHTrajectPeriodeDatumTijdTotEnMet],"&gt;"&amp;($A195+6/24))</f>
        <v/>
      </c>
      <c r="K195" s="20">
        <f>COUNTIFS(tData[SEHTrajectPeriodeDatumTijdVan],"&lt;="&amp;($A195+7/24),tData[SEHTrajectPeriodeDatumTijdTotEnMet],"&gt;"&amp;($A195+7/24))</f>
        <v/>
      </c>
      <c r="L195" s="20">
        <f>COUNTIFS(tData[SEHTrajectPeriodeDatumTijdVan],"&lt;="&amp;($A195+8/24),tData[SEHTrajectPeriodeDatumTijdTotEnMet],"&gt;"&amp;($A195+8/24))</f>
        <v/>
      </c>
      <c r="M195" s="20">
        <f>COUNTIFS(tData[SEHTrajectPeriodeDatumTijdVan],"&lt;="&amp;($A195+9/24),tData[SEHTrajectPeriodeDatumTijdTotEnMet],"&gt;"&amp;($A195+9/24))</f>
        <v/>
      </c>
      <c r="N195" s="20">
        <f>COUNTIFS(tData[SEHTrajectPeriodeDatumTijdVan],"&lt;="&amp;($A195+10/24),tData[SEHTrajectPeriodeDatumTijdTotEnMet],"&gt;"&amp;($A195+10/24))</f>
        <v/>
      </c>
      <c r="O195" s="20">
        <f>COUNTIFS(tData[SEHTrajectPeriodeDatumTijdVan],"&lt;="&amp;($A195+11/24),tData[SEHTrajectPeriodeDatumTijdTotEnMet],"&gt;"&amp;($A195+11/24))</f>
        <v/>
      </c>
      <c r="P195" s="20">
        <f>COUNTIFS(tData[SEHTrajectPeriodeDatumTijdVan],"&lt;="&amp;($A195+12/24),tData[SEHTrajectPeriodeDatumTijdTotEnMet],"&gt;"&amp;($A195+12/24))</f>
        <v/>
      </c>
      <c r="Q195" s="20">
        <f>COUNTIFS(tData[SEHTrajectPeriodeDatumTijdVan],"&lt;="&amp;($A195+13/24),tData[SEHTrajectPeriodeDatumTijdTotEnMet],"&gt;"&amp;($A195+13/24))</f>
        <v/>
      </c>
      <c r="R195" s="20">
        <f>COUNTIFS(tData[SEHTrajectPeriodeDatumTijdVan],"&lt;="&amp;($A195+14/24),tData[SEHTrajectPeriodeDatumTijdTotEnMet],"&gt;"&amp;($A195+14/24))</f>
        <v/>
      </c>
      <c r="S195" s="20">
        <f>COUNTIFS(tData[SEHTrajectPeriodeDatumTijdVan],"&lt;="&amp;($A195+15/24),tData[SEHTrajectPeriodeDatumTijdTotEnMet],"&gt;"&amp;($A195+15/24))</f>
        <v/>
      </c>
      <c r="T195" s="20">
        <f>COUNTIFS(tData[SEHTrajectPeriodeDatumTijdVan],"&lt;="&amp;($A195+16/24),tData[SEHTrajectPeriodeDatumTijdTotEnMet],"&gt;"&amp;($A195+16/24))</f>
        <v/>
      </c>
      <c r="U195" s="20">
        <f>COUNTIFS(tData[SEHTrajectPeriodeDatumTijdVan],"&lt;="&amp;($A195+17/24),tData[SEHTrajectPeriodeDatumTijdTotEnMet],"&gt;"&amp;($A195+17/24))</f>
        <v/>
      </c>
      <c r="V195" s="20">
        <f>COUNTIFS(tData[SEHTrajectPeriodeDatumTijdVan],"&lt;="&amp;($A195+18/24),tData[SEHTrajectPeriodeDatumTijdTotEnMet],"&gt;"&amp;($A195+18/24))</f>
        <v/>
      </c>
      <c r="W195" s="20">
        <f>COUNTIFS(tData[SEHTrajectPeriodeDatumTijdVan],"&lt;="&amp;($A195+19/24),tData[SEHTrajectPeriodeDatumTijdTotEnMet],"&gt;"&amp;($A195+19/24))</f>
        <v/>
      </c>
      <c r="X195" s="20">
        <f>COUNTIFS(tData[SEHTrajectPeriodeDatumTijdVan],"&lt;="&amp;($A195+20/24),tData[SEHTrajectPeriodeDatumTijdTotEnMet],"&gt;"&amp;($A195+20/24))</f>
        <v/>
      </c>
      <c r="Y195" s="20">
        <f>COUNTIFS(tData[SEHTrajectPeriodeDatumTijdVan],"&lt;="&amp;($A195+21/24),tData[SEHTrajectPeriodeDatumTijdTotEnMet],"&gt;"&amp;($A195+21/24))</f>
        <v/>
      </c>
      <c r="Z195" s="20">
        <f>COUNTIFS(tData[SEHTrajectPeriodeDatumTijdVan],"&lt;="&amp;($A195+22/24),tData[SEHTrajectPeriodeDatumTijdTotEnMet],"&gt;"&amp;($A195+22/24))</f>
        <v/>
      </c>
      <c r="AA195" s="20">
        <f>COUNTIFS(tData[SEHTrajectPeriodeDatumTijdVan],"&lt;="&amp;($A195+23/24),tData[SEHTrajectPeriodeDatumTijdTotEnMet],"&gt;"&amp;($A195+23/24))</f>
        <v/>
      </c>
    </row>
    <row r="196">
      <c r="A196" s="19" t="n">
        <v>45484</v>
      </c>
      <c r="B196" s="15">
        <f>WEEKDAY($A196,2)</f>
        <v/>
      </c>
      <c r="C196" s="15">
        <f>IF(AND($A196&gt;=INT(Instellingen!$B$5),$A196&lt;=INT(Instellingen!$B$6)),1,0)</f>
        <v/>
      </c>
      <c r="D196" s="20">
        <f>COUNTIFS(tData[SEHTrajectPeriodeDatumTijdVan],"&lt;="&amp;($A196+0/24),tData[SEHTrajectPeriodeDatumTijdTotEnMet],"&gt;"&amp;($A196+0/24))</f>
        <v/>
      </c>
      <c r="E196" s="20">
        <f>COUNTIFS(tData[SEHTrajectPeriodeDatumTijdVan],"&lt;="&amp;($A196+1/24),tData[SEHTrajectPeriodeDatumTijdTotEnMet],"&gt;"&amp;($A196+1/24))</f>
        <v/>
      </c>
      <c r="F196" s="20">
        <f>COUNTIFS(tData[SEHTrajectPeriodeDatumTijdVan],"&lt;="&amp;($A196+2/24),tData[SEHTrajectPeriodeDatumTijdTotEnMet],"&gt;"&amp;($A196+2/24))</f>
        <v/>
      </c>
      <c r="G196" s="20">
        <f>COUNTIFS(tData[SEHTrajectPeriodeDatumTijdVan],"&lt;="&amp;($A196+3/24),tData[SEHTrajectPeriodeDatumTijdTotEnMet],"&gt;"&amp;($A196+3/24))</f>
        <v/>
      </c>
      <c r="H196" s="20">
        <f>COUNTIFS(tData[SEHTrajectPeriodeDatumTijdVan],"&lt;="&amp;($A196+4/24),tData[SEHTrajectPeriodeDatumTijdTotEnMet],"&gt;"&amp;($A196+4/24))</f>
        <v/>
      </c>
      <c r="I196" s="20">
        <f>COUNTIFS(tData[SEHTrajectPeriodeDatumTijdVan],"&lt;="&amp;($A196+5/24),tData[SEHTrajectPeriodeDatumTijdTotEnMet],"&gt;"&amp;($A196+5/24))</f>
        <v/>
      </c>
      <c r="J196" s="20">
        <f>COUNTIFS(tData[SEHTrajectPeriodeDatumTijdVan],"&lt;="&amp;($A196+6/24),tData[SEHTrajectPeriodeDatumTijdTotEnMet],"&gt;"&amp;($A196+6/24))</f>
        <v/>
      </c>
      <c r="K196" s="20">
        <f>COUNTIFS(tData[SEHTrajectPeriodeDatumTijdVan],"&lt;="&amp;($A196+7/24),tData[SEHTrajectPeriodeDatumTijdTotEnMet],"&gt;"&amp;($A196+7/24))</f>
        <v/>
      </c>
      <c r="L196" s="20">
        <f>COUNTIFS(tData[SEHTrajectPeriodeDatumTijdVan],"&lt;="&amp;($A196+8/24),tData[SEHTrajectPeriodeDatumTijdTotEnMet],"&gt;"&amp;($A196+8/24))</f>
        <v/>
      </c>
      <c r="M196" s="20">
        <f>COUNTIFS(tData[SEHTrajectPeriodeDatumTijdVan],"&lt;="&amp;($A196+9/24),tData[SEHTrajectPeriodeDatumTijdTotEnMet],"&gt;"&amp;($A196+9/24))</f>
        <v/>
      </c>
      <c r="N196" s="20">
        <f>COUNTIFS(tData[SEHTrajectPeriodeDatumTijdVan],"&lt;="&amp;($A196+10/24),tData[SEHTrajectPeriodeDatumTijdTotEnMet],"&gt;"&amp;($A196+10/24))</f>
        <v/>
      </c>
      <c r="O196" s="20">
        <f>COUNTIFS(tData[SEHTrajectPeriodeDatumTijdVan],"&lt;="&amp;($A196+11/24),tData[SEHTrajectPeriodeDatumTijdTotEnMet],"&gt;"&amp;($A196+11/24))</f>
        <v/>
      </c>
      <c r="P196" s="20">
        <f>COUNTIFS(tData[SEHTrajectPeriodeDatumTijdVan],"&lt;="&amp;($A196+12/24),tData[SEHTrajectPeriodeDatumTijdTotEnMet],"&gt;"&amp;($A196+12/24))</f>
        <v/>
      </c>
      <c r="Q196" s="20">
        <f>COUNTIFS(tData[SEHTrajectPeriodeDatumTijdVan],"&lt;="&amp;($A196+13/24),tData[SEHTrajectPeriodeDatumTijdTotEnMet],"&gt;"&amp;($A196+13/24))</f>
        <v/>
      </c>
      <c r="R196" s="20">
        <f>COUNTIFS(tData[SEHTrajectPeriodeDatumTijdVan],"&lt;="&amp;($A196+14/24),tData[SEHTrajectPeriodeDatumTijdTotEnMet],"&gt;"&amp;($A196+14/24))</f>
        <v/>
      </c>
      <c r="S196" s="20">
        <f>COUNTIFS(tData[SEHTrajectPeriodeDatumTijdVan],"&lt;="&amp;($A196+15/24),tData[SEHTrajectPeriodeDatumTijdTotEnMet],"&gt;"&amp;($A196+15/24))</f>
        <v/>
      </c>
      <c r="T196" s="20">
        <f>COUNTIFS(tData[SEHTrajectPeriodeDatumTijdVan],"&lt;="&amp;($A196+16/24),tData[SEHTrajectPeriodeDatumTijdTotEnMet],"&gt;"&amp;($A196+16/24))</f>
        <v/>
      </c>
      <c r="U196" s="20">
        <f>COUNTIFS(tData[SEHTrajectPeriodeDatumTijdVan],"&lt;="&amp;($A196+17/24),tData[SEHTrajectPeriodeDatumTijdTotEnMet],"&gt;"&amp;($A196+17/24))</f>
        <v/>
      </c>
      <c r="V196" s="20">
        <f>COUNTIFS(tData[SEHTrajectPeriodeDatumTijdVan],"&lt;="&amp;($A196+18/24),tData[SEHTrajectPeriodeDatumTijdTotEnMet],"&gt;"&amp;($A196+18/24))</f>
        <v/>
      </c>
      <c r="W196" s="20">
        <f>COUNTIFS(tData[SEHTrajectPeriodeDatumTijdVan],"&lt;="&amp;($A196+19/24),tData[SEHTrajectPeriodeDatumTijdTotEnMet],"&gt;"&amp;($A196+19/24))</f>
        <v/>
      </c>
      <c r="X196" s="20">
        <f>COUNTIFS(tData[SEHTrajectPeriodeDatumTijdVan],"&lt;="&amp;($A196+20/24),tData[SEHTrajectPeriodeDatumTijdTotEnMet],"&gt;"&amp;($A196+20/24))</f>
        <v/>
      </c>
      <c r="Y196" s="20">
        <f>COUNTIFS(tData[SEHTrajectPeriodeDatumTijdVan],"&lt;="&amp;($A196+21/24),tData[SEHTrajectPeriodeDatumTijdTotEnMet],"&gt;"&amp;($A196+21/24))</f>
        <v/>
      </c>
      <c r="Z196" s="20">
        <f>COUNTIFS(tData[SEHTrajectPeriodeDatumTijdVan],"&lt;="&amp;($A196+22/24),tData[SEHTrajectPeriodeDatumTijdTotEnMet],"&gt;"&amp;($A196+22/24))</f>
        <v/>
      </c>
      <c r="AA196" s="20">
        <f>COUNTIFS(tData[SEHTrajectPeriodeDatumTijdVan],"&lt;="&amp;($A196+23/24),tData[SEHTrajectPeriodeDatumTijdTotEnMet],"&gt;"&amp;($A196+23/24))</f>
        <v/>
      </c>
    </row>
    <row r="197">
      <c r="A197" s="19" t="n">
        <v>45485</v>
      </c>
      <c r="B197" s="15">
        <f>WEEKDAY($A197,2)</f>
        <v/>
      </c>
      <c r="C197" s="15">
        <f>IF(AND($A197&gt;=INT(Instellingen!$B$5),$A197&lt;=INT(Instellingen!$B$6)),1,0)</f>
        <v/>
      </c>
      <c r="D197" s="20">
        <f>COUNTIFS(tData[SEHTrajectPeriodeDatumTijdVan],"&lt;="&amp;($A197+0/24),tData[SEHTrajectPeriodeDatumTijdTotEnMet],"&gt;"&amp;($A197+0/24))</f>
        <v/>
      </c>
      <c r="E197" s="20">
        <f>COUNTIFS(tData[SEHTrajectPeriodeDatumTijdVan],"&lt;="&amp;($A197+1/24),tData[SEHTrajectPeriodeDatumTijdTotEnMet],"&gt;"&amp;($A197+1/24))</f>
        <v/>
      </c>
      <c r="F197" s="20">
        <f>COUNTIFS(tData[SEHTrajectPeriodeDatumTijdVan],"&lt;="&amp;($A197+2/24),tData[SEHTrajectPeriodeDatumTijdTotEnMet],"&gt;"&amp;($A197+2/24))</f>
        <v/>
      </c>
      <c r="G197" s="20">
        <f>COUNTIFS(tData[SEHTrajectPeriodeDatumTijdVan],"&lt;="&amp;($A197+3/24),tData[SEHTrajectPeriodeDatumTijdTotEnMet],"&gt;"&amp;($A197+3/24))</f>
        <v/>
      </c>
      <c r="H197" s="20">
        <f>COUNTIFS(tData[SEHTrajectPeriodeDatumTijdVan],"&lt;="&amp;($A197+4/24),tData[SEHTrajectPeriodeDatumTijdTotEnMet],"&gt;"&amp;($A197+4/24))</f>
        <v/>
      </c>
      <c r="I197" s="20">
        <f>COUNTIFS(tData[SEHTrajectPeriodeDatumTijdVan],"&lt;="&amp;($A197+5/24),tData[SEHTrajectPeriodeDatumTijdTotEnMet],"&gt;"&amp;($A197+5/24))</f>
        <v/>
      </c>
      <c r="J197" s="20">
        <f>COUNTIFS(tData[SEHTrajectPeriodeDatumTijdVan],"&lt;="&amp;($A197+6/24),tData[SEHTrajectPeriodeDatumTijdTotEnMet],"&gt;"&amp;($A197+6/24))</f>
        <v/>
      </c>
      <c r="K197" s="20">
        <f>COUNTIFS(tData[SEHTrajectPeriodeDatumTijdVan],"&lt;="&amp;($A197+7/24),tData[SEHTrajectPeriodeDatumTijdTotEnMet],"&gt;"&amp;($A197+7/24))</f>
        <v/>
      </c>
      <c r="L197" s="20">
        <f>COUNTIFS(tData[SEHTrajectPeriodeDatumTijdVan],"&lt;="&amp;($A197+8/24),tData[SEHTrajectPeriodeDatumTijdTotEnMet],"&gt;"&amp;($A197+8/24))</f>
        <v/>
      </c>
      <c r="M197" s="20">
        <f>COUNTIFS(tData[SEHTrajectPeriodeDatumTijdVan],"&lt;="&amp;($A197+9/24),tData[SEHTrajectPeriodeDatumTijdTotEnMet],"&gt;"&amp;($A197+9/24))</f>
        <v/>
      </c>
      <c r="N197" s="20">
        <f>COUNTIFS(tData[SEHTrajectPeriodeDatumTijdVan],"&lt;="&amp;($A197+10/24),tData[SEHTrajectPeriodeDatumTijdTotEnMet],"&gt;"&amp;($A197+10/24))</f>
        <v/>
      </c>
      <c r="O197" s="20">
        <f>COUNTIFS(tData[SEHTrajectPeriodeDatumTijdVan],"&lt;="&amp;($A197+11/24),tData[SEHTrajectPeriodeDatumTijdTotEnMet],"&gt;"&amp;($A197+11/24))</f>
        <v/>
      </c>
      <c r="P197" s="20">
        <f>COUNTIFS(tData[SEHTrajectPeriodeDatumTijdVan],"&lt;="&amp;($A197+12/24),tData[SEHTrajectPeriodeDatumTijdTotEnMet],"&gt;"&amp;($A197+12/24))</f>
        <v/>
      </c>
      <c r="Q197" s="20">
        <f>COUNTIFS(tData[SEHTrajectPeriodeDatumTijdVan],"&lt;="&amp;($A197+13/24),tData[SEHTrajectPeriodeDatumTijdTotEnMet],"&gt;"&amp;($A197+13/24))</f>
        <v/>
      </c>
      <c r="R197" s="20">
        <f>COUNTIFS(tData[SEHTrajectPeriodeDatumTijdVan],"&lt;="&amp;($A197+14/24),tData[SEHTrajectPeriodeDatumTijdTotEnMet],"&gt;"&amp;($A197+14/24))</f>
        <v/>
      </c>
      <c r="S197" s="20">
        <f>COUNTIFS(tData[SEHTrajectPeriodeDatumTijdVan],"&lt;="&amp;($A197+15/24),tData[SEHTrajectPeriodeDatumTijdTotEnMet],"&gt;"&amp;($A197+15/24))</f>
        <v/>
      </c>
      <c r="T197" s="20">
        <f>COUNTIFS(tData[SEHTrajectPeriodeDatumTijdVan],"&lt;="&amp;($A197+16/24),tData[SEHTrajectPeriodeDatumTijdTotEnMet],"&gt;"&amp;($A197+16/24))</f>
        <v/>
      </c>
      <c r="U197" s="20">
        <f>COUNTIFS(tData[SEHTrajectPeriodeDatumTijdVan],"&lt;="&amp;($A197+17/24),tData[SEHTrajectPeriodeDatumTijdTotEnMet],"&gt;"&amp;($A197+17/24))</f>
        <v/>
      </c>
      <c r="V197" s="20">
        <f>COUNTIFS(tData[SEHTrajectPeriodeDatumTijdVan],"&lt;="&amp;($A197+18/24),tData[SEHTrajectPeriodeDatumTijdTotEnMet],"&gt;"&amp;($A197+18/24))</f>
        <v/>
      </c>
      <c r="W197" s="20">
        <f>COUNTIFS(tData[SEHTrajectPeriodeDatumTijdVan],"&lt;="&amp;($A197+19/24),tData[SEHTrajectPeriodeDatumTijdTotEnMet],"&gt;"&amp;($A197+19/24))</f>
        <v/>
      </c>
      <c r="X197" s="20">
        <f>COUNTIFS(tData[SEHTrajectPeriodeDatumTijdVan],"&lt;="&amp;($A197+20/24),tData[SEHTrajectPeriodeDatumTijdTotEnMet],"&gt;"&amp;($A197+20/24))</f>
        <v/>
      </c>
      <c r="Y197" s="20">
        <f>COUNTIFS(tData[SEHTrajectPeriodeDatumTijdVan],"&lt;="&amp;($A197+21/24),tData[SEHTrajectPeriodeDatumTijdTotEnMet],"&gt;"&amp;($A197+21/24))</f>
        <v/>
      </c>
      <c r="Z197" s="20">
        <f>COUNTIFS(tData[SEHTrajectPeriodeDatumTijdVan],"&lt;="&amp;($A197+22/24),tData[SEHTrajectPeriodeDatumTijdTotEnMet],"&gt;"&amp;($A197+22/24))</f>
        <v/>
      </c>
      <c r="AA197" s="20">
        <f>COUNTIFS(tData[SEHTrajectPeriodeDatumTijdVan],"&lt;="&amp;($A197+23/24),tData[SEHTrajectPeriodeDatumTijdTotEnMet],"&gt;"&amp;($A197+23/24))</f>
        <v/>
      </c>
    </row>
    <row r="198">
      <c r="A198" s="19" t="n">
        <v>45486</v>
      </c>
      <c r="B198" s="15">
        <f>WEEKDAY($A198,2)</f>
        <v/>
      </c>
      <c r="C198" s="15">
        <f>IF(AND($A198&gt;=INT(Instellingen!$B$5),$A198&lt;=INT(Instellingen!$B$6)),1,0)</f>
        <v/>
      </c>
      <c r="D198" s="20">
        <f>COUNTIFS(tData[SEHTrajectPeriodeDatumTijdVan],"&lt;="&amp;($A198+0/24),tData[SEHTrajectPeriodeDatumTijdTotEnMet],"&gt;"&amp;($A198+0/24))</f>
        <v/>
      </c>
      <c r="E198" s="20">
        <f>COUNTIFS(tData[SEHTrajectPeriodeDatumTijdVan],"&lt;="&amp;($A198+1/24),tData[SEHTrajectPeriodeDatumTijdTotEnMet],"&gt;"&amp;($A198+1/24))</f>
        <v/>
      </c>
      <c r="F198" s="20">
        <f>COUNTIFS(tData[SEHTrajectPeriodeDatumTijdVan],"&lt;="&amp;($A198+2/24),tData[SEHTrajectPeriodeDatumTijdTotEnMet],"&gt;"&amp;($A198+2/24))</f>
        <v/>
      </c>
      <c r="G198" s="20">
        <f>COUNTIFS(tData[SEHTrajectPeriodeDatumTijdVan],"&lt;="&amp;($A198+3/24),tData[SEHTrajectPeriodeDatumTijdTotEnMet],"&gt;"&amp;($A198+3/24))</f>
        <v/>
      </c>
      <c r="H198" s="20">
        <f>COUNTIFS(tData[SEHTrajectPeriodeDatumTijdVan],"&lt;="&amp;($A198+4/24),tData[SEHTrajectPeriodeDatumTijdTotEnMet],"&gt;"&amp;($A198+4/24))</f>
        <v/>
      </c>
      <c r="I198" s="20">
        <f>COUNTIFS(tData[SEHTrajectPeriodeDatumTijdVan],"&lt;="&amp;($A198+5/24),tData[SEHTrajectPeriodeDatumTijdTotEnMet],"&gt;"&amp;($A198+5/24))</f>
        <v/>
      </c>
      <c r="J198" s="20">
        <f>COUNTIFS(tData[SEHTrajectPeriodeDatumTijdVan],"&lt;="&amp;($A198+6/24),tData[SEHTrajectPeriodeDatumTijdTotEnMet],"&gt;"&amp;($A198+6/24))</f>
        <v/>
      </c>
      <c r="K198" s="20">
        <f>COUNTIFS(tData[SEHTrajectPeriodeDatumTijdVan],"&lt;="&amp;($A198+7/24),tData[SEHTrajectPeriodeDatumTijdTotEnMet],"&gt;"&amp;($A198+7/24))</f>
        <v/>
      </c>
      <c r="L198" s="20">
        <f>COUNTIFS(tData[SEHTrajectPeriodeDatumTijdVan],"&lt;="&amp;($A198+8/24),tData[SEHTrajectPeriodeDatumTijdTotEnMet],"&gt;"&amp;($A198+8/24))</f>
        <v/>
      </c>
      <c r="M198" s="20">
        <f>COUNTIFS(tData[SEHTrajectPeriodeDatumTijdVan],"&lt;="&amp;($A198+9/24),tData[SEHTrajectPeriodeDatumTijdTotEnMet],"&gt;"&amp;($A198+9/24))</f>
        <v/>
      </c>
      <c r="N198" s="20">
        <f>COUNTIFS(tData[SEHTrajectPeriodeDatumTijdVan],"&lt;="&amp;($A198+10/24),tData[SEHTrajectPeriodeDatumTijdTotEnMet],"&gt;"&amp;($A198+10/24))</f>
        <v/>
      </c>
      <c r="O198" s="20">
        <f>COUNTIFS(tData[SEHTrajectPeriodeDatumTijdVan],"&lt;="&amp;($A198+11/24),tData[SEHTrajectPeriodeDatumTijdTotEnMet],"&gt;"&amp;($A198+11/24))</f>
        <v/>
      </c>
      <c r="P198" s="20">
        <f>COUNTIFS(tData[SEHTrajectPeriodeDatumTijdVan],"&lt;="&amp;($A198+12/24),tData[SEHTrajectPeriodeDatumTijdTotEnMet],"&gt;"&amp;($A198+12/24))</f>
        <v/>
      </c>
      <c r="Q198" s="20">
        <f>COUNTIFS(tData[SEHTrajectPeriodeDatumTijdVan],"&lt;="&amp;($A198+13/24),tData[SEHTrajectPeriodeDatumTijdTotEnMet],"&gt;"&amp;($A198+13/24))</f>
        <v/>
      </c>
      <c r="R198" s="20">
        <f>COUNTIFS(tData[SEHTrajectPeriodeDatumTijdVan],"&lt;="&amp;($A198+14/24),tData[SEHTrajectPeriodeDatumTijdTotEnMet],"&gt;"&amp;($A198+14/24))</f>
        <v/>
      </c>
      <c r="S198" s="20">
        <f>COUNTIFS(tData[SEHTrajectPeriodeDatumTijdVan],"&lt;="&amp;($A198+15/24),tData[SEHTrajectPeriodeDatumTijdTotEnMet],"&gt;"&amp;($A198+15/24))</f>
        <v/>
      </c>
      <c r="T198" s="20">
        <f>COUNTIFS(tData[SEHTrajectPeriodeDatumTijdVan],"&lt;="&amp;($A198+16/24),tData[SEHTrajectPeriodeDatumTijdTotEnMet],"&gt;"&amp;($A198+16/24))</f>
        <v/>
      </c>
      <c r="U198" s="20">
        <f>COUNTIFS(tData[SEHTrajectPeriodeDatumTijdVan],"&lt;="&amp;($A198+17/24),tData[SEHTrajectPeriodeDatumTijdTotEnMet],"&gt;"&amp;($A198+17/24))</f>
        <v/>
      </c>
      <c r="V198" s="20">
        <f>COUNTIFS(tData[SEHTrajectPeriodeDatumTijdVan],"&lt;="&amp;($A198+18/24),tData[SEHTrajectPeriodeDatumTijdTotEnMet],"&gt;"&amp;($A198+18/24))</f>
        <v/>
      </c>
      <c r="W198" s="20">
        <f>COUNTIFS(tData[SEHTrajectPeriodeDatumTijdVan],"&lt;="&amp;($A198+19/24),tData[SEHTrajectPeriodeDatumTijdTotEnMet],"&gt;"&amp;($A198+19/24))</f>
        <v/>
      </c>
      <c r="X198" s="20">
        <f>COUNTIFS(tData[SEHTrajectPeriodeDatumTijdVan],"&lt;="&amp;($A198+20/24),tData[SEHTrajectPeriodeDatumTijdTotEnMet],"&gt;"&amp;($A198+20/24))</f>
        <v/>
      </c>
      <c r="Y198" s="20">
        <f>COUNTIFS(tData[SEHTrajectPeriodeDatumTijdVan],"&lt;="&amp;($A198+21/24),tData[SEHTrajectPeriodeDatumTijdTotEnMet],"&gt;"&amp;($A198+21/24))</f>
        <v/>
      </c>
      <c r="Z198" s="20">
        <f>COUNTIFS(tData[SEHTrajectPeriodeDatumTijdVan],"&lt;="&amp;($A198+22/24),tData[SEHTrajectPeriodeDatumTijdTotEnMet],"&gt;"&amp;($A198+22/24))</f>
        <v/>
      </c>
      <c r="AA198" s="20">
        <f>COUNTIFS(tData[SEHTrajectPeriodeDatumTijdVan],"&lt;="&amp;($A198+23/24),tData[SEHTrajectPeriodeDatumTijdTotEnMet],"&gt;"&amp;($A198+23/24))</f>
        <v/>
      </c>
    </row>
    <row r="199">
      <c r="A199" s="19" t="n">
        <v>45487</v>
      </c>
      <c r="B199" s="15">
        <f>WEEKDAY($A199,2)</f>
        <v/>
      </c>
      <c r="C199" s="15">
        <f>IF(AND($A199&gt;=INT(Instellingen!$B$5),$A199&lt;=INT(Instellingen!$B$6)),1,0)</f>
        <v/>
      </c>
      <c r="D199" s="20">
        <f>COUNTIFS(tData[SEHTrajectPeriodeDatumTijdVan],"&lt;="&amp;($A199+0/24),tData[SEHTrajectPeriodeDatumTijdTotEnMet],"&gt;"&amp;($A199+0/24))</f>
        <v/>
      </c>
      <c r="E199" s="20">
        <f>COUNTIFS(tData[SEHTrajectPeriodeDatumTijdVan],"&lt;="&amp;($A199+1/24),tData[SEHTrajectPeriodeDatumTijdTotEnMet],"&gt;"&amp;($A199+1/24))</f>
        <v/>
      </c>
      <c r="F199" s="20">
        <f>COUNTIFS(tData[SEHTrajectPeriodeDatumTijdVan],"&lt;="&amp;($A199+2/24),tData[SEHTrajectPeriodeDatumTijdTotEnMet],"&gt;"&amp;($A199+2/24))</f>
        <v/>
      </c>
      <c r="G199" s="20">
        <f>COUNTIFS(tData[SEHTrajectPeriodeDatumTijdVan],"&lt;="&amp;($A199+3/24),tData[SEHTrajectPeriodeDatumTijdTotEnMet],"&gt;"&amp;($A199+3/24))</f>
        <v/>
      </c>
      <c r="H199" s="20">
        <f>COUNTIFS(tData[SEHTrajectPeriodeDatumTijdVan],"&lt;="&amp;($A199+4/24),tData[SEHTrajectPeriodeDatumTijdTotEnMet],"&gt;"&amp;($A199+4/24))</f>
        <v/>
      </c>
      <c r="I199" s="20">
        <f>COUNTIFS(tData[SEHTrajectPeriodeDatumTijdVan],"&lt;="&amp;($A199+5/24),tData[SEHTrajectPeriodeDatumTijdTotEnMet],"&gt;"&amp;($A199+5/24))</f>
        <v/>
      </c>
      <c r="J199" s="20">
        <f>COUNTIFS(tData[SEHTrajectPeriodeDatumTijdVan],"&lt;="&amp;($A199+6/24),tData[SEHTrajectPeriodeDatumTijdTotEnMet],"&gt;"&amp;($A199+6/24))</f>
        <v/>
      </c>
      <c r="K199" s="20">
        <f>COUNTIFS(tData[SEHTrajectPeriodeDatumTijdVan],"&lt;="&amp;($A199+7/24),tData[SEHTrajectPeriodeDatumTijdTotEnMet],"&gt;"&amp;($A199+7/24))</f>
        <v/>
      </c>
      <c r="L199" s="20">
        <f>COUNTIFS(tData[SEHTrajectPeriodeDatumTijdVan],"&lt;="&amp;($A199+8/24),tData[SEHTrajectPeriodeDatumTijdTotEnMet],"&gt;"&amp;($A199+8/24))</f>
        <v/>
      </c>
      <c r="M199" s="20">
        <f>COUNTIFS(tData[SEHTrajectPeriodeDatumTijdVan],"&lt;="&amp;($A199+9/24),tData[SEHTrajectPeriodeDatumTijdTotEnMet],"&gt;"&amp;($A199+9/24))</f>
        <v/>
      </c>
      <c r="N199" s="20">
        <f>COUNTIFS(tData[SEHTrajectPeriodeDatumTijdVan],"&lt;="&amp;($A199+10/24),tData[SEHTrajectPeriodeDatumTijdTotEnMet],"&gt;"&amp;($A199+10/24))</f>
        <v/>
      </c>
      <c r="O199" s="20">
        <f>COUNTIFS(tData[SEHTrajectPeriodeDatumTijdVan],"&lt;="&amp;($A199+11/24),tData[SEHTrajectPeriodeDatumTijdTotEnMet],"&gt;"&amp;($A199+11/24))</f>
        <v/>
      </c>
      <c r="P199" s="20">
        <f>COUNTIFS(tData[SEHTrajectPeriodeDatumTijdVan],"&lt;="&amp;($A199+12/24),tData[SEHTrajectPeriodeDatumTijdTotEnMet],"&gt;"&amp;($A199+12/24))</f>
        <v/>
      </c>
      <c r="Q199" s="20">
        <f>COUNTIFS(tData[SEHTrajectPeriodeDatumTijdVan],"&lt;="&amp;($A199+13/24),tData[SEHTrajectPeriodeDatumTijdTotEnMet],"&gt;"&amp;($A199+13/24))</f>
        <v/>
      </c>
      <c r="R199" s="20">
        <f>COUNTIFS(tData[SEHTrajectPeriodeDatumTijdVan],"&lt;="&amp;($A199+14/24),tData[SEHTrajectPeriodeDatumTijdTotEnMet],"&gt;"&amp;($A199+14/24))</f>
        <v/>
      </c>
      <c r="S199" s="20">
        <f>COUNTIFS(tData[SEHTrajectPeriodeDatumTijdVan],"&lt;="&amp;($A199+15/24),tData[SEHTrajectPeriodeDatumTijdTotEnMet],"&gt;"&amp;($A199+15/24))</f>
        <v/>
      </c>
      <c r="T199" s="20">
        <f>COUNTIFS(tData[SEHTrajectPeriodeDatumTijdVan],"&lt;="&amp;($A199+16/24),tData[SEHTrajectPeriodeDatumTijdTotEnMet],"&gt;"&amp;($A199+16/24))</f>
        <v/>
      </c>
      <c r="U199" s="20">
        <f>COUNTIFS(tData[SEHTrajectPeriodeDatumTijdVan],"&lt;="&amp;($A199+17/24),tData[SEHTrajectPeriodeDatumTijdTotEnMet],"&gt;"&amp;($A199+17/24))</f>
        <v/>
      </c>
      <c r="V199" s="20">
        <f>COUNTIFS(tData[SEHTrajectPeriodeDatumTijdVan],"&lt;="&amp;($A199+18/24),tData[SEHTrajectPeriodeDatumTijdTotEnMet],"&gt;"&amp;($A199+18/24))</f>
        <v/>
      </c>
      <c r="W199" s="20">
        <f>COUNTIFS(tData[SEHTrajectPeriodeDatumTijdVan],"&lt;="&amp;($A199+19/24),tData[SEHTrajectPeriodeDatumTijdTotEnMet],"&gt;"&amp;($A199+19/24))</f>
        <v/>
      </c>
      <c r="X199" s="20">
        <f>COUNTIFS(tData[SEHTrajectPeriodeDatumTijdVan],"&lt;="&amp;($A199+20/24),tData[SEHTrajectPeriodeDatumTijdTotEnMet],"&gt;"&amp;($A199+20/24))</f>
        <v/>
      </c>
      <c r="Y199" s="20">
        <f>COUNTIFS(tData[SEHTrajectPeriodeDatumTijdVan],"&lt;="&amp;($A199+21/24),tData[SEHTrajectPeriodeDatumTijdTotEnMet],"&gt;"&amp;($A199+21/24))</f>
        <v/>
      </c>
      <c r="Z199" s="20">
        <f>COUNTIFS(tData[SEHTrajectPeriodeDatumTijdVan],"&lt;="&amp;($A199+22/24),tData[SEHTrajectPeriodeDatumTijdTotEnMet],"&gt;"&amp;($A199+22/24))</f>
        <v/>
      </c>
      <c r="AA199" s="20">
        <f>COUNTIFS(tData[SEHTrajectPeriodeDatumTijdVan],"&lt;="&amp;($A199+23/24),tData[SEHTrajectPeriodeDatumTijdTotEnMet],"&gt;"&amp;($A199+23/24))</f>
        <v/>
      </c>
    </row>
    <row r="200">
      <c r="A200" s="19" t="n">
        <v>45488</v>
      </c>
      <c r="B200" s="15">
        <f>WEEKDAY($A200,2)</f>
        <v/>
      </c>
      <c r="C200" s="15">
        <f>IF(AND($A200&gt;=INT(Instellingen!$B$5),$A200&lt;=INT(Instellingen!$B$6)),1,0)</f>
        <v/>
      </c>
      <c r="D200" s="20">
        <f>COUNTIFS(tData[SEHTrajectPeriodeDatumTijdVan],"&lt;="&amp;($A200+0/24),tData[SEHTrajectPeriodeDatumTijdTotEnMet],"&gt;"&amp;($A200+0/24))</f>
        <v/>
      </c>
      <c r="E200" s="20">
        <f>COUNTIFS(tData[SEHTrajectPeriodeDatumTijdVan],"&lt;="&amp;($A200+1/24),tData[SEHTrajectPeriodeDatumTijdTotEnMet],"&gt;"&amp;($A200+1/24))</f>
        <v/>
      </c>
      <c r="F200" s="20">
        <f>COUNTIFS(tData[SEHTrajectPeriodeDatumTijdVan],"&lt;="&amp;($A200+2/24),tData[SEHTrajectPeriodeDatumTijdTotEnMet],"&gt;"&amp;($A200+2/24))</f>
        <v/>
      </c>
      <c r="G200" s="20">
        <f>COUNTIFS(tData[SEHTrajectPeriodeDatumTijdVan],"&lt;="&amp;($A200+3/24),tData[SEHTrajectPeriodeDatumTijdTotEnMet],"&gt;"&amp;($A200+3/24))</f>
        <v/>
      </c>
      <c r="H200" s="20">
        <f>COUNTIFS(tData[SEHTrajectPeriodeDatumTijdVan],"&lt;="&amp;($A200+4/24),tData[SEHTrajectPeriodeDatumTijdTotEnMet],"&gt;"&amp;($A200+4/24))</f>
        <v/>
      </c>
      <c r="I200" s="20">
        <f>COUNTIFS(tData[SEHTrajectPeriodeDatumTijdVan],"&lt;="&amp;($A200+5/24),tData[SEHTrajectPeriodeDatumTijdTotEnMet],"&gt;"&amp;($A200+5/24))</f>
        <v/>
      </c>
      <c r="J200" s="20">
        <f>COUNTIFS(tData[SEHTrajectPeriodeDatumTijdVan],"&lt;="&amp;($A200+6/24),tData[SEHTrajectPeriodeDatumTijdTotEnMet],"&gt;"&amp;($A200+6/24))</f>
        <v/>
      </c>
      <c r="K200" s="20">
        <f>COUNTIFS(tData[SEHTrajectPeriodeDatumTijdVan],"&lt;="&amp;($A200+7/24),tData[SEHTrajectPeriodeDatumTijdTotEnMet],"&gt;"&amp;($A200+7/24))</f>
        <v/>
      </c>
      <c r="L200" s="20">
        <f>COUNTIFS(tData[SEHTrajectPeriodeDatumTijdVan],"&lt;="&amp;($A200+8/24),tData[SEHTrajectPeriodeDatumTijdTotEnMet],"&gt;"&amp;($A200+8/24))</f>
        <v/>
      </c>
      <c r="M200" s="20">
        <f>COUNTIFS(tData[SEHTrajectPeriodeDatumTijdVan],"&lt;="&amp;($A200+9/24),tData[SEHTrajectPeriodeDatumTijdTotEnMet],"&gt;"&amp;($A200+9/24))</f>
        <v/>
      </c>
      <c r="N200" s="20">
        <f>COUNTIFS(tData[SEHTrajectPeriodeDatumTijdVan],"&lt;="&amp;($A200+10/24),tData[SEHTrajectPeriodeDatumTijdTotEnMet],"&gt;"&amp;($A200+10/24))</f>
        <v/>
      </c>
      <c r="O200" s="20">
        <f>COUNTIFS(tData[SEHTrajectPeriodeDatumTijdVan],"&lt;="&amp;($A200+11/24),tData[SEHTrajectPeriodeDatumTijdTotEnMet],"&gt;"&amp;($A200+11/24))</f>
        <v/>
      </c>
      <c r="P200" s="20">
        <f>COUNTIFS(tData[SEHTrajectPeriodeDatumTijdVan],"&lt;="&amp;($A200+12/24),tData[SEHTrajectPeriodeDatumTijdTotEnMet],"&gt;"&amp;($A200+12/24))</f>
        <v/>
      </c>
      <c r="Q200" s="20">
        <f>COUNTIFS(tData[SEHTrajectPeriodeDatumTijdVan],"&lt;="&amp;($A200+13/24),tData[SEHTrajectPeriodeDatumTijdTotEnMet],"&gt;"&amp;($A200+13/24))</f>
        <v/>
      </c>
      <c r="R200" s="20">
        <f>COUNTIFS(tData[SEHTrajectPeriodeDatumTijdVan],"&lt;="&amp;($A200+14/24),tData[SEHTrajectPeriodeDatumTijdTotEnMet],"&gt;"&amp;($A200+14/24))</f>
        <v/>
      </c>
      <c r="S200" s="20">
        <f>COUNTIFS(tData[SEHTrajectPeriodeDatumTijdVan],"&lt;="&amp;($A200+15/24),tData[SEHTrajectPeriodeDatumTijdTotEnMet],"&gt;"&amp;($A200+15/24))</f>
        <v/>
      </c>
      <c r="T200" s="20">
        <f>COUNTIFS(tData[SEHTrajectPeriodeDatumTijdVan],"&lt;="&amp;($A200+16/24),tData[SEHTrajectPeriodeDatumTijdTotEnMet],"&gt;"&amp;($A200+16/24))</f>
        <v/>
      </c>
      <c r="U200" s="20">
        <f>COUNTIFS(tData[SEHTrajectPeriodeDatumTijdVan],"&lt;="&amp;($A200+17/24),tData[SEHTrajectPeriodeDatumTijdTotEnMet],"&gt;"&amp;($A200+17/24))</f>
        <v/>
      </c>
      <c r="V200" s="20">
        <f>COUNTIFS(tData[SEHTrajectPeriodeDatumTijdVan],"&lt;="&amp;($A200+18/24),tData[SEHTrajectPeriodeDatumTijdTotEnMet],"&gt;"&amp;($A200+18/24))</f>
        <v/>
      </c>
      <c r="W200" s="20">
        <f>COUNTIFS(tData[SEHTrajectPeriodeDatumTijdVan],"&lt;="&amp;($A200+19/24),tData[SEHTrajectPeriodeDatumTijdTotEnMet],"&gt;"&amp;($A200+19/24))</f>
        <v/>
      </c>
      <c r="X200" s="20">
        <f>COUNTIFS(tData[SEHTrajectPeriodeDatumTijdVan],"&lt;="&amp;($A200+20/24),tData[SEHTrajectPeriodeDatumTijdTotEnMet],"&gt;"&amp;($A200+20/24))</f>
        <v/>
      </c>
      <c r="Y200" s="20">
        <f>COUNTIFS(tData[SEHTrajectPeriodeDatumTijdVan],"&lt;="&amp;($A200+21/24),tData[SEHTrajectPeriodeDatumTijdTotEnMet],"&gt;"&amp;($A200+21/24))</f>
        <v/>
      </c>
      <c r="Z200" s="20">
        <f>COUNTIFS(tData[SEHTrajectPeriodeDatumTijdVan],"&lt;="&amp;($A200+22/24),tData[SEHTrajectPeriodeDatumTijdTotEnMet],"&gt;"&amp;($A200+22/24))</f>
        <v/>
      </c>
      <c r="AA200" s="20">
        <f>COUNTIFS(tData[SEHTrajectPeriodeDatumTijdVan],"&lt;="&amp;($A200+23/24),tData[SEHTrajectPeriodeDatumTijdTotEnMet],"&gt;"&amp;($A200+23/24))</f>
        <v/>
      </c>
    </row>
    <row r="201">
      <c r="A201" s="19" t="n">
        <v>45489</v>
      </c>
      <c r="B201" s="15">
        <f>WEEKDAY($A201,2)</f>
        <v/>
      </c>
      <c r="C201" s="15">
        <f>IF(AND($A201&gt;=INT(Instellingen!$B$5),$A201&lt;=INT(Instellingen!$B$6)),1,0)</f>
        <v/>
      </c>
      <c r="D201" s="20">
        <f>COUNTIFS(tData[SEHTrajectPeriodeDatumTijdVan],"&lt;="&amp;($A201+0/24),tData[SEHTrajectPeriodeDatumTijdTotEnMet],"&gt;"&amp;($A201+0/24))</f>
        <v/>
      </c>
      <c r="E201" s="20">
        <f>COUNTIFS(tData[SEHTrajectPeriodeDatumTijdVan],"&lt;="&amp;($A201+1/24),tData[SEHTrajectPeriodeDatumTijdTotEnMet],"&gt;"&amp;($A201+1/24))</f>
        <v/>
      </c>
      <c r="F201" s="20">
        <f>COUNTIFS(tData[SEHTrajectPeriodeDatumTijdVan],"&lt;="&amp;($A201+2/24),tData[SEHTrajectPeriodeDatumTijdTotEnMet],"&gt;"&amp;($A201+2/24))</f>
        <v/>
      </c>
      <c r="G201" s="20">
        <f>COUNTIFS(tData[SEHTrajectPeriodeDatumTijdVan],"&lt;="&amp;($A201+3/24),tData[SEHTrajectPeriodeDatumTijdTotEnMet],"&gt;"&amp;($A201+3/24))</f>
        <v/>
      </c>
      <c r="H201" s="20">
        <f>COUNTIFS(tData[SEHTrajectPeriodeDatumTijdVan],"&lt;="&amp;($A201+4/24),tData[SEHTrajectPeriodeDatumTijdTotEnMet],"&gt;"&amp;($A201+4/24))</f>
        <v/>
      </c>
      <c r="I201" s="20">
        <f>COUNTIFS(tData[SEHTrajectPeriodeDatumTijdVan],"&lt;="&amp;($A201+5/24),tData[SEHTrajectPeriodeDatumTijdTotEnMet],"&gt;"&amp;($A201+5/24))</f>
        <v/>
      </c>
      <c r="J201" s="20">
        <f>COUNTIFS(tData[SEHTrajectPeriodeDatumTijdVan],"&lt;="&amp;($A201+6/24),tData[SEHTrajectPeriodeDatumTijdTotEnMet],"&gt;"&amp;($A201+6/24))</f>
        <v/>
      </c>
      <c r="K201" s="20">
        <f>COUNTIFS(tData[SEHTrajectPeriodeDatumTijdVan],"&lt;="&amp;($A201+7/24),tData[SEHTrajectPeriodeDatumTijdTotEnMet],"&gt;"&amp;($A201+7/24))</f>
        <v/>
      </c>
      <c r="L201" s="20">
        <f>COUNTIFS(tData[SEHTrajectPeriodeDatumTijdVan],"&lt;="&amp;($A201+8/24),tData[SEHTrajectPeriodeDatumTijdTotEnMet],"&gt;"&amp;($A201+8/24))</f>
        <v/>
      </c>
      <c r="M201" s="20">
        <f>COUNTIFS(tData[SEHTrajectPeriodeDatumTijdVan],"&lt;="&amp;($A201+9/24),tData[SEHTrajectPeriodeDatumTijdTotEnMet],"&gt;"&amp;($A201+9/24))</f>
        <v/>
      </c>
      <c r="N201" s="20">
        <f>COUNTIFS(tData[SEHTrajectPeriodeDatumTijdVan],"&lt;="&amp;($A201+10/24),tData[SEHTrajectPeriodeDatumTijdTotEnMet],"&gt;"&amp;($A201+10/24))</f>
        <v/>
      </c>
      <c r="O201" s="20">
        <f>COUNTIFS(tData[SEHTrajectPeriodeDatumTijdVan],"&lt;="&amp;($A201+11/24),tData[SEHTrajectPeriodeDatumTijdTotEnMet],"&gt;"&amp;($A201+11/24))</f>
        <v/>
      </c>
      <c r="P201" s="20">
        <f>COUNTIFS(tData[SEHTrajectPeriodeDatumTijdVan],"&lt;="&amp;($A201+12/24),tData[SEHTrajectPeriodeDatumTijdTotEnMet],"&gt;"&amp;($A201+12/24))</f>
        <v/>
      </c>
      <c r="Q201" s="20">
        <f>COUNTIFS(tData[SEHTrajectPeriodeDatumTijdVan],"&lt;="&amp;($A201+13/24),tData[SEHTrajectPeriodeDatumTijdTotEnMet],"&gt;"&amp;($A201+13/24))</f>
        <v/>
      </c>
      <c r="R201" s="20">
        <f>COUNTIFS(tData[SEHTrajectPeriodeDatumTijdVan],"&lt;="&amp;($A201+14/24),tData[SEHTrajectPeriodeDatumTijdTotEnMet],"&gt;"&amp;($A201+14/24))</f>
        <v/>
      </c>
      <c r="S201" s="20">
        <f>COUNTIFS(tData[SEHTrajectPeriodeDatumTijdVan],"&lt;="&amp;($A201+15/24),tData[SEHTrajectPeriodeDatumTijdTotEnMet],"&gt;"&amp;($A201+15/24))</f>
        <v/>
      </c>
      <c r="T201" s="20">
        <f>COUNTIFS(tData[SEHTrajectPeriodeDatumTijdVan],"&lt;="&amp;($A201+16/24),tData[SEHTrajectPeriodeDatumTijdTotEnMet],"&gt;"&amp;($A201+16/24))</f>
        <v/>
      </c>
      <c r="U201" s="20">
        <f>COUNTIFS(tData[SEHTrajectPeriodeDatumTijdVan],"&lt;="&amp;($A201+17/24),tData[SEHTrajectPeriodeDatumTijdTotEnMet],"&gt;"&amp;($A201+17/24))</f>
        <v/>
      </c>
      <c r="V201" s="20">
        <f>COUNTIFS(tData[SEHTrajectPeriodeDatumTijdVan],"&lt;="&amp;($A201+18/24),tData[SEHTrajectPeriodeDatumTijdTotEnMet],"&gt;"&amp;($A201+18/24))</f>
        <v/>
      </c>
      <c r="W201" s="20">
        <f>COUNTIFS(tData[SEHTrajectPeriodeDatumTijdVan],"&lt;="&amp;($A201+19/24),tData[SEHTrajectPeriodeDatumTijdTotEnMet],"&gt;"&amp;($A201+19/24))</f>
        <v/>
      </c>
      <c r="X201" s="20">
        <f>COUNTIFS(tData[SEHTrajectPeriodeDatumTijdVan],"&lt;="&amp;($A201+20/24),tData[SEHTrajectPeriodeDatumTijdTotEnMet],"&gt;"&amp;($A201+20/24))</f>
        <v/>
      </c>
      <c r="Y201" s="20">
        <f>COUNTIFS(tData[SEHTrajectPeriodeDatumTijdVan],"&lt;="&amp;($A201+21/24),tData[SEHTrajectPeriodeDatumTijdTotEnMet],"&gt;"&amp;($A201+21/24))</f>
        <v/>
      </c>
      <c r="Z201" s="20">
        <f>COUNTIFS(tData[SEHTrajectPeriodeDatumTijdVan],"&lt;="&amp;($A201+22/24),tData[SEHTrajectPeriodeDatumTijdTotEnMet],"&gt;"&amp;($A201+22/24))</f>
        <v/>
      </c>
      <c r="AA201" s="20">
        <f>COUNTIFS(tData[SEHTrajectPeriodeDatumTijdVan],"&lt;="&amp;($A201+23/24),tData[SEHTrajectPeriodeDatumTijdTotEnMet],"&gt;"&amp;($A201+23/24))</f>
        <v/>
      </c>
    </row>
    <row r="202">
      <c r="A202" s="19" t="n">
        <v>45490</v>
      </c>
      <c r="B202" s="15">
        <f>WEEKDAY($A202,2)</f>
        <v/>
      </c>
      <c r="C202" s="15">
        <f>IF(AND($A202&gt;=INT(Instellingen!$B$5),$A202&lt;=INT(Instellingen!$B$6)),1,0)</f>
        <v/>
      </c>
      <c r="D202" s="20">
        <f>COUNTIFS(tData[SEHTrajectPeriodeDatumTijdVan],"&lt;="&amp;($A202+0/24),tData[SEHTrajectPeriodeDatumTijdTotEnMet],"&gt;"&amp;($A202+0/24))</f>
        <v/>
      </c>
      <c r="E202" s="20">
        <f>COUNTIFS(tData[SEHTrajectPeriodeDatumTijdVan],"&lt;="&amp;($A202+1/24),tData[SEHTrajectPeriodeDatumTijdTotEnMet],"&gt;"&amp;($A202+1/24))</f>
        <v/>
      </c>
      <c r="F202" s="20">
        <f>COUNTIFS(tData[SEHTrajectPeriodeDatumTijdVan],"&lt;="&amp;($A202+2/24),tData[SEHTrajectPeriodeDatumTijdTotEnMet],"&gt;"&amp;($A202+2/24))</f>
        <v/>
      </c>
      <c r="G202" s="20">
        <f>COUNTIFS(tData[SEHTrajectPeriodeDatumTijdVan],"&lt;="&amp;($A202+3/24),tData[SEHTrajectPeriodeDatumTijdTotEnMet],"&gt;"&amp;($A202+3/24))</f>
        <v/>
      </c>
      <c r="H202" s="20">
        <f>COUNTIFS(tData[SEHTrajectPeriodeDatumTijdVan],"&lt;="&amp;($A202+4/24),tData[SEHTrajectPeriodeDatumTijdTotEnMet],"&gt;"&amp;($A202+4/24))</f>
        <v/>
      </c>
      <c r="I202" s="20">
        <f>COUNTIFS(tData[SEHTrajectPeriodeDatumTijdVan],"&lt;="&amp;($A202+5/24),tData[SEHTrajectPeriodeDatumTijdTotEnMet],"&gt;"&amp;($A202+5/24))</f>
        <v/>
      </c>
      <c r="J202" s="20">
        <f>COUNTIFS(tData[SEHTrajectPeriodeDatumTijdVan],"&lt;="&amp;($A202+6/24),tData[SEHTrajectPeriodeDatumTijdTotEnMet],"&gt;"&amp;($A202+6/24))</f>
        <v/>
      </c>
      <c r="K202" s="20">
        <f>COUNTIFS(tData[SEHTrajectPeriodeDatumTijdVan],"&lt;="&amp;($A202+7/24),tData[SEHTrajectPeriodeDatumTijdTotEnMet],"&gt;"&amp;($A202+7/24))</f>
        <v/>
      </c>
      <c r="L202" s="20">
        <f>COUNTIFS(tData[SEHTrajectPeriodeDatumTijdVan],"&lt;="&amp;($A202+8/24),tData[SEHTrajectPeriodeDatumTijdTotEnMet],"&gt;"&amp;($A202+8/24))</f>
        <v/>
      </c>
      <c r="M202" s="20">
        <f>COUNTIFS(tData[SEHTrajectPeriodeDatumTijdVan],"&lt;="&amp;($A202+9/24),tData[SEHTrajectPeriodeDatumTijdTotEnMet],"&gt;"&amp;($A202+9/24))</f>
        <v/>
      </c>
      <c r="N202" s="20">
        <f>COUNTIFS(tData[SEHTrajectPeriodeDatumTijdVan],"&lt;="&amp;($A202+10/24),tData[SEHTrajectPeriodeDatumTijdTotEnMet],"&gt;"&amp;($A202+10/24))</f>
        <v/>
      </c>
      <c r="O202" s="20">
        <f>COUNTIFS(tData[SEHTrajectPeriodeDatumTijdVan],"&lt;="&amp;($A202+11/24),tData[SEHTrajectPeriodeDatumTijdTotEnMet],"&gt;"&amp;($A202+11/24))</f>
        <v/>
      </c>
      <c r="P202" s="20">
        <f>COUNTIFS(tData[SEHTrajectPeriodeDatumTijdVan],"&lt;="&amp;($A202+12/24),tData[SEHTrajectPeriodeDatumTijdTotEnMet],"&gt;"&amp;($A202+12/24))</f>
        <v/>
      </c>
      <c r="Q202" s="20">
        <f>COUNTIFS(tData[SEHTrajectPeriodeDatumTijdVan],"&lt;="&amp;($A202+13/24),tData[SEHTrajectPeriodeDatumTijdTotEnMet],"&gt;"&amp;($A202+13/24))</f>
        <v/>
      </c>
      <c r="R202" s="20">
        <f>COUNTIFS(tData[SEHTrajectPeriodeDatumTijdVan],"&lt;="&amp;($A202+14/24),tData[SEHTrajectPeriodeDatumTijdTotEnMet],"&gt;"&amp;($A202+14/24))</f>
        <v/>
      </c>
      <c r="S202" s="20">
        <f>COUNTIFS(tData[SEHTrajectPeriodeDatumTijdVan],"&lt;="&amp;($A202+15/24),tData[SEHTrajectPeriodeDatumTijdTotEnMet],"&gt;"&amp;($A202+15/24))</f>
        <v/>
      </c>
      <c r="T202" s="20">
        <f>COUNTIFS(tData[SEHTrajectPeriodeDatumTijdVan],"&lt;="&amp;($A202+16/24),tData[SEHTrajectPeriodeDatumTijdTotEnMet],"&gt;"&amp;($A202+16/24))</f>
        <v/>
      </c>
      <c r="U202" s="20">
        <f>COUNTIFS(tData[SEHTrajectPeriodeDatumTijdVan],"&lt;="&amp;($A202+17/24),tData[SEHTrajectPeriodeDatumTijdTotEnMet],"&gt;"&amp;($A202+17/24))</f>
        <v/>
      </c>
      <c r="V202" s="20">
        <f>COUNTIFS(tData[SEHTrajectPeriodeDatumTijdVan],"&lt;="&amp;($A202+18/24),tData[SEHTrajectPeriodeDatumTijdTotEnMet],"&gt;"&amp;($A202+18/24))</f>
        <v/>
      </c>
      <c r="W202" s="20">
        <f>COUNTIFS(tData[SEHTrajectPeriodeDatumTijdVan],"&lt;="&amp;($A202+19/24),tData[SEHTrajectPeriodeDatumTijdTotEnMet],"&gt;"&amp;($A202+19/24))</f>
        <v/>
      </c>
      <c r="X202" s="20">
        <f>COUNTIFS(tData[SEHTrajectPeriodeDatumTijdVan],"&lt;="&amp;($A202+20/24),tData[SEHTrajectPeriodeDatumTijdTotEnMet],"&gt;"&amp;($A202+20/24))</f>
        <v/>
      </c>
      <c r="Y202" s="20">
        <f>COUNTIFS(tData[SEHTrajectPeriodeDatumTijdVan],"&lt;="&amp;($A202+21/24),tData[SEHTrajectPeriodeDatumTijdTotEnMet],"&gt;"&amp;($A202+21/24))</f>
        <v/>
      </c>
      <c r="Z202" s="20">
        <f>COUNTIFS(tData[SEHTrajectPeriodeDatumTijdVan],"&lt;="&amp;($A202+22/24),tData[SEHTrajectPeriodeDatumTijdTotEnMet],"&gt;"&amp;($A202+22/24))</f>
        <v/>
      </c>
      <c r="AA202" s="20">
        <f>COUNTIFS(tData[SEHTrajectPeriodeDatumTijdVan],"&lt;="&amp;($A202+23/24),tData[SEHTrajectPeriodeDatumTijdTotEnMet],"&gt;"&amp;($A202+23/24))</f>
        <v/>
      </c>
    </row>
    <row r="203">
      <c r="A203" s="19" t="n">
        <v>45491</v>
      </c>
      <c r="B203" s="15">
        <f>WEEKDAY($A203,2)</f>
        <v/>
      </c>
      <c r="C203" s="15">
        <f>IF(AND($A203&gt;=INT(Instellingen!$B$5),$A203&lt;=INT(Instellingen!$B$6)),1,0)</f>
        <v/>
      </c>
      <c r="D203" s="20">
        <f>COUNTIFS(tData[SEHTrajectPeriodeDatumTijdVan],"&lt;="&amp;($A203+0/24),tData[SEHTrajectPeriodeDatumTijdTotEnMet],"&gt;"&amp;($A203+0/24))</f>
        <v/>
      </c>
      <c r="E203" s="20">
        <f>COUNTIFS(tData[SEHTrajectPeriodeDatumTijdVan],"&lt;="&amp;($A203+1/24),tData[SEHTrajectPeriodeDatumTijdTotEnMet],"&gt;"&amp;($A203+1/24))</f>
        <v/>
      </c>
      <c r="F203" s="20">
        <f>COUNTIFS(tData[SEHTrajectPeriodeDatumTijdVan],"&lt;="&amp;($A203+2/24),tData[SEHTrajectPeriodeDatumTijdTotEnMet],"&gt;"&amp;($A203+2/24))</f>
        <v/>
      </c>
      <c r="G203" s="20">
        <f>COUNTIFS(tData[SEHTrajectPeriodeDatumTijdVan],"&lt;="&amp;($A203+3/24),tData[SEHTrajectPeriodeDatumTijdTotEnMet],"&gt;"&amp;($A203+3/24))</f>
        <v/>
      </c>
      <c r="H203" s="20">
        <f>COUNTIFS(tData[SEHTrajectPeriodeDatumTijdVan],"&lt;="&amp;($A203+4/24),tData[SEHTrajectPeriodeDatumTijdTotEnMet],"&gt;"&amp;($A203+4/24))</f>
        <v/>
      </c>
      <c r="I203" s="20">
        <f>COUNTIFS(tData[SEHTrajectPeriodeDatumTijdVan],"&lt;="&amp;($A203+5/24),tData[SEHTrajectPeriodeDatumTijdTotEnMet],"&gt;"&amp;($A203+5/24))</f>
        <v/>
      </c>
      <c r="J203" s="20">
        <f>COUNTIFS(tData[SEHTrajectPeriodeDatumTijdVan],"&lt;="&amp;($A203+6/24),tData[SEHTrajectPeriodeDatumTijdTotEnMet],"&gt;"&amp;($A203+6/24))</f>
        <v/>
      </c>
      <c r="K203" s="20">
        <f>COUNTIFS(tData[SEHTrajectPeriodeDatumTijdVan],"&lt;="&amp;($A203+7/24),tData[SEHTrajectPeriodeDatumTijdTotEnMet],"&gt;"&amp;($A203+7/24))</f>
        <v/>
      </c>
      <c r="L203" s="20">
        <f>COUNTIFS(tData[SEHTrajectPeriodeDatumTijdVan],"&lt;="&amp;($A203+8/24),tData[SEHTrajectPeriodeDatumTijdTotEnMet],"&gt;"&amp;($A203+8/24))</f>
        <v/>
      </c>
      <c r="M203" s="20">
        <f>COUNTIFS(tData[SEHTrajectPeriodeDatumTijdVan],"&lt;="&amp;($A203+9/24),tData[SEHTrajectPeriodeDatumTijdTotEnMet],"&gt;"&amp;($A203+9/24))</f>
        <v/>
      </c>
      <c r="N203" s="20">
        <f>COUNTIFS(tData[SEHTrajectPeriodeDatumTijdVan],"&lt;="&amp;($A203+10/24),tData[SEHTrajectPeriodeDatumTijdTotEnMet],"&gt;"&amp;($A203+10/24))</f>
        <v/>
      </c>
      <c r="O203" s="20">
        <f>COUNTIFS(tData[SEHTrajectPeriodeDatumTijdVan],"&lt;="&amp;($A203+11/24),tData[SEHTrajectPeriodeDatumTijdTotEnMet],"&gt;"&amp;($A203+11/24))</f>
        <v/>
      </c>
      <c r="P203" s="20">
        <f>COUNTIFS(tData[SEHTrajectPeriodeDatumTijdVan],"&lt;="&amp;($A203+12/24),tData[SEHTrajectPeriodeDatumTijdTotEnMet],"&gt;"&amp;($A203+12/24))</f>
        <v/>
      </c>
      <c r="Q203" s="20">
        <f>COUNTIFS(tData[SEHTrajectPeriodeDatumTijdVan],"&lt;="&amp;($A203+13/24),tData[SEHTrajectPeriodeDatumTijdTotEnMet],"&gt;"&amp;($A203+13/24))</f>
        <v/>
      </c>
      <c r="R203" s="20">
        <f>COUNTIFS(tData[SEHTrajectPeriodeDatumTijdVan],"&lt;="&amp;($A203+14/24),tData[SEHTrajectPeriodeDatumTijdTotEnMet],"&gt;"&amp;($A203+14/24))</f>
        <v/>
      </c>
      <c r="S203" s="20">
        <f>COUNTIFS(tData[SEHTrajectPeriodeDatumTijdVan],"&lt;="&amp;($A203+15/24),tData[SEHTrajectPeriodeDatumTijdTotEnMet],"&gt;"&amp;($A203+15/24))</f>
        <v/>
      </c>
      <c r="T203" s="20">
        <f>COUNTIFS(tData[SEHTrajectPeriodeDatumTijdVan],"&lt;="&amp;($A203+16/24),tData[SEHTrajectPeriodeDatumTijdTotEnMet],"&gt;"&amp;($A203+16/24))</f>
        <v/>
      </c>
      <c r="U203" s="20">
        <f>COUNTIFS(tData[SEHTrajectPeriodeDatumTijdVan],"&lt;="&amp;($A203+17/24),tData[SEHTrajectPeriodeDatumTijdTotEnMet],"&gt;"&amp;($A203+17/24))</f>
        <v/>
      </c>
      <c r="V203" s="20">
        <f>COUNTIFS(tData[SEHTrajectPeriodeDatumTijdVan],"&lt;="&amp;($A203+18/24),tData[SEHTrajectPeriodeDatumTijdTotEnMet],"&gt;"&amp;($A203+18/24))</f>
        <v/>
      </c>
      <c r="W203" s="20">
        <f>COUNTIFS(tData[SEHTrajectPeriodeDatumTijdVan],"&lt;="&amp;($A203+19/24),tData[SEHTrajectPeriodeDatumTijdTotEnMet],"&gt;"&amp;($A203+19/24))</f>
        <v/>
      </c>
      <c r="X203" s="20">
        <f>COUNTIFS(tData[SEHTrajectPeriodeDatumTijdVan],"&lt;="&amp;($A203+20/24),tData[SEHTrajectPeriodeDatumTijdTotEnMet],"&gt;"&amp;($A203+20/24))</f>
        <v/>
      </c>
      <c r="Y203" s="20">
        <f>COUNTIFS(tData[SEHTrajectPeriodeDatumTijdVan],"&lt;="&amp;($A203+21/24),tData[SEHTrajectPeriodeDatumTijdTotEnMet],"&gt;"&amp;($A203+21/24))</f>
        <v/>
      </c>
      <c r="Z203" s="20">
        <f>COUNTIFS(tData[SEHTrajectPeriodeDatumTijdVan],"&lt;="&amp;($A203+22/24),tData[SEHTrajectPeriodeDatumTijdTotEnMet],"&gt;"&amp;($A203+22/24))</f>
        <v/>
      </c>
      <c r="AA203" s="20">
        <f>COUNTIFS(tData[SEHTrajectPeriodeDatumTijdVan],"&lt;="&amp;($A203+23/24),tData[SEHTrajectPeriodeDatumTijdTotEnMet],"&gt;"&amp;($A203+23/24))</f>
        <v/>
      </c>
    </row>
    <row r="204">
      <c r="A204" s="19" t="n">
        <v>45492</v>
      </c>
      <c r="B204" s="15">
        <f>WEEKDAY($A204,2)</f>
        <v/>
      </c>
      <c r="C204" s="15">
        <f>IF(AND($A204&gt;=INT(Instellingen!$B$5),$A204&lt;=INT(Instellingen!$B$6)),1,0)</f>
        <v/>
      </c>
      <c r="D204" s="20">
        <f>COUNTIFS(tData[SEHTrajectPeriodeDatumTijdVan],"&lt;="&amp;($A204+0/24),tData[SEHTrajectPeriodeDatumTijdTotEnMet],"&gt;"&amp;($A204+0/24))</f>
        <v/>
      </c>
      <c r="E204" s="20">
        <f>COUNTIFS(tData[SEHTrajectPeriodeDatumTijdVan],"&lt;="&amp;($A204+1/24),tData[SEHTrajectPeriodeDatumTijdTotEnMet],"&gt;"&amp;($A204+1/24))</f>
        <v/>
      </c>
      <c r="F204" s="20">
        <f>COUNTIFS(tData[SEHTrajectPeriodeDatumTijdVan],"&lt;="&amp;($A204+2/24),tData[SEHTrajectPeriodeDatumTijdTotEnMet],"&gt;"&amp;($A204+2/24))</f>
        <v/>
      </c>
      <c r="G204" s="20">
        <f>COUNTIFS(tData[SEHTrajectPeriodeDatumTijdVan],"&lt;="&amp;($A204+3/24),tData[SEHTrajectPeriodeDatumTijdTotEnMet],"&gt;"&amp;($A204+3/24))</f>
        <v/>
      </c>
      <c r="H204" s="20">
        <f>COUNTIFS(tData[SEHTrajectPeriodeDatumTijdVan],"&lt;="&amp;($A204+4/24),tData[SEHTrajectPeriodeDatumTijdTotEnMet],"&gt;"&amp;($A204+4/24))</f>
        <v/>
      </c>
      <c r="I204" s="20">
        <f>COUNTIFS(tData[SEHTrajectPeriodeDatumTijdVan],"&lt;="&amp;($A204+5/24),tData[SEHTrajectPeriodeDatumTijdTotEnMet],"&gt;"&amp;($A204+5/24))</f>
        <v/>
      </c>
      <c r="J204" s="20">
        <f>COUNTIFS(tData[SEHTrajectPeriodeDatumTijdVan],"&lt;="&amp;($A204+6/24),tData[SEHTrajectPeriodeDatumTijdTotEnMet],"&gt;"&amp;($A204+6/24))</f>
        <v/>
      </c>
      <c r="K204" s="20">
        <f>COUNTIFS(tData[SEHTrajectPeriodeDatumTijdVan],"&lt;="&amp;($A204+7/24),tData[SEHTrajectPeriodeDatumTijdTotEnMet],"&gt;"&amp;($A204+7/24))</f>
        <v/>
      </c>
      <c r="L204" s="20">
        <f>COUNTIFS(tData[SEHTrajectPeriodeDatumTijdVan],"&lt;="&amp;($A204+8/24),tData[SEHTrajectPeriodeDatumTijdTotEnMet],"&gt;"&amp;($A204+8/24))</f>
        <v/>
      </c>
      <c r="M204" s="20">
        <f>COUNTIFS(tData[SEHTrajectPeriodeDatumTijdVan],"&lt;="&amp;($A204+9/24),tData[SEHTrajectPeriodeDatumTijdTotEnMet],"&gt;"&amp;($A204+9/24))</f>
        <v/>
      </c>
      <c r="N204" s="20">
        <f>COUNTIFS(tData[SEHTrajectPeriodeDatumTijdVan],"&lt;="&amp;($A204+10/24),tData[SEHTrajectPeriodeDatumTijdTotEnMet],"&gt;"&amp;($A204+10/24))</f>
        <v/>
      </c>
      <c r="O204" s="20">
        <f>COUNTIFS(tData[SEHTrajectPeriodeDatumTijdVan],"&lt;="&amp;($A204+11/24),tData[SEHTrajectPeriodeDatumTijdTotEnMet],"&gt;"&amp;($A204+11/24))</f>
        <v/>
      </c>
      <c r="P204" s="20">
        <f>COUNTIFS(tData[SEHTrajectPeriodeDatumTijdVan],"&lt;="&amp;($A204+12/24),tData[SEHTrajectPeriodeDatumTijdTotEnMet],"&gt;"&amp;($A204+12/24))</f>
        <v/>
      </c>
      <c r="Q204" s="20">
        <f>COUNTIFS(tData[SEHTrajectPeriodeDatumTijdVan],"&lt;="&amp;($A204+13/24),tData[SEHTrajectPeriodeDatumTijdTotEnMet],"&gt;"&amp;($A204+13/24))</f>
        <v/>
      </c>
      <c r="R204" s="20">
        <f>COUNTIFS(tData[SEHTrajectPeriodeDatumTijdVan],"&lt;="&amp;($A204+14/24),tData[SEHTrajectPeriodeDatumTijdTotEnMet],"&gt;"&amp;($A204+14/24))</f>
        <v/>
      </c>
      <c r="S204" s="20">
        <f>COUNTIFS(tData[SEHTrajectPeriodeDatumTijdVan],"&lt;="&amp;($A204+15/24),tData[SEHTrajectPeriodeDatumTijdTotEnMet],"&gt;"&amp;($A204+15/24))</f>
        <v/>
      </c>
      <c r="T204" s="20">
        <f>COUNTIFS(tData[SEHTrajectPeriodeDatumTijdVan],"&lt;="&amp;($A204+16/24),tData[SEHTrajectPeriodeDatumTijdTotEnMet],"&gt;"&amp;($A204+16/24))</f>
        <v/>
      </c>
      <c r="U204" s="20">
        <f>COUNTIFS(tData[SEHTrajectPeriodeDatumTijdVan],"&lt;="&amp;($A204+17/24),tData[SEHTrajectPeriodeDatumTijdTotEnMet],"&gt;"&amp;($A204+17/24))</f>
        <v/>
      </c>
      <c r="V204" s="20">
        <f>COUNTIFS(tData[SEHTrajectPeriodeDatumTijdVan],"&lt;="&amp;($A204+18/24),tData[SEHTrajectPeriodeDatumTijdTotEnMet],"&gt;"&amp;($A204+18/24))</f>
        <v/>
      </c>
      <c r="W204" s="20">
        <f>COUNTIFS(tData[SEHTrajectPeriodeDatumTijdVan],"&lt;="&amp;($A204+19/24),tData[SEHTrajectPeriodeDatumTijdTotEnMet],"&gt;"&amp;($A204+19/24))</f>
        <v/>
      </c>
      <c r="X204" s="20">
        <f>COUNTIFS(tData[SEHTrajectPeriodeDatumTijdVan],"&lt;="&amp;($A204+20/24),tData[SEHTrajectPeriodeDatumTijdTotEnMet],"&gt;"&amp;($A204+20/24))</f>
        <v/>
      </c>
      <c r="Y204" s="20">
        <f>COUNTIFS(tData[SEHTrajectPeriodeDatumTijdVan],"&lt;="&amp;($A204+21/24),tData[SEHTrajectPeriodeDatumTijdTotEnMet],"&gt;"&amp;($A204+21/24))</f>
        <v/>
      </c>
      <c r="Z204" s="20">
        <f>COUNTIFS(tData[SEHTrajectPeriodeDatumTijdVan],"&lt;="&amp;($A204+22/24),tData[SEHTrajectPeriodeDatumTijdTotEnMet],"&gt;"&amp;($A204+22/24))</f>
        <v/>
      </c>
      <c r="AA204" s="20">
        <f>COUNTIFS(tData[SEHTrajectPeriodeDatumTijdVan],"&lt;="&amp;($A204+23/24),tData[SEHTrajectPeriodeDatumTijdTotEnMet],"&gt;"&amp;($A204+23/24))</f>
        <v/>
      </c>
    </row>
    <row r="205">
      <c r="A205" s="19" t="n">
        <v>45493</v>
      </c>
      <c r="B205" s="15">
        <f>WEEKDAY($A205,2)</f>
        <v/>
      </c>
      <c r="C205" s="15">
        <f>IF(AND($A205&gt;=INT(Instellingen!$B$5),$A205&lt;=INT(Instellingen!$B$6)),1,0)</f>
        <v/>
      </c>
      <c r="D205" s="20">
        <f>COUNTIFS(tData[SEHTrajectPeriodeDatumTijdVan],"&lt;="&amp;($A205+0/24),tData[SEHTrajectPeriodeDatumTijdTotEnMet],"&gt;"&amp;($A205+0/24))</f>
        <v/>
      </c>
      <c r="E205" s="20">
        <f>COUNTIFS(tData[SEHTrajectPeriodeDatumTijdVan],"&lt;="&amp;($A205+1/24),tData[SEHTrajectPeriodeDatumTijdTotEnMet],"&gt;"&amp;($A205+1/24))</f>
        <v/>
      </c>
      <c r="F205" s="20">
        <f>COUNTIFS(tData[SEHTrajectPeriodeDatumTijdVan],"&lt;="&amp;($A205+2/24),tData[SEHTrajectPeriodeDatumTijdTotEnMet],"&gt;"&amp;($A205+2/24))</f>
        <v/>
      </c>
      <c r="G205" s="20">
        <f>COUNTIFS(tData[SEHTrajectPeriodeDatumTijdVan],"&lt;="&amp;($A205+3/24),tData[SEHTrajectPeriodeDatumTijdTotEnMet],"&gt;"&amp;($A205+3/24))</f>
        <v/>
      </c>
      <c r="H205" s="20">
        <f>COUNTIFS(tData[SEHTrajectPeriodeDatumTijdVan],"&lt;="&amp;($A205+4/24),tData[SEHTrajectPeriodeDatumTijdTotEnMet],"&gt;"&amp;($A205+4/24))</f>
        <v/>
      </c>
      <c r="I205" s="20">
        <f>COUNTIFS(tData[SEHTrajectPeriodeDatumTijdVan],"&lt;="&amp;($A205+5/24),tData[SEHTrajectPeriodeDatumTijdTotEnMet],"&gt;"&amp;($A205+5/24))</f>
        <v/>
      </c>
      <c r="J205" s="20">
        <f>COUNTIFS(tData[SEHTrajectPeriodeDatumTijdVan],"&lt;="&amp;($A205+6/24),tData[SEHTrajectPeriodeDatumTijdTotEnMet],"&gt;"&amp;($A205+6/24))</f>
        <v/>
      </c>
      <c r="K205" s="20">
        <f>COUNTIFS(tData[SEHTrajectPeriodeDatumTijdVan],"&lt;="&amp;($A205+7/24),tData[SEHTrajectPeriodeDatumTijdTotEnMet],"&gt;"&amp;($A205+7/24))</f>
        <v/>
      </c>
      <c r="L205" s="20">
        <f>COUNTIFS(tData[SEHTrajectPeriodeDatumTijdVan],"&lt;="&amp;($A205+8/24),tData[SEHTrajectPeriodeDatumTijdTotEnMet],"&gt;"&amp;($A205+8/24))</f>
        <v/>
      </c>
      <c r="M205" s="20">
        <f>COUNTIFS(tData[SEHTrajectPeriodeDatumTijdVan],"&lt;="&amp;($A205+9/24),tData[SEHTrajectPeriodeDatumTijdTotEnMet],"&gt;"&amp;($A205+9/24))</f>
        <v/>
      </c>
      <c r="N205" s="20">
        <f>COUNTIFS(tData[SEHTrajectPeriodeDatumTijdVan],"&lt;="&amp;($A205+10/24),tData[SEHTrajectPeriodeDatumTijdTotEnMet],"&gt;"&amp;($A205+10/24))</f>
        <v/>
      </c>
      <c r="O205" s="20">
        <f>COUNTIFS(tData[SEHTrajectPeriodeDatumTijdVan],"&lt;="&amp;($A205+11/24),tData[SEHTrajectPeriodeDatumTijdTotEnMet],"&gt;"&amp;($A205+11/24))</f>
        <v/>
      </c>
      <c r="P205" s="20">
        <f>COUNTIFS(tData[SEHTrajectPeriodeDatumTijdVan],"&lt;="&amp;($A205+12/24),tData[SEHTrajectPeriodeDatumTijdTotEnMet],"&gt;"&amp;($A205+12/24))</f>
        <v/>
      </c>
      <c r="Q205" s="20">
        <f>COUNTIFS(tData[SEHTrajectPeriodeDatumTijdVan],"&lt;="&amp;($A205+13/24),tData[SEHTrajectPeriodeDatumTijdTotEnMet],"&gt;"&amp;($A205+13/24))</f>
        <v/>
      </c>
      <c r="R205" s="20">
        <f>COUNTIFS(tData[SEHTrajectPeriodeDatumTijdVan],"&lt;="&amp;($A205+14/24),tData[SEHTrajectPeriodeDatumTijdTotEnMet],"&gt;"&amp;($A205+14/24))</f>
        <v/>
      </c>
      <c r="S205" s="20">
        <f>COUNTIFS(tData[SEHTrajectPeriodeDatumTijdVan],"&lt;="&amp;($A205+15/24),tData[SEHTrajectPeriodeDatumTijdTotEnMet],"&gt;"&amp;($A205+15/24))</f>
        <v/>
      </c>
      <c r="T205" s="20">
        <f>COUNTIFS(tData[SEHTrajectPeriodeDatumTijdVan],"&lt;="&amp;($A205+16/24),tData[SEHTrajectPeriodeDatumTijdTotEnMet],"&gt;"&amp;($A205+16/24))</f>
        <v/>
      </c>
      <c r="U205" s="20">
        <f>COUNTIFS(tData[SEHTrajectPeriodeDatumTijdVan],"&lt;="&amp;($A205+17/24),tData[SEHTrajectPeriodeDatumTijdTotEnMet],"&gt;"&amp;($A205+17/24))</f>
        <v/>
      </c>
      <c r="V205" s="20">
        <f>COUNTIFS(tData[SEHTrajectPeriodeDatumTijdVan],"&lt;="&amp;($A205+18/24),tData[SEHTrajectPeriodeDatumTijdTotEnMet],"&gt;"&amp;($A205+18/24))</f>
        <v/>
      </c>
      <c r="W205" s="20">
        <f>COUNTIFS(tData[SEHTrajectPeriodeDatumTijdVan],"&lt;="&amp;($A205+19/24),tData[SEHTrajectPeriodeDatumTijdTotEnMet],"&gt;"&amp;($A205+19/24))</f>
        <v/>
      </c>
      <c r="X205" s="20">
        <f>COUNTIFS(tData[SEHTrajectPeriodeDatumTijdVan],"&lt;="&amp;($A205+20/24),tData[SEHTrajectPeriodeDatumTijdTotEnMet],"&gt;"&amp;($A205+20/24))</f>
        <v/>
      </c>
      <c r="Y205" s="20">
        <f>COUNTIFS(tData[SEHTrajectPeriodeDatumTijdVan],"&lt;="&amp;($A205+21/24),tData[SEHTrajectPeriodeDatumTijdTotEnMet],"&gt;"&amp;($A205+21/24))</f>
        <v/>
      </c>
      <c r="Z205" s="20">
        <f>COUNTIFS(tData[SEHTrajectPeriodeDatumTijdVan],"&lt;="&amp;($A205+22/24),tData[SEHTrajectPeriodeDatumTijdTotEnMet],"&gt;"&amp;($A205+22/24))</f>
        <v/>
      </c>
      <c r="AA205" s="20">
        <f>COUNTIFS(tData[SEHTrajectPeriodeDatumTijdVan],"&lt;="&amp;($A205+23/24),tData[SEHTrajectPeriodeDatumTijdTotEnMet],"&gt;"&amp;($A205+23/24))</f>
        <v/>
      </c>
    </row>
    <row r="206">
      <c r="A206" s="19" t="n">
        <v>45494</v>
      </c>
      <c r="B206" s="15">
        <f>WEEKDAY($A206,2)</f>
        <v/>
      </c>
      <c r="C206" s="15">
        <f>IF(AND($A206&gt;=INT(Instellingen!$B$5),$A206&lt;=INT(Instellingen!$B$6)),1,0)</f>
        <v/>
      </c>
      <c r="D206" s="20">
        <f>COUNTIFS(tData[SEHTrajectPeriodeDatumTijdVan],"&lt;="&amp;($A206+0/24),tData[SEHTrajectPeriodeDatumTijdTotEnMet],"&gt;"&amp;($A206+0/24))</f>
        <v/>
      </c>
      <c r="E206" s="20">
        <f>COUNTIFS(tData[SEHTrajectPeriodeDatumTijdVan],"&lt;="&amp;($A206+1/24),tData[SEHTrajectPeriodeDatumTijdTotEnMet],"&gt;"&amp;($A206+1/24))</f>
        <v/>
      </c>
      <c r="F206" s="20">
        <f>COUNTIFS(tData[SEHTrajectPeriodeDatumTijdVan],"&lt;="&amp;($A206+2/24),tData[SEHTrajectPeriodeDatumTijdTotEnMet],"&gt;"&amp;($A206+2/24))</f>
        <v/>
      </c>
      <c r="G206" s="20">
        <f>COUNTIFS(tData[SEHTrajectPeriodeDatumTijdVan],"&lt;="&amp;($A206+3/24),tData[SEHTrajectPeriodeDatumTijdTotEnMet],"&gt;"&amp;($A206+3/24))</f>
        <v/>
      </c>
      <c r="H206" s="20">
        <f>COUNTIFS(tData[SEHTrajectPeriodeDatumTijdVan],"&lt;="&amp;($A206+4/24),tData[SEHTrajectPeriodeDatumTijdTotEnMet],"&gt;"&amp;($A206+4/24))</f>
        <v/>
      </c>
      <c r="I206" s="20">
        <f>COUNTIFS(tData[SEHTrajectPeriodeDatumTijdVan],"&lt;="&amp;($A206+5/24),tData[SEHTrajectPeriodeDatumTijdTotEnMet],"&gt;"&amp;($A206+5/24))</f>
        <v/>
      </c>
      <c r="J206" s="20">
        <f>COUNTIFS(tData[SEHTrajectPeriodeDatumTijdVan],"&lt;="&amp;($A206+6/24),tData[SEHTrajectPeriodeDatumTijdTotEnMet],"&gt;"&amp;($A206+6/24))</f>
        <v/>
      </c>
      <c r="K206" s="20">
        <f>COUNTIFS(tData[SEHTrajectPeriodeDatumTijdVan],"&lt;="&amp;($A206+7/24),tData[SEHTrajectPeriodeDatumTijdTotEnMet],"&gt;"&amp;($A206+7/24))</f>
        <v/>
      </c>
      <c r="L206" s="20">
        <f>COUNTIFS(tData[SEHTrajectPeriodeDatumTijdVan],"&lt;="&amp;($A206+8/24),tData[SEHTrajectPeriodeDatumTijdTotEnMet],"&gt;"&amp;($A206+8/24))</f>
        <v/>
      </c>
      <c r="M206" s="20">
        <f>COUNTIFS(tData[SEHTrajectPeriodeDatumTijdVan],"&lt;="&amp;($A206+9/24),tData[SEHTrajectPeriodeDatumTijdTotEnMet],"&gt;"&amp;($A206+9/24))</f>
        <v/>
      </c>
      <c r="N206" s="20">
        <f>COUNTIFS(tData[SEHTrajectPeriodeDatumTijdVan],"&lt;="&amp;($A206+10/24),tData[SEHTrajectPeriodeDatumTijdTotEnMet],"&gt;"&amp;($A206+10/24))</f>
        <v/>
      </c>
      <c r="O206" s="20">
        <f>COUNTIFS(tData[SEHTrajectPeriodeDatumTijdVan],"&lt;="&amp;($A206+11/24),tData[SEHTrajectPeriodeDatumTijdTotEnMet],"&gt;"&amp;($A206+11/24))</f>
        <v/>
      </c>
      <c r="P206" s="20">
        <f>COUNTIFS(tData[SEHTrajectPeriodeDatumTijdVan],"&lt;="&amp;($A206+12/24),tData[SEHTrajectPeriodeDatumTijdTotEnMet],"&gt;"&amp;($A206+12/24))</f>
        <v/>
      </c>
      <c r="Q206" s="20">
        <f>COUNTIFS(tData[SEHTrajectPeriodeDatumTijdVan],"&lt;="&amp;($A206+13/24),tData[SEHTrajectPeriodeDatumTijdTotEnMet],"&gt;"&amp;($A206+13/24))</f>
        <v/>
      </c>
      <c r="R206" s="20">
        <f>COUNTIFS(tData[SEHTrajectPeriodeDatumTijdVan],"&lt;="&amp;($A206+14/24),tData[SEHTrajectPeriodeDatumTijdTotEnMet],"&gt;"&amp;($A206+14/24))</f>
        <v/>
      </c>
      <c r="S206" s="20">
        <f>COUNTIFS(tData[SEHTrajectPeriodeDatumTijdVan],"&lt;="&amp;($A206+15/24),tData[SEHTrajectPeriodeDatumTijdTotEnMet],"&gt;"&amp;($A206+15/24))</f>
        <v/>
      </c>
      <c r="T206" s="20">
        <f>COUNTIFS(tData[SEHTrajectPeriodeDatumTijdVan],"&lt;="&amp;($A206+16/24),tData[SEHTrajectPeriodeDatumTijdTotEnMet],"&gt;"&amp;($A206+16/24))</f>
        <v/>
      </c>
      <c r="U206" s="20">
        <f>COUNTIFS(tData[SEHTrajectPeriodeDatumTijdVan],"&lt;="&amp;($A206+17/24),tData[SEHTrajectPeriodeDatumTijdTotEnMet],"&gt;"&amp;($A206+17/24))</f>
        <v/>
      </c>
      <c r="V206" s="20">
        <f>COUNTIFS(tData[SEHTrajectPeriodeDatumTijdVan],"&lt;="&amp;($A206+18/24),tData[SEHTrajectPeriodeDatumTijdTotEnMet],"&gt;"&amp;($A206+18/24))</f>
        <v/>
      </c>
      <c r="W206" s="20">
        <f>COUNTIFS(tData[SEHTrajectPeriodeDatumTijdVan],"&lt;="&amp;($A206+19/24),tData[SEHTrajectPeriodeDatumTijdTotEnMet],"&gt;"&amp;($A206+19/24))</f>
        <v/>
      </c>
      <c r="X206" s="20">
        <f>COUNTIFS(tData[SEHTrajectPeriodeDatumTijdVan],"&lt;="&amp;($A206+20/24),tData[SEHTrajectPeriodeDatumTijdTotEnMet],"&gt;"&amp;($A206+20/24))</f>
        <v/>
      </c>
      <c r="Y206" s="20">
        <f>COUNTIFS(tData[SEHTrajectPeriodeDatumTijdVan],"&lt;="&amp;($A206+21/24),tData[SEHTrajectPeriodeDatumTijdTotEnMet],"&gt;"&amp;($A206+21/24))</f>
        <v/>
      </c>
      <c r="Z206" s="20">
        <f>COUNTIFS(tData[SEHTrajectPeriodeDatumTijdVan],"&lt;="&amp;($A206+22/24),tData[SEHTrajectPeriodeDatumTijdTotEnMet],"&gt;"&amp;($A206+22/24))</f>
        <v/>
      </c>
      <c r="AA206" s="20">
        <f>COUNTIFS(tData[SEHTrajectPeriodeDatumTijdVan],"&lt;="&amp;($A206+23/24),tData[SEHTrajectPeriodeDatumTijdTotEnMet],"&gt;"&amp;($A206+23/24))</f>
        <v/>
      </c>
    </row>
    <row r="207">
      <c r="A207" s="19" t="n">
        <v>45495</v>
      </c>
      <c r="B207" s="15">
        <f>WEEKDAY($A207,2)</f>
        <v/>
      </c>
      <c r="C207" s="15">
        <f>IF(AND($A207&gt;=INT(Instellingen!$B$5),$A207&lt;=INT(Instellingen!$B$6)),1,0)</f>
        <v/>
      </c>
      <c r="D207" s="20">
        <f>COUNTIFS(tData[SEHTrajectPeriodeDatumTijdVan],"&lt;="&amp;($A207+0/24),tData[SEHTrajectPeriodeDatumTijdTotEnMet],"&gt;"&amp;($A207+0/24))</f>
        <v/>
      </c>
      <c r="E207" s="20">
        <f>COUNTIFS(tData[SEHTrajectPeriodeDatumTijdVan],"&lt;="&amp;($A207+1/24),tData[SEHTrajectPeriodeDatumTijdTotEnMet],"&gt;"&amp;($A207+1/24))</f>
        <v/>
      </c>
      <c r="F207" s="20">
        <f>COUNTIFS(tData[SEHTrajectPeriodeDatumTijdVan],"&lt;="&amp;($A207+2/24),tData[SEHTrajectPeriodeDatumTijdTotEnMet],"&gt;"&amp;($A207+2/24))</f>
        <v/>
      </c>
      <c r="G207" s="20">
        <f>COUNTIFS(tData[SEHTrajectPeriodeDatumTijdVan],"&lt;="&amp;($A207+3/24),tData[SEHTrajectPeriodeDatumTijdTotEnMet],"&gt;"&amp;($A207+3/24))</f>
        <v/>
      </c>
      <c r="H207" s="20">
        <f>COUNTIFS(tData[SEHTrajectPeriodeDatumTijdVan],"&lt;="&amp;($A207+4/24),tData[SEHTrajectPeriodeDatumTijdTotEnMet],"&gt;"&amp;($A207+4/24))</f>
        <v/>
      </c>
      <c r="I207" s="20">
        <f>COUNTIFS(tData[SEHTrajectPeriodeDatumTijdVan],"&lt;="&amp;($A207+5/24),tData[SEHTrajectPeriodeDatumTijdTotEnMet],"&gt;"&amp;($A207+5/24))</f>
        <v/>
      </c>
      <c r="J207" s="20">
        <f>COUNTIFS(tData[SEHTrajectPeriodeDatumTijdVan],"&lt;="&amp;($A207+6/24),tData[SEHTrajectPeriodeDatumTijdTotEnMet],"&gt;"&amp;($A207+6/24))</f>
        <v/>
      </c>
      <c r="K207" s="20">
        <f>COUNTIFS(tData[SEHTrajectPeriodeDatumTijdVan],"&lt;="&amp;($A207+7/24),tData[SEHTrajectPeriodeDatumTijdTotEnMet],"&gt;"&amp;($A207+7/24))</f>
        <v/>
      </c>
      <c r="L207" s="20">
        <f>COUNTIFS(tData[SEHTrajectPeriodeDatumTijdVan],"&lt;="&amp;($A207+8/24),tData[SEHTrajectPeriodeDatumTijdTotEnMet],"&gt;"&amp;($A207+8/24))</f>
        <v/>
      </c>
      <c r="M207" s="20">
        <f>COUNTIFS(tData[SEHTrajectPeriodeDatumTijdVan],"&lt;="&amp;($A207+9/24),tData[SEHTrajectPeriodeDatumTijdTotEnMet],"&gt;"&amp;($A207+9/24))</f>
        <v/>
      </c>
      <c r="N207" s="20">
        <f>COUNTIFS(tData[SEHTrajectPeriodeDatumTijdVan],"&lt;="&amp;($A207+10/24),tData[SEHTrajectPeriodeDatumTijdTotEnMet],"&gt;"&amp;($A207+10/24))</f>
        <v/>
      </c>
      <c r="O207" s="20">
        <f>COUNTIFS(tData[SEHTrajectPeriodeDatumTijdVan],"&lt;="&amp;($A207+11/24),tData[SEHTrajectPeriodeDatumTijdTotEnMet],"&gt;"&amp;($A207+11/24))</f>
        <v/>
      </c>
      <c r="P207" s="20">
        <f>COUNTIFS(tData[SEHTrajectPeriodeDatumTijdVan],"&lt;="&amp;($A207+12/24),tData[SEHTrajectPeriodeDatumTijdTotEnMet],"&gt;"&amp;($A207+12/24))</f>
        <v/>
      </c>
      <c r="Q207" s="20">
        <f>COUNTIFS(tData[SEHTrajectPeriodeDatumTijdVan],"&lt;="&amp;($A207+13/24),tData[SEHTrajectPeriodeDatumTijdTotEnMet],"&gt;"&amp;($A207+13/24))</f>
        <v/>
      </c>
      <c r="R207" s="20">
        <f>COUNTIFS(tData[SEHTrajectPeriodeDatumTijdVan],"&lt;="&amp;($A207+14/24),tData[SEHTrajectPeriodeDatumTijdTotEnMet],"&gt;"&amp;($A207+14/24))</f>
        <v/>
      </c>
      <c r="S207" s="20">
        <f>COUNTIFS(tData[SEHTrajectPeriodeDatumTijdVan],"&lt;="&amp;($A207+15/24),tData[SEHTrajectPeriodeDatumTijdTotEnMet],"&gt;"&amp;($A207+15/24))</f>
        <v/>
      </c>
      <c r="T207" s="20">
        <f>COUNTIFS(tData[SEHTrajectPeriodeDatumTijdVan],"&lt;="&amp;($A207+16/24),tData[SEHTrajectPeriodeDatumTijdTotEnMet],"&gt;"&amp;($A207+16/24))</f>
        <v/>
      </c>
      <c r="U207" s="20">
        <f>COUNTIFS(tData[SEHTrajectPeriodeDatumTijdVan],"&lt;="&amp;($A207+17/24),tData[SEHTrajectPeriodeDatumTijdTotEnMet],"&gt;"&amp;($A207+17/24))</f>
        <v/>
      </c>
      <c r="V207" s="20">
        <f>COUNTIFS(tData[SEHTrajectPeriodeDatumTijdVan],"&lt;="&amp;($A207+18/24),tData[SEHTrajectPeriodeDatumTijdTotEnMet],"&gt;"&amp;($A207+18/24))</f>
        <v/>
      </c>
      <c r="W207" s="20">
        <f>COUNTIFS(tData[SEHTrajectPeriodeDatumTijdVan],"&lt;="&amp;($A207+19/24),tData[SEHTrajectPeriodeDatumTijdTotEnMet],"&gt;"&amp;($A207+19/24))</f>
        <v/>
      </c>
      <c r="X207" s="20">
        <f>COUNTIFS(tData[SEHTrajectPeriodeDatumTijdVan],"&lt;="&amp;($A207+20/24),tData[SEHTrajectPeriodeDatumTijdTotEnMet],"&gt;"&amp;($A207+20/24))</f>
        <v/>
      </c>
      <c r="Y207" s="20">
        <f>COUNTIFS(tData[SEHTrajectPeriodeDatumTijdVan],"&lt;="&amp;($A207+21/24),tData[SEHTrajectPeriodeDatumTijdTotEnMet],"&gt;"&amp;($A207+21/24))</f>
        <v/>
      </c>
      <c r="Z207" s="20">
        <f>COUNTIFS(tData[SEHTrajectPeriodeDatumTijdVan],"&lt;="&amp;($A207+22/24),tData[SEHTrajectPeriodeDatumTijdTotEnMet],"&gt;"&amp;($A207+22/24))</f>
        <v/>
      </c>
      <c r="AA207" s="20">
        <f>COUNTIFS(tData[SEHTrajectPeriodeDatumTijdVan],"&lt;="&amp;($A207+23/24),tData[SEHTrajectPeriodeDatumTijdTotEnMet],"&gt;"&amp;($A207+23/24))</f>
        <v/>
      </c>
    </row>
    <row r="208">
      <c r="A208" s="19" t="n">
        <v>45496</v>
      </c>
      <c r="B208" s="15">
        <f>WEEKDAY($A208,2)</f>
        <v/>
      </c>
      <c r="C208" s="15">
        <f>IF(AND($A208&gt;=INT(Instellingen!$B$5),$A208&lt;=INT(Instellingen!$B$6)),1,0)</f>
        <v/>
      </c>
      <c r="D208" s="20">
        <f>COUNTIFS(tData[SEHTrajectPeriodeDatumTijdVan],"&lt;="&amp;($A208+0/24),tData[SEHTrajectPeriodeDatumTijdTotEnMet],"&gt;"&amp;($A208+0/24))</f>
        <v/>
      </c>
      <c r="E208" s="20">
        <f>COUNTIFS(tData[SEHTrajectPeriodeDatumTijdVan],"&lt;="&amp;($A208+1/24),tData[SEHTrajectPeriodeDatumTijdTotEnMet],"&gt;"&amp;($A208+1/24))</f>
        <v/>
      </c>
      <c r="F208" s="20">
        <f>COUNTIFS(tData[SEHTrajectPeriodeDatumTijdVan],"&lt;="&amp;($A208+2/24),tData[SEHTrajectPeriodeDatumTijdTotEnMet],"&gt;"&amp;($A208+2/24))</f>
        <v/>
      </c>
      <c r="G208" s="20">
        <f>COUNTIFS(tData[SEHTrajectPeriodeDatumTijdVan],"&lt;="&amp;($A208+3/24),tData[SEHTrajectPeriodeDatumTijdTotEnMet],"&gt;"&amp;($A208+3/24))</f>
        <v/>
      </c>
      <c r="H208" s="20">
        <f>COUNTIFS(tData[SEHTrajectPeriodeDatumTijdVan],"&lt;="&amp;($A208+4/24),tData[SEHTrajectPeriodeDatumTijdTotEnMet],"&gt;"&amp;($A208+4/24))</f>
        <v/>
      </c>
      <c r="I208" s="20">
        <f>COUNTIFS(tData[SEHTrajectPeriodeDatumTijdVan],"&lt;="&amp;($A208+5/24),tData[SEHTrajectPeriodeDatumTijdTotEnMet],"&gt;"&amp;($A208+5/24))</f>
        <v/>
      </c>
      <c r="J208" s="20">
        <f>COUNTIFS(tData[SEHTrajectPeriodeDatumTijdVan],"&lt;="&amp;($A208+6/24),tData[SEHTrajectPeriodeDatumTijdTotEnMet],"&gt;"&amp;($A208+6/24))</f>
        <v/>
      </c>
      <c r="K208" s="20">
        <f>COUNTIFS(tData[SEHTrajectPeriodeDatumTijdVan],"&lt;="&amp;($A208+7/24),tData[SEHTrajectPeriodeDatumTijdTotEnMet],"&gt;"&amp;($A208+7/24))</f>
        <v/>
      </c>
      <c r="L208" s="20">
        <f>COUNTIFS(tData[SEHTrajectPeriodeDatumTijdVan],"&lt;="&amp;($A208+8/24),tData[SEHTrajectPeriodeDatumTijdTotEnMet],"&gt;"&amp;($A208+8/24))</f>
        <v/>
      </c>
      <c r="M208" s="20">
        <f>COUNTIFS(tData[SEHTrajectPeriodeDatumTijdVan],"&lt;="&amp;($A208+9/24),tData[SEHTrajectPeriodeDatumTijdTotEnMet],"&gt;"&amp;($A208+9/24))</f>
        <v/>
      </c>
      <c r="N208" s="20">
        <f>COUNTIFS(tData[SEHTrajectPeriodeDatumTijdVan],"&lt;="&amp;($A208+10/24),tData[SEHTrajectPeriodeDatumTijdTotEnMet],"&gt;"&amp;($A208+10/24))</f>
        <v/>
      </c>
      <c r="O208" s="20">
        <f>COUNTIFS(tData[SEHTrajectPeriodeDatumTijdVan],"&lt;="&amp;($A208+11/24),tData[SEHTrajectPeriodeDatumTijdTotEnMet],"&gt;"&amp;($A208+11/24))</f>
        <v/>
      </c>
      <c r="P208" s="20">
        <f>COUNTIFS(tData[SEHTrajectPeriodeDatumTijdVan],"&lt;="&amp;($A208+12/24),tData[SEHTrajectPeriodeDatumTijdTotEnMet],"&gt;"&amp;($A208+12/24))</f>
        <v/>
      </c>
      <c r="Q208" s="20">
        <f>COUNTIFS(tData[SEHTrajectPeriodeDatumTijdVan],"&lt;="&amp;($A208+13/24),tData[SEHTrajectPeriodeDatumTijdTotEnMet],"&gt;"&amp;($A208+13/24))</f>
        <v/>
      </c>
      <c r="R208" s="20">
        <f>COUNTIFS(tData[SEHTrajectPeriodeDatumTijdVan],"&lt;="&amp;($A208+14/24),tData[SEHTrajectPeriodeDatumTijdTotEnMet],"&gt;"&amp;($A208+14/24))</f>
        <v/>
      </c>
      <c r="S208" s="20">
        <f>COUNTIFS(tData[SEHTrajectPeriodeDatumTijdVan],"&lt;="&amp;($A208+15/24),tData[SEHTrajectPeriodeDatumTijdTotEnMet],"&gt;"&amp;($A208+15/24))</f>
        <v/>
      </c>
      <c r="T208" s="20">
        <f>COUNTIFS(tData[SEHTrajectPeriodeDatumTijdVan],"&lt;="&amp;($A208+16/24),tData[SEHTrajectPeriodeDatumTijdTotEnMet],"&gt;"&amp;($A208+16/24))</f>
        <v/>
      </c>
      <c r="U208" s="20">
        <f>COUNTIFS(tData[SEHTrajectPeriodeDatumTijdVan],"&lt;="&amp;($A208+17/24),tData[SEHTrajectPeriodeDatumTijdTotEnMet],"&gt;"&amp;($A208+17/24))</f>
        <v/>
      </c>
      <c r="V208" s="20">
        <f>COUNTIFS(tData[SEHTrajectPeriodeDatumTijdVan],"&lt;="&amp;($A208+18/24),tData[SEHTrajectPeriodeDatumTijdTotEnMet],"&gt;"&amp;($A208+18/24))</f>
        <v/>
      </c>
      <c r="W208" s="20">
        <f>COUNTIFS(tData[SEHTrajectPeriodeDatumTijdVan],"&lt;="&amp;($A208+19/24),tData[SEHTrajectPeriodeDatumTijdTotEnMet],"&gt;"&amp;($A208+19/24))</f>
        <v/>
      </c>
      <c r="X208" s="20">
        <f>COUNTIFS(tData[SEHTrajectPeriodeDatumTijdVan],"&lt;="&amp;($A208+20/24),tData[SEHTrajectPeriodeDatumTijdTotEnMet],"&gt;"&amp;($A208+20/24))</f>
        <v/>
      </c>
      <c r="Y208" s="20">
        <f>COUNTIFS(tData[SEHTrajectPeriodeDatumTijdVan],"&lt;="&amp;($A208+21/24),tData[SEHTrajectPeriodeDatumTijdTotEnMet],"&gt;"&amp;($A208+21/24))</f>
        <v/>
      </c>
      <c r="Z208" s="20">
        <f>COUNTIFS(tData[SEHTrajectPeriodeDatumTijdVan],"&lt;="&amp;($A208+22/24),tData[SEHTrajectPeriodeDatumTijdTotEnMet],"&gt;"&amp;($A208+22/24))</f>
        <v/>
      </c>
      <c r="AA208" s="20">
        <f>COUNTIFS(tData[SEHTrajectPeriodeDatumTijdVan],"&lt;="&amp;($A208+23/24),tData[SEHTrajectPeriodeDatumTijdTotEnMet],"&gt;"&amp;($A208+23/24))</f>
        <v/>
      </c>
    </row>
    <row r="209">
      <c r="A209" s="19" t="n">
        <v>45497</v>
      </c>
      <c r="B209" s="15">
        <f>WEEKDAY($A209,2)</f>
        <v/>
      </c>
      <c r="C209" s="15">
        <f>IF(AND($A209&gt;=INT(Instellingen!$B$5),$A209&lt;=INT(Instellingen!$B$6)),1,0)</f>
        <v/>
      </c>
      <c r="D209" s="20">
        <f>COUNTIFS(tData[SEHTrajectPeriodeDatumTijdVan],"&lt;="&amp;($A209+0/24),tData[SEHTrajectPeriodeDatumTijdTotEnMet],"&gt;"&amp;($A209+0/24))</f>
        <v/>
      </c>
      <c r="E209" s="20">
        <f>COUNTIFS(tData[SEHTrajectPeriodeDatumTijdVan],"&lt;="&amp;($A209+1/24),tData[SEHTrajectPeriodeDatumTijdTotEnMet],"&gt;"&amp;($A209+1/24))</f>
        <v/>
      </c>
      <c r="F209" s="20">
        <f>COUNTIFS(tData[SEHTrajectPeriodeDatumTijdVan],"&lt;="&amp;($A209+2/24),tData[SEHTrajectPeriodeDatumTijdTotEnMet],"&gt;"&amp;($A209+2/24))</f>
        <v/>
      </c>
      <c r="G209" s="20">
        <f>COUNTIFS(tData[SEHTrajectPeriodeDatumTijdVan],"&lt;="&amp;($A209+3/24),tData[SEHTrajectPeriodeDatumTijdTotEnMet],"&gt;"&amp;($A209+3/24))</f>
        <v/>
      </c>
      <c r="H209" s="20">
        <f>COUNTIFS(tData[SEHTrajectPeriodeDatumTijdVan],"&lt;="&amp;($A209+4/24),tData[SEHTrajectPeriodeDatumTijdTotEnMet],"&gt;"&amp;($A209+4/24))</f>
        <v/>
      </c>
      <c r="I209" s="20">
        <f>COUNTIFS(tData[SEHTrajectPeriodeDatumTijdVan],"&lt;="&amp;($A209+5/24),tData[SEHTrajectPeriodeDatumTijdTotEnMet],"&gt;"&amp;($A209+5/24))</f>
        <v/>
      </c>
      <c r="J209" s="20">
        <f>COUNTIFS(tData[SEHTrajectPeriodeDatumTijdVan],"&lt;="&amp;($A209+6/24),tData[SEHTrajectPeriodeDatumTijdTotEnMet],"&gt;"&amp;($A209+6/24))</f>
        <v/>
      </c>
      <c r="K209" s="20">
        <f>COUNTIFS(tData[SEHTrajectPeriodeDatumTijdVan],"&lt;="&amp;($A209+7/24),tData[SEHTrajectPeriodeDatumTijdTotEnMet],"&gt;"&amp;($A209+7/24))</f>
        <v/>
      </c>
      <c r="L209" s="20">
        <f>COUNTIFS(tData[SEHTrajectPeriodeDatumTijdVan],"&lt;="&amp;($A209+8/24),tData[SEHTrajectPeriodeDatumTijdTotEnMet],"&gt;"&amp;($A209+8/24))</f>
        <v/>
      </c>
      <c r="M209" s="20">
        <f>COUNTIFS(tData[SEHTrajectPeriodeDatumTijdVan],"&lt;="&amp;($A209+9/24),tData[SEHTrajectPeriodeDatumTijdTotEnMet],"&gt;"&amp;($A209+9/24))</f>
        <v/>
      </c>
      <c r="N209" s="20">
        <f>COUNTIFS(tData[SEHTrajectPeriodeDatumTijdVan],"&lt;="&amp;($A209+10/24),tData[SEHTrajectPeriodeDatumTijdTotEnMet],"&gt;"&amp;($A209+10/24))</f>
        <v/>
      </c>
      <c r="O209" s="20">
        <f>COUNTIFS(tData[SEHTrajectPeriodeDatumTijdVan],"&lt;="&amp;($A209+11/24),tData[SEHTrajectPeriodeDatumTijdTotEnMet],"&gt;"&amp;($A209+11/24))</f>
        <v/>
      </c>
      <c r="P209" s="20">
        <f>COUNTIFS(tData[SEHTrajectPeriodeDatumTijdVan],"&lt;="&amp;($A209+12/24),tData[SEHTrajectPeriodeDatumTijdTotEnMet],"&gt;"&amp;($A209+12/24))</f>
        <v/>
      </c>
      <c r="Q209" s="20">
        <f>COUNTIFS(tData[SEHTrajectPeriodeDatumTijdVan],"&lt;="&amp;($A209+13/24),tData[SEHTrajectPeriodeDatumTijdTotEnMet],"&gt;"&amp;($A209+13/24))</f>
        <v/>
      </c>
      <c r="R209" s="20">
        <f>COUNTIFS(tData[SEHTrajectPeriodeDatumTijdVan],"&lt;="&amp;($A209+14/24),tData[SEHTrajectPeriodeDatumTijdTotEnMet],"&gt;"&amp;($A209+14/24))</f>
        <v/>
      </c>
      <c r="S209" s="20">
        <f>COUNTIFS(tData[SEHTrajectPeriodeDatumTijdVan],"&lt;="&amp;($A209+15/24),tData[SEHTrajectPeriodeDatumTijdTotEnMet],"&gt;"&amp;($A209+15/24))</f>
        <v/>
      </c>
      <c r="T209" s="20">
        <f>COUNTIFS(tData[SEHTrajectPeriodeDatumTijdVan],"&lt;="&amp;($A209+16/24),tData[SEHTrajectPeriodeDatumTijdTotEnMet],"&gt;"&amp;($A209+16/24))</f>
        <v/>
      </c>
      <c r="U209" s="20">
        <f>COUNTIFS(tData[SEHTrajectPeriodeDatumTijdVan],"&lt;="&amp;($A209+17/24),tData[SEHTrajectPeriodeDatumTijdTotEnMet],"&gt;"&amp;($A209+17/24))</f>
        <v/>
      </c>
      <c r="V209" s="20">
        <f>COUNTIFS(tData[SEHTrajectPeriodeDatumTijdVan],"&lt;="&amp;($A209+18/24),tData[SEHTrajectPeriodeDatumTijdTotEnMet],"&gt;"&amp;($A209+18/24))</f>
        <v/>
      </c>
      <c r="W209" s="20">
        <f>COUNTIFS(tData[SEHTrajectPeriodeDatumTijdVan],"&lt;="&amp;($A209+19/24),tData[SEHTrajectPeriodeDatumTijdTotEnMet],"&gt;"&amp;($A209+19/24))</f>
        <v/>
      </c>
      <c r="X209" s="20">
        <f>COUNTIFS(tData[SEHTrajectPeriodeDatumTijdVan],"&lt;="&amp;($A209+20/24),tData[SEHTrajectPeriodeDatumTijdTotEnMet],"&gt;"&amp;($A209+20/24))</f>
        <v/>
      </c>
      <c r="Y209" s="20">
        <f>COUNTIFS(tData[SEHTrajectPeriodeDatumTijdVan],"&lt;="&amp;($A209+21/24),tData[SEHTrajectPeriodeDatumTijdTotEnMet],"&gt;"&amp;($A209+21/24))</f>
        <v/>
      </c>
      <c r="Z209" s="20">
        <f>COUNTIFS(tData[SEHTrajectPeriodeDatumTijdVan],"&lt;="&amp;($A209+22/24),tData[SEHTrajectPeriodeDatumTijdTotEnMet],"&gt;"&amp;($A209+22/24))</f>
        <v/>
      </c>
      <c r="AA209" s="20">
        <f>COUNTIFS(tData[SEHTrajectPeriodeDatumTijdVan],"&lt;="&amp;($A209+23/24),tData[SEHTrajectPeriodeDatumTijdTotEnMet],"&gt;"&amp;($A209+23/24))</f>
        <v/>
      </c>
    </row>
    <row r="210">
      <c r="A210" s="19" t="n">
        <v>45498</v>
      </c>
      <c r="B210" s="15">
        <f>WEEKDAY($A210,2)</f>
        <v/>
      </c>
      <c r="C210" s="15">
        <f>IF(AND($A210&gt;=INT(Instellingen!$B$5),$A210&lt;=INT(Instellingen!$B$6)),1,0)</f>
        <v/>
      </c>
      <c r="D210" s="20">
        <f>COUNTIFS(tData[SEHTrajectPeriodeDatumTijdVan],"&lt;="&amp;($A210+0/24),tData[SEHTrajectPeriodeDatumTijdTotEnMet],"&gt;"&amp;($A210+0/24))</f>
        <v/>
      </c>
      <c r="E210" s="20">
        <f>COUNTIFS(tData[SEHTrajectPeriodeDatumTijdVan],"&lt;="&amp;($A210+1/24),tData[SEHTrajectPeriodeDatumTijdTotEnMet],"&gt;"&amp;($A210+1/24))</f>
        <v/>
      </c>
      <c r="F210" s="20">
        <f>COUNTIFS(tData[SEHTrajectPeriodeDatumTijdVan],"&lt;="&amp;($A210+2/24),tData[SEHTrajectPeriodeDatumTijdTotEnMet],"&gt;"&amp;($A210+2/24))</f>
        <v/>
      </c>
      <c r="G210" s="20">
        <f>COUNTIFS(tData[SEHTrajectPeriodeDatumTijdVan],"&lt;="&amp;($A210+3/24),tData[SEHTrajectPeriodeDatumTijdTotEnMet],"&gt;"&amp;($A210+3/24))</f>
        <v/>
      </c>
      <c r="H210" s="20">
        <f>COUNTIFS(tData[SEHTrajectPeriodeDatumTijdVan],"&lt;="&amp;($A210+4/24),tData[SEHTrajectPeriodeDatumTijdTotEnMet],"&gt;"&amp;($A210+4/24))</f>
        <v/>
      </c>
      <c r="I210" s="20">
        <f>COUNTIFS(tData[SEHTrajectPeriodeDatumTijdVan],"&lt;="&amp;($A210+5/24),tData[SEHTrajectPeriodeDatumTijdTotEnMet],"&gt;"&amp;($A210+5/24))</f>
        <v/>
      </c>
      <c r="J210" s="20">
        <f>COUNTIFS(tData[SEHTrajectPeriodeDatumTijdVan],"&lt;="&amp;($A210+6/24),tData[SEHTrajectPeriodeDatumTijdTotEnMet],"&gt;"&amp;($A210+6/24))</f>
        <v/>
      </c>
      <c r="K210" s="20">
        <f>COUNTIFS(tData[SEHTrajectPeriodeDatumTijdVan],"&lt;="&amp;($A210+7/24),tData[SEHTrajectPeriodeDatumTijdTotEnMet],"&gt;"&amp;($A210+7/24))</f>
        <v/>
      </c>
      <c r="L210" s="20">
        <f>COUNTIFS(tData[SEHTrajectPeriodeDatumTijdVan],"&lt;="&amp;($A210+8/24),tData[SEHTrajectPeriodeDatumTijdTotEnMet],"&gt;"&amp;($A210+8/24))</f>
        <v/>
      </c>
      <c r="M210" s="20">
        <f>COUNTIFS(tData[SEHTrajectPeriodeDatumTijdVan],"&lt;="&amp;($A210+9/24),tData[SEHTrajectPeriodeDatumTijdTotEnMet],"&gt;"&amp;($A210+9/24))</f>
        <v/>
      </c>
      <c r="N210" s="20">
        <f>COUNTIFS(tData[SEHTrajectPeriodeDatumTijdVan],"&lt;="&amp;($A210+10/24),tData[SEHTrajectPeriodeDatumTijdTotEnMet],"&gt;"&amp;($A210+10/24))</f>
        <v/>
      </c>
      <c r="O210" s="20">
        <f>COUNTIFS(tData[SEHTrajectPeriodeDatumTijdVan],"&lt;="&amp;($A210+11/24),tData[SEHTrajectPeriodeDatumTijdTotEnMet],"&gt;"&amp;($A210+11/24))</f>
        <v/>
      </c>
      <c r="P210" s="20">
        <f>COUNTIFS(tData[SEHTrajectPeriodeDatumTijdVan],"&lt;="&amp;($A210+12/24),tData[SEHTrajectPeriodeDatumTijdTotEnMet],"&gt;"&amp;($A210+12/24))</f>
        <v/>
      </c>
      <c r="Q210" s="20">
        <f>COUNTIFS(tData[SEHTrajectPeriodeDatumTijdVan],"&lt;="&amp;($A210+13/24),tData[SEHTrajectPeriodeDatumTijdTotEnMet],"&gt;"&amp;($A210+13/24))</f>
        <v/>
      </c>
      <c r="R210" s="20">
        <f>COUNTIFS(tData[SEHTrajectPeriodeDatumTijdVan],"&lt;="&amp;($A210+14/24),tData[SEHTrajectPeriodeDatumTijdTotEnMet],"&gt;"&amp;($A210+14/24))</f>
        <v/>
      </c>
      <c r="S210" s="20">
        <f>COUNTIFS(tData[SEHTrajectPeriodeDatumTijdVan],"&lt;="&amp;($A210+15/24),tData[SEHTrajectPeriodeDatumTijdTotEnMet],"&gt;"&amp;($A210+15/24))</f>
        <v/>
      </c>
      <c r="T210" s="20">
        <f>COUNTIFS(tData[SEHTrajectPeriodeDatumTijdVan],"&lt;="&amp;($A210+16/24),tData[SEHTrajectPeriodeDatumTijdTotEnMet],"&gt;"&amp;($A210+16/24))</f>
        <v/>
      </c>
      <c r="U210" s="20">
        <f>COUNTIFS(tData[SEHTrajectPeriodeDatumTijdVan],"&lt;="&amp;($A210+17/24),tData[SEHTrajectPeriodeDatumTijdTotEnMet],"&gt;"&amp;($A210+17/24))</f>
        <v/>
      </c>
      <c r="V210" s="20">
        <f>COUNTIFS(tData[SEHTrajectPeriodeDatumTijdVan],"&lt;="&amp;($A210+18/24),tData[SEHTrajectPeriodeDatumTijdTotEnMet],"&gt;"&amp;($A210+18/24))</f>
        <v/>
      </c>
      <c r="W210" s="20">
        <f>COUNTIFS(tData[SEHTrajectPeriodeDatumTijdVan],"&lt;="&amp;($A210+19/24),tData[SEHTrajectPeriodeDatumTijdTotEnMet],"&gt;"&amp;($A210+19/24))</f>
        <v/>
      </c>
      <c r="X210" s="20">
        <f>COUNTIFS(tData[SEHTrajectPeriodeDatumTijdVan],"&lt;="&amp;($A210+20/24),tData[SEHTrajectPeriodeDatumTijdTotEnMet],"&gt;"&amp;($A210+20/24))</f>
        <v/>
      </c>
      <c r="Y210" s="20">
        <f>COUNTIFS(tData[SEHTrajectPeriodeDatumTijdVan],"&lt;="&amp;($A210+21/24),tData[SEHTrajectPeriodeDatumTijdTotEnMet],"&gt;"&amp;($A210+21/24))</f>
        <v/>
      </c>
      <c r="Z210" s="20">
        <f>COUNTIFS(tData[SEHTrajectPeriodeDatumTijdVan],"&lt;="&amp;($A210+22/24),tData[SEHTrajectPeriodeDatumTijdTotEnMet],"&gt;"&amp;($A210+22/24))</f>
        <v/>
      </c>
      <c r="AA210" s="20">
        <f>COUNTIFS(tData[SEHTrajectPeriodeDatumTijdVan],"&lt;="&amp;($A210+23/24),tData[SEHTrajectPeriodeDatumTijdTotEnMet],"&gt;"&amp;($A210+23/24))</f>
        <v/>
      </c>
    </row>
    <row r="211">
      <c r="A211" s="19" t="n">
        <v>45499</v>
      </c>
      <c r="B211" s="15">
        <f>WEEKDAY($A211,2)</f>
        <v/>
      </c>
      <c r="C211" s="15">
        <f>IF(AND($A211&gt;=INT(Instellingen!$B$5),$A211&lt;=INT(Instellingen!$B$6)),1,0)</f>
        <v/>
      </c>
      <c r="D211" s="20">
        <f>COUNTIFS(tData[SEHTrajectPeriodeDatumTijdVan],"&lt;="&amp;($A211+0/24),tData[SEHTrajectPeriodeDatumTijdTotEnMet],"&gt;"&amp;($A211+0/24))</f>
        <v/>
      </c>
      <c r="E211" s="20">
        <f>COUNTIFS(tData[SEHTrajectPeriodeDatumTijdVan],"&lt;="&amp;($A211+1/24),tData[SEHTrajectPeriodeDatumTijdTotEnMet],"&gt;"&amp;($A211+1/24))</f>
        <v/>
      </c>
      <c r="F211" s="20">
        <f>COUNTIFS(tData[SEHTrajectPeriodeDatumTijdVan],"&lt;="&amp;($A211+2/24),tData[SEHTrajectPeriodeDatumTijdTotEnMet],"&gt;"&amp;($A211+2/24))</f>
        <v/>
      </c>
      <c r="G211" s="20">
        <f>COUNTIFS(tData[SEHTrajectPeriodeDatumTijdVan],"&lt;="&amp;($A211+3/24),tData[SEHTrajectPeriodeDatumTijdTotEnMet],"&gt;"&amp;($A211+3/24))</f>
        <v/>
      </c>
      <c r="H211" s="20">
        <f>COUNTIFS(tData[SEHTrajectPeriodeDatumTijdVan],"&lt;="&amp;($A211+4/24),tData[SEHTrajectPeriodeDatumTijdTotEnMet],"&gt;"&amp;($A211+4/24))</f>
        <v/>
      </c>
      <c r="I211" s="20">
        <f>COUNTIFS(tData[SEHTrajectPeriodeDatumTijdVan],"&lt;="&amp;($A211+5/24),tData[SEHTrajectPeriodeDatumTijdTotEnMet],"&gt;"&amp;($A211+5/24))</f>
        <v/>
      </c>
      <c r="J211" s="20">
        <f>COUNTIFS(tData[SEHTrajectPeriodeDatumTijdVan],"&lt;="&amp;($A211+6/24),tData[SEHTrajectPeriodeDatumTijdTotEnMet],"&gt;"&amp;($A211+6/24))</f>
        <v/>
      </c>
      <c r="K211" s="20">
        <f>COUNTIFS(tData[SEHTrajectPeriodeDatumTijdVan],"&lt;="&amp;($A211+7/24),tData[SEHTrajectPeriodeDatumTijdTotEnMet],"&gt;"&amp;($A211+7/24))</f>
        <v/>
      </c>
      <c r="L211" s="20">
        <f>COUNTIFS(tData[SEHTrajectPeriodeDatumTijdVan],"&lt;="&amp;($A211+8/24),tData[SEHTrajectPeriodeDatumTijdTotEnMet],"&gt;"&amp;($A211+8/24))</f>
        <v/>
      </c>
      <c r="M211" s="20">
        <f>COUNTIFS(tData[SEHTrajectPeriodeDatumTijdVan],"&lt;="&amp;($A211+9/24),tData[SEHTrajectPeriodeDatumTijdTotEnMet],"&gt;"&amp;($A211+9/24))</f>
        <v/>
      </c>
      <c r="N211" s="20">
        <f>COUNTIFS(tData[SEHTrajectPeriodeDatumTijdVan],"&lt;="&amp;($A211+10/24),tData[SEHTrajectPeriodeDatumTijdTotEnMet],"&gt;"&amp;($A211+10/24))</f>
        <v/>
      </c>
      <c r="O211" s="20">
        <f>COUNTIFS(tData[SEHTrajectPeriodeDatumTijdVan],"&lt;="&amp;($A211+11/24),tData[SEHTrajectPeriodeDatumTijdTotEnMet],"&gt;"&amp;($A211+11/24))</f>
        <v/>
      </c>
      <c r="P211" s="20">
        <f>COUNTIFS(tData[SEHTrajectPeriodeDatumTijdVan],"&lt;="&amp;($A211+12/24),tData[SEHTrajectPeriodeDatumTijdTotEnMet],"&gt;"&amp;($A211+12/24))</f>
        <v/>
      </c>
      <c r="Q211" s="20">
        <f>COUNTIFS(tData[SEHTrajectPeriodeDatumTijdVan],"&lt;="&amp;($A211+13/24),tData[SEHTrajectPeriodeDatumTijdTotEnMet],"&gt;"&amp;($A211+13/24))</f>
        <v/>
      </c>
      <c r="R211" s="20">
        <f>COUNTIFS(tData[SEHTrajectPeriodeDatumTijdVan],"&lt;="&amp;($A211+14/24),tData[SEHTrajectPeriodeDatumTijdTotEnMet],"&gt;"&amp;($A211+14/24))</f>
        <v/>
      </c>
      <c r="S211" s="20">
        <f>COUNTIFS(tData[SEHTrajectPeriodeDatumTijdVan],"&lt;="&amp;($A211+15/24),tData[SEHTrajectPeriodeDatumTijdTotEnMet],"&gt;"&amp;($A211+15/24))</f>
        <v/>
      </c>
      <c r="T211" s="20">
        <f>COUNTIFS(tData[SEHTrajectPeriodeDatumTijdVan],"&lt;="&amp;($A211+16/24),tData[SEHTrajectPeriodeDatumTijdTotEnMet],"&gt;"&amp;($A211+16/24))</f>
        <v/>
      </c>
      <c r="U211" s="20">
        <f>COUNTIFS(tData[SEHTrajectPeriodeDatumTijdVan],"&lt;="&amp;($A211+17/24),tData[SEHTrajectPeriodeDatumTijdTotEnMet],"&gt;"&amp;($A211+17/24))</f>
        <v/>
      </c>
      <c r="V211" s="20">
        <f>COUNTIFS(tData[SEHTrajectPeriodeDatumTijdVan],"&lt;="&amp;($A211+18/24),tData[SEHTrajectPeriodeDatumTijdTotEnMet],"&gt;"&amp;($A211+18/24))</f>
        <v/>
      </c>
      <c r="W211" s="20">
        <f>COUNTIFS(tData[SEHTrajectPeriodeDatumTijdVan],"&lt;="&amp;($A211+19/24),tData[SEHTrajectPeriodeDatumTijdTotEnMet],"&gt;"&amp;($A211+19/24))</f>
        <v/>
      </c>
      <c r="X211" s="20">
        <f>COUNTIFS(tData[SEHTrajectPeriodeDatumTijdVan],"&lt;="&amp;($A211+20/24),tData[SEHTrajectPeriodeDatumTijdTotEnMet],"&gt;"&amp;($A211+20/24))</f>
        <v/>
      </c>
      <c r="Y211" s="20">
        <f>COUNTIFS(tData[SEHTrajectPeriodeDatumTijdVan],"&lt;="&amp;($A211+21/24),tData[SEHTrajectPeriodeDatumTijdTotEnMet],"&gt;"&amp;($A211+21/24))</f>
        <v/>
      </c>
      <c r="Z211" s="20">
        <f>COUNTIFS(tData[SEHTrajectPeriodeDatumTijdVan],"&lt;="&amp;($A211+22/24),tData[SEHTrajectPeriodeDatumTijdTotEnMet],"&gt;"&amp;($A211+22/24))</f>
        <v/>
      </c>
      <c r="AA211" s="20">
        <f>COUNTIFS(tData[SEHTrajectPeriodeDatumTijdVan],"&lt;="&amp;($A211+23/24),tData[SEHTrajectPeriodeDatumTijdTotEnMet],"&gt;"&amp;($A211+23/24))</f>
        <v/>
      </c>
    </row>
    <row r="212">
      <c r="A212" s="19" t="n">
        <v>45500</v>
      </c>
      <c r="B212" s="15">
        <f>WEEKDAY($A212,2)</f>
        <v/>
      </c>
      <c r="C212" s="15">
        <f>IF(AND($A212&gt;=INT(Instellingen!$B$5),$A212&lt;=INT(Instellingen!$B$6)),1,0)</f>
        <v/>
      </c>
      <c r="D212" s="20">
        <f>COUNTIFS(tData[SEHTrajectPeriodeDatumTijdVan],"&lt;="&amp;($A212+0/24),tData[SEHTrajectPeriodeDatumTijdTotEnMet],"&gt;"&amp;($A212+0/24))</f>
        <v/>
      </c>
      <c r="E212" s="20">
        <f>COUNTIFS(tData[SEHTrajectPeriodeDatumTijdVan],"&lt;="&amp;($A212+1/24),tData[SEHTrajectPeriodeDatumTijdTotEnMet],"&gt;"&amp;($A212+1/24))</f>
        <v/>
      </c>
      <c r="F212" s="20">
        <f>COUNTIFS(tData[SEHTrajectPeriodeDatumTijdVan],"&lt;="&amp;($A212+2/24),tData[SEHTrajectPeriodeDatumTijdTotEnMet],"&gt;"&amp;($A212+2/24))</f>
        <v/>
      </c>
      <c r="G212" s="20">
        <f>COUNTIFS(tData[SEHTrajectPeriodeDatumTijdVan],"&lt;="&amp;($A212+3/24),tData[SEHTrajectPeriodeDatumTijdTotEnMet],"&gt;"&amp;($A212+3/24))</f>
        <v/>
      </c>
      <c r="H212" s="20">
        <f>COUNTIFS(tData[SEHTrajectPeriodeDatumTijdVan],"&lt;="&amp;($A212+4/24),tData[SEHTrajectPeriodeDatumTijdTotEnMet],"&gt;"&amp;($A212+4/24))</f>
        <v/>
      </c>
      <c r="I212" s="20">
        <f>COUNTIFS(tData[SEHTrajectPeriodeDatumTijdVan],"&lt;="&amp;($A212+5/24),tData[SEHTrajectPeriodeDatumTijdTotEnMet],"&gt;"&amp;($A212+5/24))</f>
        <v/>
      </c>
      <c r="J212" s="20">
        <f>COUNTIFS(tData[SEHTrajectPeriodeDatumTijdVan],"&lt;="&amp;($A212+6/24),tData[SEHTrajectPeriodeDatumTijdTotEnMet],"&gt;"&amp;($A212+6/24))</f>
        <v/>
      </c>
      <c r="K212" s="20">
        <f>COUNTIFS(tData[SEHTrajectPeriodeDatumTijdVan],"&lt;="&amp;($A212+7/24),tData[SEHTrajectPeriodeDatumTijdTotEnMet],"&gt;"&amp;($A212+7/24))</f>
        <v/>
      </c>
      <c r="L212" s="20">
        <f>COUNTIFS(tData[SEHTrajectPeriodeDatumTijdVan],"&lt;="&amp;($A212+8/24),tData[SEHTrajectPeriodeDatumTijdTotEnMet],"&gt;"&amp;($A212+8/24))</f>
        <v/>
      </c>
      <c r="M212" s="20">
        <f>COUNTIFS(tData[SEHTrajectPeriodeDatumTijdVan],"&lt;="&amp;($A212+9/24),tData[SEHTrajectPeriodeDatumTijdTotEnMet],"&gt;"&amp;($A212+9/24))</f>
        <v/>
      </c>
      <c r="N212" s="20">
        <f>COUNTIFS(tData[SEHTrajectPeriodeDatumTijdVan],"&lt;="&amp;($A212+10/24),tData[SEHTrajectPeriodeDatumTijdTotEnMet],"&gt;"&amp;($A212+10/24))</f>
        <v/>
      </c>
      <c r="O212" s="20">
        <f>COUNTIFS(tData[SEHTrajectPeriodeDatumTijdVan],"&lt;="&amp;($A212+11/24),tData[SEHTrajectPeriodeDatumTijdTotEnMet],"&gt;"&amp;($A212+11/24))</f>
        <v/>
      </c>
      <c r="P212" s="20">
        <f>COUNTIFS(tData[SEHTrajectPeriodeDatumTijdVan],"&lt;="&amp;($A212+12/24),tData[SEHTrajectPeriodeDatumTijdTotEnMet],"&gt;"&amp;($A212+12/24))</f>
        <v/>
      </c>
      <c r="Q212" s="20">
        <f>COUNTIFS(tData[SEHTrajectPeriodeDatumTijdVan],"&lt;="&amp;($A212+13/24),tData[SEHTrajectPeriodeDatumTijdTotEnMet],"&gt;"&amp;($A212+13/24))</f>
        <v/>
      </c>
      <c r="R212" s="20">
        <f>COUNTIFS(tData[SEHTrajectPeriodeDatumTijdVan],"&lt;="&amp;($A212+14/24),tData[SEHTrajectPeriodeDatumTijdTotEnMet],"&gt;"&amp;($A212+14/24))</f>
        <v/>
      </c>
      <c r="S212" s="20">
        <f>COUNTIFS(tData[SEHTrajectPeriodeDatumTijdVan],"&lt;="&amp;($A212+15/24),tData[SEHTrajectPeriodeDatumTijdTotEnMet],"&gt;"&amp;($A212+15/24))</f>
        <v/>
      </c>
      <c r="T212" s="20">
        <f>COUNTIFS(tData[SEHTrajectPeriodeDatumTijdVan],"&lt;="&amp;($A212+16/24),tData[SEHTrajectPeriodeDatumTijdTotEnMet],"&gt;"&amp;($A212+16/24))</f>
        <v/>
      </c>
      <c r="U212" s="20">
        <f>COUNTIFS(tData[SEHTrajectPeriodeDatumTijdVan],"&lt;="&amp;($A212+17/24),tData[SEHTrajectPeriodeDatumTijdTotEnMet],"&gt;"&amp;($A212+17/24))</f>
        <v/>
      </c>
      <c r="V212" s="20">
        <f>COUNTIFS(tData[SEHTrajectPeriodeDatumTijdVan],"&lt;="&amp;($A212+18/24),tData[SEHTrajectPeriodeDatumTijdTotEnMet],"&gt;"&amp;($A212+18/24))</f>
        <v/>
      </c>
      <c r="W212" s="20">
        <f>COUNTIFS(tData[SEHTrajectPeriodeDatumTijdVan],"&lt;="&amp;($A212+19/24),tData[SEHTrajectPeriodeDatumTijdTotEnMet],"&gt;"&amp;($A212+19/24))</f>
        <v/>
      </c>
      <c r="X212" s="20">
        <f>COUNTIFS(tData[SEHTrajectPeriodeDatumTijdVan],"&lt;="&amp;($A212+20/24),tData[SEHTrajectPeriodeDatumTijdTotEnMet],"&gt;"&amp;($A212+20/24))</f>
        <v/>
      </c>
      <c r="Y212" s="20">
        <f>COUNTIFS(tData[SEHTrajectPeriodeDatumTijdVan],"&lt;="&amp;($A212+21/24),tData[SEHTrajectPeriodeDatumTijdTotEnMet],"&gt;"&amp;($A212+21/24))</f>
        <v/>
      </c>
      <c r="Z212" s="20">
        <f>COUNTIFS(tData[SEHTrajectPeriodeDatumTijdVan],"&lt;="&amp;($A212+22/24),tData[SEHTrajectPeriodeDatumTijdTotEnMet],"&gt;"&amp;($A212+22/24))</f>
        <v/>
      </c>
      <c r="AA212" s="20">
        <f>COUNTIFS(tData[SEHTrajectPeriodeDatumTijdVan],"&lt;="&amp;($A212+23/24),tData[SEHTrajectPeriodeDatumTijdTotEnMet],"&gt;"&amp;($A212+23/24))</f>
        <v/>
      </c>
    </row>
    <row r="213">
      <c r="A213" s="19" t="n">
        <v>45501</v>
      </c>
      <c r="B213" s="15">
        <f>WEEKDAY($A213,2)</f>
        <v/>
      </c>
      <c r="C213" s="15">
        <f>IF(AND($A213&gt;=INT(Instellingen!$B$5),$A213&lt;=INT(Instellingen!$B$6)),1,0)</f>
        <v/>
      </c>
      <c r="D213" s="20">
        <f>COUNTIFS(tData[SEHTrajectPeriodeDatumTijdVan],"&lt;="&amp;($A213+0/24),tData[SEHTrajectPeriodeDatumTijdTotEnMet],"&gt;"&amp;($A213+0/24))</f>
        <v/>
      </c>
      <c r="E213" s="20">
        <f>COUNTIFS(tData[SEHTrajectPeriodeDatumTijdVan],"&lt;="&amp;($A213+1/24),tData[SEHTrajectPeriodeDatumTijdTotEnMet],"&gt;"&amp;($A213+1/24))</f>
        <v/>
      </c>
      <c r="F213" s="20">
        <f>COUNTIFS(tData[SEHTrajectPeriodeDatumTijdVan],"&lt;="&amp;($A213+2/24),tData[SEHTrajectPeriodeDatumTijdTotEnMet],"&gt;"&amp;($A213+2/24))</f>
        <v/>
      </c>
      <c r="G213" s="20">
        <f>COUNTIFS(tData[SEHTrajectPeriodeDatumTijdVan],"&lt;="&amp;($A213+3/24),tData[SEHTrajectPeriodeDatumTijdTotEnMet],"&gt;"&amp;($A213+3/24))</f>
        <v/>
      </c>
      <c r="H213" s="20">
        <f>COUNTIFS(tData[SEHTrajectPeriodeDatumTijdVan],"&lt;="&amp;($A213+4/24),tData[SEHTrajectPeriodeDatumTijdTotEnMet],"&gt;"&amp;($A213+4/24))</f>
        <v/>
      </c>
      <c r="I213" s="20">
        <f>COUNTIFS(tData[SEHTrajectPeriodeDatumTijdVan],"&lt;="&amp;($A213+5/24),tData[SEHTrajectPeriodeDatumTijdTotEnMet],"&gt;"&amp;($A213+5/24))</f>
        <v/>
      </c>
      <c r="J213" s="20">
        <f>COUNTIFS(tData[SEHTrajectPeriodeDatumTijdVan],"&lt;="&amp;($A213+6/24),tData[SEHTrajectPeriodeDatumTijdTotEnMet],"&gt;"&amp;($A213+6/24))</f>
        <v/>
      </c>
      <c r="K213" s="20">
        <f>COUNTIFS(tData[SEHTrajectPeriodeDatumTijdVan],"&lt;="&amp;($A213+7/24),tData[SEHTrajectPeriodeDatumTijdTotEnMet],"&gt;"&amp;($A213+7/24))</f>
        <v/>
      </c>
      <c r="L213" s="20">
        <f>COUNTIFS(tData[SEHTrajectPeriodeDatumTijdVan],"&lt;="&amp;($A213+8/24),tData[SEHTrajectPeriodeDatumTijdTotEnMet],"&gt;"&amp;($A213+8/24))</f>
        <v/>
      </c>
      <c r="M213" s="20">
        <f>COUNTIFS(tData[SEHTrajectPeriodeDatumTijdVan],"&lt;="&amp;($A213+9/24),tData[SEHTrajectPeriodeDatumTijdTotEnMet],"&gt;"&amp;($A213+9/24))</f>
        <v/>
      </c>
      <c r="N213" s="20">
        <f>COUNTIFS(tData[SEHTrajectPeriodeDatumTijdVan],"&lt;="&amp;($A213+10/24),tData[SEHTrajectPeriodeDatumTijdTotEnMet],"&gt;"&amp;($A213+10/24))</f>
        <v/>
      </c>
      <c r="O213" s="20">
        <f>COUNTIFS(tData[SEHTrajectPeriodeDatumTijdVan],"&lt;="&amp;($A213+11/24),tData[SEHTrajectPeriodeDatumTijdTotEnMet],"&gt;"&amp;($A213+11/24))</f>
        <v/>
      </c>
      <c r="P213" s="20">
        <f>COUNTIFS(tData[SEHTrajectPeriodeDatumTijdVan],"&lt;="&amp;($A213+12/24),tData[SEHTrajectPeriodeDatumTijdTotEnMet],"&gt;"&amp;($A213+12/24))</f>
        <v/>
      </c>
      <c r="Q213" s="20">
        <f>COUNTIFS(tData[SEHTrajectPeriodeDatumTijdVan],"&lt;="&amp;($A213+13/24),tData[SEHTrajectPeriodeDatumTijdTotEnMet],"&gt;"&amp;($A213+13/24))</f>
        <v/>
      </c>
      <c r="R213" s="20">
        <f>COUNTIFS(tData[SEHTrajectPeriodeDatumTijdVan],"&lt;="&amp;($A213+14/24),tData[SEHTrajectPeriodeDatumTijdTotEnMet],"&gt;"&amp;($A213+14/24))</f>
        <v/>
      </c>
      <c r="S213" s="20">
        <f>COUNTIFS(tData[SEHTrajectPeriodeDatumTijdVan],"&lt;="&amp;($A213+15/24),tData[SEHTrajectPeriodeDatumTijdTotEnMet],"&gt;"&amp;($A213+15/24))</f>
        <v/>
      </c>
      <c r="T213" s="20">
        <f>COUNTIFS(tData[SEHTrajectPeriodeDatumTijdVan],"&lt;="&amp;($A213+16/24),tData[SEHTrajectPeriodeDatumTijdTotEnMet],"&gt;"&amp;($A213+16/24))</f>
        <v/>
      </c>
      <c r="U213" s="20">
        <f>COUNTIFS(tData[SEHTrajectPeriodeDatumTijdVan],"&lt;="&amp;($A213+17/24),tData[SEHTrajectPeriodeDatumTijdTotEnMet],"&gt;"&amp;($A213+17/24))</f>
        <v/>
      </c>
      <c r="V213" s="20">
        <f>COUNTIFS(tData[SEHTrajectPeriodeDatumTijdVan],"&lt;="&amp;($A213+18/24),tData[SEHTrajectPeriodeDatumTijdTotEnMet],"&gt;"&amp;($A213+18/24))</f>
        <v/>
      </c>
      <c r="W213" s="20">
        <f>COUNTIFS(tData[SEHTrajectPeriodeDatumTijdVan],"&lt;="&amp;($A213+19/24),tData[SEHTrajectPeriodeDatumTijdTotEnMet],"&gt;"&amp;($A213+19/24))</f>
        <v/>
      </c>
      <c r="X213" s="20">
        <f>COUNTIFS(tData[SEHTrajectPeriodeDatumTijdVan],"&lt;="&amp;($A213+20/24),tData[SEHTrajectPeriodeDatumTijdTotEnMet],"&gt;"&amp;($A213+20/24))</f>
        <v/>
      </c>
      <c r="Y213" s="20">
        <f>COUNTIFS(tData[SEHTrajectPeriodeDatumTijdVan],"&lt;="&amp;($A213+21/24),tData[SEHTrajectPeriodeDatumTijdTotEnMet],"&gt;"&amp;($A213+21/24))</f>
        <v/>
      </c>
      <c r="Z213" s="20">
        <f>COUNTIFS(tData[SEHTrajectPeriodeDatumTijdVan],"&lt;="&amp;($A213+22/24),tData[SEHTrajectPeriodeDatumTijdTotEnMet],"&gt;"&amp;($A213+22/24))</f>
        <v/>
      </c>
      <c r="AA213" s="20">
        <f>COUNTIFS(tData[SEHTrajectPeriodeDatumTijdVan],"&lt;="&amp;($A213+23/24),tData[SEHTrajectPeriodeDatumTijdTotEnMet],"&gt;"&amp;($A213+23/24))</f>
        <v/>
      </c>
    </row>
    <row r="214">
      <c r="A214" s="19" t="n">
        <v>45502</v>
      </c>
      <c r="B214" s="15">
        <f>WEEKDAY($A214,2)</f>
        <v/>
      </c>
      <c r="C214" s="15">
        <f>IF(AND($A214&gt;=INT(Instellingen!$B$5),$A214&lt;=INT(Instellingen!$B$6)),1,0)</f>
        <v/>
      </c>
      <c r="D214" s="20">
        <f>COUNTIFS(tData[SEHTrajectPeriodeDatumTijdVan],"&lt;="&amp;($A214+0/24),tData[SEHTrajectPeriodeDatumTijdTotEnMet],"&gt;"&amp;($A214+0/24))</f>
        <v/>
      </c>
      <c r="E214" s="20">
        <f>COUNTIFS(tData[SEHTrajectPeriodeDatumTijdVan],"&lt;="&amp;($A214+1/24),tData[SEHTrajectPeriodeDatumTijdTotEnMet],"&gt;"&amp;($A214+1/24))</f>
        <v/>
      </c>
      <c r="F214" s="20">
        <f>COUNTIFS(tData[SEHTrajectPeriodeDatumTijdVan],"&lt;="&amp;($A214+2/24),tData[SEHTrajectPeriodeDatumTijdTotEnMet],"&gt;"&amp;($A214+2/24))</f>
        <v/>
      </c>
      <c r="G214" s="20">
        <f>COUNTIFS(tData[SEHTrajectPeriodeDatumTijdVan],"&lt;="&amp;($A214+3/24),tData[SEHTrajectPeriodeDatumTijdTotEnMet],"&gt;"&amp;($A214+3/24))</f>
        <v/>
      </c>
      <c r="H214" s="20">
        <f>COUNTIFS(tData[SEHTrajectPeriodeDatumTijdVan],"&lt;="&amp;($A214+4/24),tData[SEHTrajectPeriodeDatumTijdTotEnMet],"&gt;"&amp;($A214+4/24))</f>
        <v/>
      </c>
      <c r="I214" s="20">
        <f>COUNTIFS(tData[SEHTrajectPeriodeDatumTijdVan],"&lt;="&amp;($A214+5/24),tData[SEHTrajectPeriodeDatumTijdTotEnMet],"&gt;"&amp;($A214+5/24))</f>
        <v/>
      </c>
      <c r="J214" s="20">
        <f>COUNTIFS(tData[SEHTrajectPeriodeDatumTijdVan],"&lt;="&amp;($A214+6/24),tData[SEHTrajectPeriodeDatumTijdTotEnMet],"&gt;"&amp;($A214+6/24))</f>
        <v/>
      </c>
      <c r="K214" s="20">
        <f>COUNTIFS(tData[SEHTrajectPeriodeDatumTijdVan],"&lt;="&amp;($A214+7/24),tData[SEHTrajectPeriodeDatumTijdTotEnMet],"&gt;"&amp;($A214+7/24))</f>
        <v/>
      </c>
      <c r="L214" s="20">
        <f>COUNTIFS(tData[SEHTrajectPeriodeDatumTijdVan],"&lt;="&amp;($A214+8/24),tData[SEHTrajectPeriodeDatumTijdTotEnMet],"&gt;"&amp;($A214+8/24))</f>
        <v/>
      </c>
      <c r="M214" s="20">
        <f>COUNTIFS(tData[SEHTrajectPeriodeDatumTijdVan],"&lt;="&amp;($A214+9/24),tData[SEHTrajectPeriodeDatumTijdTotEnMet],"&gt;"&amp;($A214+9/24))</f>
        <v/>
      </c>
      <c r="N214" s="20">
        <f>COUNTIFS(tData[SEHTrajectPeriodeDatumTijdVan],"&lt;="&amp;($A214+10/24),tData[SEHTrajectPeriodeDatumTijdTotEnMet],"&gt;"&amp;($A214+10/24))</f>
        <v/>
      </c>
      <c r="O214" s="20">
        <f>COUNTIFS(tData[SEHTrajectPeriodeDatumTijdVan],"&lt;="&amp;($A214+11/24),tData[SEHTrajectPeriodeDatumTijdTotEnMet],"&gt;"&amp;($A214+11/24))</f>
        <v/>
      </c>
      <c r="P214" s="20">
        <f>COUNTIFS(tData[SEHTrajectPeriodeDatumTijdVan],"&lt;="&amp;($A214+12/24),tData[SEHTrajectPeriodeDatumTijdTotEnMet],"&gt;"&amp;($A214+12/24))</f>
        <v/>
      </c>
      <c r="Q214" s="20">
        <f>COUNTIFS(tData[SEHTrajectPeriodeDatumTijdVan],"&lt;="&amp;($A214+13/24),tData[SEHTrajectPeriodeDatumTijdTotEnMet],"&gt;"&amp;($A214+13/24))</f>
        <v/>
      </c>
      <c r="R214" s="20">
        <f>COUNTIFS(tData[SEHTrajectPeriodeDatumTijdVan],"&lt;="&amp;($A214+14/24),tData[SEHTrajectPeriodeDatumTijdTotEnMet],"&gt;"&amp;($A214+14/24))</f>
        <v/>
      </c>
      <c r="S214" s="20">
        <f>COUNTIFS(tData[SEHTrajectPeriodeDatumTijdVan],"&lt;="&amp;($A214+15/24),tData[SEHTrajectPeriodeDatumTijdTotEnMet],"&gt;"&amp;($A214+15/24))</f>
        <v/>
      </c>
      <c r="T214" s="20">
        <f>COUNTIFS(tData[SEHTrajectPeriodeDatumTijdVan],"&lt;="&amp;($A214+16/24),tData[SEHTrajectPeriodeDatumTijdTotEnMet],"&gt;"&amp;($A214+16/24))</f>
        <v/>
      </c>
      <c r="U214" s="20">
        <f>COUNTIFS(tData[SEHTrajectPeriodeDatumTijdVan],"&lt;="&amp;($A214+17/24),tData[SEHTrajectPeriodeDatumTijdTotEnMet],"&gt;"&amp;($A214+17/24))</f>
        <v/>
      </c>
      <c r="V214" s="20">
        <f>COUNTIFS(tData[SEHTrajectPeriodeDatumTijdVan],"&lt;="&amp;($A214+18/24),tData[SEHTrajectPeriodeDatumTijdTotEnMet],"&gt;"&amp;($A214+18/24))</f>
        <v/>
      </c>
      <c r="W214" s="20">
        <f>COUNTIFS(tData[SEHTrajectPeriodeDatumTijdVan],"&lt;="&amp;($A214+19/24),tData[SEHTrajectPeriodeDatumTijdTotEnMet],"&gt;"&amp;($A214+19/24))</f>
        <v/>
      </c>
      <c r="X214" s="20">
        <f>COUNTIFS(tData[SEHTrajectPeriodeDatumTijdVan],"&lt;="&amp;($A214+20/24),tData[SEHTrajectPeriodeDatumTijdTotEnMet],"&gt;"&amp;($A214+20/24))</f>
        <v/>
      </c>
      <c r="Y214" s="20">
        <f>COUNTIFS(tData[SEHTrajectPeriodeDatumTijdVan],"&lt;="&amp;($A214+21/24),tData[SEHTrajectPeriodeDatumTijdTotEnMet],"&gt;"&amp;($A214+21/24))</f>
        <v/>
      </c>
      <c r="Z214" s="20">
        <f>COUNTIFS(tData[SEHTrajectPeriodeDatumTijdVan],"&lt;="&amp;($A214+22/24),tData[SEHTrajectPeriodeDatumTijdTotEnMet],"&gt;"&amp;($A214+22/24))</f>
        <v/>
      </c>
      <c r="AA214" s="20">
        <f>COUNTIFS(tData[SEHTrajectPeriodeDatumTijdVan],"&lt;="&amp;($A214+23/24),tData[SEHTrajectPeriodeDatumTijdTotEnMet],"&gt;"&amp;($A214+23/24))</f>
        <v/>
      </c>
    </row>
    <row r="215">
      <c r="A215" s="19" t="n">
        <v>45503</v>
      </c>
      <c r="B215" s="15">
        <f>WEEKDAY($A215,2)</f>
        <v/>
      </c>
      <c r="C215" s="15">
        <f>IF(AND($A215&gt;=INT(Instellingen!$B$5),$A215&lt;=INT(Instellingen!$B$6)),1,0)</f>
        <v/>
      </c>
      <c r="D215" s="20">
        <f>COUNTIFS(tData[SEHTrajectPeriodeDatumTijdVan],"&lt;="&amp;($A215+0/24),tData[SEHTrajectPeriodeDatumTijdTotEnMet],"&gt;"&amp;($A215+0/24))</f>
        <v/>
      </c>
      <c r="E215" s="20">
        <f>COUNTIFS(tData[SEHTrajectPeriodeDatumTijdVan],"&lt;="&amp;($A215+1/24),tData[SEHTrajectPeriodeDatumTijdTotEnMet],"&gt;"&amp;($A215+1/24))</f>
        <v/>
      </c>
      <c r="F215" s="20">
        <f>COUNTIFS(tData[SEHTrajectPeriodeDatumTijdVan],"&lt;="&amp;($A215+2/24),tData[SEHTrajectPeriodeDatumTijdTotEnMet],"&gt;"&amp;($A215+2/24))</f>
        <v/>
      </c>
      <c r="G215" s="20">
        <f>COUNTIFS(tData[SEHTrajectPeriodeDatumTijdVan],"&lt;="&amp;($A215+3/24),tData[SEHTrajectPeriodeDatumTijdTotEnMet],"&gt;"&amp;($A215+3/24))</f>
        <v/>
      </c>
      <c r="H215" s="20">
        <f>COUNTIFS(tData[SEHTrajectPeriodeDatumTijdVan],"&lt;="&amp;($A215+4/24),tData[SEHTrajectPeriodeDatumTijdTotEnMet],"&gt;"&amp;($A215+4/24))</f>
        <v/>
      </c>
      <c r="I215" s="20">
        <f>COUNTIFS(tData[SEHTrajectPeriodeDatumTijdVan],"&lt;="&amp;($A215+5/24),tData[SEHTrajectPeriodeDatumTijdTotEnMet],"&gt;"&amp;($A215+5/24))</f>
        <v/>
      </c>
      <c r="J215" s="20">
        <f>COUNTIFS(tData[SEHTrajectPeriodeDatumTijdVan],"&lt;="&amp;($A215+6/24),tData[SEHTrajectPeriodeDatumTijdTotEnMet],"&gt;"&amp;($A215+6/24))</f>
        <v/>
      </c>
      <c r="K215" s="20">
        <f>COUNTIFS(tData[SEHTrajectPeriodeDatumTijdVan],"&lt;="&amp;($A215+7/24),tData[SEHTrajectPeriodeDatumTijdTotEnMet],"&gt;"&amp;($A215+7/24))</f>
        <v/>
      </c>
      <c r="L215" s="20">
        <f>COUNTIFS(tData[SEHTrajectPeriodeDatumTijdVan],"&lt;="&amp;($A215+8/24),tData[SEHTrajectPeriodeDatumTijdTotEnMet],"&gt;"&amp;($A215+8/24))</f>
        <v/>
      </c>
      <c r="M215" s="20">
        <f>COUNTIFS(tData[SEHTrajectPeriodeDatumTijdVan],"&lt;="&amp;($A215+9/24),tData[SEHTrajectPeriodeDatumTijdTotEnMet],"&gt;"&amp;($A215+9/24))</f>
        <v/>
      </c>
      <c r="N215" s="20">
        <f>COUNTIFS(tData[SEHTrajectPeriodeDatumTijdVan],"&lt;="&amp;($A215+10/24),tData[SEHTrajectPeriodeDatumTijdTotEnMet],"&gt;"&amp;($A215+10/24))</f>
        <v/>
      </c>
      <c r="O215" s="20">
        <f>COUNTIFS(tData[SEHTrajectPeriodeDatumTijdVan],"&lt;="&amp;($A215+11/24),tData[SEHTrajectPeriodeDatumTijdTotEnMet],"&gt;"&amp;($A215+11/24))</f>
        <v/>
      </c>
      <c r="P215" s="20">
        <f>COUNTIFS(tData[SEHTrajectPeriodeDatumTijdVan],"&lt;="&amp;($A215+12/24),tData[SEHTrajectPeriodeDatumTijdTotEnMet],"&gt;"&amp;($A215+12/24))</f>
        <v/>
      </c>
      <c r="Q215" s="20">
        <f>COUNTIFS(tData[SEHTrajectPeriodeDatumTijdVan],"&lt;="&amp;($A215+13/24),tData[SEHTrajectPeriodeDatumTijdTotEnMet],"&gt;"&amp;($A215+13/24))</f>
        <v/>
      </c>
      <c r="R215" s="20">
        <f>COUNTIFS(tData[SEHTrajectPeriodeDatumTijdVan],"&lt;="&amp;($A215+14/24),tData[SEHTrajectPeriodeDatumTijdTotEnMet],"&gt;"&amp;($A215+14/24))</f>
        <v/>
      </c>
      <c r="S215" s="20">
        <f>COUNTIFS(tData[SEHTrajectPeriodeDatumTijdVan],"&lt;="&amp;($A215+15/24),tData[SEHTrajectPeriodeDatumTijdTotEnMet],"&gt;"&amp;($A215+15/24))</f>
        <v/>
      </c>
      <c r="T215" s="20">
        <f>COUNTIFS(tData[SEHTrajectPeriodeDatumTijdVan],"&lt;="&amp;($A215+16/24),tData[SEHTrajectPeriodeDatumTijdTotEnMet],"&gt;"&amp;($A215+16/24))</f>
        <v/>
      </c>
      <c r="U215" s="20">
        <f>COUNTIFS(tData[SEHTrajectPeriodeDatumTijdVan],"&lt;="&amp;($A215+17/24),tData[SEHTrajectPeriodeDatumTijdTotEnMet],"&gt;"&amp;($A215+17/24))</f>
        <v/>
      </c>
      <c r="V215" s="20">
        <f>COUNTIFS(tData[SEHTrajectPeriodeDatumTijdVan],"&lt;="&amp;($A215+18/24),tData[SEHTrajectPeriodeDatumTijdTotEnMet],"&gt;"&amp;($A215+18/24))</f>
        <v/>
      </c>
      <c r="W215" s="20">
        <f>COUNTIFS(tData[SEHTrajectPeriodeDatumTijdVan],"&lt;="&amp;($A215+19/24),tData[SEHTrajectPeriodeDatumTijdTotEnMet],"&gt;"&amp;($A215+19/24))</f>
        <v/>
      </c>
      <c r="X215" s="20">
        <f>COUNTIFS(tData[SEHTrajectPeriodeDatumTijdVan],"&lt;="&amp;($A215+20/24),tData[SEHTrajectPeriodeDatumTijdTotEnMet],"&gt;"&amp;($A215+20/24))</f>
        <v/>
      </c>
      <c r="Y215" s="20">
        <f>COUNTIFS(tData[SEHTrajectPeriodeDatumTijdVan],"&lt;="&amp;($A215+21/24),tData[SEHTrajectPeriodeDatumTijdTotEnMet],"&gt;"&amp;($A215+21/24))</f>
        <v/>
      </c>
      <c r="Z215" s="20">
        <f>COUNTIFS(tData[SEHTrajectPeriodeDatumTijdVan],"&lt;="&amp;($A215+22/24),tData[SEHTrajectPeriodeDatumTijdTotEnMet],"&gt;"&amp;($A215+22/24))</f>
        <v/>
      </c>
      <c r="AA215" s="20">
        <f>COUNTIFS(tData[SEHTrajectPeriodeDatumTijdVan],"&lt;="&amp;($A215+23/24),tData[SEHTrajectPeriodeDatumTijdTotEnMet],"&gt;"&amp;($A215+23/24))</f>
        <v/>
      </c>
    </row>
    <row r="216">
      <c r="A216" s="19" t="n">
        <v>45504</v>
      </c>
      <c r="B216" s="15">
        <f>WEEKDAY($A216,2)</f>
        <v/>
      </c>
      <c r="C216" s="15">
        <f>IF(AND($A216&gt;=INT(Instellingen!$B$5),$A216&lt;=INT(Instellingen!$B$6)),1,0)</f>
        <v/>
      </c>
      <c r="D216" s="20">
        <f>COUNTIFS(tData[SEHTrajectPeriodeDatumTijdVan],"&lt;="&amp;($A216+0/24),tData[SEHTrajectPeriodeDatumTijdTotEnMet],"&gt;"&amp;($A216+0/24))</f>
        <v/>
      </c>
      <c r="E216" s="20">
        <f>COUNTIFS(tData[SEHTrajectPeriodeDatumTijdVan],"&lt;="&amp;($A216+1/24),tData[SEHTrajectPeriodeDatumTijdTotEnMet],"&gt;"&amp;($A216+1/24))</f>
        <v/>
      </c>
      <c r="F216" s="20">
        <f>COUNTIFS(tData[SEHTrajectPeriodeDatumTijdVan],"&lt;="&amp;($A216+2/24),tData[SEHTrajectPeriodeDatumTijdTotEnMet],"&gt;"&amp;($A216+2/24))</f>
        <v/>
      </c>
      <c r="G216" s="20">
        <f>COUNTIFS(tData[SEHTrajectPeriodeDatumTijdVan],"&lt;="&amp;($A216+3/24),tData[SEHTrajectPeriodeDatumTijdTotEnMet],"&gt;"&amp;($A216+3/24))</f>
        <v/>
      </c>
      <c r="H216" s="20">
        <f>COUNTIFS(tData[SEHTrajectPeriodeDatumTijdVan],"&lt;="&amp;($A216+4/24),tData[SEHTrajectPeriodeDatumTijdTotEnMet],"&gt;"&amp;($A216+4/24))</f>
        <v/>
      </c>
      <c r="I216" s="20">
        <f>COUNTIFS(tData[SEHTrajectPeriodeDatumTijdVan],"&lt;="&amp;($A216+5/24),tData[SEHTrajectPeriodeDatumTijdTotEnMet],"&gt;"&amp;($A216+5/24))</f>
        <v/>
      </c>
      <c r="J216" s="20">
        <f>COUNTIFS(tData[SEHTrajectPeriodeDatumTijdVan],"&lt;="&amp;($A216+6/24),tData[SEHTrajectPeriodeDatumTijdTotEnMet],"&gt;"&amp;($A216+6/24))</f>
        <v/>
      </c>
      <c r="K216" s="20">
        <f>COUNTIFS(tData[SEHTrajectPeriodeDatumTijdVan],"&lt;="&amp;($A216+7/24),tData[SEHTrajectPeriodeDatumTijdTotEnMet],"&gt;"&amp;($A216+7/24))</f>
        <v/>
      </c>
      <c r="L216" s="20">
        <f>COUNTIFS(tData[SEHTrajectPeriodeDatumTijdVan],"&lt;="&amp;($A216+8/24),tData[SEHTrajectPeriodeDatumTijdTotEnMet],"&gt;"&amp;($A216+8/24))</f>
        <v/>
      </c>
      <c r="M216" s="20">
        <f>COUNTIFS(tData[SEHTrajectPeriodeDatumTijdVan],"&lt;="&amp;($A216+9/24),tData[SEHTrajectPeriodeDatumTijdTotEnMet],"&gt;"&amp;($A216+9/24))</f>
        <v/>
      </c>
      <c r="N216" s="20">
        <f>COUNTIFS(tData[SEHTrajectPeriodeDatumTijdVan],"&lt;="&amp;($A216+10/24),tData[SEHTrajectPeriodeDatumTijdTotEnMet],"&gt;"&amp;($A216+10/24))</f>
        <v/>
      </c>
      <c r="O216" s="20">
        <f>COUNTIFS(tData[SEHTrajectPeriodeDatumTijdVan],"&lt;="&amp;($A216+11/24),tData[SEHTrajectPeriodeDatumTijdTotEnMet],"&gt;"&amp;($A216+11/24))</f>
        <v/>
      </c>
      <c r="P216" s="20">
        <f>COUNTIFS(tData[SEHTrajectPeriodeDatumTijdVan],"&lt;="&amp;($A216+12/24),tData[SEHTrajectPeriodeDatumTijdTotEnMet],"&gt;"&amp;($A216+12/24))</f>
        <v/>
      </c>
      <c r="Q216" s="20">
        <f>COUNTIFS(tData[SEHTrajectPeriodeDatumTijdVan],"&lt;="&amp;($A216+13/24),tData[SEHTrajectPeriodeDatumTijdTotEnMet],"&gt;"&amp;($A216+13/24))</f>
        <v/>
      </c>
      <c r="R216" s="20">
        <f>COUNTIFS(tData[SEHTrajectPeriodeDatumTijdVan],"&lt;="&amp;($A216+14/24),tData[SEHTrajectPeriodeDatumTijdTotEnMet],"&gt;"&amp;($A216+14/24))</f>
        <v/>
      </c>
      <c r="S216" s="20">
        <f>COUNTIFS(tData[SEHTrajectPeriodeDatumTijdVan],"&lt;="&amp;($A216+15/24),tData[SEHTrajectPeriodeDatumTijdTotEnMet],"&gt;"&amp;($A216+15/24))</f>
        <v/>
      </c>
      <c r="T216" s="20">
        <f>COUNTIFS(tData[SEHTrajectPeriodeDatumTijdVan],"&lt;="&amp;($A216+16/24),tData[SEHTrajectPeriodeDatumTijdTotEnMet],"&gt;"&amp;($A216+16/24))</f>
        <v/>
      </c>
      <c r="U216" s="20">
        <f>COUNTIFS(tData[SEHTrajectPeriodeDatumTijdVan],"&lt;="&amp;($A216+17/24),tData[SEHTrajectPeriodeDatumTijdTotEnMet],"&gt;"&amp;($A216+17/24))</f>
        <v/>
      </c>
      <c r="V216" s="20">
        <f>COUNTIFS(tData[SEHTrajectPeriodeDatumTijdVan],"&lt;="&amp;($A216+18/24),tData[SEHTrajectPeriodeDatumTijdTotEnMet],"&gt;"&amp;($A216+18/24))</f>
        <v/>
      </c>
      <c r="W216" s="20">
        <f>COUNTIFS(tData[SEHTrajectPeriodeDatumTijdVan],"&lt;="&amp;($A216+19/24),tData[SEHTrajectPeriodeDatumTijdTotEnMet],"&gt;"&amp;($A216+19/24))</f>
        <v/>
      </c>
      <c r="X216" s="20">
        <f>COUNTIFS(tData[SEHTrajectPeriodeDatumTijdVan],"&lt;="&amp;($A216+20/24),tData[SEHTrajectPeriodeDatumTijdTotEnMet],"&gt;"&amp;($A216+20/24))</f>
        <v/>
      </c>
      <c r="Y216" s="20">
        <f>COUNTIFS(tData[SEHTrajectPeriodeDatumTijdVan],"&lt;="&amp;($A216+21/24),tData[SEHTrajectPeriodeDatumTijdTotEnMet],"&gt;"&amp;($A216+21/24))</f>
        <v/>
      </c>
      <c r="Z216" s="20">
        <f>COUNTIFS(tData[SEHTrajectPeriodeDatumTijdVan],"&lt;="&amp;($A216+22/24),tData[SEHTrajectPeriodeDatumTijdTotEnMet],"&gt;"&amp;($A216+22/24))</f>
        <v/>
      </c>
      <c r="AA216" s="20">
        <f>COUNTIFS(tData[SEHTrajectPeriodeDatumTijdVan],"&lt;="&amp;($A216+23/24),tData[SEHTrajectPeriodeDatumTijdTotEnMet],"&gt;"&amp;($A216+23/24))</f>
        <v/>
      </c>
    </row>
    <row r="217">
      <c r="A217" s="19" t="n">
        <v>45505</v>
      </c>
      <c r="B217" s="15">
        <f>WEEKDAY($A217,2)</f>
        <v/>
      </c>
      <c r="C217" s="15">
        <f>IF(AND($A217&gt;=INT(Instellingen!$B$5),$A217&lt;=INT(Instellingen!$B$6)),1,0)</f>
        <v/>
      </c>
      <c r="D217" s="20">
        <f>COUNTIFS(tData[SEHTrajectPeriodeDatumTijdVan],"&lt;="&amp;($A217+0/24),tData[SEHTrajectPeriodeDatumTijdTotEnMet],"&gt;"&amp;($A217+0/24))</f>
        <v/>
      </c>
      <c r="E217" s="20">
        <f>COUNTIFS(tData[SEHTrajectPeriodeDatumTijdVan],"&lt;="&amp;($A217+1/24),tData[SEHTrajectPeriodeDatumTijdTotEnMet],"&gt;"&amp;($A217+1/24))</f>
        <v/>
      </c>
      <c r="F217" s="20">
        <f>COUNTIFS(tData[SEHTrajectPeriodeDatumTijdVan],"&lt;="&amp;($A217+2/24),tData[SEHTrajectPeriodeDatumTijdTotEnMet],"&gt;"&amp;($A217+2/24))</f>
        <v/>
      </c>
      <c r="G217" s="20">
        <f>COUNTIFS(tData[SEHTrajectPeriodeDatumTijdVan],"&lt;="&amp;($A217+3/24),tData[SEHTrajectPeriodeDatumTijdTotEnMet],"&gt;"&amp;($A217+3/24))</f>
        <v/>
      </c>
      <c r="H217" s="20">
        <f>COUNTIFS(tData[SEHTrajectPeriodeDatumTijdVan],"&lt;="&amp;($A217+4/24),tData[SEHTrajectPeriodeDatumTijdTotEnMet],"&gt;"&amp;($A217+4/24))</f>
        <v/>
      </c>
      <c r="I217" s="20">
        <f>COUNTIFS(tData[SEHTrajectPeriodeDatumTijdVan],"&lt;="&amp;($A217+5/24),tData[SEHTrajectPeriodeDatumTijdTotEnMet],"&gt;"&amp;($A217+5/24))</f>
        <v/>
      </c>
      <c r="J217" s="20">
        <f>COUNTIFS(tData[SEHTrajectPeriodeDatumTijdVan],"&lt;="&amp;($A217+6/24),tData[SEHTrajectPeriodeDatumTijdTotEnMet],"&gt;"&amp;($A217+6/24))</f>
        <v/>
      </c>
      <c r="K217" s="20">
        <f>COUNTIFS(tData[SEHTrajectPeriodeDatumTijdVan],"&lt;="&amp;($A217+7/24),tData[SEHTrajectPeriodeDatumTijdTotEnMet],"&gt;"&amp;($A217+7/24))</f>
        <v/>
      </c>
      <c r="L217" s="20">
        <f>COUNTIFS(tData[SEHTrajectPeriodeDatumTijdVan],"&lt;="&amp;($A217+8/24),tData[SEHTrajectPeriodeDatumTijdTotEnMet],"&gt;"&amp;($A217+8/24))</f>
        <v/>
      </c>
      <c r="M217" s="20">
        <f>COUNTIFS(tData[SEHTrajectPeriodeDatumTijdVan],"&lt;="&amp;($A217+9/24),tData[SEHTrajectPeriodeDatumTijdTotEnMet],"&gt;"&amp;($A217+9/24))</f>
        <v/>
      </c>
      <c r="N217" s="20">
        <f>COUNTIFS(tData[SEHTrajectPeriodeDatumTijdVan],"&lt;="&amp;($A217+10/24),tData[SEHTrajectPeriodeDatumTijdTotEnMet],"&gt;"&amp;($A217+10/24))</f>
        <v/>
      </c>
      <c r="O217" s="20">
        <f>COUNTIFS(tData[SEHTrajectPeriodeDatumTijdVan],"&lt;="&amp;($A217+11/24),tData[SEHTrajectPeriodeDatumTijdTotEnMet],"&gt;"&amp;($A217+11/24))</f>
        <v/>
      </c>
      <c r="P217" s="20">
        <f>COUNTIFS(tData[SEHTrajectPeriodeDatumTijdVan],"&lt;="&amp;($A217+12/24),tData[SEHTrajectPeriodeDatumTijdTotEnMet],"&gt;"&amp;($A217+12/24))</f>
        <v/>
      </c>
      <c r="Q217" s="20">
        <f>COUNTIFS(tData[SEHTrajectPeriodeDatumTijdVan],"&lt;="&amp;($A217+13/24),tData[SEHTrajectPeriodeDatumTijdTotEnMet],"&gt;"&amp;($A217+13/24))</f>
        <v/>
      </c>
      <c r="R217" s="20">
        <f>COUNTIFS(tData[SEHTrajectPeriodeDatumTijdVan],"&lt;="&amp;($A217+14/24),tData[SEHTrajectPeriodeDatumTijdTotEnMet],"&gt;"&amp;($A217+14/24))</f>
        <v/>
      </c>
      <c r="S217" s="20">
        <f>COUNTIFS(tData[SEHTrajectPeriodeDatumTijdVan],"&lt;="&amp;($A217+15/24),tData[SEHTrajectPeriodeDatumTijdTotEnMet],"&gt;"&amp;($A217+15/24))</f>
        <v/>
      </c>
      <c r="T217" s="20">
        <f>COUNTIFS(tData[SEHTrajectPeriodeDatumTijdVan],"&lt;="&amp;($A217+16/24),tData[SEHTrajectPeriodeDatumTijdTotEnMet],"&gt;"&amp;($A217+16/24))</f>
        <v/>
      </c>
      <c r="U217" s="20">
        <f>COUNTIFS(tData[SEHTrajectPeriodeDatumTijdVan],"&lt;="&amp;($A217+17/24),tData[SEHTrajectPeriodeDatumTijdTotEnMet],"&gt;"&amp;($A217+17/24))</f>
        <v/>
      </c>
      <c r="V217" s="20">
        <f>COUNTIFS(tData[SEHTrajectPeriodeDatumTijdVan],"&lt;="&amp;($A217+18/24),tData[SEHTrajectPeriodeDatumTijdTotEnMet],"&gt;"&amp;($A217+18/24))</f>
        <v/>
      </c>
      <c r="W217" s="20">
        <f>COUNTIFS(tData[SEHTrajectPeriodeDatumTijdVan],"&lt;="&amp;($A217+19/24),tData[SEHTrajectPeriodeDatumTijdTotEnMet],"&gt;"&amp;($A217+19/24))</f>
        <v/>
      </c>
      <c r="X217" s="20">
        <f>COUNTIFS(tData[SEHTrajectPeriodeDatumTijdVan],"&lt;="&amp;($A217+20/24),tData[SEHTrajectPeriodeDatumTijdTotEnMet],"&gt;"&amp;($A217+20/24))</f>
        <v/>
      </c>
      <c r="Y217" s="20">
        <f>COUNTIFS(tData[SEHTrajectPeriodeDatumTijdVan],"&lt;="&amp;($A217+21/24),tData[SEHTrajectPeriodeDatumTijdTotEnMet],"&gt;"&amp;($A217+21/24))</f>
        <v/>
      </c>
      <c r="Z217" s="20">
        <f>COUNTIFS(tData[SEHTrajectPeriodeDatumTijdVan],"&lt;="&amp;($A217+22/24),tData[SEHTrajectPeriodeDatumTijdTotEnMet],"&gt;"&amp;($A217+22/24))</f>
        <v/>
      </c>
      <c r="AA217" s="20">
        <f>COUNTIFS(tData[SEHTrajectPeriodeDatumTijdVan],"&lt;="&amp;($A217+23/24),tData[SEHTrajectPeriodeDatumTijdTotEnMet],"&gt;"&amp;($A217+23/24))</f>
        <v/>
      </c>
    </row>
    <row r="218">
      <c r="A218" s="19" t="n">
        <v>45506</v>
      </c>
      <c r="B218" s="15">
        <f>WEEKDAY($A218,2)</f>
        <v/>
      </c>
      <c r="C218" s="15">
        <f>IF(AND($A218&gt;=INT(Instellingen!$B$5),$A218&lt;=INT(Instellingen!$B$6)),1,0)</f>
        <v/>
      </c>
      <c r="D218" s="20">
        <f>COUNTIFS(tData[SEHTrajectPeriodeDatumTijdVan],"&lt;="&amp;($A218+0/24),tData[SEHTrajectPeriodeDatumTijdTotEnMet],"&gt;"&amp;($A218+0/24))</f>
        <v/>
      </c>
      <c r="E218" s="20">
        <f>COUNTIFS(tData[SEHTrajectPeriodeDatumTijdVan],"&lt;="&amp;($A218+1/24),tData[SEHTrajectPeriodeDatumTijdTotEnMet],"&gt;"&amp;($A218+1/24))</f>
        <v/>
      </c>
      <c r="F218" s="20">
        <f>COUNTIFS(tData[SEHTrajectPeriodeDatumTijdVan],"&lt;="&amp;($A218+2/24),tData[SEHTrajectPeriodeDatumTijdTotEnMet],"&gt;"&amp;($A218+2/24))</f>
        <v/>
      </c>
      <c r="G218" s="20">
        <f>COUNTIFS(tData[SEHTrajectPeriodeDatumTijdVan],"&lt;="&amp;($A218+3/24),tData[SEHTrajectPeriodeDatumTijdTotEnMet],"&gt;"&amp;($A218+3/24))</f>
        <v/>
      </c>
      <c r="H218" s="20">
        <f>COUNTIFS(tData[SEHTrajectPeriodeDatumTijdVan],"&lt;="&amp;($A218+4/24),tData[SEHTrajectPeriodeDatumTijdTotEnMet],"&gt;"&amp;($A218+4/24))</f>
        <v/>
      </c>
      <c r="I218" s="20">
        <f>COUNTIFS(tData[SEHTrajectPeriodeDatumTijdVan],"&lt;="&amp;($A218+5/24),tData[SEHTrajectPeriodeDatumTijdTotEnMet],"&gt;"&amp;($A218+5/24))</f>
        <v/>
      </c>
      <c r="J218" s="20">
        <f>COUNTIFS(tData[SEHTrajectPeriodeDatumTijdVan],"&lt;="&amp;($A218+6/24),tData[SEHTrajectPeriodeDatumTijdTotEnMet],"&gt;"&amp;($A218+6/24))</f>
        <v/>
      </c>
      <c r="K218" s="20">
        <f>COUNTIFS(tData[SEHTrajectPeriodeDatumTijdVan],"&lt;="&amp;($A218+7/24),tData[SEHTrajectPeriodeDatumTijdTotEnMet],"&gt;"&amp;($A218+7/24))</f>
        <v/>
      </c>
      <c r="L218" s="20">
        <f>COUNTIFS(tData[SEHTrajectPeriodeDatumTijdVan],"&lt;="&amp;($A218+8/24),tData[SEHTrajectPeriodeDatumTijdTotEnMet],"&gt;"&amp;($A218+8/24))</f>
        <v/>
      </c>
      <c r="M218" s="20">
        <f>COUNTIFS(tData[SEHTrajectPeriodeDatumTijdVan],"&lt;="&amp;($A218+9/24),tData[SEHTrajectPeriodeDatumTijdTotEnMet],"&gt;"&amp;($A218+9/24))</f>
        <v/>
      </c>
      <c r="N218" s="20">
        <f>COUNTIFS(tData[SEHTrajectPeriodeDatumTijdVan],"&lt;="&amp;($A218+10/24),tData[SEHTrajectPeriodeDatumTijdTotEnMet],"&gt;"&amp;($A218+10/24))</f>
        <v/>
      </c>
      <c r="O218" s="20">
        <f>COUNTIFS(tData[SEHTrajectPeriodeDatumTijdVan],"&lt;="&amp;($A218+11/24),tData[SEHTrajectPeriodeDatumTijdTotEnMet],"&gt;"&amp;($A218+11/24))</f>
        <v/>
      </c>
      <c r="P218" s="20">
        <f>COUNTIFS(tData[SEHTrajectPeriodeDatumTijdVan],"&lt;="&amp;($A218+12/24),tData[SEHTrajectPeriodeDatumTijdTotEnMet],"&gt;"&amp;($A218+12/24))</f>
        <v/>
      </c>
      <c r="Q218" s="20">
        <f>COUNTIFS(tData[SEHTrajectPeriodeDatumTijdVan],"&lt;="&amp;($A218+13/24),tData[SEHTrajectPeriodeDatumTijdTotEnMet],"&gt;"&amp;($A218+13/24))</f>
        <v/>
      </c>
      <c r="R218" s="20">
        <f>COUNTIFS(tData[SEHTrajectPeriodeDatumTijdVan],"&lt;="&amp;($A218+14/24),tData[SEHTrajectPeriodeDatumTijdTotEnMet],"&gt;"&amp;($A218+14/24))</f>
        <v/>
      </c>
      <c r="S218" s="20">
        <f>COUNTIFS(tData[SEHTrajectPeriodeDatumTijdVan],"&lt;="&amp;($A218+15/24),tData[SEHTrajectPeriodeDatumTijdTotEnMet],"&gt;"&amp;($A218+15/24))</f>
        <v/>
      </c>
      <c r="T218" s="20">
        <f>COUNTIFS(tData[SEHTrajectPeriodeDatumTijdVan],"&lt;="&amp;($A218+16/24),tData[SEHTrajectPeriodeDatumTijdTotEnMet],"&gt;"&amp;($A218+16/24))</f>
        <v/>
      </c>
      <c r="U218" s="20">
        <f>COUNTIFS(tData[SEHTrajectPeriodeDatumTijdVan],"&lt;="&amp;($A218+17/24),tData[SEHTrajectPeriodeDatumTijdTotEnMet],"&gt;"&amp;($A218+17/24))</f>
        <v/>
      </c>
      <c r="V218" s="20">
        <f>COUNTIFS(tData[SEHTrajectPeriodeDatumTijdVan],"&lt;="&amp;($A218+18/24),tData[SEHTrajectPeriodeDatumTijdTotEnMet],"&gt;"&amp;($A218+18/24))</f>
        <v/>
      </c>
      <c r="W218" s="20">
        <f>COUNTIFS(tData[SEHTrajectPeriodeDatumTijdVan],"&lt;="&amp;($A218+19/24),tData[SEHTrajectPeriodeDatumTijdTotEnMet],"&gt;"&amp;($A218+19/24))</f>
        <v/>
      </c>
      <c r="X218" s="20">
        <f>COUNTIFS(tData[SEHTrajectPeriodeDatumTijdVan],"&lt;="&amp;($A218+20/24),tData[SEHTrajectPeriodeDatumTijdTotEnMet],"&gt;"&amp;($A218+20/24))</f>
        <v/>
      </c>
      <c r="Y218" s="20">
        <f>COUNTIFS(tData[SEHTrajectPeriodeDatumTijdVan],"&lt;="&amp;($A218+21/24),tData[SEHTrajectPeriodeDatumTijdTotEnMet],"&gt;"&amp;($A218+21/24))</f>
        <v/>
      </c>
      <c r="Z218" s="20">
        <f>COUNTIFS(tData[SEHTrajectPeriodeDatumTijdVan],"&lt;="&amp;($A218+22/24),tData[SEHTrajectPeriodeDatumTijdTotEnMet],"&gt;"&amp;($A218+22/24))</f>
        <v/>
      </c>
      <c r="AA218" s="20">
        <f>COUNTIFS(tData[SEHTrajectPeriodeDatumTijdVan],"&lt;="&amp;($A218+23/24),tData[SEHTrajectPeriodeDatumTijdTotEnMet],"&gt;"&amp;($A218+23/24))</f>
        <v/>
      </c>
    </row>
    <row r="219">
      <c r="A219" s="19" t="n">
        <v>45507</v>
      </c>
      <c r="B219" s="15">
        <f>WEEKDAY($A219,2)</f>
        <v/>
      </c>
      <c r="C219" s="15">
        <f>IF(AND($A219&gt;=INT(Instellingen!$B$5),$A219&lt;=INT(Instellingen!$B$6)),1,0)</f>
        <v/>
      </c>
      <c r="D219" s="20">
        <f>COUNTIFS(tData[SEHTrajectPeriodeDatumTijdVan],"&lt;="&amp;($A219+0/24),tData[SEHTrajectPeriodeDatumTijdTotEnMet],"&gt;"&amp;($A219+0/24))</f>
        <v/>
      </c>
      <c r="E219" s="20">
        <f>COUNTIFS(tData[SEHTrajectPeriodeDatumTijdVan],"&lt;="&amp;($A219+1/24),tData[SEHTrajectPeriodeDatumTijdTotEnMet],"&gt;"&amp;($A219+1/24))</f>
        <v/>
      </c>
      <c r="F219" s="20">
        <f>COUNTIFS(tData[SEHTrajectPeriodeDatumTijdVan],"&lt;="&amp;($A219+2/24),tData[SEHTrajectPeriodeDatumTijdTotEnMet],"&gt;"&amp;($A219+2/24))</f>
        <v/>
      </c>
      <c r="G219" s="20">
        <f>COUNTIFS(tData[SEHTrajectPeriodeDatumTijdVan],"&lt;="&amp;($A219+3/24),tData[SEHTrajectPeriodeDatumTijdTotEnMet],"&gt;"&amp;($A219+3/24))</f>
        <v/>
      </c>
      <c r="H219" s="20">
        <f>COUNTIFS(tData[SEHTrajectPeriodeDatumTijdVan],"&lt;="&amp;($A219+4/24),tData[SEHTrajectPeriodeDatumTijdTotEnMet],"&gt;"&amp;($A219+4/24))</f>
        <v/>
      </c>
      <c r="I219" s="20">
        <f>COUNTIFS(tData[SEHTrajectPeriodeDatumTijdVan],"&lt;="&amp;($A219+5/24),tData[SEHTrajectPeriodeDatumTijdTotEnMet],"&gt;"&amp;($A219+5/24))</f>
        <v/>
      </c>
      <c r="J219" s="20">
        <f>COUNTIFS(tData[SEHTrajectPeriodeDatumTijdVan],"&lt;="&amp;($A219+6/24),tData[SEHTrajectPeriodeDatumTijdTotEnMet],"&gt;"&amp;($A219+6/24))</f>
        <v/>
      </c>
      <c r="K219" s="20">
        <f>COUNTIFS(tData[SEHTrajectPeriodeDatumTijdVan],"&lt;="&amp;($A219+7/24),tData[SEHTrajectPeriodeDatumTijdTotEnMet],"&gt;"&amp;($A219+7/24))</f>
        <v/>
      </c>
      <c r="L219" s="20">
        <f>COUNTIFS(tData[SEHTrajectPeriodeDatumTijdVan],"&lt;="&amp;($A219+8/24),tData[SEHTrajectPeriodeDatumTijdTotEnMet],"&gt;"&amp;($A219+8/24))</f>
        <v/>
      </c>
      <c r="M219" s="20">
        <f>COUNTIFS(tData[SEHTrajectPeriodeDatumTijdVan],"&lt;="&amp;($A219+9/24),tData[SEHTrajectPeriodeDatumTijdTotEnMet],"&gt;"&amp;($A219+9/24))</f>
        <v/>
      </c>
      <c r="N219" s="20">
        <f>COUNTIFS(tData[SEHTrajectPeriodeDatumTijdVan],"&lt;="&amp;($A219+10/24),tData[SEHTrajectPeriodeDatumTijdTotEnMet],"&gt;"&amp;($A219+10/24))</f>
        <v/>
      </c>
      <c r="O219" s="20">
        <f>COUNTIFS(tData[SEHTrajectPeriodeDatumTijdVan],"&lt;="&amp;($A219+11/24),tData[SEHTrajectPeriodeDatumTijdTotEnMet],"&gt;"&amp;($A219+11/24))</f>
        <v/>
      </c>
      <c r="P219" s="20">
        <f>COUNTIFS(tData[SEHTrajectPeriodeDatumTijdVan],"&lt;="&amp;($A219+12/24),tData[SEHTrajectPeriodeDatumTijdTotEnMet],"&gt;"&amp;($A219+12/24))</f>
        <v/>
      </c>
      <c r="Q219" s="20">
        <f>COUNTIFS(tData[SEHTrajectPeriodeDatumTijdVan],"&lt;="&amp;($A219+13/24),tData[SEHTrajectPeriodeDatumTijdTotEnMet],"&gt;"&amp;($A219+13/24))</f>
        <v/>
      </c>
      <c r="R219" s="20">
        <f>COUNTIFS(tData[SEHTrajectPeriodeDatumTijdVan],"&lt;="&amp;($A219+14/24),tData[SEHTrajectPeriodeDatumTijdTotEnMet],"&gt;"&amp;($A219+14/24))</f>
        <v/>
      </c>
      <c r="S219" s="20">
        <f>COUNTIFS(tData[SEHTrajectPeriodeDatumTijdVan],"&lt;="&amp;($A219+15/24),tData[SEHTrajectPeriodeDatumTijdTotEnMet],"&gt;"&amp;($A219+15/24))</f>
        <v/>
      </c>
      <c r="T219" s="20">
        <f>COUNTIFS(tData[SEHTrajectPeriodeDatumTijdVan],"&lt;="&amp;($A219+16/24),tData[SEHTrajectPeriodeDatumTijdTotEnMet],"&gt;"&amp;($A219+16/24))</f>
        <v/>
      </c>
      <c r="U219" s="20">
        <f>COUNTIFS(tData[SEHTrajectPeriodeDatumTijdVan],"&lt;="&amp;($A219+17/24),tData[SEHTrajectPeriodeDatumTijdTotEnMet],"&gt;"&amp;($A219+17/24))</f>
        <v/>
      </c>
      <c r="V219" s="20">
        <f>COUNTIFS(tData[SEHTrajectPeriodeDatumTijdVan],"&lt;="&amp;($A219+18/24),tData[SEHTrajectPeriodeDatumTijdTotEnMet],"&gt;"&amp;($A219+18/24))</f>
        <v/>
      </c>
      <c r="W219" s="20">
        <f>COUNTIFS(tData[SEHTrajectPeriodeDatumTijdVan],"&lt;="&amp;($A219+19/24),tData[SEHTrajectPeriodeDatumTijdTotEnMet],"&gt;"&amp;($A219+19/24))</f>
        <v/>
      </c>
      <c r="X219" s="20">
        <f>COUNTIFS(tData[SEHTrajectPeriodeDatumTijdVan],"&lt;="&amp;($A219+20/24),tData[SEHTrajectPeriodeDatumTijdTotEnMet],"&gt;"&amp;($A219+20/24))</f>
        <v/>
      </c>
      <c r="Y219" s="20">
        <f>COUNTIFS(tData[SEHTrajectPeriodeDatumTijdVan],"&lt;="&amp;($A219+21/24),tData[SEHTrajectPeriodeDatumTijdTotEnMet],"&gt;"&amp;($A219+21/24))</f>
        <v/>
      </c>
      <c r="Z219" s="20">
        <f>COUNTIFS(tData[SEHTrajectPeriodeDatumTijdVan],"&lt;="&amp;($A219+22/24),tData[SEHTrajectPeriodeDatumTijdTotEnMet],"&gt;"&amp;($A219+22/24))</f>
        <v/>
      </c>
      <c r="AA219" s="20">
        <f>COUNTIFS(tData[SEHTrajectPeriodeDatumTijdVan],"&lt;="&amp;($A219+23/24),tData[SEHTrajectPeriodeDatumTijdTotEnMet],"&gt;"&amp;($A219+23/24))</f>
        <v/>
      </c>
    </row>
    <row r="220">
      <c r="A220" s="19" t="n">
        <v>45508</v>
      </c>
      <c r="B220" s="15">
        <f>WEEKDAY($A220,2)</f>
        <v/>
      </c>
      <c r="C220" s="15">
        <f>IF(AND($A220&gt;=INT(Instellingen!$B$5),$A220&lt;=INT(Instellingen!$B$6)),1,0)</f>
        <v/>
      </c>
      <c r="D220" s="20">
        <f>COUNTIFS(tData[SEHTrajectPeriodeDatumTijdVan],"&lt;="&amp;($A220+0/24),tData[SEHTrajectPeriodeDatumTijdTotEnMet],"&gt;"&amp;($A220+0/24))</f>
        <v/>
      </c>
      <c r="E220" s="20">
        <f>COUNTIFS(tData[SEHTrajectPeriodeDatumTijdVan],"&lt;="&amp;($A220+1/24),tData[SEHTrajectPeriodeDatumTijdTotEnMet],"&gt;"&amp;($A220+1/24))</f>
        <v/>
      </c>
      <c r="F220" s="20">
        <f>COUNTIFS(tData[SEHTrajectPeriodeDatumTijdVan],"&lt;="&amp;($A220+2/24),tData[SEHTrajectPeriodeDatumTijdTotEnMet],"&gt;"&amp;($A220+2/24))</f>
        <v/>
      </c>
      <c r="G220" s="20">
        <f>COUNTIFS(tData[SEHTrajectPeriodeDatumTijdVan],"&lt;="&amp;($A220+3/24),tData[SEHTrajectPeriodeDatumTijdTotEnMet],"&gt;"&amp;($A220+3/24))</f>
        <v/>
      </c>
      <c r="H220" s="20">
        <f>COUNTIFS(tData[SEHTrajectPeriodeDatumTijdVan],"&lt;="&amp;($A220+4/24),tData[SEHTrajectPeriodeDatumTijdTotEnMet],"&gt;"&amp;($A220+4/24))</f>
        <v/>
      </c>
      <c r="I220" s="20">
        <f>COUNTIFS(tData[SEHTrajectPeriodeDatumTijdVan],"&lt;="&amp;($A220+5/24),tData[SEHTrajectPeriodeDatumTijdTotEnMet],"&gt;"&amp;($A220+5/24))</f>
        <v/>
      </c>
      <c r="J220" s="20">
        <f>COUNTIFS(tData[SEHTrajectPeriodeDatumTijdVan],"&lt;="&amp;($A220+6/24),tData[SEHTrajectPeriodeDatumTijdTotEnMet],"&gt;"&amp;($A220+6/24))</f>
        <v/>
      </c>
      <c r="K220" s="20">
        <f>COUNTIFS(tData[SEHTrajectPeriodeDatumTijdVan],"&lt;="&amp;($A220+7/24),tData[SEHTrajectPeriodeDatumTijdTotEnMet],"&gt;"&amp;($A220+7/24))</f>
        <v/>
      </c>
      <c r="L220" s="20">
        <f>COUNTIFS(tData[SEHTrajectPeriodeDatumTijdVan],"&lt;="&amp;($A220+8/24),tData[SEHTrajectPeriodeDatumTijdTotEnMet],"&gt;"&amp;($A220+8/24))</f>
        <v/>
      </c>
      <c r="M220" s="20">
        <f>COUNTIFS(tData[SEHTrajectPeriodeDatumTijdVan],"&lt;="&amp;($A220+9/24),tData[SEHTrajectPeriodeDatumTijdTotEnMet],"&gt;"&amp;($A220+9/24))</f>
        <v/>
      </c>
      <c r="N220" s="20">
        <f>COUNTIFS(tData[SEHTrajectPeriodeDatumTijdVan],"&lt;="&amp;($A220+10/24),tData[SEHTrajectPeriodeDatumTijdTotEnMet],"&gt;"&amp;($A220+10/24))</f>
        <v/>
      </c>
      <c r="O220" s="20">
        <f>COUNTIFS(tData[SEHTrajectPeriodeDatumTijdVan],"&lt;="&amp;($A220+11/24),tData[SEHTrajectPeriodeDatumTijdTotEnMet],"&gt;"&amp;($A220+11/24))</f>
        <v/>
      </c>
      <c r="P220" s="20">
        <f>COUNTIFS(tData[SEHTrajectPeriodeDatumTijdVan],"&lt;="&amp;($A220+12/24),tData[SEHTrajectPeriodeDatumTijdTotEnMet],"&gt;"&amp;($A220+12/24))</f>
        <v/>
      </c>
      <c r="Q220" s="20">
        <f>COUNTIFS(tData[SEHTrajectPeriodeDatumTijdVan],"&lt;="&amp;($A220+13/24),tData[SEHTrajectPeriodeDatumTijdTotEnMet],"&gt;"&amp;($A220+13/24))</f>
        <v/>
      </c>
      <c r="R220" s="20">
        <f>COUNTIFS(tData[SEHTrajectPeriodeDatumTijdVan],"&lt;="&amp;($A220+14/24),tData[SEHTrajectPeriodeDatumTijdTotEnMet],"&gt;"&amp;($A220+14/24))</f>
        <v/>
      </c>
      <c r="S220" s="20">
        <f>COUNTIFS(tData[SEHTrajectPeriodeDatumTijdVan],"&lt;="&amp;($A220+15/24),tData[SEHTrajectPeriodeDatumTijdTotEnMet],"&gt;"&amp;($A220+15/24))</f>
        <v/>
      </c>
      <c r="T220" s="20">
        <f>COUNTIFS(tData[SEHTrajectPeriodeDatumTijdVan],"&lt;="&amp;($A220+16/24),tData[SEHTrajectPeriodeDatumTijdTotEnMet],"&gt;"&amp;($A220+16/24))</f>
        <v/>
      </c>
      <c r="U220" s="20">
        <f>COUNTIFS(tData[SEHTrajectPeriodeDatumTijdVan],"&lt;="&amp;($A220+17/24),tData[SEHTrajectPeriodeDatumTijdTotEnMet],"&gt;"&amp;($A220+17/24))</f>
        <v/>
      </c>
      <c r="V220" s="20">
        <f>COUNTIFS(tData[SEHTrajectPeriodeDatumTijdVan],"&lt;="&amp;($A220+18/24),tData[SEHTrajectPeriodeDatumTijdTotEnMet],"&gt;"&amp;($A220+18/24))</f>
        <v/>
      </c>
      <c r="W220" s="20">
        <f>COUNTIFS(tData[SEHTrajectPeriodeDatumTijdVan],"&lt;="&amp;($A220+19/24),tData[SEHTrajectPeriodeDatumTijdTotEnMet],"&gt;"&amp;($A220+19/24))</f>
        <v/>
      </c>
      <c r="X220" s="20">
        <f>COUNTIFS(tData[SEHTrajectPeriodeDatumTijdVan],"&lt;="&amp;($A220+20/24),tData[SEHTrajectPeriodeDatumTijdTotEnMet],"&gt;"&amp;($A220+20/24))</f>
        <v/>
      </c>
      <c r="Y220" s="20">
        <f>COUNTIFS(tData[SEHTrajectPeriodeDatumTijdVan],"&lt;="&amp;($A220+21/24),tData[SEHTrajectPeriodeDatumTijdTotEnMet],"&gt;"&amp;($A220+21/24))</f>
        <v/>
      </c>
      <c r="Z220" s="20">
        <f>COUNTIFS(tData[SEHTrajectPeriodeDatumTijdVan],"&lt;="&amp;($A220+22/24),tData[SEHTrajectPeriodeDatumTijdTotEnMet],"&gt;"&amp;($A220+22/24))</f>
        <v/>
      </c>
      <c r="AA220" s="20">
        <f>COUNTIFS(tData[SEHTrajectPeriodeDatumTijdVan],"&lt;="&amp;($A220+23/24),tData[SEHTrajectPeriodeDatumTijdTotEnMet],"&gt;"&amp;($A220+23/24))</f>
        <v/>
      </c>
    </row>
    <row r="221">
      <c r="A221" s="19" t="n">
        <v>45509</v>
      </c>
      <c r="B221" s="15">
        <f>WEEKDAY($A221,2)</f>
        <v/>
      </c>
      <c r="C221" s="15">
        <f>IF(AND($A221&gt;=INT(Instellingen!$B$5),$A221&lt;=INT(Instellingen!$B$6)),1,0)</f>
        <v/>
      </c>
      <c r="D221" s="20">
        <f>COUNTIFS(tData[SEHTrajectPeriodeDatumTijdVan],"&lt;="&amp;($A221+0/24),tData[SEHTrajectPeriodeDatumTijdTotEnMet],"&gt;"&amp;($A221+0/24))</f>
        <v/>
      </c>
      <c r="E221" s="20">
        <f>COUNTIFS(tData[SEHTrajectPeriodeDatumTijdVan],"&lt;="&amp;($A221+1/24),tData[SEHTrajectPeriodeDatumTijdTotEnMet],"&gt;"&amp;($A221+1/24))</f>
        <v/>
      </c>
      <c r="F221" s="20">
        <f>COUNTIFS(tData[SEHTrajectPeriodeDatumTijdVan],"&lt;="&amp;($A221+2/24),tData[SEHTrajectPeriodeDatumTijdTotEnMet],"&gt;"&amp;($A221+2/24))</f>
        <v/>
      </c>
      <c r="G221" s="20">
        <f>COUNTIFS(tData[SEHTrajectPeriodeDatumTijdVan],"&lt;="&amp;($A221+3/24),tData[SEHTrajectPeriodeDatumTijdTotEnMet],"&gt;"&amp;($A221+3/24))</f>
        <v/>
      </c>
      <c r="H221" s="20">
        <f>COUNTIFS(tData[SEHTrajectPeriodeDatumTijdVan],"&lt;="&amp;($A221+4/24),tData[SEHTrajectPeriodeDatumTijdTotEnMet],"&gt;"&amp;($A221+4/24))</f>
        <v/>
      </c>
      <c r="I221" s="20">
        <f>COUNTIFS(tData[SEHTrajectPeriodeDatumTijdVan],"&lt;="&amp;($A221+5/24),tData[SEHTrajectPeriodeDatumTijdTotEnMet],"&gt;"&amp;($A221+5/24))</f>
        <v/>
      </c>
      <c r="J221" s="20">
        <f>COUNTIFS(tData[SEHTrajectPeriodeDatumTijdVan],"&lt;="&amp;($A221+6/24),tData[SEHTrajectPeriodeDatumTijdTotEnMet],"&gt;"&amp;($A221+6/24))</f>
        <v/>
      </c>
      <c r="K221" s="20">
        <f>COUNTIFS(tData[SEHTrajectPeriodeDatumTijdVan],"&lt;="&amp;($A221+7/24),tData[SEHTrajectPeriodeDatumTijdTotEnMet],"&gt;"&amp;($A221+7/24))</f>
        <v/>
      </c>
      <c r="L221" s="20">
        <f>COUNTIFS(tData[SEHTrajectPeriodeDatumTijdVan],"&lt;="&amp;($A221+8/24),tData[SEHTrajectPeriodeDatumTijdTotEnMet],"&gt;"&amp;($A221+8/24))</f>
        <v/>
      </c>
      <c r="M221" s="20">
        <f>COUNTIFS(tData[SEHTrajectPeriodeDatumTijdVan],"&lt;="&amp;($A221+9/24),tData[SEHTrajectPeriodeDatumTijdTotEnMet],"&gt;"&amp;($A221+9/24))</f>
        <v/>
      </c>
      <c r="N221" s="20">
        <f>COUNTIFS(tData[SEHTrajectPeriodeDatumTijdVan],"&lt;="&amp;($A221+10/24),tData[SEHTrajectPeriodeDatumTijdTotEnMet],"&gt;"&amp;($A221+10/24))</f>
        <v/>
      </c>
      <c r="O221" s="20">
        <f>COUNTIFS(tData[SEHTrajectPeriodeDatumTijdVan],"&lt;="&amp;($A221+11/24),tData[SEHTrajectPeriodeDatumTijdTotEnMet],"&gt;"&amp;($A221+11/24))</f>
        <v/>
      </c>
      <c r="P221" s="20">
        <f>COUNTIFS(tData[SEHTrajectPeriodeDatumTijdVan],"&lt;="&amp;($A221+12/24),tData[SEHTrajectPeriodeDatumTijdTotEnMet],"&gt;"&amp;($A221+12/24))</f>
        <v/>
      </c>
      <c r="Q221" s="20">
        <f>COUNTIFS(tData[SEHTrajectPeriodeDatumTijdVan],"&lt;="&amp;($A221+13/24),tData[SEHTrajectPeriodeDatumTijdTotEnMet],"&gt;"&amp;($A221+13/24))</f>
        <v/>
      </c>
      <c r="R221" s="20">
        <f>COUNTIFS(tData[SEHTrajectPeriodeDatumTijdVan],"&lt;="&amp;($A221+14/24),tData[SEHTrajectPeriodeDatumTijdTotEnMet],"&gt;"&amp;($A221+14/24))</f>
        <v/>
      </c>
      <c r="S221" s="20">
        <f>COUNTIFS(tData[SEHTrajectPeriodeDatumTijdVan],"&lt;="&amp;($A221+15/24),tData[SEHTrajectPeriodeDatumTijdTotEnMet],"&gt;"&amp;($A221+15/24))</f>
        <v/>
      </c>
      <c r="T221" s="20">
        <f>COUNTIFS(tData[SEHTrajectPeriodeDatumTijdVan],"&lt;="&amp;($A221+16/24),tData[SEHTrajectPeriodeDatumTijdTotEnMet],"&gt;"&amp;($A221+16/24))</f>
        <v/>
      </c>
      <c r="U221" s="20">
        <f>COUNTIFS(tData[SEHTrajectPeriodeDatumTijdVan],"&lt;="&amp;($A221+17/24),tData[SEHTrajectPeriodeDatumTijdTotEnMet],"&gt;"&amp;($A221+17/24))</f>
        <v/>
      </c>
      <c r="V221" s="20">
        <f>COUNTIFS(tData[SEHTrajectPeriodeDatumTijdVan],"&lt;="&amp;($A221+18/24),tData[SEHTrajectPeriodeDatumTijdTotEnMet],"&gt;"&amp;($A221+18/24))</f>
        <v/>
      </c>
      <c r="W221" s="20">
        <f>COUNTIFS(tData[SEHTrajectPeriodeDatumTijdVan],"&lt;="&amp;($A221+19/24),tData[SEHTrajectPeriodeDatumTijdTotEnMet],"&gt;"&amp;($A221+19/24))</f>
        <v/>
      </c>
      <c r="X221" s="20">
        <f>COUNTIFS(tData[SEHTrajectPeriodeDatumTijdVan],"&lt;="&amp;($A221+20/24),tData[SEHTrajectPeriodeDatumTijdTotEnMet],"&gt;"&amp;($A221+20/24))</f>
        <v/>
      </c>
      <c r="Y221" s="20">
        <f>COUNTIFS(tData[SEHTrajectPeriodeDatumTijdVan],"&lt;="&amp;($A221+21/24),tData[SEHTrajectPeriodeDatumTijdTotEnMet],"&gt;"&amp;($A221+21/24))</f>
        <v/>
      </c>
      <c r="Z221" s="20">
        <f>COUNTIFS(tData[SEHTrajectPeriodeDatumTijdVan],"&lt;="&amp;($A221+22/24),tData[SEHTrajectPeriodeDatumTijdTotEnMet],"&gt;"&amp;($A221+22/24))</f>
        <v/>
      </c>
      <c r="AA221" s="20">
        <f>COUNTIFS(tData[SEHTrajectPeriodeDatumTijdVan],"&lt;="&amp;($A221+23/24),tData[SEHTrajectPeriodeDatumTijdTotEnMet],"&gt;"&amp;($A221+23/24))</f>
        <v/>
      </c>
    </row>
    <row r="222">
      <c r="A222" s="19" t="n">
        <v>45510</v>
      </c>
      <c r="B222" s="15">
        <f>WEEKDAY($A222,2)</f>
        <v/>
      </c>
      <c r="C222" s="15">
        <f>IF(AND($A222&gt;=INT(Instellingen!$B$5),$A222&lt;=INT(Instellingen!$B$6)),1,0)</f>
        <v/>
      </c>
      <c r="D222" s="20">
        <f>COUNTIFS(tData[SEHTrajectPeriodeDatumTijdVan],"&lt;="&amp;($A222+0/24),tData[SEHTrajectPeriodeDatumTijdTotEnMet],"&gt;"&amp;($A222+0/24))</f>
        <v/>
      </c>
      <c r="E222" s="20">
        <f>COUNTIFS(tData[SEHTrajectPeriodeDatumTijdVan],"&lt;="&amp;($A222+1/24),tData[SEHTrajectPeriodeDatumTijdTotEnMet],"&gt;"&amp;($A222+1/24))</f>
        <v/>
      </c>
      <c r="F222" s="20">
        <f>COUNTIFS(tData[SEHTrajectPeriodeDatumTijdVan],"&lt;="&amp;($A222+2/24),tData[SEHTrajectPeriodeDatumTijdTotEnMet],"&gt;"&amp;($A222+2/24))</f>
        <v/>
      </c>
      <c r="G222" s="20">
        <f>COUNTIFS(tData[SEHTrajectPeriodeDatumTijdVan],"&lt;="&amp;($A222+3/24),tData[SEHTrajectPeriodeDatumTijdTotEnMet],"&gt;"&amp;($A222+3/24))</f>
        <v/>
      </c>
      <c r="H222" s="20">
        <f>COUNTIFS(tData[SEHTrajectPeriodeDatumTijdVan],"&lt;="&amp;($A222+4/24),tData[SEHTrajectPeriodeDatumTijdTotEnMet],"&gt;"&amp;($A222+4/24))</f>
        <v/>
      </c>
      <c r="I222" s="20">
        <f>COUNTIFS(tData[SEHTrajectPeriodeDatumTijdVan],"&lt;="&amp;($A222+5/24),tData[SEHTrajectPeriodeDatumTijdTotEnMet],"&gt;"&amp;($A222+5/24))</f>
        <v/>
      </c>
      <c r="J222" s="20">
        <f>COUNTIFS(tData[SEHTrajectPeriodeDatumTijdVan],"&lt;="&amp;($A222+6/24),tData[SEHTrajectPeriodeDatumTijdTotEnMet],"&gt;"&amp;($A222+6/24))</f>
        <v/>
      </c>
      <c r="K222" s="20">
        <f>COUNTIFS(tData[SEHTrajectPeriodeDatumTijdVan],"&lt;="&amp;($A222+7/24),tData[SEHTrajectPeriodeDatumTijdTotEnMet],"&gt;"&amp;($A222+7/24))</f>
        <v/>
      </c>
      <c r="L222" s="20">
        <f>COUNTIFS(tData[SEHTrajectPeriodeDatumTijdVan],"&lt;="&amp;($A222+8/24),tData[SEHTrajectPeriodeDatumTijdTotEnMet],"&gt;"&amp;($A222+8/24))</f>
        <v/>
      </c>
      <c r="M222" s="20">
        <f>COUNTIFS(tData[SEHTrajectPeriodeDatumTijdVan],"&lt;="&amp;($A222+9/24),tData[SEHTrajectPeriodeDatumTijdTotEnMet],"&gt;"&amp;($A222+9/24))</f>
        <v/>
      </c>
      <c r="N222" s="20">
        <f>COUNTIFS(tData[SEHTrajectPeriodeDatumTijdVan],"&lt;="&amp;($A222+10/24),tData[SEHTrajectPeriodeDatumTijdTotEnMet],"&gt;"&amp;($A222+10/24))</f>
        <v/>
      </c>
      <c r="O222" s="20">
        <f>COUNTIFS(tData[SEHTrajectPeriodeDatumTijdVan],"&lt;="&amp;($A222+11/24),tData[SEHTrajectPeriodeDatumTijdTotEnMet],"&gt;"&amp;($A222+11/24))</f>
        <v/>
      </c>
      <c r="P222" s="20">
        <f>COUNTIFS(tData[SEHTrajectPeriodeDatumTijdVan],"&lt;="&amp;($A222+12/24),tData[SEHTrajectPeriodeDatumTijdTotEnMet],"&gt;"&amp;($A222+12/24))</f>
        <v/>
      </c>
      <c r="Q222" s="20">
        <f>COUNTIFS(tData[SEHTrajectPeriodeDatumTijdVan],"&lt;="&amp;($A222+13/24),tData[SEHTrajectPeriodeDatumTijdTotEnMet],"&gt;"&amp;($A222+13/24))</f>
        <v/>
      </c>
      <c r="R222" s="20">
        <f>COUNTIFS(tData[SEHTrajectPeriodeDatumTijdVan],"&lt;="&amp;($A222+14/24),tData[SEHTrajectPeriodeDatumTijdTotEnMet],"&gt;"&amp;($A222+14/24))</f>
        <v/>
      </c>
      <c r="S222" s="20">
        <f>COUNTIFS(tData[SEHTrajectPeriodeDatumTijdVan],"&lt;="&amp;($A222+15/24),tData[SEHTrajectPeriodeDatumTijdTotEnMet],"&gt;"&amp;($A222+15/24))</f>
        <v/>
      </c>
      <c r="T222" s="20">
        <f>COUNTIFS(tData[SEHTrajectPeriodeDatumTijdVan],"&lt;="&amp;($A222+16/24),tData[SEHTrajectPeriodeDatumTijdTotEnMet],"&gt;"&amp;($A222+16/24))</f>
        <v/>
      </c>
      <c r="U222" s="20">
        <f>COUNTIFS(tData[SEHTrajectPeriodeDatumTijdVan],"&lt;="&amp;($A222+17/24),tData[SEHTrajectPeriodeDatumTijdTotEnMet],"&gt;"&amp;($A222+17/24))</f>
        <v/>
      </c>
      <c r="V222" s="20">
        <f>COUNTIFS(tData[SEHTrajectPeriodeDatumTijdVan],"&lt;="&amp;($A222+18/24),tData[SEHTrajectPeriodeDatumTijdTotEnMet],"&gt;"&amp;($A222+18/24))</f>
        <v/>
      </c>
      <c r="W222" s="20">
        <f>COUNTIFS(tData[SEHTrajectPeriodeDatumTijdVan],"&lt;="&amp;($A222+19/24),tData[SEHTrajectPeriodeDatumTijdTotEnMet],"&gt;"&amp;($A222+19/24))</f>
        <v/>
      </c>
      <c r="X222" s="20">
        <f>COUNTIFS(tData[SEHTrajectPeriodeDatumTijdVan],"&lt;="&amp;($A222+20/24),tData[SEHTrajectPeriodeDatumTijdTotEnMet],"&gt;"&amp;($A222+20/24))</f>
        <v/>
      </c>
      <c r="Y222" s="20">
        <f>COUNTIFS(tData[SEHTrajectPeriodeDatumTijdVan],"&lt;="&amp;($A222+21/24),tData[SEHTrajectPeriodeDatumTijdTotEnMet],"&gt;"&amp;($A222+21/24))</f>
        <v/>
      </c>
      <c r="Z222" s="20">
        <f>COUNTIFS(tData[SEHTrajectPeriodeDatumTijdVan],"&lt;="&amp;($A222+22/24),tData[SEHTrajectPeriodeDatumTijdTotEnMet],"&gt;"&amp;($A222+22/24))</f>
        <v/>
      </c>
      <c r="AA222" s="20">
        <f>COUNTIFS(tData[SEHTrajectPeriodeDatumTijdVan],"&lt;="&amp;($A222+23/24),tData[SEHTrajectPeriodeDatumTijdTotEnMet],"&gt;"&amp;($A222+23/24))</f>
        <v/>
      </c>
    </row>
    <row r="223">
      <c r="A223" s="19" t="n">
        <v>45511</v>
      </c>
      <c r="B223" s="15">
        <f>WEEKDAY($A223,2)</f>
        <v/>
      </c>
      <c r="C223" s="15">
        <f>IF(AND($A223&gt;=INT(Instellingen!$B$5),$A223&lt;=INT(Instellingen!$B$6)),1,0)</f>
        <v/>
      </c>
      <c r="D223" s="20">
        <f>COUNTIFS(tData[SEHTrajectPeriodeDatumTijdVan],"&lt;="&amp;($A223+0/24),tData[SEHTrajectPeriodeDatumTijdTotEnMet],"&gt;"&amp;($A223+0/24))</f>
        <v/>
      </c>
      <c r="E223" s="20">
        <f>COUNTIFS(tData[SEHTrajectPeriodeDatumTijdVan],"&lt;="&amp;($A223+1/24),tData[SEHTrajectPeriodeDatumTijdTotEnMet],"&gt;"&amp;($A223+1/24))</f>
        <v/>
      </c>
      <c r="F223" s="20">
        <f>COUNTIFS(tData[SEHTrajectPeriodeDatumTijdVan],"&lt;="&amp;($A223+2/24),tData[SEHTrajectPeriodeDatumTijdTotEnMet],"&gt;"&amp;($A223+2/24))</f>
        <v/>
      </c>
      <c r="G223" s="20">
        <f>COUNTIFS(tData[SEHTrajectPeriodeDatumTijdVan],"&lt;="&amp;($A223+3/24),tData[SEHTrajectPeriodeDatumTijdTotEnMet],"&gt;"&amp;($A223+3/24))</f>
        <v/>
      </c>
      <c r="H223" s="20">
        <f>COUNTIFS(tData[SEHTrajectPeriodeDatumTijdVan],"&lt;="&amp;($A223+4/24),tData[SEHTrajectPeriodeDatumTijdTotEnMet],"&gt;"&amp;($A223+4/24))</f>
        <v/>
      </c>
      <c r="I223" s="20">
        <f>COUNTIFS(tData[SEHTrajectPeriodeDatumTijdVan],"&lt;="&amp;($A223+5/24),tData[SEHTrajectPeriodeDatumTijdTotEnMet],"&gt;"&amp;($A223+5/24))</f>
        <v/>
      </c>
      <c r="J223" s="20">
        <f>COUNTIFS(tData[SEHTrajectPeriodeDatumTijdVan],"&lt;="&amp;($A223+6/24),tData[SEHTrajectPeriodeDatumTijdTotEnMet],"&gt;"&amp;($A223+6/24))</f>
        <v/>
      </c>
      <c r="K223" s="20">
        <f>COUNTIFS(tData[SEHTrajectPeriodeDatumTijdVan],"&lt;="&amp;($A223+7/24),tData[SEHTrajectPeriodeDatumTijdTotEnMet],"&gt;"&amp;($A223+7/24))</f>
        <v/>
      </c>
      <c r="L223" s="20">
        <f>COUNTIFS(tData[SEHTrajectPeriodeDatumTijdVan],"&lt;="&amp;($A223+8/24),tData[SEHTrajectPeriodeDatumTijdTotEnMet],"&gt;"&amp;($A223+8/24))</f>
        <v/>
      </c>
      <c r="M223" s="20">
        <f>COUNTIFS(tData[SEHTrajectPeriodeDatumTijdVan],"&lt;="&amp;($A223+9/24),tData[SEHTrajectPeriodeDatumTijdTotEnMet],"&gt;"&amp;($A223+9/24))</f>
        <v/>
      </c>
      <c r="N223" s="20">
        <f>COUNTIFS(tData[SEHTrajectPeriodeDatumTijdVan],"&lt;="&amp;($A223+10/24),tData[SEHTrajectPeriodeDatumTijdTotEnMet],"&gt;"&amp;($A223+10/24))</f>
        <v/>
      </c>
      <c r="O223" s="20">
        <f>COUNTIFS(tData[SEHTrajectPeriodeDatumTijdVan],"&lt;="&amp;($A223+11/24),tData[SEHTrajectPeriodeDatumTijdTotEnMet],"&gt;"&amp;($A223+11/24))</f>
        <v/>
      </c>
      <c r="P223" s="20">
        <f>COUNTIFS(tData[SEHTrajectPeriodeDatumTijdVan],"&lt;="&amp;($A223+12/24),tData[SEHTrajectPeriodeDatumTijdTotEnMet],"&gt;"&amp;($A223+12/24))</f>
        <v/>
      </c>
      <c r="Q223" s="20">
        <f>COUNTIFS(tData[SEHTrajectPeriodeDatumTijdVan],"&lt;="&amp;($A223+13/24),tData[SEHTrajectPeriodeDatumTijdTotEnMet],"&gt;"&amp;($A223+13/24))</f>
        <v/>
      </c>
      <c r="R223" s="20">
        <f>COUNTIFS(tData[SEHTrajectPeriodeDatumTijdVan],"&lt;="&amp;($A223+14/24),tData[SEHTrajectPeriodeDatumTijdTotEnMet],"&gt;"&amp;($A223+14/24))</f>
        <v/>
      </c>
      <c r="S223" s="20">
        <f>COUNTIFS(tData[SEHTrajectPeriodeDatumTijdVan],"&lt;="&amp;($A223+15/24),tData[SEHTrajectPeriodeDatumTijdTotEnMet],"&gt;"&amp;($A223+15/24))</f>
        <v/>
      </c>
      <c r="T223" s="20">
        <f>COUNTIFS(tData[SEHTrajectPeriodeDatumTijdVan],"&lt;="&amp;($A223+16/24),tData[SEHTrajectPeriodeDatumTijdTotEnMet],"&gt;"&amp;($A223+16/24))</f>
        <v/>
      </c>
      <c r="U223" s="20">
        <f>COUNTIFS(tData[SEHTrajectPeriodeDatumTijdVan],"&lt;="&amp;($A223+17/24),tData[SEHTrajectPeriodeDatumTijdTotEnMet],"&gt;"&amp;($A223+17/24))</f>
        <v/>
      </c>
      <c r="V223" s="20">
        <f>COUNTIFS(tData[SEHTrajectPeriodeDatumTijdVan],"&lt;="&amp;($A223+18/24),tData[SEHTrajectPeriodeDatumTijdTotEnMet],"&gt;"&amp;($A223+18/24))</f>
        <v/>
      </c>
      <c r="W223" s="20">
        <f>COUNTIFS(tData[SEHTrajectPeriodeDatumTijdVan],"&lt;="&amp;($A223+19/24),tData[SEHTrajectPeriodeDatumTijdTotEnMet],"&gt;"&amp;($A223+19/24))</f>
        <v/>
      </c>
      <c r="X223" s="20">
        <f>COUNTIFS(tData[SEHTrajectPeriodeDatumTijdVan],"&lt;="&amp;($A223+20/24),tData[SEHTrajectPeriodeDatumTijdTotEnMet],"&gt;"&amp;($A223+20/24))</f>
        <v/>
      </c>
      <c r="Y223" s="20">
        <f>COUNTIFS(tData[SEHTrajectPeriodeDatumTijdVan],"&lt;="&amp;($A223+21/24),tData[SEHTrajectPeriodeDatumTijdTotEnMet],"&gt;"&amp;($A223+21/24))</f>
        <v/>
      </c>
      <c r="Z223" s="20">
        <f>COUNTIFS(tData[SEHTrajectPeriodeDatumTijdVan],"&lt;="&amp;($A223+22/24),tData[SEHTrajectPeriodeDatumTijdTotEnMet],"&gt;"&amp;($A223+22/24))</f>
        <v/>
      </c>
      <c r="AA223" s="20">
        <f>COUNTIFS(tData[SEHTrajectPeriodeDatumTijdVan],"&lt;="&amp;($A223+23/24),tData[SEHTrajectPeriodeDatumTijdTotEnMet],"&gt;"&amp;($A223+23/24))</f>
        <v/>
      </c>
    </row>
    <row r="224">
      <c r="A224" s="19" t="n">
        <v>45512</v>
      </c>
      <c r="B224" s="15">
        <f>WEEKDAY($A224,2)</f>
        <v/>
      </c>
      <c r="C224" s="15">
        <f>IF(AND($A224&gt;=INT(Instellingen!$B$5),$A224&lt;=INT(Instellingen!$B$6)),1,0)</f>
        <v/>
      </c>
      <c r="D224" s="20">
        <f>COUNTIFS(tData[SEHTrajectPeriodeDatumTijdVan],"&lt;="&amp;($A224+0/24),tData[SEHTrajectPeriodeDatumTijdTotEnMet],"&gt;"&amp;($A224+0/24))</f>
        <v/>
      </c>
      <c r="E224" s="20">
        <f>COUNTIFS(tData[SEHTrajectPeriodeDatumTijdVan],"&lt;="&amp;($A224+1/24),tData[SEHTrajectPeriodeDatumTijdTotEnMet],"&gt;"&amp;($A224+1/24))</f>
        <v/>
      </c>
      <c r="F224" s="20">
        <f>COUNTIFS(tData[SEHTrajectPeriodeDatumTijdVan],"&lt;="&amp;($A224+2/24),tData[SEHTrajectPeriodeDatumTijdTotEnMet],"&gt;"&amp;($A224+2/24))</f>
        <v/>
      </c>
      <c r="G224" s="20">
        <f>COUNTIFS(tData[SEHTrajectPeriodeDatumTijdVan],"&lt;="&amp;($A224+3/24),tData[SEHTrajectPeriodeDatumTijdTotEnMet],"&gt;"&amp;($A224+3/24))</f>
        <v/>
      </c>
      <c r="H224" s="20">
        <f>COUNTIFS(tData[SEHTrajectPeriodeDatumTijdVan],"&lt;="&amp;($A224+4/24),tData[SEHTrajectPeriodeDatumTijdTotEnMet],"&gt;"&amp;($A224+4/24))</f>
        <v/>
      </c>
      <c r="I224" s="20">
        <f>COUNTIFS(tData[SEHTrajectPeriodeDatumTijdVan],"&lt;="&amp;($A224+5/24),tData[SEHTrajectPeriodeDatumTijdTotEnMet],"&gt;"&amp;($A224+5/24))</f>
        <v/>
      </c>
      <c r="J224" s="20">
        <f>COUNTIFS(tData[SEHTrajectPeriodeDatumTijdVan],"&lt;="&amp;($A224+6/24),tData[SEHTrajectPeriodeDatumTijdTotEnMet],"&gt;"&amp;($A224+6/24))</f>
        <v/>
      </c>
      <c r="K224" s="20">
        <f>COUNTIFS(tData[SEHTrajectPeriodeDatumTijdVan],"&lt;="&amp;($A224+7/24),tData[SEHTrajectPeriodeDatumTijdTotEnMet],"&gt;"&amp;($A224+7/24))</f>
        <v/>
      </c>
      <c r="L224" s="20">
        <f>COUNTIFS(tData[SEHTrajectPeriodeDatumTijdVan],"&lt;="&amp;($A224+8/24),tData[SEHTrajectPeriodeDatumTijdTotEnMet],"&gt;"&amp;($A224+8/24))</f>
        <v/>
      </c>
      <c r="M224" s="20">
        <f>COUNTIFS(tData[SEHTrajectPeriodeDatumTijdVan],"&lt;="&amp;($A224+9/24),tData[SEHTrajectPeriodeDatumTijdTotEnMet],"&gt;"&amp;($A224+9/24))</f>
        <v/>
      </c>
      <c r="N224" s="20">
        <f>COUNTIFS(tData[SEHTrajectPeriodeDatumTijdVan],"&lt;="&amp;($A224+10/24),tData[SEHTrajectPeriodeDatumTijdTotEnMet],"&gt;"&amp;($A224+10/24))</f>
        <v/>
      </c>
      <c r="O224" s="20">
        <f>COUNTIFS(tData[SEHTrajectPeriodeDatumTijdVan],"&lt;="&amp;($A224+11/24),tData[SEHTrajectPeriodeDatumTijdTotEnMet],"&gt;"&amp;($A224+11/24))</f>
        <v/>
      </c>
      <c r="P224" s="20">
        <f>COUNTIFS(tData[SEHTrajectPeriodeDatumTijdVan],"&lt;="&amp;($A224+12/24),tData[SEHTrajectPeriodeDatumTijdTotEnMet],"&gt;"&amp;($A224+12/24))</f>
        <v/>
      </c>
      <c r="Q224" s="20">
        <f>COUNTIFS(tData[SEHTrajectPeriodeDatumTijdVan],"&lt;="&amp;($A224+13/24),tData[SEHTrajectPeriodeDatumTijdTotEnMet],"&gt;"&amp;($A224+13/24))</f>
        <v/>
      </c>
      <c r="R224" s="20">
        <f>COUNTIFS(tData[SEHTrajectPeriodeDatumTijdVan],"&lt;="&amp;($A224+14/24),tData[SEHTrajectPeriodeDatumTijdTotEnMet],"&gt;"&amp;($A224+14/24))</f>
        <v/>
      </c>
      <c r="S224" s="20">
        <f>COUNTIFS(tData[SEHTrajectPeriodeDatumTijdVan],"&lt;="&amp;($A224+15/24),tData[SEHTrajectPeriodeDatumTijdTotEnMet],"&gt;"&amp;($A224+15/24))</f>
        <v/>
      </c>
      <c r="T224" s="20">
        <f>COUNTIFS(tData[SEHTrajectPeriodeDatumTijdVan],"&lt;="&amp;($A224+16/24),tData[SEHTrajectPeriodeDatumTijdTotEnMet],"&gt;"&amp;($A224+16/24))</f>
        <v/>
      </c>
      <c r="U224" s="20">
        <f>COUNTIFS(tData[SEHTrajectPeriodeDatumTijdVan],"&lt;="&amp;($A224+17/24),tData[SEHTrajectPeriodeDatumTijdTotEnMet],"&gt;"&amp;($A224+17/24))</f>
        <v/>
      </c>
      <c r="V224" s="20">
        <f>COUNTIFS(tData[SEHTrajectPeriodeDatumTijdVan],"&lt;="&amp;($A224+18/24),tData[SEHTrajectPeriodeDatumTijdTotEnMet],"&gt;"&amp;($A224+18/24))</f>
        <v/>
      </c>
      <c r="W224" s="20">
        <f>COUNTIFS(tData[SEHTrajectPeriodeDatumTijdVan],"&lt;="&amp;($A224+19/24),tData[SEHTrajectPeriodeDatumTijdTotEnMet],"&gt;"&amp;($A224+19/24))</f>
        <v/>
      </c>
      <c r="X224" s="20">
        <f>COUNTIFS(tData[SEHTrajectPeriodeDatumTijdVan],"&lt;="&amp;($A224+20/24),tData[SEHTrajectPeriodeDatumTijdTotEnMet],"&gt;"&amp;($A224+20/24))</f>
        <v/>
      </c>
      <c r="Y224" s="20">
        <f>COUNTIFS(tData[SEHTrajectPeriodeDatumTijdVan],"&lt;="&amp;($A224+21/24),tData[SEHTrajectPeriodeDatumTijdTotEnMet],"&gt;"&amp;($A224+21/24))</f>
        <v/>
      </c>
      <c r="Z224" s="20">
        <f>COUNTIFS(tData[SEHTrajectPeriodeDatumTijdVan],"&lt;="&amp;($A224+22/24),tData[SEHTrajectPeriodeDatumTijdTotEnMet],"&gt;"&amp;($A224+22/24))</f>
        <v/>
      </c>
      <c r="AA224" s="20">
        <f>COUNTIFS(tData[SEHTrajectPeriodeDatumTijdVan],"&lt;="&amp;($A224+23/24),tData[SEHTrajectPeriodeDatumTijdTotEnMet],"&gt;"&amp;($A224+23/24))</f>
        <v/>
      </c>
    </row>
    <row r="225">
      <c r="A225" s="19" t="n">
        <v>45513</v>
      </c>
      <c r="B225" s="15">
        <f>WEEKDAY($A225,2)</f>
        <v/>
      </c>
      <c r="C225" s="15">
        <f>IF(AND($A225&gt;=INT(Instellingen!$B$5),$A225&lt;=INT(Instellingen!$B$6)),1,0)</f>
        <v/>
      </c>
      <c r="D225" s="20">
        <f>COUNTIFS(tData[SEHTrajectPeriodeDatumTijdVan],"&lt;="&amp;($A225+0/24),tData[SEHTrajectPeriodeDatumTijdTotEnMet],"&gt;"&amp;($A225+0/24))</f>
        <v/>
      </c>
      <c r="E225" s="20">
        <f>COUNTIFS(tData[SEHTrajectPeriodeDatumTijdVan],"&lt;="&amp;($A225+1/24),tData[SEHTrajectPeriodeDatumTijdTotEnMet],"&gt;"&amp;($A225+1/24))</f>
        <v/>
      </c>
      <c r="F225" s="20">
        <f>COUNTIFS(tData[SEHTrajectPeriodeDatumTijdVan],"&lt;="&amp;($A225+2/24),tData[SEHTrajectPeriodeDatumTijdTotEnMet],"&gt;"&amp;($A225+2/24))</f>
        <v/>
      </c>
      <c r="G225" s="20">
        <f>COUNTIFS(tData[SEHTrajectPeriodeDatumTijdVan],"&lt;="&amp;($A225+3/24),tData[SEHTrajectPeriodeDatumTijdTotEnMet],"&gt;"&amp;($A225+3/24))</f>
        <v/>
      </c>
      <c r="H225" s="20">
        <f>COUNTIFS(tData[SEHTrajectPeriodeDatumTijdVan],"&lt;="&amp;($A225+4/24),tData[SEHTrajectPeriodeDatumTijdTotEnMet],"&gt;"&amp;($A225+4/24))</f>
        <v/>
      </c>
      <c r="I225" s="20">
        <f>COUNTIFS(tData[SEHTrajectPeriodeDatumTijdVan],"&lt;="&amp;($A225+5/24),tData[SEHTrajectPeriodeDatumTijdTotEnMet],"&gt;"&amp;($A225+5/24))</f>
        <v/>
      </c>
      <c r="J225" s="20">
        <f>COUNTIFS(tData[SEHTrajectPeriodeDatumTijdVan],"&lt;="&amp;($A225+6/24),tData[SEHTrajectPeriodeDatumTijdTotEnMet],"&gt;"&amp;($A225+6/24))</f>
        <v/>
      </c>
      <c r="K225" s="20">
        <f>COUNTIFS(tData[SEHTrajectPeriodeDatumTijdVan],"&lt;="&amp;($A225+7/24),tData[SEHTrajectPeriodeDatumTijdTotEnMet],"&gt;"&amp;($A225+7/24))</f>
        <v/>
      </c>
      <c r="L225" s="20">
        <f>COUNTIFS(tData[SEHTrajectPeriodeDatumTijdVan],"&lt;="&amp;($A225+8/24),tData[SEHTrajectPeriodeDatumTijdTotEnMet],"&gt;"&amp;($A225+8/24))</f>
        <v/>
      </c>
      <c r="M225" s="20">
        <f>COUNTIFS(tData[SEHTrajectPeriodeDatumTijdVan],"&lt;="&amp;($A225+9/24),tData[SEHTrajectPeriodeDatumTijdTotEnMet],"&gt;"&amp;($A225+9/24))</f>
        <v/>
      </c>
      <c r="N225" s="20">
        <f>COUNTIFS(tData[SEHTrajectPeriodeDatumTijdVan],"&lt;="&amp;($A225+10/24),tData[SEHTrajectPeriodeDatumTijdTotEnMet],"&gt;"&amp;($A225+10/24))</f>
        <v/>
      </c>
      <c r="O225" s="20">
        <f>COUNTIFS(tData[SEHTrajectPeriodeDatumTijdVan],"&lt;="&amp;($A225+11/24),tData[SEHTrajectPeriodeDatumTijdTotEnMet],"&gt;"&amp;($A225+11/24))</f>
        <v/>
      </c>
      <c r="P225" s="20">
        <f>COUNTIFS(tData[SEHTrajectPeriodeDatumTijdVan],"&lt;="&amp;($A225+12/24),tData[SEHTrajectPeriodeDatumTijdTotEnMet],"&gt;"&amp;($A225+12/24))</f>
        <v/>
      </c>
      <c r="Q225" s="20">
        <f>COUNTIFS(tData[SEHTrajectPeriodeDatumTijdVan],"&lt;="&amp;($A225+13/24),tData[SEHTrajectPeriodeDatumTijdTotEnMet],"&gt;"&amp;($A225+13/24))</f>
        <v/>
      </c>
      <c r="R225" s="20">
        <f>COUNTIFS(tData[SEHTrajectPeriodeDatumTijdVan],"&lt;="&amp;($A225+14/24),tData[SEHTrajectPeriodeDatumTijdTotEnMet],"&gt;"&amp;($A225+14/24))</f>
        <v/>
      </c>
      <c r="S225" s="20">
        <f>COUNTIFS(tData[SEHTrajectPeriodeDatumTijdVan],"&lt;="&amp;($A225+15/24),tData[SEHTrajectPeriodeDatumTijdTotEnMet],"&gt;"&amp;($A225+15/24))</f>
        <v/>
      </c>
      <c r="T225" s="20">
        <f>COUNTIFS(tData[SEHTrajectPeriodeDatumTijdVan],"&lt;="&amp;($A225+16/24),tData[SEHTrajectPeriodeDatumTijdTotEnMet],"&gt;"&amp;($A225+16/24))</f>
        <v/>
      </c>
      <c r="U225" s="20">
        <f>COUNTIFS(tData[SEHTrajectPeriodeDatumTijdVan],"&lt;="&amp;($A225+17/24),tData[SEHTrajectPeriodeDatumTijdTotEnMet],"&gt;"&amp;($A225+17/24))</f>
        <v/>
      </c>
      <c r="V225" s="20">
        <f>COUNTIFS(tData[SEHTrajectPeriodeDatumTijdVan],"&lt;="&amp;($A225+18/24),tData[SEHTrajectPeriodeDatumTijdTotEnMet],"&gt;"&amp;($A225+18/24))</f>
        <v/>
      </c>
      <c r="W225" s="20">
        <f>COUNTIFS(tData[SEHTrajectPeriodeDatumTijdVan],"&lt;="&amp;($A225+19/24),tData[SEHTrajectPeriodeDatumTijdTotEnMet],"&gt;"&amp;($A225+19/24))</f>
        <v/>
      </c>
      <c r="X225" s="20">
        <f>COUNTIFS(tData[SEHTrajectPeriodeDatumTijdVan],"&lt;="&amp;($A225+20/24),tData[SEHTrajectPeriodeDatumTijdTotEnMet],"&gt;"&amp;($A225+20/24))</f>
        <v/>
      </c>
      <c r="Y225" s="20">
        <f>COUNTIFS(tData[SEHTrajectPeriodeDatumTijdVan],"&lt;="&amp;($A225+21/24),tData[SEHTrajectPeriodeDatumTijdTotEnMet],"&gt;"&amp;($A225+21/24))</f>
        <v/>
      </c>
      <c r="Z225" s="20">
        <f>COUNTIFS(tData[SEHTrajectPeriodeDatumTijdVan],"&lt;="&amp;($A225+22/24),tData[SEHTrajectPeriodeDatumTijdTotEnMet],"&gt;"&amp;($A225+22/24))</f>
        <v/>
      </c>
      <c r="AA225" s="20">
        <f>COUNTIFS(tData[SEHTrajectPeriodeDatumTijdVan],"&lt;="&amp;($A225+23/24),tData[SEHTrajectPeriodeDatumTijdTotEnMet],"&gt;"&amp;($A225+23/24))</f>
        <v/>
      </c>
    </row>
    <row r="226">
      <c r="A226" s="19" t="n">
        <v>45514</v>
      </c>
      <c r="B226" s="15">
        <f>WEEKDAY($A226,2)</f>
        <v/>
      </c>
      <c r="C226" s="15">
        <f>IF(AND($A226&gt;=INT(Instellingen!$B$5),$A226&lt;=INT(Instellingen!$B$6)),1,0)</f>
        <v/>
      </c>
      <c r="D226" s="20">
        <f>COUNTIFS(tData[SEHTrajectPeriodeDatumTijdVan],"&lt;="&amp;($A226+0/24),tData[SEHTrajectPeriodeDatumTijdTotEnMet],"&gt;"&amp;($A226+0/24))</f>
        <v/>
      </c>
      <c r="E226" s="20">
        <f>COUNTIFS(tData[SEHTrajectPeriodeDatumTijdVan],"&lt;="&amp;($A226+1/24),tData[SEHTrajectPeriodeDatumTijdTotEnMet],"&gt;"&amp;($A226+1/24))</f>
        <v/>
      </c>
      <c r="F226" s="20">
        <f>COUNTIFS(tData[SEHTrajectPeriodeDatumTijdVan],"&lt;="&amp;($A226+2/24),tData[SEHTrajectPeriodeDatumTijdTotEnMet],"&gt;"&amp;($A226+2/24))</f>
        <v/>
      </c>
      <c r="G226" s="20">
        <f>COUNTIFS(tData[SEHTrajectPeriodeDatumTijdVan],"&lt;="&amp;($A226+3/24),tData[SEHTrajectPeriodeDatumTijdTotEnMet],"&gt;"&amp;($A226+3/24))</f>
        <v/>
      </c>
      <c r="H226" s="20">
        <f>COUNTIFS(tData[SEHTrajectPeriodeDatumTijdVan],"&lt;="&amp;($A226+4/24),tData[SEHTrajectPeriodeDatumTijdTotEnMet],"&gt;"&amp;($A226+4/24))</f>
        <v/>
      </c>
      <c r="I226" s="20">
        <f>COUNTIFS(tData[SEHTrajectPeriodeDatumTijdVan],"&lt;="&amp;($A226+5/24),tData[SEHTrajectPeriodeDatumTijdTotEnMet],"&gt;"&amp;($A226+5/24))</f>
        <v/>
      </c>
      <c r="J226" s="20">
        <f>COUNTIFS(tData[SEHTrajectPeriodeDatumTijdVan],"&lt;="&amp;($A226+6/24),tData[SEHTrajectPeriodeDatumTijdTotEnMet],"&gt;"&amp;($A226+6/24))</f>
        <v/>
      </c>
      <c r="K226" s="20">
        <f>COUNTIFS(tData[SEHTrajectPeriodeDatumTijdVan],"&lt;="&amp;($A226+7/24),tData[SEHTrajectPeriodeDatumTijdTotEnMet],"&gt;"&amp;($A226+7/24))</f>
        <v/>
      </c>
      <c r="L226" s="20">
        <f>COUNTIFS(tData[SEHTrajectPeriodeDatumTijdVan],"&lt;="&amp;($A226+8/24),tData[SEHTrajectPeriodeDatumTijdTotEnMet],"&gt;"&amp;($A226+8/24))</f>
        <v/>
      </c>
      <c r="M226" s="20">
        <f>COUNTIFS(tData[SEHTrajectPeriodeDatumTijdVan],"&lt;="&amp;($A226+9/24),tData[SEHTrajectPeriodeDatumTijdTotEnMet],"&gt;"&amp;($A226+9/24))</f>
        <v/>
      </c>
      <c r="N226" s="20">
        <f>COUNTIFS(tData[SEHTrajectPeriodeDatumTijdVan],"&lt;="&amp;($A226+10/24),tData[SEHTrajectPeriodeDatumTijdTotEnMet],"&gt;"&amp;($A226+10/24))</f>
        <v/>
      </c>
      <c r="O226" s="20">
        <f>COUNTIFS(tData[SEHTrajectPeriodeDatumTijdVan],"&lt;="&amp;($A226+11/24),tData[SEHTrajectPeriodeDatumTijdTotEnMet],"&gt;"&amp;($A226+11/24))</f>
        <v/>
      </c>
      <c r="P226" s="20">
        <f>COUNTIFS(tData[SEHTrajectPeriodeDatumTijdVan],"&lt;="&amp;($A226+12/24),tData[SEHTrajectPeriodeDatumTijdTotEnMet],"&gt;"&amp;($A226+12/24))</f>
        <v/>
      </c>
      <c r="Q226" s="20">
        <f>COUNTIFS(tData[SEHTrajectPeriodeDatumTijdVan],"&lt;="&amp;($A226+13/24),tData[SEHTrajectPeriodeDatumTijdTotEnMet],"&gt;"&amp;($A226+13/24))</f>
        <v/>
      </c>
      <c r="R226" s="20">
        <f>COUNTIFS(tData[SEHTrajectPeriodeDatumTijdVan],"&lt;="&amp;($A226+14/24),tData[SEHTrajectPeriodeDatumTijdTotEnMet],"&gt;"&amp;($A226+14/24))</f>
        <v/>
      </c>
      <c r="S226" s="20">
        <f>COUNTIFS(tData[SEHTrajectPeriodeDatumTijdVan],"&lt;="&amp;($A226+15/24),tData[SEHTrajectPeriodeDatumTijdTotEnMet],"&gt;"&amp;($A226+15/24))</f>
        <v/>
      </c>
      <c r="T226" s="20">
        <f>COUNTIFS(tData[SEHTrajectPeriodeDatumTijdVan],"&lt;="&amp;($A226+16/24),tData[SEHTrajectPeriodeDatumTijdTotEnMet],"&gt;"&amp;($A226+16/24))</f>
        <v/>
      </c>
      <c r="U226" s="20">
        <f>COUNTIFS(tData[SEHTrajectPeriodeDatumTijdVan],"&lt;="&amp;($A226+17/24),tData[SEHTrajectPeriodeDatumTijdTotEnMet],"&gt;"&amp;($A226+17/24))</f>
        <v/>
      </c>
      <c r="V226" s="20">
        <f>COUNTIFS(tData[SEHTrajectPeriodeDatumTijdVan],"&lt;="&amp;($A226+18/24),tData[SEHTrajectPeriodeDatumTijdTotEnMet],"&gt;"&amp;($A226+18/24))</f>
        <v/>
      </c>
      <c r="W226" s="20">
        <f>COUNTIFS(tData[SEHTrajectPeriodeDatumTijdVan],"&lt;="&amp;($A226+19/24),tData[SEHTrajectPeriodeDatumTijdTotEnMet],"&gt;"&amp;($A226+19/24))</f>
        <v/>
      </c>
      <c r="X226" s="20">
        <f>COUNTIFS(tData[SEHTrajectPeriodeDatumTijdVan],"&lt;="&amp;($A226+20/24),tData[SEHTrajectPeriodeDatumTijdTotEnMet],"&gt;"&amp;($A226+20/24))</f>
        <v/>
      </c>
      <c r="Y226" s="20">
        <f>COUNTIFS(tData[SEHTrajectPeriodeDatumTijdVan],"&lt;="&amp;($A226+21/24),tData[SEHTrajectPeriodeDatumTijdTotEnMet],"&gt;"&amp;($A226+21/24))</f>
        <v/>
      </c>
      <c r="Z226" s="20">
        <f>COUNTIFS(tData[SEHTrajectPeriodeDatumTijdVan],"&lt;="&amp;($A226+22/24),tData[SEHTrajectPeriodeDatumTijdTotEnMet],"&gt;"&amp;($A226+22/24))</f>
        <v/>
      </c>
      <c r="AA226" s="20">
        <f>COUNTIFS(tData[SEHTrajectPeriodeDatumTijdVan],"&lt;="&amp;($A226+23/24),tData[SEHTrajectPeriodeDatumTijdTotEnMet],"&gt;"&amp;($A226+23/24))</f>
        <v/>
      </c>
    </row>
    <row r="227">
      <c r="A227" s="19" t="n">
        <v>45515</v>
      </c>
      <c r="B227" s="15">
        <f>WEEKDAY($A227,2)</f>
        <v/>
      </c>
      <c r="C227" s="15">
        <f>IF(AND($A227&gt;=INT(Instellingen!$B$5),$A227&lt;=INT(Instellingen!$B$6)),1,0)</f>
        <v/>
      </c>
      <c r="D227" s="20">
        <f>COUNTIFS(tData[SEHTrajectPeriodeDatumTijdVan],"&lt;="&amp;($A227+0/24),tData[SEHTrajectPeriodeDatumTijdTotEnMet],"&gt;"&amp;($A227+0/24))</f>
        <v/>
      </c>
      <c r="E227" s="20">
        <f>COUNTIFS(tData[SEHTrajectPeriodeDatumTijdVan],"&lt;="&amp;($A227+1/24),tData[SEHTrajectPeriodeDatumTijdTotEnMet],"&gt;"&amp;($A227+1/24))</f>
        <v/>
      </c>
      <c r="F227" s="20">
        <f>COUNTIFS(tData[SEHTrajectPeriodeDatumTijdVan],"&lt;="&amp;($A227+2/24),tData[SEHTrajectPeriodeDatumTijdTotEnMet],"&gt;"&amp;($A227+2/24))</f>
        <v/>
      </c>
      <c r="G227" s="20">
        <f>COUNTIFS(tData[SEHTrajectPeriodeDatumTijdVan],"&lt;="&amp;($A227+3/24),tData[SEHTrajectPeriodeDatumTijdTotEnMet],"&gt;"&amp;($A227+3/24))</f>
        <v/>
      </c>
      <c r="H227" s="20">
        <f>COUNTIFS(tData[SEHTrajectPeriodeDatumTijdVan],"&lt;="&amp;($A227+4/24),tData[SEHTrajectPeriodeDatumTijdTotEnMet],"&gt;"&amp;($A227+4/24))</f>
        <v/>
      </c>
      <c r="I227" s="20">
        <f>COUNTIFS(tData[SEHTrajectPeriodeDatumTijdVan],"&lt;="&amp;($A227+5/24),tData[SEHTrajectPeriodeDatumTijdTotEnMet],"&gt;"&amp;($A227+5/24))</f>
        <v/>
      </c>
      <c r="J227" s="20">
        <f>COUNTIFS(tData[SEHTrajectPeriodeDatumTijdVan],"&lt;="&amp;($A227+6/24),tData[SEHTrajectPeriodeDatumTijdTotEnMet],"&gt;"&amp;($A227+6/24))</f>
        <v/>
      </c>
      <c r="K227" s="20">
        <f>COUNTIFS(tData[SEHTrajectPeriodeDatumTijdVan],"&lt;="&amp;($A227+7/24),tData[SEHTrajectPeriodeDatumTijdTotEnMet],"&gt;"&amp;($A227+7/24))</f>
        <v/>
      </c>
      <c r="L227" s="20">
        <f>COUNTIFS(tData[SEHTrajectPeriodeDatumTijdVan],"&lt;="&amp;($A227+8/24),tData[SEHTrajectPeriodeDatumTijdTotEnMet],"&gt;"&amp;($A227+8/24))</f>
        <v/>
      </c>
      <c r="M227" s="20">
        <f>COUNTIFS(tData[SEHTrajectPeriodeDatumTijdVan],"&lt;="&amp;($A227+9/24),tData[SEHTrajectPeriodeDatumTijdTotEnMet],"&gt;"&amp;($A227+9/24))</f>
        <v/>
      </c>
      <c r="N227" s="20">
        <f>COUNTIFS(tData[SEHTrajectPeriodeDatumTijdVan],"&lt;="&amp;($A227+10/24),tData[SEHTrajectPeriodeDatumTijdTotEnMet],"&gt;"&amp;($A227+10/24))</f>
        <v/>
      </c>
      <c r="O227" s="20">
        <f>COUNTIFS(tData[SEHTrajectPeriodeDatumTijdVan],"&lt;="&amp;($A227+11/24),tData[SEHTrajectPeriodeDatumTijdTotEnMet],"&gt;"&amp;($A227+11/24))</f>
        <v/>
      </c>
      <c r="P227" s="20">
        <f>COUNTIFS(tData[SEHTrajectPeriodeDatumTijdVan],"&lt;="&amp;($A227+12/24),tData[SEHTrajectPeriodeDatumTijdTotEnMet],"&gt;"&amp;($A227+12/24))</f>
        <v/>
      </c>
      <c r="Q227" s="20">
        <f>COUNTIFS(tData[SEHTrajectPeriodeDatumTijdVan],"&lt;="&amp;($A227+13/24),tData[SEHTrajectPeriodeDatumTijdTotEnMet],"&gt;"&amp;($A227+13/24))</f>
        <v/>
      </c>
      <c r="R227" s="20">
        <f>COUNTIFS(tData[SEHTrajectPeriodeDatumTijdVan],"&lt;="&amp;($A227+14/24),tData[SEHTrajectPeriodeDatumTijdTotEnMet],"&gt;"&amp;($A227+14/24))</f>
        <v/>
      </c>
      <c r="S227" s="20">
        <f>COUNTIFS(tData[SEHTrajectPeriodeDatumTijdVan],"&lt;="&amp;($A227+15/24),tData[SEHTrajectPeriodeDatumTijdTotEnMet],"&gt;"&amp;($A227+15/24))</f>
        <v/>
      </c>
      <c r="T227" s="20">
        <f>COUNTIFS(tData[SEHTrajectPeriodeDatumTijdVan],"&lt;="&amp;($A227+16/24),tData[SEHTrajectPeriodeDatumTijdTotEnMet],"&gt;"&amp;($A227+16/24))</f>
        <v/>
      </c>
      <c r="U227" s="20">
        <f>COUNTIFS(tData[SEHTrajectPeriodeDatumTijdVan],"&lt;="&amp;($A227+17/24),tData[SEHTrajectPeriodeDatumTijdTotEnMet],"&gt;"&amp;($A227+17/24))</f>
        <v/>
      </c>
      <c r="V227" s="20">
        <f>COUNTIFS(tData[SEHTrajectPeriodeDatumTijdVan],"&lt;="&amp;($A227+18/24),tData[SEHTrajectPeriodeDatumTijdTotEnMet],"&gt;"&amp;($A227+18/24))</f>
        <v/>
      </c>
      <c r="W227" s="20">
        <f>COUNTIFS(tData[SEHTrajectPeriodeDatumTijdVan],"&lt;="&amp;($A227+19/24),tData[SEHTrajectPeriodeDatumTijdTotEnMet],"&gt;"&amp;($A227+19/24))</f>
        <v/>
      </c>
      <c r="X227" s="20">
        <f>COUNTIFS(tData[SEHTrajectPeriodeDatumTijdVan],"&lt;="&amp;($A227+20/24),tData[SEHTrajectPeriodeDatumTijdTotEnMet],"&gt;"&amp;($A227+20/24))</f>
        <v/>
      </c>
      <c r="Y227" s="20">
        <f>COUNTIFS(tData[SEHTrajectPeriodeDatumTijdVan],"&lt;="&amp;($A227+21/24),tData[SEHTrajectPeriodeDatumTijdTotEnMet],"&gt;"&amp;($A227+21/24))</f>
        <v/>
      </c>
      <c r="Z227" s="20">
        <f>COUNTIFS(tData[SEHTrajectPeriodeDatumTijdVan],"&lt;="&amp;($A227+22/24),tData[SEHTrajectPeriodeDatumTijdTotEnMet],"&gt;"&amp;($A227+22/24))</f>
        <v/>
      </c>
      <c r="AA227" s="20">
        <f>COUNTIFS(tData[SEHTrajectPeriodeDatumTijdVan],"&lt;="&amp;($A227+23/24),tData[SEHTrajectPeriodeDatumTijdTotEnMet],"&gt;"&amp;($A227+23/24))</f>
        <v/>
      </c>
    </row>
    <row r="228">
      <c r="A228" s="19" t="n">
        <v>45516</v>
      </c>
      <c r="B228" s="15">
        <f>WEEKDAY($A228,2)</f>
        <v/>
      </c>
      <c r="C228" s="15">
        <f>IF(AND($A228&gt;=INT(Instellingen!$B$5),$A228&lt;=INT(Instellingen!$B$6)),1,0)</f>
        <v/>
      </c>
      <c r="D228" s="20">
        <f>COUNTIFS(tData[SEHTrajectPeriodeDatumTijdVan],"&lt;="&amp;($A228+0/24),tData[SEHTrajectPeriodeDatumTijdTotEnMet],"&gt;"&amp;($A228+0/24))</f>
        <v/>
      </c>
      <c r="E228" s="20">
        <f>COUNTIFS(tData[SEHTrajectPeriodeDatumTijdVan],"&lt;="&amp;($A228+1/24),tData[SEHTrajectPeriodeDatumTijdTotEnMet],"&gt;"&amp;($A228+1/24))</f>
        <v/>
      </c>
      <c r="F228" s="20">
        <f>COUNTIFS(tData[SEHTrajectPeriodeDatumTijdVan],"&lt;="&amp;($A228+2/24),tData[SEHTrajectPeriodeDatumTijdTotEnMet],"&gt;"&amp;($A228+2/24))</f>
        <v/>
      </c>
      <c r="G228" s="20">
        <f>COUNTIFS(tData[SEHTrajectPeriodeDatumTijdVan],"&lt;="&amp;($A228+3/24),tData[SEHTrajectPeriodeDatumTijdTotEnMet],"&gt;"&amp;($A228+3/24))</f>
        <v/>
      </c>
      <c r="H228" s="20">
        <f>COUNTIFS(tData[SEHTrajectPeriodeDatumTijdVan],"&lt;="&amp;($A228+4/24),tData[SEHTrajectPeriodeDatumTijdTotEnMet],"&gt;"&amp;($A228+4/24))</f>
        <v/>
      </c>
      <c r="I228" s="20">
        <f>COUNTIFS(tData[SEHTrajectPeriodeDatumTijdVan],"&lt;="&amp;($A228+5/24),tData[SEHTrajectPeriodeDatumTijdTotEnMet],"&gt;"&amp;($A228+5/24))</f>
        <v/>
      </c>
      <c r="J228" s="20">
        <f>COUNTIFS(tData[SEHTrajectPeriodeDatumTijdVan],"&lt;="&amp;($A228+6/24),tData[SEHTrajectPeriodeDatumTijdTotEnMet],"&gt;"&amp;($A228+6/24))</f>
        <v/>
      </c>
      <c r="K228" s="20">
        <f>COUNTIFS(tData[SEHTrajectPeriodeDatumTijdVan],"&lt;="&amp;($A228+7/24),tData[SEHTrajectPeriodeDatumTijdTotEnMet],"&gt;"&amp;($A228+7/24))</f>
        <v/>
      </c>
      <c r="L228" s="20">
        <f>COUNTIFS(tData[SEHTrajectPeriodeDatumTijdVan],"&lt;="&amp;($A228+8/24),tData[SEHTrajectPeriodeDatumTijdTotEnMet],"&gt;"&amp;($A228+8/24))</f>
        <v/>
      </c>
      <c r="M228" s="20">
        <f>COUNTIFS(tData[SEHTrajectPeriodeDatumTijdVan],"&lt;="&amp;($A228+9/24),tData[SEHTrajectPeriodeDatumTijdTotEnMet],"&gt;"&amp;($A228+9/24))</f>
        <v/>
      </c>
      <c r="N228" s="20">
        <f>COUNTIFS(tData[SEHTrajectPeriodeDatumTijdVan],"&lt;="&amp;($A228+10/24),tData[SEHTrajectPeriodeDatumTijdTotEnMet],"&gt;"&amp;($A228+10/24))</f>
        <v/>
      </c>
      <c r="O228" s="20">
        <f>COUNTIFS(tData[SEHTrajectPeriodeDatumTijdVan],"&lt;="&amp;($A228+11/24),tData[SEHTrajectPeriodeDatumTijdTotEnMet],"&gt;"&amp;($A228+11/24))</f>
        <v/>
      </c>
      <c r="P228" s="20">
        <f>COUNTIFS(tData[SEHTrajectPeriodeDatumTijdVan],"&lt;="&amp;($A228+12/24),tData[SEHTrajectPeriodeDatumTijdTotEnMet],"&gt;"&amp;($A228+12/24))</f>
        <v/>
      </c>
      <c r="Q228" s="20">
        <f>COUNTIFS(tData[SEHTrajectPeriodeDatumTijdVan],"&lt;="&amp;($A228+13/24),tData[SEHTrajectPeriodeDatumTijdTotEnMet],"&gt;"&amp;($A228+13/24))</f>
        <v/>
      </c>
      <c r="R228" s="20">
        <f>COUNTIFS(tData[SEHTrajectPeriodeDatumTijdVan],"&lt;="&amp;($A228+14/24),tData[SEHTrajectPeriodeDatumTijdTotEnMet],"&gt;"&amp;($A228+14/24))</f>
        <v/>
      </c>
      <c r="S228" s="20">
        <f>COUNTIFS(tData[SEHTrajectPeriodeDatumTijdVan],"&lt;="&amp;($A228+15/24),tData[SEHTrajectPeriodeDatumTijdTotEnMet],"&gt;"&amp;($A228+15/24))</f>
        <v/>
      </c>
      <c r="T228" s="20">
        <f>COUNTIFS(tData[SEHTrajectPeriodeDatumTijdVan],"&lt;="&amp;($A228+16/24),tData[SEHTrajectPeriodeDatumTijdTotEnMet],"&gt;"&amp;($A228+16/24))</f>
        <v/>
      </c>
      <c r="U228" s="20">
        <f>COUNTIFS(tData[SEHTrajectPeriodeDatumTijdVan],"&lt;="&amp;($A228+17/24),tData[SEHTrajectPeriodeDatumTijdTotEnMet],"&gt;"&amp;($A228+17/24))</f>
        <v/>
      </c>
      <c r="V228" s="20">
        <f>COUNTIFS(tData[SEHTrajectPeriodeDatumTijdVan],"&lt;="&amp;($A228+18/24),tData[SEHTrajectPeriodeDatumTijdTotEnMet],"&gt;"&amp;($A228+18/24))</f>
        <v/>
      </c>
      <c r="W228" s="20">
        <f>COUNTIFS(tData[SEHTrajectPeriodeDatumTijdVan],"&lt;="&amp;($A228+19/24),tData[SEHTrajectPeriodeDatumTijdTotEnMet],"&gt;"&amp;($A228+19/24))</f>
        <v/>
      </c>
      <c r="X228" s="20">
        <f>COUNTIFS(tData[SEHTrajectPeriodeDatumTijdVan],"&lt;="&amp;($A228+20/24),tData[SEHTrajectPeriodeDatumTijdTotEnMet],"&gt;"&amp;($A228+20/24))</f>
        <v/>
      </c>
      <c r="Y228" s="20">
        <f>COUNTIFS(tData[SEHTrajectPeriodeDatumTijdVan],"&lt;="&amp;($A228+21/24),tData[SEHTrajectPeriodeDatumTijdTotEnMet],"&gt;"&amp;($A228+21/24))</f>
        <v/>
      </c>
      <c r="Z228" s="20">
        <f>COUNTIFS(tData[SEHTrajectPeriodeDatumTijdVan],"&lt;="&amp;($A228+22/24),tData[SEHTrajectPeriodeDatumTijdTotEnMet],"&gt;"&amp;($A228+22/24))</f>
        <v/>
      </c>
      <c r="AA228" s="20">
        <f>COUNTIFS(tData[SEHTrajectPeriodeDatumTijdVan],"&lt;="&amp;($A228+23/24),tData[SEHTrajectPeriodeDatumTijdTotEnMet],"&gt;"&amp;($A228+23/24))</f>
        <v/>
      </c>
    </row>
    <row r="229">
      <c r="A229" s="19" t="n">
        <v>45517</v>
      </c>
      <c r="B229" s="15">
        <f>WEEKDAY($A229,2)</f>
        <v/>
      </c>
      <c r="C229" s="15">
        <f>IF(AND($A229&gt;=INT(Instellingen!$B$5),$A229&lt;=INT(Instellingen!$B$6)),1,0)</f>
        <v/>
      </c>
      <c r="D229" s="20">
        <f>COUNTIFS(tData[SEHTrajectPeriodeDatumTijdVan],"&lt;="&amp;($A229+0/24),tData[SEHTrajectPeriodeDatumTijdTotEnMet],"&gt;"&amp;($A229+0/24))</f>
        <v/>
      </c>
      <c r="E229" s="20">
        <f>COUNTIFS(tData[SEHTrajectPeriodeDatumTijdVan],"&lt;="&amp;($A229+1/24),tData[SEHTrajectPeriodeDatumTijdTotEnMet],"&gt;"&amp;($A229+1/24))</f>
        <v/>
      </c>
      <c r="F229" s="20">
        <f>COUNTIFS(tData[SEHTrajectPeriodeDatumTijdVan],"&lt;="&amp;($A229+2/24),tData[SEHTrajectPeriodeDatumTijdTotEnMet],"&gt;"&amp;($A229+2/24))</f>
        <v/>
      </c>
      <c r="G229" s="20">
        <f>COUNTIFS(tData[SEHTrajectPeriodeDatumTijdVan],"&lt;="&amp;($A229+3/24),tData[SEHTrajectPeriodeDatumTijdTotEnMet],"&gt;"&amp;($A229+3/24))</f>
        <v/>
      </c>
      <c r="H229" s="20">
        <f>COUNTIFS(tData[SEHTrajectPeriodeDatumTijdVan],"&lt;="&amp;($A229+4/24),tData[SEHTrajectPeriodeDatumTijdTotEnMet],"&gt;"&amp;($A229+4/24))</f>
        <v/>
      </c>
      <c r="I229" s="20">
        <f>COUNTIFS(tData[SEHTrajectPeriodeDatumTijdVan],"&lt;="&amp;($A229+5/24),tData[SEHTrajectPeriodeDatumTijdTotEnMet],"&gt;"&amp;($A229+5/24))</f>
        <v/>
      </c>
      <c r="J229" s="20">
        <f>COUNTIFS(tData[SEHTrajectPeriodeDatumTijdVan],"&lt;="&amp;($A229+6/24),tData[SEHTrajectPeriodeDatumTijdTotEnMet],"&gt;"&amp;($A229+6/24))</f>
        <v/>
      </c>
      <c r="K229" s="20">
        <f>COUNTIFS(tData[SEHTrajectPeriodeDatumTijdVan],"&lt;="&amp;($A229+7/24),tData[SEHTrajectPeriodeDatumTijdTotEnMet],"&gt;"&amp;($A229+7/24))</f>
        <v/>
      </c>
      <c r="L229" s="20">
        <f>COUNTIFS(tData[SEHTrajectPeriodeDatumTijdVan],"&lt;="&amp;($A229+8/24),tData[SEHTrajectPeriodeDatumTijdTotEnMet],"&gt;"&amp;($A229+8/24))</f>
        <v/>
      </c>
      <c r="M229" s="20">
        <f>COUNTIFS(tData[SEHTrajectPeriodeDatumTijdVan],"&lt;="&amp;($A229+9/24),tData[SEHTrajectPeriodeDatumTijdTotEnMet],"&gt;"&amp;($A229+9/24))</f>
        <v/>
      </c>
      <c r="N229" s="20">
        <f>COUNTIFS(tData[SEHTrajectPeriodeDatumTijdVan],"&lt;="&amp;($A229+10/24),tData[SEHTrajectPeriodeDatumTijdTotEnMet],"&gt;"&amp;($A229+10/24))</f>
        <v/>
      </c>
      <c r="O229" s="20">
        <f>COUNTIFS(tData[SEHTrajectPeriodeDatumTijdVan],"&lt;="&amp;($A229+11/24),tData[SEHTrajectPeriodeDatumTijdTotEnMet],"&gt;"&amp;($A229+11/24))</f>
        <v/>
      </c>
      <c r="P229" s="20">
        <f>COUNTIFS(tData[SEHTrajectPeriodeDatumTijdVan],"&lt;="&amp;($A229+12/24),tData[SEHTrajectPeriodeDatumTijdTotEnMet],"&gt;"&amp;($A229+12/24))</f>
        <v/>
      </c>
      <c r="Q229" s="20">
        <f>COUNTIFS(tData[SEHTrajectPeriodeDatumTijdVan],"&lt;="&amp;($A229+13/24),tData[SEHTrajectPeriodeDatumTijdTotEnMet],"&gt;"&amp;($A229+13/24))</f>
        <v/>
      </c>
      <c r="R229" s="20">
        <f>COUNTIFS(tData[SEHTrajectPeriodeDatumTijdVan],"&lt;="&amp;($A229+14/24),tData[SEHTrajectPeriodeDatumTijdTotEnMet],"&gt;"&amp;($A229+14/24))</f>
        <v/>
      </c>
      <c r="S229" s="20">
        <f>COUNTIFS(tData[SEHTrajectPeriodeDatumTijdVan],"&lt;="&amp;($A229+15/24),tData[SEHTrajectPeriodeDatumTijdTotEnMet],"&gt;"&amp;($A229+15/24))</f>
        <v/>
      </c>
      <c r="T229" s="20">
        <f>COUNTIFS(tData[SEHTrajectPeriodeDatumTijdVan],"&lt;="&amp;($A229+16/24),tData[SEHTrajectPeriodeDatumTijdTotEnMet],"&gt;"&amp;($A229+16/24))</f>
        <v/>
      </c>
      <c r="U229" s="20">
        <f>COUNTIFS(tData[SEHTrajectPeriodeDatumTijdVan],"&lt;="&amp;($A229+17/24),tData[SEHTrajectPeriodeDatumTijdTotEnMet],"&gt;"&amp;($A229+17/24))</f>
        <v/>
      </c>
      <c r="V229" s="20">
        <f>COUNTIFS(tData[SEHTrajectPeriodeDatumTijdVan],"&lt;="&amp;($A229+18/24),tData[SEHTrajectPeriodeDatumTijdTotEnMet],"&gt;"&amp;($A229+18/24))</f>
        <v/>
      </c>
      <c r="W229" s="20">
        <f>COUNTIFS(tData[SEHTrajectPeriodeDatumTijdVan],"&lt;="&amp;($A229+19/24),tData[SEHTrajectPeriodeDatumTijdTotEnMet],"&gt;"&amp;($A229+19/24))</f>
        <v/>
      </c>
      <c r="X229" s="20">
        <f>COUNTIFS(tData[SEHTrajectPeriodeDatumTijdVan],"&lt;="&amp;($A229+20/24),tData[SEHTrajectPeriodeDatumTijdTotEnMet],"&gt;"&amp;($A229+20/24))</f>
        <v/>
      </c>
      <c r="Y229" s="20">
        <f>COUNTIFS(tData[SEHTrajectPeriodeDatumTijdVan],"&lt;="&amp;($A229+21/24),tData[SEHTrajectPeriodeDatumTijdTotEnMet],"&gt;"&amp;($A229+21/24))</f>
        <v/>
      </c>
      <c r="Z229" s="20">
        <f>COUNTIFS(tData[SEHTrajectPeriodeDatumTijdVan],"&lt;="&amp;($A229+22/24),tData[SEHTrajectPeriodeDatumTijdTotEnMet],"&gt;"&amp;($A229+22/24))</f>
        <v/>
      </c>
      <c r="AA229" s="20">
        <f>COUNTIFS(tData[SEHTrajectPeriodeDatumTijdVan],"&lt;="&amp;($A229+23/24),tData[SEHTrajectPeriodeDatumTijdTotEnMet],"&gt;"&amp;($A229+23/24))</f>
        <v/>
      </c>
    </row>
    <row r="230">
      <c r="A230" s="19" t="n">
        <v>45518</v>
      </c>
      <c r="B230" s="15">
        <f>WEEKDAY($A230,2)</f>
        <v/>
      </c>
      <c r="C230" s="15">
        <f>IF(AND($A230&gt;=INT(Instellingen!$B$5),$A230&lt;=INT(Instellingen!$B$6)),1,0)</f>
        <v/>
      </c>
      <c r="D230" s="20">
        <f>COUNTIFS(tData[SEHTrajectPeriodeDatumTijdVan],"&lt;="&amp;($A230+0/24),tData[SEHTrajectPeriodeDatumTijdTotEnMet],"&gt;"&amp;($A230+0/24))</f>
        <v/>
      </c>
      <c r="E230" s="20">
        <f>COUNTIFS(tData[SEHTrajectPeriodeDatumTijdVan],"&lt;="&amp;($A230+1/24),tData[SEHTrajectPeriodeDatumTijdTotEnMet],"&gt;"&amp;($A230+1/24))</f>
        <v/>
      </c>
      <c r="F230" s="20">
        <f>COUNTIFS(tData[SEHTrajectPeriodeDatumTijdVan],"&lt;="&amp;($A230+2/24),tData[SEHTrajectPeriodeDatumTijdTotEnMet],"&gt;"&amp;($A230+2/24))</f>
        <v/>
      </c>
      <c r="G230" s="20">
        <f>COUNTIFS(tData[SEHTrajectPeriodeDatumTijdVan],"&lt;="&amp;($A230+3/24),tData[SEHTrajectPeriodeDatumTijdTotEnMet],"&gt;"&amp;($A230+3/24))</f>
        <v/>
      </c>
      <c r="H230" s="20">
        <f>COUNTIFS(tData[SEHTrajectPeriodeDatumTijdVan],"&lt;="&amp;($A230+4/24),tData[SEHTrajectPeriodeDatumTijdTotEnMet],"&gt;"&amp;($A230+4/24))</f>
        <v/>
      </c>
      <c r="I230" s="20">
        <f>COUNTIFS(tData[SEHTrajectPeriodeDatumTijdVan],"&lt;="&amp;($A230+5/24),tData[SEHTrajectPeriodeDatumTijdTotEnMet],"&gt;"&amp;($A230+5/24))</f>
        <v/>
      </c>
      <c r="J230" s="20">
        <f>COUNTIFS(tData[SEHTrajectPeriodeDatumTijdVan],"&lt;="&amp;($A230+6/24),tData[SEHTrajectPeriodeDatumTijdTotEnMet],"&gt;"&amp;($A230+6/24))</f>
        <v/>
      </c>
      <c r="K230" s="20">
        <f>COUNTIFS(tData[SEHTrajectPeriodeDatumTijdVan],"&lt;="&amp;($A230+7/24),tData[SEHTrajectPeriodeDatumTijdTotEnMet],"&gt;"&amp;($A230+7/24))</f>
        <v/>
      </c>
      <c r="L230" s="20">
        <f>COUNTIFS(tData[SEHTrajectPeriodeDatumTijdVan],"&lt;="&amp;($A230+8/24),tData[SEHTrajectPeriodeDatumTijdTotEnMet],"&gt;"&amp;($A230+8/24))</f>
        <v/>
      </c>
      <c r="M230" s="20">
        <f>COUNTIFS(tData[SEHTrajectPeriodeDatumTijdVan],"&lt;="&amp;($A230+9/24),tData[SEHTrajectPeriodeDatumTijdTotEnMet],"&gt;"&amp;($A230+9/24))</f>
        <v/>
      </c>
      <c r="N230" s="20">
        <f>COUNTIFS(tData[SEHTrajectPeriodeDatumTijdVan],"&lt;="&amp;($A230+10/24),tData[SEHTrajectPeriodeDatumTijdTotEnMet],"&gt;"&amp;($A230+10/24))</f>
        <v/>
      </c>
      <c r="O230" s="20">
        <f>COUNTIFS(tData[SEHTrajectPeriodeDatumTijdVan],"&lt;="&amp;($A230+11/24),tData[SEHTrajectPeriodeDatumTijdTotEnMet],"&gt;"&amp;($A230+11/24))</f>
        <v/>
      </c>
      <c r="P230" s="20">
        <f>COUNTIFS(tData[SEHTrajectPeriodeDatumTijdVan],"&lt;="&amp;($A230+12/24),tData[SEHTrajectPeriodeDatumTijdTotEnMet],"&gt;"&amp;($A230+12/24))</f>
        <v/>
      </c>
      <c r="Q230" s="20">
        <f>COUNTIFS(tData[SEHTrajectPeriodeDatumTijdVan],"&lt;="&amp;($A230+13/24),tData[SEHTrajectPeriodeDatumTijdTotEnMet],"&gt;"&amp;($A230+13/24))</f>
        <v/>
      </c>
      <c r="R230" s="20">
        <f>COUNTIFS(tData[SEHTrajectPeriodeDatumTijdVan],"&lt;="&amp;($A230+14/24),tData[SEHTrajectPeriodeDatumTijdTotEnMet],"&gt;"&amp;($A230+14/24))</f>
        <v/>
      </c>
      <c r="S230" s="20">
        <f>COUNTIFS(tData[SEHTrajectPeriodeDatumTijdVan],"&lt;="&amp;($A230+15/24),tData[SEHTrajectPeriodeDatumTijdTotEnMet],"&gt;"&amp;($A230+15/24))</f>
        <v/>
      </c>
      <c r="T230" s="20">
        <f>COUNTIFS(tData[SEHTrajectPeriodeDatumTijdVan],"&lt;="&amp;($A230+16/24),tData[SEHTrajectPeriodeDatumTijdTotEnMet],"&gt;"&amp;($A230+16/24))</f>
        <v/>
      </c>
      <c r="U230" s="20">
        <f>COUNTIFS(tData[SEHTrajectPeriodeDatumTijdVan],"&lt;="&amp;($A230+17/24),tData[SEHTrajectPeriodeDatumTijdTotEnMet],"&gt;"&amp;($A230+17/24))</f>
        <v/>
      </c>
      <c r="V230" s="20">
        <f>COUNTIFS(tData[SEHTrajectPeriodeDatumTijdVan],"&lt;="&amp;($A230+18/24),tData[SEHTrajectPeriodeDatumTijdTotEnMet],"&gt;"&amp;($A230+18/24))</f>
        <v/>
      </c>
      <c r="W230" s="20">
        <f>COUNTIFS(tData[SEHTrajectPeriodeDatumTijdVan],"&lt;="&amp;($A230+19/24),tData[SEHTrajectPeriodeDatumTijdTotEnMet],"&gt;"&amp;($A230+19/24))</f>
        <v/>
      </c>
      <c r="X230" s="20">
        <f>COUNTIFS(tData[SEHTrajectPeriodeDatumTijdVan],"&lt;="&amp;($A230+20/24),tData[SEHTrajectPeriodeDatumTijdTotEnMet],"&gt;"&amp;($A230+20/24))</f>
        <v/>
      </c>
      <c r="Y230" s="20">
        <f>COUNTIFS(tData[SEHTrajectPeriodeDatumTijdVan],"&lt;="&amp;($A230+21/24),tData[SEHTrajectPeriodeDatumTijdTotEnMet],"&gt;"&amp;($A230+21/24))</f>
        <v/>
      </c>
      <c r="Z230" s="20">
        <f>COUNTIFS(tData[SEHTrajectPeriodeDatumTijdVan],"&lt;="&amp;($A230+22/24),tData[SEHTrajectPeriodeDatumTijdTotEnMet],"&gt;"&amp;($A230+22/24))</f>
        <v/>
      </c>
      <c r="AA230" s="20">
        <f>COUNTIFS(tData[SEHTrajectPeriodeDatumTijdVan],"&lt;="&amp;($A230+23/24),tData[SEHTrajectPeriodeDatumTijdTotEnMet],"&gt;"&amp;($A230+23/24))</f>
        <v/>
      </c>
    </row>
    <row r="231">
      <c r="A231" s="19" t="n">
        <v>45519</v>
      </c>
      <c r="B231" s="15">
        <f>WEEKDAY($A231,2)</f>
        <v/>
      </c>
      <c r="C231" s="15">
        <f>IF(AND($A231&gt;=INT(Instellingen!$B$5),$A231&lt;=INT(Instellingen!$B$6)),1,0)</f>
        <v/>
      </c>
      <c r="D231" s="20">
        <f>COUNTIFS(tData[SEHTrajectPeriodeDatumTijdVan],"&lt;="&amp;($A231+0/24),tData[SEHTrajectPeriodeDatumTijdTotEnMet],"&gt;"&amp;($A231+0/24))</f>
        <v/>
      </c>
      <c r="E231" s="20">
        <f>COUNTIFS(tData[SEHTrajectPeriodeDatumTijdVan],"&lt;="&amp;($A231+1/24),tData[SEHTrajectPeriodeDatumTijdTotEnMet],"&gt;"&amp;($A231+1/24))</f>
        <v/>
      </c>
      <c r="F231" s="20">
        <f>COUNTIFS(tData[SEHTrajectPeriodeDatumTijdVan],"&lt;="&amp;($A231+2/24),tData[SEHTrajectPeriodeDatumTijdTotEnMet],"&gt;"&amp;($A231+2/24))</f>
        <v/>
      </c>
      <c r="G231" s="20">
        <f>COUNTIFS(tData[SEHTrajectPeriodeDatumTijdVan],"&lt;="&amp;($A231+3/24),tData[SEHTrajectPeriodeDatumTijdTotEnMet],"&gt;"&amp;($A231+3/24))</f>
        <v/>
      </c>
      <c r="H231" s="20">
        <f>COUNTIFS(tData[SEHTrajectPeriodeDatumTijdVan],"&lt;="&amp;($A231+4/24),tData[SEHTrajectPeriodeDatumTijdTotEnMet],"&gt;"&amp;($A231+4/24))</f>
        <v/>
      </c>
      <c r="I231" s="20">
        <f>COUNTIFS(tData[SEHTrajectPeriodeDatumTijdVan],"&lt;="&amp;($A231+5/24),tData[SEHTrajectPeriodeDatumTijdTotEnMet],"&gt;"&amp;($A231+5/24))</f>
        <v/>
      </c>
      <c r="J231" s="20">
        <f>COUNTIFS(tData[SEHTrajectPeriodeDatumTijdVan],"&lt;="&amp;($A231+6/24),tData[SEHTrajectPeriodeDatumTijdTotEnMet],"&gt;"&amp;($A231+6/24))</f>
        <v/>
      </c>
      <c r="K231" s="20">
        <f>COUNTIFS(tData[SEHTrajectPeriodeDatumTijdVan],"&lt;="&amp;($A231+7/24),tData[SEHTrajectPeriodeDatumTijdTotEnMet],"&gt;"&amp;($A231+7/24))</f>
        <v/>
      </c>
      <c r="L231" s="20">
        <f>COUNTIFS(tData[SEHTrajectPeriodeDatumTijdVan],"&lt;="&amp;($A231+8/24),tData[SEHTrajectPeriodeDatumTijdTotEnMet],"&gt;"&amp;($A231+8/24))</f>
        <v/>
      </c>
      <c r="M231" s="20">
        <f>COUNTIFS(tData[SEHTrajectPeriodeDatumTijdVan],"&lt;="&amp;($A231+9/24),tData[SEHTrajectPeriodeDatumTijdTotEnMet],"&gt;"&amp;($A231+9/24))</f>
        <v/>
      </c>
      <c r="N231" s="20">
        <f>COUNTIFS(tData[SEHTrajectPeriodeDatumTijdVan],"&lt;="&amp;($A231+10/24),tData[SEHTrajectPeriodeDatumTijdTotEnMet],"&gt;"&amp;($A231+10/24))</f>
        <v/>
      </c>
      <c r="O231" s="20">
        <f>COUNTIFS(tData[SEHTrajectPeriodeDatumTijdVan],"&lt;="&amp;($A231+11/24),tData[SEHTrajectPeriodeDatumTijdTotEnMet],"&gt;"&amp;($A231+11/24))</f>
        <v/>
      </c>
      <c r="P231" s="20">
        <f>COUNTIFS(tData[SEHTrajectPeriodeDatumTijdVan],"&lt;="&amp;($A231+12/24),tData[SEHTrajectPeriodeDatumTijdTotEnMet],"&gt;"&amp;($A231+12/24))</f>
        <v/>
      </c>
      <c r="Q231" s="20">
        <f>COUNTIFS(tData[SEHTrajectPeriodeDatumTijdVan],"&lt;="&amp;($A231+13/24),tData[SEHTrajectPeriodeDatumTijdTotEnMet],"&gt;"&amp;($A231+13/24))</f>
        <v/>
      </c>
      <c r="R231" s="20">
        <f>COUNTIFS(tData[SEHTrajectPeriodeDatumTijdVan],"&lt;="&amp;($A231+14/24),tData[SEHTrajectPeriodeDatumTijdTotEnMet],"&gt;"&amp;($A231+14/24))</f>
        <v/>
      </c>
      <c r="S231" s="20">
        <f>COUNTIFS(tData[SEHTrajectPeriodeDatumTijdVan],"&lt;="&amp;($A231+15/24),tData[SEHTrajectPeriodeDatumTijdTotEnMet],"&gt;"&amp;($A231+15/24))</f>
        <v/>
      </c>
      <c r="T231" s="20">
        <f>COUNTIFS(tData[SEHTrajectPeriodeDatumTijdVan],"&lt;="&amp;($A231+16/24),tData[SEHTrajectPeriodeDatumTijdTotEnMet],"&gt;"&amp;($A231+16/24))</f>
        <v/>
      </c>
      <c r="U231" s="20">
        <f>COUNTIFS(tData[SEHTrajectPeriodeDatumTijdVan],"&lt;="&amp;($A231+17/24),tData[SEHTrajectPeriodeDatumTijdTotEnMet],"&gt;"&amp;($A231+17/24))</f>
        <v/>
      </c>
      <c r="V231" s="20">
        <f>COUNTIFS(tData[SEHTrajectPeriodeDatumTijdVan],"&lt;="&amp;($A231+18/24),tData[SEHTrajectPeriodeDatumTijdTotEnMet],"&gt;"&amp;($A231+18/24))</f>
        <v/>
      </c>
      <c r="W231" s="20">
        <f>COUNTIFS(tData[SEHTrajectPeriodeDatumTijdVan],"&lt;="&amp;($A231+19/24),tData[SEHTrajectPeriodeDatumTijdTotEnMet],"&gt;"&amp;($A231+19/24))</f>
        <v/>
      </c>
      <c r="X231" s="20">
        <f>COUNTIFS(tData[SEHTrajectPeriodeDatumTijdVan],"&lt;="&amp;($A231+20/24),tData[SEHTrajectPeriodeDatumTijdTotEnMet],"&gt;"&amp;($A231+20/24))</f>
        <v/>
      </c>
      <c r="Y231" s="20">
        <f>COUNTIFS(tData[SEHTrajectPeriodeDatumTijdVan],"&lt;="&amp;($A231+21/24),tData[SEHTrajectPeriodeDatumTijdTotEnMet],"&gt;"&amp;($A231+21/24))</f>
        <v/>
      </c>
      <c r="Z231" s="20">
        <f>COUNTIFS(tData[SEHTrajectPeriodeDatumTijdVan],"&lt;="&amp;($A231+22/24),tData[SEHTrajectPeriodeDatumTijdTotEnMet],"&gt;"&amp;($A231+22/24))</f>
        <v/>
      </c>
      <c r="AA231" s="20">
        <f>COUNTIFS(tData[SEHTrajectPeriodeDatumTijdVan],"&lt;="&amp;($A231+23/24),tData[SEHTrajectPeriodeDatumTijdTotEnMet],"&gt;"&amp;($A231+23/24))</f>
        <v/>
      </c>
    </row>
    <row r="232">
      <c r="A232" s="19" t="n">
        <v>45520</v>
      </c>
      <c r="B232" s="15">
        <f>WEEKDAY($A232,2)</f>
        <v/>
      </c>
      <c r="C232" s="15">
        <f>IF(AND($A232&gt;=INT(Instellingen!$B$5),$A232&lt;=INT(Instellingen!$B$6)),1,0)</f>
        <v/>
      </c>
      <c r="D232" s="20">
        <f>COUNTIFS(tData[SEHTrajectPeriodeDatumTijdVan],"&lt;="&amp;($A232+0/24),tData[SEHTrajectPeriodeDatumTijdTotEnMet],"&gt;"&amp;($A232+0/24))</f>
        <v/>
      </c>
      <c r="E232" s="20">
        <f>COUNTIFS(tData[SEHTrajectPeriodeDatumTijdVan],"&lt;="&amp;($A232+1/24),tData[SEHTrajectPeriodeDatumTijdTotEnMet],"&gt;"&amp;($A232+1/24))</f>
        <v/>
      </c>
      <c r="F232" s="20">
        <f>COUNTIFS(tData[SEHTrajectPeriodeDatumTijdVan],"&lt;="&amp;($A232+2/24),tData[SEHTrajectPeriodeDatumTijdTotEnMet],"&gt;"&amp;($A232+2/24))</f>
        <v/>
      </c>
      <c r="G232" s="20">
        <f>COUNTIFS(tData[SEHTrajectPeriodeDatumTijdVan],"&lt;="&amp;($A232+3/24),tData[SEHTrajectPeriodeDatumTijdTotEnMet],"&gt;"&amp;($A232+3/24))</f>
        <v/>
      </c>
      <c r="H232" s="20">
        <f>COUNTIFS(tData[SEHTrajectPeriodeDatumTijdVan],"&lt;="&amp;($A232+4/24),tData[SEHTrajectPeriodeDatumTijdTotEnMet],"&gt;"&amp;($A232+4/24))</f>
        <v/>
      </c>
      <c r="I232" s="20">
        <f>COUNTIFS(tData[SEHTrajectPeriodeDatumTijdVan],"&lt;="&amp;($A232+5/24),tData[SEHTrajectPeriodeDatumTijdTotEnMet],"&gt;"&amp;($A232+5/24))</f>
        <v/>
      </c>
      <c r="J232" s="20">
        <f>COUNTIFS(tData[SEHTrajectPeriodeDatumTijdVan],"&lt;="&amp;($A232+6/24),tData[SEHTrajectPeriodeDatumTijdTotEnMet],"&gt;"&amp;($A232+6/24))</f>
        <v/>
      </c>
      <c r="K232" s="20">
        <f>COUNTIFS(tData[SEHTrajectPeriodeDatumTijdVan],"&lt;="&amp;($A232+7/24),tData[SEHTrajectPeriodeDatumTijdTotEnMet],"&gt;"&amp;($A232+7/24))</f>
        <v/>
      </c>
      <c r="L232" s="20">
        <f>COUNTIFS(tData[SEHTrajectPeriodeDatumTijdVan],"&lt;="&amp;($A232+8/24),tData[SEHTrajectPeriodeDatumTijdTotEnMet],"&gt;"&amp;($A232+8/24))</f>
        <v/>
      </c>
      <c r="M232" s="20">
        <f>COUNTIFS(tData[SEHTrajectPeriodeDatumTijdVan],"&lt;="&amp;($A232+9/24),tData[SEHTrajectPeriodeDatumTijdTotEnMet],"&gt;"&amp;($A232+9/24))</f>
        <v/>
      </c>
      <c r="N232" s="20">
        <f>COUNTIFS(tData[SEHTrajectPeriodeDatumTijdVan],"&lt;="&amp;($A232+10/24),tData[SEHTrajectPeriodeDatumTijdTotEnMet],"&gt;"&amp;($A232+10/24))</f>
        <v/>
      </c>
      <c r="O232" s="20">
        <f>COUNTIFS(tData[SEHTrajectPeriodeDatumTijdVan],"&lt;="&amp;($A232+11/24),tData[SEHTrajectPeriodeDatumTijdTotEnMet],"&gt;"&amp;($A232+11/24))</f>
        <v/>
      </c>
      <c r="P232" s="20">
        <f>COUNTIFS(tData[SEHTrajectPeriodeDatumTijdVan],"&lt;="&amp;($A232+12/24),tData[SEHTrajectPeriodeDatumTijdTotEnMet],"&gt;"&amp;($A232+12/24))</f>
        <v/>
      </c>
      <c r="Q232" s="20">
        <f>COUNTIFS(tData[SEHTrajectPeriodeDatumTijdVan],"&lt;="&amp;($A232+13/24),tData[SEHTrajectPeriodeDatumTijdTotEnMet],"&gt;"&amp;($A232+13/24))</f>
        <v/>
      </c>
      <c r="R232" s="20">
        <f>COUNTIFS(tData[SEHTrajectPeriodeDatumTijdVan],"&lt;="&amp;($A232+14/24),tData[SEHTrajectPeriodeDatumTijdTotEnMet],"&gt;"&amp;($A232+14/24))</f>
        <v/>
      </c>
      <c r="S232" s="20">
        <f>COUNTIFS(tData[SEHTrajectPeriodeDatumTijdVan],"&lt;="&amp;($A232+15/24),tData[SEHTrajectPeriodeDatumTijdTotEnMet],"&gt;"&amp;($A232+15/24))</f>
        <v/>
      </c>
      <c r="T232" s="20">
        <f>COUNTIFS(tData[SEHTrajectPeriodeDatumTijdVan],"&lt;="&amp;($A232+16/24),tData[SEHTrajectPeriodeDatumTijdTotEnMet],"&gt;"&amp;($A232+16/24))</f>
        <v/>
      </c>
      <c r="U232" s="20">
        <f>COUNTIFS(tData[SEHTrajectPeriodeDatumTijdVan],"&lt;="&amp;($A232+17/24),tData[SEHTrajectPeriodeDatumTijdTotEnMet],"&gt;"&amp;($A232+17/24))</f>
        <v/>
      </c>
      <c r="V232" s="20">
        <f>COUNTIFS(tData[SEHTrajectPeriodeDatumTijdVan],"&lt;="&amp;($A232+18/24),tData[SEHTrajectPeriodeDatumTijdTotEnMet],"&gt;"&amp;($A232+18/24))</f>
        <v/>
      </c>
      <c r="W232" s="20">
        <f>COUNTIFS(tData[SEHTrajectPeriodeDatumTijdVan],"&lt;="&amp;($A232+19/24),tData[SEHTrajectPeriodeDatumTijdTotEnMet],"&gt;"&amp;($A232+19/24))</f>
        <v/>
      </c>
      <c r="X232" s="20">
        <f>COUNTIFS(tData[SEHTrajectPeriodeDatumTijdVan],"&lt;="&amp;($A232+20/24),tData[SEHTrajectPeriodeDatumTijdTotEnMet],"&gt;"&amp;($A232+20/24))</f>
        <v/>
      </c>
      <c r="Y232" s="20">
        <f>COUNTIFS(tData[SEHTrajectPeriodeDatumTijdVan],"&lt;="&amp;($A232+21/24),tData[SEHTrajectPeriodeDatumTijdTotEnMet],"&gt;"&amp;($A232+21/24))</f>
        <v/>
      </c>
      <c r="Z232" s="20">
        <f>COUNTIFS(tData[SEHTrajectPeriodeDatumTijdVan],"&lt;="&amp;($A232+22/24),tData[SEHTrajectPeriodeDatumTijdTotEnMet],"&gt;"&amp;($A232+22/24))</f>
        <v/>
      </c>
      <c r="AA232" s="20">
        <f>COUNTIFS(tData[SEHTrajectPeriodeDatumTijdVan],"&lt;="&amp;($A232+23/24),tData[SEHTrajectPeriodeDatumTijdTotEnMet],"&gt;"&amp;($A232+23/24))</f>
        <v/>
      </c>
    </row>
    <row r="233">
      <c r="A233" s="19" t="n">
        <v>45521</v>
      </c>
      <c r="B233" s="15">
        <f>WEEKDAY($A233,2)</f>
        <v/>
      </c>
      <c r="C233" s="15">
        <f>IF(AND($A233&gt;=INT(Instellingen!$B$5),$A233&lt;=INT(Instellingen!$B$6)),1,0)</f>
        <v/>
      </c>
      <c r="D233" s="20">
        <f>COUNTIFS(tData[SEHTrajectPeriodeDatumTijdVan],"&lt;="&amp;($A233+0/24),tData[SEHTrajectPeriodeDatumTijdTotEnMet],"&gt;"&amp;($A233+0/24))</f>
        <v/>
      </c>
      <c r="E233" s="20">
        <f>COUNTIFS(tData[SEHTrajectPeriodeDatumTijdVan],"&lt;="&amp;($A233+1/24),tData[SEHTrajectPeriodeDatumTijdTotEnMet],"&gt;"&amp;($A233+1/24))</f>
        <v/>
      </c>
      <c r="F233" s="20">
        <f>COUNTIFS(tData[SEHTrajectPeriodeDatumTijdVan],"&lt;="&amp;($A233+2/24),tData[SEHTrajectPeriodeDatumTijdTotEnMet],"&gt;"&amp;($A233+2/24))</f>
        <v/>
      </c>
      <c r="G233" s="20">
        <f>COUNTIFS(tData[SEHTrajectPeriodeDatumTijdVan],"&lt;="&amp;($A233+3/24),tData[SEHTrajectPeriodeDatumTijdTotEnMet],"&gt;"&amp;($A233+3/24))</f>
        <v/>
      </c>
      <c r="H233" s="20">
        <f>COUNTIFS(tData[SEHTrajectPeriodeDatumTijdVan],"&lt;="&amp;($A233+4/24),tData[SEHTrajectPeriodeDatumTijdTotEnMet],"&gt;"&amp;($A233+4/24))</f>
        <v/>
      </c>
      <c r="I233" s="20">
        <f>COUNTIFS(tData[SEHTrajectPeriodeDatumTijdVan],"&lt;="&amp;($A233+5/24),tData[SEHTrajectPeriodeDatumTijdTotEnMet],"&gt;"&amp;($A233+5/24))</f>
        <v/>
      </c>
      <c r="J233" s="20">
        <f>COUNTIFS(tData[SEHTrajectPeriodeDatumTijdVan],"&lt;="&amp;($A233+6/24),tData[SEHTrajectPeriodeDatumTijdTotEnMet],"&gt;"&amp;($A233+6/24))</f>
        <v/>
      </c>
      <c r="K233" s="20">
        <f>COUNTIFS(tData[SEHTrajectPeriodeDatumTijdVan],"&lt;="&amp;($A233+7/24),tData[SEHTrajectPeriodeDatumTijdTotEnMet],"&gt;"&amp;($A233+7/24))</f>
        <v/>
      </c>
      <c r="L233" s="20">
        <f>COUNTIFS(tData[SEHTrajectPeriodeDatumTijdVan],"&lt;="&amp;($A233+8/24),tData[SEHTrajectPeriodeDatumTijdTotEnMet],"&gt;"&amp;($A233+8/24))</f>
        <v/>
      </c>
      <c r="M233" s="20">
        <f>COUNTIFS(tData[SEHTrajectPeriodeDatumTijdVan],"&lt;="&amp;($A233+9/24),tData[SEHTrajectPeriodeDatumTijdTotEnMet],"&gt;"&amp;($A233+9/24))</f>
        <v/>
      </c>
      <c r="N233" s="20">
        <f>COUNTIFS(tData[SEHTrajectPeriodeDatumTijdVan],"&lt;="&amp;($A233+10/24),tData[SEHTrajectPeriodeDatumTijdTotEnMet],"&gt;"&amp;($A233+10/24))</f>
        <v/>
      </c>
      <c r="O233" s="20">
        <f>COUNTIFS(tData[SEHTrajectPeriodeDatumTijdVan],"&lt;="&amp;($A233+11/24),tData[SEHTrajectPeriodeDatumTijdTotEnMet],"&gt;"&amp;($A233+11/24))</f>
        <v/>
      </c>
      <c r="P233" s="20">
        <f>COUNTIFS(tData[SEHTrajectPeriodeDatumTijdVan],"&lt;="&amp;($A233+12/24),tData[SEHTrajectPeriodeDatumTijdTotEnMet],"&gt;"&amp;($A233+12/24))</f>
        <v/>
      </c>
      <c r="Q233" s="20">
        <f>COUNTIFS(tData[SEHTrajectPeriodeDatumTijdVan],"&lt;="&amp;($A233+13/24),tData[SEHTrajectPeriodeDatumTijdTotEnMet],"&gt;"&amp;($A233+13/24))</f>
        <v/>
      </c>
      <c r="R233" s="20">
        <f>COUNTIFS(tData[SEHTrajectPeriodeDatumTijdVan],"&lt;="&amp;($A233+14/24),tData[SEHTrajectPeriodeDatumTijdTotEnMet],"&gt;"&amp;($A233+14/24))</f>
        <v/>
      </c>
      <c r="S233" s="20">
        <f>COUNTIFS(tData[SEHTrajectPeriodeDatumTijdVan],"&lt;="&amp;($A233+15/24),tData[SEHTrajectPeriodeDatumTijdTotEnMet],"&gt;"&amp;($A233+15/24))</f>
        <v/>
      </c>
      <c r="T233" s="20">
        <f>COUNTIFS(tData[SEHTrajectPeriodeDatumTijdVan],"&lt;="&amp;($A233+16/24),tData[SEHTrajectPeriodeDatumTijdTotEnMet],"&gt;"&amp;($A233+16/24))</f>
        <v/>
      </c>
      <c r="U233" s="20">
        <f>COUNTIFS(tData[SEHTrajectPeriodeDatumTijdVan],"&lt;="&amp;($A233+17/24),tData[SEHTrajectPeriodeDatumTijdTotEnMet],"&gt;"&amp;($A233+17/24))</f>
        <v/>
      </c>
      <c r="V233" s="20">
        <f>COUNTIFS(tData[SEHTrajectPeriodeDatumTijdVan],"&lt;="&amp;($A233+18/24),tData[SEHTrajectPeriodeDatumTijdTotEnMet],"&gt;"&amp;($A233+18/24))</f>
        <v/>
      </c>
      <c r="W233" s="20">
        <f>COUNTIFS(tData[SEHTrajectPeriodeDatumTijdVan],"&lt;="&amp;($A233+19/24),tData[SEHTrajectPeriodeDatumTijdTotEnMet],"&gt;"&amp;($A233+19/24))</f>
        <v/>
      </c>
      <c r="X233" s="20">
        <f>COUNTIFS(tData[SEHTrajectPeriodeDatumTijdVan],"&lt;="&amp;($A233+20/24),tData[SEHTrajectPeriodeDatumTijdTotEnMet],"&gt;"&amp;($A233+20/24))</f>
        <v/>
      </c>
      <c r="Y233" s="20">
        <f>COUNTIFS(tData[SEHTrajectPeriodeDatumTijdVan],"&lt;="&amp;($A233+21/24),tData[SEHTrajectPeriodeDatumTijdTotEnMet],"&gt;"&amp;($A233+21/24))</f>
        <v/>
      </c>
      <c r="Z233" s="20">
        <f>COUNTIFS(tData[SEHTrajectPeriodeDatumTijdVan],"&lt;="&amp;($A233+22/24),tData[SEHTrajectPeriodeDatumTijdTotEnMet],"&gt;"&amp;($A233+22/24))</f>
        <v/>
      </c>
      <c r="AA233" s="20">
        <f>COUNTIFS(tData[SEHTrajectPeriodeDatumTijdVan],"&lt;="&amp;($A233+23/24),tData[SEHTrajectPeriodeDatumTijdTotEnMet],"&gt;"&amp;($A233+23/24))</f>
        <v/>
      </c>
    </row>
    <row r="234">
      <c r="A234" s="19" t="n">
        <v>45522</v>
      </c>
      <c r="B234" s="15">
        <f>WEEKDAY($A234,2)</f>
        <v/>
      </c>
      <c r="C234" s="15">
        <f>IF(AND($A234&gt;=INT(Instellingen!$B$5),$A234&lt;=INT(Instellingen!$B$6)),1,0)</f>
        <v/>
      </c>
      <c r="D234" s="20">
        <f>COUNTIFS(tData[SEHTrajectPeriodeDatumTijdVan],"&lt;="&amp;($A234+0/24),tData[SEHTrajectPeriodeDatumTijdTotEnMet],"&gt;"&amp;($A234+0/24))</f>
        <v/>
      </c>
      <c r="E234" s="20">
        <f>COUNTIFS(tData[SEHTrajectPeriodeDatumTijdVan],"&lt;="&amp;($A234+1/24),tData[SEHTrajectPeriodeDatumTijdTotEnMet],"&gt;"&amp;($A234+1/24))</f>
        <v/>
      </c>
      <c r="F234" s="20">
        <f>COUNTIFS(tData[SEHTrajectPeriodeDatumTijdVan],"&lt;="&amp;($A234+2/24),tData[SEHTrajectPeriodeDatumTijdTotEnMet],"&gt;"&amp;($A234+2/24))</f>
        <v/>
      </c>
      <c r="G234" s="20">
        <f>COUNTIFS(tData[SEHTrajectPeriodeDatumTijdVan],"&lt;="&amp;($A234+3/24),tData[SEHTrajectPeriodeDatumTijdTotEnMet],"&gt;"&amp;($A234+3/24))</f>
        <v/>
      </c>
      <c r="H234" s="20">
        <f>COUNTIFS(tData[SEHTrajectPeriodeDatumTijdVan],"&lt;="&amp;($A234+4/24),tData[SEHTrajectPeriodeDatumTijdTotEnMet],"&gt;"&amp;($A234+4/24))</f>
        <v/>
      </c>
      <c r="I234" s="20">
        <f>COUNTIFS(tData[SEHTrajectPeriodeDatumTijdVan],"&lt;="&amp;($A234+5/24),tData[SEHTrajectPeriodeDatumTijdTotEnMet],"&gt;"&amp;($A234+5/24))</f>
        <v/>
      </c>
      <c r="J234" s="20">
        <f>COUNTIFS(tData[SEHTrajectPeriodeDatumTijdVan],"&lt;="&amp;($A234+6/24),tData[SEHTrajectPeriodeDatumTijdTotEnMet],"&gt;"&amp;($A234+6/24))</f>
        <v/>
      </c>
      <c r="K234" s="20">
        <f>COUNTIFS(tData[SEHTrajectPeriodeDatumTijdVan],"&lt;="&amp;($A234+7/24),tData[SEHTrajectPeriodeDatumTijdTotEnMet],"&gt;"&amp;($A234+7/24))</f>
        <v/>
      </c>
      <c r="L234" s="20">
        <f>COUNTIFS(tData[SEHTrajectPeriodeDatumTijdVan],"&lt;="&amp;($A234+8/24),tData[SEHTrajectPeriodeDatumTijdTotEnMet],"&gt;"&amp;($A234+8/24))</f>
        <v/>
      </c>
      <c r="M234" s="20">
        <f>COUNTIFS(tData[SEHTrajectPeriodeDatumTijdVan],"&lt;="&amp;($A234+9/24),tData[SEHTrajectPeriodeDatumTijdTotEnMet],"&gt;"&amp;($A234+9/24))</f>
        <v/>
      </c>
      <c r="N234" s="20">
        <f>COUNTIFS(tData[SEHTrajectPeriodeDatumTijdVan],"&lt;="&amp;($A234+10/24),tData[SEHTrajectPeriodeDatumTijdTotEnMet],"&gt;"&amp;($A234+10/24))</f>
        <v/>
      </c>
      <c r="O234" s="20">
        <f>COUNTIFS(tData[SEHTrajectPeriodeDatumTijdVan],"&lt;="&amp;($A234+11/24),tData[SEHTrajectPeriodeDatumTijdTotEnMet],"&gt;"&amp;($A234+11/24))</f>
        <v/>
      </c>
      <c r="P234" s="20">
        <f>COUNTIFS(tData[SEHTrajectPeriodeDatumTijdVan],"&lt;="&amp;($A234+12/24),tData[SEHTrajectPeriodeDatumTijdTotEnMet],"&gt;"&amp;($A234+12/24))</f>
        <v/>
      </c>
      <c r="Q234" s="20">
        <f>COUNTIFS(tData[SEHTrajectPeriodeDatumTijdVan],"&lt;="&amp;($A234+13/24),tData[SEHTrajectPeriodeDatumTijdTotEnMet],"&gt;"&amp;($A234+13/24))</f>
        <v/>
      </c>
      <c r="R234" s="20">
        <f>COUNTIFS(tData[SEHTrajectPeriodeDatumTijdVan],"&lt;="&amp;($A234+14/24),tData[SEHTrajectPeriodeDatumTijdTotEnMet],"&gt;"&amp;($A234+14/24))</f>
        <v/>
      </c>
      <c r="S234" s="20">
        <f>COUNTIFS(tData[SEHTrajectPeriodeDatumTijdVan],"&lt;="&amp;($A234+15/24),tData[SEHTrajectPeriodeDatumTijdTotEnMet],"&gt;"&amp;($A234+15/24))</f>
        <v/>
      </c>
      <c r="T234" s="20">
        <f>COUNTIFS(tData[SEHTrajectPeriodeDatumTijdVan],"&lt;="&amp;($A234+16/24),tData[SEHTrajectPeriodeDatumTijdTotEnMet],"&gt;"&amp;($A234+16/24))</f>
        <v/>
      </c>
      <c r="U234" s="20">
        <f>COUNTIFS(tData[SEHTrajectPeriodeDatumTijdVan],"&lt;="&amp;($A234+17/24),tData[SEHTrajectPeriodeDatumTijdTotEnMet],"&gt;"&amp;($A234+17/24))</f>
        <v/>
      </c>
      <c r="V234" s="20">
        <f>COUNTIFS(tData[SEHTrajectPeriodeDatumTijdVan],"&lt;="&amp;($A234+18/24),tData[SEHTrajectPeriodeDatumTijdTotEnMet],"&gt;"&amp;($A234+18/24))</f>
        <v/>
      </c>
      <c r="W234" s="20">
        <f>COUNTIFS(tData[SEHTrajectPeriodeDatumTijdVan],"&lt;="&amp;($A234+19/24),tData[SEHTrajectPeriodeDatumTijdTotEnMet],"&gt;"&amp;($A234+19/24))</f>
        <v/>
      </c>
      <c r="X234" s="20">
        <f>COUNTIFS(tData[SEHTrajectPeriodeDatumTijdVan],"&lt;="&amp;($A234+20/24),tData[SEHTrajectPeriodeDatumTijdTotEnMet],"&gt;"&amp;($A234+20/24))</f>
        <v/>
      </c>
      <c r="Y234" s="20">
        <f>COUNTIFS(tData[SEHTrajectPeriodeDatumTijdVan],"&lt;="&amp;($A234+21/24),tData[SEHTrajectPeriodeDatumTijdTotEnMet],"&gt;"&amp;($A234+21/24))</f>
        <v/>
      </c>
      <c r="Z234" s="20">
        <f>COUNTIFS(tData[SEHTrajectPeriodeDatumTijdVan],"&lt;="&amp;($A234+22/24),tData[SEHTrajectPeriodeDatumTijdTotEnMet],"&gt;"&amp;($A234+22/24))</f>
        <v/>
      </c>
      <c r="AA234" s="20">
        <f>COUNTIFS(tData[SEHTrajectPeriodeDatumTijdVan],"&lt;="&amp;($A234+23/24),tData[SEHTrajectPeriodeDatumTijdTotEnMet],"&gt;"&amp;($A234+23/24))</f>
        <v/>
      </c>
    </row>
    <row r="235">
      <c r="A235" s="19" t="n">
        <v>45523</v>
      </c>
      <c r="B235" s="15">
        <f>WEEKDAY($A235,2)</f>
        <v/>
      </c>
      <c r="C235" s="15">
        <f>IF(AND($A235&gt;=INT(Instellingen!$B$5),$A235&lt;=INT(Instellingen!$B$6)),1,0)</f>
        <v/>
      </c>
      <c r="D235" s="20">
        <f>COUNTIFS(tData[SEHTrajectPeriodeDatumTijdVan],"&lt;="&amp;($A235+0/24),tData[SEHTrajectPeriodeDatumTijdTotEnMet],"&gt;"&amp;($A235+0/24))</f>
        <v/>
      </c>
      <c r="E235" s="20">
        <f>COUNTIFS(tData[SEHTrajectPeriodeDatumTijdVan],"&lt;="&amp;($A235+1/24),tData[SEHTrajectPeriodeDatumTijdTotEnMet],"&gt;"&amp;($A235+1/24))</f>
        <v/>
      </c>
      <c r="F235" s="20">
        <f>COUNTIFS(tData[SEHTrajectPeriodeDatumTijdVan],"&lt;="&amp;($A235+2/24),tData[SEHTrajectPeriodeDatumTijdTotEnMet],"&gt;"&amp;($A235+2/24))</f>
        <v/>
      </c>
      <c r="G235" s="20">
        <f>COUNTIFS(tData[SEHTrajectPeriodeDatumTijdVan],"&lt;="&amp;($A235+3/24),tData[SEHTrajectPeriodeDatumTijdTotEnMet],"&gt;"&amp;($A235+3/24))</f>
        <v/>
      </c>
      <c r="H235" s="20">
        <f>COUNTIFS(tData[SEHTrajectPeriodeDatumTijdVan],"&lt;="&amp;($A235+4/24),tData[SEHTrajectPeriodeDatumTijdTotEnMet],"&gt;"&amp;($A235+4/24))</f>
        <v/>
      </c>
      <c r="I235" s="20">
        <f>COUNTIFS(tData[SEHTrajectPeriodeDatumTijdVan],"&lt;="&amp;($A235+5/24),tData[SEHTrajectPeriodeDatumTijdTotEnMet],"&gt;"&amp;($A235+5/24))</f>
        <v/>
      </c>
      <c r="J235" s="20">
        <f>COUNTIFS(tData[SEHTrajectPeriodeDatumTijdVan],"&lt;="&amp;($A235+6/24),tData[SEHTrajectPeriodeDatumTijdTotEnMet],"&gt;"&amp;($A235+6/24))</f>
        <v/>
      </c>
      <c r="K235" s="20">
        <f>COUNTIFS(tData[SEHTrajectPeriodeDatumTijdVan],"&lt;="&amp;($A235+7/24),tData[SEHTrajectPeriodeDatumTijdTotEnMet],"&gt;"&amp;($A235+7/24))</f>
        <v/>
      </c>
      <c r="L235" s="20">
        <f>COUNTIFS(tData[SEHTrajectPeriodeDatumTijdVan],"&lt;="&amp;($A235+8/24),tData[SEHTrajectPeriodeDatumTijdTotEnMet],"&gt;"&amp;($A235+8/24))</f>
        <v/>
      </c>
      <c r="M235" s="20">
        <f>COUNTIFS(tData[SEHTrajectPeriodeDatumTijdVan],"&lt;="&amp;($A235+9/24),tData[SEHTrajectPeriodeDatumTijdTotEnMet],"&gt;"&amp;($A235+9/24))</f>
        <v/>
      </c>
      <c r="N235" s="20">
        <f>COUNTIFS(tData[SEHTrajectPeriodeDatumTijdVan],"&lt;="&amp;($A235+10/24),tData[SEHTrajectPeriodeDatumTijdTotEnMet],"&gt;"&amp;($A235+10/24))</f>
        <v/>
      </c>
      <c r="O235" s="20">
        <f>COUNTIFS(tData[SEHTrajectPeriodeDatumTijdVan],"&lt;="&amp;($A235+11/24),tData[SEHTrajectPeriodeDatumTijdTotEnMet],"&gt;"&amp;($A235+11/24))</f>
        <v/>
      </c>
      <c r="P235" s="20">
        <f>COUNTIFS(tData[SEHTrajectPeriodeDatumTijdVan],"&lt;="&amp;($A235+12/24),tData[SEHTrajectPeriodeDatumTijdTotEnMet],"&gt;"&amp;($A235+12/24))</f>
        <v/>
      </c>
      <c r="Q235" s="20">
        <f>COUNTIFS(tData[SEHTrajectPeriodeDatumTijdVan],"&lt;="&amp;($A235+13/24),tData[SEHTrajectPeriodeDatumTijdTotEnMet],"&gt;"&amp;($A235+13/24))</f>
        <v/>
      </c>
      <c r="R235" s="20">
        <f>COUNTIFS(tData[SEHTrajectPeriodeDatumTijdVan],"&lt;="&amp;($A235+14/24),tData[SEHTrajectPeriodeDatumTijdTotEnMet],"&gt;"&amp;($A235+14/24))</f>
        <v/>
      </c>
      <c r="S235" s="20">
        <f>COUNTIFS(tData[SEHTrajectPeriodeDatumTijdVan],"&lt;="&amp;($A235+15/24),tData[SEHTrajectPeriodeDatumTijdTotEnMet],"&gt;"&amp;($A235+15/24))</f>
        <v/>
      </c>
      <c r="T235" s="20">
        <f>COUNTIFS(tData[SEHTrajectPeriodeDatumTijdVan],"&lt;="&amp;($A235+16/24),tData[SEHTrajectPeriodeDatumTijdTotEnMet],"&gt;"&amp;($A235+16/24))</f>
        <v/>
      </c>
      <c r="U235" s="20">
        <f>COUNTIFS(tData[SEHTrajectPeriodeDatumTijdVan],"&lt;="&amp;($A235+17/24),tData[SEHTrajectPeriodeDatumTijdTotEnMet],"&gt;"&amp;($A235+17/24))</f>
        <v/>
      </c>
      <c r="V235" s="20">
        <f>COUNTIFS(tData[SEHTrajectPeriodeDatumTijdVan],"&lt;="&amp;($A235+18/24),tData[SEHTrajectPeriodeDatumTijdTotEnMet],"&gt;"&amp;($A235+18/24))</f>
        <v/>
      </c>
      <c r="W235" s="20">
        <f>COUNTIFS(tData[SEHTrajectPeriodeDatumTijdVan],"&lt;="&amp;($A235+19/24),tData[SEHTrajectPeriodeDatumTijdTotEnMet],"&gt;"&amp;($A235+19/24))</f>
        <v/>
      </c>
      <c r="X235" s="20">
        <f>COUNTIFS(tData[SEHTrajectPeriodeDatumTijdVan],"&lt;="&amp;($A235+20/24),tData[SEHTrajectPeriodeDatumTijdTotEnMet],"&gt;"&amp;($A235+20/24))</f>
        <v/>
      </c>
      <c r="Y235" s="20">
        <f>COUNTIFS(tData[SEHTrajectPeriodeDatumTijdVan],"&lt;="&amp;($A235+21/24),tData[SEHTrajectPeriodeDatumTijdTotEnMet],"&gt;"&amp;($A235+21/24))</f>
        <v/>
      </c>
      <c r="Z235" s="20">
        <f>COUNTIFS(tData[SEHTrajectPeriodeDatumTijdVan],"&lt;="&amp;($A235+22/24),tData[SEHTrajectPeriodeDatumTijdTotEnMet],"&gt;"&amp;($A235+22/24))</f>
        <v/>
      </c>
      <c r="AA235" s="20">
        <f>COUNTIFS(tData[SEHTrajectPeriodeDatumTijdVan],"&lt;="&amp;($A235+23/24),tData[SEHTrajectPeriodeDatumTijdTotEnMet],"&gt;"&amp;($A235+23/24))</f>
        <v/>
      </c>
    </row>
    <row r="236">
      <c r="A236" s="19" t="n">
        <v>45524</v>
      </c>
      <c r="B236" s="15">
        <f>WEEKDAY($A236,2)</f>
        <v/>
      </c>
      <c r="C236" s="15">
        <f>IF(AND($A236&gt;=INT(Instellingen!$B$5),$A236&lt;=INT(Instellingen!$B$6)),1,0)</f>
        <v/>
      </c>
      <c r="D236" s="20">
        <f>COUNTIFS(tData[SEHTrajectPeriodeDatumTijdVan],"&lt;="&amp;($A236+0/24),tData[SEHTrajectPeriodeDatumTijdTotEnMet],"&gt;"&amp;($A236+0/24))</f>
        <v/>
      </c>
      <c r="E236" s="20">
        <f>COUNTIFS(tData[SEHTrajectPeriodeDatumTijdVan],"&lt;="&amp;($A236+1/24),tData[SEHTrajectPeriodeDatumTijdTotEnMet],"&gt;"&amp;($A236+1/24))</f>
        <v/>
      </c>
      <c r="F236" s="20">
        <f>COUNTIFS(tData[SEHTrajectPeriodeDatumTijdVan],"&lt;="&amp;($A236+2/24),tData[SEHTrajectPeriodeDatumTijdTotEnMet],"&gt;"&amp;($A236+2/24))</f>
        <v/>
      </c>
      <c r="G236" s="20">
        <f>COUNTIFS(tData[SEHTrajectPeriodeDatumTijdVan],"&lt;="&amp;($A236+3/24),tData[SEHTrajectPeriodeDatumTijdTotEnMet],"&gt;"&amp;($A236+3/24))</f>
        <v/>
      </c>
      <c r="H236" s="20">
        <f>COUNTIFS(tData[SEHTrajectPeriodeDatumTijdVan],"&lt;="&amp;($A236+4/24),tData[SEHTrajectPeriodeDatumTijdTotEnMet],"&gt;"&amp;($A236+4/24))</f>
        <v/>
      </c>
      <c r="I236" s="20">
        <f>COUNTIFS(tData[SEHTrajectPeriodeDatumTijdVan],"&lt;="&amp;($A236+5/24),tData[SEHTrajectPeriodeDatumTijdTotEnMet],"&gt;"&amp;($A236+5/24))</f>
        <v/>
      </c>
      <c r="J236" s="20">
        <f>COUNTIFS(tData[SEHTrajectPeriodeDatumTijdVan],"&lt;="&amp;($A236+6/24),tData[SEHTrajectPeriodeDatumTijdTotEnMet],"&gt;"&amp;($A236+6/24))</f>
        <v/>
      </c>
      <c r="K236" s="20">
        <f>COUNTIFS(tData[SEHTrajectPeriodeDatumTijdVan],"&lt;="&amp;($A236+7/24),tData[SEHTrajectPeriodeDatumTijdTotEnMet],"&gt;"&amp;($A236+7/24))</f>
        <v/>
      </c>
      <c r="L236" s="20">
        <f>COUNTIFS(tData[SEHTrajectPeriodeDatumTijdVan],"&lt;="&amp;($A236+8/24),tData[SEHTrajectPeriodeDatumTijdTotEnMet],"&gt;"&amp;($A236+8/24))</f>
        <v/>
      </c>
      <c r="M236" s="20">
        <f>COUNTIFS(tData[SEHTrajectPeriodeDatumTijdVan],"&lt;="&amp;($A236+9/24),tData[SEHTrajectPeriodeDatumTijdTotEnMet],"&gt;"&amp;($A236+9/24))</f>
        <v/>
      </c>
      <c r="N236" s="20">
        <f>COUNTIFS(tData[SEHTrajectPeriodeDatumTijdVan],"&lt;="&amp;($A236+10/24),tData[SEHTrajectPeriodeDatumTijdTotEnMet],"&gt;"&amp;($A236+10/24))</f>
        <v/>
      </c>
      <c r="O236" s="20">
        <f>COUNTIFS(tData[SEHTrajectPeriodeDatumTijdVan],"&lt;="&amp;($A236+11/24),tData[SEHTrajectPeriodeDatumTijdTotEnMet],"&gt;"&amp;($A236+11/24))</f>
        <v/>
      </c>
      <c r="P236" s="20">
        <f>COUNTIFS(tData[SEHTrajectPeriodeDatumTijdVan],"&lt;="&amp;($A236+12/24),tData[SEHTrajectPeriodeDatumTijdTotEnMet],"&gt;"&amp;($A236+12/24))</f>
        <v/>
      </c>
      <c r="Q236" s="20">
        <f>COUNTIFS(tData[SEHTrajectPeriodeDatumTijdVan],"&lt;="&amp;($A236+13/24),tData[SEHTrajectPeriodeDatumTijdTotEnMet],"&gt;"&amp;($A236+13/24))</f>
        <v/>
      </c>
      <c r="R236" s="20">
        <f>COUNTIFS(tData[SEHTrajectPeriodeDatumTijdVan],"&lt;="&amp;($A236+14/24),tData[SEHTrajectPeriodeDatumTijdTotEnMet],"&gt;"&amp;($A236+14/24))</f>
        <v/>
      </c>
      <c r="S236" s="20">
        <f>COUNTIFS(tData[SEHTrajectPeriodeDatumTijdVan],"&lt;="&amp;($A236+15/24),tData[SEHTrajectPeriodeDatumTijdTotEnMet],"&gt;"&amp;($A236+15/24))</f>
        <v/>
      </c>
      <c r="T236" s="20">
        <f>COUNTIFS(tData[SEHTrajectPeriodeDatumTijdVan],"&lt;="&amp;($A236+16/24),tData[SEHTrajectPeriodeDatumTijdTotEnMet],"&gt;"&amp;($A236+16/24))</f>
        <v/>
      </c>
      <c r="U236" s="20">
        <f>COUNTIFS(tData[SEHTrajectPeriodeDatumTijdVan],"&lt;="&amp;($A236+17/24),tData[SEHTrajectPeriodeDatumTijdTotEnMet],"&gt;"&amp;($A236+17/24))</f>
        <v/>
      </c>
      <c r="V236" s="20">
        <f>COUNTIFS(tData[SEHTrajectPeriodeDatumTijdVan],"&lt;="&amp;($A236+18/24),tData[SEHTrajectPeriodeDatumTijdTotEnMet],"&gt;"&amp;($A236+18/24))</f>
        <v/>
      </c>
      <c r="W236" s="20">
        <f>COUNTIFS(tData[SEHTrajectPeriodeDatumTijdVan],"&lt;="&amp;($A236+19/24),tData[SEHTrajectPeriodeDatumTijdTotEnMet],"&gt;"&amp;($A236+19/24))</f>
        <v/>
      </c>
      <c r="X236" s="20">
        <f>COUNTIFS(tData[SEHTrajectPeriodeDatumTijdVan],"&lt;="&amp;($A236+20/24),tData[SEHTrajectPeriodeDatumTijdTotEnMet],"&gt;"&amp;($A236+20/24))</f>
        <v/>
      </c>
      <c r="Y236" s="20">
        <f>COUNTIFS(tData[SEHTrajectPeriodeDatumTijdVan],"&lt;="&amp;($A236+21/24),tData[SEHTrajectPeriodeDatumTijdTotEnMet],"&gt;"&amp;($A236+21/24))</f>
        <v/>
      </c>
      <c r="Z236" s="20">
        <f>COUNTIFS(tData[SEHTrajectPeriodeDatumTijdVan],"&lt;="&amp;($A236+22/24),tData[SEHTrajectPeriodeDatumTijdTotEnMet],"&gt;"&amp;($A236+22/24))</f>
        <v/>
      </c>
      <c r="AA236" s="20">
        <f>COUNTIFS(tData[SEHTrajectPeriodeDatumTijdVan],"&lt;="&amp;($A236+23/24),tData[SEHTrajectPeriodeDatumTijdTotEnMet],"&gt;"&amp;($A236+23/24))</f>
        <v/>
      </c>
    </row>
    <row r="237">
      <c r="A237" s="19" t="n">
        <v>45525</v>
      </c>
      <c r="B237" s="15">
        <f>WEEKDAY($A237,2)</f>
        <v/>
      </c>
      <c r="C237" s="15">
        <f>IF(AND($A237&gt;=INT(Instellingen!$B$5),$A237&lt;=INT(Instellingen!$B$6)),1,0)</f>
        <v/>
      </c>
      <c r="D237" s="20">
        <f>COUNTIFS(tData[SEHTrajectPeriodeDatumTijdVan],"&lt;="&amp;($A237+0/24),tData[SEHTrajectPeriodeDatumTijdTotEnMet],"&gt;"&amp;($A237+0/24))</f>
        <v/>
      </c>
      <c r="E237" s="20">
        <f>COUNTIFS(tData[SEHTrajectPeriodeDatumTijdVan],"&lt;="&amp;($A237+1/24),tData[SEHTrajectPeriodeDatumTijdTotEnMet],"&gt;"&amp;($A237+1/24))</f>
        <v/>
      </c>
      <c r="F237" s="20">
        <f>COUNTIFS(tData[SEHTrajectPeriodeDatumTijdVan],"&lt;="&amp;($A237+2/24),tData[SEHTrajectPeriodeDatumTijdTotEnMet],"&gt;"&amp;($A237+2/24))</f>
        <v/>
      </c>
      <c r="G237" s="20">
        <f>COUNTIFS(tData[SEHTrajectPeriodeDatumTijdVan],"&lt;="&amp;($A237+3/24),tData[SEHTrajectPeriodeDatumTijdTotEnMet],"&gt;"&amp;($A237+3/24))</f>
        <v/>
      </c>
      <c r="H237" s="20">
        <f>COUNTIFS(tData[SEHTrajectPeriodeDatumTijdVan],"&lt;="&amp;($A237+4/24),tData[SEHTrajectPeriodeDatumTijdTotEnMet],"&gt;"&amp;($A237+4/24))</f>
        <v/>
      </c>
      <c r="I237" s="20">
        <f>COUNTIFS(tData[SEHTrajectPeriodeDatumTijdVan],"&lt;="&amp;($A237+5/24),tData[SEHTrajectPeriodeDatumTijdTotEnMet],"&gt;"&amp;($A237+5/24))</f>
        <v/>
      </c>
      <c r="J237" s="20">
        <f>COUNTIFS(tData[SEHTrajectPeriodeDatumTijdVan],"&lt;="&amp;($A237+6/24),tData[SEHTrajectPeriodeDatumTijdTotEnMet],"&gt;"&amp;($A237+6/24))</f>
        <v/>
      </c>
      <c r="K237" s="20">
        <f>COUNTIFS(tData[SEHTrajectPeriodeDatumTijdVan],"&lt;="&amp;($A237+7/24),tData[SEHTrajectPeriodeDatumTijdTotEnMet],"&gt;"&amp;($A237+7/24))</f>
        <v/>
      </c>
      <c r="L237" s="20">
        <f>COUNTIFS(tData[SEHTrajectPeriodeDatumTijdVan],"&lt;="&amp;($A237+8/24),tData[SEHTrajectPeriodeDatumTijdTotEnMet],"&gt;"&amp;($A237+8/24))</f>
        <v/>
      </c>
      <c r="M237" s="20">
        <f>COUNTIFS(tData[SEHTrajectPeriodeDatumTijdVan],"&lt;="&amp;($A237+9/24),tData[SEHTrajectPeriodeDatumTijdTotEnMet],"&gt;"&amp;($A237+9/24))</f>
        <v/>
      </c>
      <c r="N237" s="20">
        <f>COUNTIFS(tData[SEHTrajectPeriodeDatumTijdVan],"&lt;="&amp;($A237+10/24),tData[SEHTrajectPeriodeDatumTijdTotEnMet],"&gt;"&amp;($A237+10/24))</f>
        <v/>
      </c>
      <c r="O237" s="20">
        <f>COUNTIFS(tData[SEHTrajectPeriodeDatumTijdVan],"&lt;="&amp;($A237+11/24),tData[SEHTrajectPeriodeDatumTijdTotEnMet],"&gt;"&amp;($A237+11/24))</f>
        <v/>
      </c>
      <c r="P237" s="20">
        <f>COUNTIFS(tData[SEHTrajectPeriodeDatumTijdVan],"&lt;="&amp;($A237+12/24),tData[SEHTrajectPeriodeDatumTijdTotEnMet],"&gt;"&amp;($A237+12/24))</f>
        <v/>
      </c>
      <c r="Q237" s="20">
        <f>COUNTIFS(tData[SEHTrajectPeriodeDatumTijdVan],"&lt;="&amp;($A237+13/24),tData[SEHTrajectPeriodeDatumTijdTotEnMet],"&gt;"&amp;($A237+13/24))</f>
        <v/>
      </c>
      <c r="R237" s="20">
        <f>COUNTIFS(tData[SEHTrajectPeriodeDatumTijdVan],"&lt;="&amp;($A237+14/24),tData[SEHTrajectPeriodeDatumTijdTotEnMet],"&gt;"&amp;($A237+14/24))</f>
        <v/>
      </c>
      <c r="S237" s="20">
        <f>COUNTIFS(tData[SEHTrajectPeriodeDatumTijdVan],"&lt;="&amp;($A237+15/24),tData[SEHTrajectPeriodeDatumTijdTotEnMet],"&gt;"&amp;($A237+15/24))</f>
        <v/>
      </c>
      <c r="T237" s="20">
        <f>COUNTIFS(tData[SEHTrajectPeriodeDatumTijdVan],"&lt;="&amp;($A237+16/24),tData[SEHTrajectPeriodeDatumTijdTotEnMet],"&gt;"&amp;($A237+16/24))</f>
        <v/>
      </c>
      <c r="U237" s="20">
        <f>COUNTIFS(tData[SEHTrajectPeriodeDatumTijdVan],"&lt;="&amp;($A237+17/24),tData[SEHTrajectPeriodeDatumTijdTotEnMet],"&gt;"&amp;($A237+17/24))</f>
        <v/>
      </c>
      <c r="V237" s="20">
        <f>COUNTIFS(tData[SEHTrajectPeriodeDatumTijdVan],"&lt;="&amp;($A237+18/24),tData[SEHTrajectPeriodeDatumTijdTotEnMet],"&gt;"&amp;($A237+18/24))</f>
        <v/>
      </c>
      <c r="W237" s="20">
        <f>COUNTIFS(tData[SEHTrajectPeriodeDatumTijdVan],"&lt;="&amp;($A237+19/24),tData[SEHTrajectPeriodeDatumTijdTotEnMet],"&gt;"&amp;($A237+19/24))</f>
        <v/>
      </c>
      <c r="X237" s="20">
        <f>COUNTIFS(tData[SEHTrajectPeriodeDatumTijdVan],"&lt;="&amp;($A237+20/24),tData[SEHTrajectPeriodeDatumTijdTotEnMet],"&gt;"&amp;($A237+20/24))</f>
        <v/>
      </c>
      <c r="Y237" s="20">
        <f>COUNTIFS(tData[SEHTrajectPeriodeDatumTijdVan],"&lt;="&amp;($A237+21/24),tData[SEHTrajectPeriodeDatumTijdTotEnMet],"&gt;"&amp;($A237+21/24))</f>
        <v/>
      </c>
      <c r="Z237" s="20">
        <f>COUNTIFS(tData[SEHTrajectPeriodeDatumTijdVan],"&lt;="&amp;($A237+22/24),tData[SEHTrajectPeriodeDatumTijdTotEnMet],"&gt;"&amp;($A237+22/24))</f>
        <v/>
      </c>
      <c r="AA237" s="20">
        <f>COUNTIFS(tData[SEHTrajectPeriodeDatumTijdVan],"&lt;="&amp;($A237+23/24),tData[SEHTrajectPeriodeDatumTijdTotEnMet],"&gt;"&amp;($A237+23/24))</f>
        <v/>
      </c>
    </row>
    <row r="238">
      <c r="A238" s="19" t="n">
        <v>45526</v>
      </c>
      <c r="B238" s="15">
        <f>WEEKDAY($A238,2)</f>
        <v/>
      </c>
      <c r="C238" s="15">
        <f>IF(AND($A238&gt;=INT(Instellingen!$B$5),$A238&lt;=INT(Instellingen!$B$6)),1,0)</f>
        <v/>
      </c>
      <c r="D238" s="20">
        <f>COUNTIFS(tData[SEHTrajectPeriodeDatumTijdVan],"&lt;="&amp;($A238+0/24),tData[SEHTrajectPeriodeDatumTijdTotEnMet],"&gt;"&amp;($A238+0/24))</f>
        <v/>
      </c>
      <c r="E238" s="20">
        <f>COUNTIFS(tData[SEHTrajectPeriodeDatumTijdVan],"&lt;="&amp;($A238+1/24),tData[SEHTrajectPeriodeDatumTijdTotEnMet],"&gt;"&amp;($A238+1/24))</f>
        <v/>
      </c>
      <c r="F238" s="20">
        <f>COUNTIFS(tData[SEHTrajectPeriodeDatumTijdVan],"&lt;="&amp;($A238+2/24),tData[SEHTrajectPeriodeDatumTijdTotEnMet],"&gt;"&amp;($A238+2/24))</f>
        <v/>
      </c>
      <c r="G238" s="20">
        <f>COUNTIFS(tData[SEHTrajectPeriodeDatumTijdVan],"&lt;="&amp;($A238+3/24),tData[SEHTrajectPeriodeDatumTijdTotEnMet],"&gt;"&amp;($A238+3/24))</f>
        <v/>
      </c>
      <c r="H238" s="20">
        <f>COUNTIFS(tData[SEHTrajectPeriodeDatumTijdVan],"&lt;="&amp;($A238+4/24),tData[SEHTrajectPeriodeDatumTijdTotEnMet],"&gt;"&amp;($A238+4/24))</f>
        <v/>
      </c>
      <c r="I238" s="20">
        <f>COUNTIFS(tData[SEHTrajectPeriodeDatumTijdVan],"&lt;="&amp;($A238+5/24),tData[SEHTrajectPeriodeDatumTijdTotEnMet],"&gt;"&amp;($A238+5/24))</f>
        <v/>
      </c>
      <c r="J238" s="20">
        <f>COUNTIFS(tData[SEHTrajectPeriodeDatumTijdVan],"&lt;="&amp;($A238+6/24),tData[SEHTrajectPeriodeDatumTijdTotEnMet],"&gt;"&amp;($A238+6/24))</f>
        <v/>
      </c>
      <c r="K238" s="20">
        <f>COUNTIFS(tData[SEHTrajectPeriodeDatumTijdVan],"&lt;="&amp;($A238+7/24),tData[SEHTrajectPeriodeDatumTijdTotEnMet],"&gt;"&amp;($A238+7/24))</f>
        <v/>
      </c>
      <c r="L238" s="20">
        <f>COUNTIFS(tData[SEHTrajectPeriodeDatumTijdVan],"&lt;="&amp;($A238+8/24),tData[SEHTrajectPeriodeDatumTijdTotEnMet],"&gt;"&amp;($A238+8/24))</f>
        <v/>
      </c>
      <c r="M238" s="20">
        <f>COUNTIFS(tData[SEHTrajectPeriodeDatumTijdVan],"&lt;="&amp;($A238+9/24),tData[SEHTrajectPeriodeDatumTijdTotEnMet],"&gt;"&amp;($A238+9/24))</f>
        <v/>
      </c>
      <c r="N238" s="20">
        <f>COUNTIFS(tData[SEHTrajectPeriodeDatumTijdVan],"&lt;="&amp;($A238+10/24),tData[SEHTrajectPeriodeDatumTijdTotEnMet],"&gt;"&amp;($A238+10/24))</f>
        <v/>
      </c>
      <c r="O238" s="20">
        <f>COUNTIFS(tData[SEHTrajectPeriodeDatumTijdVan],"&lt;="&amp;($A238+11/24),tData[SEHTrajectPeriodeDatumTijdTotEnMet],"&gt;"&amp;($A238+11/24))</f>
        <v/>
      </c>
      <c r="P238" s="20">
        <f>COUNTIFS(tData[SEHTrajectPeriodeDatumTijdVan],"&lt;="&amp;($A238+12/24),tData[SEHTrajectPeriodeDatumTijdTotEnMet],"&gt;"&amp;($A238+12/24))</f>
        <v/>
      </c>
      <c r="Q238" s="20">
        <f>COUNTIFS(tData[SEHTrajectPeriodeDatumTijdVan],"&lt;="&amp;($A238+13/24),tData[SEHTrajectPeriodeDatumTijdTotEnMet],"&gt;"&amp;($A238+13/24))</f>
        <v/>
      </c>
      <c r="R238" s="20">
        <f>COUNTIFS(tData[SEHTrajectPeriodeDatumTijdVan],"&lt;="&amp;($A238+14/24),tData[SEHTrajectPeriodeDatumTijdTotEnMet],"&gt;"&amp;($A238+14/24))</f>
        <v/>
      </c>
      <c r="S238" s="20">
        <f>COUNTIFS(tData[SEHTrajectPeriodeDatumTijdVan],"&lt;="&amp;($A238+15/24),tData[SEHTrajectPeriodeDatumTijdTotEnMet],"&gt;"&amp;($A238+15/24))</f>
        <v/>
      </c>
      <c r="T238" s="20">
        <f>COUNTIFS(tData[SEHTrajectPeriodeDatumTijdVan],"&lt;="&amp;($A238+16/24),tData[SEHTrajectPeriodeDatumTijdTotEnMet],"&gt;"&amp;($A238+16/24))</f>
        <v/>
      </c>
      <c r="U238" s="20">
        <f>COUNTIFS(tData[SEHTrajectPeriodeDatumTijdVan],"&lt;="&amp;($A238+17/24),tData[SEHTrajectPeriodeDatumTijdTotEnMet],"&gt;"&amp;($A238+17/24))</f>
        <v/>
      </c>
      <c r="V238" s="20">
        <f>COUNTIFS(tData[SEHTrajectPeriodeDatumTijdVan],"&lt;="&amp;($A238+18/24),tData[SEHTrajectPeriodeDatumTijdTotEnMet],"&gt;"&amp;($A238+18/24))</f>
        <v/>
      </c>
      <c r="W238" s="20">
        <f>COUNTIFS(tData[SEHTrajectPeriodeDatumTijdVan],"&lt;="&amp;($A238+19/24),tData[SEHTrajectPeriodeDatumTijdTotEnMet],"&gt;"&amp;($A238+19/24))</f>
        <v/>
      </c>
      <c r="X238" s="20">
        <f>COUNTIFS(tData[SEHTrajectPeriodeDatumTijdVan],"&lt;="&amp;($A238+20/24),tData[SEHTrajectPeriodeDatumTijdTotEnMet],"&gt;"&amp;($A238+20/24))</f>
        <v/>
      </c>
      <c r="Y238" s="20">
        <f>COUNTIFS(tData[SEHTrajectPeriodeDatumTijdVan],"&lt;="&amp;($A238+21/24),tData[SEHTrajectPeriodeDatumTijdTotEnMet],"&gt;"&amp;($A238+21/24))</f>
        <v/>
      </c>
      <c r="Z238" s="20">
        <f>COUNTIFS(tData[SEHTrajectPeriodeDatumTijdVan],"&lt;="&amp;($A238+22/24),tData[SEHTrajectPeriodeDatumTijdTotEnMet],"&gt;"&amp;($A238+22/24))</f>
        <v/>
      </c>
      <c r="AA238" s="20">
        <f>COUNTIFS(tData[SEHTrajectPeriodeDatumTijdVan],"&lt;="&amp;($A238+23/24),tData[SEHTrajectPeriodeDatumTijdTotEnMet],"&gt;"&amp;($A238+23/24))</f>
        <v/>
      </c>
    </row>
    <row r="239">
      <c r="A239" s="19" t="n">
        <v>45527</v>
      </c>
      <c r="B239" s="15">
        <f>WEEKDAY($A239,2)</f>
        <v/>
      </c>
      <c r="C239" s="15">
        <f>IF(AND($A239&gt;=INT(Instellingen!$B$5),$A239&lt;=INT(Instellingen!$B$6)),1,0)</f>
        <v/>
      </c>
      <c r="D239" s="20">
        <f>COUNTIFS(tData[SEHTrajectPeriodeDatumTijdVan],"&lt;="&amp;($A239+0/24),tData[SEHTrajectPeriodeDatumTijdTotEnMet],"&gt;"&amp;($A239+0/24))</f>
        <v/>
      </c>
      <c r="E239" s="20">
        <f>COUNTIFS(tData[SEHTrajectPeriodeDatumTijdVan],"&lt;="&amp;($A239+1/24),tData[SEHTrajectPeriodeDatumTijdTotEnMet],"&gt;"&amp;($A239+1/24))</f>
        <v/>
      </c>
      <c r="F239" s="20">
        <f>COUNTIFS(tData[SEHTrajectPeriodeDatumTijdVan],"&lt;="&amp;($A239+2/24),tData[SEHTrajectPeriodeDatumTijdTotEnMet],"&gt;"&amp;($A239+2/24))</f>
        <v/>
      </c>
      <c r="G239" s="20">
        <f>COUNTIFS(tData[SEHTrajectPeriodeDatumTijdVan],"&lt;="&amp;($A239+3/24),tData[SEHTrajectPeriodeDatumTijdTotEnMet],"&gt;"&amp;($A239+3/24))</f>
        <v/>
      </c>
      <c r="H239" s="20">
        <f>COUNTIFS(tData[SEHTrajectPeriodeDatumTijdVan],"&lt;="&amp;($A239+4/24),tData[SEHTrajectPeriodeDatumTijdTotEnMet],"&gt;"&amp;($A239+4/24))</f>
        <v/>
      </c>
      <c r="I239" s="20">
        <f>COUNTIFS(tData[SEHTrajectPeriodeDatumTijdVan],"&lt;="&amp;($A239+5/24),tData[SEHTrajectPeriodeDatumTijdTotEnMet],"&gt;"&amp;($A239+5/24))</f>
        <v/>
      </c>
      <c r="J239" s="20">
        <f>COUNTIFS(tData[SEHTrajectPeriodeDatumTijdVan],"&lt;="&amp;($A239+6/24),tData[SEHTrajectPeriodeDatumTijdTotEnMet],"&gt;"&amp;($A239+6/24))</f>
        <v/>
      </c>
      <c r="K239" s="20">
        <f>COUNTIFS(tData[SEHTrajectPeriodeDatumTijdVan],"&lt;="&amp;($A239+7/24),tData[SEHTrajectPeriodeDatumTijdTotEnMet],"&gt;"&amp;($A239+7/24))</f>
        <v/>
      </c>
      <c r="L239" s="20">
        <f>COUNTIFS(tData[SEHTrajectPeriodeDatumTijdVan],"&lt;="&amp;($A239+8/24),tData[SEHTrajectPeriodeDatumTijdTotEnMet],"&gt;"&amp;($A239+8/24))</f>
        <v/>
      </c>
      <c r="M239" s="20">
        <f>COUNTIFS(tData[SEHTrajectPeriodeDatumTijdVan],"&lt;="&amp;($A239+9/24),tData[SEHTrajectPeriodeDatumTijdTotEnMet],"&gt;"&amp;($A239+9/24))</f>
        <v/>
      </c>
      <c r="N239" s="20">
        <f>COUNTIFS(tData[SEHTrajectPeriodeDatumTijdVan],"&lt;="&amp;($A239+10/24),tData[SEHTrajectPeriodeDatumTijdTotEnMet],"&gt;"&amp;($A239+10/24))</f>
        <v/>
      </c>
      <c r="O239" s="20">
        <f>COUNTIFS(tData[SEHTrajectPeriodeDatumTijdVan],"&lt;="&amp;($A239+11/24),tData[SEHTrajectPeriodeDatumTijdTotEnMet],"&gt;"&amp;($A239+11/24))</f>
        <v/>
      </c>
      <c r="P239" s="20">
        <f>COUNTIFS(tData[SEHTrajectPeriodeDatumTijdVan],"&lt;="&amp;($A239+12/24),tData[SEHTrajectPeriodeDatumTijdTotEnMet],"&gt;"&amp;($A239+12/24))</f>
        <v/>
      </c>
      <c r="Q239" s="20">
        <f>COUNTIFS(tData[SEHTrajectPeriodeDatumTijdVan],"&lt;="&amp;($A239+13/24),tData[SEHTrajectPeriodeDatumTijdTotEnMet],"&gt;"&amp;($A239+13/24))</f>
        <v/>
      </c>
      <c r="R239" s="20">
        <f>COUNTIFS(tData[SEHTrajectPeriodeDatumTijdVan],"&lt;="&amp;($A239+14/24),tData[SEHTrajectPeriodeDatumTijdTotEnMet],"&gt;"&amp;($A239+14/24))</f>
        <v/>
      </c>
      <c r="S239" s="20">
        <f>COUNTIFS(tData[SEHTrajectPeriodeDatumTijdVan],"&lt;="&amp;($A239+15/24),tData[SEHTrajectPeriodeDatumTijdTotEnMet],"&gt;"&amp;($A239+15/24))</f>
        <v/>
      </c>
      <c r="T239" s="20">
        <f>COUNTIFS(tData[SEHTrajectPeriodeDatumTijdVan],"&lt;="&amp;($A239+16/24),tData[SEHTrajectPeriodeDatumTijdTotEnMet],"&gt;"&amp;($A239+16/24))</f>
        <v/>
      </c>
      <c r="U239" s="20">
        <f>COUNTIFS(tData[SEHTrajectPeriodeDatumTijdVan],"&lt;="&amp;($A239+17/24),tData[SEHTrajectPeriodeDatumTijdTotEnMet],"&gt;"&amp;($A239+17/24))</f>
        <v/>
      </c>
      <c r="V239" s="20">
        <f>COUNTIFS(tData[SEHTrajectPeriodeDatumTijdVan],"&lt;="&amp;($A239+18/24),tData[SEHTrajectPeriodeDatumTijdTotEnMet],"&gt;"&amp;($A239+18/24))</f>
        <v/>
      </c>
      <c r="W239" s="20">
        <f>COUNTIFS(tData[SEHTrajectPeriodeDatumTijdVan],"&lt;="&amp;($A239+19/24),tData[SEHTrajectPeriodeDatumTijdTotEnMet],"&gt;"&amp;($A239+19/24))</f>
        <v/>
      </c>
      <c r="X239" s="20">
        <f>COUNTIFS(tData[SEHTrajectPeriodeDatumTijdVan],"&lt;="&amp;($A239+20/24),tData[SEHTrajectPeriodeDatumTijdTotEnMet],"&gt;"&amp;($A239+20/24))</f>
        <v/>
      </c>
      <c r="Y239" s="20">
        <f>COUNTIFS(tData[SEHTrajectPeriodeDatumTijdVan],"&lt;="&amp;($A239+21/24),tData[SEHTrajectPeriodeDatumTijdTotEnMet],"&gt;"&amp;($A239+21/24))</f>
        <v/>
      </c>
      <c r="Z239" s="20">
        <f>COUNTIFS(tData[SEHTrajectPeriodeDatumTijdVan],"&lt;="&amp;($A239+22/24),tData[SEHTrajectPeriodeDatumTijdTotEnMet],"&gt;"&amp;($A239+22/24))</f>
        <v/>
      </c>
      <c r="AA239" s="20">
        <f>COUNTIFS(tData[SEHTrajectPeriodeDatumTijdVan],"&lt;="&amp;($A239+23/24),tData[SEHTrajectPeriodeDatumTijdTotEnMet],"&gt;"&amp;($A239+23/24))</f>
        <v/>
      </c>
    </row>
    <row r="240">
      <c r="A240" s="19" t="n">
        <v>45528</v>
      </c>
      <c r="B240" s="15">
        <f>WEEKDAY($A240,2)</f>
        <v/>
      </c>
      <c r="C240" s="15">
        <f>IF(AND($A240&gt;=INT(Instellingen!$B$5),$A240&lt;=INT(Instellingen!$B$6)),1,0)</f>
        <v/>
      </c>
      <c r="D240" s="20">
        <f>COUNTIFS(tData[SEHTrajectPeriodeDatumTijdVan],"&lt;="&amp;($A240+0/24),tData[SEHTrajectPeriodeDatumTijdTotEnMet],"&gt;"&amp;($A240+0/24))</f>
        <v/>
      </c>
      <c r="E240" s="20">
        <f>COUNTIFS(tData[SEHTrajectPeriodeDatumTijdVan],"&lt;="&amp;($A240+1/24),tData[SEHTrajectPeriodeDatumTijdTotEnMet],"&gt;"&amp;($A240+1/24))</f>
        <v/>
      </c>
      <c r="F240" s="20">
        <f>COUNTIFS(tData[SEHTrajectPeriodeDatumTijdVan],"&lt;="&amp;($A240+2/24),tData[SEHTrajectPeriodeDatumTijdTotEnMet],"&gt;"&amp;($A240+2/24))</f>
        <v/>
      </c>
      <c r="G240" s="20">
        <f>COUNTIFS(tData[SEHTrajectPeriodeDatumTijdVan],"&lt;="&amp;($A240+3/24),tData[SEHTrajectPeriodeDatumTijdTotEnMet],"&gt;"&amp;($A240+3/24))</f>
        <v/>
      </c>
      <c r="H240" s="20">
        <f>COUNTIFS(tData[SEHTrajectPeriodeDatumTijdVan],"&lt;="&amp;($A240+4/24),tData[SEHTrajectPeriodeDatumTijdTotEnMet],"&gt;"&amp;($A240+4/24))</f>
        <v/>
      </c>
      <c r="I240" s="20">
        <f>COUNTIFS(tData[SEHTrajectPeriodeDatumTijdVan],"&lt;="&amp;($A240+5/24),tData[SEHTrajectPeriodeDatumTijdTotEnMet],"&gt;"&amp;($A240+5/24))</f>
        <v/>
      </c>
      <c r="J240" s="20">
        <f>COUNTIFS(tData[SEHTrajectPeriodeDatumTijdVan],"&lt;="&amp;($A240+6/24),tData[SEHTrajectPeriodeDatumTijdTotEnMet],"&gt;"&amp;($A240+6/24))</f>
        <v/>
      </c>
      <c r="K240" s="20">
        <f>COUNTIFS(tData[SEHTrajectPeriodeDatumTijdVan],"&lt;="&amp;($A240+7/24),tData[SEHTrajectPeriodeDatumTijdTotEnMet],"&gt;"&amp;($A240+7/24))</f>
        <v/>
      </c>
      <c r="L240" s="20">
        <f>COUNTIFS(tData[SEHTrajectPeriodeDatumTijdVan],"&lt;="&amp;($A240+8/24),tData[SEHTrajectPeriodeDatumTijdTotEnMet],"&gt;"&amp;($A240+8/24))</f>
        <v/>
      </c>
      <c r="M240" s="20">
        <f>COUNTIFS(tData[SEHTrajectPeriodeDatumTijdVan],"&lt;="&amp;($A240+9/24),tData[SEHTrajectPeriodeDatumTijdTotEnMet],"&gt;"&amp;($A240+9/24))</f>
        <v/>
      </c>
      <c r="N240" s="20">
        <f>COUNTIFS(tData[SEHTrajectPeriodeDatumTijdVan],"&lt;="&amp;($A240+10/24),tData[SEHTrajectPeriodeDatumTijdTotEnMet],"&gt;"&amp;($A240+10/24))</f>
        <v/>
      </c>
      <c r="O240" s="20">
        <f>COUNTIFS(tData[SEHTrajectPeriodeDatumTijdVan],"&lt;="&amp;($A240+11/24),tData[SEHTrajectPeriodeDatumTijdTotEnMet],"&gt;"&amp;($A240+11/24))</f>
        <v/>
      </c>
      <c r="P240" s="20">
        <f>COUNTIFS(tData[SEHTrajectPeriodeDatumTijdVan],"&lt;="&amp;($A240+12/24),tData[SEHTrajectPeriodeDatumTijdTotEnMet],"&gt;"&amp;($A240+12/24))</f>
        <v/>
      </c>
      <c r="Q240" s="20">
        <f>COUNTIFS(tData[SEHTrajectPeriodeDatumTijdVan],"&lt;="&amp;($A240+13/24),tData[SEHTrajectPeriodeDatumTijdTotEnMet],"&gt;"&amp;($A240+13/24))</f>
        <v/>
      </c>
      <c r="R240" s="20">
        <f>COUNTIFS(tData[SEHTrajectPeriodeDatumTijdVan],"&lt;="&amp;($A240+14/24),tData[SEHTrajectPeriodeDatumTijdTotEnMet],"&gt;"&amp;($A240+14/24))</f>
        <v/>
      </c>
      <c r="S240" s="20">
        <f>COUNTIFS(tData[SEHTrajectPeriodeDatumTijdVan],"&lt;="&amp;($A240+15/24),tData[SEHTrajectPeriodeDatumTijdTotEnMet],"&gt;"&amp;($A240+15/24))</f>
        <v/>
      </c>
      <c r="T240" s="20">
        <f>COUNTIFS(tData[SEHTrajectPeriodeDatumTijdVan],"&lt;="&amp;($A240+16/24),tData[SEHTrajectPeriodeDatumTijdTotEnMet],"&gt;"&amp;($A240+16/24))</f>
        <v/>
      </c>
      <c r="U240" s="20">
        <f>COUNTIFS(tData[SEHTrajectPeriodeDatumTijdVan],"&lt;="&amp;($A240+17/24),tData[SEHTrajectPeriodeDatumTijdTotEnMet],"&gt;"&amp;($A240+17/24))</f>
        <v/>
      </c>
      <c r="V240" s="20">
        <f>COUNTIFS(tData[SEHTrajectPeriodeDatumTijdVan],"&lt;="&amp;($A240+18/24),tData[SEHTrajectPeriodeDatumTijdTotEnMet],"&gt;"&amp;($A240+18/24))</f>
        <v/>
      </c>
      <c r="W240" s="20">
        <f>COUNTIFS(tData[SEHTrajectPeriodeDatumTijdVan],"&lt;="&amp;($A240+19/24),tData[SEHTrajectPeriodeDatumTijdTotEnMet],"&gt;"&amp;($A240+19/24))</f>
        <v/>
      </c>
      <c r="X240" s="20">
        <f>COUNTIFS(tData[SEHTrajectPeriodeDatumTijdVan],"&lt;="&amp;($A240+20/24),tData[SEHTrajectPeriodeDatumTijdTotEnMet],"&gt;"&amp;($A240+20/24))</f>
        <v/>
      </c>
      <c r="Y240" s="20">
        <f>COUNTIFS(tData[SEHTrajectPeriodeDatumTijdVan],"&lt;="&amp;($A240+21/24),tData[SEHTrajectPeriodeDatumTijdTotEnMet],"&gt;"&amp;($A240+21/24))</f>
        <v/>
      </c>
      <c r="Z240" s="20">
        <f>COUNTIFS(tData[SEHTrajectPeriodeDatumTijdVan],"&lt;="&amp;($A240+22/24),tData[SEHTrajectPeriodeDatumTijdTotEnMet],"&gt;"&amp;($A240+22/24))</f>
        <v/>
      </c>
      <c r="AA240" s="20">
        <f>COUNTIFS(tData[SEHTrajectPeriodeDatumTijdVan],"&lt;="&amp;($A240+23/24),tData[SEHTrajectPeriodeDatumTijdTotEnMet],"&gt;"&amp;($A240+23/24))</f>
        <v/>
      </c>
    </row>
    <row r="241">
      <c r="A241" s="19" t="n">
        <v>45529</v>
      </c>
      <c r="B241" s="15">
        <f>WEEKDAY($A241,2)</f>
        <v/>
      </c>
      <c r="C241" s="15">
        <f>IF(AND($A241&gt;=INT(Instellingen!$B$5),$A241&lt;=INT(Instellingen!$B$6)),1,0)</f>
        <v/>
      </c>
      <c r="D241" s="20">
        <f>COUNTIFS(tData[SEHTrajectPeriodeDatumTijdVan],"&lt;="&amp;($A241+0/24),tData[SEHTrajectPeriodeDatumTijdTotEnMet],"&gt;"&amp;($A241+0/24))</f>
        <v/>
      </c>
      <c r="E241" s="20">
        <f>COUNTIFS(tData[SEHTrajectPeriodeDatumTijdVan],"&lt;="&amp;($A241+1/24),tData[SEHTrajectPeriodeDatumTijdTotEnMet],"&gt;"&amp;($A241+1/24))</f>
        <v/>
      </c>
      <c r="F241" s="20">
        <f>COUNTIFS(tData[SEHTrajectPeriodeDatumTijdVan],"&lt;="&amp;($A241+2/24),tData[SEHTrajectPeriodeDatumTijdTotEnMet],"&gt;"&amp;($A241+2/24))</f>
        <v/>
      </c>
      <c r="G241" s="20">
        <f>COUNTIFS(tData[SEHTrajectPeriodeDatumTijdVan],"&lt;="&amp;($A241+3/24),tData[SEHTrajectPeriodeDatumTijdTotEnMet],"&gt;"&amp;($A241+3/24))</f>
        <v/>
      </c>
      <c r="H241" s="20">
        <f>COUNTIFS(tData[SEHTrajectPeriodeDatumTijdVan],"&lt;="&amp;($A241+4/24),tData[SEHTrajectPeriodeDatumTijdTotEnMet],"&gt;"&amp;($A241+4/24))</f>
        <v/>
      </c>
      <c r="I241" s="20">
        <f>COUNTIFS(tData[SEHTrajectPeriodeDatumTijdVan],"&lt;="&amp;($A241+5/24),tData[SEHTrajectPeriodeDatumTijdTotEnMet],"&gt;"&amp;($A241+5/24))</f>
        <v/>
      </c>
      <c r="J241" s="20">
        <f>COUNTIFS(tData[SEHTrajectPeriodeDatumTijdVan],"&lt;="&amp;($A241+6/24),tData[SEHTrajectPeriodeDatumTijdTotEnMet],"&gt;"&amp;($A241+6/24))</f>
        <v/>
      </c>
      <c r="K241" s="20">
        <f>COUNTIFS(tData[SEHTrajectPeriodeDatumTijdVan],"&lt;="&amp;($A241+7/24),tData[SEHTrajectPeriodeDatumTijdTotEnMet],"&gt;"&amp;($A241+7/24))</f>
        <v/>
      </c>
      <c r="L241" s="20">
        <f>COUNTIFS(tData[SEHTrajectPeriodeDatumTijdVan],"&lt;="&amp;($A241+8/24),tData[SEHTrajectPeriodeDatumTijdTotEnMet],"&gt;"&amp;($A241+8/24))</f>
        <v/>
      </c>
      <c r="M241" s="20">
        <f>COUNTIFS(tData[SEHTrajectPeriodeDatumTijdVan],"&lt;="&amp;($A241+9/24),tData[SEHTrajectPeriodeDatumTijdTotEnMet],"&gt;"&amp;($A241+9/24))</f>
        <v/>
      </c>
      <c r="N241" s="20">
        <f>COUNTIFS(tData[SEHTrajectPeriodeDatumTijdVan],"&lt;="&amp;($A241+10/24),tData[SEHTrajectPeriodeDatumTijdTotEnMet],"&gt;"&amp;($A241+10/24))</f>
        <v/>
      </c>
      <c r="O241" s="20">
        <f>COUNTIFS(tData[SEHTrajectPeriodeDatumTijdVan],"&lt;="&amp;($A241+11/24),tData[SEHTrajectPeriodeDatumTijdTotEnMet],"&gt;"&amp;($A241+11/24))</f>
        <v/>
      </c>
      <c r="P241" s="20">
        <f>COUNTIFS(tData[SEHTrajectPeriodeDatumTijdVan],"&lt;="&amp;($A241+12/24),tData[SEHTrajectPeriodeDatumTijdTotEnMet],"&gt;"&amp;($A241+12/24))</f>
        <v/>
      </c>
      <c r="Q241" s="20">
        <f>COUNTIFS(tData[SEHTrajectPeriodeDatumTijdVan],"&lt;="&amp;($A241+13/24),tData[SEHTrajectPeriodeDatumTijdTotEnMet],"&gt;"&amp;($A241+13/24))</f>
        <v/>
      </c>
      <c r="R241" s="20">
        <f>COUNTIFS(tData[SEHTrajectPeriodeDatumTijdVan],"&lt;="&amp;($A241+14/24),tData[SEHTrajectPeriodeDatumTijdTotEnMet],"&gt;"&amp;($A241+14/24))</f>
        <v/>
      </c>
      <c r="S241" s="20">
        <f>COUNTIFS(tData[SEHTrajectPeriodeDatumTijdVan],"&lt;="&amp;($A241+15/24),tData[SEHTrajectPeriodeDatumTijdTotEnMet],"&gt;"&amp;($A241+15/24))</f>
        <v/>
      </c>
      <c r="T241" s="20">
        <f>COUNTIFS(tData[SEHTrajectPeriodeDatumTijdVan],"&lt;="&amp;($A241+16/24),tData[SEHTrajectPeriodeDatumTijdTotEnMet],"&gt;"&amp;($A241+16/24))</f>
        <v/>
      </c>
      <c r="U241" s="20">
        <f>COUNTIFS(tData[SEHTrajectPeriodeDatumTijdVan],"&lt;="&amp;($A241+17/24),tData[SEHTrajectPeriodeDatumTijdTotEnMet],"&gt;"&amp;($A241+17/24))</f>
        <v/>
      </c>
      <c r="V241" s="20">
        <f>COUNTIFS(tData[SEHTrajectPeriodeDatumTijdVan],"&lt;="&amp;($A241+18/24),tData[SEHTrajectPeriodeDatumTijdTotEnMet],"&gt;"&amp;($A241+18/24))</f>
        <v/>
      </c>
      <c r="W241" s="20">
        <f>COUNTIFS(tData[SEHTrajectPeriodeDatumTijdVan],"&lt;="&amp;($A241+19/24),tData[SEHTrajectPeriodeDatumTijdTotEnMet],"&gt;"&amp;($A241+19/24))</f>
        <v/>
      </c>
      <c r="X241" s="20">
        <f>COUNTIFS(tData[SEHTrajectPeriodeDatumTijdVan],"&lt;="&amp;($A241+20/24),tData[SEHTrajectPeriodeDatumTijdTotEnMet],"&gt;"&amp;($A241+20/24))</f>
        <v/>
      </c>
      <c r="Y241" s="20">
        <f>COUNTIFS(tData[SEHTrajectPeriodeDatumTijdVan],"&lt;="&amp;($A241+21/24),tData[SEHTrajectPeriodeDatumTijdTotEnMet],"&gt;"&amp;($A241+21/24))</f>
        <v/>
      </c>
      <c r="Z241" s="20">
        <f>COUNTIFS(tData[SEHTrajectPeriodeDatumTijdVan],"&lt;="&amp;($A241+22/24),tData[SEHTrajectPeriodeDatumTijdTotEnMet],"&gt;"&amp;($A241+22/24))</f>
        <v/>
      </c>
      <c r="AA241" s="20">
        <f>COUNTIFS(tData[SEHTrajectPeriodeDatumTijdVan],"&lt;="&amp;($A241+23/24),tData[SEHTrajectPeriodeDatumTijdTotEnMet],"&gt;"&amp;($A241+23/24))</f>
        <v/>
      </c>
    </row>
    <row r="242">
      <c r="A242" s="19" t="n">
        <v>45530</v>
      </c>
      <c r="B242" s="15">
        <f>WEEKDAY($A242,2)</f>
        <v/>
      </c>
      <c r="C242" s="15">
        <f>IF(AND($A242&gt;=INT(Instellingen!$B$5),$A242&lt;=INT(Instellingen!$B$6)),1,0)</f>
        <v/>
      </c>
      <c r="D242" s="20">
        <f>COUNTIFS(tData[SEHTrajectPeriodeDatumTijdVan],"&lt;="&amp;($A242+0/24),tData[SEHTrajectPeriodeDatumTijdTotEnMet],"&gt;"&amp;($A242+0/24))</f>
        <v/>
      </c>
      <c r="E242" s="20">
        <f>COUNTIFS(tData[SEHTrajectPeriodeDatumTijdVan],"&lt;="&amp;($A242+1/24),tData[SEHTrajectPeriodeDatumTijdTotEnMet],"&gt;"&amp;($A242+1/24))</f>
        <v/>
      </c>
      <c r="F242" s="20">
        <f>COUNTIFS(tData[SEHTrajectPeriodeDatumTijdVan],"&lt;="&amp;($A242+2/24),tData[SEHTrajectPeriodeDatumTijdTotEnMet],"&gt;"&amp;($A242+2/24))</f>
        <v/>
      </c>
      <c r="G242" s="20">
        <f>COUNTIFS(tData[SEHTrajectPeriodeDatumTijdVan],"&lt;="&amp;($A242+3/24),tData[SEHTrajectPeriodeDatumTijdTotEnMet],"&gt;"&amp;($A242+3/24))</f>
        <v/>
      </c>
      <c r="H242" s="20">
        <f>COUNTIFS(tData[SEHTrajectPeriodeDatumTijdVan],"&lt;="&amp;($A242+4/24),tData[SEHTrajectPeriodeDatumTijdTotEnMet],"&gt;"&amp;($A242+4/24))</f>
        <v/>
      </c>
      <c r="I242" s="20">
        <f>COUNTIFS(tData[SEHTrajectPeriodeDatumTijdVan],"&lt;="&amp;($A242+5/24),tData[SEHTrajectPeriodeDatumTijdTotEnMet],"&gt;"&amp;($A242+5/24))</f>
        <v/>
      </c>
      <c r="J242" s="20">
        <f>COUNTIFS(tData[SEHTrajectPeriodeDatumTijdVan],"&lt;="&amp;($A242+6/24),tData[SEHTrajectPeriodeDatumTijdTotEnMet],"&gt;"&amp;($A242+6/24))</f>
        <v/>
      </c>
      <c r="K242" s="20">
        <f>COUNTIFS(tData[SEHTrajectPeriodeDatumTijdVan],"&lt;="&amp;($A242+7/24),tData[SEHTrajectPeriodeDatumTijdTotEnMet],"&gt;"&amp;($A242+7/24))</f>
        <v/>
      </c>
      <c r="L242" s="20">
        <f>COUNTIFS(tData[SEHTrajectPeriodeDatumTijdVan],"&lt;="&amp;($A242+8/24),tData[SEHTrajectPeriodeDatumTijdTotEnMet],"&gt;"&amp;($A242+8/24))</f>
        <v/>
      </c>
      <c r="M242" s="20">
        <f>COUNTIFS(tData[SEHTrajectPeriodeDatumTijdVan],"&lt;="&amp;($A242+9/24),tData[SEHTrajectPeriodeDatumTijdTotEnMet],"&gt;"&amp;($A242+9/24))</f>
        <v/>
      </c>
      <c r="N242" s="20">
        <f>COUNTIFS(tData[SEHTrajectPeriodeDatumTijdVan],"&lt;="&amp;($A242+10/24),tData[SEHTrajectPeriodeDatumTijdTotEnMet],"&gt;"&amp;($A242+10/24))</f>
        <v/>
      </c>
      <c r="O242" s="20">
        <f>COUNTIFS(tData[SEHTrajectPeriodeDatumTijdVan],"&lt;="&amp;($A242+11/24),tData[SEHTrajectPeriodeDatumTijdTotEnMet],"&gt;"&amp;($A242+11/24))</f>
        <v/>
      </c>
      <c r="P242" s="20">
        <f>COUNTIFS(tData[SEHTrajectPeriodeDatumTijdVan],"&lt;="&amp;($A242+12/24),tData[SEHTrajectPeriodeDatumTijdTotEnMet],"&gt;"&amp;($A242+12/24))</f>
        <v/>
      </c>
      <c r="Q242" s="20">
        <f>COUNTIFS(tData[SEHTrajectPeriodeDatumTijdVan],"&lt;="&amp;($A242+13/24),tData[SEHTrajectPeriodeDatumTijdTotEnMet],"&gt;"&amp;($A242+13/24))</f>
        <v/>
      </c>
      <c r="R242" s="20">
        <f>COUNTIFS(tData[SEHTrajectPeriodeDatumTijdVan],"&lt;="&amp;($A242+14/24),tData[SEHTrajectPeriodeDatumTijdTotEnMet],"&gt;"&amp;($A242+14/24))</f>
        <v/>
      </c>
      <c r="S242" s="20">
        <f>COUNTIFS(tData[SEHTrajectPeriodeDatumTijdVan],"&lt;="&amp;($A242+15/24),tData[SEHTrajectPeriodeDatumTijdTotEnMet],"&gt;"&amp;($A242+15/24))</f>
        <v/>
      </c>
      <c r="T242" s="20">
        <f>COUNTIFS(tData[SEHTrajectPeriodeDatumTijdVan],"&lt;="&amp;($A242+16/24),tData[SEHTrajectPeriodeDatumTijdTotEnMet],"&gt;"&amp;($A242+16/24))</f>
        <v/>
      </c>
      <c r="U242" s="20">
        <f>COUNTIFS(tData[SEHTrajectPeriodeDatumTijdVan],"&lt;="&amp;($A242+17/24),tData[SEHTrajectPeriodeDatumTijdTotEnMet],"&gt;"&amp;($A242+17/24))</f>
        <v/>
      </c>
      <c r="V242" s="20">
        <f>COUNTIFS(tData[SEHTrajectPeriodeDatumTijdVan],"&lt;="&amp;($A242+18/24),tData[SEHTrajectPeriodeDatumTijdTotEnMet],"&gt;"&amp;($A242+18/24))</f>
        <v/>
      </c>
      <c r="W242" s="20">
        <f>COUNTIFS(tData[SEHTrajectPeriodeDatumTijdVan],"&lt;="&amp;($A242+19/24),tData[SEHTrajectPeriodeDatumTijdTotEnMet],"&gt;"&amp;($A242+19/24))</f>
        <v/>
      </c>
      <c r="X242" s="20">
        <f>COUNTIFS(tData[SEHTrajectPeriodeDatumTijdVan],"&lt;="&amp;($A242+20/24),tData[SEHTrajectPeriodeDatumTijdTotEnMet],"&gt;"&amp;($A242+20/24))</f>
        <v/>
      </c>
      <c r="Y242" s="20">
        <f>COUNTIFS(tData[SEHTrajectPeriodeDatumTijdVan],"&lt;="&amp;($A242+21/24),tData[SEHTrajectPeriodeDatumTijdTotEnMet],"&gt;"&amp;($A242+21/24))</f>
        <v/>
      </c>
      <c r="Z242" s="20">
        <f>COUNTIFS(tData[SEHTrajectPeriodeDatumTijdVan],"&lt;="&amp;($A242+22/24),tData[SEHTrajectPeriodeDatumTijdTotEnMet],"&gt;"&amp;($A242+22/24))</f>
        <v/>
      </c>
      <c r="AA242" s="20">
        <f>COUNTIFS(tData[SEHTrajectPeriodeDatumTijdVan],"&lt;="&amp;($A242+23/24),tData[SEHTrajectPeriodeDatumTijdTotEnMet],"&gt;"&amp;($A242+23/24))</f>
        <v/>
      </c>
    </row>
    <row r="243">
      <c r="A243" s="19" t="n">
        <v>45531</v>
      </c>
      <c r="B243" s="15">
        <f>WEEKDAY($A243,2)</f>
        <v/>
      </c>
      <c r="C243" s="15">
        <f>IF(AND($A243&gt;=INT(Instellingen!$B$5),$A243&lt;=INT(Instellingen!$B$6)),1,0)</f>
        <v/>
      </c>
      <c r="D243" s="20">
        <f>COUNTIFS(tData[SEHTrajectPeriodeDatumTijdVan],"&lt;="&amp;($A243+0/24),tData[SEHTrajectPeriodeDatumTijdTotEnMet],"&gt;"&amp;($A243+0/24))</f>
        <v/>
      </c>
      <c r="E243" s="20">
        <f>COUNTIFS(tData[SEHTrajectPeriodeDatumTijdVan],"&lt;="&amp;($A243+1/24),tData[SEHTrajectPeriodeDatumTijdTotEnMet],"&gt;"&amp;($A243+1/24))</f>
        <v/>
      </c>
      <c r="F243" s="20">
        <f>COUNTIFS(tData[SEHTrajectPeriodeDatumTijdVan],"&lt;="&amp;($A243+2/24),tData[SEHTrajectPeriodeDatumTijdTotEnMet],"&gt;"&amp;($A243+2/24))</f>
        <v/>
      </c>
      <c r="G243" s="20">
        <f>COUNTIFS(tData[SEHTrajectPeriodeDatumTijdVan],"&lt;="&amp;($A243+3/24),tData[SEHTrajectPeriodeDatumTijdTotEnMet],"&gt;"&amp;($A243+3/24))</f>
        <v/>
      </c>
      <c r="H243" s="20">
        <f>COUNTIFS(tData[SEHTrajectPeriodeDatumTijdVan],"&lt;="&amp;($A243+4/24),tData[SEHTrajectPeriodeDatumTijdTotEnMet],"&gt;"&amp;($A243+4/24))</f>
        <v/>
      </c>
      <c r="I243" s="20">
        <f>COUNTIFS(tData[SEHTrajectPeriodeDatumTijdVan],"&lt;="&amp;($A243+5/24),tData[SEHTrajectPeriodeDatumTijdTotEnMet],"&gt;"&amp;($A243+5/24))</f>
        <v/>
      </c>
      <c r="J243" s="20">
        <f>COUNTIFS(tData[SEHTrajectPeriodeDatumTijdVan],"&lt;="&amp;($A243+6/24),tData[SEHTrajectPeriodeDatumTijdTotEnMet],"&gt;"&amp;($A243+6/24))</f>
        <v/>
      </c>
      <c r="K243" s="20">
        <f>COUNTIFS(tData[SEHTrajectPeriodeDatumTijdVan],"&lt;="&amp;($A243+7/24),tData[SEHTrajectPeriodeDatumTijdTotEnMet],"&gt;"&amp;($A243+7/24))</f>
        <v/>
      </c>
      <c r="L243" s="20">
        <f>COUNTIFS(tData[SEHTrajectPeriodeDatumTijdVan],"&lt;="&amp;($A243+8/24),tData[SEHTrajectPeriodeDatumTijdTotEnMet],"&gt;"&amp;($A243+8/24))</f>
        <v/>
      </c>
      <c r="M243" s="20">
        <f>COUNTIFS(tData[SEHTrajectPeriodeDatumTijdVan],"&lt;="&amp;($A243+9/24),tData[SEHTrajectPeriodeDatumTijdTotEnMet],"&gt;"&amp;($A243+9/24))</f>
        <v/>
      </c>
      <c r="N243" s="20">
        <f>COUNTIFS(tData[SEHTrajectPeriodeDatumTijdVan],"&lt;="&amp;($A243+10/24),tData[SEHTrajectPeriodeDatumTijdTotEnMet],"&gt;"&amp;($A243+10/24))</f>
        <v/>
      </c>
      <c r="O243" s="20">
        <f>COUNTIFS(tData[SEHTrajectPeriodeDatumTijdVan],"&lt;="&amp;($A243+11/24),tData[SEHTrajectPeriodeDatumTijdTotEnMet],"&gt;"&amp;($A243+11/24))</f>
        <v/>
      </c>
      <c r="P243" s="20">
        <f>COUNTIFS(tData[SEHTrajectPeriodeDatumTijdVan],"&lt;="&amp;($A243+12/24),tData[SEHTrajectPeriodeDatumTijdTotEnMet],"&gt;"&amp;($A243+12/24))</f>
        <v/>
      </c>
      <c r="Q243" s="20">
        <f>COUNTIFS(tData[SEHTrajectPeriodeDatumTijdVan],"&lt;="&amp;($A243+13/24),tData[SEHTrajectPeriodeDatumTijdTotEnMet],"&gt;"&amp;($A243+13/24))</f>
        <v/>
      </c>
      <c r="R243" s="20">
        <f>COUNTIFS(tData[SEHTrajectPeriodeDatumTijdVan],"&lt;="&amp;($A243+14/24),tData[SEHTrajectPeriodeDatumTijdTotEnMet],"&gt;"&amp;($A243+14/24))</f>
        <v/>
      </c>
      <c r="S243" s="20">
        <f>COUNTIFS(tData[SEHTrajectPeriodeDatumTijdVan],"&lt;="&amp;($A243+15/24),tData[SEHTrajectPeriodeDatumTijdTotEnMet],"&gt;"&amp;($A243+15/24))</f>
        <v/>
      </c>
      <c r="T243" s="20">
        <f>COUNTIFS(tData[SEHTrajectPeriodeDatumTijdVan],"&lt;="&amp;($A243+16/24),tData[SEHTrajectPeriodeDatumTijdTotEnMet],"&gt;"&amp;($A243+16/24))</f>
        <v/>
      </c>
      <c r="U243" s="20">
        <f>COUNTIFS(tData[SEHTrajectPeriodeDatumTijdVan],"&lt;="&amp;($A243+17/24),tData[SEHTrajectPeriodeDatumTijdTotEnMet],"&gt;"&amp;($A243+17/24))</f>
        <v/>
      </c>
      <c r="V243" s="20">
        <f>COUNTIFS(tData[SEHTrajectPeriodeDatumTijdVan],"&lt;="&amp;($A243+18/24),tData[SEHTrajectPeriodeDatumTijdTotEnMet],"&gt;"&amp;($A243+18/24))</f>
        <v/>
      </c>
      <c r="W243" s="20">
        <f>COUNTIFS(tData[SEHTrajectPeriodeDatumTijdVan],"&lt;="&amp;($A243+19/24),tData[SEHTrajectPeriodeDatumTijdTotEnMet],"&gt;"&amp;($A243+19/24))</f>
        <v/>
      </c>
      <c r="X243" s="20">
        <f>COUNTIFS(tData[SEHTrajectPeriodeDatumTijdVan],"&lt;="&amp;($A243+20/24),tData[SEHTrajectPeriodeDatumTijdTotEnMet],"&gt;"&amp;($A243+20/24))</f>
        <v/>
      </c>
      <c r="Y243" s="20">
        <f>COUNTIFS(tData[SEHTrajectPeriodeDatumTijdVan],"&lt;="&amp;($A243+21/24),tData[SEHTrajectPeriodeDatumTijdTotEnMet],"&gt;"&amp;($A243+21/24))</f>
        <v/>
      </c>
      <c r="Z243" s="20">
        <f>COUNTIFS(tData[SEHTrajectPeriodeDatumTijdVan],"&lt;="&amp;($A243+22/24),tData[SEHTrajectPeriodeDatumTijdTotEnMet],"&gt;"&amp;($A243+22/24))</f>
        <v/>
      </c>
      <c r="AA243" s="20">
        <f>COUNTIFS(tData[SEHTrajectPeriodeDatumTijdVan],"&lt;="&amp;($A243+23/24),tData[SEHTrajectPeriodeDatumTijdTotEnMet],"&gt;"&amp;($A243+23/24))</f>
        <v/>
      </c>
    </row>
    <row r="244">
      <c r="A244" s="19" t="n">
        <v>45532</v>
      </c>
      <c r="B244" s="15">
        <f>WEEKDAY($A244,2)</f>
        <v/>
      </c>
      <c r="C244" s="15">
        <f>IF(AND($A244&gt;=INT(Instellingen!$B$5),$A244&lt;=INT(Instellingen!$B$6)),1,0)</f>
        <v/>
      </c>
      <c r="D244" s="20">
        <f>COUNTIFS(tData[SEHTrajectPeriodeDatumTijdVan],"&lt;="&amp;($A244+0/24),tData[SEHTrajectPeriodeDatumTijdTotEnMet],"&gt;"&amp;($A244+0/24))</f>
        <v/>
      </c>
      <c r="E244" s="20">
        <f>COUNTIFS(tData[SEHTrajectPeriodeDatumTijdVan],"&lt;="&amp;($A244+1/24),tData[SEHTrajectPeriodeDatumTijdTotEnMet],"&gt;"&amp;($A244+1/24))</f>
        <v/>
      </c>
      <c r="F244" s="20">
        <f>COUNTIFS(tData[SEHTrajectPeriodeDatumTijdVan],"&lt;="&amp;($A244+2/24),tData[SEHTrajectPeriodeDatumTijdTotEnMet],"&gt;"&amp;($A244+2/24))</f>
        <v/>
      </c>
      <c r="G244" s="20">
        <f>COUNTIFS(tData[SEHTrajectPeriodeDatumTijdVan],"&lt;="&amp;($A244+3/24),tData[SEHTrajectPeriodeDatumTijdTotEnMet],"&gt;"&amp;($A244+3/24))</f>
        <v/>
      </c>
      <c r="H244" s="20">
        <f>COUNTIFS(tData[SEHTrajectPeriodeDatumTijdVan],"&lt;="&amp;($A244+4/24),tData[SEHTrajectPeriodeDatumTijdTotEnMet],"&gt;"&amp;($A244+4/24))</f>
        <v/>
      </c>
      <c r="I244" s="20">
        <f>COUNTIFS(tData[SEHTrajectPeriodeDatumTijdVan],"&lt;="&amp;($A244+5/24),tData[SEHTrajectPeriodeDatumTijdTotEnMet],"&gt;"&amp;($A244+5/24))</f>
        <v/>
      </c>
      <c r="J244" s="20">
        <f>COUNTIFS(tData[SEHTrajectPeriodeDatumTijdVan],"&lt;="&amp;($A244+6/24),tData[SEHTrajectPeriodeDatumTijdTotEnMet],"&gt;"&amp;($A244+6/24))</f>
        <v/>
      </c>
      <c r="K244" s="20">
        <f>COUNTIFS(tData[SEHTrajectPeriodeDatumTijdVan],"&lt;="&amp;($A244+7/24),tData[SEHTrajectPeriodeDatumTijdTotEnMet],"&gt;"&amp;($A244+7/24))</f>
        <v/>
      </c>
      <c r="L244" s="20">
        <f>COUNTIFS(tData[SEHTrajectPeriodeDatumTijdVan],"&lt;="&amp;($A244+8/24),tData[SEHTrajectPeriodeDatumTijdTotEnMet],"&gt;"&amp;($A244+8/24))</f>
        <v/>
      </c>
      <c r="M244" s="20">
        <f>COUNTIFS(tData[SEHTrajectPeriodeDatumTijdVan],"&lt;="&amp;($A244+9/24),tData[SEHTrajectPeriodeDatumTijdTotEnMet],"&gt;"&amp;($A244+9/24))</f>
        <v/>
      </c>
      <c r="N244" s="20">
        <f>COUNTIFS(tData[SEHTrajectPeriodeDatumTijdVan],"&lt;="&amp;($A244+10/24),tData[SEHTrajectPeriodeDatumTijdTotEnMet],"&gt;"&amp;($A244+10/24))</f>
        <v/>
      </c>
      <c r="O244" s="20">
        <f>COUNTIFS(tData[SEHTrajectPeriodeDatumTijdVan],"&lt;="&amp;($A244+11/24),tData[SEHTrajectPeriodeDatumTijdTotEnMet],"&gt;"&amp;($A244+11/24))</f>
        <v/>
      </c>
      <c r="P244" s="20">
        <f>COUNTIFS(tData[SEHTrajectPeriodeDatumTijdVan],"&lt;="&amp;($A244+12/24),tData[SEHTrajectPeriodeDatumTijdTotEnMet],"&gt;"&amp;($A244+12/24))</f>
        <v/>
      </c>
      <c r="Q244" s="20">
        <f>COUNTIFS(tData[SEHTrajectPeriodeDatumTijdVan],"&lt;="&amp;($A244+13/24),tData[SEHTrajectPeriodeDatumTijdTotEnMet],"&gt;"&amp;($A244+13/24))</f>
        <v/>
      </c>
      <c r="R244" s="20">
        <f>COUNTIFS(tData[SEHTrajectPeriodeDatumTijdVan],"&lt;="&amp;($A244+14/24),tData[SEHTrajectPeriodeDatumTijdTotEnMet],"&gt;"&amp;($A244+14/24))</f>
        <v/>
      </c>
      <c r="S244" s="20">
        <f>COUNTIFS(tData[SEHTrajectPeriodeDatumTijdVan],"&lt;="&amp;($A244+15/24),tData[SEHTrajectPeriodeDatumTijdTotEnMet],"&gt;"&amp;($A244+15/24))</f>
        <v/>
      </c>
      <c r="T244" s="20">
        <f>COUNTIFS(tData[SEHTrajectPeriodeDatumTijdVan],"&lt;="&amp;($A244+16/24),tData[SEHTrajectPeriodeDatumTijdTotEnMet],"&gt;"&amp;($A244+16/24))</f>
        <v/>
      </c>
      <c r="U244" s="20">
        <f>COUNTIFS(tData[SEHTrajectPeriodeDatumTijdVan],"&lt;="&amp;($A244+17/24),tData[SEHTrajectPeriodeDatumTijdTotEnMet],"&gt;"&amp;($A244+17/24))</f>
        <v/>
      </c>
      <c r="V244" s="20">
        <f>COUNTIFS(tData[SEHTrajectPeriodeDatumTijdVan],"&lt;="&amp;($A244+18/24),tData[SEHTrajectPeriodeDatumTijdTotEnMet],"&gt;"&amp;($A244+18/24))</f>
        <v/>
      </c>
      <c r="W244" s="20">
        <f>COUNTIFS(tData[SEHTrajectPeriodeDatumTijdVan],"&lt;="&amp;($A244+19/24),tData[SEHTrajectPeriodeDatumTijdTotEnMet],"&gt;"&amp;($A244+19/24))</f>
        <v/>
      </c>
      <c r="X244" s="20">
        <f>COUNTIFS(tData[SEHTrajectPeriodeDatumTijdVan],"&lt;="&amp;($A244+20/24),tData[SEHTrajectPeriodeDatumTijdTotEnMet],"&gt;"&amp;($A244+20/24))</f>
        <v/>
      </c>
      <c r="Y244" s="20">
        <f>COUNTIFS(tData[SEHTrajectPeriodeDatumTijdVan],"&lt;="&amp;($A244+21/24),tData[SEHTrajectPeriodeDatumTijdTotEnMet],"&gt;"&amp;($A244+21/24))</f>
        <v/>
      </c>
      <c r="Z244" s="20">
        <f>COUNTIFS(tData[SEHTrajectPeriodeDatumTijdVan],"&lt;="&amp;($A244+22/24),tData[SEHTrajectPeriodeDatumTijdTotEnMet],"&gt;"&amp;($A244+22/24))</f>
        <v/>
      </c>
      <c r="AA244" s="20">
        <f>COUNTIFS(tData[SEHTrajectPeriodeDatumTijdVan],"&lt;="&amp;($A244+23/24),tData[SEHTrajectPeriodeDatumTijdTotEnMet],"&gt;"&amp;($A244+23/24))</f>
        <v/>
      </c>
    </row>
    <row r="245">
      <c r="A245" s="19" t="n">
        <v>45533</v>
      </c>
      <c r="B245" s="15">
        <f>WEEKDAY($A245,2)</f>
        <v/>
      </c>
      <c r="C245" s="15">
        <f>IF(AND($A245&gt;=INT(Instellingen!$B$5),$A245&lt;=INT(Instellingen!$B$6)),1,0)</f>
        <v/>
      </c>
      <c r="D245" s="20">
        <f>COUNTIFS(tData[SEHTrajectPeriodeDatumTijdVan],"&lt;="&amp;($A245+0/24),tData[SEHTrajectPeriodeDatumTijdTotEnMet],"&gt;"&amp;($A245+0/24))</f>
        <v/>
      </c>
      <c r="E245" s="20">
        <f>COUNTIFS(tData[SEHTrajectPeriodeDatumTijdVan],"&lt;="&amp;($A245+1/24),tData[SEHTrajectPeriodeDatumTijdTotEnMet],"&gt;"&amp;($A245+1/24))</f>
        <v/>
      </c>
      <c r="F245" s="20">
        <f>COUNTIFS(tData[SEHTrajectPeriodeDatumTijdVan],"&lt;="&amp;($A245+2/24),tData[SEHTrajectPeriodeDatumTijdTotEnMet],"&gt;"&amp;($A245+2/24))</f>
        <v/>
      </c>
      <c r="G245" s="20">
        <f>COUNTIFS(tData[SEHTrajectPeriodeDatumTijdVan],"&lt;="&amp;($A245+3/24),tData[SEHTrajectPeriodeDatumTijdTotEnMet],"&gt;"&amp;($A245+3/24))</f>
        <v/>
      </c>
      <c r="H245" s="20">
        <f>COUNTIFS(tData[SEHTrajectPeriodeDatumTijdVan],"&lt;="&amp;($A245+4/24),tData[SEHTrajectPeriodeDatumTijdTotEnMet],"&gt;"&amp;($A245+4/24))</f>
        <v/>
      </c>
      <c r="I245" s="20">
        <f>COUNTIFS(tData[SEHTrajectPeriodeDatumTijdVan],"&lt;="&amp;($A245+5/24),tData[SEHTrajectPeriodeDatumTijdTotEnMet],"&gt;"&amp;($A245+5/24))</f>
        <v/>
      </c>
      <c r="J245" s="20">
        <f>COUNTIFS(tData[SEHTrajectPeriodeDatumTijdVan],"&lt;="&amp;($A245+6/24),tData[SEHTrajectPeriodeDatumTijdTotEnMet],"&gt;"&amp;($A245+6/24))</f>
        <v/>
      </c>
      <c r="K245" s="20">
        <f>COUNTIFS(tData[SEHTrajectPeriodeDatumTijdVan],"&lt;="&amp;($A245+7/24),tData[SEHTrajectPeriodeDatumTijdTotEnMet],"&gt;"&amp;($A245+7/24))</f>
        <v/>
      </c>
      <c r="L245" s="20">
        <f>COUNTIFS(tData[SEHTrajectPeriodeDatumTijdVan],"&lt;="&amp;($A245+8/24),tData[SEHTrajectPeriodeDatumTijdTotEnMet],"&gt;"&amp;($A245+8/24))</f>
        <v/>
      </c>
      <c r="M245" s="20">
        <f>COUNTIFS(tData[SEHTrajectPeriodeDatumTijdVan],"&lt;="&amp;($A245+9/24),tData[SEHTrajectPeriodeDatumTijdTotEnMet],"&gt;"&amp;($A245+9/24))</f>
        <v/>
      </c>
      <c r="N245" s="20">
        <f>COUNTIFS(tData[SEHTrajectPeriodeDatumTijdVan],"&lt;="&amp;($A245+10/24),tData[SEHTrajectPeriodeDatumTijdTotEnMet],"&gt;"&amp;($A245+10/24))</f>
        <v/>
      </c>
      <c r="O245" s="20">
        <f>COUNTIFS(tData[SEHTrajectPeriodeDatumTijdVan],"&lt;="&amp;($A245+11/24),tData[SEHTrajectPeriodeDatumTijdTotEnMet],"&gt;"&amp;($A245+11/24))</f>
        <v/>
      </c>
      <c r="P245" s="20">
        <f>COUNTIFS(tData[SEHTrajectPeriodeDatumTijdVan],"&lt;="&amp;($A245+12/24),tData[SEHTrajectPeriodeDatumTijdTotEnMet],"&gt;"&amp;($A245+12/24))</f>
        <v/>
      </c>
      <c r="Q245" s="20">
        <f>COUNTIFS(tData[SEHTrajectPeriodeDatumTijdVan],"&lt;="&amp;($A245+13/24),tData[SEHTrajectPeriodeDatumTijdTotEnMet],"&gt;"&amp;($A245+13/24))</f>
        <v/>
      </c>
      <c r="R245" s="20">
        <f>COUNTIFS(tData[SEHTrajectPeriodeDatumTijdVan],"&lt;="&amp;($A245+14/24),tData[SEHTrajectPeriodeDatumTijdTotEnMet],"&gt;"&amp;($A245+14/24))</f>
        <v/>
      </c>
      <c r="S245" s="20">
        <f>COUNTIFS(tData[SEHTrajectPeriodeDatumTijdVan],"&lt;="&amp;($A245+15/24),tData[SEHTrajectPeriodeDatumTijdTotEnMet],"&gt;"&amp;($A245+15/24))</f>
        <v/>
      </c>
      <c r="T245" s="20">
        <f>COUNTIFS(tData[SEHTrajectPeriodeDatumTijdVan],"&lt;="&amp;($A245+16/24),tData[SEHTrajectPeriodeDatumTijdTotEnMet],"&gt;"&amp;($A245+16/24))</f>
        <v/>
      </c>
      <c r="U245" s="20">
        <f>COUNTIFS(tData[SEHTrajectPeriodeDatumTijdVan],"&lt;="&amp;($A245+17/24),tData[SEHTrajectPeriodeDatumTijdTotEnMet],"&gt;"&amp;($A245+17/24))</f>
        <v/>
      </c>
      <c r="V245" s="20">
        <f>COUNTIFS(tData[SEHTrajectPeriodeDatumTijdVan],"&lt;="&amp;($A245+18/24),tData[SEHTrajectPeriodeDatumTijdTotEnMet],"&gt;"&amp;($A245+18/24))</f>
        <v/>
      </c>
      <c r="W245" s="20">
        <f>COUNTIFS(tData[SEHTrajectPeriodeDatumTijdVan],"&lt;="&amp;($A245+19/24),tData[SEHTrajectPeriodeDatumTijdTotEnMet],"&gt;"&amp;($A245+19/24))</f>
        <v/>
      </c>
      <c r="X245" s="20">
        <f>COUNTIFS(tData[SEHTrajectPeriodeDatumTijdVan],"&lt;="&amp;($A245+20/24),tData[SEHTrajectPeriodeDatumTijdTotEnMet],"&gt;"&amp;($A245+20/24))</f>
        <v/>
      </c>
      <c r="Y245" s="20">
        <f>COUNTIFS(tData[SEHTrajectPeriodeDatumTijdVan],"&lt;="&amp;($A245+21/24),tData[SEHTrajectPeriodeDatumTijdTotEnMet],"&gt;"&amp;($A245+21/24))</f>
        <v/>
      </c>
      <c r="Z245" s="20">
        <f>COUNTIFS(tData[SEHTrajectPeriodeDatumTijdVan],"&lt;="&amp;($A245+22/24),tData[SEHTrajectPeriodeDatumTijdTotEnMet],"&gt;"&amp;($A245+22/24))</f>
        <v/>
      </c>
      <c r="AA245" s="20">
        <f>COUNTIFS(tData[SEHTrajectPeriodeDatumTijdVan],"&lt;="&amp;($A245+23/24),tData[SEHTrajectPeriodeDatumTijdTotEnMet],"&gt;"&amp;($A245+23/24))</f>
        <v/>
      </c>
    </row>
    <row r="246">
      <c r="A246" s="19" t="n">
        <v>45534</v>
      </c>
      <c r="B246" s="15">
        <f>WEEKDAY($A246,2)</f>
        <v/>
      </c>
      <c r="C246" s="15">
        <f>IF(AND($A246&gt;=INT(Instellingen!$B$5),$A246&lt;=INT(Instellingen!$B$6)),1,0)</f>
        <v/>
      </c>
      <c r="D246" s="20">
        <f>COUNTIFS(tData[SEHTrajectPeriodeDatumTijdVan],"&lt;="&amp;($A246+0/24),tData[SEHTrajectPeriodeDatumTijdTotEnMet],"&gt;"&amp;($A246+0/24))</f>
        <v/>
      </c>
      <c r="E246" s="20">
        <f>COUNTIFS(tData[SEHTrajectPeriodeDatumTijdVan],"&lt;="&amp;($A246+1/24),tData[SEHTrajectPeriodeDatumTijdTotEnMet],"&gt;"&amp;($A246+1/24))</f>
        <v/>
      </c>
      <c r="F246" s="20">
        <f>COUNTIFS(tData[SEHTrajectPeriodeDatumTijdVan],"&lt;="&amp;($A246+2/24),tData[SEHTrajectPeriodeDatumTijdTotEnMet],"&gt;"&amp;($A246+2/24))</f>
        <v/>
      </c>
      <c r="G246" s="20">
        <f>COUNTIFS(tData[SEHTrajectPeriodeDatumTijdVan],"&lt;="&amp;($A246+3/24),tData[SEHTrajectPeriodeDatumTijdTotEnMet],"&gt;"&amp;($A246+3/24))</f>
        <v/>
      </c>
      <c r="H246" s="20">
        <f>COUNTIFS(tData[SEHTrajectPeriodeDatumTijdVan],"&lt;="&amp;($A246+4/24),tData[SEHTrajectPeriodeDatumTijdTotEnMet],"&gt;"&amp;($A246+4/24))</f>
        <v/>
      </c>
      <c r="I246" s="20">
        <f>COUNTIFS(tData[SEHTrajectPeriodeDatumTijdVan],"&lt;="&amp;($A246+5/24),tData[SEHTrajectPeriodeDatumTijdTotEnMet],"&gt;"&amp;($A246+5/24))</f>
        <v/>
      </c>
      <c r="J246" s="20">
        <f>COUNTIFS(tData[SEHTrajectPeriodeDatumTijdVan],"&lt;="&amp;($A246+6/24),tData[SEHTrajectPeriodeDatumTijdTotEnMet],"&gt;"&amp;($A246+6/24))</f>
        <v/>
      </c>
      <c r="K246" s="20">
        <f>COUNTIFS(tData[SEHTrajectPeriodeDatumTijdVan],"&lt;="&amp;($A246+7/24),tData[SEHTrajectPeriodeDatumTijdTotEnMet],"&gt;"&amp;($A246+7/24))</f>
        <v/>
      </c>
      <c r="L246" s="20">
        <f>COUNTIFS(tData[SEHTrajectPeriodeDatumTijdVan],"&lt;="&amp;($A246+8/24),tData[SEHTrajectPeriodeDatumTijdTotEnMet],"&gt;"&amp;($A246+8/24))</f>
        <v/>
      </c>
      <c r="M246" s="20">
        <f>COUNTIFS(tData[SEHTrajectPeriodeDatumTijdVan],"&lt;="&amp;($A246+9/24),tData[SEHTrajectPeriodeDatumTijdTotEnMet],"&gt;"&amp;($A246+9/24))</f>
        <v/>
      </c>
      <c r="N246" s="20">
        <f>COUNTIFS(tData[SEHTrajectPeriodeDatumTijdVan],"&lt;="&amp;($A246+10/24),tData[SEHTrajectPeriodeDatumTijdTotEnMet],"&gt;"&amp;($A246+10/24))</f>
        <v/>
      </c>
      <c r="O246" s="20">
        <f>COUNTIFS(tData[SEHTrajectPeriodeDatumTijdVan],"&lt;="&amp;($A246+11/24),tData[SEHTrajectPeriodeDatumTijdTotEnMet],"&gt;"&amp;($A246+11/24))</f>
        <v/>
      </c>
      <c r="P246" s="20">
        <f>COUNTIFS(tData[SEHTrajectPeriodeDatumTijdVan],"&lt;="&amp;($A246+12/24),tData[SEHTrajectPeriodeDatumTijdTotEnMet],"&gt;"&amp;($A246+12/24))</f>
        <v/>
      </c>
      <c r="Q246" s="20">
        <f>COUNTIFS(tData[SEHTrajectPeriodeDatumTijdVan],"&lt;="&amp;($A246+13/24),tData[SEHTrajectPeriodeDatumTijdTotEnMet],"&gt;"&amp;($A246+13/24))</f>
        <v/>
      </c>
      <c r="R246" s="20">
        <f>COUNTIFS(tData[SEHTrajectPeriodeDatumTijdVan],"&lt;="&amp;($A246+14/24),tData[SEHTrajectPeriodeDatumTijdTotEnMet],"&gt;"&amp;($A246+14/24))</f>
        <v/>
      </c>
      <c r="S246" s="20">
        <f>COUNTIFS(tData[SEHTrajectPeriodeDatumTijdVan],"&lt;="&amp;($A246+15/24),tData[SEHTrajectPeriodeDatumTijdTotEnMet],"&gt;"&amp;($A246+15/24))</f>
        <v/>
      </c>
      <c r="T246" s="20">
        <f>COUNTIFS(tData[SEHTrajectPeriodeDatumTijdVan],"&lt;="&amp;($A246+16/24),tData[SEHTrajectPeriodeDatumTijdTotEnMet],"&gt;"&amp;($A246+16/24))</f>
        <v/>
      </c>
      <c r="U246" s="20">
        <f>COUNTIFS(tData[SEHTrajectPeriodeDatumTijdVan],"&lt;="&amp;($A246+17/24),tData[SEHTrajectPeriodeDatumTijdTotEnMet],"&gt;"&amp;($A246+17/24))</f>
        <v/>
      </c>
      <c r="V246" s="20">
        <f>COUNTIFS(tData[SEHTrajectPeriodeDatumTijdVan],"&lt;="&amp;($A246+18/24),tData[SEHTrajectPeriodeDatumTijdTotEnMet],"&gt;"&amp;($A246+18/24))</f>
        <v/>
      </c>
      <c r="W246" s="20">
        <f>COUNTIFS(tData[SEHTrajectPeriodeDatumTijdVan],"&lt;="&amp;($A246+19/24),tData[SEHTrajectPeriodeDatumTijdTotEnMet],"&gt;"&amp;($A246+19/24))</f>
        <v/>
      </c>
      <c r="X246" s="20">
        <f>COUNTIFS(tData[SEHTrajectPeriodeDatumTijdVan],"&lt;="&amp;($A246+20/24),tData[SEHTrajectPeriodeDatumTijdTotEnMet],"&gt;"&amp;($A246+20/24))</f>
        <v/>
      </c>
      <c r="Y246" s="20">
        <f>COUNTIFS(tData[SEHTrajectPeriodeDatumTijdVan],"&lt;="&amp;($A246+21/24),tData[SEHTrajectPeriodeDatumTijdTotEnMet],"&gt;"&amp;($A246+21/24))</f>
        <v/>
      </c>
      <c r="Z246" s="20">
        <f>COUNTIFS(tData[SEHTrajectPeriodeDatumTijdVan],"&lt;="&amp;($A246+22/24),tData[SEHTrajectPeriodeDatumTijdTotEnMet],"&gt;"&amp;($A246+22/24))</f>
        <v/>
      </c>
      <c r="AA246" s="20">
        <f>COUNTIFS(tData[SEHTrajectPeriodeDatumTijdVan],"&lt;="&amp;($A246+23/24),tData[SEHTrajectPeriodeDatumTijdTotEnMet],"&gt;"&amp;($A246+23/24))</f>
        <v/>
      </c>
    </row>
    <row r="247">
      <c r="A247" s="19" t="n">
        <v>45535</v>
      </c>
      <c r="B247" s="15">
        <f>WEEKDAY($A247,2)</f>
        <v/>
      </c>
      <c r="C247" s="15">
        <f>IF(AND($A247&gt;=INT(Instellingen!$B$5),$A247&lt;=INT(Instellingen!$B$6)),1,0)</f>
        <v/>
      </c>
      <c r="D247" s="20">
        <f>COUNTIFS(tData[SEHTrajectPeriodeDatumTijdVan],"&lt;="&amp;($A247+0/24),tData[SEHTrajectPeriodeDatumTijdTotEnMet],"&gt;"&amp;($A247+0/24))</f>
        <v/>
      </c>
      <c r="E247" s="20">
        <f>COUNTIFS(tData[SEHTrajectPeriodeDatumTijdVan],"&lt;="&amp;($A247+1/24),tData[SEHTrajectPeriodeDatumTijdTotEnMet],"&gt;"&amp;($A247+1/24))</f>
        <v/>
      </c>
      <c r="F247" s="20">
        <f>COUNTIFS(tData[SEHTrajectPeriodeDatumTijdVan],"&lt;="&amp;($A247+2/24),tData[SEHTrajectPeriodeDatumTijdTotEnMet],"&gt;"&amp;($A247+2/24))</f>
        <v/>
      </c>
      <c r="G247" s="20">
        <f>COUNTIFS(tData[SEHTrajectPeriodeDatumTijdVan],"&lt;="&amp;($A247+3/24),tData[SEHTrajectPeriodeDatumTijdTotEnMet],"&gt;"&amp;($A247+3/24))</f>
        <v/>
      </c>
      <c r="H247" s="20">
        <f>COUNTIFS(tData[SEHTrajectPeriodeDatumTijdVan],"&lt;="&amp;($A247+4/24),tData[SEHTrajectPeriodeDatumTijdTotEnMet],"&gt;"&amp;($A247+4/24))</f>
        <v/>
      </c>
      <c r="I247" s="20">
        <f>COUNTIFS(tData[SEHTrajectPeriodeDatumTijdVan],"&lt;="&amp;($A247+5/24),tData[SEHTrajectPeriodeDatumTijdTotEnMet],"&gt;"&amp;($A247+5/24))</f>
        <v/>
      </c>
      <c r="J247" s="20">
        <f>COUNTIFS(tData[SEHTrajectPeriodeDatumTijdVan],"&lt;="&amp;($A247+6/24),tData[SEHTrajectPeriodeDatumTijdTotEnMet],"&gt;"&amp;($A247+6/24))</f>
        <v/>
      </c>
      <c r="K247" s="20">
        <f>COUNTIFS(tData[SEHTrajectPeriodeDatumTijdVan],"&lt;="&amp;($A247+7/24),tData[SEHTrajectPeriodeDatumTijdTotEnMet],"&gt;"&amp;($A247+7/24))</f>
        <v/>
      </c>
      <c r="L247" s="20">
        <f>COUNTIFS(tData[SEHTrajectPeriodeDatumTijdVan],"&lt;="&amp;($A247+8/24),tData[SEHTrajectPeriodeDatumTijdTotEnMet],"&gt;"&amp;($A247+8/24))</f>
        <v/>
      </c>
      <c r="M247" s="20">
        <f>COUNTIFS(tData[SEHTrajectPeriodeDatumTijdVan],"&lt;="&amp;($A247+9/24),tData[SEHTrajectPeriodeDatumTijdTotEnMet],"&gt;"&amp;($A247+9/24))</f>
        <v/>
      </c>
      <c r="N247" s="20">
        <f>COUNTIFS(tData[SEHTrajectPeriodeDatumTijdVan],"&lt;="&amp;($A247+10/24),tData[SEHTrajectPeriodeDatumTijdTotEnMet],"&gt;"&amp;($A247+10/24))</f>
        <v/>
      </c>
      <c r="O247" s="20">
        <f>COUNTIFS(tData[SEHTrajectPeriodeDatumTijdVan],"&lt;="&amp;($A247+11/24),tData[SEHTrajectPeriodeDatumTijdTotEnMet],"&gt;"&amp;($A247+11/24))</f>
        <v/>
      </c>
      <c r="P247" s="20">
        <f>COUNTIFS(tData[SEHTrajectPeriodeDatumTijdVan],"&lt;="&amp;($A247+12/24),tData[SEHTrajectPeriodeDatumTijdTotEnMet],"&gt;"&amp;($A247+12/24))</f>
        <v/>
      </c>
      <c r="Q247" s="20">
        <f>COUNTIFS(tData[SEHTrajectPeriodeDatumTijdVan],"&lt;="&amp;($A247+13/24),tData[SEHTrajectPeriodeDatumTijdTotEnMet],"&gt;"&amp;($A247+13/24))</f>
        <v/>
      </c>
      <c r="R247" s="20">
        <f>COUNTIFS(tData[SEHTrajectPeriodeDatumTijdVan],"&lt;="&amp;($A247+14/24),tData[SEHTrajectPeriodeDatumTijdTotEnMet],"&gt;"&amp;($A247+14/24))</f>
        <v/>
      </c>
      <c r="S247" s="20">
        <f>COUNTIFS(tData[SEHTrajectPeriodeDatumTijdVan],"&lt;="&amp;($A247+15/24),tData[SEHTrajectPeriodeDatumTijdTotEnMet],"&gt;"&amp;($A247+15/24))</f>
        <v/>
      </c>
      <c r="T247" s="20">
        <f>COUNTIFS(tData[SEHTrajectPeriodeDatumTijdVan],"&lt;="&amp;($A247+16/24),tData[SEHTrajectPeriodeDatumTijdTotEnMet],"&gt;"&amp;($A247+16/24))</f>
        <v/>
      </c>
      <c r="U247" s="20">
        <f>COUNTIFS(tData[SEHTrajectPeriodeDatumTijdVan],"&lt;="&amp;($A247+17/24),tData[SEHTrajectPeriodeDatumTijdTotEnMet],"&gt;"&amp;($A247+17/24))</f>
        <v/>
      </c>
      <c r="V247" s="20">
        <f>COUNTIFS(tData[SEHTrajectPeriodeDatumTijdVan],"&lt;="&amp;($A247+18/24),tData[SEHTrajectPeriodeDatumTijdTotEnMet],"&gt;"&amp;($A247+18/24))</f>
        <v/>
      </c>
      <c r="W247" s="20">
        <f>COUNTIFS(tData[SEHTrajectPeriodeDatumTijdVan],"&lt;="&amp;($A247+19/24),tData[SEHTrajectPeriodeDatumTijdTotEnMet],"&gt;"&amp;($A247+19/24))</f>
        <v/>
      </c>
      <c r="X247" s="20">
        <f>COUNTIFS(tData[SEHTrajectPeriodeDatumTijdVan],"&lt;="&amp;($A247+20/24),tData[SEHTrajectPeriodeDatumTijdTotEnMet],"&gt;"&amp;($A247+20/24))</f>
        <v/>
      </c>
      <c r="Y247" s="20">
        <f>COUNTIFS(tData[SEHTrajectPeriodeDatumTijdVan],"&lt;="&amp;($A247+21/24),tData[SEHTrajectPeriodeDatumTijdTotEnMet],"&gt;"&amp;($A247+21/24))</f>
        <v/>
      </c>
      <c r="Z247" s="20">
        <f>COUNTIFS(tData[SEHTrajectPeriodeDatumTijdVan],"&lt;="&amp;($A247+22/24),tData[SEHTrajectPeriodeDatumTijdTotEnMet],"&gt;"&amp;($A247+22/24))</f>
        <v/>
      </c>
      <c r="AA247" s="20">
        <f>COUNTIFS(tData[SEHTrajectPeriodeDatumTijdVan],"&lt;="&amp;($A247+23/24),tData[SEHTrajectPeriodeDatumTijdTotEnMet],"&gt;"&amp;($A247+23/24))</f>
        <v/>
      </c>
    </row>
    <row r="248">
      <c r="A248" s="19" t="n">
        <v>45536</v>
      </c>
      <c r="B248" s="15">
        <f>WEEKDAY($A248,2)</f>
        <v/>
      </c>
      <c r="C248" s="15">
        <f>IF(AND($A248&gt;=INT(Instellingen!$B$5),$A248&lt;=INT(Instellingen!$B$6)),1,0)</f>
        <v/>
      </c>
      <c r="D248" s="20">
        <f>COUNTIFS(tData[SEHTrajectPeriodeDatumTijdVan],"&lt;="&amp;($A248+0/24),tData[SEHTrajectPeriodeDatumTijdTotEnMet],"&gt;"&amp;($A248+0/24))</f>
        <v/>
      </c>
      <c r="E248" s="20">
        <f>COUNTIFS(tData[SEHTrajectPeriodeDatumTijdVan],"&lt;="&amp;($A248+1/24),tData[SEHTrajectPeriodeDatumTijdTotEnMet],"&gt;"&amp;($A248+1/24))</f>
        <v/>
      </c>
      <c r="F248" s="20">
        <f>COUNTIFS(tData[SEHTrajectPeriodeDatumTijdVan],"&lt;="&amp;($A248+2/24),tData[SEHTrajectPeriodeDatumTijdTotEnMet],"&gt;"&amp;($A248+2/24))</f>
        <v/>
      </c>
      <c r="G248" s="20">
        <f>COUNTIFS(tData[SEHTrajectPeriodeDatumTijdVan],"&lt;="&amp;($A248+3/24),tData[SEHTrajectPeriodeDatumTijdTotEnMet],"&gt;"&amp;($A248+3/24))</f>
        <v/>
      </c>
      <c r="H248" s="20">
        <f>COUNTIFS(tData[SEHTrajectPeriodeDatumTijdVan],"&lt;="&amp;($A248+4/24),tData[SEHTrajectPeriodeDatumTijdTotEnMet],"&gt;"&amp;($A248+4/24))</f>
        <v/>
      </c>
      <c r="I248" s="20">
        <f>COUNTIFS(tData[SEHTrajectPeriodeDatumTijdVan],"&lt;="&amp;($A248+5/24),tData[SEHTrajectPeriodeDatumTijdTotEnMet],"&gt;"&amp;($A248+5/24))</f>
        <v/>
      </c>
      <c r="J248" s="20">
        <f>COUNTIFS(tData[SEHTrajectPeriodeDatumTijdVan],"&lt;="&amp;($A248+6/24),tData[SEHTrajectPeriodeDatumTijdTotEnMet],"&gt;"&amp;($A248+6/24))</f>
        <v/>
      </c>
      <c r="K248" s="20">
        <f>COUNTIFS(tData[SEHTrajectPeriodeDatumTijdVan],"&lt;="&amp;($A248+7/24),tData[SEHTrajectPeriodeDatumTijdTotEnMet],"&gt;"&amp;($A248+7/24))</f>
        <v/>
      </c>
      <c r="L248" s="20">
        <f>COUNTIFS(tData[SEHTrajectPeriodeDatumTijdVan],"&lt;="&amp;($A248+8/24),tData[SEHTrajectPeriodeDatumTijdTotEnMet],"&gt;"&amp;($A248+8/24))</f>
        <v/>
      </c>
      <c r="M248" s="20">
        <f>COUNTIFS(tData[SEHTrajectPeriodeDatumTijdVan],"&lt;="&amp;($A248+9/24),tData[SEHTrajectPeriodeDatumTijdTotEnMet],"&gt;"&amp;($A248+9/24))</f>
        <v/>
      </c>
      <c r="N248" s="20">
        <f>COUNTIFS(tData[SEHTrajectPeriodeDatumTijdVan],"&lt;="&amp;($A248+10/24),tData[SEHTrajectPeriodeDatumTijdTotEnMet],"&gt;"&amp;($A248+10/24))</f>
        <v/>
      </c>
      <c r="O248" s="20">
        <f>COUNTIFS(tData[SEHTrajectPeriodeDatumTijdVan],"&lt;="&amp;($A248+11/24),tData[SEHTrajectPeriodeDatumTijdTotEnMet],"&gt;"&amp;($A248+11/24))</f>
        <v/>
      </c>
      <c r="P248" s="20">
        <f>COUNTIFS(tData[SEHTrajectPeriodeDatumTijdVan],"&lt;="&amp;($A248+12/24),tData[SEHTrajectPeriodeDatumTijdTotEnMet],"&gt;"&amp;($A248+12/24))</f>
        <v/>
      </c>
      <c r="Q248" s="20">
        <f>COUNTIFS(tData[SEHTrajectPeriodeDatumTijdVan],"&lt;="&amp;($A248+13/24),tData[SEHTrajectPeriodeDatumTijdTotEnMet],"&gt;"&amp;($A248+13/24))</f>
        <v/>
      </c>
      <c r="R248" s="20">
        <f>COUNTIFS(tData[SEHTrajectPeriodeDatumTijdVan],"&lt;="&amp;($A248+14/24),tData[SEHTrajectPeriodeDatumTijdTotEnMet],"&gt;"&amp;($A248+14/24))</f>
        <v/>
      </c>
      <c r="S248" s="20">
        <f>COUNTIFS(tData[SEHTrajectPeriodeDatumTijdVan],"&lt;="&amp;($A248+15/24),tData[SEHTrajectPeriodeDatumTijdTotEnMet],"&gt;"&amp;($A248+15/24))</f>
        <v/>
      </c>
      <c r="T248" s="20">
        <f>COUNTIFS(tData[SEHTrajectPeriodeDatumTijdVan],"&lt;="&amp;($A248+16/24),tData[SEHTrajectPeriodeDatumTijdTotEnMet],"&gt;"&amp;($A248+16/24))</f>
        <v/>
      </c>
      <c r="U248" s="20">
        <f>COUNTIFS(tData[SEHTrajectPeriodeDatumTijdVan],"&lt;="&amp;($A248+17/24),tData[SEHTrajectPeriodeDatumTijdTotEnMet],"&gt;"&amp;($A248+17/24))</f>
        <v/>
      </c>
      <c r="V248" s="20">
        <f>COUNTIFS(tData[SEHTrajectPeriodeDatumTijdVan],"&lt;="&amp;($A248+18/24),tData[SEHTrajectPeriodeDatumTijdTotEnMet],"&gt;"&amp;($A248+18/24))</f>
        <v/>
      </c>
      <c r="W248" s="20">
        <f>COUNTIFS(tData[SEHTrajectPeriodeDatumTijdVan],"&lt;="&amp;($A248+19/24),tData[SEHTrajectPeriodeDatumTijdTotEnMet],"&gt;"&amp;($A248+19/24))</f>
        <v/>
      </c>
      <c r="X248" s="20">
        <f>COUNTIFS(tData[SEHTrajectPeriodeDatumTijdVan],"&lt;="&amp;($A248+20/24),tData[SEHTrajectPeriodeDatumTijdTotEnMet],"&gt;"&amp;($A248+20/24))</f>
        <v/>
      </c>
      <c r="Y248" s="20">
        <f>COUNTIFS(tData[SEHTrajectPeriodeDatumTijdVan],"&lt;="&amp;($A248+21/24),tData[SEHTrajectPeriodeDatumTijdTotEnMet],"&gt;"&amp;($A248+21/24))</f>
        <v/>
      </c>
      <c r="Z248" s="20">
        <f>COUNTIFS(tData[SEHTrajectPeriodeDatumTijdVan],"&lt;="&amp;($A248+22/24),tData[SEHTrajectPeriodeDatumTijdTotEnMet],"&gt;"&amp;($A248+22/24))</f>
        <v/>
      </c>
      <c r="AA248" s="20">
        <f>COUNTIFS(tData[SEHTrajectPeriodeDatumTijdVan],"&lt;="&amp;($A248+23/24),tData[SEHTrajectPeriodeDatumTijdTotEnMet],"&gt;"&amp;($A248+23/24))</f>
        <v/>
      </c>
    </row>
    <row r="249">
      <c r="A249" s="19" t="n">
        <v>45537</v>
      </c>
      <c r="B249" s="15">
        <f>WEEKDAY($A249,2)</f>
        <v/>
      </c>
      <c r="C249" s="15">
        <f>IF(AND($A249&gt;=INT(Instellingen!$B$5),$A249&lt;=INT(Instellingen!$B$6)),1,0)</f>
        <v/>
      </c>
      <c r="D249" s="20">
        <f>COUNTIFS(tData[SEHTrajectPeriodeDatumTijdVan],"&lt;="&amp;($A249+0/24),tData[SEHTrajectPeriodeDatumTijdTotEnMet],"&gt;"&amp;($A249+0/24))</f>
        <v/>
      </c>
      <c r="E249" s="20">
        <f>COUNTIFS(tData[SEHTrajectPeriodeDatumTijdVan],"&lt;="&amp;($A249+1/24),tData[SEHTrajectPeriodeDatumTijdTotEnMet],"&gt;"&amp;($A249+1/24))</f>
        <v/>
      </c>
      <c r="F249" s="20">
        <f>COUNTIFS(tData[SEHTrajectPeriodeDatumTijdVan],"&lt;="&amp;($A249+2/24),tData[SEHTrajectPeriodeDatumTijdTotEnMet],"&gt;"&amp;($A249+2/24))</f>
        <v/>
      </c>
      <c r="G249" s="20">
        <f>COUNTIFS(tData[SEHTrajectPeriodeDatumTijdVan],"&lt;="&amp;($A249+3/24),tData[SEHTrajectPeriodeDatumTijdTotEnMet],"&gt;"&amp;($A249+3/24))</f>
        <v/>
      </c>
      <c r="H249" s="20">
        <f>COUNTIFS(tData[SEHTrajectPeriodeDatumTijdVan],"&lt;="&amp;($A249+4/24),tData[SEHTrajectPeriodeDatumTijdTotEnMet],"&gt;"&amp;($A249+4/24))</f>
        <v/>
      </c>
      <c r="I249" s="20">
        <f>COUNTIFS(tData[SEHTrajectPeriodeDatumTijdVan],"&lt;="&amp;($A249+5/24),tData[SEHTrajectPeriodeDatumTijdTotEnMet],"&gt;"&amp;($A249+5/24))</f>
        <v/>
      </c>
      <c r="J249" s="20">
        <f>COUNTIFS(tData[SEHTrajectPeriodeDatumTijdVan],"&lt;="&amp;($A249+6/24),tData[SEHTrajectPeriodeDatumTijdTotEnMet],"&gt;"&amp;($A249+6/24))</f>
        <v/>
      </c>
      <c r="K249" s="20">
        <f>COUNTIFS(tData[SEHTrajectPeriodeDatumTijdVan],"&lt;="&amp;($A249+7/24),tData[SEHTrajectPeriodeDatumTijdTotEnMet],"&gt;"&amp;($A249+7/24))</f>
        <v/>
      </c>
      <c r="L249" s="20">
        <f>COUNTIFS(tData[SEHTrajectPeriodeDatumTijdVan],"&lt;="&amp;($A249+8/24),tData[SEHTrajectPeriodeDatumTijdTotEnMet],"&gt;"&amp;($A249+8/24))</f>
        <v/>
      </c>
      <c r="M249" s="20">
        <f>COUNTIFS(tData[SEHTrajectPeriodeDatumTijdVan],"&lt;="&amp;($A249+9/24),tData[SEHTrajectPeriodeDatumTijdTotEnMet],"&gt;"&amp;($A249+9/24))</f>
        <v/>
      </c>
      <c r="N249" s="20">
        <f>COUNTIFS(tData[SEHTrajectPeriodeDatumTijdVan],"&lt;="&amp;($A249+10/24),tData[SEHTrajectPeriodeDatumTijdTotEnMet],"&gt;"&amp;($A249+10/24))</f>
        <v/>
      </c>
      <c r="O249" s="20">
        <f>COUNTIFS(tData[SEHTrajectPeriodeDatumTijdVan],"&lt;="&amp;($A249+11/24),tData[SEHTrajectPeriodeDatumTijdTotEnMet],"&gt;"&amp;($A249+11/24))</f>
        <v/>
      </c>
      <c r="P249" s="20">
        <f>COUNTIFS(tData[SEHTrajectPeriodeDatumTijdVan],"&lt;="&amp;($A249+12/24),tData[SEHTrajectPeriodeDatumTijdTotEnMet],"&gt;"&amp;($A249+12/24))</f>
        <v/>
      </c>
      <c r="Q249" s="20">
        <f>COUNTIFS(tData[SEHTrajectPeriodeDatumTijdVan],"&lt;="&amp;($A249+13/24),tData[SEHTrajectPeriodeDatumTijdTotEnMet],"&gt;"&amp;($A249+13/24))</f>
        <v/>
      </c>
      <c r="R249" s="20">
        <f>COUNTIFS(tData[SEHTrajectPeriodeDatumTijdVan],"&lt;="&amp;($A249+14/24),tData[SEHTrajectPeriodeDatumTijdTotEnMet],"&gt;"&amp;($A249+14/24))</f>
        <v/>
      </c>
      <c r="S249" s="20">
        <f>COUNTIFS(tData[SEHTrajectPeriodeDatumTijdVan],"&lt;="&amp;($A249+15/24),tData[SEHTrajectPeriodeDatumTijdTotEnMet],"&gt;"&amp;($A249+15/24))</f>
        <v/>
      </c>
      <c r="T249" s="20">
        <f>COUNTIFS(tData[SEHTrajectPeriodeDatumTijdVan],"&lt;="&amp;($A249+16/24),tData[SEHTrajectPeriodeDatumTijdTotEnMet],"&gt;"&amp;($A249+16/24))</f>
        <v/>
      </c>
      <c r="U249" s="20">
        <f>COUNTIFS(tData[SEHTrajectPeriodeDatumTijdVan],"&lt;="&amp;($A249+17/24),tData[SEHTrajectPeriodeDatumTijdTotEnMet],"&gt;"&amp;($A249+17/24))</f>
        <v/>
      </c>
      <c r="V249" s="20">
        <f>COUNTIFS(tData[SEHTrajectPeriodeDatumTijdVan],"&lt;="&amp;($A249+18/24),tData[SEHTrajectPeriodeDatumTijdTotEnMet],"&gt;"&amp;($A249+18/24))</f>
        <v/>
      </c>
      <c r="W249" s="20">
        <f>COUNTIFS(tData[SEHTrajectPeriodeDatumTijdVan],"&lt;="&amp;($A249+19/24),tData[SEHTrajectPeriodeDatumTijdTotEnMet],"&gt;"&amp;($A249+19/24))</f>
        <v/>
      </c>
      <c r="X249" s="20">
        <f>COUNTIFS(tData[SEHTrajectPeriodeDatumTijdVan],"&lt;="&amp;($A249+20/24),tData[SEHTrajectPeriodeDatumTijdTotEnMet],"&gt;"&amp;($A249+20/24))</f>
        <v/>
      </c>
      <c r="Y249" s="20">
        <f>COUNTIFS(tData[SEHTrajectPeriodeDatumTijdVan],"&lt;="&amp;($A249+21/24),tData[SEHTrajectPeriodeDatumTijdTotEnMet],"&gt;"&amp;($A249+21/24))</f>
        <v/>
      </c>
      <c r="Z249" s="20">
        <f>COUNTIFS(tData[SEHTrajectPeriodeDatumTijdVan],"&lt;="&amp;($A249+22/24),tData[SEHTrajectPeriodeDatumTijdTotEnMet],"&gt;"&amp;($A249+22/24))</f>
        <v/>
      </c>
      <c r="AA249" s="20">
        <f>COUNTIFS(tData[SEHTrajectPeriodeDatumTijdVan],"&lt;="&amp;($A249+23/24),tData[SEHTrajectPeriodeDatumTijdTotEnMet],"&gt;"&amp;($A249+23/24))</f>
        <v/>
      </c>
    </row>
    <row r="250">
      <c r="A250" s="19" t="n">
        <v>45538</v>
      </c>
      <c r="B250" s="15">
        <f>WEEKDAY($A250,2)</f>
        <v/>
      </c>
      <c r="C250" s="15">
        <f>IF(AND($A250&gt;=INT(Instellingen!$B$5),$A250&lt;=INT(Instellingen!$B$6)),1,0)</f>
        <v/>
      </c>
      <c r="D250" s="20">
        <f>COUNTIFS(tData[SEHTrajectPeriodeDatumTijdVan],"&lt;="&amp;($A250+0/24),tData[SEHTrajectPeriodeDatumTijdTotEnMet],"&gt;"&amp;($A250+0/24))</f>
        <v/>
      </c>
      <c r="E250" s="20">
        <f>COUNTIFS(tData[SEHTrajectPeriodeDatumTijdVan],"&lt;="&amp;($A250+1/24),tData[SEHTrajectPeriodeDatumTijdTotEnMet],"&gt;"&amp;($A250+1/24))</f>
        <v/>
      </c>
      <c r="F250" s="20">
        <f>COUNTIFS(tData[SEHTrajectPeriodeDatumTijdVan],"&lt;="&amp;($A250+2/24),tData[SEHTrajectPeriodeDatumTijdTotEnMet],"&gt;"&amp;($A250+2/24))</f>
        <v/>
      </c>
      <c r="G250" s="20">
        <f>COUNTIFS(tData[SEHTrajectPeriodeDatumTijdVan],"&lt;="&amp;($A250+3/24),tData[SEHTrajectPeriodeDatumTijdTotEnMet],"&gt;"&amp;($A250+3/24))</f>
        <v/>
      </c>
      <c r="H250" s="20">
        <f>COUNTIFS(tData[SEHTrajectPeriodeDatumTijdVan],"&lt;="&amp;($A250+4/24),tData[SEHTrajectPeriodeDatumTijdTotEnMet],"&gt;"&amp;($A250+4/24))</f>
        <v/>
      </c>
      <c r="I250" s="20">
        <f>COUNTIFS(tData[SEHTrajectPeriodeDatumTijdVan],"&lt;="&amp;($A250+5/24),tData[SEHTrajectPeriodeDatumTijdTotEnMet],"&gt;"&amp;($A250+5/24))</f>
        <v/>
      </c>
      <c r="J250" s="20">
        <f>COUNTIFS(tData[SEHTrajectPeriodeDatumTijdVan],"&lt;="&amp;($A250+6/24),tData[SEHTrajectPeriodeDatumTijdTotEnMet],"&gt;"&amp;($A250+6/24))</f>
        <v/>
      </c>
      <c r="K250" s="20">
        <f>COUNTIFS(tData[SEHTrajectPeriodeDatumTijdVan],"&lt;="&amp;($A250+7/24),tData[SEHTrajectPeriodeDatumTijdTotEnMet],"&gt;"&amp;($A250+7/24))</f>
        <v/>
      </c>
      <c r="L250" s="20">
        <f>COUNTIFS(tData[SEHTrajectPeriodeDatumTijdVan],"&lt;="&amp;($A250+8/24),tData[SEHTrajectPeriodeDatumTijdTotEnMet],"&gt;"&amp;($A250+8/24))</f>
        <v/>
      </c>
      <c r="M250" s="20">
        <f>COUNTIFS(tData[SEHTrajectPeriodeDatumTijdVan],"&lt;="&amp;($A250+9/24),tData[SEHTrajectPeriodeDatumTijdTotEnMet],"&gt;"&amp;($A250+9/24))</f>
        <v/>
      </c>
      <c r="N250" s="20">
        <f>COUNTIFS(tData[SEHTrajectPeriodeDatumTijdVan],"&lt;="&amp;($A250+10/24),tData[SEHTrajectPeriodeDatumTijdTotEnMet],"&gt;"&amp;($A250+10/24))</f>
        <v/>
      </c>
      <c r="O250" s="20">
        <f>COUNTIFS(tData[SEHTrajectPeriodeDatumTijdVan],"&lt;="&amp;($A250+11/24),tData[SEHTrajectPeriodeDatumTijdTotEnMet],"&gt;"&amp;($A250+11/24))</f>
        <v/>
      </c>
      <c r="P250" s="20">
        <f>COUNTIFS(tData[SEHTrajectPeriodeDatumTijdVan],"&lt;="&amp;($A250+12/24),tData[SEHTrajectPeriodeDatumTijdTotEnMet],"&gt;"&amp;($A250+12/24))</f>
        <v/>
      </c>
      <c r="Q250" s="20">
        <f>COUNTIFS(tData[SEHTrajectPeriodeDatumTijdVan],"&lt;="&amp;($A250+13/24),tData[SEHTrajectPeriodeDatumTijdTotEnMet],"&gt;"&amp;($A250+13/24))</f>
        <v/>
      </c>
      <c r="R250" s="20">
        <f>COUNTIFS(tData[SEHTrajectPeriodeDatumTijdVan],"&lt;="&amp;($A250+14/24),tData[SEHTrajectPeriodeDatumTijdTotEnMet],"&gt;"&amp;($A250+14/24))</f>
        <v/>
      </c>
      <c r="S250" s="20">
        <f>COUNTIFS(tData[SEHTrajectPeriodeDatumTijdVan],"&lt;="&amp;($A250+15/24),tData[SEHTrajectPeriodeDatumTijdTotEnMet],"&gt;"&amp;($A250+15/24))</f>
        <v/>
      </c>
      <c r="T250" s="20">
        <f>COUNTIFS(tData[SEHTrajectPeriodeDatumTijdVan],"&lt;="&amp;($A250+16/24),tData[SEHTrajectPeriodeDatumTijdTotEnMet],"&gt;"&amp;($A250+16/24))</f>
        <v/>
      </c>
      <c r="U250" s="20">
        <f>COUNTIFS(tData[SEHTrajectPeriodeDatumTijdVan],"&lt;="&amp;($A250+17/24),tData[SEHTrajectPeriodeDatumTijdTotEnMet],"&gt;"&amp;($A250+17/24))</f>
        <v/>
      </c>
      <c r="V250" s="20">
        <f>COUNTIFS(tData[SEHTrajectPeriodeDatumTijdVan],"&lt;="&amp;($A250+18/24),tData[SEHTrajectPeriodeDatumTijdTotEnMet],"&gt;"&amp;($A250+18/24))</f>
        <v/>
      </c>
      <c r="W250" s="20">
        <f>COUNTIFS(tData[SEHTrajectPeriodeDatumTijdVan],"&lt;="&amp;($A250+19/24),tData[SEHTrajectPeriodeDatumTijdTotEnMet],"&gt;"&amp;($A250+19/24))</f>
        <v/>
      </c>
      <c r="X250" s="20">
        <f>COUNTIFS(tData[SEHTrajectPeriodeDatumTijdVan],"&lt;="&amp;($A250+20/24),tData[SEHTrajectPeriodeDatumTijdTotEnMet],"&gt;"&amp;($A250+20/24))</f>
        <v/>
      </c>
      <c r="Y250" s="20">
        <f>COUNTIFS(tData[SEHTrajectPeriodeDatumTijdVan],"&lt;="&amp;($A250+21/24),tData[SEHTrajectPeriodeDatumTijdTotEnMet],"&gt;"&amp;($A250+21/24))</f>
        <v/>
      </c>
      <c r="Z250" s="20">
        <f>COUNTIFS(tData[SEHTrajectPeriodeDatumTijdVan],"&lt;="&amp;($A250+22/24),tData[SEHTrajectPeriodeDatumTijdTotEnMet],"&gt;"&amp;($A250+22/24))</f>
        <v/>
      </c>
      <c r="AA250" s="20">
        <f>COUNTIFS(tData[SEHTrajectPeriodeDatumTijdVan],"&lt;="&amp;($A250+23/24),tData[SEHTrajectPeriodeDatumTijdTotEnMet],"&gt;"&amp;($A250+23/24))</f>
        <v/>
      </c>
    </row>
    <row r="251">
      <c r="A251" s="19" t="n">
        <v>45539</v>
      </c>
      <c r="B251" s="15">
        <f>WEEKDAY($A251,2)</f>
        <v/>
      </c>
      <c r="C251" s="15">
        <f>IF(AND($A251&gt;=INT(Instellingen!$B$5),$A251&lt;=INT(Instellingen!$B$6)),1,0)</f>
        <v/>
      </c>
      <c r="D251" s="20">
        <f>COUNTIFS(tData[SEHTrajectPeriodeDatumTijdVan],"&lt;="&amp;($A251+0/24),tData[SEHTrajectPeriodeDatumTijdTotEnMet],"&gt;"&amp;($A251+0/24))</f>
        <v/>
      </c>
      <c r="E251" s="20">
        <f>COUNTIFS(tData[SEHTrajectPeriodeDatumTijdVan],"&lt;="&amp;($A251+1/24),tData[SEHTrajectPeriodeDatumTijdTotEnMet],"&gt;"&amp;($A251+1/24))</f>
        <v/>
      </c>
      <c r="F251" s="20">
        <f>COUNTIFS(tData[SEHTrajectPeriodeDatumTijdVan],"&lt;="&amp;($A251+2/24),tData[SEHTrajectPeriodeDatumTijdTotEnMet],"&gt;"&amp;($A251+2/24))</f>
        <v/>
      </c>
      <c r="G251" s="20">
        <f>COUNTIFS(tData[SEHTrajectPeriodeDatumTijdVan],"&lt;="&amp;($A251+3/24),tData[SEHTrajectPeriodeDatumTijdTotEnMet],"&gt;"&amp;($A251+3/24))</f>
        <v/>
      </c>
      <c r="H251" s="20">
        <f>COUNTIFS(tData[SEHTrajectPeriodeDatumTijdVan],"&lt;="&amp;($A251+4/24),tData[SEHTrajectPeriodeDatumTijdTotEnMet],"&gt;"&amp;($A251+4/24))</f>
        <v/>
      </c>
      <c r="I251" s="20">
        <f>COUNTIFS(tData[SEHTrajectPeriodeDatumTijdVan],"&lt;="&amp;($A251+5/24),tData[SEHTrajectPeriodeDatumTijdTotEnMet],"&gt;"&amp;($A251+5/24))</f>
        <v/>
      </c>
      <c r="J251" s="20">
        <f>COUNTIFS(tData[SEHTrajectPeriodeDatumTijdVan],"&lt;="&amp;($A251+6/24),tData[SEHTrajectPeriodeDatumTijdTotEnMet],"&gt;"&amp;($A251+6/24))</f>
        <v/>
      </c>
      <c r="K251" s="20">
        <f>COUNTIFS(tData[SEHTrajectPeriodeDatumTijdVan],"&lt;="&amp;($A251+7/24),tData[SEHTrajectPeriodeDatumTijdTotEnMet],"&gt;"&amp;($A251+7/24))</f>
        <v/>
      </c>
      <c r="L251" s="20">
        <f>COUNTIFS(tData[SEHTrajectPeriodeDatumTijdVan],"&lt;="&amp;($A251+8/24),tData[SEHTrajectPeriodeDatumTijdTotEnMet],"&gt;"&amp;($A251+8/24))</f>
        <v/>
      </c>
      <c r="M251" s="20">
        <f>COUNTIFS(tData[SEHTrajectPeriodeDatumTijdVan],"&lt;="&amp;($A251+9/24),tData[SEHTrajectPeriodeDatumTijdTotEnMet],"&gt;"&amp;($A251+9/24))</f>
        <v/>
      </c>
      <c r="N251" s="20">
        <f>COUNTIFS(tData[SEHTrajectPeriodeDatumTijdVan],"&lt;="&amp;($A251+10/24),tData[SEHTrajectPeriodeDatumTijdTotEnMet],"&gt;"&amp;($A251+10/24))</f>
        <v/>
      </c>
      <c r="O251" s="20">
        <f>COUNTIFS(tData[SEHTrajectPeriodeDatumTijdVan],"&lt;="&amp;($A251+11/24),tData[SEHTrajectPeriodeDatumTijdTotEnMet],"&gt;"&amp;($A251+11/24))</f>
        <v/>
      </c>
      <c r="P251" s="20">
        <f>COUNTIFS(tData[SEHTrajectPeriodeDatumTijdVan],"&lt;="&amp;($A251+12/24),tData[SEHTrajectPeriodeDatumTijdTotEnMet],"&gt;"&amp;($A251+12/24))</f>
        <v/>
      </c>
      <c r="Q251" s="20">
        <f>COUNTIFS(tData[SEHTrajectPeriodeDatumTijdVan],"&lt;="&amp;($A251+13/24),tData[SEHTrajectPeriodeDatumTijdTotEnMet],"&gt;"&amp;($A251+13/24))</f>
        <v/>
      </c>
      <c r="R251" s="20">
        <f>COUNTIFS(tData[SEHTrajectPeriodeDatumTijdVan],"&lt;="&amp;($A251+14/24),tData[SEHTrajectPeriodeDatumTijdTotEnMet],"&gt;"&amp;($A251+14/24))</f>
        <v/>
      </c>
      <c r="S251" s="20">
        <f>COUNTIFS(tData[SEHTrajectPeriodeDatumTijdVan],"&lt;="&amp;($A251+15/24),tData[SEHTrajectPeriodeDatumTijdTotEnMet],"&gt;"&amp;($A251+15/24))</f>
        <v/>
      </c>
      <c r="T251" s="20">
        <f>COUNTIFS(tData[SEHTrajectPeriodeDatumTijdVan],"&lt;="&amp;($A251+16/24),tData[SEHTrajectPeriodeDatumTijdTotEnMet],"&gt;"&amp;($A251+16/24))</f>
        <v/>
      </c>
      <c r="U251" s="20">
        <f>COUNTIFS(tData[SEHTrajectPeriodeDatumTijdVan],"&lt;="&amp;($A251+17/24),tData[SEHTrajectPeriodeDatumTijdTotEnMet],"&gt;"&amp;($A251+17/24))</f>
        <v/>
      </c>
      <c r="V251" s="20">
        <f>COUNTIFS(tData[SEHTrajectPeriodeDatumTijdVan],"&lt;="&amp;($A251+18/24),tData[SEHTrajectPeriodeDatumTijdTotEnMet],"&gt;"&amp;($A251+18/24))</f>
        <v/>
      </c>
      <c r="W251" s="20">
        <f>COUNTIFS(tData[SEHTrajectPeriodeDatumTijdVan],"&lt;="&amp;($A251+19/24),tData[SEHTrajectPeriodeDatumTijdTotEnMet],"&gt;"&amp;($A251+19/24))</f>
        <v/>
      </c>
      <c r="X251" s="20">
        <f>COUNTIFS(tData[SEHTrajectPeriodeDatumTijdVan],"&lt;="&amp;($A251+20/24),tData[SEHTrajectPeriodeDatumTijdTotEnMet],"&gt;"&amp;($A251+20/24))</f>
        <v/>
      </c>
      <c r="Y251" s="20">
        <f>COUNTIFS(tData[SEHTrajectPeriodeDatumTijdVan],"&lt;="&amp;($A251+21/24),tData[SEHTrajectPeriodeDatumTijdTotEnMet],"&gt;"&amp;($A251+21/24))</f>
        <v/>
      </c>
      <c r="Z251" s="20">
        <f>COUNTIFS(tData[SEHTrajectPeriodeDatumTijdVan],"&lt;="&amp;($A251+22/24),tData[SEHTrajectPeriodeDatumTijdTotEnMet],"&gt;"&amp;($A251+22/24))</f>
        <v/>
      </c>
      <c r="AA251" s="20">
        <f>COUNTIFS(tData[SEHTrajectPeriodeDatumTijdVan],"&lt;="&amp;($A251+23/24),tData[SEHTrajectPeriodeDatumTijdTotEnMet],"&gt;"&amp;($A251+23/24))</f>
        <v/>
      </c>
    </row>
    <row r="252">
      <c r="A252" s="19" t="n">
        <v>45540</v>
      </c>
      <c r="B252" s="15">
        <f>WEEKDAY($A252,2)</f>
        <v/>
      </c>
      <c r="C252" s="15">
        <f>IF(AND($A252&gt;=INT(Instellingen!$B$5),$A252&lt;=INT(Instellingen!$B$6)),1,0)</f>
        <v/>
      </c>
      <c r="D252" s="20">
        <f>COUNTIFS(tData[SEHTrajectPeriodeDatumTijdVan],"&lt;="&amp;($A252+0/24),tData[SEHTrajectPeriodeDatumTijdTotEnMet],"&gt;"&amp;($A252+0/24))</f>
        <v/>
      </c>
      <c r="E252" s="20">
        <f>COUNTIFS(tData[SEHTrajectPeriodeDatumTijdVan],"&lt;="&amp;($A252+1/24),tData[SEHTrajectPeriodeDatumTijdTotEnMet],"&gt;"&amp;($A252+1/24))</f>
        <v/>
      </c>
      <c r="F252" s="20">
        <f>COUNTIFS(tData[SEHTrajectPeriodeDatumTijdVan],"&lt;="&amp;($A252+2/24),tData[SEHTrajectPeriodeDatumTijdTotEnMet],"&gt;"&amp;($A252+2/24))</f>
        <v/>
      </c>
      <c r="G252" s="20">
        <f>COUNTIFS(tData[SEHTrajectPeriodeDatumTijdVan],"&lt;="&amp;($A252+3/24),tData[SEHTrajectPeriodeDatumTijdTotEnMet],"&gt;"&amp;($A252+3/24))</f>
        <v/>
      </c>
      <c r="H252" s="20">
        <f>COUNTIFS(tData[SEHTrajectPeriodeDatumTijdVan],"&lt;="&amp;($A252+4/24),tData[SEHTrajectPeriodeDatumTijdTotEnMet],"&gt;"&amp;($A252+4/24))</f>
        <v/>
      </c>
      <c r="I252" s="20">
        <f>COUNTIFS(tData[SEHTrajectPeriodeDatumTijdVan],"&lt;="&amp;($A252+5/24),tData[SEHTrajectPeriodeDatumTijdTotEnMet],"&gt;"&amp;($A252+5/24))</f>
        <v/>
      </c>
      <c r="J252" s="20">
        <f>COUNTIFS(tData[SEHTrajectPeriodeDatumTijdVan],"&lt;="&amp;($A252+6/24),tData[SEHTrajectPeriodeDatumTijdTotEnMet],"&gt;"&amp;($A252+6/24))</f>
        <v/>
      </c>
      <c r="K252" s="20">
        <f>COUNTIFS(tData[SEHTrajectPeriodeDatumTijdVan],"&lt;="&amp;($A252+7/24),tData[SEHTrajectPeriodeDatumTijdTotEnMet],"&gt;"&amp;($A252+7/24))</f>
        <v/>
      </c>
      <c r="L252" s="20">
        <f>COUNTIFS(tData[SEHTrajectPeriodeDatumTijdVan],"&lt;="&amp;($A252+8/24),tData[SEHTrajectPeriodeDatumTijdTotEnMet],"&gt;"&amp;($A252+8/24))</f>
        <v/>
      </c>
      <c r="M252" s="20">
        <f>COUNTIFS(tData[SEHTrajectPeriodeDatumTijdVan],"&lt;="&amp;($A252+9/24),tData[SEHTrajectPeriodeDatumTijdTotEnMet],"&gt;"&amp;($A252+9/24))</f>
        <v/>
      </c>
      <c r="N252" s="20">
        <f>COUNTIFS(tData[SEHTrajectPeriodeDatumTijdVan],"&lt;="&amp;($A252+10/24),tData[SEHTrajectPeriodeDatumTijdTotEnMet],"&gt;"&amp;($A252+10/24))</f>
        <v/>
      </c>
      <c r="O252" s="20">
        <f>COUNTIFS(tData[SEHTrajectPeriodeDatumTijdVan],"&lt;="&amp;($A252+11/24),tData[SEHTrajectPeriodeDatumTijdTotEnMet],"&gt;"&amp;($A252+11/24))</f>
        <v/>
      </c>
      <c r="P252" s="20">
        <f>COUNTIFS(tData[SEHTrajectPeriodeDatumTijdVan],"&lt;="&amp;($A252+12/24),tData[SEHTrajectPeriodeDatumTijdTotEnMet],"&gt;"&amp;($A252+12/24))</f>
        <v/>
      </c>
      <c r="Q252" s="20">
        <f>COUNTIFS(tData[SEHTrajectPeriodeDatumTijdVan],"&lt;="&amp;($A252+13/24),tData[SEHTrajectPeriodeDatumTijdTotEnMet],"&gt;"&amp;($A252+13/24))</f>
        <v/>
      </c>
      <c r="R252" s="20">
        <f>COUNTIFS(tData[SEHTrajectPeriodeDatumTijdVan],"&lt;="&amp;($A252+14/24),tData[SEHTrajectPeriodeDatumTijdTotEnMet],"&gt;"&amp;($A252+14/24))</f>
        <v/>
      </c>
      <c r="S252" s="20">
        <f>COUNTIFS(tData[SEHTrajectPeriodeDatumTijdVan],"&lt;="&amp;($A252+15/24),tData[SEHTrajectPeriodeDatumTijdTotEnMet],"&gt;"&amp;($A252+15/24))</f>
        <v/>
      </c>
      <c r="T252" s="20">
        <f>COUNTIFS(tData[SEHTrajectPeriodeDatumTijdVan],"&lt;="&amp;($A252+16/24),tData[SEHTrajectPeriodeDatumTijdTotEnMet],"&gt;"&amp;($A252+16/24))</f>
        <v/>
      </c>
      <c r="U252" s="20">
        <f>COUNTIFS(tData[SEHTrajectPeriodeDatumTijdVan],"&lt;="&amp;($A252+17/24),tData[SEHTrajectPeriodeDatumTijdTotEnMet],"&gt;"&amp;($A252+17/24))</f>
        <v/>
      </c>
      <c r="V252" s="20">
        <f>COUNTIFS(tData[SEHTrajectPeriodeDatumTijdVan],"&lt;="&amp;($A252+18/24),tData[SEHTrajectPeriodeDatumTijdTotEnMet],"&gt;"&amp;($A252+18/24))</f>
        <v/>
      </c>
      <c r="W252" s="20">
        <f>COUNTIFS(tData[SEHTrajectPeriodeDatumTijdVan],"&lt;="&amp;($A252+19/24),tData[SEHTrajectPeriodeDatumTijdTotEnMet],"&gt;"&amp;($A252+19/24))</f>
        <v/>
      </c>
      <c r="X252" s="20">
        <f>COUNTIFS(tData[SEHTrajectPeriodeDatumTijdVan],"&lt;="&amp;($A252+20/24),tData[SEHTrajectPeriodeDatumTijdTotEnMet],"&gt;"&amp;($A252+20/24))</f>
        <v/>
      </c>
      <c r="Y252" s="20">
        <f>COUNTIFS(tData[SEHTrajectPeriodeDatumTijdVan],"&lt;="&amp;($A252+21/24),tData[SEHTrajectPeriodeDatumTijdTotEnMet],"&gt;"&amp;($A252+21/24))</f>
        <v/>
      </c>
      <c r="Z252" s="20">
        <f>COUNTIFS(tData[SEHTrajectPeriodeDatumTijdVan],"&lt;="&amp;($A252+22/24),tData[SEHTrajectPeriodeDatumTijdTotEnMet],"&gt;"&amp;($A252+22/24))</f>
        <v/>
      </c>
      <c r="AA252" s="20">
        <f>COUNTIFS(tData[SEHTrajectPeriodeDatumTijdVan],"&lt;="&amp;($A252+23/24),tData[SEHTrajectPeriodeDatumTijdTotEnMet],"&gt;"&amp;($A252+23/24))</f>
        <v/>
      </c>
    </row>
    <row r="253">
      <c r="A253" s="19" t="n">
        <v>45541</v>
      </c>
      <c r="B253" s="15">
        <f>WEEKDAY($A253,2)</f>
        <v/>
      </c>
      <c r="C253" s="15">
        <f>IF(AND($A253&gt;=INT(Instellingen!$B$5),$A253&lt;=INT(Instellingen!$B$6)),1,0)</f>
        <v/>
      </c>
      <c r="D253" s="20">
        <f>COUNTIFS(tData[SEHTrajectPeriodeDatumTijdVan],"&lt;="&amp;($A253+0/24),tData[SEHTrajectPeriodeDatumTijdTotEnMet],"&gt;"&amp;($A253+0/24))</f>
        <v/>
      </c>
      <c r="E253" s="20">
        <f>COUNTIFS(tData[SEHTrajectPeriodeDatumTijdVan],"&lt;="&amp;($A253+1/24),tData[SEHTrajectPeriodeDatumTijdTotEnMet],"&gt;"&amp;($A253+1/24))</f>
        <v/>
      </c>
      <c r="F253" s="20">
        <f>COUNTIFS(tData[SEHTrajectPeriodeDatumTijdVan],"&lt;="&amp;($A253+2/24),tData[SEHTrajectPeriodeDatumTijdTotEnMet],"&gt;"&amp;($A253+2/24))</f>
        <v/>
      </c>
      <c r="G253" s="20">
        <f>COUNTIFS(tData[SEHTrajectPeriodeDatumTijdVan],"&lt;="&amp;($A253+3/24),tData[SEHTrajectPeriodeDatumTijdTotEnMet],"&gt;"&amp;($A253+3/24))</f>
        <v/>
      </c>
      <c r="H253" s="20">
        <f>COUNTIFS(tData[SEHTrajectPeriodeDatumTijdVan],"&lt;="&amp;($A253+4/24),tData[SEHTrajectPeriodeDatumTijdTotEnMet],"&gt;"&amp;($A253+4/24))</f>
        <v/>
      </c>
      <c r="I253" s="20">
        <f>COUNTIFS(tData[SEHTrajectPeriodeDatumTijdVan],"&lt;="&amp;($A253+5/24),tData[SEHTrajectPeriodeDatumTijdTotEnMet],"&gt;"&amp;($A253+5/24))</f>
        <v/>
      </c>
      <c r="J253" s="20">
        <f>COUNTIFS(tData[SEHTrajectPeriodeDatumTijdVan],"&lt;="&amp;($A253+6/24),tData[SEHTrajectPeriodeDatumTijdTotEnMet],"&gt;"&amp;($A253+6/24))</f>
        <v/>
      </c>
      <c r="K253" s="20">
        <f>COUNTIFS(tData[SEHTrajectPeriodeDatumTijdVan],"&lt;="&amp;($A253+7/24),tData[SEHTrajectPeriodeDatumTijdTotEnMet],"&gt;"&amp;($A253+7/24))</f>
        <v/>
      </c>
      <c r="L253" s="20">
        <f>COUNTIFS(tData[SEHTrajectPeriodeDatumTijdVan],"&lt;="&amp;($A253+8/24),tData[SEHTrajectPeriodeDatumTijdTotEnMet],"&gt;"&amp;($A253+8/24))</f>
        <v/>
      </c>
      <c r="M253" s="20">
        <f>COUNTIFS(tData[SEHTrajectPeriodeDatumTijdVan],"&lt;="&amp;($A253+9/24),tData[SEHTrajectPeriodeDatumTijdTotEnMet],"&gt;"&amp;($A253+9/24))</f>
        <v/>
      </c>
      <c r="N253" s="20">
        <f>COUNTIFS(tData[SEHTrajectPeriodeDatumTijdVan],"&lt;="&amp;($A253+10/24),tData[SEHTrajectPeriodeDatumTijdTotEnMet],"&gt;"&amp;($A253+10/24))</f>
        <v/>
      </c>
      <c r="O253" s="20">
        <f>COUNTIFS(tData[SEHTrajectPeriodeDatumTijdVan],"&lt;="&amp;($A253+11/24),tData[SEHTrajectPeriodeDatumTijdTotEnMet],"&gt;"&amp;($A253+11/24))</f>
        <v/>
      </c>
      <c r="P253" s="20">
        <f>COUNTIFS(tData[SEHTrajectPeriodeDatumTijdVan],"&lt;="&amp;($A253+12/24),tData[SEHTrajectPeriodeDatumTijdTotEnMet],"&gt;"&amp;($A253+12/24))</f>
        <v/>
      </c>
      <c r="Q253" s="20">
        <f>COUNTIFS(tData[SEHTrajectPeriodeDatumTijdVan],"&lt;="&amp;($A253+13/24),tData[SEHTrajectPeriodeDatumTijdTotEnMet],"&gt;"&amp;($A253+13/24))</f>
        <v/>
      </c>
      <c r="R253" s="20">
        <f>COUNTIFS(tData[SEHTrajectPeriodeDatumTijdVan],"&lt;="&amp;($A253+14/24),tData[SEHTrajectPeriodeDatumTijdTotEnMet],"&gt;"&amp;($A253+14/24))</f>
        <v/>
      </c>
      <c r="S253" s="20">
        <f>COUNTIFS(tData[SEHTrajectPeriodeDatumTijdVan],"&lt;="&amp;($A253+15/24),tData[SEHTrajectPeriodeDatumTijdTotEnMet],"&gt;"&amp;($A253+15/24))</f>
        <v/>
      </c>
      <c r="T253" s="20">
        <f>COUNTIFS(tData[SEHTrajectPeriodeDatumTijdVan],"&lt;="&amp;($A253+16/24),tData[SEHTrajectPeriodeDatumTijdTotEnMet],"&gt;"&amp;($A253+16/24))</f>
        <v/>
      </c>
      <c r="U253" s="20">
        <f>COUNTIFS(tData[SEHTrajectPeriodeDatumTijdVan],"&lt;="&amp;($A253+17/24),tData[SEHTrajectPeriodeDatumTijdTotEnMet],"&gt;"&amp;($A253+17/24))</f>
        <v/>
      </c>
      <c r="V253" s="20">
        <f>COUNTIFS(tData[SEHTrajectPeriodeDatumTijdVan],"&lt;="&amp;($A253+18/24),tData[SEHTrajectPeriodeDatumTijdTotEnMet],"&gt;"&amp;($A253+18/24))</f>
        <v/>
      </c>
      <c r="W253" s="20">
        <f>COUNTIFS(tData[SEHTrajectPeriodeDatumTijdVan],"&lt;="&amp;($A253+19/24),tData[SEHTrajectPeriodeDatumTijdTotEnMet],"&gt;"&amp;($A253+19/24))</f>
        <v/>
      </c>
      <c r="X253" s="20">
        <f>COUNTIFS(tData[SEHTrajectPeriodeDatumTijdVan],"&lt;="&amp;($A253+20/24),tData[SEHTrajectPeriodeDatumTijdTotEnMet],"&gt;"&amp;($A253+20/24))</f>
        <v/>
      </c>
      <c r="Y253" s="20">
        <f>COUNTIFS(tData[SEHTrajectPeriodeDatumTijdVan],"&lt;="&amp;($A253+21/24),tData[SEHTrajectPeriodeDatumTijdTotEnMet],"&gt;"&amp;($A253+21/24))</f>
        <v/>
      </c>
      <c r="Z253" s="20">
        <f>COUNTIFS(tData[SEHTrajectPeriodeDatumTijdVan],"&lt;="&amp;($A253+22/24),tData[SEHTrajectPeriodeDatumTijdTotEnMet],"&gt;"&amp;($A253+22/24))</f>
        <v/>
      </c>
      <c r="AA253" s="20">
        <f>COUNTIFS(tData[SEHTrajectPeriodeDatumTijdVan],"&lt;="&amp;($A253+23/24),tData[SEHTrajectPeriodeDatumTijdTotEnMet],"&gt;"&amp;($A253+23/24))</f>
        <v/>
      </c>
    </row>
    <row r="254">
      <c r="A254" s="19" t="n">
        <v>45542</v>
      </c>
      <c r="B254" s="15">
        <f>WEEKDAY($A254,2)</f>
        <v/>
      </c>
      <c r="C254" s="15">
        <f>IF(AND($A254&gt;=INT(Instellingen!$B$5),$A254&lt;=INT(Instellingen!$B$6)),1,0)</f>
        <v/>
      </c>
      <c r="D254" s="20">
        <f>COUNTIFS(tData[SEHTrajectPeriodeDatumTijdVan],"&lt;="&amp;($A254+0/24),tData[SEHTrajectPeriodeDatumTijdTotEnMet],"&gt;"&amp;($A254+0/24))</f>
        <v/>
      </c>
      <c r="E254" s="20">
        <f>COUNTIFS(tData[SEHTrajectPeriodeDatumTijdVan],"&lt;="&amp;($A254+1/24),tData[SEHTrajectPeriodeDatumTijdTotEnMet],"&gt;"&amp;($A254+1/24))</f>
        <v/>
      </c>
      <c r="F254" s="20">
        <f>COUNTIFS(tData[SEHTrajectPeriodeDatumTijdVan],"&lt;="&amp;($A254+2/24),tData[SEHTrajectPeriodeDatumTijdTotEnMet],"&gt;"&amp;($A254+2/24))</f>
        <v/>
      </c>
      <c r="G254" s="20">
        <f>COUNTIFS(tData[SEHTrajectPeriodeDatumTijdVan],"&lt;="&amp;($A254+3/24),tData[SEHTrajectPeriodeDatumTijdTotEnMet],"&gt;"&amp;($A254+3/24))</f>
        <v/>
      </c>
      <c r="H254" s="20">
        <f>COUNTIFS(tData[SEHTrajectPeriodeDatumTijdVan],"&lt;="&amp;($A254+4/24),tData[SEHTrajectPeriodeDatumTijdTotEnMet],"&gt;"&amp;($A254+4/24))</f>
        <v/>
      </c>
      <c r="I254" s="20">
        <f>COUNTIFS(tData[SEHTrajectPeriodeDatumTijdVan],"&lt;="&amp;($A254+5/24),tData[SEHTrajectPeriodeDatumTijdTotEnMet],"&gt;"&amp;($A254+5/24))</f>
        <v/>
      </c>
      <c r="J254" s="20">
        <f>COUNTIFS(tData[SEHTrajectPeriodeDatumTijdVan],"&lt;="&amp;($A254+6/24),tData[SEHTrajectPeriodeDatumTijdTotEnMet],"&gt;"&amp;($A254+6/24))</f>
        <v/>
      </c>
      <c r="K254" s="20">
        <f>COUNTIFS(tData[SEHTrajectPeriodeDatumTijdVan],"&lt;="&amp;($A254+7/24),tData[SEHTrajectPeriodeDatumTijdTotEnMet],"&gt;"&amp;($A254+7/24))</f>
        <v/>
      </c>
      <c r="L254" s="20">
        <f>COUNTIFS(tData[SEHTrajectPeriodeDatumTijdVan],"&lt;="&amp;($A254+8/24),tData[SEHTrajectPeriodeDatumTijdTotEnMet],"&gt;"&amp;($A254+8/24))</f>
        <v/>
      </c>
      <c r="M254" s="20">
        <f>COUNTIFS(tData[SEHTrajectPeriodeDatumTijdVan],"&lt;="&amp;($A254+9/24),tData[SEHTrajectPeriodeDatumTijdTotEnMet],"&gt;"&amp;($A254+9/24))</f>
        <v/>
      </c>
      <c r="N254" s="20">
        <f>COUNTIFS(tData[SEHTrajectPeriodeDatumTijdVan],"&lt;="&amp;($A254+10/24),tData[SEHTrajectPeriodeDatumTijdTotEnMet],"&gt;"&amp;($A254+10/24))</f>
        <v/>
      </c>
      <c r="O254" s="20">
        <f>COUNTIFS(tData[SEHTrajectPeriodeDatumTijdVan],"&lt;="&amp;($A254+11/24),tData[SEHTrajectPeriodeDatumTijdTotEnMet],"&gt;"&amp;($A254+11/24))</f>
        <v/>
      </c>
      <c r="P254" s="20">
        <f>COUNTIFS(tData[SEHTrajectPeriodeDatumTijdVan],"&lt;="&amp;($A254+12/24),tData[SEHTrajectPeriodeDatumTijdTotEnMet],"&gt;"&amp;($A254+12/24))</f>
        <v/>
      </c>
      <c r="Q254" s="20">
        <f>COUNTIFS(tData[SEHTrajectPeriodeDatumTijdVan],"&lt;="&amp;($A254+13/24),tData[SEHTrajectPeriodeDatumTijdTotEnMet],"&gt;"&amp;($A254+13/24))</f>
        <v/>
      </c>
      <c r="R254" s="20">
        <f>COUNTIFS(tData[SEHTrajectPeriodeDatumTijdVan],"&lt;="&amp;($A254+14/24),tData[SEHTrajectPeriodeDatumTijdTotEnMet],"&gt;"&amp;($A254+14/24))</f>
        <v/>
      </c>
      <c r="S254" s="20">
        <f>COUNTIFS(tData[SEHTrajectPeriodeDatumTijdVan],"&lt;="&amp;($A254+15/24),tData[SEHTrajectPeriodeDatumTijdTotEnMet],"&gt;"&amp;($A254+15/24))</f>
        <v/>
      </c>
      <c r="T254" s="20">
        <f>COUNTIFS(tData[SEHTrajectPeriodeDatumTijdVan],"&lt;="&amp;($A254+16/24),tData[SEHTrajectPeriodeDatumTijdTotEnMet],"&gt;"&amp;($A254+16/24))</f>
        <v/>
      </c>
      <c r="U254" s="20">
        <f>COUNTIFS(tData[SEHTrajectPeriodeDatumTijdVan],"&lt;="&amp;($A254+17/24),tData[SEHTrajectPeriodeDatumTijdTotEnMet],"&gt;"&amp;($A254+17/24))</f>
        <v/>
      </c>
      <c r="V254" s="20">
        <f>COUNTIFS(tData[SEHTrajectPeriodeDatumTijdVan],"&lt;="&amp;($A254+18/24),tData[SEHTrajectPeriodeDatumTijdTotEnMet],"&gt;"&amp;($A254+18/24))</f>
        <v/>
      </c>
      <c r="W254" s="20">
        <f>COUNTIFS(tData[SEHTrajectPeriodeDatumTijdVan],"&lt;="&amp;($A254+19/24),tData[SEHTrajectPeriodeDatumTijdTotEnMet],"&gt;"&amp;($A254+19/24))</f>
        <v/>
      </c>
      <c r="X254" s="20">
        <f>COUNTIFS(tData[SEHTrajectPeriodeDatumTijdVan],"&lt;="&amp;($A254+20/24),tData[SEHTrajectPeriodeDatumTijdTotEnMet],"&gt;"&amp;($A254+20/24))</f>
        <v/>
      </c>
      <c r="Y254" s="20">
        <f>COUNTIFS(tData[SEHTrajectPeriodeDatumTijdVan],"&lt;="&amp;($A254+21/24),tData[SEHTrajectPeriodeDatumTijdTotEnMet],"&gt;"&amp;($A254+21/24))</f>
        <v/>
      </c>
      <c r="Z254" s="20">
        <f>COUNTIFS(tData[SEHTrajectPeriodeDatumTijdVan],"&lt;="&amp;($A254+22/24),tData[SEHTrajectPeriodeDatumTijdTotEnMet],"&gt;"&amp;($A254+22/24))</f>
        <v/>
      </c>
      <c r="AA254" s="20">
        <f>COUNTIFS(tData[SEHTrajectPeriodeDatumTijdVan],"&lt;="&amp;($A254+23/24),tData[SEHTrajectPeriodeDatumTijdTotEnMet],"&gt;"&amp;($A254+23/24))</f>
        <v/>
      </c>
    </row>
    <row r="255">
      <c r="A255" s="19" t="n">
        <v>45543</v>
      </c>
      <c r="B255" s="15">
        <f>WEEKDAY($A255,2)</f>
        <v/>
      </c>
      <c r="C255" s="15">
        <f>IF(AND($A255&gt;=INT(Instellingen!$B$5),$A255&lt;=INT(Instellingen!$B$6)),1,0)</f>
        <v/>
      </c>
      <c r="D255" s="20">
        <f>COUNTIFS(tData[SEHTrajectPeriodeDatumTijdVan],"&lt;="&amp;($A255+0/24),tData[SEHTrajectPeriodeDatumTijdTotEnMet],"&gt;"&amp;($A255+0/24))</f>
        <v/>
      </c>
      <c r="E255" s="20">
        <f>COUNTIFS(tData[SEHTrajectPeriodeDatumTijdVan],"&lt;="&amp;($A255+1/24),tData[SEHTrajectPeriodeDatumTijdTotEnMet],"&gt;"&amp;($A255+1/24))</f>
        <v/>
      </c>
      <c r="F255" s="20">
        <f>COUNTIFS(tData[SEHTrajectPeriodeDatumTijdVan],"&lt;="&amp;($A255+2/24),tData[SEHTrajectPeriodeDatumTijdTotEnMet],"&gt;"&amp;($A255+2/24))</f>
        <v/>
      </c>
      <c r="G255" s="20">
        <f>COUNTIFS(tData[SEHTrajectPeriodeDatumTijdVan],"&lt;="&amp;($A255+3/24),tData[SEHTrajectPeriodeDatumTijdTotEnMet],"&gt;"&amp;($A255+3/24))</f>
        <v/>
      </c>
      <c r="H255" s="20">
        <f>COUNTIFS(tData[SEHTrajectPeriodeDatumTijdVan],"&lt;="&amp;($A255+4/24),tData[SEHTrajectPeriodeDatumTijdTotEnMet],"&gt;"&amp;($A255+4/24))</f>
        <v/>
      </c>
      <c r="I255" s="20">
        <f>COUNTIFS(tData[SEHTrajectPeriodeDatumTijdVan],"&lt;="&amp;($A255+5/24),tData[SEHTrajectPeriodeDatumTijdTotEnMet],"&gt;"&amp;($A255+5/24))</f>
        <v/>
      </c>
      <c r="J255" s="20">
        <f>COUNTIFS(tData[SEHTrajectPeriodeDatumTijdVan],"&lt;="&amp;($A255+6/24),tData[SEHTrajectPeriodeDatumTijdTotEnMet],"&gt;"&amp;($A255+6/24))</f>
        <v/>
      </c>
      <c r="K255" s="20">
        <f>COUNTIFS(tData[SEHTrajectPeriodeDatumTijdVan],"&lt;="&amp;($A255+7/24),tData[SEHTrajectPeriodeDatumTijdTotEnMet],"&gt;"&amp;($A255+7/24))</f>
        <v/>
      </c>
      <c r="L255" s="20">
        <f>COUNTIFS(tData[SEHTrajectPeriodeDatumTijdVan],"&lt;="&amp;($A255+8/24),tData[SEHTrajectPeriodeDatumTijdTotEnMet],"&gt;"&amp;($A255+8/24))</f>
        <v/>
      </c>
      <c r="M255" s="20">
        <f>COUNTIFS(tData[SEHTrajectPeriodeDatumTijdVan],"&lt;="&amp;($A255+9/24),tData[SEHTrajectPeriodeDatumTijdTotEnMet],"&gt;"&amp;($A255+9/24))</f>
        <v/>
      </c>
      <c r="N255" s="20">
        <f>COUNTIFS(tData[SEHTrajectPeriodeDatumTijdVan],"&lt;="&amp;($A255+10/24),tData[SEHTrajectPeriodeDatumTijdTotEnMet],"&gt;"&amp;($A255+10/24))</f>
        <v/>
      </c>
      <c r="O255" s="20">
        <f>COUNTIFS(tData[SEHTrajectPeriodeDatumTijdVan],"&lt;="&amp;($A255+11/24),tData[SEHTrajectPeriodeDatumTijdTotEnMet],"&gt;"&amp;($A255+11/24))</f>
        <v/>
      </c>
      <c r="P255" s="20">
        <f>COUNTIFS(tData[SEHTrajectPeriodeDatumTijdVan],"&lt;="&amp;($A255+12/24),tData[SEHTrajectPeriodeDatumTijdTotEnMet],"&gt;"&amp;($A255+12/24))</f>
        <v/>
      </c>
      <c r="Q255" s="20">
        <f>COUNTIFS(tData[SEHTrajectPeriodeDatumTijdVan],"&lt;="&amp;($A255+13/24),tData[SEHTrajectPeriodeDatumTijdTotEnMet],"&gt;"&amp;($A255+13/24))</f>
        <v/>
      </c>
      <c r="R255" s="20">
        <f>COUNTIFS(tData[SEHTrajectPeriodeDatumTijdVan],"&lt;="&amp;($A255+14/24),tData[SEHTrajectPeriodeDatumTijdTotEnMet],"&gt;"&amp;($A255+14/24))</f>
        <v/>
      </c>
      <c r="S255" s="20">
        <f>COUNTIFS(tData[SEHTrajectPeriodeDatumTijdVan],"&lt;="&amp;($A255+15/24),tData[SEHTrajectPeriodeDatumTijdTotEnMet],"&gt;"&amp;($A255+15/24))</f>
        <v/>
      </c>
      <c r="T255" s="20">
        <f>COUNTIFS(tData[SEHTrajectPeriodeDatumTijdVan],"&lt;="&amp;($A255+16/24),tData[SEHTrajectPeriodeDatumTijdTotEnMet],"&gt;"&amp;($A255+16/24))</f>
        <v/>
      </c>
      <c r="U255" s="20">
        <f>COUNTIFS(tData[SEHTrajectPeriodeDatumTijdVan],"&lt;="&amp;($A255+17/24),tData[SEHTrajectPeriodeDatumTijdTotEnMet],"&gt;"&amp;($A255+17/24))</f>
        <v/>
      </c>
      <c r="V255" s="20">
        <f>COUNTIFS(tData[SEHTrajectPeriodeDatumTijdVan],"&lt;="&amp;($A255+18/24),tData[SEHTrajectPeriodeDatumTijdTotEnMet],"&gt;"&amp;($A255+18/24))</f>
        <v/>
      </c>
      <c r="W255" s="20">
        <f>COUNTIFS(tData[SEHTrajectPeriodeDatumTijdVan],"&lt;="&amp;($A255+19/24),tData[SEHTrajectPeriodeDatumTijdTotEnMet],"&gt;"&amp;($A255+19/24))</f>
        <v/>
      </c>
      <c r="X255" s="20">
        <f>COUNTIFS(tData[SEHTrajectPeriodeDatumTijdVan],"&lt;="&amp;($A255+20/24),tData[SEHTrajectPeriodeDatumTijdTotEnMet],"&gt;"&amp;($A255+20/24))</f>
        <v/>
      </c>
      <c r="Y255" s="20">
        <f>COUNTIFS(tData[SEHTrajectPeriodeDatumTijdVan],"&lt;="&amp;($A255+21/24),tData[SEHTrajectPeriodeDatumTijdTotEnMet],"&gt;"&amp;($A255+21/24))</f>
        <v/>
      </c>
      <c r="Z255" s="20">
        <f>COUNTIFS(tData[SEHTrajectPeriodeDatumTijdVan],"&lt;="&amp;($A255+22/24),tData[SEHTrajectPeriodeDatumTijdTotEnMet],"&gt;"&amp;($A255+22/24))</f>
        <v/>
      </c>
      <c r="AA255" s="20">
        <f>COUNTIFS(tData[SEHTrajectPeriodeDatumTijdVan],"&lt;="&amp;($A255+23/24),tData[SEHTrajectPeriodeDatumTijdTotEnMet],"&gt;"&amp;($A255+23/24))</f>
        <v/>
      </c>
    </row>
    <row r="256">
      <c r="A256" s="19" t="n">
        <v>45544</v>
      </c>
      <c r="B256" s="15">
        <f>WEEKDAY($A256,2)</f>
        <v/>
      </c>
      <c r="C256" s="15">
        <f>IF(AND($A256&gt;=INT(Instellingen!$B$5),$A256&lt;=INT(Instellingen!$B$6)),1,0)</f>
        <v/>
      </c>
      <c r="D256" s="20">
        <f>COUNTIFS(tData[SEHTrajectPeriodeDatumTijdVan],"&lt;="&amp;($A256+0/24),tData[SEHTrajectPeriodeDatumTijdTotEnMet],"&gt;"&amp;($A256+0/24))</f>
        <v/>
      </c>
      <c r="E256" s="20">
        <f>COUNTIFS(tData[SEHTrajectPeriodeDatumTijdVan],"&lt;="&amp;($A256+1/24),tData[SEHTrajectPeriodeDatumTijdTotEnMet],"&gt;"&amp;($A256+1/24))</f>
        <v/>
      </c>
      <c r="F256" s="20">
        <f>COUNTIFS(tData[SEHTrajectPeriodeDatumTijdVan],"&lt;="&amp;($A256+2/24),tData[SEHTrajectPeriodeDatumTijdTotEnMet],"&gt;"&amp;($A256+2/24))</f>
        <v/>
      </c>
      <c r="G256" s="20">
        <f>COUNTIFS(tData[SEHTrajectPeriodeDatumTijdVan],"&lt;="&amp;($A256+3/24),tData[SEHTrajectPeriodeDatumTijdTotEnMet],"&gt;"&amp;($A256+3/24))</f>
        <v/>
      </c>
      <c r="H256" s="20">
        <f>COUNTIFS(tData[SEHTrajectPeriodeDatumTijdVan],"&lt;="&amp;($A256+4/24),tData[SEHTrajectPeriodeDatumTijdTotEnMet],"&gt;"&amp;($A256+4/24))</f>
        <v/>
      </c>
      <c r="I256" s="20">
        <f>COUNTIFS(tData[SEHTrajectPeriodeDatumTijdVan],"&lt;="&amp;($A256+5/24),tData[SEHTrajectPeriodeDatumTijdTotEnMet],"&gt;"&amp;($A256+5/24))</f>
        <v/>
      </c>
      <c r="J256" s="20">
        <f>COUNTIFS(tData[SEHTrajectPeriodeDatumTijdVan],"&lt;="&amp;($A256+6/24),tData[SEHTrajectPeriodeDatumTijdTotEnMet],"&gt;"&amp;($A256+6/24))</f>
        <v/>
      </c>
      <c r="K256" s="20">
        <f>COUNTIFS(tData[SEHTrajectPeriodeDatumTijdVan],"&lt;="&amp;($A256+7/24),tData[SEHTrajectPeriodeDatumTijdTotEnMet],"&gt;"&amp;($A256+7/24))</f>
        <v/>
      </c>
      <c r="L256" s="20">
        <f>COUNTIFS(tData[SEHTrajectPeriodeDatumTijdVan],"&lt;="&amp;($A256+8/24),tData[SEHTrajectPeriodeDatumTijdTotEnMet],"&gt;"&amp;($A256+8/24))</f>
        <v/>
      </c>
      <c r="M256" s="20">
        <f>COUNTIFS(tData[SEHTrajectPeriodeDatumTijdVan],"&lt;="&amp;($A256+9/24),tData[SEHTrajectPeriodeDatumTijdTotEnMet],"&gt;"&amp;($A256+9/24))</f>
        <v/>
      </c>
      <c r="N256" s="20">
        <f>COUNTIFS(tData[SEHTrajectPeriodeDatumTijdVan],"&lt;="&amp;($A256+10/24),tData[SEHTrajectPeriodeDatumTijdTotEnMet],"&gt;"&amp;($A256+10/24))</f>
        <v/>
      </c>
      <c r="O256" s="20">
        <f>COUNTIFS(tData[SEHTrajectPeriodeDatumTijdVan],"&lt;="&amp;($A256+11/24),tData[SEHTrajectPeriodeDatumTijdTotEnMet],"&gt;"&amp;($A256+11/24))</f>
        <v/>
      </c>
      <c r="P256" s="20">
        <f>COUNTIFS(tData[SEHTrajectPeriodeDatumTijdVan],"&lt;="&amp;($A256+12/24),tData[SEHTrajectPeriodeDatumTijdTotEnMet],"&gt;"&amp;($A256+12/24))</f>
        <v/>
      </c>
      <c r="Q256" s="20">
        <f>COUNTIFS(tData[SEHTrajectPeriodeDatumTijdVan],"&lt;="&amp;($A256+13/24),tData[SEHTrajectPeriodeDatumTijdTotEnMet],"&gt;"&amp;($A256+13/24))</f>
        <v/>
      </c>
      <c r="R256" s="20">
        <f>COUNTIFS(tData[SEHTrajectPeriodeDatumTijdVan],"&lt;="&amp;($A256+14/24),tData[SEHTrajectPeriodeDatumTijdTotEnMet],"&gt;"&amp;($A256+14/24))</f>
        <v/>
      </c>
      <c r="S256" s="20">
        <f>COUNTIFS(tData[SEHTrajectPeriodeDatumTijdVan],"&lt;="&amp;($A256+15/24),tData[SEHTrajectPeriodeDatumTijdTotEnMet],"&gt;"&amp;($A256+15/24))</f>
        <v/>
      </c>
      <c r="T256" s="20">
        <f>COUNTIFS(tData[SEHTrajectPeriodeDatumTijdVan],"&lt;="&amp;($A256+16/24),tData[SEHTrajectPeriodeDatumTijdTotEnMet],"&gt;"&amp;($A256+16/24))</f>
        <v/>
      </c>
      <c r="U256" s="20">
        <f>COUNTIFS(tData[SEHTrajectPeriodeDatumTijdVan],"&lt;="&amp;($A256+17/24),tData[SEHTrajectPeriodeDatumTijdTotEnMet],"&gt;"&amp;($A256+17/24))</f>
        <v/>
      </c>
      <c r="V256" s="20">
        <f>COUNTIFS(tData[SEHTrajectPeriodeDatumTijdVan],"&lt;="&amp;($A256+18/24),tData[SEHTrajectPeriodeDatumTijdTotEnMet],"&gt;"&amp;($A256+18/24))</f>
        <v/>
      </c>
      <c r="W256" s="20">
        <f>COUNTIFS(tData[SEHTrajectPeriodeDatumTijdVan],"&lt;="&amp;($A256+19/24),tData[SEHTrajectPeriodeDatumTijdTotEnMet],"&gt;"&amp;($A256+19/24))</f>
        <v/>
      </c>
      <c r="X256" s="20">
        <f>COUNTIFS(tData[SEHTrajectPeriodeDatumTijdVan],"&lt;="&amp;($A256+20/24),tData[SEHTrajectPeriodeDatumTijdTotEnMet],"&gt;"&amp;($A256+20/24))</f>
        <v/>
      </c>
      <c r="Y256" s="20">
        <f>COUNTIFS(tData[SEHTrajectPeriodeDatumTijdVan],"&lt;="&amp;($A256+21/24),tData[SEHTrajectPeriodeDatumTijdTotEnMet],"&gt;"&amp;($A256+21/24))</f>
        <v/>
      </c>
      <c r="Z256" s="20">
        <f>COUNTIFS(tData[SEHTrajectPeriodeDatumTijdVan],"&lt;="&amp;($A256+22/24),tData[SEHTrajectPeriodeDatumTijdTotEnMet],"&gt;"&amp;($A256+22/24))</f>
        <v/>
      </c>
      <c r="AA256" s="20">
        <f>COUNTIFS(tData[SEHTrajectPeriodeDatumTijdVan],"&lt;="&amp;($A256+23/24),tData[SEHTrajectPeriodeDatumTijdTotEnMet],"&gt;"&amp;($A256+23/24))</f>
        <v/>
      </c>
    </row>
    <row r="257">
      <c r="A257" s="19" t="n">
        <v>45545</v>
      </c>
      <c r="B257" s="15">
        <f>WEEKDAY($A257,2)</f>
        <v/>
      </c>
      <c r="C257" s="15">
        <f>IF(AND($A257&gt;=INT(Instellingen!$B$5),$A257&lt;=INT(Instellingen!$B$6)),1,0)</f>
        <v/>
      </c>
      <c r="D257" s="20">
        <f>COUNTIFS(tData[SEHTrajectPeriodeDatumTijdVan],"&lt;="&amp;($A257+0/24),tData[SEHTrajectPeriodeDatumTijdTotEnMet],"&gt;"&amp;($A257+0/24))</f>
        <v/>
      </c>
      <c r="E257" s="20">
        <f>COUNTIFS(tData[SEHTrajectPeriodeDatumTijdVan],"&lt;="&amp;($A257+1/24),tData[SEHTrajectPeriodeDatumTijdTotEnMet],"&gt;"&amp;($A257+1/24))</f>
        <v/>
      </c>
      <c r="F257" s="20">
        <f>COUNTIFS(tData[SEHTrajectPeriodeDatumTijdVan],"&lt;="&amp;($A257+2/24),tData[SEHTrajectPeriodeDatumTijdTotEnMet],"&gt;"&amp;($A257+2/24))</f>
        <v/>
      </c>
      <c r="G257" s="20">
        <f>COUNTIFS(tData[SEHTrajectPeriodeDatumTijdVan],"&lt;="&amp;($A257+3/24),tData[SEHTrajectPeriodeDatumTijdTotEnMet],"&gt;"&amp;($A257+3/24))</f>
        <v/>
      </c>
      <c r="H257" s="20">
        <f>COUNTIFS(tData[SEHTrajectPeriodeDatumTijdVan],"&lt;="&amp;($A257+4/24),tData[SEHTrajectPeriodeDatumTijdTotEnMet],"&gt;"&amp;($A257+4/24))</f>
        <v/>
      </c>
      <c r="I257" s="20">
        <f>COUNTIFS(tData[SEHTrajectPeriodeDatumTijdVan],"&lt;="&amp;($A257+5/24),tData[SEHTrajectPeriodeDatumTijdTotEnMet],"&gt;"&amp;($A257+5/24))</f>
        <v/>
      </c>
      <c r="J257" s="20">
        <f>COUNTIFS(tData[SEHTrajectPeriodeDatumTijdVan],"&lt;="&amp;($A257+6/24),tData[SEHTrajectPeriodeDatumTijdTotEnMet],"&gt;"&amp;($A257+6/24))</f>
        <v/>
      </c>
      <c r="K257" s="20">
        <f>COUNTIFS(tData[SEHTrajectPeriodeDatumTijdVan],"&lt;="&amp;($A257+7/24),tData[SEHTrajectPeriodeDatumTijdTotEnMet],"&gt;"&amp;($A257+7/24))</f>
        <v/>
      </c>
      <c r="L257" s="20">
        <f>COUNTIFS(tData[SEHTrajectPeriodeDatumTijdVan],"&lt;="&amp;($A257+8/24),tData[SEHTrajectPeriodeDatumTijdTotEnMet],"&gt;"&amp;($A257+8/24))</f>
        <v/>
      </c>
      <c r="M257" s="20">
        <f>COUNTIFS(tData[SEHTrajectPeriodeDatumTijdVan],"&lt;="&amp;($A257+9/24),tData[SEHTrajectPeriodeDatumTijdTotEnMet],"&gt;"&amp;($A257+9/24))</f>
        <v/>
      </c>
      <c r="N257" s="20">
        <f>COUNTIFS(tData[SEHTrajectPeriodeDatumTijdVan],"&lt;="&amp;($A257+10/24),tData[SEHTrajectPeriodeDatumTijdTotEnMet],"&gt;"&amp;($A257+10/24))</f>
        <v/>
      </c>
      <c r="O257" s="20">
        <f>COUNTIFS(tData[SEHTrajectPeriodeDatumTijdVan],"&lt;="&amp;($A257+11/24),tData[SEHTrajectPeriodeDatumTijdTotEnMet],"&gt;"&amp;($A257+11/24))</f>
        <v/>
      </c>
      <c r="P257" s="20">
        <f>COUNTIFS(tData[SEHTrajectPeriodeDatumTijdVan],"&lt;="&amp;($A257+12/24),tData[SEHTrajectPeriodeDatumTijdTotEnMet],"&gt;"&amp;($A257+12/24))</f>
        <v/>
      </c>
      <c r="Q257" s="20">
        <f>COUNTIFS(tData[SEHTrajectPeriodeDatumTijdVan],"&lt;="&amp;($A257+13/24),tData[SEHTrajectPeriodeDatumTijdTotEnMet],"&gt;"&amp;($A257+13/24))</f>
        <v/>
      </c>
      <c r="R257" s="20">
        <f>COUNTIFS(tData[SEHTrajectPeriodeDatumTijdVan],"&lt;="&amp;($A257+14/24),tData[SEHTrajectPeriodeDatumTijdTotEnMet],"&gt;"&amp;($A257+14/24))</f>
        <v/>
      </c>
      <c r="S257" s="20">
        <f>COUNTIFS(tData[SEHTrajectPeriodeDatumTijdVan],"&lt;="&amp;($A257+15/24),tData[SEHTrajectPeriodeDatumTijdTotEnMet],"&gt;"&amp;($A257+15/24))</f>
        <v/>
      </c>
      <c r="T257" s="20">
        <f>COUNTIFS(tData[SEHTrajectPeriodeDatumTijdVan],"&lt;="&amp;($A257+16/24),tData[SEHTrajectPeriodeDatumTijdTotEnMet],"&gt;"&amp;($A257+16/24))</f>
        <v/>
      </c>
      <c r="U257" s="20">
        <f>COUNTIFS(tData[SEHTrajectPeriodeDatumTijdVan],"&lt;="&amp;($A257+17/24),tData[SEHTrajectPeriodeDatumTijdTotEnMet],"&gt;"&amp;($A257+17/24))</f>
        <v/>
      </c>
      <c r="V257" s="20">
        <f>COUNTIFS(tData[SEHTrajectPeriodeDatumTijdVan],"&lt;="&amp;($A257+18/24),tData[SEHTrajectPeriodeDatumTijdTotEnMet],"&gt;"&amp;($A257+18/24))</f>
        <v/>
      </c>
      <c r="W257" s="20">
        <f>COUNTIFS(tData[SEHTrajectPeriodeDatumTijdVan],"&lt;="&amp;($A257+19/24),tData[SEHTrajectPeriodeDatumTijdTotEnMet],"&gt;"&amp;($A257+19/24))</f>
        <v/>
      </c>
      <c r="X257" s="20">
        <f>COUNTIFS(tData[SEHTrajectPeriodeDatumTijdVan],"&lt;="&amp;($A257+20/24),tData[SEHTrajectPeriodeDatumTijdTotEnMet],"&gt;"&amp;($A257+20/24))</f>
        <v/>
      </c>
      <c r="Y257" s="20">
        <f>COUNTIFS(tData[SEHTrajectPeriodeDatumTijdVan],"&lt;="&amp;($A257+21/24),tData[SEHTrajectPeriodeDatumTijdTotEnMet],"&gt;"&amp;($A257+21/24))</f>
        <v/>
      </c>
      <c r="Z257" s="20">
        <f>COUNTIFS(tData[SEHTrajectPeriodeDatumTijdVan],"&lt;="&amp;($A257+22/24),tData[SEHTrajectPeriodeDatumTijdTotEnMet],"&gt;"&amp;($A257+22/24))</f>
        <v/>
      </c>
      <c r="AA257" s="20">
        <f>COUNTIFS(tData[SEHTrajectPeriodeDatumTijdVan],"&lt;="&amp;($A257+23/24),tData[SEHTrajectPeriodeDatumTijdTotEnMet],"&gt;"&amp;($A257+23/24))</f>
        <v/>
      </c>
    </row>
    <row r="258">
      <c r="A258" s="19" t="n">
        <v>45546</v>
      </c>
      <c r="B258" s="15">
        <f>WEEKDAY($A258,2)</f>
        <v/>
      </c>
      <c r="C258" s="15">
        <f>IF(AND($A258&gt;=INT(Instellingen!$B$5),$A258&lt;=INT(Instellingen!$B$6)),1,0)</f>
        <v/>
      </c>
      <c r="D258" s="20">
        <f>COUNTIFS(tData[SEHTrajectPeriodeDatumTijdVan],"&lt;="&amp;($A258+0/24),tData[SEHTrajectPeriodeDatumTijdTotEnMet],"&gt;"&amp;($A258+0/24))</f>
        <v/>
      </c>
      <c r="E258" s="20">
        <f>COUNTIFS(tData[SEHTrajectPeriodeDatumTijdVan],"&lt;="&amp;($A258+1/24),tData[SEHTrajectPeriodeDatumTijdTotEnMet],"&gt;"&amp;($A258+1/24))</f>
        <v/>
      </c>
      <c r="F258" s="20">
        <f>COUNTIFS(tData[SEHTrajectPeriodeDatumTijdVan],"&lt;="&amp;($A258+2/24),tData[SEHTrajectPeriodeDatumTijdTotEnMet],"&gt;"&amp;($A258+2/24))</f>
        <v/>
      </c>
      <c r="G258" s="20">
        <f>COUNTIFS(tData[SEHTrajectPeriodeDatumTijdVan],"&lt;="&amp;($A258+3/24),tData[SEHTrajectPeriodeDatumTijdTotEnMet],"&gt;"&amp;($A258+3/24))</f>
        <v/>
      </c>
      <c r="H258" s="20">
        <f>COUNTIFS(tData[SEHTrajectPeriodeDatumTijdVan],"&lt;="&amp;($A258+4/24),tData[SEHTrajectPeriodeDatumTijdTotEnMet],"&gt;"&amp;($A258+4/24))</f>
        <v/>
      </c>
      <c r="I258" s="20">
        <f>COUNTIFS(tData[SEHTrajectPeriodeDatumTijdVan],"&lt;="&amp;($A258+5/24),tData[SEHTrajectPeriodeDatumTijdTotEnMet],"&gt;"&amp;($A258+5/24))</f>
        <v/>
      </c>
      <c r="J258" s="20">
        <f>COUNTIFS(tData[SEHTrajectPeriodeDatumTijdVan],"&lt;="&amp;($A258+6/24),tData[SEHTrajectPeriodeDatumTijdTotEnMet],"&gt;"&amp;($A258+6/24))</f>
        <v/>
      </c>
      <c r="K258" s="20">
        <f>COUNTIFS(tData[SEHTrajectPeriodeDatumTijdVan],"&lt;="&amp;($A258+7/24),tData[SEHTrajectPeriodeDatumTijdTotEnMet],"&gt;"&amp;($A258+7/24))</f>
        <v/>
      </c>
      <c r="L258" s="20">
        <f>COUNTIFS(tData[SEHTrajectPeriodeDatumTijdVan],"&lt;="&amp;($A258+8/24),tData[SEHTrajectPeriodeDatumTijdTotEnMet],"&gt;"&amp;($A258+8/24))</f>
        <v/>
      </c>
      <c r="M258" s="20">
        <f>COUNTIFS(tData[SEHTrajectPeriodeDatumTijdVan],"&lt;="&amp;($A258+9/24),tData[SEHTrajectPeriodeDatumTijdTotEnMet],"&gt;"&amp;($A258+9/24))</f>
        <v/>
      </c>
      <c r="N258" s="20">
        <f>COUNTIFS(tData[SEHTrajectPeriodeDatumTijdVan],"&lt;="&amp;($A258+10/24),tData[SEHTrajectPeriodeDatumTijdTotEnMet],"&gt;"&amp;($A258+10/24))</f>
        <v/>
      </c>
      <c r="O258" s="20">
        <f>COUNTIFS(tData[SEHTrajectPeriodeDatumTijdVan],"&lt;="&amp;($A258+11/24),tData[SEHTrajectPeriodeDatumTijdTotEnMet],"&gt;"&amp;($A258+11/24))</f>
        <v/>
      </c>
      <c r="P258" s="20">
        <f>COUNTIFS(tData[SEHTrajectPeriodeDatumTijdVan],"&lt;="&amp;($A258+12/24),tData[SEHTrajectPeriodeDatumTijdTotEnMet],"&gt;"&amp;($A258+12/24))</f>
        <v/>
      </c>
      <c r="Q258" s="20">
        <f>COUNTIFS(tData[SEHTrajectPeriodeDatumTijdVan],"&lt;="&amp;($A258+13/24),tData[SEHTrajectPeriodeDatumTijdTotEnMet],"&gt;"&amp;($A258+13/24))</f>
        <v/>
      </c>
      <c r="R258" s="20">
        <f>COUNTIFS(tData[SEHTrajectPeriodeDatumTijdVan],"&lt;="&amp;($A258+14/24),tData[SEHTrajectPeriodeDatumTijdTotEnMet],"&gt;"&amp;($A258+14/24))</f>
        <v/>
      </c>
      <c r="S258" s="20">
        <f>COUNTIFS(tData[SEHTrajectPeriodeDatumTijdVan],"&lt;="&amp;($A258+15/24),tData[SEHTrajectPeriodeDatumTijdTotEnMet],"&gt;"&amp;($A258+15/24))</f>
        <v/>
      </c>
      <c r="T258" s="20">
        <f>COUNTIFS(tData[SEHTrajectPeriodeDatumTijdVan],"&lt;="&amp;($A258+16/24),tData[SEHTrajectPeriodeDatumTijdTotEnMet],"&gt;"&amp;($A258+16/24))</f>
        <v/>
      </c>
      <c r="U258" s="20">
        <f>COUNTIFS(tData[SEHTrajectPeriodeDatumTijdVan],"&lt;="&amp;($A258+17/24),tData[SEHTrajectPeriodeDatumTijdTotEnMet],"&gt;"&amp;($A258+17/24))</f>
        <v/>
      </c>
      <c r="V258" s="20">
        <f>COUNTIFS(tData[SEHTrajectPeriodeDatumTijdVan],"&lt;="&amp;($A258+18/24),tData[SEHTrajectPeriodeDatumTijdTotEnMet],"&gt;"&amp;($A258+18/24))</f>
        <v/>
      </c>
      <c r="W258" s="20">
        <f>COUNTIFS(tData[SEHTrajectPeriodeDatumTijdVan],"&lt;="&amp;($A258+19/24),tData[SEHTrajectPeriodeDatumTijdTotEnMet],"&gt;"&amp;($A258+19/24))</f>
        <v/>
      </c>
      <c r="X258" s="20">
        <f>COUNTIFS(tData[SEHTrajectPeriodeDatumTijdVan],"&lt;="&amp;($A258+20/24),tData[SEHTrajectPeriodeDatumTijdTotEnMet],"&gt;"&amp;($A258+20/24))</f>
        <v/>
      </c>
      <c r="Y258" s="20">
        <f>COUNTIFS(tData[SEHTrajectPeriodeDatumTijdVan],"&lt;="&amp;($A258+21/24),tData[SEHTrajectPeriodeDatumTijdTotEnMet],"&gt;"&amp;($A258+21/24))</f>
        <v/>
      </c>
      <c r="Z258" s="20">
        <f>COUNTIFS(tData[SEHTrajectPeriodeDatumTijdVan],"&lt;="&amp;($A258+22/24),tData[SEHTrajectPeriodeDatumTijdTotEnMet],"&gt;"&amp;($A258+22/24))</f>
        <v/>
      </c>
      <c r="AA258" s="20">
        <f>COUNTIFS(tData[SEHTrajectPeriodeDatumTijdVan],"&lt;="&amp;($A258+23/24),tData[SEHTrajectPeriodeDatumTijdTotEnMet],"&gt;"&amp;($A258+23/24))</f>
        <v/>
      </c>
    </row>
    <row r="259">
      <c r="A259" s="19" t="n">
        <v>45547</v>
      </c>
      <c r="B259" s="15">
        <f>WEEKDAY($A259,2)</f>
        <v/>
      </c>
      <c r="C259" s="15">
        <f>IF(AND($A259&gt;=INT(Instellingen!$B$5),$A259&lt;=INT(Instellingen!$B$6)),1,0)</f>
        <v/>
      </c>
      <c r="D259" s="20">
        <f>COUNTIFS(tData[SEHTrajectPeriodeDatumTijdVan],"&lt;="&amp;($A259+0/24),tData[SEHTrajectPeriodeDatumTijdTotEnMet],"&gt;"&amp;($A259+0/24))</f>
        <v/>
      </c>
      <c r="E259" s="20">
        <f>COUNTIFS(tData[SEHTrajectPeriodeDatumTijdVan],"&lt;="&amp;($A259+1/24),tData[SEHTrajectPeriodeDatumTijdTotEnMet],"&gt;"&amp;($A259+1/24))</f>
        <v/>
      </c>
      <c r="F259" s="20">
        <f>COUNTIFS(tData[SEHTrajectPeriodeDatumTijdVan],"&lt;="&amp;($A259+2/24),tData[SEHTrajectPeriodeDatumTijdTotEnMet],"&gt;"&amp;($A259+2/24))</f>
        <v/>
      </c>
      <c r="G259" s="20">
        <f>COUNTIFS(tData[SEHTrajectPeriodeDatumTijdVan],"&lt;="&amp;($A259+3/24),tData[SEHTrajectPeriodeDatumTijdTotEnMet],"&gt;"&amp;($A259+3/24))</f>
        <v/>
      </c>
      <c r="H259" s="20">
        <f>COUNTIFS(tData[SEHTrajectPeriodeDatumTijdVan],"&lt;="&amp;($A259+4/24),tData[SEHTrajectPeriodeDatumTijdTotEnMet],"&gt;"&amp;($A259+4/24))</f>
        <v/>
      </c>
      <c r="I259" s="20">
        <f>COUNTIFS(tData[SEHTrajectPeriodeDatumTijdVan],"&lt;="&amp;($A259+5/24),tData[SEHTrajectPeriodeDatumTijdTotEnMet],"&gt;"&amp;($A259+5/24))</f>
        <v/>
      </c>
      <c r="J259" s="20">
        <f>COUNTIFS(tData[SEHTrajectPeriodeDatumTijdVan],"&lt;="&amp;($A259+6/24),tData[SEHTrajectPeriodeDatumTijdTotEnMet],"&gt;"&amp;($A259+6/24))</f>
        <v/>
      </c>
      <c r="K259" s="20">
        <f>COUNTIFS(tData[SEHTrajectPeriodeDatumTijdVan],"&lt;="&amp;($A259+7/24),tData[SEHTrajectPeriodeDatumTijdTotEnMet],"&gt;"&amp;($A259+7/24))</f>
        <v/>
      </c>
      <c r="L259" s="20">
        <f>COUNTIFS(tData[SEHTrajectPeriodeDatumTijdVan],"&lt;="&amp;($A259+8/24),tData[SEHTrajectPeriodeDatumTijdTotEnMet],"&gt;"&amp;($A259+8/24))</f>
        <v/>
      </c>
      <c r="M259" s="20">
        <f>COUNTIFS(tData[SEHTrajectPeriodeDatumTijdVan],"&lt;="&amp;($A259+9/24),tData[SEHTrajectPeriodeDatumTijdTotEnMet],"&gt;"&amp;($A259+9/24))</f>
        <v/>
      </c>
      <c r="N259" s="20">
        <f>COUNTIFS(tData[SEHTrajectPeriodeDatumTijdVan],"&lt;="&amp;($A259+10/24),tData[SEHTrajectPeriodeDatumTijdTotEnMet],"&gt;"&amp;($A259+10/24))</f>
        <v/>
      </c>
      <c r="O259" s="20">
        <f>COUNTIFS(tData[SEHTrajectPeriodeDatumTijdVan],"&lt;="&amp;($A259+11/24),tData[SEHTrajectPeriodeDatumTijdTotEnMet],"&gt;"&amp;($A259+11/24))</f>
        <v/>
      </c>
      <c r="P259" s="20">
        <f>COUNTIFS(tData[SEHTrajectPeriodeDatumTijdVan],"&lt;="&amp;($A259+12/24),tData[SEHTrajectPeriodeDatumTijdTotEnMet],"&gt;"&amp;($A259+12/24))</f>
        <v/>
      </c>
      <c r="Q259" s="20">
        <f>COUNTIFS(tData[SEHTrajectPeriodeDatumTijdVan],"&lt;="&amp;($A259+13/24),tData[SEHTrajectPeriodeDatumTijdTotEnMet],"&gt;"&amp;($A259+13/24))</f>
        <v/>
      </c>
      <c r="R259" s="20">
        <f>COUNTIFS(tData[SEHTrajectPeriodeDatumTijdVan],"&lt;="&amp;($A259+14/24),tData[SEHTrajectPeriodeDatumTijdTotEnMet],"&gt;"&amp;($A259+14/24))</f>
        <v/>
      </c>
      <c r="S259" s="20">
        <f>COUNTIFS(tData[SEHTrajectPeriodeDatumTijdVan],"&lt;="&amp;($A259+15/24),tData[SEHTrajectPeriodeDatumTijdTotEnMet],"&gt;"&amp;($A259+15/24))</f>
        <v/>
      </c>
      <c r="T259" s="20">
        <f>COUNTIFS(tData[SEHTrajectPeriodeDatumTijdVan],"&lt;="&amp;($A259+16/24),tData[SEHTrajectPeriodeDatumTijdTotEnMet],"&gt;"&amp;($A259+16/24))</f>
        <v/>
      </c>
      <c r="U259" s="20">
        <f>COUNTIFS(tData[SEHTrajectPeriodeDatumTijdVan],"&lt;="&amp;($A259+17/24),tData[SEHTrajectPeriodeDatumTijdTotEnMet],"&gt;"&amp;($A259+17/24))</f>
        <v/>
      </c>
      <c r="V259" s="20">
        <f>COUNTIFS(tData[SEHTrajectPeriodeDatumTijdVan],"&lt;="&amp;($A259+18/24),tData[SEHTrajectPeriodeDatumTijdTotEnMet],"&gt;"&amp;($A259+18/24))</f>
        <v/>
      </c>
      <c r="W259" s="20">
        <f>COUNTIFS(tData[SEHTrajectPeriodeDatumTijdVan],"&lt;="&amp;($A259+19/24),tData[SEHTrajectPeriodeDatumTijdTotEnMet],"&gt;"&amp;($A259+19/24))</f>
        <v/>
      </c>
      <c r="X259" s="20">
        <f>COUNTIFS(tData[SEHTrajectPeriodeDatumTijdVan],"&lt;="&amp;($A259+20/24),tData[SEHTrajectPeriodeDatumTijdTotEnMet],"&gt;"&amp;($A259+20/24))</f>
        <v/>
      </c>
      <c r="Y259" s="20">
        <f>COUNTIFS(tData[SEHTrajectPeriodeDatumTijdVan],"&lt;="&amp;($A259+21/24),tData[SEHTrajectPeriodeDatumTijdTotEnMet],"&gt;"&amp;($A259+21/24))</f>
        <v/>
      </c>
      <c r="Z259" s="20">
        <f>COUNTIFS(tData[SEHTrajectPeriodeDatumTijdVan],"&lt;="&amp;($A259+22/24),tData[SEHTrajectPeriodeDatumTijdTotEnMet],"&gt;"&amp;($A259+22/24))</f>
        <v/>
      </c>
      <c r="AA259" s="20">
        <f>COUNTIFS(tData[SEHTrajectPeriodeDatumTijdVan],"&lt;="&amp;($A259+23/24),tData[SEHTrajectPeriodeDatumTijdTotEnMet],"&gt;"&amp;($A259+23/24))</f>
        <v/>
      </c>
    </row>
    <row r="260">
      <c r="A260" s="19" t="n">
        <v>45548</v>
      </c>
      <c r="B260" s="15">
        <f>WEEKDAY($A260,2)</f>
        <v/>
      </c>
      <c r="C260" s="15">
        <f>IF(AND($A260&gt;=INT(Instellingen!$B$5),$A260&lt;=INT(Instellingen!$B$6)),1,0)</f>
        <v/>
      </c>
      <c r="D260" s="20">
        <f>COUNTIFS(tData[SEHTrajectPeriodeDatumTijdVan],"&lt;="&amp;($A260+0/24),tData[SEHTrajectPeriodeDatumTijdTotEnMet],"&gt;"&amp;($A260+0/24))</f>
        <v/>
      </c>
      <c r="E260" s="20">
        <f>COUNTIFS(tData[SEHTrajectPeriodeDatumTijdVan],"&lt;="&amp;($A260+1/24),tData[SEHTrajectPeriodeDatumTijdTotEnMet],"&gt;"&amp;($A260+1/24))</f>
        <v/>
      </c>
      <c r="F260" s="20">
        <f>COUNTIFS(tData[SEHTrajectPeriodeDatumTijdVan],"&lt;="&amp;($A260+2/24),tData[SEHTrajectPeriodeDatumTijdTotEnMet],"&gt;"&amp;($A260+2/24))</f>
        <v/>
      </c>
      <c r="G260" s="20">
        <f>COUNTIFS(tData[SEHTrajectPeriodeDatumTijdVan],"&lt;="&amp;($A260+3/24),tData[SEHTrajectPeriodeDatumTijdTotEnMet],"&gt;"&amp;($A260+3/24))</f>
        <v/>
      </c>
      <c r="H260" s="20">
        <f>COUNTIFS(tData[SEHTrajectPeriodeDatumTijdVan],"&lt;="&amp;($A260+4/24),tData[SEHTrajectPeriodeDatumTijdTotEnMet],"&gt;"&amp;($A260+4/24))</f>
        <v/>
      </c>
      <c r="I260" s="20">
        <f>COUNTIFS(tData[SEHTrajectPeriodeDatumTijdVan],"&lt;="&amp;($A260+5/24),tData[SEHTrajectPeriodeDatumTijdTotEnMet],"&gt;"&amp;($A260+5/24))</f>
        <v/>
      </c>
      <c r="J260" s="20">
        <f>COUNTIFS(tData[SEHTrajectPeriodeDatumTijdVan],"&lt;="&amp;($A260+6/24),tData[SEHTrajectPeriodeDatumTijdTotEnMet],"&gt;"&amp;($A260+6/24))</f>
        <v/>
      </c>
      <c r="K260" s="20">
        <f>COUNTIFS(tData[SEHTrajectPeriodeDatumTijdVan],"&lt;="&amp;($A260+7/24),tData[SEHTrajectPeriodeDatumTijdTotEnMet],"&gt;"&amp;($A260+7/24))</f>
        <v/>
      </c>
      <c r="L260" s="20">
        <f>COUNTIFS(tData[SEHTrajectPeriodeDatumTijdVan],"&lt;="&amp;($A260+8/24),tData[SEHTrajectPeriodeDatumTijdTotEnMet],"&gt;"&amp;($A260+8/24))</f>
        <v/>
      </c>
      <c r="M260" s="20">
        <f>COUNTIFS(tData[SEHTrajectPeriodeDatumTijdVan],"&lt;="&amp;($A260+9/24),tData[SEHTrajectPeriodeDatumTijdTotEnMet],"&gt;"&amp;($A260+9/24))</f>
        <v/>
      </c>
      <c r="N260" s="20">
        <f>COUNTIFS(tData[SEHTrajectPeriodeDatumTijdVan],"&lt;="&amp;($A260+10/24),tData[SEHTrajectPeriodeDatumTijdTotEnMet],"&gt;"&amp;($A260+10/24))</f>
        <v/>
      </c>
      <c r="O260" s="20">
        <f>COUNTIFS(tData[SEHTrajectPeriodeDatumTijdVan],"&lt;="&amp;($A260+11/24),tData[SEHTrajectPeriodeDatumTijdTotEnMet],"&gt;"&amp;($A260+11/24))</f>
        <v/>
      </c>
      <c r="P260" s="20">
        <f>COUNTIFS(tData[SEHTrajectPeriodeDatumTijdVan],"&lt;="&amp;($A260+12/24),tData[SEHTrajectPeriodeDatumTijdTotEnMet],"&gt;"&amp;($A260+12/24))</f>
        <v/>
      </c>
      <c r="Q260" s="20">
        <f>COUNTIFS(tData[SEHTrajectPeriodeDatumTijdVan],"&lt;="&amp;($A260+13/24),tData[SEHTrajectPeriodeDatumTijdTotEnMet],"&gt;"&amp;($A260+13/24))</f>
        <v/>
      </c>
      <c r="R260" s="20">
        <f>COUNTIFS(tData[SEHTrajectPeriodeDatumTijdVan],"&lt;="&amp;($A260+14/24),tData[SEHTrajectPeriodeDatumTijdTotEnMet],"&gt;"&amp;($A260+14/24))</f>
        <v/>
      </c>
      <c r="S260" s="20">
        <f>COUNTIFS(tData[SEHTrajectPeriodeDatumTijdVan],"&lt;="&amp;($A260+15/24),tData[SEHTrajectPeriodeDatumTijdTotEnMet],"&gt;"&amp;($A260+15/24))</f>
        <v/>
      </c>
      <c r="T260" s="20">
        <f>COUNTIFS(tData[SEHTrajectPeriodeDatumTijdVan],"&lt;="&amp;($A260+16/24),tData[SEHTrajectPeriodeDatumTijdTotEnMet],"&gt;"&amp;($A260+16/24))</f>
        <v/>
      </c>
      <c r="U260" s="20">
        <f>COUNTIFS(tData[SEHTrajectPeriodeDatumTijdVan],"&lt;="&amp;($A260+17/24),tData[SEHTrajectPeriodeDatumTijdTotEnMet],"&gt;"&amp;($A260+17/24))</f>
        <v/>
      </c>
      <c r="V260" s="20">
        <f>COUNTIFS(tData[SEHTrajectPeriodeDatumTijdVan],"&lt;="&amp;($A260+18/24),tData[SEHTrajectPeriodeDatumTijdTotEnMet],"&gt;"&amp;($A260+18/24))</f>
        <v/>
      </c>
      <c r="W260" s="20">
        <f>COUNTIFS(tData[SEHTrajectPeriodeDatumTijdVan],"&lt;="&amp;($A260+19/24),tData[SEHTrajectPeriodeDatumTijdTotEnMet],"&gt;"&amp;($A260+19/24))</f>
        <v/>
      </c>
      <c r="X260" s="20">
        <f>COUNTIFS(tData[SEHTrajectPeriodeDatumTijdVan],"&lt;="&amp;($A260+20/24),tData[SEHTrajectPeriodeDatumTijdTotEnMet],"&gt;"&amp;($A260+20/24))</f>
        <v/>
      </c>
      <c r="Y260" s="20">
        <f>COUNTIFS(tData[SEHTrajectPeriodeDatumTijdVan],"&lt;="&amp;($A260+21/24),tData[SEHTrajectPeriodeDatumTijdTotEnMet],"&gt;"&amp;($A260+21/24))</f>
        <v/>
      </c>
      <c r="Z260" s="20">
        <f>COUNTIFS(tData[SEHTrajectPeriodeDatumTijdVan],"&lt;="&amp;($A260+22/24),tData[SEHTrajectPeriodeDatumTijdTotEnMet],"&gt;"&amp;($A260+22/24))</f>
        <v/>
      </c>
      <c r="AA260" s="20">
        <f>COUNTIFS(tData[SEHTrajectPeriodeDatumTijdVan],"&lt;="&amp;($A260+23/24),tData[SEHTrajectPeriodeDatumTijdTotEnMet],"&gt;"&amp;($A260+23/24))</f>
        <v/>
      </c>
    </row>
    <row r="261">
      <c r="A261" s="19" t="n">
        <v>45549</v>
      </c>
      <c r="B261" s="15">
        <f>WEEKDAY($A261,2)</f>
        <v/>
      </c>
      <c r="C261" s="15">
        <f>IF(AND($A261&gt;=INT(Instellingen!$B$5),$A261&lt;=INT(Instellingen!$B$6)),1,0)</f>
        <v/>
      </c>
      <c r="D261" s="20">
        <f>COUNTIFS(tData[SEHTrajectPeriodeDatumTijdVan],"&lt;="&amp;($A261+0/24),tData[SEHTrajectPeriodeDatumTijdTotEnMet],"&gt;"&amp;($A261+0/24))</f>
        <v/>
      </c>
      <c r="E261" s="20">
        <f>COUNTIFS(tData[SEHTrajectPeriodeDatumTijdVan],"&lt;="&amp;($A261+1/24),tData[SEHTrajectPeriodeDatumTijdTotEnMet],"&gt;"&amp;($A261+1/24))</f>
        <v/>
      </c>
      <c r="F261" s="20">
        <f>COUNTIFS(tData[SEHTrajectPeriodeDatumTijdVan],"&lt;="&amp;($A261+2/24),tData[SEHTrajectPeriodeDatumTijdTotEnMet],"&gt;"&amp;($A261+2/24))</f>
        <v/>
      </c>
      <c r="G261" s="20">
        <f>COUNTIFS(tData[SEHTrajectPeriodeDatumTijdVan],"&lt;="&amp;($A261+3/24),tData[SEHTrajectPeriodeDatumTijdTotEnMet],"&gt;"&amp;($A261+3/24))</f>
        <v/>
      </c>
      <c r="H261" s="20">
        <f>COUNTIFS(tData[SEHTrajectPeriodeDatumTijdVan],"&lt;="&amp;($A261+4/24),tData[SEHTrajectPeriodeDatumTijdTotEnMet],"&gt;"&amp;($A261+4/24))</f>
        <v/>
      </c>
      <c r="I261" s="20">
        <f>COUNTIFS(tData[SEHTrajectPeriodeDatumTijdVan],"&lt;="&amp;($A261+5/24),tData[SEHTrajectPeriodeDatumTijdTotEnMet],"&gt;"&amp;($A261+5/24))</f>
        <v/>
      </c>
      <c r="J261" s="20">
        <f>COUNTIFS(tData[SEHTrajectPeriodeDatumTijdVan],"&lt;="&amp;($A261+6/24),tData[SEHTrajectPeriodeDatumTijdTotEnMet],"&gt;"&amp;($A261+6/24))</f>
        <v/>
      </c>
      <c r="K261" s="20">
        <f>COUNTIFS(tData[SEHTrajectPeriodeDatumTijdVan],"&lt;="&amp;($A261+7/24),tData[SEHTrajectPeriodeDatumTijdTotEnMet],"&gt;"&amp;($A261+7/24))</f>
        <v/>
      </c>
      <c r="L261" s="20">
        <f>COUNTIFS(tData[SEHTrajectPeriodeDatumTijdVan],"&lt;="&amp;($A261+8/24),tData[SEHTrajectPeriodeDatumTijdTotEnMet],"&gt;"&amp;($A261+8/24))</f>
        <v/>
      </c>
      <c r="M261" s="20">
        <f>COUNTIFS(tData[SEHTrajectPeriodeDatumTijdVan],"&lt;="&amp;($A261+9/24),tData[SEHTrajectPeriodeDatumTijdTotEnMet],"&gt;"&amp;($A261+9/24))</f>
        <v/>
      </c>
      <c r="N261" s="20">
        <f>COUNTIFS(tData[SEHTrajectPeriodeDatumTijdVan],"&lt;="&amp;($A261+10/24),tData[SEHTrajectPeriodeDatumTijdTotEnMet],"&gt;"&amp;($A261+10/24))</f>
        <v/>
      </c>
      <c r="O261" s="20">
        <f>COUNTIFS(tData[SEHTrajectPeriodeDatumTijdVan],"&lt;="&amp;($A261+11/24),tData[SEHTrajectPeriodeDatumTijdTotEnMet],"&gt;"&amp;($A261+11/24))</f>
        <v/>
      </c>
      <c r="P261" s="20">
        <f>COUNTIFS(tData[SEHTrajectPeriodeDatumTijdVan],"&lt;="&amp;($A261+12/24),tData[SEHTrajectPeriodeDatumTijdTotEnMet],"&gt;"&amp;($A261+12/24))</f>
        <v/>
      </c>
      <c r="Q261" s="20">
        <f>COUNTIFS(tData[SEHTrajectPeriodeDatumTijdVan],"&lt;="&amp;($A261+13/24),tData[SEHTrajectPeriodeDatumTijdTotEnMet],"&gt;"&amp;($A261+13/24))</f>
        <v/>
      </c>
      <c r="R261" s="20">
        <f>COUNTIFS(tData[SEHTrajectPeriodeDatumTijdVan],"&lt;="&amp;($A261+14/24),tData[SEHTrajectPeriodeDatumTijdTotEnMet],"&gt;"&amp;($A261+14/24))</f>
        <v/>
      </c>
      <c r="S261" s="20">
        <f>COUNTIFS(tData[SEHTrajectPeriodeDatumTijdVan],"&lt;="&amp;($A261+15/24),tData[SEHTrajectPeriodeDatumTijdTotEnMet],"&gt;"&amp;($A261+15/24))</f>
        <v/>
      </c>
      <c r="T261" s="20">
        <f>COUNTIFS(tData[SEHTrajectPeriodeDatumTijdVan],"&lt;="&amp;($A261+16/24),tData[SEHTrajectPeriodeDatumTijdTotEnMet],"&gt;"&amp;($A261+16/24))</f>
        <v/>
      </c>
      <c r="U261" s="20">
        <f>COUNTIFS(tData[SEHTrajectPeriodeDatumTijdVan],"&lt;="&amp;($A261+17/24),tData[SEHTrajectPeriodeDatumTijdTotEnMet],"&gt;"&amp;($A261+17/24))</f>
        <v/>
      </c>
      <c r="V261" s="20">
        <f>COUNTIFS(tData[SEHTrajectPeriodeDatumTijdVan],"&lt;="&amp;($A261+18/24),tData[SEHTrajectPeriodeDatumTijdTotEnMet],"&gt;"&amp;($A261+18/24))</f>
        <v/>
      </c>
      <c r="W261" s="20">
        <f>COUNTIFS(tData[SEHTrajectPeriodeDatumTijdVan],"&lt;="&amp;($A261+19/24),tData[SEHTrajectPeriodeDatumTijdTotEnMet],"&gt;"&amp;($A261+19/24))</f>
        <v/>
      </c>
      <c r="X261" s="20">
        <f>COUNTIFS(tData[SEHTrajectPeriodeDatumTijdVan],"&lt;="&amp;($A261+20/24),tData[SEHTrajectPeriodeDatumTijdTotEnMet],"&gt;"&amp;($A261+20/24))</f>
        <v/>
      </c>
      <c r="Y261" s="20">
        <f>COUNTIFS(tData[SEHTrajectPeriodeDatumTijdVan],"&lt;="&amp;($A261+21/24),tData[SEHTrajectPeriodeDatumTijdTotEnMet],"&gt;"&amp;($A261+21/24))</f>
        <v/>
      </c>
      <c r="Z261" s="20">
        <f>COUNTIFS(tData[SEHTrajectPeriodeDatumTijdVan],"&lt;="&amp;($A261+22/24),tData[SEHTrajectPeriodeDatumTijdTotEnMet],"&gt;"&amp;($A261+22/24))</f>
        <v/>
      </c>
      <c r="AA261" s="20">
        <f>COUNTIFS(tData[SEHTrajectPeriodeDatumTijdVan],"&lt;="&amp;($A261+23/24),tData[SEHTrajectPeriodeDatumTijdTotEnMet],"&gt;"&amp;($A261+23/24))</f>
        <v/>
      </c>
    </row>
    <row r="262">
      <c r="A262" s="19" t="n">
        <v>45550</v>
      </c>
      <c r="B262" s="15">
        <f>WEEKDAY($A262,2)</f>
        <v/>
      </c>
      <c r="C262" s="15">
        <f>IF(AND($A262&gt;=INT(Instellingen!$B$5),$A262&lt;=INT(Instellingen!$B$6)),1,0)</f>
        <v/>
      </c>
      <c r="D262" s="20">
        <f>COUNTIFS(tData[SEHTrajectPeriodeDatumTijdVan],"&lt;="&amp;($A262+0/24),tData[SEHTrajectPeriodeDatumTijdTotEnMet],"&gt;"&amp;($A262+0/24))</f>
        <v/>
      </c>
      <c r="E262" s="20">
        <f>COUNTIFS(tData[SEHTrajectPeriodeDatumTijdVan],"&lt;="&amp;($A262+1/24),tData[SEHTrajectPeriodeDatumTijdTotEnMet],"&gt;"&amp;($A262+1/24))</f>
        <v/>
      </c>
      <c r="F262" s="20">
        <f>COUNTIFS(tData[SEHTrajectPeriodeDatumTijdVan],"&lt;="&amp;($A262+2/24),tData[SEHTrajectPeriodeDatumTijdTotEnMet],"&gt;"&amp;($A262+2/24))</f>
        <v/>
      </c>
      <c r="G262" s="20">
        <f>COUNTIFS(tData[SEHTrajectPeriodeDatumTijdVan],"&lt;="&amp;($A262+3/24),tData[SEHTrajectPeriodeDatumTijdTotEnMet],"&gt;"&amp;($A262+3/24))</f>
        <v/>
      </c>
      <c r="H262" s="20">
        <f>COUNTIFS(tData[SEHTrajectPeriodeDatumTijdVan],"&lt;="&amp;($A262+4/24),tData[SEHTrajectPeriodeDatumTijdTotEnMet],"&gt;"&amp;($A262+4/24))</f>
        <v/>
      </c>
      <c r="I262" s="20">
        <f>COUNTIFS(tData[SEHTrajectPeriodeDatumTijdVan],"&lt;="&amp;($A262+5/24),tData[SEHTrajectPeriodeDatumTijdTotEnMet],"&gt;"&amp;($A262+5/24))</f>
        <v/>
      </c>
      <c r="J262" s="20">
        <f>COUNTIFS(tData[SEHTrajectPeriodeDatumTijdVan],"&lt;="&amp;($A262+6/24),tData[SEHTrajectPeriodeDatumTijdTotEnMet],"&gt;"&amp;($A262+6/24))</f>
        <v/>
      </c>
      <c r="K262" s="20">
        <f>COUNTIFS(tData[SEHTrajectPeriodeDatumTijdVan],"&lt;="&amp;($A262+7/24),tData[SEHTrajectPeriodeDatumTijdTotEnMet],"&gt;"&amp;($A262+7/24))</f>
        <v/>
      </c>
      <c r="L262" s="20">
        <f>COUNTIFS(tData[SEHTrajectPeriodeDatumTijdVan],"&lt;="&amp;($A262+8/24),tData[SEHTrajectPeriodeDatumTijdTotEnMet],"&gt;"&amp;($A262+8/24))</f>
        <v/>
      </c>
      <c r="M262" s="20">
        <f>COUNTIFS(tData[SEHTrajectPeriodeDatumTijdVan],"&lt;="&amp;($A262+9/24),tData[SEHTrajectPeriodeDatumTijdTotEnMet],"&gt;"&amp;($A262+9/24))</f>
        <v/>
      </c>
      <c r="N262" s="20">
        <f>COUNTIFS(tData[SEHTrajectPeriodeDatumTijdVan],"&lt;="&amp;($A262+10/24),tData[SEHTrajectPeriodeDatumTijdTotEnMet],"&gt;"&amp;($A262+10/24))</f>
        <v/>
      </c>
      <c r="O262" s="20">
        <f>COUNTIFS(tData[SEHTrajectPeriodeDatumTijdVan],"&lt;="&amp;($A262+11/24),tData[SEHTrajectPeriodeDatumTijdTotEnMet],"&gt;"&amp;($A262+11/24))</f>
        <v/>
      </c>
      <c r="P262" s="20">
        <f>COUNTIFS(tData[SEHTrajectPeriodeDatumTijdVan],"&lt;="&amp;($A262+12/24),tData[SEHTrajectPeriodeDatumTijdTotEnMet],"&gt;"&amp;($A262+12/24))</f>
        <v/>
      </c>
      <c r="Q262" s="20">
        <f>COUNTIFS(tData[SEHTrajectPeriodeDatumTijdVan],"&lt;="&amp;($A262+13/24),tData[SEHTrajectPeriodeDatumTijdTotEnMet],"&gt;"&amp;($A262+13/24))</f>
        <v/>
      </c>
      <c r="R262" s="20">
        <f>COUNTIFS(tData[SEHTrajectPeriodeDatumTijdVan],"&lt;="&amp;($A262+14/24),tData[SEHTrajectPeriodeDatumTijdTotEnMet],"&gt;"&amp;($A262+14/24))</f>
        <v/>
      </c>
      <c r="S262" s="20">
        <f>COUNTIFS(tData[SEHTrajectPeriodeDatumTijdVan],"&lt;="&amp;($A262+15/24),tData[SEHTrajectPeriodeDatumTijdTotEnMet],"&gt;"&amp;($A262+15/24))</f>
        <v/>
      </c>
      <c r="T262" s="20">
        <f>COUNTIFS(tData[SEHTrajectPeriodeDatumTijdVan],"&lt;="&amp;($A262+16/24),tData[SEHTrajectPeriodeDatumTijdTotEnMet],"&gt;"&amp;($A262+16/24))</f>
        <v/>
      </c>
      <c r="U262" s="20">
        <f>COUNTIFS(tData[SEHTrajectPeriodeDatumTijdVan],"&lt;="&amp;($A262+17/24),tData[SEHTrajectPeriodeDatumTijdTotEnMet],"&gt;"&amp;($A262+17/24))</f>
        <v/>
      </c>
      <c r="V262" s="20">
        <f>COUNTIFS(tData[SEHTrajectPeriodeDatumTijdVan],"&lt;="&amp;($A262+18/24),tData[SEHTrajectPeriodeDatumTijdTotEnMet],"&gt;"&amp;($A262+18/24))</f>
        <v/>
      </c>
      <c r="W262" s="20">
        <f>COUNTIFS(tData[SEHTrajectPeriodeDatumTijdVan],"&lt;="&amp;($A262+19/24),tData[SEHTrajectPeriodeDatumTijdTotEnMet],"&gt;"&amp;($A262+19/24))</f>
        <v/>
      </c>
      <c r="X262" s="20">
        <f>COUNTIFS(tData[SEHTrajectPeriodeDatumTijdVan],"&lt;="&amp;($A262+20/24),tData[SEHTrajectPeriodeDatumTijdTotEnMet],"&gt;"&amp;($A262+20/24))</f>
        <v/>
      </c>
      <c r="Y262" s="20">
        <f>COUNTIFS(tData[SEHTrajectPeriodeDatumTijdVan],"&lt;="&amp;($A262+21/24),tData[SEHTrajectPeriodeDatumTijdTotEnMet],"&gt;"&amp;($A262+21/24))</f>
        <v/>
      </c>
      <c r="Z262" s="20">
        <f>COUNTIFS(tData[SEHTrajectPeriodeDatumTijdVan],"&lt;="&amp;($A262+22/24),tData[SEHTrajectPeriodeDatumTijdTotEnMet],"&gt;"&amp;($A262+22/24))</f>
        <v/>
      </c>
      <c r="AA262" s="20">
        <f>COUNTIFS(tData[SEHTrajectPeriodeDatumTijdVan],"&lt;="&amp;($A262+23/24),tData[SEHTrajectPeriodeDatumTijdTotEnMet],"&gt;"&amp;($A262+23/24))</f>
        <v/>
      </c>
    </row>
    <row r="263">
      <c r="A263" s="19" t="n">
        <v>45551</v>
      </c>
      <c r="B263" s="15">
        <f>WEEKDAY($A263,2)</f>
        <v/>
      </c>
      <c r="C263" s="15">
        <f>IF(AND($A263&gt;=INT(Instellingen!$B$5),$A263&lt;=INT(Instellingen!$B$6)),1,0)</f>
        <v/>
      </c>
      <c r="D263" s="20">
        <f>COUNTIFS(tData[SEHTrajectPeriodeDatumTijdVan],"&lt;="&amp;($A263+0/24),tData[SEHTrajectPeriodeDatumTijdTotEnMet],"&gt;"&amp;($A263+0/24))</f>
        <v/>
      </c>
      <c r="E263" s="20">
        <f>COUNTIFS(tData[SEHTrajectPeriodeDatumTijdVan],"&lt;="&amp;($A263+1/24),tData[SEHTrajectPeriodeDatumTijdTotEnMet],"&gt;"&amp;($A263+1/24))</f>
        <v/>
      </c>
      <c r="F263" s="20">
        <f>COUNTIFS(tData[SEHTrajectPeriodeDatumTijdVan],"&lt;="&amp;($A263+2/24),tData[SEHTrajectPeriodeDatumTijdTotEnMet],"&gt;"&amp;($A263+2/24))</f>
        <v/>
      </c>
      <c r="G263" s="20">
        <f>COUNTIFS(tData[SEHTrajectPeriodeDatumTijdVan],"&lt;="&amp;($A263+3/24),tData[SEHTrajectPeriodeDatumTijdTotEnMet],"&gt;"&amp;($A263+3/24))</f>
        <v/>
      </c>
      <c r="H263" s="20">
        <f>COUNTIFS(tData[SEHTrajectPeriodeDatumTijdVan],"&lt;="&amp;($A263+4/24),tData[SEHTrajectPeriodeDatumTijdTotEnMet],"&gt;"&amp;($A263+4/24))</f>
        <v/>
      </c>
      <c r="I263" s="20">
        <f>COUNTIFS(tData[SEHTrajectPeriodeDatumTijdVan],"&lt;="&amp;($A263+5/24),tData[SEHTrajectPeriodeDatumTijdTotEnMet],"&gt;"&amp;($A263+5/24))</f>
        <v/>
      </c>
      <c r="J263" s="20">
        <f>COUNTIFS(tData[SEHTrajectPeriodeDatumTijdVan],"&lt;="&amp;($A263+6/24),tData[SEHTrajectPeriodeDatumTijdTotEnMet],"&gt;"&amp;($A263+6/24))</f>
        <v/>
      </c>
      <c r="K263" s="20">
        <f>COUNTIFS(tData[SEHTrajectPeriodeDatumTijdVan],"&lt;="&amp;($A263+7/24),tData[SEHTrajectPeriodeDatumTijdTotEnMet],"&gt;"&amp;($A263+7/24))</f>
        <v/>
      </c>
      <c r="L263" s="20">
        <f>COUNTIFS(tData[SEHTrajectPeriodeDatumTijdVan],"&lt;="&amp;($A263+8/24),tData[SEHTrajectPeriodeDatumTijdTotEnMet],"&gt;"&amp;($A263+8/24))</f>
        <v/>
      </c>
      <c r="M263" s="20">
        <f>COUNTIFS(tData[SEHTrajectPeriodeDatumTijdVan],"&lt;="&amp;($A263+9/24),tData[SEHTrajectPeriodeDatumTijdTotEnMet],"&gt;"&amp;($A263+9/24))</f>
        <v/>
      </c>
      <c r="N263" s="20">
        <f>COUNTIFS(tData[SEHTrajectPeriodeDatumTijdVan],"&lt;="&amp;($A263+10/24),tData[SEHTrajectPeriodeDatumTijdTotEnMet],"&gt;"&amp;($A263+10/24))</f>
        <v/>
      </c>
      <c r="O263" s="20">
        <f>COUNTIFS(tData[SEHTrajectPeriodeDatumTijdVan],"&lt;="&amp;($A263+11/24),tData[SEHTrajectPeriodeDatumTijdTotEnMet],"&gt;"&amp;($A263+11/24))</f>
        <v/>
      </c>
      <c r="P263" s="20">
        <f>COUNTIFS(tData[SEHTrajectPeriodeDatumTijdVan],"&lt;="&amp;($A263+12/24),tData[SEHTrajectPeriodeDatumTijdTotEnMet],"&gt;"&amp;($A263+12/24))</f>
        <v/>
      </c>
      <c r="Q263" s="20">
        <f>COUNTIFS(tData[SEHTrajectPeriodeDatumTijdVan],"&lt;="&amp;($A263+13/24),tData[SEHTrajectPeriodeDatumTijdTotEnMet],"&gt;"&amp;($A263+13/24))</f>
        <v/>
      </c>
      <c r="R263" s="20">
        <f>COUNTIFS(tData[SEHTrajectPeriodeDatumTijdVan],"&lt;="&amp;($A263+14/24),tData[SEHTrajectPeriodeDatumTijdTotEnMet],"&gt;"&amp;($A263+14/24))</f>
        <v/>
      </c>
      <c r="S263" s="20">
        <f>COUNTIFS(tData[SEHTrajectPeriodeDatumTijdVan],"&lt;="&amp;($A263+15/24),tData[SEHTrajectPeriodeDatumTijdTotEnMet],"&gt;"&amp;($A263+15/24))</f>
        <v/>
      </c>
      <c r="T263" s="20">
        <f>COUNTIFS(tData[SEHTrajectPeriodeDatumTijdVan],"&lt;="&amp;($A263+16/24),tData[SEHTrajectPeriodeDatumTijdTotEnMet],"&gt;"&amp;($A263+16/24))</f>
        <v/>
      </c>
      <c r="U263" s="20">
        <f>COUNTIFS(tData[SEHTrajectPeriodeDatumTijdVan],"&lt;="&amp;($A263+17/24),tData[SEHTrajectPeriodeDatumTijdTotEnMet],"&gt;"&amp;($A263+17/24))</f>
        <v/>
      </c>
      <c r="V263" s="20">
        <f>COUNTIFS(tData[SEHTrajectPeriodeDatumTijdVan],"&lt;="&amp;($A263+18/24),tData[SEHTrajectPeriodeDatumTijdTotEnMet],"&gt;"&amp;($A263+18/24))</f>
        <v/>
      </c>
      <c r="W263" s="20">
        <f>COUNTIFS(tData[SEHTrajectPeriodeDatumTijdVan],"&lt;="&amp;($A263+19/24),tData[SEHTrajectPeriodeDatumTijdTotEnMet],"&gt;"&amp;($A263+19/24))</f>
        <v/>
      </c>
      <c r="X263" s="20">
        <f>COUNTIFS(tData[SEHTrajectPeriodeDatumTijdVan],"&lt;="&amp;($A263+20/24),tData[SEHTrajectPeriodeDatumTijdTotEnMet],"&gt;"&amp;($A263+20/24))</f>
        <v/>
      </c>
      <c r="Y263" s="20">
        <f>COUNTIFS(tData[SEHTrajectPeriodeDatumTijdVan],"&lt;="&amp;($A263+21/24),tData[SEHTrajectPeriodeDatumTijdTotEnMet],"&gt;"&amp;($A263+21/24))</f>
        <v/>
      </c>
      <c r="Z263" s="20">
        <f>COUNTIFS(tData[SEHTrajectPeriodeDatumTijdVan],"&lt;="&amp;($A263+22/24),tData[SEHTrajectPeriodeDatumTijdTotEnMet],"&gt;"&amp;($A263+22/24))</f>
        <v/>
      </c>
      <c r="AA263" s="20">
        <f>COUNTIFS(tData[SEHTrajectPeriodeDatumTijdVan],"&lt;="&amp;($A263+23/24),tData[SEHTrajectPeriodeDatumTijdTotEnMet],"&gt;"&amp;($A263+23/24))</f>
        <v/>
      </c>
    </row>
    <row r="264">
      <c r="A264" s="19" t="n">
        <v>45552</v>
      </c>
      <c r="B264" s="15">
        <f>WEEKDAY($A264,2)</f>
        <v/>
      </c>
      <c r="C264" s="15">
        <f>IF(AND($A264&gt;=INT(Instellingen!$B$5),$A264&lt;=INT(Instellingen!$B$6)),1,0)</f>
        <v/>
      </c>
      <c r="D264" s="20">
        <f>COUNTIFS(tData[SEHTrajectPeriodeDatumTijdVan],"&lt;="&amp;($A264+0/24),tData[SEHTrajectPeriodeDatumTijdTotEnMet],"&gt;"&amp;($A264+0/24))</f>
        <v/>
      </c>
      <c r="E264" s="20">
        <f>COUNTIFS(tData[SEHTrajectPeriodeDatumTijdVan],"&lt;="&amp;($A264+1/24),tData[SEHTrajectPeriodeDatumTijdTotEnMet],"&gt;"&amp;($A264+1/24))</f>
        <v/>
      </c>
      <c r="F264" s="20">
        <f>COUNTIFS(tData[SEHTrajectPeriodeDatumTijdVan],"&lt;="&amp;($A264+2/24),tData[SEHTrajectPeriodeDatumTijdTotEnMet],"&gt;"&amp;($A264+2/24))</f>
        <v/>
      </c>
      <c r="G264" s="20">
        <f>COUNTIFS(tData[SEHTrajectPeriodeDatumTijdVan],"&lt;="&amp;($A264+3/24),tData[SEHTrajectPeriodeDatumTijdTotEnMet],"&gt;"&amp;($A264+3/24))</f>
        <v/>
      </c>
      <c r="H264" s="20">
        <f>COUNTIFS(tData[SEHTrajectPeriodeDatumTijdVan],"&lt;="&amp;($A264+4/24),tData[SEHTrajectPeriodeDatumTijdTotEnMet],"&gt;"&amp;($A264+4/24))</f>
        <v/>
      </c>
      <c r="I264" s="20">
        <f>COUNTIFS(tData[SEHTrajectPeriodeDatumTijdVan],"&lt;="&amp;($A264+5/24),tData[SEHTrajectPeriodeDatumTijdTotEnMet],"&gt;"&amp;($A264+5/24))</f>
        <v/>
      </c>
      <c r="J264" s="20">
        <f>COUNTIFS(tData[SEHTrajectPeriodeDatumTijdVan],"&lt;="&amp;($A264+6/24),tData[SEHTrajectPeriodeDatumTijdTotEnMet],"&gt;"&amp;($A264+6/24))</f>
        <v/>
      </c>
      <c r="K264" s="20">
        <f>COUNTIFS(tData[SEHTrajectPeriodeDatumTijdVan],"&lt;="&amp;($A264+7/24),tData[SEHTrajectPeriodeDatumTijdTotEnMet],"&gt;"&amp;($A264+7/24))</f>
        <v/>
      </c>
      <c r="L264" s="20">
        <f>COUNTIFS(tData[SEHTrajectPeriodeDatumTijdVan],"&lt;="&amp;($A264+8/24),tData[SEHTrajectPeriodeDatumTijdTotEnMet],"&gt;"&amp;($A264+8/24))</f>
        <v/>
      </c>
      <c r="M264" s="20">
        <f>COUNTIFS(tData[SEHTrajectPeriodeDatumTijdVan],"&lt;="&amp;($A264+9/24),tData[SEHTrajectPeriodeDatumTijdTotEnMet],"&gt;"&amp;($A264+9/24))</f>
        <v/>
      </c>
      <c r="N264" s="20">
        <f>COUNTIFS(tData[SEHTrajectPeriodeDatumTijdVan],"&lt;="&amp;($A264+10/24),tData[SEHTrajectPeriodeDatumTijdTotEnMet],"&gt;"&amp;($A264+10/24))</f>
        <v/>
      </c>
      <c r="O264" s="20">
        <f>COUNTIFS(tData[SEHTrajectPeriodeDatumTijdVan],"&lt;="&amp;($A264+11/24),tData[SEHTrajectPeriodeDatumTijdTotEnMet],"&gt;"&amp;($A264+11/24))</f>
        <v/>
      </c>
      <c r="P264" s="20">
        <f>COUNTIFS(tData[SEHTrajectPeriodeDatumTijdVan],"&lt;="&amp;($A264+12/24),tData[SEHTrajectPeriodeDatumTijdTotEnMet],"&gt;"&amp;($A264+12/24))</f>
        <v/>
      </c>
      <c r="Q264" s="20">
        <f>COUNTIFS(tData[SEHTrajectPeriodeDatumTijdVan],"&lt;="&amp;($A264+13/24),tData[SEHTrajectPeriodeDatumTijdTotEnMet],"&gt;"&amp;($A264+13/24))</f>
        <v/>
      </c>
      <c r="R264" s="20">
        <f>COUNTIFS(tData[SEHTrajectPeriodeDatumTijdVan],"&lt;="&amp;($A264+14/24),tData[SEHTrajectPeriodeDatumTijdTotEnMet],"&gt;"&amp;($A264+14/24))</f>
        <v/>
      </c>
      <c r="S264" s="20">
        <f>COUNTIFS(tData[SEHTrajectPeriodeDatumTijdVan],"&lt;="&amp;($A264+15/24),tData[SEHTrajectPeriodeDatumTijdTotEnMet],"&gt;"&amp;($A264+15/24))</f>
        <v/>
      </c>
      <c r="T264" s="20">
        <f>COUNTIFS(tData[SEHTrajectPeriodeDatumTijdVan],"&lt;="&amp;($A264+16/24),tData[SEHTrajectPeriodeDatumTijdTotEnMet],"&gt;"&amp;($A264+16/24))</f>
        <v/>
      </c>
      <c r="U264" s="20">
        <f>COUNTIFS(tData[SEHTrajectPeriodeDatumTijdVan],"&lt;="&amp;($A264+17/24),tData[SEHTrajectPeriodeDatumTijdTotEnMet],"&gt;"&amp;($A264+17/24))</f>
        <v/>
      </c>
      <c r="V264" s="20">
        <f>COUNTIFS(tData[SEHTrajectPeriodeDatumTijdVan],"&lt;="&amp;($A264+18/24),tData[SEHTrajectPeriodeDatumTijdTotEnMet],"&gt;"&amp;($A264+18/24))</f>
        <v/>
      </c>
      <c r="W264" s="20">
        <f>COUNTIFS(tData[SEHTrajectPeriodeDatumTijdVan],"&lt;="&amp;($A264+19/24),tData[SEHTrajectPeriodeDatumTijdTotEnMet],"&gt;"&amp;($A264+19/24))</f>
        <v/>
      </c>
      <c r="X264" s="20">
        <f>COUNTIFS(tData[SEHTrajectPeriodeDatumTijdVan],"&lt;="&amp;($A264+20/24),tData[SEHTrajectPeriodeDatumTijdTotEnMet],"&gt;"&amp;($A264+20/24))</f>
        <v/>
      </c>
      <c r="Y264" s="20">
        <f>COUNTIFS(tData[SEHTrajectPeriodeDatumTijdVan],"&lt;="&amp;($A264+21/24),tData[SEHTrajectPeriodeDatumTijdTotEnMet],"&gt;"&amp;($A264+21/24))</f>
        <v/>
      </c>
      <c r="Z264" s="20">
        <f>COUNTIFS(tData[SEHTrajectPeriodeDatumTijdVan],"&lt;="&amp;($A264+22/24),tData[SEHTrajectPeriodeDatumTijdTotEnMet],"&gt;"&amp;($A264+22/24))</f>
        <v/>
      </c>
      <c r="AA264" s="20">
        <f>COUNTIFS(tData[SEHTrajectPeriodeDatumTijdVan],"&lt;="&amp;($A264+23/24),tData[SEHTrajectPeriodeDatumTijdTotEnMet],"&gt;"&amp;($A264+23/24))</f>
        <v/>
      </c>
    </row>
    <row r="265">
      <c r="A265" s="19" t="n">
        <v>45553</v>
      </c>
      <c r="B265" s="15">
        <f>WEEKDAY($A265,2)</f>
        <v/>
      </c>
      <c r="C265" s="15">
        <f>IF(AND($A265&gt;=INT(Instellingen!$B$5),$A265&lt;=INT(Instellingen!$B$6)),1,0)</f>
        <v/>
      </c>
      <c r="D265" s="20">
        <f>COUNTIFS(tData[SEHTrajectPeriodeDatumTijdVan],"&lt;="&amp;($A265+0/24),tData[SEHTrajectPeriodeDatumTijdTotEnMet],"&gt;"&amp;($A265+0/24))</f>
        <v/>
      </c>
      <c r="E265" s="20">
        <f>COUNTIFS(tData[SEHTrajectPeriodeDatumTijdVan],"&lt;="&amp;($A265+1/24),tData[SEHTrajectPeriodeDatumTijdTotEnMet],"&gt;"&amp;($A265+1/24))</f>
        <v/>
      </c>
      <c r="F265" s="20">
        <f>COUNTIFS(tData[SEHTrajectPeriodeDatumTijdVan],"&lt;="&amp;($A265+2/24),tData[SEHTrajectPeriodeDatumTijdTotEnMet],"&gt;"&amp;($A265+2/24))</f>
        <v/>
      </c>
      <c r="G265" s="20">
        <f>COUNTIFS(tData[SEHTrajectPeriodeDatumTijdVan],"&lt;="&amp;($A265+3/24),tData[SEHTrajectPeriodeDatumTijdTotEnMet],"&gt;"&amp;($A265+3/24))</f>
        <v/>
      </c>
      <c r="H265" s="20">
        <f>COUNTIFS(tData[SEHTrajectPeriodeDatumTijdVan],"&lt;="&amp;($A265+4/24),tData[SEHTrajectPeriodeDatumTijdTotEnMet],"&gt;"&amp;($A265+4/24))</f>
        <v/>
      </c>
      <c r="I265" s="20">
        <f>COUNTIFS(tData[SEHTrajectPeriodeDatumTijdVan],"&lt;="&amp;($A265+5/24),tData[SEHTrajectPeriodeDatumTijdTotEnMet],"&gt;"&amp;($A265+5/24))</f>
        <v/>
      </c>
      <c r="J265" s="20">
        <f>COUNTIFS(tData[SEHTrajectPeriodeDatumTijdVan],"&lt;="&amp;($A265+6/24),tData[SEHTrajectPeriodeDatumTijdTotEnMet],"&gt;"&amp;($A265+6/24))</f>
        <v/>
      </c>
      <c r="K265" s="20">
        <f>COUNTIFS(tData[SEHTrajectPeriodeDatumTijdVan],"&lt;="&amp;($A265+7/24),tData[SEHTrajectPeriodeDatumTijdTotEnMet],"&gt;"&amp;($A265+7/24))</f>
        <v/>
      </c>
      <c r="L265" s="20">
        <f>COUNTIFS(tData[SEHTrajectPeriodeDatumTijdVan],"&lt;="&amp;($A265+8/24),tData[SEHTrajectPeriodeDatumTijdTotEnMet],"&gt;"&amp;($A265+8/24))</f>
        <v/>
      </c>
      <c r="M265" s="20">
        <f>COUNTIFS(tData[SEHTrajectPeriodeDatumTijdVan],"&lt;="&amp;($A265+9/24),tData[SEHTrajectPeriodeDatumTijdTotEnMet],"&gt;"&amp;($A265+9/24))</f>
        <v/>
      </c>
      <c r="N265" s="20">
        <f>COUNTIFS(tData[SEHTrajectPeriodeDatumTijdVan],"&lt;="&amp;($A265+10/24),tData[SEHTrajectPeriodeDatumTijdTotEnMet],"&gt;"&amp;($A265+10/24))</f>
        <v/>
      </c>
      <c r="O265" s="20">
        <f>COUNTIFS(tData[SEHTrajectPeriodeDatumTijdVan],"&lt;="&amp;($A265+11/24),tData[SEHTrajectPeriodeDatumTijdTotEnMet],"&gt;"&amp;($A265+11/24))</f>
        <v/>
      </c>
      <c r="P265" s="20">
        <f>COUNTIFS(tData[SEHTrajectPeriodeDatumTijdVan],"&lt;="&amp;($A265+12/24),tData[SEHTrajectPeriodeDatumTijdTotEnMet],"&gt;"&amp;($A265+12/24))</f>
        <v/>
      </c>
      <c r="Q265" s="20">
        <f>COUNTIFS(tData[SEHTrajectPeriodeDatumTijdVan],"&lt;="&amp;($A265+13/24),tData[SEHTrajectPeriodeDatumTijdTotEnMet],"&gt;"&amp;($A265+13/24))</f>
        <v/>
      </c>
      <c r="R265" s="20">
        <f>COUNTIFS(tData[SEHTrajectPeriodeDatumTijdVan],"&lt;="&amp;($A265+14/24),tData[SEHTrajectPeriodeDatumTijdTotEnMet],"&gt;"&amp;($A265+14/24))</f>
        <v/>
      </c>
      <c r="S265" s="20">
        <f>COUNTIFS(tData[SEHTrajectPeriodeDatumTijdVan],"&lt;="&amp;($A265+15/24),tData[SEHTrajectPeriodeDatumTijdTotEnMet],"&gt;"&amp;($A265+15/24))</f>
        <v/>
      </c>
      <c r="T265" s="20">
        <f>COUNTIFS(tData[SEHTrajectPeriodeDatumTijdVan],"&lt;="&amp;($A265+16/24),tData[SEHTrajectPeriodeDatumTijdTotEnMet],"&gt;"&amp;($A265+16/24))</f>
        <v/>
      </c>
      <c r="U265" s="20">
        <f>COUNTIFS(tData[SEHTrajectPeriodeDatumTijdVan],"&lt;="&amp;($A265+17/24),tData[SEHTrajectPeriodeDatumTijdTotEnMet],"&gt;"&amp;($A265+17/24))</f>
        <v/>
      </c>
      <c r="V265" s="20">
        <f>COUNTIFS(tData[SEHTrajectPeriodeDatumTijdVan],"&lt;="&amp;($A265+18/24),tData[SEHTrajectPeriodeDatumTijdTotEnMet],"&gt;"&amp;($A265+18/24))</f>
        <v/>
      </c>
      <c r="W265" s="20">
        <f>COUNTIFS(tData[SEHTrajectPeriodeDatumTijdVan],"&lt;="&amp;($A265+19/24),tData[SEHTrajectPeriodeDatumTijdTotEnMet],"&gt;"&amp;($A265+19/24))</f>
        <v/>
      </c>
      <c r="X265" s="20">
        <f>COUNTIFS(tData[SEHTrajectPeriodeDatumTijdVan],"&lt;="&amp;($A265+20/24),tData[SEHTrajectPeriodeDatumTijdTotEnMet],"&gt;"&amp;($A265+20/24))</f>
        <v/>
      </c>
      <c r="Y265" s="20">
        <f>COUNTIFS(tData[SEHTrajectPeriodeDatumTijdVan],"&lt;="&amp;($A265+21/24),tData[SEHTrajectPeriodeDatumTijdTotEnMet],"&gt;"&amp;($A265+21/24))</f>
        <v/>
      </c>
      <c r="Z265" s="20">
        <f>COUNTIFS(tData[SEHTrajectPeriodeDatumTijdVan],"&lt;="&amp;($A265+22/24),tData[SEHTrajectPeriodeDatumTijdTotEnMet],"&gt;"&amp;($A265+22/24))</f>
        <v/>
      </c>
      <c r="AA265" s="20">
        <f>COUNTIFS(tData[SEHTrajectPeriodeDatumTijdVan],"&lt;="&amp;($A265+23/24),tData[SEHTrajectPeriodeDatumTijdTotEnMet],"&gt;"&amp;($A265+23/24))</f>
        <v/>
      </c>
    </row>
    <row r="266">
      <c r="A266" s="19" t="n">
        <v>45554</v>
      </c>
      <c r="B266" s="15">
        <f>WEEKDAY($A266,2)</f>
        <v/>
      </c>
      <c r="C266" s="15">
        <f>IF(AND($A266&gt;=INT(Instellingen!$B$5),$A266&lt;=INT(Instellingen!$B$6)),1,0)</f>
        <v/>
      </c>
      <c r="D266" s="20">
        <f>COUNTIFS(tData[SEHTrajectPeriodeDatumTijdVan],"&lt;="&amp;($A266+0/24),tData[SEHTrajectPeriodeDatumTijdTotEnMet],"&gt;"&amp;($A266+0/24))</f>
        <v/>
      </c>
      <c r="E266" s="20">
        <f>COUNTIFS(tData[SEHTrajectPeriodeDatumTijdVan],"&lt;="&amp;($A266+1/24),tData[SEHTrajectPeriodeDatumTijdTotEnMet],"&gt;"&amp;($A266+1/24))</f>
        <v/>
      </c>
      <c r="F266" s="20">
        <f>COUNTIFS(tData[SEHTrajectPeriodeDatumTijdVan],"&lt;="&amp;($A266+2/24),tData[SEHTrajectPeriodeDatumTijdTotEnMet],"&gt;"&amp;($A266+2/24))</f>
        <v/>
      </c>
      <c r="G266" s="20">
        <f>COUNTIFS(tData[SEHTrajectPeriodeDatumTijdVan],"&lt;="&amp;($A266+3/24),tData[SEHTrajectPeriodeDatumTijdTotEnMet],"&gt;"&amp;($A266+3/24))</f>
        <v/>
      </c>
      <c r="H266" s="20">
        <f>COUNTIFS(tData[SEHTrajectPeriodeDatumTijdVan],"&lt;="&amp;($A266+4/24),tData[SEHTrajectPeriodeDatumTijdTotEnMet],"&gt;"&amp;($A266+4/24))</f>
        <v/>
      </c>
      <c r="I266" s="20">
        <f>COUNTIFS(tData[SEHTrajectPeriodeDatumTijdVan],"&lt;="&amp;($A266+5/24),tData[SEHTrajectPeriodeDatumTijdTotEnMet],"&gt;"&amp;($A266+5/24))</f>
        <v/>
      </c>
      <c r="J266" s="20">
        <f>COUNTIFS(tData[SEHTrajectPeriodeDatumTijdVan],"&lt;="&amp;($A266+6/24),tData[SEHTrajectPeriodeDatumTijdTotEnMet],"&gt;"&amp;($A266+6/24))</f>
        <v/>
      </c>
      <c r="K266" s="20">
        <f>COUNTIFS(tData[SEHTrajectPeriodeDatumTijdVan],"&lt;="&amp;($A266+7/24),tData[SEHTrajectPeriodeDatumTijdTotEnMet],"&gt;"&amp;($A266+7/24))</f>
        <v/>
      </c>
      <c r="L266" s="20">
        <f>COUNTIFS(tData[SEHTrajectPeriodeDatumTijdVan],"&lt;="&amp;($A266+8/24),tData[SEHTrajectPeriodeDatumTijdTotEnMet],"&gt;"&amp;($A266+8/24))</f>
        <v/>
      </c>
      <c r="M266" s="20">
        <f>COUNTIFS(tData[SEHTrajectPeriodeDatumTijdVan],"&lt;="&amp;($A266+9/24),tData[SEHTrajectPeriodeDatumTijdTotEnMet],"&gt;"&amp;($A266+9/24))</f>
        <v/>
      </c>
      <c r="N266" s="20">
        <f>COUNTIFS(tData[SEHTrajectPeriodeDatumTijdVan],"&lt;="&amp;($A266+10/24),tData[SEHTrajectPeriodeDatumTijdTotEnMet],"&gt;"&amp;($A266+10/24))</f>
        <v/>
      </c>
      <c r="O266" s="20">
        <f>COUNTIFS(tData[SEHTrajectPeriodeDatumTijdVan],"&lt;="&amp;($A266+11/24),tData[SEHTrajectPeriodeDatumTijdTotEnMet],"&gt;"&amp;($A266+11/24))</f>
        <v/>
      </c>
      <c r="P266" s="20">
        <f>COUNTIFS(tData[SEHTrajectPeriodeDatumTijdVan],"&lt;="&amp;($A266+12/24),tData[SEHTrajectPeriodeDatumTijdTotEnMet],"&gt;"&amp;($A266+12/24))</f>
        <v/>
      </c>
      <c r="Q266" s="20">
        <f>COUNTIFS(tData[SEHTrajectPeriodeDatumTijdVan],"&lt;="&amp;($A266+13/24),tData[SEHTrajectPeriodeDatumTijdTotEnMet],"&gt;"&amp;($A266+13/24))</f>
        <v/>
      </c>
      <c r="R266" s="20">
        <f>COUNTIFS(tData[SEHTrajectPeriodeDatumTijdVan],"&lt;="&amp;($A266+14/24),tData[SEHTrajectPeriodeDatumTijdTotEnMet],"&gt;"&amp;($A266+14/24))</f>
        <v/>
      </c>
      <c r="S266" s="20">
        <f>COUNTIFS(tData[SEHTrajectPeriodeDatumTijdVan],"&lt;="&amp;($A266+15/24),tData[SEHTrajectPeriodeDatumTijdTotEnMet],"&gt;"&amp;($A266+15/24))</f>
        <v/>
      </c>
      <c r="T266" s="20">
        <f>COUNTIFS(tData[SEHTrajectPeriodeDatumTijdVan],"&lt;="&amp;($A266+16/24),tData[SEHTrajectPeriodeDatumTijdTotEnMet],"&gt;"&amp;($A266+16/24))</f>
        <v/>
      </c>
      <c r="U266" s="20">
        <f>COUNTIFS(tData[SEHTrajectPeriodeDatumTijdVan],"&lt;="&amp;($A266+17/24),tData[SEHTrajectPeriodeDatumTijdTotEnMet],"&gt;"&amp;($A266+17/24))</f>
        <v/>
      </c>
      <c r="V266" s="20">
        <f>COUNTIFS(tData[SEHTrajectPeriodeDatumTijdVan],"&lt;="&amp;($A266+18/24),tData[SEHTrajectPeriodeDatumTijdTotEnMet],"&gt;"&amp;($A266+18/24))</f>
        <v/>
      </c>
      <c r="W266" s="20">
        <f>COUNTIFS(tData[SEHTrajectPeriodeDatumTijdVan],"&lt;="&amp;($A266+19/24),tData[SEHTrajectPeriodeDatumTijdTotEnMet],"&gt;"&amp;($A266+19/24))</f>
        <v/>
      </c>
      <c r="X266" s="20">
        <f>COUNTIFS(tData[SEHTrajectPeriodeDatumTijdVan],"&lt;="&amp;($A266+20/24),tData[SEHTrajectPeriodeDatumTijdTotEnMet],"&gt;"&amp;($A266+20/24))</f>
        <v/>
      </c>
      <c r="Y266" s="20">
        <f>COUNTIFS(tData[SEHTrajectPeriodeDatumTijdVan],"&lt;="&amp;($A266+21/24),tData[SEHTrajectPeriodeDatumTijdTotEnMet],"&gt;"&amp;($A266+21/24))</f>
        <v/>
      </c>
      <c r="Z266" s="20">
        <f>COUNTIFS(tData[SEHTrajectPeriodeDatumTijdVan],"&lt;="&amp;($A266+22/24),tData[SEHTrajectPeriodeDatumTijdTotEnMet],"&gt;"&amp;($A266+22/24))</f>
        <v/>
      </c>
      <c r="AA266" s="20">
        <f>COUNTIFS(tData[SEHTrajectPeriodeDatumTijdVan],"&lt;="&amp;($A266+23/24),tData[SEHTrajectPeriodeDatumTijdTotEnMet],"&gt;"&amp;($A266+23/24))</f>
        <v/>
      </c>
    </row>
    <row r="267">
      <c r="A267" s="19" t="n">
        <v>45555</v>
      </c>
      <c r="B267" s="15">
        <f>WEEKDAY($A267,2)</f>
        <v/>
      </c>
      <c r="C267" s="15">
        <f>IF(AND($A267&gt;=INT(Instellingen!$B$5),$A267&lt;=INT(Instellingen!$B$6)),1,0)</f>
        <v/>
      </c>
      <c r="D267" s="20">
        <f>COUNTIFS(tData[SEHTrajectPeriodeDatumTijdVan],"&lt;="&amp;($A267+0/24),tData[SEHTrajectPeriodeDatumTijdTotEnMet],"&gt;"&amp;($A267+0/24))</f>
        <v/>
      </c>
      <c r="E267" s="20">
        <f>COUNTIFS(tData[SEHTrajectPeriodeDatumTijdVan],"&lt;="&amp;($A267+1/24),tData[SEHTrajectPeriodeDatumTijdTotEnMet],"&gt;"&amp;($A267+1/24))</f>
        <v/>
      </c>
      <c r="F267" s="20">
        <f>COUNTIFS(tData[SEHTrajectPeriodeDatumTijdVan],"&lt;="&amp;($A267+2/24),tData[SEHTrajectPeriodeDatumTijdTotEnMet],"&gt;"&amp;($A267+2/24))</f>
        <v/>
      </c>
      <c r="G267" s="20">
        <f>COUNTIFS(tData[SEHTrajectPeriodeDatumTijdVan],"&lt;="&amp;($A267+3/24),tData[SEHTrajectPeriodeDatumTijdTotEnMet],"&gt;"&amp;($A267+3/24))</f>
        <v/>
      </c>
      <c r="H267" s="20">
        <f>COUNTIFS(tData[SEHTrajectPeriodeDatumTijdVan],"&lt;="&amp;($A267+4/24),tData[SEHTrajectPeriodeDatumTijdTotEnMet],"&gt;"&amp;($A267+4/24))</f>
        <v/>
      </c>
      <c r="I267" s="20">
        <f>COUNTIFS(tData[SEHTrajectPeriodeDatumTijdVan],"&lt;="&amp;($A267+5/24),tData[SEHTrajectPeriodeDatumTijdTotEnMet],"&gt;"&amp;($A267+5/24))</f>
        <v/>
      </c>
      <c r="J267" s="20">
        <f>COUNTIFS(tData[SEHTrajectPeriodeDatumTijdVan],"&lt;="&amp;($A267+6/24),tData[SEHTrajectPeriodeDatumTijdTotEnMet],"&gt;"&amp;($A267+6/24))</f>
        <v/>
      </c>
      <c r="K267" s="20">
        <f>COUNTIFS(tData[SEHTrajectPeriodeDatumTijdVan],"&lt;="&amp;($A267+7/24),tData[SEHTrajectPeriodeDatumTijdTotEnMet],"&gt;"&amp;($A267+7/24))</f>
        <v/>
      </c>
      <c r="L267" s="20">
        <f>COUNTIFS(tData[SEHTrajectPeriodeDatumTijdVan],"&lt;="&amp;($A267+8/24),tData[SEHTrajectPeriodeDatumTijdTotEnMet],"&gt;"&amp;($A267+8/24))</f>
        <v/>
      </c>
      <c r="M267" s="20">
        <f>COUNTIFS(tData[SEHTrajectPeriodeDatumTijdVan],"&lt;="&amp;($A267+9/24),tData[SEHTrajectPeriodeDatumTijdTotEnMet],"&gt;"&amp;($A267+9/24))</f>
        <v/>
      </c>
      <c r="N267" s="20">
        <f>COUNTIFS(tData[SEHTrajectPeriodeDatumTijdVan],"&lt;="&amp;($A267+10/24),tData[SEHTrajectPeriodeDatumTijdTotEnMet],"&gt;"&amp;($A267+10/24))</f>
        <v/>
      </c>
      <c r="O267" s="20">
        <f>COUNTIFS(tData[SEHTrajectPeriodeDatumTijdVan],"&lt;="&amp;($A267+11/24),tData[SEHTrajectPeriodeDatumTijdTotEnMet],"&gt;"&amp;($A267+11/24))</f>
        <v/>
      </c>
      <c r="P267" s="20">
        <f>COUNTIFS(tData[SEHTrajectPeriodeDatumTijdVan],"&lt;="&amp;($A267+12/24),tData[SEHTrajectPeriodeDatumTijdTotEnMet],"&gt;"&amp;($A267+12/24))</f>
        <v/>
      </c>
      <c r="Q267" s="20">
        <f>COUNTIFS(tData[SEHTrajectPeriodeDatumTijdVan],"&lt;="&amp;($A267+13/24),tData[SEHTrajectPeriodeDatumTijdTotEnMet],"&gt;"&amp;($A267+13/24))</f>
        <v/>
      </c>
      <c r="R267" s="20">
        <f>COUNTIFS(tData[SEHTrajectPeriodeDatumTijdVan],"&lt;="&amp;($A267+14/24),tData[SEHTrajectPeriodeDatumTijdTotEnMet],"&gt;"&amp;($A267+14/24))</f>
        <v/>
      </c>
      <c r="S267" s="20">
        <f>COUNTIFS(tData[SEHTrajectPeriodeDatumTijdVan],"&lt;="&amp;($A267+15/24),tData[SEHTrajectPeriodeDatumTijdTotEnMet],"&gt;"&amp;($A267+15/24))</f>
        <v/>
      </c>
      <c r="T267" s="20">
        <f>COUNTIFS(tData[SEHTrajectPeriodeDatumTijdVan],"&lt;="&amp;($A267+16/24),tData[SEHTrajectPeriodeDatumTijdTotEnMet],"&gt;"&amp;($A267+16/24))</f>
        <v/>
      </c>
      <c r="U267" s="20">
        <f>COUNTIFS(tData[SEHTrajectPeriodeDatumTijdVan],"&lt;="&amp;($A267+17/24),tData[SEHTrajectPeriodeDatumTijdTotEnMet],"&gt;"&amp;($A267+17/24))</f>
        <v/>
      </c>
      <c r="V267" s="20">
        <f>COUNTIFS(tData[SEHTrajectPeriodeDatumTijdVan],"&lt;="&amp;($A267+18/24),tData[SEHTrajectPeriodeDatumTijdTotEnMet],"&gt;"&amp;($A267+18/24))</f>
        <v/>
      </c>
      <c r="W267" s="20">
        <f>COUNTIFS(tData[SEHTrajectPeriodeDatumTijdVan],"&lt;="&amp;($A267+19/24),tData[SEHTrajectPeriodeDatumTijdTotEnMet],"&gt;"&amp;($A267+19/24))</f>
        <v/>
      </c>
      <c r="X267" s="20">
        <f>COUNTIFS(tData[SEHTrajectPeriodeDatumTijdVan],"&lt;="&amp;($A267+20/24),tData[SEHTrajectPeriodeDatumTijdTotEnMet],"&gt;"&amp;($A267+20/24))</f>
        <v/>
      </c>
      <c r="Y267" s="20">
        <f>COUNTIFS(tData[SEHTrajectPeriodeDatumTijdVan],"&lt;="&amp;($A267+21/24),tData[SEHTrajectPeriodeDatumTijdTotEnMet],"&gt;"&amp;($A267+21/24))</f>
        <v/>
      </c>
      <c r="Z267" s="20">
        <f>COUNTIFS(tData[SEHTrajectPeriodeDatumTijdVan],"&lt;="&amp;($A267+22/24),tData[SEHTrajectPeriodeDatumTijdTotEnMet],"&gt;"&amp;($A267+22/24))</f>
        <v/>
      </c>
      <c r="AA267" s="20">
        <f>COUNTIFS(tData[SEHTrajectPeriodeDatumTijdVan],"&lt;="&amp;($A267+23/24),tData[SEHTrajectPeriodeDatumTijdTotEnMet],"&gt;"&amp;($A267+23/24))</f>
        <v/>
      </c>
    </row>
    <row r="268">
      <c r="A268" s="19" t="n">
        <v>45556</v>
      </c>
      <c r="B268" s="15">
        <f>WEEKDAY($A268,2)</f>
        <v/>
      </c>
      <c r="C268" s="15">
        <f>IF(AND($A268&gt;=INT(Instellingen!$B$5),$A268&lt;=INT(Instellingen!$B$6)),1,0)</f>
        <v/>
      </c>
      <c r="D268" s="20">
        <f>COUNTIFS(tData[SEHTrajectPeriodeDatumTijdVan],"&lt;="&amp;($A268+0/24),tData[SEHTrajectPeriodeDatumTijdTotEnMet],"&gt;"&amp;($A268+0/24))</f>
        <v/>
      </c>
      <c r="E268" s="20">
        <f>COUNTIFS(tData[SEHTrajectPeriodeDatumTijdVan],"&lt;="&amp;($A268+1/24),tData[SEHTrajectPeriodeDatumTijdTotEnMet],"&gt;"&amp;($A268+1/24))</f>
        <v/>
      </c>
      <c r="F268" s="20">
        <f>COUNTIFS(tData[SEHTrajectPeriodeDatumTijdVan],"&lt;="&amp;($A268+2/24),tData[SEHTrajectPeriodeDatumTijdTotEnMet],"&gt;"&amp;($A268+2/24))</f>
        <v/>
      </c>
      <c r="G268" s="20">
        <f>COUNTIFS(tData[SEHTrajectPeriodeDatumTijdVan],"&lt;="&amp;($A268+3/24),tData[SEHTrajectPeriodeDatumTijdTotEnMet],"&gt;"&amp;($A268+3/24))</f>
        <v/>
      </c>
      <c r="H268" s="20">
        <f>COUNTIFS(tData[SEHTrajectPeriodeDatumTijdVan],"&lt;="&amp;($A268+4/24),tData[SEHTrajectPeriodeDatumTijdTotEnMet],"&gt;"&amp;($A268+4/24))</f>
        <v/>
      </c>
      <c r="I268" s="20">
        <f>COUNTIFS(tData[SEHTrajectPeriodeDatumTijdVan],"&lt;="&amp;($A268+5/24),tData[SEHTrajectPeriodeDatumTijdTotEnMet],"&gt;"&amp;($A268+5/24))</f>
        <v/>
      </c>
      <c r="J268" s="20">
        <f>COUNTIFS(tData[SEHTrajectPeriodeDatumTijdVan],"&lt;="&amp;($A268+6/24),tData[SEHTrajectPeriodeDatumTijdTotEnMet],"&gt;"&amp;($A268+6/24))</f>
        <v/>
      </c>
      <c r="K268" s="20">
        <f>COUNTIFS(tData[SEHTrajectPeriodeDatumTijdVan],"&lt;="&amp;($A268+7/24),tData[SEHTrajectPeriodeDatumTijdTotEnMet],"&gt;"&amp;($A268+7/24))</f>
        <v/>
      </c>
      <c r="L268" s="20">
        <f>COUNTIFS(tData[SEHTrajectPeriodeDatumTijdVan],"&lt;="&amp;($A268+8/24),tData[SEHTrajectPeriodeDatumTijdTotEnMet],"&gt;"&amp;($A268+8/24))</f>
        <v/>
      </c>
      <c r="M268" s="20">
        <f>COUNTIFS(tData[SEHTrajectPeriodeDatumTijdVan],"&lt;="&amp;($A268+9/24),tData[SEHTrajectPeriodeDatumTijdTotEnMet],"&gt;"&amp;($A268+9/24))</f>
        <v/>
      </c>
      <c r="N268" s="20">
        <f>COUNTIFS(tData[SEHTrajectPeriodeDatumTijdVan],"&lt;="&amp;($A268+10/24),tData[SEHTrajectPeriodeDatumTijdTotEnMet],"&gt;"&amp;($A268+10/24))</f>
        <v/>
      </c>
      <c r="O268" s="20">
        <f>COUNTIFS(tData[SEHTrajectPeriodeDatumTijdVan],"&lt;="&amp;($A268+11/24),tData[SEHTrajectPeriodeDatumTijdTotEnMet],"&gt;"&amp;($A268+11/24))</f>
        <v/>
      </c>
      <c r="P268" s="20">
        <f>COUNTIFS(tData[SEHTrajectPeriodeDatumTijdVan],"&lt;="&amp;($A268+12/24),tData[SEHTrajectPeriodeDatumTijdTotEnMet],"&gt;"&amp;($A268+12/24))</f>
        <v/>
      </c>
      <c r="Q268" s="20">
        <f>COUNTIFS(tData[SEHTrajectPeriodeDatumTijdVan],"&lt;="&amp;($A268+13/24),tData[SEHTrajectPeriodeDatumTijdTotEnMet],"&gt;"&amp;($A268+13/24))</f>
        <v/>
      </c>
      <c r="R268" s="20">
        <f>COUNTIFS(tData[SEHTrajectPeriodeDatumTijdVan],"&lt;="&amp;($A268+14/24),tData[SEHTrajectPeriodeDatumTijdTotEnMet],"&gt;"&amp;($A268+14/24))</f>
        <v/>
      </c>
      <c r="S268" s="20">
        <f>COUNTIFS(tData[SEHTrajectPeriodeDatumTijdVan],"&lt;="&amp;($A268+15/24),tData[SEHTrajectPeriodeDatumTijdTotEnMet],"&gt;"&amp;($A268+15/24))</f>
        <v/>
      </c>
      <c r="T268" s="20">
        <f>COUNTIFS(tData[SEHTrajectPeriodeDatumTijdVan],"&lt;="&amp;($A268+16/24),tData[SEHTrajectPeriodeDatumTijdTotEnMet],"&gt;"&amp;($A268+16/24))</f>
        <v/>
      </c>
      <c r="U268" s="20">
        <f>COUNTIFS(tData[SEHTrajectPeriodeDatumTijdVan],"&lt;="&amp;($A268+17/24),tData[SEHTrajectPeriodeDatumTijdTotEnMet],"&gt;"&amp;($A268+17/24))</f>
        <v/>
      </c>
      <c r="V268" s="20">
        <f>COUNTIFS(tData[SEHTrajectPeriodeDatumTijdVan],"&lt;="&amp;($A268+18/24),tData[SEHTrajectPeriodeDatumTijdTotEnMet],"&gt;"&amp;($A268+18/24))</f>
        <v/>
      </c>
      <c r="W268" s="20">
        <f>COUNTIFS(tData[SEHTrajectPeriodeDatumTijdVan],"&lt;="&amp;($A268+19/24),tData[SEHTrajectPeriodeDatumTijdTotEnMet],"&gt;"&amp;($A268+19/24))</f>
        <v/>
      </c>
      <c r="X268" s="20">
        <f>COUNTIFS(tData[SEHTrajectPeriodeDatumTijdVan],"&lt;="&amp;($A268+20/24),tData[SEHTrajectPeriodeDatumTijdTotEnMet],"&gt;"&amp;($A268+20/24))</f>
        <v/>
      </c>
      <c r="Y268" s="20">
        <f>COUNTIFS(tData[SEHTrajectPeriodeDatumTijdVan],"&lt;="&amp;($A268+21/24),tData[SEHTrajectPeriodeDatumTijdTotEnMet],"&gt;"&amp;($A268+21/24))</f>
        <v/>
      </c>
      <c r="Z268" s="20">
        <f>COUNTIFS(tData[SEHTrajectPeriodeDatumTijdVan],"&lt;="&amp;($A268+22/24),tData[SEHTrajectPeriodeDatumTijdTotEnMet],"&gt;"&amp;($A268+22/24))</f>
        <v/>
      </c>
      <c r="AA268" s="20">
        <f>COUNTIFS(tData[SEHTrajectPeriodeDatumTijdVan],"&lt;="&amp;($A268+23/24),tData[SEHTrajectPeriodeDatumTijdTotEnMet],"&gt;"&amp;($A268+23/24))</f>
        <v/>
      </c>
    </row>
    <row r="269">
      <c r="A269" s="19" t="n">
        <v>45557</v>
      </c>
      <c r="B269" s="15">
        <f>WEEKDAY($A269,2)</f>
        <v/>
      </c>
      <c r="C269" s="15">
        <f>IF(AND($A269&gt;=INT(Instellingen!$B$5),$A269&lt;=INT(Instellingen!$B$6)),1,0)</f>
        <v/>
      </c>
      <c r="D269" s="20">
        <f>COUNTIFS(tData[SEHTrajectPeriodeDatumTijdVan],"&lt;="&amp;($A269+0/24),tData[SEHTrajectPeriodeDatumTijdTotEnMet],"&gt;"&amp;($A269+0/24))</f>
        <v/>
      </c>
      <c r="E269" s="20">
        <f>COUNTIFS(tData[SEHTrajectPeriodeDatumTijdVan],"&lt;="&amp;($A269+1/24),tData[SEHTrajectPeriodeDatumTijdTotEnMet],"&gt;"&amp;($A269+1/24))</f>
        <v/>
      </c>
      <c r="F269" s="20">
        <f>COUNTIFS(tData[SEHTrajectPeriodeDatumTijdVan],"&lt;="&amp;($A269+2/24),tData[SEHTrajectPeriodeDatumTijdTotEnMet],"&gt;"&amp;($A269+2/24))</f>
        <v/>
      </c>
      <c r="G269" s="20">
        <f>COUNTIFS(tData[SEHTrajectPeriodeDatumTijdVan],"&lt;="&amp;($A269+3/24),tData[SEHTrajectPeriodeDatumTijdTotEnMet],"&gt;"&amp;($A269+3/24))</f>
        <v/>
      </c>
      <c r="H269" s="20">
        <f>COUNTIFS(tData[SEHTrajectPeriodeDatumTijdVan],"&lt;="&amp;($A269+4/24),tData[SEHTrajectPeriodeDatumTijdTotEnMet],"&gt;"&amp;($A269+4/24))</f>
        <v/>
      </c>
      <c r="I269" s="20">
        <f>COUNTIFS(tData[SEHTrajectPeriodeDatumTijdVan],"&lt;="&amp;($A269+5/24),tData[SEHTrajectPeriodeDatumTijdTotEnMet],"&gt;"&amp;($A269+5/24))</f>
        <v/>
      </c>
      <c r="J269" s="20">
        <f>COUNTIFS(tData[SEHTrajectPeriodeDatumTijdVan],"&lt;="&amp;($A269+6/24),tData[SEHTrajectPeriodeDatumTijdTotEnMet],"&gt;"&amp;($A269+6/24))</f>
        <v/>
      </c>
      <c r="K269" s="20">
        <f>COUNTIFS(tData[SEHTrajectPeriodeDatumTijdVan],"&lt;="&amp;($A269+7/24),tData[SEHTrajectPeriodeDatumTijdTotEnMet],"&gt;"&amp;($A269+7/24))</f>
        <v/>
      </c>
      <c r="L269" s="20">
        <f>COUNTIFS(tData[SEHTrajectPeriodeDatumTijdVan],"&lt;="&amp;($A269+8/24),tData[SEHTrajectPeriodeDatumTijdTotEnMet],"&gt;"&amp;($A269+8/24))</f>
        <v/>
      </c>
      <c r="M269" s="20">
        <f>COUNTIFS(tData[SEHTrajectPeriodeDatumTijdVan],"&lt;="&amp;($A269+9/24),tData[SEHTrajectPeriodeDatumTijdTotEnMet],"&gt;"&amp;($A269+9/24))</f>
        <v/>
      </c>
      <c r="N269" s="20">
        <f>COUNTIFS(tData[SEHTrajectPeriodeDatumTijdVan],"&lt;="&amp;($A269+10/24),tData[SEHTrajectPeriodeDatumTijdTotEnMet],"&gt;"&amp;($A269+10/24))</f>
        <v/>
      </c>
      <c r="O269" s="20">
        <f>COUNTIFS(tData[SEHTrajectPeriodeDatumTijdVan],"&lt;="&amp;($A269+11/24),tData[SEHTrajectPeriodeDatumTijdTotEnMet],"&gt;"&amp;($A269+11/24))</f>
        <v/>
      </c>
      <c r="P269" s="20">
        <f>COUNTIFS(tData[SEHTrajectPeriodeDatumTijdVan],"&lt;="&amp;($A269+12/24),tData[SEHTrajectPeriodeDatumTijdTotEnMet],"&gt;"&amp;($A269+12/24))</f>
        <v/>
      </c>
      <c r="Q269" s="20">
        <f>COUNTIFS(tData[SEHTrajectPeriodeDatumTijdVan],"&lt;="&amp;($A269+13/24),tData[SEHTrajectPeriodeDatumTijdTotEnMet],"&gt;"&amp;($A269+13/24))</f>
        <v/>
      </c>
      <c r="R269" s="20">
        <f>COUNTIFS(tData[SEHTrajectPeriodeDatumTijdVan],"&lt;="&amp;($A269+14/24),tData[SEHTrajectPeriodeDatumTijdTotEnMet],"&gt;"&amp;($A269+14/24))</f>
        <v/>
      </c>
      <c r="S269" s="20">
        <f>COUNTIFS(tData[SEHTrajectPeriodeDatumTijdVan],"&lt;="&amp;($A269+15/24),tData[SEHTrajectPeriodeDatumTijdTotEnMet],"&gt;"&amp;($A269+15/24))</f>
        <v/>
      </c>
      <c r="T269" s="20">
        <f>COUNTIFS(tData[SEHTrajectPeriodeDatumTijdVan],"&lt;="&amp;($A269+16/24),tData[SEHTrajectPeriodeDatumTijdTotEnMet],"&gt;"&amp;($A269+16/24))</f>
        <v/>
      </c>
      <c r="U269" s="20">
        <f>COUNTIFS(tData[SEHTrajectPeriodeDatumTijdVan],"&lt;="&amp;($A269+17/24),tData[SEHTrajectPeriodeDatumTijdTotEnMet],"&gt;"&amp;($A269+17/24))</f>
        <v/>
      </c>
      <c r="V269" s="20">
        <f>COUNTIFS(tData[SEHTrajectPeriodeDatumTijdVan],"&lt;="&amp;($A269+18/24),tData[SEHTrajectPeriodeDatumTijdTotEnMet],"&gt;"&amp;($A269+18/24))</f>
        <v/>
      </c>
      <c r="W269" s="20">
        <f>COUNTIFS(tData[SEHTrajectPeriodeDatumTijdVan],"&lt;="&amp;($A269+19/24),tData[SEHTrajectPeriodeDatumTijdTotEnMet],"&gt;"&amp;($A269+19/24))</f>
        <v/>
      </c>
      <c r="X269" s="20">
        <f>COUNTIFS(tData[SEHTrajectPeriodeDatumTijdVan],"&lt;="&amp;($A269+20/24),tData[SEHTrajectPeriodeDatumTijdTotEnMet],"&gt;"&amp;($A269+20/24))</f>
        <v/>
      </c>
      <c r="Y269" s="20">
        <f>COUNTIFS(tData[SEHTrajectPeriodeDatumTijdVan],"&lt;="&amp;($A269+21/24),tData[SEHTrajectPeriodeDatumTijdTotEnMet],"&gt;"&amp;($A269+21/24))</f>
        <v/>
      </c>
      <c r="Z269" s="20">
        <f>COUNTIFS(tData[SEHTrajectPeriodeDatumTijdVan],"&lt;="&amp;($A269+22/24),tData[SEHTrajectPeriodeDatumTijdTotEnMet],"&gt;"&amp;($A269+22/24))</f>
        <v/>
      </c>
      <c r="AA269" s="20">
        <f>COUNTIFS(tData[SEHTrajectPeriodeDatumTijdVan],"&lt;="&amp;($A269+23/24),tData[SEHTrajectPeriodeDatumTijdTotEnMet],"&gt;"&amp;($A269+23/24))</f>
        <v/>
      </c>
    </row>
    <row r="270">
      <c r="A270" s="19" t="n">
        <v>45558</v>
      </c>
      <c r="B270" s="15">
        <f>WEEKDAY($A270,2)</f>
        <v/>
      </c>
      <c r="C270" s="15">
        <f>IF(AND($A270&gt;=INT(Instellingen!$B$5),$A270&lt;=INT(Instellingen!$B$6)),1,0)</f>
        <v/>
      </c>
      <c r="D270" s="20">
        <f>COUNTIFS(tData[SEHTrajectPeriodeDatumTijdVan],"&lt;="&amp;($A270+0/24),tData[SEHTrajectPeriodeDatumTijdTotEnMet],"&gt;"&amp;($A270+0/24))</f>
        <v/>
      </c>
      <c r="E270" s="20">
        <f>COUNTIFS(tData[SEHTrajectPeriodeDatumTijdVan],"&lt;="&amp;($A270+1/24),tData[SEHTrajectPeriodeDatumTijdTotEnMet],"&gt;"&amp;($A270+1/24))</f>
        <v/>
      </c>
      <c r="F270" s="20">
        <f>COUNTIFS(tData[SEHTrajectPeriodeDatumTijdVan],"&lt;="&amp;($A270+2/24),tData[SEHTrajectPeriodeDatumTijdTotEnMet],"&gt;"&amp;($A270+2/24))</f>
        <v/>
      </c>
      <c r="G270" s="20">
        <f>COUNTIFS(tData[SEHTrajectPeriodeDatumTijdVan],"&lt;="&amp;($A270+3/24),tData[SEHTrajectPeriodeDatumTijdTotEnMet],"&gt;"&amp;($A270+3/24))</f>
        <v/>
      </c>
      <c r="H270" s="20">
        <f>COUNTIFS(tData[SEHTrajectPeriodeDatumTijdVan],"&lt;="&amp;($A270+4/24),tData[SEHTrajectPeriodeDatumTijdTotEnMet],"&gt;"&amp;($A270+4/24))</f>
        <v/>
      </c>
      <c r="I270" s="20">
        <f>COUNTIFS(tData[SEHTrajectPeriodeDatumTijdVan],"&lt;="&amp;($A270+5/24),tData[SEHTrajectPeriodeDatumTijdTotEnMet],"&gt;"&amp;($A270+5/24))</f>
        <v/>
      </c>
      <c r="J270" s="20">
        <f>COUNTIFS(tData[SEHTrajectPeriodeDatumTijdVan],"&lt;="&amp;($A270+6/24),tData[SEHTrajectPeriodeDatumTijdTotEnMet],"&gt;"&amp;($A270+6/24))</f>
        <v/>
      </c>
      <c r="K270" s="20">
        <f>COUNTIFS(tData[SEHTrajectPeriodeDatumTijdVan],"&lt;="&amp;($A270+7/24),tData[SEHTrajectPeriodeDatumTijdTotEnMet],"&gt;"&amp;($A270+7/24))</f>
        <v/>
      </c>
      <c r="L270" s="20">
        <f>COUNTIFS(tData[SEHTrajectPeriodeDatumTijdVan],"&lt;="&amp;($A270+8/24),tData[SEHTrajectPeriodeDatumTijdTotEnMet],"&gt;"&amp;($A270+8/24))</f>
        <v/>
      </c>
      <c r="M270" s="20">
        <f>COUNTIFS(tData[SEHTrajectPeriodeDatumTijdVan],"&lt;="&amp;($A270+9/24),tData[SEHTrajectPeriodeDatumTijdTotEnMet],"&gt;"&amp;($A270+9/24))</f>
        <v/>
      </c>
      <c r="N270" s="20">
        <f>COUNTIFS(tData[SEHTrajectPeriodeDatumTijdVan],"&lt;="&amp;($A270+10/24),tData[SEHTrajectPeriodeDatumTijdTotEnMet],"&gt;"&amp;($A270+10/24))</f>
        <v/>
      </c>
      <c r="O270" s="20">
        <f>COUNTIFS(tData[SEHTrajectPeriodeDatumTijdVan],"&lt;="&amp;($A270+11/24),tData[SEHTrajectPeriodeDatumTijdTotEnMet],"&gt;"&amp;($A270+11/24))</f>
        <v/>
      </c>
      <c r="P270" s="20">
        <f>COUNTIFS(tData[SEHTrajectPeriodeDatumTijdVan],"&lt;="&amp;($A270+12/24),tData[SEHTrajectPeriodeDatumTijdTotEnMet],"&gt;"&amp;($A270+12/24))</f>
        <v/>
      </c>
      <c r="Q270" s="20">
        <f>COUNTIFS(tData[SEHTrajectPeriodeDatumTijdVan],"&lt;="&amp;($A270+13/24),tData[SEHTrajectPeriodeDatumTijdTotEnMet],"&gt;"&amp;($A270+13/24))</f>
        <v/>
      </c>
      <c r="R270" s="20">
        <f>COUNTIFS(tData[SEHTrajectPeriodeDatumTijdVan],"&lt;="&amp;($A270+14/24),tData[SEHTrajectPeriodeDatumTijdTotEnMet],"&gt;"&amp;($A270+14/24))</f>
        <v/>
      </c>
      <c r="S270" s="20">
        <f>COUNTIFS(tData[SEHTrajectPeriodeDatumTijdVan],"&lt;="&amp;($A270+15/24),tData[SEHTrajectPeriodeDatumTijdTotEnMet],"&gt;"&amp;($A270+15/24))</f>
        <v/>
      </c>
      <c r="T270" s="20">
        <f>COUNTIFS(tData[SEHTrajectPeriodeDatumTijdVan],"&lt;="&amp;($A270+16/24),tData[SEHTrajectPeriodeDatumTijdTotEnMet],"&gt;"&amp;($A270+16/24))</f>
        <v/>
      </c>
      <c r="U270" s="20">
        <f>COUNTIFS(tData[SEHTrajectPeriodeDatumTijdVan],"&lt;="&amp;($A270+17/24),tData[SEHTrajectPeriodeDatumTijdTotEnMet],"&gt;"&amp;($A270+17/24))</f>
        <v/>
      </c>
      <c r="V270" s="20">
        <f>COUNTIFS(tData[SEHTrajectPeriodeDatumTijdVan],"&lt;="&amp;($A270+18/24),tData[SEHTrajectPeriodeDatumTijdTotEnMet],"&gt;"&amp;($A270+18/24))</f>
        <v/>
      </c>
      <c r="W270" s="20">
        <f>COUNTIFS(tData[SEHTrajectPeriodeDatumTijdVan],"&lt;="&amp;($A270+19/24),tData[SEHTrajectPeriodeDatumTijdTotEnMet],"&gt;"&amp;($A270+19/24))</f>
        <v/>
      </c>
      <c r="X270" s="20">
        <f>COUNTIFS(tData[SEHTrajectPeriodeDatumTijdVan],"&lt;="&amp;($A270+20/24),tData[SEHTrajectPeriodeDatumTijdTotEnMet],"&gt;"&amp;($A270+20/24))</f>
        <v/>
      </c>
      <c r="Y270" s="20">
        <f>COUNTIFS(tData[SEHTrajectPeriodeDatumTijdVan],"&lt;="&amp;($A270+21/24),tData[SEHTrajectPeriodeDatumTijdTotEnMet],"&gt;"&amp;($A270+21/24))</f>
        <v/>
      </c>
      <c r="Z270" s="20">
        <f>COUNTIFS(tData[SEHTrajectPeriodeDatumTijdVan],"&lt;="&amp;($A270+22/24),tData[SEHTrajectPeriodeDatumTijdTotEnMet],"&gt;"&amp;($A270+22/24))</f>
        <v/>
      </c>
      <c r="AA270" s="20">
        <f>COUNTIFS(tData[SEHTrajectPeriodeDatumTijdVan],"&lt;="&amp;($A270+23/24),tData[SEHTrajectPeriodeDatumTijdTotEnMet],"&gt;"&amp;($A270+23/24))</f>
        <v/>
      </c>
    </row>
    <row r="271">
      <c r="A271" s="19" t="n">
        <v>45559</v>
      </c>
      <c r="B271" s="15">
        <f>WEEKDAY($A271,2)</f>
        <v/>
      </c>
      <c r="C271" s="15">
        <f>IF(AND($A271&gt;=INT(Instellingen!$B$5),$A271&lt;=INT(Instellingen!$B$6)),1,0)</f>
        <v/>
      </c>
      <c r="D271" s="20">
        <f>COUNTIFS(tData[SEHTrajectPeriodeDatumTijdVan],"&lt;="&amp;($A271+0/24),tData[SEHTrajectPeriodeDatumTijdTotEnMet],"&gt;"&amp;($A271+0/24))</f>
        <v/>
      </c>
      <c r="E271" s="20">
        <f>COUNTIFS(tData[SEHTrajectPeriodeDatumTijdVan],"&lt;="&amp;($A271+1/24),tData[SEHTrajectPeriodeDatumTijdTotEnMet],"&gt;"&amp;($A271+1/24))</f>
        <v/>
      </c>
      <c r="F271" s="20">
        <f>COUNTIFS(tData[SEHTrajectPeriodeDatumTijdVan],"&lt;="&amp;($A271+2/24),tData[SEHTrajectPeriodeDatumTijdTotEnMet],"&gt;"&amp;($A271+2/24))</f>
        <v/>
      </c>
      <c r="G271" s="20">
        <f>COUNTIFS(tData[SEHTrajectPeriodeDatumTijdVan],"&lt;="&amp;($A271+3/24),tData[SEHTrajectPeriodeDatumTijdTotEnMet],"&gt;"&amp;($A271+3/24))</f>
        <v/>
      </c>
      <c r="H271" s="20">
        <f>COUNTIFS(tData[SEHTrajectPeriodeDatumTijdVan],"&lt;="&amp;($A271+4/24),tData[SEHTrajectPeriodeDatumTijdTotEnMet],"&gt;"&amp;($A271+4/24))</f>
        <v/>
      </c>
      <c r="I271" s="20">
        <f>COUNTIFS(tData[SEHTrajectPeriodeDatumTijdVan],"&lt;="&amp;($A271+5/24),tData[SEHTrajectPeriodeDatumTijdTotEnMet],"&gt;"&amp;($A271+5/24))</f>
        <v/>
      </c>
      <c r="J271" s="20">
        <f>COUNTIFS(tData[SEHTrajectPeriodeDatumTijdVan],"&lt;="&amp;($A271+6/24),tData[SEHTrajectPeriodeDatumTijdTotEnMet],"&gt;"&amp;($A271+6/24))</f>
        <v/>
      </c>
      <c r="K271" s="20">
        <f>COUNTIFS(tData[SEHTrajectPeriodeDatumTijdVan],"&lt;="&amp;($A271+7/24),tData[SEHTrajectPeriodeDatumTijdTotEnMet],"&gt;"&amp;($A271+7/24))</f>
        <v/>
      </c>
      <c r="L271" s="20">
        <f>COUNTIFS(tData[SEHTrajectPeriodeDatumTijdVan],"&lt;="&amp;($A271+8/24),tData[SEHTrajectPeriodeDatumTijdTotEnMet],"&gt;"&amp;($A271+8/24))</f>
        <v/>
      </c>
      <c r="M271" s="20">
        <f>COUNTIFS(tData[SEHTrajectPeriodeDatumTijdVan],"&lt;="&amp;($A271+9/24),tData[SEHTrajectPeriodeDatumTijdTotEnMet],"&gt;"&amp;($A271+9/24))</f>
        <v/>
      </c>
      <c r="N271" s="20">
        <f>COUNTIFS(tData[SEHTrajectPeriodeDatumTijdVan],"&lt;="&amp;($A271+10/24),tData[SEHTrajectPeriodeDatumTijdTotEnMet],"&gt;"&amp;($A271+10/24))</f>
        <v/>
      </c>
      <c r="O271" s="20">
        <f>COUNTIFS(tData[SEHTrajectPeriodeDatumTijdVan],"&lt;="&amp;($A271+11/24),tData[SEHTrajectPeriodeDatumTijdTotEnMet],"&gt;"&amp;($A271+11/24))</f>
        <v/>
      </c>
      <c r="P271" s="20">
        <f>COUNTIFS(tData[SEHTrajectPeriodeDatumTijdVan],"&lt;="&amp;($A271+12/24),tData[SEHTrajectPeriodeDatumTijdTotEnMet],"&gt;"&amp;($A271+12/24))</f>
        <v/>
      </c>
      <c r="Q271" s="20">
        <f>COUNTIFS(tData[SEHTrajectPeriodeDatumTijdVan],"&lt;="&amp;($A271+13/24),tData[SEHTrajectPeriodeDatumTijdTotEnMet],"&gt;"&amp;($A271+13/24))</f>
        <v/>
      </c>
      <c r="R271" s="20">
        <f>COUNTIFS(tData[SEHTrajectPeriodeDatumTijdVan],"&lt;="&amp;($A271+14/24),tData[SEHTrajectPeriodeDatumTijdTotEnMet],"&gt;"&amp;($A271+14/24))</f>
        <v/>
      </c>
      <c r="S271" s="20">
        <f>COUNTIFS(tData[SEHTrajectPeriodeDatumTijdVan],"&lt;="&amp;($A271+15/24),tData[SEHTrajectPeriodeDatumTijdTotEnMet],"&gt;"&amp;($A271+15/24))</f>
        <v/>
      </c>
      <c r="T271" s="20">
        <f>COUNTIFS(tData[SEHTrajectPeriodeDatumTijdVan],"&lt;="&amp;($A271+16/24),tData[SEHTrajectPeriodeDatumTijdTotEnMet],"&gt;"&amp;($A271+16/24))</f>
        <v/>
      </c>
      <c r="U271" s="20">
        <f>COUNTIFS(tData[SEHTrajectPeriodeDatumTijdVan],"&lt;="&amp;($A271+17/24),tData[SEHTrajectPeriodeDatumTijdTotEnMet],"&gt;"&amp;($A271+17/24))</f>
        <v/>
      </c>
      <c r="V271" s="20">
        <f>COUNTIFS(tData[SEHTrajectPeriodeDatumTijdVan],"&lt;="&amp;($A271+18/24),tData[SEHTrajectPeriodeDatumTijdTotEnMet],"&gt;"&amp;($A271+18/24))</f>
        <v/>
      </c>
      <c r="W271" s="20">
        <f>COUNTIFS(tData[SEHTrajectPeriodeDatumTijdVan],"&lt;="&amp;($A271+19/24),tData[SEHTrajectPeriodeDatumTijdTotEnMet],"&gt;"&amp;($A271+19/24))</f>
        <v/>
      </c>
      <c r="X271" s="20">
        <f>COUNTIFS(tData[SEHTrajectPeriodeDatumTijdVan],"&lt;="&amp;($A271+20/24),tData[SEHTrajectPeriodeDatumTijdTotEnMet],"&gt;"&amp;($A271+20/24))</f>
        <v/>
      </c>
      <c r="Y271" s="20">
        <f>COUNTIFS(tData[SEHTrajectPeriodeDatumTijdVan],"&lt;="&amp;($A271+21/24),tData[SEHTrajectPeriodeDatumTijdTotEnMet],"&gt;"&amp;($A271+21/24))</f>
        <v/>
      </c>
      <c r="Z271" s="20">
        <f>COUNTIFS(tData[SEHTrajectPeriodeDatumTijdVan],"&lt;="&amp;($A271+22/24),tData[SEHTrajectPeriodeDatumTijdTotEnMet],"&gt;"&amp;($A271+22/24))</f>
        <v/>
      </c>
      <c r="AA271" s="20">
        <f>COUNTIFS(tData[SEHTrajectPeriodeDatumTijdVan],"&lt;="&amp;($A271+23/24),tData[SEHTrajectPeriodeDatumTijdTotEnMet],"&gt;"&amp;($A271+23/24))</f>
        <v/>
      </c>
    </row>
    <row r="272">
      <c r="A272" s="19" t="n">
        <v>45560</v>
      </c>
      <c r="B272" s="15">
        <f>WEEKDAY($A272,2)</f>
        <v/>
      </c>
      <c r="C272" s="15">
        <f>IF(AND($A272&gt;=INT(Instellingen!$B$5),$A272&lt;=INT(Instellingen!$B$6)),1,0)</f>
        <v/>
      </c>
      <c r="D272" s="20">
        <f>COUNTIFS(tData[SEHTrajectPeriodeDatumTijdVan],"&lt;="&amp;($A272+0/24),tData[SEHTrajectPeriodeDatumTijdTotEnMet],"&gt;"&amp;($A272+0/24))</f>
        <v/>
      </c>
      <c r="E272" s="20">
        <f>COUNTIFS(tData[SEHTrajectPeriodeDatumTijdVan],"&lt;="&amp;($A272+1/24),tData[SEHTrajectPeriodeDatumTijdTotEnMet],"&gt;"&amp;($A272+1/24))</f>
        <v/>
      </c>
      <c r="F272" s="20">
        <f>COUNTIFS(tData[SEHTrajectPeriodeDatumTijdVan],"&lt;="&amp;($A272+2/24),tData[SEHTrajectPeriodeDatumTijdTotEnMet],"&gt;"&amp;($A272+2/24))</f>
        <v/>
      </c>
      <c r="G272" s="20">
        <f>COUNTIFS(tData[SEHTrajectPeriodeDatumTijdVan],"&lt;="&amp;($A272+3/24),tData[SEHTrajectPeriodeDatumTijdTotEnMet],"&gt;"&amp;($A272+3/24))</f>
        <v/>
      </c>
      <c r="H272" s="20">
        <f>COUNTIFS(tData[SEHTrajectPeriodeDatumTijdVan],"&lt;="&amp;($A272+4/24),tData[SEHTrajectPeriodeDatumTijdTotEnMet],"&gt;"&amp;($A272+4/24))</f>
        <v/>
      </c>
      <c r="I272" s="20">
        <f>COUNTIFS(tData[SEHTrajectPeriodeDatumTijdVan],"&lt;="&amp;($A272+5/24),tData[SEHTrajectPeriodeDatumTijdTotEnMet],"&gt;"&amp;($A272+5/24))</f>
        <v/>
      </c>
      <c r="J272" s="20">
        <f>COUNTIFS(tData[SEHTrajectPeriodeDatumTijdVan],"&lt;="&amp;($A272+6/24),tData[SEHTrajectPeriodeDatumTijdTotEnMet],"&gt;"&amp;($A272+6/24))</f>
        <v/>
      </c>
      <c r="K272" s="20">
        <f>COUNTIFS(tData[SEHTrajectPeriodeDatumTijdVan],"&lt;="&amp;($A272+7/24),tData[SEHTrajectPeriodeDatumTijdTotEnMet],"&gt;"&amp;($A272+7/24))</f>
        <v/>
      </c>
      <c r="L272" s="20">
        <f>COUNTIFS(tData[SEHTrajectPeriodeDatumTijdVan],"&lt;="&amp;($A272+8/24),tData[SEHTrajectPeriodeDatumTijdTotEnMet],"&gt;"&amp;($A272+8/24))</f>
        <v/>
      </c>
      <c r="M272" s="20">
        <f>COUNTIFS(tData[SEHTrajectPeriodeDatumTijdVan],"&lt;="&amp;($A272+9/24),tData[SEHTrajectPeriodeDatumTijdTotEnMet],"&gt;"&amp;($A272+9/24))</f>
        <v/>
      </c>
      <c r="N272" s="20">
        <f>COUNTIFS(tData[SEHTrajectPeriodeDatumTijdVan],"&lt;="&amp;($A272+10/24),tData[SEHTrajectPeriodeDatumTijdTotEnMet],"&gt;"&amp;($A272+10/24))</f>
        <v/>
      </c>
      <c r="O272" s="20">
        <f>COUNTIFS(tData[SEHTrajectPeriodeDatumTijdVan],"&lt;="&amp;($A272+11/24),tData[SEHTrajectPeriodeDatumTijdTotEnMet],"&gt;"&amp;($A272+11/24))</f>
        <v/>
      </c>
      <c r="P272" s="20">
        <f>COUNTIFS(tData[SEHTrajectPeriodeDatumTijdVan],"&lt;="&amp;($A272+12/24),tData[SEHTrajectPeriodeDatumTijdTotEnMet],"&gt;"&amp;($A272+12/24))</f>
        <v/>
      </c>
      <c r="Q272" s="20">
        <f>COUNTIFS(tData[SEHTrajectPeriodeDatumTijdVan],"&lt;="&amp;($A272+13/24),tData[SEHTrajectPeriodeDatumTijdTotEnMet],"&gt;"&amp;($A272+13/24))</f>
        <v/>
      </c>
      <c r="R272" s="20">
        <f>COUNTIFS(tData[SEHTrajectPeriodeDatumTijdVan],"&lt;="&amp;($A272+14/24),tData[SEHTrajectPeriodeDatumTijdTotEnMet],"&gt;"&amp;($A272+14/24))</f>
        <v/>
      </c>
      <c r="S272" s="20">
        <f>COUNTIFS(tData[SEHTrajectPeriodeDatumTijdVan],"&lt;="&amp;($A272+15/24),tData[SEHTrajectPeriodeDatumTijdTotEnMet],"&gt;"&amp;($A272+15/24))</f>
        <v/>
      </c>
      <c r="T272" s="20">
        <f>COUNTIFS(tData[SEHTrajectPeriodeDatumTijdVan],"&lt;="&amp;($A272+16/24),tData[SEHTrajectPeriodeDatumTijdTotEnMet],"&gt;"&amp;($A272+16/24))</f>
        <v/>
      </c>
      <c r="U272" s="20">
        <f>COUNTIFS(tData[SEHTrajectPeriodeDatumTijdVan],"&lt;="&amp;($A272+17/24),tData[SEHTrajectPeriodeDatumTijdTotEnMet],"&gt;"&amp;($A272+17/24))</f>
        <v/>
      </c>
      <c r="V272" s="20">
        <f>COUNTIFS(tData[SEHTrajectPeriodeDatumTijdVan],"&lt;="&amp;($A272+18/24),tData[SEHTrajectPeriodeDatumTijdTotEnMet],"&gt;"&amp;($A272+18/24))</f>
        <v/>
      </c>
      <c r="W272" s="20">
        <f>COUNTIFS(tData[SEHTrajectPeriodeDatumTijdVan],"&lt;="&amp;($A272+19/24),tData[SEHTrajectPeriodeDatumTijdTotEnMet],"&gt;"&amp;($A272+19/24))</f>
        <v/>
      </c>
      <c r="X272" s="20">
        <f>COUNTIFS(tData[SEHTrajectPeriodeDatumTijdVan],"&lt;="&amp;($A272+20/24),tData[SEHTrajectPeriodeDatumTijdTotEnMet],"&gt;"&amp;($A272+20/24))</f>
        <v/>
      </c>
      <c r="Y272" s="20">
        <f>COUNTIFS(tData[SEHTrajectPeriodeDatumTijdVan],"&lt;="&amp;($A272+21/24),tData[SEHTrajectPeriodeDatumTijdTotEnMet],"&gt;"&amp;($A272+21/24))</f>
        <v/>
      </c>
      <c r="Z272" s="20">
        <f>COUNTIFS(tData[SEHTrajectPeriodeDatumTijdVan],"&lt;="&amp;($A272+22/24),tData[SEHTrajectPeriodeDatumTijdTotEnMet],"&gt;"&amp;($A272+22/24))</f>
        <v/>
      </c>
      <c r="AA272" s="20">
        <f>COUNTIFS(tData[SEHTrajectPeriodeDatumTijdVan],"&lt;="&amp;($A272+23/24),tData[SEHTrajectPeriodeDatumTijdTotEnMet],"&gt;"&amp;($A272+23/24))</f>
        <v/>
      </c>
    </row>
    <row r="273">
      <c r="A273" s="19" t="n">
        <v>45561</v>
      </c>
      <c r="B273" s="15">
        <f>WEEKDAY($A273,2)</f>
        <v/>
      </c>
      <c r="C273" s="15">
        <f>IF(AND($A273&gt;=INT(Instellingen!$B$5),$A273&lt;=INT(Instellingen!$B$6)),1,0)</f>
        <v/>
      </c>
      <c r="D273" s="20">
        <f>COUNTIFS(tData[SEHTrajectPeriodeDatumTijdVan],"&lt;="&amp;($A273+0/24),tData[SEHTrajectPeriodeDatumTijdTotEnMet],"&gt;"&amp;($A273+0/24))</f>
        <v/>
      </c>
      <c r="E273" s="20">
        <f>COUNTIFS(tData[SEHTrajectPeriodeDatumTijdVan],"&lt;="&amp;($A273+1/24),tData[SEHTrajectPeriodeDatumTijdTotEnMet],"&gt;"&amp;($A273+1/24))</f>
        <v/>
      </c>
      <c r="F273" s="20">
        <f>COUNTIFS(tData[SEHTrajectPeriodeDatumTijdVan],"&lt;="&amp;($A273+2/24),tData[SEHTrajectPeriodeDatumTijdTotEnMet],"&gt;"&amp;($A273+2/24))</f>
        <v/>
      </c>
      <c r="G273" s="20">
        <f>COUNTIFS(tData[SEHTrajectPeriodeDatumTijdVan],"&lt;="&amp;($A273+3/24),tData[SEHTrajectPeriodeDatumTijdTotEnMet],"&gt;"&amp;($A273+3/24))</f>
        <v/>
      </c>
      <c r="H273" s="20">
        <f>COUNTIFS(tData[SEHTrajectPeriodeDatumTijdVan],"&lt;="&amp;($A273+4/24),tData[SEHTrajectPeriodeDatumTijdTotEnMet],"&gt;"&amp;($A273+4/24))</f>
        <v/>
      </c>
      <c r="I273" s="20">
        <f>COUNTIFS(tData[SEHTrajectPeriodeDatumTijdVan],"&lt;="&amp;($A273+5/24),tData[SEHTrajectPeriodeDatumTijdTotEnMet],"&gt;"&amp;($A273+5/24))</f>
        <v/>
      </c>
      <c r="J273" s="20">
        <f>COUNTIFS(tData[SEHTrajectPeriodeDatumTijdVan],"&lt;="&amp;($A273+6/24),tData[SEHTrajectPeriodeDatumTijdTotEnMet],"&gt;"&amp;($A273+6/24))</f>
        <v/>
      </c>
      <c r="K273" s="20">
        <f>COUNTIFS(tData[SEHTrajectPeriodeDatumTijdVan],"&lt;="&amp;($A273+7/24),tData[SEHTrajectPeriodeDatumTijdTotEnMet],"&gt;"&amp;($A273+7/24))</f>
        <v/>
      </c>
      <c r="L273" s="20">
        <f>COUNTIFS(tData[SEHTrajectPeriodeDatumTijdVan],"&lt;="&amp;($A273+8/24),tData[SEHTrajectPeriodeDatumTijdTotEnMet],"&gt;"&amp;($A273+8/24))</f>
        <v/>
      </c>
      <c r="M273" s="20">
        <f>COUNTIFS(tData[SEHTrajectPeriodeDatumTijdVan],"&lt;="&amp;($A273+9/24),tData[SEHTrajectPeriodeDatumTijdTotEnMet],"&gt;"&amp;($A273+9/24))</f>
        <v/>
      </c>
      <c r="N273" s="20">
        <f>COUNTIFS(tData[SEHTrajectPeriodeDatumTijdVan],"&lt;="&amp;($A273+10/24),tData[SEHTrajectPeriodeDatumTijdTotEnMet],"&gt;"&amp;($A273+10/24))</f>
        <v/>
      </c>
      <c r="O273" s="20">
        <f>COUNTIFS(tData[SEHTrajectPeriodeDatumTijdVan],"&lt;="&amp;($A273+11/24),tData[SEHTrajectPeriodeDatumTijdTotEnMet],"&gt;"&amp;($A273+11/24))</f>
        <v/>
      </c>
      <c r="P273" s="20">
        <f>COUNTIFS(tData[SEHTrajectPeriodeDatumTijdVan],"&lt;="&amp;($A273+12/24),tData[SEHTrajectPeriodeDatumTijdTotEnMet],"&gt;"&amp;($A273+12/24))</f>
        <v/>
      </c>
      <c r="Q273" s="20">
        <f>COUNTIFS(tData[SEHTrajectPeriodeDatumTijdVan],"&lt;="&amp;($A273+13/24),tData[SEHTrajectPeriodeDatumTijdTotEnMet],"&gt;"&amp;($A273+13/24))</f>
        <v/>
      </c>
      <c r="R273" s="20">
        <f>COUNTIFS(tData[SEHTrajectPeriodeDatumTijdVan],"&lt;="&amp;($A273+14/24),tData[SEHTrajectPeriodeDatumTijdTotEnMet],"&gt;"&amp;($A273+14/24))</f>
        <v/>
      </c>
      <c r="S273" s="20">
        <f>COUNTIFS(tData[SEHTrajectPeriodeDatumTijdVan],"&lt;="&amp;($A273+15/24),tData[SEHTrajectPeriodeDatumTijdTotEnMet],"&gt;"&amp;($A273+15/24))</f>
        <v/>
      </c>
      <c r="T273" s="20">
        <f>COUNTIFS(tData[SEHTrajectPeriodeDatumTijdVan],"&lt;="&amp;($A273+16/24),tData[SEHTrajectPeriodeDatumTijdTotEnMet],"&gt;"&amp;($A273+16/24))</f>
        <v/>
      </c>
      <c r="U273" s="20">
        <f>COUNTIFS(tData[SEHTrajectPeriodeDatumTijdVan],"&lt;="&amp;($A273+17/24),tData[SEHTrajectPeriodeDatumTijdTotEnMet],"&gt;"&amp;($A273+17/24))</f>
        <v/>
      </c>
      <c r="V273" s="20">
        <f>COUNTIFS(tData[SEHTrajectPeriodeDatumTijdVan],"&lt;="&amp;($A273+18/24),tData[SEHTrajectPeriodeDatumTijdTotEnMet],"&gt;"&amp;($A273+18/24))</f>
        <v/>
      </c>
      <c r="W273" s="20">
        <f>COUNTIFS(tData[SEHTrajectPeriodeDatumTijdVan],"&lt;="&amp;($A273+19/24),tData[SEHTrajectPeriodeDatumTijdTotEnMet],"&gt;"&amp;($A273+19/24))</f>
        <v/>
      </c>
      <c r="X273" s="20">
        <f>COUNTIFS(tData[SEHTrajectPeriodeDatumTijdVan],"&lt;="&amp;($A273+20/24),tData[SEHTrajectPeriodeDatumTijdTotEnMet],"&gt;"&amp;($A273+20/24))</f>
        <v/>
      </c>
      <c r="Y273" s="20">
        <f>COUNTIFS(tData[SEHTrajectPeriodeDatumTijdVan],"&lt;="&amp;($A273+21/24),tData[SEHTrajectPeriodeDatumTijdTotEnMet],"&gt;"&amp;($A273+21/24))</f>
        <v/>
      </c>
      <c r="Z273" s="20">
        <f>COUNTIFS(tData[SEHTrajectPeriodeDatumTijdVan],"&lt;="&amp;($A273+22/24),tData[SEHTrajectPeriodeDatumTijdTotEnMet],"&gt;"&amp;($A273+22/24))</f>
        <v/>
      </c>
      <c r="AA273" s="20">
        <f>COUNTIFS(tData[SEHTrajectPeriodeDatumTijdVan],"&lt;="&amp;($A273+23/24),tData[SEHTrajectPeriodeDatumTijdTotEnMet],"&gt;"&amp;($A273+23/24))</f>
        <v/>
      </c>
    </row>
    <row r="274">
      <c r="A274" s="19" t="n">
        <v>45562</v>
      </c>
      <c r="B274" s="15">
        <f>WEEKDAY($A274,2)</f>
        <v/>
      </c>
      <c r="C274" s="15">
        <f>IF(AND($A274&gt;=INT(Instellingen!$B$5),$A274&lt;=INT(Instellingen!$B$6)),1,0)</f>
        <v/>
      </c>
      <c r="D274" s="20">
        <f>COUNTIFS(tData[SEHTrajectPeriodeDatumTijdVan],"&lt;="&amp;($A274+0/24),tData[SEHTrajectPeriodeDatumTijdTotEnMet],"&gt;"&amp;($A274+0/24))</f>
        <v/>
      </c>
      <c r="E274" s="20">
        <f>COUNTIFS(tData[SEHTrajectPeriodeDatumTijdVan],"&lt;="&amp;($A274+1/24),tData[SEHTrajectPeriodeDatumTijdTotEnMet],"&gt;"&amp;($A274+1/24))</f>
        <v/>
      </c>
      <c r="F274" s="20">
        <f>COUNTIFS(tData[SEHTrajectPeriodeDatumTijdVan],"&lt;="&amp;($A274+2/24),tData[SEHTrajectPeriodeDatumTijdTotEnMet],"&gt;"&amp;($A274+2/24))</f>
        <v/>
      </c>
      <c r="G274" s="20">
        <f>COUNTIFS(tData[SEHTrajectPeriodeDatumTijdVan],"&lt;="&amp;($A274+3/24),tData[SEHTrajectPeriodeDatumTijdTotEnMet],"&gt;"&amp;($A274+3/24))</f>
        <v/>
      </c>
      <c r="H274" s="20">
        <f>COUNTIFS(tData[SEHTrajectPeriodeDatumTijdVan],"&lt;="&amp;($A274+4/24),tData[SEHTrajectPeriodeDatumTijdTotEnMet],"&gt;"&amp;($A274+4/24))</f>
        <v/>
      </c>
      <c r="I274" s="20">
        <f>COUNTIFS(tData[SEHTrajectPeriodeDatumTijdVan],"&lt;="&amp;($A274+5/24),tData[SEHTrajectPeriodeDatumTijdTotEnMet],"&gt;"&amp;($A274+5/24))</f>
        <v/>
      </c>
      <c r="J274" s="20">
        <f>COUNTIFS(tData[SEHTrajectPeriodeDatumTijdVan],"&lt;="&amp;($A274+6/24),tData[SEHTrajectPeriodeDatumTijdTotEnMet],"&gt;"&amp;($A274+6/24))</f>
        <v/>
      </c>
      <c r="K274" s="20">
        <f>COUNTIFS(tData[SEHTrajectPeriodeDatumTijdVan],"&lt;="&amp;($A274+7/24),tData[SEHTrajectPeriodeDatumTijdTotEnMet],"&gt;"&amp;($A274+7/24))</f>
        <v/>
      </c>
      <c r="L274" s="20">
        <f>COUNTIFS(tData[SEHTrajectPeriodeDatumTijdVan],"&lt;="&amp;($A274+8/24),tData[SEHTrajectPeriodeDatumTijdTotEnMet],"&gt;"&amp;($A274+8/24))</f>
        <v/>
      </c>
      <c r="M274" s="20">
        <f>COUNTIFS(tData[SEHTrajectPeriodeDatumTijdVan],"&lt;="&amp;($A274+9/24),tData[SEHTrajectPeriodeDatumTijdTotEnMet],"&gt;"&amp;($A274+9/24))</f>
        <v/>
      </c>
      <c r="N274" s="20">
        <f>COUNTIFS(tData[SEHTrajectPeriodeDatumTijdVan],"&lt;="&amp;($A274+10/24),tData[SEHTrajectPeriodeDatumTijdTotEnMet],"&gt;"&amp;($A274+10/24))</f>
        <v/>
      </c>
      <c r="O274" s="20">
        <f>COUNTIFS(tData[SEHTrajectPeriodeDatumTijdVan],"&lt;="&amp;($A274+11/24),tData[SEHTrajectPeriodeDatumTijdTotEnMet],"&gt;"&amp;($A274+11/24))</f>
        <v/>
      </c>
      <c r="P274" s="20">
        <f>COUNTIFS(tData[SEHTrajectPeriodeDatumTijdVan],"&lt;="&amp;($A274+12/24),tData[SEHTrajectPeriodeDatumTijdTotEnMet],"&gt;"&amp;($A274+12/24))</f>
        <v/>
      </c>
      <c r="Q274" s="20">
        <f>COUNTIFS(tData[SEHTrajectPeriodeDatumTijdVan],"&lt;="&amp;($A274+13/24),tData[SEHTrajectPeriodeDatumTijdTotEnMet],"&gt;"&amp;($A274+13/24))</f>
        <v/>
      </c>
      <c r="R274" s="20">
        <f>COUNTIFS(tData[SEHTrajectPeriodeDatumTijdVan],"&lt;="&amp;($A274+14/24),tData[SEHTrajectPeriodeDatumTijdTotEnMet],"&gt;"&amp;($A274+14/24))</f>
        <v/>
      </c>
      <c r="S274" s="20">
        <f>COUNTIFS(tData[SEHTrajectPeriodeDatumTijdVan],"&lt;="&amp;($A274+15/24),tData[SEHTrajectPeriodeDatumTijdTotEnMet],"&gt;"&amp;($A274+15/24))</f>
        <v/>
      </c>
      <c r="T274" s="20">
        <f>COUNTIFS(tData[SEHTrajectPeriodeDatumTijdVan],"&lt;="&amp;($A274+16/24),tData[SEHTrajectPeriodeDatumTijdTotEnMet],"&gt;"&amp;($A274+16/24))</f>
        <v/>
      </c>
      <c r="U274" s="20">
        <f>COUNTIFS(tData[SEHTrajectPeriodeDatumTijdVan],"&lt;="&amp;($A274+17/24),tData[SEHTrajectPeriodeDatumTijdTotEnMet],"&gt;"&amp;($A274+17/24))</f>
        <v/>
      </c>
      <c r="V274" s="20">
        <f>COUNTIFS(tData[SEHTrajectPeriodeDatumTijdVan],"&lt;="&amp;($A274+18/24),tData[SEHTrajectPeriodeDatumTijdTotEnMet],"&gt;"&amp;($A274+18/24))</f>
        <v/>
      </c>
      <c r="W274" s="20">
        <f>COUNTIFS(tData[SEHTrajectPeriodeDatumTijdVan],"&lt;="&amp;($A274+19/24),tData[SEHTrajectPeriodeDatumTijdTotEnMet],"&gt;"&amp;($A274+19/24))</f>
        <v/>
      </c>
      <c r="X274" s="20">
        <f>COUNTIFS(tData[SEHTrajectPeriodeDatumTijdVan],"&lt;="&amp;($A274+20/24),tData[SEHTrajectPeriodeDatumTijdTotEnMet],"&gt;"&amp;($A274+20/24))</f>
        <v/>
      </c>
      <c r="Y274" s="20">
        <f>COUNTIFS(tData[SEHTrajectPeriodeDatumTijdVan],"&lt;="&amp;($A274+21/24),tData[SEHTrajectPeriodeDatumTijdTotEnMet],"&gt;"&amp;($A274+21/24))</f>
        <v/>
      </c>
      <c r="Z274" s="20">
        <f>COUNTIFS(tData[SEHTrajectPeriodeDatumTijdVan],"&lt;="&amp;($A274+22/24),tData[SEHTrajectPeriodeDatumTijdTotEnMet],"&gt;"&amp;($A274+22/24))</f>
        <v/>
      </c>
      <c r="AA274" s="20">
        <f>COUNTIFS(tData[SEHTrajectPeriodeDatumTijdVan],"&lt;="&amp;($A274+23/24),tData[SEHTrajectPeriodeDatumTijdTotEnMet],"&gt;"&amp;($A274+23/24))</f>
        <v/>
      </c>
    </row>
    <row r="275">
      <c r="A275" s="19" t="n">
        <v>45563</v>
      </c>
      <c r="B275" s="15">
        <f>WEEKDAY($A275,2)</f>
        <v/>
      </c>
      <c r="C275" s="15">
        <f>IF(AND($A275&gt;=INT(Instellingen!$B$5),$A275&lt;=INT(Instellingen!$B$6)),1,0)</f>
        <v/>
      </c>
      <c r="D275" s="20">
        <f>COUNTIFS(tData[SEHTrajectPeriodeDatumTijdVan],"&lt;="&amp;($A275+0/24),tData[SEHTrajectPeriodeDatumTijdTotEnMet],"&gt;"&amp;($A275+0/24))</f>
        <v/>
      </c>
      <c r="E275" s="20">
        <f>COUNTIFS(tData[SEHTrajectPeriodeDatumTijdVan],"&lt;="&amp;($A275+1/24),tData[SEHTrajectPeriodeDatumTijdTotEnMet],"&gt;"&amp;($A275+1/24))</f>
        <v/>
      </c>
      <c r="F275" s="20">
        <f>COUNTIFS(tData[SEHTrajectPeriodeDatumTijdVan],"&lt;="&amp;($A275+2/24),tData[SEHTrajectPeriodeDatumTijdTotEnMet],"&gt;"&amp;($A275+2/24))</f>
        <v/>
      </c>
      <c r="G275" s="20">
        <f>COUNTIFS(tData[SEHTrajectPeriodeDatumTijdVan],"&lt;="&amp;($A275+3/24),tData[SEHTrajectPeriodeDatumTijdTotEnMet],"&gt;"&amp;($A275+3/24))</f>
        <v/>
      </c>
      <c r="H275" s="20">
        <f>COUNTIFS(tData[SEHTrajectPeriodeDatumTijdVan],"&lt;="&amp;($A275+4/24),tData[SEHTrajectPeriodeDatumTijdTotEnMet],"&gt;"&amp;($A275+4/24))</f>
        <v/>
      </c>
      <c r="I275" s="20">
        <f>COUNTIFS(tData[SEHTrajectPeriodeDatumTijdVan],"&lt;="&amp;($A275+5/24),tData[SEHTrajectPeriodeDatumTijdTotEnMet],"&gt;"&amp;($A275+5/24))</f>
        <v/>
      </c>
      <c r="J275" s="20">
        <f>COUNTIFS(tData[SEHTrajectPeriodeDatumTijdVan],"&lt;="&amp;($A275+6/24),tData[SEHTrajectPeriodeDatumTijdTotEnMet],"&gt;"&amp;($A275+6/24))</f>
        <v/>
      </c>
      <c r="K275" s="20">
        <f>COUNTIFS(tData[SEHTrajectPeriodeDatumTijdVan],"&lt;="&amp;($A275+7/24),tData[SEHTrajectPeriodeDatumTijdTotEnMet],"&gt;"&amp;($A275+7/24))</f>
        <v/>
      </c>
      <c r="L275" s="20">
        <f>COUNTIFS(tData[SEHTrajectPeriodeDatumTijdVan],"&lt;="&amp;($A275+8/24),tData[SEHTrajectPeriodeDatumTijdTotEnMet],"&gt;"&amp;($A275+8/24))</f>
        <v/>
      </c>
      <c r="M275" s="20">
        <f>COUNTIFS(tData[SEHTrajectPeriodeDatumTijdVan],"&lt;="&amp;($A275+9/24),tData[SEHTrajectPeriodeDatumTijdTotEnMet],"&gt;"&amp;($A275+9/24))</f>
        <v/>
      </c>
      <c r="N275" s="20">
        <f>COUNTIFS(tData[SEHTrajectPeriodeDatumTijdVan],"&lt;="&amp;($A275+10/24),tData[SEHTrajectPeriodeDatumTijdTotEnMet],"&gt;"&amp;($A275+10/24))</f>
        <v/>
      </c>
      <c r="O275" s="20">
        <f>COUNTIFS(tData[SEHTrajectPeriodeDatumTijdVan],"&lt;="&amp;($A275+11/24),tData[SEHTrajectPeriodeDatumTijdTotEnMet],"&gt;"&amp;($A275+11/24))</f>
        <v/>
      </c>
      <c r="P275" s="20">
        <f>COUNTIFS(tData[SEHTrajectPeriodeDatumTijdVan],"&lt;="&amp;($A275+12/24),tData[SEHTrajectPeriodeDatumTijdTotEnMet],"&gt;"&amp;($A275+12/24))</f>
        <v/>
      </c>
      <c r="Q275" s="20">
        <f>COUNTIFS(tData[SEHTrajectPeriodeDatumTijdVan],"&lt;="&amp;($A275+13/24),tData[SEHTrajectPeriodeDatumTijdTotEnMet],"&gt;"&amp;($A275+13/24))</f>
        <v/>
      </c>
      <c r="R275" s="20">
        <f>COUNTIFS(tData[SEHTrajectPeriodeDatumTijdVan],"&lt;="&amp;($A275+14/24),tData[SEHTrajectPeriodeDatumTijdTotEnMet],"&gt;"&amp;($A275+14/24))</f>
        <v/>
      </c>
      <c r="S275" s="20">
        <f>COUNTIFS(tData[SEHTrajectPeriodeDatumTijdVan],"&lt;="&amp;($A275+15/24),tData[SEHTrajectPeriodeDatumTijdTotEnMet],"&gt;"&amp;($A275+15/24))</f>
        <v/>
      </c>
      <c r="T275" s="20">
        <f>COUNTIFS(tData[SEHTrajectPeriodeDatumTijdVan],"&lt;="&amp;($A275+16/24),tData[SEHTrajectPeriodeDatumTijdTotEnMet],"&gt;"&amp;($A275+16/24))</f>
        <v/>
      </c>
      <c r="U275" s="20">
        <f>COUNTIFS(tData[SEHTrajectPeriodeDatumTijdVan],"&lt;="&amp;($A275+17/24),tData[SEHTrajectPeriodeDatumTijdTotEnMet],"&gt;"&amp;($A275+17/24))</f>
        <v/>
      </c>
      <c r="V275" s="20">
        <f>COUNTIFS(tData[SEHTrajectPeriodeDatumTijdVan],"&lt;="&amp;($A275+18/24),tData[SEHTrajectPeriodeDatumTijdTotEnMet],"&gt;"&amp;($A275+18/24))</f>
        <v/>
      </c>
      <c r="W275" s="20">
        <f>COUNTIFS(tData[SEHTrajectPeriodeDatumTijdVan],"&lt;="&amp;($A275+19/24),tData[SEHTrajectPeriodeDatumTijdTotEnMet],"&gt;"&amp;($A275+19/24))</f>
        <v/>
      </c>
      <c r="X275" s="20">
        <f>COUNTIFS(tData[SEHTrajectPeriodeDatumTijdVan],"&lt;="&amp;($A275+20/24),tData[SEHTrajectPeriodeDatumTijdTotEnMet],"&gt;"&amp;($A275+20/24))</f>
        <v/>
      </c>
      <c r="Y275" s="20">
        <f>COUNTIFS(tData[SEHTrajectPeriodeDatumTijdVan],"&lt;="&amp;($A275+21/24),tData[SEHTrajectPeriodeDatumTijdTotEnMet],"&gt;"&amp;($A275+21/24))</f>
        <v/>
      </c>
      <c r="Z275" s="20">
        <f>COUNTIFS(tData[SEHTrajectPeriodeDatumTijdVan],"&lt;="&amp;($A275+22/24),tData[SEHTrajectPeriodeDatumTijdTotEnMet],"&gt;"&amp;($A275+22/24))</f>
        <v/>
      </c>
      <c r="AA275" s="20">
        <f>COUNTIFS(tData[SEHTrajectPeriodeDatumTijdVan],"&lt;="&amp;($A275+23/24),tData[SEHTrajectPeriodeDatumTijdTotEnMet],"&gt;"&amp;($A275+23/24))</f>
        <v/>
      </c>
    </row>
    <row r="276">
      <c r="A276" s="19" t="n">
        <v>45564</v>
      </c>
      <c r="B276" s="15">
        <f>WEEKDAY($A276,2)</f>
        <v/>
      </c>
      <c r="C276" s="15">
        <f>IF(AND($A276&gt;=INT(Instellingen!$B$5),$A276&lt;=INT(Instellingen!$B$6)),1,0)</f>
        <v/>
      </c>
      <c r="D276" s="20">
        <f>COUNTIFS(tData[SEHTrajectPeriodeDatumTijdVan],"&lt;="&amp;($A276+0/24),tData[SEHTrajectPeriodeDatumTijdTotEnMet],"&gt;"&amp;($A276+0/24))</f>
        <v/>
      </c>
      <c r="E276" s="20">
        <f>COUNTIFS(tData[SEHTrajectPeriodeDatumTijdVan],"&lt;="&amp;($A276+1/24),tData[SEHTrajectPeriodeDatumTijdTotEnMet],"&gt;"&amp;($A276+1/24))</f>
        <v/>
      </c>
      <c r="F276" s="20">
        <f>COUNTIFS(tData[SEHTrajectPeriodeDatumTijdVan],"&lt;="&amp;($A276+2/24),tData[SEHTrajectPeriodeDatumTijdTotEnMet],"&gt;"&amp;($A276+2/24))</f>
        <v/>
      </c>
      <c r="G276" s="20">
        <f>COUNTIFS(tData[SEHTrajectPeriodeDatumTijdVan],"&lt;="&amp;($A276+3/24),tData[SEHTrajectPeriodeDatumTijdTotEnMet],"&gt;"&amp;($A276+3/24))</f>
        <v/>
      </c>
      <c r="H276" s="20">
        <f>COUNTIFS(tData[SEHTrajectPeriodeDatumTijdVan],"&lt;="&amp;($A276+4/24),tData[SEHTrajectPeriodeDatumTijdTotEnMet],"&gt;"&amp;($A276+4/24))</f>
        <v/>
      </c>
      <c r="I276" s="20">
        <f>COUNTIFS(tData[SEHTrajectPeriodeDatumTijdVan],"&lt;="&amp;($A276+5/24),tData[SEHTrajectPeriodeDatumTijdTotEnMet],"&gt;"&amp;($A276+5/24))</f>
        <v/>
      </c>
      <c r="J276" s="20">
        <f>COUNTIFS(tData[SEHTrajectPeriodeDatumTijdVan],"&lt;="&amp;($A276+6/24),tData[SEHTrajectPeriodeDatumTijdTotEnMet],"&gt;"&amp;($A276+6/24))</f>
        <v/>
      </c>
      <c r="K276" s="20">
        <f>COUNTIFS(tData[SEHTrajectPeriodeDatumTijdVan],"&lt;="&amp;($A276+7/24),tData[SEHTrajectPeriodeDatumTijdTotEnMet],"&gt;"&amp;($A276+7/24))</f>
        <v/>
      </c>
      <c r="L276" s="20">
        <f>COUNTIFS(tData[SEHTrajectPeriodeDatumTijdVan],"&lt;="&amp;($A276+8/24),tData[SEHTrajectPeriodeDatumTijdTotEnMet],"&gt;"&amp;($A276+8/24))</f>
        <v/>
      </c>
      <c r="M276" s="20">
        <f>COUNTIFS(tData[SEHTrajectPeriodeDatumTijdVan],"&lt;="&amp;($A276+9/24),tData[SEHTrajectPeriodeDatumTijdTotEnMet],"&gt;"&amp;($A276+9/24))</f>
        <v/>
      </c>
      <c r="N276" s="20">
        <f>COUNTIFS(tData[SEHTrajectPeriodeDatumTijdVan],"&lt;="&amp;($A276+10/24),tData[SEHTrajectPeriodeDatumTijdTotEnMet],"&gt;"&amp;($A276+10/24))</f>
        <v/>
      </c>
      <c r="O276" s="20">
        <f>COUNTIFS(tData[SEHTrajectPeriodeDatumTijdVan],"&lt;="&amp;($A276+11/24),tData[SEHTrajectPeriodeDatumTijdTotEnMet],"&gt;"&amp;($A276+11/24))</f>
        <v/>
      </c>
      <c r="P276" s="20">
        <f>COUNTIFS(tData[SEHTrajectPeriodeDatumTijdVan],"&lt;="&amp;($A276+12/24),tData[SEHTrajectPeriodeDatumTijdTotEnMet],"&gt;"&amp;($A276+12/24))</f>
        <v/>
      </c>
      <c r="Q276" s="20">
        <f>COUNTIFS(tData[SEHTrajectPeriodeDatumTijdVan],"&lt;="&amp;($A276+13/24),tData[SEHTrajectPeriodeDatumTijdTotEnMet],"&gt;"&amp;($A276+13/24))</f>
        <v/>
      </c>
      <c r="R276" s="20">
        <f>COUNTIFS(tData[SEHTrajectPeriodeDatumTijdVan],"&lt;="&amp;($A276+14/24),tData[SEHTrajectPeriodeDatumTijdTotEnMet],"&gt;"&amp;($A276+14/24))</f>
        <v/>
      </c>
      <c r="S276" s="20">
        <f>COUNTIFS(tData[SEHTrajectPeriodeDatumTijdVan],"&lt;="&amp;($A276+15/24),tData[SEHTrajectPeriodeDatumTijdTotEnMet],"&gt;"&amp;($A276+15/24))</f>
        <v/>
      </c>
      <c r="T276" s="20">
        <f>COUNTIFS(tData[SEHTrajectPeriodeDatumTijdVan],"&lt;="&amp;($A276+16/24),tData[SEHTrajectPeriodeDatumTijdTotEnMet],"&gt;"&amp;($A276+16/24))</f>
        <v/>
      </c>
      <c r="U276" s="20">
        <f>COUNTIFS(tData[SEHTrajectPeriodeDatumTijdVan],"&lt;="&amp;($A276+17/24),tData[SEHTrajectPeriodeDatumTijdTotEnMet],"&gt;"&amp;($A276+17/24))</f>
        <v/>
      </c>
      <c r="V276" s="20">
        <f>COUNTIFS(tData[SEHTrajectPeriodeDatumTijdVan],"&lt;="&amp;($A276+18/24),tData[SEHTrajectPeriodeDatumTijdTotEnMet],"&gt;"&amp;($A276+18/24))</f>
        <v/>
      </c>
      <c r="W276" s="20">
        <f>COUNTIFS(tData[SEHTrajectPeriodeDatumTijdVan],"&lt;="&amp;($A276+19/24),tData[SEHTrajectPeriodeDatumTijdTotEnMet],"&gt;"&amp;($A276+19/24))</f>
        <v/>
      </c>
      <c r="X276" s="20">
        <f>COUNTIFS(tData[SEHTrajectPeriodeDatumTijdVan],"&lt;="&amp;($A276+20/24),tData[SEHTrajectPeriodeDatumTijdTotEnMet],"&gt;"&amp;($A276+20/24))</f>
        <v/>
      </c>
      <c r="Y276" s="20">
        <f>COUNTIFS(tData[SEHTrajectPeriodeDatumTijdVan],"&lt;="&amp;($A276+21/24),tData[SEHTrajectPeriodeDatumTijdTotEnMet],"&gt;"&amp;($A276+21/24))</f>
        <v/>
      </c>
      <c r="Z276" s="20">
        <f>COUNTIFS(tData[SEHTrajectPeriodeDatumTijdVan],"&lt;="&amp;($A276+22/24),tData[SEHTrajectPeriodeDatumTijdTotEnMet],"&gt;"&amp;($A276+22/24))</f>
        <v/>
      </c>
      <c r="AA276" s="20">
        <f>COUNTIFS(tData[SEHTrajectPeriodeDatumTijdVan],"&lt;="&amp;($A276+23/24),tData[SEHTrajectPeriodeDatumTijdTotEnMet],"&gt;"&amp;($A276+23/24))</f>
        <v/>
      </c>
    </row>
    <row r="277">
      <c r="A277" s="19" t="n">
        <v>45565</v>
      </c>
      <c r="B277" s="15">
        <f>WEEKDAY($A277,2)</f>
        <v/>
      </c>
      <c r="C277" s="15">
        <f>IF(AND($A277&gt;=INT(Instellingen!$B$5),$A277&lt;=INT(Instellingen!$B$6)),1,0)</f>
        <v/>
      </c>
      <c r="D277" s="20">
        <f>COUNTIFS(tData[SEHTrajectPeriodeDatumTijdVan],"&lt;="&amp;($A277+0/24),tData[SEHTrajectPeriodeDatumTijdTotEnMet],"&gt;"&amp;($A277+0/24))</f>
        <v/>
      </c>
      <c r="E277" s="20">
        <f>COUNTIFS(tData[SEHTrajectPeriodeDatumTijdVan],"&lt;="&amp;($A277+1/24),tData[SEHTrajectPeriodeDatumTijdTotEnMet],"&gt;"&amp;($A277+1/24))</f>
        <v/>
      </c>
      <c r="F277" s="20">
        <f>COUNTIFS(tData[SEHTrajectPeriodeDatumTijdVan],"&lt;="&amp;($A277+2/24),tData[SEHTrajectPeriodeDatumTijdTotEnMet],"&gt;"&amp;($A277+2/24))</f>
        <v/>
      </c>
      <c r="G277" s="20">
        <f>COUNTIFS(tData[SEHTrajectPeriodeDatumTijdVan],"&lt;="&amp;($A277+3/24),tData[SEHTrajectPeriodeDatumTijdTotEnMet],"&gt;"&amp;($A277+3/24))</f>
        <v/>
      </c>
      <c r="H277" s="20">
        <f>COUNTIFS(tData[SEHTrajectPeriodeDatumTijdVan],"&lt;="&amp;($A277+4/24),tData[SEHTrajectPeriodeDatumTijdTotEnMet],"&gt;"&amp;($A277+4/24))</f>
        <v/>
      </c>
      <c r="I277" s="20">
        <f>COUNTIFS(tData[SEHTrajectPeriodeDatumTijdVan],"&lt;="&amp;($A277+5/24),tData[SEHTrajectPeriodeDatumTijdTotEnMet],"&gt;"&amp;($A277+5/24))</f>
        <v/>
      </c>
      <c r="J277" s="20">
        <f>COUNTIFS(tData[SEHTrajectPeriodeDatumTijdVan],"&lt;="&amp;($A277+6/24),tData[SEHTrajectPeriodeDatumTijdTotEnMet],"&gt;"&amp;($A277+6/24))</f>
        <v/>
      </c>
      <c r="K277" s="20">
        <f>COUNTIFS(tData[SEHTrajectPeriodeDatumTijdVan],"&lt;="&amp;($A277+7/24),tData[SEHTrajectPeriodeDatumTijdTotEnMet],"&gt;"&amp;($A277+7/24))</f>
        <v/>
      </c>
      <c r="L277" s="20">
        <f>COUNTIFS(tData[SEHTrajectPeriodeDatumTijdVan],"&lt;="&amp;($A277+8/24),tData[SEHTrajectPeriodeDatumTijdTotEnMet],"&gt;"&amp;($A277+8/24))</f>
        <v/>
      </c>
      <c r="M277" s="20">
        <f>COUNTIFS(tData[SEHTrajectPeriodeDatumTijdVan],"&lt;="&amp;($A277+9/24),tData[SEHTrajectPeriodeDatumTijdTotEnMet],"&gt;"&amp;($A277+9/24))</f>
        <v/>
      </c>
      <c r="N277" s="20">
        <f>COUNTIFS(tData[SEHTrajectPeriodeDatumTijdVan],"&lt;="&amp;($A277+10/24),tData[SEHTrajectPeriodeDatumTijdTotEnMet],"&gt;"&amp;($A277+10/24))</f>
        <v/>
      </c>
      <c r="O277" s="20">
        <f>COUNTIFS(tData[SEHTrajectPeriodeDatumTijdVan],"&lt;="&amp;($A277+11/24),tData[SEHTrajectPeriodeDatumTijdTotEnMet],"&gt;"&amp;($A277+11/24))</f>
        <v/>
      </c>
      <c r="P277" s="20">
        <f>COUNTIFS(tData[SEHTrajectPeriodeDatumTijdVan],"&lt;="&amp;($A277+12/24),tData[SEHTrajectPeriodeDatumTijdTotEnMet],"&gt;"&amp;($A277+12/24))</f>
        <v/>
      </c>
      <c r="Q277" s="20">
        <f>COUNTIFS(tData[SEHTrajectPeriodeDatumTijdVan],"&lt;="&amp;($A277+13/24),tData[SEHTrajectPeriodeDatumTijdTotEnMet],"&gt;"&amp;($A277+13/24))</f>
        <v/>
      </c>
      <c r="R277" s="20">
        <f>COUNTIFS(tData[SEHTrajectPeriodeDatumTijdVan],"&lt;="&amp;($A277+14/24),tData[SEHTrajectPeriodeDatumTijdTotEnMet],"&gt;"&amp;($A277+14/24))</f>
        <v/>
      </c>
      <c r="S277" s="20">
        <f>COUNTIFS(tData[SEHTrajectPeriodeDatumTijdVan],"&lt;="&amp;($A277+15/24),tData[SEHTrajectPeriodeDatumTijdTotEnMet],"&gt;"&amp;($A277+15/24))</f>
        <v/>
      </c>
      <c r="T277" s="20">
        <f>COUNTIFS(tData[SEHTrajectPeriodeDatumTijdVan],"&lt;="&amp;($A277+16/24),tData[SEHTrajectPeriodeDatumTijdTotEnMet],"&gt;"&amp;($A277+16/24))</f>
        <v/>
      </c>
      <c r="U277" s="20">
        <f>COUNTIFS(tData[SEHTrajectPeriodeDatumTijdVan],"&lt;="&amp;($A277+17/24),tData[SEHTrajectPeriodeDatumTijdTotEnMet],"&gt;"&amp;($A277+17/24))</f>
        <v/>
      </c>
      <c r="V277" s="20">
        <f>COUNTIFS(tData[SEHTrajectPeriodeDatumTijdVan],"&lt;="&amp;($A277+18/24),tData[SEHTrajectPeriodeDatumTijdTotEnMet],"&gt;"&amp;($A277+18/24))</f>
        <v/>
      </c>
      <c r="W277" s="20">
        <f>COUNTIFS(tData[SEHTrajectPeriodeDatumTijdVan],"&lt;="&amp;($A277+19/24),tData[SEHTrajectPeriodeDatumTijdTotEnMet],"&gt;"&amp;($A277+19/24))</f>
        <v/>
      </c>
      <c r="X277" s="20">
        <f>COUNTIFS(tData[SEHTrajectPeriodeDatumTijdVan],"&lt;="&amp;($A277+20/24),tData[SEHTrajectPeriodeDatumTijdTotEnMet],"&gt;"&amp;($A277+20/24))</f>
        <v/>
      </c>
      <c r="Y277" s="20">
        <f>COUNTIFS(tData[SEHTrajectPeriodeDatumTijdVan],"&lt;="&amp;($A277+21/24),tData[SEHTrajectPeriodeDatumTijdTotEnMet],"&gt;"&amp;($A277+21/24))</f>
        <v/>
      </c>
      <c r="Z277" s="20">
        <f>COUNTIFS(tData[SEHTrajectPeriodeDatumTijdVan],"&lt;="&amp;($A277+22/24),tData[SEHTrajectPeriodeDatumTijdTotEnMet],"&gt;"&amp;($A277+22/24))</f>
        <v/>
      </c>
      <c r="AA277" s="20">
        <f>COUNTIFS(tData[SEHTrajectPeriodeDatumTijdVan],"&lt;="&amp;($A277+23/24),tData[SEHTrajectPeriodeDatumTijdTotEnMet],"&gt;"&amp;($A277+23/24))</f>
        <v/>
      </c>
    </row>
    <row r="278">
      <c r="A278" s="19" t="n">
        <v>45566</v>
      </c>
      <c r="B278" s="15">
        <f>WEEKDAY($A278,2)</f>
        <v/>
      </c>
      <c r="C278" s="15">
        <f>IF(AND($A278&gt;=INT(Instellingen!$B$5),$A278&lt;=INT(Instellingen!$B$6)),1,0)</f>
        <v/>
      </c>
      <c r="D278" s="20">
        <f>COUNTIFS(tData[SEHTrajectPeriodeDatumTijdVan],"&lt;="&amp;($A278+0/24),tData[SEHTrajectPeriodeDatumTijdTotEnMet],"&gt;"&amp;($A278+0/24))</f>
        <v/>
      </c>
      <c r="E278" s="20">
        <f>COUNTIFS(tData[SEHTrajectPeriodeDatumTijdVan],"&lt;="&amp;($A278+1/24),tData[SEHTrajectPeriodeDatumTijdTotEnMet],"&gt;"&amp;($A278+1/24))</f>
        <v/>
      </c>
      <c r="F278" s="20">
        <f>COUNTIFS(tData[SEHTrajectPeriodeDatumTijdVan],"&lt;="&amp;($A278+2/24),tData[SEHTrajectPeriodeDatumTijdTotEnMet],"&gt;"&amp;($A278+2/24))</f>
        <v/>
      </c>
      <c r="G278" s="20">
        <f>COUNTIFS(tData[SEHTrajectPeriodeDatumTijdVan],"&lt;="&amp;($A278+3/24),tData[SEHTrajectPeriodeDatumTijdTotEnMet],"&gt;"&amp;($A278+3/24))</f>
        <v/>
      </c>
      <c r="H278" s="20">
        <f>COUNTIFS(tData[SEHTrajectPeriodeDatumTijdVan],"&lt;="&amp;($A278+4/24),tData[SEHTrajectPeriodeDatumTijdTotEnMet],"&gt;"&amp;($A278+4/24))</f>
        <v/>
      </c>
      <c r="I278" s="20">
        <f>COUNTIFS(tData[SEHTrajectPeriodeDatumTijdVan],"&lt;="&amp;($A278+5/24),tData[SEHTrajectPeriodeDatumTijdTotEnMet],"&gt;"&amp;($A278+5/24))</f>
        <v/>
      </c>
      <c r="J278" s="20">
        <f>COUNTIFS(tData[SEHTrajectPeriodeDatumTijdVan],"&lt;="&amp;($A278+6/24),tData[SEHTrajectPeriodeDatumTijdTotEnMet],"&gt;"&amp;($A278+6/24))</f>
        <v/>
      </c>
      <c r="K278" s="20">
        <f>COUNTIFS(tData[SEHTrajectPeriodeDatumTijdVan],"&lt;="&amp;($A278+7/24),tData[SEHTrajectPeriodeDatumTijdTotEnMet],"&gt;"&amp;($A278+7/24))</f>
        <v/>
      </c>
      <c r="L278" s="20">
        <f>COUNTIFS(tData[SEHTrajectPeriodeDatumTijdVan],"&lt;="&amp;($A278+8/24),tData[SEHTrajectPeriodeDatumTijdTotEnMet],"&gt;"&amp;($A278+8/24))</f>
        <v/>
      </c>
      <c r="M278" s="20">
        <f>COUNTIFS(tData[SEHTrajectPeriodeDatumTijdVan],"&lt;="&amp;($A278+9/24),tData[SEHTrajectPeriodeDatumTijdTotEnMet],"&gt;"&amp;($A278+9/24))</f>
        <v/>
      </c>
      <c r="N278" s="20">
        <f>COUNTIFS(tData[SEHTrajectPeriodeDatumTijdVan],"&lt;="&amp;($A278+10/24),tData[SEHTrajectPeriodeDatumTijdTotEnMet],"&gt;"&amp;($A278+10/24))</f>
        <v/>
      </c>
      <c r="O278" s="20">
        <f>COUNTIFS(tData[SEHTrajectPeriodeDatumTijdVan],"&lt;="&amp;($A278+11/24),tData[SEHTrajectPeriodeDatumTijdTotEnMet],"&gt;"&amp;($A278+11/24))</f>
        <v/>
      </c>
      <c r="P278" s="20">
        <f>COUNTIFS(tData[SEHTrajectPeriodeDatumTijdVan],"&lt;="&amp;($A278+12/24),tData[SEHTrajectPeriodeDatumTijdTotEnMet],"&gt;"&amp;($A278+12/24))</f>
        <v/>
      </c>
      <c r="Q278" s="20">
        <f>COUNTIFS(tData[SEHTrajectPeriodeDatumTijdVan],"&lt;="&amp;($A278+13/24),tData[SEHTrajectPeriodeDatumTijdTotEnMet],"&gt;"&amp;($A278+13/24))</f>
        <v/>
      </c>
      <c r="R278" s="20">
        <f>COUNTIFS(tData[SEHTrajectPeriodeDatumTijdVan],"&lt;="&amp;($A278+14/24),tData[SEHTrajectPeriodeDatumTijdTotEnMet],"&gt;"&amp;($A278+14/24))</f>
        <v/>
      </c>
      <c r="S278" s="20">
        <f>COUNTIFS(tData[SEHTrajectPeriodeDatumTijdVan],"&lt;="&amp;($A278+15/24),tData[SEHTrajectPeriodeDatumTijdTotEnMet],"&gt;"&amp;($A278+15/24))</f>
        <v/>
      </c>
      <c r="T278" s="20">
        <f>COUNTIFS(tData[SEHTrajectPeriodeDatumTijdVan],"&lt;="&amp;($A278+16/24),tData[SEHTrajectPeriodeDatumTijdTotEnMet],"&gt;"&amp;($A278+16/24))</f>
        <v/>
      </c>
      <c r="U278" s="20">
        <f>COUNTIFS(tData[SEHTrajectPeriodeDatumTijdVan],"&lt;="&amp;($A278+17/24),tData[SEHTrajectPeriodeDatumTijdTotEnMet],"&gt;"&amp;($A278+17/24))</f>
        <v/>
      </c>
      <c r="V278" s="20">
        <f>COUNTIFS(tData[SEHTrajectPeriodeDatumTijdVan],"&lt;="&amp;($A278+18/24),tData[SEHTrajectPeriodeDatumTijdTotEnMet],"&gt;"&amp;($A278+18/24))</f>
        <v/>
      </c>
      <c r="W278" s="20">
        <f>COUNTIFS(tData[SEHTrajectPeriodeDatumTijdVan],"&lt;="&amp;($A278+19/24),tData[SEHTrajectPeriodeDatumTijdTotEnMet],"&gt;"&amp;($A278+19/24))</f>
        <v/>
      </c>
      <c r="X278" s="20">
        <f>COUNTIFS(tData[SEHTrajectPeriodeDatumTijdVan],"&lt;="&amp;($A278+20/24),tData[SEHTrajectPeriodeDatumTijdTotEnMet],"&gt;"&amp;($A278+20/24))</f>
        <v/>
      </c>
      <c r="Y278" s="20">
        <f>COUNTIFS(tData[SEHTrajectPeriodeDatumTijdVan],"&lt;="&amp;($A278+21/24),tData[SEHTrajectPeriodeDatumTijdTotEnMet],"&gt;"&amp;($A278+21/24))</f>
        <v/>
      </c>
      <c r="Z278" s="20">
        <f>COUNTIFS(tData[SEHTrajectPeriodeDatumTijdVan],"&lt;="&amp;($A278+22/24),tData[SEHTrajectPeriodeDatumTijdTotEnMet],"&gt;"&amp;($A278+22/24))</f>
        <v/>
      </c>
      <c r="AA278" s="20">
        <f>COUNTIFS(tData[SEHTrajectPeriodeDatumTijdVan],"&lt;="&amp;($A278+23/24),tData[SEHTrajectPeriodeDatumTijdTotEnMet],"&gt;"&amp;($A278+23/24))</f>
        <v/>
      </c>
    </row>
    <row r="279">
      <c r="A279" s="19" t="n">
        <v>45567</v>
      </c>
      <c r="B279" s="15">
        <f>WEEKDAY($A279,2)</f>
        <v/>
      </c>
      <c r="C279" s="15">
        <f>IF(AND($A279&gt;=INT(Instellingen!$B$5),$A279&lt;=INT(Instellingen!$B$6)),1,0)</f>
        <v/>
      </c>
      <c r="D279" s="20">
        <f>COUNTIFS(tData[SEHTrajectPeriodeDatumTijdVan],"&lt;="&amp;($A279+0/24),tData[SEHTrajectPeriodeDatumTijdTotEnMet],"&gt;"&amp;($A279+0/24))</f>
        <v/>
      </c>
      <c r="E279" s="20">
        <f>COUNTIFS(tData[SEHTrajectPeriodeDatumTijdVan],"&lt;="&amp;($A279+1/24),tData[SEHTrajectPeriodeDatumTijdTotEnMet],"&gt;"&amp;($A279+1/24))</f>
        <v/>
      </c>
      <c r="F279" s="20">
        <f>COUNTIFS(tData[SEHTrajectPeriodeDatumTijdVan],"&lt;="&amp;($A279+2/24),tData[SEHTrajectPeriodeDatumTijdTotEnMet],"&gt;"&amp;($A279+2/24))</f>
        <v/>
      </c>
      <c r="G279" s="20">
        <f>COUNTIFS(tData[SEHTrajectPeriodeDatumTijdVan],"&lt;="&amp;($A279+3/24),tData[SEHTrajectPeriodeDatumTijdTotEnMet],"&gt;"&amp;($A279+3/24))</f>
        <v/>
      </c>
      <c r="H279" s="20">
        <f>COUNTIFS(tData[SEHTrajectPeriodeDatumTijdVan],"&lt;="&amp;($A279+4/24),tData[SEHTrajectPeriodeDatumTijdTotEnMet],"&gt;"&amp;($A279+4/24))</f>
        <v/>
      </c>
      <c r="I279" s="20">
        <f>COUNTIFS(tData[SEHTrajectPeriodeDatumTijdVan],"&lt;="&amp;($A279+5/24),tData[SEHTrajectPeriodeDatumTijdTotEnMet],"&gt;"&amp;($A279+5/24))</f>
        <v/>
      </c>
      <c r="J279" s="20">
        <f>COUNTIFS(tData[SEHTrajectPeriodeDatumTijdVan],"&lt;="&amp;($A279+6/24),tData[SEHTrajectPeriodeDatumTijdTotEnMet],"&gt;"&amp;($A279+6/24))</f>
        <v/>
      </c>
      <c r="K279" s="20">
        <f>COUNTIFS(tData[SEHTrajectPeriodeDatumTijdVan],"&lt;="&amp;($A279+7/24),tData[SEHTrajectPeriodeDatumTijdTotEnMet],"&gt;"&amp;($A279+7/24))</f>
        <v/>
      </c>
      <c r="L279" s="20">
        <f>COUNTIFS(tData[SEHTrajectPeriodeDatumTijdVan],"&lt;="&amp;($A279+8/24),tData[SEHTrajectPeriodeDatumTijdTotEnMet],"&gt;"&amp;($A279+8/24))</f>
        <v/>
      </c>
      <c r="M279" s="20">
        <f>COUNTIFS(tData[SEHTrajectPeriodeDatumTijdVan],"&lt;="&amp;($A279+9/24),tData[SEHTrajectPeriodeDatumTijdTotEnMet],"&gt;"&amp;($A279+9/24))</f>
        <v/>
      </c>
      <c r="N279" s="20">
        <f>COUNTIFS(tData[SEHTrajectPeriodeDatumTijdVan],"&lt;="&amp;($A279+10/24),tData[SEHTrajectPeriodeDatumTijdTotEnMet],"&gt;"&amp;($A279+10/24))</f>
        <v/>
      </c>
      <c r="O279" s="20">
        <f>COUNTIFS(tData[SEHTrajectPeriodeDatumTijdVan],"&lt;="&amp;($A279+11/24),tData[SEHTrajectPeriodeDatumTijdTotEnMet],"&gt;"&amp;($A279+11/24))</f>
        <v/>
      </c>
      <c r="P279" s="20">
        <f>COUNTIFS(tData[SEHTrajectPeriodeDatumTijdVan],"&lt;="&amp;($A279+12/24),tData[SEHTrajectPeriodeDatumTijdTotEnMet],"&gt;"&amp;($A279+12/24))</f>
        <v/>
      </c>
      <c r="Q279" s="20">
        <f>COUNTIFS(tData[SEHTrajectPeriodeDatumTijdVan],"&lt;="&amp;($A279+13/24),tData[SEHTrajectPeriodeDatumTijdTotEnMet],"&gt;"&amp;($A279+13/24))</f>
        <v/>
      </c>
      <c r="R279" s="20">
        <f>COUNTIFS(tData[SEHTrajectPeriodeDatumTijdVan],"&lt;="&amp;($A279+14/24),tData[SEHTrajectPeriodeDatumTijdTotEnMet],"&gt;"&amp;($A279+14/24))</f>
        <v/>
      </c>
      <c r="S279" s="20">
        <f>COUNTIFS(tData[SEHTrajectPeriodeDatumTijdVan],"&lt;="&amp;($A279+15/24),tData[SEHTrajectPeriodeDatumTijdTotEnMet],"&gt;"&amp;($A279+15/24))</f>
        <v/>
      </c>
      <c r="T279" s="20">
        <f>COUNTIFS(tData[SEHTrajectPeriodeDatumTijdVan],"&lt;="&amp;($A279+16/24),tData[SEHTrajectPeriodeDatumTijdTotEnMet],"&gt;"&amp;($A279+16/24))</f>
        <v/>
      </c>
      <c r="U279" s="20">
        <f>COUNTIFS(tData[SEHTrajectPeriodeDatumTijdVan],"&lt;="&amp;($A279+17/24),tData[SEHTrajectPeriodeDatumTijdTotEnMet],"&gt;"&amp;($A279+17/24))</f>
        <v/>
      </c>
      <c r="V279" s="20">
        <f>COUNTIFS(tData[SEHTrajectPeriodeDatumTijdVan],"&lt;="&amp;($A279+18/24),tData[SEHTrajectPeriodeDatumTijdTotEnMet],"&gt;"&amp;($A279+18/24))</f>
        <v/>
      </c>
      <c r="W279" s="20">
        <f>COUNTIFS(tData[SEHTrajectPeriodeDatumTijdVan],"&lt;="&amp;($A279+19/24),tData[SEHTrajectPeriodeDatumTijdTotEnMet],"&gt;"&amp;($A279+19/24))</f>
        <v/>
      </c>
      <c r="X279" s="20">
        <f>COUNTIFS(tData[SEHTrajectPeriodeDatumTijdVan],"&lt;="&amp;($A279+20/24),tData[SEHTrajectPeriodeDatumTijdTotEnMet],"&gt;"&amp;($A279+20/24))</f>
        <v/>
      </c>
      <c r="Y279" s="20">
        <f>COUNTIFS(tData[SEHTrajectPeriodeDatumTijdVan],"&lt;="&amp;($A279+21/24),tData[SEHTrajectPeriodeDatumTijdTotEnMet],"&gt;"&amp;($A279+21/24))</f>
        <v/>
      </c>
      <c r="Z279" s="20">
        <f>COUNTIFS(tData[SEHTrajectPeriodeDatumTijdVan],"&lt;="&amp;($A279+22/24),tData[SEHTrajectPeriodeDatumTijdTotEnMet],"&gt;"&amp;($A279+22/24))</f>
        <v/>
      </c>
      <c r="AA279" s="20">
        <f>COUNTIFS(tData[SEHTrajectPeriodeDatumTijdVan],"&lt;="&amp;($A279+23/24),tData[SEHTrajectPeriodeDatumTijdTotEnMet],"&gt;"&amp;($A279+23/24))</f>
        <v/>
      </c>
    </row>
    <row r="280">
      <c r="A280" s="19" t="n">
        <v>45568</v>
      </c>
      <c r="B280" s="15">
        <f>WEEKDAY($A280,2)</f>
        <v/>
      </c>
      <c r="C280" s="15">
        <f>IF(AND($A280&gt;=INT(Instellingen!$B$5),$A280&lt;=INT(Instellingen!$B$6)),1,0)</f>
        <v/>
      </c>
      <c r="D280" s="20">
        <f>COUNTIFS(tData[SEHTrajectPeriodeDatumTijdVan],"&lt;="&amp;($A280+0/24),tData[SEHTrajectPeriodeDatumTijdTotEnMet],"&gt;"&amp;($A280+0/24))</f>
        <v/>
      </c>
      <c r="E280" s="20">
        <f>COUNTIFS(tData[SEHTrajectPeriodeDatumTijdVan],"&lt;="&amp;($A280+1/24),tData[SEHTrajectPeriodeDatumTijdTotEnMet],"&gt;"&amp;($A280+1/24))</f>
        <v/>
      </c>
      <c r="F280" s="20">
        <f>COUNTIFS(tData[SEHTrajectPeriodeDatumTijdVan],"&lt;="&amp;($A280+2/24),tData[SEHTrajectPeriodeDatumTijdTotEnMet],"&gt;"&amp;($A280+2/24))</f>
        <v/>
      </c>
      <c r="G280" s="20">
        <f>COUNTIFS(tData[SEHTrajectPeriodeDatumTijdVan],"&lt;="&amp;($A280+3/24),tData[SEHTrajectPeriodeDatumTijdTotEnMet],"&gt;"&amp;($A280+3/24))</f>
        <v/>
      </c>
      <c r="H280" s="20">
        <f>COUNTIFS(tData[SEHTrajectPeriodeDatumTijdVan],"&lt;="&amp;($A280+4/24),tData[SEHTrajectPeriodeDatumTijdTotEnMet],"&gt;"&amp;($A280+4/24))</f>
        <v/>
      </c>
      <c r="I280" s="20">
        <f>COUNTIFS(tData[SEHTrajectPeriodeDatumTijdVan],"&lt;="&amp;($A280+5/24),tData[SEHTrajectPeriodeDatumTijdTotEnMet],"&gt;"&amp;($A280+5/24))</f>
        <v/>
      </c>
      <c r="J280" s="20">
        <f>COUNTIFS(tData[SEHTrajectPeriodeDatumTijdVan],"&lt;="&amp;($A280+6/24),tData[SEHTrajectPeriodeDatumTijdTotEnMet],"&gt;"&amp;($A280+6/24))</f>
        <v/>
      </c>
      <c r="K280" s="20">
        <f>COUNTIFS(tData[SEHTrajectPeriodeDatumTijdVan],"&lt;="&amp;($A280+7/24),tData[SEHTrajectPeriodeDatumTijdTotEnMet],"&gt;"&amp;($A280+7/24))</f>
        <v/>
      </c>
      <c r="L280" s="20">
        <f>COUNTIFS(tData[SEHTrajectPeriodeDatumTijdVan],"&lt;="&amp;($A280+8/24),tData[SEHTrajectPeriodeDatumTijdTotEnMet],"&gt;"&amp;($A280+8/24))</f>
        <v/>
      </c>
      <c r="M280" s="20">
        <f>COUNTIFS(tData[SEHTrajectPeriodeDatumTijdVan],"&lt;="&amp;($A280+9/24),tData[SEHTrajectPeriodeDatumTijdTotEnMet],"&gt;"&amp;($A280+9/24))</f>
        <v/>
      </c>
      <c r="N280" s="20">
        <f>COUNTIFS(tData[SEHTrajectPeriodeDatumTijdVan],"&lt;="&amp;($A280+10/24),tData[SEHTrajectPeriodeDatumTijdTotEnMet],"&gt;"&amp;($A280+10/24))</f>
        <v/>
      </c>
      <c r="O280" s="20">
        <f>COUNTIFS(tData[SEHTrajectPeriodeDatumTijdVan],"&lt;="&amp;($A280+11/24),tData[SEHTrajectPeriodeDatumTijdTotEnMet],"&gt;"&amp;($A280+11/24))</f>
        <v/>
      </c>
      <c r="P280" s="20">
        <f>COUNTIFS(tData[SEHTrajectPeriodeDatumTijdVan],"&lt;="&amp;($A280+12/24),tData[SEHTrajectPeriodeDatumTijdTotEnMet],"&gt;"&amp;($A280+12/24))</f>
        <v/>
      </c>
      <c r="Q280" s="20">
        <f>COUNTIFS(tData[SEHTrajectPeriodeDatumTijdVan],"&lt;="&amp;($A280+13/24),tData[SEHTrajectPeriodeDatumTijdTotEnMet],"&gt;"&amp;($A280+13/24))</f>
        <v/>
      </c>
      <c r="R280" s="20">
        <f>COUNTIFS(tData[SEHTrajectPeriodeDatumTijdVan],"&lt;="&amp;($A280+14/24),tData[SEHTrajectPeriodeDatumTijdTotEnMet],"&gt;"&amp;($A280+14/24))</f>
        <v/>
      </c>
      <c r="S280" s="20">
        <f>COUNTIFS(tData[SEHTrajectPeriodeDatumTijdVan],"&lt;="&amp;($A280+15/24),tData[SEHTrajectPeriodeDatumTijdTotEnMet],"&gt;"&amp;($A280+15/24))</f>
        <v/>
      </c>
      <c r="T280" s="20">
        <f>COUNTIFS(tData[SEHTrajectPeriodeDatumTijdVan],"&lt;="&amp;($A280+16/24),tData[SEHTrajectPeriodeDatumTijdTotEnMet],"&gt;"&amp;($A280+16/24))</f>
        <v/>
      </c>
      <c r="U280" s="20">
        <f>COUNTIFS(tData[SEHTrajectPeriodeDatumTijdVan],"&lt;="&amp;($A280+17/24),tData[SEHTrajectPeriodeDatumTijdTotEnMet],"&gt;"&amp;($A280+17/24))</f>
        <v/>
      </c>
      <c r="V280" s="20">
        <f>COUNTIFS(tData[SEHTrajectPeriodeDatumTijdVan],"&lt;="&amp;($A280+18/24),tData[SEHTrajectPeriodeDatumTijdTotEnMet],"&gt;"&amp;($A280+18/24))</f>
        <v/>
      </c>
      <c r="W280" s="20">
        <f>COUNTIFS(tData[SEHTrajectPeriodeDatumTijdVan],"&lt;="&amp;($A280+19/24),tData[SEHTrajectPeriodeDatumTijdTotEnMet],"&gt;"&amp;($A280+19/24))</f>
        <v/>
      </c>
      <c r="X280" s="20">
        <f>COUNTIFS(tData[SEHTrajectPeriodeDatumTijdVan],"&lt;="&amp;($A280+20/24),tData[SEHTrajectPeriodeDatumTijdTotEnMet],"&gt;"&amp;($A280+20/24))</f>
        <v/>
      </c>
      <c r="Y280" s="20">
        <f>COUNTIFS(tData[SEHTrajectPeriodeDatumTijdVan],"&lt;="&amp;($A280+21/24),tData[SEHTrajectPeriodeDatumTijdTotEnMet],"&gt;"&amp;($A280+21/24))</f>
        <v/>
      </c>
      <c r="Z280" s="20">
        <f>COUNTIFS(tData[SEHTrajectPeriodeDatumTijdVan],"&lt;="&amp;($A280+22/24),tData[SEHTrajectPeriodeDatumTijdTotEnMet],"&gt;"&amp;($A280+22/24))</f>
        <v/>
      </c>
      <c r="AA280" s="20">
        <f>COUNTIFS(tData[SEHTrajectPeriodeDatumTijdVan],"&lt;="&amp;($A280+23/24),tData[SEHTrajectPeriodeDatumTijdTotEnMet],"&gt;"&amp;($A280+23/24))</f>
        <v/>
      </c>
    </row>
    <row r="281">
      <c r="A281" s="19" t="n">
        <v>45569</v>
      </c>
      <c r="B281" s="15">
        <f>WEEKDAY($A281,2)</f>
        <v/>
      </c>
      <c r="C281" s="15">
        <f>IF(AND($A281&gt;=INT(Instellingen!$B$5),$A281&lt;=INT(Instellingen!$B$6)),1,0)</f>
        <v/>
      </c>
      <c r="D281" s="20">
        <f>COUNTIFS(tData[SEHTrajectPeriodeDatumTijdVan],"&lt;="&amp;($A281+0/24),tData[SEHTrajectPeriodeDatumTijdTotEnMet],"&gt;"&amp;($A281+0/24))</f>
        <v/>
      </c>
      <c r="E281" s="20">
        <f>COUNTIFS(tData[SEHTrajectPeriodeDatumTijdVan],"&lt;="&amp;($A281+1/24),tData[SEHTrajectPeriodeDatumTijdTotEnMet],"&gt;"&amp;($A281+1/24))</f>
        <v/>
      </c>
      <c r="F281" s="20">
        <f>COUNTIFS(tData[SEHTrajectPeriodeDatumTijdVan],"&lt;="&amp;($A281+2/24),tData[SEHTrajectPeriodeDatumTijdTotEnMet],"&gt;"&amp;($A281+2/24))</f>
        <v/>
      </c>
      <c r="G281" s="20">
        <f>COUNTIFS(tData[SEHTrajectPeriodeDatumTijdVan],"&lt;="&amp;($A281+3/24),tData[SEHTrajectPeriodeDatumTijdTotEnMet],"&gt;"&amp;($A281+3/24))</f>
        <v/>
      </c>
      <c r="H281" s="20">
        <f>COUNTIFS(tData[SEHTrajectPeriodeDatumTijdVan],"&lt;="&amp;($A281+4/24),tData[SEHTrajectPeriodeDatumTijdTotEnMet],"&gt;"&amp;($A281+4/24))</f>
        <v/>
      </c>
      <c r="I281" s="20">
        <f>COUNTIFS(tData[SEHTrajectPeriodeDatumTijdVan],"&lt;="&amp;($A281+5/24),tData[SEHTrajectPeriodeDatumTijdTotEnMet],"&gt;"&amp;($A281+5/24))</f>
        <v/>
      </c>
      <c r="J281" s="20">
        <f>COUNTIFS(tData[SEHTrajectPeriodeDatumTijdVan],"&lt;="&amp;($A281+6/24),tData[SEHTrajectPeriodeDatumTijdTotEnMet],"&gt;"&amp;($A281+6/24))</f>
        <v/>
      </c>
      <c r="K281" s="20">
        <f>COUNTIFS(tData[SEHTrajectPeriodeDatumTijdVan],"&lt;="&amp;($A281+7/24),tData[SEHTrajectPeriodeDatumTijdTotEnMet],"&gt;"&amp;($A281+7/24))</f>
        <v/>
      </c>
      <c r="L281" s="20">
        <f>COUNTIFS(tData[SEHTrajectPeriodeDatumTijdVan],"&lt;="&amp;($A281+8/24),tData[SEHTrajectPeriodeDatumTijdTotEnMet],"&gt;"&amp;($A281+8/24))</f>
        <v/>
      </c>
      <c r="M281" s="20">
        <f>COUNTIFS(tData[SEHTrajectPeriodeDatumTijdVan],"&lt;="&amp;($A281+9/24),tData[SEHTrajectPeriodeDatumTijdTotEnMet],"&gt;"&amp;($A281+9/24))</f>
        <v/>
      </c>
      <c r="N281" s="20">
        <f>COUNTIFS(tData[SEHTrajectPeriodeDatumTijdVan],"&lt;="&amp;($A281+10/24),tData[SEHTrajectPeriodeDatumTijdTotEnMet],"&gt;"&amp;($A281+10/24))</f>
        <v/>
      </c>
      <c r="O281" s="20">
        <f>COUNTIFS(tData[SEHTrajectPeriodeDatumTijdVan],"&lt;="&amp;($A281+11/24),tData[SEHTrajectPeriodeDatumTijdTotEnMet],"&gt;"&amp;($A281+11/24))</f>
        <v/>
      </c>
      <c r="P281" s="20">
        <f>COUNTIFS(tData[SEHTrajectPeriodeDatumTijdVan],"&lt;="&amp;($A281+12/24),tData[SEHTrajectPeriodeDatumTijdTotEnMet],"&gt;"&amp;($A281+12/24))</f>
        <v/>
      </c>
      <c r="Q281" s="20">
        <f>COUNTIFS(tData[SEHTrajectPeriodeDatumTijdVan],"&lt;="&amp;($A281+13/24),tData[SEHTrajectPeriodeDatumTijdTotEnMet],"&gt;"&amp;($A281+13/24))</f>
        <v/>
      </c>
      <c r="R281" s="20">
        <f>COUNTIFS(tData[SEHTrajectPeriodeDatumTijdVan],"&lt;="&amp;($A281+14/24),tData[SEHTrajectPeriodeDatumTijdTotEnMet],"&gt;"&amp;($A281+14/24))</f>
        <v/>
      </c>
      <c r="S281" s="20">
        <f>COUNTIFS(tData[SEHTrajectPeriodeDatumTijdVan],"&lt;="&amp;($A281+15/24),tData[SEHTrajectPeriodeDatumTijdTotEnMet],"&gt;"&amp;($A281+15/24))</f>
        <v/>
      </c>
      <c r="T281" s="20">
        <f>COUNTIFS(tData[SEHTrajectPeriodeDatumTijdVan],"&lt;="&amp;($A281+16/24),tData[SEHTrajectPeriodeDatumTijdTotEnMet],"&gt;"&amp;($A281+16/24))</f>
        <v/>
      </c>
      <c r="U281" s="20">
        <f>COUNTIFS(tData[SEHTrajectPeriodeDatumTijdVan],"&lt;="&amp;($A281+17/24),tData[SEHTrajectPeriodeDatumTijdTotEnMet],"&gt;"&amp;($A281+17/24))</f>
        <v/>
      </c>
      <c r="V281" s="20">
        <f>COUNTIFS(tData[SEHTrajectPeriodeDatumTijdVan],"&lt;="&amp;($A281+18/24),tData[SEHTrajectPeriodeDatumTijdTotEnMet],"&gt;"&amp;($A281+18/24))</f>
        <v/>
      </c>
      <c r="W281" s="20">
        <f>COUNTIFS(tData[SEHTrajectPeriodeDatumTijdVan],"&lt;="&amp;($A281+19/24),tData[SEHTrajectPeriodeDatumTijdTotEnMet],"&gt;"&amp;($A281+19/24))</f>
        <v/>
      </c>
      <c r="X281" s="20">
        <f>COUNTIFS(tData[SEHTrajectPeriodeDatumTijdVan],"&lt;="&amp;($A281+20/24),tData[SEHTrajectPeriodeDatumTijdTotEnMet],"&gt;"&amp;($A281+20/24))</f>
        <v/>
      </c>
      <c r="Y281" s="20">
        <f>COUNTIFS(tData[SEHTrajectPeriodeDatumTijdVan],"&lt;="&amp;($A281+21/24),tData[SEHTrajectPeriodeDatumTijdTotEnMet],"&gt;"&amp;($A281+21/24))</f>
        <v/>
      </c>
      <c r="Z281" s="20">
        <f>COUNTIFS(tData[SEHTrajectPeriodeDatumTijdVan],"&lt;="&amp;($A281+22/24),tData[SEHTrajectPeriodeDatumTijdTotEnMet],"&gt;"&amp;($A281+22/24))</f>
        <v/>
      </c>
      <c r="AA281" s="20">
        <f>COUNTIFS(tData[SEHTrajectPeriodeDatumTijdVan],"&lt;="&amp;($A281+23/24),tData[SEHTrajectPeriodeDatumTijdTotEnMet],"&gt;"&amp;($A281+23/24))</f>
        <v/>
      </c>
    </row>
    <row r="282">
      <c r="A282" s="19" t="n">
        <v>45570</v>
      </c>
      <c r="B282" s="15">
        <f>WEEKDAY($A282,2)</f>
        <v/>
      </c>
      <c r="C282" s="15">
        <f>IF(AND($A282&gt;=INT(Instellingen!$B$5),$A282&lt;=INT(Instellingen!$B$6)),1,0)</f>
        <v/>
      </c>
      <c r="D282" s="20">
        <f>COUNTIFS(tData[SEHTrajectPeriodeDatumTijdVan],"&lt;="&amp;($A282+0/24),tData[SEHTrajectPeriodeDatumTijdTotEnMet],"&gt;"&amp;($A282+0/24))</f>
        <v/>
      </c>
      <c r="E282" s="20">
        <f>COUNTIFS(tData[SEHTrajectPeriodeDatumTijdVan],"&lt;="&amp;($A282+1/24),tData[SEHTrajectPeriodeDatumTijdTotEnMet],"&gt;"&amp;($A282+1/24))</f>
        <v/>
      </c>
      <c r="F282" s="20">
        <f>COUNTIFS(tData[SEHTrajectPeriodeDatumTijdVan],"&lt;="&amp;($A282+2/24),tData[SEHTrajectPeriodeDatumTijdTotEnMet],"&gt;"&amp;($A282+2/24))</f>
        <v/>
      </c>
      <c r="G282" s="20">
        <f>COUNTIFS(tData[SEHTrajectPeriodeDatumTijdVan],"&lt;="&amp;($A282+3/24),tData[SEHTrajectPeriodeDatumTijdTotEnMet],"&gt;"&amp;($A282+3/24))</f>
        <v/>
      </c>
      <c r="H282" s="20">
        <f>COUNTIFS(tData[SEHTrajectPeriodeDatumTijdVan],"&lt;="&amp;($A282+4/24),tData[SEHTrajectPeriodeDatumTijdTotEnMet],"&gt;"&amp;($A282+4/24))</f>
        <v/>
      </c>
      <c r="I282" s="20">
        <f>COUNTIFS(tData[SEHTrajectPeriodeDatumTijdVan],"&lt;="&amp;($A282+5/24),tData[SEHTrajectPeriodeDatumTijdTotEnMet],"&gt;"&amp;($A282+5/24))</f>
        <v/>
      </c>
      <c r="J282" s="20">
        <f>COUNTIFS(tData[SEHTrajectPeriodeDatumTijdVan],"&lt;="&amp;($A282+6/24),tData[SEHTrajectPeriodeDatumTijdTotEnMet],"&gt;"&amp;($A282+6/24))</f>
        <v/>
      </c>
      <c r="K282" s="20">
        <f>COUNTIFS(tData[SEHTrajectPeriodeDatumTijdVan],"&lt;="&amp;($A282+7/24),tData[SEHTrajectPeriodeDatumTijdTotEnMet],"&gt;"&amp;($A282+7/24))</f>
        <v/>
      </c>
      <c r="L282" s="20">
        <f>COUNTIFS(tData[SEHTrajectPeriodeDatumTijdVan],"&lt;="&amp;($A282+8/24),tData[SEHTrajectPeriodeDatumTijdTotEnMet],"&gt;"&amp;($A282+8/24))</f>
        <v/>
      </c>
      <c r="M282" s="20">
        <f>COUNTIFS(tData[SEHTrajectPeriodeDatumTijdVan],"&lt;="&amp;($A282+9/24),tData[SEHTrajectPeriodeDatumTijdTotEnMet],"&gt;"&amp;($A282+9/24))</f>
        <v/>
      </c>
      <c r="N282" s="20">
        <f>COUNTIFS(tData[SEHTrajectPeriodeDatumTijdVan],"&lt;="&amp;($A282+10/24),tData[SEHTrajectPeriodeDatumTijdTotEnMet],"&gt;"&amp;($A282+10/24))</f>
        <v/>
      </c>
      <c r="O282" s="20">
        <f>COUNTIFS(tData[SEHTrajectPeriodeDatumTijdVan],"&lt;="&amp;($A282+11/24),tData[SEHTrajectPeriodeDatumTijdTotEnMet],"&gt;"&amp;($A282+11/24))</f>
        <v/>
      </c>
      <c r="P282" s="20">
        <f>COUNTIFS(tData[SEHTrajectPeriodeDatumTijdVan],"&lt;="&amp;($A282+12/24),tData[SEHTrajectPeriodeDatumTijdTotEnMet],"&gt;"&amp;($A282+12/24))</f>
        <v/>
      </c>
      <c r="Q282" s="20">
        <f>COUNTIFS(tData[SEHTrajectPeriodeDatumTijdVan],"&lt;="&amp;($A282+13/24),tData[SEHTrajectPeriodeDatumTijdTotEnMet],"&gt;"&amp;($A282+13/24))</f>
        <v/>
      </c>
      <c r="R282" s="20">
        <f>COUNTIFS(tData[SEHTrajectPeriodeDatumTijdVan],"&lt;="&amp;($A282+14/24),tData[SEHTrajectPeriodeDatumTijdTotEnMet],"&gt;"&amp;($A282+14/24))</f>
        <v/>
      </c>
      <c r="S282" s="20">
        <f>COUNTIFS(tData[SEHTrajectPeriodeDatumTijdVan],"&lt;="&amp;($A282+15/24),tData[SEHTrajectPeriodeDatumTijdTotEnMet],"&gt;"&amp;($A282+15/24))</f>
        <v/>
      </c>
      <c r="T282" s="20">
        <f>COUNTIFS(tData[SEHTrajectPeriodeDatumTijdVan],"&lt;="&amp;($A282+16/24),tData[SEHTrajectPeriodeDatumTijdTotEnMet],"&gt;"&amp;($A282+16/24))</f>
        <v/>
      </c>
      <c r="U282" s="20">
        <f>COUNTIFS(tData[SEHTrajectPeriodeDatumTijdVan],"&lt;="&amp;($A282+17/24),tData[SEHTrajectPeriodeDatumTijdTotEnMet],"&gt;"&amp;($A282+17/24))</f>
        <v/>
      </c>
      <c r="V282" s="20">
        <f>COUNTIFS(tData[SEHTrajectPeriodeDatumTijdVan],"&lt;="&amp;($A282+18/24),tData[SEHTrajectPeriodeDatumTijdTotEnMet],"&gt;"&amp;($A282+18/24))</f>
        <v/>
      </c>
      <c r="W282" s="20">
        <f>COUNTIFS(tData[SEHTrajectPeriodeDatumTijdVan],"&lt;="&amp;($A282+19/24),tData[SEHTrajectPeriodeDatumTijdTotEnMet],"&gt;"&amp;($A282+19/24))</f>
        <v/>
      </c>
      <c r="X282" s="20">
        <f>COUNTIFS(tData[SEHTrajectPeriodeDatumTijdVan],"&lt;="&amp;($A282+20/24),tData[SEHTrajectPeriodeDatumTijdTotEnMet],"&gt;"&amp;($A282+20/24))</f>
        <v/>
      </c>
      <c r="Y282" s="20">
        <f>COUNTIFS(tData[SEHTrajectPeriodeDatumTijdVan],"&lt;="&amp;($A282+21/24),tData[SEHTrajectPeriodeDatumTijdTotEnMet],"&gt;"&amp;($A282+21/24))</f>
        <v/>
      </c>
      <c r="Z282" s="20">
        <f>COUNTIFS(tData[SEHTrajectPeriodeDatumTijdVan],"&lt;="&amp;($A282+22/24),tData[SEHTrajectPeriodeDatumTijdTotEnMet],"&gt;"&amp;($A282+22/24))</f>
        <v/>
      </c>
      <c r="AA282" s="20">
        <f>COUNTIFS(tData[SEHTrajectPeriodeDatumTijdVan],"&lt;="&amp;($A282+23/24),tData[SEHTrajectPeriodeDatumTijdTotEnMet],"&gt;"&amp;($A282+23/24))</f>
        <v/>
      </c>
    </row>
    <row r="283">
      <c r="A283" s="19" t="n">
        <v>45571</v>
      </c>
      <c r="B283" s="15">
        <f>WEEKDAY($A283,2)</f>
        <v/>
      </c>
      <c r="C283" s="15">
        <f>IF(AND($A283&gt;=INT(Instellingen!$B$5),$A283&lt;=INT(Instellingen!$B$6)),1,0)</f>
        <v/>
      </c>
      <c r="D283" s="20">
        <f>COUNTIFS(tData[SEHTrajectPeriodeDatumTijdVan],"&lt;="&amp;($A283+0/24),tData[SEHTrajectPeriodeDatumTijdTotEnMet],"&gt;"&amp;($A283+0/24))</f>
        <v/>
      </c>
      <c r="E283" s="20">
        <f>COUNTIFS(tData[SEHTrajectPeriodeDatumTijdVan],"&lt;="&amp;($A283+1/24),tData[SEHTrajectPeriodeDatumTijdTotEnMet],"&gt;"&amp;($A283+1/24))</f>
        <v/>
      </c>
      <c r="F283" s="20">
        <f>COUNTIFS(tData[SEHTrajectPeriodeDatumTijdVan],"&lt;="&amp;($A283+2/24),tData[SEHTrajectPeriodeDatumTijdTotEnMet],"&gt;"&amp;($A283+2/24))</f>
        <v/>
      </c>
      <c r="G283" s="20">
        <f>COUNTIFS(tData[SEHTrajectPeriodeDatumTijdVan],"&lt;="&amp;($A283+3/24),tData[SEHTrajectPeriodeDatumTijdTotEnMet],"&gt;"&amp;($A283+3/24))</f>
        <v/>
      </c>
      <c r="H283" s="20">
        <f>COUNTIFS(tData[SEHTrajectPeriodeDatumTijdVan],"&lt;="&amp;($A283+4/24),tData[SEHTrajectPeriodeDatumTijdTotEnMet],"&gt;"&amp;($A283+4/24))</f>
        <v/>
      </c>
      <c r="I283" s="20">
        <f>COUNTIFS(tData[SEHTrajectPeriodeDatumTijdVan],"&lt;="&amp;($A283+5/24),tData[SEHTrajectPeriodeDatumTijdTotEnMet],"&gt;"&amp;($A283+5/24))</f>
        <v/>
      </c>
      <c r="J283" s="20">
        <f>COUNTIFS(tData[SEHTrajectPeriodeDatumTijdVan],"&lt;="&amp;($A283+6/24),tData[SEHTrajectPeriodeDatumTijdTotEnMet],"&gt;"&amp;($A283+6/24))</f>
        <v/>
      </c>
      <c r="K283" s="20">
        <f>COUNTIFS(tData[SEHTrajectPeriodeDatumTijdVan],"&lt;="&amp;($A283+7/24),tData[SEHTrajectPeriodeDatumTijdTotEnMet],"&gt;"&amp;($A283+7/24))</f>
        <v/>
      </c>
      <c r="L283" s="20">
        <f>COUNTIFS(tData[SEHTrajectPeriodeDatumTijdVan],"&lt;="&amp;($A283+8/24),tData[SEHTrajectPeriodeDatumTijdTotEnMet],"&gt;"&amp;($A283+8/24))</f>
        <v/>
      </c>
      <c r="M283" s="20">
        <f>COUNTIFS(tData[SEHTrajectPeriodeDatumTijdVan],"&lt;="&amp;($A283+9/24),tData[SEHTrajectPeriodeDatumTijdTotEnMet],"&gt;"&amp;($A283+9/24))</f>
        <v/>
      </c>
      <c r="N283" s="20">
        <f>COUNTIFS(tData[SEHTrajectPeriodeDatumTijdVan],"&lt;="&amp;($A283+10/24),tData[SEHTrajectPeriodeDatumTijdTotEnMet],"&gt;"&amp;($A283+10/24))</f>
        <v/>
      </c>
      <c r="O283" s="20">
        <f>COUNTIFS(tData[SEHTrajectPeriodeDatumTijdVan],"&lt;="&amp;($A283+11/24),tData[SEHTrajectPeriodeDatumTijdTotEnMet],"&gt;"&amp;($A283+11/24))</f>
        <v/>
      </c>
      <c r="P283" s="20">
        <f>COUNTIFS(tData[SEHTrajectPeriodeDatumTijdVan],"&lt;="&amp;($A283+12/24),tData[SEHTrajectPeriodeDatumTijdTotEnMet],"&gt;"&amp;($A283+12/24))</f>
        <v/>
      </c>
      <c r="Q283" s="20">
        <f>COUNTIFS(tData[SEHTrajectPeriodeDatumTijdVan],"&lt;="&amp;($A283+13/24),tData[SEHTrajectPeriodeDatumTijdTotEnMet],"&gt;"&amp;($A283+13/24))</f>
        <v/>
      </c>
      <c r="R283" s="20">
        <f>COUNTIFS(tData[SEHTrajectPeriodeDatumTijdVan],"&lt;="&amp;($A283+14/24),tData[SEHTrajectPeriodeDatumTijdTotEnMet],"&gt;"&amp;($A283+14/24))</f>
        <v/>
      </c>
      <c r="S283" s="20">
        <f>COUNTIFS(tData[SEHTrajectPeriodeDatumTijdVan],"&lt;="&amp;($A283+15/24),tData[SEHTrajectPeriodeDatumTijdTotEnMet],"&gt;"&amp;($A283+15/24))</f>
        <v/>
      </c>
      <c r="T283" s="20">
        <f>COUNTIFS(tData[SEHTrajectPeriodeDatumTijdVan],"&lt;="&amp;($A283+16/24),tData[SEHTrajectPeriodeDatumTijdTotEnMet],"&gt;"&amp;($A283+16/24))</f>
        <v/>
      </c>
      <c r="U283" s="20">
        <f>COUNTIFS(tData[SEHTrajectPeriodeDatumTijdVan],"&lt;="&amp;($A283+17/24),tData[SEHTrajectPeriodeDatumTijdTotEnMet],"&gt;"&amp;($A283+17/24))</f>
        <v/>
      </c>
      <c r="V283" s="20">
        <f>COUNTIFS(tData[SEHTrajectPeriodeDatumTijdVan],"&lt;="&amp;($A283+18/24),tData[SEHTrajectPeriodeDatumTijdTotEnMet],"&gt;"&amp;($A283+18/24))</f>
        <v/>
      </c>
      <c r="W283" s="20">
        <f>COUNTIFS(tData[SEHTrajectPeriodeDatumTijdVan],"&lt;="&amp;($A283+19/24),tData[SEHTrajectPeriodeDatumTijdTotEnMet],"&gt;"&amp;($A283+19/24))</f>
        <v/>
      </c>
      <c r="X283" s="20">
        <f>COUNTIFS(tData[SEHTrajectPeriodeDatumTijdVan],"&lt;="&amp;($A283+20/24),tData[SEHTrajectPeriodeDatumTijdTotEnMet],"&gt;"&amp;($A283+20/24))</f>
        <v/>
      </c>
      <c r="Y283" s="20">
        <f>COUNTIFS(tData[SEHTrajectPeriodeDatumTijdVan],"&lt;="&amp;($A283+21/24),tData[SEHTrajectPeriodeDatumTijdTotEnMet],"&gt;"&amp;($A283+21/24))</f>
        <v/>
      </c>
      <c r="Z283" s="20">
        <f>COUNTIFS(tData[SEHTrajectPeriodeDatumTijdVan],"&lt;="&amp;($A283+22/24),tData[SEHTrajectPeriodeDatumTijdTotEnMet],"&gt;"&amp;($A283+22/24))</f>
        <v/>
      </c>
      <c r="AA283" s="20">
        <f>COUNTIFS(tData[SEHTrajectPeriodeDatumTijdVan],"&lt;="&amp;($A283+23/24),tData[SEHTrajectPeriodeDatumTijdTotEnMet],"&gt;"&amp;($A283+23/24))</f>
        <v/>
      </c>
    </row>
    <row r="284">
      <c r="A284" s="19" t="n">
        <v>45572</v>
      </c>
      <c r="B284" s="15">
        <f>WEEKDAY($A284,2)</f>
        <v/>
      </c>
      <c r="C284" s="15">
        <f>IF(AND($A284&gt;=INT(Instellingen!$B$5),$A284&lt;=INT(Instellingen!$B$6)),1,0)</f>
        <v/>
      </c>
      <c r="D284" s="20">
        <f>COUNTIFS(tData[SEHTrajectPeriodeDatumTijdVan],"&lt;="&amp;($A284+0/24),tData[SEHTrajectPeriodeDatumTijdTotEnMet],"&gt;"&amp;($A284+0/24))</f>
        <v/>
      </c>
      <c r="E284" s="20">
        <f>COUNTIFS(tData[SEHTrajectPeriodeDatumTijdVan],"&lt;="&amp;($A284+1/24),tData[SEHTrajectPeriodeDatumTijdTotEnMet],"&gt;"&amp;($A284+1/24))</f>
        <v/>
      </c>
      <c r="F284" s="20">
        <f>COUNTIFS(tData[SEHTrajectPeriodeDatumTijdVan],"&lt;="&amp;($A284+2/24),tData[SEHTrajectPeriodeDatumTijdTotEnMet],"&gt;"&amp;($A284+2/24))</f>
        <v/>
      </c>
      <c r="G284" s="20">
        <f>COUNTIFS(tData[SEHTrajectPeriodeDatumTijdVan],"&lt;="&amp;($A284+3/24),tData[SEHTrajectPeriodeDatumTijdTotEnMet],"&gt;"&amp;($A284+3/24))</f>
        <v/>
      </c>
      <c r="H284" s="20">
        <f>COUNTIFS(tData[SEHTrajectPeriodeDatumTijdVan],"&lt;="&amp;($A284+4/24),tData[SEHTrajectPeriodeDatumTijdTotEnMet],"&gt;"&amp;($A284+4/24))</f>
        <v/>
      </c>
      <c r="I284" s="20">
        <f>COUNTIFS(tData[SEHTrajectPeriodeDatumTijdVan],"&lt;="&amp;($A284+5/24),tData[SEHTrajectPeriodeDatumTijdTotEnMet],"&gt;"&amp;($A284+5/24))</f>
        <v/>
      </c>
      <c r="J284" s="20">
        <f>COUNTIFS(tData[SEHTrajectPeriodeDatumTijdVan],"&lt;="&amp;($A284+6/24),tData[SEHTrajectPeriodeDatumTijdTotEnMet],"&gt;"&amp;($A284+6/24))</f>
        <v/>
      </c>
      <c r="K284" s="20">
        <f>COUNTIFS(tData[SEHTrajectPeriodeDatumTijdVan],"&lt;="&amp;($A284+7/24),tData[SEHTrajectPeriodeDatumTijdTotEnMet],"&gt;"&amp;($A284+7/24))</f>
        <v/>
      </c>
      <c r="L284" s="20">
        <f>COUNTIFS(tData[SEHTrajectPeriodeDatumTijdVan],"&lt;="&amp;($A284+8/24),tData[SEHTrajectPeriodeDatumTijdTotEnMet],"&gt;"&amp;($A284+8/24))</f>
        <v/>
      </c>
      <c r="M284" s="20">
        <f>COUNTIFS(tData[SEHTrajectPeriodeDatumTijdVan],"&lt;="&amp;($A284+9/24),tData[SEHTrajectPeriodeDatumTijdTotEnMet],"&gt;"&amp;($A284+9/24))</f>
        <v/>
      </c>
      <c r="N284" s="20">
        <f>COUNTIFS(tData[SEHTrajectPeriodeDatumTijdVan],"&lt;="&amp;($A284+10/24),tData[SEHTrajectPeriodeDatumTijdTotEnMet],"&gt;"&amp;($A284+10/24))</f>
        <v/>
      </c>
      <c r="O284" s="20">
        <f>COUNTIFS(tData[SEHTrajectPeriodeDatumTijdVan],"&lt;="&amp;($A284+11/24),tData[SEHTrajectPeriodeDatumTijdTotEnMet],"&gt;"&amp;($A284+11/24))</f>
        <v/>
      </c>
      <c r="P284" s="20">
        <f>COUNTIFS(tData[SEHTrajectPeriodeDatumTijdVan],"&lt;="&amp;($A284+12/24),tData[SEHTrajectPeriodeDatumTijdTotEnMet],"&gt;"&amp;($A284+12/24))</f>
        <v/>
      </c>
      <c r="Q284" s="20">
        <f>COUNTIFS(tData[SEHTrajectPeriodeDatumTijdVan],"&lt;="&amp;($A284+13/24),tData[SEHTrajectPeriodeDatumTijdTotEnMet],"&gt;"&amp;($A284+13/24))</f>
        <v/>
      </c>
      <c r="R284" s="20">
        <f>COUNTIFS(tData[SEHTrajectPeriodeDatumTijdVan],"&lt;="&amp;($A284+14/24),tData[SEHTrajectPeriodeDatumTijdTotEnMet],"&gt;"&amp;($A284+14/24))</f>
        <v/>
      </c>
      <c r="S284" s="20">
        <f>COUNTIFS(tData[SEHTrajectPeriodeDatumTijdVan],"&lt;="&amp;($A284+15/24),tData[SEHTrajectPeriodeDatumTijdTotEnMet],"&gt;"&amp;($A284+15/24))</f>
        <v/>
      </c>
      <c r="T284" s="20">
        <f>COUNTIFS(tData[SEHTrajectPeriodeDatumTijdVan],"&lt;="&amp;($A284+16/24),tData[SEHTrajectPeriodeDatumTijdTotEnMet],"&gt;"&amp;($A284+16/24))</f>
        <v/>
      </c>
      <c r="U284" s="20">
        <f>COUNTIFS(tData[SEHTrajectPeriodeDatumTijdVan],"&lt;="&amp;($A284+17/24),tData[SEHTrajectPeriodeDatumTijdTotEnMet],"&gt;"&amp;($A284+17/24))</f>
        <v/>
      </c>
      <c r="V284" s="20">
        <f>COUNTIFS(tData[SEHTrajectPeriodeDatumTijdVan],"&lt;="&amp;($A284+18/24),tData[SEHTrajectPeriodeDatumTijdTotEnMet],"&gt;"&amp;($A284+18/24))</f>
        <v/>
      </c>
      <c r="W284" s="20">
        <f>COUNTIFS(tData[SEHTrajectPeriodeDatumTijdVan],"&lt;="&amp;($A284+19/24),tData[SEHTrajectPeriodeDatumTijdTotEnMet],"&gt;"&amp;($A284+19/24))</f>
        <v/>
      </c>
      <c r="X284" s="20">
        <f>COUNTIFS(tData[SEHTrajectPeriodeDatumTijdVan],"&lt;="&amp;($A284+20/24),tData[SEHTrajectPeriodeDatumTijdTotEnMet],"&gt;"&amp;($A284+20/24))</f>
        <v/>
      </c>
      <c r="Y284" s="20">
        <f>COUNTIFS(tData[SEHTrajectPeriodeDatumTijdVan],"&lt;="&amp;($A284+21/24),tData[SEHTrajectPeriodeDatumTijdTotEnMet],"&gt;"&amp;($A284+21/24))</f>
        <v/>
      </c>
      <c r="Z284" s="20">
        <f>COUNTIFS(tData[SEHTrajectPeriodeDatumTijdVan],"&lt;="&amp;($A284+22/24),tData[SEHTrajectPeriodeDatumTijdTotEnMet],"&gt;"&amp;($A284+22/24))</f>
        <v/>
      </c>
      <c r="AA284" s="20">
        <f>COUNTIFS(tData[SEHTrajectPeriodeDatumTijdVan],"&lt;="&amp;($A284+23/24),tData[SEHTrajectPeriodeDatumTijdTotEnMet],"&gt;"&amp;($A284+23/24))</f>
        <v/>
      </c>
    </row>
    <row r="285">
      <c r="A285" s="19" t="n">
        <v>45573</v>
      </c>
      <c r="B285" s="15">
        <f>WEEKDAY($A285,2)</f>
        <v/>
      </c>
      <c r="C285" s="15">
        <f>IF(AND($A285&gt;=INT(Instellingen!$B$5),$A285&lt;=INT(Instellingen!$B$6)),1,0)</f>
        <v/>
      </c>
      <c r="D285" s="20">
        <f>COUNTIFS(tData[SEHTrajectPeriodeDatumTijdVan],"&lt;="&amp;($A285+0/24),tData[SEHTrajectPeriodeDatumTijdTotEnMet],"&gt;"&amp;($A285+0/24))</f>
        <v/>
      </c>
      <c r="E285" s="20">
        <f>COUNTIFS(tData[SEHTrajectPeriodeDatumTijdVan],"&lt;="&amp;($A285+1/24),tData[SEHTrajectPeriodeDatumTijdTotEnMet],"&gt;"&amp;($A285+1/24))</f>
        <v/>
      </c>
      <c r="F285" s="20">
        <f>COUNTIFS(tData[SEHTrajectPeriodeDatumTijdVan],"&lt;="&amp;($A285+2/24),tData[SEHTrajectPeriodeDatumTijdTotEnMet],"&gt;"&amp;($A285+2/24))</f>
        <v/>
      </c>
      <c r="G285" s="20">
        <f>COUNTIFS(tData[SEHTrajectPeriodeDatumTijdVan],"&lt;="&amp;($A285+3/24),tData[SEHTrajectPeriodeDatumTijdTotEnMet],"&gt;"&amp;($A285+3/24))</f>
        <v/>
      </c>
      <c r="H285" s="20">
        <f>COUNTIFS(tData[SEHTrajectPeriodeDatumTijdVan],"&lt;="&amp;($A285+4/24),tData[SEHTrajectPeriodeDatumTijdTotEnMet],"&gt;"&amp;($A285+4/24))</f>
        <v/>
      </c>
      <c r="I285" s="20">
        <f>COUNTIFS(tData[SEHTrajectPeriodeDatumTijdVan],"&lt;="&amp;($A285+5/24),tData[SEHTrajectPeriodeDatumTijdTotEnMet],"&gt;"&amp;($A285+5/24))</f>
        <v/>
      </c>
      <c r="J285" s="20">
        <f>COUNTIFS(tData[SEHTrajectPeriodeDatumTijdVan],"&lt;="&amp;($A285+6/24),tData[SEHTrajectPeriodeDatumTijdTotEnMet],"&gt;"&amp;($A285+6/24))</f>
        <v/>
      </c>
      <c r="K285" s="20">
        <f>COUNTIFS(tData[SEHTrajectPeriodeDatumTijdVan],"&lt;="&amp;($A285+7/24),tData[SEHTrajectPeriodeDatumTijdTotEnMet],"&gt;"&amp;($A285+7/24))</f>
        <v/>
      </c>
      <c r="L285" s="20">
        <f>COUNTIFS(tData[SEHTrajectPeriodeDatumTijdVan],"&lt;="&amp;($A285+8/24),tData[SEHTrajectPeriodeDatumTijdTotEnMet],"&gt;"&amp;($A285+8/24))</f>
        <v/>
      </c>
      <c r="M285" s="20">
        <f>COUNTIFS(tData[SEHTrajectPeriodeDatumTijdVan],"&lt;="&amp;($A285+9/24),tData[SEHTrajectPeriodeDatumTijdTotEnMet],"&gt;"&amp;($A285+9/24))</f>
        <v/>
      </c>
      <c r="N285" s="20">
        <f>COUNTIFS(tData[SEHTrajectPeriodeDatumTijdVan],"&lt;="&amp;($A285+10/24),tData[SEHTrajectPeriodeDatumTijdTotEnMet],"&gt;"&amp;($A285+10/24))</f>
        <v/>
      </c>
      <c r="O285" s="20">
        <f>COUNTIFS(tData[SEHTrajectPeriodeDatumTijdVan],"&lt;="&amp;($A285+11/24),tData[SEHTrajectPeriodeDatumTijdTotEnMet],"&gt;"&amp;($A285+11/24))</f>
        <v/>
      </c>
      <c r="P285" s="20">
        <f>COUNTIFS(tData[SEHTrajectPeriodeDatumTijdVan],"&lt;="&amp;($A285+12/24),tData[SEHTrajectPeriodeDatumTijdTotEnMet],"&gt;"&amp;($A285+12/24))</f>
        <v/>
      </c>
      <c r="Q285" s="20">
        <f>COUNTIFS(tData[SEHTrajectPeriodeDatumTijdVan],"&lt;="&amp;($A285+13/24),tData[SEHTrajectPeriodeDatumTijdTotEnMet],"&gt;"&amp;($A285+13/24))</f>
        <v/>
      </c>
      <c r="R285" s="20">
        <f>COUNTIFS(tData[SEHTrajectPeriodeDatumTijdVan],"&lt;="&amp;($A285+14/24),tData[SEHTrajectPeriodeDatumTijdTotEnMet],"&gt;"&amp;($A285+14/24))</f>
        <v/>
      </c>
      <c r="S285" s="20">
        <f>COUNTIFS(tData[SEHTrajectPeriodeDatumTijdVan],"&lt;="&amp;($A285+15/24),tData[SEHTrajectPeriodeDatumTijdTotEnMet],"&gt;"&amp;($A285+15/24))</f>
        <v/>
      </c>
      <c r="T285" s="20">
        <f>COUNTIFS(tData[SEHTrajectPeriodeDatumTijdVan],"&lt;="&amp;($A285+16/24),tData[SEHTrajectPeriodeDatumTijdTotEnMet],"&gt;"&amp;($A285+16/24))</f>
        <v/>
      </c>
      <c r="U285" s="20">
        <f>COUNTIFS(tData[SEHTrajectPeriodeDatumTijdVan],"&lt;="&amp;($A285+17/24),tData[SEHTrajectPeriodeDatumTijdTotEnMet],"&gt;"&amp;($A285+17/24))</f>
        <v/>
      </c>
      <c r="V285" s="20">
        <f>COUNTIFS(tData[SEHTrajectPeriodeDatumTijdVan],"&lt;="&amp;($A285+18/24),tData[SEHTrajectPeriodeDatumTijdTotEnMet],"&gt;"&amp;($A285+18/24))</f>
        <v/>
      </c>
      <c r="W285" s="20">
        <f>COUNTIFS(tData[SEHTrajectPeriodeDatumTijdVan],"&lt;="&amp;($A285+19/24),tData[SEHTrajectPeriodeDatumTijdTotEnMet],"&gt;"&amp;($A285+19/24))</f>
        <v/>
      </c>
      <c r="X285" s="20">
        <f>COUNTIFS(tData[SEHTrajectPeriodeDatumTijdVan],"&lt;="&amp;($A285+20/24),tData[SEHTrajectPeriodeDatumTijdTotEnMet],"&gt;"&amp;($A285+20/24))</f>
        <v/>
      </c>
      <c r="Y285" s="20">
        <f>COUNTIFS(tData[SEHTrajectPeriodeDatumTijdVan],"&lt;="&amp;($A285+21/24),tData[SEHTrajectPeriodeDatumTijdTotEnMet],"&gt;"&amp;($A285+21/24))</f>
        <v/>
      </c>
      <c r="Z285" s="20">
        <f>COUNTIFS(tData[SEHTrajectPeriodeDatumTijdVan],"&lt;="&amp;($A285+22/24),tData[SEHTrajectPeriodeDatumTijdTotEnMet],"&gt;"&amp;($A285+22/24))</f>
        <v/>
      </c>
      <c r="AA285" s="20">
        <f>COUNTIFS(tData[SEHTrajectPeriodeDatumTijdVan],"&lt;="&amp;($A285+23/24),tData[SEHTrajectPeriodeDatumTijdTotEnMet],"&gt;"&amp;($A285+23/24))</f>
        <v/>
      </c>
    </row>
    <row r="286">
      <c r="A286" s="19" t="n">
        <v>45574</v>
      </c>
      <c r="B286" s="15">
        <f>WEEKDAY($A286,2)</f>
        <v/>
      </c>
      <c r="C286" s="15">
        <f>IF(AND($A286&gt;=INT(Instellingen!$B$5),$A286&lt;=INT(Instellingen!$B$6)),1,0)</f>
        <v/>
      </c>
      <c r="D286" s="20">
        <f>COUNTIFS(tData[SEHTrajectPeriodeDatumTijdVan],"&lt;="&amp;($A286+0/24),tData[SEHTrajectPeriodeDatumTijdTotEnMet],"&gt;"&amp;($A286+0/24))</f>
        <v/>
      </c>
      <c r="E286" s="20">
        <f>COUNTIFS(tData[SEHTrajectPeriodeDatumTijdVan],"&lt;="&amp;($A286+1/24),tData[SEHTrajectPeriodeDatumTijdTotEnMet],"&gt;"&amp;($A286+1/24))</f>
        <v/>
      </c>
      <c r="F286" s="20">
        <f>COUNTIFS(tData[SEHTrajectPeriodeDatumTijdVan],"&lt;="&amp;($A286+2/24),tData[SEHTrajectPeriodeDatumTijdTotEnMet],"&gt;"&amp;($A286+2/24))</f>
        <v/>
      </c>
      <c r="G286" s="20">
        <f>COUNTIFS(tData[SEHTrajectPeriodeDatumTijdVan],"&lt;="&amp;($A286+3/24),tData[SEHTrajectPeriodeDatumTijdTotEnMet],"&gt;"&amp;($A286+3/24))</f>
        <v/>
      </c>
      <c r="H286" s="20">
        <f>COUNTIFS(tData[SEHTrajectPeriodeDatumTijdVan],"&lt;="&amp;($A286+4/24),tData[SEHTrajectPeriodeDatumTijdTotEnMet],"&gt;"&amp;($A286+4/24))</f>
        <v/>
      </c>
      <c r="I286" s="20">
        <f>COUNTIFS(tData[SEHTrajectPeriodeDatumTijdVan],"&lt;="&amp;($A286+5/24),tData[SEHTrajectPeriodeDatumTijdTotEnMet],"&gt;"&amp;($A286+5/24))</f>
        <v/>
      </c>
      <c r="J286" s="20">
        <f>COUNTIFS(tData[SEHTrajectPeriodeDatumTijdVan],"&lt;="&amp;($A286+6/24),tData[SEHTrajectPeriodeDatumTijdTotEnMet],"&gt;"&amp;($A286+6/24))</f>
        <v/>
      </c>
      <c r="K286" s="20">
        <f>COUNTIFS(tData[SEHTrajectPeriodeDatumTijdVan],"&lt;="&amp;($A286+7/24),tData[SEHTrajectPeriodeDatumTijdTotEnMet],"&gt;"&amp;($A286+7/24))</f>
        <v/>
      </c>
      <c r="L286" s="20">
        <f>COUNTIFS(tData[SEHTrajectPeriodeDatumTijdVan],"&lt;="&amp;($A286+8/24),tData[SEHTrajectPeriodeDatumTijdTotEnMet],"&gt;"&amp;($A286+8/24))</f>
        <v/>
      </c>
      <c r="M286" s="20">
        <f>COUNTIFS(tData[SEHTrajectPeriodeDatumTijdVan],"&lt;="&amp;($A286+9/24),tData[SEHTrajectPeriodeDatumTijdTotEnMet],"&gt;"&amp;($A286+9/24))</f>
        <v/>
      </c>
      <c r="N286" s="20">
        <f>COUNTIFS(tData[SEHTrajectPeriodeDatumTijdVan],"&lt;="&amp;($A286+10/24),tData[SEHTrajectPeriodeDatumTijdTotEnMet],"&gt;"&amp;($A286+10/24))</f>
        <v/>
      </c>
      <c r="O286" s="20">
        <f>COUNTIFS(tData[SEHTrajectPeriodeDatumTijdVan],"&lt;="&amp;($A286+11/24),tData[SEHTrajectPeriodeDatumTijdTotEnMet],"&gt;"&amp;($A286+11/24))</f>
        <v/>
      </c>
      <c r="P286" s="20">
        <f>COUNTIFS(tData[SEHTrajectPeriodeDatumTijdVan],"&lt;="&amp;($A286+12/24),tData[SEHTrajectPeriodeDatumTijdTotEnMet],"&gt;"&amp;($A286+12/24))</f>
        <v/>
      </c>
      <c r="Q286" s="20">
        <f>COUNTIFS(tData[SEHTrajectPeriodeDatumTijdVan],"&lt;="&amp;($A286+13/24),tData[SEHTrajectPeriodeDatumTijdTotEnMet],"&gt;"&amp;($A286+13/24))</f>
        <v/>
      </c>
      <c r="R286" s="20">
        <f>COUNTIFS(tData[SEHTrajectPeriodeDatumTijdVan],"&lt;="&amp;($A286+14/24),tData[SEHTrajectPeriodeDatumTijdTotEnMet],"&gt;"&amp;($A286+14/24))</f>
        <v/>
      </c>
      <c r="S286" s="20">
        <f>COUNTIFS(tData[SEHTrajectPeriodeDatumTijdVan],"&lt;="&amp;($A286+15/24),tData[SEHTrajectPeriodeDatumTijdTotEnMet],"&gt;"&amp;($A286+15/24))</f>
        <v/>
      </c>
      <c r="T286" s="20">
        <f>COUNTIFS(tData[SEHTrajectPeriodeDatumTijdVan],"&lt;="&amp;($A286+16/24),tData[SEHTrajectPeriodeDatumTijdTotEnMet],"&gt;"&amp;($A286+16/24))</f>
        <v/>
      </c>
      <c r="U286" s="20">
        <f>COUNTIFS(tData[SEHTrajectPeriodeDatumTijdVan],"&lt;="&amp;($A286+17/24),tData[SEHTrajectPeriodeDatumTijdTotEnMet],"&gt;"&amp;($A286+17/24))</f>
        <v/>
      </c>
      <c r="V286" s="20">
        <f>COUNTIFS(tData[SEHTrajectPeriodeDatumTijdVan],"&lt;="&amp;($A286+18/24),tData[SEHTrajectPeriodeDatumTijdTotEnMet],"&gt;"&amp;($A286+18/24))</f>
        <v/>
      </c>
      <c r="W286" s="20">
        <f>COUNTIFS(tData[SEHTrajectPeriodeDatumTijdVan],"&lt;="&amp;($A286+19/24),tData[SEHTrajectPeriodeDatumTijdTotEnMet],"&gt;"&amp;($A286+19/24))</f>
        <v/>
      </c>
      <c r="X286" s="20">
        <f>COUNTIFS(tData[SEHTrajectPeriodeDatumTijdVan],"&lt;="&amp;($A286+20/24),tData[SEHTrajectPeriodeDatumTijdTotEnMet],"&gt;"&amp;($A286+20/24))</f>
        <v/>
      </c>
      <c r="Y286" s="20">
        <f>COUNTIFS(tData[SEHTrajectPeriodeDatumTijdVan],"&lt;="&amp;($A286+21/24),tData[SEHTrajectPeriodeDatumTijdTotEnMet],"&gt;"&amp;($A286+21/24))</f>
        <v/>
      </c>
      <c r="Z286" s="20">
        <f>COUNTIFS(tData[SEHTrajectPeriodeDatumTijdVan],"&lt;="&amp;($A286+22/24),tData[SEHTrajectPeriodeDatumTijdTotEnMet],"&gt;"&amp;($A286+22/24))</f>
        <v/>
      </c>
      <c r="AA286" s="20">
        <f>COUNTIFS(tData[SEHTrajectPeriodeDatumTijdVan],"&lt;="&amp;($A286+23/24),tData[SEHTrajectPeriodeDatumTijdTotEnMet],"&gt;"&amp;($A286+23/24))</f>
        <v/>
      </c>
    </row>
    <row r="287">
      <c r="A287" s="19" t="n">
        <v>45575</v>
      </c>
      <c r="B287" s="15">
        <f>WEEKDAY($A287,2)</f>
        <v/>
      </c>
      <c r="C287" s="15">
        <f>IF(AND($A287&gt;=INT(Instellingen!$B$5),$A287&lt;=INT(Instellingen!$B$6)),1,0)</f>
        <v/>
      </c>
      <c r="D287" s="20">
        <f>COUNTIFS(tData[SEHTrajectPeriodeDatumTijdVan],"&lt;="&amp;($A287+0/24),tData[SEHTrajectPeriodeDatumTijdTotEnMet],"&gt;"&amp;($A287+0/24))</f>
        <v/>
      </c>
      <c r="E287" s="20">
        <f>COUNTIFS(tData[SEHTrajectPeriodeDatumTijdVan],"&lt;="&amp;($A287+1/24),tData[SEHTrajectPeriodeDatumTijdTotEnMet],"&gt;"&amp;($A287+1/24))</f>
        <v/>
      </c>
      <c r="F287" s="20">
        <f>COUNTIFS(tData[SEHTrajectPeriodeDatumTijdVan],"&lt;="&amp;($A287+2/24),tData[SEHTrajectPeriodeDatumTijdTotEnMet],"&gt;"&amp;($A287+2/24))</f>
        <v/>
      </c>
      <c r="G287" s="20">
        <f>COUNTIFS(tData[SEHTrajectPeriodeDatumTijdVan],"&lt;="&amp;($A287+3/24),tData[SEHTrajectPeriodeDatumTijdTotEnMet],"&gt;"&amp;($A287+3/24))</f>
        <v/>
      </c>
      <c r="H287" s="20">
        <f>COUNTIFS(tData[SEHTrajectPeriodeDatumTijdVan],"&lt;="&amp;($A287+4/24),tData[SEHTrajectPeriodeDatumTijdTotEnMet],"&gt;"&amp;($A287+4/24))</f>
        <v/>
      </c>
      <c r="I287" s="20">
        <f>COUNTIFS(tData[SEHTrajectPeriodeDatumTijdVan],"&lt;="&amp;($A287+5/24),tData[SEHTrajectPeriodeDatumTijdTotEnMet],"&gt;"&amp;($A287+5/24))</f>
        <v/>
      </c>
      <c r="J287" s="20">
        <f>COUNTIFS(tData[SEHTrajectPeriodeDatumTijdVan],"&lt;="&amp;($A287+6/24),tData[SEHTrajectPeriodeDatumTijdTotEnMet],"&gt;"&amp;($A287+6/24))</f>
        <v/>
      </c>
      <c r="K287" s="20">
        <f>COUNTIFS(tData[SEHTrajectPeriodeDatumTijdVan],"&lt;="&amp;($A287+7/24),tData[SEHTrajectPeriodeDatumTijdTotEnMet],"&gt;"&amp;($A287+7/24))</f>
        <v/>
      </c>
      <c r="L287" s="20">
        <f>COUNTIFS(tData[SEHTrajectPeriodeDatumTijdVan],"&lt;="&amp;($A287+8/24),tData[SEHTrajectPeriodeDatumTijdTotEnMet],"&gt;"&amp;($A287+8/24))</f>
        <v/>
      </c>
      <c r="M287" s="20">
        <f>COUNTIFS(tData[SEHTrajectPeriodeDatumTijdVan],"&lt;="&amp;($A287+9/24),tData[SEHTrajectPeriodeDatumTijdTotEnMet],"&gt;"&amp;($A287+9/24))</f>
        <v/>
      </c>
      <c r="N287" s="20">
        <f>COUNTIFS(tData[SEHTrajectPeriodeDatumTijdVan],"&lt;="&amp;($A287+10/24),tData[SEHTrajectPeriodeDatumTijdTotEnMet],"&gt;"&amp;($A287+10/24))</f>
        <v/>
      </c>
      <c r="O287" s="20">
        <f>COUNTIFS(tData[SEHTrajectPeriodeDatumTijdVan],"&lt;="&amp;($A287+11/24),tData[SEHTrajectPeriodeDatumTijdTotEnMet],"&gt;"&amp;($A287+11/24))</f>
        <v/>
      </c>
      <c r="P287" s="20">
        <f>COUNTIFS(tData[SEHTrajectPeriodeDatumTijdVan],"&lt;="&amp;($A287+12/24),tData[SEHTrajectPeriodeDatumTijdTotEnMet],"&gt;"&amp;($A287+12/24))</f>
        <v/>
      </c>
      <c r="Q287" s="20">
        <f>COUNTIFS(tData[SEHTrajectPeriodeDatumTijdVan],"&lt;="&amp;($A287+13/24),tData[SEHTrajectPeriodeDatumTijdTotEnMet],"&gt;"&amp;($A287+13/24))</f>
        <v/>
      </c>
      <c r="R287" s="20">
        <f>COUNTIFS(tData[SEHTrajectPeriodeDatumTijdVan],"&lt;="&amp;($A287+14/24),tData[SEHTrajectPeriodeDatumTijdTotEnMet],"&gt;"&amp;($A287+14/24))</f>
        <v/>
      </c>
      <c r="S287" s="20">
        <f>COUNTIFS(tData[SEHTrajectPeriodeDatumTijdVan],"&lt;="&amp;($A287+15/24),tData[SEHTrajectPeriodeDatumTijdTotEnMet],"&gt;"&amp;($A287+15/24))</f>
        <v/>
      </c>
      <c r="T287" s="20">
        <f>COUNTIFS(tData[SEHTrajectPeriodeDatumTijdVan],"&lt;="&amp;($A287+16/24),tData[SEHTrajectPeriodeDatumTijdTotEnMet],"&gt;"&amp;($A287+16/24))</f>
        <v/>
      </c>
      <c r="U287" s="20">
        <f>COUNTIFS(tData[SEHTrajectPeriodeDatumTijdVan],"&lt;="&amp;($A287+17/24),tData[SEHTrajectPeriodeDatumTijdTotEnMet],"&gt;"&amp;($A287+17/24))</f>
        <v/>
      </c>
      <c r="V287" s="20">
        <f>COUNTIFS(tData[SEHTrajectPeriodeDatumTijdVan],"&lt;="&amp;($A287+18/24),tData[SEHTrajectPeriodeDatumTijdTotEnMet],"&gt;"&amp;($A287+18/24))</f>
        <v/>
      </c>
      <c r="W287" s="20">
        <f>COUNTIFS(tData[SEHTrajectPeriodeDatumTijdVan],"&lt;="&amp;($A287+19/24),tData[SEHTrajectPeriodeDatumTijdTotEnMet],"&gt;"&amp;($A287+19/24))</f>
        <v/>
      </c>
      <c r="X287" s="20">
        <f>COUNTIFS(tData[SEHTrajectPeriodeDatumTijdVan],"&lt;="&amp;($A287+20/24),tData[SEHTrajectPeriodeDatumTijdTotEnMet],"&gt;"&amp;($A287+20/24))</f>
        <v/>
      </c>
      <c r="Y287" s="20">
        <f>COUNTIFS(tData[SEHTrajectPeriodeDatumTijdVan],"&lt;="&amp;($A287+21/24),tData[SEHTrajectPeriodeDatumTijdTotEnMet],"&gt;"&amp;($A287+21/24))</f>
        <v/>
      </c>
      <c r="Z287" s="20">
        <f>COUNTIFS(tData[SEHTrajectPeriodeDatumTijdVan],"&lt;="&amp;($A287+22/24),tData[SEHTrajectPeriodeDatumTijdTotEnMet],"&gt;"&amp;($A287+22/24))</f>
        <v/>
      </c>
      <c r="AA287" s="20">
        <f>COUNTIFS(tData[SEHTrajectPeriodeDatumTijdVan],"&lt;="&amp;($A287+23/24),tData[SEHTrajectPeriodeDatumTijdTotEnMet],"&gt;"&amp;($A287+23/24))</f>
        <v/>
      </c>
    </row>
    <row r="288">
      <c r="A288" s="19" t="n">
        <v>45576</v>
      </c>
      <c r="B288" s="15">
        <f>WEEKDAY($A288,2)</f>
        <v/>
      </c>
      <c r="C288" s="15">
        <f>IF(AND($A288&gt;=INT(Instellingen!$B$5),$A288&lt;=INT(Instellingen!$B$6)),1,0)</f>
        <v/>
      </c>
      <c r="D288" s="20">
        <f>COUNTIFS(tData[SEHTrajectPeriodeDatumTijdVan],"&lt;="&amp;($A288+0/24),tData[SEHTrajectPeriodeDatumTijdTotEnMet],"&gt;"&amp;($A288+0/24))</f>
        <v/>
      </c>
      <c r="E288" s="20">
        <f>COUNTIFS(tData[SEHTrajectPeriodeDatumTijdVan],"&lt;="&amp;($A288+1/24),tData[SEHTrajectPeriodeDatumTijdTotEnMet],"&gt;"&amp;($A288+1/24))</f>
        <v/>
      </c>
      <c r="F288" s="20">
        <f>COUNTIFS(tData[SEHTrajectPeriodeDatumTijdVan],"&lt;="&amp;($A288+2/24),tData[SEHTrajectPeriodeDatumTijdTotEnMet],"&gt;"&amp;($A288+2/24))</f>
        <v/>
      </c>
      <c r="G288" s="20">
        <f>COUNTIFS(tData[SEHTrajectPeriodeDatumTijdVan],"&lt;="&amp;($A288+3/24),tData[SEHTrajectPeriodeDatumTijdTotEnMet],"&gt;"&amp;($A288+3/24))</f>
        <v/>
      </c>
      <c r="H288" s="20">
        <f>COUNTIFS(tData[SEHTrajectPeriodeDatumTijdVan],"&lt;="&amp;($A288+4/24),tData[SEHTrajectPeriodeDatumTijdTotEnMet],"&gt;"&amp;($A288+4/24))</f>
        <v/>
      </c>
      <c r="I288" s="20">
        <f>COUNTIFS(tData[SEHTrajectPeriodeDatumTijdVan],"&lt;="&amp;($A288+5/24),tData[SEHTrajectPeriodeDatumTijdTotEnMet],"&gt;"&amp;($A288+5/24))</f>
        <v/>
      </c>
      <c r="J288" s="20">
        <f>COUNTIFS(tData[SEHTrajectPeriodeDatumTijdVan],"&lt;="&amp;($A288+6/24),tData[SEHTrajectPeriodeDatumTijdTotEnMet],"&gt;"&amp;($A288+6/24))</f>
        <v/>
      </c>
      <c r="K288" s="20">
        <f>COUNTIFS(tData[SEHTrajectPeriodeDatumTijdVan],"&lt;="&amp;($A288+7/24),tData[SEHTrajectPeriodeDatumTijdTotEnMet],"&gt;"&amp;($A288+7/24))</f>
        <v/>
      </c>
      <c r="L288" s="20">
        <f>COUNTIFS(tData[SEHTrajectPeriodeDatumTijdVan],"&lt;="&amp;($A288+8/24),tData[SEHTrajectPeriodeDatumTijdTotEnMet],"&gt;"&amp;($A288+8/24))</f>
        <v/>
      </c>
      <c r="M288" s="20">
        <f>COUNTIFS(tData[SEHTrajectPeriodeDatumTijdVan],"&lt;="&amp;($A288+9/24),tData[SEHTrajectPeriodeDatumTijdTotEnMet],"&gt;"&amp;($A288+9/24))</f>
        <v/>
      </c>
      <c r="N288" s="20">
        <f>COUNTIFS(tData[SEHTrajectPeriodeDatumTijdVan],"&lt;="&amp;($A288+10/24),tData[SEHTrajectPeriodeDatumTijdTotEnMet],"&gt;"&amp;($A288+10/24))</f>
        <v/>
      </c>
      <c r="O288" s="20">
        <f>COUNTIFS(tData[SEHTrajectPeriodeDatumTijdVan],"&lt;="&amp;($A288+11/24),tData[SEHTrajectPeriodeDatumTijdTotEnMet],"&gt;"&amp;($A288+11/24))</f>
        <v/>
      </c>
      <c r="P288" s="20">
        <f>COUNTIFS(tData[SEHTrajectPeriodeDatumTijdVan],"&lt;="&amp;($A288+12/24),tData[SEHTrajectPeriodeDatumTijdTotEnMet],"&gt;"&amp;($A288+12/24))</f>
        <v/>
      </c>
      <c r="Q288" s="20">
        <f>COUNTIFS(tData[SEHTrajectPeriodeDatumTijdVan],"&lt;="&amp;($A288+13/24),tData[SEHTrajectPeriodeDatumTijdTotEnMet],"&gt;"&amp;($A288+13/24))</f>
        <v/>
      </c>
      <c r="R288" s="20">
        <f>COUNTIFS(tData[SEHTrajectPeriodeDatumTijdVan],"&lt;="&amp;($A288+14/24),tData[SEHTrajectPeriodeDatumTijdTotEnMet],"&gt;"&amp;($A288+14/24))</f>
        <v/>
      </c>
      <c r="S288" s="20">
        <f>COUNTIFS(tData[SEHTrajectPeriodeDatumTijdVan],"&lt;="&amp;($A288+15/24),tData[SEHTrajectPeriodeDatumTijdTotEnMet],"&gt;"&amp;($A288+15/24))</f>
        <v/>
      </c>
      <c r="T288" s="20">
        <f>COUNTIFS(tData[SEHTrajectPeriodeDatumTijdVan],"&lt;="&amp;($A288+16/24),tData[SEHTrajectPeriodeDatumTijdTotEnMet],"&gt;"&amp;($A288+16/24))</f>
        <v/>
      </c>
      <c r="U288" s="20">
        <f>COUNTIFS(tData[SEHTrajectPeriodeDatumTijdVan],"&lt;="&amp;($A288+17/24),tData[SEHTrajectPeriodeDatumTijdTotEnMet],"&gt;"&amp;($A288+17/24))</f>
        <v/>
      </c>
      <c r="V288" s="20">
        <f>COUNTIFS(tData[SEHTrajectPeriodeDatumTijdVan],"&lt;="&amp;($A288+18/24),tData[SEHTrajectPeriodeDatumTijdTotEnMet],"&gt;"&amp;($A288+18/24))</f>
        <v/>
      </c>
      <c r="W288" s="20">
        <f>COUNTIFS(tData[SEHTrajectPeriodeDatumTijdVan],"&lt;="&amp;($A288+19/24),tData[SEHTrajectPeriodeDatumTijdTotEnMet],"&gt;"&amp;($A288+19/24))</f>
        <v/>
      </c>
      <c r="X288" s="20">
        <f>COUNTIFS(tData[SEHTrajectPeriodeDatumTijdVan],"&lt;="&amp;($A288+20/24),tData[SEHTrajectPeriodeDatumTijdTotEnMet],"&gt;"&amp;($A288+20/24))</f>
        <v/>
      </c>
      <c r="Y288" s="20">
        <f>COUNTIFS(tData[SEHTrajectPeriodeDatumTijdVan],"&lt;="&amp;($A288+21/24),tData[SEHTrajectPeriodeDatumTijdTotEnMet],"&gt;"&amp;($A288+21/24))</f>
        <v/>
      </c>
      <c r="Z288" s="20">
        <f>COUNTIFS(tData[SEHTrajectPeriodeDatumTijdVan],"&lt;="&amp;($A288+22/24),tData[SEHTrajectPeriodeDatumTijdTotEnMet],"&gt;"&amp;($A288+22/24))</f>
        <v/>
      </c>
      <c r="AA288" s="20">
        <f>COUNTIFS(tData[SEHTrajectPeriodeDatumTijdVan],"&lt;="&amp;($A288+23/24),tData[SEHTrajectPeriodeDatumTijdTotEnMet],"&gt;"&amp;($A288+23/24))</f>
        <v/>
      </c>
    </row>
    <row r="289">
      <c r="A289" s="19" t="n">
        <v>45577</v>
      </c>
      <c r="B289" s="15">
        <f>WEEKDAY($A289,2)</f>
        <v/>
      </c>
      <c r="C289" s="15">
        <f>IF(AND($A289&gt;=INT(Instellingen!$B$5),$A289&lt;=INT(Instellingen!$B$6)),1,0)</f>
        <v/>
      </c>
      <c r="D289" s="20">
        <f>COUNTIFS(tData[SEHTrajectPeriodeDatumTijdVan],"&lt;="&amp;($A289+0/24),tData[SEHTrajectPeriodeDatumTijdTotEnMet],"&gt;"&amp;($A289+0/24))</f>
        <v/>
      </c>
      <c r="E289" s="20">
        <f>COUNTIFS(tData[SEHTrajectPeriodeDatumTijdVan],"&lt;="&amp;($A289+1/24),tData[SEHTrajectPeriodeDatumTijdTotEnMet],"&gt;"&amp;($A289+1/24))</f>
        <v/>
      </c>
      <c r="F289" s="20">
        <f>COUNTIFS(tData[SEHTrajectPeriodeDatumTijdVan],"&lt;="&amp;($A289+2/24),tData[SEHTrajectPeriodeDatumTijdTotEnMet],"&gt;"&amp;($A289+2/24))</f>
        <v/>
      </c>
      <c r="G289" s="20">
        <f>COUNTIFS(tData[SEHTrajectPeriodeDatumTijdVan],"&lt;="&amp;($A289+3/24),tData[SEHTrajectPeriodeDatumTijdTotEnMet],"&gt;"&amp;($A289+3/24))</f>
        <v/>
      </c>
      <c r="H289" s="20">
        <f>COUNTIFS(tData[SEHTrajectPeriodeDatumTijdVan],"&lt;="&amp;($A289+4/24),tData[SEHTrajectPeriodeDatumTijdTotEnMet],"&gt;"&amp;($A289+4/24))</f>
        <v/>
      </c>
      <c r="I289" s="20">
        <f>COUNTIFS(tData[SEHTrajectPeriodeDatumTijdVan],"&lt;="&amp;($A289+5/24),tData[SEHTrajectPeriodeDatumTijdTotEnMet],"&gt;"&amp;($A289+5/24))</f>
        <v/>
      </c>
      <c r="J289" s="20">
        <f>COUNTIFS(tData[SEHTrajectPeriodeDatumTijdVan],"&lt;="&amp;($A289+6/24),tData[SEHTrajectPeriodeDatumTijdTotEnMet],"&gt;"&amp;($A289+6/24))</f>
        <v/>
      </c>
      <c r="K289" s="20">
        <f>COUNTIFS(tData[SEHTrajectPeriodeDatumTijdVan],"&lt;="&amp;($A289+7/24),tData[SEHTrajectPeriodeDatumTijdTotEnMet],"&gt;"&amp;($A289+7/24))</f>
        <v/>
      </c>
      <c r="L289" s="20">
        <f>COUNTIFS(tData[SEHTrajectPeriodeDatumTijdVan],"&lt;="&amp;($A289+8/24),tData[SEHTrajectPeriodeDatumTijdTotEnMet],"&gt;"&amp;($A289+8/24))</f>
        <v/>
      </c>
      <c r="M289" s="20">
        <f>COUNTIFS(tData[SEHTrajectPeriodeDatumTijdVan],"&lt;="&amp;($A289+9/24),tData[SEHTrajectPeriodeDatumTijdTotEnMet],"&gt;"&amp;($A289+9/24))</f>
        <v/>
      </c>
      <c r="N289" s="20">
        <f>COUNTIFS(tData[SEHTrajectPeriodeDatumTijdVan],"&lt;="&amp;($A289+10/24),tData[SEHTrajectPeriodeDatumTijdTotEnMet],"&gt;"&amp;($A289+10/24))</f>
        <v/>
      </c>
      <c r="O289" s="20">
        <f>COUNTIFS(tData[SEHTrajectPeriodeDatumTijdVan],"&lt;="&amp;($A289+11/24),tData[SEHTrajectPeriodeDatumTijdTotEnMet],"&gt;"&amp;($A289+11/24))</f>
        <v/>
      </c>
      <c r="P289" s="20">
        <f>COUNTIFS(tData[SEHTrajectPeriodeDatumTijdVan],"&lt;="&amp;($A289+12/24),tData[SEHTrajectPeriodeDatumTijdTotEnMet],"&gt;"&amp;($A289+12/24))</f>
        <v/>
      </c>
      <c r="Q289" s="20">
        <f>COUNTIFS(tData[SEHTrajectPeriodeDatumTijdVan],"&lt;="&amp;($A289+13/24),tData[SEHTrajectPeriodeDatumTijdTotEnMet],"&gt;"&amp;($A289+13/24))</f>
        <v/>
      </c>
      <c r="R289" s="20">
        <f>COUNTIFS(tData[SEHTrajectPeriodeDatumTijdVan],"&lt;="&amp;($A289+14/24),tData[SEHTrajectPeriodeDatumTijdTotEnMet],"&gt;"&amp;($A289+14/24))</f>
        <v/>
      </c>
      <c r="S289" s="20">
        <f>COUNTIFS(tData[SEHTrajectPeriodeDatumTijdVan],"&lt;="&amp;($A289+15/24),tData[SEHTrajectPeriodeDatumTijdTotEnMet],"&gt;"&amp;($A289+15/24))</f>
        <v/>
      </c>
      <c r="T289" s="20">
        <f>COUNTIFS(tData[SEHTrajectPeriodeDatumTijdVan],"&lt;="&amp;($A289+16/24),tData[SEHTrajectPeriodeDatumTijdTotEnMet],"&gt;"&amp;($A289+16/24))</f>
        <v/>
      </c>
      <c r="U289" s="20">
        <f>COUNTIFS(tData[SEHTrajectPeriodeDatumTijdVan],"&lt;="&amp;($A289+17/24),tData[SEHTrajectPeriodeDatumTijdTotEnMet],"&gt;"&amp;($A289+17/24))</f>
        <v/>
      </c>
      <c r="V289" s="20">
        <f>COUNTIFS(tData[SEHTrajectPeriodeDatumTijdVan],"&lt;="&amp;($A289+18/24),tData[SEHTrajectPeriodeDatumTijdTotEnMet],"&gt;"&amp;($A289+18/24))</f>
        <v/>
      </c>
      <c r="W289" s="20">
        <f>COUNTIFS(tData[SEHTrajectPeriodeDatumTijdVan],"&lt;="&amp;($A289+19/24),tData[SEHTrajectPeriodeDatumTijdTotEnMet],"&gt;"&amp;($A289+19/24))</f>
        <v/>
      </c>
      <c r="X289" s="20">
        <f>COUNTIFS(tData[SEHTrajectPeriodeDatumTijdVan],"&lt;="&amp;($A289+20/24),tData[SEHTrajectPeriodeDatumTijdTotEnMet],"&gt;"&amp;($A289+20/24))</f>
        <v/>
      </c>
      <c r="Y289" s="20">
        <f>COUNTIFS(tData[SEHTrajectPeriodeDatumTijdVan],"&lt;="&amp;($A289+21/24),tData[SEHTrajectPeriodeDatumTijdTotEnMet],"&gt;"&amp;($A289+21/24))</f>
        <v/>
      </c>
      <c r="Z289" s="20">
        <f>COUNTIFS(tData[SEHTrajectPeriodeDatumTijdVan],"&lt;="&amp;($A289+22/24),tData[SEHTrajectPeriodeDatumTijdTotEnMet],"&gt;"&amp;($A289+22/24))</f>
        <v/>
      </c>
      <c r="AA289" s="20">
        <f>COUNTIFS(tData[SEHTrajectPeriodeDatumTijdVan],"&lt;="&amp;($A289+23/24),tData[SEHTrajectPeriodeDatumTijdTotEnMet],"&gt;"&amp;($A289+23/24))</f>
        <v/>
      </c>
    </row>
    <row r="290">
      <c r="A290" s="19" t="n">
        <v>45578</v>
      </c>
      <c r="B290" s="15">
        <f>WEEKDAY($A290,2)</f>
        <v/>
      </c>
      <c r="C290" s="15">
        <f>IF(AND($A290&gt;=INT(Instellingen!$B$5),$A290&lt;=INT(Instellingen!$B$6)),1,0)</f>
        <v/>
      </c>
      <c r="D290" s="20">
        <f>COUNTIFS(tData[SEHTrajectPeriodeDatumTijdVan],"&lt;="&amp;($A290+0/24),tData[SEHTrajectPeriodeDatumTijdTotEnMet],"&gt;"&amp;($A290+0/24))</f>
        <v/>
      </c>
      <c r="E290" s="20">
        <f>COUNTIFS(tData[SEHTrajectPeriodeDatumTijdVan],"&lt;="&amp;($A290+1/24),tData[SEHTrajectPeriodeDatumTijdTotEnMet],"&gt;"&amp;($A290+1/24))</f>
        <v/>
      </c>
      <c r="F290" s="20">
        <f>COUNTIFS(tData[SEHTrajectPeriodeDatumTijdVan],"&lt;="&amp;($A290+2/24),tData[SEHTrajectPeriodeDatumTijdTotEnMet],"&gt;"&amp;($A290+2/24))</f>
        <v/>
      </c>
      <c r="G290" s="20">
        <f>COUNTIFS(tData[SEHTrajectPeriodeDatumTijdVan],"&lt;="&amp;($A290+3/24),tData[SEHTrajectPeriodeDatumTijdTotEnMet],"&gt;"&amp;($A290+3/24))</f>
        <v/>
      </c>
      <c r="H290" s="20">
        <f>COUNTIFS(tData[SEHTrajectPeriodeDatumTijdVan],"&lt;="&amp;($A290+4/24),tData[SEHTrajectPeriodeDatumTijdTotEnMet],"&gt;"&amp;($A290+4/24))</f>
        <v/>
      </c>
      <c r="I290" s="20">
        <f>COUNTIFS(tData[SEHTrajectPeriodeDatumTijdVan],"&lt;="&amp;($A290+5/24),tData[SEHTrajectPeriodeDatumTijdTotEnMet],"&gt;"&amp;($A290+5/24))</f>
        <v/>
      </c>
      <c r="J290" s="20">
        <f>COUNTIFS(tData[SEHTrajectPeriodeDatumTijdVan],"&lt;="&amp;($A290+6/24),tData[SEHTrajectPeriodeDatumTijdTotEnMet],"&gt;"&amp;($A290+6/24))</f>
        <v/>
      </c>
      <c r="K290" s="20">
        <f>COUNTIFS(tData[SEHTrajectPeriodeDatumTijdVan],"&lt;="&amp;($A290+7/24),tData[SEHTrajectPeriodeDatumTijdTotEnMet],"&gt;"&amp;($A290+7/24))</f>
        <v/>
      </c>
      <c r="L290" s="20">
        <f>COUNTIFS(tData[SEHTrajectPeriodeDatumTijdVan],"&lt;="&amp;($A290+8/24),tData[SEHTrajectPeriodeDatumTijdTotEnMet],"&gt;"&amp;($A290+8/24))</f>
        <v/>
      </c>
      <c r="M290" s="20">
        <f>COUNTIFS(tData[SEHTrajectPeriodeDatumTijdVan],"&lt;="&amp;($A290+9/24),tData[SEHTrajectPeriodeDatumTijdTotEnMet],"&gt;"&amp;($A290+9/24))</f>
        <v/>
      </c>
      <c r="N290" s="20">
        <f>COUNTIFS(tData[SEHTrajectPeriodeDatumTijdVan],"&lt;="&amp;($A290+10/24),tData[SEHTrajectPeriodeDatumTijdTotEnMet],"&gt;"&amp;($A290+10/24))</f>
        <v/>
      </c>
      <c r="O290" s="20">
        <f>COUNTIFS(tData[SEHTrajectPeriodeDatumTijdVan],"&lt;="&amp;($A290+11/24),tData[SEHTrajectPeriodeDatumTijdTotEnMet],"&gt;"&amp;($A290+11/24))</f>
        <v/>
      </c>
      <c r="P290" s="20">
        <f>COUNTIFS(tData[SEHTrajectPeriodeDatumTijdVan],"&lt;="&amp;($A290+12/24),tData[SEHTrajectPeriodeDatumTijdTotEnMet],"&gt;"&amp;($A290+12/24))</f>
        <v/>
      </c>
      <c r="Q290" s="20">
        <f>COUNTIFS(tData[SEHTrajectPeriodeDatumTijdVan],"&lt;="&amp;($A290+13/24),tData[SEHTrajectPeriodeDatumTijdTotEnMet],"&gt;"&amp;($A290+13/24))</f>
        <v/>
      </c>
      <c r="R290" s="20">
        <f>COUNTIFS(tData[SEHTrajectPeriodeDatumTijdVan],"&lt;="&amp;($A290+14/24),tData[SEHTrajectPeriodeDatumTijdTotEnMet],"&gt;"&amp;($A290+14/24))</f>
        <v/>
      </c>
      <c r="S290" s="20">
        <f>COUNTIFS(tData[SEHTrajectPeriodeDatumTijdVan],"&lt;="&amp;($A290+15/24),tData[SEHTrajectPeriodeDatumTijdTotEnMet],"&gt;"&amp;($A290+15/24))</f>
        <v/>
      </c>
      <c r="T290" s="20">
        <f>COUNTIFS(tData[SEHTrajectPeriodeDatumTijdVan],"&lt;="&amp;($A290+16/24),tData[SEHTrajectPeriodeDatumTijdTotEnMet],"&gt;"&amp;($A290+16/24))</f>
        <v/>
      </c>
      <c r="U290" s="20">
        <f>COUNTIFS(tData[SEHTrajectPeriodeDatumTijdVan],"&lt;="&amp;($A290+17/24),tData[SEHTrajectPeriodeDatumTijdTotEnMet],"&gt;"&amp;($A290+17/24))</f>
        <v/>
      </c>
      <c r="V290" s="20">
        <f>COUNTIFS(tData[SEHTrajectPeriodeDatumTijdVan],"&lt;="&amp;($A290+18/24),tData[SEHTrajectPeriodeDatumTijdTotEnMet],"&gt;"&amp;($A290+18/24))</f>
        <v/>
      </c>
      <c r="W290" s="20">
        <f>COUNTIFS(tData[SEHTrajectPeriodeDatumTijdVan],"&lt;="&amp;($A290+19/24),tData[SEHTrajectPeriodeDatumTijdTotEnMet],"&gt;"&amp;($A290+19/24))</f>
        <v/>
      </c>
      <c r="X290" s="20">
        <f>COUNTIFS(tData[SEHTrajectPeriodeDatumTijdVan],"&lt;="&amp;($A290+20/24),tData[SEHTrajectPeriodeDatumTijdTotEnMet],"&gt;"&amp;($A290+20/24))</f>
        <v/>
      </c>
      <c r="Y290" s="20">
        <f>COUNTIFS(tData[SEHTrajectPeriodeDatumTijdVan],"&lt;="&amp;($A290+21/24),tData[SEHTrajectPeriodeDatumTijdTotEnMet],"&gt;"&amp;($A290+21/24))</f>
        <v/>
      </c>
      <c r="Z290" s="20">
        <f>COUNTIFS(tData[SEHTrajectPeriodeDatumTijdVan],"&lt;="&amp;($A290+22/24),tData[SEHTrajectPeriodeDatumTijdTotEnMet],"&gt;"&amp;($A290+22/24))</f>
        <v/>
      </c>
      <c r="AA290" s="20">
        <f>COUNTIFS(tData[SEHTrajectPeriodeDatumTijdVan],"&lt;="&amp;($A290+23/24),tData[SEHTrajectPeriodeDatumTijdTotEnMet],"&gt;"&amp;($A290+23/24))</f>
        <v/>
      </c>
    </row>
    <row r="291">
      <c r="A291" s="19" t="n">
        <v>45579</v>
      </c>
      <c r="B291" s="15">
        <f>WEEKDAY($A291,2)</f>
        <v/>
      </c>
      <c r="C291" s="15">
        <f>IF(AND($A291&gt;=INT(Instellingen!$B$5),$A291&lt;=INT(Instellingen!$B$6)),1,0)</f>
        <v/>
      </c>
      <c r="D291" s="20">
        <f>COUNTIFS(tData[SEHTrajectPeriodeDatumTijdVan],"&lt;="&amp;($A291+0/24),tData[SEHTrajectPeriodeDatumTijdTotEnMet],"&gt;"&amp;($A291+0/24))</f>
        <v/>
      </c>
      <c r="E291" s="20">
        <f>COUNTIFS(tData[SEHTrajectPeriodeDatumTijdVan],"&lt;="&amp;($A291+1/24),tData[SEHTrajectPeriodeDatumTijdTotEnMet],"&gt;"&amp;($A291+1/24))</f>
        <v/>
      </c>
      <c r="F291" s="20">
        <f>COUNTIFS(tData[SEHTrajectPeriodeDatumTijdVan],"&lt;="&amp;($A291+2/24),tData[SEHTrajectPeriodeDatumTijdTotEnMet],"&gt;"&amp;($A291+2/24))</f>
        <v/>
      </c>
      <c r="G291" s="20">
        <f>COUNTIFS(tData[SEHTrajectPeriodeDatumTijdVan],"&lt;="&amp;($A291+3/24),tData[SEHTrajectPeriodeDatumTijdTotEnMet],"&gt;"&amp;($A291+3/24))</f>
        <v/>
      </c>
      <c r="H291" s="20">
        <f>COUNTIFS(tData[SEHTrajectPeriodeDatumTijdVan],"&lt;="&amp;($A291+4/24),tData[SEHTrajectPeriodeDatumTijdTotEnMet],"&gt;"&amp;($A291+4/24))</f>
        <v/>
      </c>
      <c r="I291" s="20">
        <f>COUNTIFS(tData[SEHTrajectPeriodeDatumTijdVan],"&lt;="&amp;($A291+5/24),tData[SEHTrajectPeriodeDatumTijdTotEnMet],"&gt;"&amp;($A291+5/24))</f>
        <v/>
      </c>
      <c r="J291" s="20">
        <f>COUNTIFS(tData[SEHTrajectPeriodeDatumTijdVan],"&lt;="&amp;($A291+6/24),tData[SEHTrajectPeriodeDatumTijdTotEnMet],"&gt;"&amp;($A291+6/24))</f>
        <v/>
      </c>
      <c r="K291" s="20">
        <f>COUNTIFS(tData[SEHTrajectPeriodeDatumTijdVan],"&lt;="&amp;($A291+7/24),tData[SEHTrajectPeriodeDatumTijdTotEnMet],"&gt;"&amp;($A291+7/24))</f>
        <v/>
      </c>
      <c r="L291" s="20">
        <f>COUNTIFS(tData[SEHTrajectPeriodeDatumTijdVan],"&lt;="&amp;($A291+8/24),tData[SEHTrajectPeriodeDatumTijdTotEnMet],"&gt;"&amp;($A291+8/24))</f>
        <v/>
      </c>
      <c r="M291" s="20">
        <f>COUNTIFS(tData[SEHTrajectPeriodeDatumTijdVan],"&lt;="&amp;($A291+9/24),tData[SEHTrajectPeriodeDatumTijdTotEnMet],"&gt;"&amp;($A291+9/24))</f>
        <v/>
      </c>
      <c r="N291" s="20">
        <f>COUNTIFS(tData[SEHTrajectPeriodeDatumTijdVan],"&lt;="&amp;($A291+10/24),tData[SEHTrajectPeriodeDatumTijdTotEnMet],"&gt;"&amp;($A291+10/24))</f>
        <v/>
      </c>
      <c r="O291" s="20">
        <f>COUNTIFS(tData[SEHTrajectPeriodeDatumTijdVan],"&lt;="&amp;($A291+11/24),tData[SEHTrajectPeriodeDatumTijdTotEnMet],"&gt;"&amp;($A291+11/24))</f>
        <v/>
      </c>
      <c r="P291" s="20">
        <f>COUNTIFS(tData[SEHTrajectPeriodeDatumTijdVan],"&lt;="&amp;($A291+12/24),tData[SEHTrajectPeriodeDatumTijdTotEnMet],"&gt;"&amp;($A291+12/24))</f>
        <v/>
      </c>
      <c r="Q291" s="20">
        <f>COUNTIFS(tData[SEHTrajectPeriodeDatumTijdVan],"&lt;="&amp;($A291+13/24),tData[SEHTrajectPeriodeDatumTijdTotEnMet],"&gt;"&amp;($A291+13/24))</f>
        <v/>
      </c>
      <c r="R291" s="20">
        <f>COUNTIFS(tData[SEHTrajectPeriodeDatumTijdVan],"&lt;="&amp;($A291+14/24),tData[SEHTrajectPeriodeDatumTijdTotEnMet],"&gt;"&amp;($A291+14/24))</f>
        <v/>
      </c>
      <c r="S291" s="20">
        <f>COUNTIFS(tData[SEHTrajectPeriodeDatumTijdVan],"&lt;="&amp;($A291+15/24),tData[SEHTrajectPeriodeDatumTijdTotEnMet],"&gt;"&amp;($A291+15/24))</f>
        <v/>
      </c>
      <c r="T291" s="20">
        <f>COUNTIFS(tData[SEHTrajectPeriodeDatumTijdVan],"&lt;="&amp;($A291+16/24),tData[SEHTrajectPeriodeDatumTijdTotEnMet],"&gt;"&amp;($A291+16/24))</f>
        <v/>
      </c>
      <c r="U291" s="20">
        <f>COUNTIFS(tData[SEHTrajectPeriodeDatumTijdVan],"&lt;="&amp;($A291+17/24),tData[SEHTrajectPeriodeDatumTijdTotEnMet],"&gt;"&amp;($A291+17/24))</f>
        <v/>
      </c>
      <c r="V291" s="20">
        <f>COUNTIFS(tData[SEHTrajectPeriodeDatumTijdVan],"&lt;="&amp;($A291+18/24),tData[SEHTrajectPeriodeDatumTijdTotEnMet],"&gt;"&amp;($A291+18/24))</f>
        <v/>
      </c>
      <c r="W291" s="20">
        <f>COUNTIFS(tData[SEHTrajectPeriodeDatumTijdVan],"&lt;="&amp;($A291+19/24),tData[SEHTrajectPeriodeDatumTijdTotEnMet],"&gt;"&amp;($A291+19/24))</f>
        <v/>
      </c>
      <c r="X291" s="20">
        <f>COUNTIFS(tData[SEHTrajectPeriodeDatumTijdVan],"&lt;="&amp;($A291+20/24),tData[SEHTrajectPeriodeDatumTijdTotEnMet],"&gt;"&amp;($A291+20/24))</f>
        <v/>
      </c>
      <c r="Y291" s="20">
        <f>COUNTIFS(tData[SEHTrajectPeriodeDatumTijdVan],"&lt;="&amp;($A291+21/24),tData[SEHTrajectPeriodeDatumTijdTotEnMet],"&gt;"&amp;($A291+21/24))</f>
        <v/>
      </c>
      <c r="Z291" s="20">
        <f>COUNTIFS(tData[SEHTrajectPeriodeDatumTijdVan],"&lt;="&amp;($A291+22/24),tData[SEHTrajectPeriodeDatumTijdTotEnMet],"&gt;"&amp;($A291+22/24))</f>
        <v/>
      </c>
      <c r="AA291" s="20">
        <f>COUNTIFS(tData[SEHTrajectPeriodeDatumTijdVan],"&lt;="&amp;($A291+23/24),tData[SEHTrajectPeriodeDatumTijdTotEnMet],"&gt;"&amp;($A291+23/24))</f>
        <v/>
      </c>
    </row>
    <row r="292">
      <c r="A292" s="19" t="n">
        <v>45580</v>
      </c>
      <c r="B292" s="15">
        <f>WEEKDAY($A292,2)</f>
        <v/>
      </c>
      <c r="C292" s="15">
        <f>IF(AND($A292&gt;=INT(Instellingen!$B$5),$A292&lt;=INT(Instellingen!$B$6)),1,0)</f>
        <v/>
      </c>
      <c r="D292" s="20">
        <f>COUNTIFS(tData[SEHTrajectPeriodeDatumTijdVan],"&lt;="&amp;($A292+0/24),tData[SEHTrajectPeriodeDatumTijdTotEnMet],"&gt;"&amp;($A292+0/24))</f>
        <v/>
      </c>
      <c r="E292" s="20">
        <f>COUNTIFS(tData[SEHTrajectPeriodeDatumTijdVan],"&lt;="&amp;($A292+1/24),tData[SEHTrajectPeriodeDatumTijdTotEnMet],"&gt;"&amp;($A292+1/24))</f>
        <v/>
      </c>
      <c r="F292" s="20">
        <f>COUNTIFS(tData[SEHTrajectPeriodeDatumTijdVan],"&lt;="&amp;($A292+2/24),tData[SEHTrajectPeriodeDatumTijdTotEnMet],"&gt;"&amp;($A292+2/24))</f>
        <v/>
      </c>
      <c r="G292" s="20">
        <f>COUNTIFS(tData[SEHTrajectPeriodeDatumTijdVan],"&lt;="&amp;($A292+3/24),tData[SEHTrajectPeriodeDatumTijdTotEnMet],"&gt;"&amp;($A292+3/24))</f>
        <v/>
      </c>
      <c r="H292" s="20">
        <f>COUNTIFS(tData[SEHTrajectPeriodeDatumTijdVan],"&lt;="&amp;($A292+4/24),tData[SEHTrajectPeriodeDatumTijdTotEnMet],"&gt;"&amp;($A292+4/24))</f>
        <v/>
      </c>
      <c r="I292" s="20">
        <f>COUNTIFS(tData[SEHTrajectPeriodeDatumTijdVan],"&lt;="&amp;($A292+5/24),tData[SEHTrajectPeriodeDatumTijdTotEnMet],"&gt;"&amp;($A292+5/24))</f>
        <v/>
      </c>
      <c r="J292" s="20">
        <f>COUNTIFS(tData[SEHTrajectPeriodeDatumTijdVan],"&lt;="&amp;($A292+6/24),tData[SEHTrajectPeriodeDatumTijdTotEnMet],"&gt;"&amp;($A292+6/24))</f>
        <v/>
      </c>
      <c r="K292" s="20">
        <f>COUNTIFS(tData[SEHTrajectPeriodeDatumTijdVan],"&lt;="&amp;($A292+7/24),tData[SEHTrajectPeriodeDatumTijdTotEnMet],"&gt;"&amp;($A292+7/24))</f>
        <v/>
      </c>
      <c r="L292" s="20">
        <f>COUNTIFS(tData[SEHTrajectPeriodeDatumTijdVan],"&lt;="&amp;($A292+8/24),tData[SEHTrajectPeriodeDatumTijdTotEnMet],"&gt;"&amp;($A292+8/24))</f>
        <v/>
      </c>
      <c r="M292" s="20">
        <f>COUNTIFS(tData[SEHTrajectPeriodeDatumTijdVan],"&lt;="&amp;($A292+9/24),tData[SEHTrajectPeriodeDatumTijdTotEnMet],"&gt;"&amp;($A292+9/24))</f>
        <v/>
      </c>
      <c r="N292" s="20">
        <f>COUNTIFS(tData[SEHTrajectPeriodeDatumTijdVan],"&lt;="&amp;($A292+10/24),tData[SEHTrajectPeriodeDatumTijdTotEnMet],"&gt;"&amp;($A292+10/24))</f>
        <v/>
      </c>
      <c r="O292" s="20">
        <f>COUNTIFS(tData[SEHTrajectPeriodeDatumTijdVan],"&lt;="&amp;($A292+11/24),tData[SEHTrajectPeriodeDatumTijdTotEnMet],"&gt;"&amp;($A292+11/24))</f>
        <v/>
      </c>
      <c r="P292" s="20">
        <f>COUNTIFS(tData[SEHTrajectPeriodeDatumTijdVan],"&lt;="&amp;($A292+12/24),tData[SEHTrajectPeriodeDatumTijdTotEnMet],"&gt;"&amp;($A292+12/24))</f>
        <v/>
      </c>
      <c r="Q292" s="20">
        <f>COUNTIFS(tData[SEHTrajectPeriodeDatumTijdVan],"&lt;="&amp;($A292+13/24),tData[SEHTrajectPeriodeDatumTijdTotEnMet],"&gt;"&amp;($A292+13/24))</f>
        <v/>
      </c>
      <c r="R292" s="20">
        <f>COUNTIFS(tData[SEHTrajectPeriodeDatumTijdVan],"&lt;="&amp;($A292+14/24),tData[SEHTrajectPeriodeDatumTijdTotEnMet],"&gt;"&amp;($A292+14/24))</f>
        <v/>
      </c>
      <c r="S292" s="20">
        <f>COUNTIFS(tData[SEHTrajectPeriodeDatumTijdVan],"&lt;="&amp;($A292+15/24),tData[SEHTrajectPeriodeDatumTijdTotEnMet],"&gt;"&amp;($A292+15/24))</f>
        <v/>
      </c>
      <c r="T292" s="20">
        <f>COUNTIFS(tData[SEHTrajectPeriodeDatumTijdVan],"&lt;="&amp;($A292+16/24),tData[SEHTrajectPeriodeDatumTijdTotEnMet],"&gt;"&amp;($A292+16/24))</f>
        <v/>
      </c>
      <c r="U292" s="20">
        <f>COUNTIFS(tData[SEHTrajectPeriodeDatumTijdVan],"&lt;="&amp;($A292+17/24),tData[SEHTrajectPeriodeDatumTijdTotEnMet],"&gt;"&amp;($A292+17/24))</f>
        <v/>
      </c>
      <c r="V292" s="20">
        <f>COUNTIFS(tData[SEHTrajectPeriodeDatumTijdVan],"&lt;="&amp;($A292+18/24),tData[SEHTrajectPeriodeDatumTijdTotEnMet],"&gt;"&amp;($A292+18/24))</f>
        <v/>
      </c>
      <c r="W292" s="20">
        <f>COUNTIFS(tData[SEHTrajectPeriodeDatumTijdVan],"&lt;="&amp;($A292+19/24),tData[SEHTrajectPeriodeDatumTijdTotEnMet],"&gt;"&amp;($A292+19/24))</f>
        <v/>
      </c>
      <c r="X292" s="20">
        <f>COUNTIFS(tData[SEHTrajectPeriodeDatumTijdVan],"&lt;="&amp;($A292+20/24),tData[SEHTrajectPeriodeDatumTijdTotEnMet],"&gt;"&amp;($A292+20/24))</f>
        <v/>
      </c>
      <c r="Y292" s="20">
        <f>COUNTIFS(tData[SEHTrajectPeriodeDatumTijdVan],"&lt;="&amp;($A292+21/24),tData[SEHTrajectPeriodeDatumTijdTotEnMet],"&gt;"&amp;($A292+21/24))</f>
        <v/>
      </c>
      <c r="Z292" s="20">
        <f>COUNTIFS(tData[SEHTrajectPeriodeDatumTijdVan],"&lt;="&amp;($A292+22/24),tData[SEHTrajectPeriodeDatumTijdTotEnMet],"&gt;"&amp;($A292+22/24))</f>
        <v/>
      </c>
      <c r="AA292" s="20">
        <f>COUNTIFS(tData[SEHTrajectPeriodeDatumTijdVan],"&lt;="&amp;($A292+23/24),tData[SEHTrajectPeriodeDatumTijdTotEnMet],"&gt;"&amp;($A292+23/24))</f>
        <v/>
      </c>
    </row>
    <row r="293">
      <c r="A293" s="19" t="n">
        <v>45581</v>
      </c>
      <c r="B293" s="15">
        <f>WEEKDAY($A293,2)</f>
        <v/>
      </c>
      <c r="C293" s="15">
        <f>IF(AND($A293&gt;=INT(Instellingen!$B$5),$A293&lt;=INT(Instellingen!$B$6)),1,0)</f>
        <v/>
      </c>
      <c r="D293" s="20">
        <f>COUNTIFS(tData[SEHTrajectPeriodeDatumTijdVan],"&lt;="&amp;($A293+0/24),tData[SEHTrajectPeriodeDatumTijdTotEnMet],"&gt;"&amp;($A293+0/24))</f>
        <v/>
      </c>
      <c r="E293" s="20">
        <f>COUNTIFS(tData[SEHTrajectPeriodeDatumTijdVan],"&lt;="&amp;($A293+1/24),tData[SEHTrajectPeriodeDatumTijdTotEnMet],"&gt;"&amp;($A293+1/24))</f>
        <v/>
      </c>
      <c r="F293" s="20">
        <f>COUNTIFS(tData[SEHTrajectPeriodeDatumTijdVan],"&lt;="&amp;($A293+2/24),tData[SEHTrajectPeriodeDatumTijdTotEnMet],"&gt;"&amp;($A293+2/24))</f>
        <v/>
      </c>
      <c r="G293" s="20">
        <f>COUNTIFS(tData[SEHTrajectPeriodeDatumTijdVan],"&lt;="&amp;($A293+3/24),tData[SEHTrajectPeriodeDatumTijdTotEnMet],"&gt;"&amp;($A293+3/24))</f>
        <v/>
      </c>
      <c r="H293" s="20">
        <f>COUNTIFS(tData[SEHTrajectPeriodeDatumTijdVan],"&lt;="&amp;($A293+4/24),tData[SEHTrajectPeriodeDatumTijdTotEnMet],"&gt;"&amp;($A293+4/24))</f>
        <v/>
      </c>
      <c r="I293" s="20">
        <f>COUNTIFS(tData[SEHTrajectPeriodeDatumTijdVan],"&lt;="&amp;($A293+5/24),tData[SEHTrajectPeriodeDatumTijdTotEnMet],"&gt;"&amp;($A293+5/24))</f>
        <v/>
      </c>
      <c r="J293" s="20">
        <f>COUNTIFS(tData[SEHTrajectPeriodeDatumTijdVan],"&lt;="&amp;($A293+6/24),tData[SEHTrajectPeriodeDatumTijdTotEnMet],"&gt;"&amp;($A293+6/24))</f>
        <v/>
      </c>
      <c r="K293" s="20">
        <f>COUNTIFS(tData[SEHTrajectPeriodeDatumTijdVan],"&lt;="&amp;($A293+7/24),tData[SEHTrajectPeriodeDatumTijdTotEnMet],"&gt;"&amp;($A293+7/24))</f>
        <v/>
      </c>
      <c r="L293" s="20">
        <f>COUNTIFS(tData[SEHTrajectPeriodeDatumTijdVan],"&lt;="&amp;($A293+8/24),tData[SEHTrajectPeriodeDatumTijdTotEnMet],"&gt;"&amp;($A293+8/24))</f>
        <v/>
      </c>
      <c r="M293" s="20">
        <f>COUNTIFS(tData[SEHTrajectPeriodeDatumTijdVan],"&lt;="&amp;($A293+9/24),tData[SEHTrajectPeriodeDatumTijdTotEnMet],"&gt;"&amp;($A293+9/24))</f>
        <v/>
      </c>
      <c r="N293" s="20">
        <f>COUNTIFS(tData[SEHTrajectPeriodeDatumTijdVan],"&lt;="&amp;($A293+10/24),tData[SEHTrajectPeriodeDatumTijdTotEnMet],"&gt;"&amp;($A293+10/24))</f>
        <v/>
      </c>
      <c r="O293" s="20">
        <f>COUNTIFS(tData[SEHTrajectPeriodeDatumTijdVan],"&lt;="&amp;($A293+11/24),tData[SEHTrajectPeriodeDatumTijdTotEnMet],"&gt;"&amp;($A293+11/24))</f>
        <v/>
      </c>
      <c r="P293" s="20">
        <f>COUNTIFS(tData[SEHTrajectPeriodeDatumTijdVan],"&lt;="&amp;($A293+12/24),tData[SEHTrajectPeriodeDatumTijdTotEnMet],"&gt;"&amp;($A293+12/24))</f>
        <v/>
      </c>
      <c r="Q293" s="20">
        <f>COUNTIFS(tData[SEHTrajectPeriodeDatumTijdVan],"&lt;="&amp;($A293+13/24),tData[SEHTrajectPeriodeDatumTijdTotEnMet],"&gt;"&amp;($A293+13/24))</f>
        <v/>
      </c>
      <c r="R293" s="20">
        <f>COUNTIFS(tData[SEHTrajectPeriodeDatumTijdVan],"&lt;="&amp;($A293+14/24),tData[SEHTrajectPeriodeDatumTijdTotEnMet],"&gt;"&amp;($A293+14/24))</f>
        <v/>
      </c>
      <c r="S293" s="20">
        <f>COUNTIFS(tData[SEHTrajectPeriodeDatumTijdVan],"&lt;="&amp;($A293+15/24),tData[SEHTrajectPeriodeDatumTijdTotEnMet],"&gt;"&amp;($A293+15/24))</f>
        <v/>
      </c>
      <c r="T293" s="20">
        <f>COUNTIFS(tData[SEHTrajectPeriodeDatumTijdVan],"&lt;="&amp;($A293+16/24),tData[SEHTrajectPeriodeDatumTijdTotEnMet],"&gt;"&amp;($A293+16/24))</f>
        <v/>
      </c>
      <c r="U293" s="20">
        <f>COUNTIFS(tData[SEHTrajectPeriodeDatumTijdVan],"&lt;="&amp;($A293+17/24),tData[SEHTrajectPeriodeDatumTijdTotEnMet],"&gt;"&amp;($A293+17/24))</f>
        <v/>
      </c>
      <c r="V293" s="20">
        <f>COUNTIFS(tData[SEHTrajectPeriodeDatumTijdVan],"&lt;="&amp;($A293+18/24),tData[SEHTrajectPeriodeDatumTijdTotEnMet],"&gt;"&amp;($A293+18/24))</f>
        <v/>
      </c>
      <c r="W293" s="20">
        <f>COUNTIFS(tData[SEHTrajectPeriodeDatumTijdVan],"&lt;="&amp;($A293+19/24),tData[SEHTrajectPeriodeDatumTijdTotEnMet],"&gt;"&amp;($A293+19/24))</f>
        <v/>
      </c>
      <c r="X293" s="20">
        <f>COUNTIFS(tData[SEHTrajectPeriodeDatumTijdVan],"&lt;="&amp;($A293+20/24),tData[SEHTrajectPeriodeDatumTijdTotEnMet],"&gt;"&amp;($A293+20/24))</f>
        <v/>
      </c>
      <c r="Y293" s="20">
        <f>COUNTIFS(tData[SEHTrajectPeriodeDatumTijdVan],"&lt;="&amp;($A293+21/24),tData[SEHTrajectPeriodeDatumTijdTotEnMet],"&gt;"&amp;($A293+21/24))</f>
        <v/>
      </c>
      <c r="Z293" s="20">
        <f>COUNTIFS(tData[SEHTrajectPeriodeDatumTijdVan],"&lt;="&amp;($A293+22/24),tData[SEHTrajectPeriodeDatumTijdTotEnMet],"&gt;"&amp;($A293+22/24))</f>
        <v/>
      </c>
      <c r="AA293" s="20">
        <f>COUNTIFS(tData[SEHTrajectPeriodeDatumTijdVan],"&lt;="&amp;($A293+23/24),tData[SEHTrajectPeriodeDatumTijdTotEnMet],"&gt;"&amp;($A293+23/24))</f>
        <v/>
      </c>
    </row>
    <row r="294">
      <c r="A294" s="19" t="n">
        <v>45582</v>
      </c>
      <c r="B294" s="15">
        <f>WEEKDAY($A294,2)</f>
        <v/>
      </c>
      <c r="C294" s="15">
        <f>IF(AND($A294&gt;=INT(Instellingen!$B$5),$A294&lt;=INT(Instellingen!$B$6)),1,0)</f>
        <v/>
      </c>
      <c r="D294" s="20">
        <f>COUNTIFS(tData[SEHTrajectPeriodeDatumTijdVan],"&lt;="&amp;($A294+0/24),tData[SEHTrajectPeriodeDatumTijdTotEnMet],"&gt;"&amp;($A294+0/24))</f>
        <v/>
      </c>
      <c r="E294" s="20">
        <f>COUNTIFS(tData[SEHTrajectPeriodeDatumTijdVan],"&lt;="&amp;($A294+1/24),tData[SEHTrajectPeriodeDatumTijdTotEnMet],"&gt;"&amp;($A294+1/24))</f>
        <v/>
      </c>
      <c r="F294" s="20">
        <f>COUNTIFS(tData[SEHTrajectPeriodeDatumTijdVan],"&lt;="&amp;($A294+2/24),tData[SEHTrajectPeriodeDatumTijdTotEnMet],"&gt;"&amp;($A294+2/24))</f>
        <v/>
      </c>
      <c r="G294" s="20">
        <f>COUNTIFS(tData[SEHTrajectPeriodeDatumTijdVan],"&lt;="&amp;($A294+3/24),tData[SEHTrajectPeriodeDatumTijdTotEnMet],"&gt;"&amp;($A294+3/24))</f>
        <v/>
      </c>
      <c r="H294" s="20">
        <f>COUNTIFS(tData[SEHTrajectPeriodeDatumTijdVan],"&lt;="&amp;($A294+4/24),tData[SEHTrajectPeriodeDatumTijdTotEnMet],"&gt;"&amp;($A294+4/24))</f>
        <v/>
      </c>
      <c r="I294" s="20">
        <f>COUNTIFS(tData[SEHTrajectPeriodeDatumTijdVan],"&lt;="&amp;($A294+5/24),tData[SEHTrajectPeriodeDatumTijdTotEnMet],"&gt;"&amp;($A294+5/24))</f>
        <v/>
      </c>
      <c r="J294" s="20">
        <f>COUNTIFS(tData[SEHTrajectPeriodeDatumTijdVan],"&lt;="&amp;($A294+6/24),tData[SEHTrajectPeriodeDatumTijdTotEnMet],"&gt;"&amp;($A294+6/24))</f>
        <v/>
      </c>
      <c r="K294" s="20">
        <f>COUNTIFS(tData[SEHTrajectPeriodeDatumTijdVan],"&lt;="&amp;($A294+7/24),tData[SEHTrajectPeriodeDatumTijdTotEnMet],"&gt;"&amp;($A294+7/24))</f>
        <v/>
      </c>
      <c r="L294" s="20">
        <f>COUNTIFS(tData[SEHTrajectPeriodeDatumTijdVan],"&lt;="&amp;($A294+8/24),tData[SEHTrajectPeriodeDatumTijdTotEnMet],"&gt;"&amp;($A294+8/24))</f>
        <v/>
      </c>
      <c r="M294" s="20">
        <f>COUNTIFS(tData[SEHTrajectPeriodeDatumTijdVan],"&lt;="&amp;($A294+9/24),tData[SEHTrajectPeriodeDatumTijdTotEnMet],"&gt;"&amp;($A294+9/24))</f>
        <v/>
      </c>
      <c r="N294" s="20">
        <f>COUNTIFS(tData[SEHTrajectPeriodeDatumTijdVan],"&lt;="&amp;($A294+10/24),tData[SEHTrajectPeriodeDatumTijdTotEnMet],"&gt;"&amp;($A294+10/24))</f>
        <v/>
      </c>
      <c r="O294" s="20">
        <f>COUNTIFS(tData[SEHTrajectPeriodeDatumTijdVan],"&lt;="&amp;($A294+11/24),tData[SEHTrajectPeriodeDatumTijdTotEnMet],"&gt;"&amp;($A294+11/24))</f>
        <v/>
      </c>
      <c r="P294" s="20">
        <f>COUNTIFS(tData[SEHTrajectPeriodeDatumTijdVan],"&lt;="&amp;($A294+12/24),tData[SEHTrajectPeriodeDatumTijdTotEnMet],"&gt;"&amp;($A294+12/24))</f>
        <v/>
      </c>
      <c r="Q294" s="20">
        <f>COUNTIFS(tData[SEHTrajectPeriodeDatumTijdVan],"&lt;="&amp;($A294+13/24),tData[SEHTrajectPeriodeDatumTijdTotEnMet],"&gt;"&amp;($A294+13/24))</f>
        <v/>
      </c>
      <c r="R294" s="20">
        <f>COUNTIFS(tData[SEHTrajectPeriodeDatumTijdVan],"&lt;="&amp;($A294+14/24),tData[SEHTrajectPeriodeDatumTijdTotEnMet],"&gt;"&amp;($A294+14/24))</f>
        <v/>
      </c>
      <c r="S294" s="20">
        <f>COUNTIFS(tData[SEHTrajectPeriodeDatumTijdVan],"&lt;="&amp;($A294+15/24),tData[SEHTrajectPeriodeDatumTijdTotEnMet],"&gt;"&amp;($A294+15/24))</f>
        <v/>
      </c>
      <c r="T294" s="20">
        <f>COUNTIFS(tData[SEHTrajectPeriodeDatumTijdVan],"&lt;="&amp;($A294+16/24),tData[SEHTrajectPeriodeDatumTijdTotEnMet],"&gt;"&amp;($A294+16/24))</f>
        <v/>
      </c>
      <c r="U294" s="20">
        <f>COUNTIFS(tData[SEHTrajectPeriodeDatumTijdVan],"&lt;="&amp;($A294+17/24),tData[SEHTrajectPeriodeDatumTijdTotEnMet],"&gt;"&amp;($A294+17/24))</f>
        <v/>
      </c>
      <c r="V294" s="20">
        <f>COUNTIFS(tData[SEHTrajectPeriodeDatumTijdVan],"&lt;="&amp;($A294+18/24),tData[SEHTrajectPeriodeDatumTijdTotEnMet],"&gt;"&amp;($A294+18/24))</f>
        <v/>
      </c>
      <c r="W294" s="20">
        <f>COUNTIFS(tData[SEHTrajectPeriodeDatumTijdVan],"&lt;="&amp;($A294+19/24),tData[SEHTrajectPeriodeDatumTijdTotEnMet],"&gt;"&amp;($A294+19/24))</f>
        <v/>
      </c>
      <c r="X294" s="20">
        <f>COUNTIFS(tData[SEHTrajectPeriodeDatumTijdVan],"&lt;="&amp;($A294+20/24),tData[SEHTrajectPeriodeDatumTijdTotEnMet],"&gt;"&amp;($A294+20/24))</f>
        <v/>
      </c>
      <c r="Y294" s="20">
        <f>COUNTIFS(tData[SEHTrajectPeriodeDatumTijdVan],"&lt;="&amp;($A294+21/24),tData[SEHTrajectPeriodeDatumTijdTotEnMet],"&gt;"&amp;($A294+21/24))</f>
        <v/>
      </c>
      <c r="Z294" s="20">
        <f>COUNTIFS(tData[SEHTrajectPeriodeDatumTijdVan],"&lt;="&amp;($A294+22/24),tData[SEHTrajectPeriodeDatumTijdTotEnMet],"&gt;"&amp;($A294+22/24))</f>
        <v/>
      </c>
      <c r="AA294" s="20">
        <f>COUNTIFS(tData[SEHTrajectPeriodeDatumTijdVan],"&lt;="&amp;($A294+23/24),tData[SEHTrajectPeriodeDatumTijdTotEnMet],"&gt;"&amp;($A294+23/24))</f>
        <v/>
      </c>
    </row>
    <row r="295">
      <c r="A295" s="19" t="n">
        <v>45583</v>
      </c>
      <c r="B295" s="15">
        <f>WEEKDAY($A295,2)</f>
        <v/>
      </c>
      <c r="C295" s="15">
        <f>IF(AND($A295&gt;=INT(Instellingen!$B$5),$A295&lt;=INT(Instellingen!$B$6)),1,0)</f>
        <v/>
      </c>
      <c r="D295" s="20">
        <f>COUNTIFS(tData[SEHTrajectPeriodeDatumTijdVan],"&lt;="&amp;($A295+0/24),tData[SEHTrajectPeriodeDatumTijdTotEnMet],"&gt;"&amp;($A295+0/24))</f>
        <v/>
      </c>
      <c r="E295" s="20">
        <f>COUNTIFS(tData[SEHTrajectPeriodeDatumTijdVan],"&lt;="&amp;($A295+1/24),tData[SEHTrajectPeriodeDatumTijdTotEnMet],"&gt;"&amp;($A295+1/24))</f>
        <v/>
      </c>
      <c r="F295" s="20">
        <f>COUNTIFS(tData[SEHTrajectPeriodeDatumTijdVan],"&lt;="&amp;($A295+2/24),tData[SEHTrajectPeriodeDatumTijdTotEnMet],"&gt;"&amp;($A295+2/24))</f>
        <v/>
      </c>
      <c r="G295" s="20">
        <f>COUNTIFS(tData[SEHTrajectPeriodeDatumTijdVan],"&lt;="&amp;($A295+3/24),tData[SEHTrajectPeriodeDatumTijdTotEnMet],"&gt;"&amp;($A295+3/24))</f>
        <v/>
      </c>
      <c r="H295" s="20">
        <f>COUNTIFS(tData[SEHTrajectPeriodeDatumTijdVan],"&lt;="&amp;($A295+4/24),tData[SEHTrajectPeriodeDatumTijdTotEnMet],"&gt;"&amp;($A295+4/24))</f>
        <v/>
      </c>
      <c r="I295" s="20">
        <f>COUNTIFS(tData[SEHTrajectPeriodeDatumTijdVan],"&lt;="&amp;($A295+5/24),tData[SEHTrajectPeriodeDatumTijdTotEnMet],"&gt;"&amp;($A295+5/24))</f>
        <v/>
      </c>
      <c r="J295" s="20">
        <f>COUNTIFS(tData[SEHTrajectPeriodeDatumTijdVan],"&lt;="&amp;($A295+6/24),tData[SEHTrajectPeriodeDatumTijdTotEnMet],"&gt;"&amp;($A295+6/24))</f>
        <v/>
      </c>
      <c r="K295" s="20">
        <f>COUNTIFS(tData[SEHTrajectPeriodeDatumTijdVan],"&lt;="&amp;($A295+7/24),tData[SEHTrajectPeriodeDatumTijdTotEnMet],"&gt;"&amp;($A295+7/24))</f>
        <v/>
      </c>
      <c r="L295" s="20">
        <f>COUNTIFS(tData[SEHTrajectPeriodeDatumTijdVan],"&lt;="&amp;($A295+8/24),tData[SEHTrajectPeriodeDatumTijdTotEnMet],"&gt;"&amp;($A295+8/24))</f>
        <v/>
      </c>
      <c r="M295" s="20">
        <f>COUNTIFS(tData[SEHTrajectPeriodeDatumTijdVan],"&lt;="&amp;($A295+9/24),tData[SEHTrajectPeriodeDatumTijdTotEnMet],"&gt;"&amp;($A295+9/24))</f>
        <v/>
      </c>
      <c r="N295" s="20">
        <f>COUNTIFS(tData[SEHTrajectPeriodeDatumTijdVan],"&lt;="&amp;($A295+10/24),tData[SEHTrajectPeriodeDatumTijdTotEnMet],"&gt;"&amp;($A295+10/24))</f>
        <v/>
      </c>
      <c r="O295" s="20">
        <f>COUNTIFS(tData[SEHTrajectPeriodeDatumTijdVan],"&lt;="&amp;($A295+11/24),tData[SEHTrajectPeriodeDatumTijdTotEnMet],"&gt;"&amp;($A295+11/24))</f>
        <v/>
      </c>
      <c r="P295" s="20">
        <f>COUNTIFS(tData[SEHTrajectPeriodeDatumTijdVan],"&lt;="&amp;($A295+12/24),tData[SEHTrajectPeriodeDatumTijdTotEnMet],"&gt;"&amp;($A295+12/24))</f>
        <v/>
      </c>
      <c r="Q295" s="20">
        <f>COUNTIFS(tData[SEHTrajectPeriodeDatumTijdVan],"&lt;="&amp;($A295+13/24),tData[SEHTrajectPeriodeDatumTijdTotEnMet],"&gt;"&amp;($A295+13/24))</f>
        <v/>
      </c>
      <c r="R295" s="20">
        <f>COUNTIFS(tData[SEHTrajectPeriodeDatumTijdVan],"&lt;="&amp;($A295+14/24),tData[SEHTrajectPeriodeDatumTijdTotEnMet],"&gt;"&amp;($A295+14/24))</f>
        <v/>
      </c>
      <c r="S295" s="20">
        <f>COUNTIFS(tData[SEHTrajectPeriodeDatumTijdVan],"&lt;="&amp;($A295+15/24),tData[SEHTrajectPeriodeDatumTijdTotEnMet],"&gt;"&amp;($A295+15/24))</f>
        <v/>
      </c>
      <c r="T295" s="20">
        <f>COUNTIFS(tData[SEHTrajectPeriodeDatumTijdVan],"&lt;="&amp;($A295+16/24),tData[SEHTrajectPeriodeDatumTijdTotEnMet],"&gt;"&amp;($A295+16/24))</f>
        <v/>
      </c>
      <c r="U295" s="20">
        <f>COUNTIFS(tData[SEHTrajectPeriodeDatumTijdVan],"&lt;="&amp;($A295+17/24),tData[SEHTrajectPeriodeDatumTijdTotEnMet],"&gt;"&amp;($A295+17/24))</f>
        <v/>
      </c>
      <c r="V295" s="20">
        <f>COUNTIFS(tData[SEHTrajectPeriodeDatumTijdVan],"&lt;="&amp;($A295+18/24),tData[SEHTrajectPeriodeDatumTijdTotEnMet],"&gt;"&amp;($A295+18/24))</f>
        <v/>
      </c>
      <c r="W295" s="20">
        <f>COUNTIFS(tData[SEHTrajectPeriodeDatumTijdVan],"&lt;="&amp;($A295+19/24),tData[SEHTrajectPeriodeDatumTijdTotEnMet],"&gt;"&amp;($A295+19/24))</f>
        <v/>
      </c>
      <c r="X295" s="20">
        <f>COUNTIFS(tData[SEHTrajectPeriodeDatumTijdVan],"&lt;="&amp;($A295+20/24),tData[SEHTrajectPeriodeDatumTijdTotEnMet],"&gt;"&amp;($A295+20/24))</f>
        <v/>
      </c>
      <c r="Y295" s="20">
        <f>COUNTIFS(tData[SEHTrajectPeriodeDatumTijdVan],"&lt;="&amp;($A295+21/24),tData[SEHTrajectPeriodeDatumTijdTotEnMet],"&gt;"&amp;($A295+21/24))</f>
        <v/>
      </c>
      <c r="Z295" s="20">
        <f>COUNTIFS(tData[SEHTrajectPeriodeDatumTijdVan],"&lt;="&amp;($A295+22/24),tData[SEHTrajectPeriodeDatumTijdTotEnMet],"&gt;"&amp;($A295+22/24))</f>
        <v/>
      </c>
      <c r="AA295" s="20">
        <f>COUNTIFS(tData[SEHTrajectPeriodeDatumTijdVan],"&lt;="&amp;($A295+23/24),tData[SEHTrajectPeriodeDatumTijdTotEnMet],"&gt;"&amp;($A295+23/24))</f>
        <v/>
      </c>
    </row>
    <row r="296">
      <c r="A296" s="19" t="n">
        <v>45584</v>
      </c>
      <c r="B296" s="15">
        <f>WEEKDAY($A296,2)</f>
        <v/>
      </c>
      <c r="C296" s="15">
        <f>IF(AND($A296&gt;=INT(Instellingen!$B$5),$A296&lt;=INT(Instellingen!$B$6)),1,0)</f>
        <v/>
      </c>
      <c r="D296" s="20">
        <f>COUNTIFS(tData[SEHTrajectPeriodeDatumTijdVan],"&lt;="&amp;($A296+0/24),tData[SEHTrajectPeriodeDatumTijdTotEnMet],"&gt;"&amp;($A296+0/24))</f>
        <v/>
      </c>
      <c r="E296" s="20">
        <f>COUNTIFS(tData[SEHTrajectPeriodeDatumTijdVan],"&lt;="&amp;($A296+1/24),tData[SEHTrajectPeriodeDatumTijdTotEnMet],"&gt;"&amp;($A296+1/24))</f>
        <v/>
      </c>
      <c r="F296" s="20">
        <f>COUNTIFS(tData[SEHTrajectPeriodeDatumTijdVan],"&lt;="&amp;($A296+2/24),tData[SEHTrajectPeriodeDatumTijdTotEnMet],"&gt;"&amp;($A296+2/24))</f>
        <v/>
      </c>
      <c r="G296" s="20">
        <f>COUNTIFS(tData[SEHTrajectPeriodeDatumTijdVan],"&lt;="&amp;($A296+3/24),tData[SEHTrajectPeriodeDatumTijdTotEnMet],"&gt;"&amp;($A296+3/24))</f>
        <v/>
      </c>
      <c r="H296" s="20">
        <f>COUNTIFS(tData[SEHTrajectPeriodeDatumTijdVan],"&lt;="&amp;($A296+4/24),tData[SEHTrajectPeriodeDatumTijdTotEnMet],"&gt;"&amp;($A296+4/24))</f>
        <v/>
      </c>
      <c r="I296" s="20">
        <f>COUNTIFS(tData[SEHTrajectPeriodeDatumTijdVan],"&lt;="&amp;($A296+5/24),tData[SEHTrajectPeriodeDatumTijdTotEnMet],"&gt;"&amp;($A296+5/24))</f>
        <v/>
      </c>
      <c r="J296" s="20">
        <f>COUNTIFS(tData[SEHTrajectPeriodeDatumTijdVan],"&lt;="&amp;($A296+6/24),tData[SEHTrajectPeriodeDatumTijdTotEnMet],"&gt;"&amp;($A296+6/24))</f>
        <v/>
      </c>
      <c r="K296" s="20">
        <f>COUNTIFS(tData[SEHTrajectPeriodeDatumTijdVan],"&lt;="&amp;($A296+7/24),tData[SEHTrajectPeriodeDatumTijdTotEnMet],"&gt;"&amp;($A296+7/24))</f>
        <v/>
      </c>
      <c r="L296" s="20">
        <f>COUNTIFS(tData[SEHTrajectPeriodeDatumTijdVan],"&lt;="&amp;($A296+8/24),tData[SEHTrajectPeriodeDatumTijdTotEnMet],"&gt;"&amp;($A296+8/24))</f>
        <v/>
      </c>
      <c r="M296" s="20">
        <f>COUNTIFS(tData[SEHTrajectPeriodeDatumTijdVan],"&lt;="&amp;($A296+9/24),tData[SEHTrajectPeriodeDatumTijdTotEnMet],"&gt;"&amp;($A296+9/24))</f>
        <v/>
      </c>
      <c r="N296" s="20">
        <f>COUNTIFS(tData[SEHTrajectPeriodeDatumTijdVan],"&lt;="&amp;($A296+10/24),tData[SEHTrajectPeriodeDatumTijdTotEnMet],"&gt;"&amp;($A296+10/24))</f>
        <v/>
      </c>
      <c r="O296" s="20">
        <f>COUNTIFS(tData[SEHTrajectPeriodeDatumTijdVan],"&lt;="&amp;($A296+11/24),tData[SEHTrajectPeriodeDatumTijdTotEnMet],"&gt;"&amp;($A296+11/24))</f>
        <v/>
      </c>
      <c r="P296" s="20">
        <f>COUNTIFS(tData[SEHTrajectPeriodeDatumTijdVan],"&lt;="&amp;($A296+12/24),tData[SEHTrajectPeriodeDatumTijdTotEnMet],"&gt;"&amp;($A296+12/24))</f>
        <v/>
      </c>
      <c r="Q296" s="20">
        <f>COUNTIFS(tData[SEHTrajectPeriodeDatumTijdVan],"&lt;="&amp;($A296+13/24),tData[SEHTrajectPeriodeDatumTijdTotEnMet],"&gt;"&amp;($A296+13/24))</f>
        <v/>
      </c>
      <c r="R296" s="20">
        <f>COUNTIFS(tData[SEHTrajectPeriodeDatumTijdVan],"&lt;="&amp;($A296+14/24),tData[SEHTrajectPeriodeDatumTijdTotEnMet],"&gt;"&amp;($A296+14/24))</f>
        <v/>
      </c>
      <c r="S296" s="20">
        <f>COUNTIFS(tData[SEHTrajectPeriodeDatumTijdVan],"&lt;="&amp;($A296+15/24),tData[SEHTrajectPeriodeDatumTijdTotEnMet],"&gt;"&amp;($A296+15/24))</f>
        <v/>
      </c>
      <c r="T296" s="20">
        <f>COUNTIFS(tData[SEHTrajectPeriodeDatumTijdVan],"&lt;="&amp;($A296+16/24),tData[SEHTrajectPeriodeDatumTijdTotEnMet],"&gt;"&amp;($A296+16/24))</f>
        <v/>
      </c>
      <c r="U296" s="20">
        <f>COUNTIFS(tData[SEHTrajectPeriodeDatumTijdVan],"&lt;="&amp;($A296+17/24),tData[SEHTrajectPeriodeDatumTijdTotEnMet],"&gt;"&amp;($A296+17/24))</f>
        <v/>
      </c>
      <c r="V296" s="20">
        <f>COUNTIFS(tData[SEHTrajectPeriodeDatumTijdVan],"&lt;="&amp;($A296+18/24),tData[SEHTrajectPeriodeDatumTijdTotEnMet],"&gt;"&amp;($A296+18/24))</f>
        <v/>
      </c>
      <c r="W296" s="20">
        <f>COUNTIFS(tData[SEHTrajectPeriodeDatumTijdVan],"&lt;="&amp;($A296+19/24),tData[SEHTrajectPeriodeDatumTijdTotEnMet],"&gt;"&amp;($A296+19/24))</f>
        <v/>
      </c>
      <c r="X296" s="20">
        <f>COUNTIFS(tData[SEHTrajectPeriodeDatumTijdVan],"&lt;="&amp;($A296+20/24),tData[SEHTrajectPeriodeDatumTijdTotEnMet],"&gt;"&amp;($A296+20/24))</f>
        <v/>
      </c>
      <c r="Y296" s="20">
        <f>COUNTIFS(tData[SEHTrajectPeriodeDatumTijdVan],"&lt;="&amp;($A296+21/24),tData[SEHTrajectPeriodeDatumTijdTotEnMet],"&gt;"&amp;($A296+21/24))</f>
        <v/>
      </c>
      <c r="Z296" s="20">
        <f>COUNTIFS(tData[SEHTrajectPeriodeDatumTijdVan],"&lt;="&amp;($A296+22/24),tData[SEHTrajectPeriodeDatumTijdTotEnMet],"&gt;"&amp;($A296+22/24))</f>
        <v/>
      </c>
      <c r="AA296" s="20">
        <f>COUNTIFS(tData[SEHTrajectPeriodeDatumTijdVan],"&lt;="&amp;($A296+23/24),tData[SEHTrajectPeriodeDatumTijdTotEnMet],"&gt;"&amp;($A296+23/24))</f>
        <v/>
      </c>
    </row>
    <row r="297">
      <c r="A297" s="19" t="n">
        <v>45585</v>
      </c>
      <c r="B297" s="15">
        <f>WEEKDAY($A297,2)</f>
        <v/>
      </c>
      <c r="C297" s="15">
        <f>IF(AND($A297&gt;=INT(Instellingen!$B$5),$A297&lt;=INT(Instellingen!$B$6)),1,0)</f>
        <v/>
      </c>
      <c r="D297" s="20">
        <f>COUNTIFS(tData[SEHTrajectPeriodeDatumTijdVan],"&lt;="&amp;($A297+0/24),tData[SEHTrajectPeriodeDatumTijdTotEnMet],"&gt;"&amp;($A297+0/24))</f>
        <v/>
      </c>
      <c r="E297" s="20">
        <f>COUNTIFS(tData[SEHTrajectPeriodeDatumTijdVan],"&lt;="&amp;($A297+1/24),tData[SEHTrajectPeriodeDatumTijdTotEnMet],"&gt;"&amp;($A297+1/24))</f>
        <v/>
      </c>
      <c r="F297" s="20">
        <f>COUNTIFS(tData[SEHTrajectPeriodeDatumTijdVan],"&lt;="&amp;($A297+2/24),tData[SEHTrajectPeriodeDatumTijdTotEnMet],"&gt;"&amp;($A297+2/24))</f>
        <v/>
      </c>
      <c r="G297" s="20">
        <f>COUNTIFS(tData[SEHTrajectPeriodeDatumTijdVan],"&lt;="&amp;($A297+3/24),tData[SEHTrajectPeriodeDatumTijdTotEnMet],"&gt;"&amp;($A297+3/24))</f>
        <v/>
      </c>
      <c r="H297" s="20">
        <f>COUNTIFS(tData[SEHTrajectPeriodeDatumTijdVan],"&lt;="&amp;($A297+4/24),tData[SEHTrajectPeriodeDatumTijdTotEnMet],"&gt;"&amp;($A297+4/24))</f>
        <v/>
      </c>
      <c r="I297" s="20">
        <f>COUNTIFS(tData[SEHTrajectPeriodeDatumTijdVan],"&lt;="&amp;($A297+5/24),tData[SEHTrajectPeriodeDatumTijdTotEnMet],"&gt;"&amp;($A297+5/24))</f>
        <v/>
      </c>
      <c r="J297" s="20">
        <f>COUNTIFS(tData[SEHTrajectPeriodeDatumTijdVan],"&lt;="&amp;($A297+6/24),tData[SEHTrajectPeriodeDatumTijdTotEnMet],"&gt;"&amp;($A297+6/24))</f>
        <v/>
      </c>
      <c r="K297" s="20">
        <f>COUNTIFS(tData[SEHTrajectPeriodeDatumTijdVan],"&lt;="&amp;($A297+7/24),tData[SEHTrajectPeriodeDatumTijdTotEnMet],"&gt;"&amp;($A297+7/24))</f>
        <v/>
      </c>
      <c r="L297" s="20">
        <f>COUNTIFS(tData[SEHTrajectPeriodeDatumTijdVan],"&lt;="&amp;($A297+8/24),tData[SEHTrajectPeriodeDatumTijdTotEnMet],"&gt;"&amp;($A297+8/24))</f>
        <v/>
      </c>
      <c r="M297" s="20">
        <f>COUNTIFS(tData[SEHTrajectPeriodeDatumTijdVan],"&lt;="&amp;($A297+9/24),tData[SEHTrajectPeriodeDatumTijdTotEnMet],"&gt;"&amp;($A297+9/24))</f>
        <v/>
      </c>
      <c r="N297" s="20">
        <f>COUNTIFS(tData[SEHTrajectPeriodeDatumTijdVan],"&lt;="&amp;($A297+10/24),tData[SEHTrajectPeriodeDatumTijdTotEnMet],"&gt;"&amp;($A297+10/24))</f>
        <v/>
      </c>
      <c r="O297" s="20">
        <f>COUNTIFS(tData[SEHTrajectPeriodeDatumTijdVan],"&lt;="&amp;($A297+11/24),tData[SEHTrajectPeriodeDatumTijdTotEnMet],"&gt;"&amp;($A297+11/24))</f>
        <v/>
      </c>
      <c r="P297" s="20">
        <f>COUNTIFS(tData[SEHTrajectPeriodeDatumTijdVan],"&lt;="&amp;($A297+12/24),tData[SEHTrajectPeriodeDatumTijdTotEnMet],"&gt;"&amp;($A297+12/24))</f>
        <v/>
      </c>
      <c r="Q297" s="20">
        <f>COUNTIFS(tData[SEHTrajectPeriodeDatumTijdVan],"&lt;="&amp;($A297+13/24),tData[SEHTrajectPeriodeDatumTijdTotEnMet],"&gt;"&amp;($A297+13/24))</f>
        <v/>
      </c>
      <c r="R297" s="20">
        <f>COUNTIFS(tData[SEHTrajectPeriodeDatumTijdVan],"&lt;="&amp;($A297+14/24),tData[SEHTrajectPeriodeDatumTijdTotEnMet],"&gt;"&amp;($A297+14/24))</f>
        <v/>
      </c>
      <c r="S297" s="20">
        <f>COUNTIFS(tData[SEHTrajectPeriodeDatumTijdVan],"&lt;="&amp;($A297+15/24),tData[SEHTrajectPeriodeDatumTijdTotEnMet],"&gt;"&amp;($A297+15/24))</f>
        <v/>
      </c>
      <c r="T297" s="20">
        <f>COUNTIFS(tData[SEHTrajectPeriodeDatumTijdVan],"&lt;="&amp;($A297+16/24),tData[SEHTrajectPeriodeDatumTijdTotEnMet],"&gt;"&amp;($A297+16/24))</f>
        <v/>
      </c>
      <c r="U297" s="20">
        <f>COUNTIFS(tData[SEHTrajectPeriodeDatumTijdVan],"&lt;="&amp;($A297+17/24),tData[SEHTrajectPeriodeDatumTijdTotEnMet],"&gt;"&amp;($A297+17/24))</f>
        <v/>
      </c>
      <c r="V297" s="20">
        <f>COUNTIFS(tData[SEHTrajectPeriodeDatumTijdVan],"&lt;="&amp;($A297+18/24),tData[SEHTrajectPeriodeDatumTijdTotEnMet],"&gt;"&amp;($A297+18/24))</f>
        <v/>
      </c>
      <c r="W297" s="20">
        <f>COUNTIFS(tData[SEHTrajectPeriodeDatumTijdVan],"&lt;="&amp;($A297+19/24),tData[SEHTrajectPeriodeDatumTijdTotEnMet],"&gt;"&amp;($A297+19/24))</f>
        <v/>
      </c>
      <c r="X297" s="20">
        <f>COUNTIFS(tData[SEHTrajectPeriodeDatumTijdVan],"&lt;="&amp;($A297+20/24),tData[SEHTrajectPeriodeDatumTijdTotEnMet],"&gt;"&amp;($A297+20/24))</f>
        <v/>
      </c>
      <c r="Y297" s="20">
        <f>COUNTIFS(tData[SEHTrajectPeriodeDatumTijdVan],"&lt;="&amp;($A297+21/24),tData[SEHTrajectPeriodeDatumTijdTotEnMet],"&gt;"&amp;($A297+21/24))</f>
        <v/>
      </c>
      <c r="Z297" s="20">
        <f>COUNTIFS(tData[SEHTrajectPeriodeDatumTijdVan],"&lt;="&amp;($A297+22/24),tData[SEHTrajectPeriodeDatumTijdTotEnMet],"&gt;"&amp;($A297+22/24))</f>
        <v/>
      </c>
      <c r="AA297" s="20">
        <f>COUNTIFS(tData[SEHTrajectPeriodeDatumTijdVan],"&lt;="&amp;($A297+23/24),tData[SEHTrajectPeriodeDatumTijdTotEnMet],"&gt;"&amp;($A297+23/24))</f>
        <v/>
      </c>
    </row>
    <row r="298">
      <c r="A298" s="19" t="n">
        <v>45586</v>
      </c>
      <c r="B298" s="15">
        <f>WEEKDAY($A298,2)</f>
        <v/>
      </c>
      <c r="C298" s="15">
        <f>IF(AND($A298&gt;=INT(Instellingen!$B$5),$A298&lt;=INT(Instellingen!$B$6)),1,0)</f>
        <v/>
      </c>
      <c r="D298" s="20">
        <f>COUNTIFS(tData[SEHTrajectPeriodeDatumTijdVan],"&lt;="&amp;($A298+0/24),tData[SEHTrajectPeriodeDatumTijdTotEnMet],"&gt;"&amp;($A298+0/24))</f>
        <v/>
      </c>
      <c r="E298" s="20">
        <f>COUNTIFS(tData[SEHTrajectPeriodeDatumTijdVan],"&lt;="&amp;($A298+1/24),tData[SEHTrajectPeriodeDatumTijdTotEnMet],"&gt;"&amp;($A298+1/24))</f>
        <v/>
      </c>
      <c r="F298" s="20">
        <f>COUNTIFS(tData[SEHTrajectPeriodeDatumTijdVan],"&lt;="&amp;($A298+2/24),tData[SEHTrajectPeriodeDatumTijdTotEnMet],"&gt;"&amp;($A298+2/24))</f>
        <v/>
      </c>
      <c r="G298" s="20">
        <f>COUNTIFS(tData[SEHTrajectPeriodeDatumTijdVan],"&lt;="&amp;($A298+3/24),tData[SEHTrajectPeriodeDatumTijdTotEnMet],"&gt;"&amp;($A298+3/24))</f>
        <v/>
      </c>
      <c r="H298" s="20">
        <f>COUNTIFS(tData[SEHTrajectPeriodeDatumTijdVan],"&lt;="&amp;($A298+4/24),tData[SEHTrajectPeriodeDatumTijdTotEnMet],"&gt;"&amp;($A298+4/24))</f>
        <v/>
      </c>
      <c r="I298" s="20">
        <f>COUNTIFS(tData[SEHTrajectPeriodeDatumTijdVan],"&lt;="&amp;($A298+5/24),tData[SEHTrajectPeriodeDatumTijdTotEnMet],"&gt;"&amp;($A298+5/24))</f>
        <v/>
      </c>
      <c r="J298" s="20">
        <f>COUNTIFS(tData[SEHTrajectPeriodeDatumTijdVan],"&lt;="&amp;($A298+6/24),tData[SEHTrajectPeriodeDatumTijdTotEnMet],"&gt;"&amp;($A298+6/24))</f>
        <v/>
      </c>
      <c r="K298" s="20">
        <f>COUNTIFS(tData[SEHTrajectPeriodeDatumTijdVan],"&lt;="&amp;($A298+7/24),tData[SEHTrajectPeriodeDatumTijdTotEnMet],"&gt;"&amp;($A298+7/24))</f>
        <v/>
      </c>
      <c r="L298" s="20">
        <f>COUNTIFS(tData[SEHTrajectPeriodeDatumTijdVan],"&lt;="&amp;($A298+8/24),tData[SEHTrajectPeriodeDatumTijdTotEnMet],"&gt;"&amp;($A298+8/24))</f>
        <v/>
      </c>
      <c r="M298" s="20">
        <f>COUNTIFS(tData[SEHTrajectPeriodeDatumTijdVan],"&lt;="&amp;($A298+9/24),tData[SEHTrajectPeriodeDatumTijdTotEnMet],"&gt;"&amp;($A298+9/24))</f>
        <v/>
      </c>
      <c r="N298" s="20">
        <f>COUNTIFS(tData[SEHTrajectPeriodeDatumTijdVan],"&lt;="&amp;($A298+10/24),tData[SEHTrajectPeriodeDatumTijdTotEnMet],"&gt;"&amp;($A298+10/24))</f>
        <v/>
      </c>
      <c r="O298" s="20">
        <f>COUNTIFS(tData[SEHTrajectPeriodeDatumTijdVan],"&lt;="&amp;($A298+11/24),tData[SEHTrajectPeriodeDatumTijdTotEnMet],"&gt;"&amp;($A298+11/24))</f>
        <v/>
      </c>
      <c r="P298" s="20">
        <f>COUNTIFS(tData[SEHTrajectPeriodeDatumTijdVan],"&lt;="&amp;($A298+12/24),tData[SEHTrajectPeriodeDatumTijdTotEnMet],"&gt;"&amp;($A298+12/24))</f>
        <v/>
      </c>
      <c r="Q298" s="20">
        <f>COUNTIFS(tData[SEHTrajectPeriodeDatumTijdVan],"&lt;="&amp;($A298+13/24),tData[SEHTrajectPeriodeDatumTijdTotEnMet],"&gt;"&amp;($A298+13/24))</f>
        <v/>
      </c>
      <c r="R298" s="20">
        <f>COUNTIFS(tData[SEHTrajectPeriodeDatumTijdVan],"&lt;="&amp;($A298+14/24),tData[SEHTrajectPeriodeDatumTijdTotEnMet],"&gt;"&amp;($A298+14/24))</f>
        <v/>
      </c>
      <c r="S298" s="20">
        <f>COUNTIFS(tData[SEHTrajectPeriodeDatumTijdVan],"&lt;="&amp;($A298+15/24),tData[SEHTrajectPeriodeDatumTijdTotEnMet],"&gt;"&amp;($A298+15/24))</f>
        <v/>
      </c>
      <c r="T298" s="20">
        <f>COUNTIFS(tData[SEHTrajectPeriodeDatumTijdVan],"&lt;="&amp;($A298+16/24),tData[SEHTrajectPeriodeDatumTijdTotEnMet],"&gt;"&amp;($A298+16/24))</f>
        <v/>
      </c>
      <c r="U298" s="20">
        <f>COUNTIFS(tData[SEHTrajectPeriodeDatumTijdVan],"&lt;="&amp;($A298+17/24),tData[SEHTrajectPeriodeDatumTijdTotEnMet],"&gt;"&amp;($A298+17/24))</f>
        <v/>
      </c>
      <c r="V298" s="20">
        <f>COUNTIFS(tData[SEHTrajectPeriodeDatumTijdVan],"&lt;="&amp;($A298+18/24),tData[SEHTrajectPeriodeDatumTijdTotEnMet],"&gt;"&amp;($A298+18/24))</f>
        <v/>
      </c>
      <c r="W298" s="20">
        <f>COUNTIFS(tData[SEHTrajectPeriodeDatumTijdVan],"&lt;="&amp;($A298+19/24),tData[SEHTrajectPeriodeDatumTijdTotEnMet],"&gt;"&amp;($A298+19/24))</f>
        <v/>
      </c>
      <c r="X298" s="20">
        <f>COUNTIFS(tData[SEHTrajectPeriodeDatumTijdVan],"&lt;="&amp;($A298+20/24),tData[SEHTrajectPeriodeDatumTijdTotEnMet],"&gt;"&amp;($A298+20/24))</f>
        <v/>
      </c>
      <c r="Y298" s="20">
        <f>COUNTIFS(tData[SEHTrajectPeriodeDatumTijdVan],"&lt;="&amp;($A298+21/24),tData[SEHTrajectPeriodeDatumTijdTotEnMet],"&gt;"&amp;($A298+21/24))</f>
        <v/>
      </c>
      <c r="Z298" s="20">
        <f>COUNTIFS(tData[SEHTrajectPeriodeDatumTijdVan],"&lt;="&amp;($A298+22/24),tData[SEHTrajectPeriodeDatumTijdTotEnMet],"&gt;"&amp;($A298+22/24))</f>
        <v/>
      </c>
      <c r="AA298" s="20">
        <f>COUNTIFS(tData[SEHTrajectPeriodeDatumTijdVan],"&lt;="&amp;($A298+23/24),tData[SEHTrajectPeriodeDatumTijdTotEnMet],"&gt;"&amp;($A298+23/24))</f>
        <v/>
      </c>
    </row>
    <row r="299">
      <c r="A299" s="19" t="n">
        <v>45587</v>
      </c>
      <c r="B299" s="15">
        <f>WEEKDAY($A299,2)</f>
        <v/>
      </c>
      <c r="C299" s="15">
        <f>IF(AND($A299&gt;=INT(Instellingen!$B$5),$A299&lt;=INT(Instellingen!$B$6)),1,0)</f>
        <v/>
      </c>
      <c r="D299" s="20">
        <f>COUNTIFS(tData[SEHTrajectPeriodeDatumTijdVan],"&lt;="&amp;($A299+0/24),tData[SEHTrajectPeriodeDatumTijdTotEnMet],"&gt;"&amp;($A299+0/24))</f>
        <v/>
      </c>
      <c r="E299" s="20">
        <f>COUNTIFS(tData[SEHTrajectPeriodeDatumTijdVan],"&lt;="&amp;($A299+1/24),tData[SEHTrajectPeriodeDatumTijdTotEnMet],"&gt;"&amp;($A299+1/24))</f>
        <v/>
      </c>
      <c r="F299" s="20">
        <f>COUNTIFS(tData[SEHTrajectPeriodeDatumTijdVan],"&lt;="&amp;($A299+2/24),tData[SEHTrajectPeriodeDatumTijdTotEnMet],"&gt;"&amp;($A299+2/24))</f>
        <v/>
      </c>
      <c r="G299" s="20">
        <f>COUNTIFS(tData[SEHTrajectPeriodeDatumTijdVan],"&lt;="&amp;($A299+3/24),tData[SEHTrajectPeriodeDatumTijdTotEnMet],"&gt;"&amp;($A299+3/24))</f>
        <v/>
      </c>
      <c r="H299" s="20">
        <f>COUNTIFS(tData[SEHTrajectPeriodeDatumTijdVan],"&lt;="&amp;($A299+4/24),tData[SEHTrajectPeriodeDatumTijdTotEnMet],"&gt;"&amp;($A299+4/24))</f>
        <v/>
      </c>
      <c r="I299" s="20">
        <f>COUNTIFS(tData[SEHTrajectPeriodeDatumTijdVan],"&lt;="&amp;($A299+5/24),tData[SEHTrajectPeriodeDatumTijdTotEnMet],"&gt;"&amp;($A299+5/24))</f>
        <v/>
      </c>
      <c r="J299" s="20">
        <f>COUNTIFS(tData[SEHTrajectPeriodeDatumTijdVan],"&lt;="&amp;($A299+6/24),tData[SEHTrajectPeriodeDatumTijdTotEnMet],"&gt;"&amp;($A299+6/24))</f>
        <v/>
      </c>
      <c r="K299" s="20">
        <f>COUNTIFS(tData[SEHTrajectPeriodeDatumTijdVan],"&lt;="&amp;($A299+7/24),tData[SEHTrajectPeriodeDatumTijdTotEnMet],"&gt;"&amp;($A299+7/24))</f>
        <v/>
      </c>
      <c r="L299" s="20">
        <f>COUNTIFS(tData[SEHTrajectPeriodeDatumTijdVan],"&lt;="&amp;($A299+8/24),tData[SEHTrajectPeriodeDatumTijdTotEnMet],"&gt;"&amp;($A299+8/24))</f>
        <v/>
      </c>
      <c r="M299" s="20">
        <f>COUNTIFS(tData[SEHTrajectPeriodeDatumTijdVan],"&lt;="&amp;($A299+9/24),tData[SEHTrajectPeriodeDatumTijdTotEnMet],"&gt;"&amp;($A299+9/24))</f>
        <v/>
      </c>
      <c r="N299" s="20">
        <f>COUNTIFS(tData[SEHTrajectPeriodeDatumTijdVan],"&lt;="&amp;($A299+10/24),tData[SEHTrajectPeriodeDatumTijdTotEnMet],"&gt;"&amp;($A299+10/24))</f>
        <v/>
      </c>
      <c r="O299" s="20">
        <f>COUNTIFS(tData[SEHTrajectPeriodeDatumTijdVan],"&lt;="&amp;($A299+11/24),tData[SEHTrajectPeriodeDatumTijdTotEnMet],"&gt;"&amp;($A299+11/24))</f>
        <v/>
      </c>
      <c r="P299" s="20">
        <f>COUNTIFS(tData[SEHTrajectPeriodeDatumTijdVan],"&lt;="&amp;($A299+12/24),tData[SEHTrajectPeriodeDatumTijdTotEnMet],"&gt;"&amp;($A299+12/24))</f>
        <v/>
      </c>
      <c r="Q299" s="20">
        <f>COUNTIFS(tData[SEHTrajectPeriodeDatumTijdVan],"&lt;="&amp;($A299+13/24),tData[SEHTrajectPeriodeDatumTijdTotEnMet],"&gt;"&amp;($A299+13/24))</f>
        <v/>
      </c>
      <c r="R299" s="20">
        <f>COUNTIFS(tData[SEHTrajectPeriodeDatumTijdVan],"&lt;="&amp;($A299+14/24),tData[SEHTrajectPeriodeDatumTijdTotEnMet],"&gt;"&amp;($A299+14/24))</f>
        <v/>
      </c>
      <c r="S299" s="20">
        <f>COUNTIFS(tData[SEHTrajectPeriodeDatumTijdVan],"&lt;="&amp;($A299+15/24),tData[SEHTrajectPeriodeDatumTijdTotEnMet],"&gt;"&amp;($A299+15/24))</f>
        <v/>
      </c>
      <c r="T299" s="20">
        <f>COUNTIFS(tData[SEHTrajectPeriodeDatumTijdVan],"&lt;="&amp;($A299+16/24),tData[SEHTrajectPeriodeDatumTijdTotEnMet],"&gt;"&amp;($A299+16/24))</f>
        <v/>
      </c>
      <c r="U299" s="20">
        <f>COUNTIFS(tData[SEHTrajectPeriodeDatumTijdVan],"&lt;="&amp;($A299+17/24),tData[SEHTrajectPeriodeDatumTijdTotEnMet],"&gt;"&amp;($A299+17/24))</f>
        <v/>
      </c>
      <c r="V299" s="20">
        <f>COUNTIFS(tData[SEHTrajectPeriodeDatumTijdVan],"&lt;="&amp;($A299+18/24),tData[SEHTrajectPeriodeDatumTijdTotEnMet],"&gt;"&amp;($A299+18/24))</f>
        <v/>
      </c>
      <c r="W299" s="20">
        <f>COUNTIFS(tData[SEHTrajectPeriodeDatumTijdVan],"&lt;="&amp;($A299+19/24),tData[SEHTrajectPeriodeDatumTijdTotEnMet],"&gt;"&amp;($A299+19/24))</f>
        <v/>
      </c>
      <c r="X299" s="20">
        <f>COUNTIFS(tData[SEHTrajectPeriodeDatumTijdVan],"&lt;="&amp;($A299+20/24),tData[SEHTrajectPeriodeDatumTijdTotEnMet],"&gt;"&amp;($A299+20/24))</f>
        <v/>
      </c>
      <c r="Y299" s="20">
        <f>COUNTIFS(tData[SEHTrajectPeriodeDatumTijdVan],"&lt;="&amp;($A299+21/24),tData[SEHTrajectPeriodeDatumTijdTotEnMet],"&gt;"&amp;($A299+21/24))</f>
        <v/>
      </c>
      <c r="Z299" s="20">
        <f>COUNTIFS(tData[SEHTrajectPeriodeDatumTijdVan],"&lt;="&amp;($A299+22/24),tData[SEHTrajectPeriodeDatumTijdTotEnMet],"&gt;"&amp;($A299+22/24))</f>
        <v/>
      </c>
      <c r="AA299" s="20">
        <f>COUNTIFS(tData[SEHTrajectPeriodeDatumTijdVan],"&lt;="&amp;($A299+23/24),tData[SEHTrajectPeriodeDatumTijdTotEnMet],"&gt;"&amp;($A299+23/24))</f>
        <v/>
      </c>
    </row>
    <row r="300">
      <c r="A300" s="19" t="n">
        <v>45588</v>
      </c>
      <c r="B300" s="15">
        <f>WEEKDAY($A300,2)</f>
        <v/>
      </c>
      <c r="C300" s="15">
        <f>IF(AND($A300&gt;=INT(Instellingen!$B$5),$A300&lt;=INT(Instellingen!$B$6)),1,0)</f>
        <v/>
      </c>
      <c r="D300" s="20">
        <f>COUNTIFS(tData[SEHTrajectPeriodeDatumTijdVan],"&lt;="&amp;($A300+0/24),tData[SEHTrajectPeriodeDatumTijdTotEnMet],"&gt;"&amp;($A300+0/24))</f>
        <v/>
      </c>
      <c r="E300" s="20">
        <f>COUNTIFS(tData[SEHTrajectPeriodeDatumTijdVan],"&lt;="&amp;($A300+1/24),tData[SEHTrajectPeriodeDatumTijdTotEnMet],"&gt;"&amp;($A300+1/24))</f>
        <v/>
      </c>
      <c r="F300" s="20">
        <f>COUNTIFS(tData[SEHTrajectPeriodeDatumTijdVan],"&lt;="&amp;($A300+2/24),tData[SEHTrajectPeriodeDatumTijdTotEnMet],"&gt;"&amp;($A300+2/24))</f>
        <v/>
      </c>
      <c r="G300" s="20">
        <f>COUNTIFS(tData[SEHTrajectPeriodeDatumTijdVan],"&lt;="&amp;($A300+3/24),tData[SEHTrajectPeriodeDatumTijdTotEnMet],"&gt;"&amp;($A300+3/24))</f>
        <v/>
      </c>
      <c r="H300" s="20">
        <f>COUNTIFS(tData[SEHTrajectPeriodeDatumTijdVan],"&lt;="&amp;($A300+4/24),tData[SEHTrajectPeriodeDatumTijdTotEnMet],"&gt;"&amp;($A300+4/24))</f>
        <v/>
      </c>
      <c r="I300" s="20">
        <f>COUNTIFS(tData[SEHTrajectPeriodeDatumTijdVan],"&lt;="&amp;($A300+5/24),tData[SEHTrajectPeriodeDatumTijdTotEnMet],"&gt;"&amp;($A300+5/24))</f>
        <v/>
      </c>
      <c r="J300" s="20">
        <f>COUNTIFS(tData[SEHTrajectPeriodeDatumTijdVan],"&lt;="&amp;($A300+6/24),tData[SEHTrajectPeriodeDatumTijdTotEnMet],"&gt;"&amp;($A300+6/24))</f>
        <v/>
      </c>
      <c r="K300" s="20">
        <f>COUNTIFS(tData[SEHTrajectPeriodeDatumTijdVan],"&lt;="&amp;($A300+7/24),tData[SEHTrajectPeriodeDatumTijdTotEnMet],"&gt;"&amp;($A300+7/24))</f>
        <v/>
      </c>
      <c r="L300" s="20">
        <f>COUNTIFS(tData[SEHTrajectPeriodeDatumTijdVan],"&lt;="&amp;($A300+8/24),tData[SEHTrajectPeriodeDatumTijdTotEnMet],"&gt;"&amp;($A300+8/24))</f>
        <v/>
      </c>
      <c r="M300" s="20">
        <f>COUNTIFS(tData[SEHTrajectPeriodeDatumTijdVan],"&lt;="&amp;($A300+9/24),tData[SEHTrajectPeriodeDatumTijdTotEnMet],"&gt;"&amp;($A300+9/24))</f>
        <v/>
      </c>
      <c r="N300" s="20">
        <f>COUNTIFS(tData[SEHTrajectPeriodeDatumTijdVan],"&lt;="&amp;($A300+10/24),tData[SEHTrajectPeriodeDatumTijdTotEnMet],"&gt;"&amp;($A300+10/24))</f>
        <v/>
      </c>
      <c r="O300" s="20">
        <f>COUNTIFS(tData[SEHTrajectPeriodeDatumTijdVan],"&lt;="&amp;($A300+11/24),tData[SEHTrajectPeriodeDatumTijdTotEnMet],"&gt;"&amp;($A300+11/24))</f>
        <v/>
      </c>
      <c r="P300" s="20">
        <f>COUNTIFS(tData[SEHTrajectPeriodeDatumTijdVan],"&lt;="&amp;($A300+12/24),tData[SEHTrajectPeriodeDatumTijdTotEnMet],"&gt;"&amp;($A300+12/24))</f>
        <v/>
      </c>
      <c r="Q300" s="20">
        <f>COUNTIFS(tData[SEHTrajectPeriodeDatumTijdVan],"&lt;="&amp;($A300+13/24),tData[SEHTrajectPeriodeDatumTijdTotEnMet],"&gt;"&amp;($A300+13/24))</f>
        <v/>
      </c>
      <c r="R300" s="20">
        <f>COUNTIFS(tData[SEHTrajectPeriodeDatumTijdVan],"&lt;="&amp;($A300+14/24),tData[SEHTrajectPeriodeDatumTijdTotEnMet],"&gt;"&amp;($A300+14/24))</f>
        <v/>
      </c>
      <c r="S300" s="20">
        <f>COUNTIFS(tData[SEHTrajectPeriodeDatumTijdVan],"&lt;="&amp;($A300+15/24),tData[SEHTrajectPeriodeDatumTijdTotEnMet],"&gt;"&amp;($A300+15/24))</f>
        <v/>
      </c>
      <c r="T300" s="20">
        <f>COUNTIFS(tData[SEHTrajectPeriodeDatumTijdVan],"&lt;="&amp;($A300+16/24),tData[SEHTrajectPeriodeDatumTijdTotEnMet],"&gt;"&amp;($A300+16/24))</f>
        <v/>
      </c>
      <c r="U300" s="20">
        <f>COUNTIFS(tData[SEHTrajectPeriodeDatumTijdVan],"&lt;="&amp;($A300+17/24),tData[SEHTrajectPeriodeDatumTijdTotEnMet],"&gt;"&amp;($A300+17/24))</f>
        <v/>
      </c>
      <c r="V300" s="20">
        <f>COUNTIFS(tData[SEHTrajectPeriodeDatumTijdVan],"&lt;="&amp;($A300+18/24),tData[SEHTrajectPeriodeDatumTijdTotEnMet],"&gt;"&amp;($A300+18/24))</f>
        <v/>
      </c>
      <c r="W300" s="20">
        <f>COUNTIFS(tData[SEHTrajectPeriodeDatumTijdVan],"&lt;="&amp;($A300+19/24),tData[SEHTrajectPeriodeDatumTijdTotEnMet],"&gt;"&amp;($A300+19/24))</f>
        <v/>
      </c>
      <c r="X300" s="20">
        <f>COUNTIFS(tData[SEHTrajectPeriodeDatumTijdVan],"&lt;="&amp;($A300+20/24),tData[SEHTrajectPeriodeDatumTijdTotEnMet],"&gt;"&amp;($A300+20/24))</f>
        <v/>
      </c>
      <c r="Y300" s="20">
        <f>COUNTIFS(tData[SEHTrajectPeriodeDatumTijdVan],"&lt;="&amp;($A300+21/24),tData[SEHTrajectPeriodeDatumTijdTotEnMet],"&gt;"&amp;($A300+21/24))</f>
        <v/>
      </c>
      <c r="Z300" s="20">
        <f>COUNTIFS(tData[SEHTrajectPeriodeDatumTijdVan],"&lt;="&amp;($A300+22/24),tData[SEHTrajectPeriodeDatumTijdTotEnMet],"&gt;"&amp;($A300+22/24))</f>
        <v/>
      </c>
      <c r="AA300" s="20">
        <f>COUNTIFS(tData[SEHTrajectPeriodeDatumTijdVan],"&lt;="&amp;($A300+23/24),tData[SEHTrajectPeriodeDatumTijdTotEnMet],"&gt;"&amp;($A300+23/24))</f>
        <v/>
      </c>
    </row>
    <row r="301">
      <c r="A301" s="19" t="n">
        <v>45589</v>
      </c>
      <c r="B301" s="15">
        <f>WEEKDAY($A301,2)</f>
        <v/>
      </c>
      <c r="C301" s="15">
        <f>IF(AND($A301&gt;=INT(Instellingen!$B$5),$A301&lt;=INT(Instellingen!$B$6)),1,0)</f>
        <v/>
      </c>
      <c r="D301" s="20">
        <f>COUNTIFS(tData[SEHTrajectPeriodeDatumTijdVan],"&lt;="&amp;($A301+0/24),tData[SEHTrajectPeriodeDatumTijdTotEnMet],"&gt;"&amp;($A301+0/24))</f>
        <v/>
      </c>
      <c r="E301" s="20">
        <f>COUNTIFS(tData[SEHTrajectPeriodeDatumTijdVan],"&lt;="&amp;($A301+1/24),tData[SEHTrajectPeriodeDatumTijdTotEnMet],"&gt;"&amp;($A301+1/24))</f>
        <v/>
      </c>
      <c r="F301" s="20">
        <f>COUNTIFS(tData[SEHTrajectPeriodeDatumTijdVan],"&lt;="&amp;($A301+2/24),tData[SEHTrajectPeriodeDatumTijdTotEnMet],"&gt;"&amp;($A301+2/24))</f>
        <v/>
      </c>
      <c r="G301" s="20">
        <f>COUNTIFS(tData[SEHTrajectPeriodeDatumTijdVan],"&lt;="&amp;($A301+3/24),tData[SEHTrajectPeriodeDatumTijdTotEnMet],"&gt;"&amp;($A301+3/24))</f>
        <v/>
      </c>
      <c r="H301" s="20">
        <f>COUNTIFS(tData[SEHTrajectPeriodeDatumTijdVan],"&lt;="&amp;($A301+4/24),tData[SEHTrajectPeriodeDatumTijdTotEnMet],"&gt;"&amp;($A301+4/24))</f>
        <v/>
      </c>
      <c r="I301" s="20">
        <f>COUNTIFS(tData[SEHTrajectPeriodeDatumTijdVan],"&lt;="&amp;($A301+5/24),tData[SEHTrajectPeriodeDatumTijdTotEnMet],"&gt;"&amp;($A301+5/24))</f>
        <v/>
      </c>
      <c r="J301" s="20">
        <f>COUNTIFS(tData[SEHTrajectPeriodeDatumTijdVan],"&lt;="&amp;($A301+6/24),tData[SEHTrajectPeriodeDatumTijdTotEnMet],"&gt;"&amp;($A301+6/24))</f>
        <v/>
      </c>
      <c r="K301" s="20">
        <f>COUNTIFS(tData[SEHTrajectPeriodeDatumTijdVan],"&lt;="&amp;($A301+7/24),tData[SEHTrajectPeriodeDatumTijdTotEnMet],"&gt;"&amp;($A301+7/24))</f>
        <v/>
      </c>
      <c r="L301" s="20">
        <f>COUNTIFS(tData[SEHTrajectPeriodeDatumTijdVan],"&lt;="&amp;($A301+8/24),tData[SEHTrajectPeriodeDatumTijdTotEnMet],"&gt;"&amp;($A301+8/24))</f>
        <v/>
      </c>
      <c r="M301" s="20">
        <f>COUNTIFS(tData[SEHTrajectPeriodeDatumTijdVan],"&lt;="&amp;($A301+9/24),tData[SEHTrajectPeriodeDatumTijdTotEnMet],"&gt;"&amp;($A301+9/24))</f>
        <v/>
      </c>
      <c r="N301" s="20">
        <f>COUNTIFS(tData[SEHTrajectPeriodeDatumTijdVan],"&lt;="&amp;($A301+10/24),tData[SEHTrajectPeriodeDatumTijdTotEnMet],"&gt;"&amp;($A301+10/24))</f>
        <v/>
      </c>
      <c r="O301" s="20">
        <f>COUNTIFS(tData[SEHTrajectPeriodeDatumTijdVan],"&lt;="&amp;($A301+11/24),tData[SEHTrajectPeriodeDatumTijdTotEnMet],"&gt;"&amp;($A301+11/24))</f>
        <v/>
      </c>
      <c r="P301" s="20">
        <f>COUNTIFS(tData[SEHTrajectPeriodeDatumTijdVan],"&lt;="&amp;($A301+12/24),tData[SEHTrajectPeriodeDatumTijdTotEnMet],"&gt;"&amp;($A301+12/24))</f>
        <v/>
      </c>
      <c r="Q301" s="20">
        <f>COUNTIFS(tData[SEHTrajectPeriodeDatumTijdVan],"&lt;="&amp;($A301+13/24),tData[SEHTrajectPeriodeDatumTijdTotEnMet],"&gt;"&amp;($A301+13/24))</f>
        <v/>
      </c>
      <c r="R301" s="20">
        <f>COUNTIFS(tData[SEHTrajectPeriodeDatumTijdVan],"&lt;="&amp;($A301+14/24),tData[SEHTrajectPeriodeDatumTijdTotEnMet],"&gt;"&amp;($A301+14/24))</f>
        <v/>
      </c>
      <c r="S301" s="20">
        <f>COUNTIFS(tData[SEHTrajectPeriodeDatumTijdVan],"&lt;="&amp;($A301+15/24),tData[SEHTrajectPeriodeDatumTijdTotEnMet],"&gt;"&amp;($A301+15/24))</f>
        <v/>
      </c>
      <c r="T301" s="20">
        <f>COUNTIFS(tData[SEHTrajectPeriodeDatumTijdVan],"&lt;="&amp;($A301+16/24),tData[SEHTrajectPeriodeDatumTijdTotEnMet],"&gt;"&amp;($A301+16/24))</f>
        <v/>
      </c>
      <c r="U301" s="20">
        <f>COUNTIFS(tData[SEHTrajectPeriodeDatumTijdVan],"&lt;="&amp;($A301+17/24),tData[SEHTrajectPeriodeDatumTijdTotEnMet],"&gt;"&amp;($A301+17/24))</f>
        <v/>
      </c>
      <c r="V301" s="20">
        <f>COUNTIFS(tData[SEHTrajectPeriodeDatumTijdVan],"&lt;="&amp;($A301+18/24),tData[SEHTrajectPeriodeDatumTijdTotEnMet],"&gt;"&amp;($A301+18/24))</f>
        <v/>
      </c>
      <c r="W301" s="20">
        <f>COUNTIFS(tData[SEHTrajectPeriodeDatumTijdVan],"&lt;="&amp;($A301+19/24),tData[SEHTrajectPeriodeDatumTijdTotEnMet],"&gt;"&amp;($A301+19/24))</f>
        <v/>
      </c>
      <c r="X301" s="20">
        <f>COUNTIFS(tData[SEHTrajectPeriodeDatumTijdVan],"&lt;="&amp;($A301+20/24),tData[SEHTrajectPeriodeDatumTijdTotEnMet],"&gt;"&amp;($A301+20/24))</f>
        <v/>
      </c>
      <c r="Y301" s="20">
        <f>COUNTIFS(tData[SEHTrajectPeriodeDatumTijdVan],"&lt;="&amp;($A301+21/24),tData[SEHTrajectPeriodeDatumTijdTotEnMet],"&gt;"&amp;($A301+21/24))</f>
        <v/>
      </c>
      <c r="Z301" s="20">
        <f>COUNTIFS(tData[SEHTrajectPeriodeDatumTijdVan],"&lt;="&amp;($A301+22/24),tData[SEHTrajectPeriodeDatumTijdTotEnMet],"&gt;"&amp;($A301+22/24))</f>
        <v/>
      </c>
      <c r="AA301" s="20">
        <f>COUNTIFS(tData[SEHTrajectPeriodeDatumTijdVan],"&lt;="&amp;($A301+23/24),tData[SEHTrajectPeriodeDatumTijdTotEnMet],"&gt;"&amp;($A301+23/24))</f>
        <v/>
      </c>
    </row>
    <row r="302">
      <c r="A302" s="19" t="n">
        <v>45590</v>
      </c>
      <c r="B302" s="15">
        <f>WEEKDAY($A302,2)</f>
        <v/>
      </c>
      <c r="C302" s="15">
        <f>IF(AND($A302&gt;=INT(Instellingen!$B$5),$A302&lt;=INT(Instellingen!$B$6)),1,0)</f>
        <v/>
      </c>
      <c r="D302" s="20">
        <f>COUNTIFS(tData[SEHTrajectPeriodeDatumTijdVan],"&lt;="&amp;($A302+0/24),tData[SEHTrajectPeriodeDatumTijdTotEnMet],"&gt;"&amp;($A302+0/24))</f>
        <v/>
      </c>
      <c r="E302" s="20">
        <f>COUNTIFS(tData[SEHTrajectPeriodeDatumTijdVan],"&lt;="&amp;($A302+1/24),tData[SEHTrajectPeriodeDatumTijdTotEnMet],"&gt;"&amp;($A302+1/24))</f>
        <v/>
      </c>
      <c r="F302" s="20">
        <f>COUNTIFS(tData[SEHTrajectPeriodeDatumTijdVan],"&lt;="&amp;($A302+2/24),tData[SEHTrajectPeriodeDatumTijdTotEnMet],"&gt;"&amp;($A302+2/24))</f>
        <v/>
      </c>
      <c r="G302" s="20">
        <f>COUNTIFS(tData[SEHTrajectPeriodeDatumTijdVan],"&lt;="&amp;($A302+3/24),tData[SEHTrajectPeriodeDatumTijdTotEnMet],"&gt;"&amp;($A302+3/24))</f>
        <v/>
      </c>
      <c r="H302" s="20">
        <f>COUNTIFS(tData[SEHTrajectPeriodeDatumTijdVan],"&lt;="&amp;($A302+4/24),tData[SEHTrajectPeriodeDatumTijdTotEnMet],"&gt;"&amp;($A302+4/24))</f>
        <v/>
      </c>
      <c r="I302" s="20">
        <f>COUNTIFS(tData[SEHTrajectPeriodeDatumTijdVan],"&lt;="&amp;($A302+5/24),tData[SEHTrajectPeriodeDatumTijdTotEnMet],"&gt;"&amp;($A302+5/24))</f>
        <v/>
      </c>
      <c r="J302" s="20">
        <f>COUNTIFS(tData[SEHTrajectPeriodeDatumTijdVan],"&lt;="&amp;($A302+6/24),tData[SEHTrajectPeriodeDatumTijdTotEnMet],"&gt;"&amp;($A302+6/24))</f>
        <v/>
      </c>
      <c r="K302" s="20">
        <f>COUNTIFS(tData[SEHTrajectPeriodeDatumTijdVan],"&lt;="&amp;($A302+7/24),tData[SEHTrajectPeriodeDatumTijdTotEnMet],"&gt;"&amp;($A302+7/24))</f>
        <v/>
      </c>
      <c r="L302" s="20">
        <f>COUNTIFS(tData[SEHTrajectPeriodeDatumTijdVan],"&lt;="&amp;($A302+8/24),tData[SEHTrajectPeriodeDatumTijdTotEnMet],"&gt;"&amp;($A302+8/24))</f>
        <v/>
      </c>
      <c r="M302" s="20">
        <f>COUNTIFS(tData[SEHTrajectPeriodeDatumTijdVan],"&lt;="&amp;($A302+9/24),tData[SEHTrajectPeriodeDatumTijdTotEnMet],"&gt;"&amp;($A302+9/24))</f>
        <v/>
      </c>
      <c r="N302" s="20">
        <f>COUNTIFS(tData[SEHTrajectPeriodeDatumTijdVan],"&lt;="&amp;($A302+10/24),tData[SEHTrajectPeriodeDatumTijdTotEnMet],"&gt;"&amp;($A302+10/24))</f>
        <v/>
      </c>
      <c r="O302" s="20">
        <f>COUNTIFS(tData[SEHTrajectPeriodeDatumTijdVan],"&lt;="&amp;($A302+11/24),tData[SEHTrajectPeriodeDatumTijdTotEnMet],"&gt;"&amp;($A302+11/24))</f>
        <v/>
      </c>
      <c r="P302" s="20">
        <f>COUNTIFS(tData[SEHTrajectPeriodeDatumTijdVan],"&lt;="&amp;($A302+12/24),tData[SEHTrajectPeriodeDatumTijdTotEnMet],"&gt;"&amp;($A302+12/24))</f>
        <v/>
      </c>
      <c r="Q302" s="20">
        <f>COUNTIFS(tData[SEHTrajectPeriodeDatumTijdVan],"&lt;="&amp;($A302+13/24),tData[SEHTrajectPeriodeDatumTijdTotEnMet],"&gt;"&amp;($A302+13/24))</f>
        <v/>
      </c>
      <c r="R302" s="20">
        <f>COUNTIFS(tData[SEHTrajectPeriodeDatumTijdVan],"&lt;="&amp;($A302+14/24),tData[SEHTrajectPeriodeDatumTijdTotEnMet],"&gt;"&amp;($A302+14/24))</f>
        <v/>
      </c>
      <c r="S302" s="20">
        <f>COUNTIFS(tData[SEHTrajectPeriodeDatumTijdVan],"&lt;="&amp;($A302+15/24),tData[SEHTrajectPeriodeDatumTijdTotEnMet],"&gt;"&amp;($A302+15/24))</f>
        <v/>
      </c>
      <c r="T302" s="20">
        <f>COUNTIFS(tData[SEHTrajectPeriodeDatumTijdVan],"&lt;="&amp;($A302+16/24),tData[SEHTrajectPeriodeDatumTijdTotEnMet],"&gt;"&amp;($A302+16/24))</f>
        <v/>
      </c>
      <c r="U302" s="20">
        <f>COUNTIFS(tData[SEHTrajectPeriodeDatumTijdVan],"&lt;="&amp;($A302+17/24),tData[SEHTrajectPeriodeDatumTijdTotEnMet],"&gt;"&amp;($A302+17/24))</f>
        <v/>
      </c>
      <c r="V302" s="20">
        <f>COUNTIFS(tData[SEHTrajectPeriodeDatumTijdVan],"&lt;="&amp;($A302+18/24),tData[SEHTrajectPeriodeDatumTijdTotEnMet],"&gt;"&amp;($A302+18/24))</f>
        <v/>
      </c>
      <c r="W302" s="20">
        <f>COUNTIFS(tData[SEHTrajectPeriodeDatumTijdVan],"&lt;="&amp;($A302+19/24),tData[SEHTrajectPeriodeDatumTijdTotEnMet],"&gt;"&amp;($A302+19/24))</f>
        <v/>
      </c>
      <c r="X302" s="20">
        <f>COUNTIFS(tData[SEHTrajectPeriodeDatumTijdVan],"&lt;="&amp;($A302+20/24),tData[SEHTrajectPeriodeDatumTijdTotEnMet],"&gt;"&amp;($A302+20/24))</f>
        <v/>
      </c>
      <c r="Y302" s="20">
        <f>COUNTIFS(tData[SEHTrajectPeriodeDatumTijdVan],"&lt;="&amp;($A302+21/24),tData[SEHTrajectPeriodeDatumTijdTotEnMet],"&gt;"&amp;($A302+21/24))</f>
        <v/>
      </c>
      <c r="Z302" s="20">
        <f>COUNTIFS(tData[SEHTrajectPeriodeDatumTijdVan],"&lt;="&amp;($A302+22/24),tData[SEHTrajectPeriodeDatumTijdTotEnMet],"&gt;"&amp;($A302+22/24))</f>
        <v/>
      </c>
      <c r="AA302" s="20">
        <f>COUNTIFS(tData[SEHTrajectPeriodeDatumTijdVan],"&lt;="&amp;($A302+23/24),tData[SEHTrajectPeriodeDatumTijdTotEnMet],"&gt;"&amp;($A302+23/24))</f>
        <v/>
      </c>
    </row>
    <row r="303">
      <c r="A303" s="19" t="n">
        <v>45591</v>
      </c>
      <c r="B303" s="15">
        <f>WEEKDAY($A303,2)</f>
        <v/>
      </c>
      <c r="C303" s="15">
        <f>IF(AND($A303&gt;=INT(Instellingen!$B$5),$A303&lt;=INT(Instellingen!$B$6)),1,0)</f>
        <v/>
      </c>
      <c r="D303" s="20">
        <f>COUNTIFS(tData[SEHTrajectPeriodeDatumTijdVan],"&lt;="&amp;($A303+0/24),tData[SEHTrajectPeriodeDatumTijdTotEnMet],"&gt;"&amp;($A303+0/24))</f>
        <v/>
      </c>
      <c r="E303" s="20">
        <f>COUNTIFS(tData[SEHTrajectPeriodeDatumTijdVan],"&lt;="&amp;($A303+1/24),tData[SEHTrajectPeriodeDatumTijdTotEnMet],"&gt;"&amp;($A303+1/24))</f>
        <v/>
      </c>
      <c r="F303" s="20">
        <f>COUNTIFS(tData[SEHTrajectPeriodeDatumTijdVan],"&lt;="&amp;($A303+2/24),tData[SEHTrajectPeriodeDatumTijdTotEnMet],"&gt;"&amp;($A303+2/24))</f>
        <v/>
      </c>
      <c r="G303" s="20">
        <f>COUNTIFS(tData[SEHTrajectPeriodeDatumTijdVan],"&lt;="&amp;($A303+3/24),tData[SEHTrajectPeriodeDatumTijdTotEnMet],"&gt;"&amp;($A303+3/24))</f>
        <v/>
      </c>
      <c r="H303" s="20">
        <f>COUNTIFS(tData[SEHTrajectPeriodeDatumTijdVan],"&lt;="&amp;($A303+4/24),tData[SEHTrajectPeriodeDatumTijdTotEnMet],"&gt;"&amp;($A303+4/24))</f>
        <v/>
      </c>
      <c r="I303" s="20">
        <f>COUNTIFS(tData[SEHTrajectPeriodeDatumTijdVan],"&lt;="&amp;($A303+5/24),tData[SEHTrajectPeriodeDatumTijdTotEnMet],"&gt;"&amp;($A303+5/24))</f>
        <v/>
      </c>
      <c r="J303" s="20">
        <f>COUNTIFS(tData[SEHTrajectPeriodeDatumTijdVan],"&lt;="&amp;($A303+6/24),tData[SEHTrajectPeriodeDatumTijdTotEnMet],"&gt;"&amp;($A303+6/24))</f>
        <v/>
      </c>
      <c r="K303" s="20">
        <f>COUNTIFS(tData[SEHTrajectPeriodeDatumTijdVan],"&lt;="&amp;($A303+7/24),tData[SEHTrajectPeriodeDatumTijdTotEnMet],"&gt;"&amp;($A303+7/24))</f>
        <v/>
      </c>
      <c r="L303" s="20">
        <f>COUNTIFS(tData[SEHTrajectPeriodeDatumTijdVan],"&lt;="&amp;($A303+8/24),tData[SEHTrajectPeriodeDatumTijdTotEnMet],"&gt;"&amp;($A303+8/24))</f>
        <v/>
      </c>
      <c r="M303" s="20">
        <f>COUNTIFS(tData[SEHTrajectPeriodeDatumTijdVan],"&lt;="&amp;($A303+9/24),tData[SEHTrajectPeriodeDatumTijdTotEnMet],"&gt;"&amp;($A303+9/24))</f>
        <v/>
      </c>
      <c r="N303" s="20">
        <f>COUNTIFS(tData[SEHTrajectPeriodeDatumTijdVan],"&lt;="&amp;($A303+10/24),tData[SEHTrajectPeriodeDatumTijdTotEnMet],"&gt;"&amp;($A303+10/24))</f>
        <v/>
      </c>
      <c r="O303" s="20">
        <f>COUNTIFS(tData[SEHTrajectPeriodeDatumTijdVan],"&lt;="&amp;($A303+11/24),tData[SEHTrajectPeriodeDatumTijdTotEnMet],"&gt;"&amp;($A303+11/24))</f>
        <v/>
      </c>
      <c r="P303" s="20">
        <f>COUNTIFS(tData[SEHTrajectPeriodeDatumTijdVan],"&lt;="&amp;($A303+12/24),tData[SEHTrajectPeriodeDatumTijdTotEnMet],"&gt;"&amp;($A303+12/24))</f>
        <v/>
      </c>
      <c r="Q303" s="20">
        <f>COUNTIFS(tData[SEHTrajectPeriodeDatumTijdVan],"&lt;="&amp;($A303+13/24),tData[SEHTrajectPeriodeDatumTijdTotEnMet],"&gt;"&amp;($A303+13/24))</f>
        <v/>
      </c>
      <c r="R303" s="20">
        <f>COUNTIFS(tData[SEHTrajectPeriodeDatumTijdVan],"&lt;="&amp;($A303+14/24),tData[SEHTrajectPeriodeDatumTijdTotEnMet],"&gt;"&amp;($A303+14/24))</f>
        <v/>
      </c>
      <c r="S303" s="20">
        <f>COUNTIFS(tData[SEHTrajectPeriodeDatumTijdVan],"&lt;="&amp;($A303+15/24),tData[SEHTrajectPeriodeDatumTijdTotEnMet],"&gt;"&amp;($A303+15/24))</f>
        <v/>
      </c>
      <c r="T303" s="20">
        <f>COUNTIFS(tData[SEHTrajectPeriodeDatumTijdVan],"&lt;="&amp;($A303+16/24),tData[SEHTrajectPeriodeDatumTijdTotEnMet],"&gt;"&amp;($A303+16/24))</f>
        <v/>
      </c>
      <c r="U303" s="20">
        <f>COUNTIFS(tData[SEHTrajectPeriodeDatumTijdVan],"&lt;="&amp;($A303+17/24),tData[SEHTrajectPeriodeDatumTijdTotEnMet],"&gt;"&amp;($A303+17/24))</f>
        <v/>
      </c>
      <c r="V303" s="20">
        <f>COUNTIFS(tData[SEHTrajectPeriodeDatumTijdVan],"&lt;="&amp;($A303+18/24),tData[SEHTrajectPeriodeDatumTijdTotEnMet],"&gt;"&amp;($A303+18/24))</f>
        <v/>
      </c>
      <c r="W303" s="20">
        <f>COUNTIFS(tData[SEHTrajectPeriodeDatumTijdVan],"&lt;="&amp;($A303+19/24),tData[SEHTrajectPeriodeDatumTijdTotEnMet],"&gt;"&amp;($A303+19/24))</f>
        <v/>
      </c>
      <c r="X303" s="20">
        <f>COUNTIFS(tData[SEHTrajectPeriodeDatumTijdVan],"&lt;="&amp;($A303+20/24),tData[SEHTrajectPeriodeDatumTijdTotEnMet],"&gt;"&amp;($A303+20/24))</f>
        <v/>
      </c>
      <c r="Y303" s="20">
        <f>COUNTIFS(tData[SEHTrajectPeriodeDatumTijdVan],"&lt;="&amp;($A303+21/24),tData[SEHTrajectPeriodeDatumTijdTotEnMet],"&gt;"&amp;($A303+21/24))</f>
        <v/>
      </c>
      <c r="Z303" s="20">
        <f>COUNTIFS(tData[SEHTrajectPeriodeDatumTijdVan],"&lt;="&amp;($A303+22/24),tData[SEHTrajectPeriodeDatumTijdTotEnMet],"&gt;"&amp;($A303+22/24))</f>
        <v/>
      </c>
      <c r="AA303" s="20">
        <f>COUNTIFS(tData[SEHTrajectPeriodeDatumTijdVan],"&lt;="&amp;($A303+23/24),tData[SEHTrajectPeriodeDatumTijdTotEnMet],"&gt;"&amp;($A303+23/24))</f>
        <v/>
      </c>
    </row>
    <row r="304">
      <c r="A304" s="19" t="n">
        <v>45592</v>
      </c>
      <c r="B304" s="15">
        <f>WEEKDAY($A304,2)</f>
        <v/>
      </c>
      <c r="C304" s="15">
        <f>IF(AND($A304&gt;=INT(Instellingen!$B$5),$A304&lt;=INT(Instellingen!$B$6)),1,0)</f>
        <v/>
      </c>
      <c r="D304" s="20">
        <f>COUNTIFS(tData[SEHTrajectPeriodeDatumTijdVan],"&lt;="&amp;($A304+0/24),tData[SEHTrajectPeriodeDatumTijdTotEnMet],"&gt;"&amp;($A304+0/24))</f>
        <v/>
      </c>
      <c r="E304" s="20">
        <f>COUNTIFS(tData[SEHTrajectPeriodeDatumTijdVan],"&lt;="&amp;($A304+1/24),tData[SEHTrajectPeriodeDatumTijdTotEnMet],"&gt;"&amp;($A304+1/24))</f>
        <v/>
      </c>
      <c r="F304" s="20">
        <f>COUNTIFS(tData[SEHTrajectPeriodeDatumTijdVan],"&lt;="&amp;($A304+2/24),tData[SEHTrajectPeriodeDatumTijdTotEnMet],"&gt;"&amp;($A304+2/24))</f>
        <v/>
      </c>
      <c r="G304" s="20">
        <f>COUNTIFS(tData[SEHTrajectPeriodeDatumTijdVan],"&lt;="&amp;($A304+3/24),tData[SEHTrajectPeriodeDatumTijdTotEnMet],"&gt;"&amp;($A304+3/24))</f>
        <v/>
      </c>
      <c r="H304" s="20">
        <f>COUNTIFS(tData[SEHTrajectPeriodeDatumTijdVan],"&lt;="&amp;($A304+4/24),tData[SEHTrajectPeriodeDatumTijdTotEnMet],"&gt;"&amp;($A304+4/24))</f>
        <v/>
      </c>
      <c r="I304" s="20">
        <f>COUNTIFS(tData[SEHTrajectPeriodeDatumTijdVan],"&lt;="&amp;($A304+5/24),tData[SEHTrajectPeriodeDatumTijdTotEnMet],"&gt;"&amp;($A304+5/24))</f>
        <v/>
      </c>
      <c r="J304" s="20">
        <f>COUNTIFS(tData[SEHTrajectPeriodeDatumTijdVan],"&lt;="&amp;($A304+6/24),tData[SEHTrajectPeriodeDatumTijdTotEnMet],"&gt;"&amp;($A304+6/24))</f>
        <v/>
      </c>
      <c r="K304" s="20">
        <f>COUNTIFS(tData[SEHTrajectPeriodeDatumTijdVan],"&lt;="&amp;($A304+7/24),tData[SEHTrajectPeriodeDatumTijdTotEnMet],"&gt;"&amp;($A304+7/24))</f>
        <v/>
      </c>
      <c r="L304" s="20">
        <f>COUNTIFS(tData[SEHTrajectPeriodeDatumTijdVan],"&lt;="&amp;($A304+8/24),tData[SEHTrajectPeriodeDatumTijdTotEnMet],"&gt;"&amp;($A304+8/24))</f>
        <v/>
      </c>
      <c r="M304" s="20">
        <f>COUNTIFS(tData[SEHTrajectPeriodeDatumTijdVan],"&lt;="&amp;($A304+9/24),tData[SEHTrajectPeriodeDatumTijdTotEnMet],"&gt;"&amp;($A304+9/24))</f>
        <v/>
      </c>
      <c r="N304" s="20">
        <f>COUNTIFS(tData[SEHTrajectPeriodeDatumTijdVan],"&lt;="&amp;($A304+10/24),tData[SEHTrajectPeriodeDatumTijdTotEnMet],"&gt;"&amp;($A304+10/24))</f>
        <v/>
      </c>
      <c r="O304" s="20">
        <f>COUNTIFS(tData[SEHTrajectPeriodeDatumTijdVan],"&lt;="&amp;($A304+11/24),tData[SEHTrajectPeriodeDatumTijdTotEnMet],"&gt;"&amp;($A304+11/24))</f>
        <v/>
      </c>
      <c r="P304" s="20">
        <f>COUNTIFS(tData[SEHTrajectPeriodeDatumTijdVan],"&lt;="&amp;($A304+12/24),tData[SEHTrajectPeriodeDatumTijdTotEnMet],"&gt;"&amp;($A304+12/24))</f>
        <v/>
      </c>
      <c r="Q304" s="20">
        <f>COUNTIFS(tData[SEHTrajectPeriodeDatumTijdVan],"&lt;="&amp;($A304+13/24),tData[SEHTrajectPeriodeDatumTijdTotEnMet],"&gt;"&amp;($A304+13/24))</f>
        <v/>
      </c>
      <c r="R304" s="20">
        <f>COUNTIFS(tData[SEHTrajectPeriodeDatumTijdVan],"&lt;="&amp;($A304+14/24),tData[SEHTrajectPeriodeDatumTijdTotEnMet],"&gt;"&amp;($A304+14/24))</f>
        <v/>
      </c>
      <c r="S304" s="20">
        <f>COUNTIFS(tData[SEHTrajectPeriodeDatumTijdVan],"&lt;="&amp;($A304+15/24),tData[SEHTrajectPeriodeDatumTijdTotEnMet],"&gt;"&amp;($A304+15/24))</f>
        <v/>
      </c>
      <c r="T304" s="20">
        <f>COUNTIFS(tData[SEHTrajectPeriodeDatumTijdVan],"&lt;="&amp;($A304+16/24),tData[SEHTrajectPeriodeDatumTijdTotEnMet],"&gt;"&amp;($A304+16/24))</f>
        <v/>
      </c>
      <c r="U304" s="20">
        <f>COUNTIFS(tData[SEHTrajectPeriodeDatumTijdVan],"&lt;="&amp;($A304+17/24),tData[SEHTrajectPeriodeDatumTijdTotEnMet],"&gt;"&amp;($A304+17/24))</f>
        <v/>
      </c>
      <c r="V304" s="20">
        <f>COUNTIFS(tData[SEHTrajectPeriodeDatumTijdVan],"&lt;="&amp;($A304+18/24),tData[SEHTrajectPeriodeDatumTijdTotEnMet],"&gt;"&amp;($A304+18/24))</f>
        <v/>
      </c>
      <c r="W304" s="20">
        <f>COUNTIFS(tData[SEHTrajectPeriodeDatumTijdVan],"&lt;="&amp;($A304+19/24),tData[SEHTrajectPeriodeDatumTijdTotEnMet],"&gt;"&amp;($A304+19/24))</f>
        <v/>
      </c>
      <c r="X304" s="20">
        <f>COUNTIFS(tData[SEHTrajectPeriodeDatumTijdVan],"&lt;="&amp;($A304+20/24),tData[SEHTrajectPeriodeDatumTijdTotEnMet],"&gt;"&amp;($A304+20/24))</f>
        <v/>
      </c>
      <c r="Y304" s="20">
        <f>COUNTIFS(tData[SEHTrajectPeriodeDatumTijdVan],"&lt;="&amp;($A304+21/24),tData[SEHTrajectPeriodeDatumTijdTotEnMet],"&gt;"&amp;($A304+21/24))</f>
        <v/>
      </c>
      <c r="Z304" s="20">
        <f>COUNTIFS(tData[SEHTrajectPeriodeDatumTijdVan],"&lt;="&amp;($A304+22/24),tData[SEHTrajectPeriodeDatumTijdTotEnMet],"&gt;"&amp;($A304+22/24))</f>
        <v/>
      </c>
      <c r="AA304" s="20">
        <f>COUNTIFS(tData[SEHTrajectPeriodeDatumTijdVan],"&lt;="&amp;($A304+23/24),tData[SEHTrajectPeriodeDatumTijdTotEnMet],"&gt;"&amp;($A304+23/24))</f>
        <v/>
      </c>
    </row>
    <row r="305">
      <c r="A305" s="19" t="n">
        <v>45593</v>
      </c>
      <c r="B305" s="15">
        <f>WEEKDAY($A305,2)</f>
        <v/>
      </c>
      <c r="C305" s="15">
        <f>IF(AND($A305&gt;=INT(Instellingen!$B$5),$A305&lt;=INT(Instellingen!$B$6)),1,0)</f>
        <v/>
      </c>
      <c r="D305" s="20">
        <f>COUNTIFS(tData[SEHTrajectPeriodeDatumTijdVan],"&lt;="&amp;($A305+0/24),tData[SEHTrajectPeriodeDatumTijdTotEnMet],"&gt;"&amp;($A305+0/24))</f>
        <v/>
      </c>
      <c r="E305" s="20">
        <f>COUNTIFS(tData[SEHTrajectPeriodeDatumTijdVan],"&lt;="&amp;($A305+1/24),tData[SEHTrajectPeriodeDatumTijdTotEnMet],"&gt;"&amp;($A305+1/24))</f>
        <v/>
      </c>
      <c r="F305" s="20">
        <f>COUNTIFS(tData[SEHTrajectPeriodeDatumTijdVan],"&lt;="&amp;($A305+2/24),tData[SEHTrajectPeriodeDatumTijdTotEnMet],"&gt;"&amp;($A305+2/24))</f>
        <v/>
      </c>
      <c r="G305" s="20">
        <f>COUNTIFS(tData[SEHTrajectPeriodeDatumTijdVan],"&lt;="&amp;($A305+3/24),tData[SEHTrajectPeriodeDatumTijdTotEnMet],"&gt;"&amp;($A305+3/24))</f>
        <v/>
      </c>
      <c r="H305" s="20">
        <f>COUNTIFS(tData[SEHTrajectPeriodeDatumTijdVan],"&lt;="&amp;($A305+4/24),tData[SEHTrajectPeriodeDatumTijdTotEnMet],"&gt;"&amp;($A305+4/24))</f>
        <v/>
      </c>
      <c r="I305" s="20">
        <f>COUNTIFS(tData[SEHTrajectPeriodeDatumTijdVan],"&lt;="&amp;($A305+5/24),tData[SEHTrajectPeriodeDatumTijdTotEnMet],"&gt;"&amp;($A305+5/24))</f>
        <v/>
      </c>
      <c r="J305" s="20">
        <f>COUNTIFS(tData[SEHTrajectPeriodeDatumTijdVan],"&lt;="&amp;($A305+6/24),tData[SEHTrajectPeriodeDatumTijdTotEnMet],"&gt;"&amp;($A305+6/24))</f>
        <v/>
      </c>
      <c r="K305" s="20">
        <f>COUNTIFS(tData[SEHTrajectPeriodeDatumTijdVan],"&lt;="&amp;($A305+7/24),tData[SEHTrajectPeriodeDatumTijdTotEnMet],"&gt;"&amp;($A305+7/24))</f>
        <v/>
      </c>
      <c r="L305" s="20">
        <f>COUNTIFS(tData[SEHTrajectPeriodeDatumTijdVan],"&lt;="&amp;($A305+8/24),tData[SEHTrajectPeriodeDatumTijdTotEnMet],"&gt;"&amp;($A305+8/24))</f>
        <v/>
      </c>
      <c r="M305" s="20">
        <f>COUNTIFS(tData[SEHTrajectPeriodeDatumTijdVan],"&lt;="&amp;($A305+9/24),tData[SEHTrajectPeriodeDatumTijdTotEnMet],"&gt;"&amp;($A305+9/24))</f>
        <v/>
      </c>
      <c r="N305" s="20">
        <f>COUNTIFS(tData[SEHTrajectPeriodeDatumTijdVan],"&lt;="&amp;($A305+10/24),tData[SEHTrajectPeriodeDatumTijdTotEnMet],"&gt;"&amp;($A305+10/24))</f>
        <v/>
      </c>
      <c r="O305" s="20">
        <f>COUNTIFS(tData[SEHTrajectPeriodeDatumTijdVan],"&lt;="&amp;($A305+11/24),tData[SEHTrajectPeriodeDatumTijdTotEnMet],"&gt;"&amp;($A305+11/24))</f>
        <v/>
      </c>
      <c r="P305" s="20">
        <f>COUNTIFS(tData[SEHTrajectPeriodeDatumTijdVan],"&lt;="&amp;($A305+12/24),tData[SEHTrajectPeriodeDatumTijdTotEnMet],"&gt;"&amp;($A305+12/24))</f>
        <v/>
      </c>
      <c r="Q305" s="20">
        <f>COUNTIFS(tData[SEHTrajectPeriodeDatumTijdVan],"&lt;="&amp;($A305+13/24),tData[SEHTrajectPeriodeDatumTijdTotEnMet],"&gt;"&amp;($A305+13/24))</f>
        <v/>
      </c>
      <c r="R305" s="20">
        <f>COUNTIFS(tData[SEHTrajectPeriodeDatumTijdVan],"&lt;="&amp;($A305+14/24),tData[SEHTrajectPeriodeDatumTijdTotEnMet],"&gt;"&amp;($A305+14/24))</f>
        <v/>
      </c>
      <c r="S305" s="20">
        <f>COUNTIFS(tData[SEHTrajectPeriodeDatumTijdVan],"&lt;="&amp;($A305+15/24),tData[SEHTrajectPeriodeDatumTijdTotEnMet],"&gt;"&amp;($A305+15/24))</f>
        <v/>
      </c>
      <c r="T305" s="20">
        <f>COUNTIFS(tData[SEHTrajectPeriodeDatumTijdVan],"&lt;="&amp;($A305+16/24),tData[SEHTrajectPeriodeDatumTijdTotEnMet],"&gt;"&amp;($A305+16/24))</f>
        <v/>
      </c>
      <c r="U305" s="20">
        <f>COUNTIFS(tData[SEHTrajectPeriodeDatumTijdVan],"&lt;="&amp;($A305+17/24),tData[SEHTrajectPeriodeDatumTijdTotEnMet],"&gt;"&amp;($A305+17/24))</f>
        <v/>
      </c>
      <c r="V305" s="20">
        <f>COUNTIFS(tData[SEHTrajectPeriodeDatumTijdVan],"&lt;="&amp;($A305+18/24),tData[SEHTrajectPeriodeDatumTijdTotEnMet],"&gt;"&amp;($A305+18/24))</f>
        <v/>
      </c>
      <c r="W305" s="20">
        <f>COUNTIFS(tData[SEHTrajectPeriodeDatumTijdVan],"&lt;="&amp;($A305+19/24),tData[SEHTrajectPeriodeDatumTijdTotEnMet],"&gt;"&amp;($A305+19/24))</f>
        <v/>
      </c>
      <c r="X305" s="20">
        <f>COUNTIFS(tData[SEHTrajectPeriodeDatumTijdVan],"&lt;="&amp;($A305+20/24),tData[SEHTrajectPeriodeDatumTijdTotEnMet],"&gt;"&amp;($A305+20/24))</f>
        <v/>
      </c>
      <c r="Y305" s="20">
        <f>COUNTIFS(tData[SEHTrajectPeriodeDatumTijdVan],"&lt;="&amp;($A305+21/24),tData[SEHTrajectPeriodeDatumTijdTotEnMet],"&gt;"&amp;($A305+21/24))</f>
        <v/>
      </c>
      <c r="Z305" s="20">
        <f>COUNTIFS(tData[SEHTrajectPeriodeDatumTijdVan],"&lt;="&amp;($A305+22/24),tData[SEHTrajectPeriodeDatumTijdTotEnMet],"&gt;"&amp;($A305+22/24))</f>
        <v/>
      </c>
      <c r="AA305" s="20">
        <f>COUNTIFS(tData[SEHTrajectPeriodeDatumTijdVan],"&lt;="&amp;($A305+23/24),tData[SEHTrajectPeriodeDatumTijdTotEnMet],"&gt;"&amp;($A305+23/24))</f>
        <v/>
      </c>
    </row>
    <row r="306">
      <c r="A306" s="19" t="n">
        <v>45594</v>
      </c>
      <c r="B306" s="15">
        <f>WEEKDAY($A306,2)</f>
        <v/>
      </c>
      <c r="C306" s="15">
        <f>IF(AND($A306&gt;=INT(Instellingen!$B$5),$A306&lt;=INT(Instellingen!$B$6)),1,0)</f>
        <v/>
      </c>
      <c r="D306" s="20">
        <f>COUNTIFS(tData[SEHTrajectPeriodeDatumTijdVan],"&lt;="&amp;($A306+0/24),tData[SEHTrajectPeriodeDatumTijdTotEnMet],"&gt;"&amp;($A306+0/24))</f>
        <v/>
      </c>
      <c r="E306" s="20">
        <f>COUNTIFS(tData[SEHTrajectPeriodeDatumTijdVan],"&lt;="&amp;($A306+1/24),tData[SEHTrajectPeriodeDatumTijdTotEnMet],"&gt;"&amp;($A306+1/24))</f>
        <v/>
      </c>
      <c r="F306" s="20">
        <f>COUNTIFS(tData[SEHTrajectPeriodeDatumTijdVan],"&lt;="&amp;($A306+2/24),tData[SEHTrajectPeriodeDatumTijdTotEnMet],"&gt;"&amp;($A306+2/24))</f>
        <v/>
      </c>
      <c r="G306" s="20">
        <f>COUNTIFS(tData[SEHTrajectPeriodeDatumTijdVan],"&lt;="&amp;($A306+3/24),tData[SEHTrajectPeriodeDatumTijdTotEnMet],"&gt;"&amp;($A306+3/24))</f>
        <v/>
      </c>
      <c r="H306" s="20">
        <f>COUNTIFS(tData[SEHTrajectPeriodeDatumTijdVan],"&lt;="&amp;($A306+4/24),tData[SEHTrajectPeriodeDatumTijdTotEnMet],"&gt;"&amp;($A306+4/24))</f>
        <v/>
      </c>
      <c r="I306" s="20">
        <f>COUNTIFS(tData[SEHTrajectPeriodeDatumTijdVan],"&lt;="&amp;($A306+5/24),tData[SEHTrajectPeriodeDatumTijdTotEnMet],"&gt;"&amp;($A306+5/24))</f>
        <v/>
      </c>
      <c r="J306" s="20">
        <f>COUNTIFS(tData[SEHTrajectPeriodeDatumTijdVan],"&lt;="&amp;($A306+6/24),tData[SEHTrajectPeriodeDatumTijdTotEnMet],"&gt;"&amp;($A306+6/24))</f>
        <v/>
      </c>
      <c r="K306" s="20">
        <f>COUNTIFS(tData[SEHTrajectPeriodeDatumTijdVan],"&lt;="&amp;($A306+7/24),tData[SEHTrajectPeriodeDatumTijdTotEnMet],"&gt;"&amp;($A306+7/24))</f>
        <v/>
      </c>
      <c r="L306" s="20">
        <f>COUNTIFS(tData[SEHTrajectPeriodeDatumTijdVan],"&lt;="&amp;($A306+8/24),tData[SEHTrajectPeriodeDatumTijdTotEnMet],"&gt;"&amp;($A306+8/24))</f>
        <v/>
      </c>
      <c r="M306" s="20">
        <f>COUNTIFS(tData[SEHTrajectPeriodeDatumTijdVan],"&lt;="&amp;($A306+9/24),tData[SEHTrajectPeriodeDatumTijdTotEnMet],"&gt;"&amp;($A306+9/24))</f>
        <v/>
      </c>
      <c r="N306" s="20">
        <f>COUNTIFS(tData[SEHTrajectPeriodeDatumTijdVan],"&lt;="&amp;($A306+10/24),tData[SEHTrajectPeriodeDatumTijdTotEnMet],"&gt;"&amp;($A306+10/24))</f>
        <v/>
      </c>
      <c r="O306" s="20">
        <f>COUNTIFS(tData[SEHTrajectPeriodeDatumTijdVan],"&lt;="&amp;($A306+11/24),tData[SEHTrajectPeriodeDatumTijdTotEnMet],"&gt;"&amp;($A306+11/24))</f>
        <v/>
      </c>
      <c r="P306" s="20">
        <f>COUNTIFS(tData[SEHTrajectPeriodeDatumTijdVan],"&lt;="&amp;($A306+12/24),tData[SEHTrajectPeriodeDatumTijdTotEnMet],"&gt;"&amp;($A306+12/24))</f>
        <v/>
      </c>
      <c r="Q306" s="20">
        <f>COUNTIFS(tData[SEHTrajectPeriodeDatumTijdVan],"&lt;="&amp;($A306+13/24),tData[SEHTrajectPeriodeDatumTijdTotEnMet],"&gt;"&amp;($A306+13/24))</f>
        <v/>
      </c>
      <c r="R306" s="20">
        <f>COUNTIFS(tData[SEHTrajectPeriodeDatumTijdVan],"&lt;="&amp;($A306+14/24),tData[SEHTrajectPeriodeDatumTijdTotEnMet],"&gt;"&amp;($A306+14/24))</f>
        <v/>
      </c>
      <c r="S306" s="20">
        <f>COUNTIFS(tData[SEHTrajectPeriodeDatumTijdVan],"&lt;="&amp;($A306+15/24),tData[SEHTrajectPeriodeDatumTijdTotEnMet],"&gt;"&amp;($A306+15/24))</f>
        <v/>
      </c>
      <c r="T306" s="20">
        <f>COUNTIFS(tData[SEHTrajectPeriodeDatumTijdVan],"&lt;="&amp;($A306+16/24),tData[SEHTrajectPeriodeDatumTijdTotEnMet],"&gt;"&amp;($A306+16/24))</f>
        <v/>
      </c>
      <c r="U306" s="20">
        <f>COUNTIFS(tData[SEHTrajectPeriodeDatumTijdVan],"&lt;="&amp;($A306+17/24),tData[SEHTrajectPeriodeDatumTijdTotEnMet],"&gt;"&amp;($A306+17/24))</f>
        <v/>
      </c>
      <c r="V306" s="20">
        <f>COUNTIFS(tData[SEHTrajectPeriodeDatumTijdVan],"&lt;="&amp;($A306+18/24),tData[SEHTrajectPeriodeDatumTijdTotEnMet],"&gt;"&amp;($A306+18/24))</f>
        <v/>
      </c>
      <c r="W306" s="20">
        <f>COUNTIFS(tData[SEHTrajectPeriodeDatumTijdVan],"&lt;="&amp;($A306+19/24),tData[SEHTrajectPeriodeDatumTijdTotEnMet],"&gt;"&amp;($A306+19/24))</f>
        <v/>
      </c>
      <c r="X306" s="20">
        <f>COUNTIFS(tData[SEHTrajectPeriodeDatumTijdVan],"&lt;="&amp;($A306+20/24),tData[SEHTrajectPeriodeDatumTijdTotEnMet],"&gt;"&amp;($A306+20/24))</f>
        <v/>
      </c>
      <c r="Y306" s="20">
        <f>COUNTIFS(tData[SEHTrajectPeriodeDatumTijdVan],"&lt;="&amp;($A306+21/24),tData[SEHTrajectPeriodeDatumTijdTotEnMet],"&gt;"&amp;($A306+21/24))</f>
        <v/>
      </c>
      <c r="Z306" s="20">
        <f>COUNTIFS(tData[SEHTrajectPeriodeDatumTijdVan],"&lt;="&amp;($A306+22/24),tData[SEHTrajectPeriodeDatumTijdTotEnMet],"&gt;"&amp;($A306+22/24))</f>
        <v/>
      </c>
      <c r="AA306" s="20">
        <f>COUNTIFS(tData[SEHTrajectPeriodeDatumTijdVan],"&lt;="&amp;($A306+23/24),tData[SEHTrajectPeriodeDatumTijdTotEnMet],"&gt;"&amp;($A306+23/24))</f>
        <v/>
      </c>
    </row>
    <row r="307">
      <c r="A307" s="19" t="n">
        <v>45595</v>
      </c>
      <c r="B307" s="15">
        <f>WEEKDAY($A307,2)</f>
        <v/>
      </c>
      <c r="C307" s="15">
        <f>IF(AND($A307&gt;=INT(Instellingen!$B$5),$A307&lt;=INT(Instellingen!$B$6)),1,0)</f>
        <v/>
      </c>
      <c r="D307" s="20">
        <f>COUNTIFS(tData[SEHTrajectPeriodeDatumTijdVan],"&lt;="&amp;($A307+0/24),tData[SEHTrajectPeriodeDatumTijdTotEnMet],"&gt;"&amp;($A307+0/24))</f>
        <v/>
      </c>
      <c r="E307" s="20">
        <f>COUNTIFS(tData[SEHTrajectPeriodeDatumTijdVan],"&lt;="&amp;($A307+1/24),tData[SEHTrajectPeriodeDatumTijdTotEnMet],"&gt;"&amp;($A307+1/24))</f>
        <v/>
      </c>
      <c r="F307" s="20">
        <f>COUNTIFS(tData[SEHTrajectPeriodeDatumTijdVan],"&lt;="&amp;($A307+2/24),tData[SEHTrajectPeriodeDatumTijdTotEnMet],"&gt;"&amp;($A307+2/24))</f>
        <v/>
      </c>
      <c r="G307" s="20">
        <f>COUNTIFS(tData[SEHTrajectPeriodeDatumTijdVan],"&lt;="&amp;($A307+3/24),tData[SEHTrajectPeriodeDatumTijdTotEnMet],"&gt;"&amp;($A307+3/24))</f>
        <v/>
      </c>
      <c r="H307" s="20">
        <f>COUNTIFS(tData[SEHTrajectPeriodeDatumTijdVan],"&lt;="&amp;($A307+4/24),tData[SEHTrajectPeriodeDatumTijdTotEnMet],"&gt;"&amp;($A307+4/24))</f>
        <v/>
      </c>
      <c r="I307" s="20">
        <f>COUNTIFS(tData[SEHTrajectPeriodeDatumTijdVan],"&lt;="&amp;($A307+5/24),tData[SEHTrajectPeriodeDatumTijdTotEnMet],"&gt;"&amp;($A307+5/24))</f>
        <v/>
      </c>
      <c r="J307" s="20">
        <f>COUNTIFS(tData[SEHTrajectPeriodeDatumTijdVan],"&lt;="&amp;($A307+6/24),tData[SEHTrajectPeriodeDatumTijdTotEnMet],"&gt;"&amp;($A307+6/24))</f>
        <v/>
      </c>
      <c r="K307" s="20">
        <f>COUNTIFS(tData[SEHTrajectPeriodeDatumTijdVan],"&lt;="&amp;($A307+7/24),tData[SEHTrajectPeriodeDatumTijdTotEnMet],"&gt;"&amp;($A307+7/24))</f>
        <v/>
      </c>
      <c r="L307" s="20">
        <f>COUNTIFS(tData[SEHTrajectPeriodeDatumTijdVan],"&lt;="&amp;($A307+8/24),tData[SEHTrajectPeriodeDatumTijdTotEnMet],"&gt;"&amp;($A307+8/24))</f>
        <v/>
      </c>
      <c r="M307" s="20">
        <f>COUNTIFS(tData[SEHTrajectPeriodeDatumTijdVan],"&lt;="&amp;($A307+9/24),tData[SEHTrajectPeriodeDatumTijdTotEnMet],"&gt;"&amp;($A307+9/24))</f>
        <v/>
      </c>
      <c r="N307" s="20">
        <f>COUNTIFS(tData[SEHTrajectPeriodeDatumTijdVan],"&lt;="&amp;($A307+10/24),tData[SEHTrajectPeriodeDatumTijdTotEnMet],"&gt;"&amp;($A307+10/24))</f>
        <v/>
      </c>
      <c r="O307" s="20">
        <f>COUNTIFS(tData[SEHTrajectPeriodeDatumTijdVan],"&lt;="&amp;($A307+11/24),tData[SEHTrajectPeriodeDatumTijdTotEnMet],"&gt;"&amp;($A307+11/24))</f>
        <v/>
      </c>
      <c r="P307" s="20">
        <f>COUNTIFS(tData[SEHTrajectPeriodeDatumTijdVan],"&lt;="&amp;($A307+12/24),tData[SEHTrajectPeriodeDatumTijdTotEnMet],"&gt;"&amp;($A307+12/24))</f>
        <v/>
      </c>
      <c r="Q307" s="20">
        <f>COUNTIFS(tData[SEHTrajectPeriodeDatumTijdVan],"&lt;="&amp;($A307+13/24),tData[SEHTrajectPeriodeDatumTijdTotEnMet],"&gt;"&amp;($A307+13/24))</f>
        <v/>
      </c>
      <c r="R307" s="20">
        <f>COUNTIFS(tData[SEHTrajectPeriodeDatumTijdVan],"&lt;="&amp;($A307+14/24),tData[SEHTrajectPeriodeDatumTijdTotEnMet],"&gt;"&amp;($A307+14/24))</f>
        <v/>
      </c>
      <c r="S307" s="20">
        <f>COUNTIFS(tData[SEHTrajectPeriodeDatumTijdVan],"&lt;="&amp;($A307+15/24),tData[SEHTrajectPeriodeDatumTijdTotEnMet],"&gt;"&amp;($A307+15/24))</f>
        <v/>
      </c>
      <c r="T307" s="20">
        <f>COUNTIFS(tData[SEHTrajectPeriodeDatumTijdVan],"&lt;="&amp;($A307+16/24),tData[SEHTrajectPeriodeDatumTijdTotEnMet],"&gt;"&amp;($A307+16/24))</f>
        <v/>
      </c>
      <c r="U307" s="20">
        <f>COUNTIFS(tData[SEHTrajectPeriodeDatumTijdVan],"&lt;="&amp;($A307+17/24),tData[SEHTrajectPeriodeDatumTijdTotEnMet],"&gt;"&amp;($A307+17/24))</f>
        <v/>
      </c>
      <c r="V307" s="20">
        <f>COUNTIFS(tData[SEHTrajectPeriodeDatumTijdVan],"&lt;="&amp;($A307+18/24),tData[SEHTrajectPeriodeDatumTijdTotEnMet],"&gt;"&amp;($A307+18/24))</f>
        <v/>
      </c>
      <c r="W307" s="20">
        <f>COUNTIFS(tData[SEHTrajectPeriodeDatumTijdVan],"&lt;="&amp;($A307+19/24),tData[SEHTrajectPeriodeDatumTijdTotEnMet],"&gt;"&amp;($A307+19/24))</f>
        <v/>
      </c>
      <c r="X307" s="20">
        <f>COUNTIFS(tData[SEHTrajectPeriodeDatumTijdVan],"&lt;="&amp;($A307+20/24),tData[SEHTrajectPeriodeDatumTijdTotEnMet],"&gt;"&amp;($A307+20/24))</f>
        <v/>
      </c>
      <c r="Y307" s="20">
        <f>COUNTIFS(tData[SEHTrajectPeriodeDatumTijdVan],"&lt;="&amp;($A307+21/24),tData[SEHTrajectPeriodeDatumTijdTotEnMet],"&gt;"&amp;($A307+21/24))</f>
        <v/>
      </c>
      <c r="Z307" s="20">
        <f>COUNTIFS(tData[SEHTrajectPeriodeDatumTijdVan],"&lt;="&amp;($A307+22/24),tData[SEHTrajectPeriodeDatumTijdTotEnMet],"&gt;"&amp;($A307+22/24))</f>
        <v/>
      </c>
      <c r="AA307" s="20">
        <f>COUNTIFS(tData[SEHTrajectPeriodeDatumTijdVan],"&lt;="&amp;($A307+23/24),tData[SEHTrajectPeriodeDatumTijdTotEnMet],"&gt;"&amp;($A307+23/24))</f>
        <v/>
      </c>
    </row>
    <row r="308">
      <c r="A308" s="19" t="n">
        <v>45596</v>
      </c>
      <c r="B308" s="15">
        <f>WEEKDAY($A308,2)</f>
        <v/>
      </c>
      <c r="C308" s="15">
        <f>IF(AND($A308&gt;=INT(Instellingen!$B$5),$A308&lt;=INT(Instellingen!$B$6)),1,0)</f>
        <v/>
      </c>
      <c r="D308" s="20">
        <f>COUNTIFS(tData[SEHTrajectPeriodeDatumTijdVan],"&lt;="&amp;($A308+0/24),tData[SEHTrajectPeriodeDatumTijdTotEnMet],"&gt;"&amp;($A308+0/24))</f>
        <v/>
      </c>
      <c r="E308" s="20">
        <f>COUNTIFS(tData[SEHTrajectPeriodeDatumTijdVan],"&lt;="&amp;($A308+1/24),tData[SEHTrajectPeriodeDatumTijdTotEnMet],"&gt;"&amp;($A308+1/24))</f>
        <v/>
      </c>
      <c r="F308" s="20">
        <f>COUNTIFS(tData[SEHTrajectPeriodeDatumTijdVan],"&lt;="&amp;($A308+2/24),tData[SEHTrajectPeriodeDatumTijdTotEnMet],"&gt;"&amp;($A308+2/24))</f>
        <v/>
      </c>
      <c r="G308" s="20">
        <f>COUNTIFS(tData[SEHTrajectPeriodeDatumTijdVan],"&lt;="&amp;($A308+3/24),tData[SEHTrajectPeriodeDatumTijdTotEnMet],"&gt;"&amp;($A308+3/24))</f>
        <v/>
      </c>
      <c r="H308" s="20">
        <f>COUNTIFS(tData[SEHTrajectPeriodeDatumTijdVan],"&lt;="&amp;($A308+4/24),tData[SEHTrajectPeriodeDatumTijdTotEnMet],"&gt;"&amp;($A308+4/24))</f>
        <v/>
      </c>
      <c r="I308" s="20">
        <f>COUNTIFS(tData[SEHTrajectPeriodeDatumTijdVan],"&lt;="&amp;($A308+5/24),tData[SEHTrajectPeriodeDatumTijdTotEnMet],"&gt;"&amp;($A308+5/24))</f>
        <v/>
      </c>
      <c r="J308" s="20">
        <f>COUNTIFS(tData[SEHTrajectPeriodeDatumTijdVan],"&lt;="&amp;($A308+6/24),tData[SEHTrajectPeriodeDatumTijdTotEnMet],"&gt;"&amp;($A308+6/24))</f>
        <v/>
      </c>
      <c r="K308" s="20">
        <f>COUNTIFS(tData[SEHTrajectPeriodeDatumTijdVan],"&lt;="&amp;($A308+7/24),tData[SEHTrajectPeriodeDatumTijdTotEnMet],"&gt;"&amp;($A308+7/24))</f>
        <v/>
      </c>
      <c r="L308" s="20">
        <f>COUNTIFS(tData[SEHTrajectPeriodeDatumTijdVan],"&lt;="&amp;($A308+8/24),tData[SEHTrajectPeriodeDatumTijdTotEnMet],"&gt;"&amp;($A308+8/24))</f>
        <v/>
      </c>
      <c r="M308" s="20">
        <f>COUNTIFS(tData[SEHTrajectPeriodeDatumTijdVan],"&lt;="&amp;($A308+9/24),tData[SEHTrajectPeriodeDatumTijdTotEnMet],"&gt;"&amp;($A308+9/24))</f>
        <v/>
      </c>
      <c r="N308" s="20">
        <f>COUNTIFS(tData[SEHTrajectPeriodeDatumTijdVan],"&lt;="&amp;($A308+10/24),tData[SEHTrajectPeriodeDatumTijdTotEnMet],"&gt;"&amp;($A308+10/24))</f>
        <v/>
      </c>
      <c r="O308" s="20">
        <f>COUNTIFS(tData[SEHTrajectPeriodeDatumTijdVan],"&lt;="&amp;($A308+11/24),tData[SEHTrajectPeriodeDatumTijdTotEnMet],"&gt;"&amp;($A308+11/24))</f>
        <v/>
      </c>
      <c r="P308" s="20">
        <f>COUNTIFS(tData[SEHTrajectPeriodeDatumTijdVan],"&lt;="&amp;($A308+12/24),tData[SEHTrajectPeriodeDatumTijdTotEnMet],"&gt;"&amp;($A308+12/24))</f>
        <v/>
      </c>
      <c r="Q308" s="20">
        <f>COUNTIFS(tData[SEHTrajectPeriodeDatumTijdVan],"&lt;="&amp;($A308+13/24),tData[SEHTrajectPeriodeDatumTijdTotEnMet],"&gt;"&amp;($A308+13/24))</f>
        <v/>
      </c>
      <c r="R308" s="20">
        <f>COUNTIFS(tData[SEHTrajectPeriodeDatumTijdVan],"&lt;="&amp;($A308+14/24),tData[SEHTrajectPeriodeDatumTijdTotEnMet],"&gt;"&amp;($A308+14/24))</f>
        <v/>
      </c>
      <c r="S308" s="20">
        <f>COUNTIFS(tData[SEHTrajectPeriodeDatumTijdVan],"&lt;="&amp;($A308+15/24),tData[SEHTrajectPeriodeDatumTijdTotEnMet],"&gt;"&amp;($A308+15/24))</f>
        <v/>
      </c>
      <c r="T308" s="20">
        <f>COUNTIFS(tData[SEHTrajectPeriodeDatumTijdVan],"&lt;="&amp;($A308+16/24),tData[SEHTrajectPeriodeDatumTijdTotEnMet],"&gt;"&amp;($A308+16/24))</f>
        <v/>
      </c>
      <c r="U308" s="20">
        <f>COUNTIFS(tData[SEHTrajectPeriodeDatumTijdVan],"&lt;="&amp;($A308+17/24),tData[SEHTrajectPeriodeDatumTijdTotEnMet],"&gt;"&amp;($A308+17/24))</f>
        <v/>
      </c>
      <c r="V308" s="20">
        <f>COUNTIFS(tData[SEHTrajectPeriodeDatumTijdVan],"&lt;="&amp;($A308+18/24),tData[SEHTrajectPeriodeDatumTijdTotEnMet],"&gt;"&amp;($A308+18/24))</f>
        <v/>
      </c>
      <c r="W308" s="20">
        <f>COUNTIFS(tData[SEHTrajectPeriodeDatumTijdVan],"&lt;="&amp;($A308+19/24),tData[SEHTrajectPeriodeDatumTijdTotEnMet],"&gt;"&amp;($A308+19/24))</f>
        <v/>
      </c>
      <c r="X308" s="20">
        <f>COUNTIFS(tData[SEHTrajectPeriodeDatumTijdVan],"&lt;="&amp;($A308+20/24),tData[SEHTrajectPeriodeDatumTijdTotEnMet],"&gt;"&amp;($A308+20/24))</f>
        <v/>
      </c>
      <c r="Y308" s="20">
        <f>COUNTIFS(tData[SEHTrajectPeriodeDatumTijdVan],"&lt;="&amp;($A308+21/24),tData[SEHTrajectPeriodeDatumTijdTotEnMet],"&gt;"&amp;($A308+21/24))</f>
        <v/>
      </c>
      <c r="Z308" s="20">
        <f>COUNTIFS(tData[SEHTrajectPeriodeDatumTijdVan],"&lt;="&amp;($A308+22/24),tData[SEHTrajectPeriodeDatumTijdTotEnMet],"&gt;"&amp;($A308+22/24))</f>
        <v/>
      </c>
      <c r="AA308" s="20">
        <f>COUNTIFS(tData[SEHTrajectPeriodeDatumTijdVan],"&lt;="&amp;($A308+23/24),tData[SEHTrajectPeriodeDatumTijdTotEnMet],"&gt;"&amp;($A308+23/24))</f>
        <v/>
      </c>
    </row>
    <row r="309">
      <c r="A309" s="19" t="n">
        <v>45597</v>
      </c>
      <c r="B309" s="15">
        <f>WEEKDAY($A309,2)</f>
        <v/>
      </c>
      <c r="C309" s="15">
        <f>IF(AND($A309&gt;=INT(Instellingen!$B$5),$A309&lt;=INT(Instellingen!$B$6)),1,0)</f>
        <v/>
      </c>
      <c r="D309" s="20">
        <f>COUNTIFS(tData[SEHTrajectPeriodeDatumTijdVan],"&lt;="&amp;($A309+0/24),tData[SEHTrajectPeriodeDatumTijdTotEnMet],"&gt;"&amp;($A309+0/24))</f>
        <v/>
      </c>
      <c r="E309" s="20">
        <f>COUNTIFS(tData[SEHTrajectPeriodeDatumTijdVan],"&lt;="&amp;($A309+1/24),tData[SEHTrajectPeriodeDatumTijdTotEnMet],"&gt;"&amp;($A309+1/24))</f>
        <v/>
      </c>
      <c r="F309" s="20">
        <f>COUNTIFS(tData[SEHTrajectPeriodeDatumTijdVan],"&lt;="&amp;($A309+2/24),tData[SEHTrajectPeriodeDatumTijdTotEnMet],"&gt;"&amp;($A309+2/24))</f>
        <v/>
      </c>
      <c r="G309" s="20">
        <f>COUNTIFS(tData[SEHTrajectPeriodeDatumTijdVan],"&lt;="&amp;($A309+3/24),tData[SEHTrajectPeriodeDatumTijdTotEnMet],"&gt;"&amp;($A309+3/24))</f>
        <v/>
      </c>
      <c r="H309" s="20">
        <f>COUNTIFS(tData[SEHTrajectPeriodeDatumTijdVan],"&lt;="&amp;($A309+4/24),tData[SEHTrajectPeriodeDatumTijdTotEnMet],"&gt;"&amp;($A309+4/24))</f>
        <v/>
      </c>
      <c r="I309" s="20">
        <f>COUNTIFS(tData[SEHTrajectPeriodeDatumTijdVan],"&lt;="&amp;($A309+5/24),tData[SEHTrajectPeriodeDatumTijdTotEnMet],"&gt;"&amp;($A309+5/24))</f>
        <v/>
      </c>
      <c r="J309" s="20">
        <f>COUNTIFS(tData[SEHTrajectPeriodeDatumTijdVan],"&lt;="&amp;($A309+6/24),tData[SEHTrajectPeriodeDatumTijdTotEnMet],"&gt;"&amp;($A309+6/24))</f>
        <v/>
      </c>
      <c r="K309" s="20">
        <f>COUNTIFS(tData[SEHTrajectPeriodeDatumTijdVan],"&lt;="&amp;($A309+7/24),tData[SEHTrajectPeriodeDatumTijdTotEnMet],"&gt;"&amp;($A309+7/24))</f>
        <v/>
      </c>
      <c r="L309" s="20">
        <f>COUNTIFS(tData[SEHTrajectPeriodeDatumTijdVan],"&lt;="&amp;($A309+8/24),tData[SEHTrajectPeriodeDatumTijdTotEnMet],"&gt;"&amp;($A309+8/24))</f>
        <v/>
      </c>
      <c r="M309" s="20">
        <f>COUNTIFS(tData[SEHTrajectPeriodeDatumTijdVan],"&lt;="&amp;($A309+9/24),tData[SEHTrajectPeriodeDatumTijdTotEnMet],"&gt;"&amp;($A309+9/24))</f>
        <v/>
      </c>
      <c r="N309" s="20">
        <f>COUNTIFS(tData[SEHTrajectPeriodeDatumTijdVan],"&lt;="&amp;($A309+10/24),tData[SEHTrajectPeriodeDatumTijdTotEnMet],"&gt;"&amp;($A309+10/24))</f>
        <v/>
      </c>
      <c r="O309" s="20">
        <f>COUNTIFS(tData[SEHTrajectPeriodeDatumTijdVan],"&lt;="&amp;($A309+11/24),tData[SEHTrajectPeriodeDatumTijdTotEnMet],"&gt;"&amp;($A309+11/24))</f>
        <v/>
      </c>
      <c r="P309" s="20">
        <f>COUNTIFS(tData[SEHTrajectPeriodeDatumTijdVan],"&lt;="&amp;($A309+12/24),tData[SEHTrajectPeriodeDatumTijdTotEnMet],"&gt;"&amp;($A309+12/24))</f>
        <v/>
      </c>
      <c r="Q309" s="20">
        <f>COUNTIFS(tData[SEHTrajectPeriodeDatumTijdVan],"&lt;="&amp;($A309+13/24),tData[SEHTrajectPeriodeDatumTijdTotEnMet],"&gt;"&amp;($A309+13/24))</f>
        <v/>
      </c>
      <c r="R309" s="20">
        <f>COUNTIFS(tData[SEHTrajectPeriodeDatumTijdVan],"&lt;="&amp;($A309+14/24),tData[SEHTrajectPeriodeDatumTijdTotEnMet],"&gt;"&amp;($A309+14/24))</f>
        <v/>
      </c>
      <c r="S309" s="20">
        <f>COUNTIFS(tData[SEHTrajectPeriodeDatumTijdVan],"&lt;="&amp;($A309+15/24),tData[SEHTrajectPeriodeDatumTijdTotEnMet],"&gt;"&amp;($A309+15/24))</f>
        <v/>
      </c>
      <c r="T309" s="20">
        <f>COUNTIFS(tData[SEHTrajectPeriodeDatumTijdVan],"&lt;="&amp;($A309+16/24),tData[SEHTrajectPeriodeDatumTijdTotEnMet],"&gt;"&amp;($A309+16/24))</f>
        <v/>
      </c>
      <c r="U309" s="20">
        <f>COUNTIFS(tData[SEHTrajectPeriodeDatumTijdVan],"&lt;="&amp;($A309+17/24),tData[SEHTrajectPeriodeDatumTijdTotEnMet],"&gt;"&amp;($A309+17/24))</f>
        <v/>
      </c>
      <c r="V309" s="20">
        <f>COUNTIFS(tData[SEHTrajectPeriodeDatumTijdVan],"&lt;="&amp;($A309+18/24),tData[SEHTrajectPeriodeDatumTijdTotEnMet],"&gt;"&amp;($A309+18/24))</f>
        <v/>
      </c>
      <c r="W309" s="20">
        <f>COUNTIFS(tData[SEHTrajectPeriodeDatumTijdVan],"&lt;="&amp;($A309+19/24),tData[SEHTrajectPeriodeDatumTijdTotEnMet],"&gt;"&amp;($A309+19/24))</f>
        <v/>
      </c>
      <c r="X309" s="20">
        <f>COUNTIFS(tData[SEHTrajectPeriodeDatumTijdVan],"&lt;="&amp;($A309+20/24),tData[SEHTrajectPeriodeDatumTijdTotEnMet],"&gt;"&amp;($A309+20/24))</f>
        <v/>
      </c>
      <c r="Y309" s="20">
        <f>COUNTIFS(tData[SEHTrajectPeriodeDatumTijdVan],"&lt;="&amp;($A309+21/24),tData[SEHTrajectPeriodeDatumTijdTotEnMet],"&gt;"&amp;($A309+21/24))</f>
        <v/>
      </c>
      <c r="Z309" s="20">
        <f>COUNTIFS(tData[SEHTrajectPeriodeDatumTijdVan],"&lt;="&amp;($A309+22/24),tData[SEHTrajectPeriodeDatumTijdTotEnMet],"&gt;"&amp;($A309+22/24))</f>
        <v/>
      </c>
      <c r="AA309" s="20">
        <f>COUNTIFS(tData[SEHTrajectPeriodeDatumTijdVan],"&lt;="&amp;($A309+23/24),tData[SEHTrajectPeriodeDatumTijdTotEnMet],"&gt;"&amp;($A309+23/24))</f>
        <v/>
      </c>
    </row>
    <row r="310">
      <c r="A310" s="19" t="n">
        <v>45598</v>
      </c>
      <c r="B310" s="15">
        <f>WEEKDAY($A310,2)</f>
        <v/>
      </c>
      <c r="C310" s="15">
        <f>IF(AND($A310&gt;=INT(Instellingen!$B$5),$A310&lt;=INT(Instellingen!$B$6)),1,0)</f>
        <v/>
      </c>
      <c r="D310" s="20">
        <f>COUNTIFS(tData[SEHTrajectPeriodeDatumTijdVan],"&lt;="&amp;($A310+0/24),tData[SEHTrajectPeriodeDatumTijdTotEnMet],"&gt;"&amp;($A310+0/24))</f>
        <v/>
      </c>
      <c r="E310" s="20">
        <f>COUNTIFS(tData[SEHTrajectPeriodeDatumTijdVan],"&lt;="&amp;($A310+1/24),tData[SEHTrajectPeriodeDatumTijdTotEnMet],"&gt;"&amp;($A310+1/24))</f>
        <v/>
      </c>
      <c r="F310" s="20">
        <f>COUNTIFS(tData[SEHTrajectPeriodeDatumTijdVan],"&lt;="&amp;($A310+2/24),tData[SEHTrajectPeriodeDatumTijdTotEnMet],"&gt;"&amp;($A310+2/24))</f>
        <v/>
      </c>
      <c r="G310" s="20">
        <f>COUNTIFS(tData[SEHTrajectPeriodeDatumTijdVan],"&lt;="&amp;($A310+3/24),tData[SEHTrajectPeriodeDatumTijdTotEnMet],"&gt;"&amp;($A310+3/24))</f>
        <v/>
      </c>
      <c r="H310" s="20">
        <f>COUNTIFS(tData[SEHTrajectPeriodeDatumTijdVan],"&lt;="&amp;($A310+4/24),tData[SEHTrajectPeriodeDatumTijdTotEnMet],"&gt;"&amp;($A310+4/24))</f>
        <v/>
      </c>
      <c r="I310" s="20">
        <f>COUNTIFS(tData[SEHTrajectPeriodeDatumTijdVan],"&lt;="&amp;($A310+5/24),tData[SEHTrajectPeriodeDatumTijdTotEnMet],"&gt;"&amp;($A310+5/24))</f>
        <v/>
      </c>
      <c r="J310" s="20">
        <f>COUNTIFS(tData[SEHTrajectPeriodeDatumTijdVan],"&lt;="&amp;($A310+6/24),tData[SEHTrajectPeriodeDatumTijdTotEnMet],"&gt;"&amp;($A310+6/24))</f>
        <v/>
      </c>
      <c r="K310" s="20">
        <f>COUNTIFS(tData[SEHTrajectPeriodeDatumTijdVan],"&lt;="&amp;($A310+7/24),tData[SEHTrajectPeriodeDatumTijdTotEnMet],"&gt;"&amp;($A310+7/24))</f>
        <v/>
      </c>
      <c r="L310" s="20">
        <f>COUNTIFS(tData[SEHTrajectPeriodeDatumTijdVan],"&lt;="&amp;($A310+8/24),tData[SEHTrajectPeriodeDatumTijdTotEnMet],"&gt;"&amp;($A310+8/24))</f>
        <v/>
      </c>
      <c r="M310" s="20">
        <f>COUNTIFS(tData[SEHTrajectPeriodeDatumTijdVan],"&lt;="&amp;($A310+9/24),tData[SEHTrajectPeriodeDatumTijdTotEnMet],"&gt;"&amp;($A310+9/24))</f>
        <v/>
      </c>
      <c r="N310" s="20">
        <f>COUNTIFS(tData[SEHTrajectPeriodeDatumTijdVan],"&lt;="&amp;($A310+10/24),tData[SEHTrajectPeriodeDatumTijdTotEnMet],"&gt;"&amp;($A310+10/24))</f>
        <v/>
      </c>
      <c r="O310" s="20">
        <f>COUNTIFS(tData[SEHTrajectPeriodeDatumTijdVan],"&lt;="&amp;($A310+11/24),tData[SEHTrajectPeriodeDatumTijdTotEnMet],"&gt;"&amp;($A310+11/24))</f>
        <v/>
      </c>
      <c r="P310" s="20">
        <f>COUNTIFS(tData[SEHTrajectPeriodeDatumTijdVan],"&lt;="&amp;($A310+12/24),tData[SEHTrajectPeriodeDatumTijdTotEnMet],"&gt;"&amp;($A310+12/24))</f>
        <v/>
      </c>
      <c r="Q310" s="20">
        <f>COUNTIFS(tData[SEHTrajectPeriodeDatumTijdVan],"&lt;="&amp;($A310+13/24),tData[SEHTrajectPeriodeDatumTijdTotEnMet],"&gt;"&amp;($A310+13/24))</f>
        <v/>
      </c>
      <c r="R310" s="20">
        <f>COUNTIFS(tData[SEHTrajectPeriodeDatumTijdVan],"&lt;="&amp;($A310+14/24),tData[SEHTrajectPeriodeDatumTijdTotEnMet],"&gt;"&amp;($A310+14/24))</f>
        <v/>
      </c>
      <c r="S310" s="20">
        <f>COUNTIFS(tData[SEHTrajectPeriodeDatumTijdVan],"&lt;="&amp;($A310+15/24),tData[SEHTrajectPeriodeDatumTijdTotEnMet],"&gt;"&amp;($A310+15/24))</f>
        <v/>
      </c>
      <c r="T310" s="20">
        <f>COUNTIFS(tData[SEHTrajectPeriodeDatumTijdVan],"&lt;="&amp;($A310+16/24),tData[SEHTrajectPeriodeDatumTijdTotEnMet],"&gt;"&amp;($A310+16/24))</f>
        <v/>
      </c>
      <c r="U310" s="20">
        <f>COUNTIFS(tData[SEHTrajectPeriodeDatumTijdVan],"&lt;="&amp;($A310+17/24),tData[SEHTrajectPeriodeDatumTijdTotEnMet],"&gt;"&amp;($A310+17/24))</f>
        <v/>
      </c>
      <c r="V310" s="20">
        <f>COUNTIFS(tData[SEHTrajectPeriodeDatumTijdVan],"&lt;="&amp;($A310+18/24),tData[SEHTrajectPeriodeDatumTijdTotEnMet],"&gt;"&amp;($A310+18/24))</f>
        <v/>
      </c>
      <c r="W310" s="20">
        <f>COUNTIFS(tData[SEHTrajectPeriodeDatumTijdVan],"&lt;="&amp;($A310+19/24),tData[SEHTrajectPeriodeDatumTijdTotEnMet],"&gt;"&amp;($A310+19/24))</f>
        <v/>
      </c>
      <c r="X310" s="20">
        <f>COUNTIFS(tData[SEHTrajectPeriodeDatumTijdVan],"&lt;="&amp;($A310+20/24),tData[SEHTrajectPeriodeDatumTijdTotEnMet],"&gt;"&amp;($A310+20/24))</f>
        <v/>
      </c>
      <c r="Y310" s="20">
        <f>COUNTIFS(tData[SEHTrajectPeriodeDatumTijdVan],"&lt;="&amp;($A310+21/24),tData[SEHTrajectPeriodeDatumTijdTotEnMet],"&gt;"&amp;($A310+21/24))</f>
        <v/>
      </c>
      <c r="Z310" s="20">
        <f>COUNTIFS(tData[SEHTrajectPeriodeDatumTijdVan],"&lt;="&amp;($A310+22/24),tData[SEHTrajectPeriodeDatumTijdTotEnMet],"&gt;"&amp;($A310+22/24))</f>
        <v/>
      </c>
      <c r="AA310" s="20">
        <f>COUNTIFS(tData[SEHTrajectPeriodeDatumTijdVan],"&lt;="&amp;($A310+23/24),tData[SEHTrajectPeriodeDatumTijdTotEnMet],"&gt;"&amp;($A310+23/24))</f>
        <v/>
      </c>
    </row>
    <row r="311">
      <c r="A311" s="19" t="n">
        <v>45599</v>
      </c>
      <c r="B311" s="15">
        <f>WEEKDAY($A311,2)</f>
        <v/>
      </c>
      <c r="C311" s="15">
        <f>IF(AND($A311&gt;=INT(Instellingen!$B$5),$A311&lt;=INT(Instellingen!$B$6)),1,0)</f>
        <v/>
      </c>
      <c r="D311" s="20">
        <f>COUNTIFS(tData[SEHTrajectPeriodeDatumTijdVan],"&lt;="&amp;($A311+0/24),tData[SEHTrajectPeriodeDatumTijdTotEnMet],"&gt;"&amp;($A311+0/24))</f>
        <v/>
      </c>
      <c r="E311" s="20">
        <f>COUNTIFS(tData[SEHTrajectPeriodeDatumTijdVan],"&lt;="&amp;($A311+1/24),tData[SEHTrajectPeriodeDatumTijdTotEnMet],"&gt;"&amp;($A311+1/24))</f>
        <v/>
      </c>
      <c r="F311" s="20">
        <f>COUNTIFS(tData[SEHTrajectPeriodeDatumTijdVan],"&lt;="&amp;($A311+2/24),tData[SEHTrajectPeriodeDatumTijdTotEnMet],"&gt;"&amp;($A311+2/24))</f>
        <v/>
      </c>
      <c r="G311" s="20">
        <f>COUNTIFS(tData[SEHTrajectPeriodeDatumTijdVan],"&lt;="&amp;($A311+3/24),tData[SEHTrajectPeriodeDatumTijdTotEnMet],"&gt;"&amp;($A311+3/24))</f>
        <v/>
      </c>
      <c r="H311" s="20">
        <f>COUNTIFS(tData[SEHTrajectPeriodeDatumTijdVan],"&lt;="&amp;($A311+4/24),tData[SEHTrajectPeriodeDatumTijdTotEnMet],"&gt;"&amp;($A311+4/24))</f>
        <v/>
      </c>
      <c r="I311" s="20">
        <f>COUNTIFS(tData[SEHTrajectPeriodeDatumTijdVan],"&lt;="&amp;($A311+5/24),tData[SEHTrajectPeriodeDatumTijdTotEnMet],"&gt;"&amp;($A311+5/24))</f>
        <v/>
      </c>
      <c r="J311" s="20">
        <f>COUNTIFS(tData[SEHTrajectPeriodeDatumTijdVan],"&lt;="&amp;($A311+6/24),tData[SEHTrajectPeriodeDatumTijdTotEnMet],"&gt;"&amp;($A311+6/24))</f>
        <v/>
      </c>
      <c r="K311" s="20">
        <f>COUNTIFS(tData[SEHTrajectPeriodeDatumTijdVan],"&lt;="&amp;($A311+7/24),tData[SEHTrajectPeriodeDatumTijdTotEnMet],"&gt;"&amp;($A311+7/24))</f>
        <v/>
      </c>
      <c r="L311" s="20">
        <f>COUNTIFS(tData[SEHTrajectPeriodeDatumTijdVan],"&lt;="&amp;($A311+8/24),tData[SEHTrajectPeriodeDatumTijdTotEnMet],"&gt;"&amp;($A311+8/24))</f>
        <v/>
      </c>
      <c r="M311" s="20">
        <f>COUNTIFS(tData[SEHTrajectPeriodeDatumTijdVan],"&lt;="&amp;($A311+9/24),tData[SEHTrajectPeriodeDatumTijdTotEnMet],"&gt;"&amp;($A311+9/24))</f>
        <v/>
      </c>
      <c r="N311" s="20">
        <f>COUNTIFS(tData[SEHTrajectPeriodeDatumTijdVan],"&lt;="&amp;($A311+10/24),tData[SEHTrajectPeriodeDatumTijdTotEnMet],"&gt;"&amp;($A311+10/24))</f>
        <v/>
      </c>
      <c r="O311" s="20">
        <f>COUNTIFS(tData[SEHTrajectPeriodeDatumTijdVan],"&lt;="&amp;($A311+11/24),tData[SEHTrajectPeriodeDatumTijdTotEnMet],"&gt;"&amp;($A311+11/24))</f>
        <v/>
      </c>
      <c r="P311" s="20">
        <f>COUNTIFS(tData[SEHTrajectPeriodeDatumTijdVan],"&lt;="&amp;($A311+12/24),tData[SEHTrajectPeriodeDatumTijdTotEnMet],"&gt;"&amp;($A311+12/24))</f>
        <v/>
      </c>
      <c r="Q311" s="20">
        <f>COUNTIFS(tData[SEHTrajectPeriodeDatumTijdVan],"&lt;="&amp;($A311+13/24),tData[SEHTrajectPeriodeDatumTijdTotEnMet],"&gt;"&amp;($A311+13/24))</f>
        <v/>
      </c>
      <c r="R311" s="20">
        <f>COUNTIFS(tData[SEHTrajectPeriodeDatumTijdVan],"&lt;="&amp;($A311+14/24),tData[SEHTrajectPeriodeDatumTijdTotEnMet],"&gt;"&amp;($A311+14/24))</f>
        <v/>
      </c>
      <c r="S311" s="20">
        <f>COUNTIFS(tData[SEHTrajectPeriodeDatumTijdVan],"&lt;="&amp;($A311+15/24),tData[SEHTrajectPeriodeDatumTijdTotEnMet],"&gt;"&amp;($A311+15/24))</f>
        <v/>
      </c>
      <c r="T311" s="20">
        <f>COUNTIFS(tData[SEHTrajectPeriodeDatumTijdVan],"&lt;="&amp;($A311+16/24),tData[SEHTrajectPeriodeDatumTijdTotEnMet],"&gt;"&amp;($A311+16/24))</f>
        <v/>
      </c>
      <c r="U311" s="20">
        <f>COUNTIFS(tData[SEHTrajectPeriodeDatumTijdVan],"&lt;="&amp;($A311+17/24),tData[SEHTrajectPeriodeDatumTijdTotEnMet],"&gt;"&amp;($A311+17/24))</f>
        <v/>
      </c>
      <c r="V311" s="20">
        <f>COUNTIFS(tData[SEHTrajectPeriodeDatumTijdVan],"&lt;="&amp;($A311+18/24),tData[SEHTrajectPeriodeDatumTijdTotEnMet],"&gt;"&amp;($A311+18/24))</f>
        <v/>
      </c>
      <c r="W311" s="20">
        <f>COUNTIFS(tData[SEHTrajectPeriodeDatumTijdVan],"&lt;="&amp;($A311+19/24),tData[SEHTrajectPeriodeDatumTijdTotEnMet],"&gt;"&amp;($A311+19/24))</f>
        <v/>
      </c>
      <c r="X311" s="20">
        <f>COUNTIFS(tData[SEHTrajectPeriodeDatumTijdVan],"&lt;="&amp;($A311+20/24),tData[SEHTrajectPeriodeDatumTijdTotEnMet],"&gt;"&amp;($A311+20/24))</f>
        <v/>
      </c>
      <c r="Y311" s="20">
        <f>COUNTIFS(tData[SEHTrajectPeriodeDatumTijdVan],"&lt;="&amp;($A311+21/24),tData[SEHTrajectPeriodeDatumTijdTotEnMet],"&gt;"&amp;($A311+21/24))</f>
        <v/>
      </c>
      <c r="Z311" s="20">
        <f>COUNTIFS(tData[SEHTrajectPeriodeDatumTijdVan],"&lt;="&amp;($A311+22/24),tData[SEHTrajectPeriodeDatumTijdTotEnMet],"&gt;"&amp;($A311+22/24))</f>
        <v/>
      </c>
      <c r="AA311" s="20">
        <f>COUNTIFS(tData[SEHTrajectPeriodeDatumTijdVan],"&lt;="&amp;($A311+23/24),tData[SEHTrajectPeriodeDatumTijdTotEnMet],"&gt;"&amp;($A311+23/24))</f>
        <v/>
      </c>
    </row>
    <row r="312">
      <c r="A312" s="19" t="n">
        <v>45600</v>
      </c>
      <c r="B312" s="15">
        <f>WEEKDAY($A312,2)</f>
        <v/>
      </c>
      <c r="C312" s="15">
        <f>IF(AND($A312&gt;=INT(Instellingen!$B$5),$A312&lt;=INT(Instellingen!$B$6)),1,0)</f>
        <v/>
      </c>
      <c r="D312" s="20">
        <f>COUNTIFS(tData[SEHTrajectPeriodeDatumTijdVan],"&lt;="&amp;($A312+0/24),tData[SEHTrajectPeriodeDatumTijdTotEnMet],"&gt;"&amp;($A312+0/24))</f>
        <v/>
      </c>
      <c r="E312" s="20">
        <f>COUNTIFS(tData[SEHTrajectPeriodeDatumTijdVan],"&lt;="&amp;($A312+1/24),tData[SEHTrajectPeriodeDatumTijdTotEnMet],"&gt;"&amp;($A312+1/24))</f>
        <v/>
      </c>
      <c r="F312" s="20">
        <f>COUNTIFS(tData[SEHTrajectPeriodeDatumTijdVan],"&lt;="&amp;($A312+2/24),tData[SEHTrajectPeriodeDatumTijdTotEnMet],"&gt;"&amp;($A312+2/24))</f>
        <v/>
      </c>
      <c r="G312" s="20">
        <f>COUNTIFS(tData[SEHTrajectPeriodeDatumTijdVan],"&lt;="&amp;($A312+3/24),tData[SEHTrajectPeriodeDatumTijdTotEnMet],"&gt;"&amp;($A312+3/24))</f>
        <v/>
      </c>
      <c r="H312" s="20">
        <f>COUNTIFS(tData[SEHTrajectPeriodeDatumTijdVan],"&lt;="&amp;($A312+4/24),tData[SEHTrajectPeriodeDatumTijdTotEnMet],"&gt;"&amp;($A312+4/24))</f>
        <v/>
      </c>
      <c r="I312" s="20">
        <f>COUNTIFS(tData[SEHTrajectPeriodeDatumTijdVan],"&lt;="&amp;($A312+5/24),tData[SEHTrajectPeriodeDatumTijdTotEnMet],"&gt;"&amp;($A312+5/24))</f>
        <v/>
      </c>
      <c r="J312" s="20">
        <f>COUNTIFS(tData[SEHTrajectPeriodeDatumTijdVan],"&lt;="&amp;($A312+6/24),tData[SEHTrajectPeriodeDatumTijdTotEnMet],"&gt;"&amp;($A312+6/24))</f>
        <v/>
      </c>
      <c r="K312" s="20">
        <f>COUNTIFS(tData[SEHTrajectPeriodeDatumTijdVan],"&lt;="&amp;($A312+7/24),tData[SEHTrajectPeriodeDatumTijdTotEnMet],"&gt;"&amp;($A312+7/24))</f>
        <v/>
      </c>
      <c r="L312" s="20">
        <f>COUNTIFS(tData[SEHTrajectPeriodeDatumTijdVan],"&lt;="&amp;($A312+8/24),tData[SEHTrajectPeriodeDatumTijdTotEnMet],"&gt;"&amp;($A312+8/24))</f>
        <v/>
      </c>
      <c r="M312" s="20">
        <f>COUNTIFS(tData[SEHTrajectPeriodeDatumTijdVan],"&lt;="&amp;($A312+9/24),tData[SEHTrajectPeriodeDatumTijdTotEnMet],"&gt;"&amp;($A312+9/24))</f>
        <v/>
      </c>
      <c r="N312" s="20">
        <f>COUNTIFS(tData[SEHTrajectPeriodeDatumTijdVan],"&lt;="&amp;($A312+10/24),tData[SEHTrajectPeriodeDatumTijdTotEnMet],"&gt;"&amp;($A312+10/24))</f>
        <v/>
      </c>
      <c r="O312" s="20">
        <f>COUNTIFS(tData[SEHTrajectPeriodeDatumTijdVan],"&lt;="&amp;($A312+11/24),tData[SEHTrajectPeriodeDatumTijdTotEnMet],"&gt;"&amp;($A312+11/24))</f>
        <v/>
      </c>
      <c r="P312" s="20">
        <f>COUNTIFS(tData[SEHTrajectPeriodeDatumTijdVan],"&lt;="&amp;($A312+12/24),tData[SEHTrajectPeriodeDatumTijdTotEnMet],"&gt;"&amp;($A312+12/24))</f>
        <v/>
      </c>
      <c r="Q312" s="20">
        <f>COUNTIFS(tData[SEHTrajectPeriodeDatumTijdVan],"&lt;="&amp;($A312+13/24),tData[SEHTrajectPeriodeDatumTijdTotEnMet],"&gt;"&amp;($A312+13/24))</f>
        <v/>
      </c>
      <c r="R312" s="20">
        <f>COUNTIFS(tData[SEHTrajectPeriodeDatumTijdVan],"&lt;="&amp;($A312+14/24),tData[SEHTrajectPeriodeDatumTijdTotEnMet],"&gt;"&amp;($A312+14/24))</f>
        <v/>
      </c>
      <c r="S312" s="20">
        <f>COUNTIFS(tData[SEHTrajectPeriodeDatumTijdVan],"&lt;="&amp;($A312+15/24),tData[SEHTrajectPeriodeDatumTijdTotEnMet],"&gt;"&amp;($A312+15/24))</f>
        <v/>
      </c>
      <c r="T312" s="20">
        <f>COUNTIFS(tData[SEHTrajectPeriodeDatumTijdVan],"&lt;="&amp;($A312+16/24),tData[SEHTrajectPeriodeDatumTijdTotEnMet],"&gt;"&amp;($A312+16/24))</f>
        <v/>
      </c>
      <c r="U312" s="20">
        <f>COUNTIFS(tData[SEHTrajectPeriodeDatumTijdVan],"&lt;="&amp;($A312+17/24),tData[SEHTrajectPeriodeDatumTijdTotEnMet],"&gt;"&amp;($A312+17/24))</f>
        <v/>
      </c>
      <c r="V312" s="20">
        <f>COUNTIFS(tData[SEHTrajectPeriodeDatumTijdVan],"&lt;="&amp;($A312+18/24),tData[SEHTrajectPeriodeDatumTijdTotEnMet],"&gt;"&amp;($A312+18/24))</f>
        <v/>
      </c>
      <c r="W312" s="20">
        <f>COUNTIFS(tData[SEHTrajectPeriodeDatumTijdVan],"&lt;="&amp;($A312+19/24),tData[SEHTrajectPeriodeDatumTijdTotEnMet],"&gt;"&amp;($A312+19/24))</f>
        <v/>
      </c>
      <c r="X312" s="20">
        <f>COUNTIFS(tData[SEHTrajectPeriodeDatumTijdVan],"&lt;="&amp;($A312+20/24),tData[SEHTrajectPeriodeDatumTijdTotEnMet],"&gt;"&amp;($A312+20/24))</f>
        <v/>
      </c>
      <c r="Y312" s="20">
        <f>COUNTIFS(tData[SEHTrajectPeriodeDatumTijdVan],"&lt;="&amp;($A312+21/24),tData[SEHTrajectPeriodeDatumTijdTotEnMet],"&gt;"&amp;($A312+21/24))</f>
        <v/>
      </c>
      <c r="Z312" s="20">
        <f>COUNTIFS(tData[SEHTrajectPeriodeDatumTijdVan],"&lt;="&amp;($A312+22/24),tData[SEHTrajectPeriodeDatumTijdTotEnMet],"&gt;"&amp;($A312+22/24))</f>
        <v/>
      </c>
      <c r="AA312" s="20">
        <f>COUNTIFS(tData[SEHTrajectPeriodeDatumTijdVan],"&lt;="&amp;($A312+23/24),tData[SEHTrajectPeriodeDatumTijdTotEnMet],"&gt;"&amp;($A312+23/24))</f>
        <v/>
      </c>
    </row>
    <row r="313">
      <c r="A313" s="19" t="n">
        <v>45601</v>
      </c>
      <c r="B313" s="15">
        <f>WEEKDAY($A313,2)</f>
        <v/>
      </c>
      <c r="C313" s="15">
        <f>IF(AND($A313&gt;=INT(Instellingen!$B$5),$A313&lt;=INT(Instellingen!$B$6)),1,0)</f>
        <v/>
      </c>
      <c r="D313" s="20">
        <f>COUNTIFS(tData[SEHTrajectPeriodeDatumTijdVan],"&lt;="&amp;($A313+0/24),tData[SEHTrajectPeriodeDatumTijdTotEnMet],"&gt;"&amp;($A313+0/24))</f>
        <v/>
      </c>
      <c r="E313" s="20">
        <f>COUNTIFS(tData[SEHTrajectPeriodeDatumTijdVan],"&lt;="&amp;($A313+1/24),tData[SEHTrajectPeriodeDatumTijdTotEnMet],"&gt;"&amp;($A313+1/24))</f>
        <v/>
      </c>
      <c r="F313" s="20">
        <f>COUNTIFS(tData[SEHTrajectPeriodeDatumTijdVan],"&lt;="&amp;($A313+2/24),tData[SEHTrajectPeriodeDatumTijdTotEnMet],"&gt;"&amp;($A313+2/24))</f>
        <v/>
      </c>
      <c r="G313" s="20">
        <f>COUNTIFS(tData[SEHTrajectPeriodeDatumTijdVan],"&lt;="&amp;($A313+3/24),tData[SEHTrajectPeriodeDatumTijdTotEnMet],"&gt;"&amp;($A313+3/24))</f>
        <v/>
      </c>
      <c r="H313" s="20">
        <f>COUNTIFS(tData[SEHTrajectPeriodeDatumTijdVan],"&lt;="&amp;($A313+4/24),tData[SEHTrajectPeriodeDatumTijdTotEnMet],"&gt;"&amp;($A313+4/24))</f>
        <v/>
      </c>
      <c r="I313" s="20">
        <f>COUNTIFS(tData[SEHTrajectPeriodeDatumTijdVan],"&lt;="&amp;($A313+5/24),tData[SEHTrajectPeriodeDatumTijdTotEnMet],"&gt;"&amp;($A313+5/24))</f>
        <v/>
      </c>
      <c r="J313" s="20">
        <f>COUNTIFS(tData[SEHTrajectPeriodeDatumTijdVan],"&lt;="&amp;($A313+6/24),tData[SEHTrajectPeriodeDatumTijdTotEnMet],"&gt;"&amp;($A313+6/24))</f>
        <v/>
      </c>
      <c r="K313" s="20">
        <f>COUNTIFS(tData[SEHTrajectPeriodeDatumTijdVan],"&lt;="&amp;($A313+7/24),tData[SEHTrajectPeriodeDatumTijdTotEnMet],"&gt;"&amp;($A313+7/24))</f>
        <v/>
      </c>
      <c r="L313" s="20">
        <f>COUNTIFS(tData[SEHTrajectPeriodeDatumTijdVan],"&lt;="&amp;($A313+8/24),tData[SEHTrajectPeriodeDatumTijdTotEnMet],"&gt;"&amp;($A313+8/24))</f>
        <v/>
      </c>
      <c r="M313" s="20">
        <f>COUNTIFS(tData[SEHTrajectPeriodeDatumTijdVan],"&lt;="&amp;($A313+9/24),tData[SEHTrajectPeriodeDatumTijdTotEnMet],"&gt;"&amp;($A313+9/24))</f>
        <v/>
      </c>
      <c r="N313" s="20">
        <f>COUNTIFS(tData[SEHTrajectPeriodeDatumTijdVan],"&lt;="&amp;($A313+10/24),tData[SEHTrajectPeriodeDatumTijdTotEnMet],"&gt;"&amp;($A313+10/24))</f>
        <v/>
      </c>
      <c r="O313" s="20">
        <f>COUNTIFS(tData[SEHTrajectPeriodeDatumTijdVan],"&lt;="&amp;($A313+11/24),tData[SEHTrajectPeriodeDatumTijdTotEnMet],"&gt;"&amp;($A313+11/24))</f>
        <v/>
      </c>
      <c r="P313" s="20">
        <f>COUNTIFS(tData[SEHTrajectPeriodeDatumTijdVan],"&lt;="&amp;($A313+12/24),tData[SEHTrajectPeriodeDatumTijdTotEnMet],"&gt;"&amp;($A313+12/24))</f>
        <v/>
      </c>
      <c r="Q313" s="20">
        <f>COUNTIFS(tData[SEHTrajectPeriodeDatumTijdVan],"&lt;="&amp;($A313+13/24),tData[SEHTrajectPeriodeDatumTijdTotEnMet],"&gt;"&amp;($A313+13/24))</f>
        <v/>
      </c>
      <c r="R313" s="20">
        <f>COUNTIFS(tData[SEHTrajectPeriodeDatumTijdVan],"&lt;="&amp;($A313+14/24),tData[SEHTrajectPeriodeDatumTijdTotEnMet],"&gt;"&amp;($A313+14/24))</f>
        <v/>
      </c>
      <c r="S313" s="20">
        <f>COUNTIFS(tData[SEHTrajectPeriodeDatumTijdVan],"&lt;="&amp;($A313+15/24),tData[SEHTrajectPeriodeDatumTijdTotEnMet],"&gt;"&amp;($A313+15/24))</f>
        <v/>
      </c>
      <c r="T313" s="20">
        <f>COUNTIFS(tData[SEHTrajectPeriodeDatumTijdVan],"&lt;="&amp;($A313+16/24),tData[SEHTrajectPeriodeDatumTijdTotEnMet],"&gt;"&amp;($A313+16/24))</f>
        <v/>
      </c>
      <c r="U313" s="20">
        <f>COUNTIFS(tData[SEHTrajectPeriodeDatumTijdVan],"&lt;="&amp;($A313+17/24),tData[SEHTrajectPeriodeDatumTijdTotEnMet],"&gt;"&amp;($A313+17/24))</f>
        <v/>
      </c>
      <c r="V313" s="20">
        <f>COUNTIFS(tData[SEHTrajectPeriodeDatumTijdVan],"&lt;="&amp;($A313+18/24),tData[SEHTrajectPeriodeDatumTijdTotEnMet],"&gt;"&amp;($A313+18/24))</f>
        <v/>
      </c>
      <c r="W313" s="20">
        <f>COUNTIFS(tData[SEHTrajectPeriodeDatumTijdVan],"&lt;="&amp;($A313+19/24),tData[SEHTrajectPeriodeDatumTijdTotEnMet],"&gt;"&amp;($A313+19/24))</f>
        <v/>
      </c>
      <c r="X313" s="20">
        <f>COUNTIFS(tData[SEHTrajectPeriodeDatumTijdVan],"&lt;="&amp;($A313+20/24),tData[SEHTrajectPeriodeDatumTijdTotEnMet],"&gt;"&amp;($A313+20/24))</f>
        <v/>
      </c>
      <c r="Y313" s="20">
        <f>COUNTIFS(tData[SEHTrajectPeriodeDatumTijdVan],"&lt;="&amp;($A313+21/24),tData[SEHTrajectPeriodeDatumTijdTotEnMet],"&gt;"&amp;($A313+21/24))</f>
        <v/>
      </c>
      <c r="Z313" s="20">
        <f>COUNTIFS(tData[SEHTrajectPeriodeDatumTijdVan],"&lt;="&amp;($A313+22/24),tData[SEHTrajectPeriodeDatumTijdTotEnMet],"&gt;"&amp;($A313+22/24))</f>
        <v/>
      </c>
      <c r="AA313" s="20">
        <f>COUNTIFS(tData[SEHTrajectPeriodeDatumTijdVan],"&lt;="&amp;($A313+23/24),tData[SEHTrajectPeriodeDatumTijdTotEnMet],"&gt;"&amp;($A313+23/24))</f>
        <v/>
      </c>
    </row>
    <row r="314">
      <c r="A314" s="19" t="n">
        <v>45602</v>
      </c>
      <c r="B314" s="15">
        <f>WEEKDAY($A314,2)</f>
        <v/>
      </c>
      <c r="C314" s="15">
        <f>IF(AND($A314&gt;=INT(Instellingen!$B$5),$A314&lt;=INT(Instellingen!$B$6)),1,0)</f>
        <v/>
      </c>
      <c r="D314" s="20">
        <f>COUNTIFS(tData[SEHTrajectPeriodeDatumTijdVan],"&lt;="&amp;($A314+0/24),tData[SEHTrajectPeriodeDatumTijdTotEnMet],"&gt;"&amp;($A314+0/24))</f>
        <v/>
      </c>
      <c r="E314" s="20">
        <f>COUNTIFS(tData[SEHTrajectPeriodeDatumTijdVan],"&lt;="&amp;($A314+1/24),tData[SEHTrajectPeriodeDatumTijdTotEnMet],"&gt;"&amp;($A314+1/24))</f>
        <v/>
      </c>
      <c r="F314" s="20">
        <f>COUNTIFS(tData[SEHTrajectPeriodeDatumTijdVan],"&lt;="&amp;($A314+2/24),tData[SEHTrajectPeriodeDatumTijdTotEnMet],"&gt;"&amp;($A314+2/24))</f>
        <v/>
      </c>
      <c r="G314" s="20">
        <f>COUNTIFS(tData[SEHTrajectPeriodeDatumTijdVan],"&lt;="&amp;($A314+3/24),tData[SEHTrajectPeriodeDatumTijdTotEnMet],"&gt;"&amp;($A314+3/24))</f>
        <v/>
      </c>
      <c r="H314" s="20">
        <f>COUNTIFS(tData[SEHTrajectPeriodeDatumTijdVan],"&lt;="&amp;($A314+4/24),tData[SEHTrajectPeriodeDatumTijdTotEnMet],"&gt;"&amp;($A314+4/24))</f>
        <v/>
      </c>
      <c r="I314" s="20">
        <f>COUNTIFS(tData[SEHTrajectPeriodeDatumTijdVan],"&lt;="&amp;($A314+5/24),tData[SEHTrajectPeriodeDatumTijdTotEnMet],"&gt;"&amp;($A314+5/24))</f>
        <v/>
      </c>
      <c r="J314" s="20">
        <f>COUNTIFS(tData[SEHTrajectPeriodeDatumTijdVan],"&lt;="&amp;($A314+6/24),tData[SEHTrajectPeriodeDatumTijdTotEnMet],"&gt;"&amp;($A314+6/24))</f>
        <v/>
      </c>
      <c r="K314" s="20">
        <f>COUNTIFS(tData[SEHTrajectPeriodeDatumTijdVan],"&lt;="&amp;($A314+7/24),tData[SEHTrajectPeriodeDatumTijdTotEnMet],"&gt;"&amp;($A314+7/24))</f>
        <v/>
      </c>
      <c r="L314" s="20">
        <f>COUNTIFS(tData[SEHTrajectPeriodeDatumTijdVan],"&lt;="&amp;($A314+8/24),tData[SEHTrajectPeriodeDatumTijdTotEnMet],"&gt;"&amp;($A314+8/24))</f>
        <v/>
      </c>
      <c r="M314" s="20">
        <f>COUNTIFS(tData[SEHTrajectPeriodeDatumTijdVan],"&lt;="&amp;($A314+9/24),tData[SEHTrajectPeriodeDatumTijdTotEnMet],"&gt;"&amp;($A314+9/24))</f>
        <v/>
      </c>
      <c r="N314" s="20">
        <f>COUNTIFS(tData[SEHTrajectPeriodeDatumTijdVan],"&lt;="&amp;($A314+10/24),tData[SEHTrajectPeriodeDatumTijdTotEnMet],"&gt;"&amp;($A314+10/24))</f>
        <v/>
      </c>
      <c r="O314" s="20">
        <f>COUNTIFS(tData[SEHTrajectPeriodeDatumTijdVan],"&lt;="&amp;($A314+11/24),tData[SEHTrajectPeriodeDatumTijdTotEnMet],"&gt;"&amp;($A314+11/24))</f>
        <v/>
      </c>
      <c r="P314" s="20">
        <f>COUNTIFS(tData[SEHTrajectPeriodeDatumTijdVan],"&lt;="&amp;($A314+12/24),tData[SEHTrajectPeriodeDatumTijdTotEnMet],"&gt;"&amp;($A314+12/24))</f>
        <v/>
      </c>
      <c r="Q314" s="20">
        <f>COUNTIFS(tData[SEHTrajectPeriodeDatumTijdVan],"&lt;="&amp;($A314+13/24),tData[SEHTrajectPeriodeDatumTijdTotEnMet],"&gt;"&amp;($A314+13/24))</f>
        <v/>
      </c>
      <c r="R314" s="20">
        <f>COUNTIFS(tData[SEHTrajectPeriodeDatumTijdVan],"&lt;="&amp;($A314+14/24),tData[SEHTrajectPeriodeDatumTijdTotEnMet],"&gt;"&amp;($A314+14/24))</f>
        <v/>
      </c>
      <c r="S314" s="20">
        <f>COUNTIFS(tData[SEHTrajectPeriodeDatumTijdVan],"&lt;="&amp;($A314+15/24),tData[SEHTrajectPeriodeDatumTijdTotEnMet],"&gt;"&amp;($A314+15/24))</f>
        <v/>
      </c>
      <c r="T314" s="20">
        <f>COUNTIFS(tData[SEHTrajectPeriodeDatumTijdVan],"&lt;="&amp;($A314+16/24),tData[SEHTrajectPeriodeDatumTijdTotEnMet],"&gt;"&amp;($A314+16/24))</f>
        <v/>
      </c>
      <c r="U314" s="20">
        <f>COUNTIFS(tData[SEHTrajectPeriodeDatumTijdVan],"&lt;="&amp;($A314+17/24),tData[SEHTrajectPeriodeDatumTijdTotEnMet],"&gt;"&amp;($A314+17/24))</f>
        <v/>
      </c>
      <c r="V314" s="20">
        <f>COUNTIFS(tData[SEHTrajectPeriodeDatumTijdVan],"&lt;="&amp;($A314+18/24),tData[SEHTrajectPeriodeDatumTijdTotEnMet],"&gt;"&amp;($A314+18/24))</f>
        <v/>
      </c>
      <c r="W314" s="20">
        <f>COUNTIFS(tData[SEHTrajectPeriodeDatumTijdVan],"&lt;="&amp;($A314+19/24),tData[SEHTrajectPeriodeDatumTijdTotEnMet],"&gt;"&amp;($A314+19/24))</f>
        <v/>
      </c>
      <c r="X314" s="20">
        <f>COUNTIFS(tData[SEHTrajectPeriodeDatumTijdVan],"&lt;="&amp;($A314+20/24),tData[SEHTrajectPeriodeDatumTijdTotEnMet],"&gt;"&amp;($A314+20/24))</f>
        <v/>
      </c>
      <c r="Y314" s="20">
        <f>COUNTIFS(tData[SEHTrajectPeriodeDatumTijdVan],"&lt;="&amp;($A314+21/24),tData[SEHTrajectPeriodeDatumTijdTotEnMet],"&gt;"&amp;($A314+21/24))</f>
        <v/>
      </c>
      <c r="Z314" s="20">
        <f>COUNTIFS(tData[SEHTrajectPeriodeDatumTijdVan],"&lt;="&amp;($A314+22/24),tData[SEHTrajectPeriodeDatumTijdTotEnMet],"&gt;"&amp;($A314+22/24))</f>
        <v/>
      </c>
      <c r="AA314" s="20">
        <f>COUNTIFS(tData[SEHTrajectPeriodeDatumTijdVan],"&lt;="&amp;($A314+23/24),tData[SEHTrajectPeriodeDatumTijdTotEnMet],"&gt;"&amp;($A314+23/24))</f>
        <v/>
      </c>
    </row>
    <row r="315">
      <c r="A315" s="19" t="n">
        <v>45603</v>
      </c>
      <c r="B315" s="15">
        <f>WEEKDAY($A315,2)</f>
        <v/>
      </c>
      <c r="C315" s="15">
        <f>IF(AND($A315&gt;=INT(Instellingen!$B$5),$A315&lt;=INT(Instellingen!$B$6)),1,0)</f>
        <v/>
      </c>
      <c r="D315" s="20">
        <f>COUNTIFS(tData[SEHTrajectPeriodeDatumTijdVan],"&lt;="&amp;($A315+0/24),tData[SEHTrajectPeriodeDatumTijdTotEnMet],"&gt;"&amp;($A315+0/24))</f>
        <v/>
      </c>
      <c r="E315" s="20">
        <f>COUNTIFS(tData[SEHTrajectPeriodeDatumTijdVan],"&lt;="&amp;($A315+1/24),tData[SEHTrajectPeriodeDatumTijdTotEnMet],"&gt;"&amp;($A315+1/24))</f>
        <v/>
      </c>
      <c r="F315" s="20">
        <f>COUNTIFS(tData[SEHTrajectPeriodeDatumTijdVan],"&lt;="&amp;($A315+2/24),tData[SEHTrajectPeriodeDatumTijdTotEnMet],"&gt;"&amp;($A315+2/24))</f>
        <v/>
      </c>
      <c r="G315" s="20">
        <f>COUNTIFS(tData[SEHTrajectPeriodeDatumTijdVan],"&lt;="&amp;($A315+3/24),tData[SEHTrajectPeriodeDatumTijdTotEnMet],"&gt;"&amp;($A315+3/24))</f>
        <v/>
      </c>
      <c r="H315" s="20">
        <f>COUNTIFS(tData[SEHTrajectPeriodeDatumTijdVan],"&lt;="&amp;($A315+4/24),tData[SEHTrajectPeriodeDatumTijdTotEnMet],"&gt;"&amp;($A315+4/24))</f>
        <v/>
      </c>
      <c r="I315" s="20">
        <f>COUNTIFS(tData[SEHTrajectPeriodeDatumTijdVan],"&lt;="&amp;($A315+5/24),tData[SEHTrajectPeriodeDatumTijdTotEnMet],"&gt;"&amp;($A315+5/24))</f>
        <v/>
      </c>
      <c r="J315" s="20">
        <f>COUNTIFS(tData[SEHTrajectPeriodeDatumTijdVan],"&lt;="&amp;($A315+6/24),tData[SEHTrajectPeriodeDatumTijdTotEnMet],"&gt;"&amp;($A315+6/24))</f>
        <v/>
      </c>
      <c r="K315" s="20">
        <f>COUNTIFS(tData[SEHTrajectPeriodeDatumTijdVan],"&lt;="&amp;($A315+7/24),tData[SEHTrajectPeriodeDatumTijdTotEnMet],"&gt;"&amp;($A315+7/24))</f>
        <v/>
      </c>
      <c r="L315" s="20">
        <f>COUNTIFS(tData[SEHTrajectPeriodeDatumTijdVan],"&lt;="&amp;($A315+8/24),tData[SEHTrajectPeriodeDatumTijdTotEnMet],"&gt;"&amp;($A315+8/24))</f>
        <v/>
      </c>
      <c r="M315" s="20">
        <f>COUNTIFS(tData[SEHTrajectPeriodeDatumTijdVan],"&lt;="&amp;($A315+9/24),tData[SEHTrajectPeriodeDatumTijdTotEnMet],"&gt;"&amp;($A315+9/24))</f>
        <v/>
      </c>
      <c r="N315" s="20">
        <f>COUNTIFS(tData[SEHTrajectPeriodeDatumTijdVan],"&lt;="&amp;($A315+10/24),tData[SEHTrajectPeriodeDatumTijdTotEnMet],"&gt;"&amp;($A315+10/24))</f>
        <v/>
      </c>
      <c r="O315" s="20">
        <f>COUNTIFS(tData[SEHTrajectPeriodeDatumTijdVan],"&lt;="&amp;($A315+11/24),tData[SEHTrajectPeriodeDatumTijdTotEnMet],"&gt;"&amp;($A315+11/24))</f>
        <v/>
      </c>
      <c r="P315" s="20">
        <f>COUNTIFS(tData[SEHTrajectPeriodeDatumTijdVan],"&lt;="&amp;($A315+12/24),tData[SEHTrajectPeriodeDatumTijdTotEnMet],"&gt;"&amp;($A315+12/24))</f>
        <v/>
      </c>
      <c r="Q315" s="20">
        <f>COUNTIFS(tData[SEHTrajectPeriodeDatumTijdVan],"&lt;="&amp;($A315+13/24),tData[SEHTrajectPeriodeDatumTijdTotEnMet],"&gt;"&amp;($A315+13/24))</f>
        <v/>
      </c>
      <c r="R315" s="20">
        <f>COUNTIFS(tData[SEHTrajectPeriodeDatumTijdVan],"&lt;="&amp;($A315+14/24),tData[SEHTrajectPeriodeDatumTijdTotEnMet],"&gt;"&amp;($A315+14/24))</f>
        <v/>
      </c>
      <c r="S315" s="20">
        <f>COUNTIFS(tData[SEHTrajectPeriodeDatumTijdVan],"&lt;="&amp;($A315+15/24),tData[SEHTrajectPeriodeDatumTijdTotEnMet],"&gt;"&amp;($A315+15/24))</f>
        <v/>
      </c>
      <c r="T315" s="20">
        <f>COUNTIFS(tData[SEHTrajectPeriodeDatumTijdVan],"&lt;="&amp;($A315+16/24),tData[SEHTrajectPeriodeDatumTijdTotEnMet],"&gt;"&amp;($A315+16/24))</f>
        <v/>
      </c>
      <c r="U315" s="20">
        <f>COUNTIFS(tData[SEHTrajectPeriodeDatumTijdVan],"&lt;="&amp;($A315+17/24),tData[SEHTrajectPeriodeDatumTijdTotEnMet],"&gt;"&amp;($A315+17/24))</f>
        <v/>
      </c>
      <c r="V315" s="20">
        <f>COUNTIFS(tData[SEHTrajectPeriodeDatumTijdVan],"&lt;="&amp;($A315+18/24),tData[SEHTrajectPeriodeDatumTijdTotEnMet],"&gt;"&amp;($A315+18/24))</f>
        <v/>
      </c>
      <c r="W315" s="20">
        <f>COUNTIFS(tData[SEHTrajectPeriodeDatumTijdVan],"&lt;="&amp;($A315+19/24),tData[SEHTrajectPeriodeDatumTijdTotEnMet],"&gt;"&amp;($A315+19/24))</f>
        <v/>
      </c>
      <c r="X315" s="20">
        <f>COUNTIFS(tData[SEHTrajectPeriodeDatumTijdVan],"&lt;="&amp;($A315+20/24),tData[SEHTrajectPeriodeDatumTijdTotEnMet],"&gt;"&amp;($A315+20/24))</f>
        <v/>
      </c>
      <c r="Y315" s="20">
        <f>COUNTIFS(tData[SEHTrajectPeriodeDatumTijdVan],"&lt;="&amp;($A315+21/24),tData[SEHTrajectPeriodeDatumTijdTotEnMet],"&gt;"&amp;($A315+21/24))</f>
        <v/>
      </c>
      <c r="Z315" s="20">
        <f>COUNTIFS(tData[SEHTrajectPeriodeDatumTijdVan],"&lt;="&amp;($A315+22/24),tData[SEHTrajectPeriodeDatumTijdTotEnMet],"&gt;"&amp;($A315+22/24))</f>
        <v/>
      </c>
      <c r="AA315" s="20">
        <f>COUNTIFS(tData[SEHTrajectPeriodeDatumTijdVan],"&lt;="&amp;($A315+23/24),tData[SEHTrajectPeriodeDatumTijdTotEnMet],"&gt;"&amp;($A315+23/24))</f>
        <v/>
      </c>
    </row>
    <row r="316">
      <c r="A316" s="19" t="n">
        <v>45604</v>
      </c>
      <c r="B316" s="15">
        <f>WEEKDAY($A316,2)</f>
        <v/>
      </c>
      <c r="C316" s="15">
        <f>IF(AND($A316&gt;=INT(Instellingen!$B$5),$A316&lt;=INT(Instellingen!$B$6)),1,0)</f>
        <v/>
      </c>
      <c r="D316" s="20">
        <f>COUNTIFS(tData[SEHTrajectPeriodeDatumTijdVan],"&lt;="&amp;($A316+0/24),tData[SEHTrajectPeriodeDatumTijdTotEnMet],"&gt;"&amp;($A316+0/24))</f>
        <v/>
      </c>
      <c r="E316" s="20">
        <f>COUNTIFS(tData[SEHTrajectPeriodeDatumTijdVan],"&lt;="&amp;($A316+1/24),tData[SEHTrajectPeriodeDatumTijdTotEnMet],"&gt;"&amp;($A316+1/24))</f>
        <v/>
      </c>
      <c r="F316" s="20">
        <f>COUNTIFS(tData[SEHTrajectPeriodeDatumTijdVan],"&lt;="&amp;($A316+2/24),tData[SEHTrajectPeriodeDatumTijdTotEnMet],"&gt;"&amp;($A316+2/24))</f>
        <v/>
      </c>
      <c r="G316" s="20">
        <f>COUNTIFS(tData[SEHTrajectPeriodeDatumTijdVan],"&lt;="&amp;($A316+3/24),tData[SEHTrajectPeriodeDatumTijdTotEnMet],"&gt;"&amp;($A316+3/24))</f>
        <v/>
      </c>
      <c r="H316" s="20">
        <f>COUNTIFS(tData[SEHTrajectPeriodeDatumTijdVan],"&lt;="&amp;($A316+4/24),tData[SEHTrajectPeriodeDatumTijdTotEnMet],"&gt;"&amp;($A316+4/24))</f>
        <v/>
      </c>
      <c r="I316" s="20">
        <f>COUNTIFS(tData[SEHTrajectPeriodeDatumTijdVan],"&lt;="&amp;($A316+5/24),tData[SEHTrajectPeriodeDatumTijdTotEnMet],"&gt;"&amp;($A316+5/24))</f>
        <v/>
      </c>
      <c r="J316" s="20">
        <f>COUNTIFS(tData[SEHTrajectPeriodeDatumTijdVan],"&lt;="&amp;($A316+6/24),tData[SEHTrajectPeriodeDatumTijdTotEnMet],"&gt;"&amp;($A316+6/24))</f>
        <v/>
      </c>
      <c r="K316" s="20">
        <f>COUNTIFS(tData[SEHTrajectPeriodeDatumTijdVan],"&lt;="&amp;($A316+7/24),tData[SEHTrajectPeriodeDatumTijdTotEnMet],"&gt;"&amp;($A316+7/24))</f>
        <v/>
      </c>
      <c r="L316" s="20">
        <f>COUNTIFS(tData[SEHTrajectPeriodeDatumTijdVan],"&lt;="&amp;($A316+8/24),tData[SEHTrajectPeriodeDatumTijdTotEnMet],"&gt;"&amp;($A316+8/24))</f>
        <v/>
      </c>
      <c r="M316" s="20">
        <f>COUNTIFS(tData[SEHTrajectPeriodeDatumTijdVan],"&lt;="&amp;($A316+9/24),tData[SEHTrajectPeriodeDatumTijdTotEnMet],"&gt;"&amp;($A316+9/24))</f>
        <v/>
      </c>
      <c r="N316" s="20">
        <f>COUNTIFS(tData[SEHTrajectPeriodeDatumTijdVan],"&lt;="&amp;($A316+10/24),tData[SEHTrajectPeriodeDatumTijdTotEnMet],"&gt;"&amp;($A316+10/24))</f>
        <v/>
      </c>
      <c r="O316" s="20">
        <f>COUNTIFS(tData[SEHTrajectPeriodeDatumTijdVan],"&lt;="&amp;($A316+11/24),tData[SEHTrajectPeriodeDatumTijdTotEnMet],"&gt;"&amp;($A316+11/24))</f>
        <v/>
      </c>
      <c r="P316" s="20">
        <f>COUNTIFS(tData[SEHTrajectPeriodeDatumTijdVan],"&lt;="&amp;($A316+12/24),tData[SEHTrajectPeriodeDatumTijdTotEnMet],"&gt;"&amp;($A316+12/24))</f>
        <v/>
      </c>
      <c r="Q316" s="20">
        <f>COUNTIFS(tData[SEHTrajectPeriodeDatumTijdVan],"&lt;="&amp;($A316+13/24),tData[SEHTrajectPeriodeDatumTijdTotEnMet],"&gt;"&amp;($A316+13/24))</f>
        <v/>
      </c>
      <c r="R316" s="20">
        <f>COUNTIFS(tData[SEHTrajectPeriodeDatumTijdVan],"&lt;="&amp;($A316+14/24),tData[SEHTrajectPeriodeDatumTijdTotEnMet],"&gt;"&amp;($A316+14/24))</f>
        <v/>
      </c>
      <c r="S316" s="20">
        <f>COUNTIFS(tData[SEHTrajectPeriodeDatumTijdVan],"&lt;="&amp;($A316+15/24),tData[SEHTrajectPeriodeDatumTijdTotEnMet],"&gt;"&amp;($A316+15/24))</f>
        <v/>
      </c>
      <c r="T316" s="20">
        <f>COUNTIFS(tData[SEHTrajectPeriodeDatumTijdVan],"&lt;="&amp;($A316+16/24),tData[SEHTrajectPeriodeDatumTijdTotEnMet],"&gt;"&amp;($A316+16/24))</f>
        <v/>
      </c>
      <c r="U316" s="20">
        <f>COUNTIFS(tData[SEHTrajectPeriodeDatumTijdVan],"&lt;="&amp;($A316+17/24),tData[SEHTrajectPeriodeDatumTijdTotEnMet],"&gt;"&amp;($A316+17/24))</f>
        <v/>
      </c>
      <c r="V316" s="20">
        <f>COUNTIFS(tData[SEHTrajectPeriodeDatumTijdVan],"&lt;="&amp;($A316+18/24),tData[SEHTrajectPeriodeDatumTijdTotEnMet],"&gt;"&amp;($A316+18/24))</f>
        <v/>
      </c>
      <c r="W316" s="20">
        <f>COUNTIFS(tData[SEHTrajectPeriodeDatumTijdVan],"&lt;="&amp;($A316+19/24),tData[SEHTrajectPeriodeDatumTijdTotEnMet],"&gt;"&amp;($A316+19/24))</f>
        <v/>
      </c>
      <c r="X316" s="20">
        <f>COUNTIFS(tData[SEHTrajectPeriodeDatumTijdVan],"&lt;="&amp;($A316+20/24),tData[SEHTrajectPeriodeDatumTijdTotEnMet],"&gt;"&amp;($A316+20/24))</f>
        <v/>
      </c>
      <c r="Y316" s="20">
        <f>COUNTIFS(tData[SEHTrajectPeriodeDatumTijdVan],"&lt;="&amp;($A316+21/24),tData[SEHTrajectPeriodeDatumTijdTotEnMet],"&gt;"&amp;($A316+21/24))</f>
        <v/>
      </c>
      <c r="Z316" s="20">
        <f>COUNTIFS(tData[SEHTrajectPeriodeDatumTijdVan],"&lt;="&amp;($A316+22/24),tData[SEHTrajectPeriodeDatumTijdTotEnMet],"&gt;"&amp;($A316+22/24))</f>
        <v/>
      </c>
      <c r="AA316" s="20">
        <f>COUNTIFS(tData[SEHTrajectPeriodeDatumTijdVan],"&lt;="&amp;($A316+23/24),tData[SEHTrajectPeriodeDatumTijdTotEnMet],"&gt;"&amp;($A316+23/24))</f>
        <v/>
      </c>
    </row>
    <row r="317">
      <c r="A317" s="19" t="n">
        <v>45605</v>
      </c>
      <c r="B317" s="15">
        <f>WEEKDAY($A317,2)</f>
        <v/>
      </c>
      <c r="C317" s="15">
        <f>IF(AND($A317&gt;=INT(Instellingen!$B$5),$A317&lt;=INT(Instellingen!$B$6)),1,0)</f>
        <v/>
      </c>
      <c r="D317" s="20">
        <f>COUNTIFS(tData[SEHTrajectPeriodeDatumTijdVan],"&lt;="&amp;($A317+0/24),tData[SEHTrajectPeriodeDatumTijdTotEnMet],"&gt;"&amp;($A317+0/24))</f>
        <v/>
      </c>
      <c r="E317" s="20">
        <f>COUNTIFS(tData[SEHTrajectPeriodeDatumTijdVan],"&lt;="&amp;($A317+1/24),tData[SEHTrajectPeriodeDatumTijdTotEnMet],"&gt;"&amp;($A317+1/24))</f>
        <v/>
      </c>
      <c r="F317" s="20">
        <f>COUNTIFS(tData[SEHTrajectPeriodeDatumTijdVan],"&lt;="&amp;($A317+2/24),tData[SEHTrajectPeriodeDatumTijdTotEnMet],"&gt;"&amp;($A317+2/24))</f>
        <v/>
      </c>
      <c r="G317" s="20">
        <f>COUNTIFS(tData[SEHTrajectPeriodeDatumTijdVan],"&lt;="&amp;($A317+3/24),tData[SEHTrajectPeriodeDatumTijdTotEnMet],"&gt;"&amp;($A317+3/24))</f>
        <v/>
      </c>
      <c r="H317" s="20">
        <f>COUNTIFS(tData[SEHTrajectPeriodeDatumTijdVan],"&lt;="&amp;($A317+4/24),tData[SEHTrajectPeriodeDatumTijdTotEnMet],"&gt;"&amp;($A317+4/24))</f>
        <v/>
      </c>
      <c r="I317" s="20">
        <f>COUNTIFS(tData[SEHTrajectPeriodeDatumTijdVan],"&lt;="&amp;($A317+5/24),tData[SEHTrajectPeriodeDatumTijdTotEnMet],"&gt;"&amp;($A317+5/24))</f>
        <v/>
      </c>
      <c r="J317" s="20">
        <f>COUNTIFS(tData[SEHTrajectPeriodeDatumTijdVan],"&lt;="&amp;($A317+6/24),tData[SEHTrajectPeriodeDatumTijdTotEnMet],"&gt;"&amp;($A317+6/24))</f>
        <v/>
      </c>
      <c r="K317" s="20">
        <f>COUNTIFS(tData[SEHTrajectPeriodeDatumTijdVan],"&lt;="&amp;($A317+7/24),tData[SEHTrajectPeriodeDatumTijdTotEnMet],"&gt;"&amp;($A317+7/24))</f>
        <v/>
      </c>
      <c r="L317" s="20">
        <f>COUNTIFS(tData[SEHTrajectPeriodeDatumTijdVan],"&lt;="&amp;($A317+8/24),tData[SEHTrajectPeriodeDatumTijdTotEnMet],"&gt;"&amp;($A317+8/24))</f>
        <v/>
      </c>
      <c r="M317" s="20">
        <f>COUNTIFS(tData[SEHTrajectPeriodeDatumTijdVan],"&lt;="&amp;($A317+9/24),tData[SEHTrajectPeriodeDatumTijdTotEnMet],"&gt;"&amp;($A317+9/24))</f>
        <v/>
      </c>
      <c r="N317" s="20">
        <f>COUNTIFS(tData[SEHTrajectPeriodeDatumTijdVan],"&lt;="&amp;($A317+10/24),tData[SEHTrajectPeriodeDatumTijdTotEnMet],"&gt;"&amp;($A317+10/24))</f>
        <v/>
      </c>
      <c r="O317" s="20">
        <f>COUNTIFS(tData[SEHTrajectPeriodeDatumTijdVan],"&lt;="&amp;($A317+11/24),tData[SEHTrajectPeriodeDatumTijdTotEnMet],"&gt;"&amp;($A317+11/24))</f>
        <v/>
      </c>
      <c r="P317" s="20">
        <f>COUNTIFS(tData[SEHTrajectPeriodeDatumTijdVan],"&lt;="&amp;($A317+12/24),tData[SEHTrajectPeriodeDatumTijdTotEnMet],"&gt;"&amp;($A317+12/24))</f>
        <v/>
      </c>
      <c r="Q317" s="20">
        <f>COUNTIFS(tData[SEHTrajectPeriodeDatumTijdVan],"&lt;="&amp;($A317+13/24),tData[SEHTrajectPeriodeDatumTijdTotEnMet],"&gt;"&amp;($A317+13/24))</f>
        <v/>
      </c>
      <c r="R317" s="20">
        <f>COUNTIFS(tData[SEHTrajectPeriodeDatumTijdVan],"&lt;="&amp;($A317+14/24),tData[SEHTrajectPeriodeDatumTijdTotEnMet],"&gt;"&amp;($A317+14/24))</f>
        <v/>
      </c>
      <c r="S317" s="20">
        <f>COUNTIFS(tData[SEHTrajectPeriodeDatumTijdVan],"&lt;="&amp;($A317+15/24),tData[SEHTrajectPeriodeDatumTijdTotEnMet],"&gt;"&amp;($A317+15/24))</f>
        <v/>
      </c>
      <c r="T317" s="20">
        <f>COUNTIFS(tData[SEHTrajectPeriodeDatumTijdVan],"&lt;="&amp;($A317+16/24),tData[SEHTrajectPeriodeDatumTijdTotEnMet],"&gt;"&amp;($A317+16/24))</f>
        <v/>
      </c>
      <c r="U317" s="20">
        <f>COUNTIFS(tData[SEHTrajectPeriodeDatumTijdVan],"&lt;="&amp;($A317+17/24),tData[SEHTrajectPeriodeDatumTijdTotEnMet],"&gt;"&amp;($A317+17/24))</f>
        <v/>
      </c>
      <c r="V317" s="20">
        <f>COUNTIFS(tData[SEHTrajectPeriodeDatumTijdVan],"&lt;="&amp;($A317+18/24),tData[SEHTrajectPeriodeDatumTijdTotEnMet],"&gt;"&amp;($A317+18/24))</f>
        <v/>
      </c>
      <c r="W317" s="20">
        <f>COUNTIFS(tData[SEHTrajectPeriodeDatumTijdVan],"&lt;="&amp;($A317+19/24),tData[SEHTrajectPeriodeDatumTijdTotEnMet],"&gt;"&amp;($A317+19/24))</f>
        <v/>
      </c>
      <c r="X317" s="20">
        <f>COUNTIFS(tData[SEHTrajectPeriodeDatumTijdVan],"&lt;="&amp;($A317+20/24),tData[SEHTrajectPeriodeDatumTijdTotEnMet],"&gt;"&amp;($A317+20/24))</f>
        <v/>
      </c>
      <c r="Y317" s="20">
        <f>COUNTIFS(tData[SEHTrajectPeriodeDatumTijdVan],"&lt;="&amp;($A317+21/24),tData[SEHTrajectPeriodeDatumTijdTotEnMet],"&gt;"&amp;($A317+21/24))</f>
        <v/>
      </c>
      <c r="Z317" s="20">
        <f>COUNTIFS(tData[SEHTrajectPeriodeDatumTijdVan],"&lt;="&amp;($A317+22/24),tData[SEHTrajectPeriodeDatumTijdTotEnMet],"&gt;"&amp;($A317+22/24))</f>
        <v/>
      </c>
      <c r="AA317" s="20">
        <f>COUNTIFS(tData[SEHTrajectPeriodeDatumTijdVan],"&lt;="&amp;($A317+23/24),tData[SEHTrajectPeriodeDatumTijdTotEnMet],"&gt;"&amp;($A317+23/24))</f>
        <v/>
      </c>
    </row>
    <row r="318">
      <c r="A318" s="19" t="n">
        <v>45606</v>
      </c>
      <c r="B318" s="15">
        <f>WEEKDAY($A318,2)</f>
        <v/>
      </c>
      <c r="C318" s="15">
        <f>IF(AND($A318&gt;=INT(Instellingen!$B$5),$A318&lt;=INT(Instellingen!$B$6)),1,0)</f>
        <v/>
      </c>
      <c r="D318" s="20">
        <f>COUNTIFS(tData[SEHTrajectPeriodeDatumTijdVan],"&lt;="&amp;($A318+0/24),tData[SEHTrajectPeriodeDatumTijdTotEnMet],"&gt;"&amp;($A318+0/24))</f>
        <v/>
      </c>
      <c r="E318" s="20">
        <f>COUNTIFS(tData[SEHTrajectPeriodeDatumTijdVan],"&lt;="&amp;($A318+1/24),tData[SEHTrajectPeriodeDatumTijdTotEnMet],"&gt;"&amp;($A318+1/24))</f>
        <v/>
      </c>
      <c r="F318" s="20">
        <f>COUNTIFS(tData[SEHTrajectPeriodeDatumTijdVan],"&lt;="&amp;($A318+2/24),tData[SEHTrajectPeriodeDatumTijdTotEnMet],"&gt;"&amp;($A318+2/24))</f>
        <v/>
      </c>
      <c r="G318" s="20">
        <f>COUNTIFS(tData[SEHTrajectPeriodeDatumTijdVan],"&lt;="&amp;($A318+3/24),tData[SEHTrajectPeriodeDatumTijdTotEnMet],"&gt;"&amp;($A318+3/24))</f>
        <v/>
      </c>
      <c r="H318" s="20">
        <f>COUNTIFS(tData[SEHTrajectPeriodeDatumTijdVan],"&lt;="&amp;($A318+4/24),tData[SEHTrajectPeriodeDatumTijdTotEnMet],"&gt;"&amp;($A318+4/24))</f>
        <v/>
      </c>
      <c r="I318" s="20">
        <f>COUNTIFS(tData[SEHTrajectPeriodeDatumTijdVan],"&lt;="&amp;($A318+5/24),tData[SEHTrajectPeriodeDatumTijdTotEnMet],"&gt;"&amp;($A318+5/24))</f>
        <v/>
      </c>
      <c r="J318" s="20">
        <f>COUNTIFS(tData[SEHTrajectPeriodeDatumTijdVan],"&lt;="&amp;($A318+6/24),tData[SEHTrajectPeriodeDatumTijdTotEnMet],"&gt;"&amp;($A318+6/24))</f>
        <v/>
      </c>
      <c r="K318" s="20">
        <f>COUNTIFS(tData[SEHTrajectPeriodeDatumTijdVan],"&lt;="&amp;($A318+7/24),tData[SEHTrajectPeriodeDatumTijdTotEnMet],"&gt;"&amp;($A318+7/24))</f>
        <v/>
      </c>
      <c r="L318" s="20">
        <f>COUNTIFS(tData[SEHTrajectPeriodeDatumTijdVan],"&lt;="&amp;($A318+8/24),tData[SEHTrajectPeriodeDatumTijdTotEnMet],"&gt;"&amp;($A318+8/24))</f>
        <v/>
      </c>
      <c r="M318" s="20">
        <f>COUNTIFS(tData[SEHTrajectPeriodeDatumTijdVan],"&lt;="&amp;($A318+9/24),tData[SEHTrajectPeriodeDatumTijdTotEnMet],"&gt;"&amp;($A318+9/24))</f>
        <v/>
      </c>
      <c r="N318" s="20">
        <f>COUNTIFS(tData[SEHTrajectPeriodeDatumTijdVan],"&lt;="&amp;($A318+10/24),tData[SEHTrajectPeriodeDatumTijdTotEnMet],"&gt;"&amp;($A318+10/24))</f>
        <v/>
      </c>
      <c r="O318" s="20">
        <f>COUNTIFS(tData[SEHTrajectPeriodeDatumTijdVan],"&lt;="&amp;($A318+11/24),tData[SEHTrajectPeriodeDatumTijdTotEnMet],"&gt;"&amp;($A318+11/24))</f>
        <v/>
      </c>
      <c r="P318" s="20">
        <f>COUNTIFS(tData[SEHTrajectPeriodeDatumTijdVan],"&lt;="&amp;($A318+12/24),tData[SEHTrajectPeriodeDatumTijdTotEnMet],"&gt;"&amp;($A318+12/24))</f>
        <v/>
      </c>
      <c r="Q318" s="20">
        <f>COUNTIFS(tData[SEHTrajectPeriodeDatumTijdVan],"&lt;="&amp;($A318+13/24),tData[SEHTrajectPeriodeDatumTijdTotEnMet],"&gt;"&amp;($A318+13/24))</f>
        <v/>
      </c>
      <c r="R318" s="20">
        <f>COUNTIFS(tData[SEHTrajectPeriodeDatumTijdVan],"&lt;="&amp;($A318+14/24),tData[SEHTrajectPeriodeDatumTijdTotEnMet],"&gt;"&amp;($A318+14/24))</f>
        <v/>
      </c>
      <c r="S318" s="20">
        <f>COUNTIFS(tData[SEHTrajectPeriodeDatumTijdVan],"&lt;="&amp;($A318+15/24),tData[SEHTrajectPeriodeDatumTijdTotEnMet],"&gt;"&amp;($A318+15/24))</f>
        <v/>
      </c>
      <c r="T318" s="20">
        <f>COUNTIFS(tData[SEHTrajectPeriodeDatumTijdVan],"&lt;="&amp;($A318+16/24),tData[SEHTrajectPeriodeDatumTijdTotEnMet],"&gt;"&amp;($A318+16/24))</f>
        <v/>
      </c>
      <c r="U318" s="20">
        <f>COUNTIFS(tData[SEHTrajectPeriodeDatumTijdVan],"&lt;="&amp;($A318+17/24),tData[SEHTrajectPeriodeDatumTijdTotEnMet],"&gt;"&amp;($A318+17/24))</f>
        <v/>
      </c>
      <c r="V318" s="20">
        <f>COUNTIFS(tData[SEHTrajectPeriodeDatumTijdVan],"&lt;="&amp;($A318+18/24),tData[SEHTrajectPeriodeDatumTijdTotEnMet],"&gt;"&amp;($A318+18/24))</f>
        <v/>
      </c>
      <c r="W318" s="20">
        <f>COUNTIFS(tData[SEHTrajectPeriodeDatumTijdVan],"&lt;="&amp;($A318+19/24),tData[SEHTrajectPeriodeDatumTijdTotEnMet],"&gt;"&amp;($A318+19/24))</f>
        <v/>
      </c>
      <c r="X318" s="20">
        <f>COUNTIFS(tData[SEHTrajectPeriodeDatumTijdVan],"&lt;="&amp;($A318+20/24),tData[SEHTrajectPeriodeDatumTijdTotEnMet],"&gt;"&amp;($A318+20/24))</f>
        <v/>
      </c>
      <c r="Y318" s="20">
        <f>COUNTIFS(tData[SEHTrajectPeriodeDatumTijdVan],"&lt;="&amp;($A318+21/24),tData[SEHTrajectPeriodeDatumTijdTotEnMet],"&gt;"&amp;($A318+21/24))</f>
        <v/>
      </c>
      <c r="Z318" s="20">
        <f>COUNTIFS(tData[SEHTrajectPeriodeDatumTijdVan],"&lt;="&amp;($A318+22/24),tData[SEHTrajectPeriodeDatumTijdTotEnMet],"&gt;"&amp;($A318+22/24))</f>
        <v/>
      </c>
      <c r="AA318" s="20">
        <f>COUNTIFS(tData[SEHTrajectPeriodeDatumTijdVan],"&lt;="&amp;($A318+23/24),tData[SEHTrajectPeriodeDatumTijdTotEnMet],"&gt;"&amp;($A318+23/24))</f>
        <v/>
      </c>
    </row>
    <row r="319">
      <c r="A319" s="19" t="n">
        <v>45607</v>
      </c>
      <c r="B319" s="15">
        <f>WEEKDAY($A319,2)</f>
        <v/>
      </c>
      <c r="C319" s="15">
        <f>IF(AND($A319&gt;=INT(Instellingen!$B$5),$A319&lt;=INT(Instellingen!$B$6)),1,0)</f>
        <v/>
      </c>
      <c r="D319" s="20">
        <f>COUNTIFS(tData[SEHTrajectPeriodeDatumTijdVan],"&lt;="&amp;($A319+0/24),tData[SEHTrajectPeriodeDatumTijdTotEnMet],"&gt;"&amp;($A319+0/24))</f>
        <v/>
      </c>
      <c r="E319" s="20">
        <f>COUNTIFS(tData[SEHTrajectPeriodeDatumTijdVan],"&lt;="&amp;($A319+1/24),tData[SEHTrajectPeriodeDatumTijdTotEnMet],"&gt;"&amp;($A319+1/24))</f>
        <v/>
      </c>
      <c r="F319" s="20">
        <f>COUNTIFS(tData[SEHTrajectPeriodeDatumTijdVan],"&lt;="&amp;($A319+2/24),tData[SEHTrajectPeriodeDatumTijdTotEnMet],"&gt;"&amp;($A319+2/24))</f>
        <v/>
      </c>
      <c r="G319" s="20">
        <f>COUNTIFS(tData[SEHTrajectPeriodeDatumTijdVan],"&lt;="&amp;($A319+3/24),tData[SEHTrajectPeriodeDatumTijdTotEnMet],"&gt;"&amp;($A319+3/24))</f>
        <v/>
      </c>
      <c r="H319" s="20">
        <f>COUNTIFS(tData[SEHTrajectPeriodeDatumTijdVan],"&lt;="&amp;($A319+4/24),tData[SEHTrajectPeriodeDatumTijdTotEnMet],"&gt;"&amp;($A319+4/24))</f>
        <v/>
      </c>
      <c r="I319" s="20">
        <f>COUNTIFS(tData[SEHTrajectPeriodeDatumTijdVan],"&lt;="&amp;($A319+5/24),tData[SEHTrajectPeriodeDatumTijdTotEnMet],"&gt;"&amp;($A319+5/24))</f>
        <v/>
      </c>
      <c r="J319" s="20">
        <f>COUNTIFS(tData[SEHTrajectPeriodeDatumTijdVan],"&lt;="&amp;($A319+6/24),tData[SEHTrajectPeriodeDatumTijdTotEnMet],"&gt;"&amp;($A319+6/24))</f>
        <v/>
      </c>
      <c r="K319" s="20">
        <f>COUNTIFS(tData[SEHTrajectPeriodeDatumTijdVan],"&lt;="&amp;($A319+7/24),tData[SEHTrajectPeriodeDatumTijdTotEnMet],"&gt;"&amp;($A319+7/24))</f>
        <v/>
      </c>
      <c r="L319" s="20">
        <f>COUNTIFS(tData[SEHTrajectPeriodeDatumTijdVan],"&lt;="&amp;($A319+8/24),tData[SEHTrajectPeriodeDatumTijdTotEnMet],"&gt;"&amp;($A319+8/24))</f>
        <v/>
      </c>
      <c r="M319" s="20">
        <f>COUNTIFS(tData[SEHTrajectPeriodeDatumTijdVan],"&lt;="&amp;($A319+9/24),tData[SEHTrajectPeriodeDatumTijdTotEnMet],"&gt;"&amp;($A319+9/24))</f>
        <v/>
      </c>
      <c r="N319" s="20">
        <f>COUNTIFS(tData[SEHTrajectPeriodeDatumTijdVan],"&lt;="&amp;($A319+10/24),tData[SEHTrajectPeriodeDatumTijdTotEnMet],"&gt;"&amp;($A319+10/24))</f>
        <v/>
      </c>
      <c r="O319" s="20">
        <f>COUNTIFS(tData[SEHTrajectPeriodeDatumTijdVan],"&lt;="&amp;($A319+11/24),tData[SEHTrajectPeriodeDatumTijdTotEnMet],"&gt;"&amp;($A319+11/24))</f>
        <v/>
      </c>
      <c r="P319" s="20">
        <f>COUNTIFS(tData[SEHTrajectPeriodeDatumTijdVan],"&lt;="&amp;($A319+12/24),tData[SEHTrajectPeriodeDatumTijdTotEnMet],"&gt;"&amp;($A319+12/24))</f>
        <v/>
      </c>
      <c r="Q319" s="20">
        <f>COUNTIFS(tData[SEHTrajectPeriodeDatumTijdVan],"&lt;="&amp;($A319+13/24),tData[SEHTrajectPeriodeDatumTijdTotEnMet],"&gt;"&amp;($A319+13/24))</f>
        <v/>
      </c>
      <c r="R319" s="20">
        <f>COUNTIFS(tData[SEHTrajectPeriodeDatumTijdVan],"&lt;="&amp;($A319+14/24),tData[SEHTrajectPeriodeDatumTijdTotEnMet],"&gt;"&amp;($A319+14/24))</f>
        <v/>
      </c>
      <c r="S319" s="20">
        <f>COUNTIFS(tData[SEHTrajectPeriodeDatumTijdVan],"&lt;="&amp;($A319+15/24),tData[SEHTrajectPeriodeDatumTijdTotEnMet],"&gt;"&amp;($A319+15/24))</f>
        <v/>
      </c>
      <c r="T319" s="20">
        <f>COUNTIFS(tData[SEHTrajectPeriodeDatumTijdVan],"&lt;="&amp;($A319+16/24),tData[SEHTrajectPeriodeDatumTijdTotEnMet],"&gt;"&amp;($A319+16/24))</f>
        <v/>
      </c>
      <c r="U319" s="20">
        <f>COUNTIFS(tData[SEHTrajectPeriodeDatumTijdVan],"&lt;="&amp;($A319+17/24),tData[SEHTrajectPeriodeDatumTijdTotEnMet],"&gt;"&amp;($A319+17/24))</f>
        <v/>
      </c>
      <c r="V319" s="20">
        <f>COUNTIFS(tData[SEHTrajectPeriodeDatumTijdVan],"&lt;="&amp;($A319+18/24),tData[SEHTrajectPeriodeDatumTijdTotEnMet],"&gt;"&amp;($A319+18/24))</f>
        <v/>
      </c>
      <c r="W319" s="20">
        <f>COUNTIFS(tData[SEHTrajectPeriodeDatumTijdVan],"&lt;="&amp;($A319+19/24),tData[SEHTrajectPeriodeDatumTijdTotEnMet],"&gt;"&amp;($A319+19/24))</f>
        <v/>
      </c>
      <c r="X319" s="20">
        <f>COUNTIFS(tData[SEHTrajectPeriodeDatumTijdVan],"&lt;="&amp;($A319+20/24),tData[SEHTrajectPeriodeDatumTijdTotEnMet],"&gt;"&amp;($A319+20/24))</f>
        <v/>
      </c>
      <c r="Y319" s="20">
        <f>COUNTIFS(tData[SEHTrajectPeriodeDatumTijdVan],"&lt;="&amp;($A319+21/24),tData[SEHTrajectPeriodeDatumTijdTotEnMet],"&gt;"&amp;($A319+21/24))</f>
        <v/>
      </c>
      <c r="Z319" s="20">
        <f>COUNTIFS(tData[SEHTrajectPeriodeDatumTijdVan],"&lt;="&amp;($A319+22/24),tData[SEHTrajectPeriodeDatumTijdTotEnMet],"&gt;"&amp;($A319+22/24))</f>
        <v/>
      </c>
      <c r="AA319" s="20">
        <f>COUNTIFS(tData[SEHTrajectPeriodeDatumTijdVan],"&lt;="&amp;($A319+23/24),tData[SEHTrajectPeriodeDatumTijdTotEnMet],"&gt;"&amp;($A319+23/24))</f>
        <v/>
      </c>
    </row>
    <row r="320">
      <c r="A320" s="19" t="n">
        <v>45608</v>
      </c>
      <c r="B320" s="15">
        <f>WEEKDAY($A320,2)</f>
        <v/>
      </c>
      <c r="C320" s="15">
        <f>IF(AND($A320&gt;=INT(Instellingen!$B$5),$A320&lt;=INT(Instellingen!$B$6)),1,0)</f>
        <v/>
      </c>
      <c r="D320" s="20">
        <f>COUNTIFS(tData[SEHTrajectPeriodeDatumTijdVan],"&lt;="&amp;($A320+0/24),tData[SEHTrajectPeriodeDatumTijdTotEnMet],"&gt;"&amp;($A320+0/24))</f>
        <v/>
      </c>
      <c r="E320" s="20">
        <f>COUNTIFS(tData[SEHTrajectPeriodeDatumTijdVan],"&lt;="&amp;($A320+1/24),tData[SEHTrajectPeriodeDatumTijdTotEnMet],"&gt;"&amp;($A320+1/24))</f>
        <v/>
      </c>
      <c r="F320" s="20">
        <f>COUNTIFS(tData[SEHTrajectPeriodeDatumTijdVan],"&lt;="&amp;($A320+2/24),tData[SEHTrajectPeriodeDatumTijdTotEnMet],"&gt;"&amp;($A320+2/24))</f>
        <v/>
      </c>
      <c r="G320" s="20">
        <f>COUNTIFS(tData[SEHTrajectPeriodeDatumTijdVan],"&lt;="&amp;($A320+3/24),tData[SEHTrajectPeriodeDatumTijdTotEnMet],"&gt;"&amp;($A320+3/24))</f>
        <v/>
      </c>
      <c r="H320" s="20">
        <f>COUNTIFS(tData[SEHTrajectPeriodeDatumTijdVan],"&lt;="&amp;($A320+4/24),tData[SEHTrajectPeriodeDatumTijdTotEnMet],"&gt;"&amp;($A320+4/24))</f>
        <v/>
      </c>
      <c r="I320" s="20">
        <f>COUNTIFS(tData[SEHTrajectPeriodeDatumTijdVan],"&lt;="&amp;($A320+5/24),tData[SEHTrajectPeriodeDatumTijdTotEnMet],"&gt;"&amp;($A320+5/24))</f>
        <v/>
      </c>
      <c r="J320" s="20">
        <f>COUNTIFS(tData[SEHTrajectPeriodeDatumTijdVan],"&lt;="&amp;($A320+6/24),tData[SEHTrajectPeriodeDatumTijdTotEnMet],"&gt;"&amp;($A320+6/24))</f>
        <v/>
      </c>
      <c r="K320" s="20">
        <f>COUNTIFS(tData[SEHTrajectPeriodeDatumTijdVan],"&lt;="&amp;($A320+7/24),tData[SEHTrajectPeriodeDatumTijdTotEnMet],"&gt;"&amp;($A320+7/24))</f>
        <v/>
      </c>
      <c r="L320" s="20">
        <f>COUNTIFS(tData[SEHTrajectPeriodeDatumTijdVan],"&lt;="&amp;($A320+8/24),tData[SEHTrajectPeriodeDatumTijdTotEnMet],"&gt;"&amp;($A320+8/24))</f>
        <v/>
      </c>
      <c r="M320" s="20">
        <f>COUNTIFS(tData[SEHTrajectPeriodeDatumTijdVan],"&lt;="&amp;($A320+9/24),tData[SEHTrajectPeriodeDatumTijdTotEnMet],"&gt;"&amp;($A320+9/24))</f>
        <v/>
      </c>
      <c r="N320" s="20">
        <f>COUNTIFS(tData[SEHTrajectPeriodeDatumTijdVan],"&lt;="&amp;($A320+10/24),tData[SEHTrajectPeriodeDatumTijdTotEnMet],"&gt;"&amp;($A320+10/24))</f>
        <v/>
      </c>
      <c r="O320" s="20">
        <f>COUNTIFS(tData[SEHTrajectPeriodeDatumTijdVan],"&lt;="&amp;($A320+11/24),tData[SEHTrajectPeriodeDatumTijdTotEnMet],"&gt;"&amp;($A320+11/24))</f>
        <v/>
      </c>
      <c r="P320" s="20">
        <f>COUNTIFS(tData[SEHTrajectPeriodeDatumTijdVan],"&lt;="&amp;($A320+12/24),tData[SEHTrajectPeriodeDatumTijdTotEnMet],"&gt;"&amp;($A320+12/24))</f>
        <v/>
      </c>
      <c r="Q320" s="20">
        <f>COUNTIFS(tData[SEHTrajectPeriodeDatumTijdVan],"&lt;="&amp;($A320+13/24),tData[SEHTrajectPeriodeDatumTijdTotEnMet],"&gt;"&amp;($A320+13/24))</f>
        <v/>
      </c>
      <c r="R320" s="20">
        <f>COUNTIFS(tData[SEHTrajectPeriodeDatumTijdVan],"&lt;="&amp;($A320+14/24),tData[SEHTrajectPeriodeDatumTijdTotEnMet],"&gt;"&amp;($A320+14/24))</f>
        <v/>
      </c>
      <c r="S320" s="20">
        <f>COUNTIFS(tData[SEHTrajectPeriodeDatumTijdVan],"&lt;="&amp;($A320+15/24),tData[SEHTrajectPeriodeDatumTijdTotEnMet],"&gt;"&amp;($A320+15/24))</f>
        <v/>
      </c>
      <c r="T320" s="20">
        <f>COUNTIFS(tData[SEHTrajectPeriodeDatumTijdVan],"&lt;="&amp;($A320+16/24),tData[SEHTrajectPeriodeDatumTijdTotEnMet],"&gt;"&amp;($A320+16/24))</f>
        <v/>
      </c>
      <c r="U320" s="20">
        <f>COUNTIFS(tData[SEHTrajectPeriodeDatumTijdVan],"&lt;="&amp;($A320+17/24),tData[SEHTrajectPeriodeDatumTijdTotEnMet],"&gt;"&amp;($A320+17/24))</f>
        <v/>
      </c>
      <c r="V320" s="20">
        <f>COUNTIFS(tData[SEHTrajectPeriodeDatumTijdVan],"&lt;="&amp;($A320+18/24),tData[SEHTrajectPeriodeDatumTijdTotEnMet],"&gt;"&amp;($A320+18/24))</f>
        <v/>
      </c>
      <c r="W320" s="20">
        <f>COUNTIFS(tData[SEHTrajectPeriodeDatumTijdVan],"&lt;="&amp;($A320+19/24),tData[SEHTrajectPeriodeDatumTijdTotEnMet],"&gt;"&amp;($A320+19/24))</f>
        <v/>
      </c>
      <c r="X320" s="20">
        <f>COUNTIFS(tData[SEHTrajectPeriodeDatumTijdVan],"&lt;="&amp;($A320+20/24),tData[SEHTrajectPeriodeDatumTijdTotEnMet],"&gt;"&amp;($A320+20/24))</f>
        <v/>
      </c>
      <c r="Y320" s="20">
        <f>COUNTIFS(tData[SEHTrajectPeriodeDatumTijdVan],"&lt;="&amp;($A320+21/24),tData[SEHTrajectPeriodeDatumTijdTotEnMet],"&gt;"&amp;($A320+21/24))</f>
        <v/>
      </c>
      <c r="Z320" s="20">
        <f>COUNTIFS(tData[SEHTrajectPeriodeDatumTijdVan],"&lt;="&amp;($A320+22/24),tData[SEHTrajectPeriodeDatumTijdTotEnMet],"&gt;"&amp;($A320+22/24))</f>
        <v/>
      </c>
      <c r="AA320" s="20">
        <f>COUNTIFS(tData[SEHTrajectPeriodeDatumTijdVan],"&lt;="&amp;($A320+23/24),tData[SEHTrajectPeriodeDatumTijdTotEnMet],"&gt;"&amp;($A320+23/24))</f>
        <v/>
      </c>
    </row>
    <row r="321">
      <c r="A321" s="19" t="n">
        <v>45609</v>
      </c>
      <c r="B321" s="15">
        <f>WEEKDAY($A321,2)</f>
        <v/>
      </c>
      <c r="C321" s="15">
        <f>IF(AND($A321&gt;=INT(Instellingen!$B$5),$A321&lt;=INT(Instellingen!$B$6)),1,0)</f>
        <v/>
      </c>
      <c r="D321" s="20">
        <f>COUNTIFS(tData[SEHTrajectPeriodeDatumTijdVan],"&lt;="&amp;($A321+0/24),tData[SEHTrajectPeriodeDatumTijdTotEnMet],"&gt;"&amp;($A321+0/24))</f>
        <v/>
      </c>
      <c r="E321" s="20">
        <f>COUNTIFS(tData[SEHTrajectPeriodeDatumTijdVan],"&lt;="&amp;($A321+1/24),tData[SEHTrajectPeriodeDatumTijdTotEnMet],"&gt;"&amp;($A321+1/24))</f>
        <v/>
      </c>
      <c r="F321" s="20">
        <f>COUNTIFS(tData[SEHTrajectPeriodeDatumTijdVan],"&lt;="&amp;($A321+2/24),tData[SEHTrajectPeriodeDatumTijdTotEnMet],"&gt;"&amp;($A321+2/24))</f>
        <v/>
      </c>
      <c r="G321" s="20">
        <f>COUNTIFS(tData[SEHTrajectPeriodeDatumTijdVan],"&lt;="&amp;($A321+3/24),tData[SEHTrajectPeriodeDatumTijdTotEnMet],"&gt;"&amp;($A321+3/24))</f>
        <v/>
      </c>
      <c r="H321" s="20">
        <f>COUNTIFS(tData[SEHTrajectPeriodeDatumTijdVan],"&lt;="&amp;($A321+4/24),tData[SEHTrajectPeriodeDatumTijdTotEnMet],"&gt;"&amp;($A321+4/24))</f>
        <v/>
      </c>
      <c r="I321" s="20">
        <f>COUNTIFS(tData[SEHTrajectPeriodeDatumTijdVan],"&lt;="&amp;($A321+5/24),tData[SEHTrajectPeriodeDatumTijdTotEnMet],"&gt;"&amp;($A321+5/24))</f>
        <v/>
      </c>
      <c r="J321" s="20">
        <f>COUNTIFS(tData[SEHTrajectPeriodeDatumTijdVan],"&lt;="&amp;($A321+6/24),tData[SEHTrajectPeriodeDatumTijdTotEnMet],"&gt;"&amp;($A321+6/24))</f>
        <v/>
      </c>
      <c r="K321" s="20">
        <f>COUNTIFS(tData[SEHTrajectPeriodeDatumTijdVan],"&lt;="&amp;($A321+7/24),tData[SEHTrajectPeriodeDatumTijdTotEnMet],"&gt;"&amp;($A321+7/24))</f>
        <v/>
      </c>
      <c r="L321" s="20">
        <f>COUNTIFS(tData[SEHTrajectPeriodeDatumTijdVan],"&lt;="&amp;($A321+8/24),tData[SEHTrajectPeriodeDatumTijdTotEnMet],"&gt;"&amp;($A321+8/24))</f>
        <v/>
      </c>
      <c r="M321" s="20">
        <f>COUNTIFS(tData[SEHTrajectPeriodeDatumTijdVan],"&lt;="&amp;($A321+9/24),tData[SEHTrajectPeriodeDatumTijdTotEnMet],"&gt;"&amp;($A321+9/24))</f>
        <v/>
      </c>
      <c r="N321" s="20">
        <f>COUNTIFS(tData[SEHTrajectPeriodeDatumTijdVan],"&lt;="&amp;($A321+10/24),tData[SEHTrajectPeriodeDatumTijdTotEnMet],"&gt;"&amp;($A321+10/24))</f>
        <v/>
      </c>
      <c r="O321" s="20">
        <f>COUNTIFS(tData[SEHTrajectPeriodeDatumTijdVan],"&lt;="&amp;($A321+11/24),tData[SEHTrajectPeriodeDatumTijdTotEnMet],"&gt;"&amp;($A321+11/24))</f>
        <v/>
      </c>
      <c r="P321" s="20">
        <f>COUNTIFS(tData[SEHTrajectPeriodeDatumTijdVan],"&lt;="&amp;($A321+12/24),tData[SEHTrajectPeriodeDatumTijdTotEnMet],"&gt;"&amp;($A321+12/24))</f>
        <v/>
      </c>
      <c r="Q321" s="20">
        <f>COUNTIFS(tData[SEHTrajectPeriodeDatumTijdVan],"&lt;="&amp;($A321+13/24),tData[SEHTrajectPeriodeDatumTijdTotEnMet],"&gt;"&amp;($A321+13/24))</f>
        <v/>
      </c>
      <c r="R321" s="20">
        <f>COUNTIFS(tData[SEHTrajectPeriodeDatumTijdVan],"&lt;="&amp;($A321+14/24),tData[SEHTrajectPeriodeDatumTijdTotEnMet],"&gt;"&amp;($A321+14/24))</f>
        <v/>
      </c>
      <c r="S321" s="20">
        <f>COUNTIFS(tData[SEHTrajectPeriodeDatumTijdVan],"&lt;="&amp;($A321+15/24),tData[SEHTrajectPeriodeDatumTijdTotEnMet],"&gt;"&amp;($A321+15/24))</f>
        <v/>
      </c>
      <c r="T321" s="20">
        <f>COUNTIFS(tData[SEHTrajectPeriodeDatumTijdVan],"&lt;="&amp;($A321+16/24),tData[SEHTrajectPeriodeDatumTijdTotEnMet],"&gt;"&amp;($A321+16/24))</f>
        <v/>
      </c>
      <c r="U321" s="20">
        <f>COUNTIFS(tData[SEHTrajectPeriodeDatumTijdVan],"&lt;="&amp;($A321+17/24),tData[SEHTrajectPeriodeDatumTijdTotEnMet],"&gt;"&amp;($A321+17/24))</f>
        <v/>
      </c>
      <c r="V321" s="20">
        <f>COUNTIFS(tData[SEHTrajectPeriodeDatumTijdVan],"&lt;="&amp;($A321+18/24),tData[SEHTrajectPeriodeDatumTijdTotEnMet],"&gt;"&amp;($A321+18/24))</f>
        <v/>
      </c>
      <c r="W321" s="20">
        <f>COUNTIFS(tData[SEHTrajectPeriodeDatumTijdVan],"&lt;="&amp;($A321+19/24),tData[SEHTrajectPeriodeDatumTijdTotEnMet],"&gt;"&amp;($A321+19/24))</f>
        <v/>
      </c>
      <c r="X321" s="20">
        <f>COUNTIFS(tData[SEHTrajectPeriodeDatumTijdVan],"&lt;="&amp;($A321+20/24),tData[SEHTrajectPeriodeDatumTijdTotEnMet],"&gt;"&amp;($A321+20/24))</f>
        <v/>
      </c>
      <c r="Y321" s="20">
        <f>COUNTIFS(tData[SEHTrajectPeriodeDatumTijdVan],"&lt;="&amp;($A321+21/24),tData[SEHTrajectPeriodeDatumTijdTotEnMet],"&gt;"&amp;($A321+21/24))</f>
        <v/>
      </c>
      <c r="Z321" s="20">
        <f>COUNTIFS(tData[SEHTrajectPeriodeDatumTijdVan],"&lt;="&amp;($A321+22/24),tData[SEHTrajectPeriodeDatumTijdTotEnMet],"&gt;"&amp;($A321+22/24))</f>
        <v/>
      </c>
      <c r="AA321" s="20">
        <f>COUNTIFS(tData[SEHTrajectPeriodeDatumTijdVan],"&lt;="&amp;($A321+23/24),tData[SEHTrajectPeriodeDatumTijdTotEnMet],"&gt;"&amp;($A321+23/24))</f>
        <v/>
      </c>
    </row>
    <row r="322">
      <c r="A322" s="19" t="n">
        <v>45610</v>
      </c>
      <c r="B322" s="15">
        <f>WEEKDAY($A322,2)</f>
        <v/>
      </c>
      <c r="C322" s="15">
        <f>IF(AND($A322&gt;=INT(Instellingen!$B$5),$A322&lt;=INT(Instellingen!$B$6)),1,0)</f>
        <v/>
      </c>
      <c r="D322" s="20">
        <f>COUNTIFS(tData[SEHTrajectPeriodeDatumTijdVan],"&lt;="&amp;($A322+0/24),tData[SEHTrajectPeriodeDatumTijdTotEnMet],"&gt;"&amp;($A322+0/24))</f>
        <v/>
      </c>
      <c r="E322" s="20">
        <f>COUNTIFS(tData[SEHTrajectPeriodeDatumTijdVan],"&lt;="&amp;($A322+1/24),tData[SEHTrajectPeriodeDatumTijdTotEnMet],"&gt;"&amp;($A322+1/24))</f>
        <v/>
      </c>
      <c r="F322" s="20">
        <f>COUNTIFS(tData[SEHTrajectPeriodeDatumTijdVan],"&lt;="&amp;($A322+2/24),tData[SEHTrajectPeriodeDatumTijdTotEnMet],"&gt;"&amp;($A322+2/24))</f>
        <v/>
      </c>
      <c r="G322" s="20">
        <f>COUNTIFS(tData[SEHTrajectPeriodeDatumTijdVan],"&lt;="&amp;($A322+3/24),tData[SEHTrajectPeriodeDatumTijdTotEnMet],"&gt;"&amp;($A322+3/24))</f>
        <v/>
      </c>
      <c r="H322" s="20">
        <f>COUNTIFS(tData[SEHTrajectPeriodeDatumTijdVan],"&lt;="&amp;($A322+4/24),tData[SEHTrajectPeriodeDatumTijdTotEnMet],"&gt;"&amp;($A322+4/24))</f>
        <v/>
      </c>
      <c r="I322" s="20">
        <f>COUNTIFS(tData[SEHTrajectPeriodeDatumTijdVan],"&lt;="&amp;($A322+5/24),tData[SEHTrajectPeriodeDatumTijdTotEnMet],"&gt;"&amp;($A322+5/24))</f>
        <v/>
      </c>
      <c r="J322" s="20">
        <f>COUNTIFS(tData[SEHTrajectPeriodeDatumTijdVan],"&lt;="&amp;($A322+6/24),tData[SEHTrajectPeriodeDatumTijdTotEnMet],"&gt;"&amp;($A322+6/24))</f>
        <v/>
      </c>
      <c r="K322" s="20">
        <f>COUNTIFS(tData[SEHTrajectPeriodeDatumTijdVan],"&lt;="&amp;($A322+7/24),tData[SEHTrajectPeriodeDatumTijdTotEnMet],"&gt;"&amp;($A322+7/24))</f>
        <v/>
      </c>
      <c r="L322" s="20">
        <f>COUNTIFS(tData[SEHTrajectPeriodeDatumTijdVan],"&lt;="&amp;($A322+8/24),tData[SEHTrajectPeriodeDatumTijdTotEnMet],"&gt;"&amp;($A322+8/24))</f>
        <v/>
      </c>
      <c r="M322" s="20">
        <f>COUNTIFS(tData[SEHTrajectPeriodeDatumTijdVan],"&lt;="&amp;($A322+9/24),tData[SEHTrajectPeriodeDatumTijdTotEnMet],"&gt;"&amp;($A322+9/24))</f>
        <v/>
      </c>
      <c r="N322" s="20">
        <f>COUNTIFS(tData[SEHTrajectPeriodeDatumTijdVan],"&lt;="&amp;($A322+10/24),tData[SEHTrajectPeriodeDatumTijdTotEnMet],"&gt;"&amp;($A322+10/24))</f>
        <v/>
      </c>
      <c r="O322" s="20">
        <f>COUNTIFS(tData[SEHTrajectPeriodeDatumTijdVan],"&lt;="&amp;($A322+11/24),tData[SEHTrajectPeriodeDatumTijdTotEnMet],"&gt;"&amp;($A322+11/24))</f>
        <v/>
      </c>
      <c r="P322" s="20">
        <f>COUNTIFS(tData[SEHTrajectPeriodeDatumTijdVan],"&lt;="&amp;($A322+12/24),tData[SEHTrajectPeriodeDatumTijdTotEnMet],"&gt;"&amp;($A322+12/24))</f>
        <v/>
      </c>
      <c r="Q322" s="20">
        <f>COUNTIFS(tData[SEHTrajectPeriodeDatumTijdVan],"&lt;="&amp;($A322+13/24),tData[SEHTrajectPeriodeDatumTijdTotEnMet],"&gt;"&amp;($A322+13/24))</f>
        <v/>
      </c>
      <c r="R322" s="20">
        <f>COUNTIFS(tData[SEHTrajectPeriodeDatumTijdVan],"&lt;="&amp;($A322+14/24),tData[SEHTrajectPeriodeDatumTijdTotEnMet],"&gt;"&amp;($A322+14/24))</f>
        <v/>
      </c>
      <c r="S322" s="20">
        <f>COUNTIFS(tData[SEHTrajectPeriodeDatumTijdVan],"&lt;="&amp;($A322+15/24),tData[SEHTrajectPeriodeDatumTijdTotEnMet],"&gt;"&amp;($A322+15/24))</f>
        <v/>
      </c>
      <c r="T322" s="20">
        <f>COUNTIFS(tData[SEHTrajectPeriodeDatumTijdVan],"&lt;="&amp;($A322+16/24),tData[SEHTrajectPeriodeDatumTijdTotEnMet],"&gt;"&amp;($A322+16/24))</f>
        <v/>
      </c>
      <c r="U322" s="20">
        <f>COUNTIFS(tData[SEHTrajectPeriodeDatumTijdVan],"&lt;="&amp;($A322+17/24),tData[SEHTrajectPeriodeDatumTijdTotEnMet],"&gt;"&amp;($A322+17/24))</f>
        <v/>
      </c>
      <c r="V322" s="20">
        <f>COUNTIFS(tData[SEHTrajectPeriodeDatumTijdVan],"&lt;="&amp;($A322+18/24),tData[SEHTrajectPeriodeDatumTijdTotEnMet],"&gt;"&amp;($A322+18/24))</f>
        <v/>
      </c>
      <c r="W322" s="20">
        <f>COUNTIFS(tData[SEHTrajectPeriodeDatumTijdVan],"&lt;="&amp;($A322+19/24),tData[SEHTrajectPeriodeDatumTijdTotEnMet],"&gt;"&amp;($A322+19/24))</f>
        <v/>
      </c>
      <c r="X322" s="20">
        <f>COUNTIFS(tData[SEHTrajectPeriodeDatumTijdVan],"&lt;="&amp;($A322+20/24),tData[SEHTrajectPeriodeDatumTijdTotEnMet],"&gt;"&amp;($A322+20/24))</f>
        <v/>
      </c>
      <c r="Y322" s="20">
        <f>COUNTIFS(tData[SEHTrajectPeriodeDatumTijdVan],"&lt;="&amp;($A322+21/24),tData[SEHTrajectPeriodeDatumTijdTotEnMet],"&gt;"&amp;($A322+21/24))</f>
        <v/>
      </c>
      <c r="Z322" s="20">
        <f>COUNTIFS(tData[SEHTrajectPeriodeDatumTijdVan],"&lt;="&amp;($A322+22/24),tData[SEHTrajectPeriodeDatumTijdTotEnMet],"&gt;"&amp;($A322+22/24))</f>
        <v/>
      </c>
      <c r="AA322" s="20">
        <f>COUNTIFS(tData[SEHTrajectPeriodeDatumTijdVan],"&lt;="&amp;($A322+23/24),tData[SEHTrajectPeriodeDatumTijdTotEnMet],"&gt;"&amp;($A322+23/24))</f>
        <v/>
      </c>
    </row>
    <row r="323">
      <c r="A323" s="19" t="n">
        <v>45611</v>
      </c>
      <c r="B323" s="15">
        <f>WEEKDAY($A323,2)</f>
        <v/>
      </c>
      <c r="C323" s="15">
        <f>IF(AND($A323&gt;=INT(Instellingen!$B$5),$A323&lt;=INT(Instellingen!$B$6)),1,0)</f>
        <v/>
      </c>
      <c r="D323" s="20">
        <f>COUNTIFS(tData[SEHTrajectPeriodeDatumTijdVan],"&lt;="&amp;($A323+0/24),tData[SEHTrajectPeriodeDatumTijdTotEnMet],"&gt;"&amp;($A323+0/24))</f>
        <v/>
      </c>
      <c r="E323" s="20">
        <f>COUNTIFS(tData[SEHTrajectPeriodeDatumTijdVan],"&lt;="&amp;($A323+1/24),tData[SEHTrajectPeriodeDatumTijdTotEnMet],"&gt;"&amp;($A323+1/24))</f>
        <v/>
      </c>
      <c r="F323" s="20">
        <f>COUNTIFS(tData[SEHTrajectPeriodeDatumTijdVan],"&lt;="&amp;($A323+2/24),tData[SEHTrajectPeriodeDatumTijdTotEnMet],"&gt;"&amp;($A323+2/24))</f>
        <v/>
      </c>
      <c r="G323" s="20">
        <f>COUNTIFS(tData[SEHTrajectPeriodeDatumTijdVan],"&lt;="&amp;($A323+3/24),tData[SEHTrajectPeriodeDatumTijdTotEnMet],"&gt;"&amp;($A323+3/24))</f>
        <v/>
      </c>
      <c r="H323" s="20">
        <f>COUNTIFS(tData[SEHTrajectPeriodeDatumTijdVan],"&lt;="&amp;($A323+4/24),tData[SEHTrajectPeriodeDatumTijdTotEnMet],"&gt;"&amp;($A323+4/24))</f>
        <v/>
      </c>
      <c r="I323" s="20">
        <f>COUNTIFS(tData[SEHTrajectPeriodeDatumTijdVan],"&lt;="&amp;($A323+5/24),tData[SEHTrajectPeriodeDatumTijdTotEnMet],"&gt;"&amp;($A323+5/24))</f>
        <v/>
      </c>
      <c r="J323" s="20">
        <f>COUNTIFS(tData[SEHTrajectPeriodeDatumTijdVan],"&lt;="&amp;($A323+6/24),tData[SEHTrajectPeriodeDatumTijdTotEnMet],"&gt;"&amp;($A323+6/24))</f>
        <v/>
      </c>
      <c r="K323" s="20">
        <f>COUNTIFS(tData[SEHTrajectPeriodeDatumTijdVan],"&lt;="&amp;($A323+7/24),tData[SEHTrajectPeriodeDatumTijdTotEnMet],"&gt;"&amp;($A323+7/24))</f>
        <v/>
      </c>
      <c r="L323" s="20">
        <f>COUNTIFS(tData[SEHTrajectPeriodeDatumTijdVan],"&lt;="&amp;($A323+8/24),tData[SEHTrajectPeriodeDatumTijdTotEnMet],"&gt;"&amp;($A323+8/24))</f>
        <v/>
      </c>
      <c r="M323" s="20">
        <f>COUNTIFS(tData[SEHTrajectPeriodeDatumTijdVan],"&lt;="&amp;($A323+9/24),tData[SEHTrajectPeriodeDatumTijdTotEnMet],"&gt;"&amp;($A323+9/24))</f>
        <v/>
      </c>
      <c r="N323" s="20">
        <f>COUNTIFS(tData[SEHTrajectPeriodeDatumTijdVan],"&lt;="&amp;($A323+10/24),tData[SEHTrajectPeriodeDatumTijdTotEnMet],"&gt;"&amp;($A323+10/24))</f>
        <v/>
      </c>
      <c r="O323" s="20">
        <f>COUNTIFS(tData[SEHTrajectPeriodeDatumTijdVan],"&lt;="&amp;($A323+11/24),tData[SEHTrajectPeriodeDatumTijdTotEnMet],"&gt;"&amp;($A323+11/24))</f>
        <v/>
      </c>
      <c r="P323" s="20">
        <f>COUNTIFS(tData[SEHTrajectPeriodeDatumTijdVan],"&lt;="&amp;($A323+12/24),tData[SEHTrajectPeriodeDatumTijdTotEnMet],"&gt;"&amp;($A323+12/24))</f>
        <v/>
      </c>
      <c r="Q323" s="20">
        <f>COUNTIFS(tData[SEHTrajectPeriodeDatumTijdVan],"&lt;="&amp;($A323+13/24),tData[SEHTrajectPeriodeDatumTijdTotEnMet],"&gt;"&amp;($A323+13/24))</f>
        <v/>
      </c>
      <c r="R323" s="20">
        <f>COUNTIFS(tData[SEHTrajectPeriodeDatumTijdVan],"&lt;="&amp;($A323+14/24),tData[SEHTrajectPeriodeDatumTijdTotEnMet],"&gt;"&amp;($A323+14/24))</f>
        <v/>
      </c>
      <c r="S323" s="20">
        <f>COUNTIFS(tData[SEHTrajectPeriodeDatumTijdVan],"&lt;="&amp;($A323+15/24),tData[SEHTrajectPeriodeDatumTijdTotEnMet],"&gt;"&amp;($A323+15/24))</f>
        <v/>
      </c>
      <c r="T323" s="20">
        <f>COUNTIFS(tData[SEHTrajectPeriodeDatumTijdVan],"&lt;="&amp;($A323+16/24),tData[SEHTrajectPeriodeDatumTijdTotEnMet],"&gt;"&amp;($A323+16/24))</f>
        <v/>
      </c>
      <c r="U323" s="20">
        <f>COUNTIFS(tData[SEHTrajectPeriodeDatumTijdVan],"&lt;="&amp;($A323+17/24),tData[SEHTrajectPeriodeDatumTijdTotEnMet],"&gt;"&amp;($A323+17/24))</f>
        <v/>
      </c>
      <c r="V323" s="20">
        <f>COUNTIFS(tData[SEHTrajectPeriodeDatumTijdVan],"&lt;="&amp;($A323+18/24),tData[SEHTrajectPeriodeDatumTijdTotEnMet],"&gt;"&amp;($A323+18/24))</f>
        <v/>
      </c>
      <c r="W323" s="20">
        <f>COUNTIFS(tData[SEHTrajectPeriodeDatumTijdVan],"&lt;="&amp;($A323+19/24),tData[SEHTrajectPeriodeDatumTijdTotEnMet],"&gt;"&amp;($A323+19/24))</f>
        <v/>
      </c>
      <c r="X323" s="20">
        <f>COUNTIFS(tData[SEHTrajectPeriodeDatumTijdVan],"&lt;="&amp;($A323+20/24),tData[SEHTrajectPeriodeDatumTijdTotEnMet],"&gt;"&amp;($A323+20/24))</f>
        <v/>
      </c>
      <c r="Y323" s="20">
        <f>COUNTIFS(tData[SEHTrajectPeriodeDatumTijdVan],"&lt;="&amp;($A323+21/24),tData[SEHTrajectPeriodeDatumTijdTotEnMet],"&gt;"&amp;($A323+21/24))</f>
        <v/>
      </c>
      <c r="Z323" s="20">
        <f>COUNTIFS(tData[SEHTrajectPeriodeDatumTijdVan],"&lt;="&amp;($A323+22/24),tData[SEHTrajectPeriodeDatumTijdTotEnMet],"&gt;"&amp;($A323+22/24))</f>
        <v/>
      </c>
      <c r="AA323" s="20">
        <f>COUNTIFS(tData[SEHTrajectPeriodeDatumTijdVan],"&lt;="&amp;($A323+23/24),tData[SEHTrajectPeriodeDatumTijdTotEnMet],"&gt;"&amp;($A323+23/24))</f>
        <v/>
      </c>
    </row>
    <row r="324">
      <c r="A324" s="19" t="n">
        <v>45612</v>
      </c>
      <c r="B324" s="15">
        <f>WEEKDAY($A324,2)</f>
        <v/>
      </c>
      <c r="C324" s="15">
        <f>IF(AND($A324&gt;=INT(Instellingen!$B$5),$A324&lt;=INT(Instellingen!$B$6)),1,0)</f>
        <v/>
      </c>
      <c r="D324" s="20">
        <f>COUNTIFS(tData[SEHTrajectPeriodeDatumTijdVan],"&lt;="&amp;($A324+0/24),tData[SEHTrajectPeriodeDatumTijdTotEnMet],"&gt;"&amp;($A324+0/24))</f>
        <v/>
      </c>
      <c r="E324" s="20">
        <f>COUNTIFS(tData[SEHTrajectPeriodeDatumTijdVan],"&lt;="&amp;($A324+1/24),tData[SEHTrajectPeriodeDatumTijdTotEnMet],"&gt;"&amp;($A324+1/24))</f>
        <v/>
      </c>
      <c r="F324" s="20">
        <f>COUNTIFS(tData[SEHTrajectPeriodeDatumTijdVan],"&lt;="&amp;($A324+2/24),tData[SEHTrajectPeriodeDatumTijdTotEnMet],"&gt;"&amp;($A324+2/24))</f>
        <v/>
      </c>
      <c r="G324" s="20">
        <f>COUNTIFS(tData[SEHTrajectPeriodeDatumTijdVan],"&lt;="&amp;($A324+3/24),tData[SEHTrajectPeriodeDatumTijdTotEnMet],"&gt;"&amp;($A324+3/24))</f>
        <v/>
      </c>
      <c r="H324" s="20">
        <f>COUNTIFS(tData[SEHTrajectPeriodeDatumTijdVan],"&lt;="&amp;($A324+4/24),tData[SEHTrajectPeriodeDatumTijdTotEnMet],"&gt;"&amp;($A324+4/24))</f>
        <v/>
      </c>
      <c r="I324" s="20">
        <f>COUNTIFS(tData[SEHTrajectPeriodeDatumTijdVan],"&lt;="&amp;($A324+5/24),tData[SEHTrajectPeriodeDatumTijdTotEnMet],"&gt;"&amp;($A324+5/24))</f>
        <v/>
      </c>
      <c r="J324" s="20">
        <f>COUNTIFS(tData[SEHTrajectPeriodeDatumTijdVan],"&lt;="&amp;($A324+6/24),tData[SEHTrajectPeriodeDatumTijdTotEnMet],"&gt;"&amp;($A324+6/24))</f>
        <v/>
      </c>
      <c r="K324" s="20">
        <f>COUNTIFS(tData[SEHTrajectPeriodeDatumTijdVan],"&lt;="&amp;($A324+7/24),tData[SEHTrajectPeriodeDatumTijdTotEnMet],"&gt;"&amp;($A324+7/24))</f>
        <v/>
      </c>
      <c r="L324" s="20">
        <f>COUNTIFS(tData[SEHTrajectPeriodeDatumTijdVan],"&lt;="&amp;($A324+8/24),tData[SEHTrajectPeriodeDatumTijdTotEnMet],"&gt;"&amp;($A324+8/24))</f>
        <v/>
      </c>
      <c r="M324" s="20">
        <f>COUNTIFS(tData[SEHTrajectPeriodeDatumTijdVan],"&lt;="&amp;($A324+9/24),tData[SEHTrajectPeriodeDatumTijdTotEnMet],"&gt;"&amp;($A324+9/24))</f>
        <v/>
      </c>
      <c r="N324" s="20">
        <f>COUNTIFS(tData[SEHTrajectPeriodeDatumTijdVan],"&lt;="&amp;($A324+10/24),tData[SEHTrajectPeriodeDatumTijdTotEnMet],"&gt;"&amp;($A324+10/24))</f>
        <v/>
      </c>
      <c r="O324" s="20">
        <f>COUNTIFS(tData[SEHTrajectPeriodeDatumTijdVan],"&lt;="&amp;($A324+11/24),tData[SEHTrajectPeriodeDatumTijdTotEnMet],"&gt;"&amp;($A324+11/24))</f>
        <v/>
      </c>
      <c r="P324" s="20">
        <f>COUNTIFS(tData[SEHTrajectPeriodeDatumTijdVan],"&lt;="&amp;($A324+12/24),tData[SEHTrajectPeriodeDatumTijdTotEnMet],"&gt;"&amp;($A324+12/24))</f>
        <v/>
      </c>
      <c r="Q324" s="20">
        <f>COUNTIFS(tData[SEHTrajectPeriodeDatumTijdVan],"&lt;="&amp;($A324+13/24),tData[SEHTrajectPeriodeDatumTijdTotEnMet],"&gt;"&amp;($A324+13/24))</f>
        <v/>
      </c>
      <c r="R324" s="20">
        <f>COUNTIFS(tData[SEHTrajectPeriodeDatumTijdVan],"&lt;="&amp;($A324+14/24),tData[SEHTrajectPeriodeDatumTijdTotEnMet],"&gt;"&amp;($A324+14/24))</f>
        <v/>
      </c>
      <c r="S324" s="20">
        <f>COUNTIFS(tData[SEHTrajectPeriodeDatumTijdVan],"&lt;="&amp;($A324+15/24),tData[SEHTrajectPeriodeDatumTijdTotEnMet],"&gt;"&amp;($A324+15/24))</f>
        <v/>
      </c>
      <c r="T324" s="20">
        <f>COUNTIFS(tData[SEHTrajectPeriodeDatumTijdVan],"&lt;="&amp;($A324+16/24),tData[SEHTrajectPeriodeDatumTijdTotEnMet],"&gt;"&amp;($A324+16/24))</f>
        <v/>
      </c>
      <c r="U324" s="20">
        <f>COUNTIFS(tData[SEHTrajectPeriodeDatumTijdVan],"&lt;="&amp;($A324+17/24),tData[SEHTrajectPeriodeDatumTijdTotEnMet],"&gt;"&amp;($A324+17/24))</f>
        <v/>
      </c>
      <c r="V324" s="20">
        <f>COUNTIFS(tData[SEHTrajectPeriodeDatumTijdVan],"&lt;="&amp;($A324+18/24),tData[SEHTrajectPeriodeDatumTijdTotEnMet],"&gt;"&amp;($A324+18/24))</f>
        <v/>
      </c>
      <c r="W324" s="20">
        <f>COUNTIFS(tData[SEHTrajectPeriodeDatumTijdVan],"&lt;="&amp;($A324+19/24),tData[SEHTrajectPeriodeDatumTijdTotEnMet],"&gt;"&amp;($A324+19/24))</f>
        <v/>
      </c>
      <c r="X324" s="20">
        <f>COUNTIFS(tData[SEHTrajectPeriodeDatumTijdVan],"&lt;="&amp;($A324+20/24),tData[SEHTrajectPeriodeDatumTijdTotEnMet],"&gt;"&amp;($A324+20/24))</f>
        <v/>
      </c>
      <c r="Y324" s="20">
        <f>COUNTIFS(tData[SEHTrajectPeriodeDatumTijdVan],"&lt;="&amp;($A324+21/24),tData[SEHTrajectPeriodeDatumTijdTotEnMet],"&gt;"&amp;($A324+21/24))</f>
        <v/>
      </c>
      <c r="Z324" s="20">
        <f>COUNTIFS(tData[SEHTrajectPeriodeDatumTijdVan],"&lt;="&amp;($A324+22/24),tData[SEHTrajectPeriodeDatumTijdTotEnMet],"&gt;"&amp;($A324+22/24))</f>
        <v/>
      </c>
      <c r="AA324" s="20">
        <f>COUNTIFS(tData[SEHTrajectPeriodeDatumTijdVan],"&lt;="&amp;($A324+23/24),tData[SEHTrajectPeriodeDatumTijdTotEnMet],"&gt;"&amp;($A324+23/24))</f>
        <v/>
      </c>
    </row>
    <row r="325">
      <c r="A325" s="19" t="n">
        <v>45613</v>
      </c>
      <c r="B325" s="15">
        <f>WEEKDAY($A325,2)</f>
        <v/>
      </c>
      <c r="C325" s="15">
        <f>IF(AND($A325&gt;=INT(Instellingen!$B$5),$A325&lt;=INT(Instellingen!$B$6)),1,0)</f>
        <v/>
      </c>
      <c r="D325" s="20">
        <f>COUNTIFS(tData[SEHTrajectPeriodeDatumTijdVan],"&lt;="&amp;($A325+0/24),tData[SEHTrajectPeriodeDatumTijdTotEnMet],"&gt;"&amp;($A325+0/24))</f>
        <v/>
      </c>
      <c r="E325" s="20">
        <f>COUNTIFS(tData[SEHTrajectPeriodeDatumTijdVan],"&lt;="&amp;($A325+1/24),tData[SEHTrajectPeriodeDatumTijdTotEnMet],"&gt;"&amp;($A325+1/24))</f>
        <v/>
      </c>
      <c r="F325" s="20">
        <f>COUNTIFS(tData[SEHTrajectPeriodeDatumTijdVan],"&lt;="&amp;($A325+2/24),tData[SEHTrajectPeriodeDatumTijdTotEnMet],"&gt;"&amp;($A325+2/24))</f>
        <v/>
      </c>
      <c r="G325" s="20">
        <f>COUNTIFS(tData[SEHTrajectPeriodeDatumTijdVan],"&lt;="&amp;($A325+3/24),tData[SEHTrajectPeriodeDatumTijdTotEnMet],"&gt;"&amp;($A325+3/24))</f>
        <v/>
      </c>
      <c r="H325" s="20">
        <f>COUNTIFS(tData[SEHTrajectPeriodeDatumTijdVan],"&lt;="&amp;($A325+4/24),tData[SEHTrajectPeriodeDatumTijdTotEnMet],"&gt;"&amp;($A325+4/24))</f>
        <v/>
      </c>
      <c r="I325" s="20">
        <f>COUNTIFS(tData[SEHTrajectPeriodeDatumTijdVan],"&lt;="&amp;($A325+5/24),tData[SEHTrajectPeriodeDatumTijdTotEnMet],"&gt;"&amp;($A325+5/24))</f>
        <v/>
      </c>
      <c r="J325" s="20">
        <f>COUNTIFS(tData[SEHTrajectPeriodeDatumTijdVan],"&lt;="&amp;($A325+6/24),tData[SEHTrajectPeriodeDatumTijdTotEnMet],"&gt;"&amp;($A325+6/24))</f>
        <v/>
      </c>
      <c r="K325" s="20">
        <f>COUNTIFS(tData[SEHTrajectPeriodeDatumTijdVan],"&lt;="&amp;($A325+7/24),tData[SEHTrajectPeriodeDatumTijdTotEnMet],"&gt;"&amp;($A325+7/24))</f>
        <v/>
      </c>
      <c r="L325" s="20">
        <f>COUNTIFS(tData[SEHTrajectPeriodeDatumTijdVan],"&lt;="&amp;($A325+8/24),tData[SEHTrajectPeriodeDatumTijdTotEnMet],"&gt;"&amp;($A325+8/24))</f>
        <v/>
      </c>
      <c r="M325" s="20">
        <f>COUNTIFS(tData[SEHTrajectPeriodeDatumTijdVan],"&lt;="&amp;($A325+9/24),tData[SEHTrajectPeriodeDatumTijdTotEnMet],"&gt;"&amp;($A325+9/24))</f>
        <v/>
      </c>
      <c r="N325" s="20">
        <f>COUNTIFS(tData[SEHTrajectPeriodeDatumTijdVan],"&lt;="&amp;($A325+10/24),tData[SEHTrajectPeriodeDatumTijdTotEnMet],"&gt;"&amp;($A325+10/24))</f>
        <v/>
      </c>
      <c r="O325" s="20">
        <f>COUNTIFS(tData[SEHTrajectPeriodeDatumTijdVan],"&lt;="&amp;($A325+11/24),tData[SEHTrajectPeriodeDatumTijdTotEnMet],"&gt;"&amp;($A325+11/24))</f>
        <v/>
      </c>
      <c r="P325" s="20">
        <f>COUNTIFS(tData[SEHTrajectPeriodeDatumTijdVan],"&lt;="&amp;($A325+12/24),tData[SEHTrajectPeriodeDatumTijdTotEnMet],"&gt;"&amp;($A325+12/24))</f>
        <v/>
      </c>
      <c r="Q325" s="20">
        <f>COUNTIFS(tData[SEHTrajectPeriodeDatumTijdVan],"&lt;="&amp;($A325+13/24),tData[SEHTrajectPeriodeDatumTijdTotEnMet],"&gt;"&amp;($A325+13/24))</f>
        <v/>
      </c>
      <c r="R325" s="20">
        <f>COUNTIFS(tData[SEHTrajectPeriodeDatumTijdVan],"&lt;="&amp;($A325+14/24),tData[SEHTrajectPeriodeDatumTijdTotEnMet],"&gt;"&amp;($A325+14/24))</f>
        <v/>
      </c>
      <c r="S325" s="20">
        <f>COUNTIFS(tData[SEHTrajectPeriodeDatumTijdVan],"&lt;="&amp;($A325+15/24),tData[SEHTrajectPeriodeDatumTijdTotEnMet],"&gt;"&amp;($A325+15/24))</f>
        <v/>
      </c>
      <c r="T325" s="20">
        <f>COUNTIFS(tData[SEHTrajectPeriodeDatumTijdVan],"&lt;="&amp;($A325+16/24),tData[SEHTrajectPeriodeDatumTijdTotEnMet],"&gt;"&amp;($A325+16/24))</f>
        <v/>
      </c>
      <c r="U325" s="20">
        <f>COUNTIFS(tData[SEHTrajectPeriodeDatumTijdVan],"&lt;="&amp;($A325+17/24),tData[SEHTrajectPeriodeDatumTijdTotEnMet],"&gt;"&amp;($A325+17/24))</f>
        <v/>
      </c>
      <c r="V325" s="20">
        <f>COUNTIFS(tData[SEHTrajectPeriodeDatumTijdVan],"&lt;="&amp;($A325+18/24),tData[SEHTrajectPeriodeDatumTijdTotEnMet],"&gt;"&amp;($A325+18/24))</f>
        <v/>
      </c>
      <c r="W325" s="20">
        <f>COUNTIFS(tData[SEHTrajectPeriodeDatumTijdVan],"&lt;="&amp;($A325+19/24),tData[SEHTrajectPeriodeDatumTijdTotEnMet],"&gt;"&amp;($A325+19/24))</f>
        <v/>
      </c>
      <c r="X325" s="20">
        <f>COUNTIFS(tData[SEHTrajectPeriodeDatumTijdVan],"&lt;="&amp;($A325+20/24),tData[SEHTrajectPeriodeDatumTijdTotEnMet],"&gt;"&amp;($A325+20/24))</f>
        <v/>
      </c>
      <c r="Y325" s="20">
        <f>COUNTIFS(tData[SEHTrajectPeriodeDatumTijdVan],"&lt;="&amp;($A325+21/24),tData[SEHTrajectPeriodeDatumTijdTotEnMet],"&gt;"&amp;($A325+21/24))</f>
        <v/>
      </c>
      <c r="Z325" s="20">
        <f>COUNTIFS(tData[SEHTrajectPeriodeDatumTijdVan],"&lt;="&amp;($A325+22/24),tData[SEHTrajectPeriodeDatumTijdTotEnMet],"&gt;"&amp;($A325+22/24))</f>
        <v/>
      </c>
      <c r="AA325" s="20">
        <f>COUNTIFS(tData[SEHTrajectPeriodeDatumTijdVan],"&lt;="&amp;($A325+23/24),tData[SEHTrajectPeriodeDatumTijdTotEnMet],"&gt;"&amp;($A325+23/24))</f>
        <v/>
      </c>
    </row>
    <row r="326">
      <c r="A326" s="19" t="n">
        <v>45614</v>
      </c>
      <c r="B326" s="15">
        <f>WEEKDAY($A326,2)</f>
        <v/>
      </c>
      <c r="C326" s="15">
        <f>IF(AND($A326&gt;=INT(Instellingen!$B$5),$A326&lt;=INT(Instellingen!$B$6)),1,0)</f>
        <v/>
      </c>
      <c r="D326" s="20">
        <f>COUNTIFS(tData[SEHTrajectPeriodeDatumTijdVan],"&lt;="&amp;($A326+0/24),tData[SEHTrajectPeriodeDatumTijdTotEnMet],"&gt;"&amp;($A326+0/24))</f>
        <v/>
      </c>
      <c r="E326" s="20">
        <f>COUNTIFS(tData[SEHTrajectPeriodeDatumTijdVan],"&lt;="&amp;($A326+1/24),tData[SEHTrajectPeriodeDatumTijdTotEnMet],"&gt;"&amp;($A326+1/24))</f>
        <v/>
      </c>
      <c r="F326" s="20">
        <f>COUNTIFS(tData[SEHTrajectPeriodeDatumTijdVan],"&lt;="&amp;($A326+2/24),tData[SEHTrajectPeriodeDatumTijdTotEnMet],"&gt;"&amp;($A326+2/24))</f>
        <v/>
      </c>
      <c r="G326" s="20">
        <f>COUNTIFS(tData[SEHTrajectPeriodeDatumTijdVan],"&lt;="&amp;($A326+3/24),tData[SEHTrajectPeriodeDatumTijdTotEnMet],"&gt;"&amp;($A326+3/24))</f>
        <v/>
      </c>
      <c r="H326" s="20">
        <f>COUNTIFS(tData[SEHTrajectPeriodeDatumTijdVan],"&lt;="&amp;($A326+4/24),tData[SEHTrajectPeriodeDatumTijdTotEnMet],"&gt;"&amp;($A326+4/24))</f>
        <v/>
      </c>
      <c r="I326" s="20">
        <f>COUNTIFS(tData[SEHTrajectPeriodeDatumTijdVan],"&lt;="&amp;($A326+5/24),tData[SEHTrajectPeriodeDatumTijdTotEnMet],"&gt;"&amp;($A326+5/24))</f>
        <v/>
      </c>
      <c r="J326" s="20">
        <f>COUNTIFS(tData[SEHTrajectPeriodeDatumTijdVan],"&lt;="&amp;($A326+6/24),tData[SEHTrajectPeriodeDatumTijdTotEnMet],"&gt;"&amp;($A326+6/24))</f>
        <v/>
      </c>
      <c r="K326" s="20">
        <f>COUNTIFS(tData[SEHTrajectPeriodeDatumTijdVan],"&lt;="&amp;($A326+7/24),tData[SEHTrajectPeriodeDatumTijdTotEnMet],"&gt;"&amp;($A326+7/24))</f>
        <v/>
      </c>
      <c r="L326" s="20">
        <f>COUNTIFS(tData[SEHTrajectPeriodeDatumTijdVan],"&lt;="&amp;($A326+8/24),tData[SEHTrajectPeriodeDatumTijdTotEnMet],"&gt;"&amp;($A326+8/24))</f>
        <v/>
      </c>
      <c r="M326" s="20">
        <f>COUNTIFS(tData[SEHTrajectPeriodeDatumTijdVan],"&lt;="&amp;($A326+9/24),tData[SEHTrajectPeriodeDatumTijdTotEnMet],"&gt;"&amp;($A326+9/24))</f>
        <v/>
      </c>
      <c r="N326" s="20">
        <f>COUNTIFS(tData[SEHTrajectPeriodeDatumTijdVan],"&lt;="&amp;($A326+10/24),tData[SEHTrajectPeriodeDatumTijdTotEnMet],"&gt;"&amp;($A326+10/24))</f>
        <v/>
      </c>
      <c r="O326" s="20">
        <f>COUNTIFS(tData[SEHTrajectPeriodeDatumTijdVan],"&lt;="&amp;($A326+11/24),tData[SEHTrajectPeriodeDatumTijdTotEnMet],"&gt;"&amp;($A326+11/24))</f>
        <v/>
      </c>
      <c r="P326" s="20">
        <f>COUNTIFS(tData[SEHTrajectPeriodeDatumTijdVan],"&lt;="&amp;($A326+12/24),tData[SEHTrajectPeriodeDatumTijdTotEnMet],"&gt;"&amp;($A326+12/24))</f>
        <v/>
      </c>
      <c r="Q326" s="20">
        <f>COUNTIFS(tData[SEHTrajectPeriodeDatumTijdVan],"&lt;="&amp;($A326+13/24),tData[SEHTrajectPeriodeDatumTijdTotEnMet],"&gt;"&amp;($A326+13/24))</f>
        <v/>
      </c>
      <c r="R326" s="20">
        <f>COUNTIFS(tData[SEHTrajectPeriodeDatumTijdVan],"&lt;="&amp;($A326+14/24),tData[SEHTrajectPeriodeDatumTijdTotEnMet],"&gt;"&amp;($A326+14/24))</f>
        <v/>
      </c>
      <c r="S326" s="20">
        <f>COUNTIFS(tData[SEHTrajectPeriodeDatumTijdVan],"&lt;="&amp;($A326+15/24),tData[SEHTrajectPeriodeDatumTijdTotEnMet],"&gt;"&amp;($A326+15/24))</f>
        <v/>
      </c>
      <c r="T326" s="20">
        <f>COUNTIFS(tData[SEHTrajectPeriodeDatumTijdVan],"&lt;="&amp;($A326+16/24),tData[SEHTrajectPeriodeDatumTijdTotEnMet],"&gt;"&amp;($A326+16/24))</f>
        <v/>
      </c>
      <c r="U326" s="20">
        <f>COUNTIFS(tData[SEHTrajectPeriodeDatumTijdVan],"&lt;="&amp;($A326+17/24),tData[SEHTrajectPeriodeDatumTijdTotEnMet],"&gt;"&amp;($A326+17/24))</f>
        <v/>
      </c>
      <c r="V326" s="20">
        <f>COUNTIFS(tData[SEHTrajectPeriodeDatumTijdVan],"&lt;="&amp;($A326+18/24),tData[SEHTrajectPeriodeDatumTijdTotEnMet],"&gt;"&amp;($A326+18/24))</f>
        <v/>
      </c>
      <c r="W326" s="20">
        <f>COUNTIFS(tData[SEHTrajectPeriodeDatumTijdVan],"&lt;="&amp;($A326+19/24),tData[SEHTrajectPeriodeDatumTijdTotEnMet],"&gt;"&amp;($A326+19/24))</f>
        <v/>
      </c>
      <c r="X326" s="20">
        <f>COUNTIFS(tData[SEHTrajectPeriodeDatumTijdVan],"&lt;="&amp;($A326+20/24),tData[SEHTrajectPeriodeDatumTijdTotEnMet],"&gt;"&amp;($A326+20/24))</f>
        <v/>
      </c>
      <c r="Y326" s="20">
        <f>COUNTIFS(tData[SEHTrajectPeriodeDatumTijdVan],"&lt;="&amp;($A326+21/24),tData[SEHTrajectPeriodeDatumTijdTotEnMet],"&gt;"&amp;($A326+21/24))</f>
        <v/>
      </c>
      <c r="Z326" s="20">
        <f>COUNTIFS(tData[SEHTrajectPeriodeDatumTijdVan],"&lt;="&amp;($A326+22/24),tData[SEHTrajectPeriodeDatumTijdTotEnMet],"&gt;"&amp;($A326+22/24))</f>
        <v/>
      </c>
      <c r="AA326" s="20">
        <f>COUNTIFS(tData[SEHTrajectPeriodeDatumTijdVan],"&lt;="&amp;($A326+23/24),tData[SEHTrajectPeriodeDatumTijdTotEnMet],"&gt;"&amp;($A326+23/24))</f>
        <v/>
      </c>
    </row>
    <row r="327">
      <c r="A327" s="19" t="n">
        <v>45615</v>
      </c>
      <c r="B327" s="15">
        <f>WEEKDAY($A327,2)</f>
        <v/>
      </c>
      <c r="C327" s="15">
        <f>IF(AND($A327&gt;=INT(Instellingen!$B$5),$A327&lt;=INT(Instellingen!$B$6)),1,0)</f>
        <v/>
      </c>
      <c r="D327" s="20">
        <f>COUNTIFS(tData[SEHTrajectPeriodeDatumTijdVan],"&lt;="&amp;($A327+0/24),tData[SEHTrajectPeriodeDatumTijdTotEnMet],"&gt;"&amp;($A327+0/24))</f>
        <v/>
      </c>
      <c r="E327" s="20">
        <f>COUNTIFS(tData[SEHTrajectPeriodeDatumTijdVan],"&lt;="&amp;($A327+1/24),tData[SEHTrajectPeriodeDatumTijdTotEnMet],"&gt;"&amp;($A327+1/24))</f>
        <v/>
      </c>
      <c r="F327" s="20">
        <f>COUNTIFS(tData[SEHTrajectPeriodeDatumTijdVan],"&lt;="&amp;($A327+2/24),tData[SEHTrajectPeriodeDatumTijdTotEnMet],"&gt;"&amp;($A327+2/24))</f>
        <v/>
      </c>
      <c r="G327" s="20">
        <f>COUNTIFS(tData[SEHTrajectPeriodeDatumTijdVan],"&lt;="&amp;($A327+3/24),tData[SEHTrajectPeriodeDatumTijdTotEnMet],"&gt;"&amp;($A327+3/24))</f>
        <v/>
      </c>
      <c r="H327" s="20">
        <f>COUNTIFS(tData[SEHTrajectPeriodeDatumTijdVan],"&lt;="&amp;($A327+4/24),tData[SEHTrajectPeriodeDatumTijdTotEnMet],"&gt;"&amp;($A327+4/24))</f>
        <v/>
      </c>
      <c r="I327" s="20">
        <f>COUNTIFS(tData[SEHTrajectPeriodeDatumTijdVan],"&lt;="&amp;($A327+5/24),tData[SEHTrajectPeriodeDatumTijdTotEnMet],"&gt;"&amp;($A327+5/24))</f>
        <v/>
      </c>
      <c r="J327" s="20">
        <f>COUNTIFS(tData[SEHTrajectPeriodeDatumTijdVan],"&lt;="&amp;($A327+6/24),tData[SEHTrajectPeriodeDatumTijdTotEnMet],"&gt;"&amp;($A327+6/24))</f>
        <v/>
      </c>
      <c r="K327" s="20">
        <f>COUNTIFS(tData[SEHTrajectPeriodeDatumTijdVan],"&lt;="&amp;($A327+7/24),tData[SEHTrajectPeriodeDatumTijdTotEnMet],"&gt;"&amp;($A327+7/24))</f>
        <v/>
      </c>
      <c r="L327" s="20">
        <f>COUNTIFS(tData[SEHTrajectPeriodeDatumTijdVan],"&lt;="&amp;($A327+8/24),tData[SEHTrajectPeriodeDatumTijdTotEnMet],"&gt;"&amp;($A327+8/24))</f>
        <v/>
      </c>
      <c r="M327" s="20">
        <f>COUNTIFS(tData[SEHTrajectPeriodeDatumTijdVan],"&lt;="&amp;($A327+9/24),tData[SEHTrajectPeriodeDatumTijdTotEnMet],"&gt;"&amp;($A327+9/24))</f>
        <v/>
      </c>
      <c r="N327" s="20">
        <f>COUNTIFS(tData[SEHTrajectPeriodeDatumTijdVan],"&lt;="&amp;($A327+10/24),tData[SEHTrajectPeriodeDatumTijdTotEnMet],"&gt;"&amp;($A327+10/24))</f>
        <v/>
      </c>
      <c r="O327" s="20">
        <f>COUNTIFS(tData[SEHTrajectPeriodeDatumTijdVan],"&lt;="&amp;($A327+11/24),tData[SEHTrajectPeriodeDatumTijdTotEnMet],"&gt;"&amp;($A327+11/24))</f>
        <v/>
      </c>
      <c r="P327" s="20">
        <f>COUNTIFS(tData[SEHTrajectPeriodeDatumTijdVan],"&lt;="&amp;($A327+12/24),tData[SEHTrajectPeriodeDatumTijdTotEnMet],"&gt;"&amp;($A327+12/24))</f>
        <v/>
      </c>
      <c r="Q327" s="20">
        <f>COUNTIFS(tData[SEHTrajectPeriodeDatumTijdVan],"&lt;="&amp;($A327+13/24),tData[SEHTrajectPeriodeDatumTijdTotEnMet],"&gt;"&amp;($A327+13/24))</f>
        <v/>
      </c>
      <c r="R327" s="20">
        <f>COUNTIFS(tData[SEHTrajectPeriodeDatumTijdVan],"&lt;="&amp;($A327+14/24),tData[SEHTrajectPeriodeDatumTijdTotEnMet],"&gt;"&amp;($A327+14/24))</f>
        <v/>
      </c>
      <c r="S327" s="20">
        <f>COUNTIFS(tData[SEHTrajectPeriodeDatumTijdVan],"&lt;="&amp;($A327+15/24),tData[SEHTrajectPeriodeDatumTijdTotEnMet],"&gt;"&amp;($A327+15/24))</f>
        <v/>
      </c>
      <c r="T327" s="20">
        <f>COUNTIFS(tData[SEHTrajectPeriodeDatumTijdVan],"&lt;="&amp;($A327+16/24),tData[SEHTrajectPeriodeDatumTijdTotEnMet],"&gt;"&amp;($A327+16/24))</f>
        <v/>
      </c>
      <c r="U327" s="20">
        <f>COUNTIFS(tData[SEHTrajectPeriodeDatumTijdVan],"&lt;="&amp;($A327+17/24),tData[SEHTrajectPeriodeDatumTijdTotEnMet],"&gt;"&amp;($A327+17/24))</f>
        <v/>
      </c>
      <c r="V327" s="20">
        <f>COUNTIFS(tData[SEHTrajectPeriodeDatumTijdVan],"&lt;="&amp;($A327+18/24),tData[SEHTrajectPeriodeDatumTijdTotEnMet],"&gt;"&amp;($A327+18/24))</f>
        <v/>
      </c>
      <c r="W327" s="20">
        <f>COUNTIFS(tData[SEHTrajectPeriodeDatumTijdVan],"&lt;="&amp;($A327+19/24),tData[SEHTrajectPeriodeDatumTijdTotEnMet],"&gt;"&amp;($A327+19/24))</f>
        <v/>
      </c>
      <c r="X327" s="20">
        <f>COUNTIFS(tData[SEHTrajectPeriodeDatumTijdVan],"&lt;="&amp;($A327+20/24),tData[SEHTrajectPeriodeDatumTijdTotEnMet],"&gt;"&amp;($A327+20/24))</f>
        <v/>
      </c>
      <c r="Y327" s="20">
        <f>COUNTIFS(tData[SEHTrajectPeriodeDatumTijdVan],"&lt;="&amp;($A327+21/24),tData[SEHTrajectPeriodeDatumTijdTotEnMet],"&gt;"&amp;($A327+21/24))</f>
        <v/>
      </c>
      <c r="Z327" s="20">
        <f>COUNTIFS(tData[SEHTrajectPeriodeDatumTijdVan],"&lt;="&amp;($A327+22/24),tData[SEHTrajectPeriodeDatumTijdTotEnMet],"&gt;"&amp;($A327+22/24))</f>
        <v/>
      </c>
      <c r="AA327" s="20">
        <f>COUNTIFS(tData[SEHTrajectPeriodeDatumTijdVan],"&lt;="&amp;($A327+23/24),tData[SEHTrajectPeriodeDatumTijdTotEnMet],"&gt;"&amp;($A327+23/24))</f>
        <v/>
      </c>
    </row>
    <row r="328">
      <c r="A328" s="19" t="n">
        <v>45616</v>
      </c>
      <c r="B328" s="15">
        <f>WEEKDAY($A328,2)</f>
        <v/>
      </c>
      <c r="C328" s="15">
        <f>IF(AND($A328&gt;=INT(Instellingen!$B$5),$A328&lt;=INT(Instellingen!$B$6)),1,0)</f>
        <v/>
      </c>
      <c r="D328" s="20">
        <f>COUNTIFS(tData[SEHTrajectPeriodeDatumTijdVan],"&lt;="&amp;($A328+0/24),tData[SEHTrajectPeriodeDatumTijdTotEnMet],"&gt;"&amp;($A328+0/24))</f>
        <v/>
      </c>
      <c r="E328" s="20">
        <f>COUNTIFS(tData[SEHTrajectPeriodeDatumTijdVan],"&lt;="&amp;($A328+1/24),tData[SEHTrajectPeriodeDatumTijdTotEnMet],"&gt;"&amp;($A328+1/24))</f>
        <v/>
      </c>
      <c r="F328" s="20">
        <f>COUNTIFS(tData[SEHTrajectPeriodeDatumTijdVan],"&lt;="&amp;($A328+2/24),tData[SEHTrajectPeriodeDatumTijdTotEnMet],"&gt;"&amp;($A328+2/24))</f>
        <v/>
      </c>
      <c r="G328" s="20">
        <f>COUNTIFS(tData[SEHTrajectPeriodeDatumTijdVan],"&lt;="&amp;($A328+3/24),tData[SEHTrajectPeriodeDatumTijdTotEnMet],"&gt;"&amp;($A328+3/24))</f>
        <v/>
      </c>
      <c r="H328" s="20">
        <f>COUNTIFS(tData[SEHTrajectPeriodeDatumTijdVan],"&lt;="&amp;($A328+4/24),tData[SEHTrajectPeriodeDatumTijdTotEnMet],"&gt;"&amp;($A328+4/24))</f>
        <v/>
      </c>
      <c r="I328" s="20">
        <f>COUNTIFS(tData[SEHTrajectPeriodeDatumTijdVan],"&lt;="&amp;($A328+5/24),tData[SEHTrajectPeriodeDatumTijdTotEnMet],"&gt;"&amp;($A328+5/24))</f>
        <v/>
      </c>
      <c r="J328" s="20">
        <f>COUNTIFS(tData[SEHTrajectPeriodeDatumTijdVan],"&lt;="&amp;($A328+6/24),tData[SEHTrajectPeriodeDatumTijdTotEnMet],"&gt;"&amp;($A328+6/24))</f>
        <v/>
      </c>
      <c r="K328" s="20">
        <f>COUNTIFS(tData[SEHTrajectPeriodeDatumTijdVan],"&lt;="&amp;($A328+7/24),tData[SEHTrajectPeriodeDatumTijdTotEnMet],"&gt;"&amp;($A328+7/24))</f>
        <v/>
      </c>
      <c r="L328" s="20">
        <f>COUNTIFS(tData[SEHTrajectPeriodeDatumTijdVan],"&lt;="&amp;($A328+8/24),tData[SEHTrajectPeriodeDatumTijdTotEnMet],"&gt;"&amp;($A328+8/24))</f>
        <v/>
      </c>
      <c r="M328" s="20">
        <f>COUNTIFS(tData[SEHTrajectPeriodeDatumTijdVan],"&lt;="&amp;($A328+9/24),tData[SEHTrajectPeriodeDatumTijdTotEnMet],"&gt;"&amp;($A328+9/24))</f>
        <v/>
      </c>
      <c r="N328" s="20">
        <f>COUNTIFS(tData[SEHTrajectPeriodeDatumTijdVan],"&lt;="&amp;($A328+10/24),tData[SEHTrajectPeriodeDatumTijdTotEnMet],"&gt;"&amp;($A328+10/24))</f>
        <v/>
      </c>
      <c r="O328" s="20">
        <f>COUNTIFS(tData[SEHTrajectPeriodeDatumTijdVan],"&lt;="&amp;($A328+11/24),tData[SEHTrajectPeriodeDatumTijdTotEnMet],"&gt;"&amp;($A328+11/24))</f>
        <v/>
      </c>
      <c r="P328" s="20">
        <f>COUNTIFS(tData[SEHTrajectPeriodeDatumTijdVan],"&lt;="&amp;($A328+12/24),tData[SEHTrajectPeriodeDatumTijdTotEnMet],"&gt;"&amp;($A328+12/24))</f>
        <v/>
      </c>
      <c r="Q328" s="20">
        <f>COUNTIFS(tData[SEHTrajectPeriodeDatumTijdVan],"&lt;="&amp;($A328+13/24),tData[SEHTrajectPeriodeDatumTijdTotEnMet],"&gt;"&amp;($A328+13/24))</f>
        <v/>
      </c>
      <c r="R328" s="20">
        <f>COUNTIFS(tData[SEHTrajectPeriodeDatumTijdVan],"&lt;="&amp;($A328+14/24),tData[SEHTrajectPeriodeDatumTijdTotEnMet],"&gt;"&amp;($A328+14/24))</f>
        <v/>
      </c>
      <c r="S328" s="20">
        <f>COUNTIFS(tData[SEHTrajectPeriodeDatumTijdVan],"&lt;="&amp;($A328+15/24),tData[SEHTrajectPeriodeDatumTijdTotEnMet],"&gt;"&amp;($A328+15/24))</f>
        <v/>
      </c>
      <c r="T328" s="20">
        <f>COUNTIFS(tData[SEHTrajectPeriodeDatumTijdVan],"&lt;="&amp;($A328+16/24),tData[SEHTrajectPeriodeDatumTijdTotEnMet],"&gt;"&amp;($A328+16/24))</f>
        <v/>
      </c>
      <c r="U328" s="20">
        <f>COUNTIFS(tData[SEHTrajectPeriodeDatumTijdVan],"&lt;="&amp;($A328+17/24),tData[SEHTrajectPeriodeDatumTijdTotEnMet],"&gt;"&amp;($A328+17/24))</f>
        <v/>
      </c>
      <c r="V328" s="20">
        <f>COUNTIFS(tData[SEHTrajectPeriodeDatumTijdVan],"&lt;="&amp;($A328+18/24),tData[SEHTrajectPeriodeDatumTijdTotEnMet],"&gt;"&amp;($A328+18/24))</f>
        <v/>
      </c>
      <c r="W328" s="20">
        <f>COUNTIFS(tData[SEHTrajectPeriodeDatumTijdVan],"&lt;="&amp;($A328+19/24),tData[SEHTrajectPeriodeDatumTijdTotEnMet],"&gt;"&amp;($A328+19/24))</f>
        <v/>
      </c>
      <c r="X328" s="20">
        <f>COUNTIFS(tData[SEHTrajectPeriodeDatumTijdVan],"&lt;="&amp;($A328+20/24),tData[SEHTrajectPeriodeDatumTijdTotEnMet],"&gt;"&amp;($A328+20/24))</f>
        <v/>
      </c>
      <c r="Y328" s="20">
        <f>COUNTIFS(tData[SEHTrajectPeriodeDatumTijdVan],"&lt;="&amp;($A328+21/24),tData[SEHTrajectPeriodeDatumTijdTotEnMet],"&gt;"&amp;($A328+21/24))</f>
        <v/>
      </c>
      <c r="Z328" s="20">
        <f>COUNTIFS(tData[SEHTrajectPeriodeDatumTijdVan],"&lt;="&amp;($A328+22/24),tData[SEHTrajectPeriodeDatumTijdTotEnMet],"&gt;"&amp;($A328+22/24))</f>
        <v/>
      </c>
      <c r="AA328" s="20">
        <f>COUNTIFS(tData[SEHTrajectPeriodeDatumTijdVan],"&lt;="&amp;($A328+23/24),tData[SEHTrajectPeriodeDatumTijdTotEnMet],"&gt;"&amp;($A328+23/24))</f>
        <v/>
      </c>
    </row>
    <row r="329">
      <c r="A329" s="19" t="n">
        <v>45617</v>
      </c>
      <c r="B329" s="15">
        <f>WEEKDAY($A329,2)</f>
        <v/>
      </c>
      <c r="C329" s="15">
        <f>IF(AND($A329&gt;=INT(Instellingen!$B$5),$A329&lt;=INT(Instellingen!$B$6)),1,0)</f>
        <v/>
      </c>
      <c r="D329" s="20">
        <f>COUNTIFS(tData[SEHTrajectPeriodeDatumTijdVan],"&lt;="&amp;($A329+0/24),tData[SEHTrajectPeriodeDatumTijdTotEnMet],"&gt;"&amp;($A329+0/24))</f>
        <v/>
      </c>
      <c r="E329" s="20">
        <f>COUNTIFS(tData[SEHTrajectPeriodeDatumTijdVan],"&lt;="&amp;($A329+1/24),tData[SEHTrajectPeriodeDatumTijdTotEnMet],"&gt;"&amp;($A329+1/24))</f>
        <v/>
      </c>
      <c r="F329" s="20">
        <f>COUNTIFS(tData[SEHTrajectPeriodeDatumTijdVan],"&lt;="&amp;($A329+2/24),tData[SEHTrajectPeriodeDatumTijdTotEnMet],"&gt;"&amp;($A329+2/24))</f>
        <v/>
      </c>
      <c r="G329" s="20">
        <f>COUNTIFS(tData[SEHTrajectPeriodeDatumTijdVan],"&lt;="&amp;($A329+3/24),tData[SEHTrajectPeriodeDatumTijdTotEnMet],"&gt;"&amp;($A329+3/24))</f>
        <v/>
      </c>
      <c r="H329" s="20">
        <f>COUNTIFS(tData[SEHTrajectPeriodeDatumTijdVan],"&lt;="&amp;($A329+4/24),tData[SEHTrajectPeriodeDatumTijdTotEnMet],"&gt;"&amp;($A329+4/24))</f>
        <v/>
      </c>
      <c r="I329" s="20">
        <f>COUNTIFS(tData[SEHTrajectPeriodeDatumTijdVan],"&lt;="&amp;($A329+5/24),tData[SEHTrajectPeriodeDatumTijdTotEnMet],"&gt;"&amp;($A329+5/24))</f>
        <v/>
      </c>
      <c r="J329" s="20">
        <f>COUNTIFS(tData[SEHTrajectPeriodeDatumTijdVan],"&lt;="&amp;($A329+6/24),tData[SEHTrajectPeriodeDatumTijdTotEnMet],"&gt;"&amp;($A329+6/24))</f>
        <v/>
      </c>
      <c r="K329" s="20">
        <f>COUNTIFS(tData[SEHTrajectPeriodeDatumTijdVan],"&lt;="&amp;($A329+7/24),tData[SEHTrajectPeriodeDatumTijdTotEnMet],"&gt;"&amp;($A329+7/24))</f>
        <v/>
      </c>
      <c r="L329" s="20">
        <f>COUNTIFS(tData[SEHTrajectPeriodeDatumTijdVan],"&lt;="&amp;($A329+8/24),tData[SEHTrajectPeriodeDatumTijdTotEnMet],"&gt;"&amp;($A329+8/24))</f>
        <v/>
      </c>
      <c r="M329" s="20">
        <f>COUNTIFS(tData[SEHTrajectPeriodeDatumTijdVan],"&lt;="&amp;($A329+9/24),tData[SEHTrajectPeriodeDatumTijdTotEnMet],"&gt;"&amp;($A329+9/24))</f>
        <v/>
      </c>
      <c r="N329" s="20">
        <f>COUNTIFS(tData[SEHTrajectPeriodeDatumTijdVan],"&lt;="&amp;($A329+10/24),tData[SEHTrajectPeriodeDatumTijdTotEnMet],"&gt;"&amp;($A329+10/24))</f>
        <v/>
      </c>
      <c r="O329" s="20">
        <f>COUNTIFS(tData[SEHTrajectPeriodeDatumTijdVan],"&lt;="&amp;($A329+11/24),tData[SEHTrajectPeriodeDatumTijdTotEnMet],"&gt;"&amp;($A329+11/24))</f>
        <v/>
      </c>
      <c r="P329" s="20">
        <f>COUNTIFS(tData[SEHTrajectPeriodeDatumTijdVan],"&lt;="&amp;($A329+12/24),tData[SEHTrajectPeriodeDatumTijdTotEnMet],"&gt;"&amp;($A329+12/24))</f>
        <v/>
      </c>
      <c r="Q329" s="20">
        <f>COUNTIFS(tData[SEHTrajectPeriodeDatumTijdVan],"&lt;="&amp;($A329+13/24),tData[SEHTrajectPeriodeDatumTijdTotEnMet],"&gt;"&amp;($A329+13/24))</f>
        <v/>
      </c>
      <c r="R329" s="20">
        <f>COUNTIFS(tData[SEHTrajectPeriodeDatumTijdVan],"&lt;="&amp;($A329+14/24),tData[SEHTrajectPeriodeDatumTijdTotEnMet],"&gt;"&amp;($A329+14/24))</f>
        <v/>
      </c>
      <c r="S329" s="20">
        <f>COUNTIFS(tData[SEHTrajectPeriodeDatumTijdVan],"&lt;="&amp;($A329+15/24),tData[SEHTrajectPeriodeDatumTijdTotEnMet],"&gt;"&amp;($A329+15/24))</f>
        <v/>
      </c>
      <c r="T329" s="20">
        <f>COUNTIFS(tData[SEHTrajectPeriodeDatumTijdVan],"&lt;="&amp;($A329+16/24),tData[SEHTrajectPeriodeDatumTijdTotEnMet],"&gt;"&amp;($A329+16/24))</f>
        <v/>
      </c>
      <c r="U329" s="20">
        <f>COUNTIFS(tData[SEHTrajectPeriodeDatumTijdVan],"&lt;="&amp;($A329+17/24),tData[SEHTrajectPeriodeDatumTijdTotEnMet],"&gt;"&amp;($A329+17/24))</f>
        <v/>
      </c>
      <c r="V329" s="20">
        <f>COUNTIFS(tData[SEHTrajectPeriodeDatumTijdVan],"&lt;="&amp;($A329+18/24),tData[SEHTrajectPeriodeDatumTijdTotEnMet],"&gt;"&amp;($A329+18/24))</f>
        <v/>
      </c>
      <c r="W329" s="20">
        <f>COUNTIFS(tData[SEHTrajectPeriodeDatumTijdVan],"&lt;="&amp;($A329+19/24),tData[SEHTrajectPeriodeDatumTijdTotEnMet],"&gt;"&amp;($A329+19/24))</f>
        <v/>
      </c>
      <c r="X329" s="20">
        <f>COUNTIFS(tData[SEHTrajectPeriodeDatumTijdVan],"&lt;="&amp;($A329+20/24),tData[SEHTrajectPeriodeDatumTijdTotEnMet],"&gt;"&amp;($A329+20/24))</f>
        <v/>
      </c>
      <c r="Y329" s="20">
        <f>COUNTIFS(tData[SEHTrajectPeriodeDatumTijdVan],"&lt;="&amp;($A329+21/24),tData[SEHTrajectPeriodeDatumTijdTotEnMet],"&gt;"&amp;($A329+21/24))</f>
        <v/>
      </c>
      <c r="Z329" s="20">
        <f>COUNTIFS(tData[SEHTrajectPeriodeDatumTijdVan],"&lt;="&amp;($A329+22/24),tData[SEHTrajectPeriodeDatumTijdTotEnMet],"&gt;"&amp;($A329+22/24))</f>
        <v/>
      </c>
      <c r="AA329" s="20">
        <f>COUNTIFS(tData[SEHTrajectPeriodeDatumTijdVan],"&lt;="&amp;($A329+23/24),tData[SEHTrajectPeriodeDatumTijdTotEnMet],"&gt;"&amp;($A329+23/24))</f>
        <v/>
      </c>
    </row>
    <row r="330">
      <c r="A330" s="19" t="n">
        <v>45618</v>
      </c>
      <c r="B330" s="15">
        <f>WEEKDAY($A330,2)</f>
        <v/>
      </c>
      <c r="C330" s="15">
        <f>IF(AND($A330&gt;=INT(Instellingen!$B$5),$A330&lt;=INT(Instellingen!$B$6)),1,0)</f>
        <v/>
      </c>
      <c r="D330" s="20">
        <f>COUNTIFS(tData[SEHTrajectPeriodeDatumTijdVan],"&lt;="&amp;($A330+0/24),tData[SEHTrajectPeriodeDatumTijdTotEnMet],"&gt;"&amp;($A330+0/24))</f>
        <v/>
      </c>
      <c r="E330" s="20">
        <f>COUNTIFS(tData[SEHTrajectPeriodeDatumTijdVan],"&lt;="&amp;($A330+1/24),tData[SEHTrajectPeriodeDatumTijdTotEnMet],"&gt;"&amp;($A330+1/24))</f>
        <v/>
      </c>
      <c r="F330" s="20">
        <f>COUNTIFS(tData[SEHTrajectPeriodeDatumTijdVan],"&lt;="&amp;($A330+2/24),tData[SEHTrajectPeriodeDatumTijdTotEnMet],"&gt;"&amp;($A330+2/24))</f>
        <v/>
      </c>
      <c r="G330" s="20">
        <f>COUNTIFS(tData[SEHTrajectPeriodeDatumTijdVan],"&lt;="&amp;($A330+3/24),tData[SEHTrajectPeriodeDatumTijdTotEnMet],"&gt;"&amp;($A330+3/24))</f>
        <v/>
      </c>
      <c r="H330" s="20">
        <f>COUNTIFS(tData[SEHTrajectPeriodeDatumTijdVan],"&lt;="&amp;($A330+4/24),tData[SEHTrajectPeriodeDatumTijdTotEnMet],"&gt;"&amp;($A330+4/24))</f>
        <v/>
      </c>
      <c r="I330" s="20">
        <f>COUNTIFS(tData[SEHTrajectPeriodeDatumTijdVan],"&lt;="&amp;($A330+5/24),tData[SEHTrajectPeriodeDatumTijdTotEnMet],"&gt;"&amp;($A330+5/24))</f>
        <v/>
      </c>
      <c r="J330" s="20">
        <f>COUNTIFS(tData[SEHTrajectPeriodeDatumTijdVan],"&lt;="&amp;($A330+6/24),tData[SEHTrajectPeriodeDatumTijdTotEnMet],"&gt;"&amp;($A330+6/24))</f>
        <v/>
      </c>
      <c r="K330" s="20">
        <f>COUNTIFS(tData[SEHTrajectPeriodeDatumTijdVan],"&lt;="&amp;($A330+7/24),tData[SEHTrajectPeriodeDatumTijdTotEnMet],"&gt;"&amp;($A330+7/24))</f>
        <v/>
      </c>
      <c r="L330" s="20">
        <f>COUNTIFS(tData[SEHTrajectPeriodeDatumTijdVan],"&lt;="&amp;($A330+8/24),tData[SEHTrajectPeriodeDatumTijdTotEnMet],"&gt;"&amp;($A330+8/24))</f>
        <v/>
      </c>
      <c r="M330" s="20">
        <f>COUNTIFS(tData[SEHTrajectPeriodeDatumTijdVan],"&lt;="&amp;($A330+9/24),tData[SEHTrajectPeriodeDatumTijdTotEnMet],"&gt;"&amp;($A330+9/24))</f>
        <v/>
      </c>
      <c r="N330" s="20">
        <f>COUNTIFS(tData[SEHTrajectPeriodeDatumTijdVan],"&lt;="&amp;($A330+10/24),tData[SEHTrajectPeriodeDatumTijdTotEnMet],"&gt;"&amp;($A330+10/24))</f>
        <v/>
      </c>
      <c r="O330" s="20">
        <f>COUNTIFS(tData[SEHTrajectPeriodeDatumTijdVan],"&lt;="&amp;($A330+11/24),tData[SEHTrajectPeriodeDatumTijdTotEnMet],"&gt;"&amp;($A330+11/24))</f>
        <v/>
      </c>
      <c r="P330" s="20">
        <f>COUNTIFS(tData[SEHTrajectPeriodeDatumTijdVan],"&lt;="&amp;($A330+12/24),tData[SEHTrajectPeriodeDatumTijdTotEnMet],"&gt;"&amp;($A330+12/24))</f>
        <v/>
      </c>
      <c r="Q330" s="20">
        <f>COUNTIFS(tData[SEHTrajectPeriodeDatumTijdVan],"&lt;="&amp;($A330+13/24),tData[SEHTrajectPeriodeDatumTijdTotEnMet],"&gt;"&amp;($A330+13/24))</f>
        <v/>
      </c>
      <c r="R330" s="20">
        <f>COUNTIFS(tData[SEHTrajectPeriodeDatumTijdVan],"&lt;="&amp;($A330+14/24),tData[SEHTrajectPeriodeDatumTijdTotEnMet],"&gt;"&amp;($A330+14/24))</f>
        <v/>
      </c>
      <c r="S330" s="20">
        <f>COUNTIFS(tData[SEHTrajectPeriodeDatumTijdVan],"&lt;="&amp;($A330+15/24),tData[SEHTrajectPeriodeDatumTijdTotEnMet],"&gt;"&amp;($A330+15/24))</f>
        <v/>
      </c>
      <c r="T330" s="20">
        <f>COUNTIFS(tData[SEHTrajectPeriodeDatumTijdVan],"&lt;="&amp;($A330+16/24),tData[SEHTrajectPeriodeDatumTijdTotEnMet],"&gt;"&amp;($A330+16/24))</f>
        <v/>
      </c>
      <c r="U330" s="20">
        <f>COUNTIFS(tData[SEHTrajectPeriodeDatumTijdVan],"&lt;="&amp;($A330+17/24),tData[SEHTrajectPeriodeDatumTijdTotEnMet],"&gt;"&amp;($A330+17/24))</f>
        <v/>
      </c>
      <c r="V330" s="20">
        <f>COUNTIFS(tData[SEHTrajectPeriodeDatumTijdVan],"&lt;="&amp;($A330+18/24),tData[SEHTrajectPeriodeDatumTijdTotEnMet],"&gt;"&amp;($A330+18/24))</f>
        <v/>
      </c>
      <c r="W330" s="20">
        <f>COUNTIFS(tData[SEHTrajectPeriodeDatumTijdVan],"&lt;="&amp;($A330+19/24),tData[SEHTrajectPeriodeDatumTijdTotEnMet],"&gt;"&amp;($A330+19/24))</f>
        <v/>
      </c>
      <c r="X330" s="20">
        <f>COUNTIFS(tData[SEHTrajectPeriodeDatumTijdVan],"&lt;="&amp;($A330+20/24),tData[SEHTrajectPeriodeDatumTijdTotEnMet],"&gt;"&amp;($A330+20/24))</f>
        <v/>
      </c>
      <c r="Y330" s="20">
        <f>COUNTIFS(tData[SEHTrajectPeriodeDatumTijdVan],"&lt;="&amp;($A330+21/24),tData[SEHTrajectPeriodeDatumTijdTotEnMet],"&gt;"&amp;($A330+21/24))</f>
        <v/>
      </c>
      <c r="Z330" s="20">
        <f>COUNTIFS(tData[SEHTrajectPeriodeDatumTijdVan],"&lt;="&amp;($A330+22/24),tData[SEHTrajectPeriodeDatumTijdTotEnMet],"&gt;"&amp;($A330+22/24))</f>
        <v/>
      </c>
      <c r="AA330" s="20">
        <f>COUNTIFS(tData[SEHTrajectPeriodeDatumTijdVan],"&lt;="&amp;($A330+23/24),tData[SEHTrajectPeriodeDatumTijdTotEnMet],"&gt;"&amp;($A330+23/24))</f>
        <v/>
      </c>
    </row>
    <row r="331">
      <c r="A331" s="19" t="n">
        <v>45619</v>
      </c>
      <c r="B331" s="15">
        <f>WEEKDAY($A331,2)</f>
        <v/>
      </c>
      <c r="C331" s="15">
        <f>IF(AND($A331&gt;=INT(Instellingen!$B$5),$A331&lt;=INT(Instellingen!$B$6)),1,0)</f>
        <v/>
      </c>
      <c r="D331" s="20">
        <f>COUNTIFS(tData[SEHTrajectPeriodeDatumTijdVan],"&lt;="&amp;($A331+0/24),tData[SEHTrajectPeriodeDatumTijdTotEnMet],"&gt;"&amp;($A331+0/24))</f>
        <v/>
      </c>
      <c r="E331" s="20">
        <f>COUNTIFS(tData[SEHTrajectPeriodeDatumTijdVan],"&lt;="&amp;($A331+1/24),tData[SEHTrajectPeriodeDatumTijdTotEnMet],"&gt;"&amp;($A331+1/24))</f>
        <v/>
      </c>
      <c r="F331" s="20">
        <f>COUNTIFS(tData[SEHTrajectPeriodeDatumTijdVan],"&lt;="&amp;($A331+2/24),tData[SEHTrajectPeriodeDatumTijdTotEnMet],"&gt;"&amp;($A331+2/24))</f>
        <v/>
      </c>
      <c r="G331" s="20">
        <f>COUNTIFS(tData[SEHTrajectPeriodeDatumTijdVan],"&lt;="&amp;($A331+3/24),tData[SEHTrajectPeriodeDatumTijdTotEnMet],"&gt;"&amp;($A331+3/24))</f>
        <v/>
      </c>
      <c r="H331" s="20">
        <f>COUNTIFS(tData[SEHTrajectPeriodeDatumTijdVan],"&lt;="&amp;($A331+4/24),tData[SEHTrajectPeriodeDatumTijdTotEnMet],"&gt;"&amp;($A331+4/24))</f>
        <v/>
      </c>
      <c r="I331" s="20">
        <f>COUNTIFS(tData[SEHTrajectPeriodeDatumTijdVan],"&lt;="&amp;($A331+5/24),tData[SEHTrajectPeriodeDatumTijdTotEnMet],"&gt;"&amp;($A331+5/24))</f>
        <v/>
      </c>
      <c r="J331" s="20">
        <f>COUNTIFS(tData[SEHTrajectPeriodeDatumTijdVan],"&lt;="&amp;($A331+6/24),tData[SEHTrajectPeriodeDatumTijdTotEnMet],"&gt;"&amp;($A331+6/24))</f>
        <v/>
      </c>
      <c r="K331" s="20">
        <f>COUNTIFS(tData[SEHTrajectPeriodeDatumTijdVan],"&lt;="&amp;($A331+7/24),tData[SEHTrajectPeriodeDatumTijdTotEnMet],"&gt;"&amp;($A331+7/24))</f>
        <v/>
      </c>
      <c r="L331" s="20">
        <f>COUNTIFS(tData[SEHTrajectPeriodeDatumTijdVan],"&lt;="&amp;($A331+8/24),tData[SEHTrajectPeriodeDatumTijdTotEnMet],"&gt;"&amp;($A331+8/24))</f>
        <v/>
      </c>
      <c r="M331" s="20">
        <f>COUNTIFS(tData[SEHTrajectPeriodeDatumTijdVan],"&lt;="&amp;($A331+9/24),tData[SEHTrajectPeriodeDatumTijdTotEnMet],"&gt;"&amp;($A331+9/24))</f>
        <v/>
      </c>
      <c r="N331" s="20">
        <f>COUNTIFS(tData[SEHTrajectPeriodeDatumTijdVan],"&lt;="&amp;($A331+10/24),tData[SEHTrajectPeriodeDatumTijdTotEnMet],"&gt;"&amp;($A331+10/24))</f>
        <v/>
      </c>
      <c r="O331" s="20">
        <f>COUNTIFS(tData[SEHTrajectPeriodeDatumTijdVan],"&lt;="&amp;($A331+11/24),tData[SEHTrajectPeriodeDatumTijdTotEnMet],"&gt;"&amp;($A331+11/24))</f>
        <v/>
      </c>
      <c r="P331" s="20">
        <f>COUNTIFS(tData[SEHTrajectPeriodeDatumTijdVan],"&lt;="&amp;($A331+12/24),tData[SEHTrajectPeriodeDatumTijdTotEnMet],"&gt;"&amp;($A331+12/24))</f>
        <v/>
      </c>
      <c r="Q331" s="20">
        <f>COUNTIFS(tData[SEHTrajectPeriodeDatumTijdVan],"&lt;="&amp;($A331+13/24),tData[SEHTrajectPeriodeDatumTijdTotEnMet],"&gt;"&amp;($A331+13/24))</f>
        <v/>
      </c>
      <c r="R331" s="20">
        <f>COUNTIFS(tData[SEHTrajectPeriodeDatumTijdVan],"&lt;="&amp;($A331+14/24),tData[SEHTrajectPeriodeDatumTijdTotEnMet],"&gt;"&amp;($A331+14/24))</f>
        <v/>
      </c>
      <c r="S331" s="20">
        <f>COUNTIFS(tData[SEHTrajectPeriodeDatumTijdVan],"&lt;="&amp;($A331+15/24),tData[SEHTrajectPeriodeDatumTijdTotEnMet],"&gt;"&amp;($A331+15/24))</f>
        <v/>
      </c>
      <c r="T331" s="20">
        <f>COUNTIFS(tData[SEHTrajectPeriodeDatumTijdVan],"&lt;="&amp;($A331+16/24),tData[SEHTrajectPeriodeDatumTijdTotEnMet],"&gt;"&amp;($A331+16/24))</f>
        <v/>
      </c>
      <c r="U331" s="20">
        <f>COUNTIFS(tData[SEHTrajectPeriodeDatumTijdVan],"&lt;="&amp;($A331+17/24),tData[SEHTrajectPeriodeDatumTijdTotEnMet],"&gt;"&amp;($A331+17/24))</f>
        <v/>
      </c>
      <c r="V331" s="20">
        <f>COUNTIFS(tData[SEHTrajectPeriodeDatumTijdVan],"&lt;="&amp;($A331+18/24),tData[SEHTrajectPeriodeDatumTijdTotEnMet],"&gt;"&amp;($A331+18/24))</f>
        <v/>
      </c>
      <c r="W331" s="20">
        <f>COUNTIFS(tData[SEHTrajectPeriodeDatumTijdVan],"&lt;="&amp;($A331+19/24),tData[SEHTrajectPeriodeDatumTijdTotEnMet],"&gt;"&amp;($A331+19/24))</f>
        <v/>
      </c>
      <c r="X331" s="20">
        <f>COUNTIFS(tData[SEHTrajectPeriodeDatumTijdVan],"&lt;="&amp;($A331+20/24),tData[SEHTrajectPeriodeDatumTijdTotEnMet],"&gt;"&amp;($A331+20/24))</f>
        <v/>
      </c>
      <c r="Y331" s="20">
        <f>COUNTIFS(tData[SEHTrajectPeriodeDatumTijdVan],"&lt;="&amp;($A331+21/24),tData[SEHTrajectPeriodeDatumTijdTotEnMet],"&gt;"&amp;($A331+21/24))</f>
        <v/>
      </c>
      <c r="Z331" s="20">
        <f>COUNTIFS(tData[SEHTrajectPeriodeDatumTijdVan],"&lt;="&amp;($A331+22/24),tData[SEHTrajectPeriodeDatumTijdTotEnMet],"&gt;"&amp;($A331+22/24))</f>
        <v/>
      </c>
      <c r="AA331" s="20">
        <f>COUNTIFS(tData[SEHTrajectPeriodeDatumTijdVan],"&lt;="&amp;($A331+23/24),tData[SEHTrajectPeriodeDatumTijdTotEnMet],"&gt;"&amp;($A331+23/24))</f>
        <v/>
      </c>
    </row>
    <row r="332">
      <c r="A332" s="19" t="n">
        <v>45620</v>
      </c>
      <c r="B332" s="15">
        <f>WEEKDAY($A332,2)</f>
        <v/>
      </c>
      <c r="C332" s="15">
        <f>IF(AND($A332&gt;=INT(Instellingen!$B$5),$A332&lt;=INT(Instellingen!$B$6)),1,0)</f>
        <v/>
      </c>
      <c r="D332" s="20">
        <f>COUNTIFS(tData[SEHTrajectPeriodeDatumTijdVan],"&lt;="&amp;($A332+0/24),tData[SEHTrajectPeriodeDatumTijdTotEnMet],"&gt;"&amp;($A332+0/24))</f>
        <v/>
      </c>
      <c r="E332" s="20">
        <f>COUNTIFS(tData[SEHTrajectPeriodeDatumTijdVan],"&lt;="&amp;($A332+1/24),tData[SEHTrajectPeriodeDatumTijdTotEnMet],"&gt;"&amp;($A332+1/24))</f>
        <v/>
      </c>
      <c r="F332" s="20">
        <f>COUNTIFS(tData[SEHTrajectPeriodeDatumTijdVan],"&lt;="&amp;($A332+2/24),tData[SEHTrajectPeriodeDatumTijdTotEnMet],"&gt;"&amp;($A332+2/24))</f>
        <v/>
      </c>
      <c r="G332" s="20">
        <f>COUNTIFS(tData[SEHTrajectPeriodeDatumTijdVan],"&lt;="&amp;($A332+3/24),tData[SEHTrajectPeriodeDatumTijdTotEnMet],"&gt;"&amp;($A332+3/24))</f>
        <v/>
      </c>
      <c r="H332" s="20">
        <f>COUNTIFS(tData[SEHTrajectPeriodeDatumTijdVan],"&lt;="&amp;($A332+4/24),tData[SEHTrajectPeriodeDatumTijdTotEnMet],"&gt;"&amp;($A332+4/24))</f>
        <v/>
      </c>
      <c r="I332" s="20">
        <f>COUNTIFS(tData[SEHTrajectPeriodeDatumTijdVan],"&lt;="&amp;($A332+5/24),tData[SEHTrajectPeriodeDatumTijdTotEnMet],"&gt;"&amp;($A332+5/24))</f>
        <v/>
      </c>
      <c r="J332" s="20">
        <f>COUNTIFS(tData[SEHTrajectPeriodeDatumTijdVan],"&lt;="&amp;($A332+6/24),tData[SEHTrajectPeriodeDatumTijdTotEnMet],"&gt;"&amp;($A332+6/24))</f>
        <v/>
      </c>
      <c r="K332" s="20">
        <f>COUNTIFS(tData[SEHTrajectPeriodeDatumTijdVan],"&lt;="&amp;($A332+7/24),tData[SEHTrajectPeriodeDatumTijdTotEnMet],"&gt;"&amp;($A332+7/24))</f>
        <v/>
      </c>
      <c r="L332" s="20">
        <f>COUNTIFS(tData[SEHTrajectPeriodeDatumTijdVan],"&lt;="&amp;($A332+8/24),tData[SEHTrajectPeriodeDatumTijdTotEnMet],"&gt;"&amp;($A332+8/24))</f>
        <v/>
      </c>
      <c r="M332" s="20">
        <f>COUNTIFS(tData[SEHTrajectPeriodeDatumTijdVan],"&lt;="&amp;($A332+9/24),tData[SEHTrajectPeriodeDatumTijdTotEnMet],"&gt;"&amp;($A332+9/24))</f>
        <v/>
      </c>
      <c r="N332" s="20">
        <f>COUNTIFS(tData[SEHTrajectPeriodeDatumTijdVan],"&lt;="&amp;($A332+10/24),tData[SEHTrajectPeriodeDatumTijdTotEnMet],"&gt;"&amp;($A332+10/24))</f>
        <v/>
      </c>
      <c r="O332" s="20">
        <f>COUNTIFS(tData[SEHTrajectPeriodeDatumTijdVan],"&lt;="&amp;($A332+11/24),tData[SEHTrajectPeriodeDatumTijdTotEnMet],"&gt;"&amp;($A332+11/24))</f>
        <v/>
      </c>
      <c r="P332" s="20">
        <f>COUNTIFS(tData[SEHTrajectPeriodeDatumTijdVan],"&lt;="&amp;($A332+12/24),tData[SEHTrajectPeriodeDatumTijdTotEnMet],"&gt;"&amp;($A332+12/24))</f>
        <v/>
      </c>
      <c r="Q332" s="20">
        <f>COUNTIFS(tData[SEHTrajectPeriodeDatumTijdVan],"&lt;="&amp;($A332+13/24),tData[SEHTrajectPeriodeDatumTijdTotEnMet],"&gt;"&amp;($A332+13/24))</f>
        <v/>
      </c>
      <c r="R332" s="20">
        <f>COUNTIFS(tData[SEHTrajectPeriodeDatumTijdVan],"&lt;="&amp;($A332+14/24),tData[SEHTrajectPeriodeDatumTijdTotEnMet],"&gt;"&amp;($A332+14/24))</f>
        <v/>
      </c>
      <c r="S332" s="20">
        <f>COUNTIFS(tData[SEHTrajectPeriodeDatumTijdVan],"&lt;="&amp;($A332+15/24),tData[SEHTrajectPeriodeDatumTijdTotEnMet],"&gt;"&amp;($A332+15/24))</f>
        <v/>
      </c>
      <c r="T332" s="20">
        <f>COUNTIFS(tData[SEHTrajectPeriodeDatumTijdVan],"&lt;="&amp;($A332+16/24),tData[SEHTrajectPeriodeDatumTijdTotEnMet],"&gt;"&amp;($A332+16/24))</f>
        <v/>
      </c>
      <c r="U332" s="20">
        <f>COUNTIFS(tData[SEHTrajectPeriodeDatumTijdVan],"&lt;="&amp;($A332+17/24),tData[SEHTrajectPeriodeDatumTijdTotEnMet],"&gt;"&amp;($A332+17/24))</f>
        <v/>
      </c>
      <c r="V332" s="20">
        <f>COUNTIFS(tData[SEHTrajectPeriodeDatumTijdVan],"&lt;="&amp;($A332+18/24),tData[SEHTrajectPeriodeDatumTijdTotEnMet],"&gt;"&amp;($A332+18/24))</f>
        <v/>
      </c>
      <c r="W332" s="20">
        <f>COUNTIFS(tData[SEHTrajectPeriodeDatumTijdVan],"&lt;="&amp;($A332+19/24),tData[SEHTrajectPeriodeDatumTijdTotEnMet],"&gt;"&amp;($A332+19/24))</f>
        <v/>
      </c>
      <c r="X332" s="20">
        <f>COUNTIFS(tData[SEHTrajectPeriodeDatumTijdVan],"&lt;="&amp;($A332+20/24),tData[SEHTrajectPeriodeDatumTijdTotEnMet],"&gt;"&amp;($A332+20/24))</f>
        <v/>
      </c>
      <c r="Y332" s="20">
        <f>COUNTIFS(tData[SEHTrajectPeriodeDatumTijdVan],"&lt;="&amp;($A332+21/24),tData[SEHTrajectPeriodeDatumTijdTotEnMet],"&gt;"&amp;($A332+21/24))</f>
        <v/>
      </c>
      <c r="Z332" s="20">
        <f>COUNTIFS(tData[SEHTrajectPeriodeDatumTijdVan],"&lt;="&amp;($A332+22/24),tData[SEHTrajectPeriodeDatumTijdTotEnMet],"&gt;"&amp;($A332+22/24))</f>
        <v/>
      </c>
      <c r="AA332" s="20">
        <f>COUNTIFS(tData[SEHTrajectPeriodeDatumTijdVan],"&lt;="&amp;($A332+23/24),tData[SEHTrajectPeriodeDatumTijdTotEnMet],"&gt;"&amp;($A332+23/24))</f>
        <v/>
      </c>
    </row>
    <row r="333">
      <c r="A333" s="19" t="n">
        <v>45621</v>
      </c>
      <c r="B333" s="15">
        <f>WEEKDAY($A333,2)</f>
        <v/>
      </c>
      <c r="C333" s="15">
        <f>IF(AND($A333&gt;=INT(Instellingen!$B$5),$A333&lt;=INT(Instellingen!$B$6)),1,0)</f>
        <v/>
      </c>
      <c r="D333" s="20">
        <f>COUNTIFS(tData[SEHTrajectPeriodeDatumTijdVan],"&lt;="&amp;($A333+0/24),tData[SEHTrajectPeriodeDatumTijdTotEnMet],"&gt;"&amp;($A333+0/24))</f>
        <v/>
      </c>
      <c r="E333" s="20">
        <f>COUNTIFS(tData[SEHTrajectPeriodeDatumTijdVan],"&lt;="&amp;($A333+1/24),tData[SEHTrajectPeriodeDatumTijdTotEnMet],"&gt;"&amp;($A333+1/24))</f>
        <v/>
      </c>
      <c r="F333" s="20">
        <f>COUNTIFS(tData[SEHTrajectPeriodeDatumTijdVan],"&lt;="&amp;($A333+2/24),tData[SEHTrajectPeriodeDatumTijdTotEnMet],"&gt;"&amp;($A333+2/24))</f>
        <v/>
      </c>
      <c r="G333" s="20">
        <f>COUNTIFS(tData[SEHTrajectPeriodeDatumTijdVan],"&lt;="&amp;($A333+3/24),tData[SEHTrajectPeriodeDatumTijdTotEnMet],"&gt;"&amp;($A333+3/24))</f>
        <v/>
      </c>
      <c r="H333" s="20">
        <f>COUNTIFS(tData[SEHTrajectPeriodeDatumTijdVan],"&lt;="&amp;($A333+4/24),tData[SEHTrajectPeriodeDatumTijdTotEnMet],"&gt;"&amp;($A333+4/24))</f>
        <v/>
      </c>
      <c r="I333" s="20">
        <f>COUNTIFS(tData[SEHTrajectPeriodeDatumTijdVan],"&lt;="&amp;($A333+5/24),tData[SEHTrajectPeriodeDatumTijdTotEnMet],"&gt;"&amp;($A333+5/24))</f>
        <v/>
      </c>
      <c r="J333" s="20">
        <f>COUNTIFS(tData[SEHTrajectPeriodeDatumTijdVan],"&lt;="&amp;($A333+6/24),tData[SEHTrajectPeriodeDatumTijdTotEnMet],"&gt;"&amp;($A333+6/24))</f>
        <v/>
      </c>
      <c r="K333" s="20">
        <f>COUNTIFS(tData[SEHTrajectPeriodeDatumTijdVan],"&lt;="&amp;($A333+7/24),tData[SEHTrajectPeriodeDatumTijdTotEnMet],"&gt;"&amp;($A333+7/24))</f>
        <v/>
      </c>
      <c r="L333" s="20">
        <f>COUNTIFS(tData[SEHTrajectPeriodeDatumTijdVan],"&lt;="&amp;($A333+8/24),tData[SEHTrajectPeriodeDatumTijdTotEnMet],"&gt;"&amp;($A333+8/24))</f>
        <v/>
      </c>
      <c r="M333" s="20">
        <f>COUNTIFS(tData[SEHTrajectPeriodeDatumTijdVan],"&lt;="&amp;($A333+9/24),tData[SEHTrajectPeriodeDatumTijdTotEnMet],"&gt;"&amp;($A333+9/24))</f>
        <v/>
      </c>
      <c r="N333" s="20">
        <f>COUNTIFS(tData[SEHTrajectPeriodeDatumTijdVan],"&lt;="&amp;($A333+10/24),tData[SEHTrajectPeriodeDatumTijdTotEnMet],"&gt;"&amp;($A333+10/24))</f>
        <v/>
      </c>
      <c r="O333" s="20">
        <f>COUNTIFS(tData[SEHTrajectPeriodeDatumTijdVan],"&lt;="&amp;($A333+11/24),tData[SEHTrajectPeriodeDatumTijdTotEnMet],"&gt;"&amp;($A333+11/24))</f>
        <v/>
      </c>
      <c r="P333" s="20">
        <f>COUNTIFS(tData[SEHTrajectPeriodeDatumTijdVan],"&lt;="&amp;($A333+12/24),tData[SEHTrajectPeriodeDatumTijdTotEnMet],"&gt;"&amp;($A333+12/24))</f>
        <v/>
      </c>
      <c r="Q333" s="20">
        <f>COUNTIFS(tData[SEHTrajectPeriodeDatumTijdVan],"&lt;="&amp;($A333+13/24),tData[SEHTrajectPeriodeDatumTijdTotEnMet],"&gt;"&amp;($A333+13/24))</f>
        <v/>
      </c>
      <c r="R333" s="20">
        <f>COUNTIFS(tData[SEHTrajectPeriodeDatumTijdVan],"&lt;="&amp;($A333+14/24),tData[SEHTrajectPeriodeDatumTijdTotEnMet],"&gt;"&amp;($A333+14/24))</f>
        <v/>
      </c>
      <c r="S333" s="20">
        <f>COUNTIFS(tData[SEHTrajectPeriodeDatumTijdVan],"&lt;="&amp;($A333+15/24),tData[SEHTrajectPeriodeDatumTijdTotEnMet],"&gt;"&amp;($A333+15/24))</f>
        <v/>
      </c>
      <c r="T333" s="20">
        <f>COUNTIFS(tData[SEHTrajectPeriodeDatumTijdVan],"&lt;="&amp;($A333+16/24),tData[SEHTrajectPeriodeDatumTijdTotEnMet],"&gt;"&amp;($A333+16/24))</f>
        <v/>
      </c>
      <c r="U333" s="20">
        <f>COUNTIFS(tData[SEHTrajectPeriodeDatumTijdVan],"&lt;="&amp;($A333+17/24),tData[SEHTrajectPeriodeDatumTijdTotEnMet],"&gt;"&amp;($A333+17/24))</f>
        <v/>
      </c>
      <c r="V333" s="20">
        <f>COUNTIFS(tData[SEHTrajectPeriodeDatumTijdVan],"&lt;="&amp;($A333+18/24),tData[SEHTrajectPeriodeDatumTijdTotEnMet],"&gt;"&amp;($A333+18/24))</f>
        <v/>
      </c>
      <c r="W333" s="20">
        <f>COUNTIFS(tData[SEHTrajectPeriodeDatumTijdVan],"&lt;="&amp;($A333+19/24),tData[SEHTrajectPeriodeDatumTijdTotEnMet],"&gt;"&amp;($A333+19/24))</f>
        <v/>
      </c>
      <c r="X333" s="20">
        <f>COUNTIFS(tData[SEHTrajectPeriodeDatumTijdVan],"&lt;="&amp;($A333+20/24),tData[SEHTrajectPeriodeDatumTijdTotEnMet],"&gt;"&amp;($A333+20/24))</f>
        <v/>
      </c>
      <c r="Y333" s="20">
        <f>COUNTIFS(tData[SEHTrajectPeriodeDatumTijdVan],"&lt;="&amp;($A333+21/24),tData[SEHTrajectPeriodeDatumTijdTotEnMet],"&gt;"&amp;($A333+21/24))</f>
        <v/>
      </c>
      <c r="Z333" s="20">
        <f>COUNTIFS(tData[SEHTrajectPeriodeDatumTijdVan],"&lt;="&amp;($A333+22/24),tData[SEHTrajectPeriodeDatumTijdTotEnMet],"&gt;"&amp;($A333+22/24))</f>
        <v/>
      </c>
      <c r="AA333" s="20">
        <f>COUNTIFS(tData[SEHTrajectPeriodeDatumTijdVan],"&lt;="&amp;($A333+23/24),tData[SEHTrajectPeriodeDatumTijdTotEnMet],"&gt;"&amp;($A333+23/24))</f>
        <v/>
      </c>
    </row>
    <row r="334">
      <c r="A334" s="19" t="n">
        <v>45622</v>
      </c>
      <c r="B334" s="15">
        <f>WEEKDAY($A334,2)</f>
        <v/>
      </c>
      <c r="C334" s="15">
        <f>IF(AND($A334&gt;=INT(Instellingen!$B$5),$A334&lt;=INT(Instellingen!$B$6)),1,0)</f>
        <v/>
      </c>
      <c r="D334" s="20">
        <f>COUNTIFS(tData[SEHTrajectPeriodeDatumTijdVan],"&lt;="&amp;($A334+0/24),tData[SEHTrajectPeriodeDatumTijdTotEnMet],"&gt;"&amp;($A334+0/24))</f>
        <v/>
      </c>
      <c r="E334" s="20">
        <f>COUNTIFS(tData[SEHTrajectPeriodeDatumTijdVan],"&lt;="&amp;($A334+1/24),tData[SEHTrajectPeriodeDatumTijdTotEnMet],"&gt;"&amp;($A334+1/24))</f>
        <v/>
      </c>
      <c r="F334" s="20">
        <f>COUNTIFS(tData[SEHTrajectPeriodeDatumTijdVan],"&lt;="&amp;($A334+2/24),tData[SEHTrajectPeriodeDatumTijdTotEnMet],"&gt;"&amp;($A334+2/24))</f>
        <v/>
      </c>
      <c r="G334" s="20">
        <f>COUNTIFS(tData[SEHTrajectPeriodeDatumTijdVan],"&lt;="&amp;($A334+3/24),tData[SEHTrajectPeriodeDatumTijdTotEnMet],"&gt;"&amp;($A334+3/24))</f>
        <v/>
      </c>
      <c r="H334" s="20">
        <f>COUNTIFS(tData[SEHTrajectPeriodeDatumTijdVan],"&lt;="&amp;($A334+4/24),tData[SEHTrajectPeriodeDatumTijdTotEnMet],"&gt;"&amp;($A334+4/24))</f>
        <v/>
      </c>
      <c r="I334" s="20">
        <f>COUNTIFS(tData[SEHTrajectPeriodeDatumTijdVan],"&lt;="&amp;($A334+5/24),tData[SEHTrajectPeriodeDatumTijdTotEnMet],"&gt;"&amp;($A334+5/24))</f>
        <v/>
      </c>
      <c r="J334" s="20">
        <f>COUNTIFS(tData[SEHTrajectPeriodeDatumTijdVan],"&lt;="&amp;($A334+6/24),tData[SEHTrajectPeriodeDatumTijdTotEnMet],"&gt;"&amp;($A334+6/24))</f>
        <v/>
      </c>
      <c r="K334" s="20">
        <f>COUNTIFS(tData[SEHTrajectPeriodeDatumTijdVan],"&lt;="&amp;($A334+7/24),tData[SEHTrajectPeriodeDatumTijdTotEnMet],"&gt;"&amp;($A334+7/24))</f>
        <v/>
      </c>
      <c r="L334" s="20">
        <f>COUNTIFS(tData[SEHTrajectPeriodeDatumTijdVan],"&lt;="&amp;($A334+8/24),tData[SEHTrajectPeriodeDatumTijdTotEnMet],"&gt;"&amp;($A334+8/24))</f>
        <v/>
      </c>
      <c r="M334" s="20">
        <f>COUNTIFS(tData[SEHTrajectPeriodeDatumTijdVan],"&lt;="&amp;($A334+9/24),tData[SEHTrajectPeriodeDatumTijdTotEnMet],"&gt;"&amp;($A334+9/24))</f>
        <v/>
      </c>
      <c r="N334" s="20">
        <f>COUNTIFS(tData[SEHTrajectPeriodeDatumTijdVan],"&lt;="&amp;($A334+10/24),tData[SEHTrajectPeriodeDatumTijdTotEnMet],"&gt;"&amp;($A334+10/24))</f>
        <v/>
      </c>
      <c r="O334" s="20">
        <f>COUNTIFS(tData[SEHTrajectPeriodeDatumTijdVan],"&lt;="&amp;($A334+11/24),tData[SEHTrajectPeriodeDatumTijdTotEnMet],"&gt;"&amp;($A334+11/24))</f>
        <v/>
      </c>
      <c r="P334" s="20">
        <f>COUNTIFS(tData[SEHTrajectPeriodeDatumTijdVan],"&lt;="&amp;($A334+12/24),tData[SEHTrajectPeriodeDatumTijdTotEnMet],"&gt;"&amp;($A334+12/24))</f>
        <v/>
      </c>
      <c r="Q334" s="20">
        <f>COUNTIFS(tData[SEHTrajectPeriodeDatumTijdVan],"&lt;="&amp;($A334+13/24),tData[SEHTrajectPeriodeDatumTijdTotEnMet],"&gt;"&amp;($A334+13/24))</f>
        <v/>
      </c>
      <c r="R334" s="20">
        <f>COUNTIFS(tData[SEHTrajectPeriodeDatumTijdVan],"&lt;="&amp;($A334+14/24),tData[SEHTrajectPeriodeDatumTijdTotEnMet],"&gt;"&amp;($A334+14/24))</f>
        <v/>
      </c>
      <c r="S334" s="20">
        <f>COUNTIFS(tData[SEHTrajectPeriodeDatumTijdVan],"&lt;="&amp;($A334+15/24),tData[SEHTrajectPeriodeDatumTijdTotEnMet],"&gt;"&amp;($A334+15/24))</f>
        <v/>
      </c>
      <c r="T334" s="20">
        <f>COUNTIFS(tData[SEHTrajectPeriodeDatumTijdVan],"&lt;="&amp;($A334+16/24),tData[SEHTrajectPeriodeDatumTijdTotEnMet],"&gt;"&amp;($A334+16/24))</f>
        <v/>
      </c>
      <c r="U334" s="20">
        <f>COUNTIFS(tData[SEHTrajectPeriodeDatumTijdVan],"&lt;="&amp;($A334+17/24),tData[SEHTrajectPeriodeDatumTijdTotEnMet],"&gt;"&amp;($A334+17/24))</f>
        <v/>
      </c>
      <c r="V334" s="20">
        <f>COUNTIFS(tData[SEHTrajectPeriodeDatumTijdVan],"&lt;="&amp;($A334+18/24),tData[SEHTrajectPeriodeDatumTijdTotEnMet],"&gt;"&amp;($A334+18/24))</f>
        <v/>
      </c>
      <c r="W334" s="20">
        <f>COUNTIFS(tData[SEHTrajectPeriodeDatumTijdVan],"&lt;="&amp;($A334+19/24),tData[SEHTrajectPeriodeDatumTijdTotEnMet],"&gt;"&amp;($A334+19/24))</f>
        <v/>
      </c>
      <c r="X334" s="20">
        <f>COUNTIFS(tData[SEHTrajectPeriodeDatumTijdVan],"&lt;="&amp;($A334+20/24),tData[SEHTrajectPeriodeDatumTijdTotEnMet],"&gt;"&amp;($A334+20/24))</f>
        <v/>
      </c>
      <c r="Y334" s="20">
        <f>COUNTIFS(tData[SEHTrajectPeriodeDatumTijdVan],"&lt;="&amp;($A334+21/24),tData[SEHTrajectPeriodeDatumTijdTotEnMet],"&gt;"&amp;($A334+21/24))</f>
        <v/>
      </c>
      <c r="Z334" s="20">
        <f>COUNTIFS(tData[SEHTrajectPeriodeDatumTijdVan],"&lt;="&amp;($A334+22/24),tData[SEHTrajectPeriodeDatumTijdTotEnMet],"&gt;"&amp;($A334+22/24))</f>
        <v/>
      </c>
      <c r="AA334" s="20">
        <f>COUNTIFS(tData[SEHTrajectPeriodeDatumTijdVan],"&lt;="&amp;($A334+23/24),tData[SEHTrajectPeriodeDatumTijdTotEnMet],"&gt;"&amp;($A334+23/24))</f>
        <v/>
      </c>
    </row>
    <row r="335">
      <c r="A335" s="19" t="n">
        <v>45623</v>
      </c>
      <c r="B335" s="15">
        <f>WEEKDAY($A335,2)</f>
        <v/>
      </c>
      <c r="C335" s="15">
        <f>IF(AND($A335&gt;=INT(Instellingen!$B$5),$A335&lt;=INT(Instellingen!$B$6)),1,0)</f>
        <v/>
      </c>
      <c r="D335" s="20">
        <f>COUNTIFS(tData[SEHTrajectPeriodeDatumTijdVan],"&lt;="&amp;($A335+0/24),tData[SEHTrajectPeriodeDatumTijdTotEnMet],"&gt;"&amp;($A335+0/24))</f>
        <v/>
      </c>
      <c r="E335" s="20">
        <f>COUNTIFS(tData[SEHTrajectPeriodeDatumTijdVan],"&lt;="&amp;($A335+1/24),tData[SEHTrajectPeriodeDatumTijdTotEnMet],"&gt;"&amp;($A335+1/24))</f>
        <v/>
      </c>
      <c r="F335" s="20">
        <f>COUNTIFS(tData[SEHTrajectPeriodeDatumTijdVan],"&lt;="&amp;($A335+2/24),tData[SEHTrajectPeriodeDatumTijdTotEnMet],"&gt;"&amp;($A335+2/24))</f>
        <v/>
      </c>
      <c r="G335" s="20">
        <f>COUNTIFS(tData[SEHTrajectPeriodeDatumTijdVan],"&lt;="&amp;($A335+3/24),tData[SEHTrajectPeriodeDatumTijdTotEnMet],"&gt;"&amp;($A335+3/24))</f>
        <v/>
      </c>
      <c r="H335" s="20">
        <f>COUNTIFS(tData[SEHTrajectPeriodeDatumTijdVan],"&lt;="&amp;($A335+4/24),tData[SEHTrajectPeriodeDatumTijdTotEnMet],"&gt;"&amp;($A335+4/24))</f>
        <v/>
      </c>
      <c r="I335" s="20">
        <f>COUNTIFS(tData[SEHTrajectPeriodeDatumTijdVan],"&lt;="&amp;($A335+5/24),tData[SEHTrajectPeriodeDatumTijdTotEnMet],"&gt;"&amp;($A335+5/24))</f>
        <v/>
      </c>
      <c r="J335" s="20">
        <f>COUNTIFS(tData[SEHTrajectPeriodeDatumTijdVan],"&lt;="&amp;($A335+6/24),tData[SEHTrajectPeriodeDatumTijdTotEnMet],"&gt;"&amp;($A335+6/24))</f>
        <v/>
      </c>
      <c r="K335" s="20">
        <f>COUNTIFS(tData[SEHTrajectPeriodeDatumTijdVan],"&lt;="&amp;($A335+7/24),tData[SEHTrajectPeriodeDatumTijdTotEnMet],"&gt;"&amp;($A335+7/24))</f>
        <v/>
      </c>
      <c r="L335" s="20">
        <f>COUNTIFS(tData[SEHTrajectPeriodeDatumTijdVan],"&lt;="&amp;($A335+8/24),tData[SEHTrajectPeriodeDatumTijdTotEnMet],"&gt;"&amp;($A335+8/24))</f>
        <v/>
      </c>
      <c r="M335" s="20">
        <f>COUNTIFS(tData[SEHTrajectPeriodeDatumTijdVan],"&lt;="&amp;($A335+9/24),tData[SEHTrajectPeriodeDatumTijdTotEnMet],"&gt;"&amp;($A335+9/24))</f>
        <v/>
      </c>
      <c r="N335" s="20">
        <f>COUNTIFS(tData[SEHTrajectPeriodeDatumTijdVan],"&lt;="&amp;($A335+10/24),tData[SEHTrajectPeriodeDatumTijdTotEnMet],"&gt;"&amp;($A335+10/24))</f>
        <v/>
      </c>
      <c r="O335" s="20">
        <f>COUNTIFS(tData[SEHTrajectPeriodeDatumTijdVan],"&lt;="&amp;($A335+11/24),tData[SEHTrajectPeriodeDatumTijdTotEnMet],"&gt;"&amp;($A335+11/24))</f>
        <v/>
      </c>
      <c r="P335" s="20">
        <f>COUNTIFS(tData[SEHTrajectPeriodeDatumTijdVan],"&lt;="&amp;($A335+12/24),tData[SEHTrajectPeriodeDatumTijdTotEnMet],"&gt;"&amp;($A335+12/24))</f>
        <v/>
      </c>
      <c r="Q335" s="20">
        <f>COUNTIFS(tData[SEHTrajectPeriodeDatumTijdVan],"&lt;="&amp;($A335+13/24),tData[SEHTrajectPeriodeDatumTijdTotEnMet],"&gt;"&amp;($A335+13/24))</f>
        <v/>
      </c>
      <c r="R335" s="20">
        <f>COUNTIFS(tData[SEHTrajectPeriodeDatumTijdVan],"&lt;="&amp;($A335+14/24),tData[SEHTrajectPeriodeDatumTijdTotEnMet],"&gt;"&amp;($A335+14/24))</f>
        <v/>
      </c>
      <c r="S335" s="20">
        <f>COUNTIFS(tData[SEHTrajectPeriodeDatumTijdVan],"&lt;="&amp;($A335+15/24),tData[SEHTrajectPeriodeDatumTijdTotEnMet],"&gt;"&amp;($A335+15/24))</f>
        <v/>
      </c>
      <c r="T335" s="20">
        <f>COUNTIFS(tData[SEHTrajectPeriodeDatumTijdVan],"&lt;="&amp;($A335+16/24),tData[SEHTrajectPeriodeDatumTijdTotEnMet],"&gt;"&amp;($A335+16/24))</f>
        <v/>
      </c>
      <c r="U335" s="20">
        <f>COUNTIFS(tData[SEHTrajectPeriodeDatumTijdVan],"&lt;="&amp;($A335+17/24),tData[SEHTrajectPeriodeDatumTijdTotEnMet],"&gt;"&amp;($A335+17/24))</f>
        <v/>
      </c>
      <c r="V335" s="20">
        <f>COUNTIFS(tData[SEHTrajectPeriodeDatumTijdVan],"&lt;="&amp;($A335+18/24),tData[SEHTrajectPeriodeDatumTijdTotEnMet],"&gt;"&amp;($A335+18/24))</f>
        <v/>
      </c>
      <c r="W335" s="20">
        <f>COUNTIFS(tData[SEHTrajectPeriodeDatumTijdVan],"&lt;="&amp;($A335+19/24),tData[SEHTrajectPeriodeDatumTijdTotEnMet],"&gt;"&amp;($A335+19/24))</f>
        <v/>
      </c>
      <c r="X335" s="20">
        <f>COUNTIFS(tData[SEHTrajectPeriodeDatumTijdVan],"&lt;="&amp;($A335+20/24),tData[SEHTrajectPeriodeDatumTijdTotEnMet],"&gt;"&amp;($A335+20/24))</f>
        <v/>
      </c>
      <c r="Y335" s="20">
        <f>COUNTIFS(tData[SEHTrajectPeriodeDatumTijdVan],"&lt;="&amp;($A335+21/24),tData[SEHTrajectPeriodeDatumTijdTotEnMet],"&gt;"&amp;($A335+21/24))</f>
        <v/>
      </c>
      <c r="Z335" s="20">
        <f>COUNTIFS(tData[SEHTrajectPeriodeDatumTijdVan],"&lt;="&amp;($A335+22/24),tData[SEHTrajectPeriodeDatumTijdTotEnMet],"&gt;"&amp;($A335+22/24))</f>
        <v/>
      </c>
      <c r="AA335" s="20">
        <f>COUNTIFS(tData[SEHTrajectPeriodeDatumTijdVan],"&lt;="&amp;($A335+23/24),tData[SEHTrajectPeriodeDatumTijdTotEnMet],"&gt;"&amp;($A335+23/24))</f>
        <v/>
      </c>
    </row>
    <row r="336">
      <c r="A336" s="19" t="n">
        <v>45624</v>
      </c>
      <c r="B336" s="15">
        <f>WEEKDAY($A336,2)</f>
        <v/>
      </c>
      <c r="C336" s="15">
        <f>IF(AND($A336&gt;=INT(Instellingen!$B$5),$A336&lt;=INT(Instellingen!$B$6)),1,0)</f>
        <v/>
      </c>
      <c r="D336" s="20">
        <f>COUNTIFS(tData[SEHTrajectPeriodeDatumTijdVan],"&lt;="&amp;($A336+0/24),tData[SEHTrajectPeriodeDatumTijdTotEnMet],"&gt;"&amp;($A336+0/24))</f>
        <v/>
      </c>
      <c r="E336" s="20">
        <f>COUNTIFS(tData[SEHTrajectPeriodeDatumTijdVan],"&lt;="&amp;($A336+1/24),tData[SEHTrajectPeriodeDatumTijdTotEnMet],"&gt;"&amp;($A336+1/24))</f>
        <v/>
      </c>
      <c r="F336" s="20">
        <f>COUNTIFS(tData[SEHTrajectPeriodeDatumTijdVan],"&lt;="&amp;($A336+2/24),tData[SEHTrajectPeriodeDatumTijdTotEnMet],"&gt;"&amp;($A336+2/24))</f>
        <v/>
      </c>
      <c r="G336" s="20">
        <f>COUNTIFS(tData[SEHTrajectPeriodeDatumTijdVan],"&lt;="&amp;($A336+3/24),tData[SEHTrajectPeriodeDatumTijdTotEnMet],"&gt;"&amp;($A336+3/24))</f>
        <v/>
      </c>
      <c r="H336" s="20">
        <f>COUNTIFS(tData[SEHTrajectPeriodeDatumTijdVan],"&lt;="&amp;($A336+4/24),tData[SEHTrajectPeriodeDatumTijdTotEnMet],"&gt;"&amp;($A336+4/24))</f>
        <v/>
      </c>
      <c r="I336" s="20">
        <f>COUNTIFS(tData[SEHTrajectPeriodeDatumTijdVan],"&lt;="&amp;($A336+5/24),tData[SEHTrajectPeriodeDatumTijdTotEnMet],"&gt;"&amp;($A336+5/24))</f>
        <v/>
      </c>
      <c r="J336" s="20">
        <f>COUNTIFS(tData[SEHTrajectPeriodeDatumTijdVan],"&lt;="&amp;($A336+6/24),tData[SEHTrajectPeriodeDatumTijdTotEnMet],"&gt;"&amp;($A336+6/24))</f>
        <v/>
      </c>
      <c r="K336" s="20">
        <f>COUNTIFS(tData[SEHTrajectPeriodeDatumTijdVan],"&lt;="&amp;($A336+7/24),tData[SEHTrajectPeriodeDatumTijdTotEnMet],"&gt;"&amp;($A336+7/24))</f>
        <v/>
      </c>
      <c r="L336" s="20">
        <f>COUNTIFS(tData[SEHTrajectPeriodeDatumTijdVan],"&lt;="&amp;($A336+8/24),tData[SEHTrajectPeriodeDatumTijdTotEnMet],"&gt;"&amp;($A336+8/24))</f>
        <v/>
      </c>
      <c r="M336" s="20">
        <f>COUNTIFS(tData[SEHTrajectPeriodeDatumTijdVan],"&lt;="&amp;($A336+9/24),tData[SEHTrajectPeriodeDatumTijdTotEnMet],"&gt;"&amp;($A336+9/24))</f>
        <v/>
      </c>
      <c r="N336" s="20">
        <f>COUNTIFS(tData[SEHTrajectPeriodeDatumTijdVan],"&lt;="&amp;($A336+10/24),tData[SEHTrajectPeriodeDatumTijdTotEnMet],"&gt;"&amp;($A336+10/24))</f>
        <v/>
      </c>
      <c r="O336" s="20">
        <f>COUNTIFS(tData[SEHTrajectPeriodeDatumTijdVan],"&lt;="&amp;($A336+11/24),tData[SEHTrajectPeriodeDatumTijdTotEnMet],"&gt;"&amp;($A336+11/24))</f>
        <v/>
      </c>
      <c r="P336" s="20">
        <f>COUNTIFS(tData[SEHTrajectPeriodeDatumTijdVan],"&lt;="&amp;($A336+12/24),tData[SEHTrajectPeriodeDatumTijdTotEnMet],"&gt;"&amp;($A336+12/24))</f>
        <v/>
      </c>
      <c r="Q336" s="20">
        <f>COUNTIFS(tData[SEHTrajectPeriodeDatumTijdVan],"&lt;="&amp;($A336+13/24),tData[SEHTrajectPeriodeDatumTijdTotEnMet],"&gt;"&amp;($A336+13/24))</f>
        <v/>
      </c>
      <c r="R336" s="20">
        <f>COUNTIFS(tData[SEHTrajectPeriodeDatumTijdVan],"&lt;="&amp;($A336+14/24),tData[SEHTrajectPeriodeDatumTijdTotEnMet],"&gt;"&amp;($A336+14/24))</f>
        <v/>
      </c>
      <c r="S336" s="20">
        <f>COUNTIFS(tData[SEHTrajectPeriodeDatumTijdVan],"&lt;="&amp;($A336+15/24),tData[SEHTrajectPeriodeDatumTijdTotEnMet],"&gt;"&amp;($A336+15/24))</f>
        <v/>
      </c>
      <c r="T336" s="20">
        <f>COUNTIFS(tData[SEHTrajectPeriodeDatumTijdVan],"&lt;="&amp;($A336+16/24),tData[SEHTrajectPeriodeDatumTijdTotEnMet],"&gt;"&amp;($A336+16/24))</f>
        <v/>
      </c>
      <c r="U336" s="20">
        <f>COUNTIFS(tData[SEHTrajectPeriodeDatumTijdVan],"&lt;="&amp;($A336+17/24),tData[SEHTrajectPeriodeDatumTijdTotEnMet],"&gt;"&amp;($A336+17/24))</f>
        <v/>
      </c>
      <c r="V336" s="20">
        <f>COUNTIFS(tData[SEHTrajectPeriodeDatumTijdVan],"&lt;="&amp;($A336+18/24),tData[SEHTrajectPeriodeDatumTijdTotEnMet],"&gt;"&amp;($A336+18/24))</f>
        <v/>
      </c>
      <c r="W336" s="20">
        <f>COUNTIFS(tData[SEHTrajectPeriodeDatumTijdVan],"&lt;="&amp;($A336+19/24),tData[SEHTrajectPeriodeDatumTijdTotEnMet],"&gt;"&amp;($A336+19/24))</f>
        <v/>
      </c>
      <c r="X336" s="20">
        <f>COUNTIFS(tData[SEHTrajectPeriodeDatumTijdVan],"&lt;="&amp;($A336+20/24),tData[SEHTrajectPeriodeDatumTijdTotEnMet],"&gt;"&amp;($A336+20/24))</f>
        <v/>
      </c>
      <c r="Y336" s="20">
        <f>COUNTIFS(tData[SEHTrajectPeriodeDatumTijdVan],"&lt;="&amp;($A336+21/24),tData[SEHTrajectPeriodeDatumTijdTotEnMet],"&gt;"&amp;($A336+21/24))</f>
        <v/>
      </c>
      <c r="Z336" s="20">
        <f>COUNTIFS(tData[SEHTrajectPeriodeDatumTijdVan],"&lt;="&amp;($A336+22/24),tData[SEHTrajectPeriodeDatumTijdTotEnMet],"&gt;"&amp;($A336+22/24))</f>
        <v/>
      </c>
      <c r="AA336" s="20">
        <f>COUNTIFS(tData[SEHTrajectPeriodeDatumTijdVan],"&lt;="&amp;($A336+23/24),tData[SEHTrajectPeriodeDatumTijdTotEnMet],"&gt;"&amp;($A336+23/24))</f>
        <v/>
      </c>
    </row>
    <row r="337">
      <c r="A337" s="19" t="n">
        <v>45625</v>
      </c>
      <c r="B337" s="15">
        <f>WEEKDAY($A337,2)</f>
        <v/>
      </c>
      <c r="C337" s="15">
        <f>IF(AND($A337&gt;=INT(Instellingen!$B$5),$A337&lt;=INT(Instellingen!$B$6)),1,0)</f>
        <v/>
      </c>
      <c r="D337" s="20">
        <f>COUNTIFS(tData[SEHTrajectPeriodeDatumTijdVan],"&lt;="&amp;($A337+0/24),tData[SEHTrajectPeriodeDatumTijdTotEnMet],"&gt;"&amp;($A337+0/24))</f>
        <v/>
      </c>
      <c r="E337" s="20">
        <f>COUNTIFS(tData[SEHTrajectPeriodeDatumTijdVan],"&lt;="&amp;($A337+1/24),tData[SEHTrajectPeriodeDatumTijdTotEnMet],"&gt;"&amp;($A337+1/24))</f>
        <v/>
      </c>
      <c r="F337" s="20">
        <f>COUNTIFS(tData[SEHTrajectPeriodeDatumTijdVan],"&lt;="&amp;($A337+2/24),tData[SEHTrajectPeriodeDatumTijdTotEnMet],"&gt;"&amp;($A337+2/24))</f>
        <v/>
      </c>
      <c r="G337" s="20">
        <f>COUNTIFS(tData[SEHTrajectPeriodeDatumTijdVan],"&lt;="&amp;($A337+3/24),tData[SEHTrajectPeriodeDatumTijdTotEnMet],"&gt;"&amp;($A337+3/24))</f>
        <v/>
      </c>
      <c r="H337" s="20">
        <f>COUNTIFS(tData[SEHTrajectPeriodeDatumTijdVan],"&lt;="&amp;($A337+4/24),tData[SEHTrajectPeriodeDatumTijdTotEnMet],"&gt;"&amp;($A337+4/24))</f>
        <v/>
      </c>
      <c r="I337" s="20">
        <f>COUNTIFS(tData[SEHTrajectPeriodeDatumTijdVan],"&lt;="&amp;($A337+5/24),tData[SEHTrajectPeriodeDatumTijdTotEnMet],"&gt;"&amp;($A337+5/24))</f>
        <v/>
      </c>
      <c r="J337" s="20">
        <f>COUNTIFS(tData[SEHTrajectPeriodeDatumTijdVan],"&lt;="&amp;($A337+6/24),tData[SEHTrajectPeriodeDatumTijdTotEnMet],"&gt;"&amp;($A337+6/24))</f>
        <v/>
      </c>
      <c r="K337" s="20">
        <f>COUNTIFS(tData[SEHTrajectPeriodeDatumTijdVan],"&lt;="&amp;($A337+7/24),tData[SEHTrajectPeriodeDatumTijdTotEnMet],"&gt;"&amp;($A337+7/24))</f>
        <v/>
      </c>
      <c r="L337" s="20">
        <f>COUNTIFS(tData[SEHTrajectPeriodeDatumTijdVan],"&lt;="&amp;($A337+8/24),tData[SEHTrajectPeriodeDatumTijdTotEnMet],"&gt;"&amp;($A337+8/24))</f>
        <v/>
      </c>
      <c r="M337" s="20">
        <f>COUNTIFS(tData[SEHTrajectPeriodeDatumTijdVan],"&lt;="&amp;($A337+9/24),tData[SEHTrajectPeriodeDatumTijdTotEnMet],"&gt;"&amp;($A337+9/24))</f>
        <v/>
      </c>
      <c r="N337" s="20">
        <f>COUNTIFS(tData[SEHTrajectPeriodeDatumTijdVan],"&lt;="&amp;($A337+10/24),tData[SEHTrajectPeriodeDatumTijdTotEnMet],"&gt;"&amp;($A337+10/24))</f>
        <v/>
      </c>
      <c r="O337" s="20">
        <f>COUNTIFS(tData[SEHTrajectPeriodeDatumTijdVan],"&lt;="&amp;($A337+11/24),tData[SEHTrajectPeriodeDatumTijdTotEnMet],"&gt;"&amp;($A337+11/24))</f>
        <v/>
      </c>
      <c r="P337" s="20">
        <f>COUNTIFS(tData[SEHTrajectPeriodeDatumTijdVan],"&lt;="&amp;($A337+12/24),tData[SEHTrajectPeriodeDatumTijdTotEnMet],"&gt;"&amp;($A337+12/24))</f>
        <v/>
      </c>
      <c r="Q337" s="20">
        <f>COUNTIFS(tData[SEHTrajectPeriodeDatumTijdVan],"&lt;="&amp;($A337+13/24),tData[SEHTrajectPeriodeDatumTijdTotEnMet],"&gt;"&amp;($A337+13/24))</f>
        <v/>
      </c>
      <c r="R337" s="20">
        <f>COUNTIFS(tData[SEHTrajectPeriodeDatumTijdVan],"&lt;="&amp;($A337+14/24),tData[SEHTrajectPeriodeDatumTijdTotEnMet],"&gt;"&amp;($A337+14/24))</f>
        <v/>
      </c>
      <c r="S337" s="20">
        <f>COUNTIFS(tData[SEHTrajectPeriodeDatumTijdVan],"&lt;="&amp;($A337+15/24),tData[SEHTrajectPeriodeDatumTijdTotEnMet],"&gt;"&amp;($A337+15/24))</f>
        <v/>
      </c>
      <c r="T337" s="20">
        <f>COUNTIFS(tData[SEHTrajectPeriodeDatumTijdVan],"&lt;="&amp;($A337+16/24),tData[SEHTrajectPeriodeDatumTijdTotEnMet],"&gt;"&amp;($A337+16/24))</f>
        <v/>
      </c>
      <c r="U337" s="20">
        <f>COUNTIFS(tData[SEHTrajectPeriodeDatumTijdVan],"&lt;="&amp;($A337+17/24),tData[SEHTrajectPeriodeDatumTijdTotEnMet],"&gt;"&amp;($A337+17/24))</f>
        <v/>
      </c>
      <c r="V337" s="20">
        <f>COUNTIFS(tData[SEHTrajectPeriodeDatumTijdVan],"&lt;="&amp;($A337+18/24),tData[SEHTrajectPeriodeDatumTijdTotEnMet],"&gt;"&amp;($A337+18/24))</f>
        <v/>
      </c>
      <c r="W337" s="20">
        <f>COUNTIFS(tData[SEHTrajectPeriodeDatumTijdVan],"&lt;="&amp;($A337+19/24),tData[SEHTrajectPeriodeDatumTijdTotEnMet],"&gt;"&amp;($A337+19/24))</f>
        <v/>
      </c>
      <c r="X337" s="20">
        <f>COUNTIFS(tData[SEHTrajectPeriodeDatumTijdVan],"&lt;="&amp;($A337+20/24),tData[SEHTrajectPeriodeDatumTijdTotEnMet],"&gt;"&amp;($A337+20/24))</f>
        <v/>
      </c>
      <c r="Y337" s="20">
        <f>COUNTIFS(tData[SEHTrajectPeriodeDatumTijdVan],"&lt;="&amp;($A337+21/24),tData[SEHTrajectPeriodeDatumTijdTotEnMet],"&gt;"&amp;($A337+21/24))</f>
        <v/>
      </c>
      <c r="Z337" s="20">
        <f>COUNTIFS(tData[SEHTrajectPeriodeDatumTijdVan],"&lt;="&amp;($A337+22/24),tData[SEHTrajectPeriodeDatumTijdTotEnMet],"&gt;"&amp;($A337+22/24))</f>
        <v/>
      </c>
      <c r="AA337" s="20">
        <f>COUNTIFS(tData[SEHTrajectPeriodeDatumTijdVan],"&lt;="&amp;($A337+23/24),tData[SEHTrajectPeriodeDatumTijdTotEnMet],"&gt;"&amp;($A337+23/24))</f>
        <v/>
      </c>
    </row>
    <row r="338">
      <c r="A338" s="19" t="n">
        <v>45626</v>
      </c>
      <c r="B338" s="15">
        <f>WEEKDAY($A338,2)</f>
        <v/>
      </c>
      <c r="C338" s="15">
        <f>IF(AND($A338&gt;=INT(Instellingen!$B$5),$A338&lt;=INT(Instellingen!$B$6)),1,0)</f>
        <v/>
      </c>
      <c r="D338" s="20">
        <f>COUNTIFS(tData[SEHTrajectPeriodeDatumTijdVan],"&lt;="&amp;($A338+0/24),tData[SEHTrajectPeriodeDatumTijdTotEnMet],"&gt;"&amp;($A338+0/24))</f>
        <v/>
      </c>
      <c r="E338" s="20">
        <f>COUNTIFS(tData[SEHTrajectPeriodeDatumTijdVan],"&lt;="&amp;($A338+1/24),tData[SEHTrajectPeriodeDatumTijdTotEnMet],"&gt;"&amp;($A338+1/24))</f>
        <v/>
      </c>
      <c r="F338" s="20">
        <f>COUNTIFS(tData[SEHTrajectPeriodeDatumTijdVan],"&lt;="&amp;($A338+2/24),tData[SEHTrajectPeriodeDatumTijdTotEnMet],"&gt;"&amp;($A338+2/24))</f>
        <v/>
      </c>
      <c r="G338" s="20">
        <f>COUNTIFS(tData[SEHTrajectPeriodeDatumTijdVan],"&lt;="&amp;($A338+3/24),tData[SEHTrajectPeriodeDatumTijdTotEnMet],"&gt;"&amp;($A338+3/24))</f>
        <v/>
      </c>
      <c r="H338" s="20">
        <f>COUNTIFS(tData[SEHTrajectPeriodeDatumTijdVan],"&lt;="&amp;($A338+4/24),tData[SEHTrajectPeriodeDatumTijdTotEnMet],"&gt;"&amp;($A338+4/24))</f>
        <v/>
      </c>
      <c r="I338" s="20">
        <f>COUNTIFS(tData[SEHTrajectPeriodeDatumTijdVan],"&lt;="&amp;($A338+5/24),tData[SEHTrajectPeriodeDatumTijdTotEnMet],"&gt;"&amp;($A338+5/24))</f>
        <v/>
      </c>
      <c r="J338" s="20">
        <f>COUNTIFS(tData[SEHTrajectPeriodeDatumTijdVan],"&lt;="&amp;($A338+6/24),tData[SEHTrajectPeriodeDatumTijdTotEnMet],"&gt;"&amp;($A338+6/24))</f>
        <v/>
      </c>
      <c r="K338" s="20">
        <f>COUNTIFS(tData[SEHTrajectPeriodeDatumTijdVan],"&lt;="&amp;($A338+7/24),tData[SEHTrajectPeriodeDatumTijdTotEnMet],"&gt;"&amp;($A338+7/24))</f>
        <v/>
      </c>
      <c r="L338" s="20">
        <f>COUNTIFS(tData[SEHTrajectPeriodeDatumTijdVan],"&lt;="&amp;($A338+8/24),tData[SEHTrajectPeriodeDatumTijdTotEnMet],"&gt;"&amp;($A338+8/24))</f>
        <v/>
      </c>
      <c r="M338" s="20">
        <f>COUNTIFS(tData[SEHTrajectPeriodeDatumTijdVan],"&lt;="&amp;($A338+9/24),tData[SEHTrajectPeriodeDatumTijdTotEnMet],"&gt;"&amp;($A338+9/24))</f>
        <v/>
      </c>
      <c r="N338" s="20">
        <f>COUNTIFS(tData[SEHTrajectPeriodeDatumTijdVan],"&lt;="&amp;($A338+10/24),tData[SEHTrajectPeriodeDatumTijdTotEnMet],"&gt;"&amp;($A338+10/24))</f>
        <v/>
      </c>
      <c r="O338" s="20">
        <f>COUNTIFS(tData[SEHTrajectPeriodeDatumTijdVan],"&lt;="&amp;($A338+11/24),tData[SEHTrajectPeriodeDatumTijdTotEnMet],"&gt;"&amp;($A338+11/24))</f>
        <v/>
      </c>
      <c r="P338" s="20">
        <f>COUNTIFS(tData[SEHTrajectPeriodeDatumTijdVan],"&lt;="&amp;($A338+12/24),tData[SEHTrajectPeriodeDatumTijdTotEnMet],"&gt;"&amp;($A338+12/24))</f>
        <v/>
      </c>
      <c r="Q338" s="20">
        <f>COUNTIFS(tData[SEHTrajectPeriodeDatumTijdVan],"&lt;="&amp;($A338+13/24),tData[SEHTrajectPeriodeDatumTijdTotEnMet],"&gt;"&amp;($A338+13/24))</f>
        <v/>
      </c>
      <c r="R338" s="20">
        <f>COUNTIFS(tData[SEHTrajectPeriodeDatumTijdVan],"&lt;="&amp;($A338+14/24),tData[SEHTrajectPeriodeDatumTijdTotEnMet],"&gt;"&amp;($A338+14/24))</f>
        <v/>
      </c>
      <c r="S338" s="20">
        <f>COUNTIFS(tData[SEHTrajectPeriodeDatumTijdVan],"&lt;="&amp;($A338+15/24),tData[SEHTrajectPeriodeDatumTijdTotEnMet],"&gt;"&amp;($A338+15/24))</f>
        <v/>
      </c>
      <c r="T338" s="20">
        <f>COUNTIFS(tData[SEHTrajectPeriodeDatumTijdVan],"&lt;="&amp;($A338+16/24),tData[SEHTrajectPeriodeDatumTijdTotEnMet],"&gt;"&amp;($A338+16/24))</f>
        <v/>
      </c>
      <c r="U338" s="20">
        <f>COUNTIFS(tData[SEHTrajectPeriodeDatumTijdVan],"&lt;="&amp;($A338+17/24),tData[SEHTrajectPeriodeDatumTijdTotEnMet],"&gt;"&amp;($A338+17/24))</f>
        <v/>
      </c>
      <c r="V338" s="20">
        <f>COUNTIFS(tData[SEHTrajectPeriodeDatumTijdVan],"&lt;="&amp;($A338+18/24),tData[SEHTrajectPeriodeDatumTijdTotEnMet],"&gt;"&amp;($A338+18/24))</f>
        <v/>
      </c>
      <c r="W338" s="20">
        <f>COUNTIFS(tData[SEHTrajectPeriodeDatumTijdVan],"&lt;="&amp;($A338+19/24),tData[SEHTrajectPeriodeDatumTijdTotEnMet],"&gt;"&amp;($A338+19/24))</f>
        <v/>
      </c>
      <c r="X338" s="20">
        <f>COUNTIFS(tData[SEHTrajectPeriodeDatumTijdVan],"&lt;="&amp;($A338+20/24),tData[SEHTrajectPeriodeDatumTijdTotEnMet],"&gt;"&amp;($A338+20/24))</f>
        <v/>
      </c>
      <c r="Y338" s="20">
        <f>COUNTIFS(tData[SEHTrajectPeriodeDatumTijdVan],"&lt;="&amp;($A338+21/24),tData[SEHTrajectPeriodeDatumTijdTotEnMet],"&gt;"&amp;($A338+21/24))</f>
        <v/>
      </c>
      <c r="Z338" s="20">
        <f>COUNTIFS(tData[SEHTrajectPeriodeDatumTijdVan],"&lt;="&amp;($A338+22/24),tData[SEHTrajectPeriodeDatumTijdTotEnMet],"&gt;"&amp;($A338+22/24))</f>
        <v/>
      </c>
      <c r="AA338" s="20">
        <f>COUNTIFS(tData[SEHTrajectPeriodeDatumTijdVan],"&lt;="&amp;($A338+23/24),tData[SEHTrajectPeriodeDatumTijdTotEnMet],"&gt;"&amp;($A338+23/24))</f>
        <v/>
      </c>
    </row>
    <row r="339">
      <c r="A339" s="19" t="n">
        <v>45627</v>
      </c>
      <c r="B339" s="15">
        <f>WEEKDAY($A339,2)</f>
        <v/>
      </c>
      <c r="C339" s="15">
        <f>IF(AND($A339&gt;=INT(Instellingen!$B$5),$A339&lt;=INT(Instellingen!$B$6)),1,0)</f>
        <v/>
      </c>
      <c r="D339" s="20">
        <f>COUNTIFS(tData[SEHTrajectPeriodeDatumTijdVan],"&lt;="&amp;($A339+0/24),tData[SEHTrajectPeriodeDatumTijdTotEnMet],"&gt;"&amp;($A339+0/24))</f>
        <v/>
      </c>
      <c r="E339" s="20">
        <f>COUNTIFS(tData[SEHTrajectPeriodeDatumTijdVan],"&lt;="&amp;($A339+1/24),tData[SEHTrajectPeriodeDatumTijdTotEnMet],"&gt;"&amp;($A339+1/24))</f>
        <v/>
      </c>
      <c r="F339" s="20">
        <f>COUNTIFS(tData[SEHTrajectPeriodeDatumTijdVan],"&lt;="&amp;($A339+2/24),tData[SEHTrajectPeriodeDatumTijdTotEnMet],"&gt;"&amp;($A339+2/24))</f>
        <v/>
      </c>
      <c r="G339" s="20">
        <f>COUNTIFS(tData[SEHTrajectPeriodeDatumTijdVan],"&lt;="&amp;($A339+3/24),tData[SEHTrajectPeriodeDatumTijdTotEnMet],"&gt;"&amp;($A339+3/24))</f>
        <v/>
      </c>
      <c r="H339" s="20">
        <f>COUNTIFS(tData[SEHTrajectPeriodeDatumTijdVan],"&lt;="&amp;($A339+4/24),tData[SEHTrajectPeriodeDatumTijdTotEnMet],"&gt;"&amp;($A339+4/24))</f>
        <v/>
      </c>
      <c r="I339" s="20">
        <f>COUNTIFS(tData[SEHTrajectPeriodeDatumTijdVan],"&lt;="&amp;($A339+5/24),tData[SEHTrajectPeriodeDatumTijdTotEnMet],"&gt;"&amp;($A339+5/24))</f>
        <v/>
      </c>
      <c r="J339" s="20">
        <f>COUNTIFS(tData[SEHTrajectPeriodeDatumTijdVan],"&lt;="&amp;($A339+6/24),tData[SEHTrajectPeriodeDatumTijdTotEnMet],"&gt;"&amp;($A339+6/24))</f>
        <v/>
      </c>
      <c r="K339" s="20">
        <f>COUNTIFS(tData[SEHTrajectPeriodeDatumTijdVan],"&lt;="&amp;($A339+7/24),tData[SEHTrajectPeriodeDatumTijdTotEnMet],"&gt;"&amp;($A339+7/24))</f>
        <v/>
      </c>
      <c r="L339" s="20">
        <f>COUNTIFS(tData[SEHTrajectPeriodeDatumTijdVan],"&lt;="&amp;($A339+8/24),tData[SEHTrajectPeriodeDatumTijdTotEnMet],"&gt;"&amp;($A339+8/24))</f>
        <v/>
      </c>
      <c r="M339" s="20">
        <f>COUNTIFS(tData[SEHTrajectPeriodeDatumTijdVan],"&lt;="&amp;($A339+9/24),tData[SEHTrajectPeriodeDatumTijdTotEnMet],"&gt;"&amp;($A339+9/24))</f>
        <v/>
      </c>
      <c r="N339" s="20">
        <f>COUNTIFS(tData[SEHTrajectPeriodeDatumTijdVan],"&lt;="&amp;($A339+10/24),tData[SEHTrajectPeriodeDatumTijdTotEnMet],"&gt;"&amp;($A339+10/24))</f>
        <v/>
      </c>
      <c r="O339" s="20">
        <f>COUNTIFS(tData[SEHTrajectPeriodeDatumTijdVan],"&lt;="&amp;($A339+11/24),tData[SEHTrajectPeriodeDatumTijdTotEnMet],"&gt;"&amp;($A339+11/24))</f>
        <v/>
      </c>
      <c r="P339" s="20">
        <f>COUNTIFS(tData[SEHTrajectPeriodeDatumTijdVan],"&lt;="&amp;($A339+12/24),tData[SEHTrajectPeriodeDatumTijdTotEnMet],"&gt;"&amp;($A339+12/24))</f>
        <v/>
      </c>
      <c r="Q339" s="20">
        <f>COUNTIFS(tData[SEHTrajectPeriodeDatumTijdVan],"&lt;="&amp;($A339+13/24),tData[SEHTrajectPeriodeDatumTijdTotEnMet],"&gt;"&amp;($A339+13/24))</f>
        <v/>
      </c>
      <c r="R339" s="20">
        <f>COUNTIFS(tData[SEHTrajectPeriodeDatumTijdVan],"&lt;="&amp;($A339+14/24),tData[SEHTrajectPeriodeDatumTijdTotEnMet],"&gt;"&amp;($A339+14/24))</f>
        <v/>
      </c>
      <c r="S339" s="20">
        <f>COUNTIFS(tData[SEHTrajectPeriodeDatumTijdVan],"&lt;="&amp;($A339+15/24),tData[SEHTrajectPeriodeDatumTijdTotEnMet],"&gt;"&amp;($A339+15/24))</f>
        <v/>
      </c>
      <c r="T339" s="20">
        <f>COUNTIFS(tData[SEHTrajectPeriodeDatumTijdVan],"&lt;="&amp;($A339+16/24),tData[SEHTrajectPeriodeDatumTijdTotEnMet],"&gt;"&amp;($A339+16/24))</f>
        <v/>
      </c>
      <c r="U339" s="20">
        <f>COUNTIFS(tData[SEHTrajectPeriodeDatumTijdVan],"&lt;="&amp;($A339+17/24),tData[SEHTrajectPeriodeDatumTijdTotEnMet],"&gt;"&amp;($A339+17/24))</f>
        <v/>
      </c>
      <c r="V339" s="20">
        <f>COUNTIFS(tData[SEHTrajectPeriodeDatumTijdVan],"&lt;="&amp;($A339+18/24),tData[SEHTrajectPeriodeDatumTijdTotEnMet],"&gt;"&amp;($A339+18/24))</f>
        <v/>
      </c>
      <c r="W339" s="20">
        <f>COUNTIFS(tData[SEHTrajectPeriodeDatumTijdVan],"&lt;="&amp;($A339+19/24),tData[SEHTrajectPeriodeDatumTijdTotEnMet],"&gt;"&amp;($A339+19/24))</f>
        <v/>
      </c>
      <c r="X339" s="20">
        <f>COUNTIFS(tData[SEHTrajectPeriodeDatumTijdVan],"&lt;="&amp;($A339+20/24),tData[SEHTrajectPeriodeDatumTijdTotEnMet],"&gt;"&amp;($A339+20/24))</f>
        <v/>
      </c>
      <c r="Y339" s="20">
        <f>COUNTIFS(tData[SEHTrajectPeriodeDatumTijdVan],"&lt;="&amp;($A339+21/24),tData[SEHTrajectPeriodeDatumTijdTotEnMet],"&gt;"&amp;($A339+21/24))</f>
        <v/>
      </c>
      <c r="Z339" s="20">
        <f>COUNTIFS(tData[SEHTrajectPeriodeDatumTijdVan],"&lt;="&amp;($A339+22/24),tData[SEHTrajectPeriodeDatumTijdTotEnMet],"&gt;"&amp;($A339+22/24))</f>
        <v/>
      </c>
      <c r="AA339" s="20">
        <f>COUNTIFS(tData[SEHTrajectPeriodeDatumTijdVan],"&lt;="&amp;($A339+23/24),tData[SEHTrajectPeriodeDatumTijdTotEnMet],"&gt;"&amp;($A339+23/24))</f>
        <v/>
      </c>
    </row>
    <row r="340">
      <c r="A340" s="19" t="n">
        <v>45628</v>
      </c>
      <c r="B340" s="15">
        <f>WEEKDAY($A340,2)</f>
        <v/>
      </c>
      <c r="C340" s="15">
        <f>IF(AND($A340&gt;=INT(Instellingen!$B$5),$A340&lt;=INT(Instellingen!$B$6)),1,0)</f>
        <v/>
      </c>
      <c r="D340" s="20">
        <f>COUNTIFS(tData[SEHTrajectPeriodeDatumTijdVan],"&lt;="&amp;($A340+0/24),tData[SEHTrajectPeriodeDatumTijdTotEnMet],"&gt;"&amp;($A340+0/24))</f>
        <v/>
      </c>
      <c r="E340" s="20">
        <f>COUNTIFS(tData[SEHTrajectPeriodeDatumTijdVan],"&lt;="&amp;($A340+1/24),tData[SEHTrajectPeriodeDatumTijdTotEnMet],"&gt;"&amp;($A340+1/24))</f>
        <v/>
      </c>
      <c r="F340" s="20">
        <f>COUNTIFS(tData[SEHTrajectPeriodeDatumTijdVan],"&lt;="&amp;($A340+2/24),tData[SEHTrajectPeriodeDatumTijdTotEnMet],"&gt;"&amp;($A340+2/24))</f>
        <v/>
      </c>
      <c r="G340" s="20">
        <f>COUNTIFS(tData[SEHTrajectPeriodeDatumTijdVan],"&lt;="&amp;($A340+3/24),tData[SEHTrajectPeriodeDatumTijdTotEnMet],"&gt;"&amp;($A340+3/24))</f>
        <v/>
      </c>
      <c r="H340" s="20">
        <f>COUNTIFS(tData[SEHTrajectPeriodeDatumTijdVan],"&lt;="&amp;($A340+4/24),tData[SEHTrajectPeriodeDatumTijdTotEnMet],"&gt;"&amp;($A340+4/24))</f>
        <v/>
      </c>
      <c r="I340" s="20">
        <f>COUNTIFS(tData[SEHTrajectPeriodeDatumTijdVan],"&lt;="&amp;($A340+5/24),tData[SEHTrajectPeriodeDatumTijdTotEnMet],"&gt;"&amp;($A340+5/24))</f>
        <v/>
      </c>
      <c r="J340" s="20">
        <f>COUNTIFS(tData[SEHTrajectPeriodeDatumTijdVan],"&lt;="&amp;($A340+6/24),tData[SEHTrajectPeriodeDatumTijdTotEnMet],"&gt;"&amp;($A340+6/24))</f>
        <v/>
      </c>
      <c r="K340" s="20">
        <f>COUNTIFS(tData[SEHTrajectPeriodeDatumTijdVan],"&lt;="&amp;($A340+7/24),tData[SEHTrajectPeriodeDatumTijdTotEnMet],"&gt;"&amp;($A340+7/24))</f>
        <v/>
      </c>
      <c r="L340" s="20">
        <f>COUNTIFS(tData[SEHTrajectPeriodeDatumTijdVan],"&lt;="&amp;($A340+8/24),tData[SEHTrajectPeriodeDatumTijdTotEnMet],"&gt;"&amp;($A340+8/24))</f>
        <v/>
      </c>
      <c r="M340" s="20">
        <f>COUNTIFS(tData[SEHTrajectPeriodeDatumTijdVan],"&lt;="&amp;($A340+9/24),tData[SEHTrajectPeriodeDatumTijdTotEnMet],"&gt;"&amp;($A340+9/24))</f>
        <v/>
      </c>
      <c r="N340" s="20">
        <f>COUNTIFS(tData[SEHTrajectPeriodeDatumTijdVan],"&lt;="&amp;($A340+10/24),tData[SEHTrajectPeriodeDatumTijdTotEnMet],"&gt;"&amp;($A340+10/24))</f>
        <v/>
      </c>
      <c r="O340" s="20">
        <f>COUNTIFS(tData[SEHTrajectPeriodeDatumTijdVan],"&lt;="&amp;($A340+11/24),tData[SEHTrajectPeriodeDatumTijdTotEnMet],"&gt;"&amp;($A340+11/24))</f>
        <v/>
      </c>
      <c r="P340" s="20">
        <f>COUNTIFS(tData[SEHTrajectPeriodeDatumTijdVan],"&lt;="&amp;($A340+12/24),tData[SEHTrajectPeriodeDatumTijdTotEnMet],"&gt;"&amp;($A340+12/24))</f>
        <v/>
      </c>
      <c r="Q340" s="20">
        <f>COUNTIFS(tData[SEHTrajectPeriodeDatumTijdVan],"&lt;="&amp;($A340+13/24),tData[SEHTrajectPeriodeDatumTijdTotEnMet],"&gt;"&amp;($A340+13/24))</f>
        <v/>
      </c>
      <c r="R340" s="20">
        <f>COUNTIFS(tData[SEHTrajectPeriodeDatumTijdVan],"&lt;="&amp;($A340+14/24),tData[SEHTrajectPeriodeDatumTijdTotEnMet],"&gt;"&amp;($A340+14/24))</f>
        <v/>
      </c>
      <c r="S340" s="20">
        <f>COUNTIFS(tData[SEHTrajectPeriodeDatumTijdVan],"&lt;="&amp;($A340+15/24),tData[SEHTrajectPeriodeDatumTijdTotEnMet],"&gt;"&amp;($A340+15/24))</f>
        <v/>
      </c>
      <c r="T340" s="20">
        <f>COUNTIFS(tData[SEHTrajectPeriodeDatumTijdVan],"&lt;="&amp;($A340+16/24),tData[SEHTrajectPeriodeDatumTijdTotEnMet],"&gt;"&amp;($A340+16/24))</f>
        <v/>
      </c>
      <c r="U340" s="20">
        <f>COUNTIFS(tData[SEHTrajectPeriodeDatumTijdVan],"&lt;="&amp;($A340+17/24),tData[SEHTrajectPeriodeDatumTijdTotEnMet],"&gt;"&amp;($A340+17/24))</f>
        <v/>
      </c>
      <c r="V340" s="20">
        <f>COUNTIFS(tData[SEHTrajectPeriodeDatumTijdVan],"&lt;="&amp;($A340+18/24),tData[SEHTrajectPeriodeDatumTijdTotEnMet],"&gt;"&amp;($A340+18/24))</f>
        <v/>
      </c>
      <c r="W340" s="20">
        <f>COUNTIFS(tData[SEHTrajectPeriodeDatumTijdVan],"&lt;="&amp;($A340+19/24),tData[SEHTrajectPeriodeDatumTijdTotEnMet],"&gt;"&amp;($A340+19/24))</f>
        <v/>
      </c>
      <c r="X340" s="20">
        <f>COUNTIFS(tData[SEHTrajectPeriodeDatumTijdVan],"&lt;="&amp;($A340+20/24),tData[SEHTrajectPeriodeDatumTijdTotEnMet],"&gt;"&amp;($A340+20/24))</f>
        <v/>
      </c>
      <c r="Y340" s="20">
        <f>COUNTIFS(tData[SEHTrajectPeriodeDatumTijdVan],"&lt;="&amp;($A340+21/24),tData[SEHTrajectPeriodeDatumTijdTotEnMet],"&gt;"&amp;($A340+21/24))</f>
        <v/>
      </c>
      <c r="Z340" s="20">
        <f>COUNTIFS(tData[SEHTrajectPeriodeDatumTijdVan],"&lt;="&amp;($A340+22/24),tData[SEHTrajectPeriodeDatumTijdTotEnMet],"&gt;"&amp;($A340+22/24))</f>
        <v/>
      </c>
      <c r="AA340" s="20">
        <f>COUNTIFS(tData[SEHTrajectPeriodeDatumTijdVan],"&lt;="&amp;($A340+23/24),tData[SEHTrajectPeriodeDatumTijdTotEnMet],"&gt;"&amp;($A340+23/24))</f>
        <v/>
      </c>
    </row>
    <row r="341">
      <c r="A341" s="19" t="n">
        <v>45629</v>
      </c>
      <c r="B341" s="15">
        <f>WEEKDAY($A341,2)</f>
        <v/>
      </c>
      <c r="C341" s="15">
        <f>IF(AND($A341&gt;=INT(Instellingen!$B$5),$A341&lt;=INT(Instellingen!$B$6)),1,0)</f>
        <v/>
      </c>
      <c r="D341" s="20">
        <f>COUNTIFS(tData[SEHTrajectPeriodeDatumTijdVan],"&lt;="&amp;($A341+0/24),tData[SEHTrajectPeriodeDatumTijdTotEnMet],"&gt;"&amp;($A341+0/24))</f>
        <v/>
      </c>
      <c r="E341" s="20">
        <f>COUNTIFS(tData[SEHTrajectPeriodeDatumTijdVan],"&lt;="&amp;($A341+1/24),tData[SEHTrajectPeriodeDatumTijdTotEnMet],"&gt;"&amp;($A341+1/24))</f>
        <v/>
      </c>
      <c r="F341" s="20">
        <f>COUNTIFS(tData[SEHTrajectPeriodeDatumTijdVan],"&lt;="&amp;($A341+2/24),tData[SEHTrajectPeriodeDatumTijdTotEnMet],"&gt;"&amp;($A341+2/24))</f>
        <v/>
      </c>
      <c r="G341" s="20">
        <f>COUNTIFS(tData[SEHTrajectPeriodeDatumTijdVan],"&lt;="&amp;($A341+3/24),tData[SEHTrajectPeriodeDatumTijdTotEnMet],"&gt;"&amp;($A341+3/24))</f>
        <v/>
      </c>
      <c r="H341" s="20">
        <f>COUNTIFS(tData[SEHTrajectPeriodeDatumTijdVan],"&lt;="&amp;($A341+4/24),tData[SEHTrajectPeriodeDatumTijdTotEnMet],"&gt;"&amp;($A341+4/24))</f>
        <v/>
      </c>
      <c r="I341" s="20">
        <f>COUNTIFS(tData[SEHTrajectPeriodeDatumTijdVan],"&lt;="&amp;($A341+5/24),tData[SEHTrajectPeriodeDatumTijdTotEnMet],"&gt;"&amp;($A341+5/24))</f>
        <v/>
      </c>
      <c r="J341" s="20">
        <f>COUNTIFS(tData[SEHTrajectPeriodeDatumTijdVan],"&lt;="&amp;($A341+6/24),tData[SEHTrajectPeriodeDatumTijdTotEnMet],"&gt;"&amp;($A341+6/24))</f>
        <v/>
      </c>
      <c r="K341" s="20">
        <f>COUNTIFS(tData[SEHTrajectPeriodeDatumTijdVan],"&lt;="&amp;($A341+7/24),tData[SEHTrajectPeriodeDatumTijdTotEnMet],"&gt;"&amp;($A341+7/24))</f>
        <v/>
      </c>
      <c r="L341" s="20">
        <f>COUNTIFS(tData[SEHTrajectPeriodeDatumTijdVan],"&lt;="&amp;($A341+8/24),tData[SEHTrajectPeriodeDatumTijdTotEnMet],"&gt;"&amp;($A341+8/24))</f>
        <v/>
      </c>
      <c r="M341" s="20">
        <f>COUNTIFS(tData[SEHTrajectPeriodeDatumTijdVan],"&lt;="&amp;($A341+9/24),tData[SEHTrajectPeriodeDatumTijdTotEnMet],"&gt;"&amp;($A341+9/24))</f>
        <v/>
      </c>
      <c r="N341" s="20">
        <f>COUNTIFS(tData[SEHTrajectPeriodeDatumTijdVan],"&lt;="&amp;($A341+10/24),tData[SEHTrajectPeriodeDatumTijdTotEnMet],"&gt;"&amp;($A341+10/24))</f>
        <v/>
      </c>
      <c r="O341" s="20">
        <f>COUNTIFS(tData[SEHTrajectPeriodeDatumTijdVan],"&lt;="&amp;($A341+11/24),tData[SEHTrajectPeriodeDatumTijdTotEnMet],"&gt;"&amp;($A341+11/24))</f>
        <v/>
      </c>
      <c r="P341" s="20">
        <f>COUNTIFS(tData[SEHTrajectPeriodeDatumTijdVan],"&lt;="&amp;($A341+12/24),tData[SEHTrajectPeriodeDatumTijdTotEnMet],"&gt;"&amp;($A341+12/24))</f>
        <v/>
      </c>
      <c r="Q341" s="20">
        <f>COUNTIFS(tData[SEHTrajectPeriodeDatumTijdVan],"&lt;="&amp;($A341+13/24),tData[SEHTrajectPeriodeDatumTijdTotEnMet],"&gt;"&amp;($A341+13/24))</f>
        <v/>
      </c>
      <c r="R341" s="20">
        <f>COUNTIFS(tData[SEHTrajectPeriodeDatumTijdVan],"&lt;="&amp;($A341+14/24),tData[SEHTrajectPeriodeDatumTijdTotEnMet],"&gt;"&amp;($A341+14/24))</f>
        <v/>
      </c>
      <c r="S341" s="20">
        <f>COUNTIFS(tData[SEHTrajectPeriodeDatumTijdVan],"&lt;="&amp;($A341+15/24),tData[SEHTrajectPeriodeDatumTijdTotEnMet],"&gt;"&amp;($A341+15/24))</f>
        <v/>
      </c>
      <c r="T341" s="20">
        <f>COUNTIFS(tData[SEHTrajectPeriodeDatumTijdVan],"&lt;="&amp;($A341+16/24),tData[SEHTrajectPeriodeDatumTijdTotEnMet],"&gt;"&amp;($A341+16/24))</f>
        <v/>
      </c>
      <c r="U341" s="20">
        <f>COUNTIFS(tData[SEHTrajectPeriodeDatumTijdVan],"&lt;="&amp;($A341+17/24),tData[SEHTrajectPeriodeDatumTijdTotEnMet],"&gt;"&amp;($A341+17/24))</f>
        <v/>
      </c>
      <c r="V341" s="20">
        <f>COUNTIFS(tData[SEHTrajectPeriodeDatumTijdVan],"&lt;="&amp;($A341+18/24),tData[SEHTrajectPeriodeDatumTijdTotEnMet],"&gt;"&amp;($A341+18/24))</f>
        <v/>
      </c>
      <c r="W341" s="20">
        <f>COUNTIFS(tData[SEHTrajectPeriodeDatumTijdVan],"&lt;="&amp;($A341+19/24),tData[SEHTrajectPeriodeDatumTijdTotEnMet],"&gt;"&amp;($A341+19/24))</f>
        <v/>
      </c>
      <c r="X341" s="20">
        <f>COUNTIFS(tData[SEHTrajectPeriodeDatumTijdVan],"&lt;="&amp;($A341+20/24),tData[SEHTrajectPeriodeDatumTijdTotEnMet],"&gt;"&amp;($A341+20/24))</f>
        <v/>
      </c>
      <c r="Y341" s="20">
        <f>COUNTIFS(tData[SEHTrajectPeriodeDatumTijdVan],"&lt;="&amp;($A341+21/24),tData[SEHTrajectPeriodeDatumTijdTotEnMet],"&gt;"&amp;($A341+21/24))</f>
        <v/>
      </c>
      <c r="Z341" s="20">
        <f>COUNTIFS(tData[SEHTrajectPeriodeDatumTijdVan],"&lt;="&amp;($A341+22/24),tData[SEHTrajectPeriodeDatumTijdTotEnMet],"&gt;"&amp;($A341+22/24))</f>
        <v/>
      </c>
      <c r="AA341" s="20">
        <f>COUNTIFS(tData[SEHTrajectPeriodeDatumTijdVan],"&lt;="&amp;($A341+23/24),tData[SEHTrajectPeriodeDatumTijdTotEnMet],"&gt;"&amp;($A341+23/24))</f>
        <v/>
      </c>
    </row>
    <row r="342">
      <c r="A342" s="19" t="n">
        <v>45630</v>
      </c>
      <c r="B342" s="15">
        <f>WEEKDAY($A342,2)</f>
        <v/>
      </c>
      <c r="C342" s="15">
        <f>IF(AND($A342&gt;=INT(Instellingen!$B$5),$A342&lt;=INT(Instellingen!$B$6)),1,0)</f>
        <v/>
      </c>
      <c r="D342" s="20">
        <f>COUNTIFS(tData[SEHTrajectPeriodeDatumTijdVan],"&lt;="&amp;($A342+0/24),tData[SEHTrajectPeriodeDatumTijdTotEnMet],"&gt;"&amp;($A342+0/24))</f>
        <v/>
      </c>
      <c r="E342" s="20">
        <f>COUNTIFS(tData[SEHTrajectPeriodeDatumTijdVan],"&lt;="&amp;($A342+1/24),tData[SEHTrajectPeriodeDatumTijdTotEnMet],"&gt;"&amp;($A342+1/24))</f>
        <v/>
      </c>
      <c r="F342" s="20">
        <f>COUNTIFS(tData[SEHTrajectPeriodeDatumTijdVan],"&lt;="&amp;($A342+2/24),tData[SEHTrajectPeriodeDatumTijdTotEnMet],"&gt;"&amp;($A342+2/24))</f>
        <v/>
      </c>
      <c r="G342" s="20">
        <f>COUNTIFS(tData[SEHTrajectPeriodeDatumTijdVan],"&lt;="&amp;($A342+3/24),tData[SEHTrajectPeriodeDatumTijdTotEnMet],"&gt;"&amp;($A342+3/24))</f>
        <v/>
      </c>
      <c r="H342" s="20">
        <f>COUNTIFS(tData[SEHTrajectPeriodeDatumTijdVan],"&lt;="&amp;($A342+4/24),tData[SEHTrajectPeriodeDatumTijdTotEnMet],"&gt;"&amp;($A342+4/24))</f>
        <v/>
      </c>
      <c r="I342" s="20">
        <f>COUNTIFS(tData[SEHTrajectPeriodeDatumTijdVan],"&lt;="&amp;($A342+5/24),tData[SEHTrajectPeriodeDatumTijdTotEnMet],"&gt;"&amp;($A342+5/24))</f>
        <v/>
      </c>
      <c r="J342" s="20">
        <f>COUNTIFS(tData[SEHTrajectPeriodeDatumTijdVan],"&lt;="&amp;($A342+6/24),tData[SEHTrajectPeriodeDatumTijdTotEnMet],"&gt;"&amp;($A342+6/24))</f>
        <v/>
      </c>
      <c r="K342" s="20">
        <f>COUNTIFS(tData[SEHTrajectPeriodeDatumTijdVan],"&lt;="&amp;($A342+7/24),tData[SEHTrajectPeriodeDatumTijdTotEnMet],"&gt;"&amp;($A342+7/24))</f>
        <v/>
      </c>
      <c r="L342" s="20">
        <f>COUNTIFS(tData[SEHTrajectPeriodeDatumTijdVan],"&lt;="&amp;($A342+8/24),tData[SEHTrajectPeriodeDatumTijdTotEnMet],"&gt;"&amp;($A342+8/24))</f>
        <v/>
      </c>
      <c r="M342" s="20">
        <f>COUNTIFS(tData[SEHTrajectPeriodeDatumTijdVan],"&lt;="&amp;($A342+9/24),tData[SEHTrajectPeriodeDatumTijdTotEnMet],"&gt;"&amp;($A342+9/24))</f>
        <v/>
      </c>
      <c r="N342" s="20">
        <f>COUNTIFS(tData[SEHTrajectPeriodeDatumTijdVan],"&lt;="&amp;($A342+10/24),tData[SEHTrajectPeriodeDatumTijdTotEnMet],"&gt;"&amp;($A342+10/24))</f>
        <v/>
      </c>
      <c r="O342" s="20">
        <f>COUNTIFS(tData[SEHTrajectPeriodeDatumTijdVan],"&lt;="&amp;($A342+11/24),tData[SEHTrajectPeriodeDatumTijdTotEnMet],"&gt;"&amp;($A342+11/24))</f>
        <v/>
      </c>
      <c r="P342" s="20">
        <f>COUNTIFS(tData[SEHTrajectPeriodeDatumTijdVan],"&lt;="&amp;($A342+12/24),tData[SEHTrajectPeriodeDatumTijdTotEnMet],"&gt;"&amp;($A342+12/24))</f>
        <v/>
      </c>
      <c r="Q342" s="20">
        <f>COUNTIFS(tData[SEHTrajectPeriodeDatumTijdVan],"&lt;="&amp;($A342+13/24),tData[SEHTrajectPeriodeDatumTijdTotEnMet],"&gt;"&amp;($A342+13/24))</f>
        <v/>
      </c>
      <c r="R342" s="20">
        <f>COUNTIFS(tData[SEHTrajectPeriodeDatumTijdVan],"&lt;="&amp;($A342+14/24),tData[SEHTrajectPeriodeDatumTijdTotEnMet],"&gt;"&amp;($A342+14/24))</f>
        <v/>
      </c>
      <c r="S342" s="20">
        <f>COUNTIFS(tData[SEHTrajectPeriodeDatumTijdVan],"&lt;="&amp;($A342+15/24),tData[SEHTrajectPeriodeDatumTijdTotEnMet],"&gt;"&amp;($A342+15/24))</f>
        <v/>
      </c>
      <c r="T342" s="20">
        <f>COUNTIFS(tData[SEHTrajectPeriodeDatumTijdVan],"&lt;="&amp;($A342+16/24),tData[SEHTrajectPeriodeDatumTijdTotEnMet],"&gt;"&amp;($A342+16/24))</f>
        <v/>
      </c>
      <c r="U342" s="20">
        <f>COUNTIFS(tData[SEHTrajectPeriodeDatumTijdVan],"&lt;="&amp;($A342+17/24),tData[SEHTrajectPeriodeDatumTijdTotEnMet],"&gt;"&amp;($A342+17/24))</f>
        <v/>
      </c>
      <c r="V342" s="20">
        <f>COUNTIFS(tData[SEHTrajectPeriodeDatumTijdVan],"&lt;="&amp;($A342+18/24),tData[SEHTrajectPeriodeDatumTijdTotEnMet],"&gt;"&amp;($A342+18/24))</f>
        <v/>
      </c>
      <c r="W342" s="20">
        <f>COUNTIFS(tData[SEHTrajectPeriodeDatumTijdVan],"&lt;="&amp;($A342+19/24),tData[SEHTrajectPeriodeDatumTijdTotEnMet],"&gt;"&amp;($A342+19/24))</f>
        <v/>
      </c>
      <c r="X342" s="20">
        <f>COUNTIFS(tData[SEHTrajectPeriodeDatumTijdVan],"&lt;="&amp;($A342+20/24),tData[SEHTrajectPeriodeDatumTijdTotEnMet],"&gt;"&amp;($A342+20/24))</f>
        <v/>
      </c>
      <c r="Y342" s="20">
        <f>COUNTIFS(tData[SEHTrajectPeriodeDatumTijdVan],"&lt;="&amp;($A342+21/24),tData[SEHTrajectPeriodeDatumTijdTotEnMet],"&gt;"&amp;($A342+21/24))</f>
        <v/>
      </c>
      <c r="Z342" s="20">
        <f>COUNTIFS(tData[SEHTrajectPeriodeDatumTijdVan],"&lt;="&amp;($A342+22/24),tData[SEHTrajectPeriodeDatumTijdTotEnMet],"&gt;"&amp;($A342+22/24))</f>
        <v/>
      </c>
      <c r="AA342" s="20">
        <f>COUNTIFS(tData[SEHTrajectPeriodeDatumTijdVan],"&lt;="&amp;($A342+23/24),tData[SEHTrajectPeriodeDatumTijdTotEnMet],"&gt;"&amp;($A342+23/24))</f>
        <v/>
      </c>
    </row>
    <row r="343">
      <c r="A343" s="19" t="n">
        <v>45631</v>
      </c>
      <c r="B343" s="15">
        <f>WEEKDAY($A343,2)</f>
        <v/>
      </c>
      <c r="C343" s="15">
        <f>IF(AND($A343&gt;=INT(Instellingen!$B$5),$A343&lt;=INT(Instellingen!$B$6)),1,0)</f>
        <v/>
      </c>
      <c r="D343" s="20">
        <f>COUNTIFS(tData[SEHTrajectPeriodeDatumTijdVan],"&lt;="&amp;($A343+0/24),tData[SEHTrajectPeriodeDatumTijdTotEnMet],"&gt;"&amp;($A343+0/24))</f>
        <v/>
      </c>
      <c r="E343" s="20">
        <f>COUNTIFS(tData[SEHTrajectPeriodeDatumTijdVan],"&lt;="&amp;($A343+1/24),tData[SEHTrajectPeriodeDatumTijdTotEnMet],"&gt;"&amp;($A343+1/24))</f>
        <v/>
      </c>
      <c r="F343" s="20">
        <f>COUNTIFS(tData[SEHTrajectPeriodeDatumTijdVan],"&lt;="&amp;($A343+2/24),tData[SEHTrajectPeriodeDatumTijdTotEnMet],"&gt;"&amp;($A343+2/24))</f>
        <v/>
      </c>
      <c r="G343" s="20">
        <f>COUNTIFS(tData[SEHTrajectPeriodeDatumTijdVan],"&lt;="&amp;($A343+3/24),tData[SEHTrajectPeriodeDatumTijdTotEnMet],"&gt;"&amp;($A343+3/24))</f>
        <v/>
      </c>
      <c r="H343" s="20">
        <f>COUNTIFS(tData[SEHTrajectPeriodeDatumTijdVan],"&lt;="&amp;($A343+4/24),tData[SEHTrajectPeriodeDatumTijdTotEnMet],"&gt;"&amp;($A343+4/24))</f>
        <v/>
      </c>
      <c r="I343" s="20">
        <f>COUNTIFS(tData[SEHTrajectPeriodeDatumTijdVan],"&lt;="&amp;($A343+5/24),tData[SEHTrajectPeriodeDatumTijdTotEnMet],"&gt;"&amp;($A343+5/24))</f>
        <v/>
      </c>
      <c r="J343" s="20">
        <f>COUNTIFS(tData[SEHTrajectPeriodeDatumTijdVan],"&lt;="&amp;($A343+6/24),tData[SEHTrajectPeriodeDatumTijdTotEnMet],"&gt;"&amp;($A343+6/24))</f>
        <v/>
      </c>
      <c r="K343" s="20">
        <f>COUNTIFS(tData[SEHTrajectPeriodeDatumTijdVan],"&lt;="&amp;($A343+7/24),tData[SEHTrajectPeriodeDatumTijdTotEnMet],"&gt;"&amp;($A343+7/24))</f>
        <v/>
      </c>
      <c r="L343" s="20">
        <f>COUNTIFS(tData[SEHTrajectPeriodeDatumTijdVan],"&lt;="&amp;($A343+8/24),tData[SEHTrajectPeriodeDatumTijdTotEnMet],"&gt;"&amp;($A343+8/24))</f>
        <v/>
      </c>
      <c r="M343" s="20">
        <f>COUNTIFS(tData[SEHTrajectPeriodeDatumTijdVan],"&lt;="&amp;($A343+9/24),tData[SEHTrajectPeriodeDatumTijdTotEnMet],"&gt;"&amp;($A343+9/24))</f>
        <v/>
      </c>
      <c r="N343" s="20">
        <f>COUNTIFS(tData[SEHTrajectPeriodeDatumTijdVan],"&lt;="&amp;($A343+10/24),tData[SEHTrajectPeriodeDatumTijdTotEnMet],"&gt;"&amp;($A343+10/24))</f>
        <v/>
      </c>
      <c r="O343" s="20">
        <f>COUNTIFS(tData[SEHTrajectPeriodeDatumTijdVan],"&lt;="&amp;($A343+11/24),tData[SEHTrajectPeriodeDatumTijdTotEnMet],"&gt;"&amp;($A343+11/24))</f>
        <v/>
      </c>
      <c r="P343" s="20">
        <f>COUNTIFS(tData[SEHTrajectPeriodeDatumTijdVan],"&lt;="&amp;($A343+12/24),tData[SEHTrajectPeriodeDatumTijdTotEnMet],"&gt;"&amp;($A343+12/24))</f>
        <v/>
      </c>
      <c r="Q343" s="20">
        <f>COUNTIFS(tData[SEHTrajectPeriodeDatumTijdVan],"&lt;="&amp;($A343+13/24),tData[SEHTrajectPeriodeDatumTijdTotEnMet],"&gt;"&amp;($A343+13/24))</f>
        <v/>
      </c>
      <c r="R343" s="20">
        <f>COUNTIFS(tData[SEHTrajectPeriodeDatumTijdVan],"&lt;="&amp;($A343+14/24),tData[SEHTrajectPeriodeDatumTijdTotEnMet],"&gt;"&amp;($A343+14/24))</f>
        <v/>
      </c>
      <c r="S343" s="20">
        <f>COUNTIFS(tData[SEHTrajectPeriodeDatumTijdVan],"&lt;="&amp;($A343+15/24),tData[SEHTrajectPeriodeDatumTijdTotEnMet],"&gt;"&amp;($A343+15/24))</f>
        <v/>
      </c>
      <c r="T343" s="20">
        <f>COUNTIFS(tData[SEHTrajectPeriodeDatumTijdVan],"&lt;="&amp;($A343+16/24),tData[SEHTrajectPeriodeDatumTijdTotEnMet],"&gt;"&amp;($A343+16/24))</f>
        <v/>
      </c>
      <c r="U343" s="20">
        <f>COUNTIFS(tData[SEHTrajectPeriodeDatumTijdVan],"&lt;="&amp;($A343+17/24),tData[SEHTrajectPeriodeDatumTijdTotEnMet],"&gt;"&amp;($A343+17/24))</f>
        <v/>
      </c>
      <c r="V343" s="20">
        <f>COUNTIFS(tData[SEHTrajectPeriodeDatumTijdVan],"&lt;="&amp;($A343+18/24),tData[SEHTrajectPeriodeDatumTijdTotEnMet],"&gt;"&amp;($A343+18/24))</f>
        <v/>
      </c>
      <c r="W343" s="20">
        <f>COUNTIFS(tData[SEHTrajectPeriodeDatumTijdVan],"&lt;="&amp;($A343+19/24),tData[SEHTrajectPeriodeDatumTijdTotEnMet],"&gt;"&amp;($A343+19/24))</f>
        <v/>
      </c>
      <c r="X343" s="20">
        <f>COUNTIFS(tData[SEHTrajectPeriodeDatumTijdVan],"&lt;="&amp;($A343+20/24),tData[SEHTrajectPeriodeDatumTijdTotEnMet],"&gt;"&amp;($A343+20/24))</f>
        <v/>
      </c>
      <c r="Y343" s="20">
        <f>COUNTIFS(tData[SEHTrajectPeriodeDatumTijdVan],"&lt;="&amp;($A343+21/24),tData[SEHTrajectPeriodeDatumTijdTotEnMet],"&gt;"&amp;($A343+21/24))</f>
        <v/>
      </c>
      <c r="Z343" s="20">
        <f>COUNTIFS(tData[SEHTrajectPeriodeDatumTijdVan],"&lt;="&amp;($A343+22/24),tData[SEHTrajectPeriodeDatumTijdTotEnMet],"&gt;"&amp;($A343+22/24))</f>
        <v/>
      </c>
      <c r="AA343" s="20">
        <f>COUNTIFS(tData[SEHTrajectPeriodeDatumTijdVan],"&lt;="&amp;($A343+23/24),tData[SEHTrajectPeriodeDatumTijdTotEnMet],"&gt;"&amp;($A343+23/24))</f>
        <v/>
      </c>
    </row>
    <row r="344">
      <c r="A344" s="19" t="n">
        <v>45632</v>
      </c>
      <c r="B344" s="15">
        <f>WEEKDAY($A344,2)</f>
        <v/>
      </c>
      <c r="C344" s="15">
        <f>IF(AND($A344&gt;=INT(Instellingen!$B$5),$A344&lt;=INT(Instellingen!$B$6)),1,0)</f>
        <v/>
      </c>
      <c r="D344" s="20">
        <f>COUNTIFS(tData[SEHTrajectPeriodeDatumTijdVan],"&lt;="&amp;($A344+0/24),tData[SEHTrajectPeriodeDatumTijdTotEnMet],"&gt;"&amp;($A344+0/24))</f>
        <v/>
      </c>
      <c r="E344" s="20">
        <f>COUNTIFS(tData[SEHTrajectPeriodeDatumTijdVan],"&lt;="&amp;($A344+1/24),tData[SEHTrajectPeriodeDatumTijdTotEnMet],"&gt;"&amp;($A344+1/24))</f>
        <v/>
      </c>
      <c r="F344" s="20">
        <f>COUNTIFS(tData[SEHTrajectPeriodeDatumTijdVan],"&lt;="&amp;($A344+2/24),tData[SEHTrajectPeriodeDatumTijdTotEnMet],"&gt;"&amp;($A344+2/24))</f>
        <v/>
      </c>
      <c r="G344" s="20">
        <f>COUNTIFS(tData[SEHTrajectPeriodeDatumTijdVan],"&lt;="&amp;($A344+3/24),tData[SEHTrajectPeriodeDatumTijdTotEnMet],"&gt;"&amp;($A344+3/24))</f>
        <v/>
      </c>
      <c r="H344" s="20">
        <f>COUNTIFS(tData[SEHTrajectPeriodeDatumTijdVan],"&lt;="&amp;($A344+4/24),tData[SEHTrajectPeriodeDatumTijdTotEnMet],"&gt;"&amp;($A344+4/24))</f>
        <v/>
      </c>
      <c r="I344" s="20">
        <f>COUNTIFS(tData[SEHTrajectPeriodeDatumTijdVan],"&lt;="&amp;($A344+5/24),tData[SEHTrajectPeriodeDatumTijdTotEnMet],"&gt;"&amp;($A344+5/24))</f>
        <v/>
      </c>
      <c r="J344" s="20">
        <f>COUNTIFS(tData[SEHTrajectPeriodeDatumTijdVan],"&lt;="&amp;($A344+6/24),tData[SEHTrajectPeriodeDatumTijdTotEnMet],"&gt;"&amp;($A344+6/24))</f>
        <v/>
      </c>
      <c r="K344" s="20">
        <f>COUNTIFS(tData[SEHTrajectPeriodeDatumTijdVan],"&lt;="&amp;($A344+7/24),tData[SEHTrajectPeriodeDatumTijdTotEnMet],"&gt;"&amp;($A344+7/24))</f>
        <v/>
      </c>
      <c r="L344" s="20">
        <f>COUNTIFS(tData[SEHTrajectPeriodeDatumTijdVan],"&lt;="&amp;($A344+8/24),tData[SEHTrajectPeriodeDatumTijdTotEnMet],"&gt;"&amp;($A344+8/24))</f>
        <v/>
      </c>
      <c r="M344" s="20">
        <f>COUNTIFS(tData[SEHTrajectPeriodeDatumTijdVan],"&lt;="&amp;($A344+9/24),tData[SEHTrajectPeriodeDatumTijdTotEnMet],"&gt;"&amp;($A344+9/24))</f>
        <v/>
      </c>
      <c r="N344" s="20">
        <f>COUNTIFS(tData[SEHTrajectPeriodeDatumTijdVan],"&lt;="&amp;($A344+10/24),tData[SEHTrajectPeriodeDatumTijdTotEnMet],"&gt;"&amp;($A344+10/24))</f>
        <v/>
      </c>
      <c r="O344" s="20">
        <f>COUNTIFS(tData[SEHTrajectPeriodeDatumTijdVan],"&lt;="&amp;($A344+11/24),tData[SEHTrajectPeriodeDatumTijdTotEnMet],"&gt;"&amp;($A344+11/24))</f>
        <v/>
      </c>
      <c r="P344" s="20">
        <f>COUNTIFS(tData[SEHTrajectPeriodeDatumTijdVan],"&lt;="&amp;($A344+12/24),tData[SEHTrajectPeriodeDatumTijdTotEnMet],"&gt;"&amp;($A344+12/24))</f>
        <v/>
      </c>
      <c r="Q344" s="20">
        <f>COUNTIFS(tData[SEHTrajectPeriodeDatumTijdVan],"&lt;="&amp;($A344+13/24),tData[SEHTrajectPeriodeDatumTijdTotEnMet],"&gt;"&amp;($A344+13/24))</f>
        <v/>
      </c>
      <c r="R344" s="20">
        <f>COUNTIFS(tData[SEHTrajectPeriodeDatumTijdVan],"&lt;="&amp;($A344+14/24),tData[SEHTrajectPeriodeDatumTijdTotEnMet],"&gt;"&amp;($A344+14/24))</f>
        <v/>
      </c>
      <c r="S344" s="20">
        <f>COUNTIFS(tData[SEHTrajectPeriodeDatumTijdVan],"&lt;="&amp;($A344+15/24),tData[SEHTrajectPeriodeDatumTijdTotEnMet],"&gt;"&amp;($A344+15/24))</f>
        <v/>
      </c>
      <c r="T344" s="20">
        <f>COUNTIFS(tData[SEHTrajectPeriodeDatumTijdVan],"&lt;="&amp;($A344+16/24),tData[SEHTrajectPeriodeDatumTijdTotEnMet],"&gt;"&amp;($A344+16/24))</f>
        <v/>
      </c>
      <c r="U344" s="20">
        <f>COUNTIFS(tData[SEHTrajectPeriodeDatumTijdVan],"&lt;="&amp;($A344+17/24),tData[SEHTrajectPeriodeDatumTijdTotEnMet],"&gt;"&amp;($A344+17/24))</f>
        <v/>
      </c>
      <c r="V344" s="20">
        <f>COUNTIFS(tData[SEHTrajectPeriodeDatumTijdVan],"&lt;="&amp;($A344+18/24),tData[SEHTrajectPeriodeDatumTijdTotEnMet],"&gt;"&amp;($A344+18/24))</f>
        <v/>
      </c>
      <c r="W344" s="20">
        <f>COUNTIFS(tData[SEHTrajectPeriodeDatumTijdVan],"&lt;="&amp;($A344+19/24),tData[SEHTrajectPeriodeDatumTijdTotEnMet],"&gt;"&amp;($A344+19/24))</f>
        <v/>
      </c>
      <c r="X344" s="20">
        <f>COUNTIFS(tData[SEHTrajectPeriodeDatumTijdVan],"&lt;="&amp;($A344+20/24),tData[SEHTrajectPeriodeDatumTijdTotEnMet],"&gt;"&amp;($A344+20/24))</f>
        <v/>
      </c>
      <c r="Y344" s="20">
        <f>COUNTIFS(tData[SEHTrajectPeriodeDatumTijdVan],"&lt;="&amp;($A344+21/24),tData[SEHTrajectPeriodeDatumTijdTotEnMet],"&gt;"&amp;($A344+21/24))</f>
        <v/>
      </c>
      <c r="Z344" s="20">
        <f>COUNTIFS(tData[SEHTrajectPeriodeDatumTijdVan],"&lt;="&amp;($A344+22/24),tData[SEHTrajectPeriodeDatumTijdTotEnMet],"&gt;"&amp;($A344+22/24))</f>
        <v/>
      </c>
      <c r="AA344" s="20">
        <f>COUNTIFS(tData[SEHTrajectPeriodeDatumTijdVan],"&lt;="&amp;($A344+23/24),tData[SEHTrajectPeriodeDatumTijdTotEnMet],"&gt;"&amp;($A344+23/24))</f>
        <v/>
      </c>
    </row>
    <row r="345">
      <c r="A345" s="19" t="n">
        <v>45633</v>
      </c>
      <c r="B345" s="15">
        <f>WEEKDAY($A345,2)</f>
        <v/>
      </c>
      <c r="C345" s="15">
        <f>IF(AND($A345&gt;=INT(Instellingen!$B$5),$A345&lt;=INT(Instellingen!$B$6)),1,0)</f>
        <v/>
      </c>
      <c r="D345" s="20">
        <f>COUNTIFS(tData[SEHTrajectPeriodeDatumTijdVan],"&lt;="&amp;($A345+0/24),tData[SEHTrajectPeriodeDatumTijdTotEnMet],"&gt;"&amp;($A345+0/24))</f>
        <v/>
      </c>
      <c r="E345" s="20">
        <f>COUNTIFS(tData[SEHTrajectPeriodeDatumTijdVan],"&lt;="&amp;($A345+1/24),tData[SEHTrajectPeriodeDatumTijdTotEnMet],"&gt;"&amp;($A345+1/24))</f>
        <v/>
      </c>
      <c r="F345" s="20">
        <f>COUNTIFS(tData[SEHTrajectPeriodeDatumTijdVan],"&lt;="&amp;($A345+2/24),tData[SEHTrajectPeriodeDatumTijdTotEnMet],"&gt;"&amp;($A345+2/24))</f>
        <v/>
      </c>
      <c r="G345" s="20">
        <f>COUNTIFS(tData[SEHTrajectPeriodeDatumTijdVan],"&lt;="&amp;($A345+3/24),tData[SEHTrajectPeriodeDatumTijdTotEnMet],"&gt;"&amp;($A345+3/24))</f>
        <v/>
      </c>
      <c r="H345" s="20">
        <f>COUNTIFS(tData[SEHTrajectPeriodeDatumTijdVan],"&lt;="&amp;($A345+4/24),tData[SEHTrajectPeriodeDatumTijdTotEnMet],"&gt;"&amp;($A345+4/24))</f>
        <v/>
      </c>
      <c r="I345" s="20">
        <f>COUNTIFS(tData[SEHTrajectPeriodeDatumTijdVan],"&lt;="&amp;($A345+5/24),tData[SEHTrajectPeriodeDatumTijdTotEnMet],"&gt;"&amp;($A345+5/24))</f>
        <v/>
      </c>
      <c r="J345" s="20">
        <f>COUNTIFS(tData[SEHTrajectPeriodeDatumTijdVan],"&lt;="&amp;($A345+6/24),tData[SEHTrajectPeriodeDatumTijdTotEnMet],"&gt;"&amp;($A345+6/24))</f>
        <v/>
      </c>
      <c r="K345" s="20">
        <f>COUNTIFS(tData[SEHTrajectPeriodeDatumTijdVan],"&lt;="&amp;($A345+7/24),tData[SEHTrajectPeriodeDatumTijdTotEnMet],"&gt;"&amp;($A345+7/24))</f>
        <v/>
      </c>
      <c r="L345" s="20">
        <f>COUNTIFS(tData[SEHTrajectPeriodeDatumTijdVan],"&lt;="&amp;($A345+8/24),tData[SEHTrajectPeriodeDatumTijdTotEnMet],"&gt;"&amp;($A345+8/24))</f>
        <v/>
      </c>
      <c r="M345" s="20">
        <f>COUNTIFS(tData[SEHTrajectPeriodeDatumTijdVan],"&lt;="&amp;($A345+9/24),tData[SEHTrajectPeriodeDatumTijdTotEnMet],"&gt;"&amp;($A345+9/24))</f>
        <v/>
      </c>
      <c r="N345" s="20">
        <f>COUNTIFS(tData[SEHTrajectPeriodeDatumTijdVan],"&lt;="&amp;($A345+10/24),tData[SEHTrajectPeriodeDatumTijdTotEnMet],"&gt;"&amp;($A345+10/24))</f>
        <v/>
      </c>
      <c r="O345" s="20">
        <f>COUNTIFS(tData[SEHTrajectPeriodeDatumTijdVan],"&lt;="&amp;($A345+11/24),tData[SEHTrajectPeriodeDatumTijdTotEnMet],"&gt;"&amp;($A345+11/24))</f>
        <v/>
      </c>
      <c r="P345" s="20">
        <f>COUNTIFS(tData[SEHTrajectPeriodeDatumTijdVan],"&lt;="&amp;($A345+12/24),tData[SEHTrajectPeriodeDatumTijdTotEnMet],"&gt;"&amp;($A345+12/24))</f>
        <v/>
      </c>
      <c r="Q345" s="20">
        <f>COUNTIFS(tData[SEHTrajectPeriodeDatumTijdVan],"&lt;="&amp;($A345+13/24),tData[SEHTrajectPeriodeDatumTijdTotEnMet],"&gt;"&amp;($A345+13/24))</f>
        <v/>
      </c>
      <c r="R345" s="20">
        <f>COUNTIFS(tData[SEHTrajectPeriodeDatumTijdVan],"&lt;="&amp;($A345+14/24),tData[SEHTrajectPeriodeDatumTijdTotEnMet],"&gt;"&amp;($A345+14/24))</f>
        <v/>
      </c>
      <c r="S345" s="20">
        <f>COUNTIFS(tData[SEHTrajectPeriodeDatumTijdVan],"&lt;="&amp;($A345+15/24),tData[SEHTrajectPeriodeDatumTijdTotEnMet],"&gt;"&amp;($A345+15/24))</f>
        <v/>
      </c>
      <c r="T345" s="20">
        <f>COUNTIFS(tData[SEHTrajectPeriodeDatumTijdVan],"&lt;="&amp;($A345+16/24),tData[SEHTrajectPeriodeDatumTijdTotEnMet],"&gt;"&amp;($A345+16/24))</f>
        <v/>
      </c>
      <c r="U345" s="20">
        <f>COUNTIFS(tData[SEHTrajectPeriodeDatumTijdVan],"&lt;="&amp;($A345+17/24),tData[SEHTrajectPeriodeDatumTijdTotEnMet],"&gt;"&amp;($A345+17/24))</f>
        <v/>
      </c>
      <c r="V345" s="20">
        <f>COUNTIFS(tData[SEHTrajectPeriodeDatumTijdVan],"&lt;="&amp;($A345+18/24),tData[SEHTrajectPeriodeDatumTijdTotEnMet],"&gt;"&amp;($A345+18/24))</f>
        <v/>
      </c>
      <c r="W345" s="20">
        <f>COUNTIFS(tData[SEHTrajectPeriodeDatumTijdVan],"&lt;="&amp;($A345+19/24),tData[SEHTrajectPeriodeDatumTijdTotEnMet],"&gt;"&amp;($A345+19/24))</f>
        <v/>
      </c>
      <c r="X345" s="20">
        <f>COUNTIFS(tData[SEHTrajectPeriodeDatumTijdVan],"&lt;="&amp;($A345+20/24),tData[SEHTrajectPeriodeDatumTijdTotEnMet],"&gt;"&amp;($A345+20/24))</f>
        <v/>
      </c>
      <c r="Y345" s="20">
        <f>COUNTIFS(tData[SEHTrajectPeriodeDatumTijdVan],"&lt;="&amp;($A345+21/24),tData[SEHTrajectPeriodeDatumTijdTotEnMet],"&gt;"&amp;($A345+21/24))</f>
        <v/>
      </c>
      <c r="Z345" s="20">
        <f>COUNTIFS(tData[SEHTrajectPeriodeDatumTijdVan],"&lt;="&amp;($A345+22/24),tData[SEHTrajectPeriodeDatumTijdTotEnMet],"&gt;"&amp;($A345+22/24))</f>
        <v/>
      </c>
      <c r="AA345" s="20">
        <f>COUNTIFS(tData[SEHTrajectPeriodeDatumTijdVan],"&lt;="&amp;($A345+23/24),tData[SEHTrajectPeriodeDatumTijdTotEnMet],"&gt;"&amp;($A345+23/24))</f>
        <v/>
      </c>
    </row>
    <row r="346">
      <c r="A346" s="19" t="n">
        <v>45634</v>
      </c>
      <c r="B346" s="15">
        <f>WEEKDAY($A346,2)</f>
        <v/>
      </c>
      <c r="C346" s="15">
        <f>IF(AND($A346&gt;=INT(Instellingen!$B$5),$A346&lt;=INT(Instellingen!$B$6)),1,0)</f>
        <v/>
      </c>
      <c r="D346" s="20">
        <f>COUNTIFS(tData[SEHTrajectPeriodeDatumTijdVan],"&lt;="&amp;($A346+0/24),tData[SEHTrajectPeriodeDatumTijdTotEnMet],"&gt;"&amp;($A346+0/24))</f>
        <v/>
      </c>
      <c r="E346" s="20">
        <f>COUNTIFS(tData[SEHTrajectPeriodeDatumTijdVan],"&lt;="&amp;($A346+1/24),tData[SEHTrajectPeriodeDatumTijdTotEnMet],"&gt;"&amp;($A346+1/24))</f>
        <v/>
      </c>
      <c r="F346" s="20">
        <f>COUNTIFS(tData[SEHTrajectPeriodeDatumTijdVan],"&lt;="&amp;($A346+2/24),tData[SEHTrajectPeriodeDatumTijdTotEnMet],"&gt;"&amp;($A346+2/24))</f>
        <v/>
      </c>
      <c r="G346" s="20">
        <f>COUNTIFS(tData[SEHTrajectPeriodeDatumTijdVan],"&lt;="&amp;($A346+3/24),tData[SEHTrajectPeriodeDatumTijdTotEnMet],"&gt;"&amp;($A346+3/24))</f>
        <v/>
      </c>
      <c r="H346" s="20">
        <f>COUNTIFS(tData[SEHTrajectPeriodeDatumTijdVan],"&lt;="&amp;($A346+4/24),tData[SEHTrajectPeriodeDatumTijdTotEnMet],"&gt;"&amp;($A346+4/24))</f>
        <v/>
      </c>
      <c r="I346" s="20">
        <f>COUNTIFS(tData[SEHTrajectPeriodeDatumTijdVan],"&lt;="&amp;($A346+5/24),tData[SEHTrajectPeriodeDatumTijdTotEnMet],"&gt;"&amp;($A346+5/24))</f>
        <v/>
      </c>
      <c r="J346" s="20">
        <f>COUNTIFS(tData[SEHTrajectPeriodeDatumTijdVan],"&lt;="&amp;($A346+6/24),tData[SEHTrajectPeriodeDatumTijdTotEnMet],"&gt;"&amp;($A346+6/24))</f>
        <v/>
      </c>
      <c r="K346" s="20">
        <f>COUNTIFS(tData[SEHTrajectPeriodeDatumTijdVan],"&lt;="&amp;($A346+7/24),tData[SEHTrajectPeriodeDatumTijdTotEnMet],"&gt;"&amp;($A346+7/24))</f>
        <v/>
      </c>
      <c r="L346" s="20">
        <f>COUNTIFS(tData[SEHTrajectPeriodeDatumTijdVan],"&lt;="&amp;($A346+8/24),tData[SEHTrajectPeriodeDatumTijdTotEnMet],"&gt;"&amp;($A346+8/24))</f>
        <v/>
      </c>
      <c r="M346" s="20">
        <f>COUNTIFS(tData[SEHTrajectPeriodeDatumTijdVan],"&lt;="&amp;($A346+9/24),tData[SEHTrajectPeriodeDatumTijdTotEnMet],"&gt;"&amp;($A346+9/24))</f>
        <v/>
      </c>
      <c r="N346" s="20">
        <f>COUNTIFS(tData[SEHTrajectPeriodeDatumTijdVan],"&lt;="&amp;($A346+10/24),tData[SEHTrajectPeriodeDatumTijdTotEnMet],"&gt;"&amp;($A346+10/24))</f>
        <v/>
      </c>
      <c r="O346" s="20">
        <f>COUNTIFS(tData[SEHTrajectPeriodeDatumTijdVan],"&lt;="&amp;($A346+11/24),tData[SEHTrajectPeriodeDatumTijdTotEnMet],"&gt;"&amp;($A346+11/24))</f>
        <v/>
      </c>
      <c r="P346" s="20">
        <f>COUNTIFS(tData[SEHTrajectPeriodeDatumTijdVan],"&lt;="&amp;($A346+12/24),tData[SEHTrajectPeriodeDatumTijdTotEnMet],"&gt;"&amp;($A346+12/24))</f>
        <v/>
      </c>
      <c r="Q346" s="20">
        <f>COUNTIFS(tData[SEHTrajectPeriodeDatumTijdVan],"&lt;="&amp;($A346+13/24),tData[SEHTrajectPeriodeDatumTijdTotEnMet],"&gt;"&amp;($A346+13/24))</f>
        <v/>
      </c>
      <c r="R346" s="20">
        <f>COUNTIFS(tData[SEHTrajectPeriodeDatumTijdVan],"&lt;="&amp;($A346+14/24),tData[SEHTrajectPeriodeDatumTijdTotEnMet],"&gt;"&amp;($A346+14/24))</f>
        <v/>
      </c>
      <c r="S346" s="20">
        <f>COUNTIFS(tData[SEHTrajectPeriodeDatumTijdVan],"&lt;="&amp;($A346+15/24),tData[SEHTrajectPeriodeDatumTijdTotEnMet],"&gt;"&amp;($A346+15/24))</f>
        <v/>
      </c>
      <c r="T346" s="20">
        <f>COUNTIFS(tData[SEHTrajectPeriodeDatumTijdVan],"&lt;="&amp;($A346+16/24),tData[SEHTrajectPeriodeDatumTijdTotEnMet],"&gt;"&amp;($A346+16/24))</f>
        <v/>
      </c>
      <c r="U346" s="20">
        <f>COUNTIFS(tData[SEHTrajectPeriodeDatumTijdVan],"&lt;="&amp;($A346+17/24),tData[SEHTrajectPeriodeDatumTijdTotEnMet],"&gt;"&amp;($A346+17/24))</f>
        <v/>
      </c>
      <c r="V346" s="20">
        <f>COUNTIFS(tData[SEHTrajectPeriodeDatumTijdVan],"&lt;="&amp;($A346+18/24),tData[SEHTrajectPeriodeDatumTijdTotEnMet],"&gt;"&amp;($A346+18/24))</f>
        <v/>
      </c>
      <c r="W346" s="20">
        <f>COUNTIFS(tData[SEHTrajectPeriodeDatumTijdVan],"&lt;="&amp;($A346+19/24),tData[SEHTrajectPeriodeDatumTijdTotEnMet],"&gt;"&amp;($A346+19/24))</f>
        <v/>
      </c>
      <c r="X346" s="20">
        <f>COUNTIFS(tData[SEHTrajectPeriodeDatumTijdVan],"&lt;="&amp;($A346+20/24),tData[SEHTrajectPeriodeDatumTijdTotEnMet],"&gt;"&amp;($A346+20/24))</f>
        <v/>
      </c>
      <c r="Y346" s="20">
        <f>COUNTIFS(tData[SEHTrajectPeriodeDatumTijdVan],"&lt;="&amp;($A346+21/24),tData[SEHTrajectPeriodeDatumTijdTotEnMet],"&gt;"&amp;($A346+21/24))</f>
        <v/>
      </c>
      <c r="Z346" s="20">
        <f>COUNTIFS(tData[SEHTrajectPeriodeDatumTijdVan],"&lt;="&amp;($A346+22/24),tData[SEHTrajectPeriodeDatumTijdTotEnMet],"&gt;"&amp;($A346+22/24))</f>
        <v/>
      </c>
      <c r="AA346" s="20">
        <f>COUNTIFS(tData[SEHTrajectPeriodeDatumTijdVan],"&lt;="&amp;($A346+23/24),tData[SEHTrajectPeriodeDatumTijdTotEnMet],"&gt;"&amp;($A346+23/24))</f>
        <v/>
      </c>
    </row>
    <row r="347">
      <c r="A347" s="19" t="n">
        <v>45635</v>
      </c>
      <c r="B347" s="15">
        <f>WEEKDAY($A347,2)</f>
        <v/>
      </c>
      <c r="C347" s="15">
        <f>IF(AND($A347&gt;=INT(Instellingen!$B$5),$A347&lt;=INT(Instellingen!$B$6)),1,0)</f>
        <v/>
      </c>
      <c r="D347" s="20">
        <f>COUNTIFS(tData[SEHTrajectPeriodeDatumTijdVan],"&lt;="&amp;($A347+0/24),tData[SEHTrajectPeriodeDatumTijdTotEnMet],"&gt;"&amp;($A347+0/24))</f>
        <v/>
      </c>
      <c r="E347" s="20">
        <f>COUNTIFS(tData[SEHTrajectPeriodeDatumTijdVan],"&lt;="&amp;($A347+1/24),tData[SEHTrajectPeriodeDatumTijdTotEnMet],"&gt;"&amp;($A347+1/24))</f>
        <v/>
      </c>
      <c r="F347" s="20">
        <f>COUNTIFS(tData[SEHTrajectPeriodeDatumTijdVan],"&lt;="&amp;($A347+2/24),tData[SEHTrajectPeriodeDatumTijdTotEnMet],"&gt;"&amp;($A347+2/24))</f>
        <v/>
      </c>
      <c r="G347" s="20">
        <f>COUNTIFS(tData[SEHTrajectPeriodeDatumTijdVan],"&lt;="&amp;($A347+3/24),tData[SEHTrajectPeriodeDatumTijdTotEnMet],"&gt;"&amp;($A347+3/24))</f>
        <v/>
      </c>
      <c r="H347" s="20">
        <f>COUNTIFS(tData[SEHTrajectPeriodeDatumTijdVan],"&lt;="&amp;($A347+4/24),tData[SEHTrajectPeriodeDatumTijdTotEnMet],"&gt;"&amp;($A347+4/24))</f>
        <v/>
      </c>
      <c r="I347" s="20">
        <f>COUNTIFS(tData[SEHTrajectPeriodeDatumTijdVan],"&lt;="&amp;($A347+5/24),tData[SEHTrajectPeriodeDatumTijdTotEnMet],"&gt;"&amp;($A347+5/24))</f>
        <v/>
      </c>
      <c r="J347" s="20">
        <f>COUNTIFS(tData[SEHTrajectPeriodeDatumTijdVan],"&lt;="&amp;($A347+6/24),tData[SEHTrajectPeriodeDatumTijdTotEnMet],"&gt;"&amp;($A347+6/24))</f>
        <v/>
      </c>
      <c r="K347" s="20">
        <f>COUNTIFS(tData[SEHTrajectPeriodeDatumTijdVan],"&lt;="&amp;($A347+7/24),tData[SEHTrajectPeriodeDatumTijdTotEnMet],"&gt;"&amp;($A347+7/24))</f>
        <v/>
      </c>
      <c r="L347" s="20">
        <f>COUNTIFS(tData[SEHTrajectPeriodeDatumTijdVan],"&lt;="&amp;($A347+8/24),tData[SEHTrajectPeriodeDatumTijdTotEnMet],"&gt;"&amp;($A347+8/24))</f>
        <v/>
      </c>
      <c r="M347" s="20">
        <f>COUNTIFS(tData[SEHTrajectPeriodeDatumTijdVan],"&lt;="&amp;($A347+9/24),tData[SEHTrajectPeriodeDatumTijdTotEnMet],"&gt;"&amp;($A347+9/24))</f>
        <v/>
      </c>
      <c r="N347" s="20">
        <f>COUNTIFS(tData[SEHTrajectPeriodeDatumTijdVan],"&lt;="&amp;($A347+10/24),tData[SEHTrajectPeriodeDatumTijdTotEnMet],"&gt;"&amp;($A347+10/24))</f>
        <v/>
      </c>
      <c r="O347" s="20">
        <f>COUNTIFS(tData[SEHTrajectPeriodeDatumTijdVan],"&lt;="&amp;($A347+11/24),tData[SEHTrajectPeriodeDatumTijdTotEnMet],"&gt;"&amp;($A347+11/24))</f>
        <v/>
      </c>
      <c r="P347" s="20">
        <f>COUNTIFS(tData[SEHTrajectPeriodeDatumTijdVan],"&lt;="&amp;($A347+12/24),tData[SEHTrajectPeriodeDatumTijdTotEnMet],"&gt;"&amp;($A347+12/24))</f>
        <v/>
      </c>
      <c r="Q347" s="20">
        <f>COUNTIFS(tData[SEHTrajectPeriodeDatumTijdVan],"&lt;="&amp;($A347+13/24),tData[SEHTrajectPeriodeDatumTijdTotEnMet],"&gt;"&amp;($A347+13/24))</f>
        <v/>
      </c>
      <c r="R347" s="20">
        <f>COUNTIFS(tData[SEHTrajectPeriodeDatumTijdVan],"&lt;="&amp;($A347+14/24),tData[SEHTrajectPeriodeDatumTijdTotEnMet],"&gt;"&amp;($A347+14/24))</f>
        <v/>
      </c>
      <c r="S347" s="20">
        <f>COUNTIFS(tData[SEHTrajectPeriodeDatumTijdVan],"&lt;="&amp;($A347+15/24),tData[SEHTrajectPeriodeDatumTijdTotEnMet],"&gt;"&amp;($A347+15/24))</f>
        <v/>
      </c>
      <c r="T347" s="20">
        <f>COUNTIFS(tData[SEHTrajectPeriodeDatumTijdVan],"&lt;="&amp;($A347+16/24),tData[SEHTrajectPeriodeDatumTijdTotEnMet],"&gt;"&amp;($A347+16/24))</f>
        <v/>
      </c>
      <c r="U347" s="20">
        <f>COUNTIFS(tData[SEHTrajectPeriodeDatumTijdVan],"&lt;="&amp;($A347+17/24),tData[SEHTrajectPeriodeDatumTijdTotEnMet],"&gt;"&amp;($A347+17/24))</f>
        <v/>
      </c>
      <c r="V347" s="20">
        <f>COUNTIFS(tData[SEHTrajectPeriodeDatumTijdVan],"&lt;="&amp;($A347+18/24),tData[SEHTrajectPeriodeDatumTijdTotEnMet],"&gt;"&amp;($A347+18/24))</f>
        <v/>
      </c>
      <c r="W347" s="20">
        <f>COUNTIFS(tData[SEHTrajectPeriodeDatumTijdVan],"&lt;="&amp;($A347+19/24),tData[SEHTrajectPeriodeDatumTijdTotEnMet],"&gt;"&amp;($A347+19/24))</f>
        <v/>
      </c>
      <c r="X347" s="20">
        <f>COUNTIFS(tData[SEHTrajectPeriodeDatumTijdVan],"&lt;="&amp;($A347+20/24),tData[SEHTrajectPeriodeDatumTijdTotEnMet],"&gt;"&amp;($A347+20/24))</f>
        <v/>
      </c>
      <c r="Y347" s="20">
        <f>COUNTIFS(tData[SEHTrajectPeriodeDatumTijdVan],"&lt;="&amp;($A347+21/24),tData[SEHTrajectPeriodeDatumTijdTotEnMet],"&gt;"&amp;($A347+21/24))</f>
        <v/>
      </c>
      <c r="Z347" s="20">
        <f>COUNTIFS(tData[SEHTrajectPeriodeDatumTijdVan],"&lt;="&amp;($A347+22/24),tData[SEHTrajectPeriodeDatumTijdTotEnMet],"&gt;"&amp;($A347+22/24))</f>
        <v/>
      </c>
      <c r="AA347" s="20">
        <f>COUNTIFS(tData[SEHTrajectPeriodeDatumTijdVan],"&lt;="&amp;($A347+23/24),tData[SEHTrajectPeriodeDatumTijdTotEnMet],"&gt;"&amp;($A347+23/24))</f>
        <v/>
      </c>
    </row>
    <row r="348">
      <c r="A348" s="19" t="n">
        <v>45636</v>
      </c>
      <c r="B348" s="15">
        <f>WEEKDAY($A348,2)</f>
        <v/>
      </c>
      <c r="C348" s="15">
        <f>IF(AND($A348&gt;=INT(Instellingen!$B$5),$A348&lt;=INT(Instellingen!$B$6)),1,0)</f>
        <v/>
      </c>
      <c r="D348" s="20">
        <f>COUNTIFS(tData[SEHTrajectPeriodeDatumTijdVan],"&lt;="&amp;($A348+0/24),tData[SEHTrajectPeriodeDatumTijdTotEnMet],"&gt;"&amp;($A348+0/24))</f>
        <v/>
      </c>
      <c r="E348" s="20">
        <f>COUNTIFS(tData[SEHTrajectPeriodeDatumTijdVan],"&lt;="&amp;($A348+1/24),tData[SEHTrajectPeriodeDatumTijdTotEnMet],"&gt;"&amp;($A348+1/24))</f>
        <v/>
      </c>
      <c r="F348" s="20">
        <f>COUNTIFS(tData[SEHTrajectPeriodeDatumTijdVan],"&lt;="&amp;($A348+2/24),tData[SEHTrajectPeriodeDatumTijdTotEnMet],"&gt;"&amp;($A348+2/24))</f>
        <v/>
      </c>
      <c r="G348" s="20">
        <f>COUNTIFS(tData[SEHTrajectPeriodeDatumTijdVan],"&lt;="&amp;($A348+3/24),tData[SEHTrajectPeriodeDatumTijdTotEnMet],"&gt;"&amp;($A348+3/24))</f>
        <v/>
      </c>
      <c r="H348" s="20">
        <f>COUNTIFS(tData[SEHTrajectPeriodeDatumTijdVan],"&lt;="&amp;($A348+4/24),tData[SEHTrajectPeriodeDatumTijdTotEnMet],"&gt;"&amp;($A348+4/24))</f>
        <v/>
      </c>
      <c r="I348" s="20">
        <f>COUNTIFS(tData[SEHTrajectPeriodeDatumTijdVan],"&lt;="&amp;($A348+5/24),tData[SEHTrajectPeriodeDatumTijdTotEnMet],"&gt;"&amp;($A348+5/24))</f>
        <v/>
      </c>
      <c r="J348" s="20">
        <f>COUNTIFS(tData[SEHTrajectPeriodeDatumTijdVan],"&lt;="&amp;($A348+6/24),tData[SEHTrajectPeriodeDatumTijdTotEnMet],"&gt;"&amp;($A348+6/24))</f>
        <v/>
      </c>
      <c r="K348" s="20">
        <f>COUNTIFS(tData[SEHTrajectPeriodeDatumTijdVan],"&lt;="&amp;($A348+7/24),tData[SEHTrajectPeriodeDatumTijdTotEnMet],"&gt;"&amp;($A348+7/24))</f>
        <v/>
      </c>
      <c r="L348" s="20">
        <f>COUNTIFS(tData[SEHTrajectPeriodeDatumTijdVan],"&lt;="&amp;($A348+8/24),tData[SEHTrajectPeriodeDatumTijdTotEnMet],"&gt;"&amp;($A348+8/24))</f>
        <v/>
      </c>
      <c r="M348" s="20">
        <f>COUNTIFS(tData[SEHTrajectPeriodeDatumTijdVan],"&lt;="&amp;($A348+9/24),tData[SEHTrajectPeriodeDatumTijdTotEnMet],"&gt;"&amp;($A348+9/24))</f>
        <v/>
      </c>
      <c r="N348" s="20">
        <f>COUNTIFS(tData[SEHTrajectPeriodeDatumTijdVan],"&lt;="&amp;($A348+10/24),tData[SEHTrajectPeriodeDatumTijdTotEnMet],"&gt;"&amp;($A348+10/24))</f>
        <v/>
      </c>
      <c r="O348" s="20">
        <f>COUNTIFS(tData[SEHTrajectPeriodeDatumTijdVan],"&lt;="&amp;($A348+11/24),tData[SEHTrajectPeriodeDatumTijdTotEnMet],"&gt;"&amp;($A348+11/24))</f>
        <v/>
      </c>
      <c r="P348" s="20">
        <f>COUNTIFS(tData[SEHTrajectPeriodeDatumTijdVan],"&lt;="&amp;($A348+12/24),tData[SEHTrajectPeriodeDatumTijdTotEnMet],"&gt;"&amp;($A348+12/24))</f>
        <v/>
      </c>
      <c r="Q348" s="20">
        <f>COUNTIFS(tData[SEHTrajectPeriodeDatumTijdVan],"&lt;="&amp;($A348+13/24),tData[SEHTrajectPeriodeDatumTijdTotEnMet],"&gt;"&amp;($A348+13/24))</f>
        <v/>
      </c>
      <c r="R348" s="20">
        <f>COUNTIFS(tData[SEHTrajectPeriodeDatumTijdVan],"&lt;="&amp;($A348+14/24),tData[SEHTrajectPeriodeDatumTijdTotEnMet],"&gt;"&amp;($A348+14/24))</f>
        <v/>
      </c>
      <c r="S348" s="20">
        <f>COUNTIFS(tData[SEHTrajectPeriodeDatumTijdVan],"&lt;="&amp;($A348+15/24),tData[SEHTrajectPeriodeDatumTijdTotEnMet],"&gt;"&amp;($A348+15/24))</f>
        <v/>
      </c>
      <c r="T348" s="20">
        <f>COUNTIFS(tData[SEHTrajectPeriodeDatumTijdVan],"&lt;="&amp;($A348+16/24),tData[SEHTrajectPeriodeDatumTijdTotEnMet],"&gt;"&amp;($A348+16/24))</f>
        <v/>
      </c>
      <c r="U348" s="20">
        <f>COUNTIFS(tData[SEHTrajectPeriodeDatumTijdVan],"&lt;="&amp;($A348+17/24),tData[SEHTrajectPeriodeDatumTijdTotEnMet],"&gt;"&amp;($A348+17/24))</f>
        <v/>
      </c>
      <c r="V348" s="20">
        <f>COUNTIFS(tData[SEHTrajectPeriodeDatumTijdVan],"&lt;="&amp;($A348+18/24),tData[SEHTrajectPeriodeDatumTijdTotEnMet],"&gt;"&amp;($A348+18/24))</f>
        <v/>
      </c>
      <c r="W348" s="20">
        <f>COUNTIFS(tData[SEHTrajectPeriodeDatumTijdVan],"&lt;="&amp;($A348+19/24),tData[SEHTrajectPeriodeDatumTijdTotEnMet],"&gt;"&amp;($A348+19/24))</f>
        <v/>
      </c>
      <c r="X348" s="20">
        <f>COUNTIFS(tData[SEHTrajectPeriodeDatumTijdVan],"&lt;="&amp;($A348+20/24),tData[SEHTrajectPeriodeDatumTijdTotEnMet],"&gt;"&amp;($A348+20/24))</f>
        <v/>
      </c>
      <c r="Y348" s="20">
        <f>COUNTIFS(tData[SEHTrajectPeriodeDatumTijdVan],"&lt;="&amp;($A348+21/24),tData[SEHTrajectPeriodeDatumTijdTotEnMet],"&gt;"&amp;($A348+21/24))</f>
        <v/>
      </c>
      <c r="Z348" s="20">
        <f>COUNTIFS(tData[SEHTrajectPeriodeDatumTijdVan],"&lt;="&amp;($A348+22/24),tData[SEHTrajectPeriodeDatumTijdTotEnMet],"&gt;"&amp;($A348+22/24))</f>
        <v/>
      </c>
      <c r="AA348" s="20">
        <f>COUNTIFS(tData[SEHTrajectPeriodeDatumTijdVan],"&lt;="&amp;($A348+23/24),tData[SEHTrajectPeriodeDatumTijdTotEnMet],"&gt;"&amp;($A348+23/24))</f>
        <v/>
      </c>
    </row>
    <row r="349">
      <c r="A349" s="19" t="n">
        <v>45637</v>
      </c>
      <c r="B349" s="15">
        <f>WEEKDAY($A349,2)</f>
        <v/>
      </c>
      <c r="C349" s="15">
        <f>IF(AND($A349&gt;=INT(Instellingen!$B$5),$A349&lt;=INT(Instellingen!$B$6)),1,0)</f>
        <v/>
      </c>
      <c r="D349" s="20">
        <f>COUNTIFS(tData[SEHTrajectPeriodeDatumTijdVan],"&lt;="&amp;($A349+0/24),tData[SEHTrajectPeriodeDatumTijdTotEnMet],"&gt;"&amp;($A349+0/24))</f>
        <v/>
      </c>
      <c r="E349" s="20">
        <f>COUNTIFS(tData[SEHTrajectPeriodeDatumTijdVan],"&lt;="&amp;($A349+1/24),tData[SEHTrajectPeriodeDatumTijdTotEnMet],"&gt;"&amp;($A349+1/24))</f>
        <v/>
      </c>
      <c r="F349" s="20">
        <f>COUNTIFS(tData[SEHTrajectPeriodeDatumTijdVan],"&lt;="&amp;($A349+2/24),tData[SEHTrajectPeriodeDatumTijdTotEnMet],"&gt;"&amp;($A349+2/24))</f>
        <v/>
      </c>
      <c r="G349" s="20">
        <f>COUNTIFS(tData[SEHTrajectPeriodeDatumTijdVan],"&lt;="&amp;($A349+3/24),tData[SEHTrajectPeriodeDatumTijdTotEnMet],"&gt;"&amp;($A349+3/24))</f>
        <v/>
      </c>
      <c r="H349" s="20">
        <f>COUNTIFS(tData[SEHTrajectPeriodeDatumTijdVan],"&lt;="&amp;($A349+4/24),tData[SEHTrajectPeriodeDatumTijdTotEnMet],"&gt;"&amp;($A349+4/24))</f>
        <v/>
      </c>
      <c r="I349" s="20">
        <f>COUNTIFS(tData[SEHTrajectPeriodeDatumTijdVan],"&lt;="&amp;($A349+5/24),tData[SEHTrajectPeriodeDatumTijdTotEnMet],"&gt;"&amp;($A349+5/24))</f>
        <v/>
      </c>
      <c r="J349" s="20">
        <f>COUNTIFS(tData[SEHTrajectPeriodeDatumTijdVan],"&lt;="&amp;($A349+6/24),tData[SEHTrajectPeriodeDatumTijdTotEnMet],"&gt;"&amp;($A349+6/24))</f>
        <v/>
      </c>
      <c r="K349" s="20">
        <f>COUNTIFS(tData[SEHTrajectPeriodeDatumTijdVan],"&lt;="&amp;($A349+7/24),tData[SEHTrajectPeriodeDatumTijdTotEnMet],"&gt;"&amp;($A349+7/24))</f>
        <v/>
      </c>
      <c r="L349" s="20">
        <f>COUNTIFS(tData[SEHTrajectPeriodeDatumTijdVan],"&lt;="&amp;($A349+8/24),tData[SEHTrajectPeriodeDatumTijdTotEnMet],"&gt;"&amp;($A349+8/24))</f>
        <v/>
      </c>
      <c r="M349" s="20">
        <f>COUNTIFS(tData[SEHTrajectPeriodeDatumTijdVan],"&lt;="&amp;($A349+9/24),tData[SEHTrajectPeriodeDatumTijdTotEnMet],"&gt;"&amp;($A349+9/24))</f>
        <v/>
      </c>
      <c r="N349" s="20">
        <f>COUNTIFS(tData[SEHTrajectPeriodeDatumTijdVan],"&lt;="&amp;($A349+10/24),tData[SEHTrajectPeriodeDatumTijdTotEnMet],"&gt;"&amp;($A349+10/24))</f>
        <v/>
      </c>
      <c r="O349" s="20">
        <f>COUNTIFS(tData[SEHTrajectPeriodeDatumTijdVan],"&lt;="&amp;($A349+11/24),tData[SEHTrajectPeriodeDatumTijdTotEnMet],"&gt;"&amp;($A349+11/24))</f>
        <v/>
      </c>
      <c r="P349" s="20">
        <f>COUNTIFS(tData[SEHTrajectPeriodeDatumTijdVan],"&lt;="&amp;($A349+12/24),tData[SEHTrajectPeriodeDatumTijdTotEnMet],"&gt;"&amp;($A349+12/24))</f>
        <v/>
      </c>
      <c r="Q349" s="20">
        <f>COUNTIFS(tData[SEHTrajectPeriodeDatumTijdVan],"&lt;="&amp;($A349+13/24),tData[SEHTrajectPeriodeDatumTijdTotEnMet],"&gt;"&amp;($A349+13/24))</f>
        <v/>
      </c>
      <c r="R349" s="20">
        <f>COUNTIFS(tData[SEHTrajectPeriodeDatumTijdVan],"&lt;="&amp;($A349+14/24),tData[SEHTrajectPeriodeDatumTijdTotEnMet],"&gt;"&amp;($A349+14/24))</f>
        <v/>
      </c>
      <c r="S349" s="20">
        <f>COUNTIFS(tData[SEHTrajectPeriodeDatumTijdVan],"&lt;="&amp;($A349+15/24),tData[SEHTrajectPeriodeDatumTijdTotEnMet],"&gt;"&amp;($A349+15/24))</f>
        <v/>
      </c>
      <c r="T349" s="20">
        <f>COUNTIFS(tData[SEHTrajectPeriodeDatumTijdVan],"&lt;="&amp;($A349+16/24),tData[SEHTrajectPeriodeDatumTijdTotEnMet],"&gt;"&amp;($A349+16/24))</f>
        <v/>
      </c>
      <c r="U349" s="20">
        <f>COUNTIFS(tData[SEHTrajectPeriodeDatumTijdVan],"&lt;="&amp;($A349+17/24),tData[SEHTrajectPeriodeDatumTijdTotEnMet],"&gt;"&amp;($A349+17/24))</f>
        <v/>
      </c>
      <c r="V349" s="20">
        <f>COUNTIFS(tData[SEHTrajectPeriodeDatumTijdVan],"&lt;="&amp;($A349+18/24),tData[SEHTrajectPeriodeDatumTijdTotEnMet],"&gt;"&amp;($A349+18/24))</f>
        <v/>
      </c>
      <c r="W349" s="20">
        <f>COUNTIFS(tData[SEHTrajectPeriodeDatumTijdVan],"&lt;="&amp;($A349+19/24),tData[SEHTrajectPeriodeDatumTijdTotEnMet],"&gt;"&amp;($A349+19/24))</f>
        <v/>
      </c>
      <c r="X349" s="20">
        <f>COUNTIFS(tData[SEHTrajectPeriodeDatumTijdVan],"&lt;="&amp;($A349+20/24),tData[SEHTrajectPeriodeDatumTijdTotEnMet],"&gt;"&amp;($A349+20/24))</f>
        <v/>
      </c>
      <c r="Y349" s="20">
        <f>COUNTIFS(tData[SEHTrajectPeriodeDatumTijdVan],"&lt;="&amp;($A349+21/24),tData[SEHTrajectPeriodeDatumTijdTotEnMet],"&gt;"&amp;($A349+21/24))</f>
        <v/>
      </c>
      <c r="Z349" s="20">
        <f>COUNTIFS(tData[SEHTrajectPeriodeDatumTijdVan],"&lt;="&amp;($A349+22/24),tData[SEHTrajectPeriodeDatumTijdTotEnMet],"&gt;"&amp;($A349+22/24))</f>
        <v/>
      </c>
      <c r="AA349" s="20">
        <f>COUNTIFS(tData[SEHTrajectPeriodeDatumTijdVan],"&lt;="&amp;($A349+23/24),tData[SEHTrajectPeriodeDatumTijdTotEnMet],"&gt;"&amp;($A349+23/24))</f>
        <v/>
      </c>
    </row>
    <row r="350">
      <c r="A350" s="19" t="n">
        <v>45638</v>
      </c>
      <c r="B350" s="15">
        <f>WEEKDAY($A350,2)</f>
        <v/>
      </c>
      <c r="C350" s="15">
        <f>IF(AND($A350&gt;=INT(Instellingen!$B$5),$A350&lt;=INT(Instellingen!$B$6)),1,0)</f>
        <v/>
      </c>
      <c r="D350" s="20">
        <f>COUNTIFS(tData[SEHTrajectPeriodeDatumTijdVan],"&lt;="&amp;($A350+0/24),tData[SEHTrajectPeriodeDatumTijdTotEnMet],"&gt;"&amp;($A350+0/24))</f>
        <v/>
      </c>
      <c r="E350" s="20">
        <f>COUNTIFS(tData[SEHTrajectPeriodeDatumTijdVan],"&lt;="&amp;($A350+1/24),tData[SEHTrajectPeriodeDatumTijdTotEnMet],"&gt;"&amp;($A350+1/24))</f>
        <v/>
      </c>
      <c r="F350" s="20">
        <f>COUNTIFS(tData[SEHTrajectPeriodeDatumTijdVan],"&lt;="&amp;($A350+2/24),tData[SEHTrajectPeriodeDatumTijdTotEnMet],"&gt;"&amp;($A350+2/24))</f>
        <v/>
      </c>
      <c r="G350" s="20">
        <f>COUNTIFS(tData[SEHTrajectPeriodeDatumTijdVan],"&lt;="&amp;($A350+3/24),tData[SEHTrajectPeriodeDatumTijdTotEnMet],"&gt;"&amp;($A350+3/24))</f>
        <v/>
      </c>
      <c r="H350" s="20">
        <f>COUNTIFS(tData[SEHTrajectPeriodeDatumTijdVan],"&lt;="&amp;($A350+4/24),tData[SEHTrajectPeriodeDatumTijdTotEnMet],"&gt;"&amp;($A350+4/24))</f>
        <v/>
      </c>
      <c r="I350" s="20">
        <f>COUNTIFS(tData[SEHTrajectPeriodeDatumTijdVan],"&lt;="&amp;($A350+5/24),tData[SEHTrajectPeriodeDatumTijdTotEnMet],"&gt;"&amp;($A350+5/24))</f>
        <v/>
      </c>
      <c r="J350" s="20">
        <f>COUNTIFS(tData[SEHTrajectPeriodeDatumTijdVan],"&lt;="&amp;($A350+6/24),tData[SEHTrajectPeriodeDatumTijdTotEnMet],"&gt;"&amp;($A350+6/24))</f>
        <v/>
      </c>
      <c r="K350" s="20">
        <f>COUNTIFS(tData[SEHTrajectPeriodeDatumTijdVan],"&lt;="&amp;($A350+7/24),tData[SEHTrajectPeriodeDatumTijdTotEnMet],"&gt;"&amp;($A350+7/24))</f>
        <v/>
      </c>
      <c r="L350" s="20">
        <f>COUNTIFS(tData[SEHTrajectPeriodeDatumTijdVan],"&lt;="&amp;($A350+8/24),tData[SEHTrajectPeriodeDatumTijdTotEnMet],"&gt;"&amp;($A350+8/24))</f>
        <v/>
      </c>
      <c r="M350" s="20">
        <f>COUNTIFS(tData[SEHTrajectPeriodeDatumTijdVan],"&lt;="&amp;($A350+9/24),tData[SEHTrajectPeriodeDatumTijdTotEnMet],"&gt;"&amp;($A350+9/24))</f>
        <v/>
      </c>
      <c r="N350" s="20">
        <f>COUNTIFS(tData[SEHTrajectPeriodeDatumTijdVan],"&lt;="&amp;($A350+10/24),tData[SEHTrajectPeriodeDatumTijdTotEnMet],"&gt;"&amp;($A350+10/24))</f>
        <v/>
      </c>
      <c r="O350" s="20">
        <f>COUNTIFS(tData[SEHTrajectPeriodeDatumTijdVan],"&lt;="&amp;($A350+11/24),tData[SEHTrajectPeriodeDatumTijdTotEnMet],"&gt;"&amp;($A350+11/24))</f>
        <v/>
      </c>
      <c r="P350" s="20">
        <f>COUNTIFS(tData[SEHTrajectPeriodeDatumTijdVan],"&lt;="&amp;($A350+12/24),tData[SEHTrajectPeriodeDatumTijdTotEnMet],"&gt;"&amp;($A350+12/24))</f>
        <v/>
      </c>
      <c r="Q350" s="20">
        <f>COUNTIFS(tData[SEHTrajectPeriodeDatumTijdVan],"&lt;="&amp;($A350+13/24),tData[SEHTrajectPeriodeDatumTijdTotEnMet],"&gt;"&amp;($A350+13/24))</f>
        <v/>
      </c>
      <c r="R350" s="20">
        <f>COUNTIFS(tData[SEHTrajectPeriodeDatumTijdVan],"&lt;="&amp;($A350+14/24),tData[SEHTrajectPeriodeDatumTijdTotEnMet],"&gt;"&amp;($A350+14/24))</f>
        <v/>
      </c>
      <c r="S350" s="20">
        <f>COUNTIFS(tData[SEHTrajectPeriodeDatumTijdVan],"&lt;="&amp;($A350+15/24),tData[SEHTrajectPeriodeDatumTijdTotEnMet],"&gt;"&amp;($A350+15/24))</f>
        <v/>
      </c>
      <c r="T350" s="20">
        <f>COUNTIFS(tData[SEHTrajectPeriodeDatumTijdVan],"&lt;="&amp;($A350+16/24),tData[SEHTrajectPeriodeDatumTijdTotEnMet],"&gt;"&amp;($A350+16/24))</f>
        <v/>
      </c>
      <c r="U350" s="20">
        <f>COUNTIFS(tData[SEHTrajectPeriodeDatumTijdVan],"&lt;="&amp;($A350+17/24),tData[SEHTrajectPeriodeDatumTijdTotEnMet],"&gt;"&amp;($A350+17/24))</f>
        <v/>
      </c>
      <c r="V350" s="20">
        <f>COUNTIFS(tData[SEHTrajectPeriodeDatumTijdVan],"&lt;="&amp;($A350+18/24),tData[SEHTrajectPeriodeDatumTijdTotEnMet],"&gt;"&amp;($A350+18/24))</f>
        <v/>
      </c>
      <c r="W350" s="20">
        <f>COUNTIFS(tData[SEHTrajectPeriodeDatumTijdVan],"&lt;="&amp;($A350+19/24),tData[SEHTrajectPeriodeDatumTijdTotEnMet],"&gt;"&amp;($A350+19/24))</f>
        <v/>
      </c>
      <c r="X350" s="20">
        <f>COUNTIFS(tData[SEHTrajectPeriodeDatumTijdVan],"&lt;="&amp;($A350+20/24),tData[SEHTrajectPeriodeDatumTijdTotEnMet],"&gt;"&amp;($A350+20/24))</f>
        <v/>
      </c>
      <c r="Y350" s="20">
        <f>COUNTIFS(tData[SEHTrajectPeriodeDatumTijdVan],"&lt;="&amp;($A350+21/24),tData[SEHTrajectPeriodeDatumTijdTotEnMet],"&gt;"&amp;($A350+21/24))</f>
        <v/>
      </c>
      <c r="Z350" s="20">
        <f>COUNTIFS(tData[SEHTrajectPeriodeDatumTijdVan],"&lt;="&amp;($A350+22/24),tData[SEHTrajectPeriodeDatumTijdTotEnMet],"&gt;"&amp;($A350+22/24))</f>
        <v/>
      </c>
      <c r="AA350" s="20">
        <f>COUNTIFS(tData[SEHTrajectPeriodeDatumTijdVan],"&lt;="&amp;($A350+23/24),tData[SEHTrajectPeriodeDatumTijdTotEnMet],"&gt;"&amp;($A350+23/24))</f>
        <v/>
      </c>
    </row>
    <row r="351">
      <c r="A351" s="19" t="n">
        <v>45639</v>
      </c>
      <c r="B351" s="15">
        <f>WEEKDAY($A351,2)</f>
        <v/>
      </c>
      <c r="C351" s="15">
        <f>IF(AND($A351&gt;=INT(Instellingen!$B$5),$A351&lt;=INT(Instellingen!$B$6)),1,0)</f>
        <v/>
      </c>
      <c r="D351" s="20">
        <f>COUNTIFS(tData[SEHTrajectPeriodeDatumTijdVan],"&lt;="&amp;($A351+0/24),tData[SEHTrajectPeriodeDatumTijdTotEnMet],"&gt;"&amp;($A351+0/24))</f>
        <v/>
      </c>
      <c r="E351" s="20">
        <f>COUNTIFS(tData[SEHTrajectPeriodeDatumTijdVan],"&lt;="&amp;($A351+1/24),tData[SEHTrajectPeriodeDatumTijdTotEnMet],"&gt;"&amp;($A351+1/24))</f>
        <v/>
      </c>
      <c r="F351" s="20">
        <f>COUNTIFS(tData[SEHTrajectPeriodeDatumTijdVan],"&lt;="&amp;($A351+2/24),tData[SEHTrajectPeriodeDatumTijdTotEnMet],"&gt;"&amp;($A351+2/24))</f>
        <v/>
      </c>
      <c r="G351" s="20">
        <f>COUNTIFS(tData[SEHTrajectPeriodeDatumTijdVan],"&lt;="&amp;($A351+3/24),tData[SEHTrajectPeriodeDatumTijdTotEnMet],"&gt;"&amp;($A351+3/24))</f>
        <v/>
      </c>
      <c r="H351" s="20">
        <f>COUNTIFS(tData[SEHTrajectPeriodeDatumTijdVan],"&lt;="&amp;($A351+4/24),tData[SEHTrajectPeriodeDatumTijdTotEnMet],"&gt;"&amp;($A351+4/24))</f>
        <v/>
      </c>
      <c r="I351" s="20">
        <f>COUNTIFS(tData[SEHTrajectPeriodeDatumTijdVan],"&lt;="&amp;($A351+5/24),tData[SEHTrajectPeriodeDatumTijdTotEnMet],"&gt;"&amp;($A351+5/24))</f>
        <v/>
      </c>
      <c r="J351" s="20">
        <f>COUNTIFS(tData[SEHTrajectPeriodeDatumTijdVan],"&lt;="&amp;($A351+6/24),tData[SEHTrajectPeriodeDatumTijdTotEnMet],"&gt;"&amp;($A351+6/24))</f>
        <v/>
      </c>
      <c r="K351" s="20">
        <f>COUNTIFS(tData[SEHTrajectPeriodeDatumTijdVan],"&lt;="&amp;($A351+7/24),tData[SEHTrajectPeriodeDatumTijdTotEnMet],"&gt;"&amp;($A351+7/24))</f>
        <v/>
      </c>
      <c r="L351" s="20">
        <f>COUNTIFS(tData[SEHTrajectPeriodeDatumTijdVan],"&lt;="&amp;($A351+8/24),tData[SEHTrajectPeriodeDatumTijdTotEnMet],"&gt;"&amp;($A351+8/24))</f>
        <v/>
      </c>
      <c r="M351" s="20">
        <f>COUNTIFS(tData[SEHTrajectPeriodeDatumTijdVan],"&lt;="&amp;($A351+9/24),tData[SEHTrajectPeriodeDatumTijdTotEnMet],"&gt;"&amp;($A351+9/24))</f>
        <v/>
      </c>
      <c r="N351" s="20">
        <f>COUNTIFS(tData[SEHTrajectPeriodeDatumTijdVan],"&lt;="&amp;($A351+10/24),tData[SEHTrajectPeriodeDatumTijdTotEnMet],"&gt;"&amp;($A351+10/24))</f>
        <v/>
      </c>
      <c r="O351" s="20">
        <f>COUNTIFS(tData[SEHTrajectPeriodeDatumTijdVan],"&lt;="&amp;($A351+11/24),tData[SEHTrajectPeriodeDatumTijdTotEnMet],"&gt;"&amp;($A351+11/24))</f>
        <v/>
      </c>
      <c r="P351" s="20">
        <f>COUNTIFS(tData[SEHTrajectPeriodeDatumTijdVan],"&lt;="&amp;($A351+12/24),tData[SEHTrajectPeriodeDatumTijdTotEnMet],"&gt;"&amp;($A351+12/24))</f>
        <v/>
      </c>
      <c r="Q351" s="20">
        <f>COUNTIFS(tData[SEHTrajectPeriodeDatumTijdVan],"&lt;="&amp;($A351+13/24),tData[SEHTrajectPeriodeDatumTijdTotEnMet],"&gt;"&amp;($A351+13/24))</f>
        <v/>
      </c>
      <c r="R351" s="20">
        <f>COUNTIFS(tData[SEHTrajectPeriodeDatumTijdVan],"&lt;="&amp;($A351+14/24),tData[SEHTrajectPeriodeDatumTijdTotEnMet],"&gt;"&amp;($A351+14/24))</f>
        <v/>
      </c>
      <c r="S351" s="20">
        <f>COUNTIFS(tData[SEHTrajectPeriodeDatumTijdVan],"&lt;="&amp;($A351+15/24),tData[SEHTrajectPeriodeDatumTijdTotEnMet],"&gt;"&amp;($A351+15/24))</f>
        <v/>
      </c>
      <c r="T351" s="20">
        <f>COUNTIFS(tData[SEHTrajectPeriodeDatumTijdVan],"&lt;="&amp;($A351+16/24),tData[SEHTrajectPeriodeDatumTijdTotEnMet],"&gt;"&amp;($A351+16/24))</f>
        <v/>
      </c>
      <c r="U351" s="20">
        <f>COUNTIFS(tData[SEHTrajectPeriodeDatumTijdVan],"&lt;="&amp;($A351+17/24),tData[SEHTrajectPeriodeDatumTijdTotEnMet],"&gt;"&amp;($A351+17/24))</f>
        <v/>
      </c>
      <c r="V351" s="20">
        <f>COUNTIFS(tData[SEHTrajectPeriodeDatumTijdVan],"&lt;="&amp;($A351+18/24),tData[SEHTrajectPeriodeDatumTijdTotEnMet],"&gt;"&amp;($A351+18/24))</f>
        <v/>
      </c>
      <c r="W351" s="20">
        <f>COUNTIFS(tData[SEHTrajectPeriodeDatumTijdVan],"&lt;="&amp;($A351+19/24),tData[SEHTrajectPeriodeDatumTijdTotEnMet],"&gt;"&amp;($A351+19/24))</f>
        <v/>
      </c>
      <c r="X351" s="20">
        <f>COUNTIFS(tData[SEHTrajectPeriodeDatumTijdVan],"&lt;="&amp;($A351+20/24),tData[SEHTrajectPeriodeDatumTijdTotEnMet],"&gt;"&amp;($A351+20/24))</f>
        <v/>
      </c>
      <c r="Y351" s="20">
        <f>COUNTIFS(tData[SEHTrajectPeriodeDatumTijdVan],"&lt;="&amp;($A351+21/24),tData[SEHTrajectPeriodeDatumTijdTotEnMet],"&gt;"&amp;($A351+21/24))</f>
        <v/>
      </c>
      <c r="Z351" s="20">
        <f>COUNTIFS(tData[SEHTrajectPeriodeDatumTijdVan],"&lt;="&amp;($A351+22/24),tData[SEHTrajectPeriodeDatumTijdTotEnMet],"&gt;"&amp;($A351+22/24))</f>
        <v/>
      </c>
      <c r="AA351" s="20">
        <f>COUNTIFS(tData[SEHTrajectPeriodeDatumTijdVan],"&lt;="&amp;($A351+23/24),tData[SEHTrajectPeriodeDatumTijdTotEnMet],"&gt;"&amp;($A351+23/24))</f>
        <v/>
      </c>
    </row>
    <row r="352">
      <c r="A352" s="19" t="n">
        <v>45640</v>
      </c>
      <c r="B352" s="15">
        <f>WEEKDAY($A352,2)</f>
        <v/>
      </c>
      <c r="C352" s="15">
        <f>IF(AND($A352&gt;=INT(Instellingen!$B$5),$A352&lt;=INT(Instellingen!$B$6)),1,0)</f>
        <v/>
      </c>
      <c r="D352" s="20">
        <f>COUNTIFS(tData[SEHTrajectPeriodeDatumTijdVan],"&lt;="&amp;($A352+0/24),tData[SEHTrajectPeriodeDatumTijdTotEnMet],"&gt;"&amp;($A352+0/24))</f>
        <v/>
      </c>
      <c r="E352" s="20">
        <f>COUNTIFS(tData[SEHTrajectPeriodeDatumTijdVan],"&lt;="&amp;($A352+1/24),tData[SEHTrajectPeriodeDatumTijdTotEnMet],"&gt;"&amp;($A352+1/24))</f>
        <v/>
      </c>
      <c r="F352" s="20">
        <f>COUNTIFS(tData[SEHTrajectPeriodeDatumTijdVan],"&lt;="&amp;($A352+2/24),tData[SEHTrajectPeriodeDatumTijdTotEnMet],"&gt;"&amp;($A352+2/24))</f>
        <v/>
      </c>
      <c r="G352" s="20">
        <f>COUNTIFS(tData[SEHTrajectPeriodeDatumTijdVan],"&lt;="&amp;($A352+3/24),tData[SEHTrajectPeriodeDatumTijdTotEnMet],"&gt;"&amp;($A352+3/24))</f>
        <v/>
      </c>
      <c r="H352" s="20">
        <f>COUNTIFS(tData[SEHTrajectPeriodeDatumTijdVan],"&lt;="&amp;($A352+4/24),tData[SEHTrajectPeriodeDatumTijdTotEnMet],"&gt;"&amp;($A352+4/24))</f>
        <v/>
      </c>
      <c r="I352" s="20">
        <f>COUNTIFS(tData[SEHTrajectPeriodeDatumTijdVan],"&lt;="&amp;($A352+5/24),tData[SEHTrajectPeriodeDatumTijdTotEnMet],"&gt;"&amp;($A352+5/24))</f>
        <v/>
      </c>
      <c r="J352" s="20">
        <f>COUNTIFS(tData[SEHTrajectPeriodeDatumTijdVan],"&lt;="&amp;($A352+6/24),tData[SEHTrajectPeriodeDatumTijdTotEnMet],"&gt;"&amp;($A352+6/24))</f>
        <v/>
      </c>
      <c r="K352" s="20">
        <f>COUNTIFS(tData[SEHTrajectPeriodeDatumTijdVan],"&lt;="&amp;($A352+7/24),tData[SEHTrajectPeriodeDatumTijdTotEnMet],"&gt;"&amp;($A352+7/24))</f>
        <v/>
      </c>
      <c r="L352" s="20">
        <f>COUNTIFS(tData[SEHTrajectPeriodeDatumTijdVan],"&lt;="&amp;($A352+8/24),tData[SEHTrajectPeriodeDatumTijdTotEnMet],"&gt;"&amp;($A352+8/24))</f>
        <v/>
      </c>
      <c r="M352" s="20">
        <f>COUNTIFS(tData[SEHTrajectPeriodeDatumTijdVan],"&lt;="&amp;($A352+9/24),tData[SEHTrajectPeriodeDatumTijdTotEnMet],"&gt;"&amp;($A352+9/24))</f>
        <v/>
      </c>
      <c r="N352" s="20">
        <f>COUNTIFS(tData[SEHTrajectPeriodeDatumTijdVan],"&lt;="&amp;($A352+10/24),tData[SEHTrajectPeriodeDatumTijdTotEnMet],"&gt;"&amp;($A352+10/24))</f>
        <v/>
      </c>
      <c r="O352" s="20">
        <f>COUNTIFS(tData[SEHTrajectPeriodeDatumTijdVan],"&lt;="&amp;($A352+11/24),tData[SEHTrajectPeriodeDatumTijdTotEnMet],"&gt;"&amp;($A352+11/24))</f>
        <v/>
      </c>
      <c r="P352" s="20">
        <f>COUNTIFS(tData[SEHTrajectPeriodeDatumTijdVan],"&lt;="&amp;($A352+12/24),tData[SEHTrajectPeriodeDatumTijdTotEnMet],"&gt;"&amp;($A352+12/24))</f>
        <v/>
      </c>
      <c r="Q352" s="20">
        <f>COUNTIFS(tData[SEHTrajectPeriodeDatumTijdVan],"&lt;="&amp;($A352+13/24),tData[SEHTrajectPeriodeDatumTijdTotEnMet],"&gt;"&amp;($A352+13/24))</f>
        <v/>
      </c>
      <c r="R352" s="20">
        <f>COUNTIFS(tData[SEHTrajectPeriodeDatumTijdVan],"&lt;="&amp;($A352+14/24),tData[SEHTrajectPeriodeDatumTijdTotEnMet],"&gt;"&amp;($A352+14/24))</f>
        <v/>
      </c>
      <c r="S352" s="20">
        <f>COUNTIFS(tData[SEHTrajectPeriodeDatumTijdVan],"&lt;="&amp;($A352+15/24),tData[SEHTrajectPeriodeDatumTijdTotEnMet],"&gt;"&amp;($A352+15/24))</f>
        <v/>
      </c>
      <c r="T352" s="20">
        <f>COUNTIFS(tData[SEHTrajectPeriodeDatumTijdVan],"&lt;="&amp;($A352+16/24),tData[SEHTrajectPeriodeDatumTijdTotEnMet],"&gt;"&amp;($A352+16/24))</f>
        <v/>
      </c>
      <c r="U352" s="20">
        <f>COUNTIFS(tData[SEHTrajectPeriodeDatumTijdVan],"&lt;="&amp;($A352+17/24),tData[SEHTrajectPeriodeDatumTijdTotEnMet],"&gt;"&amp;($A352+17/24))</f>
        <v/>
      </c>
      <c r="V352" s="20">
        <f>COUNTIFS(tData[SEHTrajectPeriodeDatumTijdVan],"&lt;="&amp;($A352+18/24),tData[SEHTrajectPeriodeDatumTijdTotEnMet],"&gt;"&amp;($A352+18/24))</f>
        <v/>
      </c>
      <c r="W352" s="20">
        <f>COUNTIFS(tData[SEHTrajectPeriodeDatumTijdVan],"&lt;="&amp;($A352+19/24),tData[SEHTrajectPeriodeDatumTijdTotEnMet],"&gt;"&amp;($A352+19/24))</f>
        <v/>
      </c>
      <c r="X352" s="20">
        <f>COUNTIFS(tData[SEHTrajectPeriodeDatumTijdVan],"&lt;="&amp;($A352+20/24),tData[SEHTrajectPeriodeDatumTijdTotEnMet],"&gt;"&amp;($A352+20/24))</f>
        <v/>
      </c>
      <c r="Y352" s="20">
        <f>COUNTIFS(tData[SEHTrajectPeriodeDatumTijdVan],"&lt;="&amp;($A352+21/24),tData[SEHTrajectPeriodeDatumTijdTotEnMet],"&gt;"&amp;($A352+21/24))</f>
        <v/>
      </c>
      <c r="Z352" s="20">
        <f>COUNTIFS(tData[SEHTrajectPeriodeDatumTijdVan],"&lt;="&amp;($A352+22/24),tData[SEHTrajectPeriodeDatumTijdTotEnMet],"&gt;"&amp;($A352+22/24))</f>
        <v/>
      </c>
      <c r="AA352" s="20">
        <f>COUNTIFS(tData[SEHTrajectPeriodeDatumTijdVan],"&lt;="&amp;($A352+23/24),tData[SEHTrajectPeriodeDatumTijdTotEnMet],"&gt;"&amp;($A352+23/24))</f>
        <v/>
      </c>
    </row>
    <row r="353">
      <c r="A353" s="19" t="n">
        <v>45641</v>
      </c>
      <c r="B353" s="15">
        <f>WEEKDAY($A353,2)</f>
        <v/>
      </c>
      <c r="C353" s="15">
        <f>IF(AND($A353&gt;=INT(Instellingen!$B$5),$A353&lt;=INT(Instellingen!$B$6)),1,0)</f>
        <v/>
      </c>
      <c r="D353" s="20">
        <f>COUNTIFS(tData[SEHTrajectPeriodeDatumTijdVan],"&lt;="&amp;($A353+0/24),tData[SEHTrajectPeriodeDatumTijdTotEnMet],"&gt;"&amp;($A353+0/24))</f>
        <v/>
      </c>
      <c r="E353" s="20">
        <f>COUNTIFS(tData[SEHTrajectPeriodeDatumTijdVan],"&lt;="&amp;($A353+1/24),tData[SEHTrajectPeriodeDatumTijdTotEnMet],"&gt;"&amp;($A353+1/24))</f>
        <v/>
      </c>
      <c r="F353" s="20">
        <f>COUNTIFS(tData[SEHTrajectPeriodeDatumTijdVan],"&lt;="&amp;($A353+2/24),tData[SEHTrajectPeriodeDatumTijdTotEnMet],"&gt;"&amp;($A353+2/24))</f>
        <v/>
      </c>
      <c r="G353" s="20">
        <f>COUNTIFS(tData[SEHTrajectPeriodeDatumTijdVan],"&lt;="&amp;($A353+3/24),tData[SEHTrajectPeriodeDatumTijdTotEnMet],"&gt;"&amp;($A353+3/24))</f>
        <v/>
      </c>
      <c r="H353" s="20">
        <f>COUNTIFS(tData[SEHTrajectPeriodeDatumTijdVan],"&lt;="&amp;($A353+4/24),tData[SEHTrajectPeriodeDatumTijdTotEnMet],"&gt;"&amp;($A353+4/24))</f>
        <v/>
      </c>
      <c r="I353" s="20">
        <f>COUNTIFS(tData[SEHTrajectPeriodeDatumTijdVan],"&lt;="&amp;($A353+5/24),tData[SEHTrajectPeriodeDatumTijdTotEnMet],"&gt;"&amp;($A353+5/24))</f>
        <v/>
      </c>
      <c r="J353" s="20">
        <f>COUNTIFS(tData[SEHTrajectPeriodeDatumTijdVan],"&lt;="&amp;($A353+6/24),tData[SEHTrajectPeriodeDatumTijdTotEnMet],"&gt;"&amp;($A353+6/24))</f>
        <v/>
      </c>
      <c r="K353" s="20">
        <f>COUNTIFS(tData[SEHTrajectPeriodeDatumTijdVan],"&lt;="&amp;($A353+7/24),tData[SEHTrajectPeriodeDatumTijdTotEnMet],"&gt;"&amp;($A353+7/24))</f>
        <v/>
      </c>
      <c r="L353" s="20">
        <f>COUNTIFS(tData[SEHTrajectPeriodeDatumTijdVan],"&lt;="&amp;($A353+8/24),tData[SEHTrajectPeriodeDatumTijdTotEnMet],"&gt;"&amp;($A353+8/24))</f>
        <v/>
      </c>
      <c r="M353" s="20">
        <f>COUNTIFS(tData[SEHTrajectPeriodeDatumTijdVan],"&lt;="&amp;($A353+9/24),tData[SEHTrajectPeriodeDatumTijdTotEnMet],"&gt;"&amp;($A353+9/24))</f>
        <v/>
      </c>
      <c r="N353" s="20">
        <f>COUNTIFS(tData[SEHTrajectPeriodeDatumTijdVan],"&lt;="&amp;($A353+10/24),tData[SEHTrajectPeriodeDatumTijdTotEnMet],"&gt;"&amp;($A353+10/24))</f>
        <v/>
      </c>
      <c r="O353" s="20">
        <f>COUNTIFS(tData[SEHTrajectPeriodeDatumTijdVan],"&lt;="&amp;($A353+11/24),tData[SEHTrajectPeriodeDatumTijdTotEnMet],"&gt;"&amp;($A353+11/24))</f>
        <v/>
      </c>
      <c r="P353" s="20">
        <f>COUNTIFS(tData[SEHTrajectPeriodeDatumTijdVan],"&lt;="&amp;($A353+12/24),tData[SEHTrajectPeriodeDatumTijdTotEnMet],"&gt;"&amp;($A353+12/24))</f>
        <v/>
      </c>
      <c r="Q353" s="20">
        <f>COUNTIFS(tData[SEHTrajectPeriodeDatumTijdVan],"&lt;="&amp;($A353+13/24),tData[SEHTrajectPeriodeDatumTijdTotEnMet],"&gt;"&amp;($A353+13/24))</f>
        <v/>
      </c>
      <c r="R353" s="20">
        <f>COUNTIFS(tData[SEHTrajectPeriodeDatumTijdVan],"&lt;="&amp;($A353+14/24),tData[SEHTrajectPeriodeDatumTijdTotEnMet],"&gt;"&amp;($A353+14/24))</f>
        <v/>
      </c>
      <c r="S353" s="20">
        <f>COUNTIFS(tData[SEHTrajectPeriodeDatumTijdVan],"&lt;="&amp;($A353+15/24),tData[SEHTrajectPeriodeDatumTijdTotEnMet],"&gt;"&amp;($A353+15/24))</f>
        <v/>
      </c>
      <c r="T353" s="20">
        <f>COUNTIFS(tData[SEHTrajectPeriodeDatumTijdVan],"&lt;="&amp;($A353+16/24),tData[SEHTrajectPeriodeDatumTijdTotEnMet],"&gt;"&amp;($A353+16/24))</f>
        <v/>
      </c>
      <c r="U353" s="20">
        <f>COUNTIFS(tData[SEHTrajectPeriodeDatumTijdVan],"&lt;="&amp;($A353+17/24),tData[SEHTrajectPeriodeDatumTijdTotEnMet],"&gt;"&amp;($A353+17/24))</f>
        <v/>
      </c>
      <c r="V353" s="20">
        <f>COUNTIFS(tData[SEHTrajectPeriodeDatumTijdVan],"&lt;="&amp;($A353+18/24),tData[SEHTrajectPeriodeDatumTijdTotEnMet],"&gt;"&amp;($A353+18/24))</f>
        <v/>
      </c>
      <c r="W353" s="20">
        <f>COUNTIFS(tData[SEHTrajectPeriodeDatumTijdVan],"&lt;="&amp;($A353+19/24),tData[SEHTrajectPeriodeDatumTijdTotEnMet],"&gt;"&amp;($A353+19/24))</f>
        <v/>
      </c>
      <c r="X353" s="20">
        <f>COUNTIFS(tData[SEHTrajectPeriodeDatumTijdVan],"&lt;="&amp;($A353+20/24),tData[SEHTrajectPeriodeDatumTijdTotEnMet],"&gt;"&amp;($A353+20/24))</f>
        <v/>
      </c>
      <c r="Y353" s="20">
        <f>COUNTIFS(tData[SEHTrajectPeriodeDatumTijdVan],"&lt;="&amp;($A353+21/24),tData[SEHTrajectPeriodeDatumTijdTotEnMet],"&gt;"&amp;($A353+21/24))</f>
        <v/>
      </c>
      <c r="Z353" s="20">
        <f>COUNTIFS(tData[SEHTrajectPeriodeDatumTijdVan],"&lt;="&amp;($A353+22/24),tData[SEHTrajectPeriodeDatumTijdTotEnMet],"&gt;"&amp;($A353+22/24))</f>
        <v/>
      </c>
      <c r="AA353" s="20">
        <f>COUNTIFS(tData[SEHTrajectPeriodeDatumTijdVan],"&lt;="&amp;($A353+23/24),tData[SEHTrajectPeriodeDatumTijdTotEnMet],"&gt;"&amp;($A353+23/24))</f>
        <v/>
      </c>
    </row>
    <row r="354">
      <c r="A354" s="19" t="n">
        <v>45642</v>
      </c>
      <c r="B354" s="15">
        <f>WEEKDAY($A354,2)</f>
        <v/>
      </c>
      <c r="C354" s="15">
        <f>IF(AND($A354&gt;=INT(Instellingen!$B$5),$A354&lt;=INT(Instellingen!$B$6)),1,0)</f>
        <v/>
      </c>
      <c r="D354" s="20">
        <f>COUNTIFS(tData[SEHTrajectPeriodeDatumTijdVan],"&lt;="&amp;($A354+0/24),tData[SEHTrajectPeriodeDatumTijdTotEnMet],"&gt;"&amp;($A354+0/24))</f>
        <v/>
      </c>
      <c r="E354" s="20">
        <f>COUNTIFS(tData[SEHTrajectPeriodeDatumTijdVan],"&lt;="&amp;($A354+1/24),tData[SEHTrajectPeriodeDatumTijdTotEnMet],"&gt;"&amp;($A354+1/24))</f>
        <v/>
      </c>
      <c r="F354" s="20">
        <f>COUNTIFS(tData[SEHTrajectPeriodeDatumTijdVan],"&lt;="&amp;($A354+2/24),tData[SEHTrajectPeriodeDatumTijdTotEnMet],"&gt;"&amp;($A354+2/24))</f>
        <v/>
      </c>
      <c r="G354" s="20">
        <f>COUNTIFS(tData[SEHTrajectPeriodeDatumTijdVan],"&lt;="&amp;($A354+3/24),tData[SEHTrajectPeriodeDatumTijdTotEnMet],"&gt;"&amp;($A354+3/24))</f>
        <v/>
      </c>
      <c r="H354" s="20">
        <f>COUNTIFS(tData[SEHTrajectPeriodeDatumTijdVan],"&lt;="&amp;($A354+4/24),tData[SEHTrajectPeriodeDatumTijdTotEnMet],"&gt;"&amp;($A354+4/24))</f>
        <v/>
      </c>
      <c r="I354" s="20">
        <f>COUNTIFS(tData[SEHTrajectPeriodeDatumTijdVan],"&lt;="&amp;($A354+5/24),tData[SEHTrajectPeriodeDatumTijdTotEnMet],"&gt;"&amp;($A354+5/24))</f>
        <v/>
      </c>
      <c r="J354" s="20">
        <f>COUNTIFS(tData[SEHTrajectPeriodeDatumTijdVan],"&lt;="&amp;($A354+6/24),tData[SEHTrajectPeriodeDatumTijdTotEnMet],"&gt;"&amp;($A354+6/24))</f>
        <v/>
      </c>
      <c r="K354" s="20">
        <f>COUNTIFS(tData[SEHTrajectPeriodeDatumTijdVan],"&lt;="&amp;($A354+7/24),tData[SEHTrajectPeriodeDatumTijdTotEnMet],"&gt;"&amp;($A354+7/24))</f>
        <v/>
      </c>
      <c r="L354" s="20">
        <f>COUNTIFS(tData[SEHTrajectPeriodeDatumTijdVan],"&lt;="&amp;($A354+8/24),tData[SEHTrajectPeriodeDatumTijdTotEnMet],"&gt;"&amp;($A354+8/24))</f>
        <v/>
      </c>
      <c r="M354" s="20">
        <f>COUNTIFS(tData[SEHTrajectPeriodeDatumTijdVan],"&lt;="&amp;($A354+9/24),tData[SEHTrajectPeriodeDatumTijdTotEnMet],"&gt;"&amp;($A354+9/24))</f>
        <v/>
      </c>
      <c r="N354" s="20">
        <f>COUNTIFS(tData[SEHTrajectPeriodeDatumTijdVan],"&lt;="&amp;($A354+10/24),tData[SEHTrajectPeriodeDatumTijdTotEnMet],"&gt;"&amp;($A354+10/24))</f>
        <v/>
      </c>
      <c r="O354" s="20">
        <f>COUNTIFS(tData[SEHTrajectPeriodeDatumTijdVan],"&lt;="&amp;($A354+11/24),tData[SEHTrajectPeriodeDatumTijdTotEnMet],"&gt;"&amp;($A354+11/24))</f>
        <v/>
      </c>
      <c r="P354" s="20">
        <f>COUNTIFS(tData[SEHTrajectPeriodeDatumTijdVan],"&lt;="&amp;($A354+12/24),tData[SEHTrajectPeriodeDatumTijdTotEnMet],"&gt;"&amp;($A354+12/24))</f>
        <v/>
      </c>
      <c r="Q354" s="20">
        <f>COUNTIFS(tData[SEHTrajectPeriodeDatumTijdVan],"&lt;="&amp;($A354+13/24),tData[SEHTrajectPeriodeDatumTijdTotEnMet],"&gt;"&amp;($A354+13/24))</f>
        <v/>
      </c>
      <c r="R354" s="20">
        <f>COUNTIFS(tData[SEHTrajectPeriodeDatumTijdVan],"&lt;="&amp;($A354+14/24),tData[SEHTrajectPeriodeDatumTijdTotEnMet],"&gt;"&amp;($A354+14/24))</f>
        <v/>
      </c>
      <c r="S354" s="20">
        <f>COUNTIFS(tData[SEHTrajectPeriodeDatumTijdVan],"&lt;="&amp;($A354+15/24),tData[SEHTrajectPeriodeDatumTijdTotEnMet],"&gt;"&amp;($A354+15/24))</f>
        <v/>
      </c>
      <c r="T354" s="20">
        <f>COUNTIFS(tData[SEHTrajectPeriodeDatumTijdVan],"&lt;="&amp;($A354+16/24),tData[SEHTrajectPeriodeDatumTijdTotEnMet],"&gt;"&amp;($A354+16/24))</f>
        <v/>
      </c>
      <c r="U354" s="20">
        <f>COUNTIFS(tData[SEHTrajectPeriodeDatumTijdVan],"&lt;="&amp;($A354+17/24),tData[SEHTrajectPeriodeDatumTijdTotEnMet],"&gt;"&amp;($A354+17/24))</f>
        <v/>
      </c>
      <c r="V354" s="20">
        <f>COUNTIFS(tData[SEHTrajectPeriodeDatumTijdVan],"&lt;="&amp;($A354+18/24),tData[SEHTrajectPeriodeDatumTijdTotEnMet],"&gt;"&amp;($A354+18/24))</f>
        <v/>
      </c>
      <c r="W354" s="20">
        <f>COUNTIFS(tData[SEHTrajectPeriodeDatumTijdVan],"&lt;="&amp;($A354+19/24),tData[SEHTrajectPeriodeDatumTijdTotEnMet],"&gt;"&amp;($A354+19/24))</f>
        <v/>
      </c>
      <c r="X354" s="20">
        <f>COUNTIFS(tData[SEHTrajectPeriodeDatumTijdVan],"&lt;="&amp;($A354+20/24),tData[SEHTrajectPeriodeDatumTijdTotEnMet],"&gt;"&amp;($A354+20/24))</f>
        <v/>
      </c>
      <c r="Y354" s="20">
        <f>COUNTIFS(tData[SEHTrajectPeriodeDatumTijdVan],"&lt;="&amp;($A354+21/24),tData[SEHTrajectPeriodeDatumTijdTotEnMet],"&gt;"&amp;($A354+21/24))</f>
        <v/>
      </c>
      <c r="Z354" s="20">
        <f>COUNTIFS(tData[SEHTrajectPeriodeDatumTijdVan],"&lt;="&amp;($A354+22/24),tData[SEHTrajectPeriodeDatumTijdTotEnMet],"&gt;"&amp;($A354+22/24))</f>
        <v/>
      </c>
      <c r="AA354" s="20">
        <f>COUNTIFS(tData[SEHTrajectPeriodeDatumTijdVan],"&lt;="&amp;($A354+23/24),tData[SEHTrajectPeriodeDatumTijdTotEnMet],"&gt;"&amp;($A354+23/24))</f>
        <v/>
      </c>
    </row>
    <row r="355">
      <c r="A355" s="19" t="n">
        <v>45643</v>
      </c>
      <c r="B355" s="15">
        <f>WEEKDAY($A355,2)</f>
        <v/>
      </c>
      <c r="C355" s="15">
        <f>IF(AND($A355&gt;=INT(Instellingen!$B$5),$A355&lt;=INT(Instellingen!$B$6)),1,0)</f>
        <v/>
      </c>
      <c r="D355" s="20">
        <f>COUNTIFS(tData[SEHTrajectPeriodeDatumTijdVan],"&lt;="&amp;($A355+0/24),tData[SEHTrajectPeriodeDatumTijdTotEnMet],"&gt;"&amp;($A355+0/24))</f>
        <v/>
      </c>
      <c r="E355" s="20">
        <f>COUNTIFS(tData[SEHTrajectPeriodeDatumTijdVan],"&lt;="&amp;($A355+1/24),tData[SEHTrajectPeriodeDatumTijdTotEnMet],"&gt;"&amp;($A355+1/24))</f>
        <v/>
      </c>
      <c r="F355" s="20">
        <f>COUNTIFS(tData[SEHTrajectPeriodeDatumTijdVan],"&lt;="&amp;($A355+2/24),tData[SEHTrajectPeriodeDatumTijdTotEnMet],"&gt;"&amp;($A355+2/24))</f>
        <v/>
      </c>
      <c r="G355" s="20">
        <f>COUNTIFS(tData[SEHTrajectPeriodeDatumTijdVan],"&lt;="&amp;($A355+3/24),tData[SEHTrajectPeriodeDatumTijdTotEnMet],"&gt;"&amp;($A355+3/24))</f>
        <v/>
      </c>
      <c r="H355" s="20">
        <f>COUNTIFS(tData[SEHTrajectPeriodeDatumTijdVan],"&lt;="&amp;($A355+4/24),tData[SEHTrajectPeriodeDatumTijdTotEnMet],"&gt;"&amp;($A355+4/24))</f>
        <v/>
      </c>
      <c r="I355" s="20">
        <f>COUNTIFS(tData[SEHTrajectPeriodeDatumTijdVan],"&lt;="&amp;($A355+5/24),tData[SEHTrajectPeriodeDatumTijdTotEnMet],"&gt;"&amp;($A355+5/24))</f>
        <v/>
      </c>
      <c r="J355" s="20">
        <f>COUNTIFS(tData[SEHTrajectPeriodeDatumTijdVan],"&lt;="&amp;($A355+6/24),tData[SEHTrajectPeriodeDatumTijdTotEnMet],"&gt;"&amp;($A355+6/24))</f>
        <v/>
      </c>
      <c r="K355" s="20">
        <f>COUNTIFS(tData[SEHTrajectPeriodeDatumTijdVan],"&lt;="&amp;($A355+7/24),tData[SEHTrajectPeriodeDatumTijdTotEnMet],"&gt;"&amp;($A355+7/24))</f>
        <v/>
      </c>
      <c r="L355" s="20">
        <f>COUNTIFS(tData[SEHTrajectPeriodeDatumTijdVan],"&lt;="&amp;($A355+8/24),tData[SEHTrajectPeriodeDatumTijdTotEnMet],"&gt;"&amp;($A355+8/24))</f>
        <v/>
      </c>
      <c r="M355" s="20">
        <f>COUNTIFS(tData[SEHTrajectPeriodeDatumTijdVan],"&lt;="&amp;($A355+9/24),tData[SEHTrajectPeriodeDatumTijdTotEnMet],"&gt;"&amp;($A355+9/24))</f>
        <v/>
      </c>
      <c r="N355" s="20">
        <f>COUNTIFS(tData[SEHTrajectPeriodeDatumTijdVan],"&lt;="&amp;($A355+10/24),tData[SEHTrajectPeriodeDatumTijdTotEnMet],"&gt;"&amp;($A355+10/24))</f>
        <v/>
      </c>
      <c r="O355" s="20">
        <f>COUNTIFS(tData[SEHTrajectPeriodeDatumTijdVan],"&lt;="&amp;($A355+11/24),tData[SEHTrajectPeriodeDatumTijdTotEnMet],"&gt;"&amp;($A355+11/24))</f>
        <v/>
      </c>
      <c r="P355" s="20">
        <f>COUNTIFS(tData[SEHTrajectPeriodeDatumTijdVan],"&lt;="&amp;($A355+12/24),tData[SEHTrajectPeriodeDatumTijdTotEnMet],"&gt;"&amp;($A355+12/24))</f>
        <v/>
      </c>
      <c r="Q355" s="20">
        <f>COUNTIFS(tData[SEHTrajectPeriodeDatumTijdVan],"&lt;="&amp;($A355+13/24),tData[SEHTrajectPeriodeDatumTijdTotEnMet],"&gt;"&amp;($A355+13/24))</f>
        <v/>
      </c>
      <c r="R355" s="20">
        <f>COUNTIFS(tData[SEHTrajectPeriodeDatumTijdVan],"&lt;="&amp;($A355+14/24),tData[SEHTrajectPeriodeDatumTijdTotEnMet],"&gt;"&amp;($A355+14/24))</f>
        <v/>
      </c>
      <c r="S355" s="20">
        <f>COUNTIFS(tData[SEHTrajectPeriodeDatumTijdVan],"&lt;="&amp;($A355+15/24),tData[SEHTrajectPeriodeDatumTijdTotEnMet],"&gt;"&amp;($A355+15/24))</f>
        <v/>
      </c>
      <c r="T355" s="20">
        <f>COUNTIFS(tData[SEHTrajectPeriodeDatumTijdVan],"&lt;="&amp;($A355+16/24),tData[SEHTrajectPeriodeDatumTijdTotEnMet],"&gt;"&amp;($A355+16/24))</f>
        <v/>
      </c>
      <c r="U355" s="20">
        <f>COUNTIFS(tData[SEHTrajectPeriodeDatumTijdVan],"&lt;="&amp;($A355+17/24),tData[SEHTrajectPeriodeDatumTijdTotEnMet],"&gt;"&amp;($A355+17/24))</f>
        <v/>
      </c>
      <c r="V355" s="20">
        <f>COUNTIFS(tData[SEHTrajectPeriodeDatumTijdVan],"&lt;="&amp;($A355+18/24),tData[SEHTrajectPeriodeDatumTijdTotEnMet],"&gt;"&amp;($A355+18/24))</f>
        <v/>
      </c>
      <c r="W355" s="20">
        <f>COUNTIFS(tData[SEHTrajectPeriodeDatumTijdVan],"&lt;="&amp;($A355+19/24),tData[SEHTrajectPeriodeDatumTijdTotEnMet],"&gt;"&amp;($A355+19/24))</f>
        <v/>
      </c>
      <c r="X355" s="20">
        <f>COUNTIFS(tData[SEHTrajectPeriodeDatumTijdVan],"&lt;="&amp;($A355+20/24),tData[SEHTrajectPeriodeDatumTijdTotEnMet],"&gt;"&amp;($A355+20/24))</f>
        <v/>
      </c>
      <c r="Y355" s="20">
        <f>COUNTIFS(tData[SEHTrajectPeriodeDatumTijdVan],"&lt;="&amp;($A355+21/24),tData[SEHTrajectPeriodeDatumTijdTotEnMet],"&gt;"&amp;($A355+21/24))</f>
        <v/>
      </c>
      <c r="Z355" s="20">
        <f>COUNTIFS(tData[SEHTrajectPeriodeDatumTijdVan],"&lt;="&amp;($A355+22/24),tData[SEHTrajectPeriodeDatumTijdTotEnMet],"&gt;"&amp;($A355+22/24))</f>
        <v/>
      </c>
      <c r="AA355" s="20">
        <f>COUNTIFS(tData[SEHTrajectPeriodeDatumTijdVan],"&lt;="&amp;($A355+23/24),tData[SEHTrajectPeriodeDatumTijdTotEnMet],"&gt;"&amp;($A355+23/24))</f>
        <v/>
      </c>
    </row>
    <row r="356">
      <c r="A356" s="19" t="n">
        <v>45644</v>
      </c>
      <c r="B356" s="15">
        <f>WEEKDAY($A356,2)</f>
        <v/>
      </c>
      <c r="C356" s="15">
        <f>IF(AND($A356&gt;=INT(Instellingen!$B$5),$A356&lt;=INT(Instellingen!$B$6)),1,0)</f>
        <v/>
      </c>
      <c r="D356" s="20">
        <f>COUNTIFS(tData[SEHTrajectPeriodeDatumTijdVan],"&lt;="&amp;($A356+0/24),tData[SEHTrajectPeriodeDatumTijdTotEnMet],"&gt;"&amp;($A356+0/24))</f>
        <v/>
      </c>
      <c r="E356" s="20">
        <f>COUNTIFS(tData[SEHTrajectPeriodeDatumTijdVan],"&lt;="&amp;($A356+1/24),tData[SEHTrajectPeriodeDatumTijdTotEnMet],"&gt;"&amp;($A356+1/24))</f>
        <v/>
      </c>
      <c r="F356" s="20">
        <f>COUNTIFS(tData[SEHTrajectPeriodeDatumTijdVan],"&lt;="&amp;($A356+2/24),tData[SEHTrajectPeriodeDatumTijdTotEnMet],"&gt;"&amp;($A356+2/24))</f>
        <v/>
      </c>
      <c r="G356" s="20">
        <f>COUNTIFS(tData[SEHTrajectPeriodeDatumTijdVan],"&lt;="&amp;($A356+3/24),tData[SEHTrajectPeriodeDatumTijdTotEnMet],"&gt;"&amp;($A356+3/24))</f>
        <v/>
      </c>
      <c r="H356" s="20">
        <f>COUNTIFS(tData[SEHTrajectPeriodeDatumTijdVan],"&lt;="&amp;($A356+4/24),tData[SEHTrajectPeriodeDatumTijdTotEnMet],"&gt;"&amp;($A356+4/24))</f>
        <v/>
      </c>
      <c r="I356" s="20">
        <f>COUNTIFS(tData[SEHTrajectPeriodeDatumTijdVan],"&lt;="&amp;($A356+5/24),tData[SEHTrajectPeriodeDatumTijdTotEnMet],"&gt;"&amp;($A356+5/24))</f>
        <v/>
      </c>
      <c r="J356" s="20">
        <f>COUNTIFS(tData[SEHTrajectPeriodeDatumTijdVan],"&lt;="&amp;($A356+6/24),tData[SEHTrajectPeriodeDatumTijdTotEnMet],"&gt;"&amp;($A356+6/24))</f>
        <v/>
      </c>
      <c r="K356" s="20">
        <f>COUNTIFS(tData[SEHTrajectPeriodeDatumTijdVan],"&lt;="&amp;($A356+7/24),tData[SEHTrajectPeriodeDatumTijdTotEnMet],"&gt;"&amp;($A356+7/24))</f>
        <v/>
      </c>
      <c r="L356" s="20">
        <f>COUNTIFS(tData[SEHTrajectPeriodeDatumTijdVan],"&lt;="&amp;($A356+8/24),tData[SEHTrajectPeriodeDatumTijdTotEnMet],"&gt;"&amp;($A356+8/24))</f>
        <v/>
      </c>
      <c r="M356" s="20">
        <f>COUNTIFS(tData[SEHTrajectPeriodeDatumTijdVan],"&lt;="&amp;($A356+9/24),tData[SEHTrajectPeriodeDatumTijdTotEnMet],"&gt;"&amp;($A356+9/24))</f>
        <v/>
      </c>
      <c r="N356" s="20">
        <f>COUNTIFS(tData[SEHTrajectPeriodeDatumTijdVan],"&lt;="&amp;($A356+10/24),tData[SEHTrajectPeriodeDatumTijdTotEnMet],"&gt;"&amp;($A356+10/24))</f>
        <v/>
      </c>
      <c r="O356" s="20">
        <f>COUNTIFS(tData[SEHTrajectPeriodeDatumTijdVan],"&lt;="&amp;($A356+11/24),tData[SEHTrajectPeriodeDatumTijdTotEnMet],"&gt;"&amp;($A356+11/24))</f>
        <v/>
      </c>
      <c r="P356" s="20">
        <f>COUNTIFS(tData[SEHTrajectPeriodeDatumTijdVan],"&lt;="&amp;($A356+12/24),tData[SEHTrajectPeriodeDatumTijdTotEnMet],"&gt;"&amp;($A356+12/24))</f>
        <v/>
      </c>
      <c r="Q356" s="20">
        <f>COUNTIFS(tData[SEHTrajectPeriodeDatumTijdVan],"&lt;="&amp;($A356+13/24),tData[SEHTrajectPeriodeDatumTijdTotEnMet],"&gt;"&amp;($A356+13/24))</f>
        <v/>
      </c>
      <c r="R356" s="20">
        <f>COUNTIFS(tData[SEHTrajectPeriodeDatumTijdVan],"&lt;="&amp;($A356+14/24),tData[SEHTrajectPeriodeDatumTijdTotEnMet],"&gt;"&amp;($A356+14/24))</f>
        <v/>
      </c>
      <c r="S356" s="20">
        <f>COUNTIFS(tData[SEHTrajectPeriodeDatumTijdVan],"&lt;="&amp;($A356+15/24),tData[SEHTrajectPeriodeDatumTijdTotEnMet],"&gt;"&amp;($A356+15/24))</f>
        <v/>
      </c>
      <c r="T356" s="20">
        <f>COUNTIFS(tData[SEHTrajectPeriodeDatumTijdVan],"&lt;="&amp;($A356+16/24),tData[SEHTrajectPeriodeDatumTijdTotEnMet],"&gt;"&amp;($A356+16/24))</f>
        <v/>
      </c>
      <c r="U356" s="20">
        <f>COUNTIFS(tData[SEHTrajectPeriodeDatumTijdVan],"&lt;="&amp;($A356+17/24),tData[SEHTrajectPeriodeDatumTijdTotEnMet],"&gt;"&amp;($A356+17/24))</f>
        <v/>
      </c>
      <c r="V356" s="20">
        <f>COUNTIFS(tData[SEHTrajectPeriodeDatumTijdVan],"&lt;="&amp;($A356+18/24),tData[SEHTrajectPeriodeDatumTijdTotEnMet],"&gt;"&amp;($A356+18/24))</f>
        <v/>
      </c>
      <c r="W356" s="20">
        <f>COUNTIFS(tData[SEHTrajectPeriodeDatumTijdVan],"&lt;="&amp;($A356+19/24),tData[SEHTrajectPeriodeDatumTijdTotEnMet],"&gt;"&amp;($A356+19/24))</f>
        <v/>
      </c>
      <c r="X356" s="20">
        <f>COUNTIFS(tData[SEHTrajectPeriodeDatumTijdVan],"&lt;="&amp;($A356+20/24),tData[SEHTrajectPeriodeDatumTijdTotEnMet],"&gt;"&amp;($A356+20/24))</f>
        <v/>
      </c>
      <c r="Y356" s="20">
        <f>COUNTIFS(tData[SEHTrajectPeriodeDatumTijdVan],"&lt;="&amp;($A356+21/24),tData[SEHTrajectPeriodeDatumTijdTotEnMet],"&gt;"&amp;($A356+21/24))</f>
        <v/>
      </c>
      <c r="Z356" s="20">
        <f>COUNTIFS(tData[SEHTrajectPeriodeDatumTijdVan],"&lt;="&amp;($A356+22/24),tData[SEHTrajectPeriodeDatumTijdTotEnMet],"&gt;"&amp;($A356+22/24))</f>
        <v/>
      </c>
      <c r="AA356" s="20">
        <f>COUNTIFS(tData[SEHTrajectPeriodeDatumTijdVan],"&lt;="&amp;($A356+23/24),tData[SEHTrajectPeriodeDatumTijdTotEnMet],"&gt;"&amp;($A356+23/24))</f>
        <v/>
      </c>
    </row>
    <row r="357">
      <c r="A357" s="19" t="n">
        <v>45645</v>
      </c>
      <c r="B357" s="15">
        <f>WEEKDAY($A357,2)</f>
        <v/>
      </c>
      <c r="C357" s="15">
        <f>IF(AND($A357&gt;=INT(Instellingen!$B$5),$A357&lt;=INT(Instellingen!$B$6)),1,0)</f>
        <v/>
      </c>
      <c r="D357" s="20">
        <f>COUNTIFS(tData[SEHTrajectPeriodeDatumTijdVan],"&lt;="&amp;($A357+0/24),tData[SEHTrajectPeriodeDatumTijdTotEnMet],"&gt;"&amp;($A357+0/24))</f>
        <v/>
      </c>
      <c r="E357" s="20">
        <f>COUNTIFS(tData[SEHTrajectPeriodeDatumTijdVan],"&lt;="&amp;($A357+1/24),tData[SEHTrajectPeriodeDatumTijdTotEnMet],"&gt;"&amp;($A357+1/24))</f>
        <v/>
      </c>
      <c r="F357" s="20">
        <f>COUNTIFS(tData[SEHTrajectPeriodeDatumTijdVan],"&lt;="&amp;($A357+2/24),tData[SEHTrajectPeriodeDatumTijdTotEnMet],"&gt;"&amp;($A357+2/24))</f>
        <v/>
      </c>
      <c r="G357" s="20">
        <f>COUNTIFS(tData[SEHTrajectPeriodeDatumTijdVan],"&lt;="&amp;($A357+3/24),tData[SEHTrajectPeriodeDatumTijdTotEnMet],"&gt;"&amp;($A357+3/24))</f>
        <v/>
      </c>
      <c r="H357" s="20">
        <f>COUNTIFS(tData[SEHTrajectPeriodeDatumTijdVan],"&lt;="&amp;($A357+4/24),tData[SEHTrajectPeriodeDatumTijdTotEnMet],"&gt;"&amp;($A357+4/24))</f>
        <v/>
      </c>
      <c r="I357" s="20">
        <f>COUNTIFS(tData[SEHTrajectPeriodeDatumTijdVan],"&lt;="&amp;($A357+5/24),tData[SEHTrajectPeriodeDatumTijdTotEnMet],"&gt;"&amp;($A357+5/24))</f>
        <v/>
      </c>
      <c r="J357" s="20">
        <f>COUNTIFS(tData[SEHTrajectPeriodeDatumTijdVan],"&lt;="&amp;($A357+6/24),tData[SEHTrajectPeriodeDatumTijdTotEnMet],"&gt;"&amp;($A357+6/24))</f>
        <v/>
      </c>
      <c r="K357" s="20">
        <f>COUNTIFS(tData[SEHTrajectPeriodeDatumTijdVan],"&lt;="&amp;($A357+7/24),tData[SEHTrajectPeriodeDatumTijdTotEnMet],"&gt;"&amp;($A357+7/24))</f>
        <v/>
      </c>
      <c r="L357" s="20">
        <f>COUNTIFS(tData[SEHTrajectPeriodeDatumTijdVan],"&lt;="&amp;($A357+8/24),tData[SEHTrajectPeriodeDatumTijdTotEnMet],"&gt;"&amp;($A357+8/24))</f>
        <v/>
      </c>
      <c r="M357" s="20">
        <f>COUNTIFS(tData[SEHTrajectPeriodeDatumTijdVan],"&lt;="&amp;($A357+9/24),tData[SEHTrajectPeriodeDatumTijdTotEnMet],"&gt;"&amp;($A357+9/24))</f>
        <v/>
      </c>
      <c r="N357" s="20">
        <f>COUNTIFS(tData[SEHTrajectPeriodeDatumTijdVan],"&lt;="&amp;($A357+10/24),tData[SEHTrajectPeriodeDatumTijdTotEnMet],"&gt;"&amp;($A357+10/24))</f>
        <v/>
      </c>
      <c r="O357" s="20">
        <f>COUNTIFS(tData[SEHTrajectPeriodeDatumTijdVan],"&lt;="&amp;($A357+11/24),tData[SEHTrajectPeriodeDatumTijdTotEnMet],"&gt;"&amp;($A357+11/24))</f>
        <v/>
      </c>
      <c r="P357" s="20">
        <f>COUNTIFS(tData[SEHTrajectPeriodeDatumTijdVan],"&lt;="&amp;($A357+12/24),tData[SEHTrajectPeriodeDatumTijdTotEnMet],"&gt;"&amp;($A357+12/24))</f>
        <v/>
      </c>
      <c r="Q357" s="20">
        <f>COUNTIFS(tData[SEHTrajectPeriodeDatumTijdVan],"&lt;="&amp;($A357+13/24),tData[SEHTrajectPeriodeDatumTijdTotEnMet],"&gt;"&amp;($A357+13/24))</f>
        <v/>
      </c>
      <c r="R357" s="20">
        <f>COUNTIFS(tData[SEHTrajectPeriodeDatumTijdVan],"&lt;="&amp;($A357+14/24),tData[SEHTrajectPeriodeDatumTijdTotEnMet],"&gt;"&amp;($A357+14/24))</f>
        <v/>
      </c>
      <c r="S357" s="20">
        <f>COUNTIFS(tData[SEHTrajectPeriodeDatumTijdVan],"&lt;="&amp;($A357+15/24),tData[SEHTrajectPeriodeDatumTijdTotEnMet],"&gt;"&amp;($A357+15/24))</f>
        <v/>
      </c>
      <c r="T357" s="20">
        <f>COUNTIFS(tData[SEHTrajectPeriodeDatumTijdVan],"&lt;="&amp;($A357+16/24),tData[SEHTrajectPeriodeDatumTijdTotEnMet],"&gt;"&amp;($A357+16/24))</f>
        <v/>
      </c>
      <c r="U357" s="20">
        <f>COUNTIFS(tData[SEHTrajectPeriodeDatumTijdVan],"&lt;="&amp;($A357+17/24),tData[SEHTrajectPeriodeDatumTijdTotEnMet],"&gt;"&amp;($A357+17/24))</f>
        <v/>
      </c>
      <c r="V357" s="20">
        <f>COUNTIFS(tData[SEHTrajectPeriodeDatumTijdVan],"&lt;="&amp;($A357+18/24),tData[SEHTrajectPeriodeDatumTijdTotEnMet],"&gt;"&amp;($A357+18/24))</f>
        <v/>
      </c>
      <c r="W357" s="20">
        <f>COUNTIFS(tData[SEHTrajectPeriodeDatumTijdVan],"&lt;="&amp;($A357+19/24),tData[SEHTrajectPeriodeDatumTijdTotEnMet],"&gt;"&amp;($A357+19/24))</f>
        <v/>
      </c>
      <c r="X357" s="20">
        <f>COUNTIFS(tData[SEHTrajectPeriodeDatumTijdVan],"&lt;="&amp;($A357+20/24),tData[SEHTrajectPeriodeDatumTijdTotEnMet],"&gt;"&amp;($A357+20/24))</f>
        <v/>
      </c>
      <c r="Y357" s="20">
        <f>COUNTIFS(tData[SEHTrajectPeriodeDatumTijdVan],"&lt;="&amp;($A357+21/24),tData[SEHTrajectPeriodeDatumTijdTotEnMet],"&gt;"&amp;($A357+21/24))</f>
        <v/>
      </c>
      <c r="Z357" s="20">
        <f>COUNTIFS(tData[SEHTrajectPeriodeDatumTijdVan],"&lt;="&amp;($A357+22/24),tData[SEHTrajectPeriodeDatumTijdTotEnMet],"&gt;"&amp;($A357+22/24))</f>
        <v/>
      </c>
      <c r="AA357" s="20">
        <f>COUNTIFS(tData[SEHTrajectPeriodeDatumTijdVan],"&lt;="&amp;($A357+23/24),tData[SEHTrajectPeriodeDatumTijdTotEnMet],"&gt;"&amp;($A357+23/24))</f>
        <v/>
      </c>
    </row>
    <row r="358">
      <c r="A358" s="19" t="n">
        <v>45646</v>
      </c>
      <c r="B358" s="15">
        <f>WEEKDAY($A358,2)</f>
        <v/>
      </c>
      <c r="C358" s="15">
        <f>IF(AND($A358&gt;=INT(Instellingen!$B$5),$A358&lt;=INT(Instellingen!$B$6)),1,0)</f>
        <v/>
      </c>
      <c r="D358" s="20">
        <f>COUNTIFS(tData[SEHTrajectPeriodeDatumTijdVan],"&lt;="&amp;($A358+0/24),tData[SEHTrajectPeriodeDatumTijdTotEnMet],"&gt;"&amp;($A358+0/24))</f>
        <v/>
      </c>
      <c r="E358" s="20">
        <f>COUNTIFS(tData[SEHTrajectPeriodeDatumTijdVan],"&lt;="&amp;($A358+1/24),tData[SEHTrajectPeriodeDatumTijdTotEnMet],"&gt;"&amp;($A358+1/24))</f>
        <v/>
      </c>
      <c r="F358" s="20">
        <f>COUNTIFS(tData[SEHTrajectPeriodeDatumTijdVan],"&lt;="&amp;($A358+2/24),tData[SEHTrajectPeriodeDatumTijdTotEnMet],"&gt;"&amp;($A358+2/24))</f>
        <v/>
      </c>
      <c r="G358" s="20">
        <f>COUNTIFS(tData[SEHTrajectPeriodeDatumTijdVan],"&lt;="&amp;($A358+3/24),tData[SEHTrajectPeriodeDatumTijdTotEnMet],"&gt;"&amp;($A358+3/24))</f>
        <v/>
      </c>
      <c r="H358" s="20">
        <f>COUNTIFS(tData[SEHTrajectPeriodeDatumTijdVan],"&lt;="&amp;($A358+4/24),tData[SEHTrajectPeriodeDatumTijdTotEnMet],"&gt;"&amp;($A358+4/24))</f>
        <v/>
      </c>
      <c r="I358" s="20">
        <f>COUNTIFS(tData[SEHTrajectPeriodeDatumTijdVan],"&lt;="&amp;($A358+5/24),tData[SEHTrajectPeriodeDatumTijdTotEnMet],"&gt;"&amp;($A358+5/24))</f>
        <v/>
      </c>
      <c r="J358" s="20">
        <f>COUNTIFS(tData[SEHTrajectPeriodeDatumTijdVan],"&lt;="&amp;($A358+6/24),tData[SEHTrajectPeriodeDatumTijdTotEnMet],"&gt;"&amp;($A358+6/24))</f>
        <v/>
      </c>
      <c r="K358" s="20">
        <f>COUNTIFS(tData[SEHTrajectPeriodeDatumTijdVan],"&lt;="&amp;($A358+7/24),tData[SEHTrajectPeriodeDatumTijdTotEnMet],"&gt;"&amp;($A358+7/24))</f>
        <v/>
      </c>
      <c r="L358" s="20">
        <f>COUNTIFS(tData[SEHTrajectPeriodeDatumTijdVan],"&lt;="&amp;($A358+8/24),tData[SEHTrajectPeriodeDatumTijdTotEnMet],"&gt;"&amp;($A358+8/24))</f>
        <v/>
      </c>
      <c r="M358" s="20">
        <f>COUNTIFS(tData[SEHTrajectPeriodeDatumTijdVan],"&lt;="&amp;($A358+9/24),tData[SEHTrajectPeriodeDatumTijdTotEnMet],"&gt;"&amp;($A358+9/24))</f>
        <v/>
      </c>
      <c r="N358" s="20">
        <f>COUNTIFS(tData[SEHTrajectPeriodeDatumTijdVan],"&lt;="&amp;($A358+10/24),tData[SEHTrajectPeriodeDatumTijdTotEnMet],"&gt;"&amp;($A358+10/24))</f>
        <v/>
      </c>
      <c r="O358" s="20">
        <f>COUNTIFS(tData[SEHTrajectPeriodeDatumTijdVan],"&lt;="&amp;($A358+11/24),tData[SEHTrajectPeriodeDatumTijdTotEnMet],"&gt;"&amp;($A358+11/24))</f>
        <v/>
      </c>
      <c r="P358" s="20">
        <f>COUNTIFS(tData[SEHTrajectPeriodeDatumTijdVan],"&lt;="&amp;($A358+12/24),tData[SEHTrajectPeriodeDatumTijdTotEnMet],"&gt;"&amp;($A358+12/24))</f>
        <v/>
      </c>
      <c r="Q358" s="20">
        <f>COUNTIFS(tData[SEHTrajectPeriodeDatumTijdVan],"&lt;="&amp;($A358+13/24),tData[SEHTrajectPeriodeDatumTijdTotEnMet],"&gt;"&amp;($A358+13/24))</f>
        <v/>
      </c>
      <c r="R358" s="20">
        <f>COUNTIFS(tData[SEHTrajectPeriodeDatumTijdVan],"&lt;="&amp;($A358+14/24),tData[SEHTrajectPeriodeDatumTijdTotEnMet],"&gt;"&amp;($A358+14/24))</f>
        <v/>
      </c>
      <c r="S358" s="20">
        <f>COUNTIFS(tData[SEHTrajectPeriodeDatumTijdVan],"&lt;="&amp;($A358+15/24),tData[SEHTrajectPeriodeDatumTijdTotEnMet],"&gt;"&amp;($A358+15/24))</f>
        <v/>
      </c>
      <c r="T358" s="20">
        <f>COUNTIFS(tData[SEHTrajectPeriodeDatumTijdVan],"&lt;="&amp;($A358+16/24),tData[SEHTrajectPeriodeDatumTijdTotEnMet],"&gt;"&amp;($A358+16/24))</f>
        <v/>
      </c>
      <c r="U358" s="20">
        <f>COUNTIFS(tData[SEHTrajectPeriodeDatumTijdVan],"&lt;="&amp;($A358+17/24),tData[SEHTrajectPeriodeDatumTijdTotEnMet],"&gt;"&amp;($A358+17/24))</f>
        <v/>
      </c>
      <c r="V358" s="20">
        <f>COUNTIFS(tData[SEHTrajectPeriodeDatumTijdVan],"&lt;="&amp;($A358+18/24),tData[SEHTrajectPeriodeDatumTijdTotEnMet],"&gt;"&amp;($A358+18/24))</f>
        <v/>
      </c>
      <c r="W358" s="20">
        <f>COUNTIFS(tData[SEHTrajectPeriodeDatumTijdVan],"&lt;="&amp;($A358+19/24),tData[SEHTrajectPeriodeDatumTijdTotEnMet],"&gt;"&amp;($A358+19/24))</f>
        <v/>
      </c>
      <c r="X358" s="20">
        <f>COUNTIFS(tData[SEHTrajectPeriodeDatumTijdVan],"&lt;="&amp;($A358+20/24),tData[SEHTrajectPeriodeDatumTijdTotEnMet],"&gt;"&amp;($A358+20/24))</f>
        <v/>
      </c>
      <c r="Y358" s="20">
        <f>COUNTIFS(tData[SEHTrajectPeriodeDatumTijdVan],"&lt;="&amp;($A358+21/24),tData[SEHTrajectPeriodeDatumTijdTotEnMet],"&gt;"&amp;($A358+21/24))</f>
        <v/>
      </c>
      <c r="Z358" s="20">
        <f>COUNTIFS(tData[SEHTrajectPeriodeDatumTijdVan],"&lt;="&amp;($A358+22/24),tData[SEHTrajectPeriodeDatumTijdTotEnMet],"&gt;"&amp;($A358+22/24))</f>
        <v/>
      </c>
      <c r="AA358" s="20">
        <f>COUNTIFS(tData[SEHTrajectPeriodeDatumTijdVan],"&lt;="&amp;($A358+23/24),tData[SEHTrajectPeriodeDatumTijdTotEnMet],"&gt;"&amp;($A358+23/24))</f>
        <v/>
      </c>
    </row>
    <row r="359">
      <c r="A359" s="19" t="n">
        <v>45647</v>
      </c>
      <c r="B359" s="15">
        <f>WEEKDAY($A359,2)</f>
        <v/>
      </c>
      <c r="C359" s="15">
        <f>IF(AND($A359&gt;=INT(Instellingen!$B$5),$A359&lt;=INT(Instellingen!$B$6)),1,0)</f>
        <v/>
      </c>
      <c r="D359" s="20">
        <f>COUNTIFS(tData[SEHTrajectPeriodeDatumTijdVan],"&lt;="&amp;($A359+0/24),tData[SEHTrajectPeriodeDatumTijdTotEnMet],"&gt;"&amp;($A359+0/24))</f>
        <v/>
      </c>
      <c r="E359" s="20">
        <f>COUNTIFS(tData[SEHTrajectPeriodeDatumTijdVan],"&lt;="&amp;($A359+1/24),tData[SEHTrajectPeriodeDatumTijdTotEnMet],"&gt;"&amp;($A359+1/24))</f>
        <v/>
      </c>
      <c r="F359" s="20">
        <f>COUNTIFS(tData[SEHTrajectPeriodeDatumTijdVan],"&lt;="&amp;($A359+2/24),tData[SEHTrajectPeriodeDatumTijdTotEnMet],"&gt;"&amp;($A359+2/24))</f>
        <v/>
      </c>
      <c r="G359" s="20">
        <f>COUNTIFS(tData[SEHTrajectPeriodeDatumTijdVan],"&lt;="&amp;($A359+3/24),tData[SEHTrajectPeriodeDatumTijdTotEnMet],"&gt;"&amp;($A359+3/24))</f>
        <v/>
      </c>
      <c r="H359" s="20">
        <f>COUNTIFS(tData[SEHTrajectPeriodeDatumTijdVan],"&lt;="&amp;($A359+4/24),tData[SEHTrajectPeriodeDatumTijdTotEnMet],"&gt;"&amp;($A359+4/24))</f>
        <v/>
      </c>
      <c r="I359" s="20">
        <f>COUNTIFS(tData[SEHTrajectPeriodeDatumTijdVan],"&lt;="&amp;($A359+5/24),tData[SEHTrajectPeriodeDatumTijdTotEnMet],"&gt;"&amp;($A359+5/24))</f>
        <v/>
      </c>
      <c r="J359" s="20">
        <f>COUNTIFS(tData[SEHTrajectPeriodeDatumTijdVan],"&lt;="&amp;($A359+6/24),tData[SEHTrajectPeriodeDatumTijdTotEnMet],"&gt;"&amp;($A359+6/24))</f>
        <v/>
      </c>
      <c r="K359" s="20">
        <f>COUNTIFS(tData[SEHTrajectPeriodeDatumTijdVan],"&lt;="&amp;($A359+7/24),tData[SEHTrajectPeriodeDatumTijdTotEnMet],"&gt;"&amp;($A359+7/24))</f>
        <v/>
      </c>
      <c r="L359" s="20">
        <f>COUNTIFS(tData[SEHTrajectPeriodeDatumTijdVan],"&lt;="&amp;($A359+8/24),tData[SEHTrajectPeriodeDatumTijdTotEnMet],"&gt;"&amp;($A359+8/24))</f>
        <v/>
      </c>
      <c r="M359" s="20">
        <f>COUNTIFS(tData[SEHTrajectPeriodeDatumTijdVan],"&lt;="&amp;($A359+9/24),tData[SEHTrajectPeriodeDatumTijdTotEnMet],"&gt;"&amp;($A359+9/24))</f>
        <v/>
      </c>
      <c r="N359" s="20">
        <f>COUNTIFS(tData[SEHTrajectPeriodeDatumTijdVan],"&lt;="&amp;($A359+10/24),tData[SEHTrajectPeriodeDatumTijdTotEnMet],"&gt;"&amp;($A359+10/24))</f>
        <v/>
      </c>
      <c r="O359" s="20">
        <f>COUNTIFS(tData[SEHTrajectPeriodeDatumTijdVan],"&lt;="&amp;($A359+11/24),tData[SEHTrajectPeriodeDatumTijdTotEnMet],"&gt;"&amp;($A359+11/24))</f>
        <v/>
      </c>
      <c r="P359" s="20">
        <f>COUNTIFS(tData[SEHTrajectPeriodeDatumTijdVan],"&lt;="&amp;($A359+12/24),tData[SEHTrajectPeriodeDatumTijdTotEnMet],"&gt;"&amp;($A359+12/24))</f>
        <v/>
      </c>
      <c r="Q359" s="20">
        <f>COUNTIFS(tData[SEHTrajectPeriodeDatumTijdVan],"&lt;="&amp;($A359+13/24),tData[SEHTrajectPeriodeDatumTijdTotEnMet],"&gt;"&amp;($A359+13/24))</f>
        <v/>
      </c>
      <c r="R359" s="20">
        <f>COUNTIFS(tData[SEHTrajectPeriodeDatumTijdVan],"&lt;="&amp;($A359+14/24),tData[SEHTrajectPeriodeDatumTijdTotEnMet],"&gt;"&amp;($A359+14/24))</f>
        <v/>
      </c>
      <c r="S359" s="20">
        <f>COUNTIFS(tData[SEHTrajectPeriodeDatumTijdVan],"&lt;="&amp;($A359+15/24),tData[SEHTrajectPeriodeDatumTijdTotEnMet],"&gt;"&amp;($A359+15/24))</f>
        <v/>
      </c>
      <c r="T359" s="20">
        <f>COUNTIFS(tData[SEHTrajectPeriodeDatumTijdVan],"&lt;="&amp;($A359+16/24),tData[SEHTrajectPeriodeDatumTijdTotEnMet],"&gt;"&amp;($A359+16/24))</f>
        <v/>
      </c>
      <c r="U359" s="20">
        <f>COUNTIFS(tData[SEHTrajectPeriodeDatumTijdVan],"&lt;="&amp;($A359+17/24),tData[SEHTrajectPeriodeDatumTijdTotEnMet],"&gt;"&amp;($A359+17/24))</f>
        <v/>
      </c>
      <c r="V359" s="20">
        <f>COUNTIFS(tData[SEHTrajectPeriodeDatumTijdVan],"&lt;="&amp;($A359+18/24),tData[SEHTrajectPeriodeDatumTijdTotEnMet],"&gt;"&amp;($A359+18/24))</f>
        <v/>
      </c>
      <c r="W359" s="20">
        <f>COUNTIFS(tData[SEHTrajectPeriodeDatumTijdVan],"&lt;="&amp;($A359+19/24),tData[SEHTrajectPeriodeDatumTijdTotEnMet],"&gt;"&amp;($A359+19/24))</f>
        <v/>
      </c>
      <c r="X359" s="20">
        <f>COUNTIFS(tData[SEHTrajectPeriodeDatumTijdVan],"&lt;="&amp;($A359+20/24),tData[SEHTrajectPeriodeDatumTijdTotEnMet],"&gt;"&amp;($A359+20/24))</f>
        <v/>
      </c>
      <c r="Y359" s="20">
        <f>COUNTIFS(tData[SEHTrajectPeriodeDatumTijdVan],"&lt;="&amp;($A359+21/24),tData[SEHTrajectPeriodeDatumTijdTotEnMet],"&gt;"&amp;($A359+21/24))</f>
        <v/>
      </c>
      <c r="Z359" s="20">
        <f>COUNTIFS(tData[SEHTrajectPeriodeDatumTijdVan],"&lt;="&amp;($A359+22/24),tData[SEHTrajectPeriodeDatumTijdTotEnMet],"&gt;"&amp;($A359+22/24))</f>
        <v/>
      </c>
      <c r="AA359" s="20">
        <f>COUNTIFS(tData[SEHTrajectPeriodeDatumTijdVan],"&lt;="&amp;($A359+23/24),tData[SEHTrajectPeriodeDatumTijdTotEnMet],"&gt;"&amp;($A359+23/24))</f>
        <v/>
      </c>
    </row>
    <row r="360">
      <c r="A360" s="19" t="n">
        <v>45648</v>
      </c>
      <c r="B360" s="15">
        <f>WEEKDAY($A360,2)</f>
        <v/>
      </c>
      <c r="C360" s="15">
        <f>IF(AND($A360&gt;=INT(Instellingen!$B$5),$A360&lt;=INT(Instellingen!$B$6)),1,0)</f>
        <v/>
      </c>
      <c r="D360" s="20">
        <f>COUNTIFS(tData[SEHTrajectPeriodeDatumTijdVan],"&lt;="&amp;($A360+0/24),tData[SEHTrajectPeriodeDatumTijdTotEnMet],"&gt;"&amp;($A360+0/24))</f>
        <v/>
      </c>
      <c r="E360" s="20">
        <f>COUNTIFS(tData[SEHTrajectPeriodeDatumTijdVan],"&lt;="&amp;($A360+1/24),tData[SEHTrajectPeriodeDatumTijdTotEnMet],"&gt;"&amp;($A360+1/24))</f>
        <v/>
      </c>
      <c r="F360" s="20">
        <f>COUNTIFS(tData[SEHTrajectPeriodeDatumTijdVan],"&lt;="&amp;($A360+2/24),tData[SEHTrajectPeriodeDatumTijdTotEnMet],"&gt;"&amp;($A360+2/24))</f>
        <v/>
      </c>
      <c r="G360" s="20">
        <f>COUNTIFS(tData[SEHTrajectPeriodeDatumTijdVan],"&lt;="&amp;($A360+3/24),tData[SEHTrajectPeriodeDatumTijdTotEnMet],"&gt;"&amp;($A360+3/24))</f>
        <v/>
      </c>
      <c r="H360" s="20">
        <f>COUNTIFS(tData[SEHTrajectPeriodeDatumTijdVan],"&lt;="&amp;($A360+4/24),tData[SEHTrajectPeriodeDatumTijdTotEnMet],"&gt;"&amp;($A360+4/24))</f>
        <v/>
      </c>
      <c r="I360" s="20">
        <f>COUNTIFS(tData[SEHTrajectPeriodeDatumTijdVan],"&lt;="&amp;($A360+5/24),tData[SEHTrajectPeriodeDatumTijdTotEnMet],"&gt;"&amp;($A360+5/24))</f>
        <v/>
      </c>
      <c r="J360" s="20">
        <f>COUNTIFS(tData[SEHTrajectPeriodeDatumTijdVan],"&lt;="&amp;($A360+6/24),tData[SEHTrajectPeriodeDatumTijdTotEnMet],"&gt;"&amp;($A360+6/24))</f>
        <v/>
      </c>
      <c r="K360" s="20">
        <f>COUNTIFS(tData[SEHTrajectPeriodeDatumTijdVan],"&lt;="&amp;($A360+7/24),tData[SEHTrajectPeriodeDatumTijdTotEnMet],"&gt;"&amp;($A360+7/24))</f>
        <v/>
      </c>
      <c r="L360" s="20">
        <f>COUNTIFS(tData[SEHTrajectPeriodeDatumTijdVan],"&lt;="&amp;($A360+8/24),tData[SEHTrajectPeriodeDatumTijdTotEnMet],"&gt;"&amp;($A360+8/24))</f>
        <v/>
      </c>
      <c r="M360" s="20">
        <f>COUNTIFS(tData[SEHTrajectPeriodeDatumTijdVan],"&lt;="&amp;($A360+9/24),tData[SEHTrajectPeriodeDatumTijdTotEnMet],"&gt;"&amp;($A360+9/24))</f>
        <v/>
      </c>
      <c r="N360" s="20">
        <f>COUNTIFS(tData[SEHTrajectPeriodeDatumTijdVan],"&lt;="&amp;($A360+10/24),tData[SEHTrajectPeriodeDatumTijdTotEnMet],"&gt;"&amp;($A360+10/24))</f>
        <v/>
      </c>
      <c r="O360" s="20">
        <f>COUNTIFS(tData[SEHTrajectPeriodeDatumTijdVan],"&lt;="&amp;($A360+11/24),tData[SEHTrajectPeriodeDatumTijdTotEnMet],"&gt;"&amp;($A360+11/24))</f>
        <v/>
      </c>
      <c r="P360" s="20">
        <f>COUNTIFS(tData[SEHTrajectPeriodeDatumTijdVan],"&lt;="&amp;($A360+12/24),tData[SEHTrajectPeriodeDatumTijdTotEnMet],"&gt;"&amp;($A360+12/24))</f>
        <v/>
      </c>
      <c r="Q360" s="20">
        <f>COUNTIFS(tData[SEHTrajectPeriodeDatumTijdVan],"&lt;="&amp;($A360+13/24),tData[SEHTrajectPeriodeDatumTijdTotEnMet],"&gt;"&amp;($A360+13/24))</f>
        <v/>
      </c>
      <c r="R360" s="20">
        <f>COUNTIFS(tData[SEHTrajectPeriodeDatumTijdVan],"&lt;="&amp;($A360+14/24),tData[SEHTrajectPeriodeDatumTijdTotEnMet],"&gt;"&amp;($A360+14/24))</f>
        <v/>
      </c>
      <c r="S360" s="20">
        <f>COUNTIFS(tData[SEHTrajectPeriodeDatumTijdVan],"&lt;="&amp;($A360+15/24),tData[SEHTrajectPeriodeDatumTijdTotEnMet],"&gt;"&amp;($A360+15/24))</f>
        <v/>
      </c>
      <c r="T360" s="20">
        <f>COUNTIFS(tData[SEHTrajectPeriodeDatumTijdVan],"&lt;="&amp;($A360+16/24),tData[SEHTrajectPeriodeDatumTijdTotEnMet],"&gt;"&amp;($A360+16/24))</f>
        <v/>
      </c>
      <c r="U360" s="20">
        <f>COUNTIFS(tData[SEHTrajectPeriodeDatumTijdVan],"&lt;="&amp;($A360+17/24),tData[SEHTrajectPeriodeDatumTijdTotEnMet],"&gt;"&amp;($A360+17/24))</f>
        <v/>
      </c>
      <c r="V360" s="20">
        <f>COUNTIFS(tData[SEHTrajectPeriodeDatumTijdVan],"&lt;="&amp;($A360+18/24),tData[SEHTrajectPeriodeDatumTijdTotEnMet],"&gt;"&amp;($A360+18/24))</f>
        <v/>
      </c>
      <c r="W360" s="20">
        <f>COUNTIFS(tData[SEHTrajectPeriodeDatumTijdVan],"&lt;="&amp;($A360+19/24),tData[SEHTrajectPeriodeDatumTijdTotEnMet],"&gt;"&amp;($A360+19/24))</f>
        <v/>
      </c>
      <c r="X360" s="20">
        <f>COUNTIFS(tData[SEHTrajectPeriodeDatumTijdVan],"&lt;="&amp;($A360+20/24),tData[SEHTrajectPeriodeDatumTijdTotEnMet],"&gt;"&amp;($A360+20/24))</f>
        <v/>
      </c>
      <c r="Y360" s="20">
        <f>COUNTIFS(tData[SEHTrajectPeriodeDatumTijdVan],"&lt;="&amp;($A360+21/24),tData[SEHTrajectPeriodeDatumTijdTotEnMet],"&gt;"&amp;($A360+21/24))</f>
        <v/>
      </c>
      <c r="Z360" s="20">
        <f>COUNTIFS(tData[SEHTrajectPeriodeDatumTijdVan],"&lt;="&amp;($A360+22/24),tData[SEHTrajectPeriodeDatumTijdTotEnMet],"&gt;"&amp;($A360+22/24))</f>
        <v/>
      </c>
      <c r="AA360" s="20">
        <f>COUNTIFS(tData[SEHTrajectPeriodeDatumTijdVan],"&lt;="&amp;($A360+23/24),tData[SEHTrajectPeriodeDatumTijdTotEnMet],"&gt;"&amp;($A360+23/24))</f>
        <v/>
      </c>
    </row>
    <row r="361">
      <c r="A361" s="19" t="n">
        <v>45649</v>
      </c>
      <c r="B361" s="15">
        <f>WEEKDAY($A361,2)</f>
        <v/>
      </c>
      <c r="C361" s="15">
        <f>IF(AND($A361&gt;=INT(Instellingen!$B$5),$A361&lt;=INT(Instellingen!$B$6)),1,0)</f>
        <v/>
      </c>
      <c r="D361" s="20">
        <f>COUNTIFS(tData[SEHTrajectPeriodeDatumTijdVan],"&lt;="&amp;($A361+0/24),tData[SEHTrajectPeriodeDatumTijdTotEnMet],"&gt;"&amp;($A361+0/24))</f>
        <v/>
      </c>
      <c r="E361" s="20">
        <f>COUNTIFS(tData[SEHTrajectPeriodeDatumTijdVan],"&lt;="&amp;($A361+1/24),tData[SEHTrajectPeriodeDatumTijdTotEnMet],"&gt;"&amp;($A361+1/24))</f>
        <v/>
      </c>
      <c r="F361" s="20">
        <f>COUNTIFS(tData[SEHTrajectPeriodeDatumTijdVan],"&lt;="&amp;($A361+2/24),tData[SEHTrajectPeriodeDatumTijdTotEnMet],"&gt;"&amp;($A361+2/24))</f>
        <v/>
      </c>
      <c r="G361" s="20">
        <f>COUNTIFS(tData[SEHTrajectPeriodeDatumTijdVan],"&lt;="&amp;($A361+3/24),tData[SEHTrajectPeriodeDatumTijdTotEnMet],"&gt;"&amp;($A361+3/24))</f>
        <v/>
      </c>
      <c r="H361" s="20">
        <f>COUNTIFS(tData[SEHTrajectPeriodeDatumTijdVan],"&lt;="&amp;($A361+4/24),tData[SEHTrajectPeriodeDatumTijdTotEnMet],"&gt;"&amp;($A361+4/24))</f>
        <v/>
      </c>
      <c r="I361" s="20">
        <f>COUNTIFS(tData[SEHTrajectPeriodeDatumTijdVan],"&lt;="&amp;($A361+5/24),tData[SEHTrajectPeriodeDatumTijdTotEnMet],"&gt;"&amp;($A361+5/24))</f>
        <v/>
      </c>
      <c r="J361" s="20">
        <f>COUNTIFS(tData[SEHTrajectPeriodeDatumTijdVan],"&lt;="&amp;($A361+6/24),tData[SEHTrajectPeriodeDatumTijdTotEnMet],"&gt;"&amp;($A361+6/24))</f>
        <v/>
      </c>
      <c r="K361" s="20">
        <f>COUNTIFS(tData[SEHTrajectPeriodeDatumTijdVan],"&lt;="&amp;($A361+7/24),tData[SEHTrajectPeriodeDatumTijdTotEnMet],"&gt;"&amp;($A361+7/24))</f>
        <v/>
      </c>
      <c r="L361" s="20">
        <f>COUNTIFS(tData[SEHTrajectPeriodeDatumTijdVan],"&lt;="&amp;($A361+8/24),tData[SEHTrajectPeriodeDatumTijdTotEnMet],"&gt;"&amp;($A361+8/24))</f>
        <v/>
      </c>
      <c r="M361" s="20">
        <f>COUNTIFS(tData[SEHTrajectPeriodeDatumTijdVan],"&lt;="&amp;($A361+9/24),tData[SEHTrajectPeriodeDatumTijdTotEnMet],"&gt;"&amp;($A361+9/24))</f>
        <v/>
      </c>
      <c r="N361" s="20">
        <f>COUNTIFS(tData[SEHTrajectPeriodeDatumTijdVan],"&lt;="&amp;($A361+10/24),tData[SEHTrajectPeriodeDatumTijdTotEnMet],"&gt;"&amp;($A361+10/24))</f>
        <v/>
      </c>
      <c r="O361" s="20">
        <f>COUNTIFS(tData[SEHTrajectPeriodeDatumTijdVan],"&lt;="&amp;($A361+11/24),tData[SEHTrajectPeriodeDatumTijdTotEnMet],"&gt;"&amp;($A361+11/24))</f>
        <v/>
      </c>
      <c r="P361" s="20">
        <f>COUNTIFS(tData[SEHTrajectPeriodeDatumTijdVan],"&lt;="&amp;($A361+12/24),tData[SEHTrajectPeriodeDatumTijdTotEnMet],"&gt;"&amp;($A361+12/24))</f>
        <v/>
      </c>
      <c r="Q361" s="20">
        <f>COUNTIFS(tData[SEHTrajectPeriodeDatumTijdVan],"&lt;="&amp;($A361+13/24),tData[SEHTrajectPeriodeDatumTijdTotEnMet],"&gt;"&amp;($A361+13/24))</f>
        <v/>
      </c>
      <c r="R361" s="20">
        <f>COUNTIFS(tData[SEHTrajectPeriodeDatumTijdVan],"&lt;="&amp;($A361+14/24),tData[SEHTrajectPeriodeDatumTijdTotEnMet],"&gt;"&amp;($A361+14/24))</f>
        <v/>
      </c>
      <c r="S361" s="20">
        <f>COUNTIFS(tData[SEHTrajectPeriodeDatumTijdVan],"&lt;="&amp;($A361+15/24),tData[SEHTrajectPeriodeDatumTijdTotEnMet],"&gt;"&amp;($A361+15/24))</f>
        <v/>
      </c>
      <c r="T361" s="20">
        <f>COUNTIFS(tData[SEHTrajectPeriodeDatumTijdVan],"&lt;="&amp;($A361+16/24),tData[SEHTrajectPeriodeDatumTijdTotEnMet],"&gt;"&amp;($A361+16/24))</f>
        <v/>
      </c>
      <c r="U361" s="20">
        <f>COUNTIFS(tData[SEHTrajectPeriodeDatumTijdVan],"&lt;="&amp;($A361+17/24),tData[SEHTrajectPeriodeDatumTijdTotEnMet],"&gt;"&amp;($A361+17/24))</f>
        <v/>
      </c>
      <c r="V361" s="20">
        <f>COUNTIFS(tData[SEHTrajectPeriodeDatumTijdVan],"&lt;="&amp;($A361+18/24),tData[SEHTrajectPeriodeDatumTijdTotEnMet],"&gt;"&amp;($A361+18/24))</f>
        <v/>
      </c>
      <c r="W361" s="20">
        <f>COUNTIFS(tData[SEHTrajectPeriodeDatumTijdVan],"&lt;="&amp;($A361+19/24),tData[SEHTrajectPeriodeDatumTijdTotEnMet],"&gt;"&amp;($A361+19/24))</f>
        <v/>
      </c>
      <c r="X361" s="20">
        <f>COUNTIFS(tData[SEHTrajectPeriodeDatumTijdVan],"&lt;="&amp;($A361+20/24),tData[SEHTrajectPeriodeDatumTijdTotEnMet],"&gt;"&amp;($A361+20/24))</f>
        <v/>
      </c>
      <c r="Y361" s="20">
        <f>COUNTIFS(tData[SEHTrajectPeriodeDatumTijdVan],"&lt;="&amp;($A361+21/24),tData[SEHTrajectPeriodeDatumTijdTotEnMet],"&gt;"&amp;($A361+21/24))</f>
        <v/>
      </c>
      <c r="Z361" s="20">
        <f>COUNTIFS(tData[SEHTrajectPeriodeDatumTijdVan],"&lt;="&amp;($A361+22/24),tData[SEHTrajectPeriodeDatumTijdTotEnMet],"&gt;"&amp;($A361+22/24))</f>
        <v/>
      </c>
      <c r="AA361" s="20">
        <f>COUNTIFS(tData[SEHTrajectPeriodeDatumTijdVan],"&lt;="&amp;($A361+23/24),tData[SEHTrajectPeriodeDatumTijdTotEnMet],"&gt;"&amp;($A361+23/24))</f>
        <v/>
      </c>
    </row>
    <row r="362">
      <c r="A362" s="19" t="n">
        <v>45650</v>
      </c>
      <c r="B362" s="15">
        <f>WEEKDAY($A362,2)</f>
        <v/>
      </c>
      <c r="C362" s="15">
        <f>IF(AND($A362&gt;=INT(Instellingen!$B$5),$A362&lt;=INT(Instellingen!$B$6)),1,0)</f>
        <v/>
      </c>
      <c r="D362" s="20">
        <f>COUNTIFS(tData[SEHTrajectPeriodeDatumTijdVan],"&lt;="&amp;($A362+0/24),tData[SEHTrajectPeriodeDatumTijdTotEnMet],"&gt;"&amp;($A362+0/24))</f>
        <v/>
      </c>
      <c r="E362" s="20">
        <f>COUNTIFS(tData[SEHTrajectPeriodeDatumTijdVan],"&lt;="&amp;($A362+1/24),tData[SEHTrajectPeriodeDatumTijdTotEnMet],"&gt;"&amp;($A362+1/24))</f>
        <v/>
      </c>
      <c r="F362" s="20">
        <f>COUNTIFS(tData[SEHTrajectPeriodeDatumTijdVan],"&lt;="&amp;($A362+2/24),tData[SEHTrajectPeriodeDatumTijdTotEnMet],"&gt;"&amp;($A362+2/24))</f>
        <v/>
      </c>
      <c r="G362" s="20">
        <f>COUNTIFS(tData[SEHTrajectPeriodeDatumTijdVan],"&lt;="&amp;($A362+3/24),tData[SEHTrajectPeriodeDatumTijdTotEnMet],"&gt;"&amp;($A362+3/24))</f>
        <v/>
      </c>
      <c r="H362" s="20">
        <f>COUNTIFS(tData[SEHTrajectPeriodeDatumTijdVan],"&lt;="&amp;($A362+4/24),tData[SEHTrajectPeriodeDatumTijdTotEnMet],"&gt;"&amp;($A362+4/24))</f>
        <v/>
      </c>
      <c r="I362" s="20">
        <f>COUNTIFS(tData[SEHTrajectPeriodeDatumTijdVan],"&lt;="&amp;($A362+5/24),tData[SEHTrajectPeriodeDatumTijdTotEnMet],"&gt;"&amp;($A362+5/24))</f>
        <v/>
      </c>
      <c r="J362" s="20">
        <f>COUNTIFS(tData[SEHTrajectPeriodeDatumTijdVan],"&lt;="&amp;($A362+6/24),tData[SEHTrajectPeriodeDatumTijdTotEnMet],"&gt;"&amp;($A362+6/24))</f>
        <v/>
      </c>
      <c r="K362" s="20">
        <f>COUNTIFS(tData[SEHTrajectPeriodeDatumTijdVan],"&lt;="&amp;($A362+7/24),tData[SEHTrajectPeriodeDatumTijdTotEnMet],"&gt;"&amp;($A362+7/24))</f>
        <v/>
      </c>
      <c r="L362" s="20">
        <f>COUNTIFS(tData[SEHTrajectPeriodeDatumTijdVan],"&lt;="&amp;($A362+8/24),tData[SEHTrajectPeriodeDatumTijdTotEnMet],"&gt;"&amp;($A362+8/24))</f>
        <v/>
      </c>
      <c r="M362" s="20">
        <f>COUNTIFS(tData[SEHTrajectPeriodeDatumTijdVan],"&lt;="&amp;($A362+9/24),tData[SEHTrajectPeriodeDatumTijdTotEnMet],"&gt;"&amp;($A362+9/24))</f>
        <v/>
      </c>
      <c r="N362" s="20">
        <f>COUNTIFS(tData[SEHTrajectPeriodeDatumTijdVan],"&lt;="&amp;($A362+10/24),tData[SEHTrajectPeriodeDatumTijdTotEnMet],"&gt;"&amp;($A362+10/24))</f>
        <v/>
      </c>
      <c r="O362" s="20">
        <f>COUNTIFS(tData[SEHTrajectPeriodeDatumTijdVan],"&lt;="&amp;($A362+11/24),tData[SEHTrajectPeriodeDatumTijdTotEnMet],"&gt;"&amp;($A362+11/24))</f>
        <v/>
      </c>
      <c r="P362" s="20">
        <f>COUNTIFS(tData[SEHTrajectPeriodeDatumTijdVan],"&lt;="&amp;($A362+12/24),tData[SEHTrajectPeriodeDatumTijdTotEnMet],"&gt;"&amp;($A362+12/24))</f>
        <v/>
      </c>
      <c r="Q362" s="20">
        <f>COUNTIFS(tData[SEHTrajectPeriodeDatumTijdVan],"&lt;="&amp;($A362+13/24),tData[SEHTrajectPeriodeDatumTijdTotEnMet],"&gt;"&amp;($A362+13/24))</f>
        <v/>
      </c>
      <c r="R362" s="20">
        <f>COUNTIFS(tData[SEHTrajectPeriodeDatumTijdVan],"&lt;="&amp;($A362+14/24),tData[SEHTrajectPeriodeDatumTijdTotEnMet],"&gt;"&amp;($A362+14/24))</f>
        <v/>
      </c>
      <c r="S362" s="20">
        <f>COUNTIFS(tData[SEHTrajectPeriodeDatumTijdVan],"&lt;="&amp;($A362+15/24),tData[SEHTrajectPeriodeDatumTijdTotEnMet],"&gt;"&amp;($A362+15/24))</f>
        <v/>
      </c>
      <c r="T362" s="20">
        <f>COUNTIFS(tData[SEHTrajectPeriodeDatumTijdVan],"&lt;="&amp;($A362+16/24),tData[SEHTrajectPeriodeDatumTijdTotEnMet],"&gt;"&amp;($A362+16/24))</f>
        <v/>
      </c>
      <c r="U362" s="20">
        <f>COUNTIFS(tData[SEHTrajectPeriodeDatumTijdVan],"&lt;="&amp;($A362+17/24),tData[SEHTrajectPeriodeDatumTijdTotEnMet],"&gt;"&amp;($A362+17/24))</f>
        <v/>
      </c>
      <c r="V362" s="20">
        <f>COUNTIFS(tData[SEHTrajectPeriodeDatumTijdVan],"&lt;="&amp;($A362+18/24),tData[SEHTrajectPeriodeDatumTijdTotEnMet],"&gt;"&amp;($A362+18/24))</f>
        <v/>
      </c>
      <c r="W362" s="20">
        <f>COUNTIFS(tData[SEHTrajectPeriodeDatumTijdVan],"&lt;="&amp;($A362+19/24),tData[SEHTrajectPeriodeDatumTijdTotEnMet],"&gt;"&amp;($A362+19/24))</f>
        <v/>
      </c>
      <c r="X362" s="20">
        <f>COUNTIFS(tData[SEHTrajectPeriodeDatumTijdVan],"&lt;="&amp;($A362+20/24),tData[SEHTrajectPeriodeDatumTijdTotEnMet],"&gt;"&amp;($A362+20/24))</f>
        <v/>
      </c>
      <c r="Y362" s="20">
        <f>COUNTIFS(tData[SEHTrajectPeriodeDatumTijdVan],"&lt;="&amp;($A362+21/24),tData[SEHTrajectPeriodeDatumTijdTotEnMet],"&gt;"&amp;($A362+21/24))</f>
        <v/>
      </c>
      <c r="Z362" s="20">
        <f>COUNTIFS(tData[SEHTrajectPeriodeDatumTijdVan],"&lt;="&amp;($A362+22/24),tData[SEHTrajectPeriodeDatumTijdTotEnMet],"&gt;"&amp;($A362+22/24))</f>
        <v/>
      </c>
      <c r="AA362" s="20">
        <f>COUNTIFS(tData[SEHTrajectPeriodeDatumTijdVan],"&lt;="&amp;($A362+23/24),tData[SEHTrajectPeriodeDatumTijdTotEnMet],"&gt;"&amp;($A362+23/24))</f>
        <v/>
      </c>
    </row>
    <row r="363">
      <c r="A363" s="19" t="n">
        <v>45651</v>
      </c>
      <c r="B363" s="15">
        <f>WEEKDAY($A363,2)</f>
        <v/>
      </c>
      <c r="C363" s="15">
        <f>IF(AND($A363&gt;=INT(Instellingen!$B$5),$A363&lt;=INT(Instellingen!$B$6)),1,0)</f>
        <v/>
      </c>
      <c r="D363" s="20">
        <f>COUNTIFS(tData[SEHTrajectPeriodeDatumTijdVan],"&lt;="&amp;($A363+0/24),tData[SEHTrajectPeriodeDatumTijdTotEnMet],"&gt;"&amp;($A363+0/24))</f>
        <v/>
      </c>
      <c r="E363" s="20">
        <f>COUNTIFS(tData[SEHTrajectPeriodeDatumTijdVan],"&lt;="&amp;($A363+1/24),tData[SEHTrajectPeriodeDatumTijdTotEnMet],"&gt;"&amp;($A363+1/24))</f>
        <v/>
      </c>
      <c r="F363" s="20">
        <f>COUNTIFS(tData[SEHTrajectPeriodeDatumTijdVan],"&lt;="&amp;($A363+2/24),tData[SEHTrajectPeriodeDatumTijdTotEnMet],"&gt;"&amp;($A363+2/24))</f>
        <v/>
      </c>
      <c r="G363" s="20">
        <f>COUNTIFS(tData[SEHTrajectPeriodeDatumTijdVan],"&lt;="&amp;($A363+3/24),tData[SEHTrajectPeriodeDatumTijdTotEnMet],"&gt;"&amp;($A363+3/24))</f>
        <v/>
      </c>
      <c r="H363" s="20">
        <f>COUNTIFS(tData[SEHTrajectPeriodeDatumTijdVan],"&lt;="&amp;($A363+4/24),tData[SEHTrajectPeriodeDatumTijdTotEnMet],"&gt;"&amp;($A363+4/24))</f>
        <v/>
      </c>
      <c r="I363" s="20">
        <f>COUNTIFS(tData[SEHTrajectPeriodeDatumTijdVan],"&lt;="&amp;($A363+5/24),tData[SEHTrajectPeriodeDatumTijdTotEnMet],"&gt;"&amp;($A363+5/24))</f>
        <v/>
      </c>
      <c r="J363" s="20">
        <f>COUNTIFS(tData[SEHTrajectPeriodeDatumTijdVan],"&lt;="&amp;($A363+6/24),tData[SEHTrajectPeriodeDatumTijdTotEnMet],"&gt;"&amp;($A363+6/24))</f>
        <v/>
      </c>
      <c r="K363" s="20">
        <f>COUNTIFS(tData[SEHTrajectPeriodeDatumTijdVan],"&lt;="&amp;($A363+7/24),tData[SEHTrajectPeriodeDatumTijdTotEnMet],"&gt;"&amp;($A363+7/24))</f>
        <v/>
      </c>
      <c r="L363" s="20">
        <f>COUNTIFS(tData[SEHTrajectPeriodeDatumTijdVan],"&lt;="&amp;($A363+8/24),tData[SEHTrajectPeriodeDatumTijdTotEnMet],"&gt;"&amp;($A363+8/24))</f>
        <v/>
      </c>
      <c r="M363" s="20">
        <f>COUNTIFS(tData[SEHTrajectPeriodeDatumTijdVan],"&lt;="&amp;($A363+9/24),tData[SEHTrajectPeriodeDatumTijdTotEnMet],"&gt;"&amp;($A363+9/24))</f>
        <v/>
      </c>
      <c r="N363" s="20">
        <f>COUNTIFS(tData[SEHTrajectPeriodeDatumTijdVan],"&lt;="&amp;($A363+10/24),tData[SEHTrajectPeriodeDatumTijdTotEnMet],"&gt;"&amp;($A363+10/24))</f>
        <v/>
      </c>
      <c r="O363" s="20">
        <f>COUNTIFS(tData[SEHTrajectPeriodeDatumTijdVan],"&lt;="&amp;($A363+11/24),tData[SEHTrajectPeriodeDatumTijdTotEnMet],"&gt;"&amp;($A363+11/24))</f>
        <v/>
      </c>
      <c r="P363" s="20">
        <f>COUNTIFS(tData[SEHTrajectPeriodeDatumTijdVan],"&lt;="&amp;($A363+12/24),tData[SEHTrajectPeriodeDatumTijdTotEnMet],"&gt;"&amp;($A363+12/24))</f>
        <v/>
      </c>
      <c r="Q363" s="20">
        <f>COUNTIFS(tData[SEHTrajectPeriodeDatumTijdVan],"&lt;="&amp;($A363+13/24),tData[SEHTrajectPeriodeDatumTijdTotEnMet],"&gt;"&amp;($A363+13/24))</f>
        <v/>
      </c>
      <c r="R363" s="20">
        <f>COUNTIFS(tData[SEHTrajectPeriodeDatumTijdVan],"&lt;="&amp;($A363+14/24),tData[SEHTrajectPeriodeDatumTijdTotEnMet],"&gt;"&amp;($A363+14/24))</f>
        <v/>
      </c>
      <c r="S363" s="20">
        <f>COUNTIFS(tData[SEHTrajectPeriodeDatumTijdVan],"&lt;="&amp;($A363+15/24),tData[SEHTrajectPeriodeDatumTijdTotEnMet],"&gt;"&amp;($A363+15/24))</f>
        <v/>
      </c>
      <c r="T363" s="20">
        <f>COUNTIFS(tData[SEHTrajectPeriodeDatumTijdVan],"&lt;="&amp;($A363+16/24),tData[SEHTrajectPeriodeDatumTijdTotEnMet],"&gt;"&amp;($A363+16/24))</f>
        <v/>
      </c>
      <c r="U363" s="20">
        <f>COUNTIFS(tData[SEHTrajectPeriodeDatumTijdVan],"&lt;="&amp;($A363+17/24),tData[SEHTrajectPeriodeDatumTijdTotEnMet],"&gt;"&amp;($A363+17/24))</f>
        <v/>
      </c>
      <c r="V363" s="20">
        <f>COUNTIFS(tData[SEHTrajectPeriodeDatumTijdVan],"&lt;="&amp;($A363+18/24),tData[SEHTrajectPeriodeDatumTijdTotEnMet],"&gt;"&amp;($A363+18/24))</f>
        <v/>
      </c>
      <c r="W363" s="20">
        <f>COUNTIFS(tData[SEHTrajectPeriodeDatumTijdVan],"&lt;="&amp;($A363+19/24),tData[SEHTrajectPeriodeDatumTijdTotEnMet],"&gt;"&amp;($A363+19/24))</f>
        <v/>
      </c>
      <c r="X363" s="20">
        <f>COUNTIFS(tData[SEHTrajectPeriodeDatumTijdVan],"&lt;="&amp;($A363+20/24),tData[SEHTrajectPeriodeDatumTijdTotEnMet],"&gt;"&amp;($A363+20/24))</f>
        <v/>
      </c>
      <c r="Y363" s="20">
        <f>COUNTIFS(tData[SEHTrajectPeriodeDatumTijdVan],"&lt;="&amp;($A363+21/24),tData[SEHTrajectPeriodeDatumTijdTotEnMet],"&gt;"&amp;($A363+21/24))</f>
        <v/>
      </c>
      <c r="Z363" s="20">
        <f>COUNTIFS(tData[SEHTrajectPeriodeDatumTijdVan],"&lt;="&amp;($A363+22/24),tData[SEHTrajectPeriodeDatumTijdTotEnMet],"&gt;"&amp;($A363+22/24))</f>
        <v/>
      </c>
      <c r="AA363" s="20">
        <f>COUNTIFS(tData[SEHTrajectPeriodeDatumTijdVan],"&lt;="&amp;($A363+23/24),tData[SEHTrajectPeriodeDatumTijdTotEnMet],"&gt;"&amp;($A363+23/24))</f>
        <v/>
      </c>
    </row>
    <row r="364">
      <c r="A364" s="19" t="n">
        <v>45652</v>
      </c>
      <c r="B364" s="15">
        <f>WEEKDAY($A364,2)</f>
        <v/>
      </c>
      <c r="C364" s="15">
        <f>IF(AND($A364&gt;=INT(Instellingen!$B$5),$A364&lt;=INT(Instellingen!$B$6)),1,0)</f>
        <v/>
      </c>
      <c r="D364" s="20">
        <f>COUNTIFS(tData[SEHTrajectPeriodeDatumTijdVan],"&lt;="&amp;($A364+0/24),tData[SEHTrajectPeriodeDatumTijdTotEnMet],"&gt;"&amp;($A364+0/24))</f>
        <v/>
      </c>
      <c r="E364" s="20">
        <f>COUNTIFS(tData[SEHTrajectPeriodeDatumTijdVan],"&lt;="&amp;($A364+1/24),tData[SEHTrajectPeriodeDatumTijdTotEnMet],"&gt;"&amp;($A364+1/24))</f>
        <v/>
      </c>
      <c r="F364" s="20">
        <f>COUNTIFS(tData[SEHTrajectPeriodeDatumTijdVan],"&lt;="&amp;($A364+2/24),tData[SEHTrajectPeriodeDatumTijdTotEnMet],"&gt;"&amp;($A364+2/24))</f>
        <v/>
      </c>
      <c r="G364" s="20">
        <f>COUNTIFS(tData[SEHTrajectPeriodeDatumTijdVan],"&lt;="&amp;($A364+3/24),tData[SEHTrajectPeriodeDatumTijdTotEnMet],"&gt;"&amp;($A364+3/24))</f>
        <v/>
      </c>
      <c r="H364" s="20">
        <f>COUNTIFS(tData[SEHTrajectPeriodeDatumTijdVan],"&lt;="&amp;($A364+4/24),tData[SEHTrajectPeriodeDatumTijdTotEnMet],"&gt;"&amp;($A364+4/24))</f>
        <v/>
      </c>
      <c r="I364" s="20">
        <f>COUNTIFS(tData[SEHTrajectPeriodeDatumTijdVan],"&lt;="&amp;($A364+5/24),tData[SEHTrajectPeriodeDatumTijdTotEnMet],"&gt;"&amp;($A364+5/24))</f>
        <v/>
      </c>
      <c r="J364" s="20">
        <f>COUNTIFS(tData[SEHTrajectPeriodeDatumTijdVan],"&lt;="&amp;($A364+6/24),tData[SEHTrajectPeriodeDatumTijdTotEnMet],"&gt;"&amp;($A364+6/24))</f>
        <v/>
      </c>
      <c r="K364" s="20">
        <f>COUNTIFS(tData[SEHTrajectPeriodeDatumTijdVan],"&lt;="&amp;($A364+7/24),tData[SEHTrajectPeriodeDatumTijdTotEnMet],"&gt;"&amp;($A364+7/24))</f>
        <v/>
      </c>
      <c r="L364" s="20">
        <f>COUNTIFS(tData[SEHTrajectPeriodeDatumTijdVan],"&lt;="&amp;($A364+8/24),tData[SEHTrajectPeriodeDatumTijdTotEnMet],"&gt;"&amp;($A364+8/24))</f>
        <v/>
      </c>
      <c r="M364" s="20">
        <f>COUNTIFS(tData[SEHTrajectPeriodeDatumTijdVan],"&lt;="&amp;($A364+9/24),tData[SEHTrajectPeriodeDatumTijdTotEnMet],"&gt;"&amp;($A364+9/24))</f>
        <v/>
      </c>
      <c r="N364" s="20">
        <f>COUNTIFS(tData[SEHTrajectPeriodeDatumTijdVan],"&lt;="&amp;($A364+10/24),tData[SEHTrajectPeriodeDatumTijdTotEnMet],"&gt;"&amp;($A364+10/24))</f>
        <v/>
      </c>
      <c r="O364" s="20">
        <f>COUNTIFS(tData[SEHTrajectPeriodeDatumTijdVan],"&lt;="&amp;($A364+11/24),tData[SEHTrajectPeriodeDatumTijdTotEnMet],"&gt;"&amp;($A364+11/24))</f>
        <v/>
      </c>
      <c r="P364" s="20">
        <f>COUNTIFS(tData[SEHTrajectPeriodeDatumTijdVan],"&lt;="&amp;($A364+12/24),tData[SEHTrajectPeriodeDatumTijdTotEnMet],"&gt;"&amp;($A364+12/24))</f>
        <v/>
      </c>
      <c r="Q364" s="20">
        <f>COUNTIFS(tData[SEHTrajectPeriodeDatumTijdVan],"&lt;="&amp;($A364+13/24),tData[SEHTrajectPeriodeDatumTijdTotEnMet],"&gt;"&amp;($A364+13/24))</f>
        <v/>
      </c>
      <c r="R364" s="20">
        <f>COUNTIFS(tData[SEHTrajectPeriodeDatumTijdVan],"&lt;="&amp;($A364+14/24),tData[SEHTrajectPeriodeDatumTijdTotEnMet],"&gt;"&amp;($A364+14/24))</f>
        <v/>
      </c>
      <c r="S364" s="20">
        <f>COUNTIFS(tData[SEHTrajectPeriodeDatumTijdVan],"&lt;="&amp;($A364+15/24),tData[SEHTrajectPeriodeDatumTijdTotEnMet],"&gt;"&amp;($A364+15/24))</f>
        <v/>
      </c>
      <c r="T364" s="20">
        <f>COUNTIFS(tData[SEHTrajectPeriodeDatumTijdVan],"&lt;="&amp;($A364+16/24),tData[SEHTrajectPeriodeDatumTijdTotEnMet],"&gt;"&amp;($A364+16/24))</f>
        <v/>
      </c>
      <c r="U364" s="20">
        <f>COUNTIFS(tData[SEHTrajectPeriodeDatumTijdVan],"&lt;="&amp;($A364+17/24),tData[SEHTrajectPeriodeDatumTijdTotEnMet],"&gt;"&amp;($A364+17/24))</f>
        <v/>
      </c>
      <c r="V364" s="20">
        <f>COUNTIFS(tData[SEHTrajectPeriodeDatumTijdVan],"&lt;="&amp;($A364+18/24),tData[SEHTrajectPeriodeDatumTijdTotEnMet],"&gt;"&amp;($A364+18/24))</f>
        <v/>
      </c>
      <c r="W364" s="20">
        <f>COUNTIFS(tData[SEHTrajectPeriodeDatumTijdVan],"&lt;="&amp;($A364+19/24),tData[SEHTrajectPeriodeDatumTijdTotEnMet],"&gt;"&amp;($A364+19/24))</f>
        <v/>
      </c>
      <c r="X364" s="20">
        <f>COUNTIFS(tData[SEHTrajectPeriodeDatumTijdVan],"&lt;="&amp;($A364+20/24),tData[SEHTrajectPeriodeDatumTijdTotEnMet],"&gt;"&amp;($A364+20/24))</f>
        <v/>
      </c>
      <c r="Y364" s="20">
        <f>COUNTIFS(tData[SEHTrajectPeriodeDatumTijdVan],"&lt;="&amp;($A364+21/24),tData[SEHTrajectPeriodeDatumTijdTotEnMet],"&gt;"&amp;($A364+21/24))</f>
        <v/>
      </c>
      <c r="Z364" s="20">
        <f>COUNTIFS(tData[SEHTrajectPeriodeDatumTijdVan],"&lt;="&amp;($A364+22/24),tData[SEHTrajectPeriodeDatumTijdTotEnMet],"&gt;"&amp;($A364+22/24))</f>
        <v/>
      </c>
      <c r="AA364" s="20">
        <f>COUNTIFS(tData[SEHTrajectPeriodeDatumTijdVan],"&lt;="&amp;($A364+23/24),tData[SEHTrajectPeriodeDatumTijdTotEnMet],"&gt;"&amp;($A364+23/24))</f>
        <v/>
      </c>
    </row>
    <row r="365">
      <c r="A365" s="19" t="n">
        <v>45653</v>
      </c>
      <c r="B365" s="15">
        <f>WEEKDAY($A365,2)</f>
        <v/>
      </c>
      <c r="C365" s="15">
        <f>IF(AND($A365&gt;=INT(Instellingen!$B$5),$A365&lt;=INT(Instellingen!$B$6)),1,0)</f>
        <v/>
      </c>
      <c r="D365" s="20">
        <f>COUNTIFS(tData[SEHTrajectPeriodeDatumTijdVan],"&lt;="&amp;($A365+0/24),tData[SEHTrajectPeriodeDatumTijdTotEnMet],"&gt;"&amp;($A365+0/24))</f>
        <v/>
      </c>
      <c r="E365" s="20">
        <f>COUNTIFS(tData[SEHTrajectPeriodeDatumTijdVan],"&lt;="&amp;($A365+1/24),tData[SEHTrajectPeriodeDatumTijdTotEnMet],"&gt;"&amp;($A365+1/24))</f>
        <v/>
      </c>
      <c r="F365" s="20">
        <f>COUNTIFS(tData[SEHTrajectPeriodeDatumTijdVan],"&lt;="&amp;($A365+2/24),tData[SEHTrajectPeriodeDatumTijdTotEnMet],"&gt;"&amp;($A365+2/24))</f>
        <v/>
      </c>
      <c r="G365" s="20">
        <f>COUNTIFS(tData[SEHTrajectPeriodeDatumTijdVan],"&lt;="&amp;($A365+3/24),tData[SEHTrajectPeriodeDatumTijdTotEnMet],"&gt;"&amp;($A365+3/24))</f>
        <v/>
      </c>
      <c r="H365" s="20">
        <f>COUNTIFS(tData[SEHTrajectPeriodeDatumTijdVan],"&lt;="&amp;($A365+4/24),tData[SEHTrajectPeriodeDatumTijdTotEnMet],"&gt;"&amp;($A365+4/24))</f>
        <v/>
      </c>
      <c r="I365" s="20">
        <f>COUNTIFS(tData[SEHTrajectPeriodeDatumTijdVan],"&lt;="&amp;($A365+5/24),tData[SEHTrajectPeriodeDatumTijdTotEnMet],"&gt;"&amp;($A365+5/24))</f>
        <v/>
      </c>
      <c r="J365" s="20">
        <f>COUNTIFS(tData[SEHTrajectPeriodeDatumTijdVan],"&lt;="&amp;($A365+6/24),tData[SEHTrajectPeriodeDatumTijdTotEnMet],"&gt;"&amp;($A365+6/24))</f>
        <v/>
      </c>
      <c r="K365" s="20">
        <f>COUNTIFS(tData[SEHTrajectPeriodeDatumTijdVan],"&lt;="&amp;($A365+7/24),tData[SEHTrajectPeriodeDatumTijdTotEnMet],"&gt;"&amp;($A365+7/24))</f>
        <v/>
      </c>
      <c r="L365" s="20">
        <f>COUNTIFS(tData[SEHTrajectPeriodeDatumTijdVan],"&lt;="&amp;($A365+8/24),tData[SEHTrajectPeriodeDatumTijdTotEnMet],"&gt;"&amp;($A365+8/24))</f>
        <v/>
      </c>
      <c r="M365" s="20">
        <f>COUNTIFS(tData[SEHTrajectPeriodeDatumTijdVan],"&lt;="&amp;($A365+9/24),tData[SEHTrajectPeriodeDatumTijdTotEnMet],"&gt;"&amp;($A365+9/24))</f>
        <v/>
      </c>
      <c r="N365" s="20">
        <f>COUNTIFS(tData[SEHTrajectPeriodeDatumTijdVan],"&lt;="&amp;($A365+10/24),tData[SEHTrajectPeriodeDatumTijdTotEnMet],"&gt;"&amp;($A365+10/24))</f>
        <v/>
      </c>
      <c r="O365" s="20">
        <f>COUNTIFS(tData[SEHTrajectPeriodeDatumTijdVan],"&lt;="&amp;($A365+11/24),tData[SEHTrajectPeriodeDatumTijdTotEnMet],"&gt;"&amp;($A365+11/24))</f>
        <v/>
      </c>
      <c r="P365" s="20">
        <f>COUNTIFS(tData[SEHTrajectPeriodeDatumTijdVan],"&lt;="&amp;($A365+12/24),tData[SEHTrajectPeriodeDatumTijdTotEnMet],"&gt;"&amp;($A365+12/24))</f>
        <v/>
      </c>
      <c r="Q365" s="20">
        <f>COUNTIFS(tData[SEHTrajectPeriodeDatumTijdVan],"&lt;="&amp;($A365+13/24),tData[SEHTrajectPeriodeDatumTijdTotEnMet],"&gt;"&amp;($A365+13/24))</f>
        <v/>
      </c>
      <c r="R365" s="20">
        <f>COUNTIFS(tData[SEHTrajectPeriodeDatumTijdVan],"&lt;="&amp;($A365+14/24),tData[SEHTrajectPeriodeDatumTijdTotEnMet],"&gt;"&amp;($A365+14/24))</f>
        <v/>
      </c>
      <c r="S365" s="20">
        <f>COUNTIFS(tData[SEHTrajectPeriodeDatumTijdVan],"&lt;="&amp;($A365+15/24),tData[SEHTrajectPeriodeDatumTijdTotEnMet],"&gt;"&amp;($A365+15/24))</f>
        <v/>
      </c>
      <c r="T365" s="20">
        <f>COUNTIFS(tData[SEHTrajectPeriodeDatumTijdVan],"&lt;="&amp;($A365+16/24),tData[SEHTrajectPeriodeDatumTijdTotEnMet],"&gt;"&amp;($A365+16/24))</f>
        <v/>
      </c>
      <c r="U365" s="20">
        <f>COUNTIFS(tData[SEHTrajectPeriodeDatumTijdVan],"&lt;="&amp;($A365+17/24),tData[SEHTrajectPeriodeDatumTijdTotEnMet],"&gt;"&amp;($A365+17/24))</f>
        <v/>
      </c>
      <c r="V365" s="20">
        <f>COUNTIFS(tData[SEHTrajectPeriodeDatumTijdVan],"&lt;="&amp;($A365+18/24),tData[SEHTrajectPeriodeDatumTijdTotEnMet],"&gt;"&amp;($A365+18/24))</f>
        <v/>
      </c>
      <c r="W365" s="20">
        <f>COUNTIFS(tData[SEHTrajectPeriodeDatumTijdVan],"&lt;="&amp;($A365+19/24),tData[SEHTrajectPeriodeDatumTijdTotEnMet],"&gt;"&amp;($A365+19/24))</f>
        <v/>
      </c>
      <c r="X365" s="20">
        <f>COUNTIFS(tData[SEHTrajectPeriodeDatumTijdVan],"&lt;="&amp;($A365+20/24),tData[SEHTrajectPeriodeDatumTijdTotEnMet],"&gt;"&amp;($A365+20/24))</f>
        <v/>
      </c>
      <c r="Y365" s="20">
        <f>COUNTIFS(tData[SEHTrajectPeriodeDatumTijdVan],"&lt;="&amp;($A365+21/24),tData[SEHTrajectPeriodeDatumTijdTotEnMet],"&gt;"&amp;($A365+21/24))</f>
        <v/>
      </c>
      <c r="Z365" s="20">
        <f>COUNTIFS(tData[SEHTrajectPeriodeDatumTijdVan],"&lt;="&amp;($A365+22/24),tData[SEHTrajectPeriodeDatumTijdTotEnMet],"&gt;"&amp;($A365+22/24))</f>
        <v/>
      </c>
      <c r="AA365" s="20">
        <f>COUNTIFS(tData[SEHTrajectPeriodeDatumTijdVan],"&lt;="&amp;($A365+23/24),tData[SEHTrajectPeriodeDatumTijdTotEnMet],"&gt;"&amp;($A365+23/24))</f>
        <v/>
      </c>
    </row>
    <row r="366">
      <c r="A366" s="19" t="n">
        <v>45654</v>
      </c>
      <c r="B366" s="15">
        <f>WEEKDAY($A366,2)</f>
        <v/>
      </c>
      <c r="C366" s="15">
        <f>IF(AND($A366&gt;=INT(Instellingen!$B$5),$A366&lt;=INT(Instellingen!$B$6)),1,0)</f>
        <v/>
      </c>
      <c r="D366" s="20">
        <f>COUNTIFS(tData[SEHTrajectPeriodeDatumTijdVan],"&lt;="&amp;($A366+0/24),tData[SEHTrajectPeriodeDatumTijdTotEnMet],"&gt;"&amp;($A366+0/24))</f>
        <v/>
      </c>
      <c r="E366" s="20">
        <f>COUNTIFS(tData[SEHTrajectPeriodeDatumTijdVan],"&lt;="&amp;($A366+1/24),tData[SEHTrajectPeriodeDatumTijdTotEnMet],"&gt;"&amp;($A366+1/24))</f>
        <v/>
      </c>
      <c r="F366" s="20">
        <f>COUNTIFS(tData[SEHTrajectPeriodeDatumTijdVan],"&lt;="&amp;($A366+2/24),tData[SEHTrajectPeriodeDatumTijdTotEnMet],"&gt;"&amp;($A366+2/24))</f>
        <v/>
      </c>
      <c r="G366" s="20">
        <f>COUNTIFS(tData[SEHTrajectPeriodeDatumTijdVan],"&lt;="&amp;($A366+3/24),tData[SEHTrajectPeriodeDatumTijdTotEnMet],"&gt;"&amp;($A366+3/24))</f>
        <v/>
      </c>
      <c r="H366" s="20">
        <f>COUNTIFS(tData[SEHTrajectPeriodeDatumTijdVan],"&lt;="&amp;($A366+4/24),tData[SEHTrajectPeriodeDatumTijdTotEnMet],"&gt;"&amp;($A366+4/24))</f>
        <v/>
      </c>
      <c r="I366" s="20">
        <f>COUNTIFS(tData[SEHTrajectPeriodeDatumTijdVan],"&lt;="&amp;($A366+5/24),tData[SEHTrajectPeriodeDatumTijdTotEnMet],"&gt;"&amp;($A366+5/24))</f>
        <v/>
      </c>
      <c r="J366" s="20">
        <f>COUNTIFS(tData[SEHTrajectPeriodeDatumTijdVan],"&lt;="&amp;($A366+6/24),tData[SEHTrajectPeriodeDatumTijdTotEnMet],"&gt;"&amp;($A366+6/24))</f>
        <v/>
      </c>
      <c r="K366" s="20">
        <f>COUNTIFS(tData[SEHTrajectPeriodeDatumTijdVan],"&lt;="&amp;($A366+7/24),tData[SEHTrajectPeriodeDatumTijdTotEnMet],"&gt;"&amp;($A366+7/24))</f>
        <v/>
      </c>
      <c r="L366" s="20">
        <f>COUNTIFS(tData[SEHTrajectPeriodeDatumTijdVan],"&lt;="&amp;($A366+8/24),tData[SEHTrajectPeriodeDatumTijdTotEnMet],"&gt;"&amp;($A366+8/24))</f>
        <v/>
      </c>
      <c r="M366" s="20">
        <f>COUNTIFS(tData[SEHTrajectPeriodeDatumTijdVan],"&lt;="&amp;($A366+9/24),tData[SEHTrajectPeriodeDatumTijdTotEnMet],"&gt;"&amp;($A366+9/24))</f>
        <v/>
      </c>
      <c r="N366" s="20">
        <f>COUNTIFS(tData[SEHTrajectPeriodeDatumTijdVan],"&lt;="&amp;($A366+10/24),tData[SEHTrajectPeriodeDatumTijdTotEnMet],"&gt;"&amp;($A366+10/24))</f>
        <v/>
      </c>
      <c r="O366" s="20">
        <f>COUNTIFS(tData[SEHTrajectPeriodeDatumTijdVan],"&lt;="&amp;($A366+11/24),tData[SEHTrajectPeriodeDatumTijdTotEnMet],"&gt;"&amp;($A366+11/24))</f>
        <v/>
      </c>
      <c r="P366" s="20">
        <f>COUNTIFS(tData[SEHTrajectPeriodeDatumTijdVan],"&lt;="&amp;($A366+12/24),tData[SEHTrajectPeriodeDatumTijdTotEnMet],"&gt;"&amp;($A366+12/24))</f>
        <v/>
      </c>
      <c r="Q366" s="20">
        <f>COUNTIFS(tData[SEHTrajectPeriodeDatumTijdVan],"&lt;="&amp;($A366+13/24),tData[SEHTrajectPeriodeDatumTijdTotEnMet],"&gt;"&amp;($A366+13/24))</f>
        <v/>
      </c>
      <c r="R366" s="20">
        <f>COUNTIFS(tData[SEHTrajectPeriodeDatumTijdVan],"&lt;="&amp;($A366+14/24),tData[SEHTrajectPeriodeDatumTijdTotEnMet],"&gt;"&amp;($A366+14/24))</f>
        <v/>
      </c>
      <c r="S366" s="20">
        <f>COUNTIFS(tData[SEHTrajectPeriodeDatumTijdVan],"&lt;="&amp;($A366+15/24),tData[SEHTrajectPeriodeDatumTijdTotEnMet],"&gt;"&amp;($A366+15/24))</f>
        <v/>
      </c>
      <c r="T366" s="20">
        <f>COUNTIFS(tData[SEHTrajectPeriodeDatumTijdVan],"&lt;="&amp;($A366+16/24),tData[SEHTrajectPeriodeDatumTijdTotEnMet],"&gt;"&amp;($A366+16/24))</f>
        <v/>
      </c>
      <c r="U366" s="20">
        <f>COUNTIFS(tData[SEHTrajectPeriodeDatumTijdVan],"&lt;="&amp;($A366+17/24),tData[SEHTrajectPeriodeDatumTijdTotEnMet],"&gt;"&amp;($A366+17/24))</f>
        <v/>
      </c>
      <c r="V366" s="20">
        <f>COUNTIFS(tData[SEHTrajectPeriodeDatumTijdVan],"&lt;="&amp;($A366+18/24),tData[SEHTrajectPeriodeDatumTijdTotEnMet],"&gt;"&amp;($A366+18/24))</f>
        <v/>
      </c>
      <c r="W366" s="20">
        <f>COUNTIFS(tData[SEHTrajectPeriodeDatumTijdVan],"&lt;="&amp;($A366+19/24),tData[SEHTrajectPeriodeDatumTijdTotEnMet],"&gt;"&amp;($A366+19/24))</f>
        <v/>
      </c>
      <c r="X366" s="20">
        <f>COUNTIFS(tData[SEHTrajectPeriodeDatumTijdVan],"&lt;="&amp;($A366+20/24),tData[SEHTrajectPeriodeDatumTijdTotEnMet],"&gt;"&amp;($A366+20/24))</f>
        <v/>
      </c>
      <c r="Y366" s="20">
        <f>COUNTIFS(tData[SEHTrajectPeriodeDatumTijdVan],"&lt;="&amp;($A366+21/24),tData[SEHTrajectPeriodeDatumTijdTotEnMet],"&gt;"&amp;($A366+21/24))</f>
        <v/>
      </c>
      <c r="Z366" s="20">
        <f>COUNTIFS(tData[SEHTrajectPeriodeDatumTijdVan],"&lt;="&amp;($A366+22/24),tData[SEHTrajectPeriodeDatumTijdTotEnMet],"&gt;"&amp;($A366+22/24))</f>
        <v/>
      </c>
      <c r="AA366" s="20">
        <f>COUNTIFS(tData[SEHTrajectPeriodeDatumTijdVan],"&lt;="&amp;($A366+23/24),tData[SEHTrajectPeriodeDatumTijdTotEnMet],"&gt;"&amp;($A366+23/24))</f>
        <v/>
      </c>
    </row>
    <row r="367">
      <c r="A367" s="19" t="n">
        <v>45655</v>
      </c>
      <c r="B367" s="15">
        <f>WEEKDAY($A367,2)</f>
        <v/>
      </c>
      <c r="C367" s="15">
        <f>IF(AND($A367&gt;=INT(Instellingen!$B$5),$A367&lt;=INT(Instellingen!$B$6)),1,0)</f>
        <v/>
      </c>
      <c r="D367" s="20">
        <f>COUNTIFS(tData[SEHTrajectPeriodeDatumTijdVan],"&lt;="&amp;($A367+0/24),tData[SEHTrajectPeriodeDatumTijdTotEnMet],"&gt;"&amp;($A367+0/24))</f>
        <v/>
      </c>
      <c r="E367" s="20">
        <f>COUNTIFS(tData[SEHTrajectPeriodeDatumTijdVan],"&lt;="&amp;($A367+1/24),tData[SEHTrajectPeriodeDatumTijdTotEnMet],"&gt;"&amp;($A367+1/24))</f>
        <v/>
      </c>
      <c r="F367" s="20">
        <f>COUNTIFS(tData[SEHTrajectPeriodeDatumTijdVan],"&lt;="&amp;($A367+2/24),tData[SEHTrajectPeriodeDatumTijdTotEnMet],"&gt;"&amp;($A367+2/24))</f>
        <v/>
      </c>
      <c r="G367" s="20">
        <f>COUNTIFS(tData[SEHTrajectPeriodeDatumTijdVan],"&lt;="&amp;($A367+3/24),tData[SEHTrajectPeriodeDatumTijdTotEnMet],"&gt;"&amp;($A367+3/24))</f>
        <v/>
      </c>
      <c r="H367" s="20">
        <f>COUNTIFS(tData[SEHTrajectPeriodeDatumTijdVan],"&lt;="&amp;($A367+4/24),tData[SEHTrajectPeriodeDatumTijdTotEnMet],"&gt;"&amp;($A367+4/24))</f>
        <v/>
      </c>
      <c r="I367" s="20">
        <f>COUNTIFS(tData[SEHTrajectPeriodeDatumTijdVan],"&lt;="&amp;($A367+5/24),tData[SEHTrajectPeriodeDatumTijdTotEnMet],"&gt;"&amp;($A367+5/24))</f>
        <v/>
      </c>
      <c r="J367" s="20">
        <f>COUNTIFS(tData[SEHTrajectPeriodeDatumTijdVan],"&lt;="&amp;($A367+6/24),tData[SEHTrajectPeriodeDatumTijdTotEnMet],"&gt;"&amp;($A367+6/24))</f>
        <v/>
      </c>
      <c r="K367" s="20">
        <f>COUNTIFS(tData[SEHTrajectPeriodeDatumTijdVan],"&lt;="&amp;($A367+7/24),tData[SEHTrajectPeriodeDatumTijdTotEnMet],"&gt;"&amp;($A367+7/24))</f>
        <v/>
      </c>
      <c r="L367" s="20">
        <f>COUNTIFS(tData[SEHTrajectPeriodeDatumTijdVan],"&lt;="&amp;($A367+8/24),tData[SEHTrajectPeriodeDatumTijdTotEnMet],"&gt;"&amp;($A367+8/24))</f>
        <v/>
      </c>
      <c r="M367" s="20">
        <f>COUNTIFS(tData[SEHTrajectPeriodeDatumTijdVan],"&lt;="&amp;($A367+9/24),tData[SEHTrajectPeriodeDatumTijdTotEnMet],"&gt;"&amp;($A367+9/24))</f>
        <v/>
      </c>
      <c r="N367" s="20">
        <f>COUNTIFS(tData[SEHTrajectPeriodeDatumTijdVan],"&lt;="&amp;($A367+10/24),tData[SEHTrajectPeriodeDatumTijdTotEnMet],"&gt;"&amp;($A367+10/24))</f>
        <v/>
      </c>
      <c r="O367" s="20">
        <f>COUNTIFS(tData[SEHTrajectPeriodeDatumTijdVan],"&lt;="&amp;($A367+11/24),tData[SEHTrajectPeriodeDatumTijdTotEnMet],"&gt;"&amp;($A367+11/24))</f>
        <v/>
      </c>
      <c r="P367" s="20">
        <f>COUNTIFS(tData[SEHTrajectPeriodeDatumTijdVan],"&lt;="&amp;($A367+12/24),tData[SEHTrajectPeriodeDatumTijdTotEnMet],"&gt;"&amp;($A367+12/24))</f>
        <v/>
      </c>
      <c r="Q367" s="20">
        <f>COUNTIFS(tData[SEHTrajectPeriodeDatumTijdVan],"&lt;="&amp;($A367+13/24),tData[SEHTrajectPeriodeDatumTijdTotEnMet],"&gt;"&amp;($A367+13/24))</f>
        <v/>
      </c>
      <c r="R367" s="20">
        <f>COUNTIFS(tData[SEHTrajectPeriodeDatumTijdVan],"&lt;="&amp;($A367+14/24),tData[SEHTrajectPeriodeDatumTijdTotEnMet],"&gt;"&amp;($A367+14/24))</f>
        <v/>
      </c>
      <c r="S367" s="20">
        <f>COUNTIFS(tData[SEHTrajectPeriodeDatumTijdVan],"&lt;="&amp;($A367+15/24),tData[SEHTrajectPeriodeDatumTijdTotEnMet],"&gt;"&amp;($A367+15/24))</f>
        <v/>
      </c>
      <c r="T367" s="20">
        <f>COUNTIFS(tData[SEHTrajectPeriodeDatumTijdVan],"&lt;="&amp;($A367+16/24),tData[SEHTrajectPeriodeDatumTijdTotEnMet],"&gt;"&amp;($A367+16/24))</f>
        <v/>
      </c>
      <c r="U367" s="20">
        <f>COUNTIFS(tData[SEHTrajectPeriodeDatumTijdVan],"&lt;="&amp;($A367+17/24),tData[SEHTrajectPeriodeDatumTijdTotEnMet],"&gt;"&amp;($A367+17/24))</f>
        <v/>
      </c>
      <c r="V367" s="20">
        <f>COUNTIFS(tData[SEHTrajectPeriodeDatumTijdVan],"&lt;="&amp;($A367+18/24),tData[SEHTrajectPeriodeDatumTijdTotEnMet],"&gt;"&amp;($A367+18/24))</f>
        <v/>
      </c>
      <c r="W367" s="20">
        <f>COUNTIFS(tData[SEHTrajectPeriodeDatumTijdVan],"&lt;="&amp;($A367+19/24),tData[SEHTrajectPeriodeDatumTijdTotEnMet],"&gt;"&amp;($A367+19/24))</f>
        <v/>
      </c>
      <c r="X367" s="20">
        <f>COUNTIFS(tData[SEHTrajectPeriodeDatumTijdVan],"&lt;="&amp;($A367+20/24),tData[SEHTrajectPeriodeDatumTijdTotEnMet],"&gt;"&amp;($A367+20/24))</f>
        <v/>
      </c>
      <c r="Y367" s="20">
        <f>COUNTIFS(tData[SEHTrajectPeriodeDatumTijdVan],"&lt;="&amp;($A367+21/24),tData[SEHTrajectPeriodeDatumTijdTotEnMet],"&gt;"&amp;($A367+21/24))</f>
        <v/>
      </c>
      <c r="Z367" s="20">
        <f>COUNTIFS(tData[SEHTrajectPeriodeDatumTijdVan],"&lt;="&amp;($A367+22/24),tData[SEHTrajectPeriodeDatumTijdTotEnMet],"&gt;"&amp;($A367+22/24))</f>
        <v/>
      </c>
      <c r="AA367" s="20">
        <f>COUNTIFS(tData[SEHTrajectPeriodeDatumTijdVan],"&lt;="&amp;($A367+23/24),tData[SEHTrajectPeriodeDatumTijdTotEnMet],"&gt;"&amp;($A367+23/24))</f>
        <v/>
      </c>
    </row>
    <row r="368">
      <c r="A368" s="19" t="n">
        <v>45656</v>
      </c>
      <c r="B368" s="15">
        <f>WEEKDAY($A368,2)</f>
        <v/>
      </c>
      <c r="C368" s="15">
        <f>IF(AND($A368&gt;=INT(Instellingen!$B$5),$A368&lt;=INT(Instellingen!$B$6)),1,0)</f>
        <v/>
      </c>
      <c r="D368" s="20">
        <f>COUNTIFS(tData[SEHTrajectPeriodeDatumTijdVan],"&lt;="&amp;($A368+0/24),tData[SEHTrajectPeriodeDatumTijdTotEnMet],"&gt;"&amp;($A368+0/24))</f>
        <v/>
      </c>
      <c r="E368" s="20">
        <f>COUNTIFS(tData[SEHTrajectPeriodeDatumTijdVan],"&lt;="&amp;($A368+1/24),tData[SEHTrajectPeriodeDatumTijdTotEnMet],"&gt;"&amp;($A368+1/24))</f>
        <v/>
      </c>
      <c r="F368" s="20">
        <f>COUNTIFS(tData[SEHTrajectPeriodeDatumTijdVan],"&lt;="&amp;($A368+2/24),tData[SEHTrajectPeriodeDatumTijdTotEnMet],"&gt;"&amp;($A368+2/24))</f>
        <v/>
      </c>
      <c r="G368" s="20">
        <f>COUNTIFS(tData[SEHTrajectPeriodeDatumTijdVan],"&lt;="&amp;($A368+3/24),tData[SEHTrajectPeriodeDatumTijdTotEnMet],"&gt;"&amp;($A368+3/24))</f>
        <v/>
      </c>
      <c r="H368" s="20">
        <f>COUNTIFS(tData[SEHTrajectPeriodeDatumTijdVan],"&lt;="&amp;($A368+4/24),tData[SEHTrajectPeriodeDatumTijdTotEnMet],"&gt;"&amp;($A368+4/24))</f>
        <v/>
      </c>
      <c r="I368" s="20">
        <f>COUNTIFS(tData[SEHTrajectPeriodeDatumTijdVan],"&lt;="&amp;($A368+5/24),tData[SEHTrajectPeriodeDatumTijdTotEnMet],"&gt;"&amp;($A368+5/24))</f>
        <v/>
      </c>
      <c r="J368" s="20">
        <f>COUNTIFS(tData[SEHTrajectPeriodeDatumTijdVan],"&lt;="&amp;($A368+6/24),tData[SEHTrajectPeriodeDatumTijdTotEnMet],"&gt;"&amp;($A368+6/24))</f>
        <v/>
      </c>
      <c r="K368" s="20">
        <f>COUNTIFS(tData[SEHTrajectPeriodeDatumTijdVan],"&lt;="&amp;($A368+7/24),tData[SEHTrajectPeriodeDatumTijdTotEnMet],"&gt;"&amp;($A368+7/24))</f>
        <v/>
      </c>
      <c r="L368" s="20">
        <f>COUNTIFS(tData[SEHTrajectPeriodeDatumTijdVan],"&lt;="&amp;($A368+8/24),tData[SEHTrajectPeriodeDatumTijdTotEnMet],"&gt;"&amp;($A368+8/24))</f>
        <v/>
      </c>
      <c r="M368" s="20">
        <f>COUNTIFS(tData[SEHTrajectPeriodeDatumTijdVan],"&lt;="&amp;($A368+9/24),tData[SEHTrajectPeriodeDatumTijdTotEnMet],"&gt;"&amp;($A368+9/24))</f>
        <v/>
      </c>
      <c r="N368" s="20">
        <f>COUNTIFS(tData[SEHTrajectPeriodeDatumTijdVan],"&lt;="&amp;($A368+10/24),tData[SEHTrajectPeriodeDatumTijdTotEnMet],"&gt;"&amp;($A368+10/24))</f>
        <v/>
      </c>
      <c r="O368" s="20">
        <f>COUNTIFS(tData[SEHTrajectPeriodeDatumTijdVan],"&lt;="&amp;($A368+11/24),tData[SEHTrajectPeriodeDatumTijdTotEnMet],"&gt;"&amp;($A368+11/24))</f>
        <v/>
      </c>
      <c r="P368" s="20">
        <f>COUNTIFS(tData[SEHTrajectPeriodeDatumTijdVan],"&lt;="&amp;($A368+12/24),tData[SEHTrajectPeriodeDatumTijdTotEnMet],"&gt;"&amp;($A368+12/24))</f>
        <v/>
      </c>
      <c r="Q368" s="20">
        <f>COUNTIFS(tData[SEHTrajectPeriodeDatumTijdVan],"&lt;="&amp;($A368+13/24),tData[SEHTrajectPeriodeDatumTijdTotEnMet],"&gt;"&amp;($A368+13/24))</f>
        <v/>
      </c>
      <c r="R368" s="20">
        <f>COUNTIFS(tData[SEHTrajectPeriodeDatumTijdVan],"&lt;="&amp;($A368+14/24),tData[SEHTrajectPeriodeDatumTijdTotEnMet],"&gt;"&amp;($A368+14/24))</f>
        <v/>
      </c>
      <c r="S368" s="20">
        <f>COUNTIFS(tData[SEHTrajectPeriodeDatumTijdVan],"&lt;="&amp;($A368+15/24),tData[SEHTrajectPeriodeDatumTijdTotEnMet],"&gt;"&amp;($A368+15/24))</f>
        <v/>
      </c>
      <c r="T368" s="20">
        <f>COUNTIFS(tData[SEHTrajectPeriodeDatumTijdVan],"&lt;="&amp;($A368+16/24),tData[SEHTrajectPeriodeDatumTijdTotEnMet],"&gt;"&amp;($A368+16/24))</f>
        <v/>
      </c>
      <c r="U368" s="20">
        <f>COUNTIFS(tData[SEHTrajectPeriodeDatumTijdVan],"&lt;="&amp;($A368+17/24),tData[SEHTrajectPeriodeDatumTijdTotEnMet],"&gt;"&amp;($A368+17/24))</f>
        <v/>
      </c>
      <c r="V368" s="20">
        <f>COUNTIFS(tData[SEHTrajectPeriodeDatumTijdVan],"&lt;="&amp;($A368+18/24),tData[SEHTrajectPeriodeDatumTijdTotEnMet],"&gt;"&amp;($A368+18/24))</f>
        <v/>
      </c>
      <c r="W368" s="20">
        <f>COUNTIFS(tData[SEHTrajectPeriodeDatumTijdVan],"&lt;="&amp;($A368+19/24),tData[SEHTrajectPeriodeDatumTijdTotEnMet],"&gt;"&amp;($A368+19/24))</f>
        <v/>
      </c>
      <c r="X368" s="20">
        <f>COUNTIFS(tData[SEHTrajectPeriodeDatumTijdVan],"&lt;="&amp;($A368+20/24),tData[SEHTrajectPeriodeDatumTijdTotEnMet],"&gt;"&amp;($A368+20/24))</f>
        <v/>
      </c>
      <c r="Y368" s="20">
        <f>COUNTIFS(tData[SEHTrajectPeriodeDatumTijdVan],"&lt;="&amp;($A368+21/24),tData[SEHTrajectPeriodeDatumTijdTotEnMet],"&gt;"&amp;($A368+21/24))</f>
        <v/>
      </c>
      <c r="Z368" s="20">
        <f>COUNTIFS(tData[SEHTrajectPeriodeDatumTijdVan],"&lt;="&amp;($A368+22/24),tData[SEHTrajectPeriodeDatumTijdTotEnMet],"&gt;"&amp;($A368+22/24))</f>
        <v/>
      </c>
      <c r="AA368" s="20">
        <f>COUNTIFS(tData[SEHTrajectPeriodeDatumTijdVan],"&lt;="&amp;($A368+23/24),tData[SEHTrajectPeriodeDatumTijdTotEnMet],"&gt;"&amp;($A368+23/24))</f>
        <v/>
      </c>
    </row>
    <row r="369">
      <c r="A369" s="19" t="n">
        <v>45657</v>
      </c>
      <c r="B369" s="15">
        <f>WEEKDAY($A369,2)</f>
        <v/>
      </c>
      <c r="C369" s="15">
        <f>IF(AND($A369&gt;=INT(Instellingen!$B$5),$A369&lt;=INT(Instellingen!$B$6)),1,0)</f>
        <v/>
      </c>
      <c r="D369" s="20">
        <f>COUNTIFS(tData[SEHTrajectPeriodeDatumTijdVan],"&lt;="&amp;($A369+0/24),tData[SEHTrajectPeriodeDatumTijdTotEnMet],"&gt;"&amp;($A369+0/24))</f>
        <v/>
      </c>
      <c r="E369" s="20">
        <f>COUNTIFS(tData[SEHTrajectPeriodeDatumTijdVan],"&lt;="&amp;($A369+1/24),tData[SEHTrajectPeriodeDatumTijdTotEnMet],"&gt;"&amp;($A369+1/24))</f>
        <v/>
      </c>
      <c r="F369" s="20">
        <f>COUNTIFS(tData[SEHTrajectPeriodeDatumTijdVan],"&lt;="&amp;($A369+2/24),tData[SEHTrajectPeriodeDatumTijdTotEnMet],"&gt;"&amp;($A369+2/24))</f>
        <v/>
      </c>
      <c r="G369" s="20">
        <f>COUNTIFS(tData[SEHTrajectPeriodeDatumTijdVan],"&lt;="&amp;($A369+3/24),tData[SEHTrajectPeriodeDatumTijdTotEnMet],"&gt;"&amp;($A369+3/24))</f>
        <v/>
      </c>
      <c r="H369" s="20">
        <f>COUNTIFS(tData[SEHTrajectPeriodeDatumTijdVan],"&lt;="&amp;($A369+4/24),tData[SEHTrajectPeriodeDatumTijdTotEnMet],"&gt;"&amp;($A369+4/24))</f>
        <v/>
      </c>
      <c r="I369" s="20">
        <f>COUNTIFS(tData[SEHTrajectPeriodeDatumTijdVan],"&lt;="&amp;($A369+5/24),tData[SEHTrajectPeriodeDatumTijdTotEnMet],"&gt;"&amp;($A369+5/24))</f>
        <v/>
      </c>
      <c r="J369" s="20">
        <f>COUNTIFS(tData[SEHTrajectPeriodeDatumTijdVan],"&lt;="&amp;($A369+6/24),tData[SEHTrajectPeriodeDatumTijdTotEnMet],"&gt;"&amp;($A369+6/24))</f>
        <v/>
      </c>
      <c r="K369" s="20">
        <f>COUNTIFS(tData[SEHTrajectPeriodeDatumTijdVan],"&lt;="&amp;($A369+7/24),tData[SEHTrajectPeriodeDatumTijdTotEnMet],"&gt;"&amp;($A369+7/24))</f>
        <v/>
      </c>
      <c r="L369" s="20">
        <f>COUNTIFS(tData[SEHTrajectPeriodeDatumTijdVan],"&lt;="&amp;($A369+8/24),tData[SEHTrajectPeriodeDatumTijdTotEnMet],"&gt;"&amp;($A369+8/24))</f>
        <v/>
      </c>
      <c r="M369" s="20">
        <f>COUNTIFS(tData[SEHTrajectPeriodeDatumTijdVan],"&lt;="&amp;($A369+9/24),tData[SEHTrajectPeriodeDatumTijdTotEnMet],"&gt;"&amp;($A369+9/24))</f>
        <v/>
      </c>
      <c r="N369" s="20">
        <f>COUNTIFS(tData[SEHTrajectPeriodeDatumTijdVan],"&lt;="&amp;($A369+10/24),tData[SEHTrajectPeriodeDatumTijdTotEnMet],"&gt;"&amp;($A369+10/24))</f>
        <v/>
      </c>
      <c r="O369" s="20">
        <f>COUNTIFS(tData[SEHTrajectPeriodeDatumTijdVan],"&lt;="&amp;($A369+11/24),tData[SEHTrajectPeriodeDatumTijdTotEnMet],"&gt;"&amp;($A369+11/24))</f>
        <v/>
      </c>
      <c r="P369" s="20">
        <f>COUNTIFS(tData[SEHTrajectPeriodeDatumTijdVan],"&lt;="&amp;($A369+12/24),tData[SEHTrajectPeriodeDatumTijdTotEnMet],"&gt;"&amp;($A369+12/24))</f>
        <v/>
      </c>
      <c r="Q369" s="20">
        <f>COUNTIFS(tData[SEHTrajectPeriodeDatumTijdVan],"&lt;="&amp;($A369+13/24),tData[SEHTrajectPeriodeDatumTijdTotEnMet],"&gt;"&amp;($A369+13/24))</f>
        <v/>
      </c>
      <c r="R369" s="20">
        <f>COUNTIFS(tData[SEHTrajectPeriodeDatumTijdVan],"&lt;="&amp;($A369+14/24),tData[SEHTrajectPeriodeDatumTijdTotEnMet],"&gt;"&amp;($A369+14/24))</f>
        <v/>
      </c>
      <c r="S369" s="20">
        <f>COUNTIFS(tData[SEHTrajectPeriodeDatumTijdVan],"&lt;="&amp;($A369+15/24),tData[SEHTrajectPeriodeDatumTijdTotEnMet],"&gt;"&amp;($A369+15/24))</f>
        <v/>
      </c>
      <c r="T369" s="20">
        <f>COUNTIFS(tData[SEHTrajectPeriodeDatumTijdVan],"&lt;="&amp;($A369+16/24),tData[SEHTrajectPeriodeDatumTijdTotEnMet],"&gt;"&amp;($A369+16/24))</f>
        <v/>
      </c>
      <c r="U369" s="20">
        <f>COUNTIFS(tData[SEHTrajectPeriodeDatumTijdVan],"&lt;="&amp;($A369+17/24),tData[SEHTrajectPeriodeDatumTijdTotEnMet],"&gt;"&amp;($A369+17/24))</f>
        <v/>
      </c>
      <c r="V369" s="20">
        <f>COUNTIFS(tData[SEHTrajectPeriodeDatumTijdVan],"&lt;="&amp;($A369+18/24),tData[SEHTrajectPeriodeDatumTijdTotEnMet],"&gt;"&amp;($A369+18/24))</f>
        <v/>
      </c>
      <c r="W369" s="20">
        <f>COUNTIFS(tData[SEHTrajectPeriodeDatumTijdVan],"&lt;="&amp;($A369+19/24),tData[SEHTrajectPeriodeDatumTijdTotEnMet],"&gt;"&amp;($A369+19/24))</f>
        <v/>
      </c>
      <c r="X369" s="20">
        <f>COUNTIFS(tData[SEHTrajectPeriodeDatumTijdVan],"&lt;="&amp;($A369+20/24),tData[SEHTrajectPeriodeDatumTijdTotEnMet],"&gt;"&amp;($A369+20/24))</f>
        <v/>
      </c>
      <c r="Y369" s="20">
        <f>COUNTIFS(tData[SEHTrajectPeriodeDatumTijdVan],"&lt;="&amp;($A369+21/24),tData[SEHTrajectPeriodeDatumTijdTotEnMet],"&gt;"&amp;($A369+21/24))</f>
        <v/>
      </c>
      <c r="Z369" s="20">
        <f>COUNTIFS(tData[SEHTrajectPeriodeDatumTijdVan],"&lt;="&amp;($A369+22/24),tData[SEHTrajectPeriodeDatumTijdTotEnMet],"&gt;"&amp;($A369+22/24))</f>
        <v/>
      </c>
      <c r="AA369" s="20">
        <f>COUNTIFS(tData[SEHTrajectPeriodeDatumTijdVan],"&lt;="&amp;($A369+23/24),tData[SEHTrajectPeriodeDatumTijdTotEnMet],"&gt;"&amp;($A369+23/24))</f>
        <v/>
      </c>
    </row>
    <row r="370">
      <c r="A370" s="19" t="n">
        <v>45658</v>
      </c>
      <c r="B370" s="15">
        <f>WEEKDAY($A370,2)</f>
        <v/>
      </c>
      <c r="C370" s="15">
        <f>IF(AND($A370&gt;=INT(Instellingen!$B$5),$A370&lt;=INT(Instellingen!$B$6)),1,0)</f>
        <v/>
      </c>
      <c r="D370" s="20">
        <f>COUNTIFS(tData[SEHTrajectPeriodeDatumTijdVan],"&lt;="&amp;($A370+0/24),tData[SEHTrajectPeriodeDatumTijdTotEnMet],"&gt;"&amp;($A370+0/24))</f>
        <v/>
      </c>
      <c r="E370" s="20">
        <f>COUNTIFS(tData[SEHTrajectPeriodeDatumTijdVan],"&lt;="&amp;($A370+1/24),tData[SEHTrajectPeriodeDatumTijdTotEnMet],"&gt;"&amp;($A370+1/24))</f>
        <v/>
      </c>
      <c r="F370" s="20">
        <f>COUNTIFS(tData[SEHTrajectPeriodeDatumTijdVan],"&lt;="&amp;($A370+2/24),tData[SEHTrajectPeriodeDatumTijdTotEnMet],"&gt;"&amp;($A370+2/24))</f>
        <v/>
      </c>
      <c r="G370" s="20">
        <f>COUNTIFS(tData[SEHTrajectPeriodeDatumTijdVan],"&lt;="&amp;($A370+3/24),tData[SEHTrajectPeriodeDatumTijdTotEnMet],"&gt;"&amp;($A370+3/24))</f>
        <v/>
      </c>
      <c r="H370" s="20">
        <f>COUNTIFS(tData[SEHTrajectPeriodeDatumTijdVan],"&lt;="&amp;($A370+4/24),tData[SEHTrajectPeriodeDatumTijdTotEnMet],"&gt;"&amp;($A370+4/24))</f>
        <v/>
      </c>
      <c r="I370" s="20">
        <f>COUNTIFS(tData[SEHTrajectPeriodeDatumTijdVan],"&lt;="&amp;($A370+5/24),tData[SEHTrajectPeriodeDatumTijdTotEnMet],"&gt;"&amp;($A370+5/24))</f>
        <v/>
      </c>
      <c r="J370" s="20">
        <f>COUNTIFS(tData[SEHTrajectPeriodeDatumTijdVan],"&lt;="&amp;($A370+6/24),tData[SEHTrajectPeriodeDatumTijdTotEnMet],"&gt;"&amp;($A370+6/24))</f>
        <v/>
      </c>
      <c r="K370" s="20">
        <f>COUNTIFS(tData[SEHTrajectPeriodeDatumTijdVan],"&lt;="&amp;($A370+7/24),tData[SEHTrajectPeriodeDatumTijdTotEnMet],"&gt;"&amp;($A370+7/24))</f>
        <v/>
      </c>
      <c r="L370" s="20">
        <f>COUNTIFS(tData[SEHTrajectPeriodeDatumTijdVan],"&lt;="&amp;($A370+8/24),tData[SEHTrajectPeriodeDatumTijdTotEnMet],"&gt;"&amp;($A370+8/24))</f>
        <v/>
      </c>
      <c r="M370" s="20">
        <f>COUNTIFS(tData[SEHTrajectPeriodeDatumTijdVan],"&lt;="&amp;($A370+9/24),tData[SEHTrajectPeriodeDatumTijdTotEnMet],"&gt;"&amp;($A370+9/24))</f>
        <v/>
      </c>
      <c r="N370" s="20">
        <f>COUNTIFS(tData[SEHTrajectPeriodeDatumTijdVan],"&lt;="&amp;($A370+10/24),tData[SEHTrajectPeriodeDatumTijdTotEnMet],"&gt;"&amp;($A370+10/24))</f>
        <v/>
      </c>
      <c r="O370" s="20">
        <f>COUNTIFS(tData[SEHTrajectPeriodeDatumTijdVan],"&lt;="&amp;($A370+11/24),tData[SEHTrajectPeriodeDatumTijdTotEnMet],"&gt;"&amp;($A370+11/24))</f>
        <v/>
      </c>
      <c r="P370" s="20">
        <f>COUNTIFS(tData[SEHTrajectPeriodeDatumTijdVan],"&lt;="&amp;($A370+12/24),tData[SEHTrajectPeriodeDatumTijdTotEnMet],"&gt;"&amp;($A370+12/24))</f>
        <v/>
      </c>
      <c r="Q370" s="20">
        <f>COUNTIFS(tData[SEHTrajectPeriodeDatumTijdVan],"&lt;="&amp;($A370+13/24),tData[SEHTrajectPeriodeDatumTijdTotEnMet],"&gt;"&amp;($A370+13/24))</f>
        <v/>
      </c>
      <c r="R370" s="20">
        <f>COUNTIFS(tData[SEHTrajectPeriodeDatumTijdVan],"&lt;="&amp;($A370+14/24),tData[SEHTrajectPeriodeDatumTijdTotEnMet],"&gt;"&amp;($A370+14/24))</f>
        <v/>
      </c>
      <c r="S370" s="20">
        <f>COUNTIFS(tData[SEHTrajectPeriodeDatumTijdVan],"&lt;="&amp;($A370+15/24),tData[SEHTrajectPeriodeDatumTijdTotEnMet],"&gt;"&amp;($A370+15/24))</f>
        <v/>
      </c>
      <c r="T370" s="20">
        <f>COUNTIFS(tData[SEHTrajectPeriodeDatumTijdVan],"&lt;="&amp;($A370+16/24),tData[SEHTrajectPeriodeDatumTijdTotEnMet],"&gt;"&amp;($A370+16/24))</f>
        <v/>
      </c>
      <c r="U370" s="20">
        <f>COUNTIFS(tData[SEHTrajectPeriodeDatumTijdVan],"&lt;="&amp;($A370+17/24),tData[SEHTrajectPeriodeDatumTijdTotEnMet],"&gt;"&amp;($A370+17/24))</f>
        <v/>
      </c>
      <c r="V370" s="20">
        <f>COUNTIFS(tData[SEHTrajectPeriodeDatumTijdVan],"&lt;="&amp;($A370+18/24),tData[SEHTrajectPeriodeDatumTijdTotEnMet],"&gt;"&amp;($A370+18/24))</f>
        <v/>
      </c>
      <c r="W370" s="20">
        <f>COUNTIFS(tData[SEHTrajectPeriodeDatumTijdVan],"&lt;="&amp;($A370+19/24),tData[SEHTrajectPeriodeDatumTijdTotEnMet],"&gt;"&amp;($A370+19/24))</f>
        <v/>
      </c>
      <c r="X370" s="20">
        <f>COUNTIFS(tData[SEHTrajectPeriodeDatumTijdVan],"&lt;="&amp;($A370+20/24),tData[SEHTrajectPeriodeDatumTijdTotEnMet],"&gt;"&amp;($A370+20/24))</f>
        <v/>
      </c>
      <c r="Y370" s="20">
        <f>COUNTIFS(tData[SEHTrajectPeriodeDatumTijdVan],"&lt;="&amp;($A370+21/24),tData[SEHTrajectPeriodeDatumTijdTotEnMet],"&gt;"&amp;($A370+21/24))</f>
        <v/>
      </c>
      <c r="Z370" s="20">
        <f>COUNTIFS(tData[SEHTrajectPeriodeDatumTijdVan],"&lt;="&amp;($A370+22/24),tData[SEHTrajectPeriodeDatumTijdTotEnMet],"&gt;"&amp;($A370+22/24))</f>
        <v/>
      </c>
      <c r="AA370" s="20">
        <f>COUNTIFS(tData[SEHTrajectPeriodeDatumTijdVan],"&lt;="&amp;($A370+23/24),tData[SEHTrajectPeriodeDatumTijdTotEnMet],"&gt;"&amp;($A370+23/24))</f>
        <v/>
      </c>
    </row>
    <row r="371">
      <c r="A371" s="19" t="n">
        <v>45659</v>
      </c>
      <c r="B371" s="15">
        <f>WEEKDAY($A371,2)</f>
        <v/>
      </c>
      <c r="C371" s="15">
        <f>IF(AND($A371&gt;=INT(Instellingen!$B$5),$A371&lt;=INT(Instellingen!$B$6)),1,0)</f>
        <v/>
      </c>
      <c r="D371" s="20">
        <f>COUNTIFS(tData[SEHTrajectPeriodeDatumTijdVan],"&lt;="&amp;($A371+0/24),tData[SEHTrajectPeriodeDatumTijdTotEnMet],"&gt;"&amp;($A371+0/24))</f>
        <v/>
      </c>
      <c r="E371" s="20">
        <f>COUNTIFS(tData[SEHTrajectPeriodeDatumTijdVan],"&lt;="&amp;($A371+1/24),tData[SEHTrajectPeriodeDatumTijdTotEnMet],"&gt;"&amp;($A371+1/24))</f>
        <v/>
      </c>
      <c r="F371" s="20">
        <f>COUNTIFS(tData[SEHTrajectPeriodeDatumTijdVan],"&lt;="&amp;($A371+2/24),tData[SEHTrajectPeriodeDatumTijdTotEnMet],"&gt;"&amp;($A371+2/24))</f>
        <v/>
      </c>
      <c r="G371" s="20">
        <f>COUNTIFS(tData[SEHTrajectPeriodeDatumTijdVan],"&lt;="&amp;($A371+3/24),tData[SEHTrajectPeriodeDatumTijdTotEnMet],"&gt;"&amp;($A371+3/24))</f>
        <v/>
      </c>
      <c r="H371" s="20">
        <f>COUNTIFS(tData[SEHTrajectPeriodeDatumTijdVan],"&lt;="&amp;($A371+4/24),tData[SEHTrajectPeriodeDatumTijdTotEnMet],"&gt;"&amp;($A371+4/24))</f>
        <v/>
      </c>
      <c r="I371" s="20">
        <f>COUNTIFS(tData[SEHTrajectPeriodeDatumTijdVan],"&lt;="&amp;($A371+5/24),tData[SEHTrajectPeriodeDatumTijdTotEnMet],"&gt;"&amp;($A371+5/24))</f>
        <v/>
      </c>
      <c r="J371" s="20">
        <f>COUNTIFS(tData[SEHTrajectPeriodeDatumTijdVan],"&lt;="&amp;($A371+6/24),tData[SEHTrajectPeriodeDatumTijdTotEnMet],"&gt;"&amp;($A371+6/24))</f>
        <v/>
      </c>
      <c r="K371" s="20">
        <f>COUNTIFS(tData[SEHTrajectPeriodeDatumTijdVan],"&lt;="&amp;($A371+7/24),tData[SEHTrajectPeriodeDatumTijdTotEnMet],"&gt;"&amp;($A371+7/24))</f>
        <v/>
      </c>
      <c r="L371" s="20">
        <f>COUNTIFS(tData[SEHTrajectPeriodeDatumTijdVan],"&lt;="&amp;($A371+8/24),tData[SEHTrajectPeriodeDatumTijdTotEnMet],"&gt;"&amp;($A371+8/24))</f>
        <v/>
      </c>
      <c r="M371" s="20">
        <f>COUNTIFS(tData[SEHTrajectPeriodeDatumTijdVan],"&lt;="&amp;($A371+9/24),tData[SEHTrajectPeriodeDatumTijdTotEnMet],"&gt;"&amp;($A371+9/24))</f>
        <v/>
      </c>
      <c r="N371" s="20">
        <f>COUNTIFS(tData[SEHTrajectPeriodeDatumTijdVan],"&lt;="&amp;($A371+10/24),tData[SEHTrajectPeriodeDatumTijdTotEnMet],"&gt;"&amp;($A371+10/24))</f>
        <v/>
      </c>
      <c r="O371" s="20">
        <f>COUNTIFS(tData[SEHTrajectPeriodeDatumTijdVan],"&lt;="&amp;($A371+11/24),tData[SEHTrajectPeriodeDatumTijdTotEnMet],"&gt;"&amp;($A371+11/24))</f>
        <v/>
      </c>
      <c r="P371" s="20">
        <f>COUNTIFS(tData[SEHTrajectPeriodeDatumTijdVan],"&lt;="&amp;($A371+12/24),tData[SEHTrajectPeriodeDatumTijdTotEnMet],"&gt;"&amp;($A371+12/24))</f>
        <v/>
      </c>
      <c r="Q371" s="20">
        <f>COUNTIFS(tData[SEHTrajectPeriodeDatumTijdVan],"&lt;="&amp;($A371+13/24),tData[SEHTrajectPeriodeDatumTijdTotEnMet],"&gt;"&amp;($A371+13/24))</f>
        <v/>
      </c>
      <c r="R371" s="20">
        <f>COUNTIFS(tData[SEHTrajectPeriodeDatumTijdVan],"&lt;="&amp;($A371+14/24),tData[SEHTrajectPeriodeDatumTijdTotEnMet],"&gt;"&amp;($A371+14/24))</f>
        <v/>
      </c>
      <c r="S371" s="20">
        <f>COUNTIFS(tData[SEHTrajectPeriodeDatumTijdVan],"&lt;="&amp;($A371+15/24),tData[SEHTrajectPeriodeDatumTijdTotEnMet],"&gt;"&amp;($A371+15/24))</f>
        <v/>
      </c>
      <c r="T371" s="20">
        <f>COUNTIFS(tData[SEHTrajectPeriodeDatumTijdVan],"&lt;="&amp;($A371+16/24),tData[SEHTrajectPeriodeDatumTijdTotEnMet],"&gt;"&amp;($A371+16/24))</f>
        <v/>
      </c>
      <c r="U371" s="20">
        <f>COUNTIFS(tData[SEHTrajectPeriodeDatumTijdVan],"&lt;="&amp;($A371+17/24),tData[SEHTrajectPeriodeDatumTijdTotEnMet],"&gt;"&amp;($A371+17/24))</f>
        <v/>
      </c>
      <c r="V371" s="20">
        <f>COUNTIFS(tData[SEHTrajectPeriodeDatumTijdVan],"&lt;="&amp;($A371+18/24),tData[SEHTrajectPeriodeDatumTijdTotEnMet],"&gt;"&amp;($A371+18/24))</f>
        <v/>
      </c>
      <c r="W371" s="20">
        <f>COUNTIFS(tData[SEHTrajectPeriodeDatumTijdVan],"&lt;="&amp;($A371+19/24),tData[SEHTrajectPeriodeDatumTijdTotEnMet],"&gt;"&amp;($A371+19/24))</f>
        <v/>
      </c>
      <c r="X371" s="20">
        <f>COUNTIFS(tData[SEHTrajectPeriodeDatumTijdVan],"&lt;="&amp;($A371+20/24),tData[SEHTrajectPeriodeDatumTijdTotEnMet],"&gt;"&amp;($A371+20/24))</f>
        <v/>
      </c>
      <c r="Y371" s="20">
        <f>COUNTIFS(tData[SEHTrajectPeriodeDatumTijdVan],"&lt;="&amp;($A371+21/24),tData[SEHTrajectPeriodeDatumTijdTotEnMet],"&gt;"&amp;($A371+21/24))</f>
        <v/>
      </c>
      <c r="Z371" s="20">
        <f>COUNTIFS(tData[SEHTrajectPeriodeDatumTijdVan],"&lt;="&amp;($A371+22/24),tData[SEHTrajectPeriodeDatumTijdTotEnMet],"&gt;"&amp;($A371+22/24))</f>
        <v/>
      </c>
      <c r="AA371" s="20">
        <f>COUNTIFS(tData[SEHTrajectPeriodeDatumTijdVan],"&lt;="&amp;($A371+23/24),tData[SEHTrajectPeriodeDatumTijdTotEnMet],"&gt;"&amp;($A371+23/24))</f>
        <v/>
      </c>
    </row>
    <row r="372">
      <c r="A372" s="19" t="n">
        <v>45660</v>
      </c>
      <c r="B372" s="15">
        <f>WEEKDAY($A372,2)</f>
        <v/>
      </c>
      <c r="C372" s="15">
        <f>IF(AND($A372&gt;=INT(Instellingen!$B$5),$A372&lt;=INT(Instellingen!$B$6)),1,0)</f>
        <v/>
      </c>
      <c r="D372" s="20">
        <f>COUNTIFS(tData[SEHTrajectPeriodeDatumTijdVan],"&lt;="&amp;($A372+0/24),tData[SEHTrajectPeriodeDatumTijdTotEnMet],"&gt;"&amp;($A372+0/24))</f>
        <v/>
      </c>
      <c r="E372" s="20">
        <f>COUNTIFS(tData[SEHTrajectPeriodeDatumTijdVan],"&lt;="&amp;($A372+1/24),tData[SEHTrajectPeriodeDatumTijdTotEnMet],"&gt;"&amp;($A372+1/24))</f>
        <v/>
      </c>
      <c r="F372" s="20">
        <f>COUNTIFS(tData[SEHTrajectPeriodeDatumTijdVan],"&lt;="&amp;($A372+2/24),tData[SEHTrajectPeriodeDatumTijdTotEnMet],"&gt;"&amp;($A372+2/24))</f>
        <v/>
      </c>
      <c r="G372" s="20">
        <f>COUNTIFS(tData[SEHTrajectPeriodeDatumTijdVan],"&lt;="&amp;($A372+3/24),tData[SEHTrajectPeriodeDatumTijdTotEnMet],"&gt;"&amp;($A372+3/24))</f>
        <v/>
      </c>
      <c r="H372" s="20">
        <f>COUNTIFS(tData[SEHTrajectPeriodeDatumTijdVan],"&lt;="&amp;($A372+4/24),tData[SEHTrajectPeriodeDatumTijdTotEnMet],"&gt;"&amp;($A372+4/24))</f>
        <v/>
      </c>
      <c r="I372" s="20">
        <f>COUNTIFS(tData[SEHTrajectPeriodeDatumTijdVan],"&lt;="&amp;($A372+5/24),tData[SEHTrajectPeriodeDatumTijdTotEnMet],"&gt;"&amp;($A372+5/24))</f>
        <v/>
      </c>
      <c r="J372" s="20">
        <f>COUNTIFS(tData[SEHTrajectPeriodeDatumTijdVan],"&lt;="&amp;($A372+6/24),tData[SEHTrajectPeriodeDatumTijdTotEnMet],"&gt;"&amp;($A372+6/24))</f>
        <v/>
      </c>
      <c r="K372" s="20">
        <f>COUNTIFS(tData[SEHTrajectPeriodeDatumTijdVan],"&lt;="&amp;($A372+7/24),tData[SEHTrajectPeriodeDatumTijdTotEnMet],"&gt;"&amp;($A372+7/24))</f>
        <v/>
      </c>
      <c r="L372" s="20">
        <f>COUNTIFS(tData[SEHTrajectPeriodeDatumTijdVan],"&lt;="&amp;($A372+8/24),tData[SEHTrajectPeriodeDatumTijdTotEnMet],"&gt;"&amp;($A372+8/24))</f>
        <v/>
      </c>
      <c r="M372" s="20">
        <f>COUNTIFS(tData[SEHTrajectPeriodeDatumTijdVan],"&lt;="&amp;($A372+9/24),tData[SEHTrajectPeriodeDatumTijdTotEnMet],"&gt;"&amp;($A372+9/24))</f>
        <v/>
      </c>
      <c r="N372" s="20">
        <f>COUNTIFS(tData[SEHTrajectPeriodeDatumTijdVan],"&lt;="&amp;($A372+10/24),tData[SEHTrajectPeriodeDatumTijdTotEnMet],"&gt;"&amp;($A372+10/24))</f>
        <v/>
      </c>
      <c r="O372" s="20">
        <f>COUNTIFS(tData[SEHTrajectPeriodeDatumTijdVan],"&lt;="&amp;($A372+11/24),tData[SEHTrajectPeriodeDatumTijdTotEnMet],"&gt;"&amp;($A372+11/24))</f>
        <v/>
      </c>
      <c r="P372" s="20">
        <f>COUNTIFS(tData[SEHTrajectPeriodeDatumTijdVan],"&lt;="&amp;($A372+12/24),tData[SEHTrajectPeriodeDatumTijdTotEnMet],"&gt;"&amp;($A372+12/24))</f>
        <v/>
      </c>
      <c r="Q372" s="20">
        <f>COUNTIFS(tData[SEHTrajectPeriodeDatumTijdVan],"&lt;="&amp;($A372+13/24),tData[SEHTrajectPeriodeDatumTijdTotEnMet],"&gt;"&amp;($A372+13/24))</f>
        <v/>
      </c>
      <c r="R372" s="20">
        <f>COUNTIFS(tData[SEHTrajectPeriodeDatumTijdVan],"&lt;="&amp;($A372+14/24),tData[SEHTrajectPeriodeDatumTijdTotEnMet],"&gt;"&amp;($A372+14/24))</f>
        <v/>
      </c>
      <c r="S372" s="20">
        <f>COUNTIFS(tData[SEHTrajectPeriodeDatumTijdVan],"&lt;="&amp;($A372+15/24),tData[SEHTrajectPeriodeDatumTijdTotEnMet],"&gt;"&amp;($A372+15/24))</f>
        <v/>
      </c>
      <c r="T372" s="20">
        <f>COUNTIFS(tData[SEHTrajectPeriodeDatumTijdVan],"&lt;="&amp;($A372+16/24),tData[SEHTrajectPeriodeDatumTijdTotEnMet],"&gt;"&amp;($A372+16/24))</f>
        <v/>
      </c>
      <c r="U372" s="20">
        <f>COUNTIFS(tData[SEHTrajectPeriodeDatumTijdVan],"&lt;="&amp;($A372+17/24),tData[SEHTrajectPeriodeDatumTijdTotEnMet],"&gt;"&amp;($A372+17/24))</f>
        <v/>
      </c>
      <c r="V372" s="20">
        <f>COUNTIFS(tData[SEHTrajectPeriodeDatumTijdVan],"&lt;="&amp;($A372+18/24),tData[SEHTrajectPeriodeDatumTijdTotEnMet],"&gt;"&amp;($A372+18/24))</f>
        <v/>
      </c>
      <c r="W372" s="20">
        <f>COUNTIFS(tData[SEHTrajectPeriodeDatumTijdVan],"&lt;="&amp;($A372+19/24),tData[SEHTrajectPeriodeDatumTijdTotEnMet],"&gt;"&amp;($A372+19/24))</f>
        <v/>
      </c>
      <c r="X372" s="20">
        <f>COUNTIFS(tData[SEHTrajectPeriodeDatumTijdVan],"&lt;="&amp;($A372+20/24),tData[SEHTrajectPeriodeDatumTijdTotEnMet],"&gt;"&amp;($A372+20/24))</f>
        <v/>
      </c>
      <c r="Y372" s="20">
        <f>COUNTIFS(tData[SEHTrajectPeriodeDatumTijdVan],"&lt;="&amp;($A372+21/24),tData[SEHTrajectPeriodeDatumTijdTotEnMet],"&gt;"&amp;($A372+21/24))</f>
        <v/>
      </c>
      <c r="Z372" s="20">
        <f>COUNTIFS(tData[SEHTrajectPeriodeDatumTijdVan],"&lt;="&amp;($A372+22/24),tData[SEHTrajectPeriodeDatumTijdTotEnMet],"&gt;"&amp;($A372+22/24))</f>
        <v/>
      </c>
      <c r="AA372" s="20">
        <f>COUNTIFS(tData[SEHTrajectPeriodeDatumTijdVan],"&lt;="&amp;($A372+23/24),tData[SEHTrajectPeriodeDatumTijdTotEnMet],"&gt;"&amp;($A372+23/24))</f>
        <v/>
      </c>
    </row>
    <row r="373">
      <c r="A373" s="19" t="n">
        <v>45661</v>
      </c>
      <c r="B373" s="15">
        <f>WEEKDAY($A373,2)</f>
        <v/>
      </c>
      <c r="C373" s="15">
        <f>IF(AND($A373&gt;=INT(Instellingen!$B$5),$A373&lt;=INT(Instellingen!$B$6)),1,0)</f>
        <v/>
      </c>
      <c r="D373" s="20">
        <f>COUNTIFS(tData[SEHTrajectPeriodeDatumTijdVan],"&lt;="&amp;($A373+0/24),tData[SEHTrajectPeriodeDatumTijdTotEnMet],"&gt;"&amp;($A373+0/24))</f>
        <v/>
      </c>
      <c r="E373" s="20">
        <f>COUNTIFS(tData[SEHTrajectPeriodeDatumTijdVan],"&lt;="&amp;($A373+1/24),tData[SEHTrajectPeriodeDatumTijdTotEnMet],"&gt;"&amp;($A373+1/24))</f>
        <v/>
      </c>
      <c r="F373" s="20">
        <f>COUNTIFS(tData[SEHTrajectPeriodeDatumTijdVan],"&lt;="&amp;($A373+2/24),tData[SEHTrajectPeriodeDatumTijdTotEnMet],"&gt;"&amp;($A373+2/24))</f>
        <v/>
      </c>
      <c r="G373" s="20">
        <f>COUNTIFS(tData[SEHTrajectPeriodeDatumTijdVan],"&lt;="&amp;($A373+3/24),tData[SEHTrajectPeriodeDatumTijdTotEnMet],"&gt;"&amp;($A373+3/24))</f>
        <v/>
      </c>
      <c r="H373" s="20">
        <f>COUNTIFS(tData[SEHTrajectPeriodeDatumTijdVan],"&lt;="&amp;($A373+4/24),tData[SEHTrajectPeriodeDatumTijdTotEnMet],"&gt;"&amp;($A373+4/24))</f>
        <v/>
      </c>
      <c r="I373" s="20">
        <f>COUNTIFS(tData[SEHTrajectPeriodeDatumTijdVan],"&lt;="&amp;($A373+5/24),tData[SEHTrajectPeriodeDatumTijdTotEnMet],"&gt;"&amp;($A373+5/24))</f>
        <v/>
      </c>
      <c r="J373" s="20">
        <f>COUNTIFS(tData[SEHTrajectPeriodeDatumTijdVan],"&lt;="&amp;($A373+6/24),tData[SEHTrajectPeriodeDatumTijdTotEnMet],"&gt;"&amp;($A373+6/24))</f>
        <v/>
      </c>
      <c r="K373" s="20">
        <f>COUNTIFS(tData[SEHTrajectPeriodeDatumTijdVan],"&lt;="&amp;($A373+7/24),tData[SEHTrajectPeriodeDatumTijdTotEnMet],"&gt;"&amp;($A373+7/24))</f>
        <v/>
      </c>
      <c r="L373" s="20">
        <f>COUNTIFS(tData[SEHTrajectPeriodeDatumTijdVan],"&lt;="&amp;($A373+8/24),tData[SEHTrajectPeriodeDatumTijdTotEnMet],"&gt;"&amp;($A373+8/24))</f>
        <v/>
      </c>
      <c r="M373" s="20">
        <f>COUNTIFS(tData[SEHTrajectPeriodeDatumTijdVan],"&lt;="&amp;($A373+9/24),tData[SEHTrajectPeriodeDatumTijdTotEnMet],"&gt;"&amp;($A373+9/24))</f>
        <v/>
      </c>
      <c r="N373" s="20">
        <f>COUNTIFS(tData[SEHTrajectPeriodeDatumTijdVan],"&lt;="&amp;($A373+10/24),tData[SEHTrajectPeriodeDatumTijdTotEnMet],"&gt;"&amp;($A373+10/24))</f>
        <v/>
      </c>
      <c r="O373" s="20">
        <f>COUNTIFS(tData[SEHTrajectPeriodeDatumTijdVan],"&lt;="&amp;($A373+11/24),tData[SEHTrajectPeriodeDatumTijdTotEnMet],"&gt;"&amp;($A373+11/24))</f>
        <v/>
      </c>
      <c r="P373" s="20">
        <f>COUNTIFS(tData[SEHTrajectPeriodeDatumTijdVan],"&lt;="&amp;($A373+12/24),tData[SEHTrajectPeriodeDatumTijdTotEnMet],"&gt;"&amp;($A373+12/24))</f>
        <v/>
      </c>
      <c r="Q373" s="20">
        <f>COUNTIFS(tData[SEHTrajectPeriodeDatumTijdVan],"&lt;="&amp;($A373+13/24),tData[SEHTrajectPeriodeDatumTijdTotEnMet],"&gt;"&amp;($A373+13/24))</f>
        <v/>
      </c>
      <c r="R373" s="20">
        <f>COUNTIFS(tData[SEHTrajectPeriodeDatumTijdVan],"&lt;="&amp;($A373+14/24),tData[SEHTrajectPeriodeDatumTijdTotEnMet],"&gt;"&amp;($A373+14/24))</f>
        <v/>
      </c>
      <c r="S373" s="20">
        <f>COUNTIFS(tData[SEHTrajectPeriodeDatumTijdVan],"&lt;="&amp;($A373+15/24),tData[SEHTrajectPeriodeDatumTijdTotEnMet],"&gt;"&amp;($A373+15/24))</f>
        <v/>
      </c>
      <c r="T373" s="20">
        <f>COUNTIFS(tData[SEHTrajectPeriodeDatumTijdVan],"&lt;="&amp;($A373+16/24),tData[SEHTrajectPeriodeDatumTijdTotEnMet],"&gt;"&amp;($A373+16/24))</f>
        <v/>
      </c>
      <c r="U373" s="20">
        <f>COUNTIFS(tData[SEHTrajectPeriodeDatumTijdVan],"&lt;="&amp;($A373+17/24),tData[SEHTrajectPeriodeDatumTijdTotEnMet],"&gt;"&amp;($A373+17/24))</f>
        <v/>
      </c>
      <c r="V373" s="20">
        <f>COUNTIFS(tData[SEHTrajectPeriodeDatumTijdVan],"&lt;="&amp;($A373+18/24),tData[SEHTrajectPeriodeDatumTijdTotEnMet],"&gt;"&amp;($A373+18/24))</f>
        <v/>
      </c>
      <c r="W373" s="20">
        <f>COUNTIFS(tData[SEHTrajectPeriodeDatumTijdVan],"&lt;="&amp;($A373+19/24),tData[SEHTrajectPeriodeDatumTijdTotEnMet],"&gt;"&amp;($A373+19/24))</f>
        <v/>
      </c>
      <c r="X373" s="20">
        <f>COUNTIFS(tData[SEHTrajectPeriodeDatumTijdVan],"&lt;="&amp;($A373+20/24),tData[SEHTrajectPeriodeDatumTijdTotEnMet],"&gt;"&amp;($A373+20/24))</f>
        <v/>
      </c>
      <c r="Y373" s="20">
        <f>COUNTIFS(tData[SEHTrajectPeriodeDatumTijdVan],"&lt;="&amp;($A373+21/24),tData[SEHTrajectPeriodeDatumTijdTotEnMet],"&gt;"&amp;($A373+21/24))</f>
        <v/>
      </c>
      <c r="Z373" s="20">
        <f>COUNTIFS(tData[SEHTrajectPeriodeDatumTijdVan],"&lt;="&amp;($A373+22/24),tData[SEHTrajectPeriodeDatumTijdTotEnMet],"&gt;"&amp;($A373+22/24))</f>
        <v/>
      </c>
      <c r="AA373" s="20">
        <f>COUNTIFS(tData[SEHTrajectPeriodeDatumTijdVan],"&lt;="&amp;($A373+23/24),tData[SEHTrajectPeriodeDatumTijdTotEnMet],"&gt;"&amp;($A373+23/24))</f>
        <v/>
      </c>
    </row>
    <row r="374">
      <c r="A374" s="19" t="n">
        <v>45662</v>
      </c>
      <c r="B374" s="15">
        <f>WEEKDAY($A374,2)</f>
        <v/>
      </c>
      <c r="C374" s="15">
        <f>IF(AND($A374&gt;=INT(Instellingen!$B$5),$A374&lt;=INT(Instellingen!$B$6)),1,0)</f>
        <v/>
      </c>
      <c r="D374" s="20">
        <f>COUNTIFS(tData[SEHTrajectPeriodeDatumTijdVan],"&lt;="&amp;($A374+0/24),tData[SEHTrajectPeriodeDatumTijdTotEnMet],"&gt;"&amp;($A374+0/24))</f>
        <v/>
      </c>
      <c r="E374" s="20">
        <f>COUNTIFS(tData[SEHTrajectPeriodeDatumTijdVan],"&lt;="&amp;($A374+1/24),tData[SEHTrajectPeriodeDatumTijdTotEnMet],"&gt;"&amp;($A374+1/24))</f>
        <v/>
      </c>
      <c r="F374" s="20">
        <f>COUNTIFS(tData[SEHTrajectPeriodeDatumTijdVan],"&lt;="&amp;($A374+2/24),tData[SEHTrajectPeriodeDatumTijdTotEnMet],"&gt;"&amp;($A374+2/24))</f>
        <v/>
      </c>
      <c r="G374" s="20">
        <f>COUNTIFS(tData[SEHTrajectPeriodeDatumTijdVan],"&lt;="&amp;($A374+3/24),tData[SEHTrajectPeriodeDatumTijdTotEnMet],"&gt;"&amp;($A374+3/24))</f>
        <v/>
      </c>
      <c r="H374" s="20">
        <f>COUNTIFS(tData[SEHTrajectPeriodeDatumTijdVan],"&lt;="&amp;($A374+4/24),tData[SEHTrajectPeriodeDatumTijdTotEnMet],"&gt;"&amp;($A374+4/24))</f>
        <v/>
      </c>
      <c r="I374" s="20">
        <f>COUNTIFS(tData[SEHTrajectPeriodeDatumTijdVan],"&lt;="&amp;($A374+5/24),tData[SEHTrajectPeriodeDatumTijdTotEnMet],"&gt;"&amp;($A374+5/24))</f>
        <v/>
      </c>
      <c r="J374" s="20">
        <f>COUNTIFS(tData[SEHTrajectPeriodeDatumTijdVan],"&lt;="&amp;($A374+6/24),tData[SEHTrajectPeriodeDatumTijdTotEnMet],"&gt;"&amp;($A374+6/24))</f>
        <v/>
      </c>
      <c r="K374" s="20">
        <f>COUNTIFS(tData[SEHTrajectPeriodeDatumTijdVan],"&lt;="&amp;($A374+7/24),tData[SEHTrajectPeriodeDatumTijdTotEnMet],"&gt;"&amp;($A374+7/24))</f>
        <v/>
      </c>
      <c r="L374" s="20">
        <f>COUNTIFS(tData[SEHTrajectPeriodeDatumTijdVan],"&lt;="&amp;($A374+8/24),tData[SEHTrajectPeriodeDatumTijdTotEnMet],"&gt;"&amp;($A374+8/24))</f>
        <v/>
      </c>
      <c r="M374" s="20">
        <f>COUNTIFS(tData[SEHTrajectPeriodeDatumTijdVan],"&lt;="&amp;($A374+9/24),tData[SEHTrajectPeriodeDatumTijdTotEnMet],"&gt;"&amp;($A374+9/24))</f>
        <v/>
      </c>
      <c r="N374" s="20">
        <f>COUNTIFS(tData[SEHTrajectPeriodeDatumTijdVan],"&lt;="&amp;($A374+10/24),tData[SEHTrajectPeriodeDatumTijdTotEnMet],"&gt;"&amp;($A374+10/24))</f>
        <v/>
      </c>
      <c r="O374" s="20">
        <f>COUNTIFS(tData[SEHTrajectPeriodeDatumTijdVan],"&lt;="&amp;($A374+11/24),tData[SEHTrajectPeriodeDatumTijdTotEnMet],"&gt;"&amp;($A374+11/24))</f>
        <v/>
      </c>
      <c r="P374" s="20">
        <f>COUNTIFS(tData[SEHTrajectPeriodeDatumTijdVan],"&lt;="&amp;($A374+12/24),tData[SEHTrajectPeriodeDatumTijdTotEnMet],"&gt;"&amp;($A374+12/24))</f>
        <v/>
      </c>
      <c r="Q374" s="20">
        <f>COUNTIFS(tData[SEHTrajectPeriodeDatumTijdVan],"&lt;="&amp;($A374+13/24),tData[SEHTrajectPeriodeDatumTijdTotEnMet],"&gt;"&amp;($A374+13/24))</f>
        <v/>
      </c>
      <c r="R374" s="20">
        <f>COUNTIFS(tData[SEHTrajectPeriodeDatumTijdVan],"&lt;="&amp;($A374+14/24),tData[SEHTrajectPeriodeDatumTijdTotEnMet],"&gt;"&amp;($A374+14/24))</f>
        <v/>
      </c>
      <c r="S374" s="20">
        <f>COUNTIFS(tData[SEHTrajectPeriodeDatumTijdVan],"&lt;="&amp;($A374+15/24),tData[SEHTrajectPeriodeDatumTijdTotEnMet],"&gt;"&amp;($A374+15/24))</f>
        <v/>
      </c>
      <c r="T374" s="20">
        <f>COUNTIFS(tData[SEHTrajectPeriodeDatumTijdVan],"&lt;="&amp;($A374+16/24),tData[SEHTrajectPeriodeDatumTijdTotEnMet],"&gt;"&amp;($A374+16/24))</f>
        <v/>
      </c>
      <c r="U374" s="20">
        <f>COUNTIFS(tData[SEHTrajectPeriodeDatumTijdVan],"&lt;="&amp;($A374+17/24),tData[SEHTrajectPeriodeDatumTijdTotEnMet],"&gt;"&amp;($A374+17/24))</f>
        <v/>
      </c>
      <c r="V374" s="20">
        <f>COUNTIFS(tData[SEHTrajectPeriodeDatumTijdVan],"&lt;="&amp;($A374+18/24),tData[SEHTrajectPeriodeDatumTijdTotEnMet],"&gt;"&amp;($A374+18/24))</f>
        <v/>
      </c>
      <c r="W374" s="20">
        <f>COUNTIFS(tData[SEHTrajectPeriodeDatumTijdVan],"&lt;="&amp;($A374+19/24),tData[SEHTrajectPeriodeDatumTijdTotEnMet],"&gt;"&amp;($A374+19/24))</f>
        <v/>
      </c>
      <c r="X374" s="20">
        <f>COUNTIFS(tData[SEHTrajectPeriodeDatumTijdVan],"&lt;="&amp;($A374+20/24),tData[SEHTrajectPeriodeDatumTijdTotEnMet],"&gt;"&amp;($A374+20/24))</f>
        <v/>
      </c>
      <c r="Y374" s="20">
        <f>COUNTIFS(tData[SEHTrajectPeriodeDatumTijdVan],"&lt;="&amp;($A374+21/24),tData[SEHTrajectPeriodeDatumTijdTotEnMet],"&gt;"&amp;($A374+21/24))</f>
        <v/>
      </c>
      <c r="Z374" s="20">
        <f>COUNTIFS(tData[SEHTrajectPeriodeDatumTijdVan],"&lt;="&amp;($A374+22/24),tData[SEHTrajectPeriodeDatumTijdTotEnMet],"&gt;"&amp;($A374+22/24))</f>
        <v/>
      </c>
      <c r="AA374" s="20">
        <f>COUNTIFS(tData[SEHTrajectPeriodeDatumTijdVan],"&lt;="&amp;($A374+23/24),tData[SEHTrajectPeriodeDatumTijdTotEnMet],"&gt;"&amp;($A374+23/24))</f>
        <v/>
      </c>
    </row>
    <row r="375">
      <c r="A375" s="19" t="n">
        <v>45663</v>
      </c>
      <c r="B375" s="15">
        <f>WEEKDAY($A375,2)</f>
        <v/>
      </c>
      <c r="C375" s="15">
        <f>IF(AND($A375&gt;=INT(Instellingen!$B$5),$A375&lt;=INT(Instellingen!$B$6)),1,0)</f>
        <v/>
      </c>
      <c r="D375" s="20">
        <f>COUNTIFS(tData[SEHTrajectPeriodeDatumTijdVan],"&lt;="&amp;($A375+0/24),tData[SEHTrajectPeriodeDatumTijdTotEnMet],"&gt;"&amp;($A375+0/24))</f>
        <v/>
      </c>
      <c r="E375" s="20">
        <f>COUNTIFS(tData[SEHTrajectPeriodeDatumTijdVan],"&lt;="&amp;($A375+1/24),tData[SEHTrajectPeriodeDatumTijdTotEnMet],"&gt;"&amp;($A375+1/24))</f>
        <v/>
      </c>
      <c r="F375" s="20">
        <f>COUNTIFS(tData[SEHTrajectPeriodeDatumTijdVan],"&lt;="&amp;($A375+2/24),tData[SEHTrajectPeriodeDatumTijdTotEnMet],"&gt;"&amp;($A375+2/24))</f>
        <v/>
      </c>
      <c r="G375" s="20">
        <f>COUNTIFS(tData[SEHTrajectPeriodeDatumTijdVan],"&lt;="&amp;($A375+3/24),tData[SEHTrajectPeriodeDatumTijdTotEnMet],"&gt;"&amp;($A375+3/24))</f>
        <v/>
      </c>
      <c r="H375" s="20">
        <f>COUNTIFS(tData[SEHTrajectPeriodeDatumTijdVan],"&lt;="&amp;($A375+4/24),tData[SEHTrajectPeriodeDatumTijdTotEnMet],"&gt;"&amp;($A375+4/24))</f>
        <v/>
      </c>
      <c r="I375" s="20">
        <f>COUNTIFS(tData[SEHTrajectPeriodeDatumTijdVan],"&lt;="&amp;($A375+5/24),tData[SEHTrajectPeriodeDatumTijdTotEnMet],"&gt;"&amp;($A375+5/24))</f>
        <v/>
      </c>
      <c r="J375" s="20">
        <f>COUNTIFS(tData[SEHTrajectPeriodeDatumTijdVan],"&lt;="&amp;($A375+6/24),tData[SEHTrajectPeriodeDatumTijdTotEnMet],"&gt;"&amp;($A375+6/24))</f>
        <v/>
      </c>
      <c r="K375" s="20">
        <f>COUNTIFS(tData[SEHTrajectPeriodeDatumTijdVan],"&lt;="&amp;($A375+7/24),tData[SEHTrajectPeriodeDatumTijdTotEnMet],"&gt;"&amp;($A375+7/24))</f>
        <v/>
      </c>
      <c r="L375" s="20">
        <f>COUNTIFS(tData[SEHTrajectPeriodeDatumTijdVan],"&lt;="&amp;($A375+8/24),tData[SEHTrajectPeriodeDatumTijdTotEnMet],"&gt;"&amp;($A375+8/24))</f>
        <v/>
      </c>
      <c r="M375" s="20">
        <f>COUNTIFS(tData[SEHTrajectPeriodeDatumTijdVan],"&lt;="&amp;($A375+9/24),tData[SEHTrajectPeriodeDatumTijdTotEnMet],"&gt;"&amp;($A375+9/24))</f>
        <v/>
      </c>
      <c r="N375" s="20">
        <f>COUNTIFS(tData[SEHTrajectPeriodeDatumTijdVan],"&lt;="&amp;($A375+10/24),tData[SEHTrajectPeriodeDatumTijdTotEnMet],"&gt;"&amp;($A375+10/24))</f>
        <v/>
      </c>
      <c r="O375" s="20">
        <f>COUNTIFS(tData[SEHTrajectPeriodeDatumTijdVan],"&lt;="&amp;($A375+11/24),tData[SEHTrajectPeriodeDatumTijdTotEnMet],"&gt;"&amp;($A375+11/24))</f>
        <v/>
      </c>
      <c r="P375" s="20">
        <f>COUNTIFS(tData[SEHTrajectPeriodeDatumTijdVan],"&lt;="&amp;($A375+12/24),tData[SEHTrajectPeriodeDatumTijdTotEnMet],"&gt;"&amp;($A375+12/24))</f>
        <v/>
      </c>
      <c r="Q375" s="20">
        <f>COUNTIFS(tData[SEHTrajectPeriodeDatumTijdVan],"&lt;="&amp;($A375+13/24),tData[SEHTrajectPeriodeDatumTijdTotEnMet],"&gt;"&amp;($A375+13/24))</f>
        <v/>
      </c>
      <c r="R375" s="20">
        <f>COUNTIFS(tData[SEHTrajectPeriodeDatumTijdVan],"&lt;="&amp;($A375+14/24),tData[SEHTrajectPeriodeDatumTijdTotEnMet],"&gt;"&amp;($A375+14/24))</f>
        <v/>
      </c>
      <c r="S375" s="20">
        <f>COUNTIFS(tData[SEHTrajectPeriodeDatumTijdVan],"&lt;="&amp;($A375+15/24),tData[SEHTrajectPeriodeDatumTijdTotEnMet],"&gt;"&amp;($A375+15/24))</f>
        <v/>
      </c>
      <c r="T375" s="20">
        <f>COUNTIFS(tData[SEHTrajectPeriodeDatumTijdVan],"&lt;="&amp;($A375+16/24),tData[SEHTrajectPeriodeDatumTijdTotEnMet],"&gt;"&amp;($A375+16/24))</f>
        <v/>
      </c>
      <c r="U375" s="20">
        <f>COUNTIFS(tData[SEHTrajectPeriodeDatumTijdVan],"&lt;="&amp;($A375+17/24),tData[SEHTrajectPeriodeDatumTijdTotEnMet],"&gt;"&amp;($A375+17/24))</f>
        <v/>
      </c>
      <c r="V375" s="20">
        <f>COUNTIFS(tData[SEHTrajectPeriodeDatumTijdVan],"&lt;="&amp;($A375+18/24),tData[SEHTrajectPeriodeDatumTijdTotEnMet],"&gt;"&amp;($A375+18/24))</f>
        <v/>
      </c>
      <c r="W375" s="20">
        <f>COUNTIFS(tData[SEHTrajectPeriodeDatumTijdVan],"&lt;="&amp;($A375+19/24),tData[SEHTrajectPeriodeDatumTijdTotEnMet],"&gt;"&amp;($A375+19/24))</f>
        <v/>
      </c>
      <c r="X375" s="20">
        <f>COUNTIFS(tData[SEHTrajectPeriodeDatumTijdVan],"&lt;="&amp;($A375+20/24),tData[SEHTrajectPeriodeDatumTijdTotEnMet],"&gt;"&amp;($A375+20/24))</f>
        <v/>
      </c>
      <c r="Y375" s="20">
        <f>COUNTIFS(tData[SEHTrajectPeriodeDatumTijdVan],"&lt;="&amp;($A375+21/24),tData[SEHTrajectPeriodeDatumTijdTotEnMet],"&gt;"&amp;($A375+21/24))</f>
        <v/>
      </c>
      <c r="Z375" s="20">
        <f>COUNTIFS(tData[SEHTrajectPeriodeDatumTijdVan],"&lt;="&amp;($A375+22/24),tData[SEHTrajectPeriodeDatumTijdTotEnMet],"&gt;"&amp;($A375+22/24))</f>
        <v/>
      </c>
      <c r="AA375" s="20">
        <f>COUNTIFS(tData[SEHTrajectPeriodeDatumTijdVan],"&lt;="&amp;($A375+23/24),tData[SEHTrajectPeriodeDatumTijdTotEnMet],"&gt;"&amp;($A375+23/24))</f>
        <v/>
      </c>
    </row>
    <row r="376">
      <c r="A376" s="19" t="n">
        <v>45664</v>
      </c>
      <c r="B376" s="15">
        <f>WEEKDAY($A376,2)</f>
        <v/>
      </c>
      <c r="C376" s="15">
        <f>IF(AND($A376&gt;=INT(Instellingen!$B$5),$A376&lt;=INT(Instellingen!$B$6)),1,0)</f>
        <v/>
      </c>
      <c r="D376" s="20">
        <f>COUNTIFS(tData[SEHTrajectPeriodeDatumTijdVan],"&lt;="&amp;($A376+0/24),tData[SEHTrajectPeriodeDatumTijdTotEnMet],"&gt;"&amp;($A376+0/24))</f>
        <v/>
      </c>
      <c r="E376" s="20">
        <f>COUNTIFS(tData[SEHTrajectPeriodeDatumTijdVan],"&lt;="&amp;($A376+1/24),tData[SEHTrajectPeriodeDatumTijdTotEnMet],"&gt;"&amp;($A376+1/24))</f>
        <v/>
      </c>
      <c r="F376" s="20">
        <f>COUNTIFS(tData[SEHTrajectPeriodeDatumTijdVan],"&lt;="&amp;($A376+2/24),tData[SEHTrajectPeriodeDatumTijdTotEnMet],"&gt;"&amp;($A376+2/24))</f>
        <v/>
      </c>
      <c r="G376" s="20">
        <f>COUNTIFS(tData[SEHTrajectPeriodeDatumTijdVan],"&lt;="&amp;($A376+3/24),tData[SEHTrajectPeriodeDatumTijdTotEnMet],"&gt;"&amp;($A376+3/24))</f>
        <v/>
      </c>
      <c r="H376" s="20">
        <f>COUNTIFS(tData[SEHTrajectPeriodeDatumTijdVan],"&lt;="&amp;($A376+4/24),tData[SEHTrajectPeriodeDatumTijdTotEnMet],"&gt;"&amp;($A376+4/24))</f>
        <v/>
      </c>
      <c r="I376" s="20">
        <f>COUNTIFS(tData[SEHTrajectPeriodeDatumTijdVan],"&lt;="&amp;($A376+5/24),tData[SEHTrajectPeriodeDatumTijdTotEnMet],"&gt;"&amp;($A376+5/24))</f>
        <v/>
      </c>
      <c r="J376" s="20">
        <f>COUNTIFS(tData[SEHTrajectPeriodeDatumTijdVan],"&lt;="&amp;($A376+6/24),tData[SEHTrajectPeriodeDatumTijdTotEnMet],"&gt;"&amp;($A376+6/24))</f>
        <v/>
      </c>
      <c r="K376" s="20">
        <f>COUNTIFS(tData[SEHTrajectPeriodeDatumTijdVan],"&lt;="&amp;($A376+7/24),tData[SEHTrajectPeriodeDatumTijdTotEnMet],"&gt;"&amp;($A376+7/24))</f>
        <v/>
      </c>
      <c r="L376" s="20">
        <f>COUNTIFS(tData[SEHTrajectPeriodeDatumTijdVan],"&lt;="&amp;($A376+8/24),tData[SEHTrajectPeriodeDatumTijdTotEnMet],"&gt;"&amp;($A376+8/24))</f>
        <v/>
      </c>
      <c r="M376" s="20">
        <f>COUNTIFS(tData[SEHTrajectPeriodeDatumTijdVan],"&lt;="&amp;($A376+9/24),tData[SEHTrajectPeriodeDatumTijdTotEnMet],"&gt;"&amp;($A376+9/24))</f>
        <v/>
      </c>
      <c r="N376" s="20">
        <f>COUNTIFS(tData[SEHTrajectPeriodeDatumTijdVan],"&lt;="&amp;($A376+10/24),tData[SEHTrajectPeriodeDatumTijdTotEnMet],"&gt;"&amp;($A376+10/24))</f>
        <v/>
      </c>
      <c r="O376" s="20">
        <f>COUNTIFS(tData[SEHTrajectPeriodeDatumTijdVan],"&lt;="&amp;($A376+11/24),tData[SEHTrajectPeriodeDatumTijdTotEnMet],"&gt;"&amp;($A376+11/24))</f>
        <v/>
      </c>
      <c r="P376" s="20">
        <f>COUNTIFS(tData[SEHTrajectPeriodeDatumTijdVan],"&lt;="&amp;($A376+12/24),tData[SEHTrajectPeriodeDatumTijdTotEnMet],"&gt;"&amp;($A376+12/24))</f>
        <v/>
      </c>
      <c r="Q376" s="20">
        <f>COUNTIFS(tData[SEHTrajectPeriodeDatumTijdVan],"&lt;="&amp;($A376+13/24),tData[SEHTrajectPeriodeDatumTijdTotEnMet],"&gt;"&amp;($A376+13/24))</f>
        <v/>
      </c>
      <c r="R376" s="20">
        <f>COUNTIFS(tData[SEHTrajectPeriodeDatumTijdVan],"&lt;="&amp;($A376+14/24),tData[SEHTrajectPeriodeDatumTijdTotEnMet],"&gt;"&amp;($A376+14/24))</f>
        <v/>
      </c>
      <c r="S376" s="20">
        <f>COUNTIFS(tData[SEHTrajectPeriodeDatumTijdVan],"&lt;="&amp;($A376+15/24),tData[SEHTrajectPeriodeDatumTijdTotEnMet],"&gt;"&amp;($A376+15/24))</f>
        <v/>
      </c>
      <c r="T376" s="20">
        <f>COUNTIFS(tData[SEHTrajectPeriodeDatumTijdVan],"&lt;="&amp;($A376+16/24),tData[SEHTrajectPeriodeDatumTijdTotEnMet],"&gt;"&amp;($A376+16/24))</f>
        <v/>
      </c>
      <c r="U376" s="20">
        <f>COUNTIFS(tData[SEHTrajectPeriodeDatumTijdVan],"&lt;="&amp;($A376+17/24),tData[SEHTrajectPeriodeDatumTijdTotEnMet],"&gt;"&amp;($A376+17/24))</f>
        <v/>
      </c>
      <c r="V376" s="20">
        <f>COUNTIFS(tData[SEHTrajectPeriodeDatumTijdVan],"&lt;="&amp;($A376+18/24),tData[SEHTrajectPeriodeDatumTijdTotEnMet],"&gt;"&amp;($A376+18/24))</f>
        <v/>
      </c>
      <c r="W376" s="20">
        <f>COUNTIFS(tData[SEHTrajectPeriodeDatumTijdVan],"&lt;="&amp;($A376+19/24),tData[SEHTrajectPeriodeDatumTijdTotEnMet],"&gt;"&amp;($A376+19/24))</f>
        <v/>
      </c>
      <c r="X376" s="20">
        <f>COUNTIFS(tData[SEHTrajectPeriodeDatumTijdVan],"&lt;="&amp;($A376+20/24),tData[SEHTrajectPeriodeDatumTijdTotEnMet],"&gt;"&amp;($A376+20/24))</f>
        <v/>
      </c>
      <c r="Y376" s="20">
        <f>COUNTIFS(tData[SEHTrajectPeriodeDatumTijdVan],"&lt;="&amp;($A376+21/24),tData[SEHTrajectPeriodeDatumTijdTotEnMet],"&gt;"&amp;($A376+21/24))</f>
        <v/>
      </c>
      <c r="Z376" s="20">
        <f>COUNTIFS(tData[SEHTrajectPeriodeDatumTijdVan],"&lt;="&amp;($A376+22/24),tData[SEHTrajectPeriodeDatumTijdTotEnMet],"&gt;"&amp;($A376+22/24))</f>
        <v/>
      </c>
      <c r="AA376" s="20">
        <f>COUNTIFS(tData[SEHTrajectPeriodeDatumTijdVan],"&lt;="&amp;($A376+23/24),tData[SEHTrajectPeriodeDatumTijdTotEnMet],"&gt;"&amp;($A376+23/24))</f>
        <v/>
      </c>
    </row>
    <row r="377">
      <c r="A377" s="19" t="n">
        <v>45665</v>
      </c>
      <c r="B377" s="15">
        <f>WEEKDAY($A377,2)</f>
        <v/>
      </c>
      <c r="C377" s="15">
        <f>IF(AND($A377&gt;=INT(Instellingen!$B$5),$A377&lt;=INT(Instellingen!$B$6)),1,0)</f>
        <v/>
      </c>
      <c r="D377" s="20">
        <f>COUNTIFS(tData[SEHTrajectPeriodeDatumTijdVan],"&lt;="&amp;($A377+0/24),tData[SEHTrajectPeriodeDatumTijdTotEnMet],"&gt;"&amp;($A377+0/24))</f>
        <v/>
      </c>
      <c r="E377" s="20">
        <f>COUNTIFS(tData[SEHTrajectPeriodeDatumTijdVan],"&lt;="&amp;($A377+1/24),tData[SEHTrajectPeriodeDatumTijdTotEnMet],"&gt;"&amp;($A377+1/24))</f>
        <v/>
      </c>
      <c r="F377" s="20">
        <f>COUNTIFS(tData[SEHTrajectPeriodeDatumTijdVan],"&lt;="&amp;($A377+2/24),tData[SEHTrajectPeriodeDatumTijdTotEnMet],"&gt;"&amp;($A377+2/24))</f>
        <v/>
      </c>
      <c r="G377" s="20">
        <f>COUNTIFS(tData[SEHTrajectPeriodeDatumTijdVan],"&lt;="&amp;($A377+3/24),tData[SEHTrajectPeriodeDatumTijdTotEnMet],"&gt;"&amp;($A377+3/24))</f>
        <v/>
      </c>
      <c r="H377" s="20">
        <f>COUNTIFS(tData[SEHTrajectPeriodeDatumTijdVan],"&lt;="&amp;($A377+4/24),tData[SEHTrajectPeriodeDatumTijdTotEnMet],"&gt;"&amp;($A377+4/24))</f>
        <v/>
      </c>
      <c r="I377" s="20">
        <f>COUNTIFS(tData[SEHTrajectPeriodeDatumTijdVan],"&lt;="&amp;($A377+5/24),tData[SEHTrajectPeriodeDatumTijdTotEnMet],"&gt;"&amp;($A377+5/24))</f>
        <v/>
      </c>
      <c r="J377" s="20">
        <f>COUNTIFS(tData[SEHTrajectPeriodeDatumTijdVan],"&lt;="&amp;($A377+6/24),tData[SEHTrajectPeriodeDatumTijdTotEnMet],"&gt;"&amp;($A377+6/24))</f>
        <v/>
      </c>
      <c r="K377" s="20">
        <f>COUNTIFS(tData[SEHTrajectPeriodeDatumTijdVan],"&lt;="&amp;($A377+7/24),tData[SEHTrajectPeriodeDatumTijdTotEnMet],"&gt;"&amp;($A377+7/24))</f>
        <v/>
      </c>
      <c r="L377" s="20">
        <f>COUNTIFS(tData[SEHTrajectPeriodeDatumTijdVan],"&lt;="&amp;($A377+8/24),tData[SEHTrajectPeriodeDatumTijdTotEnMet],"&gt;"&amp;($A377+8/24))</f>
        <v/>
      </c>
      <c r="M377" s="20">
        <f>COUNTIFS(tData[SEHTrajectPeriodeDatumTijdVan],"&lt;="&amp;($A377+9/24),tData[SEHTrajectPeriodeDatumTijdTotEnMet],"&gt;"&amp;($A377+9/24))</f>
        <v/>
      </c>
      <c r="N377" s="20">
        <f>COUNTIFS(tData[SEHTrajectPeriodeDatumTijdVan],"&lt;="&amp;($A377+10/24),tData[SEHTrajectPeriodeDatumTijdTotEnMet],"&gt;"&amp;($A377+10/24))</f>
        <v/>
      </c>
      <c r="O377" s="20">
        <f>COUNTIFS(tData[SEHTrajectPeriodeDatumTijdVan],"&lt;="&amp;($A377+11/24),tData[SEHTrajectPeriodeDatumTijdTotEnMet],"&gt;"&amp;($A377+11/24))</f>
        <v/>
      </c>
      <c r="P377" s="20">
        <f>COUNTIFS(tData[SEHTrajectPeriodeDatumTijdVan],"&lt;="&amp;($A377+12/24),tData[SEHTrajectPeriodeDatumTijdTotEnMet],"&gt;"&amp;($A377+12/24))</f>
        <v/>
      </c>
      <c r="Q377" s="20">
        <f>COUNTIFS(tData[SEHTrajectPeriodeDatumTijdVan],"&lt;="&amp;($A377+13/24),tData[SEHTrajectPeriodeDatumTijdTotEnMet],"&gt;"&amp;($A377+13/24))</f>
        <v/>
      </c>
      <c r="R377" s="20">
        <f>COUNTIFS(tData[SEHTrajectPeriodeDatumTijdVan],"&lt;="&amp;($A377+14/24),tData[SEHTrajectPeriodeDatumTijdTotEnMet],"&gt;"&amp;($A377+14/24))</f>
        <v/>
      </c>
      <c r="S377" s="20">
        <f>COUNTIFS(tData[SEHTrajectPeriodeDatumTijdVan],"&lt;="&amp;($A377+15/24),tData[SEHTrajectPeriodeDatumTijdTotEnMet],"&gt;"&amp;($A377+15/24))</f>
        <v/>
      </c>
      <c r="T377" s="20">
        <f>COUNTIFS(tData[SEHTrajectPeriodeDatumTijdVan],"&lt;="&amp;($A377+16/24),tData[SEHTrajectPeriodeDatumTijdTotEnMet],"&gt;"&amp;($A377+16/24))</f>
        <v/>
      </c>
      <c r="U377" s="20">
        <f>COUNTIFS(tData[SEHTrajectPeriodeDatumTijdVan],"&lt;="&amp;($A377+17/24),tData[SEHTrajectPeriodeDatumTijdTotEnMet],"&gt;"&amp;($A377+17/24))</f>
        <v/>
      </c>
      <c r="V377" s="20">
        <f>COUNTIFS(tData[SEHTrajectPeriodeDatumTijdVan],"&lt;="&amp;($A377+18/24),tData[SEHTrajectPeriodeDatumTijdTotEnMet],"&gt;"&amp;($A377+18/24))</f>
        <v/>
      </c>
      <c r="W377" s="20">
        <f>COUNTIFS(tData[SEHTrajectPeriodeDatumTijdVan],"&lt;="&amp;($A377+19/24),tData[SEHTrajectPeriodeDatumTijdTotEnMet],"&gt;"&amp;($A377+19/24))</f>
        <v/>
      </c>
      <c r="X377" s="20">
        <f>COUNTIFS(tData[SEHTrajectPeriodeDatumTijdVan],"&lt;="&amp;($A377+20/24),tData[SEHTrajectPeriodeDatumTijdTotEnMet],"&gt;"&amp;($A377+20/24))</f>
        <v/>
      </c>
      <c r="Y377" s="20">
        <f>COUNTIFS(tData[SEHTrajectPeriodeDatumTijdVan],"&lt;="&amp;($A377+21/24),tData[SEHTrajectPeriodeDatumTijdTotEnMet],"&gt;"&amp;($A377+21/24))</f>
        <v/>
      </c>
      <c r="Z377" s="20">
        <f>COUNTIFS(tData[SEHTrajectPeriodeDatumTijdVan],"&lt;="&amp;($A377+22/24),tData[SEHTrajectPeriodeDatumTijdTotEnMet],"&gt;"&amp;($A377+22/24))</f>
        <v/>
      </c>
      <c r="AA377" s="20">
        <f>COUNTIFS(tData[SEHTrajectPeriodeDatumTijdVan],"&lt;="&amp;($A377+23/24),tData[SEHTrajectPeriodeDatumTijdTotEnMet],"&gt;"&amp;($A377+23/24))</f>
        <v/>
      </c>
    </row>
    <row r="378">
      <c r="A378" s="19" t="n">
        <v>45666</v>
      </c>
      <c r="B378" s="15">
        <f>WEEKDAY($A378,2)</f>
        <v/>
      </c>
      <c r="C378" s="15">
        <f>IF(AND($A378&gt;=INT(Instellingen!$B$5),$A378&lt;=INT(Instellingen!$B$6)),1,0)</f>
        <v/>
      </c>
      <c r="D378" s="20">
        <f>COUNTIFS(tData[SEHTrajectPeriodeDatumTijdVan],"&lt;="&amp;($A378+0/24),tData[SEHTrajectPeriodeDatumTijdTotEnMet],"&gt;"&amp;($A378+0/24))</f>
        <v/>
      </c>
      <c r="E378" s="20">
        <f>COUNTIFS(tData[SEHTrajectPeriodeDatumTijdVan],"&lt;="&amp;($A378+1/24),tData[SEHTrajectPeriodeDatumTijdTotEnMet],"&gt;"&amp;($A378+1/24))</f>
        <v/>
      </c>
      <c r="F378" s="20">
        <f>COUNTIFS(tData[SEHTrajectPeriodeDatumTijdVan],"&lt;="&amp;($A378+2/24),tData[SEHTrajectPeriodeDatumTijdTotEnMet],"&gt;"&amp;($A378+2/24))</f>
        <v/>
      </c>
      <c r="G378" s="20">
        <f>COUNTIFS(tData[SEHTrajectPeriodeDatumTijdVan],"&lt;="&amp;($A378+3/24),tData[SEHTrajectPeriodeDatumTijdTotEnMet],"&gt;"&amp;($A378+3/24))</f>
        <v/>
      </c>
      <c r="H378" s="20">
        <f>COUNTIFS(tData[SEHTrajectPeriodeDatumTijdVan],"&lt;="&amp;($A378+4/24),tData[SEHTrajectPeriodeDatumTijdTotEnMet],"&gt;"&amp;($A378+4/24))</f>
        <v/>
      </c>
      <c r="I378" s="20">
        <f>COUNTIFS(tData[SEHTrajectPeriodeDatumTijdVan],"&lt;="&amp;($A378+5/24),tData[SEHTrajectPeriodeDatumTijdTotEnMet],"&gt;"&amp;($A378+5/24))</f>
        <v/>
      </c>
      <c r="J378" s="20">
        <f>COUNTIFS(tData[SEHTrajectPeriodeDatumTijdVan],"&lt;="&amp;($A378+6/24),tData[SEHTrajectPeriodeDatumTijdTotEnMet],"&gt;"&amp;($A378+6/24))</f>
        <v/>
      </c>
      <c r="K378" s="20">
        <f>COUNTIFS(tData[SEHTrajectPeriodeDatumTijdVan],"&lt;="&amp;($A378+7/24),tData[SEHTrajectPeriodeDatumTijdTotEnMet],"&gt;"&amp;($A378+7/24))</f>
        <v/>
      </c>
      <c r="L378" s="20">
        <f>COUNTIFS(tData[SEHTrajectPeriodeDatumTijdVan],"&lt;="&amp;($A378+8/24),tData[SEHTrajectPeriodeDatumTijdTotEnMet],"&gt;"&amp;($A378+8/24))</f>
        <v/>
      </c>
      <c r="M378" s="20">
        <f>COUNTIFS(tData[SEHTrajectPeriodeDatumTijdVan],"&lt;="&amp;($A378+9/24),tData[SEHTrajectPeriodeDatumTijdTotEnMet],"&gt;"&amp;($A378+9/24))</f>
        <v/>
      </c>
      <c r="N378" s="20">
        <f>COUNTIFS(tData[SEHTrajectPeriodeDatumTijdVan],"&lt;="&amp;($A378+10/24),tData[SEHTrajectPeriodeDatumTijdTotEnMet],"&gt;"&amp;($A378+10/24))</f>
        <v/>
      </c>
      <c r="O378" s="20">
        <f>COUNTIFS(tData[SEHTrajectPeriodeDatumTijdVan],"&lt;="&amp;($A378+11/24),tData[SEHTrajectPeriodeDatumTijdTotEnMet],"&gt;"&amp;($A378+11/24))</f>
        <v/>
      </c>
      <c r="P378" s="20">
        <f>COUNTIFS(tData[SEHTrajectPeriodeDatumTijdVan],"&lt;="&amp;($A378+12/24),tData[SEHTrajectPeriodeDatumTijdTotEnMet],"&gt;"&amp;($A378+12/24))</f>
        <v/>
      </c>
      <c r="Q378" s="20">
        <f>COUNTIFS(tData[SEHTrajectPeriodeDatumTijdVan],"&lt;="&amp;($A378+13/24),tData[SEHTrajectPeriodeDatumTijdTotEnMet],"&gt;"&amp;($A378+13/24))</f>
        <v/>
      </c>
      <c r="R378" s="20">
        <f>COUNTIFS(tData[SEHTrajectPeriodeDatumTijdVan],"&lt;="&amp;($A378+14/24),tData[SEHTrajectPeriodeDatumTijdTotEnMet],"&gt;"&amp;($A378+14/24))</f>
        <v/>
      </c>
      <c r="S378" s="20">
        <f>COUNTIFS(tData[SEHTrajectPeriodeDatumTijdVan],"&lt;="&amp;($A378+15/24),tData[SEHTrajectPeriodeDatumTijdTotEnMet],"&gt;"&amp;($A378+15/24))</f>
        <v/>
      </c>
      <c r="T378" s="20">
        <f>COUNTIFS(tData[SEHTrajectPeriodeDatumTijdVan],"&lt;="&amp;($A378+16/24),tData[SEHTrajectPeriodeDatumTijdTotEnMet],"&gt;"&amp;($A378+16/24))</f>
        <v/>
      </c>
      <c r="U378" s="20">
        <f>COUNTIFS(tData[SEHTrajectPeriodeDatumTijdVan],"&lt;="&amp;($A378+17/24),tData[SEHTrajectPeriodeDatumTijdTotEnMet],"&gt;"&amp;($A378+17/24))</f>
        <v/>
      </c>
      <c r="V378" s="20">
        <f>COUNTIFS(tData[SEHTrajectPeriodeDatumTijdVan],"&lt;="&amp;($A378+18/24),tData[SEHTrajectPeriodeDatumTijdTotEnMet],"&gt;"&amp;($A378+18/24))</f>
        <v/>
      </c>
      <c r="W378" s="20">
        <f>COUNTIFS(tData[SEHTrajectPeriodeDatumTijdVan],"&lt;="&amp;($A378+19/24),tData[SEHTrajectPeriodeDatumTijdTotEnMet],"&gt;"&amp;($A378+19/24))</f>
        <v/>
      </c>
      <c r="X378" s="20">
        <f>COUNTIFS(tData[SEHTrajectPeriodeDatumTijdVan],"&lt;="&amp;($A378+20/24),tData[SEHTrajectPeriodeDatumTijdTotEnMet],"&gt;"&amp;($A378+20/24))</f>
        <v/>
      </c>
      <c r="Y378" s="20">
        <f>COUNTIFS(tData[SEHTrajectPeriodeDatumTijdVan],"&lt;="&amp;($A378+21/24),tData[SEHTrajectPeriodeDatumTijdTotEnMet],"&gt;"&amp;($A378+21/24))</f>
        <v/>
      </c>
      <c r="Z378" s="20">
        <f>COUNTIFS(tData[SEHTrajectPeriodeDatumTijdVan],"&lt;="&amp;($A378+22/24),tData[SEHTrajectPeriodeDatumTijdTotEnMet],"&gt;"&amp;($A378+22/24))</f>
        <v/>
      </c>
      <c r="AA378" s="20">
        <f>COUNTIFS(tData[SEHTrajectPeriodeDatumTijdVan],"&lt;="&amp;($A378+23/24),tData[SEHTrajectPeriodeDatumTijdTotEnMet],"&gt;"&amp;($A378+23/24))</f>
        <v/>
      </c>
    </row>
    <row r="379">
      <c r="A379" s="19" t="n">
        <v>45667</v>
      </c>
      <c r="B379" s="15">
        <f>WEEKDAY($A379,2)</f>
        <v/>
      </c>
      <c r="C379" s="15">
        <f>IF(AND($A379&gt;=INT(Instellingen!$B$5),$A379&lt;=INT(Instellingen!$B$6)),1,0)</f>
        <v/>
      </c>
      <c r="D379" s="20">
        <f>COUNTIFS(tData[SEHTrajectPeriodeDatumTijdVan],"&lt;="&amp;($A379+0/24),tData[SEHTrajectPeriodeDatumTijdTotEnMet],"&gt;"&amp;($A379+0/24))</f>
        <v/>
      </c>
      <c r="E379" s="20">
        <f>COUNTIFS(tData[SEHTrajectPeriodeDatumTijdVan],"&lt;="&amp;($A379+1/24),tData[SEHTrajectPeriodeDatumTijdTotEnMet],"&gt;"&amp;($A379+1/24))</f>
        <v/>
      </c>
      <c r="F379" s="20">
        <f>COUNTIFS(tData[SEHTrajectPeriodeDatumTijdVan],"&lt;="&amp;($A379+2/24),tData[SEHTrajectPeriodeDatumTijdTotEnMet],"&gt;"&amp;($A379+2/24))</f>
        <v/>
      </c>
      <c r="G379" s="20">
        <f>COUNTIFS(tData[SEHTrajectPeriodeDatumTijdVan],"&lt;="&amp;($A379+3/24),tData[SEHTrajectPeriodeDatumTijdTotEnMet],"&gt;"&amp;($A379+3/24))</f>
        <v/>
      </c>
      <c r="H379" s="20">
        <f>COUNTIFS(tData[SEHTrajectPeriodeDatumTijdVan],"&lt;="&amp;($A379+4/24),tData[SEHTrajectPeriodeDatumTijdTotEnMet],"&gt;"&amp;($A379+4/24))</f>
        <v/>
      </c>
      <c r="I379" s="20">
        <f>COUNTIFS(tData[SEHTrajectPeriodeDatumTijdVan],"&lt;="&amp;($A379+5/24),tData[SEHTrajectPeriodeDatumTijdTotEnMet],"&gt;"&amp;($A379+5/24))</f>
        <v/>
      </c>
      <c r="J379" s="20">
        <f>COUNTIFS(tData[SEHTrajectPeriodeDatumTijdVan],"&lt;="&amp;($A379+6/24),tData[SEHTrajectPeriodeDatumTijdTotEnMet],"&gt;"&amp;($A379+6/24))</f>
        <v/>
      </c>
      <c r="K379" s="20">
        <f>COUNTIFS(tData[SEHTrajectPeriodeDatumTijdVan],"&lt;="&amp;($A379+7/24),tData[SEHTrajectPeriodeDatumTijdTotEnMet],"&gt;"&amp;($A379+7/24))</f>
        <v/>
      </c>
      <c r="L379" s="20">
        <f>COUNTIFS(tData[SEHTrajectPeriodeDatumTijdVan],"&lt;="&amp;($A379+8/24),tData[SEHTrajectPeriodeDatumTijdTotEnMet],"&gt;"&amp;($A379+8/24))</f>
        <v/>
      </c>
      <c r="M379" s="20">
        <f>COUNTIFS(tData[SEHTrajectPeriodeDatumTijdVan],"&lt;="&amp;($A379+9/24),tData[SEHTrajectPeriodeDatumTijdTotEnMet],"&gt;"&amp;($A379+9/24))</f>
        <v/>
      </c>
      <c r="N379" s="20">
        <f>COUNTIFS(tData[SEHTrajectPeriodeDatumTijdVan],"&lt;="&amp;($A379+10/24),tData[SEHTrajectPeriodeDatumTijdTotEnMet],"&gt;"&amp;($A379+10/24))</f>
        <v/>
      </c>
      <c r="O379" s="20">
        <f>COUNTIFS(tData[SEHTrajectPeriodeDatumTijdVan],"&lt;="&amp;($A379+11/24),tData[SEHTrajectPeriodeDatumTijdTotEnMet],"&gt;"&amp;($A379+11/24))</f>
        <v/>
      </c>
      <c r="P379" s="20">
        <f>COUNTIFS(tData[SEHTrajectPeriodeDatumTijdVan],"&lt;="&amp;($A379+12/24),tData[SEHTrajectPeriodeDatumTijdTotEnMet],"&gt;"&amp;($A379+12/24))</f>
        <v/>
      </c>
      <c r="Q379" s="20">
        <f>COUNTIFS(tData[SEHTrajectPeriodeDatumTijdVan],"&lt;="&amp;($A379+13/24),tData[SEHTrajectPeriodeDatumTijdTotEnMet],"&gt;"&amp;($A379+13/24))</f>
        <v/>
      </c>
      <c r="R379" s="20">
        <f>COUNTIFS(tData[SEHTrajectPeriodeDatumTijdVan],"&lt;="&amp;($A379+14/24),tData[SEHTrajectPeriodeDatumTijdTotEnMet],"&gt;"&amp;($A379+14/24))</f>
        <v/>
      </c>
      <c r="S379" s="20">
        <f>COUNTIFS(tData[SEHTrajectPeriodeDatumTijdVan],"&lt;="&amp;($A379+15/24),tData[SEHTrajectPeriodeDatumTijdTotEnMet],"&gt;"&amp;($A379+15/24))</f>
        <v/>
      </c>
      <c r="T379" s="20">
        <f>COUNTIFS(tData[SEHTrajectPeriodeDatumTijdVan],"&lt;="&amp;($A379+16/24),tData[SEHTrajectPeriodeDatumTijdTotEnMet],"&gt;"&amp;($A379+16/24))</f>
        <v/>
      </c>
      <c r="U379" s="20">
        <f>COUNTIFS(tData[SEHTrajectPeriodeDatumTijdVan],"&lt;="&amp;($A379+17/24),tData[SEHTrajectPeriodeDatumTijdTotEnMet],"&gt;"&amp;($A379+17/24))</f>
        <v/>
      </c>
      <c r="V379" s="20">
        <f>COUNTIFS(tData[SEHTrajectPeriodeDatumTijdVan],"&lt;="&amp;($A379+18/24),tData[SEHTrajectPeriodeDatumTijdTotEnMet],"&gt;"&amp;($A379+18/24))</f>
        <v/>
      </c>
      <c r="W379" s="20">
        <f>COUNTIFS(tData[SEHTrajectPeriodeDatumTijdVan],"&lt;="&amp;($A379+19/24),tData[SEHTrajectPeriodeDatumTijdTotEnMet],"&gt;"&amp;($A379+19/24))</f>
        <v/>
      </c>
      <c r="X379" s="20">
        <f>COUNTIFS(tData[SEHTrajectPeriodeDatumTijdVan],"&lt;="&amp;($A379+20/24),tData[SEHTrajectPeriodeDatumTijdTotEnMet],"&gt;"&amp;($A379+20/24))</f>
        <v/>
      </c>
      <c r="Y379" s="20">
        <f>COUNTIFS(tData[SEHTrajectPeriodeDatumTijdVan],"&lt;="&amp;($A379+21/24),tData[SEHTrajectPeriodeDatumTijdTotEnMet],"&gt;"&amp;($A379+21/24))</f>
        <v/>
      </c>
      <c r="Z379" s="20">
        <f>COUNTIFS(tData[SEHTrajectPeriodeDatumTijdVan],"&lt;="&amp;($A379+22/24),tData[SEHTrajectPeriodeDatumTijdTotEnMet],"&gt;"&amp;($A379+22/24))</f>
        <v/>
      </c>
      <c r="AA379" s="20">
        <f>COUNTIFS(tData[SEHTrajectPeriodeDatumTijdVan],"&lt;="&amp;($A379+23/24),tData[SEHTrajectPeriodeDatumTijdTotEnMet],"&gt;"&amp;($A379+23/24))</f>
        <v/>
      </c>
    </row>
    <row r="380">
      <c r="A380" s="19" t="n">
        <v>45668</v>
      </c>
      <c r="B380" s="15">
        <f>WEEKDAY($A380,2)</f>
        <v/>
      </c>
      <c r="C380" s="15">
        <f>IF(AND($A380&gt;=INT(Instellingen!$B$5),$A380&lt;=INT(Instellingen!$B$6)),1,0)</f>
        <v/>
      </c>
      <c r="D380" s="20">
        <f>COUNTIFS(tData[SEHTrajectPeriodeDatumTijdVan],"&lt;="&amp;($A380+0/24),tData[SEHTrajectPeriodeDatumTijdTotEnMet],"&gt;"&amp;($A380+0/24))</f>
        <v/>
      </c>
      <c r="E380" s="20">
        <f>COUNTIFS(tData[SEHTrajectPeriodeDatumTijdVan],"&lt;="&amp;($A380+1/24),tData[SEHTrajectPeriodeDatumTijdTotEnMet],"&gt;"&amp;($A380+1/24))</f>
        <v/>
      </c>
      <c r="F380" s="20">
        <f>COUNTIFS(tData[SEHTrajectPeriodeDatumTijdVan],"&lt;="&amp;($A380+2/24),tData[SEHTrajectPeriodeDatumTijdTotEnMet],"&gt;"&amp;($A380+2/24))</f>
        <v/>
      </c>
      <c r="G380" s="20">
        <f>COUNTIFS(tData[SEHTrajectPeriodeDatumTijdVan],"&lt;="&amp;($A380+3/24),tData[SEHTrajectPeriodeDatumTijdTotEnMet],"&gt;"&amp;($A380+3/24))</f>
        <v/>
      </c>
      <c r="H380" s="20">
        <f>COUNTIFS(tData[SEHTrajectPeriodeDatumTijdVan],"&lt;="&amp;($A380+4/24),tData[SEHTrajectPeriodeDatumTijdTotEnMet],"&gt;"&amp;($A380+4/24))</f>
        <v/>
      </c>
      <c r="I380" s="20">
        <f>COUNTIFS(tData[SEHTrajectPeriodeDatumTijdVan],"&lt;="&amp;($A380+5/24),tData[SEHTrajectPeriodeDatumTijdTotEnMet],"&gt;"&amp;($A380+5/24))</f>
        <v/>
      </c>
      <c r="J380" s="20">
        <f>COUNTIFS(tData[SEHTrajectPeriodeDatumTijdVan],"&lt;="&amp;($A380+6/24),tData[SEHTrajectPeriodeDatumTijdTotEnMet],"&gt;"&amp;($A380+6/24))</f>
        <v/>
      </c>
      <c r="K380" s="20">
        <f>COUNTIFS(tData[SEHTrajectPeriodeDatumTijdVan],"&lt;="&amp;($A380+7/24),tData[SEHTrajectPeriodeDatumTijdTotEnMet],"&gt;"&amp;($A380+7/24))</f>
        <v/>
      </c>
      <c r="L380" s="20">
        <f>COUNTIFS(tData[SEHTrajectPeriodeDatumTijdVan],"&lt;="&amp;($A380+8/24),tData[SEHTrajectPeriodeDatumTijdTotEnMet],"&gt;"&amp;($A380+8/24))</f>
        <v/>
      </c>
      <c r="M380" s="20">
        <f>COUNTIFS(tData[SEHTrajectPeriodeDatumTijdVan],"&lt;="&amp;($A380+9/24),tData[SEHTrajectPeriodeDatumTijdTotEnMet],"&gt;"&amp;($A380+9/24))</f>
        <v/>
      </c>
      <c r="N380" s="20">
        <f>COUNTIFS(tData[SEHTrajectPeriodeDatumTijdVan],"&lt;="&amp;($A380+10/24),tData[SEHTrajectPeriodeDatumTijdTotEnMet],"&gt;"&amp;($A380+10/24))</f>
        <v/>
      </c>
      <c r="O380" s="20">
        <f>COUNTIFS(tData[SEHTrajectPeriodeDatumTijdVan],"&lt;="&amp;($A380+11/24),tData[SEHTrajectPeriodeDatumTijdTotEnMet],"&gt;"&amp;($A380+11/24))</f>
        <v/>
      </c>
      <c r="P380" s="20">
        <f>COUNTIFS(tData[SEHTrajectPeriodeDatumTijdVan],"&lt;="&amp;($A380+12/24),tData[SEHTrajectPeriodeDatumTijdTotEnMet],"&gt;"&amp;($A380+12/24))</f>
        <v/>
      </c>
      <c r="Q380" s="20">
        <f>COUNTIFS(tData[SEHTrajectPeriodeDatumTijdVan],"&lt;="&amp;($A380+13/24),tData[SEHTrajectPeriodeDatumTijdTotEnMet],"&gt;"&amp;($A380+13/24))</f>
        <v/>
      </c>
      <c r="R380" s="20">
        <f>COUNTIFS(tData[SEHTrajectPeriodeDatumTijdVan],"&lt;="&amp;($A380+14/24),tData[SEHTrajectPeriodeDatumTijdTotEnMet],"&gt;"&amp;($A380+14/24))</f>
        <v/>
      </c>
      <c r="S380" s="20">
        <f>COUNTIFS(tData[SEHTrajectPeriodeDatumTijdVan],"&lt;="&amp;($A380+15/24),tData[SEHTrajectPeriodeDatumTijdTotEnMet],"&gt;"&amp;($A380+15/24))</f>
        <v/>
      </c>
      <c r="T380" s="20">
        <f>COUNTIFS(tData[SEHTrajectPeriodeDatumTijdVan],"&lt;="&amp;($A380+16/24),tData[SEHTrajectPeriodeDatumTijdTotEnMet],"&gt;"&amp;($A380+16/24))</f>
        <v/>
      </c>
      <c r="U380" s="20">
        <f>COUNTIFS(tData[SEHTrajectPeriodeDatumTijdVan],"&lt;="&amp;($A380+17/24),tData[SEHTrajectPeriodeDatumTijdTotEnMet],"&gt;"&amp;($A380+17/24))</f>
        <v/>
      </c>
      <c r="V380" s="20">
        <f>COUNTIFS(tData[SEHTrajectPeriodeDatumTijdVan],"&lt;="&amp;($A380+18/24),tData[SEHTrajectPeriodeDatumTijdTotEnMet],"&gt;"&amp;($A380+18/24))</f>
        <v/>
      </c>
      <c r="W380" s="20">
        <f>COUNTIFS(tData[SEHTrajectPeriodeDatumTijdVan],"&lt;="&amp;($A380+19/24),tData[SEHTrajectPeriodeDatumTijdTotEnMet],"&gt;"&amp;($A380+19/24))</f>
        <v/>
      </c>
      <c r="X380" s="20">
        <f>COUNTIFS(tData[SEHTrajectPeriodeDatumTijdVan],"&lt;="&amp;($A380+20/24),tData[SEHTrajectPeriodeDatumTijdTotEnMet],"&gt;"&amp;($A380+20/24))</f>
        <v/>
      </c>
      <c r="Y380" s="20">
        <f>COUNTIFS(tData[SEHTrajectPeriodeDatumTijdVan],"&lt;="&amp;($A380+21/24),tData[SEHTrajectPeriodeDatumTijdTotEnMet],"&gt;"&amp;($A380+21/24))</f>
        <v/>
      </c>
      <c r="Z380" s="20">
        <f>COUNTIFS(tData[SEHTrajectPeriodeDatumTijdVan],"&lt;="&amp;($A380+22/24),tData[SEHTrajectPeriodeDatumTijdTotEnMet],"&gt;"&amp;($A380+22/24))</f>
        <v/>
      </c>
      <c r="AA380" s="20">
        <f>COUNTIFS(tData[SEHTrajectPeriodeDatumTijdVan],"&lt;="&amp;($A380+23/24),tData[SEHTrajectPeriodeDatumTijdTotEnMet],"&gt;"&amp;($A380+23/24))</f>
        <v/>
      </c>
    </row>
    <row r="381">
      <c r="A381" s="19" t="n">
        <v>45669</v>
      </c>
      <c r="B381" s="15">
        <f>WEEKDAY($A381,2)</f>
        <v/>
      </c>
      <c r="C381" s="15">
        <f>IF(AND($A381&gt;=INT(Instellingen!$B$5),$A381&lt;=INT(Instellingen!$B$6)),1,0)</f>
        <v/>
      </c>
      <c r="D381" s="20">
        <f>COUNTIFS(tData[SEHTrajectPeriodeDatumTijdVan],"&lt;="&amp;($A381+0/24),tData[SEHTrajectPeriodeDatumTijdTotEnMet],"&gt;"&amp;($A381+0/24))</f>
        <v/>
      </c>
      <c r="E381" s="20">
        <f>COUNTIFS(tData[SEHTrajectPeriodeDatumTijdVan],"&lt;="&amp;($A381+1/24),tData[SEHTrajectPeriodeDatumTijdTotEnMet],"&gt;"&amp;($A381+1/24))</f>
        <v/>
      </c>
      <c r="F381" s="20">
        <f>COUNTIFS(tData[SEHTrajectPeriodeDatumTijdVan],"&lt;="&amp;($A381+2/24),tData[SEHTrajectPeriodeDatumTijdTotEnMet],"&gt;"&amp;($A381+2/24))</f>
        <v/>
      </c>
      <c r="G381" s="20">
        <f>COUNTIFS(tData[SEHTrajectPeriodeDatumTijdVan],"&lt;="&amp;($A381+3/24),tData[SEHTrajectPeriodeDatumTijdTotEnMet],"&gt;"&amp;($A381+3/24))</f>
        <v/>
      </c>
      <c r="H381" s="20">
        <f>COUNTIFS(tData[SEHTrajectPeriodeDatumTijdVan],"&lt;="&amp;($A381+4/24),tData[SEHTrajectPeriodeDatumTijdTotEnMet],"&gt;"&amp;($A381+4/24))</f>
        <v/>
      </c>
      <c r="I381" s="20">
        <f>COUNTIFS(tData[SEHTrajectPeriodeDatumTijdVan],"&lt;="&amp;($A381+5/24),tData[SEHTrajectPeriodeDatumTijdTotEnMet],"&gt;"&amp;($A381+5/24))</f>
        <v/>
      </c>
      <c r="J381" s="20">
        <f>COUNTIFS(tData[SEHTrajectPeriodeDatumTijdVan],"&lt;="&amp;($A381+6/24),tData[SEHTrajectPeriodeDatumTijdTotEnMet],"&gt;"&amp;($A381+6/24))</f>
        <v/>
      </c>
      <c r="K381" s="20">
        <f>COUNTIFS(tData[SEHTrajectPeriodeDatumTijdVan],"&lt;="&amp;($A381+7/24),tData[SEHTrajectPeriodeDatumTijdTotEnMet],"&gt;"&amp;($A381+7/24))</f>
        <v/>
      </c>
      <c r="L381" s="20">
        <f>COUNTIFS(tData[SEHTrajectPeriodeDatumTijdVan],"&lt;="&amp;($A381+8/24),tData[SEHTrajectPeriodeDatumTijdTotEnMet],"&gt;"&amp;($A381+8/24))</f>
        <v/>
      </c>
      <c r="M381" s="20">
        <f>COUNTIFS(tData[SEHTrajectPeriodeDatumTijdVan],"&lt;="&amp;($A381+9/24),tData[SEHTrajectPeriodeDatumTijdTotEnMet],"&gt;"&amp;($A381+9/24))</f>
        <v/>
      </c>
      <c r="N381" s="20">
        <f>COUNTIFS(tData[SEHTrajectPeriodeDatumTijdVan],"&lt;="&amp;($A381+10/24),tData[SEHTrajectPeriodeDatumTijdTotEnMet],"&gt;"&amp;($A381+10/24))</f>
        <v/>
      </c>
      <c r="O381" s="20">
        <f>COUNTIFS(tData[SEHTrajectPeriodeDatumTijdVan],"&lt;="&amp;($A381+11/24),tData[SEHTrajectPeriodeDatumTijdTotEnMet],"&gt;"&amp;($A381+11/24))</f>
        <v/>
      </c>
      <c r="P381" s="20">
        <f>COUNTIFS(tData[SEHTrajectPeriodeDatumTijdVan],"&lt;="&amp;($A381+12/24),tData[SEHTrajectPeriodeDatumTijdTotEnMet],"&gt;"&amp;($A381+12/24))</f>
        <v/>
      </c>
      <c r="Q381" s="20">
        <f>COUNTIFS(tData[SEHTrajectPeriodeDatumTijdVan],"&lt;="&amp;($A381+13/24),tData[SEHTrajectPeriodeDatumTijdTotEnMet],"&gt;"&amp;($A381+13/24))</f>
        <v/>
      </c>
      <c r="R381" s="20">
        <f>COUNTIFS(tData[SEHTrajectPeriodeDatumTijdVan],"&lt;="&amp;($A381+14/24),tData[SEHTrajectPeriodeDatumTijdTotEnMet],"&gt;"&amp;($A381+14/24))</f>
        <v/>
      </c>
      <c r="S381" s="20">
        <f>COUNTIFS(tData[SEHTrajectPeriodeDatumTijdVan],"&lt;="&amp;($A381+15/24),tData[SEHTrajectPeriodeDatumTijdTotEnMet],"&gt;"&amp;($A381+15/24))</f>
        <v/>
      </c>
      <c r="T381" s="20">
        <f>COUNTIFS(tData[SEHTrajectPeriodeDatumTijdVan],"&lt;="&amp;($A381+16/24),tData[SEHTrajectPeriodeDatumTijdTotEnMet],"&gt;"&amp;($A381+16/24))</f>
        <v/>
      </c>
      <c r="U381" s="20">
        <f>COUNTIFS(tData[SEHTrajectPeriodeDatumTijdVan],"&lt;="&amp;($A381+17/24),tData[SEHTrajectPeriodeDatumTijdTotEnMet],"&gt;"&amp;($A381+17/24))</f>
        <v/>
      </c>
      <c r="V381" s="20">
        <f>COUNTIFS(tData[SEHTrajectPeriodeDatumTijdVan],"&lt;="&amp;($A381+18/24),tData[SEHTrajectPeriodeDatumTijdTotEnMet],"&gt;"&amp;($A381+18/24))</f>
        <v/>
      </c>
      <c r="W381" s="20">
        <f>COUNTIFS(tData[SEHTrajectPeriodeDatumTijdVan],"&lt;="&amp;($A381+19/24),tData[SEHTrajectPeriodeDatumTijdTotEnMet],"&gt;"&amp;($A381+19/24))</f>
        <v/>
      </c>
      <c r="X381" s="20">
        <f>COUNTIFS(tData[SEHTrajectPeriodeDatumTijdVan],"&lt;="&amp;($A381+20/24),tData[SEHTrajectPeriodeDatumTijdTotEnMet],"&gt;"&amp;($A381+20/24))</f>
        <v/>
      </c>
      <c r="Y381" s="20">
        <f>COUNTIFS(tData[SEHTrajectPeriodeDatumTijdVan],"&lt;="&amp;($A381+21/24),tData[SEHTrajectPeriodeDatumTijdTotEnMet],"&gt;"&amp;($A381+21/24))</f>
        <v/>
      </c>
      <c r="Z381" s="20">
        <f>COUNTIFS(tData[SEHTrajectPeriodeDatumTijdVan],"&lt;="&amp;($A381+22/24),tData[SEHTrajectPeriodeDatumTijdTotEnMet],"&gt;"&amp;($A381+22/24))</f>
        <v/>
      </c>
      <c r="AA381" s="20">
        <f>COUNTIFS(tData[SEHTrajectPeriodeDatumTijdVan],"&lt;="&amp;($A381+23/24),tData[SEHTrajectPeriodeDatumTijdTotEnMet],"&gt;"&amp;($A381+23/24))</f>
        <v/>
      </c>
    </row>
    <row r="382">
      <c r="A382" s="19" t="n">
        <v>45670</v>
      </c>
      <c r="B382" s="15">
        <f>WEEKDAY($A382,2)</f>
        <v/>
      </c>
      <c r="C382" s="15">
        <f>IF(AND($A382&gt;=INT(Instellingen!$B$5),$A382&lt;=INT(Instellingen!$B$6)),1,0)</f>
        <v/>
      </c>
      <c r="D382" s="20">
        <f>COUNTIFS(tData[SEHTrajectPeriodeDatumTijdVan],"&lt;="&amp;($A382+0/24),tData[SEHTrajectPeriodeDatumTijdTotEnMet],"&gt;"&amp;($A382+0/24))</f>
        <v/>
      </c>
      <c r="E382" s="20">
        <f>COUNTIFS(tData[SEHTrajectPeriodeDatumTijdVan],"&lt;="&amp;($A382+1/24),tData[SEHTrajectPeriodeDatumTijdTotEnMet],"&gt;"&amp;($A382+1/24))</f>
        <v/>
      </c>
      <c r="F382" s="20">
        <f>COUNTIFS(tData[SEHTrajectPeriodeDatumTijdVan],"&lt;="&amp;($A382+2/24),tData[SEHTrajectPeriodeDatumTijdTotEnMet],"&gt;"&amp;($A382+2/24))</f>
        <v/>
      </c>
      <c r="G382" s="20">
        <f>COUNTIFS(tData[SEHTrajectPeriodeDatumTijdVan],"&lt;="&amp;($A382+3/24),tData[SEHTrajectPeriodeDatumTijdTotEnMet],"&gt;"&amp;($A382+3/24))</f>
        <v/>
      </c>
      <c r="H382" s="20">
        <f>COUNTIFS(tData[SEHTrajectPeriodeDatumTijdVan],"&lt;="&amp;($A382+4/24),tData[SEHTrajectPeriodeDatumTijdTotEnMet],"&gt;"&amp;($A382+4/24))</f>
        <v/>
      </c>
      <c r="I382" s="20">
        <f>COUNTIFS(tData[SEHTrajectPeriodeDatumTijdVan],"&lt;="&amp;($A382+5/24),tData[SEHTrajectPeriodeDatumTijdTotEnMet],"&gt;"&amp;($A382+5/24))</f>
        <v/>
      </c>
      <c r="J382" s="20">
        <f>COUNTIFS(tData[SEHTrajectPeriodeDatumTijdVan],"&lt;="&amp;($A382+6/24),tData[SEHTrajectPeriodeDatumTijdTotEnMet],"&gt;"&amp;($A382+6/24))</f>
        <v/>
      </c>
      <c r="K382" s="20">
        <f>COUNTIFS(tData[SEHTrajectPeriodeDatumTijdVan],"&lt;="&amp;($A382+7/24),tData[SEHTrajectPeriodeDatumTijdTotEnMet],"&gt;"&amp;($A382+7/24))</f>
        <v/>
      </c>
      <c r="L382" s="20">
        <f>COUNTIFS(tData[SEHTrajectPeriodeDatumTijdVan],"&lt;="&amp;($A382+8/24),tData[SEHTrajectPeriodeDatumTijdTotEnMet],"&gt;"&amp;($A382+8/24))</f>
        <v/>
      </c>
      <c r="M382" s="20">
        <f>COUNTIFS(tData[SEHTrajectPeriodeDatumTijdVan],"&lt;="&amp;($A382+9/24),tData[SEHTrajectPeriodeDatumTijdTotEnMet],"&gt;"&amp;($A382+9/24))</f>
        <v/>
      </c>
      <c r="N382" s="20">
        <f>COUNTIFS(tData[SEHTrajectPeriodeDatumTijdVan],"&lt;="&amp;($A382+10/24),tData[SEHTrajectPeriodeDatumTijdTotEnMet],"&gt;"&amp;($A382+10/24))</f>
        <v/>
      </c>
      <c r="O382" s="20">
        <f>COUNTIFS(tData[SEHTrajectPeriodeDatumTijdVan],"&lt;="&amp;($A382+11/24),tData[SEHTrajectPeriodeDatumTijdTotEnMet],"&gt;"&amp;($A382+11/24))</f>
        <v/>
      </c>
      <c r="P382" s="20">
        <f>COUNTIFS(tData[SEHTrajectPeriodeDatumTijdVan],"&lt;="&amp;($A382+12/24),tData[SEHTrajectPeriodeDatumTijdTotEnMet],"&gt;"&amp;($A382+12/24))</f>
        <v/>
      </c>
      <c r="Q382" s="20">
        <f>COUNTIFS(tData[SEHTrajectPeriodeDatumTijdVan],"&lt;="&amp;($A382+13/24),tData[SEHTrajectPeriodeDatumTijdTotEnMet],"&gt;"&amp;($A382+13/24))</f>
        <v/>
      </c>
      <c r="R382" s="20">
        <f>COUNTIFS(tData[SEHTrajectPeriodeDatumTijdVan],"&lt;="&amp;($A382+14/24),tData[SEHTrajectPeriodeDatumTijdTotEnMet],"&gt;"&amp;($A382+14/24))</f>
        <v/>
      </c>
      <c r="S382" s="20">
        <f>COUNTIFS(tData[SEHTrajectPeriodeDatumTijdVan],"&lt;="&amp;($A382+15/24),tData[SEHTrajectPeriodeDatumTijdTotEnMet],"&gt;"&amp;($A382+15/24))</f>
        <v/>
      </c>
      <c r="T382" s="20">
        <f>COUNTIFS(tData[SEHTrajectPeriodeDatumTijdVan],"&lt;="&amp;($A382+16/24),tData[SEHTrajectPeriodeDatumTijdTotEnMet],"&gt;"&amp;($A382+16/24))</f>
        <v/>
      </c>
      <c r="U382" s="20">
        <f>COUNTIFS(tData[SEHTrajectPeriodeDatumTijdVan],"&lt;="&amp;($A382+17/24),tData[SEHTrajectPeriodeDatumTijdTotEnMet],"&gt;"&amp;($A382+17/24))</f>
        <v/>
      </c>
      <c r="V382" s="20">
        <f>COUNTIFS(tData[SEHTrajectPeriodeDatumTijdVan],"&lt;="&amp;($A382+18/24),tData[SEHTrajectPeriodeDatumTijdTotEnMet],"&gt;"&amp;($A382+18/24))</f>
        <v/>
      </c>
      <c r="W382" s="20">
        <f>COUNTIFS(tData[SEHTrajectPeriodeDatumTijdVan],"&lt;="&amp;($A382+19/24),tData[SEHTrajectPeriodeDatumTijdTotEnMet],"&gt;"&amp;($A382+19/24))</f>
        <v/>
      </c>
      <c r="X382" s="20">
        <f>COUNTIFS(tData[SEHTrajectPeriodeDatumTijdVan],"&lt;="&amp;($A382+20/24),tData[SEHTrajectPeriodeDatumTijdTotEnMet],"&gt;"&amp;($A382+20/24))</f>
        <v/>
      </c>
      <c r="Y382" s="20">
        <f>COUNTIFS(tData[SEHTrajectPeriodeDatumTijdVan],"&lt;="&amp;($A382+21/24),tData[SEHTrajectPeriodeDatumTijdTotEnMet],"&gt;"&amp;($A382+21/24))</f>
        <v/>
      </c>
      <c r="Z382" s="20">
        <f>COUNTIFS(tData[SEHTrajectPeriodeDatumTijdVan],"&lt;="&amp;($A382+22/24),tData[SEHTrajectPeriodeDatumTijdTotEnMet],"&gt;"&amp;($A382+22/24))</f>
        <v/>
      </c>
      <c r="AA382" s="20">
        <f>COUNTIFS(tData[SEHTrajectPeriodeDatumTijdVan],"&lt;="&amp;($A382+23/24),tData[SEHTrajectPeriodeDatumTijdTotEnMet],"&gt;"&amp;($A382+23/24))</f>
        <v/>
      </c>
    </row>
    <row r="383">
      <c r="A383" s="19" t="n">
        <v>45671</v>
      </c>
      <c r="B383" s="15">
        <f>WEEKDAY($A383,2)</f>
        <v/>
      </c>
      <c r="C383" s="15">
        <f>IF(AND($A383&gt;=INT(Instellingen!$B$5),$A383&lt;=INT(Instellingen!$B$6)),1,0)</f>
        <v/>
      </c>
      <c r="D383" s="20">
        <f>COUNTIFS(tData[SEHTrajectPeriodeDatumTijdVan],"&lt;="&amp;($A383+0/24),tData[SEHTrajectPeriodeDatumTijdTotEnMet],"&gt;"&amp;($A383+0/24))</f>
        <v/>
      </c>
      <c r="E383" s="20">
        <f>COUNTIFS(tData[SEHTrajectPeriodeDatumTijdVan],"&lt;="&amp;($A383+1/24),tData[SEHTrajectPeriodeDatumTijdTotEnMet],"&gt;"&amp;($A383+1/24))</f>
        <v/>
      </c>
      <c r="F383" s="20">
        <f>COUNTIFS(tData[SEHTrajectPeriodeDatumTijdVan],"&lt;="&amp;($A383+2/24),tData[SEHTrajectPeriodeDatumTijdTotEnMet],"&gt;"&amp;($A383+2/24))</f>
        <v/>
      </c>
      <c r="G383" s="20">
        <f>COUNTIFS(tData[SEHTrajectPeriodeDatumTijdVan],"&lt;="&amp;($A383+3/24),tData[SEHTrajectPeriodeDatumTijdTotEnMet],"&gt;"&amp;($A383+3/24))</f>
        <v/>
      </c>
      <c r="H383" s="20">
        <f>COUNTIFS(tData[SEHTrajectPeriodeDatumTijdVan],"&lt;="&amp;($A383+4/24),tData[SEHTrajectPeriodeDatumTijdTotEnMet],"&gt;"&amp;($A383+4/24))</f>
        <v/>
      </c>
      <c r="I383" s="20">
        <f>COUNTIFS(tData[SEHTrajectPeriodeDatumTijdVan],"&lt;="&amp;($A383+5/24),tData[SEHTrajectPeriodeDatumTijdTotEnMet],"&gt;"&amp;($A383+5/24))</f>
        <v/>
      </c>
      <c r="J383" s="20">
        <f>COUNTIFS(tData[SEHTrajectPeriodeDatumTijdVan],"&lt;="&amp;($A383+6/24),tData[SEHTrajectPeriodeDatumTijdTotEnMet],"&gt;"&amp;($A383+6/24))</f>
        <v/>
      </c>
      <c r="K383" s="20">
        <f>COUNTIFS(tData[SEHTrajectPeriodeDatumTijdVan],"&lt;="&amp;($A383+7/24),tData[SEHTrajectPeriodeDatumTijdTotEnMet],"&gt;"&amp;($A383+7/24))</f>
        <v/>
      </c>
      <c r="L383" s="20">
        <f>COUNTIFS(tData[SEHTrajectPeriodeDatumTijdVan],"&lt;="&amp;($A383+8/24),tData[SEHTrajectPeriodeDatumTijdTotEnMet],"&gt;"&amp;($A383+8/24))</f>
        <v/>
      </c>
      <c r="M383" s="20">
        <f>COUNTIFS(tData[SEHTrajectPeriodeDatumTijdVan],"&lt;="&amp;($A383+9/24),tData[SEHTrajectPeriodeDatumTijdTotEnMet],"&gt;"&amp;($A383+9/24))</f>
        <v/>
      </c>
      <c r="N383" s="20">
        <f>COUNTIFS(tData[SEHTrajectPeriodeDatumTijdVan],"&lt;="&amp;($A383+10/24),tData[SEHTrajectPeriodeDatumTijdTotEnMet],"&gt;"&amp;($A383+10/24))</f>
        <v/>
      </c>
      <c r="O383" s="20">
        <f>COUNTIFS(tData[SEHTrajectPeriodeDatumTijdVan],"&lt;="&amp;($A383+11/24),tData[SEHTrajectPeriodeDatumTijdTotEnMet],"&gt;"&amp;($A383+11/24))</f>
        <v/>
      </c>
      <c r="P383" s="20">
        <f>COUNTIFS(tData[SEHTrajectPeriodeDatumTijdVan],"&lt;="&amp;($A383+12/24),tData[SEHTrajectPeriodeDatumTijdTotEnMet],"&gt;"&amp;($A383+12/24))</f>
        <v/>
      </c>
      <c r="Q383" s="20">
        <f>COUNTIFS(tData[SEHTrajectPeriodeDatumTijdVan],"&lt;="&amp;($A383+13/24),tData[SEHTrajectPeriodeDatumTijdTotEnMet],"&gt;"&amp;($A383+13/24))</f>
        <v/>
      </c>
      <c r="R383" s="20">
        <f>COUNTIFS(tData[SEHTrajectPeriodeDatumTijdVan],"&lt;="&amp;($A383+14/24),tData[SEHTrajectPeriodeDatumTijdTotEnMet],"&gt;"&amp;($A383+14/24))</f>
        <v/>
      </c>
      <c r="S383" s="20">
        <f>COUNTIFS(tData[SEHTrajectPeriodeDatumTijdVan],"&lt;="&amp;($A383+15/24),tData[SEHTrajectPeriodeDatumTijdTotEnMet],"&gt;"&amp;($A383+15/24))</f>
        <v/>
      </c>
      <c r="T383" s="20">
        <f>COUNTIFS(tData[SEHTrajectPeriodeDatumTijdVan],"&lt;="&amp;($A383+16/24),tData[SEHTrajectPeriodeDatumTijdTotEnMet],"&gt;"&amp;($A383+16/24))</f>
        <v/>
      </c>
      <c r="U383" s="20">
        <f>COUNTIFS(tData[SEHTrajectPeriodeDatumTijdVan],"&lt;="&amp;($A383+17/24),tData[SEHTrajectPeriodeDatumTijdTotEnMet],"&gt;"&amp;($A383+17/24))</f>
        <v/>
      </c>
      <c r="V383" s="20">
        <f>COUNTIFS(tData[SEHTrajectPeriodeDatumTijdVan],"&lt;="&amp;($A383+18/24),tData[SEHTrajectPeriodeDatumTijdTotEnMet],"&gt;"&amp;($A383+18/24))</f>
        <v/>
      </c>
      <c r="W383" s="20">
        <f>COUNTIFS(tData[SEHTrajectPeriodeDatumTijdVan],"&lt;="&amp;($A383+19/24),tData[SEHTrajectPeriodeDatumTijdTotEnMet],"&gt;"&amp;($A383+19/24))</f>
        <v/>
      </c>
      <c r="X383" s="20">
        <f>COUNTIFS(tData[SEHTrajectPeriodeDatumTijdVan],"&lt;="&amp;($A383+20/24),tData[SEHTrajectPeriodeDatumTijdTotEnMet],"&gt;"&amp;($A383+20/24))</f>
        <v/>
      </c>
      <c r="Y383" s="20">
        <f>COUNTIFS(tData[SEHTrajectPeriodeDatumTijdVan],"&lt;="&amp;($A383+21/24),tData[SEHTrajectPeriodeDatumTijdTotEnMet],"&gt;"&amp;($A383+21/24))</f>
        <v/>
      </c>
      <c r="Z383" s="20">
        <f>COUNTIFS(tData[SEHTrajectPeriodeDatumTijdVan],"&lt;="&amp;($A383+22/24),tData[SEHTrajectPeriodeDatumTijdTotEnMet],"&gt;"&amp;($A383+22/24))</f>
        <v/>
      </c>
      <c r="AA383" s="20">
        <f>COUNTIFS(tData[SEHTrajectPeriodeDatumTijdVan],"&lt;="&amp;($A383+23/24),tData[SEHTrajectPeriodeDatumTijdTotEnMet],"&gt;"&amp;($A383+23/24))</f>
        <v/>
      </c>
    </row>
    <row r="384">
      <c r="A384" s="19" t="n">
        <v>45672</v>
      </c>
      <c r="B384" s="15">
        <f>WEEKDAY($A384,2)</f>
        <v/>
      </c>
      <c r="C384" s="15">
        <f>IF(AND($A384&gt;=INT(Instellingen!$B$5),$A384&lt;=INT(Instellingen!$B$6)),1,0)</f>
        <v/>
      </c>
      <c r="D384" s="20">
        <f>COUNTIFS(tData[SEHTrajectPeriodeDatumTijdVan],"&lt;="&amp;($A384+0/24),tData[SEHTrajectPeriodeDatumTijdTotEnMet],"&gt;"&amp;($A384+0/24))</f>
        <v/>
      </c>
      <c r="E384" s="20">
        <f>COUNTIFS(tData[SEHTrajectPeriodeDatumTijdVan],"&lt;="&amp;($A384+1/24),tData[SEHTrajectPeriodeDatumTijdTotEnMet],"&gt;"&amp;($A384+1/24))</f>
        <v/>
      </c>
      <c r="F384" s="20">
        <f>COUNTIFS(tData[SEHTrajectPeriodeDatumTijdVan],"&lt;="&amp;($A384+2/24),tData[SEHTrajectPeriodeDatumTijdTotEnMet],"&gt;"&amp;($A384+2/24))</f>
        <v/>
      </c>
      <c r="G384" s="20">
        <f>COUNTIFS(tData[SEHTrajectPeriodeDatumTijdVan],"&lt;="&amp;($A384+3/24),tData[SEHTrajectPeriodeDatumTijdTotEnMet],"&gt;"&amp;($A384+3/24))</f>
        <v/>
      </c>
      <c r="H384" s="20">
        <f>COUNTIFS(tData[SEHTrajectPeriodeDatumTijdVan],"&lt;="&amp;($A384+4/24),tData[SEHTrajectPeriodeDatumTijdTotEnMet],"&gt;"&amp;($A384+4/24))</f>
        <v/>
      </c>
      <c r="I384" s="20">
        <f>COUNTIFS(tData[SEHTrajectPeriodeDatumTijdVan],"&lt;="&amp;($A384+5/24),tData[SEHTrajectPeriodeDatumTijdTotEnMet],"&gt;"&amp;($A384+5/24))</f>
        <v/>
      </c>
      <c r="J384" s="20">
        <f>COUNTIFS(tData[SEHTrajectPeriodeDatumTijdVan],"&lt;="&amp;($A384+6/24),tData[SEHTrajectPeriodeDatumTijdTotEnMet],"&gt;"&amp;($A384+6/24))</f>
        <v/>
      </c>
      <c r="K384" s="20">
        <f>COUNTIFS(tData[SEHTrajectPeriodeDatumTijdVan],"&lt;="&amp;($A384+7/24),tData[SEHTrajectPeriodeDatumTijdTotEnMet],"&gt;"&amp;($A384+7/24))</f>
        <v/>
      </c>
      <c r="L384" s="20">
        <f>COUNTIFS(tData[SEHTrajectPeriodeDatumTijdVan],"&lt;="&amp;($A384+8/24),tData[SEHTrajectPeriodeDatumTijdTotEnMet],"&gt;"&amp;($A384+8/24))</f>
        <v/>
      </c>
      <c r="M384" s="20">
        <f>COUNTIFS(tData[SEHTrajectPeriodeDatumTijdVan],"&lt;="&amp;($A384+9/24),tData[SEHTrajectPeriodeDatumTijdTotEnMet],"&gt;"&amp;($A384+9/24))</f>
        <v/>
      </c>
      <c r="N384" s="20">
        <f>COUNTIFS(tData[SEHTrajectPeriodeDatumTijdVan],"&lt;="&amp;($A384+10/24),tData[SEHTrajectPeriodeDatumTijdTotEnMet],"&gt;"&amp;($A384+10/24))</f>
        <v/>
      </c>
      <c r="O384" s="20">
        <f>COUNTIFS(tData[SEHTrajectPeriodeDatumTijdVan],"&lt;="&amp;($A384+11/24),tData[SEHTrajectPeriodeDatumTijdTotEnMet],"&gt;"&amp;($A384+11/24))</f>
        <v/>
      </c>
      <c r="P384" s="20">
        <f>COUNTIFS(tData[SEHTrajectPeriodeDatumTijdVan],"&lt;="&amp;($A384+12/24),tData[SEHTrajectPeriodeDatumTijdTotEnMet],"&gt;"&amp;($A384+12/24))</f>
        <v/>
      </c>
      <c r="Q384" s="20">
        <f>COUNTIFS(tData[SEHTrajectPeriodeDatumTijdVan],"&lt;="&amp;($A384+13/24),tData[SEHTrajectPeriodeDatumTijdTotEnMet],"&gt;"&amp;($A384+13/24))</f>
        <v/>
      </c>
      <c r="R384" s="20">
        <f>COUNTIFS(tData[SEHTrajectPeriodeDatumTijdVan],"&lt;="&amp;($A384+14/24),tData[SEHTrajectPeriodeDatumTijdTotEnMet],"&gt;"&amp;($A384+14/24))</f>
        <v/>
      </c>
      <c r="S384" s="20">
        <f>COUNTIFS(tData[SEHTrajectPeriodeDatumTijdVan],"&lt;="&amp;($A384+15/24),tData[SEHTrajectPeriodeDatumTijdTotEnMet],"&gt;"&amp;($A384+15/24))</f>
        <v/>
      </c>
      <c r="T384" s="20">
        <f>COUNTIFS(tData[SEHTrajectPeriodeDatumTijdVan],"&lt;="&amp;($A384+16/24),tData[SEHTrajectPeriodeDatumTijdTotEnMet],"&gt;"&amp;($A384+16/24))</f>
        <v/>
      </c>
      <c r="U384" s="20">
        <f>COUNTIFS(tData[SEHTrajectPeriodeDatumTijdVan],"&lt;="&amp;($A384+17/24),tData[SEHTrajectPeriodeDatumTijdTotEnMet],"&gt;"&amp;($A384+17/24))</f>
        <v/>
      </c>
      <c r="V384" s="20">
        <f>COUNTIFS(tData[SEHTrajectPeriodeDatumTijdVan],"&lt;="&amp;($A384+18/24),tData[SEHTrajectPeriodeDatumTijdTotEnMet],"&gt;"&amp;($A384+18/24))</f>
        <v/>
      </c>
      <c r="W384" s="20">
        <f>COUNTIFS(tData[SEHTrajectPeriodeDatumTijdVan],"&lt;="&amp;($A384+19/24),tData[SEHTrajectPeriodeDatumTijdTotEnMet],"&gt;"&amp;($A384+19/24))</f>
        <v/>
      </c>
      <c r="X384" s="20">
        <f>COUNTIFS(tData[SEHTrajectPeriodeDatumTijdVan],"&lt;="&amp;($A384+20/24),tData[SEHTrajectPeriodeDatumTijdTotEnMet],"&gt;"&amp;($A384+20/24))</f>
        <v/>
      </c>
      <c r="Y384" s="20">
        <f>COUNTIFS(tData[SEHTrajectPeriodeDatumTijdVan],"&lt;="&amp;($A384+21/24),tData[SEHTrajectPeriodeDatumTijdTotEnMet],"&gt;"&amp;($A384+21/24))</f>
        <v/>
      </c>
      <c r="Z384" s="20">
        <f>COUNTIFS(tData[SEHTrajectPeriodeDatumTijdVan],"&lt;="&amp;($A384+22/24),tData[SEHTrajectPeriodeDatumTijdTotEnMet],"&gt;"&amp;($A384+22/24))</f>
        <v/>
      </c>
      <c r="AA384" s="20">
        <f>COUNTIFS(tData[SEHTrajectPeriodeDatumTijdVan],"&lt;="&amp;($A384+23/24),tData[SEHTrajectPeriodeDatumTijdTotEnMet],"&gt;"&amp;($A384+23/24))</f>
        <v/>
      </c>
    </row>
    <row r="385">
      <c r="A385" s="19" t="n">
        <v>45673</v>
      </c>
      <c r="B385" s="15">
        <f>WEEKDAY($A385,2)</f>
        <v/>
      </c>
      <c r="C385" s="15">
        <f>IF(AND($A385&gt;=INT(Instellingen!$B$5),$A385&lt;=INT(Instellingen!$B$6)),1,0)</f>
        <v/>
      </c>
      <c r="D385" s="20">
        <f>COUNTIFS(tData[SEHTrajectPeriodeDatumTijdVan],"&lt;="&amp;($A385+0/24),tData[SEHTrajectPeriodeDatumTijdTotEnMet],"&gt;"&amp;($A385+0/24))</f>
        <v/>
      </c>
      <c r="E385" s="20">
        <f>COUNTIFS(tData[SEHTrajectPeriodeDatumTijdVan],"&lt;="&amp;($A385+1/24),tData[SEHTrajectPeriodeDatumTijdTotEnMet],"&gt;"&amp;($A385+1/24))</f>
        <v/>
      </c>
      <c r="F385" s="20">
        <f>COUNTIFS(tData[SEHTrajectPeriodeDatumTijdVan],"&lt;="&amp;($A385+2/24),tData[SEHTrajectPeriodeDatumTijdTotEnMet],"&gt;"&amp;($A385+2/24))</f>
        <v/>
      </c>
      <c r="G385" s="20">
        <f>COUNTIFS(tData[SEHTrajectPeriodeDatumTijdVan],"&lt;="&amp;($A385+3/24),tData[SEHTrajectPeriodeDatumTijdTotEnMet],"&gt;"&amp;($A385+3/24))</f>
        <v/>
      </c>
      <c r="H385" s="20">
        <f>COUNTIFS(tData[SEHTrajectPeriodeDatumTijdVan],"&lt;="&amp;($A385+4/24),tData[SEHTrajectPeriodeDatumTijdTotEnMet],"&gt;"&amp;($A385+4/24))</f>
        <v/>
      </c>
      <c r="I385" s="20">
        <f>COUNTIFS(tData[SEHTrajectPeriodeDatumTijdVan],"&lt;="&amp;($A385+5/24),tData[SEHTrajectPeriodeDatumTijdTotEnMet],"&gt;"&amp;($A385+5/24))</f>
        <v/>
      </c>
      <c r="J385" s="20">
        <f>COUNTIFS(tData[SEHTrajectPeriodeDatumTijdVan],"&lt;="&amp;($A385+6/24),tData[SEHTrajectPeriodeDatumTijdTotEnMet],"&gt;"&amp;($A385+6/24))</f>
        <v/>
      </c>
      <c r="K385" s="20">
        <f>COUNTIFS(tData[SEHTrajectPeriodeDatumTijdVan],"&lt;="&amp;($A385+7/24),tData[SEHTrajectPeriodeDatumTijdTotEnMet],"&gt;"&amp;($A385+7/24))</f>
        <v/>
      </c>
      <c r="L385" s="20">
        <f>COUNTIFS(tData[SEHTrajectPeriodeDatumTijdVan],"&lt;="&amp;($A385+8/24),tData[SEHTrajectPeriodeDatumTijdTotEnMet],"&gt;"&amp;($A385+8/24))</f>
        <v/>
      </c>
      <c r="M385" s="20">
        <f>COUNTIFS(tData[SEHTrajectPeriodeDatumTijdVan],"&lt;="&amp;($A385+9/24),tData[SEHTrajectPeriodeDatumTijdTotEnMet],"&gt;"&amp;($A385+9/24))</f>
        <v/>
      </c>
      <c r="N385" s="20">
        <f>COUNTIFS(tData[SEHTrajectPeriodeDatumTijdVan],"&lt;="&amp;($A385+10/24),tData[SEHTrajectPeriodeDatumTijdTotEnMet],"&gt;"&amp;($A385+10/24))</f>
        <v/>
      </c>
      <c r="O385" s="20">
        <f>COUNTIFS(tData[SEHTrajectPeriodeDatumTijdVan],"&lt;="&amp;($A385+11/24),tData[SEHTrajectPeriodeDatumTijdTotEnMet],"&gt;"&amp;($A385+11/24))</f>
        <v/>
      </c>
      <c r="P385" s="20">
        <f>COUNTIFS(tData[SEHTrajectPeriodeDatumTijdVan],"&lt;="&amp;($A385+12/24),tData[SEHTrajectPeriodeDatumTijdTotEnMet],"&gt;"&amp;($A385+12/24))</f>
        <v/>
      </c>
      <c r="Q385" s="20">
        <f>COUNTIFS(tData[SEHTrajectPeriodeDatumTijdVan],"&lt;="&amp;($A385+13/24),tData[SEHTrajectPeriodeDatumTijdTotEnMet],"&gt;"&amp;($A385+13/24))</f>
        <v/>
      </c>
      <c r="R385" s="20">
        <f>COUNTIFS(tData[SEHTrajectPeriodeDatumTijdVan],"&lt;="&amp;($A385+14/24),tData[SEHTrajectPeriodeDatumTijdTotEnMet],"&gt;"&amp;($A385+14/24))</f>
        <v/>
      </c>
      <c r="S385" s="20">
        <f>COUNTIFS(tData[SEHTrajectPeriodeDatumTijdVan],"&lt;="&amp;($A385+15/24),tData[SEHTrajectPeriodeDatumTijdTotEnMet],"&gt;"&amp;($A385+15/24))</f>
        <v/>
      </c>
      <c r="T385" s="20">
        <f>COUNTIFS(tData[SEHTrajectPeriodeDatumTijdVan],"&lt;="&amp;($A385+16/24),tData[SEHTrajectPeriodeDatumTijdTotEnMet],"&gt;"&amp;($A385+16/24))</f>
        <v/>
      </c>
      <c r="U385" s="20">
        <f>COUNTIFS(tData[SEHTrajectPeriodeDatumTijdVan],"&lt;="&amp;($A385+17/24),tData[SEHTrajectPeriodeDatumTijdTotEnMet],"&gt;"&amp;($A385+17/24))</f>
        <v/>
      </c>
      <c r="V385" s="20">
        <f>COUNTIFS(tData[SEHTrajectPeriodeDatumTijdVan],"&lt;="&amp;($A385+18/24),tData[SEHTrajectPeriodeDatumTijdTotEnMet],"&gt;"&amp;($A385+18/24))</f>
        <v/>
      </c>
      <c r="W385" s="20">
        <f>COUNTIFS(tData[SEHTrajectPeriodeDatumTijdVan],"&lt;="&amp;($A385+19/24),tData[SEHTrajectPeriodeDatumTijdTotEnMet],"&gt;"&amp;($A385+19/24))</f>
        <v/>
      </c>
      <c r="X385" s="20">
        <f>COUNTIFS(tData[SEHTrajectPeriodeDatumTijdVan],"&lt;="&amp;($A385+20/24),tData[SEHTrajectPeriodeDatumTijdTotEnMet],"&gt;"&amp;($A385+20/24))</f>
        <v/>
      </c>
      <c r="Y385" s="20">
        <f>COUNTIFS(tData[SEHTrajectPeriodeDatumTijdVan],"&lt;="&amp;($A385+21/24),tData[SEHTrajectPeriodeDatumTijdTotEnMet],"&gt;"&amp;($A385+21/24))</f>
        <v/>
      </c>
      <c r="Z385" s="20">
        <f>COUNTIFS(tData[SEHTrajectPeriodeDatumTijdVan],"&lt;="&amp;($A385+22/24),tData[SEHTrajectPeriodeDatumTijdTotEnMet],"&gt;"&amp;($A385+22/24))</f>
        <v/>
      </c>
      <c r="AA385" s="20">
        <f>COUNTIFS(tData[SEHTrajectPeriodeDatumTijdVan],"&lt;="&amp;($A385+23/24),tData[SEHTrajectPeriodeDatumTijdTotEnMet],"&gt;"&amp;($A385+23/24))</f>
        <v/>
      </c>
    </row>
    <row r="386">
      <c r="A386" s="19" t="n">
        <v>45674</v>
      </c>
      <c r="B386" s="15">
        <f>WEEKDAY($A386,2)</f>
        <v/>
      </c>
      <c r="C386" s="15">
        <f>IF(AND($A386&gt;=INT(Instellingen!$B$5),$A386&lt;=INT(Instellingen!$B$6)),1,0)</f>
        <v/>
      </c>
      <c r="D386" s="20">
        <f>COUNTIFS(tData[SEHTrajectPeriodeDatumTijdVan],"&lt;="&amp;($A386+0/24),tData[SEHTrajectPeriodeDatumTijdTotEnMet],"&gt;"&amp;($A386+0/24))</f>
        <v/>
      </c>
      <c r="E386" s="20">
        <f>COUNTIFS(tData[SEHTrajectPeriodeDatumTijdVan],"&lt;="&amp;($A386+1/24),tData[SEHTrajectPeriodeDatumTijdTotEnMet],"&gt;"&amp;($A386+1/24))</f>
        <v/>
      </c>
      <c r="F386" s="20">
        <f>COUNTIFS(tData[SEHTrajectPeriodeDatumTijdVan],"&lt;="&amp;($A386+2/24),tData[SEHTrajectPeriodeDatumTijdTotEnMet],"&gt;"&amp;($A386+2/24))</f>
        <v/>
      </c>
      <c r="G386" s="20">
        <f>COUNTIFS(tData[SEHTrajectPeriodeDatumTijdVan],"&lt;="&amp;($A386+3/24),tData[SEHTrajectPeriodeDatumTijdTotEnMet],"&gt;"&amp;($A386+3/24))</f>
        <v/>
      </c>
      <c r="H386" s="20">
        <f>COUNTIFS(tData[SEHTrajectPeriodeDatumTijdVan],"&lt;="&amp;($A386+4/24),tData[SEHTrajectPeriodeDatumTijdTotEnMet],"&gt;"&amp;($A386+4/24))</f>
        <v/>
      </c>
      <c r="I386" s="20">
        <f>COUNTIFS(tData[SEHTrajectPeriodeDatumTijdVan],"&lt;="&amp;($A386+5/24),tData[SEHTrajectPeriodeDatumTijdTotEnMet],"&gt;"&amp;($A386+5/24))</f>
        <v/>
      </c>
      <c r="J386" s="20">
        <f>COUNTIFS(tData[SEHTrajectPeriodeDatumTijdVan],"&lt;="&amp;($A386+6/24),tData[SEHTrajectPeriodeDatumTijdTotEnMet],"&gt;"&amp;($A386+6/24))</f>
        <v/>
      </c>
      <c r="K386" s="20">
        <f>COUNTIFS(tData[SEHTrajectPeriodeDatumTijdVan],"&lt;="&amp;($A386+7/24),tData[SEHTrajectPeriodeDatumTijdTotEnMet],"&gt;"&amp;($A386+7/24))</f>
        <v/>
      </c>
      <c r="L386" s="20">
        <f>COUNTIFS(tData[SEHTrajectPeriodeDatumTijdVan],"&lt;="&amp;($A386+8/24),tData[SEHTrajectPeriodeDatumTijdTotEnMet],"&gt;"&amp;($A386+8/24))</f>
        <v/>
      </c>
      <c r="M386" s="20">
        <f>COUNTIFS(tData[SEHTrajectPeriodeDatumTijdVan],"&lt;="&amp;($A386+9/24),tData[SEHTrajectPeriodeDatumTijdTotEnMet],"&gt;"&amp;($A386+9/24))</f>
        <v/>
      </c>
      <c r="N386" s="20">
        <f>COUNTIFS(tData[SEHTrajectPeriodeDatumTijdVan],"&lt;="&amp;($A386+10/24),tData[SEHTrajectPeriodeDatumTijdTotEnMet],"&gt;"&amp;($A386+10/24))</f>
        <v/>
      </c>
      <c r="O386" s="20">
        <f>COUNTIFS(tData[SEHTrajectPeriodeDatumTijdVan],"&lt;="&amp;($A386+11/24),tData[SEHTrajectPeriodeDatumTijdTotEnMet],"&gt;"&amp;($A386+11/24))</f>
        <v/>
      </c>
      <c r="P386" s="20">
        <f>COUNTIFS(tData[SEHTrajectPeriodeDatumTijdVan],"&lt;="&amp;($A386+12/24),tData[SEHTrajectPeriodeDatumTijdTotEnMet],"&gt;"&amp;($A386+12/24))</f>
        <v/>
      </c>
      <c r="Q386" s="20">
        <f>COUNTIFS(tData[SEHTrajectPeriodeDatumTijdVan],"&lt;="&amp;($A386+13/24),tData[SEHTrajectPeriodeDatumTijdTotEnMet],"&gt;"&amp;($A386+13/24))</f>
        <v/>
      </c>
      <c r="R386" s="20">
        <f>COUNTIFS(tData[SEHTrajectPeriodeDatumTijdVan],"&lt;="&amp;($A386+14/24),tData[SEHTrajectPeriodeDatumTijdTotEnMet],"&gt;"&amp;($A386+14/24))</f>
        <v/>
      </c>
      <c r="S386" s="20">
        <f>COUNTIFS(tData[SEHTrajectPeriodeDatumTijdVan],"&lt;="&amp;($A386+15/24),tData[SEHTrajectPeriodeDatumTijdTotEnMet],"&gt;"&amp;($A386+15/24))</f>
        <v/>
      </c>
      <c r="T386" s="20">
        <f>COUNTIFS(tData[SEHTrajectPeriodeDatumTijdVan],"&lt;="&amp;($A386+16/24),tData[SEHTrajectPeriodeDatumTijdTotEnMet],"&gt;"&amp;($A386+16/24))</f>
        <v/>
      </c>
      <c r="U386" s="20">
        <f>COUNTIFS(tData[SEHTrajectPeriodeDatumTijdVan],"&lt;="&amp;($A386+17/24),tData[SEHTrajectPeriodeDatumTijdTotEnMet],"&gt;"&amp;($A386+17/24))</f>
        <v/>
      </c>
      <c r="V386" s="20">
        <f>COUNTIFS(tData[SEHTrajectPeriodeDatumTijdVan],"&lt;="&amp;($A386+18/24),tData[SEHTrajectPeriodeDatumTijdTotEnMet],"&gt;"&amp;($A386+18/24))</f>
        <v/>
      </c>
      <c r="W386" s="20">
        <f>COUNTIFS(tData[SEHTrajectPeriodeDatumTijdVan],"&lt;="&amp;($A386+19/24),tData[SEHTrajectPeriodeDatumTijdTotEnMet],"&gt;"&amp;($A386+19/24))</f>
        <v/>
      </c>
      <c r="X386" s="20">
        <f>COUNTIFS(tData[SEHTrajectPeriodeDatumTijdVan],"&lt;="&amp;($A386+20/24),tData[SEHTrajectPeriodeDatumTijdTotEnMet],"&gt;"&amp;($A386+20/24))</f>
        <v/>
      </c>
      <c r="Y386" s="20">
        <f>COUNTIFS(tData[SEHTrajectPeriodeDatumTijdVan],"&lt;="&amp;($A386+21/24),tData[SEHTrajectPeriodeDatumTijdTotEnMet],"&gt;"&amp;($A386+21/24))</f>
        <v/>
      </c>
      <c r="Z386" s="20">
        <f>COUNTIFS(tData[SEHTrajectPeriodeDatumTijdVan],"&lt;="&amp;($A386+22/24),tData[SEHTrajectPeriodeDatumTijdTotEnMet],"&gt;"&amp;($A386+22/24))</f>
        <v/>
      </c>
      <c r="AA386" s="20">
        <f>COUNTIFS(tData[SEHTrajectPeriodeDatumTijdVan],"&lt;="&amp;($A386+23/24),tData[SEHTrajectPeriodeDatumTijdTotEnMet],"&gt;"&amp;($A386+23/24))</f>
        <v/>
      </c>
    </row>
    <row r="387">
      <c r="A387" s="19" t="n">
        <v>45675</v>
      </c>
      <c r="B387" s="15">
        <f>WEEKDAY($A387,2)</f>
        <v/>
      </c>
      <c r="C387" s="15">
        <f>IF(AND($A387&gt;=INT(Instellingen!$B$5),$A387&lt;=INT(Instellingen!$B$6)),1,0)</f>
        <v/>
      </c>
      <c r="D387" s="20">
        <f>COUNTIFS(tData[SEHTrajectPeriodeDatumTijdVan],"&lt;="&amp;($A387+0/24),tData[SEHTrajectPeriodeDatumTijdTotEnMet],"&gt;"&amp;($A387+0/24))</f>
        <v/>
      </c>
      <c r="E387" s="20">
        <f>COUNTIFS(tData[SEHTrajectPeriodeDatumTijdVan],"&lt;="&amp;($A387+1/24),tData[SEHTrajectPeriodeDatumTijdTotEnMet],"&gt;"&amp;($A387+1/24))</f>
        <v/>
      </c>
      <c r="F387" s="20">
        <f>COUNTIFS(tData[SEHTrajectPeriodeDatumTijdVan],"&lt;="&amp;($A387+2/24),tData[SEHTrajectPeriodeDatumTijdTotEnMet],"&gt;"&amp;($A387+2/24))</f>
        <v/>
      </c>
      <c r="G387" s="20">
        <f>COUNTIFS(tData[SEHTrajectPeriodeDatumTijdVan],"&lt;="&amp;($A387+3/24),tData[SEHTrajectPeriodeDatumTijdTotEnMet],"&gt;"&amp;($A387+3/24))</f>
        <v/>
      </c>
      <c r="H387" s="20">
        <f>COUNTIFS(tData[SEHTrajectPeriodeDatumTijdVan],"&lt;="&amp;($A387+4/24),tData[SEHTrajectPeriodeDatumTijdTotEnMet],"&gt;"&amp;($A387+4/24))</f>
        <v/>
      </c>
      <c r="I387" s="20">
        <f>COUNTIFS(tData[SEHTrajectPeriodeDatumTijdVan],"&lt;="&amp;($A387+5/24),tData[SEHTrajectPeriodeDatumTijdTotEnMet],"&gt;"&amp;($A387+5/24))</f>
        <v/>
      </c>
      <c r="J387" s="20">
        <f>COUNTIFS(tData[SEHTrajectPeriodeDatumTijdVan],"&lt;="&amp;($A387+6/24),tData[SEHTrajectPeriodeDatumTijdTotEnMet],"&gt;"&amp;($A387+6/24))</f>
        <v/>
      </c>
      <c r="K387" s="20">
        <f>COUNTIFS(tData[SEHTrajectPeriodeDatumTijdVan],"&lt;="&amp;($A387+7/24),tData[SEHTrajectPeriodeDatumTijdTotEnMet],"&gt;"&amp;($A387+7/24))</f>
        <v/>
      </c>
      <c r="L387" s="20">
        <f>COUNTIFS(tData[SEHTrajectPeriodeDatumTijdVan],"&lt;="&amp;($A387+8/24),tData[SEHTrajectPeriodeDatumTijdTotEnMet],"&gt;"&amp;($A387+8/24))</f>
        <v/>
      </c>
      <c r="M387" s="20">
        <f>COUNTIFS(tData[SEHTrajectPeriodeDatumTijdVan],"&lt;="&amp;($A387+9/24),tData[SEHTrajectPeriodeDatumTijdTotEnMet],"&gt;"&amp;($A387+9/24))</f>
        <v/>
      </c>
      <c r="N387" s="20">
        <f>COUNTIFS(tData[SEHTrajectPeriodeDatumTijdVan],"&lt;="&amp;($A387+10/24),tData[SEHTrajectPeriodeDatumTijdTotEnMet],"&gt;"&amp;($A387+10/24))</f>
        <v/>
      </c>
      <c r="O387" s="20">
        <f>COUNTIFS(tData[SEHTrajectPeriodeDatumTijdVan],"&lt;="&amp;($A387+11/24),tData[SEHTrajectPeriodeDatumTijdTotEnMet],"&gt;"&amp;($A387+11/24))</f>
        <v/>
      </c>
      <c r="P387" s="20">
        <f>COUNTIFS(tData[SEHTrajectPeriodeDatumTijdVan],"&lt;="&amp;($A387+12/24),tData[SEHTrajectPeriodeDatumTijdTotEnMet],"&gt;"&amp;($A387+12/24))</f>
        <v/>
      </c>
      <c r="Q387" s="20">
        <f>COUNTIFS(tData[SEHTrajectPeriodeDatumTijdVan],"&lt;="&amp;($A387+13/24),tData[SEHTrajectPeriodeDatumTijdTotEnMet],"&gt;"&amp;($A387+13/24))</f>
        <v/>
      </c>
      <c r="R387" s="20">
        <f>COUNTIFS(tData[SEHTrajectPeriodeDatumTijdVan],"&lt;="&amp;($A387+14/24),tData[SEHTrajectPeriodeDatumTijdTotEnMet],"&gt;"&amp;($A387+14/24))</f>
        <v/>
      </c>
      <c r="S387" s="20">
        <f>COUNTIFS(tData[SEHTrajectPeriodeDatumTijdVan],"&lt;="&amp;($A387+15/24),tData[SEHTrajectPeriodeDatumTijdTotEnMet],"&gt;"&amp;($A387+15/24))</f>
        <v/>
      </c>
      <c r="T387" s="20">
        <f>COUNTIFS(tData[SEHTrajectPeriodeDatumTijdVan],"&lt;="&amp;($A387+16/24),tData[SEHTrajectPeriodeDatumTijdTotEnMet],"&gt;"&amp;($A387+16/24))</f>
        <v/>
      </c>
      <c r="U387" s="20">
        <f>COUNTIFS(tData[SEHTrajectPeriodeDatumTijdVan],"&lt;="&amp;($A387+17/24),tData[SEHTrajectPeriodeDatumTijdTotEnMet],"&gt;"&amp;($A387+17/24))</f>
        <v/>
      </c>
      <c r="V387" s="20">
        <f>COUNTIFS(tData[SEHTrajectPeriodeDatumTijdVan],"&lt;="&amp;($A387+18/24),tData[SEHTrajectPeriodeDatumTijdTotEnMet],"&gt;"&amp;($A387+18/24))</f>
        <v/>
      </c>
      <c r="W387" s="20">
        <f>COUNTIFS(tData[SEHTrajectPeriodeDatumTijdVan],"&lt;="&amp;($A387+19/24),tData[SEHTrajectPeriodeDatumTijdTotEnMet],"&gt;"&amp;($A387+19/24))</f>
        <v/>
      </c>
      <c r="X387" s="20">
        <f>COUNTIFS(tData[SEHTrajectPeriodeDatumTijdVan],"&lt;="&amp;($A387+20/24),tData[SEHTrajectPeriodeDatumTijdTotEnMet],"&gt;"&amp;($A387+20/24))</f>
        <v/>
      </c>
      <c r="Y387" s="20">
        <f>COUNTIFS(tData[SEHTrajectPeriodeDatumTijdVan],"&lt;="&amp;($A387+21/24),tData[SEHTrajectPeriodeDatumTijdTotEnMet],"&gt;"&amp;($A387+21/24))</f>
        <v/>
      </c>
      <c r="Z387" s="20">
        <f>COUNTIFS(tData[SEHTrajectPeriodeDatumTijdVan],"&lt;="&amp;($A387+22/24),tData[SEHTrajectPeriodeDatumTijdTotEnMet],"&gt;"&amp;($A387+22/24))</f>
        <v/>
      </c>
      <c r="AA387" s="20">
        <f>COUNTIFS(tData[SEHTrajectPeriodeDatumTijdVan],"&lt;="&amp;($A387+23/24),tData[SEHTrajectPeriodeDatumTijdTotEnMet],"&gt;"&amp;($A387+23/24))</f>
        <v/>
      </c>
    </row>
    <row r="388">
      <c r="A388" s="19" t="n">
        <v>45676</v>
      </c>
      <c r="B388" s="15">
        <f>WEEKDAY($A388,2)</f>
        <v/>
      </c>
      <c r="C388" s="15">
        <f>IF(AND($A388&gt;=INT(Instellingen!$B$5),$A388&lt;=INT(Instellingen!$B$6)),1,0)</f>
        <v/>
      </c>
      <c r="D388" s="20">
        <f>COUNTIFS(tData[SEHTrajectPeriodeDatumTijdVan],"&lt;="&amp;($A388+0/24),tData[SEHTrajectPeriodeDatumTijdTotEnMet],"&gt;"&amp;($A388+0/24))</f>
        <v/>
      </c>
      <c r="E388" s="20">
        <f>COUNTIFS(tData[SEHTrajectPeriodeDatumTijdVan],"&lt;="&amp;($A388+1/24),tData[SEHTrajectPeriodeDatumTijdTotEnMet],"&gt;"&amp;($A388+1/24))</f>
        <v/>
      </c>
      <c r="F388" s="20">
        <f>COUNTIFS(tData[SEHTrajectPeriodeDatumTijdVan],"&lt;="&amp;($A388+2/24),tData[SEHTrajectPeriodeDatumTijdTotEnMet],"&gt;"&amp;($A388+2/24))</f>
        <v/>
      </c>
      <c r="G388" s="20">
        <f>COUNTIFS(tData[SEHTrajectPeriodeDatumTijdVan],"&lt;="&amp;($A388+3/24),tData[SEHTrajectPeriodeDatumTijdTotEnMet],"&gt;"&amp;($A388+3/24))</f>
        <v/>
      </c>
      <c r="H388" s="20">
        <f>COUNTIFS(tData[SEHTrajectPeriodeDatumTijdVan],"&lt;="&amp;($A388+4/24),tData[SEHTrajectPeriodeDatumTijdTotEnMet],"&gt;"&amp;($A388+4/24))</f>
        <v/>
      </c>
      <c r="I388" s="20">
        <f>COUNTIFS(tData[SEHTrajectPeriodeDatumTijdVan],"&lt;="&amp;($A388+5/24),tData[SEHTrajectPeriodeDatumTijdTotEnMet],"&gt;"&amp;($A388+5/24))</f>
        <v/>
      </c>
      <c r="J388" s="20">
        <f>COUNTIFS(tData[SEHTrajectPeriodeDatumTijdVan],"&lt;="&amp;($A388+6/24),tData[SEHTrajectPeriodeDatumTijdTotEnMet],"&gt;"&amp;($A388+6/24))</f>
        <v/>
      </c>
      <c r="K388" s="20">
        <f>COUNTIFS(tData[SEHTrajectPeriodeDatumTijdVan],"&lt;="&amp;($A388+7/24),tData[SEHTrajectPeriodeDatumTijdTotEnMet],"&gt;"&amp;($A388+7/24))</f>
        <v/>
      </c>
      <c r="L388" s="20">
        <f>COUNTIFS(tData[SEHTrajectPeriodeDatumTijdVan],"&lt;="&amp;($A388+8/24),tData[SEHTrajectPeriodeDatumTijdTotEnMet],"&gt;"&amp;($A388+8/24))</f>
        <v/>
      </c>
      <c r="M388" s="20">
        <f>COUNTIFS(tData[SEHTrajectPeriodeDatumTijdVan],"&lt;="&amp;($A388+9/24),tData[SEHTrajectPeriodeDatumTijdTotEnMet],"&gt;"&amp;($A388+9/24))</f>
        <v/>
      </c>
      <c r="N388" s="20">
        <f>COUNTIFS(tData[SEHTrajectPeriodeDatumTijdVan],"&lt;="&amp;($A388+10/24),tData[SEHTrajectPeriodeDatumTijdTotEnMet],"&gt;"&amp;($A388+10/24))</f>
        <v/>
      </c>
      <c r="O388" s="20">
        <f>COUNTIFS(tData[SEHTrajectPeriodeDatumTijdVan],"&lt;="&amp;($A388+11/24),tData[SEHTrajectPeriodeDatumTijdTotEnMet],"&gt;"&amp;($A388+11/24))</f>
        <v/>
      </c>
      <c r="P388" s="20">
        <f>COUNTIFS(tData[SEHTrajectPeriodeDatumTijdVan],"&lt;="&amp;($A388+12/24),tData[SEHTrajectPeriodeDatumTijdTotEnMet],"&gt;"&amp;($A388+12/24))</f>
        <v/>
      </c>
      <c r="Q388" s="20">
        <f>COUNTIFS(tData[SEHTrajectPeriodeDatumTijdVan],"&lt;="&amp;($A388+13/24),tData[SEHTrajectPeriodeDatumTijdTotEnMet],"&gt;"&amp;($A388+13/24))</f>
        <v/>
      </c>
      <c r="R388" s="20">
        <f>COUNTIFS(tData[SEHTrajectPeriodeDatumTijdVan],"&lt;="&amp;($A388+14/24),tData[SEHTrajectPeriodeDatumTijdTotEnMet],"&gt;"&amp;($A388+14/24))</f>
        <v/>
      </c>
      <c r="S388" s="20">
        <f>COUNTIFS(tData[SEHTrajectPeriodeDatumTijdVan],"&lt;="&amp;($A388+15/24),tData[SEHTrajectPeriodeDatumTijdTotEnMet],"&gt;"&amp;($A388+15/24))</f>
        <v/>
      </c>
      <c r="T388" s="20">
        <f>COUNTIFS(tData[SEHTrajectPeriodeDatumTijdVan],"&lt;="&amp;($A388+16/24),tData[SEHTrajectPeriodeDatumTijdTotEnMet],"&gt;"&amp;($A388+16/24))</f>
        <v/>
      </c>
      <c r="U388" s="20">
        <f>COUNTIFS(tData[SEHTrajectPeriodeDatumTijdVan],"&lt;="&amp;($A388+17/24),tData[SEHTrajectPeriodeDatumTijdTotEnMet],"&gt;"&amp;($A388+17/24))</f>
        <v/>
      </c>
      <c r="V388" s="20">
        <f>COUNTIFS(tData[SEHTrajectPeriodeDatumTijdVan],"&lt;="&amp;($A388+18/24),tData[SEHTrajectPeriodeDatumTijdTotEnMet],"&gt;"&amp;($A388+18/24))</f>
        <v/>
      </c>
      <c r="W388" s="20">
        <f>COUNTIFS(tData[SEHTrajectPeriodeDatumTijdVan],"&lt;="&amp;($A388+19/24),tData[SEHTrajectPeriodeDatumTijdTotEnMet],"&gt;"&amp;($A388+19/24))</f>
        <v/>
      </c>
      <c r="X388" s="20">
        <f>COUNTIFS(tData[SEHTrajectPeriodeDatumTijdVan],"&lt;="&amp;($A388+20/24),tData[SEHTrajectPeriodeDatumTijdTotEnMet],"&gt;"&amp;($A388+20/24))</f>
        <v/>
      </c>
      <c r="Y388" s="20">
        <f>COUNTIFS(tData[SEHTrajectPeriodeDatumTijdVan],"&lt;="&amp;($A388+21/24),tData[SEHTrajectPeriodeDatumTijdTotEnMet],"&gt;"&amp;($A388+21/24))</f>
        <v/>
      </c>
      <c r="Z388" s="20">
        <f>COUNTIFS(tData[SEHTrajectPeriodeDatumTijdVan],"&lt;="&amp;($A388+22/24),tData[SEHTrajectPeriodeDatumTijdTotEnMet],"&gt;"&amp;($A388+22/24))</f>
        <v/>
      </c>
      <c r="AA388" s="20">
        <f>COUNTIFS(tData[SEHTrajectPeriodeDatumTijdVan],"&lt;="&amp;($A388+23/24),tData[SEHTrajectPeriodeDatumTijdTotEnMet],"&gt;"&amp;($A388+23/24))</f>
        <v/>
      </c>
    </row>
    <row r="389">
      <c r="A389" s="19" t="n">
        <v>45677</v>
      </c>
      <c r="B389" s="15">
        <f>WEEKDAY($A389,2)</f>
        <v/>
      </c>
      <c r="C389" s="15">
        <f>IF(AND($A389&gt;=INT(Instellingen!$B$5),$A389&lt;=INT(Instellingen!$B$6)),1,0)</f>
        <v/>
      </c>
      <c r="D389" s="20">
        <f>COUNTIFS(tData[SEHTrajectPeriodeDatumTijdVan],"&lt;="&amp;($A389+0/24),tData[SEHTrajectPeriodeDatumTijdTotEnMet],"&gt;"&amp;($A389+0/24))</f>
        <v/>
      </c>
      <c r="E389" s="20">
        <f>COUNTIFS(tData[SEHTrajectPeriodeDatumTijdVan],"&lt;="&amp;($A389+1/24),tData[SEHTrajectPeriodeDatumTijdTotEnMet],"&gt;"&amp;($A389+1/24))</f>
        <v/>
      </c>
      <c r="F389" s="20">
        <f>COUNTIFS(tData[SEHTrajectPeriodeDatumTijdVan],"&lt;="&amp;($A389+2/24),tData[SEHTrajectPeriodeDatumTijdTotEnMet],"&gt;"&amp;($A389+2/24))</f>
        <v/>
      </c>
      <c r="G389" s="20">
        <f>COUNTIFS(tData[SEHTrajectPeriodeDatumTijdVan],"&lt;="&amp;($A389+3/24),tData[SEHTrajectPeriodeDatumTijdTotEnMet],"&gt;"&amp;($A389+3/24))</f>
        <v/>
      </c>
      <c r="H389" s="20">
        <f>COUNTIFS(tData[SEHTrajectPeriodeDatumTijdVan],"&lt;="&amp;($A389+4/24),tData[SEHTrajectPeriodeDatumTijdTotEnMet],"&gt;"&amp;($A389+4/24))</f>
        <v/>
      </c>
      <c r="I389" s="20">
        <f>COUNTIFS(tData[SEHTrajectPeriodeDatumTijdVan],"&lt;="&amp;($A389+5/24),tData[SEHTrajectPeriodeDatumTijdTotEnMet],"&gt;"&amp;($A389+5/24))</f>
        <v/>
      </c>
      <c r="J389" s="20">
        <f>COUNTIFS(tData[SEHTrajectPeriodeDatumTijdVan],"&lt;="&amp;($A389+6/24),tData[SEHTrajectPeriodeDatumTijdTotEnMet],"&gt;"&amp;($A389+6/24))</f>
        <v/>
      </c>
      <c r="K389" s="20">
        <f>COUNTIFS(tData[SEHTrajectPeriodeDatumTijdVan],"&lt;="&amp;($A389+7/24),tData[SEHTrajectPeriodeDatumTijdTotEnMet],"&gt;"&amp;($A389+7/24))</f>
        <v/>
      </c>
      <c r="L389" s="20">
        <f>COUNTIFS(tData[SEHTrajectPeriodeDatumTijdVan],"&lt;="&amp;($A389+8/24),tData[SEHTrajectPeriodeDatumTijdTotEnMet],"&gt;"&amp;($A389+8/24))</f>
        <v/>
      </c>
      <c r="M389" s="20">
        <f>COUNTIFS(tData[SEHTrajectPeriodeDatumTijdVan],"&lt;="&amp;($A389+9/24),tData[SEHTrajectPeriodeDatumTijdTotEnMet],"&gt;"&amp;($A389+9/24))</f>
        <v/>
      </c>
      <c r="N389" s="20">
        <f>COUNTIFS(tData[SEHTrajectPeriodeDatumTijdVan],"&lt;="&amp;($A389+10/24),tData[SEHTrajectPeriodeDatumTijdTotEnMet],"&gt;"&amp;($A389+10/24))</f>
        <v/>
      </c>
      <c r="O389" s="20">
        <f>COUNTIFS(tData[SEHTrajectPeriodeDatumTijdVan],"&lt;="&amp;($A389+11/24),tData[SEHTrajectPeriodeDatumTijdTotEnMet],"&gt;"&amp;($A389+11/24))</f>
        <v/>
      </c>
      <c r="P389" s="20">
        <f>COUNTIFS(tData[SEHTrajectPeriodeDatumTijdVan],"&lt;="&amp;($A389+12/24),tData[SEHTrajectPeriodeDatumTijdTotEnMet],"&gt;"&amp;($A389+12/24))</f>
        <v/>
      </c>
      <c r="Q389" s="20">
        <f>COUNTIFS(tData[SEHTrajectPeriodeDatumTijdVan],"&lt;="&amp;($A389+13/24),tData[SEHTrajectPeriodeDatumTijdTotEnMet],"&gt;"&amp;($A389+13/24))</f>
        <v/>
      </c>
      <c r="R389" s="20">
        <f>COUNTIFS(tData[SEHTrajectPeriodeDatumTijdVan],"&lt;="&amp;($A389+14/24),tData[SEHTrajectPeriodeDatumTijdTotEnMet],"&gt;"&amp;($A389+14/24))</f>
        <v/>
      </c>
      <c r="S389" s="20">
        <f>COUNTIFS(tData[SEHTrajectPeriodeDatumTijdVan],"&lt;="&amp;($A389+15/24),tData[SEHTrajectPeriodeDatumTijdTotEnMet],"&gt;"&amp;($A389+15/24))</f>
        <v/>
      </c>
      <c r="T389" s="20">
        <f>COUNTIFS(tData[SEHTrajectPeriodeDatumTijdVan],"&lt;="&amp;($A389+16/24),tData[SEHTrajectPeriodeDatumTijdTotEnMet],"&gt;"&amp;($A389+16/24))</f>
        <v/>
      </c>
      <c r="U389" s="20">
        <f>COUNTIFS(tData[SEHTrajectPeriodeDatumTijdVan],"&lt;="&amp;($A389+17/24),tData[SEHTrajectPeriodeDatumTijdTotEnMet],"&gt;"&amp;($A389+17/24))</f>
        <v/>
      </c>
      <c r="V389" s="20">
        <f>COUNTIFS(tData[SEHTrajectPeriodeDatumTijdVan],"&lt;="&amp;($A389+18/24),tData[SEHTrajectPeriodeDatumTijdTotEnMet],"&gt;"&amp;($A389+18/24))</f>
        <v/>
      </c>
      <c r="W389" s="20">
        <f>COUNTIFS(tData[SEHTrajectPeriodeDatumTijdVan],"&lt;="&amp;($A389+19/24),tData[SEHTrajectPeriodeDatumTijdTotEnMet],"&gt;"&amp;($A389+19/24))</f>
        <v/>
      </c>
      <c r="X389" s="20">
        <f>COUNTIFS(tData[SEHTrajectPeriodeDatumTijdVan],"&lt;="&amp;($A389+20/24),tData[SEHTrajectPeriodeDatumTijdTotEnMet],"&gt;"&amp;($A389+20/24))</f>
        <v/>
      </c>
      <c r="Y389" s="20">
        <f>COUNTIFS(tData[SEHTrajectPeriodeDatumTijdVan],"&lt;="&amp;($A389+21/24),tData[SEHTrajectPeriodeDatumTijdTotEnMet],"&gt;"&amp;($A389+21/24))</f>
        <v/>
      </c>
      <c r="Z389" s="20">
        <f>COUNTIFS(tData[SEHTrajectPeriodeDatumTijdVan],"&lt;="&amp;($A389+22/24),tData[SEHTrajectPeriodeDatumTijdTotEnMet],"&gt;"&amp;($A389+22/24))</f>
        <v/>
      </c>
      <c r="AA389" s="20">
        <f>COUNTIFS(tData[SEHTrajectPeriodeDatumTijdVan],"&lt;="&amp;($A389+23/24),tData[SEHTrajectPeriodeDatumTijdTotEnMet],"&gt;"&amp;($A389+23/24))</f>
        <v/>
      </c>
    </row>
    <row r="390">
      <c r="A390" s="19" t="n">
        <v>45678</v>
      </c>
      <c r="B390" s="15">
        <f>WEEKDAY($A390,2)</f>
        <v/>
      </c>
      <c r="C390" s="15">
        <f>IF(AND($A390&gt;=INT(Instellingen!$B$5),$A390&lt;=INT(Instellingen!$B$6)),1,0)</f>
        <v/>
      </c>
      <c r="D390" s="20">
        <f>COUNTIFS(tData[SEHTrajectPeriodeDatumTijdVan],"&lt;="&amp;($A390+0/24),tData[SEHTrajectPeriodeDatumTijdTotEnMet],"&gt;"&amp;($A390+0/24))</f>
        <v/>
      </c>
      <c r="E390" s="20">
        <f>COUNTIFS(tData[SEHTrajectPeriodeDatumTijdVan],"&lt;="&amp;($A390+1/24),tData[SEHTrajectPeriodeDatumTijdTotEnMet],"&gt;"&amp;($A390+1/24))</f>
        <v/>
      </c>
      <c r="F390" s="20">
        <f>COUNTIFS(tData[SEHTrajectPeriodeDatumTijdVan],"&lt;="&amp;($A390+2/24),tData[SEHTrajectPeriodeDatumTijdTotEnMet],"&gt;"&amp;($A390+2/24))</f>
        <v/>
      </c>
      <c r="G390" s="20">
        <f>COUNTIFS(tData[SEHTrajectPeriodeDatumTijdVan],"&lt;="&amp;($A390+3/24),tData[SEHTrajectPeriodeDatumTijdTotEnMet],"&gt;"&amp;($A390+3/24))</f>
        <v/>
      </c>
      <c r="H390" s="20">
        <f>COUNTIFS(tData[SEHTrajectPeriodeDatumTijdVan],"&lt;="&amp;($A390+4/24),tData[SEHTrajectPeriodeDatumTijdTotEnMet],"&gt;"&amp;($A390+4/24))</f>
        <v/>
      </c>
      <c r="I390" s="20">
        <f>COUNTIFS(tData[SEHTrajectPeriodeDatumTijdVan],"&lt;="&amp;($A390+5/24),tData[SEHTrajectPeriodeDatumTijdTotEnMet],"&gt;"&amp;($A390+5/24))</f>
        <v/>
      </c>
      <c r="J390" s="20">
        <f>COUNTIFS(tData[SEHTrajectPeriodeDatumTijdVan],"&lt;="&amp;($A390+6/24),tData[SEHTrajectPeriodeDatumTijdTotEnMet],"&gt;"&amp;($A390+6/24))</f>
        <v/>
      </c>
      <c r="K390" s="20">
        <f>COUNTIFS(tData[SEHTrajectPeriodeDatumTijdVan],"&lt;="&amp;($A390+7/24),tData[SEHTrajectPeriodeDatumTijdTotEnMet],"&gt;"&amp;($A390+7/24))</f>
        <v/>
      </c>
      <c r="L390" s="20">
        <f>COUNTIFS(tData[SEHTrajectPeriodeDatumTijdVan],"&lt;="&amp;($A390+8/24),tData[SEHTrajectPeriodeDatumTijdTotEnMet],"&gt;"&amp;($A390+8/24))</f>
        <v/>
      </c>
      <c r="M390" s="20">
        <f>COUNTIFS(tData[SEHTrajectPeriodeDatumTijdVan],"&lt;="&amp;($A390+9/24),tData[SEHTrajectPeriodeDatumTijdTotEnMet],"&gt;"&amp;($A390+9/24))</f>
        <v/>
      </c>
      <c r="N390" s="20">
        <f>COUNTIFS(tData[SEHTrajectPeriodeDatumTijdVan],"&lt;="&amp;($A390+10/24),tData[SEHTrajectPeriodeDatumTijdTotEnMet],"&gt;"&amp;($A390+10/24))</f>
        <v/>
      </c>
      <c r="O390" s="20">
        <f>COUNTIFS(tData[SEHTrajectPeriodeDatumTijdVan],"&lt;="&amp;($A390+11/24),tData[SEHTrajectPeriodeDatumTijdTotEnMet],"&gt;"&amp;($A390+11/24))</f>
        <v/>
      </c>
      <c r="P390" s="20">
        <f>COUNTIFS(tData[SEHTrajectPeriodeDatumTijdVan],"&lt;="&amp;($A390+12/24),tData[SEHTrajectPeriodeDatumTijdTotEnMet],"&gt;"&amp;($A390+12/24))</f>
        <v/>
      </c>
      <c r="Q390" s="20">
        <f>COUNTIFS(tData[SEHTrajectPeriodeDatumTijdVan],"&lt;="&amp;($A390+13/24),tData[SEHTrajectPeriodeDatumTijdTotEnMet],"&gt;"&amp;($A390+13/24))</f>
        <v/>
      </c>
      <c r="R390" s="20">
        <f>COUNTIFS(tData[SEHTrajectPeriodeDatumTijdVan],"&lt;="&amp;($A390+14/24),tData[SEHTrajectPeriodeDatumTijdTotEnMet],"&gt;"&amp;($A390+14/24))</f>
        <v/>
      </c>
      <c r="S390" s="20">
        <f>COUNTIFS(tData[SEHTrajectPeriodeDatumTijdVan],"&lt;="&amp;($A390+15/24),tData[SEHTrajectPeriodeDatumTijdTotEnMet],"&gt;"&amp;($A390+15/24))</f>
        <v/>
      </c>
      <c r="T390" s="20">
        <f>COUNTIFS(tData[SEHTrajectPeriodeDatumTijdVan],"&lt;="&amp;($A390+16/24),tData[SEHTrajectPeriodeDatumTijdTotEnMet],"&gt;"&amp;($A390+16/24))</f>
        <v/>
      </c>
      <c r="U390" s="20">
        <f>COUNTIFS(tData[SEHTrajectPeriodeDatumTijdVan],"&lt;="&amp;($A390+17/24),tData[SEHTrajectPeriodeDatumTijdTotEnMet],"&gt;"&amp;($A390+17/24))</f>
        <v/>
      </c>
      <c r="V390" s="20">
        <f>COUNTIFS(tData[SEHTrajectPeriodeDatumTijdVan],"&lt;="&amp;($A390+18/24),tData[SEHTrajectPeriodeDatumTijdTotEnMet],"&gt;"&amp;($A390+18/24))</f>
        <v/>
      </c>
      <c r="W390" s="20">
        <f>COUNTIFS(tData[SEHTrajectPeriodeDatumTijdVan],"&lt;="&amp;($A390+19/24),tData[SEHTrajectPeriodeDatumTijdTotEnMet],"&gt;"&amp;($A390+19/24))</f>
        <v/>
      </c>
      <c r="X390" s="20">
        <f>COUNTIFS(tData[SEHTrajectPeriodeDatumTijdVan],"&lt;="&amp;($A390+20/24),tData[SEHTrajectPeriodeDatumTijdTotEnMet],"&gt;"&amp;($A390+20/24))</f>
        <v/>
      </c>
      <c r="Y390" s="20">
        <f>COUNTIFS(tData[SEHTrajectPeriodeDatumTijdVan],"&lt;="&amp;($A390+21/24),tData[SEHTrajectPeriodeDatumTijdTotEnMet],"&gt;"&amp;($A390+21/24))</f>
        <v/>
      </c>
      <c r="Z390" s="20">
        <f>COUNTIFS(tData[SEHTrajectPeriodeDatumTijdVan],"&lt;="&amp;($A390+22/24),tData[SEHTrajectPeriodeDatumTijdTotEnMet],"&gt;"&amp;($A390+22/24))</f>
        <v/>
      </c>
      <c r="AA390" s="20">
        <f>COUNTIFS(tData[SEHTrajectPeriodeDatumTijdVan],"&lt;="&amp;($A390+23/24),tData[SEHTrajectPeriodeDatumTijdTotEnMet],"&gt;"&amp;($A390+23/24))</f>
        <v/>
      </c>
    </row>
    <row r="391">
      <c r="A391" s="19" t="n">
        <v>45679</v>
      </c>
      <c r="B391" s="15">
        <f>WEEKDAY($A391,2)</f>
        <v/>
      </c>
      <c r="C391" s="15">
        <f>IF(AND($A391&gt;=INT(Instellingen!$B$5),$A391&lt;=INT(Instellingen!$B$6)),1,0)</f>
        <v/>
      </c>
      <c r="D391" s="20">
        <f>COUNTIFS(tData[SEHTrajectPeriodeDatumTijdVan],"&lt;="&amp;($A391+0/24),tData[SEHTrajectPeriodeDatumTijdTotEnMet],"&gt;"&amp;($A391+0/24))</f>
        <v/>
      </c>
      <c r="E391" s="20">
        <f>COUNTIFS(tData[SEHTrajectPeriodeDatumTijdVan],"&lt;="&amp;($A391+1/24),tData[SEHTrajectPeriodeDatumTijdTotEnMet],"&gt;"&amp;($A391+1/24))</f>
        <v/>
      </c>
      <c r="F391" s="20">
        <f>COUNTIFS(tData[SEHTrajectPeriodeDatumTijdVan],"&lt;="&amp;($A391+2/24),tData[SEHTrajectPeriodeDatumTijdTotEnMet],"&gt;"&amp;($A391+2/24))</f>
        <v/>
      </c>
      <c r="G391" s="20">
        <f>COUNTIFS(tData[SEHTrajectPeriodeDatumTijdVan],"&lt;="&amp;($A391+3/24),tData[SEHTrajectPeriodeDatumTijdTotEnMet],"&gt;"&amp;($A391+3/24))</f>
        <v/>
      </c>
      <c r="H391" s="20">
        <f>COUNTIFS(tData[SEHTrajectPeriodeDatumTijdVan],"&lt;="&amp;($A391+4/24),tData[SEHTrajectPeriodeDatumTijdTotEnMet],"&gt;"&amp;($A391+4/24))</f>
        <v/>
      </c>
      <c r="I391" s="20">
        <f>COUNTIFS(tData[SEHTrajectPeriodeDatumTijdVan],"&lt;="&amp;($A391+5/24),tData[SEHTrajectPeriodeDatumTijdTotEnMet],"&gt;"&amp;($A391+5/24))</f>
        <v/>
      </c>
      <c r="J391" s="20">
        <f>COUNTIFS(tData[SEHTrajectPeriodeDatumTijdVan],"&lt;="&amp;($A391+6/24),tData[SEHTrajectPeriodeDatumTijdTotEnMet],"&gt;"&amp;($A391+6/24))</f>
        <v/>
      </c>
      <c r="K391" s="20">
        <f>COUNTIFS(tData[SEHTrajectPeriodeDatumTijdVan],"&lt;="&amp;($A391+7/24),tData[SEHTrajectPeriodeDatumTijdTotEnMet],"&gt;"&amp;($A391+7/24))</f>
        <v/>
      </c>
      <c r="L391" s="20">
        <f>COUNTIFS(tData[SEHTrajectPeriodeDatumTijdVan],"&lt;="&amp;($A391+8/24),tData[SEHTrajectPeriodeDatumTijdTotEnMet],"&gt;"&amp;($A391+8/24))</f>
        <v/>
      </c>
      <c r="M391" s="20">
        <f>COUNTIFS(tData[SEHTrajectPeriodeDatumTijdVan],"&lt;="&amp;($A391+9/24),tData[SEHTrajectPeriodeDatumTijdTotEnMet],"&gt;"&amp;($A391+9/24))</f>
        <v/>
      </c>
      <c r="N391" s="20">
        <f>COUNTIFS(tData[SEHTrajectPeriodeDatumTijdVan],"&lt;="&amp;($A391+10/24),tData[SEHTrajectPeriodeDatumTijdTotEnMet],"&gt;"&amp;($A391+10/24))</f>
        <v/>
      </c>
      <c r="O391" s="20">
        <f>COUNTIFS(tData[SEHTrajectPeriodeDatumTijdVan],"&lt;="&amp;($A391+11/24),tData[SEHTrajectPeriodeDatumTijdTotEnMet],"&gt;"&amp;($A391+11/24))</f>
        <v/>
      </c>
      <c r="P391" s="20">
        <f>COUNTIFS(tData[SEHTrajectPeriodeDatumTijdVan],"&lt;="&amp;($A391+12/24),tData[SEHTrajectPeriodeDatumTijdTotEnMet],"&gt;"&amp;($A391+12/24))</f>
        <v/>
      </c>
      <c r="Q391" s="20">
        <f>COUNTIFS(tData[SEHTrajectPeriodeDatumTijdVan],"&lt;="&amp;($A391+13/24),tData[SEHTrajectPeriodeDatumTijdTotEnMet],"&gt;"&amp;($A391+13/24))</f>
        <v/>
      </c>
      <c r="R391" s="20">
        <f>COUNTIFS(tData[SEHTrajectPeriodeDatumTijdVan],"&lt;="&amp;($A391+14/24),tData[SEHTrajectPeriodeDatumTijdTotEnMet],"&gt;"&amp;($A391+14/24))</f>
        <v/>
      </c>
      <c r="S391" s="20">
        <f>COUNTIFS(tData[SEHTrajectPeriodeDatumTijdVan],"&lt;="&amp;($A391+15/24),tData[SEHTrajectPeriodeDatumTijdTotEnMet],"&gt;"&amp;($A391+15/24))</f>
        <v/>
      </c>
      <c r="T391" s="20">
        <f>COUNTIFS(tData[SEHTrajectPeriodeDatumTijdVan],"&lt;="&amp;($A391+16/24),tData[SEHTrajectPeriodeDatumTijdTotEnMet],"&gt;"&amp;($A391+16/24))</f>
        <v/>
      </c>
      <c r="U391" s="20">
        <f>COUNTIFS(tData[SEHTrajectPeriodeDatumTijdVan],"&lt;="&amp;($A391+17/24),tData[SEHTrajectPeriodeDatumTijdTotEnMet],"&gt;"&amp;($A391+17/24))</f>
        <v/>
      </c>
      <c r="V391" s="20">
        <f>COUNTIFS(tData[SEHTrajectPeriodeDatumTijdVan],"&lt;="&amp;($A391+18/24),tData[SEHTrajectPeriodeDatumTijdTotEnMet],"&gt;"&amp;($A391+18/24))</f>
        <v/>
      </c>
      <c r="W391" s="20">
        <f>COUNTIFS(tData[SEHTrajectPeriodeDatumTijdVan],"&lt;="&amp;($A391+19/24),tData[SEHTrajectPeriodeDatumTijdTotEnMet],"&gt;"&amp;($A391+19/24))</f>
        <v/>
      </c>
      <c r="X391" s="20">
        <f>COUNTIFS(tData[SEHTrajectPeriodeDatumTijdVan],"&lt;="&amp;($A391+20/24),tData[SEHTrajectPeriodeDatumTijdTotEnMet],"&gt;"&amp;($A391+20/24))</f>
        <v/>
      </c>
      <c r="Y391" s="20">
        <f>COUNTIFS(tData[SEHTrajectPeriodeDatumTijdVan],"&lt;="&amp;($A391+21/24),tData[SEHTrajectPeriodeDatumTijdTotEnMet],"&gt;"&amp;($A391+21/24))</f>
        <v/>
      </c>
      <c r="Z391" s="20">
        <f>COUNTIFS(tData[SEHTrajectPeriodeDatumTijdVan],"&lt;="&amp;($A391+22/24),tData[SEHTrajectPeriodeDatumTijdTotEnMet],"&gt;"&amp;($A391+22/24))</f>
        <v/>
      </c>
      <c r="AA391" s="20">
        <f>COUNTIFS(tData[SEHTrajectPeriodeDatumTijdVan],"&lt;="&amp;($A391+23/24),tData[SEHTrajectPeriodeDatumTijdTotEnMet],"&gt;"&amp;($A391+23/24))</f>
        <v/>
      </c>
    </row>
    <row r="392">
      <c r="A392" s="19" t="n">
        <v>45680</v>
      </c>
      <c r="B392" s="15">
        <f>WEEKDAY($A392,2)</f>
        <v/>
      </c>
      <c r="C392" s="15">
        <f>IF(AND($A392&gt;=INT(Instellingen!$B$5),$A392&lt;=INT(Instellingen!$B$6)),1,0)</f>
        <v/>
      </c>
      <c r="D392" s="20">
        <f>COUNTIFS(tData[SEHTrajectPeriodeDatumTijdVan],"&lt;="&amp;($A392+0/24),tData[SEHTrajectPeriodeDatumTijdTotEnMet],"&gt;"&amp;($A392+0/24))</f>
        <v/>
      </c>
      <c r="E392" s="20">
        <f>COUNTIFS(tData[SEHTrajectPeriodeDatumTijdVan],"&lt;="&amp;($A392+1/24),tData[SEHTrajectPeriodeDatumTijdTotEnMet],"&gt;"&amp;($A392+1/24))</f>
        <v/>
      </c>
      <c r="F392" s="20">
        <f>COUNTIFS(tData[SEHTrajectPeriodeDatumTijdVan],"&lt;="&amp;($A392+2/24),tData[SEHTrajectPeriodeDatumTijdTotEnMet],"&gt;"&amp;($A392+2/24))</f>
        <v/>
      </c>
      <c r="G392" s="20">
        <f>COUNTIFS(tData[SEHTrajectPeriodeDatumTijdVan],"&lt;="&amp;($A392+3/24),tData[SEHTrajectPeriodeDatumTijdTotEnMet],"&gt;"&amp;($A392+3/24))</f>
        <v/>
      </c>
      <c r="H392" s="20">
        <f>COUNTIFS(tData[SEHTrajectPeriodeDatumTijdVan],"&lt;="&amp;($A392+4/24),tData[SEHTrajectPeriodeDatumTijdTotEnMet],"&gt;"&amp;($A392+4/24))</f>
        <v/>
      </c>
      <c r="I392" s="20">
        <f>COUNTIFS(tData[SEHTrajectPeriodeDatumTijdVan],"&lt;="&amp;($A392+5/24),tData[SEHTrajectPeriodeDatumTijdTotEnMet],"&gt;"&amp;($A392+5/24))</f>
        <v/>
      </c>
      <c r="J392" s="20">
        <f>COUNTIFS(tData[SEHTrajectPeriodeDatumTijdVan],"&lt;="&amp;($A392+6/24),tData[SEHTrajectPeriodeDatumTijdTotEnMet],"&gt;"&amp;($A392+6/24))</f>
        <v/>
      </c>
      <c r="K392" s="20">
        <f>COUNTIFS(tData[SEHTrajectPeriodeDatumTijdVan],"&lt;="&amp;($A392+7/24),tData[SEHTrajectPeriodeDatumTijdTotEnMet],"&gt;"&amp;($A392+7/24))</f>
        <v/>
      </c>
      <c r="L392" s="20">
        <f>COUNTIFS(tData[SEHTrajectPeriodeDatumTijdVan],"&lt;="&amp;($A392+8/24),tData[SEHTrajectPeriodeDatumTijdTotEnMet],"&gt;"&amp;($A392+8/24))</f>
        <v/>
      </c>
      <c r="M392" s="20">
        <f>COUNTIFS(tData[SEHTrajectPeriodeDatumTijdVan],"&lt;="&amp;($A392+9/24),tData[SEHTrajectPeriodeDatumTijdTotEnMet],"&gt;"&amp;($A392+9/24))</f>
        <v/>
      </c>
      <c r="N392" s="20">
        <f>COUNTIFS(tData[SEHTrajectPeriodeDatumTijdVan],"&lt;="&amp;($A392+10/24),tData[SEHTrajectPeriodeDatumTijdTotEnMet],"&gt;"&amp;($A392+10/24))</f>
        <v/>
      </c>
      <c r="O392" s="20">
        <f>COUNTIFS(tData[SEHTrajectPeriodeDatumTijdVan],"&lt;="&amp;($A392+11/24),tData[SEHTrajectPeriodeDatumTijdTotEnMet],"&gt;"&amp;($A392+11/24))</f>
        <v/>
      </c>
      <c r="P392" s="20">
        <f>COUNTIFS(tData[SEHTrajectPeriodeDatumTijdVan],"&lt;="&amp;($A392+12/24),tData[SEHTrajectPeriodeDatumTijdTotEnMet],"&gt;"&amp;($A392+12/24))</f>
        <v/>
      </c>
      <c r="Q392" s="20">
        <f>COUNTIFS(tData[SEHTrajectPeriodeDatumTijdVan],"&lt;="&amp;($A392+13/24),tData[SEHTrajectPeriodeDatumTijdTotEnMet],"&gt;"&amp;($A392+13/24))</f>
        <v/>
      </c>
      <c r="R392" s="20">
        <f>COUNTIFS(tData[SEHTrajectPeriodeDatumTijdVan],"&lt;="&amp;($A392+14/24),tData[SEHTrajectPeriodeDatumTijdTotEnMet],"&gt;"&amp;($A392+14/24))</f>
        <v/>
      </c>
      <c r="S392" s="20">
        <f>COUNTIFS(tData[SEHTrajectPeriodeDatumTijdVan],"&lt;="&amp;($A392+15/24),tData[SEHTrajectPeriodeDatumTijdTotEnMet],"&gt;"&amp;($A392+15/24))</f>
        <v/>
      </c>
      <c r="T392" s="20">
        <f>COUNTIFS(tData[SEHTrajectPeriodeDatumTijdVan],"&lt;="&amp;($A392+16/24),tData[SEHTrajectPeriodeDatumTijdTotEnMet],"&gt;"&amp;($A392+16/24))</f>
        <v/>
      </c>
      <c r="U392" s="20">
        <f>COUNTIFS(tData[SEHTrajectPeriodeDatumTijdVan],"&lt;="&amp;($A392+17/24),tData[SEHTrajectPeriodeDatumTijdTotEnMet],"&gt;"&amp;($A392+17/24))</f>
        <v/>
      </c>
      <c r="V392" s="20">
        <f>COUNTIFS(tData[SEHTrajectPeriodeDatumTijdVan],"&lt;="&amp;($A392+18/24),tData[SEHTrajectPeriodeDatumTijdTotEnMet],"&gt;"&amp;($A392+18/24))</f>
        <v/>
      </c>
      <c r="W392" s="20">
        <f>COUNTIFS(tData[SEHTrajectPeriodeDatumTijdVan],"&lt;="&amp;($A392+19/24),tData[SEHTrajectPeriodeDatumTijdTotEnMet],"&gt;"&amp;($A392+19/24))</f>
        <v/>
      </c>
      <c r="X392" s="20">
        <f>COUNTIFS(tData[SEHTrajectPeriodeDatumTijdVan],"&lt;="&amp;($A392+20/24),tData[SEHTrajectPeriodeDatumTijdTotEnMet],"&gt;"&amp;($A392+20/24))</f>
        <v/>
      </c>
      <c r="Y392" s="20">
        <f>COUNTIFS(tData[SEHTrajectPeriodeDatumTijdVan],"&lt;="&amp;($A392+21/24),tData[SEHTrajectPeriodeDatumTijdTotEnMet],"&gt;"&amp;($A392+21/24))</f>
        <v/>
      </c>
      <c r="Z392" s="20">
        <f>COUNTIFS(tData[SEHTrajectPeriodeDatumTijdVan],"&lt;="&amp;($A392+22/24),tData[SEHTrajectPeriodeDatumTijdTotEnMet],"&gt;"&amp;($A392+22/24))</f>
        <v/>
      </c>
      <c r="AA392" s="20">
        <f>COUNTIFS(tData[SEHTrajectPeriodeDatumTijdVan],"&lt;="&amp;($A392+23/24),tData[SEHTrajectPeriodeDatumTijdTotEnMet],"&gt;"&amp;($A392+23/24))</f>
        <v/>
      </c>
    </row>
    <row r="393">
      <c r="A393" s="19" t="n">
        <v>45681</v>
      </c>
      <c r="B393" s="15">
        <f>WEEKDAY($A393,2)</f>
        <v/>
      </c>
      <c r="C393" s="15">
        <f>IF(AND($A393&gt;=INT(Instellingen!$B$5),$A393&lt;=INT(Instellingen!$B$6)),1,0)</f>
        <v/>
      </c>
      <c r="D393" s="20">
        <f>COUNTIFS(tData[SEHTrajectPeriodeDatumTijdVan],"&lt;="&amp;($A393+0/24),tData[SEHTrajectPeriodeDatumTijdTotEnMet],"&gt;"&amp;($A393+0/24))</f>
        <v/>
      </c>
      <c r="E393" s="20">
        <f>COUNTIFS(tData[SEHTrajectPeriodeDatumTijdVan],"&lt;="&amp;($A393+1/24),tData[SEHTrajectPeriodeDatumTijdTotEnMet],"&gt;"&amp;($A393+1/24))</f>
        <v/>
      </c>
      <c r="F393" s="20">
        <f>COUNTIFS(tData[SEHTrajectPeriodeDatumTijdVan],"&lt;="&amp;($A393+2/24),tData[SEHTrajectPeriodeDatumTijdTotEnMet],"&gt;"&amp;($A393+2/24))</f>
        <v/>
      </c>
      <c r="G393" s="20">
        <f>COUNTIFS(tData[SEHTrajectPeriodeDatumTijdVan],"&lt;="&amp;($A393+3/24),tData[SEHTrajectPeriodeDatumTijdTotEnMet],"&gt;"&amp;($A393+3/24))</f>
        <v/>
      </c>
      <c r="H393" s="20">
        <f>COUNTIFS(tData[SEHTrajectPeriodeDatumTijdVan],"&lt;="&amp;($A393+4/24),tData[SEHTrajectPeriodeDatumTijdTotEnMet],"&gt;"&amp;($A393+4/24))</f>
        <v/>
      </c>
      <c r="I393" s="20">
        <f>COUNTIFS(tData[SEHTrajectPeriodeDatumTijdVan],"&lt;="&amp;($A393+5/24),tData[SEHTrajectPeriodeDatumTijdTotEnMet],"&gt;"&amp;($A393+5/24))</f>
        <v/>
      </c>
      <c r="J393" s="20">
        <f>COUNTIFS(tData[SEHTrajectPeriodeDatumTijdVan],"&lt;="&amp;($A393+6/24),tData[SEHTrajectPeriodeDatumTijdTotEnMet],"&gt;"&amp;($A393+6/24))</f>
        <v/>
      </c>
      <c r="K393" s="20">
        <f>COUNTIFS(tData[SEHTrajectPeriodeDatumTijdVan],"&lt;="&amp;($A393+7/24),tData[SEHTrajectPeriodeDatumTijdTotEnMet],"&gt;"&amp;($A393+7/24))</f>
        <v/>
      </c>
      <c r="L393" s="20">
        <f>COUNTIFS(tData[SEHTrajectPeriodeDatumTijdVan],"&lt;="&amp;($A393+8/24),tData[SEHTrajectPeriodeDatumTijdTotEnMet],"&gt;"&amp;($A393+8/24))</f>
        <v/>
      </c>
      <c r="M393" s="20">
        <f>COUNTIFS(tData[SEHTrajectPeriodeDatumTijdVan],"&lt;="&amp;($A393+9/24),tData[SEHTrajectPeriodeDatumTijdTotEnMet],"&gt;"&amp;($A393+9/24))</f>
        <v/>
      </c>
      <c r="N393" s="20">
        <f>COUNTIFS(tData[SEHTrajectPeriodeDatumTijdVan],"&lt;="&amp;($A393+10/24),tData[SEHTrajectPeriodeDatumTijdTotEnMet],"&gt;"&amp;($A393+10/24))</f>
        <v/>
      </c>
      <c r="O393" s="20">
        <f>COUNTIFS(tData[SEHTrajectPeriodeDatumTijdVan],"&lt;="&amp;($A393+11/24),tData[SEHTrajectPeriodeDatumTijdTotEnMet],"&gt;"&amp;($A393+11/24))</f>
        <v/>
      </c>
      <c r="P393" s="20">
        <f>COUNTIFS(tData[SEHTrajectPeriodeDatumTijdVan],"&lt;="&amp;($A393+12/24),tData[SEHTrajectPeriodeDatumTijdTotEnMet],"&gt;"&amp;($A393+12/24))</f>
        <v/>
      </c>
      <c r="Q393" s="20">
        <f>COUNTIFS(tData[SEHTrajectPeriodeDatumTijdVan],"&lt;="&amp;($A393+13/24),tData[SEHTrajectPeriodeDatumTijdTotEnMet],"&gt;"&amp;($A393+13/24))</f>
        <v/>
      </c>
      <c r="R393" s="20">
        <f>COUNTIFS(tData[SEHTrajectPeriodeDatumTijdVan],"&lt;="&amp;($A393+14/24),tData[SEHTrajectPeriodeDatumTijdTotEnMet],"&gt;"&amp;($A393+14/24))</f>
        <v/>
      </c>
      <c r="S393" s="20">
        <f>COUNTIFS(tData[SEHTrajectPeriodeDatumTijdVan],"&lt;="&amp;($A393+15/24),tData[SEHTrajectPeriodeDatumTijdTotEnMet],"&gt;"&amp;($A393+15/24))</f>
        <v/>
      </c>
      <c r="T393" s="20">
        <f>COUNTIFS(tData[SEHTrajectPeriodeDatumTijdVan],"&lt;="&amp;($A393+16/24),tData[SEHTrajectPeriodeDatumTijdTotEnMet],"&gt;"&amp;($A393+16/24))</f>
        <v/>
      </c>
      <c r="U393" s="20">
        <f>COUNTIFS(tData[SEHTrajectPeriodeDatumTijdVan],"&lt;="&amp;($A393+17/24),tData[SEHTrajectPeriodeDatumTijdTotEnMet],"&gt;"&amp;($A393+17/24))</f>
        <v/>
      </c>
      <c r="V393" s="20">
        <f>COUNTIFS(tData[SEHTrajectPeriodeDatumTijdVan],"&lt;="&amp;($A393+18/24),tData[SEHTrajectPeriodeDatumTijdTotEnMet],"&gt;"&amp;($A393+18/24))</f>
        <v/>
      </c>
      <c r="W393" s="20">
        <f>COUNTIFS(tData[SEHTrajectPeriodeDatumTijdVan],"&lt;="&amp;($A393+19/24),tData[SEHTrajectPeriodeDatumTijdTotEnMet],"&gt;"&amp;($A393+19/24))</f>
        <v/>
      </c>
      <c r="X393" s="20">
        <f>COUNTIFS(tData[SEHTrajectPeriodeDatumTijdVan],"&lt;="&amp;($A393+20/24),tData[SEHTrajectPeriodeDatumTijdTotEnMet],"&gt;"&amp;($A393+20/24))</f>
        <v/>
      </c>
      <c r="Y393" s="20">
        <f>COUNTIFS(tData[SEHTrajectPeriodeDatumTijdVan],"&lt;="&amp;($A393+21/24),tData[SEHTrajectPeriodeDatumTijdTotEnMet],"&gt;"&amp;($A393+21/24))</f>
        <v/>
      </c>
      <c r="Z393" s="20">
        <f>COUNTIFS(tData[SEHTrajectPeriodeDatumTijdVan],"&lt;="&amp;($A393+22/24),tData[SEHTrajectPeriodeDatumTijdTotEnMet],"&gt;"&amp;($A393+22/24))</f>
        <v/>
      </c>
      <c r="AA393" s="20">
        <f>COUNTIFS(tData[SEHTrajectPeriodeDatumTijdVan],"&lt;="&amp;($A393+23/24),tData[SEHTrajectPeriodeDatumTijdTotEnMet],"&gt;"&amp;($A393+23/24))</f>
        <v/>
      </c>
    </row>
    <row r="394">
      <c r="A394" s="19" t="n">
        <v>45682</v>
      </c>
      <c r="B394" s="15">
        <f>WEEKDAY($A394,2)</f>
        <v/>
      </c>
      <c r="C394" s="15">
        <f>IF(AND($A394&gt;=INT(Instellingen!$B$5),$A394&lt;=INT(Instellingen!$B$6)),1,0)</f>
        <v/>
      </c>
      <c r="D394" s="20">
        <f>COUNTIFS(tData[SEHTrajectPeriodeDatumTijdVan],"&lt;="&amp;($A394+0/24),tData[SEHTrajectPeriodeDatumTijdTotEnMet],"&gt;"&amp;($A394+0/24))</f>
        <v/>
      </c>
      <c r="E394" s="20">
        <f>COUNTIFS(tData[SEHTrajectPeriodeDatumTijdVan],"&lt;="&amp;($A394+1/24),tData[SEHTrajectPeriodeDatumTijdTotEnMet],"&gt;"&amp;($A394+1/24))</f>
        <v/>
      </c>
      <c r="F394" s="20">
        <f>COUNTIFS(tData[SEHTrajectPeriodeDatumTijdVan],"&lt;="&amp;($A394+2/24),tData[SEHTrajectPeriodeDatumTijdTotEnMet],"&gt;"&amp;($A394+2/24))</f>
        <v/>
      </c>
      <c r="G394" s="20">
        <f>COUNTIFS(tData[SEHTrajectPeriodeDatumTijdVan],"&lt;="&amp;($A394+3/24),tData[SEHTrajectPeriodeDatumTijdTotEnMet],"&gt;"&amp;($A394+3/24))</f>
        <v/>
      </c>
      <c r="H394" s="20">
        <f>COUNTIFS(tData[SEHTrajectPeriodeDatumTijdVan],"&lt;="&amp;($A394+4/24),tData[SEHTrajectPeriodeDatumTijdTotEnMet],"&gt;"&amp;($A394+4/24))</f>
        <v/>
      </c>
      <c r="I394" s="20">
        <f>COUNTIFS(tData[SEHTrajectPeriodeDatumTijdVan],"&lt;="&amp;($A394+5/24),tData[SEHTrajectPeriodeDatumTijdTotEnMet],"&gt;"&amp;($A394+5/24))</f>
        <v/>
      </c>
      <c r="J394" s="20">
        <f>COUNTIFS(tData[SEHTrajectPeriodeDatumTijdVan],"&lt;="&amp;($A394+6/24),tData[SEHTrajectPeriodeDatumTijdTotEnMet],"&gt;"&amp;($A394+6/24))</f>
        <v/>
      </c>
      <c r="K394" s="20">
        <f>COUNTIFS(tData[SEHTrajectPeriodeDatumTijdVan],"&lt;="&amp;($A394+7/24),tData[SEHTrajectPeriodeDatumTijdTotEnMet],"&gt;"&amp;($A394+7/24))</f>
        <v/>
      </c>
      <c r="L394" s="20">
        <f>COUNTIFS(tData[SEHTrajectPeriodeDatumTijdVan],"&lt;="&amp;($A394+8/24),tData[SEHTrajectPeriodeDatumTijdTotEnMet],"&gt;"&amp;($A394+8/24))</f>
        <v/>
      </c>
      <c r="M394" s="20">
        <f>COUNTIFS(tData[SEHTrajectPeriodeDatumTijdVan],"&lt;="&amp;($A394+9/24),tData[SEHTrajectPeriodeDatumTijdTotEnMet],"&gt;"&amp;($A394+9/24))</f>
        <v/>
      </c>
      <c r="N394" s="20">
        <f>COUNTIFS(tData[SEHTrajectPeriodeDatumTijdVan],"&lt;="&amp;($A394+10/24),tData[SEHTrajectPeriodeDatumTijdTotEnMet],"&gt;"&amp;($A394+10/24))</f>
        <v/>
      </c>
      <c r="O394" s="20">
        <f>COUNTIFS(tData[SEHTrajectPeriodeDatumTijdVan],"&lt;="&amp;($A394+11/24),tData[SEHTrajectPeriodeDatumTijdTotEnMet],"&gt;"&amp;($A394+11/24))</f>
        <v/>
      </c>
      <c r="P394" s="20">
        <f>COUNTIFS(tData[SEHTrajectPeriodeDatumTijdVan],"&lt;="&amp;($A394+12/24),tData[SEHTrajectPeriodeDatumTijdTotEnMet],"&gt;"&amp;($A394+12/24))</f>
        <v/>
      </c>
      <c r="Q394" s="20">
        <f>COUNTIFS(tData[SEHTrajectPeriodeDatumTijdVan],"&lt;="&amp;($A394+13/24),tData[SEHTrajectPeriodeDatumTijdTotEnMet],"&gt;"&amp;($A394+13/24))</f>
        <v/>
      </c>
      <c r="R394" s="20">
        <f>COUNTIFS(tData[SEHTrajectPeriodeDatumTijdVan],"&lt;="&amp;($A394+14/24),tData[SEHTrajectPeriodeDatumTijdTotEnMet],"&gt;"&amp;($A394+14/24))</f>
        <v/>
      </c>
      <c r="S394" s="20">
        <f>COUNTIFS(tData[SEHTrajectPeriodeDatumTijdVan],"&lt;="&amp;($A394+15/24),tData[SEHTrajectPeriodeDatumTijdTotEnMet],"&gt;"&amp;($A394+15/24))</f>
        <v/>
      </c>
      <c r="T394" s="20">
        <f>COUNTIFS(tData[SEHTrajectPeriodeDatumTijdVan],"&lt;="&amp;($A394+16/24),tData[SEHTrajectPeriodeDatumTijdTotEnMet],"&gt;"&amp;($A394+16/24))</f>
        <v/>
      </c>
      <c r="U394" s="20">
        <f>COUNTIFS(tData[SEHTrajectPeriodeDatumTijdVan],"&lt;="&amp;($A394+17/24),tData[SEHTrajectPeriodeDatumTijdTotEnMet],"&gt;"&amp;($A394+17/24))</f>
        <v/>
      </c>
      <c r="V394" s="20">
        <f>COUNTIFS(tData[SEHTrajectPeriodeDatumTijdVan],"&lt;="&amp;($A394+18/24),tData[SEHTrajectPeriodeDatumTijdTotEnMet],"&gt;"&amp;($A394+18/24))</f>
        <v/>
      </c>
      <c r="W394" s="20">
        <f>COUNTIFS(tData[SEHTrajectPeriodeDatumTijdVan],"&lt;="&amp;($A394+19/24),tData[SEHTrajectPeriodeDatumTijdTotEnMet],"&gt;"&amp;($A394+19/24))</f>
        <v/>
      </c>
      <c r="X394" s="20">
        <f>COUNTIFS(tData[SEHTrajectPeriodeDatumTijdVan],"&lt;="&amp;($A394+20/24),tData[SEHTrajectPeriodeDatumTijdTotEnMet],"&gt;"&amp;($A394+20/24))</f>
        <v/>
      </c>
      <c r="Y394" s="20">
        <f>COUNTIFS(tData[SEHTrajectPeriodeDatumTijdVan],"&lt;="&amp;($A394+21/24),tData[SEHTrajectPeriodeDatumTijdTotEnMet],"&gt;"&amp;($A394+21/24))</f>
        <v/>
      </c>
      <c r="Z394" s="20">
        <f>COUNTIFS(tData[SEHTrajectPeriodeDatumTijdVan],"&lt;="&amp;($A394+22/24),tData[SEHTrajectPeriodeDatumTijdTotEnMet],"&gt;"&amp;($A394+22/24))</f>
        <v/>
      </c>
      <c r="AA394" s="20">
        <f>COUNTIFS(tData[SEHTrajectPeriodeDatumTijdVan],"&lt;="&amp;($A394+23/24),tData[SEHTrajectPeriodeDatumTijdTotEnMet],"&gt;"&amp;($A394+23/24))</f>
        <v/>
      </c>
    </row>
    <row r="395">
      <c r="A395" s="19" t="n">
        <v>45683</v>
      </c>
      <c r="B395" s="15">
        <f>WEEKDAY($A395,2)</f>
        <v/>
      </c>
      <c r="C395" s="15">
        <f>IF(AND($A395&gt;=INT(Instellingen!$B$5),$A395&lt;=INT(Instellingen!$B$6)),1,0)</f>
        <v/>
      </c>
      <c r="D395" s="20">
        <f>COUNTIFS(tData[SEHTrajectPeriodeDatumTijdVan],"&lt;="&amp;($A395+0/24),tData[SEHTrajectPeriodeDatumTijdTotEnMet],"&gt;"&amp;($A395+0/24))</f>
        <v/>
      </c>
      <c r="E395" s="20">
        <f>COUNTIFS(tData[SEHTrajectPeriodeDatumTijdVan],"&lt;="&amp;($A395+1/24),tData[SEHTrajectPeriodeDatumTijdTotEnMet],"&gt;"&amp;($A395+1/24))</f>
        <v/>
      </c>
      <c r="F395" s="20">
        <f>COUNTIFS(tData[SEHTrajectPeriodeDatumTijdVan],"&lt;="&amp;($A395+2/24),tData[SEHTrajectPeriodeDatumTijdTotEnMet],"&gt;"&amp;($A395+2/24))</f>
        <v/>
      </c>
      <c r="G395" s="20">
        <f>COUNTIFS(tData[SEHTrajectPeriodeDatumTijdVan],"&lt;="&amp;($A395+3/24),tData[SEHTrajectPeriodeDatumTijdTotEnMet],"&gt;"&amp;($A395+3/24))</f>
        <v/>
      </c>
      <c r="H395" s="20">
        <f>COUNTIFS(tData[SEHTrajectPeriodeDatumTijdVan],"&lt;="&amp;($A395+4/24),tData[SEHTrajectPeriodeDatumTijdTotEnMet],"&gt;"&amp;($A395+4/24))</f>
        <v/>
      </c>
      <c r="I395" s="20">
        <f>COUNTIFS(tData[SEHTrajectPeriodeDatumTijdVan],"&lt;="&amp;($A395+5/24),tData[SEHTrajectPeriodeDatumTijdTotEnMet],"&gt;"&amp;($A395+5/24))</f>
        <v/>
      </c>
      <c r="J395" s="20">
        <f>COUNTIFS(tData[SEHTrajectPeriodeDatumTijdVan],"&lt;="&amp;($A395+6/24),tData[SEHTrajectPeriodeDatumTijdTotEnMet],"&gt;"&amp;($A395+6/24))</f>
        <v/>
      </c>
      <c r="K395" s="20">
        <f>COUNTIFS(tData[SEHTrajectPeriodeDatumTijdVan],"&lt;="&amp;($A395+7/24),tData[SEHTrajectPeriodeDatumTijdTotEnMet],"&gt;"&amp;($A395+7/24))</f>
        <v/>
      </c>
      <c r="L395" s="20">
        <f>COUNTIFS(tData[SEHTrajectPeriodeDatumTijdVan],"&lt;="&amp;($A395+8/24),tData[SEHTrajectPeriodeDatumTijdTotEnMet],"&gt;"&amp;($A395+8/24))</f>
        <v/>
      </c>
      <c r="M395" s="20">
        <f>COUNTIFS(tData[SEHTrajectPeriodeDatumTijdVan],"&lt;="&amp;($A395+9/24),tData[SEHTrajectPeriodeDatumTijdTotEnMet],"&gt;"&amp;($A395+9/24))</f>
        <v/>
      </c>
      <c r="N395" s="20">
        <f>COUNTIFS(tData[SEHTrajectPeriodeDatumTijdVan],"&lt;="&amp;($A395+10/24),tData[SEHTrajectPeriodeDatumTijdTotEnMet],"&gt;"&amp;($A395+10/24))</f>
        <v/>
      </c>
      <c r="O395" s="20">
        <f>COUNTIFS(tData[SEHTrajectPeriodeDatumTijdVan],"&lt;="&amp;($A395+11/24),tData[SEHTrajectPeriodeDatumTijdTotEnMet],"&gt;"&amp;($A395+11/24))</f>
        <v/>
      </c>
      <c r="P395" s="20">
        <f>COUNTIFS(tData[SEHTrajectPeriodeDatumTijdVan],"&lt;="&amp;($A395+12/24),tData[SEHTrajectPeriodeDatumTijdTotEnMet],"&gt;"&amp;($A395+12/24))</f>
        <v/>
      </c>
      <c r="Q395" s="20">
        <f>COUNTIFS(tData[SEHTrajectPeriodeDatumTijdVan],"&lt;="&amp;($A395+13/24),tData[SEHTrajectPeriodeDatumTijdTotEnMet],"&gt;"&amp;($A395+13/24))</f>
        <v/>
      </c>
      <c r="R395" s="20">
        <f>COUNTIFS(tData[SEHTrajectPeriodeDatumTijdVan],"&lt;="&amp;($A395+14/24),tData[SEHTrajectPeriodeDatumTijdTotEnMet],"&gt;"&amp;($A395+14/24))</f>
        <v/>
      </c>
      <c r="S395" s="20">
        <f>COUNTIFS(tData[SEHTrajectPeriodeDatumTijdVan],"&lt;="&amp;($A395+15/24),tData[SEHTrajectPeriodeDatumTijdTotEnMet],"&gt;"&amp;($A395+15/24))</f>
        <v/>
      </c>
      <c r="T395" s="20">
        <f>COUNTIFS(tData[SEHTrajectPeriodeDatumTijdVan],"&lt;="&amp;($A395+16/24),tData[SEHTrajectPeriodeDatumTijdTotEnMet],"&gt;"&amp;($A395+16/24))</f>
        <v/>
      </c>
      <c r="U395" s="20">
        <f>COUNTIFS(tData[SEHTrajectPeriodeDatumTijdVan],"&lt;="&amp;($A395+17/24),tData[SEHTrajectPeriodeDatumTijdTotEnMet],"&gt;"&amp;($A395+17/24))</f>
        <v/>
      </c>
      <c r="V395" s="20">
        <f>COUNTIFS(tData[SEHTrajectPeriodeDatumTijdVan],"&lt;="&amp;($A395+18/24),tData[SEHTrajectPeriodeDatumTijdTotEnMet],"&gt;"&amp;($A395+18/24))</f>
        <v/>
      </c>
      <c r="W395" s="20">
        <f>COUNTIFS(tData[SEHTrajectPeriodeDatumTijdVan],"&lt;="&amp;($A395+19/24),tData[SEHTrajectPeriodeDatumTijdTotEnMet],"&gt;"&amp;($A395+19/24))</f>
        <v/>
      </c>
      <c r="X395" s="20">
        <f>COUNTIFS(tData[SEHTrajectPeriodeDatumTijdVan],"&lt;="&amp;($A395+20/24),tData[SEHTrajectPeriodeDatumTijdTotEnMet],"&gt;"&amp;($A395+20/24))</f>
        <v/>
      </c>
      <c r="Y395" s="20">
        <f>COUNTIFS(tData[SEHTrajectPeriodeDatumTijdVan],"&lt;="&amp;($A395+21/24),tData[SEHTrajectPeriodeDatumTijdTotEnMet],"&gt;"&amp;($A395+21/24))</f>
        <v/>
      </c>
      <c r="Z395" s="20">
        <f>COUNTIFS(tData[SEHTrajectPeriodeDatumTijdVan],"&lt;="&amp;($A395+22/24),tData[SEHTrajectPeriodeDatumTijdTotEnMet],"&gt;"&amp;($A395+22/24))</f>
        <v/>
      </c>
      <c r="AA395" s="20">
        <f>COUNTIFS(tData[SEHTrajectPeriodeDatumTijdVan],"&lt;="&amp;($A395+23/24),tData[SEHTrajectPeriodeDatumTijdTotEnMet],"&gt;"&amp;($A395+23/24))</f>
        <v/>
      </c>
    </row>
    <row r="396">
      <c r="A396" s="19" t="n">
        <v>45684</v>
      </c>
      <c r="B396" s="15">
        <f>WEEKDAY($A396,2)</f>
        <v/>
      </c>
      <c r="C396" s="15">
        <f>IF(AND($A396&gt;=INT(Instellingen!$B$5),$A396&lt;=INT(Instellingen!$B$6)),1,0)</f>
        <v/>
      </c>
      <c r="D396" s="20">
        <f>COUNTIFS(tData[SEHTrajectPeriodeDatumTijdVan],"&lt;="&amp;($A396+0/24),tData[SEHTrajectPeriodeDatumTijdTotEnMet],"&gt;"&amp;($A396+0/24))</f>
        <v/>
      </c>
      <c r="E396" s="20">
        <f>COUNTIFS(tData[SEHTrajectPeriodeDatumTijdVan],"&lt;="&amp;($A396+1/24),tData[SEHTrajectPeriodeDatumTijdTotEnMet],"&gt;"&amp;($A396+1/24))</f>
        <v/>
      </c>
      <c r="F396" s="20">
        <f>COUNTIFS(tData[SEHTrajectPeriodeDatumTijdVan],"&lt;="&amp;($A396+2/24),tData[SEHTrajectPeriodeDatumTijdTotEnMet],"&gt;"&amp;($A396+2/24))</f>
        <v/>
      </c>
      <c r="G396" s="20">
        <f>COUNTIFS(tData[SEHTrajectPeriodeDatumTijdVan],"&lt;="&amp;($A396+3/24),tData[SEHTrajectPeriodeDatumTijdTotEnMet],"&gt;"&amp;($A396+3/24))</f>
        <v/>
      </c>
      <c r="H396" s="20">
        <f>COUNTIFS(tData[SEHTrajectPeriodeDatumTijdVan],"&lt;="&amp;($A396+4/24),tData[SEHTrajectPeriodeDatumTijdTotEnMet],"&gt;"&amp;($A396+4/24))</f>
        <v/>
      </c>
      <c r="I396" s="20">
        <f>COUNTIFS(tData[SEHTrajectPeriodeDatumTijdVan],"&lt;="&amp;($A396+5/24),tData[SEHTrajectPeriodeDatumTijdTotEnMet],"&gt;"&amp;($A396+5/24))</f>
        <v/>
      </c>
      <c r="J396" s="20">
        <f>COUNTIFS(tData[SEHTrajectPeriodeDatumTijdVan],"&lt;="&amp;($A396+6/24),tData[SEHTrajectPeriodeDatumTijdTotEnMet],"&gt;"&amp;($A396+6/24))</f>
        <v/>
      </c>
      <c r="K396" s="20">
        <f>COUNTIFS(tData[SEHTrajectPeriodeDatumTijdVan],"&lt;="&amp;($A396+7/24),tData[SEHTrajectPeriodeDatumTijdTotEnMet],"&gt;"&amp;($A396+7/24))</f>
        <v/>
      </c>
      <c r="L396" s="20">
        <f>COUNTIFS(tData[SEHTrajectPeriodeDatumTijdVan],"&lt;="&amp;($A396+8/24),tData[SEHTrajectPeriodeDatumTijdTotEnMet],"&gt;"&amp;($A396+8/24))</f>
        <v/>
      </c>
      <c r="M396" s="20">
        <f>COUNTIFS(tData[SEHTrajectPeriodeDatumTijdVan],"&lt;="&amp;($A396+9/24),tData[SEHTrajectPeriodeDatumTijdTotEnMet],"&gt;"&amp;($A396+9/24))</f>
        <v/>
      </c>
      <c r="N396" s="20">
        <f>COUNTIFS(tData[SEHTrajectPeriodeDatumTijdVan],"&lt;="&amp;($A396+10/24),tData[SEHTrajectPeriodeDatumTijdTotEnMet],"&gt;"&amp;($A396+10/24))</f>
        <v/>
      </c>
      <c r="O396" s="20">
        <f>COUNTIFS(tData[SEHTrajectPeriodeDatumTijdVan],"&lt;="&amp;($A396+11/24),tData[SEHTrajectPeriodeDatumTijdTotEnMet],"&gt;"&amp;($A396+11/24))</f>
        <v/>
      </c>
      <c r="P396" s="20">
        <f>COUNTIFS(tData[SEHTrajectPeriodeDatumTijdVan],"&lt;="&amp;($A396+12/24),tData[SEHTrajectPeriodeDatumTijdTotEnMet],"&gt;"&amp;($A396+12/24))</f>
        <v/>
      </c>
      <c r="Q396" s="20">
        <f>COUNTIFS(tData[SEHTrajectPeriodeDatumTijdVan],"&lt;="&amp;($A396+13/24),tData[SEHTrajectPeriodeDatumTijdTotEnMet],"&gt;"&amp;($A396+13/24))</f>
        <v/>
      </c>
      <c r="R396" s="20">
        <f>COUNTIFS(tData[SEHTrajectPeriodeDatumTijdVan],"&lt;="&amp;($A396+14/24),tData[SEHTrajectPeriodeDatumTijdTotEnMet],"&gt;"&amp;($A396+14/24))</f>
        <v/>
      </c>
      <c r="S396" s="20">
        <f>COUNTIFS(tData[SEHTrajectPeriodeDatumTijdVan],"&lt;="&amp;($A396+15/24),tData[SEHTrajectPeriodeDatumTijdTotEnMet],"&gt;"&amp;($A396+15/24))</f>
        <v/>
      </c>
      <c r="T396" s="20">
        <f>COUNTIFS(tData[SEHTrajectPeriodeDatumTijdVan],"&lt;="&amp;($A396+16/24),tData[SEHTrajectPeriodeDatumTijdTotEnMet],"&gt;"&amp;($A396+16/24))</f>
        <v/>
      </c>
      <c r="U396" s="20">
        <f>COUNTIFS(tData[SEHTrajectPeriodeDatumTijdVan],"&lt;="&amp;($A396+17/24),tData[SEHTrajectPeriodeDatumTijdTotEnMet],"&gt;"&amp;($A396+17/24))</f>
        <v/>
      </c>
      <c r="V396" s="20">
        <f>COUNTIFS(tData[SEHTrajectPeriodeDatumTijdVan],"&lt;="&amp;($A396+18/24),tData[SEHTrajectPeriodeDatumTijdTotEnMet],"&gt;"&amp;($A396+18/24))</f>
        <v/>
      </c>
      <c r="W396" s="20">
        <f>COUNTIFS(tData[SEHTrajectPeriodeDatumTijdVan],"&lt;="&amp;($A396+19/24),tData[SEHTrajectPeriodeDatumTijdTotEnMet],"&gt;"&amp;($A396+19/24))</f>
        <v/>
      </c>
      <c r="X396" s="20">
        <f>COUNTIFS(tData[SEHTrajectPeriodeDatumTijdVan],"&lt;="&amp;($A396+20/24),tData[SEHTrajectPeriodeDatumTijdTotEnMet],"&gt;"&amp;($A396+20/24))</f>
        <v/>
      </c>
      <c r="Y396" s="20">
        <f>COUNTIFS(tData[SEHTrajectPeriodeDatumTijdVan],"&lt;="&amp;($A396+21/24),tData[SEHTrajectPeriodeDatumTijdTotEnMet],"&gt;"&amp;($A396+21/24))</f>
        <v/>
      </c>
      <c r="Z396" s="20">
        <f>COUNTIFS(tData[SEHTrajectPeriodeDatumTijdVan],"&lt;="&amp;($A396+22/24),tData[SEHTrajectPeriodeDatumTijdTotEnMet],"&gt;"&amp;($A396+22/24))</f>
        <v/>
      </c>
      <c r="AA396" s="20">
        <f>COUNTIFS(tData[SEHTrajectPeriodeDatumTijdVan],"&lt;="&amp;($A396+23/24),tData[SEHTrajectPeriodeDatumTijdTotEnMet],"&gt;"&amp;($A396+23/24))</f>
        <v/>
      </c>
    </row>
    <row r="397">
      <c r="A397" s="19" t="n">
        <v>45685</v>
      </c>
      <c r="B397" s="15">
        <f>WEEKDAY($A397,2)</f>
        <v/>
      </c>
      <c r="C397" s="15">
        <f>IF(AND($A397&gt;=INT(Instellingen!$B$5),$A397&lt;=INT(Instellingen!$B$6)),1,0)</f>
        <v/>
      </c>
      <c r="D397" s="20">
        <f>COUNTIFS(tData[SEHTrajectPeriodeDatumTijdVan],"&lt;="&amp;($A397+0/24),tData[SEHTrajectPeriodeDatumTijdTotEnMet],"&gt;"&amp;($A397+0/24))</f>
        <v/>
      </c>
      <c r="E397" s="20">
        <f>COUNTIFS(tData[SEHTrajectPeriodeDatumTijdVan],"&lt;="&amp;($A397+1/24),tData[SEHTrajectPeriodeDatumTijdTotEnMet],"&gt;"&amp;($A397+1/24))</f>
        <v/>
      </c>
      <c r="F397" s="20">
        <f>COUNTIFS(tData[SEHTrajectPeriodeDatumTijdVan],"&lt;="&amp;($A397+2/24),tData[SEHTrajectPeriodeDatumTijdTotEnMet],"&gt;"&amp;($A397+2/24))</f>
        <v/>
      </c>
      <c r="G397" s="20">
        <f>COUNTIFS(tData[SEHTrajectPeriodeDatumTijdVan],"&lt;="&amp;($A397+3/24),tData[SEHTrajectPeriodeDatumTijdTotEnMet],"&gt;"&amp;($A397+3/24))</f>
        <v/>
      </c>
      <c r="H397" s="20">
        <f>COUNTIFS(tData[SEHTrajectPeriodeDatumTijdVan],"&lt;="&amp;($A397+4/24),tData[SEHTrajectPeriodeDatumTijdTotEnMet],"&gt;"&amp;($A397+4/24))</f>
        <v/>
      </c>
      <c r="I397" s="20">
        <f>COUNTIFS(tData[SEHTrajectPeriodeDatumTijdVan],"&lt;="&amp;($A397+5/24),tData[SEHTrajectPeriodeDatumTijdTotEnMet],"&gt;"&amp;($A397+5/24))</f>
        <v/>
      </c>
      <c r="J397" s="20">
        <f>COUNTIFS(tData[SEHTrajectPeriodeDatumTijdVan],"&lt;="&amp;($A397+6/24),tData[SEHTrajectPeriodeDatumTijdTotEnMet],"&gt;"&amp;($A397+6/24))</f>
        <v/>
      </c>
      <c r="K397" s="20">
        <f>COUNTIFS(tData[SEHTrajectPeriodeDatumTijdVan],"&lt;="&amp;($A397+7/24),tData[SEHTrajectPeriodeDatumTijdTotEnMet],"&gt;"&amp;($A397+7/24))</f>
        <v/>
      </c>
      <c r="L397" s="20">
        <f>COUNTIFS(tData[SEHTrajectPeriodeDatumTijdVan],"&lt;="&amp;($A397+8/24),tData[SEHTrajectPeriodeDatumTijdTotEnMet],"&gt;"&amp;($A397+8/24))</f>
        <v/>
      </c>
      <c r="M397" s="20">
        <f>COUNTIFS(tData[SEHTrajectPeriodeDatumTijdVan],"&lt;="&amp;($A397+9/24),tData[SEHTrajectPeriodeDatumTijdTotEnMet],"&gt;"&amp;($A397+9/24))</f>
        <v/>
      </c>
      <c r="N397" s="20">
        <f>COUNTIFS(tData[SEHTrajectPeriodeDatumTijdVan],"&lt;="&amp;($A397+10/24),tData[SEHTrajectPeriodeDatumTijdTotEnMet],"&gt;"&amp;($A397+10/24))</f>
        <v/>
      </c>
      <c r="O397" s="20">
        <f>COUNTIFS(tData[SEHTrajectPeriodeDatumTijdVan],"&lt;="&amp;($A397+11/24),tData[SEHTrajectPeriodeDatumTijdTotEnMet],"&gt;"&amp;($A397+11/24))</f>
        <v/>
      </c>
      <c r="P397" s="20">
        <f>COUNTIFS(tData[SEHTrajectPeriodeDatumTijdVan],"&lt;="&amp;($A397+12/24),tData[SEHTrajectPeriodeDatumTijdTotEnMet],"&gt;"&amp;($A397+12/24))</f>
        <v/>
      </c>
      <c r="Q397" s="20">
        <f>COUNTIFS(tData[SEHTrajectPeriodeDatumTijdVan],"&lt;="&amp;($A397+13/24),tData[SEHTrajectPeriodeDatumTijdTotEnMet],"&gt;"&amp;($A397+13/24))</f>
        <v/>
      </c>
      <c r="R397" s="20">
        <f>COUNTIFS(tData[SEHTrajectPeriodeDatumTijdVan],"&lt;="&amp;($A397+14/24),tData[SEHTrajectPeriodeDatumTijdTotEnMet],"&gt;"&amp;($A397+14/24))</f>
        <v/>
      </c>
      <c r="S397" s="20">
        <f>COUNTIFS(tData[SEHTrajectPeriodeDatumTijdVan],"&lt;="&amp;($A397+15/24),tData[SEHTrajectPeriodeDatumTijdTotEnMet],"&gt;"&amp;($A397+15/24))</f>
        <v/>
      </c>
      <c r="T397" s="20">
        <f>COUNTIFS(tData[SEHTrajectPeriodeDatumTijdVan],"&lt;="&amp;($A397+16/24),tData[SEHTrajectPeriodeDatumTijdTotEnMet],"&gt;"&amp;($A397+16/24))</f>
        <v/>
      </c>
      <c r="U397" s="20">
        <f>COUNTIFS(tData[SEHTrajectPeriodeDatumTijdVan],"&lt;="&amp;($A397+17/24),tData[SEHTrajectPeriodeDatumTijdTotEnMet],"&gt;"&amp;($A397+17/24))</f>
        <v/>
      </c>
      <c r="V397" s="20">
        <f>COUNTIFS(tData[SEHTrajectPeriodeDatumTijdVan],"&lt;="&amp;($A397+18/24),tData[SEHTrajectPeriodeDatumTijdTotEnMet],"&gt;"&amp;($A397+18/24))</f>
        <v/>
      </c>
      <c r="W397" s="20">
        <f>COUNTIFS(tData[SEHTrajectPeriodeDatumTijdVan],"&lt;="&amp;($A397+19/24),tData[SEHTrajectPeriodeDatumTijdTotEnMet],"&gt;"&amp;($A397+19/24))</f>
        <v/>
      </c>
      <c r="X397" s="20">
        <f>COUNTIFS(tData[SEHTrajectPeriodeDatumTijdVan],"&lt;="&amp;($A397+20/24),tData[SEHTrajectPeriodeDatumTijdTotEnMet],"&gt;"&amp;($A397+20/24))</f>
        <v/>
      </c>
      <c r="Y397" s="20">
        <f>COUNTIFS(tData[SEHTrajectPeriodeDatumTijdVan],"&lt;="&amp;($A397+21/24),tData[SEHTrajectPeriodeDatumTijdTotEnMet],"&gt;"&amp;($A397+21/24))</f>
        <v/>
      </c>
      <c r="Z397" s="20">
        <f>COUNTIFS(tData[SEHTrajectPeriodeDatumTijdVan],"&lt;="&amp;($A397+22/24),tData[SEHTrajectPeriodeDatumTijdTotEnMet],"&gt;"&amp;($A397+22/24))</f>
        <v/>
      </c>
      <c r="AA397" s="20">
        <f>COUNTIFS(tData[SEHTrajectPeriodeDatumTijdVan],"&lt;="&amp;($A397+23/24),tData[SEHTrajectPeriodeDatumTijdTotEnMet],"&gt;"&amp;($A397+23/24))</f>
        <v/>
      </c>
    </row>
    <row r="398">
      <c r="A398" s="19" t="n">
        <v>45686</v>
      </c>
      <c r="B398" s="15">
        <f>WEEKDAY($A398,2)</f>
        <v/>
      </c>
      <c r="C398" s="15">
        <f>IF(AND($A398&gt;=INT(Instellingen!$B$5),$A398&lt;=INT(Instellingen!$B$6)),1,0)</f>
        <v/>
      </c>
      <c r="D398" s="20">
        <f>COUNTIFS(tData[SEHTrajectPeriodeDatumTijdVan],"&lt;="&amp;($A398+0/24),tData[SEHTrajectPeriodeDatumTijdTotEnMet],"&gt;"&amp;($A398+0/24))</f>
        <v/>
      </c>
      <c r="E398" s="20">
        <f>COUNTIFS(tData[SEHTrajectPeriodeDatumTijdVan],"&lt;="&amp;($A398+1/24),tData[SEHTrajectPeriodeDatumTijdTotEnMet],"&gt;"&amp;($A398+1/24))</f>
        <v/>
      </c>
      <c r="F398" s="20">
        <f>COUNTIFS(tData[SEHTrajectPeriodeDatumTijdVan],"&lt;="&amp;($A398+2/24),tData[SEHTrajectPeriodeDatumTijdTotEnMet],"&gt;"&amp;($A398+2/24))</f>
        <v/>
      </c>
      <c r="G398" s="20">
        <f>COUNTIFS(tData[SEHTrajectPeriodeDatumTijdVan],"&lt;="&amp;($A398+3/24),tData[SEHTrajectPeriodeDatumTijdTotEnMet],"&gt;"&amp;($A398+3/24))</f>
        <v/>
      </c>
      <c r="H398" s="20">
        <f>COUNTIFS(tData[SEHTrajectPeriodeDatumTijdVan],"&lt;="&amp;($A398+4/24),tData[SEHTrajectPeriodeDatumTijdTotEnMet],"&gt;"&amp;($A398+4/24))</f>
        <v/>
      </c>
      <c r="I398" s="20">
        <f>COUNTIFS(tData[SEHTrajectPeriodeDatumTijdVan],"&lt;="&amp;($A398+5/24),tData[SEHTrajectPeriodeDatumTijdTotEnMet],"&gt;"&amp;($A398+5/24))</f>
        <v/>
      </c>
      <c r="J398" s="20">
        <f>COUNTIFS(tData[SEHTrajectPeriodeDatumTijdVan],"&lt;="&amp;($A398+6/24),tData[SEHTrajectPeriodeDatumTijdTotEnMet],"&gt;"&amp;($A398+6/24))</f>
        <v/>
      </c>
      <c r="K398" s="20">
        <f>COUNTIFS(tData[SEHTrajectPeriodeDatumTijdVan],"&lt;="&amp;($A398+7/24),tData[SEHTrajectPeriodeDatumTijdTotEnMet],"&gt;"&amp;($A398+7/24))</f>
        <v/>
      </c>
      <c r="L398" s="20">
        <f>COUNTIFS(tData[SEHTrajectPeriodeDatumTijdVan],"&lt;="&amp;($A398+8/24),tData[SEHTrajectPeriodeDatumTijdTotEnMet],"&gt;"&amp;($A398+8/24))</f>
        <v/>
      </c>
      <c r="M398" s="20">
        <f>COUNTIFS(tData[SEHTrajectPeriodeDatumTijdVan],"&lt;="&amp;($A398+9/24),tData[SEHTrajectPeriodeDatumTijdTotEnMet],"&gt;"&amp;($A398+9/24))</f>
        <v/>
      </c>
      <c r="N398" s="20">
        <f>COUNTIFS(tData[SEHTrajectPeriodeDatumTijdVan],"&lt;="&amp;($A398+10/24),tData[SEHTrajectPeriodeDatumTijdTotEnMet],"&gt;"&amp;($A398+10/24))</f>
        <v/>
      </c>
      <c r="O398" s="20">
        <f>COUNTIFS(tData[SEHTrajectPeriodeDatumTijdVan],"&lt;="&amp;($A398+11/24),tData[SEHTrajectPeriodeDatumTijdTotEnMet],"&gt;"&amp;($A398+11/24))</f>
        <v/>
      </c>
      <c r="P398" s="20">
        <f>COUNTIFS(tData[SEHTrajectPeriodeDatumTijdVan],"&lt;="&amp;($A398+12/24),tData[SEHTrajectPeriodeDatumTijdTotEnMet],"&gt;"&amp;($A398+12/24))</f>
        <v/>
      </c>
      <c r="Q398" s="20">
        <f>COUNTIFS(tData[SEHTrajectPeriodeDatumTijdVan],"&lt;="&amp;($A398+13/24),tData[SEHTrajectPeriodeDatumTijdTotEnMet],"&gt;"&amp;($A398+13/24))</f>
        <v/>
      </c>
      <c r="R398" s="20">
        <f>COUNTIFS(tData[SEHTrajectPeriodeDatumTijdVan],"&lt;="&amp;($A398+14/24),tData[SEHTrajectPeriodeDatumTijdTotEnMet],"&gt;"&amp;($A398+14/24))</f>
        <v/>
      </c>
      <c r="S398" s="20">
        <f>COUNTIFS(tData[SEHTrajectPeriodeDatumTijdVan],"&lt;="&amp;($A398+15/24),tData[SEHTrajectPeriodeDatumTijdTotEnMet],"&gt;"&amp;($A398+15/24))</f>
        <v/>
      </c>
      <c r="T398" s="20">
        <f>COUNTIFS(tData[SEHTrajectPeriodeDatumTijdVan],"&lt;="&amp;($A398+16/24),tData[SEHTrajectPeriodeDatumTijdTotEnMet],"&gt;"&amp;($A398+16/24))</f>
        <v/>
      </c>
      <c r="U398" s="20">
        <f>COUNTIFS(tData[SEHTrajectPeriodeDatumTijdVan],"&lt;="&amp;($A398+17/24),tData[SEHTrajectPeriodeDatumTijdTotEnMet],"&gt;"&amp;($A398+17/24))</f>
        <v/>
      </c>
      <c r="V398" s="20">
        <f>COUNTIFS(tData[SEHTrajectPeriodeDatumTijdVan],"&lt;="&amp;($A398+18/24),tData[SEHTrajectPeriodeDatumTijdTotEnMet],"&gt;"&amp;($A398+18/24))</f>
        <v/>
      </c>
      <c r="W398" s="20">
        <f>COUNTIFS(tData[SEHTrajectPeriodeDatumTijdVan],"&lt;="&amp;($A398+19/24),tData[SEHTrajectPeriodeDatumTijdTotEnMet],"&gt;"&amp;($A398+19/24))</f>
        <v/>
      </c>
      <c r="X398" s="20">
        <f>COUNTIFS(tData[SEHTrajectPeriodeDatumTijdVan],"&lt;="&amp;($A398+20/24),tData[SEHTrajectPeriodeDatumTijdTotEnMet],"&gt;"&amp;($A398+20/24))</f>
        <v/>
      </c>
      <c r="Y398" s="20">
        <f>COUNTIFS(tData[SEHTrajectPeriodeDatumTijdVan],"&lt;="&amp;($A398+21/24),tData[SEHTrajectPeriodeDatumTijdTotEnMet],"&gt;"&amp;($A398+21/24))</f>
        <v/>
      </c>
      <c r="Z398" s="20">
        <f>COUNTIFS(tData[SEHTrajectPeriodeDatumTijdVan],"&lt;="&amp;($A398+22/24),tData[SEHTrajectPeriodeDatumTijdTotEnMet],"&gt;"&amp;($A398+22/24))</f>
        <v/>
      </c>
      <c r="AA398" s="20">
        <f>COUNTIFS(tData[SEHTrajectPeriodeDatumTijdVan],"&lt;="&amp;($A398+23/24),tData[SEHTrajectPeriodeDatumTijdTotEnMet],"&gt;"&amp;($A398+23/24))</f>
        <v/>
      </c>
    </row>
    <row r="399">
      <c r="A399" s="19" t="n">
        <v>45687</v>
      </c>
      <c r="B399" s="15">
        <f>WEEKDAY($A399,2)</f>
        <v/>
      </c>
      <c r="C399" s="15">
        <f>IF(AND($A399&gt;=INT(Instellingen!$B$5),$A399&lt;=INT(Instellingen!$B$6)),1,0)</f>
        <v/>
      </c>
      <c r="D399" s="20">
        <f>COUNTIFS(tData[SEHTrajectPeriodeDatumTijdVan],"&lt;="&amp;($A399+0/24),tData[SEHTrajectPeriodeDatumTijdTotEnMet],"&gt;"&amp;($A399+0/24))</f>
        <v/>
      </c>
      <c r="E399" s="20">
        <f>COUNTIFS(tData[SEHTrajectPeriodeDatumTijdVan],"&lt;="&amp;($A399+1/24),tData[SEHTrajectPeriodeDatumTijdTotEnMet],"&gt;"&amp;($A399+1/24))</f>
        <v/>
      </c>
      <c r="F399" s="20">
        <f>COUNTIFS(tData[SEHTrajectPeriodeDatumTijdVan],"&lt;="&amp;($A399+2/24),tData[SEHTrajectPeriodeDatumTijdTotEnMet],"&gt;"&amp;($A399+2/24))</f>
        <v/>
      </c>
      <c r="G399" s="20">
        <f>COUNTIFS(tData[SEHTrajectPeriodeDatumTijdVan],"&lt;="&amp;($A399+3/24),tData[SEHTrajectPeriodeDatumTijdTotEnMet],"&gt;"&amp;($A399+3/24))</f>
        <v/>
      </c>
      <c r="H399" s="20">
        <f>COUNTIFS(tData[SEHTrajectPeriodeDatumTijdVan],"&lt;="&amp;($A399+4/24),tData[SEHTrajectPeriodeDatumTijdTotEnMet],"&gt;"&amp;($A399+4/24))</f>
        <v/>
      </c>
      <c r="I399" s="20">
        <f>COUNTIFS(tData[SEHTrajectPeriodeDatumTijdVan],"&lt;="&amp;($A399+5/24),tData[SEHTrajectPeriodeDatumTijdTotEnMet],"&gt;"&amp;($A399+5/24))</f>
        <v/>
      </c>
      <c r="J399" s="20">
        <f>COUNTIFS(tData[SEHTrajectPeriodeDatumTijdVan],"&lt;="&amp;($A399+6/24),tData[SEHTrajectPeriodeDatumTijdTotEnMet],"&gt;"&amp;($A399+6/24))</f>
        <v/>
      </c>
      <c r="K399" s="20">
        <f>COUNTIFS(tData[SEHTrajectPeriodeDatumTijdVan],"&lt;="&amp;($A399+7/24),tData[SEHTrajectPeriodeDatumTijdTotEnMet],"&gt;"&amp;($A399+7/24))</f>
        <v/>
      </c>
      <c r="L399" s="20">
        <f>COUNTIFS(tData[SEHTrajectPeriodeDatumTijdVan],"&lt;="&amp;($A399+8/24),tData[SEHTrajectPeriodeDatumTijdTotEnMet],"&gt;"&amp;($A399+8/24))</f>
        <v/>
      </c>
      <c r="M399" s="20">
        <f>COUNTIFS(tData[SEHTrajectPeriodeDatumTijdVan],"&lt;="&amp;($A399+9/24),tData[SEHTrajectPeriodeDatumTijdTotEnMet],"&gt;"&amp;($A399+9/24))</f>
        <v/>
      </c>
      <c r="N399" s="20">
        <f>COUNTIFS(tData[SEHTrajectPeriodeDatumTijdVan],"&lt;="&amp;($A399+10/24),tData[SEHTrajectPeriodeDatumTijdTotEnMet],"&gt;"&amp;($A399+10/24))</f>
        <v/>
      </c>
      <c r="O399" s="20">
        <f>COUNTIFS(tData[SEHTrajectPeriodeDatumTijdVan],"&lt;="&amp;($A399+11/24),tData[SEHTrajectPeriodeDatumTijdTotEnMet],"&gt;"&amp;($A399+11/24))</f>
        <v/>
      </c>
      <c r="P399" s="20">
        <f>COUNTIFS(tData[SEHTrajectPeriodeDatumTijdVan],"&lt;="&amp;($A399+12/24),tData[SEHTrajectPeriodeDatumTijdTotEnMet],"&gt;"&amp;($A399+12/24))</f>
        <v/>
      </c>
      <c r="Q399" s="20">
        <f>COUNTIFS(tData[SEHTrajectPeriodeDatumTijdVan],"&lt;="&amp;($A399+13/24),tData[SEHTrajectPeriodeDatumTijdTotEnMet],"&gt;"&amp;($A399+13/24))</f>
        <v/>
      </c>
      <c r="R399" s="20">
        <f>COUNTIFS(tData[SEHTrajectPeriodeDatumTijdVan],"&lt;="&amp;($A399+14/24),tData[SEHTrajectPeriodeDatumTijdTotEnMet],"&gt;"&amp;($A399+14/24))</f>
        <v/>
      </c>
      <c r="S399" s="20">
        <f>COUNTIFS(tData[SEHTrajectPeriodeDatumTijdVan],"&lt;="&amp;($A399+15/24),tData[SEHTrajectPeriodeDatumTijdTotEnMet],"&gt;"&amp;($A399+15/24))</f>
        <v/>
      </c>
      <c r="T399" s="20">
        <f>COUNTIFS(tData[SEHTrajectPeriodeDatumTijdVan],"&lt;="&amp;($A399+16/24),tData[SEHTrajectPeriodeDatumTijdTotEnMet],"&gt;"&amp;($A399+16/24))</f>
        <v/>
      </c>
      <c r="U399" s="20">
        <f>COUNTIFS(tData[SEHTrajectPeriodeDatumTijdVan],"&lt;="&amp;($A399+17/24),tData[SEHTrajectPeriodeDatumTijdTotEnMet],"&gt;"&amp;($A399+17/24))</f>
        <v/>
      </c>
      <c r="V399" s="20">
        <f>COUNTIFS(tData[SEHTrajectPeriodeDatumTijdVan],"&lt;="&amp;($A399+18/24),tData[SEHTrajectPeriodeDatumTijdTotEnMet],"&gt;"&amp;($A399+18/24))</f>
        <v/>
      </c>
      <c r="W399" s="20">
        <f>COUNTIFS(tData[SEHTrajectPeriodeDatumTijdVan],"&lt;="&amp;($A399+19/24),tData[SEHTrajectPeriodeDatumTijdTotEnMet],"&gt;"&amp;($A399+19/24))</f>
        <v/>
      </c>
      <c r="X399" s="20">
        <f>COUNTIFS(tData[SEHTrajectPeriodeDatumTijdVan],"&lt;="&amp;($A399+20/24),tData[SEHTrajectPeriodeDatumTijdTotEnMet],"&gt;"&amp;($A399+20/24))</f>
        <v/>
      </c>
      <c r="Y399" s="20">
        <f>COUNTIFS(tData[SEHTrajectPeriodeDatumTijdVan],"&lt;="&amp;($A399+21/24),tData[SEHTrajectPeriodeDatumTijdTotEnMet],"&gt;"&amp;($A399+21/24))</f>
        <v/>
      </c>
      <c r="Z399" s="20">
        <f>COUNTIFS(tData[SEHTrajectPeriodeDatumTijdVan],"&lt;="&amp;($A399+22/24),tData[SEHTrajectPeriodeDatumTijdTotEnMet],"&gt;"&amp;($A399+22/24))</f>
        <v/>
      </c>
      <c r="AA399" s="20">
        <f>COUNTIFS(tData[SEHTrajectPeriodeDatumTijdVan],"&lt;="&amp;($A399+23/24),tData[SEHTrajectPeriodeDatumTijdTotEnMet],"&gt;"&amp;($A399+23/24))</f>
        <v/>
      </c>
    </row>
    <row r="400">
      <c r="A400" s="19" t="n">
        <v>45688</v>
      </c>
      <c r="B400" s="15">
        <f>WEEKDAY($A400,2)</f>
        <v/>
      </c>
      <c r="C400" s="15">
        <f>IF(AND($A400&gt;=INT(Instellingen!$B$5),$A400&lt;=INT(Instellingen!$B$6)),1,0)</f>
        <v/>
      </c>
      <c r="D400" s="20">
        <f>COUNTIFS(tData[SEHTrajectPeriodeDatumTijdVan],"&lt;="&amp;($A400+0/24),tData[SEHTrajectPeriodeDatumTijdTotEnMet],"&gt;"&amp;($A400+0/24))</f>
        <v/>
      </c>
      <c r="E400" s="20">
        <f>COUNTIFS(tData[SEHTrajectPeriodeDatumTijdVan],"&lt;="&amp;($A400+1/24),tData[SEHTrajectPeriodeDatumTijdTotEnMet],"&gt;"&amp;($A400+1/24))</f>
        <v/>
      </c>
      <c r="F400" s="20">
        <f>COUNTIFS(tData[SEHTrajectPeriodeDatumTijdVan],"&lt;="&amp;($A400+2/24),tData[SEHTrajectPeriodeDatumTijdTotEnMet],"&gt;"&amp;($A400+2/24))</f>
        <v/>
      </c>
      <c r="G400" s="20">
        <f>COUNTIFS(tData[SEHTrajectPeriodeDatumTijdVan],"&lt;="&amp;($A400+3/24),tData[SEHTrajectPeriodeDatumTijdTotEnMet],"&gt;"&amp;($A400+3/24))</f>
        <v/>
      </c>
      <c r="H400" s="20">
        <f>COUNTIFS(tData[SEHTrajectPeriodeDatumTijdVan],"&lt;="&amp;($A400+4/24),tData[SEHTrajectPeriodeDatumTijdTotEnMet],"&gt;"&amp;($A400+4/24))</f>
        <v/>
      </c>
      <c r="I400" s="20">
        <f>COUNTIFS(tData[SEHTrajectPeriodeDatumTijdVan],"&lt;="&amp;($A400+5/24),tData[SEHTrajectPeriodeDatumTijdTotEnMet],"&gt;"&amp;($A400+5/24))</f>
        <v/>
      </c>
      <c r="J400" s="20">
        <f>COUNTIFS(tData[SEHTrajectPeriodeDatumTijdVan],"&lt;="&amp;($A400+6/24),tData[SEHTrajectPeriodeDatumTijdTotEnMet],"&gt;"&amp;($A400+6/24))</f>
        <v/>
      </c>
      <c r="K400" s="20">
        <f>COUNTIFS(tData[SEHTrajectPeriodeDatumTijdVan],"&lt;="&amp;($A400+7/24),tData[SEHTrajectPeriodeDatumTijdTotEnMet],"&gt;"&amp;($A400+7/24))</f>
        <v/>
      </c>
      <c r="L400" s="20">
        <f>COUNTIFS(tData[SEHTrajectPeriodeDatumTijdVan],"&lt;="&amp;($A400+8/24),tData[SEHTrajectPeriodeDatumTijdTotEnMet],"&gt;"&amp;($A400+8/24))</f>
        <v/>
      </c>
      <c r="M400" s="20">
        <f>COUNTIFS(tData[SEHTrajectPeriodeDatumTijdVan],"&lt;="&amp;($A400+9/24),tData[SEHTrajectPeriodeDatumTijdTotEnMet],"&gt;"&amp;($A400+9/24))</f>
        <v/>
      </c>
      <c r="N400" s="20">
        <f>COUNTIFS(tData[SEHTrajectPeriodeDatumTijdVan],"&lt;="&amp;($A400+10/24),tData[SEHTrajectPeriodeDatumTijdTotEnMet],"&gt;"&amp;($A400+10/24))</f>
        <v/>
      </c>
      <c r="O400" s="20">
        <f>COUNTIFS(tData[SEHTrajectPeriodeDatumTijdVan],"&lt;="&amp;($A400+11/24),tData[SEHTrajectPeriodeDatumTijdTotEnMet],"&gt;"&amp;($A400+11/24))</f>
        <v/>
      </c>
      <c r="P400" s="20">
        <f>COUNTIFS(tData[SEHTrajectPeriodeDatumTijdVan],"&lt;="&amp;($A400+12/24),tData[SEHTrajectPeriodeDatumTijdTotEnMet],"&gt;"&amp;($A400+12/24))</f>
        <v/>
      </c>
      <c r="Q400" s="20">
        <f>COUNTIFS(tData[SEHTrajectPeriodeDatumTijdVan],"&lt;="&amp;($A400+13/24),tData[SEHTrajectPeriodeDatumTijdTotEnMet],"&gt;"&amp;($A400+13/24))</f>
        <v/>
      </c>
      <c r="R400" s="20">
        <f>COUNTIFS(tData[SEHTrajectPeriodeDatumTijdVan],"&lt;="&amp;($A400+14/24),tData[SEHTrajectPeriodeDatumTijdTotEnMet],"&gt;"&amp;($A400+14/24))</f>
        <v/>
      </c>
      <c r="S400" s="20">
        <f>COUNTIFS(tData[SEHTrajectPeriodeDatumTijdVan],"&lt;="&amp;($A400+15/24),tData[SEHTrajectPeriodeDatumTijdTotEnMet],"&gt;"&amp;($A400+15/24))</f>
        <v/>
      </c>
      <c r="T400" s="20">
        <f>COUNTIFS(tData[SEHTrajectPeriodeDatumTijdVan],"&lt;="&amp;($A400+16/24),tData[SEHTrajectPeriodeDatumTijdTotEnMet],"&gt;"&amp;($A400+16/24))</f>
        <v/>
      </c>
      <c r="U400" s="20">
        <f>COUNTIFS(tData[SEHTrajectPeriodeDatumTijdVan],"&lt;="&amp;($A400+17/24),tData[SEHTrajectPeriodeDatumTijdTotEnMet],"&gt;"&amp;($A400+17/24))</f>
        <v/>
      </c>
      <c r="V400" s="20">
        <f>COUNTIFS(tData[SEHTrajectPeriodeDatumTijdVan],"&lt;="&amp;($A400+18/24),tData[SEHTrajectPeriodeDatumTijdTotEnMet],"&gt;"&amp;($A400+18/24))</f>
        <v/>
      </c>
      <c r="W400" s="20">
        <f>COUNTIFS(tData[SEHTrajectPeriodeDatumTijdVan],"&lt;="&amp;($A400+19/24),tData[SEHTrajectPeriodeDatumTijdTotEnMet],"&gt;"&amp;($A400+19/24))</f>
        <v/>
      </c>
      <c r="X400" s="20">
        <f>COUNTIFS(tData[SEHTrajectPeriodeDatumTijdVan],"&lt;="&amp;($A400+20/24),tData[SEHTrajectPeriodeDatumTijdTotEnMet],"&gt;"&amp;($A400+20/24))</f>
        <v/>
      </c>
      <c r="Y400" s="20">
        <f>COUNTIFS(tData[SEHTrajectPeriodeDatumTijdVan],"&lt;="&amp;($A400+21/24),tData[SEHTrajectPeriodeDatumTijdTotEnMet],"&gt;"&amp;($A400+21/24))</f>
        <v/>
      </c>
      <c r="Z400" s="20">
        <f>COUNTIFS(tData[SEHTrajectPeriodeDatumTijdVan],"&lt;="&amp;($A400+22/24),tData[SEHTrajectPeriodeDatumTijdTotEnMet],"&gt;"&amp;($A400+22/24))</f>
        <v/>
      </c>
      <c r="AA400" s="20">
        <f>COUNTIFS(tData[SEHTrajectPeriodeDatumTijdVan],"&lt;="&amp;($A400+23/24),tData[SEHTrajectPeriodeDatumTijdTotEnMet],"&gt;"&amp;($A400+23/24))</f>
        <v/>
      </c>
    </row>
    <row r="401">
      <c r="A401" s="19" t="n">
        <v>45689</v>
      </c>
      <c r="B401" s="15">
        <f>WEEKDAY($A401,2)</f>
        <v/>
      </c>
      <c r="C401" s="15">
        <f>IF(AND($A401&gt;=INT(Instellingen!$B$5),$A401&lt;=INT(Instellingen!$B$6)),1,0)</f>
        <v/>
      </c>
      <c r="D401" s="20">
        <f>COUNTIFS(tData[SEHTrajectPeriodeDatumTijdVan],"&lt;="&amp;($A401+0/24),tData[SEHTrajectPeriodeDatumTijdTotEnMet],"&gt;"&amp;($A401+0/24))</f>
        <v/>
      </c>
      <c r="E401" s="20">
        <f>COUNTIFS(tData[SEHTrajectPeriodeDatumTijdVan],"&lt;="&amp;($A401+1/24),tData[SEHTrajectPeriodeDatumTijdTotEnMet],"&gt;"&amp;($A401+1/24))</f>
        <v/>
      </c>
      <c r="F401" s="20">
        <f>COUNTIFS(tData[SEHTrajectPeriodeDatumTijdVan],"&lt;="&amp;($A401+2/24),tData[SEHTrajectPeriodeDatumTijdTotEnMet],"&gt;"&amp;($A401+2/24))</f>
        <v/>
      </c>
      <c r="G401" s="20">
        <f>COUNTIFS(tData[SEHTrajectPeriodeDatumTijdVan],"&lt;="&amp;($A401+3/24),tData[SEHTrajectPeriodeDatumTijdTotEnMet],"&gt;"&amp;($A401+3/24))</f>
        <v/>
      </c>
      <c r="H401" s="20">
        <f>COUNTIFS(tData[SEHTrajectPeriodeDatumTijdVan],"&lt;="&amp;($A401+4/24),tData[SEHTrajectPeriodeDatumTijdTotEnMet],"&gt;"&amp;($A401+4/24))</f>
        <v/>
      </c>
      <c r="I401" s="20">
        <f>COUNTIFS(tData[SEHTrajectPeriodeDatumTijdVan],"&lt;="&amp;($A401+5/24),tData[SEHTrajectPeriodeDatumTijdTotEnMet],"&gt;"&amp;($A401+5/24))</f>
        <v/>
      </c>
      <c r="J401" s="20">
        <f>COUNTIFS(tData[SEHTrajectPeriodeDatumTijdVan],"&lt;="&amp;($A401+6/24),tData[SEHTrajectPeriodeDatumTijdTotEnMet],"&gt;"&amp;($A401+6/24))</f>
        <v/>
      </c>
      <c r="K401" s="20">
        <f>COUNTIFS(tData[SEHTrajectPeriodeDatumTijdVan],"&lt;="&amp;($A401+7/24),tData[SEHTrajectPeriodeDatumTijdTotEnMet],"&gt;"&amp;($A401+7/24))</f>
        <v/>
      </c>
      <c r="L401" s="20">
        <f>COUNTIFS(tData[SEHTrajectPeriodeDatumTijdVan],"&lt;="&amp;($A401+8/24),tData[SEHTrajectPeriodeDatumTijdTotEnMet],"&gt;"&amp;($A401+8/24))</f>
        <v/>
      </c>
      <c r="M401" s="20">
        <f>COUNTIFS(tData[SEHTrajectPeriodeDatumTijdVan],"&lt;="&amp;($A401+9/24),tData[SEHTrajectPeriodeDatumTijdTotEnMet],"&gt;"&amp;($A401+9/24))</f>
        <v/>
      </c>
      <c r="N401" s="20">
        <f>COUNTIFS(tData[SEHTrajectPeriodeDatumTijdVan],"&lt;="&amp;($A401+10/24),tData[SEHTrajectPeriodeDatumTijdTotEnMet],"&gt;"&amp;($A401+10/24))</f>
        <v/>
      </c>
      <c r="O401" s="20">
        <f>COUNTIFS(tData[SEHTrajectPeriodeDatumTijdVan],"&lt;="&amp;($A401+11/24),tData[SEHTrajectPeriodeDatumTijdTotEnMet],"&gt;"&amp;($A401+11/24))</f>
        <v/>
      </c>
      <c r="P401" s="20">
        <f>COUNTIFS(tData[SEHTrajectPeriodeDatumTijdVan],"&lt;="&amp;($A401+12/24),tData[SEHTrajectPeriodeDatumTijdTotEnMet],"&gt;"&amp;($A401+12/24))</f>
        <v/>
      </c>
      <c r="Q401" s="20">
        <f>COUNTIFS(tData[SEHTrajectPeriodeDatumTijdVan],"&lt;="&amp;($A401+13/24),tData[SEHTrajectPeriodeDatumTijdTotEnMet],"&gt;"&amp;($A401+13/24))</f>
        <v/>
      </c>
      <c r="R401" s="20">
        <f>COUNTIFS(tData[SEHTrajectPeriodeDatumTijdVan],"&lt;="&amp;($A401+14/24),tData[SEHTrajectPeriodeDatumTijdTotEnMet],"&gt;"&amp;($A401+14/24))</f>
        <v/>
      </c>
      <c r="S401" s="20">
        <f>COUNTIFS(tData[SEHTrajectPeriodeDatumTijdVan],"&lt;="&amp;($A401+15/24),tData[SEHTrajectPeriodeDatumTijdTotEnMet],"&gt;"&amp;($A401+15/24))</f>
        <v/>
      </c>
      <c r="T401" s="20">
        <f>COUNTIFS(tData[SEHTrajectPeriodeDatumTijdVan],"&lt;="&amp;($A401+16/24),tData[SEHTrajectPeriodeDatumTijdTotEnMet],"&gt;"&amp;($A401+16/24))</f>
        <v/>
      </c>
      <c r="U401" s="20">
        <f>COUNTIFS(tData[SEHTrajectPeriodeDatumTijdVan],"&lt;="&amp;($A401+17/24),tData[SEHTrajectPeriodeDatumTijdTotEnMet],"&gt;"&amp;($A401+17/24))</f>
        <v/>
      </c>
      <c r="V401" s="20">
        <f>COUNTIFS(tData[SEHTrajectPeriodeDatumTijdVan],"&lt;="&amp;($A401+18/24),tData[SEHTrajectPeriodeDatumTijdTotEnMet],"&gt;"&amp;($A401+18/24))</f>
        <v/>
      </c>
      <c r="W401" s="20">
        <f>COUNTIFS(tData[SEHTrajectPeriodeDatumTijdVan],"&lt;="&amp;($A401+19/24),tData[SEHTrajectPeriodeDatumTijdTotEnMet],"&gt;"&amp;($A401+19/24))</f>
        <v/>
      </c>
      <c r="X401" s="20">
        <f>COUNTIFS(tData[SEHTrajectPeriodeDatumTijdVan],"&lt;="&amp;($A401+20/24),tData[SEHTrajectPeriodeDatumTijdTotEnMet],"&gt;"&amp;($A401+20/24))</f>
        <v/>
      </c>
      <c r="Y401" s="20">
        <f>COUNTIFS(tData[SEHTrajectPeriodeDatumTijdVan],"&lt;="&amp;($A401+21/24),tData[SEHTrajectPeriodeDatumTijdTotEnMet],"&gt;"&amp;($A401+21/24))</f>
        <v/>
      </c>
      <c r="Z401" s="20">
        <f>COUNTIFS(tData[SEHTrajectPeriodeDatumTijdVan],"&lt;="&amp;($A401+22/24),tData[SEHTrajectPeriodeDatumTijdTotEnMet],"&gt;"&amp;($A401+22/24))</f>
        <v/>
      </c>
      <c r="AA401" s="20">
        <f>COUNTIFS(tData[SEHTrajectPeriodeDatumTijdVan],"&lt;="&amp;($A401+23/24),tData[SEHTrajectPeriodeDatumTijdTotEnMet],"&gt;"&amp;($A401+23/24))</f>
        <v/>
      </c>
    </row>
    <row r="402">
      <c r="A402" s="19" t="n">
        <v>45690</v>
      </c>
      <c r="B402" s="15">
        <f>WEEKDAY($A402,2)</f>
        <v/>
      </c>
      <c r="C402" s="15">
        <f>IF(AND($A402&gt;=INT(Instellingen!$B$5),$A402&lt;=INT(Instellingen!$B$6)),1,0)</f>
        <v/>
      </c>
      <c r="D402" s="20">
        <f>COUNTIFS(tData[SEHTrajectPeriodeDatumTijdVan],"&lt;="&amp;($A402+0/24),tData[SEHTrajectPeriodeDatumTijdTotEnMet],"&gt;"&amp;($A402+0/24))</f>
        <v/>
      </c>
      <c r="E402" s="20">
        <f>COUNTIFS(tData[SEHTrajectPeriodeDatumTijdVan],"&lt;="&amp;($A402+1/24),tData[SEHTrajectPeriodeDatumTijdTotEnMet],"&gt;"&amp;($A402+1/24))</f>
        <v/>
      </c>
      <c r="F402" s="20">
        <f>COUNTIFS(tData[SEHTrajectPeriodeDatumTijdVan],"&lt;="&amp;($A402+2/24),tData[SEHTrajectPeriodeDatumTijdTotEnMet],"&gt;"&amp;($A402+2/24))</f>
        <v/>
      </c>
      <c r="G402" s="20">
        <f>COUNTIFS(tData[SEHTrajectPeriodeDatumTijdVan],"&lt;="&amp;($A402+3/24),tData[SEHTrajectPeriodeDatumTijdTotEnMet],"&gt;"&amp;($A402+3/24))</f>
        <v/>
      </c>
      <c r="H402" s="20">
        <f>COUNTIFS(tData[SEHTrajectPeriodeDatumTijdVan],"&lt;="&amp;($A402+4/24),tData[SEHTrajectPeriodeDatumTijdTotEnMet],"&gt;"&amp;($A402+4/24))</f>
        <v/>
      </c>
      <c r="I402" s="20">
        <f>COUNTIFS(tData[SEHTrajectPeriodeDatumTijdVan],"&lt;="&amp;($A402+5/24),tData[SEHTrajectPeriodeDatumTijdTotEnMet],"&gt;"&amp;($A402+5/24))</f>
        <v/>
      </c>
      <c r="J402" s="20">
        <f>COUNTIFS(tData[SEHTrajectPeriodeDatumTijdVan],"&lt;="&amp;($A402+6/24),tData[SEHTrajectPeriodeDatumTijdTotEnMet],"&gt;"&amp;($A402+6/24))</f>
        <v/>
      </c>
      <c r="K402" s="20">
        <f>COUNTIFS(tData[SEHTrajectPeriodeDatumTijdVan],"&lt;="&amp;($A402+7/24),tData[SEHTrajectPeriodeDatumTijdTotEnMet],"&gt;"&amp;($A402+7/24))</f>
        <v/>
      </c>
      <c r="L402" s="20">
        <f>COUNTIFS(tData[SEHTrajectPeriodeDatumTijdVan],"&lt;="&amp;($A402+8/24),tData[SEHTrajectPeriodeDatumTijdTotEnMet],"&gt;"&amp;($A402+8/24))</f>
        <v/>
      </c>
      <c r="M402" s="20">
        <f>COUNTIFS(tData[SEHTrajectPeriodeDatumTijdVan],"&lt;="&amp;($A402+9/24),tData[SEHTrajectPeriodeDatumTijdTotEnMet],"&gt;"&amp;($A402+9/24))</f>
        <v/>
      </c>
      <c r="N402" s="20">
        <f>COUNTIFS(tData[SEHTrajectPeriodeDatumTijdVan],"&lt;="&amp;($A402+10/24),tData[SEHTrajectPeriodeDatumTijdTotEnMet],"&gt;"&amp;($A402+10/24))</f>
        <v/>
      </c>
      <c r="O402" s="20">
        <f>COUNTIFS(tData[SEHTrajectPeriodeDatumTijdVan],"&lt;="&amp;($A402+11/24),tData[SEHTrajectPeriodeDatumTijdTotEnMet],"&gt;"&amp;($A402+11/24))</f>
        <v/>
      </c>
      <c r="P402" s="20">
        <f>COUNTIFS(tData[SEHTrajectPeriodeDatumTijdVan],"&lt;="&amp;($A402+12/24),tData[SEHTrajectPeriodeDatumTijdTotEnMet],"&gt;"&amp;($A402+12/24))</f>
        <v/>
      </c>
      <c r="Q402" s="20">
        <f>COUNTIFS(tData[SEHTrajectPeriodeDatumTijdVan],"&lt;="&amp;($A402+13/24),tData[SEHTrajectPeriodeDatumTijdTotEnMet],"&gt;"&amp;($A402+13/24))</f>
        <v/>
      </c>
      <c r="R402" s="20">
        <f>COUNTIFS(tData[SEHTrajectPeriodeDatumTijdVan],"&lt;="&amp;($A402+14/24),tData[SEHTrajectPeriodeDatumTijdTotEnMet],"&gt;"&amp;($A402+14/24))</f>
        <v/>
      </c>
      <c r="S402" s="20">
        <f>COUNTIFS(tData[SEHTrajectPeriodeDatumTijdVan],"&lt;="&amp;($A402+15/24),tData[SEHTrajectPeriodeDatumTijdTotEnMet],"&gt;"&amp;($A402+15/24))</f>
        <v/>
      </c>
      <c r="T402" s="20">
        <f>COUNTIFS(tData[SEHTrajectPeriodeDatumTijdVan],"&lt;="&amp;($A402+16/24),tData[SEHTrajectPeriodeDatumTijdTotEnMet],"&gt;"&amp;($A402+16/24))</f>
        <v/>
      </c>
      <c r="U402" s="20">
        <f>COUNTIFS(tData[SEHTrajectPeriodeDatumTijdVan],"&lt;="&amp;($A402+17/24),tData[SEHTrajectPeriodeDatumTijdTotEnMet],"&gt;"&amp;($A402+17/24))</f>
        <v/>
      </c>
      <c r="V402" s="20">
        <f>COUNTIFS(tData[SEHTrajectPeriodeDatumTijdVan],"&lt;="&amp;($A402+18/24),tData[SEHTrajectPeriodeDatumTijdTotEnMet],"&gt;"&amp;($A402+18/24))</f>
        <v/>
      </c>
      <c r="W402" s="20">
        <f>COUNTIFS(tData[SEHTrajectPeriodeDatumTijdVan],"&lt;="&amp;($A402+19/24),tData[SEHTrajectPeriodeDatumTijdTotEnMet],"&gt;"&amp;($A402+19/24))</f>
        <v/>
      </c>
      <c r="X402" s="20">
        <f>COUNTIFS(tData[SEHTrajectPeriodeDatumTijdVan],"&lt;="&amp;($A402+20/24),tData[SEHTrajectPeriodeDatumTijdTotEnMet],"&gt;"&amp;($A402+20/24))</f>
        <v/>
      </c>
      <c r="Y402" s="20">
        <f>COUNTIFS(tData[SEHTrajectPeriodeDatumTijdVan],"&lt;="&amp;($A402+21/24),tData[SEHTrajectPeriodeDatumTijdTotEnMet],"&gt;"&amp;($A402+21/24))</f>
        <v/>
      </c>
      <c r="Z402" s="20">
        <f>COUNTIFS(tData[SEHTrajectPeriodeDatumTijdVan],"&lt;="&amp;($A402+22/24),tData[SEHTrajectPeriodeDatumTijdTotEnMet],"&gt;"&amp;($A402+22/24))</f>
        <v/>
      </c>
      <c r="AA402" s="20">
        <f>COUNTIFS(tData[SEHTrajectPeriodeDatumTijdVan],"&lt;="&amp;($A402+23/24),tData[SEHTrajectPeriodeDatumTijdTotEnMet],"&gt;"&amp;($A402+23/24))</f>
        <v/>
      </c>
    </row>
    <row r="403">
      <c r="A403" s="19" t="n">
        <v>45691</v>
      </c>
      <c r="B403" s="15">
        <f>WEEKDAY($A403,2)</f>
        <v/>
      </c>
      <c r="C403" s="15">
        <f>IF(AND($A403&gt;=INT(Instellingen!$B$5),$A403&lt;=INT(Instellingen!$B$6)),1,0)</f>
        <v/>
      </c>
      <c r="D403" s="20">
        <f>COUNTIFS(tData[SEHTrajectPeriodeDatumTijdVan],"&lt;="&amp;($A403+0/24),tData[SEHTrajectPeriodeDatumTijdTotEnMet],"&gt;"&amp;($A403+0/24))</f>
        <v/>
      </c>
      <c r="E403" s="20">
        <f>COUNTIFS(tData[SEHTrajectPeriodeDatumTijdVan],"&lt;="&amp;($A403+1/24),tData[SEHTrajectPeriodeDatumTijdTotEnMet],"&gt;"&amp;($A403+1/24))</f>
        <v/>
      </c>
      <c r="F403" s="20">
        <f>COUNTIFS(tData[SEHTrajectPeriodeDatumTijdVan],"&lt;="&amp;($A403+2/24),tData[SEHTrajectPeriodeDatumTijdTotEnMet],"&gt;"&amp;($A403+2/24))</f>
        <v/>
      </c>
      <c r="G403" s="20">
        <f>COUNTIFS(tData[SEHTrajectPeriodeDatumTijdVan],"&lt;="&amp;($A403+3/24),tData[SEHTrajectPeriodeDatumTijdTotEnMet],"&gt;"&amp;($A403+3/24))</f>
        <v/>
      </c>
      <c r="H403" s="20">
        <f>COUNTIFS(tData[SEHTrajectPeriodeDatumTijdVan],"&lt;="&amp;($A403+4/24),tData[SEHTrajectPeriodeDatumTijdTotEnMet],"&gt;"&amp;($A403+4/24))</f>
        <v/>
      </c>
      <c r="I403" s="20">
        <f>COUNTIFS(tData[SEHTrajectPeriodeDatumTijdVan],"&lt;="&amp;($A403+5/24),tData[SEHTrajectPeriodeDatumTijdTotEnMet],"&gt;"&amp;($A403+5/24))</f>
        <v/>
      </c>
      <c r="J403" s="20">
        <f>COUNTIFS(tData[SEHTrajectPeriodeDatumTijdVan],"&lt;="&amp;($A403+6/24),tData[SEHTrajectPeriodeDatumTijdTotEnMet],"&gt;"&amp;($A403+6/24))</f>
        <v/>
      </c>
      <c r="K403" s="20">
        <f>COUNTIFS(tData[SEHTrajectPeriodeDatumTijdVan],"&lt;="&amp;($A403+7/24),tData[SEHTrajectPeriodeDatumTijdTotEnMet],"&gt;"&amp;($A403+7/24))</f>
        <v/>
      </c>
      <c r="L403" s="20">
        <f>COUNTIFS(tData[SEHTrajectPeriodeDatumTijdVan],"&lt;="&amp;($A403+8/24),tData[SEHTrajectPeriodeDatumTijdTotEnMet],"&gt;"&amp;($A403+8/24))</f>
        <v/>
      </c>
      <c r="M403" s="20">
        <f>COUNTIFS(tData[SEHTrajectPeriodeDatumTijdVan],"&lt;="&amp;($A403+9/24),tData[SEHTrajectPeriodeDatumTijdTotEnMet],"&gt;"&amp;($A403+9/24))</f>
        <v/>
      </c>
      <c r="N403" s="20">
        <f>COUNTIFS(tData[SEHTrajectPeriodeDatumTijdVan],"&lt;="&amp;($A403+10/24),tData[SEHTrajectPeriodeDatumTijdTotEnMet],"&gt;"&amp;($A403+10/24))</f>
        <v/>
      </c>
      <c r="O403" s="20">
        <f>COUNTIFS(tData[SEHTrajectPeriodeDatumTijdVan],"&lt;="&amp;($A403+11/24),tData[SEHTrajectPeriodeDatumTijdTotEnMet],"&gt;"&amp;($A403+11/24))</f>
        <v/>
      </c>
      <c r="P403" s="20">
        <f>COUNTIFS(tData[SEHTrajectPeriodeDatumTijdVan],"&lt;="&amp;($A403+12/24),tData[SEHTrajectPeriodeDatumTijdTotEnMet],"&gt;"&amp;($A403+12/24))</f>
        <v/>
      </c>
      <c r="Q403" s="20">
        <f>COUNTIFS(tData[SEHTrajectPeriodeDatumTijdVan],"&lt;="&amp;($A403+13/24),tData[SEHTrajectPeriodeDatumTijdTotEnMet],"&gt;"&amp;($A403+13/24))</f>
        <v/>
      </c>
      <c r="R403" s="20">
        <f>COUNTIFS(tData[SEHTrajectPeriodeDatumTijdVan],"&lt;="&amp;($A403+14/24),tData[SEHTrajectPeriodeDatumTijdTotEnMet],"&gt;"&amp;($A403+14/24))</f>
        <v/>
      </c>
      <c r="S403" s="20">
        <f>COUNTIFS(tData[SEHTrajectPeriodeDatumTijdVan],"&lt;="&amp;($A403+15/24),tData[SEHTrajectPeriodeDatumTijdTotEnMet],"&gt;"&amp;($A403+15/24))</f>
        <v/>
      </c>
      <c r="T403" s="20">
        <f>COUNTIFS(tData[SEHTrajectPeriodeDatumTijdVan],"&lt;="&amp;($A403+16/24),tData[SEHTrajectPeriodeDatumTijdTotEnMet],"&gt;"&amp;($A403+16/24))</f>
        <v/>
      </c>
      <c r="U403" s="20">
        <f>COUNTIFS(tData[SEHTrajectPeriodeDatumTijdVan],"&lt;="&amp;($A403+17/24),tData[SEHTrajectPeriodeDatumTijdTotEnMet],"&gt;"&amp;($A403+17/24))</f>
        <v/>
      </c>
      <c r="V403" s="20">
        <f>COUNTIFS(tData[SEHTrajectPeriodeDatumTijdVan],"&lt;="&amp;($A403+18/24),tData[SEHTrajectPeriodeDatumTijdTotEnMet],"&gt;"&amp;($A403+18/24))</f>
        <v/>
      </c>
      <c r="W403" s="20">
        <f>COUNTIFS(tData[SEHTrajectPeriodeDatumTijdVan],"&lt;="&amp;($A403+19/24),tData[SEHTrajectPeriodeDatumTijdTotEnMet],"&gt;"&amp;($A403+19/24))</f>
        <v/>
      </c>
      <c r="X403" s="20">
        <f>COUNTIFS(tData[SEHTrajectPeriodeDatumTijdVan],"&lt;="&amp;($A403+20/24),tData[SEHTrajectPeriodeDatumTijdTotEnMet],"&gt;"&amp;($A403+20/24))</f>
        <v/>
      </c>
      <c r="Y403" s="20">
        <f>COUNTIFS(tData[SEHTrajectPeriodeDatumTijdVan],"&lt;="&amp;($A403+21/24),tData[SEHTrajectPeriodeDatumTijdTotEnMet],"&gt;"&amp;($A403+21/24))</f>
        <v/>
      </c>
      <c r="Z403" s="20">
        <f>COUNTIFS(tData[SEHTrajectPeriodeDatumTijdVan],"&lt;="&amp;($A403+22/24),tData[SEHTrajectPeriodeDatumTijdTotEnMet],"&gt;"&amp;($A403+22/24))</f>
        <v/>
      </c>
      <c r="AA403" s="20">
        <f>COUNTIFS(tData[SEHTrajectPeriodeDatumTijdVan],"&lt;="&amp;($A403+23/24),tData[SEHTrajectPeriodeDatumTijdTotEnMet],"&gt;"&amp;($A403+23/24))</f>
        <v/>
      </c>
    </row>
    <row r="404">
      <c r="A404" s="19" t="n">
        <v>45692</v>
      </c>
      <c r="B404" s="15">
        <f>WEEKDAY($A404,2)</f>
        <v/>
      </c>
      <c r="C404" s="15">
        <f>IF(AND($A404&gt;=INT(Instellingen!$B$5),$A404&lt;=INT(Instellingen!$B$6)),1,0)</f>
        <v/>
      </c>
      <c r="D404" s="20">
        <f>COUNTIFS(tData[SEHTrajectPeriodeDatumTijdVan],"&lt;="&amp;($A404+0/24),tData[SEHTrajectPeriodeDatumTijdTotEnMet],"&gt;"&amp;($A404+0/24))</f>
        <v/>
      </c>
      <c r="E404" s="20">
        <f>COUNTIFS(tData[SEHTrajectPeriodeDatumTijdVan],"&lt;="&amp;($A404+1/24),tData[SEHTrajectPeriodeDatumTijdTotEnMet],"&gt;"&amp;($A404+1/24))</f>
        <v/>
      </c>
      <c r="F404" s="20">
        <f>COUNTIFS(tData[SEHTrajectPeriodeDatumTijdVan],"&lt;="&amp;($A404+2/24),tData[SEHTrajectPeriodeDatumTijdTotEnMet],"&gt;"&amp;($A404+2/24))</f>
        <v/>
      </c>
      <c r="G404" s="20">
        <f>COUNTIFS(tData[SEHTrajectPeriodeDatumTijdVan],"&lt;="&amp;($A404+3/24),tData[SEHTrajectPeriodeDatumTijdTotEnMet],"&gt;"&amp;($A404+3/24))</f>
        <v/>
      </c>
      <c r="H404" s="20">
        <f>COUNTIFS(tData[SEHTrajectPeriodeDatumTijdVan],"&lt;="&amp;($A404+4/24),tData[SEHTrajectPeriodeDatumTijdTotEnMet],"&gt;"&amp;($A404+4/24))</f>
        <v/>
      </c>
      <c r="I404" s="20">
        <f>COUNTIFS(tData[SEHTrajectPeriodeDatumTijdVan],"&lt;="&amp;($A404+5/24),tData[SEHTrajectPeriodeDatumTijdTotEnMet],"&gt;"&amp;($A404+5/24))</f>
        <v/>
      </c>
      <c r="J404" s="20">
        <f>COUNTIFS(tData[SEHTrajectPeriodeDatumTijdVan],"&lt;="&amp;($A404+6/24),tData[SEHTrajectPeriodeDatumTijdTotEnMet],"&gt;"&amp;($A404+6/24))</f>
        <v/>
      </c>
      <c r="K404" s="20">
        <f>COUNTIFS(tData[SEHTrajectPeriodeDatumTijdVan],"&lt;="&amp;($A404+7/24),tData[SEHTrajectPeriodeDatumTijdTotEnMet],"&gt;"&amp;($A404+7/24))</f>
        <v/>
      </c>
      <c r="L404" s="20">
        <f>COUNTIFS(tData[SEHTrajectPeriodeDatumTijdVan],"&lt;="&amp;($A404+8/24),tData[SEHTrajectPeriodeDatumTijdTotEnMet],"&gt;"&amp;($A404+8/24))</f>
        <v/>
      </c>
      <c r="M404" s="20">
        <f>COUNTIFS(tData[SEHTrajectPeriodeDatumTijdVan],"&lt;="&amp;($A404+9/24),tData[SEHTrajectPeriodeDatumTijdTotEnMet],"&gt;"&amp;($A404+9/24))</f>
        <v/>
      </c>
      <c r="N404" s="20">
        <f>COUNTIFS(tData[SEHTrajectPeriodeDatumTijdVan],"&lt;="&amp;($A404+10/24),tData[SEHTrajectPeriodeDatumTijdTotEnMet],"&gt;"&amp;($A404+10/24))</f>
        <v/>
      </c>
      <c r="O404" s="20">
        <f>COUNTIFS(tData[SEHTrajectPeriodeDatumTijdVan],"&lt;="&amp;($A404+11/24),tData[SEHTrajectPeriodeDatumTijdTotEnMet],"&gt;"&amp;($A404+11/24))</f>
        <v/>
      </c>
      <c r="P404" s="20">
        <f>COUNTIFS(tData[SEHTrajectPeriodeDatumTijdVan],"&lt;="&amp;($A404+12/24),tData[SEHTrajectPeriodeDatumTijdTotEnMet],"&gt;"&amp;($A404+12/24))</f>
        <v/>
      </c>
      <c r="Q404" s="20">
        <f>COUNTIFS(tData[SEHTrajectPeriodeDatumTijdVan],"&lt;="&amp;($A404+13/24),tData[SEHTrajectPeriodeDatumTijdTotEnMet],"&gt;"&amp;($A404+13/24))</f>
        <v/>
      </c>
      <c r="R404" s="20">
        <f>COUNTIFS(tData[SEHTrajectPeriodeDatumTijdVan],"&lt;="&amp;($A404+14/24),tData[SEHTrajectPeriodeDatumTijdTotEnMet],"&gt;"&amp;($A404+14/24))</f>
        <v/>
      </c>
      <c r="S404" s="20">
        <f>COUNTIFS(tData[SEHTrajectPeriodeDatumTijdVan],"&lt;="&amp;($A404+15/24),tData[SEHTrajectPeriodeDatumTijdTotEnMet],"&gt;"&amp;($A404+15/24))</f>
        <v/>
      </c>
      <c r="T404" s="20">
        <f>COUNTIFS(tData[SEHTrajectPeriodeDatumTijdVan],"&lt;="&amp;($A404+16/24),tData[SEHTrajectPeriodeDatumTijdTotEnMet],"&gt;"&amp;($A404+16/24))</f>
        <v/>
      </c>
      <c r="U404" s="20">
        <f>COUNTIFS(tData[SEHTrajectPeriodeDatumTijdVan],"&lt;="&amp;($A404+17/24),tData[SEHTrajectPeriodeDatumTijdTotEnMet],"&gt;"&amp;($A404+17/24))</f>
        <v/>
      </c>
      <c r="V404" s="20">
        <f>COUNTIFS(tData[SEHTrajectPeriodeDatumTijdVan],"&lt;="&amp;($A404+18/24),tData[SEHTrajectPeriodeDatumTijdTotEnMet],"&gt;"&amp;($A404+18/24))</f>
        <v/>
      </c>
      <c r="W404" s="20">
        <f>COUNTIFS(tData[SEHTrajectPeriodeDatumTijdVan],"&lt;="&amp;($A404+19/24),tData[SEHTrajectPeriodeDatumTijdTotEnMet],"&gt;"&amp;($A404+19/24))</f>
        <v/>
      </c>
      <c r="X404" s="20">
        <f>COUNTIFS(tData[SEHTrajectPeriodeDatumTijdVan],"&lt;="&amp;($A404+20/24),tData[SEHTrajectPeriodeDatumTijdTotEnMet],"&gt;"&amp;($A404+20/24))</f>
        <v/>
      </c>
      <c r="Y404" s="20">
        <f>COUNTIFS(tData[SEHTrajectPeriodeDatumTijdVan],"&lt;="&amp;($A404+21/24),tData[SEHTrajectPeriodeDatumTijdTotEnMet],"&gt;"&amp;($A404+21/24))</f>
        <v/>
      </c>
      <c r="Z404" s="20">
        <f>COUNTIFS(tData[SEHTrajectPeriodeDatumTijdVan],"&lt;="&amp;($A404+22/24),tData[SEHTrajectPeriodeDatumTijdTotEnMet],"&gt;"&amp;($A404+22/24))</f>
        <v/>
      </c>
      <c r="AA404" s="20">
        <f>COUNTIFS(tData[SEHTrajectPeriodeDatumTijdVan],"&lt;="&amp;($A404+23/24),tData[SEHTrajectPeriodeDatumTijdTotEnMet],"&gt;"&amp;($A404+23/24))</f>
        <v/>
      </c>
    </row>
    <row r="405">
      <c r="A405" s="19" t="n">
        <v>45693</v>
      </c>
      <c r="B405" s="15">
        <f>WEEKDAY($A405,2)</f>
        <v/>
      </c>
      <c r="C405" s="15">
        <f>IF(AND($A405&gt;=INT(Instellingen!$B$5),$A405&lt;=INT(Instellingen!$B$6)),1,0)</f>
        <v/>
      </c>
      <c r="D405" s="20">
        <f>COUNTIFS(tData[SEHTrajectPeriodeDatumTijdVan],"&lt;="&amp;($A405+0/24),tData[SEHTrajectPeriodeDatumTijdTotEnMet],"&gt;"&amp;($A405+0/24))</f>
        <v/>
      </c>
      <c r="E405" s="20">
        <f>COUNTIFS(tData[SEHTrajectPeriodeDatumTijdVan],"&lt;="&amp;($A405+1/24),tData[SEHTrajectPeriodeDatumTijdTotEnMet],"&gt;"&amp;($A405+1/24))</f>
        <v/>
      </c>
      <c r="F405" s="20">
        <f>COUNTIFS(tData[SEHTrajectPeriodeDatumTijdVan],"&lt;="&amp;($A405+2/24),tData[SEHTrajectPeriodeDatumTijdTotEnMet],"&gt;"&amp;($A405+2/24))</f>
        <v/>
      </c>
      <c r="G405" s="20">
        <f>COUNTIFS(tData[SEHTrajectPeriodeDatumTijdVan],"&lt;="&amp;($A405+3/24),tData[SEHTrajectPeriodeDatumTijdTotEnMet],"&gt;"&amp;($A405+3/24))</f>
        <v/>
      </c>
      <c r="H405" s="20">
        <f>COUNTIFS(tData[SEHTrajectPeriodeDatumTijdVan],"&lt;="&amp;($A405+4/24),tData[SEHTrajectPeriodeDatumTijdTotEnMet],"&gt;"&amp;($A405+4/24))</f>
        <v/>
      </c>
      <c r="I405" s="20">
        <f>COUNTIFS(tData[SEHTrajectPeriodeDatumTijdVan],"&lt;="&amp;($A405+5/24),tData[SEHTrajectPeriodeDatumTijdTotEnMet],"&gt;"&amp;($A405+5/24))</f>
        <v/>
      </c>
      <c r="J405" s="20">
        <f>COUNTIFS(tData[SEHTrajectPeriodeDatumTijdVan],"&lt;="&amp;($A405+6/24),tData[SEHTrajectPeriodeDatumTijdTotEnMet],"&gt;"&amp;($A405+6/24))</f>
        <v/>
      </c>
      <c r="K405" s="20">
        <f>COUNTIFS(tData[SEHTrajectPeriodeDatumTijdVan],"&lt;="&amp;($A405+7/24),tData[SEHTrajectPeriodeDatumTijdTotEnMet],"&gt;"&amp;($A405+7/24))</f>
        <v/>
      </c>
      <c r="L405" s="20">
        <f>COUNTIFS(tData[SEHTrajectPeriodeDatumTijdVan],"&lt;="&amp;($A405+8/24),tData[SEHTrajectPeriodeDatumTijdTotEnMet],"&gt;"&amp;($A405+8/24))</f>
        <v/>
      </c>
      <c r="M405" s="20">
        <f>COUNTIFS(tData[SEHTrajectPeriodeDatumTijdVan],"&lt;="&amp;($A405+9/24),tData[SEHTrajectPeriodeDatumTijdTotEnMet],"&gt;"&amp;($A405+9/24))</f>
        <v/>
      </c>
      <c r="N405" s="20">
        <f>COUNTIFS(tData[SEHTrajectPeriodeDatumTijdVan],"&lt;="&amp;($A405+10/24),tData[SEHTrajectPeriodeDatumTijdTotEnMet],"&gt;"&amp;($A405+10/24))</f>
        <v/>
      </c>
      <c r="O405" s="20">
        <f>COUNTIFS(tData[SEHTrajectPeriodeDatumTijdVan],"&lt;="&amp;($A405+11/24),tData[SEHTrajectPeriodeDatumTijdTotEnMet],"&gt;"&amp;($A405+11/24))</f>
        <v/>
      </c>
      <c r="P405" s="20">
        <f>COUNTIFS(tData[SEHTrajectPeriodeDatumTijdVan],"&lt;="&amp;($A405+12/24),tData[SEHTrajectPeriodeDatumTijdTotEnMet],"&gt;"&amp;($A405+12/24))</f>
        <v/>
      </c>
      <c r="Q405" s="20">
        <f>COUNTIFS(tData[SEHTrajectPeriodeDatumTijdVan],"&lt;="&amp;($A405+13/24),tData[SEHTrajectPeriodeDatumTijdTotEnMet],"&gt;"&amp;($A405+13/24))</f>
        <v/>
      </c>
      <c r="R405" s="20">
        <f>COUNTIFS(tData[SEHTrajectPeriodeDatumTijdVan],"&lt;="&amp;($A405+14/24),tData[SEHTrajectPeriodeDatumTijdTotEnMet],"&gt;"&amp;($A405+14/24))</f>
        <v/>
      </c>
      <c r="S405" s="20">
        <f>COUNTIFS(tData[SEHTrajectPeriodeDatumTijdVan],"&lt;="&amp;($A405+15/24),tData[SEHTrajectPeriodeDatumTijdTotEnMet],"&gt;"&amp;($A405+15/24))</f>
        <v/>
      </c>
      <c r="T405" s="20">
        <f>COUNTIFS(tData[SEHTrajectPeriodeDatumTijdVan],"&lt;="&amp;($A405+16/24),tData[SEHTrajectPeriodeDatumTijdTotEnMet],"&gt;"&amp;($A405+16/24))</f>
        <v/>
      </c>
      <c r="U405" s="20">
        <f>COUNTIFS(tData[SEHTrajectPeriodeDatumTijdVan],"&lt;="&amp;($A405+17/24),tData[SEHTrajectPeriodeDatumTijdTotEnMet],"&gt;"&amp;($A405+17/24))</f>
        <v/>
      </c>
      <c r="V405" s="20">
        <f>COUNTIFS(tData[SEHTrajectPeriodeDatumTijdVan],"&lt;="&amp;($A405+18/24),tData[SEHTrajectPeriodeDatumTijdTotEnMet],"&gt;"&amp;($A405+18/24))</f>
        <v/>
      </c>
      <c r="W405" s="20">
        <f>COUNTIFS(tData[SEHTrajectPeriodeDatumTijdVan],"&lt;="&amp;($A405+19/24),tData[SEHTrajectPeriodeDatumTijdTotEnMet],"&gt;"&amp;($A405+19/24))</f>
        <v/>
      </c>
      <c r="X405" s="20">
        <f>COUNTIFS(tData[SEHTrajectPeriodeDatumTijdVan],"&lt;="&amp;($A405+20/24),tData[SEHTrajectPeriodeDatumTijdTotEnMet],"&gt;"&amp;($A405+20/24))</f>
        <v/>
      </c>
      <c r="Y405" s="20">
        <f>COUNTIFS(tData[SEHTrajectPeriodeDatumTijdVan],"&lt;="&amp;($A405+21/24),tData[SEHTrajectPeriodeDatumTijdTotEnMet],"&gt;"&amp;($A405+21/24))</f>
        <v/>
      </c>
      <c r="Z405" s="20">
        <f>COUNTIFS(tData[SEHTrajectPeriodeDatumTijdVan],"&lt;="&amp;($A405+22/24),tData[SEHTrajectPeriodeDatumTijdTotEnMet],"&gt;"&amp;($A405+22/24))</f>
        <v/>
      </c>
      <c r="AA405" s="20">
        <f>COUNTIFS(tData[SEHTrajectPeriodeDatumTijdVan],"&lt;="&amp;($A405+23/24),tData[SEHTrajectPeriodeDatumTijdTotEnMet],"&gt;"&amp;($A405+23/24))</f>
        <v/>
      </c>
    </row>
    <row r="406">
      <c r="A406" s="19" t="n">
        <v>45694</v>
      </c>
      <c r="B406" s="15">
        <f>WEEKDAY($A406,2)</f>
        <v/>
      </c>
      <c r="C406" s="15">
        <f>IF(AND($A406&gt;=INT(Instellingen!$B$5),$A406&lt;=INT(Instellingen!$B$6)),1,0)</f>
        <v/>
      </c>
      <c r="D406" s="20">
        <f>COUNTIFS(tData[SEHTrajectPeriodeDatumTijdVan],"&lt;="&amp;($A406+0/24),tData[SEHTrajectPeriodeDatumTijdTotEnMet],"&gt;"&amp;($A406+0/24))</f>
        <v/>
      </c>
      <c r="E406" s="20">
        <f>COUNTIFS(tData[SEHTrajectPeriodeDatumTijdVan],"&lt;="&amp;($A406+1/24),tData[SEHTrajectPeriodeDatumTijdTotEnMet],"&gt;"&amp;($A406+1/24))</f>
        <v/>
      </c>
      <c r="F406" s="20">
        <f>COUNTIFS(tData[SEHTrajectPeriodeDatumTijdVan],"&lt;="&amp;($A406+2/24),tData[SEHTrajectPeriodeDatumTijdTotEnMet],"&gt;"&amp;($A406+2/24))</f>
        <v/>
      </c>
      <c r="G406" s="20">
        <f>COUNTIFS(tData[SEHTrajectPeriodeDatumTijdVan],"&lt;="&amp;($A406+3/24),tData[SEHTrajectPeriodeDatumTijdTotEnMet],"&gt;"&amp;($A406+3/24))</f>
        <v/>
      </c>
      <c r="H406" s="20">
        <f>COUNTIFS(tData[SEHTrajectPeriodeDatumTijdVan],"&lt;="&amp;($A406+4/24),tData[SEHTrajectPeriodeDatumTijdTotEnMet],"&gt;"&amp;($A406+4/24))</f>
        <v/>
      </c>
      <c r="I406" s="20">
        <f>COUNTIFS(tData[SEHTrajectPeriodeDatumTijdVan],"&lt;="&amp;($A406+5/24),tData[SEHTrajectPeriodeDatumTijdTotEnMet],"&gt;"&amp;($A406+5/24))</f>
        <v/>
      </c>
      <c r="J406" s="20">
        <f>COUNTIFS(tData[SEHTrajectPeriodeDatumTijdVan],"&lt;="&amp;($A406+6/24),tData[SEHTrajectPeriodeDatumTijdTotEnMet],"&gt;"&amp;($A406+6/24))</f>
        <v/>
      </c>
      <c r="K406" s="20">
        <f>COUNTIFS(tData[SEHTrajectPeriodeDatumTijdVan],"&lt;="&amp;($A406+7/24),tData[SEHTrajectPeriodeDatumTijdTotEnMet],"&gt;"&amp;($A406+7/24))</f>
        <v/>
      </c>
      <c r="L406" s="20">
        <f>COUNTIFS(tData[SEHTrajectPeriodeDatumTijdVan],"&lt;="&amp;($A406+8/24),tData[SEHTrajectPeriodeDatumTijdTotEnMet],"&gt;"&amp;($A406+8/24))</f>
        <v/>
      </c>
      <c r="M406" s="20">
        <f>COUNTIFS(tData[SEHTrajectPeriodeDatumTijdVan],"&lt;="&amp;($A406+9/24),tData[SEHTrajectPeriodeDatumTijdTotEnMet],"&gt;"&amp;($A406+9/24))</f>
        <v/>
      </c>
      <c r="N406" s="20">
        <f>COUNTIFS(tData[SEHTrajectPeriodeDatumTijdVan],"&lt;="&amp;($A406+10/24),tData[SEHTrajectPeriodeDatumTijdTotEnMet],"&gt;"&amp;($A406+10/24))</f>
        <v/>
      </c>
      <c r="O406" s="20">
        <f>COUNTIFS(tData[SEHTrajectPeriodeDatumTijdVan],"&lt;="&amp;($A406+11/24),tData[SEHTrajectPeriodeDatumTijdTotEnMet],"&gt;"&amp;($A406+11/24))</f>
        <v/>
      </c>
      <c r="P406" s="20">
        <f>COUNTIFS(tData[SEHTrajectPeriodeDatumTijdVan],"&lt;="&amp;($A406+12/24),tData[SEHTrajectPeriodeDatumTijdTotEnMet],"&gt;"&amp;($A406+12/24))</f>
        <v/>
      </c>
      <c r="Q406" s="20">
        <f>COUNTIFS(tData[SEHTrajectPeriodeDatumTijdVan],"&lt;="&amp;($A406+13/24),tData[SEHTrajectPeriodeDatumTijdTotEnMet],"&gt;"&amp;($A406+13/24))</f>
        <v/>
      </c>
      <c r="R406" s="20">
        <f>COUNTIFS(tData[SEHTrajectPeriodeDatumTijdVan],"&lt;="&amp;($A406+14/24),tData[SEHTrajectPeriodeDatumTijdTotEnMet],"&gt;"&amp;($A406+14/24))</f>
        <v/>
      </c>
      <c r="S406" s="20">
        <f>COUNTIFS(tData[SEHTrajectPeriodeDatumTijdVan],"&lt;="&amp;($A406+15/24),tData[SEHTrajectPeriodeDatumTijdTotEnMet],"&gt;"&amp;($A406+15/24))</f>
        <v/>
      </c>
      <c r="T406" s="20">
        <f>COUNTIFS(tData[SEHTrajectPeriodeDatumTijdVan],"&lt;="&amp;($A406+16/24),tData[SEHTrajectPeriodeDatumTijdTotEnMet],"&gt;"&amp;($A406+16/24))</f>
        <v/>
      </c>
      <c r="U406" s="20">
        <f>COUNTIFS(tData[SEHTrajectPeriodeDatumTijdVan],"&lt;="&amp;($A406+17/24),tData[SEHTrajectPeriodeDatumTijdTotEnMet],"&gt;"&amp;($A406+17/24))</f>
        <v/>
      </c>
      <c r="V406" s="20">
        <f>COUNTIFS(tData[SEHTrajectPeriodeDatumTijdVan],"&lt;="&amp;($A406+18/24),tData[SEHTrajectPeriodeDatumTijdTotEnMet],"&gt;"&amp;($A406+18/24))</f>
        <v/>
      </c>
      <c r="W406" s="20">
        <f>COUNTIFS(tData[SEHTrajectPeriodeDatumTijdVan],"&lt;="&amp;($A406+19/24),tData[SEHTrajectPeriodeDatumTijdTotEnMet],"&gt;"&amp;($A406+19/24))</f>
        <v/>
      </c>
      <c r="X406" s="20">
        <f>COUNTIFS(tData[SEHTrajectPeriodeDatumTijdVan],"&lt;="&amp;($A406+20/24),tData[SEHTrajectPeriodeDatumTijdTotEnMet],"&gt;"&amp;($A406+20/24))</f>
        <v/>
      </c>
      <c r="Y406" s="20">
        <f>COUNTIFS(tData[SEHTrajectPeriodeDatumTijdVan],"&lt;="&amp;($A406+21/24),tData[SEHTrajectPeriodeDatumTijdTotEnMet],"&gt;"&amp;($A406+21/24))</f>
        <v/>
      </c>
      <c r="Z406" s="20">
        <f>COUNTIFS(tData[SEHTrajectPeriodeDatumTijdVan],"&lt;="&amp;($A406+22/24),tData[SEHTrajectPeriodeDatumTijdTotEnMet],"&gt;"&amp;($A406+22/24))</f>
        <v/>
      </c>
      <c r="AA406" s="20">
        <f>COUNTIFS(tData[SEHTrajectPeriodeDatumTijdVan],"&lt;="&amp;($A406+23/24),tData[SEHTrajectPeriodeDatumTijdTotEnMet],"&gt;"&amp;($A406+23/24))</f>
        <v/>
      </c>
    </row>
    <row r="407">
      <c r="A407" s="19" t="n">
        <v>45695</v>
      </c>
      <c r="B407" s="15">
        <f>WEEKDAY($A407,2)</f>
        <v/>
      </c>
      <c r="C407" s="15">
        <f>IF(AND($A407&gt;=INT(Instellingen!$B$5),$A407&lt;=INT(Instellingen!$B$6)),1,0)</f>
        <v/>
      </c>
      <c r="D407" s="20">
        <f>COUNTIFS(tData[SEHTrajectPeriodeDatumTijdVan],"&lt;="&amp;($A407+0/24),tData[SEHTrajectPeriodeDatumTijdTotEnMet],"&gt;"&amp;($A407+0/24))</f>
        <v/>
      </c>
      <c r="E407" s="20">
        <f>COUNTIFS(tData[SEHTrajectPeriodeDatumTijdVan],"&lt;="&amp;($A407+1/24),tData[SEHTrajectPeriodeDatumTijdTotEnMet],"&gt;"&amp;($A407+1/24))</f>
        <v/>
      </c>
      <c r="F407" s="20">
        <f>COUNTIFS(tData[SEHTrajectPeriodeDatumTijdVan],"&lt;="&amp;($A407+2/24),tData[SEHTrajectPeriodeDatumTijdTotEnMet],"&gt;"&amp;($A407+2/24))</f>
        <v/>
      </c>
      <c r="G407" s="20">
        <f>COUNTIFS(tData[SEHTrajectPeriodeDatumTijdVan],"&lt;="&amp;($A407+3/24),tData[SEHTrajectPeriodeDatumTijdTotEnMet],"&gt;"&amp;($A407+3/24))</f>
        <v/>
      </c>
      <c r="H407" s="20">
        <f>COUNTIFS(tData[SEHTrajectPeriodeDatumTijdVan],"&lt;="&amp;($A407+4/24),tData[SEHTrajectPeriodeDatumTijdTotEnMet],"&gt;"&amp;($A407+4/24))</f>
        <v/>
      </c>
      <c r="I407" s="20">
        <f>COUNTIFS(tData[SEHTrajectPeriodeDatumTijdVan],"&lt;="&amp;($A407+5/24),tData[SEHTrajectPeriodeDatumTijdTotEnMet],"&gt;"&amp;($A407+5/24))</f>
        <v/>
      </c>
      <c r="J407" s="20">
        <f>COUNTIFS(tData[SEHTrajectPeriodeDatumTijdVan],"&lt;="&amp;($A407+6/24),tData[SEHTrajectPeriodeDatumTijdTotEnMet],"&gt;"&amp;($A407+6/24))</f>
        <v/>
      </c>
      <c r="K407" s="20">
        <f>COUNTIFS(tData[SEHTrajectPeriodeDatumTijdVan],"&lt;="&amp;($A407+7/24),tData[SEHTrajectPeriodeDatumTijdTotEnMet],"&gt;"&amp;($A407+7/24))</f>
        <v/>
      </c>
      <c r="L407" s="20">
        <f>COUNTIFS(tData[SEHTrajectPeriodeDatumTijdVan],"&lt;="&amp;($A407+8/24),tData[SEHTrajectPeriodeDatumTijdTotEnMet],"&gt;"&amp;($A407+8/24))</f>
        <v/>
      </c>
      <c r="M407" s="20">
        <f>COUNTIFS(tData[SEHTrajectPeriodeDatumTijdVan],"&lt;="&amp;($A407+9/24),tData[SEHTrajectPeriodeDatumTijdTotEnMet],"&gt;"&amp;($A407+9/24))</f>
        <v/>
      </c>
      <c r="N407" s="20">
        <f>COUNTIFS(tData[SEHTrajectPeriodeDatumTijdVan],"&lt;="&amp;($A407+10/24),tData[SEHTrajectPeriodeDatumTijdTotEnMet],"&gt;"&amp;($A407+10/24))</f>
        <v/>
      </c>
      <c r="O407" s="20">
        <f>COUNTIFS(tData[SEHTrajectPeriodeDatumTijdVan],"&lt;="&amp;($A407+11/24),tData[SEHTrajectPeriodeDatumTijdTotEnMet],"&gt;"&amp;($A407+11/24))</f>
        <v/>
      </c>
      <c r="P407" s="20">
        <f>COUNTIFS(tData[SEHTrajectPeriodeDatumTijdVan],"&lt;="&amp;($A407+12/24),tData[SEHTrajectPeriodeDatumTijdTotEnMet],"&gt;"&amp;($A407+12/24))</f>
        <v/>
      </c>
      <c r="Q407" s="20">
        <f>COUNTIFS(tData[SEHTrajectPeriodeDatumTijdVan],"&lt;="&amp;($A407+13/24),tData[SEHTrajectPeriodeDatumTijdTotEnMet],"&gt;"&amp;($A407+13/24))</f>
        <v/>
      </c>
      <c r="R407" s="20">
        <f>COUNTIFS(tData[SEHTrajectPeriodeDatumTijdVan],"&lt;="&amp;($A407+14/24),tData[SEHTrajectPeriodeDatumTijdTotEnMet],"&gt;"&amp;($A407+14/24))</f>
        <v/>
      </c>
      <c r="S407" s="20">
        <f>COUNTIFS(tData[SEHTrajectPeriodeDatumTijdVan],"&lt;="&amp;($A407+15/24),tData[SEHTrajectPeriodeDatumTijdTotEnMet],"&gt;"&amp;($A407+15/24))</f>
        <v/>
      </c>
      <c r="T407" s="20">
        <f>COUNTIFS(tData[SEHTrajectPeriodeDatumTijdVan],"&lt;="&amp;($A407+16/24),tData[SEHTrajectPeriodeDatumTijdTotEnMet],"&gt;"&amp;($A407+16/24))</f>
        <v/>
      </c>
      <c r="U407" s="20">
        <f>COUNTIFS(tData[SEHTrajectPeriodeDatumTijdVan],"&lt;="&amp;($A407+17/24),tData[SEHTrajectPeriodeDatumTijdTotEnMet],"&gt;"&amp;($A407+17/24))</f>
        <v/>
      </c>
      <c r="V407" s="20">
        <f>COUNTIFS(tData[SEHTrajectPeriodeDatumTijdVan],"&lt;="&amp;($A407+18/24),tData[SEHTrajectPeriodeDatumTijdTotEnMet],"&gt;"&amp;($A407+18/24))</f>
        <v/>
      </c>
      <c r="W407" s="20">
        <f>COUNTIFS(tData[SEHTrajectPeriodeDatumTijdVan],"&lt;="&amp;($A407+19/24),tData[SEHTrajectPeriodeDatumTijdTotEnMet],"&gt;"&amp;($A407+19/24))</f>
        <v/>
      </c>
      <c r="X407" s="20">
        <f>COUNTIFS(tData[SEHTrajectPeriodeDatumTijdVan],"&lt;="&amp;($A407+20/24),tData[SEHTrajectPeriodeDatumTijdTotEnMet],"&gt;"&amp;($A407+20/24))</f>
        <v/>
      </c>
      <c r="Y407" s="20">
        <f>COUNTIFS(tData[SEHTrajectPeriodeDatumTijdVan],"&lt;="&amp;($A407+21/24),tData[SEHTrajectPeriodeDatumTijdTotEnMet],"&gt;"&amp;($A407+21/24))</f>
        <v/>
      </c>
      <c r="Z407" s="20">
        <f>COUNTIFS(tData[SEHTrajectPeriodeDatumTijdVan],"&lt;="&amp;($A407+22/24),tData[SEHTrajectPeriodeDatumTijdTotEnMet],"&gt;"&amp;($A407+22/24))</f>
        <v/>
      </c>
      <c r="AA407" s="20">
        <f>COUNTIFS(tData[SEHTrajectPeriodeDatumTijdVan],"&lt;="&amp;($A407+23/24),tData[SEHTrajectPeriodeDatumTijdTotEnMet],"&gt;"&amp;($A407+23/24))</f>
        <v/>
      </c>
    </row>
    <row r="408">
      <c r="A408" s="19" t="n">
        <v>45696</v>
      </c>
      <c r="B408" s="15">
        <f>WEEKDAY($A408,2)</f>
        <v/>
      </c>
      <c r="C408" s="15">
        <f>IF(AND($A408&gt;=INT(Instellingen!$B$5),$A408&lt;=INT(Instellingen!$B$6)),1,0)</f>
        <v/>
      </c>
      <c r="D408" s="20">
        <f>COUNTIFS(tData[SEHTrajectPeriodeDatumTijdVan],"&lt;="&amp;($A408+0/24),tData[SEHTrajectPeriodeDatumTijdTotEnMet],"&gt;"&amp;($A408+0/24))</f>
        <v/>
      </c>
      <c r="E408" s="20">
        <f>COUNTIFS(tData[SEHTrajectPeriodeDatumTijdVan],"&lt;="&amp;($A408+1/24),tData[SEHTrajectPeriodeDatumTijdTotEnMet],"&gt;"&amp;($A408+1/24))</f>
        <v/>
      </c>
      <c r="F408" s="20">
        <f>COUNTIFS(tData[SEHTrajectPeriodeDatumTijdVan],"&lt;="&amp;($A408+2/24),tData[SEHTrajectPeriodeDatumTijdTotEnMet],"&gt;"&amp;($A408+2/24))</f>
        <v/>
      </c>
      <c r="G408" s="20">
        <f>COUNTIFS(tData[SEHTrajectPeriodeDatumTijdVan],"&lt;="&amp;($A408+3/24),tData[SEHTrajectPeriodeDatumTijdTotEnMet],"&gt;"&amp;($A408+3/24))</f>
        <v/>
      </c>
      <c r="H408" s="20">
        <f>COUNTIFS(tData[SEHTrajectPeriodeDatumTijdVan],"&lt;="&amp;($A408+4/24),tData[SEHTrajectPeriodeDatumTijdTotEnMet],"&gt;"&amp;($A408+4/24))</f>
        <v/>
      </c>
      <c r="I408" s="20">
        <f>COUNTIFS(tData[SEHTrajectPeriodeDatumTijdVan],"&lt;="&amp;($A408+5/24),tData[SEHTrajectPeriodeDatumTijdTotEnMet],"&gt;"&amp;($A408+5/24))</f>
        <v/>
      </c>
      <c r="J408" s="20">
        <f>COUNTIFS(tData[SEHTrajectPeriodeDatumTijdVan],"&lt;="&amp;($A408+6/24),tData[SEHTrajectPeriodeDatumTijdTotEnMet],"&gt;"&amp;($A408+6/24))</f>
        <v/>
      </c>
      <c r="K408" s="20">
        <f>COUNTIFS(tData[SEHTrajectPeriodeDatumTijdVan],"&lt;="&amp;($A408+7/24),tData[SEHTrajectPeriodeDatumTijdTotEnMet],"&gt;"&amp;($A408+7/24))</f>
        <v/>
      </c>
      <c r="L408" s="20">
        <f>COUNTIFS(tData[SEHTrajectPeriodeDatumTijdVan],"&lt;="&amp;($A408+8/24),tData[SEHTrajectPeriodeDatumTijdTotEnMet],"&gt;"&amp;($A408+8/24))</f>
        <v/>
      </c>
      <c r="M408" s="20">
        <f>COUNTIFS(tData[SEHTrajectPeriodeDatumTijdVan],"&lt;="&amp;($A408+9/24),tData[SEHTrajectPeriodeDatumTijdTotEnMet],"&gt;"&amp;($A408+9/24))</f>
        <v/>
      </c>
      <c r="N408" s="20">
        <f>COUNTIFS(tData[SEHTrajectPeriodeDatumTijdVan],"&lt;="&amp;($A408+10/24),tData[SEHTrajectPeriodeDatumTijdTotEnMet],"&gt;"&amp;($A408+10/24))</f>
        <v/>
      </c>
      <c r="O408" s="20">
        <f>COUNTIFS(tData[SEHTrajectPeriodeDatumTijdVan],"&lt;="&amp;($A408+11/24),tData[SEHTrajectPeriodeDatumTijdTotEnMet],"&gt;"&amp;($A408+11/24))</f>
        <v/>
      </c>
      <c r="P408" s="20">
        <f>COUNTIFS(tData[SEHTrajectPeriodeDatumTijdVan],"&lt;="&amp;($A408+12/24),tData[SEHTrajectPeriodeDatumTijdTotEnMet],"&gt;"&amp;($A408+12/24))</f>
        <v/>
      </c>
      <c r="Q408" s="20">
        <f>COUNTIFS(tData[SEHTrajectPeriodeDatumTijdVan],"&lt;="&amp;($A408+13/24),tData[SEHTrajectPeriodeDatumTijdTotEnMet],"&gt;"&amp;($A408+13/24))</f>
        <v/>
      </c>
      <c r="R408" s="20">
        <f>COUNTIFS(tData[SEHTrajectPeriodeDatumTijdVan],"&lt;="&amp;($A408+14/24),tData[SEHTrajectPeriodeDatumTijdTotEnMet],"&gt;"&amp;($A408+14/24))</f>
        <v/>
      </c>
      <c r="S408" s="20">
        <f>COUNTIFS(tData[SEHTrajectPeriodeDatumTijdVan],"&lt;="&amp;($A408+15/24),tData[SEHTrajectPeriodeDatumTijdTotEnMet],"&gt;"&amp;($A408+15/24))</f>
        <v/>
      </c>
      <c r="T408" s="20">
        <f>COUNTIFS(tData[SEHTrajectPeriodeDatumTijdVan],"&lt;="&amp;($A408+16/24),tData[SEHTrajectPeriodeDatumTijdTotEnMet],"&gt;"&amp;($A408+16/24))</f>
        <v/>
      </c>
      <c r="U408" s="20">
        <f>COUNTIFS(tData[SEHTrajectPeriodeDatumTijdVan],"&lt;="&amp;($A408+17/24),tData[SEHTrajectPeriodeDatumTijdTotEnMet],"&gt;"&amp;($A408+17/24))</f>
        <v/>
      </c>
      <c r="V408" s="20">
        <f>COUNTIFS(tData[SEHTrajectPeriodeDatumTijdVan],"&lt;="&amp;($A408+18/24),tData[SEHTrajectPeriodeDatumTijdTotEnMet],"&gt;"&amp;($A408+18/24))</f>
        <v/>
      </c>
      <c r="W408" s="20">
        <f>COUNTIFS(tData[SEHTrajectPeriodeDatumTijdVan],"&lt;="&amp;($A408+19/24),tData[SEHTrajectPeriodeDatumTijdTotEnMet],"&gt;"&amp;($A408+19/24))</f>
        <v/>
      </c>
      <c r="X408" s="20">
        <f>COUNTIFS(tData[SEHTrajectPeriodeDatumTijdVan],"&lt;="&amp;($A408+20/24),tData[SEHTrajectPeriodeDatumTijdTotEnMet],"&gt;"&amp;($A408+20/24))</f>
        <v/>
      </c>
      <c r="Y408" s="20">
        <f>COUNTIFS(tData[SEHTrajectPeriodeDatumTijdVan],"&lt;="&amp;($A408+21/24),tData[SEHTrajectPeriodeDatumTijdTotEnMet],"&gt;"&amp;($A408+21/24))</f>
        <v/>
      </c>
      <c r="Z408" s="20">
        <f>COUNTIFS(tData[SEHTrajectPeriodeDatumTijdVan],"&lt;="&amp;($A408+22/24),tData[SEHTrajectPeriodeDatumTijdTotEnMet],"&gt;"&amp;($A408+22/24))</f>
        <v/>
      </c>
      <c r="AA408" s="20">
        <f>COUNTIFS(tData[SEHTrajectPeriodeDatumTijdVan],"&lt;="&amp;($A408+23/24),tData[SEHTrajectPeriodeDatumTijdTotEnMet],"&gt;"&amp;($A408+23/24))</f>
        <v/>
      </c>
    </row>
    <row r="409">
      <c r="A409" s="19" t="n">
        <v>45697</v>
      </c>
      <c r="B409" s="15">
        <f>WEEKDAY($A409,2)</f>
        <v/>
      </c>
      <c r="C409" s="15">
        <f>IF(AND($A409&gt;=INT(Instellingen!$B$5),$A409&lt;=INT(Instellingen!$B$6)),1,0)</f>
        <v/>
      </c>
      <c r="D409" s="20">
        <f>COUNTIFS(tData[SEHTrajectPeriodeDatumTijdVan],"&lt;="&amp;($A409+0/24),tData[SEHTrajectPeriodeDatumTijdTotEnMet],"&gt;"&amp;($A409+0/24))</f>
        <v/>
      </c>
      <c r="E409" s="20">
        <f>COUNTIFS(tData[SEHTrajectPeriodeDatumTijdVan],"&lt;="&amp;($A409+1/24),tData[SEHTrajectPeriodeDatumTijdTotEnMet],"&gt;"&amp;($A409+1/24))</f>
        <v/>
      </c>
      <c r="F409" s="20">
        <f>COUNTIFS(tData[SEHTrajectPeriodeDatumTijdVan],"&lt;="&amp;($A409+2/24),tData[SEHTrajectPeriodeDatumTijdTotEnMet],"&gt;"&amp;($A409+2/24))</f>
        <v/>
      </c>
      <c r="G409" s="20">
        <f>COUNTIFS(tData[SEHTrajectPeriodeDatumTijdVan],"&lt;="&amp;($A409+3/24),tData[SEHTrajectPeriodeDatumTijdTotEnMet],"&gt;"&amp;($A409+3/24))</f>
        <v/>
      </c>
      <c r="H409" s="20">
        <f>COUNTIFS(tData[SEHTrajectPeriodeDatumTijdVan],"&lt;="&amp;($A409+4/24),tData[SEHTrajectPeriodeDatumTijdTotEnMet],"&gt;"&amp;($A409+4/24))</f>
        <v/>
      </c>
      <c r="I409" s="20">
        <f>COUNTIFS(tData[SEHTrajectPeriodeDatumTijdVan],"&lt;="&amp;($A409+5/24),tData[SEHTrajectPeriodeDatumTijdTotEnMet],"&gt;"&amp;($A409+5/24))</f>
        <v/>
      </c>
      <c r="J409" s="20">
        <f>COUNTIFS(tData[SEHTrajectPeriodeDatumTijdVan],"&lt;="&amp;($A409+6/24),tData[SEHTrajectPeriodeDatumTijdTotEnMet],"&gt;"&amp;($A409+6/24))</f>
        <v/>
      </c>
      <c r="K409" s="20">
        <f>COUNTIFS(tData[SEHTrajectPeriodeDatumTijdVan],"&lt;="&amp;($A409+7/24),tData[SEHTrajectPeriodeDatumTijdTotEnMet],"&gt;"&amp;($A409+7/24))</f>
        <v/>
      </c>
      <c r="L409" s="20">
        <f>COUNTIFS(tData[SEHTrajectPeriodeDatumTijdVan],"&lt;="&amp;($A409+8/24),tData[SEHTrajectPeriodeDatumTijdTotEnMet],"&gt;"&amp;($A409+8/24))</f>
        <v/>
      </c>
      <c r="M409" s="20">
        <f>COUNTIFS(tData[SEHTrajectPeriodeDatumTijdVan],"&lt;="&amp;($A409+9/24),tData[SEHTrajectPeriodeDatumTijdTotEnMet],"&gt;"&amp;($A409+9/24))</f>
        <v/>
      </c>
      <c r="N409" s="20">
        <f>COUNTIFS(tData[SEHTrajectPeriodeDatumTijdVan],"&lt;="&amp;($A409+10/24),tData[SEHTrajectPeriodeDatumTijdTotEnMet],"&gt;"&amp;($A409+10/24))</f>
        <v/>
      </c>
      <c r="O409" s="20">
        <f>COUNTIFS(tData[SEHTrajectPeriodeDatumTijdVan],"&lt;="&amp;($A409+11/24),tData[SEHTrajectPeriodeDatumTijdTotEnMet],"&gt;"&amp;($A409+11/24))</f>
        <v/>
      </c>
      <c r="P409" s="20">
        <f>COUNTIFS(tData[SEHTrajectPeriodeDatumTijdVan],"&lt;="&amp;($A409+12/24),tData[SEHTrajectPeriodeDatumTijdTotEnMet],"&gt;"&amp;($A409+12/24))</f>
        <v/>
      </c>
      <c r="Q409" s="20">
        <f>COUNTIFS(tData[SEHTrajectPeriodeDatumTijdVan],"&lt;="&amp;($A409+13/24),tData[SEHTrajectPeriodeDatumTijdTotEnMet],"&gt;"&amp;($A409+13/24))</f>
        <v/>
      </c>
      <c r="R409" s="20">
        <f>COUNTIFS(tData[SEHTrajectPeriodeDatumTijdVan],"&lt;="&amp;($A409+14/24),tData[SEHTrajectPeriodeDatumTijdTotEnMet],"&gt;"&amp;($A409+14/24))</f>
        <v/>
      </c>
      <c r="S409" s="20">
        <f>COUNTIFS(tData[SEHTrajectPeriodeDatumTijdVan],"&lt;="&amp;($A409+15/24),tData[SEHTrajectPeriodeDatumTijdTotEnMet],"&gt;"&amp;($A409+15/24))</f>
        <v/>
      </c>
      <c r="T409" s="20">
        <f>COUNTIFS(tData[SEHTrajectPeriodeDatumTijdVan],"&lt;="&amp;($A409+16/24),tData[SEHTrajectPeriodeDatumTijdTotEnMet],"&gt;"&amp;($A409+16/24))</f>
        <v/>
      </c>
      <c r="U409" s="20">
        <f>COUNTIFS(tData[SEHTrajectPeriodeDatumTijdVan],"&lt;="&amp;($A409+17/24),tData[SEHTrajectPeriodeDatumTijdTotEnMet],"&gt;"&amp;($A409+17/24))</f>
        <v/>
      </c>
      <c r="V409" s="20">
        <f>COUNTIFS(tData[SEHTrajectPeriodeDatumTijdVan],"&lt;="&amp;($A409+18/24),tData[SEHTrajectPeriodeDatumTijdTotEnMet],"&gt;"&amp;($A409+18/24))</f>
        <v/>
      </c>
      <c r="W409" s="20">
        <f>COUNTIFS(tData[SEHTrajectPeriodeDatumTijdVan],"&lt;="&amp;($A409+19/24),tData[SEHTrajectPeriodeDatumTijdTotEnMet],"&gt;"&amp;($A409+19/24))</f>
        <v/>
      </c>
      <c r="X409" s="20">
        <f>COUNTIFS(tData[SEHTrajectPeriodeDatumTijdVan],"&lt;="&amp;($A409+20/24),tData[SEHTrajectPeriodeDatumTijdTotEnMet],"&gt;"&amp;($A409+20/24))</f>
        <v/>
      </c>
      <c r="Y409" s="20">
        <f>COUNTIFS(tData[SEHTrajectPeriodeDatumTijdVan],"&lt;="&amp;($A409+21/24),tData[SEHTrajectPeriodeDatumTijdTotEnMet],"&gt;"&amp;($A409+21/24))</f>
        <v/>
      </c>
      <c r="Z409" s="20">
        <f>COUNTIFS(tData[SEHTrajectPeriodeDatumTijdVan],"&lt;="&amp;($A409+22/24),tData[SEHTrajectPeriodeDatumTijdTotEnMet],"&gt;"&amp;($A409+22/24))</f>
        <v/>
      </c>
      <c r="AA409" s="20">
        <f>COUNTIFS(tData[SEHTrajectPeriodeDatumTijdVan],"&lt;="&amp;($A409+23/24),tData[SEHTrajectPeriodeDatumTijdTotEnMet],"&gt;"&amp;($A409+23/24))</f>
        <v/>
      </c>
    </row>
    <row r="410">
      <c r="A410" s="19" t="n">
        <v>45698</v>
      </c>
      <c r="B410" s="15">
        <f>WEEKDAY($A410,2)</f>
        <v/>
      </c>
      <c r="C410" s="15">
        <f>IF(AND($A410&gt;=INT(Instellingen!$B$5),$A410&lt;=INT(Instellingen!$B$6)),1,0)</f>
        <v/>
      </c>
      <c r="D410" s="20">
        <f>COUNTIFS(tData[SEHTrajectPeriodeDatumTijdVan],"&lt;="&amp;($A410+0/24),tData[SEHTrajectPeriodeDatumTijdTotEnMet],"&gt;"&amp;($A410+0/24))</f>
        <v/>
      </c>
      <c r="E410" s="20">
        <f>COUNTIFS(tData[SEHTrajectPeriodeDatumTijdVan],"&lt;="&amp;($A410+1/24),tData[SEHTrajectPeriodeDatumTijdTotEnMet],"&gt;"&amp;($A410+1/24))</f>
        <v/>
      </c>
      <c r="F410" s="20">
        <f>COUNTIFS(tData[SEHTrajectPeriodeDatumTijdVan],"&lt;="&amp;($A410+2/24),tData[SEHTrajectPeriodeDatumTijdTotEnMet],"&gt;"&amp;($A410+2/24))</f>
        <v/>
      </c>
      <c r="G410" s="20">
        <f>COUNTIFS(tData[SEHTrajectPeriodeDatumTijdVan],"&lt;="&amp;($A410+3/24),tData[SEHTrajectPeriodeDatumTijdTotEnMet],"&gt;"&amp;($A410+3/24))</f>
        <v/>
      </c>
      <c r="H410" s="20">
        <f>COUNTIFS(tData[SEHTrajectPeriodeDatumTijdVan],"&lt;="&amp;($A410+4/24),tData[SEHTrajectPeriodeDatumTijdTotEnMet],"&gt;"&amp;($A410+4/24))</f>
        <v/>
      </c>
      <c r="I410" s="20">
        <f>COUNTIFS(tData[SEHTrajectPeriodeDatumTijdVan],"&lt;="&amp;($A410+5/24),tData[SEHTrajectPeriodeDatumTijdTotEnMet],"&gt;"&amp;($A410+5/24))</f>
        <v/>
      </c>
      <c r="J410" s="20">
        <f>COUNTIFS(tData[SEHTrajectPeriodeDatumTijdVan],"&lt;="&amp;($A410+6/24),tData[SEHTrajectPeriodeDatumTijdTotEnMet],"&gt;"&amp;($A410+6/24))</f>
        <v/>
      </c>
      <c r="K410" s="20">
        <f>COUNTIFS(tData[SEHTrajectPeriodeDatumTijdVan],"&lt;="&amp;($A410+7/24),tData[SEHTrajectPeriodeDatumTijdTotEnMet],"&gt;"&amp;($A410+7/24))</f>
        <v/>
      </c>
      <c r="L410" s="20">
        <f>COUNTIFS(tData[SEHTrajectPeriodeDatumTijdVan],"&lt;="&amp;($A410+8/24),tData[SEHTrajectPeriodeDatumTijdTotEnMet],"&gt;"&amp;($A410+8/24))</f>
        <v/>
      </c>
      <c r="M410" s="20">
        <f>COUNTIFS(tData[SEHTrajectPeriodeDatumTijdVan],"&lt;="&amp;($A410+9/24),tData[SEHTrajectPeriodeDatumTijdTotEnMet],"&gt;"&amp;($A410+9/24))</f>
        <v/>
      </c>
      <c r="N410" s="20">
        <f>COUNTIFS(tData[SEHTrajectPeriodeDatumTijdVan],"&lt;="&amp;($A410+10/24),tData[SEHTrajectPeriodeDatumTijdTotEnMet],"&gt;"&amp;($A410+10/24))</f>
        <v/>
      </c>
      <c r="O410" s="20">
        <f>COUNTIFS(tData[SEHTrajectPeriodeDatumTijdVan],"&lt;="&amp;($A410+11/24),tData[SEHTrajectPeriodeDatumTijdTotEnMet],"&gt;"&amp;($A410+11/24))</f>
        <v/>
      </c>
      <c r="P410" s="20">
        <f>COUNTIFS(tData[SEHTrajectPeriodeDatumTijdVan],"&lt;="&amp;($A410+12/24),tData[SEHTrajectPeriodeDatumTijdTotEnMet],"&gt;"&amp;($A410+12/24))</f>
        <v/>
      </c>
      <c r="Q410" s="20">
        <f>COUNTIFS(tData[SEHTrajectPeriodeDatumTijdVan],"&lt;="&amp;($A410+13/24),tData[SEHTrajectPeriodeDatumTijdTotEnMet],"&gt;"&amp;($A410+13/24))</f>
        <v/>
      </c>
      <c r="R410" s="20">
        <f>COUNTIFS(tData[SEHTrajectPeriodeDatumTijdVan],"&lt;="&amp;($A410+14/24),tData[SEHTrajectPeriodeDatumTijdTotEnMet],"&gt;"&amp;($A410+14/24))</f>
        <v/>
      </c>
      <c r="S410" s="20">
        <f>COUNTIFS(tData[SEHTrajectPeriodeDatumTijdVan],"&lt;="&amp;($A410+15/24),tData[SEHTrajectPeriodeDatumTijdTotEnMet],"&gt;"&amp;($A410+15/24))</f>
        <v/>
      </c>
      <c r="T410" s="20">
        <f>COUNTIFS(tData[SEHTrajectPeriodeDatumTijdVan],"&lt;="&amp;($A410+16/24),tData[SEHTrajectPeriodeDatumTijdTotEnMet],"&gt;"&amp;($A410+16/24))</f>
        <v/>
      </c>
      <c r="U410" s="20">
        <f>COUNTIFS(tData[SEHTrajectPeriodeDatumTijdVan],"&lt;="&amp;($A410+17/24),tData[SEHTrajectPeriodeDatumTijdTotEnMet],"&gt;"&amp;($A410+17/24))</f>
        <v/>
      </c>
      <c r="V410" s="20">
        <f>COUNTIFS(tData[SEHTrajectPeriodeDatumTijdVan],"&lt;="&amp;($A410+18/24),tData[SEHTrajectPeriodeDatumTijdTotEnMet],"&gt;"&amp;($A410+18/24))</f>
        <v/>
      </c>
      <c r="W410" s="20">
        <f>COUNTIFS(tData[SEHTrajectPeriodeDatumTijdVan],"&lt;="&amp;($A410+19/24),tData[SEHTrajectPeriodeDatumTijdTotEnMet],"&gt;"&amp;($A410+19/24))</f>
        <v/>
      </c>
      <c r="X410" s="20">
        <f>COUNTIFS(tData[SEHTrajectPeriodeDatumTijdVan],"&lt;="&amp;($A410+20/24),tData[SEHTrajectPeriodeDatumTijdTotEnMet],"&gt;"&amp;($A410+20/24))</f>
        <v/>
      </c>
      <c r="Y410" s="20">
        <f>COUNTIFS(tData[SEHTrajectPeriodeDatumTijdVan],"&lt;="&amp;($A410+21/24),tData[SEHTrajectPeriodeDatumTijdTotEnMet],"&gt;"&amp;($A410+21/24))</f>
        <v/>
      </c>
      <c r="Z410" s="20">
        <f>COUNTIFS(tData[SEHTrajectPeriodeDatumTijdVan],"&lt;="&amp;($A410+22/24),tData[SEHTrajectPeriodeDatumTijdTotEnMet],"&gt;"&amp;($A410+22/24))</f>
        <v/>
      </c>
      <c r="AA410" s="20">
        <f>COUNTIFS(tData[SEHTrajectPeriodeDatumTijdVan],"&lt;="&amp;($A410+23/24),tData[SEHTrajectPeriodeDatumTijdTotEnMet],"&gt;"&amp;($A410+23/24))</f>
        <v/>
      </c>
    </row>
    <row r="411">
      <c r="A411" s="19" t="n">
        <v>45699</v>
      </c>
      <c r="B411" s="15">
        <f>WEEKDAY($A411,2)</f>
        <v/>
      </c>
      <c r="C411" s="15">
        <f>IF(AND($A411&gt;=INT(Instellingen!$B$5),$A411&lt;=INT(Instellingen!$B$6)),1,0)</f>
        <v/>
      </c>
      <c r="D411" s="20">
        <f>COUNTIFS(tData[SEHTrajectPeriodeDatumTijdVan],"&lt;="&amp;($A411+0/24),tData[SEHTrajectPeriodeDatumTijdTotEnMet],"&gt;"&amp;($A411+0/24))</f>
        <v/>
      </c>
      <c r="E411" s="20">
        <f>COUNTIFS(tData[SEHTrajectPeriodeDatumTijdVan],"&lt;="&amp;($A411+1/24),tData[SEHTrajectPeriodeDatumTijdTotEnMet],"&gt;"&amp;($A411+1/24))</f>
        <v/>
      </c>
      <c r="F411" s="20">
        <f>COUNTIFS(tData[SEHTrajectPeriodeDatumTijdVan],"&lt;="&amp;($A411+2/24),tData[SEHTrajectPeriodeDatumTijdTotEnMet],"&gt;"&amp;($A411+2/24))</f>
        <v/>
      </c>
      <c r="G411" s="20">
        <f>COUNTIFS(tData[SEHTrajectPeriodeDatumTijdVan],"&lt;="&amp;($A411+3/24),tData[SEHTrajectPeriodeDatumTijdTotEnMet],"&gt;"&amp;($A411+3/24))</f>
        <v/>
      </c>
      <c r="H411" s="20">
        <f>COUNTIFS(tData[SEHTrajectPeriodeDatumTijdVan],"&lt;="&amp;($A411+4/24),tData[SEHTrajectPeriodeDatumTijdTotEnMet],"&gt;"&amp;($A411+4/24))</f>
        <v/>
      </c>
      <c r="I411" s="20">
        <f>COUNTIFS(tData[SEHTrajectPeriodeDatumTijdVan],"&lt;="&amp;($A411+5/24),tData[SEHTrajectPeriodeDatumTijdTotEnMet],"&gt;"&amp;($A411+5/24))</f>
        <v/>
      </c>
      <c r="J411" s="20">
        <f>COUNTIFS(tData[SEHTrajectPeriodeDatumTijdVan],"&lt;="&amp;($A411+6/24),tData[SEHTrajectPeriodeDatumTijdTotEnMet],"&gt;"&amp;($A411+6/24))</f>
        <v/>
      </c>
      <c r="K411" s="20">
        <f>COUNTIFS(tData[SEHTrajectPeriodeDatumTijdVan],"&lt;="&amp;($A411+7/24),tData[SEHTrajectPeriodeDatumTijdTotEnMet],"&gt;"&amp;($A411+7/24))</f>
        <v/>
      </c>
      <c r="L411" s="20">
        <f>COUNTIFS(tData[SEHTrajectPeriodeDatumTijdVan],"&lt;="&amp;($A411+8/24),tData[SEHTrajectPeriodeDatumTijdTotEnMet],"&gt;"&amp;($A411+8/24))</f>
        <v/>
      </c>
      <c r="M411" s="20">
        <f>COUNTIFS(tData[SEHTrajectPeriodeDatumTijdVan],"&lt;="&amp;($A411+9/24),tData[SEHTrajectPeriodeDatumTijdTotEnMet],"&gt;"&amp;($A411+9/24))</f>
        <v/>
      </c>
      <c r="N411" s="20">
        <f>COUNTIFS(tData[SEHTrajectPeriodeDatumTijdVan],"&lt;="&amp;($A411+10/24),tData[SEHTrajectPeriodeDatumTijdTotEnMet],"&gt;"&amp;($A411+10/24))</f>
        <v/>
      </c>
      <c r="O411" s="20">
        <f>COUNTIFS(tData[SEHTrajectPeriodeDatumTijdVan],"&lt;="&amp;($A411+11/24),tData[SEHTrajectPeriodeDatumTijdTotEnMet],"&gt;"&amp;($A411+11/24))</f>
        <v/>
      </c>
      <c r="P411" s="20">
        <f>COUNTIFS(tData[SEHTrajectPeriodeDatumTijdVan],"&lt;="&amp;($A411+12/24),tData[SEHTrajectPeriodeDatumTijdTotEnMet],"&gt;"&amp;($A411+12/24))</f>
        <v/>
      </c>
      <c r="Q411" s="20">
        <f>COUNTIFS(tData[SEHTrajectPeriodeDatumTijdVan],"&lt;="&amp;($A411+13/24),tData[SEHTrajectPeriodeDatumTijdTotEnMet],"&gt;"&amp;($A411+13/24))</f>
        <v/>
      </c>
      <c r="R411" s="20">
        <f>COUNTIFS(tData[SEHTrajectPeriodeDatumTijdVan],"&lt;="&amp;($A411+14/24),tData[SEHTrajectPeriodeDatumTijdTotEnMet],"&gt;"&amp;($A411+14/24))</f>
        <v/>
      </c>
      <c r="S411" s="20">
        <f>COUNTIFS(tData[SEHTrajectPeriodeDatumTijdVan],"&lt;="&amp;($A411+15/24),tData[SEHTrajectPeriodeDatumTijdTotEnMet],"&gt;"&amp;($A411+15/24))</f>
        <v/>
      </c>
      <c r="T411" s="20">
        <f>COUNTIFS(tData[SEHTrajectPeriodeDatumTijdVan],"&lt;="&amp;($A411+16/24),tData[SEHTrajectPeriodeDatumTijdTotEnMet],"&gt;"&amp;($A411+16/24))</f>
        <v/>
      </c>
      <c r="U411" s="20">
        <f>COUNTIFS(tData[SEHTrajectPeriodeDatumTijdVan],"&lt;="&amp;($A411+17/24),tData[SEHTrajectPeriodeDatumTijdTotEnMet],"&gt;"&amp;($A411+17/24))</f>
        <v/>
      </c>
      <c r="V411" s="20">
        <f>COUNTIFS(tData[SEHTrajectPeriodeDatumTijdVan],"&lt;="&amp;($A411+18/24),tData[SEHTrajectPeriodeDatumTijdTotEnMet],"&gt;"&amp;($A411+18/24))</f>
        <v/>
      </c>
      <c r="W411" s="20">
        <f>COUNTIFS(tData[SEHTrajectPeriodeDatumTijdVan],"&lt;="&amp;($A411+19/24),tData[SEHTrajectPeriodeDatumTijdTotEnMet],"&gt;"&amp;($A411+19/24))</f>
        <v/>
      </c>
      <c r="X411" s="20">
        <f>COUNTIFS(tData[SEHTrajectPeriodeDatumTijdVan],"&lt;="&amp;($A411+20/24),tData[SEHTrajectPeriodeDatumTijdTotEnMet],"&gt;"&amp;($A411+20/24))</f>
        <v/>
      </c>
      <c r="Y411" s="20">
        <f>COUNTIFS(tData[SEHTrajectPeriodeDatumTijdVan],"&lt;="&amp;($A411+21/24),tData[SEHTrajectPeriodeDatumTijdTotEnMet],"&gt;"&amp;($A411+21/24))</f>
        <v/>
      </c>
      <c r="Z411" s="20">
        <f>COUNTIFS(tData[SEHTrajectPeriodeDatumTijdVan],"&lt;="&amp;($A411+22/24),tData[SEHTrajectPeriodeDatumTijdTotEnMet],"&gt;"&amp;($A411+22/24))</f>
        <v/>
      </c>
      <c r="AA411" s="20">
        <f>COUNTIFS(tData[SEHTrajectPeriodeDatumTijdVan],"&lt;="&amp;($A411+23/24),tData[SEHTrajectPeriodeDatumTijdTotEnMet],"&gt;"&amp;($A411+23/24))</f>
        <v/>
      </c>
    </row>
    <row r="412">
      <c r="A412" s="19" t="n">
        <v>45700</v>
      </c>
      <c r="B412" s="15">
        <f>WEEKDAY($A412,2)</f>
        <v/>
      </c>
      <c r="C412" s="15">
        <f>IF(AND($A412&gt;=INT(Instellingen!$B$5),$A412&lt;=INT(Instellingen!$B$6)),1,0)</f>
        <v/>
      </c>
      <c r="D412" s="20">
        <f>COUNTIFS(tData[SEHTrajectPeriodeDatumTijdVan],"&lt;="&amp;($A412+0/24),tData[SEHTrajectPeriodeDatumTijdTotEnMet],"&gt;"&amp;($A412+0/24))</f>
        <v/>
      </c>
      <c r="E412" s="20">
        <f>COUNTIFS(tData[SEHTrajectPeriodeDatumTijdVan],"&lt;="&amp;($A412+1/24),tData[SEHTrajectPeriodeDatumTijdTotEnMet],"&gt;"&amp;($A412+1/24))</f>
        <v/>
      </c>
      <c r="F412" s="20">
        <f>COUNTIFS(tData[SEHTrajectPeriodeDatumTijdVan],"&lt;="&amp;($A412+2/24),tData[SEHTrajectPeriodeDatumTijdTotEnMet],"&gt;"&amp;($A412+2/24))</f>
        <v/>
      </c>
      <c r="G412" s="20">
        <f>COUNTIFS(tData[SEHTrajectPeriodeDatumTijdVan],"&lt;="&amp;($A412+3/24),tData[SEHTrajectPeriodeDatumTijdTotEnMet],"&gt;"&amp;($A412+3/24))</f>
        <v/>
      </c>
      <c r="H412" s="20">
        <f>COUNTIFS(tData[SEHTrajectPeriodeDatumTijdVan],"&lt;="&amp;($A412+4/24),tData[SEHTrajectPeriodeDatumTijdTotEnMet],"&gt;"&amp;($A412+4/24))</f>
        <v/>
      </c>
      <c r="I412" s="20">
        <f>COUNTIFS(tData[SEHTrajectPeriodeDatumTijdVan],"&lt;="&amp;($A412+5/24),tData[SEHTrajectPeriodeDatumTijdTotEnMet],"&gt;"&amp;($A412+5/24))</f>
        <v/>
      </c>
      <c r="J412" s="20">
        <f>COUNTIFS(tData[SEHTrajectPeriodeDatumTijdVan],"&lt;="&amp;($A412+6/24),tData[SEHTrajectPeriodeDatumTijdTotEnMet],"&gt;"&amp;($A412+6/24))</f>
        <v/>
      </c>
      <c r="K412" s="20">
        <f>COUNTIFS(tData[SEHTrajectPeriodeDatumTijdVan],"&lt;="&amp;($A412+7/24),tData[SEHTrajectPeriodeDatumTijdTotEnMet],"&gt;"&amp;($A412+7/24))</f>
        <v/>
      </c>
      <c r="L412" s="20">
        <f>COUNTIFS(tData[SEHTrajectPeriodeDatumTijdVan],"&lt;="&amp;($A412+8/24),tData[SEHTrajectPeriodeDatumTijdTotEnMet],"&gt;"&amp;($A412+8/24))</f>
        <v/>
      </c>
      <c r="M412" s="20">
        <f>COUNTIFS(tData[SEHTrajectPeriodeDatumTijdVan],"&lt;="&amp;($A412+9/24),tData[SEHTrajectPeriodeDatumTijdTotEnMet],"&gt;"&amp;($A412+9/24))</f>
        <v/>
      </c>
      <c r="N412" s="20">
        <f>COUNTIFS(tData[SEHTrajectPeriodeDatumTijdVan],"&lt;="&amp;($A412+10/24),tData[SEHTrajectPeriodeDatumTijdTotEnMet],"&gt;"&amp;($A412+10/24))</f>
        <v/>
      </c>
      <c r="O412" s="20">
        <f>COUNTIFS(tData[SEHTrajectPeriodeDatumTijdVan],"&lt;="&amp;($A412+11/24),tData[SEHTrajectPeriodeDatumTijdTotEnMet],"&gt;"&amp;($A412+11/24))</f>
        <v/>
      </c>
      <c r="P412" s="20">
        <f>COUNTIFS(tData[SEHTrajectPeriodeDatumTijdVan],"&lt;="&amp;($A412+12/24),tData[SEHTrajectPeriodeDatumTijdTotEnMet],"&gt;"&amp;($A412+12/24))</f>
        <v/>
      </c>
      <c r="Q412" s="20">
        <f>COUNTIFS(tData[SEHTrajectPeriodeDatumTijdVan],"&lt;="&amp;($A412+13/24),tData[SEHTrajectPeriodeDatumTijdTotEnMet],"&gt;"&amp;($A412+13/24))</f>
        <v/>
      </c>
      <c r="R412" s="20">
        <f>COUNTIFS(tData[SEHTrajectPeriodeDatumTijdVan],"&lt;="&amp;($A412+14/24),tData[SEHTrajectPeriodeDatumTijdTotEnMet],"&gt;"&amp;($A412+14/24))</f>
        <v/>
      </c>
      <c r="S412" s="20">
        <f>COUNTIFS(tData[SEHTrajectPeriodeDatumTijdVan],"&lt;="&amp;($A412+15/24),tData[SEHTrajectPeriodeDatumTijdTotEnMet],"&gt;"&amp;($A412+15/24))</f>
        <v/>
      </c>
      <c r="T412" s="20">
        <f>COUNTIFS(tData[SEHTrajectPeriodeDatumTijdVan],"&lt;="&amp;($A412+16/24),tData[SEHTrajectPeriodeDatumTijdTotEnMet],"&gt;"&amp;($A412+16/24))</f>
        <v/>
      </c>
      <c r="U412" s="20">
        <f>COUNTIFS(tData[SEHTrajectPeriodeDatumTijdVan],"&lt;="&amp;($A412+17/24),tData[SEHTrajectPeriodeDatumTijdTotEnMet],"&gt;"&amp;($A412+17/24))</f>
        <v/>
      </c>
      <c r="V412" s="20">
        <f>COUNTIFS(tData[SEHTrajectPeriodeDatumTijdVan],"&lt;="&amp;($A412+18/24),tData[SEHTrajectPeriodeDatumTijdTotEnMet],"&gt;"&amp;($A412+18/24))</f>
        <v/>
      </c>
      <c r="W412" s="20">
        <f>COUNTIFS(tData[SEHTrajectPeriodeDatumTijdVan],"&lt;="&amp;($A412+19/24),tData[SEHTrajectPeriodeDatumTijdTotEnMet],"&gt;"&amp;($A412+19/24))</f>
        <v/>
      </c>
      <c r="X412" s="20">
        <f>COUNTIFS(tData[SEHTrajectPeriodeDatumTijdVan],"&lt;="&amp;($A412+20/24),tData[SEHTrajectPeriodeDatumTijdTotEnMet],"&gt;"&amp;($A412+20/24))</f>
        <v/>
      </c>
      <c r="Y412" s="20">
        <f>COUNTIFS(tData[SEHTrajectPeriodeDatumTijdVan],"&lt;="&amp;($A412+21/24),tData[SEHTrajectPeriodeDatumTijdTotEnMet],"&gt;"&amp;($A412+21/24))</f>
        <v/>
      </c>
      <c r="Z412" s="20">
        <f>COUNTIFS(tData[SEHTrajectPeriodeDatumTijdVan],"&lt;="&amp;($A412+22/24),tData[SEHTrajectPeriodeDatumTijdTotEnMet],"&gt;"&amp;($A412+22/24))</f>
        <v/>
      </c>
      <c r="AA412" s="20">
        <f>COUNTIFS(tData[SEHTrajectPeriodeDatumTijdVan],"&lt;="&amp;($A412+23/24),tData[SEHTrajectPeriodeDatumTijdTotEnMet],"&gt;"&amp;($A412+23/24))</f>
        <v/>
      </c>
    </row>
    <row r="413">
      <c r="A413" s="19" t="n">
        <v>45701</v>
      </c>
      <c r="B413" s="15">
        <f>WEEKDAY($A413,2)</f>
        <v/>
      </c>
      <c r="C413" s="15">
        <f>IF(AND($A413&gt;=INT(Instellingen!$B$5),$A413&lt;=INT(Instellingen!$B$6)),1,0)</f>
        <v/>
      </c>
      <c r="D413" s="20">
        <f>COUNTIFS(tData[SEHTrajectPeriodeDatumTijdVan],"&lt;="&amp;($A413+0/24),tData[SEHTrajectPeriodeDatumTijdTotEnMet],"&gt;"&amp;($A413+0/24))</f>
        <v/>
      </c>
      <c r="E413" s="20">
        <f>COUNTIFS(tData[SEHTrajectPeriodeDatumTijdVan],"&lt;="&amp;($A413+1/24),tData[SEHTrajectPeriodeDatumTijdTotEnMet],"&gt;"&amp;($A413+1/24))</f>
        <v/>
      </c>
      <c r="F413" s="20">
        <f>COUNTIFS(tData[SEHTrajectPeriodeDatumTijdVan],"&lt;="&amp;($A413+2/24),tData[SEHTrajectPeriodeDatumTijdTotEnMet],"&gt;"&amp;($A413+2/24))</f>
        <v/>
      </c>
      <c r="G413" s="20">
        <f>COUNTIFS(tData[SEHTrajectPeriodeDatumTijdVan],"&lt;="&amp;($A413+3/24),tData[SEHTrajectPeriodeDatumTijdTotEnMet],"&gt;"&amp;($A413+3/24))</f>
        <v/>
      </c>
      <c r="H413" s="20">
        <f>COUNTIFS(tData[SEHTrajectPeriodeDatumTijdVan],"&lt;="&amp;($A413+4/24),tData[SEHTrajectPeriodeDatumTijdTotEnMet],"&gt;"&amp;($A413+4/24))</f>
        <v/>
      </c>
      <c r="I413" s="20">
        <f>COUNTIFS(tData[SEHTrajectPeriodeDatumTijdVan],"&lt;="&amp;($A413+5/24),tData[SEHTrajectPeriodeDatumTijdTotEnMet],"&gt;"&amp;($A413+5/24))</f>
        <v/>
      </c>
      <c r="J413" s="20">
        <f>COUNTIFS(tData[SEHTrajectPeriodeDatumTijdVan],"&lt;="&amp;($A413+6/24),tData[SEHTrajectPeriodeDatumTijdTotEnMet],"&gt;"&amp;($A413+6/24))</f>
        <v/>
      </c>
      <c r="K413" s="20">
        <f>COUNTIFS(tData[SEHTrajectPeriodeDatumTijdVan],"&lt;="&amp;($A413+7/24),tData[SEHTrajectPeriodeDatumTijdTotEnMet],"&gt;"&amp;($A413+7/24))</f>
        <v/>
      </c>
      <c r="L413" s="20">
        <f>COUNTIFS(tData[SEHTrajectPeriodeDatumTijdVan],"&lt;="&amp;($A413+8/24),tData[SEHTrajectPeriodeDatumTijdTotEnMet],"&gt;"&amp;($A413+8/24))</f>
        <v/>
      </c>
      <c r="M413" s="20">
        <f>COUNTIFS(tData[SEHTrajectPeriodeDatumTijdVan],"&lt;="&amp;($A413+9/24),tData[SEHTrajectPeriodeDatumTijdTotEnMet],"&gt;"&amp;($A413+9/24))</f>
        <v/>
      </c>
      <c r="N413" s="20">
        <f>COUNTIFS(tData[SEHTrajectPeriodeDatumTijdVan],"&lt;="&amp;($A413+10/24),tData[SEHTrajectPeriodeDatumTijdTotEnMet],"&gt;"&amp;($A413+10/24))</f>
        <v/>
      </c>
      <c r="O413" s="20">
        <f>COUNTIFS(tData[SEHTrajectPeriodeDatumTijdVan],"&lt;="&amp;($A413+11/24),tData[SEHTrajectPeriodeDatumTijdTotEnMet],"&gt;"&amp;($A413+11/24))</f>
        <v/>
      </c>
      <c r="P413" s="20">
        <f>COUNTIFS(tData[SEHTrajectPeriodeDatumTijdVan],"&lt;="&amp;($A413+12/24),tData[SEHTrajectPeriodeDatumTijdTotEnMet],"&gt;"&amp;($A413+12/24))</f>
        <v/>
      </c>
      <c r="Q413" s="20">
        <f>COUNTIFS(tData[SEHTrajectPeriodeDatumTijdVan],"&lt;="&amp;($A413+13/24),tData[SEHTrajectPeriodeDatumTijdTotEnMet],"&gt;"&amp;($A413+13/24))</f>
        <v/>
      </c>
      <c r="R413" s="20">
        <f>COUNTIFS(tData[SEHTrajectPeriodeDatumTijdVan],"&lt;="&amp;($A413+14/24),tData[SEHTrajectPeriodeDatumTijdTotEnMet],"&gt;"&amp;($A413+14/24))</f>
        <v/>
      </c>
      <c r="S413" s="20">
        <f>COUNTIFS(tData[SEHTrajectPeriodeDatumTijdVan],"&lt;="&amp;($A413+15/24),tData[SEHTrajectPeriodeDatumTijdTotEnMet],"&gt;"&amp;($A413+15/24))</f>
        <v/>
      </c>
      <c r="T413" s="20">
        <f>COUNTIFS(tData[SEHTrajectPeriodeDatumTijdVan],"&lt;="&amp;($A413+16/24),tData[SEHTrajectPeriodeDatumTijdTotEnMet],"&gt;"&amp;($A413+16/24))</f>
        <v/>
      </c>
      <c r="U413" s="20">
        <f>COUNTIFS(tData[SEHTrajectPeriodeDatumTijdVan],"&lt;="&amp;($A413+17/24),tData[SEHTrajectPeriodeDatumTijdTotEnMet],"&gt;"&amp;($A413+17/24))</f>
        <v/>
      </c>
      <c r="V413" s="20">
        <f>COUNTIFS(tData[SEHTrajectPeriodeDatumTijdVan],"&lt;="&amp;($A413+18/24),tData[SEHTrajectPeriodeDatumTijdTotEnMet],"&gt;"&amp;($A413+18/24))</f>
        <v/>
      </c>
      <c r="W413" s="20">
        <f>COUNTIFS(tData[SEHTrajectPeriodeDatumTijdVan],"&lt;="&amp;($A413+19/24),tData[SEHTrajectPeriodeDatumTijdTotEnMet],"&gt;"&amp;($A413+19/24))</f>
        <v/>
      </c>
      <c r="X413" s="20">
        <f>COUNTIFS(tData[SEHTrajectPeriodeDatumTijdVan],"&lt;="&amp;($A413+20/24),tData[SEHTrajectPeriodeDatumTijdTotEnMet],"&gt;"&amp;($A413+20/24))</f>
        <v/>
      </c>
      <c r="Y413" s="20">
        <f>COUNTIFS(tData[SEHTrajectPeriodeDatumTijdVan],"&lt;="&amp;($A413+21/24),tData[SEHTrajectPeriodeDatumTijdTotEnMet],"&gt;"&amp;($A413+21/24))</f>
        <v/>
      </c>
      <c r="Z413" s="20">
        <f>COUNTIFS(tData[SEHTrajectPeriodeDatumTijdVan],"&lt;="&amp;($A413+22/24),tData[SEHTrajectPeriodeDatumTijdTotEnMet],"&gt;"&amp;($A413+22/24))</f>
        <v/>
      </c>
      <c r="AA413" s="20">
        <f>COUNTIFS(tData[SEHTrajectPeriodeDatumTijdVan],"&lt;="&amp;($A413+23/24),tData[SEHTrajectPeriodeDatumTijdTotEnMet],"&gt;"&amp;($A413+23/24))</f>
        <v/>
      </c>
    </row>
    <row r="414">
      <c r="A414" s="19" t="n">
        <v>45702</v>
      </c>
      <c r="B414" s="15">
        <f>WEEKDAY($A414,2)</f>
        <v/>
      </c>
      <c r="C414" s="15">
        <f>IF(AND($A414&gt;=INT(Instellingen!$B$5),$A414&lt;=INT(Instellingen!$B$6)),1,0)</f>
        <v/>
      </c>
      <c r="D414" s="20">
        <f>COUNTIFS(tData[SEHTrajectPeriodeDatumTijdVan],"&lt;="&amp;($A414+0/24),tData[SEHTrajectPeriodeDatumTijdTotEnMet],"&gt;"&amp;($A414+0/24))</f>
        <v/>
      </c>
      <c r="E414" s="20">
        <f>COUNTIFS(tData[SEHTrajectPeriodeDatumTijdVan],"&lt;="&amp;($A414+1/24),tData[SEHTrajectPeriodeDatumTijdTotEnMet],"&gt;"&amp;($A414+1/24))</f>
        <v/>
      </c>
      <c r="F414" s="20">
        <f>COUNTIFS(tData[SEHTrajectPeriodeDatumTijdVan],"&lt;="&amp;($A414+2/24),tData[SEHTrajectPeriodeDatumTijdTotEnMet],"&gt;"&amp;($A414+2/24))</f>
        <v/>
      </c>
      <c r="G414" s="20">
        <f>COUNTIFS(tData[SEHTrajectPeriodeDatumTijdVan],"&lt;="&amp;($A414+3/24),tData[SEHTrajectPeriodeDatumTijdTotEnMet],"&gt;"&amp;($A414+3/24))</f>
        <v/>
      </c>
      <c r="H414" s="20">
        <f>COUNTIFS(tData[SEHTrajectPeriodeDatumTijdVan],"&lt;="&amp;($A414+4/24),tData[SEHTrajectPeriodeDatumTijdTotEnMet],"&gt;"&amp;($A414+4/24))</f>
        <v/>
      </c>
      <c r="I414" s="20">
        <f>COUNTIFS(tData[SEHTrajectPeriodeDatumTijdVan],"&lt;="&amp;($A414+5/24),tData[SEHTrajectPeriodeDatumTijdTotEnMet],"&gt;"&amp;($A414+5/24))</f>
        <v/>
      </c>
      <c r="J414" s="20">
        <f>COUNTIFS(tData[SEHTrajectPeriodeDatumTijdVan],"&lt;="&amp;($A414+6/24),tData[SEHTrajectPeriodeDatumTijdTotEnMet],"&gt;"&amp;($A414+6/24))</f>
        <v/>
      </c>
      <c r="K414" s="20">
        <f>COUNTIFS(tData[SEHTrajectPeriodeDatumTijdVan],"&lt;="&amp;($A414+7/24),tData[SEHTrajectPeriodeDatumTijdTotEnMet],"&gt;"&amp;($A414+7/24))</f>
        <v/>
      </c>
      <c r="L414" s="20">
        <f>COUNTIFS(tData[SEHTrajectPeriodeDatumTijdVan],"&lt;="&amp;($A414+8/24),tData[SEHTrajectPeriodeDatumTijdTotEnMet],"&gt;"&amp;($A414+8/24))</f>
        <v/>
      </c>
      <c r="M414" s="20">
        <f>COUNTIFS(tData[SEHTrajectPeriodeDatumTijdVan],"&lt;="&amp;($A414+9/24),tData[SEHTrajectPeriodeDatumTijdTotEnMet],"&gt;"&amp;($A414+9/24))</f>
        <v/>
      </c>
      <c r="N414" s="20">
        <f>COUNTIFS(tData[SEHTrajectPeriodeDatumTijdVan],"&lt;="&amp;($A414+10/24),tData[SEHTrajectPeriodeDatumTijdTotEnMet],"&gt;"&amp;($A414+10/24))</f>
        <v/>
      </c>
      <c r="O414" s="20">
        <f>COUNTIFS(tData[SEHTrajectPeriodeDatumTijdVan],"&lt;="&amp;($A414+11/24),tData[SEHTrajectPeriodeDatumTijdTotEnMet],"&gt;"&amp;($A414+11/24))</f>
        <v/>
      </c>
      <c r="P414" s="20">
        <f>COUNTIFS(tData[SEHTrajectPeriodeDatumTijdVan],"&lt;="&amp;($A414+12/24),tData[SEHTrajectPeriodeDatumTijdTotEnMet],"&gt;"&amp;($A414+12/24))</f>
        <v/>
      </c>
      <c r="Q414" s="20">
        <f>COUNTIFS(tData[SEHTrajectPeriodeDatumTijdVan],"&lt;="&amp;($A414+13/24),tData[SEHTrajectPeriodeDatumTijdTotEnMet],"&gt;"&amp;($A414+13/24))</f>
        <v/>
      </c>
      <c r="R414" s="20">
        <f>COUNTIFS(tData[SEHTrajectPeriodeDatumTijdVan],"&lt;="&amp;($A414+14/24),tData[SEHTrajectPeriodeDatumTijdTotEnMet],"&gt;"&amp;($A414+14/24))</f>
        <v/>
      </c>
      <c r="S414" s="20">
        <f>COUNTIFS(tData[SEHTrajectPeriodeDatumTijdVan],"&lt;="&amp;($A414+15/24),tData[SEHTrajectPeriodeDatumTijdTotEnMet],"&gt;"&amp;($A414+15/24))</f>
        <v/>
      </c>
      <c r="T414" s="20">
        <f>COUNTIFS(tData[SEHTrajectPeriodeDatumTijdVan],"&lt;="&amp;($A414+16/24),tData[SEHTrajectPeriodeDatumTijdTotEnMet],"&gt;"&amp;($A414+16/24))</f>
        <v/>
      </c>
      <c r="U414" s="20">
        <f>COUNTIFS(tData[SEHTrajectPeriodeDatumTijdVan],"&lt;="&amp;($A414+17/24),tData[SEHTrajectPeriodeDatumTijdTotEnMet],"&gt;"&amp;($A414+17/24))</f>
        <v/>
      </c>
      <c r="V414" s="20">
        <f>COUNTIFS(tData[SEHTrajectPeriodeDatumTijdVan],"&lt;="&amp;($A414+18/24),tData[SEHTrajectPeriodeDatumTijdTotEnMet],"&gt;"&amp;($A414+18/24))</f>
        <v/>
      </c>
      <c r="W414" s="20">
        <f>COUNTIFS(tData[SEHTrajectPeriodeDatumTijdVan],"&lt;="&amp;($A414+19/24),tData[SEHTrajectPeriodeDatumTijdTotEnMet],"&gt;"&amp;($A414+19/24))</f>
        <v/>
      </c>
      <c r="X414" s="20">
        <f>COUNTIFS(tData[SEHTrajectPeriodeDatumTijdVan],"&lt;="&amp;($A414+20/24),tData[SEHTrajectPeriodeDatumTijdTotEnMet],"&gt;"&amp;($A414+20/24))</f>
        <v/>
      </c>
      <c r="Y414" s="20">
        <f>COUNTIFS(tData[SEHTrajectPeriodeDatumTijdVan],"&lt;="&amp;($A414+21/24),tData[SEHTrajectPeriodeDatumTijdTotEnMet],"&gt;"&amp;($A414+21/24))</f>
        <v/>
      </c>
      <c r="Z414" s="20">
        <f>COUNTIFS(tData[SEHTrajectPeriodeDatumTijdVan],"&lt;="&amp;($A414+22/24),tData[SEHTrajectPeriodeDatumTijdTotEnMet],"&gt;"&amp;($A414+22/24))</f>
        <v/>
      </c>
      <c r="AA414" s="20">
        <f>COUNTIFS(tData[SEHTrajectPeriodeDatumTijdVan],"&lt;="&amp;($A414+23/24),tData[SEHTrajectPeriodeDatumTijdTotEnMet],"&gt;"&amp;($A414+23/24))</f>
        <v/>
      </c>
    </row>
    <row r="415">
      <c r="A415" s="19" t="n">
        <v>45703</v>
      </c>
      <c r="B415" s="15">
        <f>WEEKDAY($A415,2)</f>
        <v/>
      </c>
      <c r="C415" s="15">
        <f>IF(AND($A415&gt;=INT(Instellingen!$B$5),$A415&lt;=INT(Instellingen!$B$6)),1,0)</f>
        <v/>
      </c>
      <c r="D415" s="20">
        <f>COUNTIFS(tData[SEHTrajectPeriodeDatumTijdVan],"&lt;="&amp;($A415+0/24),tData[SEHTrajectPeriodeDatumTijdTotEnMet],"&gt;"&amp;($A415+0/24))</f>
        <v/>
      </c>
      <c r="E415" s="20">
        <f>COUNTIFS(tData[SEHTrajectPeriodeDatumTijdVan],"&lt;="&amp;($A415+1/24),tData[SEHTrajectPeriodeDatumTijdTotEnMet],"&gt;"&amp;($A415+1/24))</f>
        <v/>
      </c>
      <c r="F415" s="20">
        <f>COUNTIFS(tData[SEHTrajectPeriodeDatumTijdVan],"&lt;="&amp;($A415+2/24),tData[SEHTrajectPeriodeDatumTijdTotEnMet],"&gt;"&amp;($A415+2/24))</f>
        <v/>
      </c>
      <c r="G415" s="20">
        <f>COUNTIFS(tData[SEHTrajectPeriodeDatumTijdVan],"&lt;="&amp;($A415+3/24),tData[SEHTrajectPeriodeDatumTijdTotEnMet],"&gt;"&amp;($A415+3/24))</f>
        <v/>
      </c>
      <c r="H415" s="20">
        <f>COUNTIFS(tData[SEHTrajectPeriodeDatumTijdVan],"&lt;="&amp;($A415+4/24),tData[SEHTrajectPeriodeDatumTijdTotEnMet],"&gt;"&amp;($A415+4/24))</f>
        <v/>
      </c>
      <c r="I415" s="20">
        <f>COUNTIFS(tData[SEHTrajectPeriodeDatumTijdVan],"&lt;="&amp;($A415+5/24),tData[SEHTrajectPeriodeDatumTijdTotEnMet],"&gt;"&amp;($A415+5/24))</f>
        <v/>
      </c>
      <c r="J415" s="20">
        <f>COUNTIFS(tData[SEHTrajectPeriodeDatumTijdVan],"&lt;="&amp;($A415+6/24),tData[SEHTrajectPeriodeDatumTijdTotEnMet],"&gt;"&amp;($A415+6/24))</f>
        <v/>
      </c>
      <c r="K415" s="20">
        <f>COUNTIFS(tData[SEHTrajectPeriodeDatumTijdVan],"&lt;="&amp;($A415+7/24),tData[SEHTrajectPeriodeDatumTijdTotEnMet],"&gt;"&amp;($A415+7/24))</f>
        <v/>
      </c>
      <c r="L415" s="20">
        <f>COUNTIFS(tData[SEHTrajectPeriodeDatumTijdVan],"&lt;="&amp;($A415+8/24),tData[SEHTrajectPeriodeDatumTijdTotEnMet],"&gt;"&amp;($A415+8/24))</f>
        <v/>
      </c>
      <c r="M415" s="20">
        <f>COUNTIFS(tData[SEHTrajectPeriodeDatumTijdVan],"&lt;="&amp;($A415+9/24),tData[SEHTrajectPeriodeDatumTijdTotEnMet],"&gt;"&amp;($A415+9/24))</f>
        <v/>
      </c>
      <c r="N415" s="20">
        <f>COUNTIFS(tData[SEHTrajectPeriodeDatumTijdVan],"&lt;="&amp;($A415+10/24),tData[SEHTrajectPeriodeDatumTijdTotEnMet],"&gt;"&amp;($A415+10/24))</f>
        <v/>
      </c>
      <c r="O415" s="20">
        <f>COUNTIFS(tData[SEHTrajectPeriodeDatumTijdVan],"&lt;="&amp;($A415+11/24),tData[SEHTrajectPeriodeDatumTijdTotEnMet],"&gt;"&amp;($A415+11/24))</f>
        <v/>
      </c>
      <c r="P415" s="20">
        <f>COUNTIFS(tData[SEHTrajectPeriodeDatumTijdVan],"&lt;="&amp;($A415+12/24),tData[SEHTrajectPeriodeDatumTijdTotEnMet],"&gt;"&amp;($A415+12/24))</f>
        <v/>
      </c>
      <c r="Q415" s="20">
        <f>COUNTIFS(tData[SEHTrajectPeriodeDatumTijdVan],"&lt;="&amp;($A415+13/24),tData[SEHTrajectPeriodeDatumTijdTotEnMet],"&gt;"&amp;($A415+13/24))</f>
        <v/>
      </c>
      <c r="R415" s="20">
        <f>COUNTIFS(tData[SEHTrajectPeriodeDatumTijdVan],"&lt;="&amp;($A415+14/24),tData[SEHTrajectPeriodeDatumTijdTotEnMet],"&gt;"&amp;($A415+14/24))</f>
        <v/>
      </c>
      <c r="S415" s="20">
        <f>COUNTIFS(tData[SEHTrajectPeriodeDatumTijdVan],"&lt;="&amp;($A415+15/24),tData[SEHTrajectPeriodeDatumTijdTotEnMet],"&gt;"&amp;($A415+15/24))</f>
        <v/>
      </c>
      <c r="T415" s="20">
        <f>COUNTIFS(tData[SEHTrajectPeriodeDatumTijdVan],"&lt;="&amp;($A415+16/24),tData[SEHTrajectPeriodeDatumTijdTotEnMet],"&gt;"&amp;($A415+16/24))</f>
        <v/>
      </c>
      <c r="U415" s="20">
        <f>COUNTIFS(tData[SEHTrajectPeriodeDatumTijdVan],"&lt;="&amp;($A415+17/24),tData[SEHTrajectPeriodeDatumTijdTotEnMet],"&gt;"&amp;($A415+17/24))</f>
        <v/>
      </c>
      <c r="V415" s="20">
        <f>COUNTIFS(tData[SEHTrajectPeriodeDatumTijdVan],"&lt;="&amp;($A415+18/24),tData[SEHTrajectPeriodeDatumTijdTotEnMet],"&gt;"&amp;($A415+18/24))</f>
        <v/>
      </c>
      <c r="W415" s="20">
        <f>COUNTIFS(tData[SEHTrajectPeriodeDatumTijdVan],"&lt;="&amp;($A415+19/24),tData[SEHTrajectPeriodeDatumTijdTotEnMet],"&gt;"&amp;($A415+19/24))</f>
        <v/>
      </c>
      <c r="X415" s="20">
        <f>COUNTIFS(tData[SEHTrajectPeriodeDatumTijdVan],"&lt;="&amp;($A415+20/24),tData[SEHTrajectPeriodeDatumTijdTotEnMet],"&gt;"&amp;($A415+20/24))</f>
        <v/>
      </c>
      <c r="Y415" s="20">
        <f>COUNTIFS(tData[SEHTrajectPeriodeDatumTijdVan],"&lt;="&amp;($A415+21/24),tData[SEHTrajectPeriodeDatumTijdTotEnMet],"&gt;"&amp;($A415+21/24))</f>
        <v/>
      </c>
      <c r="Z415" s="20">
        <f>COUNTIFS(tData[SEHTrajectPeriodeDatumTijdVan],"&lt;="&amp;($A415+22/24),tData[SEHTrajectPeriodeDatumTijdTotEnMet],"&gt;"&amp;($A415+22/24))</f>
        <v/>
      </c>
      <c r="AA415" s="20">
        <f>COUNTIFS(tData[SEHTrajectPeriodeDatumTijdVan],"&lt;="&amp;($A415+23/24),tData[SEHTrajectPeriodeDatumTijdTotEnMet],"&gt;"&amp;($A415+23/24))</f>
        <v/>
      </c>
    </row>
    <row r="416">
      <c r="A416" s="19" t="n">
        <v>45704</v>
      </c>
      <c r="B416" s="15">
        <f>WEEKDAY($A416,2)</f>
        <v/>
      </c>
      <c r="C416" s="15">
        <f>IF(AND($A416&gt;=INT(Instellingen!$B$5),$A416&lt;=INT(Instellingen!$B$6)),1,0)</f>
        <v/>
      </c>
      <c r="D416" s="20">
        <f>COUNTIFS(tData[SEHTrajectPeriodeDatumTijdVan],"&lt;="&amp;($A416+0/24),tData[SEHTrajectPeriodeDatumTijdTotEnMet],"&gt;"&amp;($A416+0/24))</f>
        <v/>
      </c>
      <c r="E416" s="20">
        <f>COUNTIFS(tData[SEHTrajectPeriodeDatumTijdVan],"&lt;="&amp;($A416+1/24),tData[SEHTrajectPeriodeDatumTijdTotEnMet],"&gt;"&amp;($A416+1/24))</f>
        <v/>
      </c>
      <c r="F416" s="20">
        <f>COUNTIFS(tData[SEHTrajectPeriodeDatumTijdVan],"&lt;="&amp;($A416+2/24),tData[SEHTrajectPeriodeDatumTijdTotEnMet],"&gt;"&amp;($A416+2/24))</f>
        <v/>
      </c>
      <c r="G416" s="20">
        <f>COUNTIFS(tData[SEHTrajectPeriodeDatumTijdVan],"&lt;="&amp;($A416+3/24),tData[SEHTrajectPeriodeDatumTijdTotEnMet],"&gt;"&amp;($A416+3/24))</f>
        <v/>
      </c>
      <c r="H416" s="20">
        <f>COUNTIFS(tData[SEHTrajectPeriodeDatumTijdVan],"&lt;="&amp;($A416+4/24),tData[SEHTrajectPeriodeDatumTijdTotEnMet],"&gt;"&amp;($A416+4/24))</f>
        <v/>
      </c>
      <c r="I416" s="20">
        <f>COUNTIFS(tData[SEHTrajectPeriodeDatumTijdVan],"&lt;="&amp;($A416+5/24),tData[SEHTrajectPeriodeDatumTijdTotEnMet],"&gt;"&amp;($A416+5/24))</f>
        <v/>
      </c>
      <c r="J416" s="20">
        <f>COUNTIFS(tData[SEHTrajectPeriodeDatumTijdVan],"&lt;="&amp;($A416+6/24),tData[SEHTrajectPeriodeDatumTijdTotEnMet],"&gt;"&amp;($A416+6/24))</f>
        <v/>
      </c>
      <c r="K416" s="20">
        <f>COUNTIFS(tData[SEHTrajectPeriodeDatumTijdVan],"&lt;="&amp;($A416+7/24),tData[SEHTrajectPeriodeDatumTijdTotEnMet],"&gt;"&amp;($A416+7/24))</f>
        <v/>
      </c>
      <c r="L416" s="20">
        <f>COUNTIFS(tData[SEHTrajectPeriodeDatumTijdVan],"&lt;="&amp;($A416+8/24),tData[SEHTrajectPeriodeDatumTijdTotEnMet],"&gt;"&amp;($A416+8/24))</f>
        <v/>
      </c>
      <c r="M416" s="20">
        <f>COUNTIFS(tData[SEHTrajectPeriodeDatumTijdVan],"&lt;="&amp;($A416+9/24),tData[SEHTrajectPeriodeDatumTijdTotEnMet],"&gt;"&amp;($A416+9/24))</f>
        <v/>
      </c>
      <c r="N416" s="20">
        <f>COUNTIFS(tData[SEHTrajectPeriodeDatumTijdVan],"&lt;="&amp;($A416+10/24),tData[SEHTrajectPeriodeDatumTijdTotEnMet],"&gt;"&amp;($A416+10/24))</f>
        <v/>
      </c>
      <c r="O416" s="20">
        <f>COUNTIFS(tData[SEHTrajectPeriodeDatumTijdVan],"&lt;="&amp;($A416+11/24),tData[SEHTrajectPeriodeDatumTijdTotEnMet],"&gt;"&amp;($A416+11/24))</f>
        <v/>
      </c>
      <c r="P416" s="20">
        <f>COUNTIFS(tData[SEHTrajectPeriodeDatumTijdVan],"&lt;="&amp;($A416+12/24),tData[SEHTrajectPeriodeDatumTijdTotEnMet],"&gt;"&amp;($A416+12/24))</f>
        <v/>
      </c>
      <c r="Q416" s="20">
        <f>COUNTIFS(tData[SEHTrajectPeriodeDatumTijdVan],"&lt;="&amp;($A416+13/24),tData[SEHTrajectPeriodeDatumTijdTotEnMet],"&gt;"&amp;($A416+13/24))</f>
        <v/>
      </c>
      <c r="R416" s="20">
        <f>COUNTIFS(tData[SEHTrajectPeriodeDatumTijdVan],"&lt;="&amp;($A416+14/24),tData[SEHTrajectPeriodeDatumTijdTotEnMet],"&gt;"&amp;($A416+14/24))</f>
        <v/>
      </c>
      <c r="S416" s="20">
        <f>COUNTIFS(tData[SEHTrajectPeriodeDatumTijdVan],"&lt;="&amp;($A416+15/24),tData[SEHTrajectPeriodeDatumTijdTotEnMet],"&gt;"&amp;($A416+15/24))</f>
        <v/>
      </c>
      <c r="T416" s="20">
        <f>COUNTIFS(tData[SEHTrajectPeriodeDatumTijdVan],"&lt;="&amp;($A416+16/24),tData[SEHTrajectPeriodeDatumTijdTotEnMet],"&gt;"&amp;($A416+16/24))</f>
        <v/>
      </c>
      <c r="U416" s="20">
        <f>COUNTIFS(tData[SEHTrajectPeriodeDatumTijdVan],"&lt;="&amp;($A416+17/24),tData[SEHTrajectPeriodeDatumTijdTotEnMet],"&gt;"&amp;($A416+17/24))</f>
        <v/>
      </c>
      <c r="V416" s="20">
        <f>COUNTIFS(tData[SEHTrajectPeriodeDatumTijdVan],"&lt;="&amp;($A416+18/24),tData[SEHTrajectPeriodeDatumTijdTotEnMet],"&gt;"&amp;($A416+18/24))</f>
        <v/>
      </c>
      <c r="W416" s="20">
        <f>COUNTIFS(tData[SEHTrajectPeriodeDatumTijdVan],"&lt;="&amp;($A416+19/24),tData[SEHTrajectPeriodeDatumTijdTotEnMet],"&gt;"&amp;($A416+19/24))</f>
        <v/>
      </c>
      <c r="X416" s="20">
        <f>COUNTIFS(tData[SEHTrajectPeriodeDatumTijdVan],"&lt;="&amp;($A416+20/24),tData[SEHTrajectPeriodeDatumTijdTotEnMet],"&gt;"&amp;($A416+20/24))</f>
        <v/>
      </c>
      <c r="Y416" s="20">
        <f>COUNTIFS(tData[SEHTrajectPeriodeDatumTijdVan],"&lt;="&amp;($A416+21/24),tData[SEHTrajectPeriodeDatumTijdTotEnMet],"&gt;"&amp;($A416+21/24))</f>
        <v/>
      </c>
      <c r="Z416" s="20">
        <f>COUNTIFS(tData[SEHTrajectPeriodeDatumTijdVan],"&lt;="&amp;($A416+22/24),tData[SEHTrajectPeriodeDatumTijdTotEnMet],"&gt;"&amp;($A416+22/24))</f>
        <v/>
      </c>
      <c r="AA416" s="20">
        <f>COUNTIFS(tData[SEHTrajectPeriodeDatumTijdVan],"&lt;="&amp;($A416+23/24),tData[SEHTrajectPeriodeDatumTijdTotEnMet],"&gt;"&amp;($A416+23/24))</f>
        <v/>
      </c>
    </row>
    <row r="417">
      <c r="A417" s="19" t="n">
        <v>45705</v>
      </c>
      <c r="B417" s="15">
        <f>WEEKDAY($A417,2)</f>
        <v/>
      </c>
      <c r="C417" s="15">
        <f>IF(AND($A417&gt;=INT(Instellingen!$B$5),$A417&lt;=INT(Instellingen!$B$6)),1,0)</f>
        <v/>
      </c>
      <c r="D417" s="20">
        <f>COUNTIFS(tData[SEHTrajectPeriodeDatumTijdVan],"&lt;="&amp;($A417+0/24),tData[SEHTrajectPeriodeDatumTijdTotEnMet],"&gt;"&amp;($A417+0/24))</f>
        <v/>
      </c>
      <c r="E417" s="20">
        <f>COUNTIFS(tData[SEHTrajectPeriodeDatumTijdVan],"&lt;="&amp;($A417+1/24),tData[SEHTrajectPeriodeDatumTijdTotEnMet],"&gt;"&amp;($A417+1/24))</f>
        <v/>
      </c>
      <c r="F417" s="20">
        <f>COUNTIFS(tData[SEHTrajectPeriodeDatumTijdVan],"&lt;="&amp;($A417+2/24),tData[SEHTrajectPeriodeDatumTijdTotEnMet],"&gt;"&amp;($A417+2/24))</f>
        <v/>
      </c>
      <c r="G417" s="20">
        <f>COUNTIFS(tData[SEHTrajectPeriodeDatumTijdVan],"&lt;="&amp;($A417+3/24),tData[SEHTrajectPeriodeDatumTijdTotEnMet],"&gt;"&amp;($A417+3/24))</f>
        <v/>
      </c>
      <c r="H417" s="20">
        <f>COUNTIFS(tData[SEHTrajectPeriodeDatumTijdVan],"&lt;="&amp;($A417+4/24),tData[SEHTrajectPeriodeDatumTijdTotEnMet],"&gt;"&amp;($A417+4/24))</f>
        <v/>
      </c>
      <c r="I417" s="20">
        <f>COUNTIFS(tData[SEHTrajectPeriodeDatumTijdVan],"&lt;="&amp;($A417+5/24),tData[SEHTrajectPeriodeDatumTijdTotEnMet],"&gt;"&amp;($A417+5/24))</f>
        <v/>
      </c>
      <c r="J417" s="20">
        <f>COUNTIFS(tData[SEHTrajectPeriodeDatumTijdVan],"&lt;="&amp;($A417+6/24),tData[SEHTrajectPeriodeDatumTijdTotEnMet],"&gt;"&amp;($A417+6/24))</f>
        <v/>
      </c>
      <c r="K417" s="20">
        <f>COUNTIFS(tData[SEHTrajectPeriodeDatumTijdVan],"&lt;="&amp;($A417+7/24),tData[SEHTrajectPeriodeDatumTijdTotEnMet],"&gt;"&amp;($A417+7/24))</f>
        <v/>
      </c>
      <c r="L417" s="20">
        <f>COUNTIFS(tData[SEHTrajectPeriodeDatumTijdVan],"&lt;="&amp;($A417+8/24),tData[SEHTrajectPeriodeDatumTijdTotEnMet],"&gt;"&amp;($A417+8/24))</f>
        <v/>
      </c>
      <c r="M417" s="20">
        <f>COUNTIFS(tData[SEHTrajectPeriodeDatumTijdVan],"&lt;="&amp;($A417+9/24),tData[SEHTrajectPeriodeDatumTijdTotEnMet],"&gt;"&amp;($A417+9/24))</f>
        <v/>
      </c>
      <c r="N417" s="20">
        <f>COUNTIFS(tData[SEHTrajectPeriodeDatumTijdVan],"&lt;="&amp;($A417+10/24),tData[SEHTrajectPeriodeDatumTijdTotEnMet],"&gt;"&amp;($A417+10/24))</f>
        <v/>
      </c>
      <c r="O417" s="20">
        <f>COUNTIFS(tData[SEHTrajectPeriodeDatumTijdVan],"&lt;="&amp;($A417+11/24),tData[SEHTrajectPeriodeDatumTijdTotEnMet],"&gt;"&amp;($A417+11/24))</f>
        <v/>
      </c>
      <c r="P417" s="20">
        <f>COUNTIFS(tData[SEHTrajectPeriodeDatumTijdVan],"&lt;="&amp;($A417+12/24),tData[SEHTrajectPeriodeDatumTijdTotEnMet],"&gt;"&amp;($A417+12/24))</f>
        <v/>
      </c>
      <c r="Q417" s="20">
        <f>COUNTIFS(tData[SEHTrajectPeriodeDatumTijdVan],"&lt;="&amp;($A417+13/24),tData[SEHTrajectPeriodeDatumTijdTotEnMet],"&gt;"&amp;($A417+13/24))</f>
        <v/>
      </c>
      <c r="R417" s="20">
        <f>COUNTIFS(tData[SEHTrajectPeriodeDatumTijdVan],"&lt;="&amp;($A417+14/24),tData[SEHTrajectPeriodeDatumTijdTotEnMet],"&gt;"&amp;($A417+14/24))</f>
        <v/>
      </c>
      <c r="S417" s="20">
        <f>COUNTIFS(tData[SEHTrajectPeriodeDatumTijdVan],"&lt;="&amp;($A417+15/24),tData[SEHTrajectPeriodeDatumTijdTotEnMet],"&gt;"&amp;($A417+15/24))</f>
        <v/>
      </c>
      <c r="T417" s="20">
        <f>COUNTIFS(tData[SEHTrajectPeriodeDatumTijdVan],"&lt;="&amp;($A417+16/24),tData[SEHTrajectPeriodeDatumTijdTotEnMet],"&gt;"&amp;($A417+16/24))</f>
        <v/>
      </c>
      <c r="U417" s="20">
        <f>COUNTIFS(tData[SEHTrajectPeriodeDatumTijdVan],"&lt;="&amp;($A417+17/24),tData[SEHTrajectPeriodeDatumTijdTotEnMet],"&gt;"&amp;($A417+17/24))</f>
        <v/>
      </c>
      <c r="V417" s="20">
        <f>COUNTIFS(tData[SEHTrajectPeriodeDatumTijdVan],"&lt;="&amp;($A417+18/24),tData[SEHTrajectPeriodeDatumTijdTotEnMet],"&gt;"&amp;($A417+18/24))</f>
        <v/>
      </c>
      <c r="W417" s="20">
        <f>COUNTIFS(tData[SEHTrajectPeriodeDatumTijdVan],"&lt;="&amp;($A417+19/24),tData[SEHTrajectPeriodeDatumTijdTotEnMet],"&gt;"&amp;($A417+19/24))</f>
        <v/>
      </c>
      <c r="X417" s="20">
        <f>COUNTIFS(tData[SEHTrajectPeriodeDatumTijdVan],"&lt;="&amp;($A417+20/24),tData[SEHTrajectPeriodeDatumTijdTotEnMet],"&gt;"&amp;($A417+20/24))</f>
        <v/>
      </c>
      <c r="Y417" s="20">
        <f>COUNTIFS(tData[SEHTrajectPeriodeDatumTijdVan],"&lt;="&amp;($A417+21/24),tData[SEHTrajectPeriodeDatumTijdTotEnMet],"&gt;"&amp;($A417+21/24))</f>
        <v/>
      </c>
      <c r="Z417" s="20">
        <f>COUNTIFS(tData[SEHTrajectPeriodeDatumTijdVan],"&lt;="&amp;($A417+22/24),tData[SEHTrajectPeriodeDatumTijdTotEnMet],"&gt;"&amp;($A417+22/24))</f>
        <v/>
      </c>
      <c r="AA417" s="20">
        <f>COUNTIFS(tData[SEHTrajectPeriodeDatumTijdVan],"&lt;="&amp;($A417+23/24),tData[SEHTrajectPeriodeDatumTijdTotEnMet],"&gt;"&amp;($A417+23/24))</f>
        <v/>
      </c>
    </row>
    <row r="418">
      <c r="A418" s="19" t="n">
        <v>45706</v>
      </c>
      <c r="B418" s="15">
        <f>WEEKDAY($A418,2)</f>
        <v/>
      </c>
      <c r="C418" s="15">
        <f>IF(AND($A418&gt;=INT(Instellingen!$B$5),$A418&lt;=INT(Instellingen!$B$6)),1,0)</f>
        <v/>
      </c>
      <c r="D418" s="20">
        <f>COUNTIFS(tData[SEHTrajectPeriodeDatumTijdVan],"&lt;="&amp;($A418+0/24),tData[SEHTrajectPeriodeDatumTijdTotEnMet],"&gt;"&amp;($A418+0/24))</f>
        <v/>
      </c>
      <c r="E418" s="20">
        <f>COUNTIFS(tData[SEHTrajectPeriodeDatumTijdVan],"&lt;="&amp;($A418+1/24),tData[SEHTrajectPeriodeDatumTijdTotEnMet],"&gt;"&amp;($A418+1/24))</f>
        <v/>
      </c>
      <c r="F418" s="20">
        <f>COUNTIFS(tData[SEHTrajectPeriodeDatumTijdVan],"&lt;="&amp;($A418+2/24),tData[SEHTrajectPeriodeDatumTijdTotEnMet],"&gt;"&amp;($A418+2/24))</f>
        <v/>
      </c>
      <c r="G418" s="20">
        <f>COUNTIFS(tData[SEHTrajectPeriodeDatumTijdVan],"&lt;="&amp;($A418+3/24),tData[SEHTrajectPeriodeDatumTijdTotEnMet],"&gt;"&amp;($A418+3/24))</f>
        <v/>
      </c>
      <c r="H418" s="20">
        <f>COUNTIFS(tData[SEHTrajectPeriodeDatumTijdVan],"&lt;="&amp;($A418+4/24),tData[SEHTrajectPeriodeDatumTijdTotEnMet],"&gt;"&amp;($A418+4/24))</f>
        <v/>
      </c>
      <c r="I418" s="20">
        <f>COUNTIFS(tData[SEHTrajectPeriodeDatumTijdVan],"&lt;="&amp;($A418+5/24),tData[SEHTrajectPeriodeDatumTijdTotEnMet],"&gt;"&amp;($A418+5/24))</f>
        <v/>
      </c>
      <c r="J418" s="20">
        <f>COUNTIFS(tData[SEHTrajectPeriodeDatumTijdVan],"&lt;="&amp;($A418+6/24),tData[SEHTrajectPeriodeDatumTijdTotEnMet],"&gt;"&amp;($A418+6/24))</f>
        <v/>
      </c>
      <c r="K418" s="20">
        <f>COUNTIFS(tData[SEHTrajectPeriodeDatumTijdVan],"&lt;="&amp;($A418+7/24),tData[SEHTrajectPeriodeDatumTijdTotEnMet],"&gt;"&amp;($A418+7/24))</f>
        <v/>
      </c>
      <c r="L418" s="20">
        <f>COUNTIFS(tData[SEHTrajectPeriodeDatumTijdVan],"&lt;="&amp;($A418+8/24),tData[SEHTrajectPeriodeDatumTijdTotEnMet],"&gt;"&amp;($A418+8/24))</f>
        <v/>
      </c>
      <c r="M418" s="20">
        <f>COUNTIFS(tData[SEHTrajectPeriodeDatumTijdVan],"&lt;="&amp;($A418+9/24),tData[SEHTrajectPeriodeDatumTijdTotEnMet],"&gt;"&amp;($A418+9/24))</f>
        <v/>
      </c>
      <c r="N418" s="20">
        <f>COUNTIFS(tData[SEHTrajectPeriodeDatumTijdVan],"&lt;="&amp;($A418+10/24),tData[SEHTrajectPeriodeDatumTijdTotEnMet],"&gt;"&amp;($A418+10/24))</f>
        <v/>
      </c>
      <c r="O418" s="20">
        <f>COUNTIFS(tData[SEHTrajectPeriodeDatumTijdVan],"&lt;="&amp;($A418+11/24),tData[SEHTrajectPeriodeDatumTijdTotEnMet],"&gt;"&amp;($A418+11/24))</f>
        <v/>
      </c>
      <c r="P418" s="20">
        <f>COUNTIFS(tData[SEHTrajectPeriodeDatumTijdVan],"&lt;="&amp;($A418+12/24),tData[SEHTrajectPeriodeDatumTijdTotEnMet],"&gt;"&amp;($A418+12/24))</f>
        <v/>
      </c>
      <c r="Q418" s="20">
        <f>COUNTIFS(tData[SEHTrajectPeriodeDatumTijdVan],"&lt;="&amp;($A418+13/24),tData[SEHTrajectPeriodeDatumTijdTotEnMet],"&gt;"&amp;($A418+13/24))</f>
        <v/>
      </c>
      <c r="R418" s="20">
        <f>COUNTIFS(tData[SEHTrajectPeriodeDatumTijdVan],"&lt;="&amp;($A418+14/24),tData[SEHTrajectPeriodeDatumTijdTotEnMet],"&gt;"&amp;($A418+14/24))</f>
        <v/>
      </c>
      <c r="S418" s="20">
        <f>COUNTIFS(tData[SEHTrajectPeriodeDatumTijdVan],"&lt;="&amp;($A418+15/24),tData[SEHTrajectPeriodeDatumTijdTotEnMet],"&gt;"&amp;($A418+15/24))</f>
        <v/>
      </c>
      <c r="T418" s="20">
        <f>COUNTIFS(tData[SEHTrajectPeriodeDatumTijdVan],"&lt;="&amp;($A418+16/24),tData[SEHTrajectPeriodeDatumTijdTotEnMet],"&gt;"&amp;($A418+16/24))</f>
        <v/>
      </c>
      <c r="U418" s="20">
        <f>COUNTIFS(tData[SEHTrajectPeriodeDatumTijdVan],"&lt;="&amp;($A418+17/24),tData[SEHTrajectPeriodeDatumTijdTotEnMet],"&gt;"&amp;($A418+17/24))</f>
        <v/>
      </c>
      <c r="V418" s="20">
        <f>COUNTIFS(tData[SEHTrajectPeriodeDatumTijdVan],"&lt;="&amp;($A418+18/24),tData[SEHTrajectPeriodeDatumTijdTotEnMet],"&gt;"&amp;($A418+18/24))</f>
        <v/>
      </c>
      <c r="W418" s="20">
        <f>COUNTIFS(tData[SEHTrajectPeriodeDatumTijdVan],"&lt;="&amp;($A418+19/24),tData[SEHTrajectPeriodeDatumTijdTotEnMet],"&gt;"&amp;($A418+19/24))</f>
        <v/>
      </c>
      <c r="X418" s="20">
        <f>COUNTIFS(tData[SEHTrajectPeriodeDatumTijdVan],"&lt;="&amp;($A418+20/24),tData[SEHTrajectPeriodeDatumTijdTotEnMet],"&gt;"&amp;($A418+20/24))</f>
        <v/>
      </c>
      <c r="Y418" s="20">
        <f>COUNTIFS(tData[SEHTrajectPeriodeDatumTijdVan],"&lt;="&amp;($A418+21/24),tData[SEHTrajectPeriodeDatumTijdTotEnMet],"&gt;"&amp;($A418+21/24))</f>
        <v/>
      </c>
      <c r="Z418" s="20">
        <f>COUNTIFS(tData[SEHTrajectPeriodeDatumTijdVan],"&lt;="&amp;($A418+22/24),tData[SEHTrajectPeriodeDatumTijdTotEnMet],"&gt;"&amp;($A418+22/24))</f>
        <v/>
      </c>
      <c r="AA418" s="20">
        <f>COUNTIFS(tData[SEHTrajectPeriodeDatumTijdVan],"&lt;="&amp;($A418+23/24),tData[SEHTrajectPeriodeDatumTijdTotEnMet],"&gt;"&amp;($A418+23/24))</f>
        <v/>
      </c>
    </row>
    <row r="419">
      <c r="A419" s="19" t="n">
        <v>45707</v>
      </c>
      <c r="B419" s="15">
        <f>WEEKDAY($A419,2)</f>
        <v/>
      </c>
      <c r="C419" s="15">
        <f>IF(AND($A419&gt;=INT(Instellingen!$B$5),$A419&lt;=INT(Instellingen!$B$6)),1,0)</f>
        <v/>
      </c>
      <c r="D419" s="20">
        <f>COUNTIFS(tData[SEHTrajectPeriodeDatumTijdVan],"&lt;="&amp;($A419+0/24),tData[SEHTrajectPeriodeDatumTijdTotEnMet],"&gt;"&amp;($A419+0/24))</f>
        <v/>
      </c>
      <c r="E419" s="20">
        <f>COUNTIFS(tData[SEHTrajectPeriodeDatumTijdVan],"&lt;="&amp;($A419+1/24),tData[SEHTrajectPeriodeDatumTijdTotEnMet],"&gt;"&amp;($A419+1/24))</f>
        <v/>
      </c>
      <c r="F419" s="20">
        <f>COUNTIFS(tData[SEHTrajectPeriodeDatumTijdVan],"&lt;="&amp;($A419+2/24),tData[SEHTrajectPeriodeDatumTijdTotEnMet],"&gt;"&amp;($A419+2/24))</f>
        <v/>
      </c>
      <c r="G419" s="20">
        <f>COUNTIFS(tData[SEHTrajectPeriodeDatumTijdVan],"&lt;="&amp;($A419+3/24),tData[SEHTrajectPeriodeDatumTijdTotEnMet],"&gt;"&amp;($A419+3/24))</f>
        <v/>
      </c>
      <c r="H419" s="20">
        <f>COUNTIFS(tData[SEHTrajectPeriodeDatumTijdVan],"&lt;="&amp;($A419+4/24),tData[SEHTrajectPeriodeDatumTijdTotEnMet],"&gt;"&amp;($A419+4/24))</f>
        <v/>
      </c>
      <c r="I419" s="20">
        <f>COUNTIFS(tData[SEHTrajectPeriodeDatumTijdVan],"&lt;="&amp;($A419+5/24),tData[SEHTrajectPeriodeDatumTijdTotEnMet],"&gt;"&amp;($A419+5/24))</f>
        <v/>
      </c>
      <c r="J419" s="20">
        <f>COUNTIFS(tData[SEHTrajectPeriodeDatumTijdVan],"&lt;="&amp;($A419+6/24),tData[SEHTrajectPeriodeDatumTijdTotEnMet],"&gt;"&amp;($A419+6/24))</f>
        <v/>
      </c>
      <c r="K419" s="20">
        <f>COUNTIFS(tData[SEHTrajectPeriodeDatumTijdVan],"&lt;="&amp;($A419+7/24),tData[SEHTrajectPeriodeDatumTijdTotEnMet],"&gt;"&amp;($A419+7/24))</f>
        <v/>
      </c>
      <c r="L419" s="20">
        <f>COUNTIFS(tData[SEHTrajectPeriodeDatumTijdVan],"&lt;="&amp;($A419+8/24),tData[SEHTrajectPeriodeDatumTijdTotEnMet],"&gt;"&amp;($A419+8/24))</f>
        <v/>
      </c>
      <c r="M419" s="20">
        <f>COUNTIFS(tData[SEHTrajectPeriodeDatumTijdVan],"&lt;="&amp;($A419+9/24),tData[SEHTrajectPeriodeDatumTijdTotEnMet],"&gt;"&amp;($A419+9/24))</f>
        <v/>
      </c>
      <c r="N419" s="20">
        <f>COUNTIFS(tData[SEHTrajectPeriodeDatumTijdVan],"&lt;="&amp;($A419+10/24),tData[SEHTrajectPeriodeDatumTijdTotEnMet],"&gt;"&amp;($A419+10/24))</f>
        <v/>
      </c>
      <c r="O419" s="20">
        <f>COUNTIFS(tData[SEHTrajectPeriodeDatumTijdVan],"&lt;="&amp;($A419+11/24),tData[SEHTrajectPeriodeDatumTijdTotEnMet],"&gt;"&amp;($A419+11/24))</f>
        <v/>
      </c>
      <c r="P419" s="20">
        <f>COUNTIFS(tData[SEHTrajectPeriodeDatumTijdVan],"&lt;="&amp;($A419+12/24),tData[SEHTrajectPeriodeDatumTijdTotEnMet],"&gt;"&amp;($A419+12/24))</f>
        <v/>
      </c>
      <c r="Q419" s="20">
        <f>COUNTIFS(tData[SEHTrajectPeriodeDatumTijdVan],"&lt;="&amp;($A419+13/24),tData[SEHTrajectPeriodeDatumTijdTotEnMet],"&gt;"&amp;($A419+13/24))</f>
        <v/>
      </c>
      <c r="R419" s="20">
        <f>COUNTIFS(tData[SEHTrajectPeriodeDatumTijdVan],"&lt;="&amp;($A419+14/24),tData[SEHTrajectPeriodeDatumTijdTotEnMet],"&gt;"&amp;($A419+14/24))</f>
        <v/>
      </c>
      <c r="S419" s="20">
        <f>COUNTIFS(tData[SEHTrajectPeriodeDatumTijdVan],"&lt;="&amp;($A419+15/24),tData[SEHTrajectPeriodeDatumTijdTotEnMet],"&gt;"&amp;($A419+15/24))</f>
        <v/>
      </c>
      <c r="T419" s="20">
        <f>COUNTIFS(tData[SEHTrajectPeriodeDatumTijdVan],"&lt;="&amp;($A419+16/24),tData[SEHTrajectPeriodeDatumTijdTotEnMet],"&gt;"&amp;($A419+16/24))</f>
        <v/>
      </c>
      <c r="U419" s="20">
        <f>COUNTIFS(tData[SEHTrajectPeriodeDatumTijdVan],"&lt;="&amp;($A419+17/24),tData[SEHTrajectPeriodeDatumTijdTotEnMet],"&gt;"&amp;($A419+17/24))</f>
        <v/>
      </c>
      <c r="V419" s="20">
        <f>COUNTIFS(tData[SEHTrajectPeriodeDatumTijdVan],"&lt;="&amp;($A419+18/24),tData[SEHTrajectPeriodeDatumTijdTotEnMet],"&gt;"&amp;($A419+18/24))</f>
        <v/>
      </c>
      <c r="W419" s="20">
        <f>COUNTIFS(tData[SEHTrajectPeriodeDatumTijdVan],"&lt;="&amp;($A419+19/24),tData[SEHTrajectPeriodeDatumTijdTotEnMet],"&gt;"&amp;($A419+19/24))</f>
        <v/>
      </c>
      <c r="X419" s="20">
        <f>COUNTIFS(tData[SEHTrajectPeriodeDatumTijdVan],"&lt;="&amp;($A419+20/24),tData[SEHTrajectPeriodeDatumTijdTotEnMet],"&gt;"&amp;($A419+20/24))</f>
        <v/>
      </c>
      <c r="Y419" s="20">
        <f>COUNTIFS(tData[SEHTrajectPeriodeDatumTijdVan],"&lt;="&amp;($A419+21/24),tData[SEHTrajectPeriodeDatumTijdTotEnMet],"&gt;"&amp;($A419+21/24))</f>
        <v/>
      </c>
      <c r="Z419" s="20">
        <f>COUNTIFS(tData[SEHTrajectPeriodeDatumTijdVan],"&lt;="&amp;($A419+22/24),tData[SEHTrajectPeriodeDatumTijdTotEnMet],"&gt;"&amp;($A419+22/24))</f>
        <v/>
      </c>
      <c r="AA419" s="20">
        <f>COUNTIFS(tData[SEHTrajectPeriodeDatumTijdVan],"&lt;="&amp;($A419+23/24),tData[SEHTrajectPeriodeDatumTijdTotEnMet],"&gt;"&amp;($A419+23/24))</f>
        <v/>
      </c>
    </row>
    <row r="420">
      <c r="A420" s="19" t="n">
        <v>45708</v>
      </c>
      <c r="B420" s="15">
        <f>WEEKDAY($A420,2)</f>
        <v/>
      </c>
      <c r="C420" s="15">
        <f>IF(AND($A420&gt;=INT(Instellingen!$B$5),$A420&lt;=INT(Instellingen!$B$6)),1,0)</f>
        <v/>
      </c>
      <c r="D420" s="20">
        <f>COUNTIFS(tData[SEHTrajectPeriodeDatumTijdVan],"&lt;="&amp;($A420+0/24),tData[SEHTrajectPeriodeDatumTijdTotEnMet],"&gt;"&amp;($A420+0/24))</f>
        <v/>
      </c>
      <c r="E420" s="20">
        <f>COUNTIFS(tData[SEHTrajectPeriodeDatumTijdVan],"&lt;="&amp;($A420+1/24),tData[SEHTrajectPeriodeDatumTijdTotEnMet],"&gt;"&amp;($A420+1/24))</f>
        <v/>
      </c>
      <c r="F420" s="20">
        <f>COUNTIFS(tData[SEHTrajectPeriodeDatumTijdVan],"&lt;="&amp;($A420+2/24),tData[SEHTrajectPeriodeDatumTijdTotEnMet],"&gt;"&amp;($A420+2/24))</f>
        <v/>
      </c>
      <c r="G420" s="20">
        <f>COUNTIFS(tData[SEHTrajectPeriodeDatumTijdVan],"&lt;="&amp;($A420+3/24),tData[SEHTrajectPeriodeDatumTijdTotEnMet],"&gt;"&amp;($A420+3/24))</f>
        <v/>
      </c>
      <c r="H420" s="20">
        <f>COUNTIFS(tData[SEHTrajectPeriodeDatumTijdVan],"&lt;="&amp;($A420+4/24),tData[SEHTrajectPeriodeDatumTijdTotEnMet],"&gt;"&amp;($A420+4/24))</f>
        <v/>
      </c>
      <c r="I420" s="20">
        <f>COUNTIFS(tData[SEHTrajectPeriodeDatumTijdVan],"&lt;="&amp;($A420+5/24),tData[SEHTrajectPeriodeDatumTijdTotEnMet],"&gt;"&amp;($A420+5/24))</f>
        <v/>
      </c>
      <c r="J420" s="20">
        <f>COUNTIFS(tData[SEHTrajectPeriodeDatumTijdVan],"&lt;="&amp;($A420+6/24),tData[SEHTrajectPeriodeDatumTijdTotEnMet],"&gt;"&amp;($A420+6/24))</f>
        <v/>
      </c>
      <c r="K420" s="20">
        <f>COUNTIFS(tData[SEHTrajectPeriodeDatumTijdVan],"&lt;="&amp;($A420+7/24),tData[SEHTrajectPeriodeDatumTijdTotEnMet],"&gt;"&amp;($A420+7/24))</f>
        <v/>
      </c>
      <c r="L420" s="20">
        <f>COUNTIFS(tData[SEHTrajectPeriodeDatumTijdVan],"&lt;="&amp;($A420+8/24),tData[SEHTrajectPeriodeDatumTijdTotEnMet],"&gt;"&amp;($A420+8/24))</f>
        <v/>
      </c>
      <c r="M420" s="20">
        <f>COUNTIFS(tData[SEHTrajectPeriodeDatumTijdVan],"&lt;="&amp;($A420+9/24),tData[SEHTrajectPeriodeDatumTijdTotEnMet],"&gt;"&amp;($A420+9/24))</f>
        <v/>
      </c>
      <c r="N420" s="20">
        <f>COUNTIFS(tData[SEHTrajectPeriodeDatumTijdVan],"&lt;="&amp;($A420+10/24),tData[SEHTrajectPeriodeDatumTijdTotEnMet],"&gt;"&amp;($A420+10/24))</f>
        <v/>
      </c>
      <c r="O420" s="20">
        <f>COUNTIFS(tData[SEHTrajectPeriodeDatumTijdVan],"&lt;="&amp;($A420+11/24),tData[SEHTrajectPeriodeDatumTijdTotEnMet],"&gt;"&amp;($A420+11/24))</f>
        <v/>
      </c>
      <c r="P420" s="20">
        <f>COUNTIFS(tData[SEHTrajectPeriodeDatumTijdVan],"&lt;="&amp;($A420+12/24),tData[SEHTrajectPeriodeDatumTijdTotEnMet],"&gt;"&amp;($A420+12/24))</f>
        <v/>
      </c>
      <c r="Q420" s="20">
        <f>COUNTIFS(tData[SEHTrajectPeriodeDatumTijdVan],"&lt;="&amp;($A420+13/24),tData[SEHTrajectPeriodeDatumTijdTotEnMet],"&gt;"&amp;($A420+13/24))</f>
        <v/>
      </c>
      <c r="R420" s="20">
        <f>COUNTIFS(tData[SEHTrajectPeriodeDatumTijdVan],"&lt;="&amp;($A420+14/24),tData[SEHTrajectPeriodeDatumTijdTotEnMet],"&gt;"&amp;($A420+14/24))</f>
        <v/>
      </c>
      <c r="S420" s="20">
        <f>COUNTIFS(tData[SEHTrajectPeriodeDatumTijdVan],"&lt;="&amp;($A420+15/24),tData[SEHTrajectPeriodeDatumTijdTotEnMet],"&gt;"&amp;($A420+15/24))</f>
        <v/>
      </c>
      <c r="T420" s="20">
        <f>COUNTIFS(tData[SEHTrajectPeriodeDatumTijdVan],"&lt;="&amp;($A420+16/24),tData[SEHTrajectPeriodeDatumTijdTotEnMet],"&gt;"&amp;($A420+16/24))</f>
        <v/>
      </c>
      <c r="U420" s="20">
        <f>COUNTIFS(tData[SEHTrajectPeriodeDatumTijdVan],"&lt;="&amp;($A420+17/24),tData[SEHTrajectPeriodeDatumTijdTotEnMet],"&gt;"&amp;($A420+17/24))</f>
        <v/>
      </c>
      <c r="V420" s="20">
        <f>COUNTIFS(tData[SEHTrajectPeriodeDatumTijdVan],"&lt;="&amp;($A420+18/24),tData[SEHTrajectPeriodeDatumTijdTotEnMet],"&gt;"&amp;($A420+18/24))</f>
        <v/>
      </c>
      <c r="W420" s="20">
        <f>COUNTIFS(tData[SEHTrajectPeriodeDatumTijdVan],"&lt;="&amp;($A420+19/24),tData[SEHTrajectPeriodeDatumTijdTotEnMet],"&gt;"&amp;($A420+19/24))</f>
        <v/>
      </c>
      <c r="X420" s="20">
        <f>COUNTIFS(tData[SEHTrajectPeriodeDatumTijdVan],"&lt;="&amp;($A420+20/24),tData[SEHTrajectPeriodeDatumTijdTotEnMet],"&gt;"&amp;($A420+20/24))</f>
        <v/>
      </c>
      <c r="Y420" s="20">
        <f>COUNTIFS(tData[SEHTrajectPeriodeDatumTijdVan],"&lt;="&amp;($A420+21/24),tData[SEHTrajectPeriodeDatumTijdTotEnMet],"&gt;"&amp;($A420+21/24))</f>
        <v/>
      </c>
      <c r="Z420" s="20">
        <f>COUNTIFS(tData[SEHTrajectPeriodeDatumTijdVan],"&lt;="&amp;($A420+22/24),tData[SEHTrajectPeriodeDatumTijdTotEnMet],"&gt;"&amp;($A420+22/24))</f>
        <v/>
      </c>
      <c r="AA420" s="20">
        <f>COUNTIFS(tData[SEHTrajectPeriodeDatumTijdVan],"&lt;="&amp;($A420+23/24),tData[SEHTrajectPeriodeDatumTijdTotEnMet],"&gt;"&amp;($A420+23/24))</f>
        <v/>
      </c>
    </row>
    <row r="421">
      <c r="A421" s="19" t="n">
        <v>45709</v>
      </c>
      <c r="B421" s="15">
        <f>WEEKDAY($A421,2)</f>
        <v/>
      </c>
      <c r="C421" s="15">
        <f>IF(AND($A421&gt;=INT(Instellingen!$B$5),$A421&lt;=INT(Instellingen!$B$6)),1,0)</f>
        <v/>
      </c>
      <c r="D421" s="20">
        <f>COUNTIFS(tData[SEHTrajectPeriodeDatumTijdVan],"&lt;="&amp;($A421+0/24),tData[SEHTrajectPeriodeDatumTijdTotEnMet],"&gt;"&amp;($A421+0/24))</f>
        <v/>
      </c>
      <c r="E421" s="20">
        <f>COUNTIFS(tData[SEHTrajectPeriodeDatumTijdVan],"&lt;="&amp;($A421+1/24),tData[SEHTrajectPeriodeDatumTijdTotEnMet],"&gt;"&amp;($A421+1/24))</f>
        <v/>
      </c>
      <c r="F421" s="20">
        <f>COUNTIFS(tData[SEHTrajectPeriodeDatumTijdVan],"&lt;="&amp;($A421+2/24),tData[SEHTrajectPeriodeDatumTijdTotEnMet],"&gt;"&amp;($A421+2/24))</f>
        <v/>
      </c>
      <c r="G421" s="20">
        <f>COUNTIFS(tData[SEHTrajectPeriodeDatumTijdVan],"&lt;="&amp;($A421+3/24),tData[SEHTrajectPeriodeDatumTijdTotEnMet],"&gt;"&amp;($A421+3/24))</f>
        <v/>
      </c>
      <c r="H421" s="20">
        <f>COUNTIFS(tData[SEHTrajectPeriodeDatumTijdVan],"&lt;="&amp;($A421+4/24),tData[SEHTrajectPeriodeDatumTijdTotEnMet],"&gt;"&amp;($A421+4/24))</f>
        <v/>
      </c>
      <c r="I421" s="20">
        <f>COUNTIFS(tData[SEHTrajectPeriodeDatumTijdVan],"&lt;="&amp;($A421+5/24),tData[SEHTrajectPeriodeDatumTijdTotEnMet],"&gt;"&amp;($A421+5/24))</f>
        <v/>
      </c>
      <c r="J421" s="20">
        <f>COUNTIFS(tData[SEHTrajectPeriodeDatumTijdVan],"&lt;="&amp;($A421+6/24),tData[SEHTrajectPeriodeDatumTijdTotEnMet],"&gt;"&amp;($A421+6/24))</f>
        <v/>
      </c>
      <c r="K421" s="20">
        <f>COUNTIFS(tData[SEHTrajectPeriodeDatumTijdVan],"&lt;="&amp;($A421+7/24),tData[SEHTrajectPeriodeDatumTijdTotEnMet],"&gt;"&amp;($A421+7/24))</f>
        <v/>
      </c>
      <c r="L421" s="20">
        <f>COUNTIFS(tData[SEHTrajectPeriodeDatumTijdVan],"&lt;="&amp;($A421+8/24),tData[SEHTrajectPeriodeDatumTijdTotEnMet],"&gt;"&amp;($A421+8/24))</f>
        <v/>
      </c>
      <c r="M421" s="20">
        <f>COUNTIFS(tData[SEHTrajectPeriodeDatumTijdVan],"&lt;="&amp;($A421+9/24),tData[SEHTrajectPeriodeDatumTijdTotEnMet],"&gt;"&amp;($A421+9/24))</f>
        <v/>
      </c>
      <c r="N421" s="20">
        <f>COUNTIFS(tData[SEHTrajectPeriodeDatumTijdVan],"&lt;="&amp;($A421+10/24),tData[SEHTrajectPeriodeDatumTijdTotEnMet],"&gt;"&amp;($A421+10/24))</f>
        <v/>
      </c>
      <c r="O421" s="20">
        <f>COUNTIFS(tData[SEHTrajectPeriodeDatumTijdVan],"&lt;="&amp;($A421+11/24),tData[SEHTrajectPeriodeDatumTijdTotEnMet],"&gt;"&amp;($A421+11/24))</f>
        <v/>
      </c>
      <c r="P421" s="20">
        <f>COUNTIFS(tData[SEHTrajectPeriodeDatumTijdVan],"&lt;="&amp;($A421+12/24),tData[SEHTrajectPeriodeDatumTijdTotEnMet],"&gt;"&amp;($A421+12/24))</f>
        <v/>
      </c>
      <c r="Q421" s="20">
        <f>COUNTIFS(tData[SEHTrajectPeriodeDatumTijdVan],"&lt;="&amp;($A421+13/24),tData[SEHTrajectPeriodeDatumTijdTotEnMet],"&gt;"&amp;($A421+13/24))</f>
        <v/>
      </c>
      <c r="R421" s="20">
        <f>COUNTIFS(tData[SEHTrajectPeriodeDatumTijdVan],"&lt;="&amp;($A421+14/24),tData[SEHTrajectPeriodeDatumTijdTotEnMet],"&gt;"&amp;($A421+14/24))</f>
        <v/>
      </c>
      <c r="S421" s="20">
        <f>COUNTIFS(tData[SEHTrajectPeriodeDatumTijdVan],"&lt;="&amp;($A421+15/24),tData[SEHTrajectPeriodeDatumTijdTotEnMet],"&gt;"&amp;($A421+15/24))</f>
        <v/>
      </c>
      <c r="T421" s="20">
        <f>COUNTIFS(tData[SEHTrajectPeriodeDatumTijdVan],"&lt;="&amp;($A421+16/24),tData[SEHTrajectPeriodeDatumTijdTotEnMet],"&gt;"&amp;($A421+16/24))</f>
        <v/>
      </c>
      <c r="U421" s="20">
        <f>COUNTIFS(tData[SEHTrajectPeriodeDatumTijdVan],"&lt;="&amp;($A421+17/24),tData[SEHTrajectPeriodeDatumTijdTotEnMet],"&gt;"&amp;($A421+17/24))</f>
        <v/>
      </c>
      <c r="V421" s="20">
        <f>COUNTIFS(tData[SEHTrajectPeriodeDatumTijdVan],"&lt;="&amp;($A421+18/24),tData[SEHTrajectPeriodeDatumTijdTotEnMet],"&gt;"&amp;($A421+18/24))</f>
        <v/>
      </c>
      <c r="W421" s="20">
        <f>COUNTIFS(tData[SEHTrajectPeriodeDatumTijdVan],"&lt;="&amp;($A421+19/24),tData[SEHTrajectPeriodeDatumTijdTotEnMet],"&gt;"&amp;($A421+19/24))</f>
        <v/>
      </c>
      <c r="X421" s="20">
        <f>COUNTIFS(tData[SEHTrajectPeriodeDatumTijdVan],"&lt;="&amp;($A421+20/24),tData[SEHTrajectPeriodeDatumTijdTotEnMet],"&gt;"&amp;($A421+20/24))</f>
        <v/>
      </c>
      <c r="Y421" s="20">
        <f>COUNTIFS(tData[SEHTrajectPeriodeDatumTijdVan],"&lt;="&amp;($A421+21/24),tData[SEHTrajectPeriodeDatumTijdTotEnMet],"&gt;"&amp;($A421+21/24))</f>
        <v/>
      </c>
      <c r="Z421" s="20">
        <f>COUNTIFS(tData[SEHTrajectPeriodeDatumTijdVan],"&lt;="&amp;($A421+22/24),tData[SEHTrajectPeriodeDatumTijdTotEnMet],"&gt;"&amp;($A421+22/24))</f>
        <v/>
      </c>
      <c r="AA421" s="20">
        <f>COUNTIFS(tData[SEHTrajectPeriodeDatumTijdVan],"&lt;="&amp;($A421+23/24),tData[SEHTrajectPeriodeDatumTijdTotEnMet],"&gt;"&amp;($A421+23/24))</f>
        <v/>
      </c>
    </row>
    <row r="422">
      <c r="A422" s="19" t="n">
        <v>45710</v>
      </c>
      <c r="B422" s="15">
        <f>WEEKDAY($A422,2)</f>
        <v/>
      </c>
      <c r="C422" s="15">
        <f>IF(AND($A422&gt;=INT(Instellingen!$B$5),$A422&lt;=INT(Instellingen!$B$6)),1,0)</f>
        <v/>
      </c>
      <c r="D422" s="20">
        <f>COUNTIFS(tData[SEHTrajectPeriodeDatumTijdVan],"&lt;="&amp;($A422+0/24),tData[SEHTrajectPeriodeDatumTijdTotEnMet],"&gt;"&amp;($A422+0/24))</f>
        <v/>
      </c>
      <c r="E422" s="20">
        <f>COUNTIFS(tData[SEHTrajectPeriodeDatumTijdVan],"&lt;="&amp;($A422+1/24),tData[SEHTrajectPeriodeDatumTijdTotEnMet],"&gt;"&amp;($A422+1/24))</f>
        <v/>
      </c>
      <c r="F422" s="20">
        <f>COUNTIFS(tData[SEHTrajectPeriodeDatumTijdVan],"&lt;="&amp;($A422+2/24),tData[SEHTrajectPeriodeDatumTijdTotEnMet],"&gt;"&amp;($A422+2/24))</f>
        <v/>
      </c>
      <c r="G422" s="20">
        <f>COUNTIFS(tData[SEHTrajectPeriodeDatumTijdVan],"&lt;="&amp;($A422+3/24),tData[SEHTrajectPeriodeDatumTijdTotEnMet],"&gt;"&amp;($A422+3/24))</f>
        <v/>
      </c>
      <c r="H422" s="20">
        <f>COUNTIFS(tData[SEHTrajectPeriodeDatumTijdVan],"&lt;="&amp;($A422+4/24),tData[SEHTrajectPeriodeDatumTijdTotEnMet],"&gt;"&amp;($A422+4/24))</f>
        <v/>
      </c>
      <c r="I422" s="20">
        <f>COUNTIFS(tData[SEHTrajectPeriodeDatumTijdVan],"&lt;="&amp;($A422+5/24),tData[SEHTrajectPeriodeDatumTijdTotEnMet],"&gt;"&amp;($A422+5/24))</f>
        <v/>
      </c>
      <c r="J422" s="20">
        <f>COUNTIFS(tData[SEHTrajectPeriodeDatumTijdVan],"&lt;="&amp;($A422+6/24),tData[SEHTrajectPeriodeDatumTijdTotEnMet],"&gt;"&amp;($A422+6/24))</f>
        <v/>
      </c>
      <c r="K422" s="20">
        <f>COUNTIFS(tData[SEHTrajectPeriodeDatumTijdVan],"&lt;="&amp;($A422+7/24),tData[SEHTrajectPeriodeDatumTijdTotEnMet],"&gt;"&amp;($A422+7/24))</f>
        <v/>
      </c>
      <c r="L422" s="20">
        <f>COUNTIFS(tData[SEHTrajectPeriodeDatumTijdVan],"&lt;="&amp;($A422+8/24),tData[SEHTrajectPeriodeDatumTijdTotEnMet],"&gt;"&amp;($A422+8/24))</f>
        <v/>
      </c>
      <c r="M422" s="20">
        <f>COUNTIFS(tData[SEHTrajectPeriodeDatumTijdVan],"&lt;="&amp;($A422+9/24),tData[SEHTrajectPeriodeDatumTijdTotEnMet],"&gt;"&amp;($A422+9/24))</f>
        <v/>
      </c>
      <c r="N422" s="20">
        <f>COUNTIFS(tData[SEHTrajectPeriodeDatumTijdVan],"&lt;="&amp;($A422+10/24),tData[SEHTrajectPeriodeDatumTijdTotEnMet],"&gt;"&amp;($A422+10/24))</f>
        <v/>
      </c>
      <c r="O422" s="20">
        <f>COUNTIFS(tData[SEHTrajectPeriodeDatumTijdVan],"&lt;="&amp;($A422+11/24),tData[SEHTrajectPeriodeDatumTijdTotEnMet],"&gt;"&amp;($A422+11/24))</f>
        <v/>
      </c>
      <c r="P422" s="20">
        <f>COUNTIFS(tData[SEHTrajectPeriodeDatumTijdVan],"&lt;="&amp;($A422+12/24),tData[SEHTrajectPeriodeDatumTijdTotEnMet],"&gt;"&amp;($A422+12/24))</f>
        <v/>
      </c>
      <c r="Q422" s="20">
        <f>COUNTIFS(tData[SEHTrajectPeriodeDatumTijdVan],"&lt;="&amp;($A422+13/24),tData[SEHTrajectPeriodeDatumTijdTotEnMet],"&gt;"&amp;($A422+13/24))</f>
        <v/>
      </c>
      <c r="R422" s="20">
        <f>COUNTIFS(tData[SEHTrajectPeriodeDatumTijdVan],"&lt;="&amp;($A422+14/24),tData[SEHTrajectPeriodeDatumTijdTotEnMet],"&gt;"&amp;($A422+14/24))</f>
        <v/>
      </c>
      <c r="S422" s="20">
        <f>COUNTIFS(tData[SEHTrajectPeriodeDatumTijdVan],"&lt;="&amp;($A422+15/24),tData[SEHTrajectPeriodeDatumTijdTotEnMet],"&gt;"&amp;($A422+15/24))</f>
        <v/>
      </c>
      <c r="T422" s="20">
        <f>COUNTIFS(tData[SEHTrajectPeriodeDatumTijdVan],"&lt;="&amp;($A422+16/24),tData[SEHTrajectPeriodeDatumTijdTotEnMet],"&gt;"&amp;($A422+16/24))</f>
        <v/>
      </c>
      <c r="U422" s="20">
        <f>COUNTIFS(tData[SEHTrajectPeriodeDatumTijdVan],"&lt;="&amp;($A422+17/24),tData[SEHTrajectPeriodeDatumTijdTotEnMet],"&gt;"&amp;($A422+17/24))</f>
        <v/>
      </c>
      <c r="V422" s="20">
        <f>COUNTIFS(tData[SEHTrajectPeriodeDatumTijdVan],"&lt;="&amp;($A422+18/24),tData[SEHTrajectPeriodeDatumTijdTotEnMet],"&gt;"&amp;($A422+18/24))</f>
        <v/>
      </c>
      <c r="W422" s="20">
        <f>COUNTIFS(tData[SEHTrajectPeriodeDatumTijdVan],"&lt;="&amp;($A422+19/24),tData[SEHTrajectPeriodeDatumTijdTotEnMet],"&gt;"&amp;($A422+19/24))</f>
        <v/>
      </c>
      <c r="X422" s="20">
        <f>COUNTIFS(tData[SEHTrajectPeriodeDatumTijdVan],"&lt;="&amp;($A422+20/24),tData[SEHTrajectPeriodeDatumTijdTotEnMet],"&gt;"&amp;($A422+20/24))</f>
        <v/>
      </c>
      <c r="Y422" s="20">
        <f>COUNTIFS(tData[SEHTrajectPeriodeDatumTijdVan],"&lt;="&amp;($A422+21/24),tData[SEHTrajectPeriodeDatumTijdTotEnMet],"&gt;"&amp;($A422+21/24))</f>
        <v/>
      </c>
      <c r="Z422" s="20">
        <f>COUNTIFS(tData[SEHTrajectPeriodeDatumTijdVan],"&lt;="&amp;($A422+22/24),tData[SEHTrajectPeriodeDatumTijdTotEnMet],"&gt;"&amp;($A422+22/24))</f>
        <v/>
      </c>
      <c r="AA422" s="20">
        <f>COUNTIFS(tData[SEHTrajectPeriodeDatumTijdVan],"&lt;="&amp;($A422+23/24),tData[SEHTrajectPeriodeDatumTijdTotEnMet],"&gt;"&amp;($A422+23/24))</f>
        <v/>
      </c>
    </row>
    <row r="423">
      <c r="A423" s="19" t="n">
        <v>45711</v>
      </c>
      <c r="B423" s="15">
        <f>WEEKDAY($A423,2)</f>
        <v/>
      </c>
      <c r="C423" s="15">
        <f>IF(AND($A423&gt;=INT(Instellingen!$B$5),$A423&lt;=INT(Instellingen!$B$6)),1,0)</f>
        <v/>
      </c>
      <c r="D423" s="20">
        <f>COUNTIFS(tData[SEHTrajectPeriodeDatumTijdVan],"&lt;="&amp;($A423+0/24),tData[SEHTrajectPeriodeDatumTijdTotEnMet],"&gt;"&amp;($A423+0/24))</f>
        <v/>
      </c>
      <c r="E423" s="20">
        <f>COUNTIFS(tData[SEHTrajectPeriodeDatumTijdVan],"&lt;="&amp;($A423+1/24),tData[SEHTrajectPeriodeDatumTijdTotEnMet],"&gt;"&amp;($A423+1/24))</f>
        <v/>
      </c>
      <c r="F423" s="20">
        <f>COUNTIFS(tData[SEHTrajectPeriodeDatumTijdVan],"&lt;="&amp;($A423+2/24),tData[SEHTrajectPeriodeDatumTijdTotEnMet],"&gt;"&amp;($A423+2/24))</f>
        <v/>
      </c>
      <c r="G423" s="20">
        <f>COUNTIFS(tData[SEHTrajectPeriodeDatumTijdVan],"&lt;="&amp;($A423+3/24),tData[SEHTrajectPeriodeDatumTijdTotEnMet],"&gt;"&amp;($A423+3/24))</f>
        <v/>
      </c>
      <c r="H423" s="20">
        <f>COUNTIFS(tData[SEHTrajectPeriodeDatumTijdVan],"&lt;="&amp;($A423+4/24),tData[SEHTrajectPeriodeDatumTijdTotEnMet],"&gt;"&amp;($A423+4/24))</f>
        <v/>
      </c>
      <c r="I423" s="20">
        <f>COUNTIFS(tData[SEHTrajectPeriodeDatumTijdVan],"&lt;="&amp;($A423+5/24),tData[SEHTrajectPeriodeDatumTijdTotEnMet],"&gt;"&amp;($A423+5/24))</f>
        <v/>
      </c>
      <c r="J423" s="20">
        <f>COUNTIFS(tData[SEHTrajectPeriodeDatumTijdVan],"&lt;="&amp;($A423+6/24),tData[SEHTrajectPeriodeDatumTijdTotEnMet],"&gt;"&amp;($A423+6/24))</f>
        <v/>
      </c>
      <c r="K423" s="20">
        <f>COUNTIFS(tData[SEHTrajectPeriodeDatumTijdVan],"&lt;="&amp;($A423+7/24),tData[SEHTrajectPeriodeDatumTijdTotEnMet],"&gt;"&amp;($A423+7/24))</f>
        <v/>
      </c>
      <c r="L423" s="20">
        <f>COUNTIFS(tData[SEHTrajectPeriodeDatumTijdVan],"&lt;="&amp;($A423+8/24),tData[SEHTrajectPeriodeDatumTijdTotEnMet],"&gt;"&amp;($A423+8/24))</f>
        <v/>
      </c>
      <c r="M423" s="20">
        <f>COUNTIFS(tData[SEHTrajectPeriodeDatumTijdVan],"&lt;="&amp;($A423+9/24),tData[SEHTrajectPeriodeDatumTijdTotEnMet],"&gt;"&amp;($A423+9/24))</f>
        <v/>
      </c>
      <c r="N423" s="20">
        <f>COUNTIFS(tData[SEHTrajectPeriodeDatumTijdVan],"&lt;="&amp;($A423+10/24),tData[SEHTrajectPeriodeDatumTijdTotEnMet],"&gt;"&amp;($A423+10/24))</f>
        <v/>
      </c>
      <c r="O423" s="20">
        <f>COUNTIFS(tData[SEHTrajectPeriodeDatumTijdVan],"&lt;="&amp;($A423+11/24),tData[SEHTrajectPeriodeDatumTijdTotEnMet],"&gt;"&amp;($A423+11/24))</f>
        <v/>
      </c>
      <c r="P423" s="20">
        <f>COUNTIFS(tData[SEHTrajectPeriodeDatumTijdVan],"&lt;="&amp;($A423+12/24),tData[SEHTrajectPeriodeDatumTijdTotEnMet],"&gt;"&amp;($A423+12/24))</f>
        <v/>
      </c>
      <c r="Q423" s="20">
        <f>COUNTIFS(tData[SEHTrajectPeriodeDatumTijdVan],"&lt;="&amp;($A423+13/24),tData[SEHTrajectPeriodeDatumTijdTotEnMet],"&gt;"&amp;($A423+13/24))</f>
        <v/>
      </c>
      <c r="R423" s="20">
        <f>COUNTIFS(tData[SEHTrajectPeriodeDatumTijdVan],"&lt;="&amp;($A423+14/24),tData[SEHTrajectPeriodeDatumTijdTotEnMet],"&gt;"&amp;($A423+14/24))</f>
        <v/>
      </c>
      <c r="S423" s="20">
        <f>COUNTIFS(tData[SEHTrajectPeriodeDatumTijdVan],"&lt;="&amp;($A423+15/24),tData[SEHTrajectPeriodeDatumTijdTotEnMet],"&gt;"&amp;($A423+15/24))</f>
        <v/>
      </c>
      <c r="T423" s="20">
        <f>COUNTIFS(tData[SEHTrajectPeriodeDatumTijdVan],"&lt;="&amp;($A423+16/24),tData[SEHTrajectPeriodeDatumTijdTotEnMet],"&gt;"&amp;($A423+16/24))</f>
        <v/>
      </c>
      <c r="U423" s="20">
        <f>COUNTIFS(tData[SEHTrajectPeriodeDatumTijdVan],"&lt;="&amp;($A423+17/24),tData[SEHTrajectPeriodeDatumTijdTotEnMet],"&gt;"&amp;($A423+17/24))</f>
        <v/>
      </c>
      <c r="V423" s="20">
        <f>COUNTIFS(tData[SEHTrajectPeriodeDatumTijdVan],"&lt;="&amp;($A423+18/24),tData[SEHTrajectPeriodeDatumTijdTotEnMet],"&gt;"&amp;($A423+18/24))</f>
        <v/>
      </c>
      <c r="W423" s="20">
        <f>COUNTIFS(tData[SEHTrajectPeriodeDatumTijdVan],"&lt;="&amp;($A423+19/24),tData[SEHTrajectPeriodeDatumTijdTotEnMet],"&gt;"&amp;($A423+19/24))</f>
        <v/>
      </c>
      <c r="X423" s="20">
        <f>COUNTIFS(tData[SEHTrajectPeriodeDatumTijdVan],"&lt;="&amp;($A423+20/24),tData[SEHTrajectPeriodeDatumTijdTotEnMet],"&gt;"&amp;($A423+20/24))</f>
        <v/>
      </c>
      <c r="Y423" s="20">
        <f>COUNTIFS(tData[SEHTrajectPeriodeDatumTijdVan],"&lt;="&amp;($A423+21/24),tData[SEHTrajectPeriodeDatumTijdTotEnMet],"&gt;"&amp;($A423+21/24))</f>
        <v/>
      </c>
      <c r="Z423" s="20">
        <f>COUNTIFS(tData[SEHTrajectPeriodeDatumTijdVan],"&lt;="&amp;($A423+22/24),tData[SEHTrajectPeriodeDatumTijdTotEnMet],"&gt;"&amp;($A423+22/24))</f>
        <v/>
      </c>
      <c r="AA423" s="20">
        <f>COUNTIFS(tData[SEHTrajectPeriodeDatumTijdVan],"&lt;="&amp;($A423+23/24),tData[SEHTrajectPeriodeDatumTijdTotEnMet],"&gt;"&amp;($A423+23/24))</f>
        <v/>
      </c>
    </row>
    <row r="424">
      <c r="A424" s="19" t="n">
        <v>45712</v>
      </c>
      <c r="B424" s="15">
        <f>WEEKDAY($A424,2)</f>
        <v/>
      </c>
      <c r="C424" s="15">
        <f>IF(AND($A424&gt;=INT(Instellingen!$B$5),$A424&lt;=INT(Instellingen!$B$6)),1,0)</f>
        <v/>
      </c>
      <c r="D424" s="20">
        <f>COUNTIFS(tData[SEHTrajectPeriodeDatumTijdVan],"&lt;="&amp;($A424+0/24),tData[SEHTrajectPeriodeDatumTijdTotEnMet],"&gt;"&amp;($A424+0/24))</f>
        <v/>
      </c>
      <c r="E424" s="20">
        <f>COUNTIFS(tData[SEHTrajectPeriodeDatumTijdVan],"&lt;="&amp;($A424+1/24),tData[SEHTrajectPeriodeDatumTijdTotEnMet],"&gt;"&amp;($A424+1/24))</f>
        <v/>
      </c>
      <c r="F424" s="20">
        <f>COUNTIFS(tData[SEHTrajectPeriodeDatumTijdVan],"&lt;="&amp;($A424+2/24),tData[SEHTrajectPeriodeDatumTijdTotEnMet],"&gt;"&amp;($A424+2/24))</f>
        <v/>
      </c>
      <c r="G424" s="20">
        <f>COUNTIFS(tData[SEHTrajectPeriodeDatumTijdVan],"&lt;="&amp;($A424+3/24),tData[SEHTrajectPeriodeDatumTijdTotEnMet],"&gt;"&amp;($A424+3/24))</f>
        <v/>
      </c>
      <c r="H424" s="20">
        <f>COUNTIFS(tData[SEHTrajectPeriodeDatumTijdVan],"&lt;="&amp;($A424+4/24),tData[SEHTrajectPeriodeDatumTijdTotEnMet],"&gt;"&amp;($A424+4/24))</f>
        <v/>
      </c>
      <c r="I424" s="20">
        <f>COUNTIFS(tData[SEHTrajectPeriodeDatumTijdVan],"&lt;="&amp;($A424+5/24),tData[SEHTrajectPeriodeDatumTijdTotEnMet],"&gt;"&amp;($A424+5/24))</f>
        <v/>
      </c>
      <c r="J424" s="20">
        <f>COUNTIFS(tData[SEHTrajectPeriodeDatumTijdVan],"&lt;="&amp;($A424+6/24),tData[SEHTrajectPeriodeDatumTijdTotEnMet],"&gt;"&amp;($A424+6/24))</f>
        <v/>
      </c>
      <c r="K424" s="20">
        <f>COUNTIFS(tData[SEHTrajectPeriodeDatumTijdVan],"&lt;="&amp;($A424+7/24),tData[SEHTrajectPeriodeDatumTijdTotEnMet],"&gt;"&amp;($A424+7/24))</f>
        <v/>
      </c>
      <c r="L424" s="20">
        <f>COUNTIFS(tData[SEHTrajectPeriodeDatumTijdVan],"&lt;="&amp;($A424+8/24),tData[SEHTrajectPeriodeDatumTijdTotEnMet],"&gt;"&amp;($A424+8/24))</f>
        <v/>
      </c>
      <c r="M424" s="20">
        <f>COUNTIFS(tData[SEHTrajectPeriodeDatumTijdVan],"&lt;="&amp;($A424+9/24),tData[SEHTrajectPeriodeDatumTijdTotEnMet],"&gt;"&amp;($A424+9/24))</f>
        <v/>
      </c>
      <c r="N424" s="20">
        <f>COUNTIFS(tData[SEHTrajectPeriodeDatumTijdVan],"&lt;="&amp;($A424+10/24),tData[SEHTrajectPeriodeDatumTijdTotEnMet],"&gt;"&amp;($A424+10/24))</f>
        <v/>
      </c>
      <c r="O424" s="20">
        <f>COUNTIFS(tData[SEHTrajectPeriodeDatumTijdVan],"&lt;="&amp;($A424+11/24),tData[SEHTrajectPeriodeDatumTijdTotEnMet],"&gt;"&amp;($A424+11/24))</f>
        <v/>
      </c>
      <c r="P424" s="20">
        <f>COUNTIFS(tData[SEHTrajectPeriodeDatumTijdVan],"&lt;="&amp;($A424+12/24),tData[SEHTrajectPeriodeDatumTijdTotEnMet],"&gt;"&amp;($A424+12/24))</f>
        <v/>
      </c>
      <c r="Q424" s="20">
        <f>COUNTIFS(tData[SEHTrajectPeriodeDatumTijdVan],"&lt;="&amp;($A424+13/24),tData[SEHTrajectPeriodeDatumTijdTotEnMet],"&gt;"&amp;($A424+13/24))</f>
        <v/>
      </c>
      <c r="R424" s="20">
        <f>COUNTIFS(tData[SEHTrajectPeriodeDatumTijdVan],"&lt;="&amp;($A424+14/24),tData[SEHTrajectPeriodeDatumTijdTotEnMet],"&gt;"&amp;($A424+14/24))</f>
        <v/>
      </c>
      <c r="S424" s="20">
        <f>COUNTIFS(tData[SEHTrajectPeriodeDatumTijdVan],"&lt;="&amp;($A424+15/24),tData[SEHTrajectPeriodeDatumTijdTotEnMet],"&gt;"&amp;($A424+15/24))</f>
        <v/>
      </c>
      <c r="T424" s="20">
        <f>COUNTIFS(tData[SEHTrajectPeriodeDatumTijdVan],"&lt;="&amp;($A424+16/24),tData[SEHTrajectPeriodeDatumTijdTotEnMet],"&gt;"&amp;($A424+16/24))</f>
        <v/>
      </c>
      <c r="U424" s="20">
        <f>COUNTIFS(tData[SEHTrajectPeriodeDatumTijdVan],"&lt;="&amp;($A424+17/24),tData[SEHTrajectPeriodeDatumTijdTotEnMet],"&gt;"&amp;($A424+17/24))</f>
        <v/>
      </c>
      <c r="V424" s="20">
        <f>COUNTIFS(tData[SEHTrajectPeriodeDatumTijdVan],"&lt;="&amp;($A424+18/24),tData[SEHTrajectPeriodeDatumTijdTotEnMet],"&gt;"&amp;($A424+18/24))</f>
        <v/>
      </c>
      <c r="W424" s="20">
        <f>COUNTIFS(tData[SEHTrajectPeriodeDatumTijdVan],"&lt;="&amp;($A424+19/24),tData[SEHTrajectPeriodeDatumTijdTotEnMet],"&gt;"&amp;($A424+19/24))</f>
        <v/>
      </c>
      <c r="X424" s="20">
        <f>COUNTIFS(tData[SEHTrajectPeriodeDatumTijdVan],"&lt;="&amp;($A424+20/24),tData[SEHTrajectPeriodeDatumTijdTotEnMet],"&gt;"&amp;($A424+20/24))</f>
        <v/>
      </c>
      <c r="Y424" s="20">
        <f>COUNTIFS(tData[SEHTrajectPeriodeDatumTijdVan],"&lt;="&amp;($A424+21/24),tData[SEHTrajectPeriodeDatumTijdTotEnMet],"&gt;"&amp;($A424+21/24))</f>
        <v/>
      </c>
      <c r="Z424" s="20">
        <f>COUNTIFS(tData[SEHTrajectPeriodeDatumTijdVan],"&lt;="&amp;($A424+22/24),tData[SEHTrajectPeriodeDatumTijdTotEnMet],"&gt;"&amp;($A424+22/24))</f>
        <v/>
      </c>
      <c r="AA424" s="20">
        <f>COUNTIFS(tData[SEHTrajectPeriodeDatumTijdVan],"&lt;="&amp;($A424+23/24),tData[SEHTrajectPeriodeDatumTijdTotEnMet],"&gt;"&amp;($A424+23/24))</f>
        <v/>
      </c>
    </row>
    <row r="425">
      <c r="A425" s="19" t="n">
        <v>45713</v>
      </c>
      <c r="B425" s="15">
        <f>WEEKDAY($A425,2)</f>
        <v/>
      </c>
      <c r="C425" s="15">
        <f>IF(AND($A425&gt;=INT(Instellingen!$B$5),$A425&lt;=INT(Instellingen!$B$6)),1,0)</f>
        <v/>
      </c>
      <c r="D425" s="20">
        <f>COUNTIFS(tData[SEHTrajectPeriodeDatumTijdVan],"&lt;="&amp;($A425+0/24),tData[SEHTrajectPeriodeDatumTijdTotEnMet],"&gt;"&amp;($A425+0/24))</f>
        <v/>
      </c>
      <c r="E425" s="20">
        <f>COUNTIFS(tData[SEHTrajectPeriodeDatumTijdVan],"&lt;="&amp;($A425+1/24),tData[SEHTrajectPeriodeDatumTijdTotEnMet],"&gt;"&amp;($A425+1/24))</f>
        <v/>
      </c>
      <c r="F425" s="20">
        <f>COUNTIFS(tData[SEHTrajectPeriodeDatumTijdVan],"&lt;="&amp;($A425+2/24),tData[SEHTrajectPeriodeDatumTijdTotEnMet],"&gt;"&amp;($A425+2/24))</f>
        <v/>
      </c>
      <c r="G425" s="20">
        <f>COUNTIFS(tData[SEHTrajectPeriodeDatumTijdVan],"&lt;="&amp;($A425+3/24),tData[SEHTrajectPeriodeDatumTijdTotEnMet],"&gt;"&amp;($A425+3/24))</f>
        <v/>
      </c>
      <c r="H425" s="20">
        <f>COUNTIFS(tData[SEHTrajectPeriodeDatumTijdVan],"&lt;="&amp;($A425+4/24),tData[SEHTrajectPeriodeDatumTijdTotEnMet],"&gt;"&amp;($A425+4/24))</f>
        <v/>
      </c>
      <c r="I425" s="20">
        <f>COUNTIFS(tData[SEHTrajectPeriodeDatumTijdVan],"&lt;="&amp;($A425+5/24),tData[SEHTrajectPeriodeDatumTijdTotEnMet],"&gt;"&amp;($A425+5/24))</f>
        <v/>
      </c>
      <c r="J425" s="20">
        <f>COUNTIFS(tData[SEHTrajectPeriodeDatumTijdVan],"&lt;="&amp;($A425+6/24),tData[SEHTrajectPeriodeDatumTijdTotEnMet],"&gt;"&amp;($A425+6/24))</f>
        <v/>
      </c>
      <c r="K425" s="20">
        <f>COUNTIFS(tData[SEHTrajectPeriodeDatumTijdVan],"&lt;="&amp;($A425+7/24),tData[SEHTrajectPeriodeDatumTijdTotEnMet],"&gt;"&amp;($A425+7/24))</f>
        <v/>
      </c>
      <c r="L425" s="20">
        <f>COUNTIFS(tData[SEHTrajectPeriodeDatumTijdVan],"&lt;="&amp;($A425+8/24),tData[SEHTrajectPeriodeDatumTijdTotEnMet],"&gt;"&amp;($A425+8/24))</f>
        <v/>
      </c>
      <c r="M425" s="20">
        <f>COUNTIFS(tData[SEHTrajectPeriodeDatumTijdVan],"&lt;="&amp;($A425+9/24),tData[SEHTrajectPeriodeDatumTijdTotEnMet],"&gt;"&amp;($A425+9/24))</f>
        <v/>
      </c>
      <c r="N425" s="20">
        <f>COUNTIFS(tData[SEHTrajectPeriodeDatumTijdVan],"&lt;="&amp;($A425+10/24),tData[SEHTrajectPeriodeDatumTijdTotEnMet],"&gt;"&amp;($A425+10/24))</f>
        <v/>
      </c>
      <c r="O425" s="20">
        <f>COUNTIFS(tData[SEHTrajectPeriodeDatumTijdVan],"&lt;="&amp;($A425+11/24),tData[SEHTrajectPeriodeDatumTijdTotEnMet],"&gt;"&amp;($A425+11/24))</f>
        <v/>
      </c>
      <c r="P425" s="20">
        <f>COUNTIFS(tData[SEHTrajectPeriodeDatumTijdVan],"&lt;="&amp;($A425+12/24),tData[SEHTrajectPeriodeDatumTijdTotEnMet],"&gt;"&amp;($A425+12/24))</f>
        <v/>
      </c>
      <c r="Q425" s="20">
        <f>COUNTIFS(tData[SEHTrajectPeriodeDatumTijdVan],"&lt;="&amp;($A425+13/24),tData[SEHTrajectPeriodeDatumTijdTotEnMet],"&gt;"&amp;($A425+13/24))</f>
        <v/>
      </c>
      <c r="R425" s="20">
        <f>COUNTIFS(tData[SEHTrajectPeriodeDatumTijdVan],"&lt;="&amp;($A425+14/24),tData[SEHTrajectPeriodeDatumTijdTotEnMet],"&gt;"&amp;($A425+14/24))</f>
        <v/>
      </c>
      <c r="S425" s="20">
        <f>COUNTIFS(tData[SEHTrajectPeriodeDatumTijdVan],"&lt;="&amp;($A425+15/24),tData[SEHTrajectPeriodeDatumTijdTotEnMet],"&gt;"&amp;($A425+15/24))</f>
        <v/>
      </c>
      <c r="T425" s="20">
        <f>COUNTIFS(tData[SEHTrajectPeriodeDatumTijdVan],"&lt;="&amp;($A425+16/24),tData[SEHTrajectPeriodeDatumTijdTotEnMet],"&gt;"&amp;($A425+16/24))</f>
        <v/>
      </c>
      <c r="U425" s="20">
        <f>COUNTIFS(tData[SEHTrajectPeriodeDatumTijdVan],"&lt;="&amp;($A425+17/24),tData[SEHTrajectPeriodeDatumTijdTotEnMet],"&gt;"&amp;($A425+17/24))</f>
        <v/>
      </c>
      <c r="V425" s="20">
        <f>COUNTIFS(tData[SEHTrajectPeriodeDatumTijdVan],"&lt;="&amp;($A425+18/24),tData[SEHTrajectPeriodeDatumTijdTotEnMet],"&gt;"&amp;($A425+18/24))</f>
        <v/>
      </c>
      <c r="W425" s="20">
        <f>COUNTIFS(tData[SEHTrajectPeriodeDatumTijdVan],"&lt;="&amp;($A425+19/24),tData[SEHTrajectPeriodeDatumTijdTotEnMet],"&gt;"&amp;($A425+19/24))</f>
        <v/>
      </c>
      <c r="X425" s="20">
        <f>COUNTIFS(tData[SEHTrajectPeriodeDatumTijdVan],"&lt;="&amp;($A425+20/24),tData[SEHTrajectPeriodeDatumTijdTotEnMet],"&gt;"&amp;($A425+20/24))</f>
        <v/>
      </c>
      <c r="Y425" s="20">
        <f>COUNTIFS(tData[SEHTrajectPeriodeDatumTijdVan],"&lt;="&amp;($A425+21/24),tData[SEHTrajectPeriodeDatumTijdTotEnMet],"&gt;"&amp;($A425+21/24))</f>
        <v/>
      </c>
      <c r="Z425" s="20">
        <f>COUNTIFS(tData[SEHTrajectPeriodeDatumTijdVan],"&lt;="&amp;($A425+22/24),tData[SEHTrajectPeriodeDatumTijdTotEnMet],"&gt;"&amp;($A425+22/24))</f>
        <v/>
      </c>
      <c r="AA425" s="20">
        <f>COUNTIFS(tData[SEHTrajectPeriodeDatumTijdVan],"&lt;="&amp;($A425+23/24),tData[SEHTrajectPeriodeDatumTijdTotEnMet],"&gt;"&amp;($A425+23/24))</f>
        <v/>
      </c>
    </row>
    <row r="426">
      <c r="A426" s="19" t="n">
        <v>45714</v>
      </c>
      <c r="B426" s="15">
        <f>WEEKDAY($A426,2)</f>
        <v/>
      </c>
      <c r="C426" s="15">
        <f>IF(AND($A426&gt;=INT(Instellingen!$B$5),$A426&lt;=INT(Instellingen!$B$6)),1,0)</f>
        <v/>
      </c>
      <c r="D426" s="20">
        <f>COUNTIFS(tData[SEHTrajectPeriodeDatumTijdVan],"&lt;="&amp;($A426+0/24),tData[SEHTrajectPeriodeDatumTijdTotEnMet],"&gt;"&amp;($A426+0/24))</f>
        <v/>
      </c>
      <c r="E426" s="20">
        <f>COUNTIFS(tData[SEHTrajectPeriodeDatumTijdVan],"&lt;="&amp;($A426+1/24),tData[SEHTrajectPeriodeDatumTijdTotEnMet],"&gt;"&amp;($A426+1/24))</f>
        <v/>
      </c>
      <c r="F426" s="20">
        <f>COUNTIFS(tData[SEHTrajectPeriodeDatumTijdVan],"&lt;="&amp;($A426+2/24),tData[SEHTrajectPeriodeDatumTijdTotEnMet],"&gt;"&amp;($A426+2/24))</f>
        <v/>
      </c>
      <c r="G426" s="20">
        <f>COUNTIFS(tData[SEHTrajectPeriodeDatumTijdVan],"&lt;="&amp;($A426+3/24),tData[SEHTrajectPeriodeDatumTijdTotEnMet],"&gt;"&amp;($A426+3/24))</f>
        <v/>
      </c>
      <c r="H426" s="20">
        <f>COUNTIFS(tData[SEHTrajectPeriodeDatumTijdVan],"&lt;="&amp;($A426+4/24),tData[SEHTrajectPeriodeDatumTijdTotEnMet],"&gt;"&amp;($A426+4/24))</f>
        <v/>
      </c>
      <c r="I426" s="20">
        <f>COUNTIFS(tData[SEHTrajectPeriodeDatumTijdVan],"&lt;="&amp;($A426+5/24),tData[SEHTrajectPeriodeDatumTijdTotEnMet],"&gt;"&amp;($A426+5/24))</f>
        <v/>
      </c>
      <c r="J426" s="20">
        <f>COUNTIFS(tData[SEHTrajectPeriodeDatumTijdVan],"&lt;="&amp;($A426+6/24),tData[SEHTrajectPeriodeDatumTijdTotEnMet],"&gt;"&amp;($A426+6/24))</f>
        <v/>
      </c>
      <c r="K426" s="20">
        <f>COUNTIFS(tData[SEHTrajectPeriodeDatumTijdVan],"&lt;="&amp;($A426+7/24),tData[SEHTrajectPeriodeDatumTijdTotEnMet],"&gt;"&amp;($A426+7/24))</f>
        <v/>
      </c>
      <c r="L426" s="20">
        <f>COUNTIFS(tData[SEHTrajectPeriodeDatumTijdVan],"&lt;="&amp;($A426+8/24),tData[SEHTrajectPeriodeDatumTijdTotEnMet],"&gt;"&amp;($A426+8/24))</f>
        <v/>
      </c>
      <c r="M426" s="20">
        <f>COUNTIFS(tData[SEHTrajectPeriodeDatumTijdVan],"&lt;="&amp;($A426+9/24),tData[SEHTrajectPeriodeDatumTijdTotEnMet],"&gt;"&amp;($A426+9/24))</f>
        <v/>
      </c>
      <c r="N426" s="20">
        <f>COUNTIFS(tData[SEHTrajectPeriodeDatumTijdVan],"&lt;="&amp;($A426+10/24),tData[SEHTrajectPeriodeDatumTijdTotEnMet],"&gt;"&amp;($A426+10/24))</f>
        <v/>
      </c>
      <c r="O426" s="20">
        <f>COUNTIFS(tData[SEHTrajectPeriodeDatumTijdVan],"&lt;="&amp;($A426+11/24),tData[SEHTrajectPeriodeDatumTijdTotEnMet],"&gt;"&amp;($A426+11/24))</f>
        <v/>
      </c>
      <c r="P426" s="20">
        <f>COUNTIFS(tData[SEHTrajectPeriodeDatumTijdVan],"&lt;="&amp;($A426+12/24),tData[SEHTrajectPeriodeDatumTijdTotEnMet],"&gt;"&amp;($A426+12/24))</f>
        <v/>
      </c>
      <c r="Q426" s="20">
        <f>COUNTIFS(tData[SEHTrajectPeriodeDatumTijdVan],"&lt;="&amp;($A426+13/24),tData[SEHTrajectPeriodeDatumTijdTotEnMet],"&gt;"&amp;($A426+13/24))</f>
        <v/>
      </c>
      <c r="R426" s="20">
        <f>COUNTIFS(tData[SEHTrajectPeriodeDatumTijdVan],"&lt;="&amp;($A426+14/24),tData[SEHTrajectPeriodeDatumTijdTotEnMet],"&gt;"&amp;($A426+14/24))</f>
        <v/>
      </c>
      <c r="S426" s="20">
        <f>COUNTIFS(tData[SEHTrajectPeriodeDatumTijdVan],"&lt;="&amp;($A426+15/24),tData[SEHTrajectPeriodeDatumTijdTotEnMet],"&gt;"&amp;($A426+15/24))</f>
        <v/>
      </c>
      <c r="T426" s="20">
        <f>COUNTIFS(tData[SEHTrajectPeriodeDatumTijdVan],"&lt;="&amp;($A426+16/24),tData[SEHTrajectPeriodeDatumTijdTotEnMet],"&gt;"&amp;($A426+16/24))</f>
        <v/>
      </c>
      <c r="U426" s="20">
        <f>COUNTIFS(tData[SEHTrajectPeriodeDatumTijdVan],"&lt;="&amp;($A426+17/24),tData[SEHTrajectPeriodeDatumTijdTotEnMet],"&gt;"&amp;($A426+17/24))</f>
        <v/>
      </c>
      <c r="V426" s="20">
        <f>COUNTIFS(tData[SEHTrajectPeriodeDatumTijdVan],"&lt;="&amp;($A426+18/24),tData[SEHTrajectPeriodeDatumTijdTotEnMet],"&gt;"&amp;($A426+18/24))</f>
        <v/>
      </c>
      <c r="W426" s="20">
        <f>COUNTIFS(tData[SEHTrajectPeriodeDatumTijdVan],"&lt;="&amp;($A426+19/24),tData[SEHTrajectPeriodeDatumTijdTotEnMet],"&gt;"&amp;($A426+19/24))</f>
        <v/>
      </c>
      <c r="X426" s="20">
        <f>COUNTIFS(tData[SEHTrajectPeriodeDatumTijdVan],"&lt;="&amp;($A426+20/24),tData[SEHTrajectPeriodeDatumTijdTotEnMet],"&gt;"&amp;($A426+20/24))</f>
        <v/>
      </c>
      <c r="Y426" s="20">
        <f>COUNTIFS(tData[SEHTrajectPeriodeDatumTijdVan],"&lt;="&amp;($A426+21/24),tData[SEHTrajectPeriodeDatumTijdTotEnMet],"&gt;"&amp;($A426+21/24))</f>
        <v/>
      </c>
      <c r="Z426" s="20">
        <f>COUNTIFS(tData[SEHTrajectPeriodeDatumTijdVan],"&lt;="&amp;($A426+22/24),tData[SEHTrajectPeriodeDatumTijdTotEnMet],"&gt;"&amp;($A426+22/24))</f>
        <v/>
      </c>
      <c r="AA426" s="20">
        <f>COUNTIFS(tData[SEHTrajectPeriodeDatumTijdVan],"&lt;="&amp;($A426+23/24),tData[SEHTrajectPeriodeDatumTijdTotEnMet],"&gt;"&amp;($A426+23/24))</f>
        <v/>
      </c>
    </row>
    <row r="427">
      <c r="A427" s="19" t="n">
        <v>45715</v>
      </c>
      <c r="B427" s="15">
        <f>WEEKDAY($A427,2)</f>
        <v/>
      </c>
      <c r="C427" s="15">
        <f>IF(AND($A427&gt;=INT(Instellingen!$B$5),$A427&lt;=INT(Instellingen!$B$6)),1,0)</f>
        <v/>
      </c>
      <c r="D427" s="20">
        <f>COUNTIFS(tData[SEHTrajectPeriodeDatumTijdVan],"&lt;="&amp;($A427+0/24),tData[SEHTrajectPeriodeDatumTijdTotEnMet],"&gt;"&amp;($A427+0/24))</f>
        <v/>
      </c>
      <c r="E427" s="20">
        <f>COUNTIFS(tData[SEHTrajectPeriodeDatumTijdVan],"&lt;="&amp;($A427+1/24),tData[SEHTrajectPeriodeDatumTijdTotEnMet],"&gt;"&amp;($A427+1/24))</f>
        <v/>
      </c>
      <c r="F427" s="20">
        <f>COUNTIFS(tData[SEHTrajectPeriodeDatumTijdVan],"&lt;="&amp;($A427+2/24),tData[SEHTrajectPeriodeDatumTijdTotEnMet],"&gt;"&amp;($A427+2/24))</f>
        <v/>
      </c>
      <c r="G427" s="20">
        <f>COUNTIFS(tData[SEHTrajectPeriodeDatumTijdVan],"&lt;="&amp;($A427+3/24),tData[SEHTrajectPeriodeDatumTijdTotEnMet],"&gt;"&amp;($A427+3/24))</f>
        <v/>
      </c>
      <c r="H427" s="20">
        <f>COUNTIFS(tData[SEHTrajectPeriodeDatumTijdVan],"&lt;="&amp;($A427+4/24),tData[SEHTrajectPeriodeDatumTijdTotEnMet],"&gt;"&amp;($A427+4/24))</f>
        <v/>
      </c>
      <c r="I427" s="20">
        <f>COUNTIFS(tData[SEHTrajectPeriodeDatumTijdVan],"&lt;="&amp;($A427+5/24),tData[SEHTrajectPeriodeDatumTijdTotEnMet],"&gt;"&amp;($A427+5/24))</f>
        <v/>
      </c>
      <c r="J427" s="20">
        <f>COUNTIFS(tData[SEHTrajectPeriodeDatumTijdVan],"&lt;="&amp;($A427+6/24),tData[SEHTrajectPeriodeDatumTijdTotEnMet],"&gt;"&amp;($A427+6/24))</f>
        <v/>
      </c>
      <c r="K427" s="20">
        <f>COUNTIFS(tData[SEHTrajectPeriodeDatumTijdVan],"&lt;="&amp;($A427+7/24),tData[SEHTrajectPeriodeDatumTijdTotEnMet],"&gt;"&amp;($A427+7/24))</f>
        <v/>
      </c>
      <c r="L427" s="20">
        <f>COUNTIFS(tData[SEHTrajectPeriodeDatumTijdVan],"&lt;="&amp;($A427+8/24),tData[SEHTrajectPeriodeDatumTijdTotEnMet],"&gt;"&amp;($A427+8/24))</f>
        <v/>
      </c>
      <c r="M427" s="20">
        <f>COUNTIFS(tData[SEHTrajectPeriodeDatumTijdVan],"&lt;="&amp;($A427+9/24),tData[SEHTrajectPeriodeDatumTijdTotEnMet],"&gt;"&amp;($A427+9/24))</f>
        <v/>
      </c>
      <c r="N427" s="20">
        <f>COUNTIFS(tData[SEHTrajectPeriodeDatumTijdVan],"&lt;="&amp;($A427+10/24),tData[SEHTrajectPeriodeDatumTijdTotEnMet],"&gt;"&amp;($A427+10/24))</f>
        <v/>
      </c>
      <c r="O427" s="20">
        <f>COUNTIFS(tData[SEHTrajectPeriodeDatumTijdVan],"&lt;="&amp;($A427+11/24),tData[SEHTrajectPeriodeDatumTijdTotEnMet],"&gt;"&amp;($A427+11/24))</f>
        <v/>
      </c>
      <c r="P427" s="20">
        <f>COUNTIFS(tData[SEHTrajectPeriodeDatumTijdVan],"&lt;="&amp;($A427+12/24),tData[SEHTrajectPeriodeDatumTijdTotEnMet],"&gt;"&amp;($A427+12/24))</f>
        <v/>
      </c>
      <c r="Q427" s="20">
        <f>COUNTIFS(tData[SEHTrajectPeriodeDatumTijdVan],"&lt;="&amp;($A427+13/24),tData[SEHTrajectPeriodeDatumTijdTotEnMet],"&gt;"&amp;($A427+13/24))</f>
        <v/>
      </c>
      <c r="R427" s="20">
        <f>COUNTIFS(tData[SEHTrajectPeriodeDatumTijdVan],"&lt;="&amp;($A427+14/24),tData[SEHTrajectPeriodeDatumTijdTotEnMet],"&gt;"&amp;($A427+14/24))</f>
        <v/>
      </c>
      <c r="S427" s="20">
        <f>COUNTIFS(tData[SEHTrajectPeriodeDatumTijdVan],"&lt;="&amp;($A427+15/24),tData[SEHTrajectPeriodeDatumTijdTotEnMet],"&gt;"&amp;($A427+15/24))</f>
        <v/>
      </c>
      <c r="T427" s="20">
        <f>COUNTIFS(tData[SEHTrajectPeriodeDatumTijdVan],"&lt;="&amp;($A427+16/24),tData[SEHTrajectPeriodeDatumTijdTotEnMet],"&gt;"&amp;($A427+16/24))</f>
        <v/>
      </c>
      <c r="U427" s="20">
        <f>COUNTIFS(tData[SEHTrajectPeriodeDatumTijdVan],"&lt;="&amp;($A427+17/24),tData[SEHTrajectPeriodeDatumTijdTotEnMet],"&gt;"&amp;($A427+17/24))</f>
        <v/>
      </c>
      <c r="V427" s="20">
        <f>COUNTIFS(tData[SEHTrajectPeriodeDatumTijdVan],"&lt;="&amp;($A427+18/24),tData[SEHTrajectPeriodeDatumTijdTotEnMet],"&gt;"&amp;($A427+18/24))</f>
        <v/>
      </c>
      <c r="W427" s="20">
        <f>COUNTIFS(tData[SEHTrajectPeriodeDatumTijdVan],"&lt;="&amp;($A427+19/24),tData[SEHTrajectPeriodeDatumTijdTotEnMet],"&gt;"&amp;($A427+19/24))</f>
        <v/>
      </c>
      <c r="X427" s="20">
        <f>COUNTIFS(tData[SEHTrajectPeriodeDatumTijdVan],"&lt;="&amp;($A427+20/24),tData[SEHTrajectPeriodeDatumTijdTotEnMet],"&gt;"&amp;($A427+20/24))</f>
        <v/>
      </c>
      <c r="Y427" s="20">
        <f>COUNTIFS(tData[SEHTrajectPeriodeDatumTijdVan],"&lt;="&amp;($A427+21/24),tData[SEHTrajectPeriodeDatumTijdTotEnMet],"&gt;"&amp;($A427+21/24))</f>
        <v/>
      </c>
      <c r="Z427" s="20">
        <f>COUNTIFS(tData[SEHTrajectPeriodeDatumTijdVan],"&lt;="&amp;($A427+22/24),tData[SEHTrajectPeriodeDatumTijdTotEnMet],"&gt;"&amp;($A427+22/24))</f>
        <v/>
      </c>
      <c r="AA427" s="20">
        <f>COUNTIFS(tData[SEHTrajectPeriodeDatumTijdVan],"&lt;="&amp;($A427+23/24),tData[SEHTrajectPeriodeDatumTijdTotEnMet],"&gt;"&amp;($A427+23/24))</f>
        <v/>
      </c>
    </row>
    <row r="428">
      <c r="A428" s="19" t="n">
        <v>45716</v>
      </c>
      <c r="B428" s="15">
        <f>WEEKDAY($A428,2)</f>
        <v/>
      </c>
      <c r="C428" s="15">
        <f>IF(AND($A428&gt;=INT(Instellingen!$B$5),$A428&lt;=INT(Instellingen!$B$6)),1,0)</f>
        <v/>
      </c>
      <c r="D428" s="20">
        <f>COUNTIFS(tData[SEHTrajectPeriodeDatumTijdVan],"&lt;="&amp;($A428+0/24),tData[SEHTrajectPeriodeDatumTijdTotEnMet],"&gt;"&amp;($A428+0/24))</f>
        <v/>
      </c>
      <c r="E428" s="20">
        <f>COUNTIFS(tData[SEHTrajectPeriodeDatumTijdVan],"&lt;="&amp;($A428+1/24),tData[SEHTrajectPeriodeDatumTijdTotEnMet],"&gt;"&amp;($A428+1/24))</f>
        <v/>
      </c>
      <c r="F428" s="20">
        <f>COUNTIFS(tData[SEHTrajectPeriodeDatumTijdVan],"&lt;="&amp;($A428+2/24),tData[SEHTrajectPeriodeDatumTijdTotEnMet],"&gt;"&amp;($A428+2/24))</f>
        <v/>
      </c>
      <c r="G428" s="20">
        <f>COUNTIFS(tData[SEHTrajectPeriodeDatumTijdVan],"&lt;="&amp;($A428+3/24),tData[SEHTrajectPeriodeDatumTijdTotEnMet],"&gt;"&amp;($A428+3/24))</f>
        <v/>
      </c>
      <c r="H428" s="20">
        <f>COUNTIFS(tData[SEHTrajectPeriodeDatumTijdVan],"&lt;="&amp;($A428+4/24),tData[SEHTrajectPeriodeDatumTijdTotEnMet],"&gt;"&amp;($A428+4/24))</f>
        <v/>
      </c>
      <c r="I428" s="20">
        <f>COUNTIFS(tData[SEHTrajectPeriodeDatumTijdVan],"&lt;="&amp;($A428+5/24),tData[SEHTrajectPeriodeDatumTijdTotEnMet],"&gt;"&amp;($A428+5/24))</f>
        <v/>
      </c>
      <c r="J428" s="20">
        <f>COUNTIFS(tData[SEHTrajectPeriodeDatumTijdVan],"&lt;="&amp;($A428+6/24),tData[SEHTrajectPeriodeDatumTijdTotEnMet],"&gt;"&amp;($A428+6/24))</f>
        <v/>
      </c>
      <c r="K428" s="20">
        <f>COUNTIFS(tData[SEHTrajectPeriodeDatumTijdVan],"&lt;="&amp;($A428+7/24),tData[SEHTrajectPeriodeDatumTijdTotEnMet],"&gt;"&amp;($A428+7/24))</f>
        <v/>
      </c>
      <c r="L428" s="20">
        <f>COUNTIFS(tData[SEHTrajectPeriodeDatumTijdVan],"&lt;="&amp;($A428+8/24),tData[SEHTrajectPeriodeDatumTijdTotEnMet],"&gt;"&amp;($A428+8/24))</f>
        <v/>
      </c>
      <c r="M428" s="20">
        <f>COUNTIFS(tData[SEHTrajectPeriodeDatumTijdVan],"&lt;="&amp;($A428+9/24),tData[SEHTrajectPeriodeDatumTijdTotEnMet],"&gt;"&amp;($A428+9/24))</f>
        <v/>
      </c>
      <c r="N428" s="20">
        <f>COUNTIFS(tData[SEHTrajectPeriodeDatumTijdVan],"&lt;="&amp;($A428+10/24),tData[SEHTrajectPeriodeDatumTijdTotEnMet],"&gt;"&amp;($A428+10/24))</f>
        <v/>
      </c>
      <c r="O428" s="20">
        <f>COUNTIFS(tData[SEHTrajectPeriodeDatumTijdVan],"&lt;="&amp;($A428+11/24),tData[SEHTrajectPeriodeDatumTijdTotEnMet],"&gt;"&amp;($A428+11/24))</f>
        <v/>
      </c>
      <c r="P428" s="20">
        <f>COUNTIFS(tData[SEHTrajectPeriodeDatumTijdVan],"&lt;="&amp;($A428+12/24),tData[SEHTrajectPeriodeDatumTijdTotEnMet],"&gt;"&amp;($A428+12/24))</f>
        <v/>
      </c>
      <c r="Q428" s="20">
        <f>COUNTIFS(tData[SEHTrajectPeriodeDatumTijdVan],"&lt;="&amp;($A428+13/24),tData[SEHTrajectPeriodeDatumTijdTotEnMet],"&gt;"&amp;($A428+13/24))</f>
        <v/>
      </c>
      <c r="R428" s="20">
        <f>COUNTIFS(tData[SEHTrajectPeriodeDatumTijdVan],"&lt;="&amp;($A428+14/24),tData[SEHTrajectPeriodeDatumTijdTotEnMet],"&gt;"&amp;($A428+14/24))</f>
        <v/>
      </c>
      <c r="S428" s="20">
        <f>COUNTIFS(tData[SEHTrajectPeriodeDatumTijdVan],"&lt;="&amp;($A428+15/24),tData[SEHTrajectPeriodeDatumTijdTotEnMet],"&gt;"&amp;($A428+15/24))</f>
        <v/>
      </c>
      <c r="T428" s="20">
        <f>COUNTIFS(tData[SEHTrajectPeriodeDatumTijdVan],"&lt;="&amp;($A428+16/24),tData[SEHTrajectPeriodeDatumTijdTotEnMet],"&gt;"&amp;($A428+16/24))</f>
        <v/>
      </c>
      <c r="U428" s="20">
        <f>COUNTIFS(tData[SEHTrajectPeriodeDatumTijdVan],"&lt;="&amp;($A428+17/24),tData[SEHTrajectPeriodeDatumTijdTotEnMet],"&gt;"&amp;($A428+17/24))</f>
        <v/>
      </c>
      <c r="V428" s="20">
        <f>COUNTIFS(tData[SEHTrajectPeriodeDatumTijdVan],"&lt;="&amp;($A428+18/24),tData[SEHTrajectPeriodeDatumTijdTotEnMet],"&gt;"&amp;($A428+18/24))</f>
        <v/>
      </c>
      <c r="W428" s="20">
        <f>COUNTIFS(tData[SEHTrajectPeriodeDatumTijdVan],"&lt;="&amp;($A428+19/24),tData[SEHTrajectPeriodeDatumTijdTotEnMet],"&gt;"&amp;($A428+19/24))</f>
        <v/>
      </c>
      <c r="X428" s="20">
        <f>COUNTIFS(tData[SEHTrajectPeriodeDatumTijdVan],"&lt;="&amp;($A428+20/24),tData[SEHTrajectPeriodeDatumTijdTotEnMet],"&gt;"&amp;($A428+20/24))</f>
        <v/>
      </c>
      <c r="Y428" s="20">
        <f>COUNTIFS(tData[SEHTrajectPeriodeDatumTijdVan],"&lt;="&amp;($A428+21/24),tData[SEHTrajectPeriodeDatumTijdTotEnMet],"&gt;"&amp;($A428+21/24))</f>
        <v/>
      </c>
      <c r="Z428" s="20">
        <f>COUNTIFS(tData[SEHTrajectPeriodeDatumTijdVan],"&lt;="&amp;($A428+22/24),tData[SEHTrajectPeriodeDatumTijdTotEnMet],"&gt;"&amp;($A428+22/24))</f>
        <v/>
      </c>
      <c r="AA428" s="20">
        <f>COUNTIFS(tData[SEHTrajectPeriodeDatumTijdVan],"&lt;="&amp;($A428+23/24),tData[SEHTrajectPeriodeDatumTijdTotEnMet],"&gt;"&amp;($A428+23/24))</f>
        <v/>
      </c>
    </row>
    <row r="429">
      <c r="A429" s="19" t="n">
        <v>45717</v>
      </c>
      <c r="B429" s="15">
        <f>WEEKDAY($A429,2)</f>
        <v/>
      </c>
      <c r="C429" s="15">
        <f>IF(AND($A429&gt;=INT(Instellingen!$B$5),$A429&lt;=INT(Instellingen!$B$6)),1,0)</f>
        <v/>
      </c>
      <c r="D429" s="20">
        <f>COUNTIFS(tData[SEHTrajectPeriodeDatumTijdVan],"&lt;="&amp;($A429+0/24),tData[SEHTrajectPeriodeDatumTijdTotEnMet],"&gt;"&amp;($A429+0/24))</f>
        <v/>
      </c>
      <c r="E429" s="20">
        <f>COUNTIFS(tData[SEHTrajectPeriodeDatumTijdVan],"&lt;="&amp;($A429+1/24),tData[SEHTrajectPeriodeDatumTijdTotEnMet],"&gt;"&amp;($A429+1/24))</f>
        <v/>
      </c>
      <c r="F429" s="20">
        <f>COUNTIFS(tData[SEHTrajectPeriodeDatumTijdVan],"&lt;="&amp;($A429+2/24),tData[SEHTrajectPeriodeDatumTijdTotEnMet],"&gt;"&amp;($A429+2/24))</f>
        <v/>
      </c>
      <c r="G429" s="20">
        <f>COUNTIFS(tData[SEHTrajectPeriodeDatumTijdVan],"&lt;="&amp;($A429+3/24),tData[SEHTrajectPeriodeDatumTijdTotEnMet],"&gt;"&amp;($A429+3/24))</f>
        <v/>
      </c>
      <c r="H429" s="20">
        <f>COUNTIFS(tData[SEHTrajectPeriodeDatumTijdVan],"&lt;="&amp;($A429+4/24),tData[SEHTrajectPeriodeDatumTijdTotEnMet],"&gt;"&amp;($A429+4/24))</f>
        <v/>
      </c>
      <c r="I429" s="20">
        <f>COUNTIFS(tData[SEHTrajectPeriodeDatumTijdVan],"&lt;="&amp;($A429+5/24),tData[SEHTrajectPeriodeDatumTijdTotEnMet],"&gt;"&amp;($A429+5/24))</f>
        <v/>
      </c>
      <c r="J429" s="20">
        <f>COUNTIFS(tData[SEHTrajectPeriodeDatumTijdVan],"&lt;="&amp;($A429+6/24),tData[SEHTrajectPeriodeDatumTijdTotEnMet],"&gt;"&amp;($A429+6/24))</f>
        <v/>
      </c>
      <c r="K429" s="20">
        <f>COUNTIFS(tData[SEHTrajectPeriodeDatumTijdVan],"&lt;="&amp;($A429+7/24),tData[SEHTrajectPeriodeDatumTijdTotEnMet],"&gt;"&amp;($A429+7/24))</f>
        <v/>
      </c>
      <c r="L429" s="20">
        <f>COUNTIFS(tData[SEHTrajectPeriodeDatumTijdVan],"&lt;="&amp;($A429+8/24),tData[SEHTrajectPeriodeDatumTijdTotEnMet],"&gt;"&amp;($A429+8/24))</f>
        <v/>
      </c>
      <c r="M429" s="20">
        <f>COUNTIFS(tData[SEHTrajectPeriodeDatumTijdVan],"&lt;="&amp;($A429+9/24),tData[SEHTrajectPeriodeDatumTijdTotEnMet],"&gt;"&amp;($A429+9/24))</f>
        <v/>
      </c>
      <c r="N429" s="20">
        <f>COUNTIFS(tData[SEHTrajectPeriodeDatumTijdVan],"&lt;="&amp;($A429+10/24),tData[SEHTrajectPeriodeDatumTijdTotEnMet],"&gt;"&amp;($A429+10/24))</f>
        <v/>
      </c>
      <c r="O429" s="20">
        <f>COUNTIFS(tData[SEHTrajectPeriodeDatumTijdVan],"&lt;="&amp;($A429+11/24),tData[SEHTrajectPeriodeDatumTijdTotEnMet],"&gt;"&amp;($A429+11/24))</f>
        <v/>
      </c>
      <c r="P429" s="20">
        <f>COUNTIFS(tData[SEHTrajectPeriodeDatumTijdVan],"&lt;="&amp;($A429+12/24),tData[SEHTrajectPeriodeDatumTijdTotEnMet],"&gt;"&amp;($A429+12/24))</f>
        <v/>
      </c>
      <c r="Q429" s="20">
        <f>COUNTIFS(tData[SEHTrajectPeriodeDatumTijdVan],"&lt;="&amp;($A429+13/24),tData[SEHTrajectPeriodeDatumTijdTotEnMet],"&gt;"&amp;($A429+13/24))</f>
        <v/>
      </c>
      <c r="R429" s="20">
        <f>COUNTIFS(tData[SEHTrajectPeriodeDatumTijdVan],"&lt;="&amp;($A429+14/24),tData[SEHTrajectPeriodeDatumTijdTotEnMet],"&gt;"&amp;($A429+14/24))</f>
        <v/>
      </c>
      <c r="S429" s="20">
        <f>COUNTIFS(tData[SEHTrajectPeriodeDatumTijdVan],"&lt;="&amp;($A429+15/24),tData[SEHTrajectPeriodeDatumTijdTotEnMet],"&gt;"&amp;($A429+15/24))</f>
        <v/>
      </c>
      <c r="T429" s="20">
        <f>COUNTIFS(tData[SEHTrajectPeriodeDatumTijdVan],"&lt;="&amp;($A429+16/24),tData[SEHTrajectPeriodeDatumTijdTotEnMet],"&gt;"&amp;($A429+16/24))</f>
        <v/>
      </c>
      <c r="U429" s="20">
        <f>COUNTIFS(tData[SEHTrajectPeriodeDatumTijdVan],"&lt;="&amp;($A429+17/24),tData[SEHTrajectPeriodeDatumTijdTotEnMet],"&gt;"&amp;($A429+17/24))</f>
        <v/>
      </c>
      <c r="V429" s="20">
        <f>COUNTIFS(tData[SEHTrajectPeriodeDatumTijdVan],"&lt;="&amp;($A429+18/24),tData[SEHTrajectPeriodeDatumTijdTotEnMet],"&gt;"&amp;($A429+18/24))</f>
        <v/>
      </c>
      <c r="W429" s="20">
        <f>COUNTIFS(tData[SEHTrajectPeriodeDatumTijdVan],"&lt;="&amp;($A429+19/24),tData[SEHTrajectPeriodeDatumTijdTotEnMet],"&gt;"&amp;($A429+19/24))</f>
        <v/>
      </c>
      <c r="X429" s="20">
        <f>COUNTIFS(tData[SEHTrajectPeriodeDatumTijdVan],"&lt;="&amp;($A429+20/24),tData[SEHTrajectPeriodeDatumTijdTotEnMet],"&gt;"&amp;($A429+20/24))</f>
        <v/>
      </c>
      <c r="Y429" s="20">
        <f>COUNTIFS(tData[SEHTrajectPeriodeDatumTijdVan],"&lt;="&amp;($A429+21/24),tData[SEHTrajectPeriodeDatumTijdTotEnMet],"&gt;"&amp;($A429+21/24))</f>
        <v/>
      </c>
      <c r="Z429" s="20">
        <f>COUNTIFS(tData[SEHTrajectPeriodeDatumTijdVan],"&lt;="&amp;($A429+22/24),tData[SEHTrajectPeriodeDatumTijdTotEnMet],"&gt;"&amp;($A429+22/24))</f>
        <v/>
      </c>
      <c r="AA429" s="20">
        <f>COUNTIFS(tData[SEHTrajectPeriodeDatumTijdVan],"&lt;="&amp;($A429+23/24),tData[SEHTrajectPeriodeDatumTijdTotEnMet],"&gt;"&amp;($A429+23/24))</f>
        <v/>
      </c>
    </row>
    <row r="430">
      <c r="A430" s="19" t="n">
        <v>45718</v>
      </c>
      <c r="B430" s="15">
        <f>WEEKDAY($A430,2)</f>
        <v/>
      </c>
      <c r="C430" s="15">
        <f>IF(AND($A430&gt;=INT(Instellingen!$B$5),$A430&lt;=INT(Instellingen!$B$6)),1,0)</f>
        <v/>
      </c>
      <c r="D430" s="20">
        <f>COUNTIFS(tData[SEHTrajectPeriodeDatumTijdVan],"&lt;="&amp;($A430+0/24),tData[SEHTrajectPeriodeDatumTijdTotEnMet],"&gt;"&amp;($A430+0/24))</f>
        <v/>
      </c>
      <c r="E430" s="20">
        <f>COUNTIFS(tData[SEHTrajectPeriodeDatumTijdVan],"&lt;="&amp;($A430+1/24),tData[SEHTrajectPeriodeDatumTijdTotEnMet],"&gt;"&amp;($A430+1/24))</f>
        <v/>
      </c>
      <c r="F430" s="20">
        <f>COUNTIFS(tData[SEHTrajectPeriodeDatumTijdVan],"&lt;="&amp;($A430+2/24),tData[SEHTrajectPeriodeDatumTijdTotEnMet],"&gt;"&amp;($A430+2/24))</f>
        <v/>
      </c>
      <c r="G430" s="20">
        <f>COUNTIFS(tData[SEHTrajectPeriodeDatumTijdVan],"&lt;="&amp;($A430+3/24),tData[SEHTrajectPeriodeDatumTijdTotEnMet],"&gt;"&amp;($A430+3/24))</f>
        <v/>
      </c>
      <c r="H430" s="20">
        <f>COUNTIFS(tData[SEHTrajectPeriodeDatumTijdVan],"&lt;="&amp;($A430+4/24),tData[SEHTrajectPeriodeDatumTijdTotEnMet],"&gt;"&amp;($A430+4/24))</f>
        <v/>
      </c>
      <c r="I430" s="20">
        <f>COUNTIFS(tData[SEHTrajectPeriodeDatumTijdVan],"&lt;="&amp;($A430+5/24),tData[SEHTrajectPeriodeDatumTijdTotEnMet],"&gt;"&amp;($A430+5/24))</f>
        <v/>
      </c>
      <c r="J430" s="20">
        <f>COUNTIFS(tData[SEHTrajectPeriodeDatumTijdVan],"&lt;="&amp;($A430+6/24),tData[SEHTrajectPeriodeDatumTijdTotEnMet],"&gt;"&amp;($A430+6/24))</f>
        <v/>
      </c>
      <c r="K430" s="20">
        <f>COUNTIFS(tData[SEHTrajectPeriodeDatumTijdVan],"&lt;="&amp;($A430+7/24),tData[SEHTrajectPeriodeDatumTijdTotEnMet],"&gt;"&amp;($A430+7/24))</f>
        <v/>
      </c>
      <c r="L430" s="20">
        <f>COUNTIFS(tData[SEHTrajectPeriodeDatumTijdVan],"&lt;="&amp;($A430+8/24),tData[SEHTrajectPeriodeDatumTijdTotEnMet],"&gt;"&amp;($A430+8/24))</f>
        <v/>
      </c>
      <c r="M430" s="20">
        <f>COUNTIFS(tData[SEHTrajectPeriodeDatumTijdVan],"&lt;="&amp;($A430+9/24),tData[SEHTrajectPeriodeDatumTijdTotEnMet],"&gt;"&amp;($A430+9/24))</f>
        <v/>
      </c>
      <c r="N430" s="20">
        <f>COUNTIFS(tData[SEHTrajectPeriodeDatumTijdVan],"&lt;="&amp;($A430+10/24),tData[SEHTrajectPeriodeDatumTijdTotEnMet],"&gt;"&amp;($A430+10/24))</f>
        <v/>
      </c>
      <c r="O430" s="20">
        <f>COUNTIFS(tData[SEHTrajectPeriodeDatumTijdVan],"&lt;="&amp;($A430+11/24),tData[SEHTrajectPeriodeDatumTijdTotEnMet],"&gt;"&amp;($A430+11/24))</f>
        <v/>
      </c>
      <c r="P430" s="20">
        <f>COUNTIFS(tData[SEHTrajectPeriodeDatumTijdVan],"&lt;="&amp;($A430+12/24),tData[SEHTrajectPeriodeDatumTijdTotEnMet],"&gt;"&amp;($A430+12/24))</f>
        <v/>
      </c>
      <c r="Q430" s="20">
        <f>COUNTIFS(tData[SEHTrajectPeriodeDatumTijdVan],"&lt;="&amp;($A430+13/24),tData[SEHTrajectPeriodeDatumTijdTotEnMet],"&gt;"&amp;($A430+13/24))</f>
        <v/>
      </c>
      <c r="R430" s="20">
        <f>COUNTIFS(tData[SEHTrajectPeriodeDatumTijdVan],"&lt;="&amp;($A430+14/24),tData[SEHTrajectPeriodeDatumTijdTotEnMet],"&gt;"&amp;($A430+14/24))</f>
        <v/>
      </c>
      <c r="S430" s="20">
        <f>COUNTIFS(tData[SEHTrajectPeriodeDatumTijdVan],"&lt;="&amp;($A430+15/24),tData[SEHTrajectPeriodeDatumTijdTotEnMet],"&gt;"&amp;($A430+15/24))</f>
        <v/>
      </c>
      <c r="T430" s="20">
        <f>COUNTIFS(tData[SEHTrajectPeriodeDatumTijdVan],"&lt;="&amp;($A430+16/24),tData[SEHTrajectPeriodeDatumTijdTotEnMet],"&gt;"&amp;($A430+16/24))</f>
        <v/>
      </c>
      <c r="U430" s="20">
        <f>COUNTIFS(tData[SEHTrajectPeriodeDatumTijdVan],"&lt;="&amp;($A430+17/24),tData[SEHTrajectPeriodeDatumTijdTotEnMet],"&gt;"&amp;($A430+17/24))</f>
        <v/>
      </c>
      <c r="V430" s="20">
        <f>COUNTIFS(tData[SEHTrajectPeriodeDatumTijdVan],"&lt;="&amp;($A430+18/24),tData[SEHTrajectPeriodeDatumTijdTotEnMet],"&gt;"&amp;($A430+18/24))</f>
        <v/>
      </c>
      <c r="W430" s="20">
        <f>COUNTIFS(tData[SEHTrajectPeriodeDatumTijdVan],"&lt;="&amp;($A430+19/24),tData[SEHTrajectPeriodeDatumTijdTotEnMet],"&gt;"&amp;($A430+19/24))</f>
        <v/>
      </c>
      <c r="X430" s="20">
        <f>COUNTIFS(tData[SEHTrajectPeriodeDatumTijdVan],"&lt;="&amp;($A430+20/24),tData[SEHTrajectPeriodeDatumTijdTotEnMet],"&gt;"&amp;($A430+20/24))</f>
        <v/>
      </c>
      <c r="Y430" s="20">
        <f>COUNTIFS(tData[SEHTrajectPeriodeDatumTijdVan],"&lt;="&amp;($A430+21/24),tData[SEHTrajectPeriodeDatumTijdTotEnMet],"&gt;"&amp;($A430+21/24))</f>
        <v/>
      </c>
      <c r="Z430" s="20">
        <f>COUNTIFS(tData[SEHTrajectPeriodeDatumTijdVan],"&lt;="&amp;($A430+22/24),tData[SEHTrajectPeriodeDatumTijdTotEnMet],"&gt;"&amp;($A430+22/24))</f>
        <v/>
      </c>
      <c r="AA430" s="20">
        <f>COUNTIFS(tData[SEHTrajectPeriodeDatumTijdVan],"&lt;="&amp;($A430+23/24),tData[SEHTrajectPeriodeDatumTijdTotEnMet],"&gt;"&amp;($A430+23/24))</f>
        <v/>
      </c>
    </row>
    <row r="431">
      <c r="A431" s="19" t="n">
        <v>45719</v>
      </c>
      <c r="B431" s="15">
        <f>WEEKDAY($A431,2)</f>
        <v/>
      </c>
      <c r="C431" s="15">
        <f>IF(AND($A431&gt;=INT(Instellingen!$B$5),$A431&lt;=INT(Instellingen!$B$6)),1,0)</f>
        <v/>
      </c>
      <c r="D431" s="20">
        <f>COUNTIFS(tData[SEHTrajectPeriodeDatumTijdVan],"&lt;="&amp;($A431+0/24),tData[SEHTrajectPeriodeDatumTijdTotEnMet],"&gt;"&amp;($A431+0/24))</f>
        <v/>
      </c>
      <c r="E431" s="20">
        <f>COUNTIFS(tData[SEHTrajectPeriodeDatumTijdVan],"&lt;="&amp;($A431+1/24),tData[SEHTrajectPeriodeDatumTijdTotEnMet],"&gt;"&amp;($A431+1/24))</f>
        <v/>
      </c>
      <c r="F431" s="20">
        <f>COUNTIFS(tData[SEHTrajectPeriodeDatumTijdVan],"&lt;="&amp;($A431+2/24),tData[SEHTrajectPeriodeDatumTijdTotEnMet],"&gt;"&amp;($A431+2/24))</f>
        <v/>
      </c>
      <c r="G431" s="20">
        <f>COUNTIFS(tData[SEHTrajectPeriodeDatumTijdVan],"&lt;="&amp;($A431+3/24),tData[SEHTrajectPeriodeDatumTijdTotEnMet],"&gt;"&amp;($A431+3/24))</f>
        <v/>
      </c>
      <c r="H431" s="20">
        <f>COUNTIFS(tData[SEHTrajectPeriodeDatumTijdVan],"&lt;="&amp;($A431+4/24),tData[SEHTrajectPeriodeDatumTijdTotEnMet],"&gt;"&amp;($A431+4/24))</f>
        <v/>
      </c>
      <c r="I431" s="20">
        <f>COUNTIFS(tData[SEHTrajectPeriodeDatumTijdVan],"&lt;="&amp;($A431+5/24),tData[SEHTrajectPeriodeDatumTijdTotEnMet],"&gt;"&amp;($A431+5/24))</f>
        <v/>
      </c>
      <c r="J431" s="20">
        <f>COUNTIFS(tData[SEHTrajectPeriodeDatumTijdVan],"&lt;="&amp;($A431+6/24),tData[SEHTrajectPeriodeDatumTijdTotEnMet],"&gt;"&amp;($A431+6/24))</f>
        <v/>
      </c>
      <c r="K431" s="20">
        <f>COUNTIFS(tData[SEHTrajectPeriodeDatumTijdVan],"&lt;="&amp;($A431+7/24),tData[SEHTrajectPeriodeDatumTijdTotEnMet],"&gt;"&amp;($A431+7/24))</f>
        <v/>
      </c>
      <c r="L431" s="20">
        <f>COUNTIFS(tData[SEHTrajectPeriodeDatumTijdVan],"&lt;="&amp;($A431+8/24),tData[SEHTrajectPeriodeDatumTijdTotEnMet],"&gt;"&amp;($A431+8/24))</f>
        <v/>
      </c>
      <c r="M431" s="20">
        <f>COUNTIFS(tData[SEHTrajectPeriodeDatumTijdVan],"&lt;="&amp;($A431+9/24),tData[SEHTrajectPeriodeDatumTijdTotEnMet],"&gt;"&amp;($A431+9/24))</f>
        <v/>
      </c>
      <c r="N431" s="20">
        <f>COUNTIFS(tData[SEHTrajectPeriodeDatumTijdVan],"&lt;="&amp;($A431+10/24),tData[SEHTrajectPeriodeDatumTijdTotEnMet],"&gt;"&amp;($A431+10/24))</f>
        <v/>
      </c>
      <c r="O431" s="20">
        <f>COUNTIFS(tData[SEHTrajectPeriodeDatumTijdVan],"&lt;="&amp;($A431+11/24),tData[SEHTrajectPeriodeDatumTijdTotEnMet],"&gt;"&amp;($A431+11/24))</f>
        <v/>
      </c>
      <c r="P431" s="20">
        <f>COUNTIFS(tData[SEHTrajectPeriodeDatumTijdVan],"&lt;="&amp;($A431+12/24),tData[SEHTrajectPeriodeDatumTijdTotEnMet],"&gt;"&amp;($A431+12/24))</f>
        <v/>
      </c>
      <c r="Q431" s="20">
        <f>COUNTIFS(tData[SEHTrajectPeriodeDatumTijdVan],"&lt;="&amp;($A431+13/24),tData[SEHTrajectPeriodeDatumTijdTotEnMet],"&gt;"&amp;($A431+13/24))</f>
        <v/>
      </c>
      <c r="R431" s="20">
        <f>COUNTIFS(tData[SEHTrajectPeriodeDatumTijdVan],"&lt;="&amp;($A431+14/24),tData[SEHTrajectPeriodeDatumTijdTotEnMet],"&gt;"&amp;($A431+14/24))</f>
        <v/>
      </c>
      <c r="S431" s="20">
        <f>COUNTIFS(tData[SEHTrajectPeriodeDatumTijdVan],"&lt;="&amp;($A431+15/24),tData[SEHTrajectPeriodeDatumTijdTotEnMet],"&gt;"&amp;($A431+15/24))</f>
        <v/>
      </c>
      <c r="T431" s="20">
        <f>COUNTIFS(tData[SEHTrajectPeriodeDatumTijdVan],"&lt;="&amp;($A431+16/24),tData[SEHTrajectPeriodeDatumTijdTotEnMet],"&gt;"&amp;($A431+16/24))</f>
        <v/>
      </c>
      <c r="U431" s="20">
        <f>COUNTIFS(tData[SEHTrajectPeriodeDatumTijdVan],"&lt;="&amp;($A431+17/24),tData[SEHTrajectPeriodeDatumTijdTotEnMet],"&gt;"&amp;($A431+17/24))</f>
        <v/>
      </c>
      <c r="V431" s="20">
        <f>COUNTIFS(tData[SEHTrajectPeriodeDatumTijdVan],"&lt;="&amp;($A431+18/24),tData[SEHTrajectPeriodeDatumTijdTotEnMet],"&gt;"&amp;($A431+18/24))</f>
        <v/>
      </c>
      <c r="W431" s="20">
        <f>COUNTIFS(tData[SEHTrajectPeriodeDatumTijdVan],"&lt;="&amp;($A431+19/24),tData[SEHTrajectPeriodeDatumTijdTotEnMet],"&gt;"&amp;($A431+19/24))</f>
        <v/>
      </c>
      <c r="X431" s="20">
        <f>COUNTIFS(tData[SEHTrajectPeriodeDatumTijdVan],"&lt;="&amp;($A431+20/24),tData[SEHTrajectPeriodeDatumTijdTotEnMet],"&gt;"&amp;($A431+20/24))</f>
        <v/>
      </c>
      <c r="Y431" s="20">
        <f>COUNTIFS(tData[SEHTrajectPeriodeDatumTijdVan],"&lt;="&amp;($A431+21/24),tData[SEHTrajectPeriodeDatumTijdTotEnMet],"&gt;"&amp;($A431+21/24))</f>
        <v/>
      </c>
      <c r="Z431" s="20">
        <f>COUNTIFS(tData[SEHTrajectPeriodeDatumTijdVan],"&lt;="&amp;($A431+22/24),tData[SEHTrajectPeriodeDatumTijdTotEnMet],"&gt;"&amp;($A431+22/24))</f>
        <v/>
      </c>
      <c r="AA431" s="20">
        <f>COUNTIFS(tData[SEHTrajectPeriodeDatumTijdVan],"&lt;="&amp;($A431+23/24),tData[SEHTrajectPeriodeDatumTijdTotEnMet],"&gt;"&amp;($A431+23/24))</f>
        <v/>
      </c>
    </row>
    <row r="432">
      <c r="A432" s="19" t="n">
        <v>45720</v>
      </c>
      <c r="B432" s="15">
        <f>WEEKDAY($A432,2)</f>
        <v/>
      </c>
      <c r="C432" s="15">
        <f>IF(AND($A432&gt;=INT(Instellingen!$B$5),$A432&lt;=INT(Instellingen!$B$6)),1,0)</f>
        <v/>
      </c>
      <c r="D432" s="20">
        <f>COUNTIFS(tData[SEHTrajectPeriodeDatumTijdVan],"&lt;="&amp;($A432+0/24),tData[SEHTrajectPeriodeDatumTijdTotEnMet],"&gt;"&amp;($A432+0/24))</f>
        <v/>
      </c>
      <c r="E432" s="20">
        <f>COUNTIFS(tData[SEHTrajectPeriodeDatumTijdVan],"&lt;="&amp;($A432+1/24),tData[SEHTrajectPeriodeDatumTijdTotEnMet],"&gt;"&amp;($A432+1/24))</f>
        <v/>
      </c>
      <c r="F432" s="20">
        <f>COUNTIFS(tData[SEHTrajectPeriodeDatumTijdVan],"&lt;="&amp;($A432+2/24),tData[SEHTrajectPeriodeDatumTijdTotEnMet],"&gt;"&amp;($A432+2/24))</f>
        <v/>
      </c>
      <c r="G432" s="20">
        <f>COUNTIFS(tData[SEHTrajectPeriodeDatumTijdVan],"&lt;="&amp;($A432+3/24),tData[SEHTrajectPeriodeDatumTijdTotEnMet],"&gt;"&amp;($A432+3/24))</f>
        <v/>
      </c>
      <c r="H432" s="20">
        <f>COUNTIFS(tData[SEHTrajectPeriodeDatumTijdVan],"&lt;="&amp;($A432+4/24),tData[SEHTrajectPeriodeDatumTijdTotEnMet],"&gt;"&amp;($A432+4/24))</f>
        <v/>
      </c>
      <c r="I432" s="20">
        <f>COUNTIFS(tData[SEHTrajectPeriodeDatumTijdVan],"&lt;="&amp;($A432+5/24),tData[SEHTrajectPeriodeDatumTijdTotEnMet],"&gt;"&amp;($A432+5/24))</f>
        <v/>
      </c>
      <c r="J432" s="20">
        <f>COUNTIFS(tData[SEHTrajectPeriodeDatumTijdVan],"&lt;="&amp;($A432+6/24),tData[SEHTrajectPeriodeDatumTijdTotEnMet],"&gt;"&amp;($A432+6/24))</f>
        <v/>
      </c>
      <c r="K432" s="20">
        <f>COUNTIFS(tData[SEHTrajectPeriodeDatumTijdVan],"&lt;="&amp;($A432+7/24),tData[SEHTrajectPeriodeDatumTijdTotEnMet],"&gt;"&amp;($A432+7/24))</f>
        <v/>
      </c>
      <c r="L432" s="20">
        <f>COUNTIFS(tData[SEHTrajectPeriodeDatumTijdVan],"&lt;="&amp;($A432+8/24),tData[SEHTrajectPeriodeDatumTijdTotEnMet],"&gt;"&amp;($A432+8/24))</f>
        <v/>
      </c>
      <c r="M432" s="20">
        <f>COUNTIFS(tData[SEHTrajectPeriodeDatumTijdVan],"&lt;="&amp;($A432+9/24),tData[SEHTrajectPeriodeDatumTijdTotEnMet],"&gt;"&amp;($A432+9/24))</f>
        <v/>
      </c>
      <c r="N432" s="20">
        <f>COUNTIFS(tData[SEHTrajectPeriodeDatumTijdVan],"&lt;="&amp;($A432+10/24),tData[SEHTrajectPeriodeDatumTijdTotEnMet],"&gt;"&amp;($A432+10/24))</f>
        <v/>
      </c>
      <c r="O432" s="20">
        <f>COUNTIFS(tData[SEHTrajectPeriodeDatumTijdVan],"&lt;="&amp;($A432+11/24),tData[SEHTrajectPeriodeDatumTijdTotEnMet],"&gt;"&amp;($A432+11/24))</f>
        <v/>
      </c>
      <c r="P432" s="20">
        <f>COUNTIFS(tData[SEHTrajectPeriodeDatumTijdVan],"&lt;="&amp;($A432+12/24),tData[SEHTrajectPeriodeDatumTijdTotEnMet],"&gt;"&amp;($A432+12/24))</f>
        <v/>
      </c>
      <c r="Q432" s="20">
        <f>COUNTIFS(tData[SEHTrajectPeriodeDatumTijdVan],"&lt;="&amp;($A432+13/24),tData[SEHTrajectPeriodeDatumTijdTotEnMet],"&gt;"&amp;($A432+13/24))</f>
        <v/>
      </c>
      <c r="R432" s="20">
        <f>COUNTIFS(tData[SEHTrajectPeriodeDatumTijdVan],"&lt;="&amp;($A432+14/24),tData[SEHTrajectPeriodeDatumTijdTotEnMet],"&gt;"&amp;($A432+14/24))</f>
        <v/>
      </c>
      <c r="S432" s="20">
        <f>COUNTIFS(tData[SEHTrajectPeriodeDatumTijdVan],"&lt;="&amp;($A432+15/24),tData[SEHTrajectPeriodeDatumTijdTotEnMet],"&gt;"&amp;($A432+15/24))</f>
        <v/>
      </c>
      <c r="T432" s="20">
        <f>COUNTIFS(tData[SEHTrajectPeriodeDatumTijdVan],"&lt;="&amp;($A432+16/24),tData[SEHTrajectPeriodeDatumTijdTotEnMet],"&gt;"&amp;($A432+16/24))</f>
        <v/>
      </c>
      <c r="U432" s="20">
        <f>COUNTIFS(tData[SEHTrajectPeriodeDatumTijdVan],"&lt;="&amp;($A432+17/24),tData[SEHTrajectPeriodeDatumTijdTotEnMet],"&gt;"&amp;($A432+17/24))</f>
        <v/>
      </c>
      <c r="V432" s="20">
        <f>COUNTIFS(tData[SEHTrajectPeriodeDatumTijdVan],"&lt;="&amp;($A432+18/24),tData[SEHTrajectPeriodeDatumTijdTotEnMet],"&gt;"&amp;($A432+18/24))</f>
        <v/>
      </c>
      <c r="W432" s="20">
        <f>COUNTIFS(tData[SEHTrajectPeriodeDatumTijdVan],"&lt;="&amp;($A432+19/24),tData[SEHTrajectPeriodeDatumTijdTotEnMet],"&gt;"&amp;($A432+19/24))</f>
        <v/>
      </c>
      <c r="X432" s="20">
        <f>COUNTIFS(tData[SEHTrajectPeriodeDatumTijdVan],"&lt;="&amp;($A432+20/24),tData[SEHTrajectPeriodeDatumTijdTotEnMet],"&gt;"&amp;($A432+20/24))</f>
        <v/>
      </c>
      <c r="Y432" s="20">
        <f>COUNTIFS(tData[SEHTrajectPeriodeDatumTijdVan],"&lt;="&amp;($A432+21/24),tData[SEHTrajectPeriodeDatumTijdTotEnMet],"&gt;"&amp;($A432+21/24))</f>
        <v/>
      </c>
      <c r="Z432" s="20">
        <f>COUNTIFS(tData[SEHTrajectPeriodeDatumTijdVan],"&lt;="&amp;($A432+22/24),tData[SEHTrajectPeriodeDatumTijdTotEnMet],"&gt;"&amp;($A432+22/24))</f>
        <v/>
      </c>
      <c r="AA432" s="20">
        <f>COUNTIFS(tData[SEHTrajectPeriodeDatumTijdVan],"&lt;="&amp;($A432+23/24),tData[SEHTrajectPeriodeDatumTijdTotEnMet],"&gt;"&amp;($A432+23/24))</f>
        <v/>
      </c>
    </row>
    <row r="433">
      <c r="A433" s="19" t="n">
        <v>45721</v>
      </c>
      <c r="B433" s="15">
        <f>WEEKDAY($A433,2)</f>
        <v/>
      </c>
      <c r="C433" s="15">
        <f>IF(AND($A433&gt;=INT(Instellingen!$B$5),$A433&lt;=INT(Instellingen!$B$6)),1,0)</f>
        <v/>
      </c>
      <c r="D433" s="20">
        <f>COUNTIFS(tData[SEHTrajectPeriodeDatumTijdVan],"&lt;="&amp;($A433+0/24),tData[SEHTrajectPeriodeDatumTijdTotEnMet],"&gt;"&amp;($A433+0/24))</f>
        <v/>
      </c>
      <c r="E433" s="20">
        <f>COUNTIFS(tData[SEHTrajectPeriodeDatumTijdVan],"&lt;="&amp;($A433+1/24),tData[SEHTrajectPeriodeDatumTijdTotEnMet],"&gt;"&amp;($A433+1/24))</f>
        <v/>
      </c>
      <c r="F433" s="20">
        <f>COUNTIFS(tData[SEHTrajectPeriodeDatumTijdVan],"&lt;="&amp;($A433+2/24),tData[SEHTrajectPeriodeDatumTijdTotEnMet],"&gt;"&amp;($A433+2/24))</f>
        <v/>
      </c>
      <c r="G433" s="20">
        <f>COUNTIFS(tData[SEHTrajectPeriodeDatumTijdVan],"&lt;="&amp;($A433+3/24),tData[SEHTrajectPeriodeDatumTijdTotEnMet],"&gt;"&amp;($A433+3/24))</f>
        <v/>
      </c>
      <c r="H433" s="20">
        <f>COUNTIFS(tData[SEHTrajectPeriodeDatumTijdVan],"&lt;="&amp;($A433+4/24),tData[SEHTrajectPeriodeDatumTijdTotEnMet],"&gt;"&amp;($A433+4/24))</f>
        <v/>
      </c>
      <c r="I433" s="20">
        <f>COUNTIFS(tData[SEHTrajectPeriodeDatumTijdVan],"&lt;="&amp;($A433+5/24),tData[SEHTrajectPeriodeDatumTijdTotEnMet],"&gt;"&amp;($A433+5/24))</f>
        <v/>
      </c>
      <c r="J433" s="20">
        <f>COUNTIFS(tData[SEHTrajectPeriodeDatumTijdVan],"&lt;="&amp;($A433+6/24),tData[SEHTrajectPeriodeDatumTijdTotEnMet],"&gt;"&amp;($A433+6/24))</f>
        <v/>
      </c>
      <c r="K433" s="20">
        <f>COUNTIFS(tData[SEHTrajectPeriodeDatumTijdVan],"&lt;="&amp;($A433+7/24),tData[SEHTrajectPeriodeDatumTijdTotEnMet],"&gt;"&amp;($A433+7/24))</f>
        <v/>
      </c>
      <c r="L433" s="20">
        <f>COUNTIFS(tData[SEHTrajectPeriodeDatumTijdVan],"&lt;="&amp;($A433+8/24),tData[SEHTrajectPeriodeDatumTijdTotEnMet],"&gt;"&amp;($A433+8/24))</f>
        <v/>
      </c>
      <c r="M433" s="20">
        <f>COUNTIFS(tData[SEHTrajectPeriodeDatumTijdVan],"&lt;="&amp;($A433+9/24),tData[SEHTrajectPeriodeDatumTijdTotEnMet],"&gt;"&amp;($A433+9/24))</f>
        <v/>
      </c>
      <c r="N433" s="20">
        <f>COUNTIFS(tData[SEHTrajectPeriodeDatumTijdVan],"&lt;="&amp;($A433+10/24),tData[SEHTrajectPeriodeDatumTijdTotEnMet],"&gt;"&amp;($A433+10/24))</f>
        <v/>
      </c>
      <c r="O433" s="20">
        <f>COUNTIFS(tData[SEHTrajectPeriodeDatumTijdVan],"&lt;="&amp;($A433+11/24),tData[SEHTrajectPeriodeDatumTijdTotEnMet],"&gt;"&amp;($A433+11/24))</f>
        <v/>
      </c>
      <c r="P433" s="20">
        <f>COUNTIFS(tData[SEHTrajectPeriodeDatumTijdVan],"&lt;="&amp;($A433+12/24),tData[SEHTrajectPeriodeDatumTijdTotEnMet],"&gt;"&amp;($A433+12/24))</f>
        <v/>
      </c>
      <c r="Q433" s="20">
        <f>COUNTIFS(tData[SEHTrajectPeriodeDatumTijdVan],"&lt;="&amp;($A433+13/24),tData[SEHTrajectPeriodeDatumTijdTotEnMet],"&gt;"&amp;($A433+13/24))</f>
        <v/>
      </c>
      <c r="R433" s="20">
        <f>COUNTIFS(tData[SEHTrajectPeriodeDatumTijdVan],"&lt;="&amp;($A433+14/24),tData[SEHTrajectPeriodeDatumTijdTotEnMet],"&gt;"&amp;($A433+14/24))</f>
        <v/>
      </c>
      <c r="S433" s="20">
        <f>COUNTIFS(tData[SEHTrajectPeriodeDatumTijdVan],"&lt;="&amp;($A433+15/24),tData[SEHTrajectPeriodeDatumTijdTotEnMet],"&gt;"&amp;($A433+15/24))</f>
        <v/>
      </c>
      <c r="T433" s="20">
        <f>COUNTIFS(tData[SEHTrajectPeriodeDatumTijdVan],"&lt;="&amp;($A433+16/24),tData[SEHTrajectPeriodeDatumTijdTotEnMet],"&gt;"&amp;($A433+16/24))</f>
        <v/>
      </c>
      <c r="U433" s="20">
        <f>COUNTIFS(tData[SEHTrajectPeriodeDatumTijdVan],"&lt;="&amp;($A433+17/24),tData[SEHTrajectPeriodeDatumTijdTotEnMet],"&gt;"&amp;($A433+17/24))</f>
        <v/>
      </c>
      <c r="V433" s="20">
        <f>COUNTIFS(tData[SEHTrajectPeriodeDatumTijdVan],"&lt;="&amp;($A433+18/24),tData[SEHTrajectPeriodeDatumTijdTotEnMet],"&gt;"&amp;($A433+18/24))</f>
        <v/>
      </c>
      <c r="W433" s="20">
        <f>COUNTIFS(tData[SEHTrajectPeriodeDatumTijdVan],"&lt;="&amp;($A433+19/24),tData[SEHTrajectPeriodeDatumTijdTotEnMet],"&gt;"&amp;($A433+19/24))</f>
        <v/>
      </c>
      <c r="X433" s="20">
        <f>COUNTIFS(tData[SEHTrajectPeriodeDatumTijdVan],"&lt;="&amp;($A433+20/24),tData[SEHTrajectPeriodeDatumTijdTotEnMet],"&gt;"&amp;($A433+20/24))</f>
        <v/>
      </c>
      <c r="Y433" s="20">
        <f>COUNTIFS(tData[SEHTrajectPeriodeDatumTijdVan],"&lt;="&amp;($A433+21/24),tData[SEHTrajectPeriodeDatumTijdTotEnMet],"&gt;"&amp;($A433+21/24))</f>
        <v/>
      </c>
      <c r="Z433" s="20">
        <f>COUNTIFS(tData[SEHTrajectPeriodeDatumTijdVan],"&lt;="&amp;($A433+22/24),tData[SEHTrajectPeriodeDatumTijdTotEnMet],"&gt;"&amp;($A433+22/24))</f>
        <v/>
      </c>
      <c r="AA433" s="20">
        <f>COUNTIFS(tData[SEHTrajectPeriodeDatumTijdVan],"&lt;="&amp;($A433+23/24),tData[SEHTrajectPeriodeDatumTijdTotEnMet],"&gt;"&amp;($A433+23/24))</f>
        <v/>
      </c>
    </row>
    <row r="434">
      <c r="A434" s="19" t="n">
        <v>45722</v>
      </c>
      <c r="B434" s="15">
        <f>WEEKDAY($A434,2)</f>
        <v/>
      </c>
      <c r="C434" s="15">
        <f>IF(AND($A434&gt;=INT(Instellingen!$B$5),$A434&lt;=INT(Instellingen!$B$6)),1,0)</f>
        <v/>
      </c>
      <c r="D434" s="20">
        <f>COUNTIFS(tData[SEHTrajectPeriodeDatumTijdVan],"&lt;="&amp;($A434+0/24),tData[SEHTrajectPeriodeDatumTijdTotEnMet],"&gt;"&amp;($A434+0/24))</f>
        <v/>
      </c>
      <c r="E434" s="20">
        <f>COUNTIFS(tData[SEHTrajectPeriodeDatumTijdVan],"&lt;="&amp;($A434+1/24),tData[SEHTrajectPeriodeDatumTijdTotEnMet],"&gt;"&amp;($A434+1/24))</f>
        <v/>
      </c>
      <c r="F434" s="20">
        <f>COUNTIFS(tData[SEHTrajectPeriodeDatumTijdVan],"&lt;="&amp;($A434+2/24),tData[SEHTrajectPeriodeDatumTijdTotEnMet],"&gt;"&amp;($A434+2/24))</f>
        <v/>
      </c>
      <c r="G434" s="20">
        <f>COUNTIFS(tData[SEHTrajectPeriodeDatumTijdVan],"&lt;="&amp;($A434+3/24),tData[SEHTrajectPeriodeDatumTijdTotEnMet],"&gt;"&amp;($A434+3/24))</f>
        <v/>
      </c>
      <c r="H434" s="20">
        <f>COUNTIFS(tData[SEHTrajectPeriodeDatumTijdVan],"&lt;="&amp;($A434+4/24),tData[SEHTrajectPeriodeDatumTijdTotEnMet],"&gt;"&amp;($A434+4/24))</f>
        <v/>
      </c>
      <c r="I434" s="20">
        <f>COUNTIFS(tData[SEHTrajectPeriodeDatumTijdVan],"&lt;="&amp;($A434+5/24),tData[SEHTrajectPeriodeDatumTijdTotEnMet],"&gt;"&amp;($A434+5/24))</f>
        <v/>
      </c>
      <c r="J434" s="20">
        <f>COUNTIFS(tData[SEHTrajectPeriodeDatumTijdVan],"&lt;="&amp;($A434+6/24),tData[SEHTrajectPeriodeDatumTijdTotEnMet],"&gt;"&amp;($A434+6/24))</f>
        <v/>
      </c>
      <c r="K434" s="20">
        <f>COUNTIFS(tData[SEHTrajectPeriodeDatumTijdVan],"&lt;="&amp;($A434+7/24),tData[SEHTrajectPeriodeDatumTijdTotEnMet],"&gt;"&amp;($A434+7/24))</f>
        <v/>
      </c>
      <c r="L434" s="20">
        <f>COUNTIFS(tData[SEHTrajectPeriodeDatumTijdVan],"&lt;="&amp;($A434+8/24),tData[SEHTrajectPeriodeDatumTijdTotEnMet],"&gt;"&amp;($A434+8/24))</f>
        <v/>
      </c>
      <c r="M434" s="20">
        <f>COUNTIFS(tData[SEHTrajectPeriodeDatumTijdVan],"&lt;="&amp;($A434+9/24),tData[SEHTrajectPeriodeDatumTijdTotEnMet],"&gt;"&amp;($A434+9/24))</f>
        <v/>
      </c>
      <c r="N434" s="20">
        <f>COUNTIFS(tData[SEHTrajectPeriodeDatumTijdVan],"&lt;="&amp;($A434+10/24),tData[SEHTrajectPeriodeDatumTijdTotEnMet],"&gt;"&amp;($A434+10/24))</f>
        <v/>
      </c>
      <c r="O434" s="20">
        <f>COUNTIFS(tData[SEHTrajectPeriodeDatumTijdVan],"&lt;="&amp;($A434+11/24),tData[SEHTrajectPeriodeDatumTijdTotEnMet],"&gt;"&amp;($A434+11/24))</f>
        <v/>
      </c>
      <c r="P434" s="20">
        <f>COUNTIFS(tData[SEHTrajectPeriodeDatumTijdVan],"&lt;="&amp;($A434+12/24),tData[SEHTrajectPeriodeDatumTijdTotEnMet],"&gt;"&amp;($A434+12/24))</f>
        <v/>
      </c>
      <c r="Q434" s="20">
        <f>COUNTIFS(tData[SEHTrajectPeriodeDatumTijdVan],"&lt;="&amp;($A434+13/24),tData[SEHTrajectPeriodeDatumTijdTotEnMet],"&gt;"&amp;($A434+13/24))</f>
        <v/>
      </c>
      <c r="R434" s="20">
        <f>COUNTIFS(tData[SEHTrajectPeriodeDatumTijdVan],"&lt;="&amp;($A434+14/24),tData[SEHTrajectPeriodeDatumTijdTotEnMet],"&gt;"&amp;($A434+14/24))</f>
        <v/>
      </c>
      <c r="S434" s="20">
        <f>COUNTIFS(tData[SEHTrajectPeriodeDatumTijdVan],"&lt;="&amp;($A434+15/24),tData[SEHTrajectPeriodeDatumTijdTotEnMet],"&gt;"&amp;($A434+15/24))</f>
        <v/>
      </c>
      <c r="T434" s="20">
        <f>COUNTIFS(tData[SEHTrajectPeriodeDatumTijdVan],"&lt;="&amp;($A434+16/24),tData[SEHTrajectPeriodeDatumTijdTotEnMet],"&gt;"&amp;($A434+16/24))</f>
        <v/>
      </c>
      <c r="U434" s="20">
        <f>COUNTIFS(tData[SEHTrajectPeriodeDatumTijdVan],"&lt;="&amp;($A434+17/24),tData[SEHTrajectPeriodeDatumTijdTotEnMet],"&gt;"&amp;($A434+17/24))</f>
        <v/>
      </c>
      <c r="V434" s="20">
        <f>COUNTIFS(tData[SEHTrajectPeriodeDatumTijdVan],"&lt;="&amp;($A434+18/24),tData[SEHTrajectPeriodeDatumTijdTotEnMet],"&gt;"&amp;($A434+18/24))</f>
        <v/>
      </c>
      <c r="W434" s="20">
        <f>COUNTIFS(tData[SEHTrajectPeriodeDatumTijdVan],"&lt;="&amp;($A434+19/24),tData[SEHTrajectPeriodeDatumTijdTotEnMet],"&gt;"&amp;($A434+19/24))</f>
        <v/>
      </c>
      <c r="X434" s="20">
        <f>COUNTIFS(tData[SEHTrajectPeriodeDatumTijdVan],"&lt;="&amp;($A434+20/24),tData[SEHTrajectPeriodeDatumTijdTotEnMet],"&gt;"&amp;($A434+20/24))</f>
        <v/>
      </c>
      <c r="Y434" s="20">
        <f>COUNTIFS(tData[SEHTrajectPeriodeDatumTijdVan],"&lt;="&amp;($A434+21/24),tData[SEHTrajectPeriodeDatumTijdTotEnMet],"&gt;"&amp;($A434+21/24))</f>
        <v/>
      </c>
      <c r="Z434" s="20">
        <f>COUNTIFS(tData[SEHTrajectPeriodeDatumTijdVan],"&lt;="&amp;($A434+22/24),tData[SEHTrajectPeriodeDatumTijdTotEnMet],"&gt;"&amp;($A434+22/24))</f>
        <v/>
      </c>
      <c r="AA434" s="20">
        <f>COUNTIFS(tData[SEHTrajectPeriodeDatumTijdVan],"&lt;="&amp;($A434+23/24),tData[SEHTrajectPeriodeDatumTijdTotEnMet],"&gt;"&amp;($A434+23/24))</f>
        <v/>
      </c>
    </row>
    <row r="435">
      <c r="A435" s="19" t="n">
        <v>45723</v>
      </c>
      <c r="B435" s="15">
        <f>WEEKDAY($A435,2)</f>
        <v/>
      </c>
      <c r="C435" s="15">
        <f>IF(AND($A435&gt;=INT(Instellingen!$B$5),$A435&lt;=INT(Instellingen!$B$6)),1,0)</f>
        <v/>
      </c>
      <c r="D435" s="20">
        <f>COUNTIFS(tData[SEHTrajectPeriodeDatumTijdVan],"&lt;="&amp;($A435+0/24),tData[SEHTrajectPeriodeDatumTijdTotEnMet],"&gt;"&amp;($A435+0/24))</f>
        <v/>
      </c>
      <c r="E435" s="20">
        <f>COUNTIFS(tData[SEHTrajectPeriodeDatumTijdVan],"&lt;="&amp;($A435+1/24),tData[SEHTrajectPeriodeDatumTijdTotEnMet],"&gt;"&amp;($A435+1/24))</f>
        <v/>
      </c>
      <c r="F435" s="20">
        <f>COUNTIFS(tData[SEHTrajectPeriodeDatumTijdVan],"&lt;="&amp;($A435+2/24),tData[SEHTrajectPeriodeDatumTijdTotEnMet],"&gt;"&amp;($A435+2/24))</f>
        <v/>
      </c>
      <c r="G435" s="20">
        <f>COUNTIFS(tData[SEHTrajectPeriodeDatumTijdVan],"&lt;="&amp;($A435+3/24),tData[SEHTrajectPeriodeDatumTijdTotEnMet],"&gt;"&amp;($A435+3/24))</f>
        <v/>
      </c>
      <c r="H435" s="20">
        <f>COUNTIFS(tData[SEHTrajectPeriodeDatumTijdVan],"&lt;="&amp;($A435+4/24),tData[SEHTrajectPeriodeDatumTijdTotEnMet],"&gt;"&amp;($A435+4/24))</f>
        <v/>
      </c>
      <c r="I435" s="20">
        <f>COUNTIFS(tData[SEHTrajectPeriodeDatumTijdVan],"&lt;="&amp;($A435+5/24),tData[SEHTrajectPeriodeDatumTijdTotEnMet],"&gt;"&amp;($A435+5/24))</f>
        <v/>
      </c>
      <c r="J435" s="20">
        <f>COUNTIFS(tData[SEHTrajectPeriodeDatumTijdVan],"&lt;="&amp;($A435+6/24),tData[SEHTrajectPeriodeDatumTijdTotEnMet],"&gt;"&amp;($A435+6/24))</f>
        <v/>
      </c>
      <c r="K435" s="20">
        <f>COUNTIFS(tData[SEHTrajectPeriodeDatumTijdVan],"&lt;="&amp;($A435+7/24),tData[SEHTrajectPeriodeDatumTijdTotEnMet],"&gt;"&amp;($A435+7/24))</f>
        <v/>
      </c>
      <c r="L435" s="20">
        <f>COUNTIFS(tData[SEHTrajectPeriodeDatumTijdVan],"&lt;="&amp;($A435+8/24),tData[SEHTrajectPeriodeDatumTijdTotEnMet],"&gt;"&amp;($A435+8/24))</f>
        <v/>
      </c>
      <c r="M435" s="20">
        <f>COUNTIFS(tData[SEHTrajectPeriodeDatumTijdVan],"&lt;="&amp;($A435+9/24),tData[SEHTrajectPeriodeDatumTijdTotEnMet],"&gt;"&amp;($A435+9/24))</f>
        <v/>
      </c>
      <c r="N435" s="20">
        <f>COUNTIFS(tData[SEHTrajectPeriodeDatumTijdVan],"&lt;="&amp;($A435+10/24),tData[SEHTrajectPeriodeDatumTijdTotEnMet],"&gt;"&amp;($A435+10/24))</f>
        <v/>
      </c>
      <c r="O435" s="20">
        <f>COUNTIFS(tData[SEHTrajectPeriodeDatumTijdVan],"&lt;="&amp;($A435+11/24),tData[SEHTrajectPeriodeDatumTijdTotEnMet],"&gt;"&amp;($A435+11/24))</f>
        <v/>
      </c>
      <c r="P435" s="20">
        <f>COUNTIFS(tData[SEHTrajectPeriodeDatumTijdVan],"&lt;="&amp;($A435+12/24),tData[SEHTrajectPeriodeDatumTijdTotEnMet],"&gt;"&amp;($A435+12/24))</f>
        <v/>
      </c>
      <c r="Q435" s="20">
        <f>COUNTIFS(tData[SEHTrajectPeriodeDatumTijdVan],"&lt;="&amp;($A435+13/24),tData[SEHTrajectPeriodeDatumTijdTotEnMet],"&gt;"&amp;($A435+13/24))</f>
        <v/>
      </c>
      <c r="R435" s="20">
        <f>COUNTIFS(tData[SEHTrajectPeriodeDatumTijdVan],"&lt;="&amp;($A435+14/24),tData[SEHTrajectPeriodeDatumTijdTotEnMet],"&gt;"&amp;($A435+14/24))</f>
        <v/>
      </c>
      <c r="S435" s="20">
        <f>COUNTIFS(tData[SEHTrajectPeriodeDatumTijdVan],"&lt;="&amp;($A435+15/24),tData[SEHTrajectPeriodeDatumTijdTotEnMet],"&gt;"&amp;($A435+15/24))</f>
        <v/>
      </c>
      <c r="T435" s="20">
        <f>COUNTIFS(tData[SEHTrajectPeriodeDatumTijdVan],"&lt;="&amp;($A435+16/24),tData[SEHTrajectPeriodeDatumTijdTotEnMet],"&gt;"&amp;($A435+16/24))</f>
        <v/>
      </c>
      <c r="U435" s="20">
        <f>COUNTIFS(tData[SEHTrajectPeriodeDatumTijdVan],"&lt;="&amp;($A435+17/24),tData[SEHTrajectPeriodeDatumTijdTotEnMet],"&gt;"&amp;($A435+17/24))</f>
        <v/>
      </c>
      <c r="V435" s="20">
        <f>COUNTIFS(tData[SEHTrajectPeriodeDatumTijdVan],"&lt;="&amp;($A435+18/24),tData[SEHTrajectPeriodeDatumTijdTotEnMet],"&gt;"&amp;($A435+18/24))</f>
        <v/>
      </c>
      <c r="W435" s="20">
        <f>COUNTIFS(tData[SEHTrajectPeriodeDatumTijdVan],"&lt;="&amp;($A435+19/24),tData[SEHTrajectPeriodeDatumTijdTotEnMet],"&gt;"&amp;($A435+19/24))</f>
        <v/>
      </c>
      <c r="X435" s="20">
        <f>COUNTIFS(tData[SEHTrajectPeriodeDatumTijdVan],"&lt;="&amp;($A435+20/24),tData[SEHTrajectPeriodeDatumTijdTotEnMet],"&gt;"&amp;($A435+20/24))</f>
        <v/>
      </c>
      <c r="Y435" s="20">
        <f>COUNTIFS(tData[SEHTrajectPeriodeDatumTijdVan],"&lt;="&amp;($A435+21/24),tData[SEHTrajectPeriodeDatumTijdTotEnMet],"&gt;"&amp;($A435+21/24))</f>
        <v/>
      </c>
      <c r="Z435" s="20">
        <f>COUNTIFS(tData[SEHTrajectPeriodeDatumTijdVan],"&lt;="&amp;($A435+22/24),tData[SEHTrajectPeriodeDatumTijdTotEnMet],"&gt;"&amp;($A435+22/24))</f>
        <v/>
      </c>
      <c r="AA435" s="20">
        <f>COUNTIFS(tData[SEHTrajectPeriodeDatumTijdVan],"&lt;="&amp;($A435+23/24),tData[SEHTrajectPeriodeDatumTijdTotEnMet],"&gt;"&amp;($A435+23/24))</f>
        <v/>
      </c>
    </row>
    <row r="436">
      <c r="A436" s="19" t="n">
        <v>45724</v>
      </c>
      <c r="B436" s="15">
        <f>WEEKDAY($A436,2)</f>
        <v/>
      </c>
      <c r="C436" s="15">
        <f>IF(AND($A436&gt;=INT(Instellingen!$B$5),$A436&lt;=INT(Instellingen!$B$6)),1,0)</f>
        <v/>
      </c>
      <c r="D436" s="20">
        <f>COUNTIFS(tData[SEHTrajectPeriodeDatumTijdVan],"&lt;="&amp;($A436+0/24),tData[SEHTrajectPeriodeDatumTijdTotEnMet],"&gt;"&amp;($A436+0/24))</f>
        <v/>
      </c>
      <c r="E436" s="20">
        <f>COUNTIFS(tData[SEHTrajectPeriodeDatumTijdVan],"&lt;="&amp;($A436+1/24),tData[SEHTrajectPeriodeDatumTijdTotEnMet],"&gt;"&amp;($A436+1/24))</f>
        <v/>
      </c>
      <c r="F436" s="20">
        <f>COUNTIFS(tData[SEHTrajectPeriodeDatumTijdVan],"&lt;="&amp;($A436+2/24),tData[SEHTrajectPeriodeDatumTijdTotEnMet],"&gt;"&amp;($A436+2/24))</f>
        <v/>
      </c>
      <c r="G436" s="20">
        <f>COUNTIFS(tData[SEHTrajectPeriodeDatumTijdVan],"&lt;="&amp;($A436+3/24),tData[SEHTrajectPeriodeDatumTijdTotEnMet],"&gt;"&amp;($A436+3/24))</f>
        <v/>
      </c>
      <c r="H436" s="20">
        <f>COUNTIFS(tData[SEHTrajectPeriodeDatumTijdVan],"&lt;="&amp;($A436+4/24),tData[SEHTrajectPeriodeDatumTijdTotEnMet],"&gt;"&amp;($A436+4/24))</f>
        <v/>
      </c>
      <c r="I436" s="20">
        <f>COUNTIFS(tData[SEHTrajectPeriodeDatumTijdVan],"&lt;="&amp;($A436+5/24),tData[SEHTrajectPeriodeDatumTijdTotEnMet],"&gt;"&amp;($A436+5/24))</f>
        <v/>
      </c>
      <c r="J436" s="20">
        <f>COUNTIFS(tData[SEHTrajectPeriodeDatumTijdVan],"&lt;="&amp;($A436+6/24),tData[SEHTrajectPeriodeDatumTijdTotEnMet],"&gt;"&amp;($A436+6/24))</f>
        <v/>
      </c>
      <c r="K436" s="20">
        <f>COUNTIFS(tData[SEHTrajectPeriodeDatumTijdVan],"&lt;="&amp;($A436+7/24),tData[SEHTrajectPeriodeDatumTijdTotEnMet],"&gt;"&amp;($A436+7/24))</f>
        <v/>
      </c>
      <c r="L436" s="20">
        <f>COUNTIFS(tData[SEHTrajectPeriodeDatumTijdVan],"&lt;="&amp;($A436+8/24),tData[SEHTrajectPeriodeDatumTijdTotEnMet],"&gt;"&amp;($A436+8/24))</f>
        <v/>
      </c>
      <c r="M436" s="20">
        <f>COUNTIFS(tData[SEHTrajectPeriodeDatumTijdVan],"&lt;="&amp;($A436+9/24),tData[SEHTrajectPeriodeDatumTijdTotEnMet],"&gt;"&amp;($A436+9/24))</f>
        <v/>
      </c>
      <c r="N436" s="20">
        <f>COUNTIFS(tData[SEHTrajectPeriodeDatumTijdVan],"&lt;="&amp;($A436+10/24),tData[SEHTrajectPeriodeDatumTijdTotEnMet],"&gt;"&amp;($A436+10/24))</f>
        <v/>
      </c>
      <c r="O436" s="20">
        <f>COUNTIFS(tData[SEHTrajectPeriodeDatumTijdVan],"&lt;="&amp;($A436+11/24),tData[SEHTrajectPeriodeDatumTijdTotEnMet],"&gt;"&amp;($A436+11/24))</f>
        <v/>
      </c>
      <c r="P436" s="20">
        <f>COUNTIFS(tData[SEHTrajectPeriodeDatumTijdVan],"&lt;="&amp;($A436+12/24),tData[SEHTrajectPeriodeDatumTijdTotEnMet],"&gt;"&amp;($A436+12/24))</f>
        <v/>
      </c>
      <c r="Q436" s="20">
        <f>COUNTIFS(tData[SEHTrajectPeriodeDatumTijdVan],"&lt;="&amp;($A436+13/24),tData[SEHTrajectPeriodeDatumTijdTotEnMet],"&gt;"&amp;($A436+13/24))</f>
        <v/>
      </c>
      <c r="R436" s="20">
        <f>COUNTIFS(tData[SEHTrajectPeriodeDatumTijdVan],"&lt;="&amp;($A436+14/24),tData[SEHTrajectPeriodeDatumTijdTotEnMet],"&gt;"&amp;($A436+14/24))</f>
        <v/>
      </c>
      <c r="S436" s="20">
        <f>COUNTIFS(tData[SEHTrajectPeriodeDatumTijdVan],"&lt;="&amp;($A436+15/24),tData[SEHTrajectPeriodeDatumTijdTotEnMet],"&gt;"&amp;($A436+15/24))</f>
        <v/>
      </c>
      <c r="T436" s="20">
        <f>COUNTIFS(tData[SEHTrajectPeriodeDatumTijdVan],"&lt;="&amp;($A436+16/24),tData[SEHTrajectPeriodeDatumTijdTotEnMet],"&gt;"&amp;($A436+16/24))</f>
        <v/>
      </c>
      <c r="U436" s="20">
        <f>COUNTIFS(tData[SEHTrajectPeriodeDatumTijdVan],"&lt;="&amp;($A436+17/24),tData[SEHTrajectPeriodeDatumTijdTotEnMet],"&gt;"&amp;($A436+17/24))</f>
        <v/>
      </c>
      <c r="V436" s="20">
        <f>COUNTIFS(tData[SEHTrajectPeriodeDatumTijdVan],"&lt;="&amp;($A436+18/24),tData[SEHTrajectPeriodeDatumTijdTotEnMet],"&gt;"&amp;($A436+18/24))</f>
        <v/>
      </c>
      <c r="W436" s="20">
        <f>COUNTIFS(tData[SEHTrajectPeriodeDatumTijdVan],"&lt;="&amp;($A436+19/24),tData[SEHTrajectPeriodeDatumTijdTotEnMet],"&gt;"&amp;($A436+19/24))</f>
        <v/>
      </c>
      <c r="X436" s="20">
        <f>COUNTIFS(tData[SEHTrajectPeriodeDatumTijdVan],"&lt;="&amp;($A436+20/24),tData[SEHTrajectPeriodeDatumTijdTotEnMet],"&gt;"&amp;($A436+20/24))</f>
        <v/>
      </c>
      <c r="Y436" s="20">
        <f>COUNTIFS(tData[SEHTrajectPeriodeDatumTijdVan],"&lt;="&amp;($A436+21/24),tData[SEHTrajectPeriodeDatumTijdTotEnMet],"&gt;"&amp;($A436+21/24))</f>
        <v/>
      </c>
      <c r="Z436" s="20">
        <f>COUNTIFS(tData[SEHTrajectPeriodeDatumTijdVan],"&lt;="&amp;($A436+22/24),tData[SEHTrajectPeriodeDatumTijdTotEnMet],"&gt;"&amp;($A436+22/24))</f>
        <v/>
      </c>
      <c r="AA436" s="20">
        <f>COUNTIFS(tData[SEHTrajectPeriodeDatumTijdVan],"&lt;="&amp;($A436+23/24),tData[SEHTrajectPeriodeDatumTijdTotEnMet],"&gt;"&amp;($A436+23/24))</f>
        <v/>
      </c>
    </row>
    <row r="437">
      <c r="A437" s="19" t="n">
        <v>45725</v>
      </c>
      <c r="B437" s="15">
        <f>WEEKDAY($A437,2)</f>
        <v/>
      </c>
      <c r="C437" s="15">
        <f>IF(AND($A437&gt;=INT(Instellingen!$B$5),$A437&lt;=INT(Instellingen!$B$6)),1,0)</f>
        <v/>
      </c>
      <c r="D437" s="20">
        <f>COUNTIFS(tData[SEHTrajectPeriodeDatumTijdVan],"&lt;="&amp;($A437+0/24),tData[SEHTrajectPeriodeDatumTijdTotEnMet],"&gt;"&amp;($A437+0/24))</f>
        <v/>
      </c>
      <c r="E437" s="20">
        <f>COUNTIFS(tData[SEHTrajectPeriodeDatumTijdVan],"&lt;="&amp;($A437+1/24),tData[SEHTrajectPeriodeDatumTijdTotEnMet],"&gt;"&amp;($A437+1/24))</f>
        <v/>
      </c>
      <c r="F437" s="20">
        <f>COUNTIFS(tData[SEHTrajectPeriodeDatumTijdVan],"&lt;="&amp;($A437+2/24),tData[SEHTrajectPeriodeDatumTijdTotEnMet],"&gt;"&amp;($A437+2/24))</f>
        <v/>
      </c>
      <c r="G437" s="20">
        <f>COUNTIFS(tData[SEHTrajectPeriodeDatumTijdVan],"&lt;="&amp;($A437+3/24),tData[SEHTrajectPeriodeDatumTijdTotEnMet],"&gt;"&amp;($A437+3/24))</f>
        <v/>
      </c>
      <c r="H437" s="20">
        <f>COUNTIFS(tData[SEHTrajectPeriodeDatumTijdVan],"&lt;="&amp;($A437+4/24),tData[SEHTrajectPeriodeDatumTijdTotEnMet],"&gt;"&amp;($A437+4/24))</f>
        <v/>
      </c>
      <c r="I437" s="20">
        <f>COUNTIFS(tData[SEHTrajectPeriodeDatumTijdVan],"&lt;="&amp;($A437+5/24),tData[SEHTrajectPeriodeDatumTijdTotEnMet],"&gt;"&amp;($A437+5/24))</f>
        <v/>
      </c>
      <c r="J437" s="20">
        <f>COUNTIFS(tData[SEHTrajectPeriodeDatumTijdVan],"&lt;="&amp;($A437+6/24),tData[SEHTrajectPeriodeDatumTijdTotEnMet],"&gt;"&amp;($A437+6/24))</f>
        <v/>
      </c>
      <c r="K437" s="20">
        <f>COUNTIFS(tData[SEHTrajectPeriodeDatumTijdVan],"&lt;="&amp;($A437+7/24),tData[SEHTrajectPeriodeDatumTijdTotEnMet],"&gt;"&amp;($A437+7/24))</f>
        <v/>
      </c>
      <c r="L437" s="20">
        <f>COUNTIFS(tData[SEHTrajectPeriodeDatumTijdVan],"&lt;="&amp;($A437+8/24),tData[SEHTrajectPeriodeDatumTijdTotEnMet],"&gt;"&amp;($A437+8/24))</f>
        <v/>
      </c>
      <c r="M437" s="20">
        <f>COUNTIFS(tData[SEHTrajectPeriodeDatumTijdVan],"&lt;="&amp;($A437+9/24),tData[SEHTrajectPeriodeDatumTijdTotEnMet],"&gt;"&amp;($A437+9/24))</f>
        <v/>
      </c>
      <c r="N437" s="20">
        <f>COUNTIFS(tData[SEHTrajectPeriodeDatumTijdVan],"&lt;="&amp;($A437+10/24),tData[SEHTrajectPeriodeDatumTijdTotEnMet],"&gt;"&amp;($A437+10/24))</f>
        <v/>
      </c>
      <c r="O437" s="20">
        <f>COUNTIFS(tData[SEHTrajectPeriodeDatumTijdVan],"&lt;="&amp;($A437+11/24),tData[SEHTrajectPeriodeDatumTijdTotEnMet],"&gt;"&amp;($A437+11/24))</f>
        <v/>
      </c>
      <c r="P437" s="20">
        <f>COUNTIFS(tData[SEHTrajectPeriodeDatumTijdVan],"&lt;="&amp;($A437+12/24),tData[SEHTrajectPeriodeDatumTijdTotEnMet],"&gt;"&amp;($A437+12/24))</f>
        <v/>
      </c>
      <c r="Q437" s="20">
        <f>COUNTIFS(tData[SEHTrajectPeriodeDatumTijdVan],"&lt;="&amp;($A437+13/24),tData[SEHTrajectPeriodeDatumTijdTotEnMet],"&gt;"&amp;($A437+13/24))</f>
        <v/>
      </c>
      <c r="R437" s="20">
        <f>COUNTIFS(tData[SEHTrajectPeriodeDatumTijdVan],"&lt;="&amp;($A437+14/24),tData[SEHTrajectPeriodeDatumTijdTotEnMet],"&gt;"&amp;($A437+14/24))</f>
        <v/>
      </c>
      <c r="S437" s="20">
        <f>COUNTIFS(tData[SEHTrajectPeriodeDatumTijdVan],"&lt;="&amp;($A437+15/24),tData[SEHTrajectPeriodeDatumTijdTotEnMet],"&gt;"&amp;($A437+15/24))</f>
        <v/>
      </c>
      <c r="T437" s="20">
        <f>COUNTIFS(tData[SEHTrajectPeriodeDatumTijdVan],"&lt;="&amp;($A437+16/24),tData[SEHTrajectPeriodeDatumTijdTotEnMet],"&gt;"&amp;($A437+16/24))</f>
        <v/>
      </c>
      <c r="U437" s="20">
        <f>COUNTIFS(tData[SEHTrajectPeriodeDatumTijdVan],"&lt;="&amp;($A437+17/24),tData[SEHTrajectPeriodeDatumTijdTotEnMet],"&gt;"&amp;($A437+17/24))</f>
        <v/>
      </c>
      <c r="V437" s="20">
        <f>COUNTIFS(tData[SEHTrajectPeriodeDatumTijdVan],"&lt;="&amp;($A437+18/24),tData[SEHTrajectPeriodeDatumTijdTotEnMet],"&gt;"&amp;($A437+18/24))</f>
        <v/>
      </c>
      <c r="W437" s="20">
        <f>COUNTIFS(tData[SEHTrajectPeriodeDatumTijdVan],"&lt;="&amp;($A437+19/24),tData[SEHTrajectPeriodeDatumTijdTotEnMet],"&gt;"&amp;($A437+19/24))</f>
        <v/>
      </c>
      <c r="X437" s="20">
        <f>COUNTIFS(tData[SEHTrajectPeriodeDatumTijdVan],"&lt;="&amp;($A437+20/24),tData[SEHTrajectPeriodeDatumTijdTotEnMet],"&gt;"&amp;($A437+20/24))</f>
        <v/>
      </c>
      <c r="Y437" s="20">
        <f>COUNTIFS(tData[SEHTrajectPeriodeDatumTijdVan],"&lt;="&amp;($A437+21/24),tData[SEHTrajectPeriodeDatumTijdTotEnMet],"&gt;"&amp;($A437+21/24))</f>
        <v/>
      </c>
      <c r="Z437" s="20">
        <f>COUNTIFS(tData[SEHTrajectPeriodeDatumTijdVan],"&lt;="&amp;($A437+22/24),tData[SEHTrajectPeriodeDatumTijdTotEnMet],"&gt;"&amp;($A437+22/24))</f>
        <v/>
      </c>
      <c r="AA437" s="20">
        <f>COUNTIFS(tData[SEHTrajectPeriodeDatumTijdVan],"&lt;="&amp;($A437+23/24),tData[SEHTrajectPeriodeDatumTijdTotEnMet],"&gt;"&amp;($A437+23/24))</f>
        <v/>
      </c>
    </row>
    <row r="438">
      <c r="A438" s="19" t="n">
        <v>45726</v>
      </c>
      <c r="B438" s="15">
        <f>WEEKDAY($A438,2)</f>
        <v/>
      </c>
      <c r="C438" s="15">
        <f>IF(AND($A438&gt;=INT(Instellingen!$B$5),$A438&lt;=INT(Instellingen!$B$6)),1,0)</f>
        <v/>
      </c>
      <c r="D438" s="20">
        <f>COUNTIFS(tData[SEHTrajectPeriodeDatumTijdVan],"&lt;="&amp;($A438+0/24),tData[SEHTrajectPeriodeDatumTijdTotEnMet],"&gt;"&amp;($A438+0/24))</f>
        <v/>
      </c>
      <c r="E438" s="20">
        <f>COUNTIFS(tData[SEHTrajectPeriodeDatumTijdVan],"&lt;="&amp;($A438+1/24),tData[SEHTrajectPeriodeDatumTijdTotEnMet],"&gt;"&amp;($A438+1/24))</f>
        <v/>
      </c>
      <c r="F438" s="20">
        <f>COUNTIFS(tData[SEHTrajectPeriodeDatumTijdVan],"&lt;="&amp;($A438+2/24),tData[SEHTrajectPeriodeDatumTijdTotEnMet],"&gt;"&amp;($A438+2/24))</f>
        <v/>
      </c>
      <c r="G438" s="20">
        <f>COUNTIFS(tData[SEHTrajectPeriodeDatumTijdVan],"&lt;="&amp;($A438+3/24),tData[SEHTrajectPeriodeDatumTijdTotEnMet],"&gt;"&amp;($A438+3/24))</f>
        <v/>
      </c>
      <c r="H438" s="20">
        <f>COUNTIFS(tData[SEHTrajectPeriodeDatumTijdVan],"&lt;="&amp;($A438+4/24),tData[SEHTrajectPeriodeDatumTijdTotEnMet],"&gt;"&amp;($A438+4/24))</f>
        <v/>
      </c>
      <c r="I438" s="20">
        <f>COUNTIFS(tData[SEHTrajectPeriodeDatumTijdVan],"&lt;="&amp;($A438+5/24),tData[SEHTrajectPeriodeDatumTijdTotEnMet],"&gt;"&amp;($A438+5/24))</f>
        <v/>
      </c>
      <c r="J438" s="20">
        <f>COUNTIFS(tData[SEHTrajectPeriodeDatumTijdVan],"&lt;="&amp;($A438+6/24),tData[SEHTrajectPeriodeDatumTijdTotEnMet],"&gt;"&amp;($A438+6/24))</f>
        <v/>
      </c>
      <c r="K438" s="20">
        <f>COUNTIFS(tData[SEHTrajectPeriodeDatumTijdVan],"&lt;="&amp;($A438+7/24),tData[SEHTrajectPeriodeDatumTijdTotEnMet],"&gt;"&amp;($A438+7/24))</f>
        <v/>
      </c>
      <c r="L438" s="20">
        <f>COUNTIFS(tData[SEHTrajectPeriodeDatumTijdVan],"&lt;="&amp;($A438+8/24),tData[SEHTrajectPeriodeDatumTijdTotEnMet],"&gt;"&amp;($A438+8/24))</f>
        <v/>
      </c>
      <c r="M438" s="20">
        <f>COUNTIFS(tData[SEHTrajectPeriodeDatumTijdVan],"&lt;="&amp;($A438+9/24),tData[SEHTrajectPeriodeDatumTijdTotEnMet],"&gt;"&amp;($A438+9/24))</f>
        <v/>
      </c>
      <c r="N438" s="20">
        <f>COUNTIFS(tData[SEHTrajectPeriodeDatumTijdVan],"&lt;="&amp;($A438+10/24),tData[SEHTrajectPeriodeDatumTijdTotEnMet],"&gt;"&amp;($A438+10/24))</f>
        <v/>
      </c>
      <c r="O438" s="20">
        <f>COUNTIFS(tData[SEHTrajectPeriodeDatumTijdVan],"&lt;="&amp;($A438+11/24),tData[SEHTrajectPeriodeDatumTijdTotEnMet],"&gt;"&amp;($A438+11/24))</f>
        <v/>
      </c>
      <c r="P438" s="20">
        <f>COUNTIFS(tData[SEHTrajectPeriodeDatumTijdVan],"&lt;="&amp;($A438+12/24),tData[SEHTrajectPeriodeDatumTijdTotEnMet],"&gt;"&amp;($A438+12/24))</f>
        <v/>
      </c>
      <c r="Q438" s="20">
        <f>COUNTIFS(tData[SEHTrajectPeriodeDatumTijdVan],"&lt;="&amp;($A438+13/24),tData[SEHTrajectPeriodeDatumTijdTotEnMet],"&gt;"&amp;($A438+13/24))</f>
        <v/>
      </c>
      <c r="R438" s="20">
        <f>COUNTIFS(tData[SEHTrajectPeriodeDatumTijdVan],"&lt;="&amp;($A438+14/24),tData[SEHTrajectPeriodeDatumTijdTotEnMet],"&gt;"&amp;($A438+14/24))</f>
        <v/>
      </c>
      <c r="S438" s="20">
        <f>COUNTIFS(tData[SEHTrajectPeriodeDatumTijdVan],"&lt;="&amp;($A438+15/24),tData[SEHTrajectPeriodeDatumTijdTotEnMet],"&gt;"&amp;($A438+15/24))</f>
        <v/>
      </c>
      <c r="T438" s="20">
        <f>COUNTIFS(tData[SEHTrajectPeriodeDatumTijdVan],"&lt;="&amp;($A438+16/24),tData[SEHTrajectPeriodeDatumTijdTotEnMet],"&gt;"&amp;($A438+16/24))</f>
        <v/>
      </c>
      <c r="U438" s="20">
        <f>COUNTIFS(tData[SEHTrajectPeriodeDatumTijdVan],"&lt;="&amp;($A438+17/24),tData[SEHTrajectPeriodeDatumTijdTotEnMet],"&gt;"&amp;($A438+17/24))</f>
        <v/>
      </c>
      <c r="V438" s="20">
        <f>COUNTIFS(tData[SEHTrajectPeriodeDatumTijdVan],"&lt;="&amp;($A438+18/24),tData[SEHTrajectPeriodeDatumTijdTotEnMet],"&gt;"&amp;($A438+18/24))</f>
        <v/>
      </c>
      <c r="W438" s="20">
        <f>COUNTIFS(tData[SEHTrajectPeriodeDatumTijdVan],"&lt;="&amp;($A438+19/24),tData[SEHTrajectPeriodeDatumTijdTotEnMet],"&gt;"&amp;($A438+19/24))</f>
        <v/>
      </c>
      <c r="X438" s="20">
        <f>COUNTIFS(tData[SEHTrajectPeriodeDatumTijdVan],"&lt;="&amp;($A438+20/24),tData[SEHTrajectPeriodeDatumTijdTotEnMet],"&gt;"&amp;($A438+20/24))</f>
        <v/>
      </c>
      <c r="Y438" s="20">
        <f>COUNTIFS(tData[SEHTrajectPeriodeDatumTijdVan],"&lt;="&amp;($A438+21/24),tData[SEHTrajectPeriodeDatumTijdTotEnMet],"&gt;"&amp;($A438+21/24))</f>
        <v/>
      </c>
      <c r="Z438" s="20">
        <f>COUNTIFS(tData[SEHTrajectPeriodeDatumTijdVan],"&lt;="&amp;($A438+22/24),tData[SEHTrajectPeriodeDatumTijdTotEnMet],"&gt;"&amp;($A438+22/24))</f>
        <v/>
      </c>
      <c r="AA438" s="20">
        <f>COUNTIFS(tData[SEHTrajectPeriodeDatumTijdVan],"&lt;="&amp;($A438+23/24),tData[SEHTrajectPeriodeDatumTijdTotEnMet],"&gt;"&amp;($A438+23/24))</f>
        <v/>
      </c>
    </row>
    <row r="439">
      <c r="A439" s="19" t="n">
        <v>45727</v>
      </c>
      <c r="B439" s="15">
        <f>WEEKDAY($A439,2)</f>
        <v/>
      </c>
      <c r="C439" s="15">
        <f>IF(AND($A439&gt;=INT(Instellingen!$B$5),$A439&lt;=INT(Instellingen!$B$6)),1,0)</f>
        <v/>
      </c>
      <c r="D439" s="20">
        <f>COUNTIFS(tData[SEHTrajectPeriodeDatumTijdVan],"&lt;="&amp;($A439+0/24),tData[SEHTrajectPeriodeDatumTijdTotEnMet],"&gt;"&amp;($A439+0/24))</f>
        <v/>
      </c>
      <c r="E439" s="20">
        <f>COUNTIFS(tData[SEHTrajectPeriodeDatumTijdVan],"&lt;="&amp;($A439+1/24),tData[SEHTrajectPeriodeDatumTijdTotEnMet],"&gt;"&amp;($A439+1/24))</f>
        <v/>
      </c>
      <c r="F439" s="20">
        <f>COUNTIFS(tData[SEHTrajectPeriodeDatumTijdVan],"&lt;="&amp;($A439+2/24),tData[SEHTrajectPeriodeDatumTijdTotEnMet],"&gt;"&amp;($A439+2/24))</f>
        <v/>
      </c>
      <c r="G439" s="20">
        <f>COUNTIFS(tData[SEHTrajectPeriodeDatumTijdVan],"&lt;="&amp;($A439+3/24),tData[SEHTrajectPeriodeDatumTijdTotEnMet],"&gt;"&amp;($A439+3/24))</f>
        <v/>
      </c>
      <c r="H439" s="20">
        <f>COUNTIFS(tData[SEHTrajectPeriodeDatumTijdVan],"&lt;="&amp;($A439+4/24),tData[SEHTrajectPeriodeDatumTijdTotEnMet],"&gt;"&amp;($A439+4/24))</f>
        <v/>
      </c>
      <c r="I439" s="20">
        <f>COUNTIFS(tData[SEHTrajectPeriodeDatumTijdVan],"&lt;="&amp;($A439+5/24),tData[SEHTrajectPeriodeDatumTijdTotEnMet],"&gt;"&amp;($A439+5/24))</f>
        <v/>
      </c>
      <c r="J439" s="20">
        <f>COUNTIFS(tData[SEHTrajectPeriodeDatumTijdVan],"&lt;="&amp;($A439+6/24),tData[SEHTrajectPeriodeDatumTijdTotEnMet],"&gt;"&amp;($A439+6/24))</f>
        <v/>
      </c>
      <c r="K439" s="20">
        <f>COUNTIFS(tData[SEHTrajectPeriodeDatumTijdVan],"&lt;="&amp;($A439+7/24),tData[SEHTrajectPeriodeDatumTijdTotEnMet],"&gt;"&amp;($A439+7/24))</f>
        <v/>
      </c>
      <c r="L439" s="20">
        <f>COUNTIFS(tData[SEHTrajectPeriodeDatumTijdVan],"&lt;="&amp;($A439+8/24),tData[SEHTrajectPeriodeDatumTijdTotEnMet],"&gt;"&amp;($A439+8/24))</f>
        <v/>
      </c>
      <c r="M439" s="20">
        <f>COUNTIFS(tData[SEHTrajectPeriodeDatumTijdVan],"&lt;="&amp;($A439+9/24),tData[SEHTrajectPeriodeDatumTijdTotEnMet],"&gt;"&amp;($A439+9/24))</f>
        <v/>
      </c>
      <c r="N439" s="20">
        <f>COUNTIFS(tData[SEHTrajectPeriodeDatumTijdVan],"&lt;="&amp;($A439+10/24),tData[SEHTrajectPeriodeDatumTijdTotEnMet],"&gt;"&amp;($A439+10/24))</f>
        <v/>
      </c>
      <c r="O439" s="20">
        <f>COUNTIFS(tData[SEHTrajectPeriodeDatumTijdVan],"&lt;="&amp;($A439+11/24),tData[SEHTrajectPeriodeDatumTijdTotEnMet],"&gt;"&amp;($A439+11/24))</f>
        <v/>
      </c>
      <c r="P439" s="20">
        <f>COUNTIFS(tData[SEHTrajectPeriodeDatumTijdVan],"&lt;="&amp;($A439+12/24),tData[SEHTrajectPeriodeDatumTijdTotEnMet],"&gt;"&amp;($A439+12/24))</f>
        <v/>
      </c>
      <c r="Q439" s="20">
        <f>COUNTIFS(tData[SEHTrajectPeriodeDatumTijdVan],"&lt;="&amp;($A439+13/24),tData[SEHTrajectPeriodeDatumTijdTotEnMet],"&gt;"&amp;($A439+13/24))</f>
        <v/>
      </c>
      <c r="R439" s="20">
        <f>COUNTIFS(tData[SEHTrajectPeriodeDatumTijdVan],"&lt;="&amp;($A439+14/24),tData[SEHTrajectPeriodeDatumTijdTotEnMet],"&gt;"&amp;($A439+14/24))</f>
        <v/>
      </c>
      <c r="S439" s="20">
        <f>COUNTIFS(tData[SEHTrajectPeriodeDatumTijdVan],"&lt;="&amp;($A439+15/24),tData[SEHTrajectPeriodeDatumTijdTotEnMet],"&gt;"&amp;($A439+15/24))</f>
        <v/>
      </c>
      <c r="T439" s="20">
        <f>COUNTIFS(tData[SEHTrajectPeriodeDatumTijdVan],"&lt;="&amp;($A439+16/24),tData[SEHTrajectPeriodeDatumTijdTotEnMet],"&gt;"&amp;($A439+16/24))</f>
        <v/>
      </c>
      <c r="U439" s="20">
        <f>COUNTIFS(tData[SEHTrajectPeriodeDatumTijdVan],"&lt;="&amp;($A439+17/24),tData[SEHTrajectPeriodeDatumTijdTotEnMet],"&gt;"&amp;($A439+17/24))</f>
        <v/>
      </c>
      <c r="V439" s="20">
        <f>COUNTIFS(tData[SEHTrajectPeriodeDatumTijdVan],"&lt;="&amp;($A439+18/24),tData[SEHTrajectPeriodeDatumTijdTotEnMet],"&gt;"&amp;($A439+18/24))</f>
        <v/>
      </c>
      <c r="W439" s="20">
        <f>COUNTIFS(tData[SEHTrajectPeriodeDatumTijdVan],"&lt;="&amp;($A439+19/24),tData[SEHTrajectPeriodeDatumTijdTotEnMet],"&gt;"&amp;($A439+19/24))</f>
        <v/>
      </c>
      <c r="X439" s="20">
        <f>COUNTIFS(tData[SEHTrajectPeriodeDatumTijdVan],"&lt;="&amp;($A439+20/24),tData[SEHTrajectPeriodeDatumTijdTotEnMet],"&gt;"&amp;($A439+20/24))</f>
        <v/>
      </c>
      <c r="Y439" s="20">
        <f>COUNTIFS(tData[SEHTrajectPeriodeDatumTijdVan],"&lt;="&amp;($A439+21/24),tData[SEHTrajectPeriodeDatumTijdTotEnMet],"&gt;"&amp;($A439+21/24))</f>
        <v/>
      </c>
      <c r="Z439" s="20">
        <f>COUNTIFS(tData[SEHTrajectPeriodeDatumTijdVan],"&lt;="&amp;($A439+22/24),tData[SEHTrajectPeriodeDatumTijdTotEnMet],"&gt;"&amp;($A439+22/24))</f>
        <v/>
      </c>
      <c r="AA439" s="20">
        <f>COUNTIFS(tData[SEHTrajectPeriodeDatumTijdVan],"&lt;="&amp;($A439+23/24),tData[SEHTrajectPeriodeDatumTijdTotEnMet],"&gt;"&amp;($A439+23/24))</f>
        <v/>
      </c>
    </row>
    <row r="440">
      <c r="A440" s="19" t="n">
        <v>45728</v>
      </c>
      <c r="B440" s="15">
        <f>WEEKDAY($A440,2)</f>
        <v/>
      </c>
      <c r="C440" s="15">
        <f>IF(AND($A440&gt;=INT(Instellingen!$B$5),$A440&lt;=INT(Instellingen!$B$6)),1,0)</f>
        <v/>
      </c>
      <c r="D440" s="20">
        <f>COUNTIFS(tData[SEHTrajectPeriodeDatumTijdVan],"&lt;="&amp;($A440+0/24),tData[SEHTrajectPeriodeDatumTijdTotEnMet],"&gt;"&amp;($A440+0/24))</f>
        <v/>
      </c>
      <c r="E440" s="20">
        <f>COUNTIFS(tData[SEHTrajectPeriodeDatumTijdVan],"&lt;="&amp;($A440+1/24),tData[SEHTrajectPeriodeDatumTijdTotEnMet],"&gt;"&amp;($A440+1/24))</f>
        <v/>
      </c>
      <c r="F440" s="20">
        <f>COUNTIFS(tData[SEHTrajectPeriodeDatumTijdVan],"&lt;="&amp;($A440+2/24),tData[SEHTrajectPeriodeDatumTijdTotEnMet],"&gt;"&amp;($A440+2/24))</f>
        <v/>
      </c>
      <c r="G440" s="20">
        <f>COUNTIFS(tData[SEHTrajectPeriodeDatumTijdVan],"&lt;="&amp;($A440+3/24),tData[SEHTrajectPeriodeDatumTijdTotEnMet],"&gt;"&amp;($A440+3/24))</f>
        <v/>
      </c>
      <c r="H440" s="20">
        <f>COUNTIFS(tData[SEHTrajectPeriodeDatumTijdVan],"&lt;="&amp;($A440+4/24),tData[SEHTrajectPeriodeDatumTijdTotEnMet],"&gt;"&amp;($A440+4/24))</f>
        <v/>
      </c>
      <c r="I440" s="20">
        <f>COUNTIFS(tData[SEHTrajectPeriodeDatumTijdVan],"&lt;="&amp;($A440+5/24),tData[SEHTrajectPeriodeDatumTijdTotEnMet],"&gt;"&amp;($A440+5/24))</f>
        <v/>
      </c>
      <c r="J440" s="20">
        <f>COUNTIFS(tData[SEHTrajectPeriodeDatumTijdVan],"&lt;="&amp;($A440+6/24),tData[SEHTrajectPeriodeDatumTijdTotEnMet],"&gt;"&amp;($A440+6/24))</f>
        <v/>
      </c>
      <c r="K440" s="20">
        <f>COUNTIFS(tData[SEHTrajectPeriodeDatumTijdVan],"&lt;="&amp;($A440+7/24),tData[SEHTrajectPeriodeDatumTijdTotEnMet],"&gt;"&amp;($A440+7/24))</f>
        <v/>
      </c>
      <c r="L440" s="20">
        <f>COUNTIFS(tData[SEHTrajectPeriodeDatumTijdVan],"&lt;="&amp;($A440+8/24),tData[SEHTrajectPeriodeDatumTijdTotEnMet],"&gt;"&amp;($A440+8/24))</f>
        <v/>
      </c>
      <c r="M440" s="20">
        <f>COUNTIFS(tData[SEHTrajectPeriodeDatumTijdVan],"&lt;="&amp;($A440+9/24),tData[SEHTrajectPeriodeDatumTijdTotEnMet],"&gt;"&amp;($A440+9/24))</f>
        <v/>
      </c>
      <c r="N440" s="20">
        <f>COUNTIFS(tData[SEHTrajectPeriodeDatumTijdVan],"&lt;="&amp;($A440+10/24),tData[SEHTrajectPeriodeDatumTijdTotEnMet],"&gt;"&amp;($A440+10/24))</f>
        <v/>
      </c>
      <c r="O440" s="20">
        <f>COUNTIFS(tData[SEHTrajectPeriodeDatumTijdVan],"&lt;="&amp;($A440+11/24),tData[SEHTrajectPeriodeDatumTijdTotEnMet],"&gt;"&amp;($A440+11/24))</f>
        <v/>
      </c>
      <c r="P440" s="20">
        <f>COUNTIFS(tData[SEHTrajectPeriodeDatumTijdVan],"&lt;="&amp;($A440+12/24),tData[SEHTrajectPeriodeDatumTijdTotEnMet],"&gt;"&amp;($A440+12/24))</f>
        <v/>
      </c>
      <c r="Q440" s="20">
        <f>COUNTIFS(tData[SEHTrajectPeriodeDatumTijdVan],"&lt;="&amp;($A440+13/24),tData[SEHTrajectPeriodeDatumTijdTotEnMet],"&gt;"&amp;($A440+13/24))</f>
        <v/>
      </c>
      <c r="R440" s="20">
        <f>COUNTIFS(tData[SEHTrajectPeriodeDatumTijdVan],"&lt;="&amp;($A440+14/24),tData[SEHTrajectPeriodeDatumTijdTotEnMet],"&gt;"&amp;($A440+14/24))</f>
        <v/>
      </c>
      <c r="S440" s="20">
        <f>COUNTIFS(tData[SEHTrajectPeriodeDatumTijdVan],"&lt;="&amp;($A440+15/24),tData[SEHTrajectPeriodeDatumTijdTotEnMet],"&gt;"&amp;($A440+15/24))</f>
        <v/>
      </c>
      <c r="T440" s="20">
        <f>COUNTIFS(tData[SEHTrajectPeriodeDatumTijdVan],"&lt;="&amp;($A440+16/24),tData[SEHTrajectPeriodeDatumTijdTotEnMet],"&gt;"&amp;($A440+16/24))</f>
        <v/>
      </c>
      <c r="U440" s="20">
        <f>COUNTIFS(tData[SEHTrajectPeriodeDatumTijdVan],"&lt;="&amp;($A440+17/24),tData[SEHTrajectPeriodeDatumTijdTotEnMet],"&gt;"&amp;($A440+17/24))</f>
        <v/>
      </c>
      <c r="V440" s="20">
        <f>COUNTIFS(tData[SEHTrajectPeriodeDatumTijdVan],"&lt;="&amp;($A440+18/24),tData[SEHTrajectPeriodeDatumTijdTotEnMet],"&gt;"&amp;($A440+18/24))</f>
        <v/>
      </c>
      <c r="W440" s="20">
        <f>COUNTIFS(tData[SEHTrajectPeriodeDatumTijdVan],"&lt;="&amp;($A440+19/24),tData[SEHTrajectPeriodeDatumTijdTotEnMet],"&gt;"&amp;($A440+19/24))</f>
        <v/>
      </c>
      <c r="X440" s="20">
        <f>COUNTIFS(tData[SEHTrajectPeriodeDatumTijdVan],"&lt;="&amp;($A440+20/24),tData[SEHTrajectPeriodeDatumTijdTotEnMet],"&gt;"&amp;($A440+20/24))</f>
        <v/>
      </c>
      <c r="Y440" s="20">
        <f>COUNTIFS(tData[SEHTrajectPeriodeDatumTijdVan],"&lt;="&amp;($A440+21/24),tData[SEHTrajectPeriodeDatumTijdTotEnMet],"&gt;"&amp;($A440+21/24))</f>
        <v/>
      </c>
      <c r="Z440" s="20">
        <f>COUNTIFS(tData[SEHTrajectPeriodeDatumTijdVan],"&lt;="&amp;($A440+22/24),tData[SEHTrajectPeriodeDatumTijdTotEnMet],"&gt;"&amp;($A440+22/24))</f>
        <v/>
      </c>
      <c r="AA440" s="20">
        <f>COUNTIFS(tData[SEHTrajectPeriodeDatumTijdVan],"&lt;="&amp;($A440+23/24),tData[SEHTrajectPeriodeDatumTijdTotEnMet],"&gt;"&amp;($A440+23/24))</f>
        <v/>
      </c>
    </row>
    <row r="441">
      <c r="A441" s="19" t="n">
        <v>45729</v>
      </c>
      <c r="B441" s="15">
        <f>WEEKDAY($A441,2)</f>
        <v/>
      </c>
      <c r="C441" s="15">
        <f>IF(AND($A441&gt;=INT(Instellingen!$B$5),$A441&lt;=INT(Instellingen!$B$6)),1,0)</f>
        <v/>
      </c>
      <c r="D441" s="20">
        <f>COUNTIFS(tData[SEHTrajectPeriodeDatumTijdVan],"&lt;="&amp;($A441+0/24),tData[SEHTrajectPeriodeDatumTijdTotEnMet],"&gt;"&amp;($A441+0/24))</f>
        <v/>
      </c>
      <c r="E441" s="20">
        <f>COUNTIFS(tData[SEHTrajectPeriodeDatumTijdVan],"&lt;="&amp;($A441+1/24),tData[SEHTrajectPeriodeDatumTijdTotEnMet],"&gt;"&amp;($A441+1/24))</f>
        <v/>
      </c>
      <c r="F441" s="20">
        <f>COUNTIFS(tData[SEHTrajectPeriodeDatumTijdVan],"&lt;="&amp;($A441+2/24),tData[SEHTrajectPeriodeDatumTijdTotEnMet],"&gt;"&amp;($A441+2/24))</f>
        <v/>
      </c>
      <c r="G441" s="20">
        <f>COUNTIFS(tData[SEHTrajectPeriodeDatumTijdVan],"&lt;="&amp;($A441+3/24),tData[SEHTrajectPeriodeDatumTijdTotEnMet],"&gt;"&amp;($A441+3/24))</f>
        <v/>
      </c>
      <c r="H441" s="20">
        <f>COUNTIFS(tData[SEHTrajectPeriodeDatumTijdVan],"&lt;="&amp;($A441+4/24),tData[SEHTrajectPeriodeDatumTijdTotEnMet],"&gt;"&amp;($A441+4/24))</f>
        <v/>
      </c>
      <c r="I441" s="20">
        <f>COUNTIFS(tData[SEHTrajectPeriodeDatumTijdVan],"&lt;="&amp;($A441+5/24),tData[SEHTrajectPeriodeDatumTijdTotEnMet],"&gt;"&amp;($A441+5/24))</f>
        <v/>
      </c>
      <c r="J441" s="20">
        <f>COUNTIFS(tData[SEHTrajectPeriodeDatumTijdVan],"&lt;="&amp;($A441+6/24),tData[SEHTrajectPeriodeDatumTijdTotEnMet],"&gt;"&amp;($A441+6/24))</f>
        <v/>
      </c>
      <c r="K441" s="20">
        <f>COUNTIFS(tData[SEHTrajectPeriodeDatumTijdVan],"&lt;="&amp;($A441+7/24),tData[SEHTrajectPeriodeDatumTijdTotEnMet],"&gt;"&amp;($A441+7/24))</f>
        <v/>
      </c>
      <c r="L441" s="20">
        <f>COUNTIFS(tData[SEHTrajectPeriodeDatumTijdVan],"&lt;="&amp;($A441+8/24),tData[SEHTrajectPeriodeDatumTijdTotEnMet],"&gt;"&amp;($A441+8/24))</f>
        <v/>
      </c>
      <c r="M441" s="20">
        <f>COUNTIFS(tData[SEHTrajectPeriodeDatumTijdVan],"&lt;="&amp;($A441+9/24),tData[SEHTrajectPeriodeDatumTijdTotEnMet],"&gt;"&amp;($A441+9/24))</f>
        <v/>
      </c>
      <c r="N441" s="20">
        <f>COUNTIFS(tData[SEHTrajectPeriodeDatumTijdVan],"&lt;="&amp;($A441+10/24),tData[SEHTrajectPeriodeDatumTijdTotEnMet],"&gt;"&amp;($A441+10/24))</f>
        <v/>
      </c>
      <c r="O441" s="20">
        <f>COUNTIFS(tData[SEHTrajectPeriodeDatumTijdVan],"&lt;="&amp;($A441+11/24),tData[SEHTrajectPeriodeDatumTijdTotEnMet],"&gt;"&amp;($A441+11/24))</f>
        <v/>
      </c>
      <c r="P441" s="20">
        <f>COUNTIFS(tData[SEHTrajectPeriodeDatumTijdVan],"&lt;="&amp;($A441+12/24),tData[SEHTrajectPeriodeDatumTijdTotEnMet],"&gt;"&amp;($A441+12/24))</f>
        <v/>
      </c>
      <c r="Q441" s="20">
        <f>COUNTIFS(tData[SEHTrajectPeriodeDatumTijdVan],"&lt;="&amp;($A441+13/24),tData[SEHTrajectPeriodeDatumTijdTotEnMet],"&gt;"&amp;($A441+13/24))</f>
        <v/>
      </c>
      <c r="R441" s="20">
        <f>COUNTIFS(tData[SEHTrajectPeriodeDatumTijdVan],"&lt;="&amp;($A441+14/24),tData[SEHTrajectPeriodeDatumTijdTotEnMet],"&gt;"&amp;($A441+14/24))</f>
        <v/>
      </c>
      <c r="S441" s="20">
        <f>COUNTIFS(tData[SEHTrajectPeriodeDatumTijdVan],"&lt;="&amp;($A441+15/24),tData[SEHTrajectPeriodeDatumTijdTotEnMet],"&gt;"&amp;($A441+15/24))</f>
        <v/>
      </c>
      <c r="T441" s="20">
        <f>COUNTIFS(tData[SEHTrajectPeriodeDatumTijdVan],"&lt;="&amp;($A441+16/24),tData[SEHTrajectPeriodeDatumTijdTotEnMet],"&gt;"&amp;($A441+16/24))</f>
        <v/>
      </c>
      <c r="U441" s="20">
        <f>COUNTIFS(tData[SEHTrajectPeriodeDatumTijdVan],"&lt;="&amp;($A441+17/24),tData[SEHTrajectPeriodeDatumTijdTotEnMet],"&gt;"&amp;($A441+17/24))</f>
        <v/>
      </c>
      <c r="V441" s="20">
        <f>COUNTIFS(tData[SEHTrajectPeriodeDatumTijdVan],"&lt;="&amp;($A441+18/24),tData[SEHTrajectPeriodeDatumTijdTotEnMet],"&gt;"&amp;($A441+18/24))</f>
        <v/>
      </c>
      <c r="W441" s="20">
        <f>COUNTIFS(tData[SEHTrajectPeriodeDatumTijdVan],"&lt;="&amp;($A441+19/24),tData[SEHTrajectPeriodeDatumTijdTotEnMet],"&gt;"&amp;($A441+19/24))</f>
        <v/>
      </c>
      <c r="X441" s="20">
        <f>COUNTIFS(tData[SEHTrajectPeriodeDatumTijdVan],"&lt;="&amp;($A441+20/24),tData[SEHTrajectPeriodeDatumTijdTotEnMet],"&gt;"&amp;($A441+20/24))</f>
        <v/>
      </c>
      <c r="Y441" s="20">
        <f>COUNTIFS(tData[SEHTrajectPeriodeDatumTijdVan],"&lt;="&amp;($A441+21/24),tData[SEHTrajectPeriodeDatumTijdTotEnMet],"&gt;"&amp;($A441+21/24))</f>
        <v/>
      </c>
      <c r="Z441" s="20">
        <f>COUNTIFS(tData[SEHTrajectPeriodeDatumTijdVan],"&lt;="&amp;($A441+22/24),tData[SEHTrajectPeriodeDatumTijdTotEnMet],"&gt;"&amp;($A441+22/24))</f>
        <v/>
      </c>
      <c r="AA441" s="20">
        <f>COUNTIFS(tData[SEHTrajectPeriodeDatumTijdVan],"&lt;="&amp;($A441+23/24),tData[SEHTrajectPeriodeDatumTijdTotEnMet],"&gt;"&amp;($A441+23/24))</f>
        <v/>
      </c>
    </row>
    <row r="442">
      <c r="A442" s="19" t="n">
        <v>45730</v>
      </c>
      <c r="B442" s="15">
        <f>WEEKDAY($A442,2)</f>
        <v/>
      </c>
      <c r="C442" s="15">
        <f>IF(AND($A442&gt;=INT(Instellingen!$B$5),$A442&lt;=INT(Instellingen!$B$6)),1,0)</f>
        <v/>
      </c>
      <c r="D442" s="20">
        <f>COUNTIFS(tData[SEHTrajectPeriodeDatumTijdVan],"&lt;="&amp;($A442+0/24),tData[SEHTrajectPeriodeDatumTijdTotEnMet],"&gt;"&amp;($A442+0/24))</f>
        <v/>
      </c>
      <c r="E442" s="20">
        <f>COUNTIFS(tData[SEHTrajectPeriodeDatumTijdVan],"&lt;="&amp;($A442+1/24),tData[SEHTrajectPeriodeDatumTijdTotEnMet],"&gt;"&amp;($A442+1/24))</f>
        <v/>
      </c>
      <c r="F442" s="20">
        <f>COUNTIFS(tData[SEHTrajectPeriodeDatumTijdVan],"&lt;="&amp;($A442+2/24),tData[SEHTrajectPeriodeDatumTijdTotEnMet],"&gt;"&amp;($A442+2/24))</f>
        <v/>
      </c>
      <c r="G442" s="20">
        <f>COUNTIFS(tData[SEHTrajectPeriodeDatumTijdVan],"&lt;="&amp;($A442+3/24),tData[SEHTrajectPeriodeDatumTijdTotEnMet],"&gt;"&amp;($A442+3/24))</f>
        <v/>
      </c>
      <c r="H442" s="20">
        <f>COUNTIFS(tData[SEHTrajectPeriodeDatumTijdVan],"&lt;="&amp;($A442+4/24),tData[SEHTrajectPeriodeDatumTijdTotEnMet],"&gt;"&amp;($A442+4/24))</f>
        <v/>
      </c>
      <c r="I442" s="20">
        <f>COUNTIFS(tData[SEHTrajectPeriodeDatumTijdVan],"&lt;="&amp;($A442+5/24),tData[SEHTrajectPeriodeDatumTijdTotEnMet],"&gt;"&amp;($A442+5/24))</f>
        <v/>
      </c>
      <c r="J442" s="20">
        <f>COUNTIFS(tData[SEHTrajectPeriodeDatumTijdVan],"&lt;="&amp;($A442+6/24),tData[SEHTrajectPeriodeDatumTijdTotEnMet],"&gt;"&amp;($A442+6/24))</f>
        <v/>
      </c>
      <c r="K442" s="20">
        <f>COUNTIFS(tData[SEHTrajectPeriodeDatumTijdVan],"&lt;="&amp;($A442+7/24),tData[SEHTrajectPeriodeDatumTijdTotEnMet],"&gt;"&amp;($A442+7/24))</f>
        <v/>
      </c>
      <c r="L442" s="20">
        <f>COUNTIFS(tData[SEHTrajectPeriodeDatumTijdVan],"&lt;="&amp;($A442+8/24),tData[SEHTrajectPeriodeDatumTijdTotEnMet],"&gt;"&amp;($A442+8/24))</f>
        <v/>
      </c>
      <c r="M442" s="20">
        <f>COUNTIFS(tData[SEHTrajectPeriodeDatumTijdVan],"&lt;="&amp;($A442+9/24),tData[SEHTrajectPeriodeDatumTijdTotEnMet],"&gt;"&amp;($A442+9/24))</f>
        <v/>
      </c>
      <c r="N442" s="20">
        <f>COUNTIFS(tData[SEHTrajectPeriodeDatumTijdVan],"&lt;="&amp;($A442+10/24),tData[SEHTrajectPeriodeDatumTijdTotEnMet],"&gt;"&amp;($A442+10/24))</f>
        <v/>
      </c>
      <c r="O442" s="20">
        <f>COUNTIFS(tData[SEHTrajectPeriodeDatumTijdVan],"&lt;="&amp;($A442+11/24),tData[SEHTrajectPeriodeDatumTijdTotEnMet],"&gt;"&amp;($A442+11/24))</f>
        <v/>
      </c>
      <c r="P442" s="20">
        <f>COUNTIFS(tData[SEHTrajectPeriodeDatumTijdVan],"&lt;="&amp;($A442+12/24),tData[SEHTrajectPeriodeDatumTijdTotEnMet],"&gt;"&amp;($A442+12/24))</f>
        <v/>
      </c>
      <c r="Q442" s="20">
        <f>COUNTIFS(tData[SEHTrajectPeriodeDatumTijdVan],"&lt;="&amp;($A442+13/24),tData[SEHTrajectPeriodeDatumTijdTotEnMet],"&gt;"&amp;($A442+13/24))</f>
        <v/>
      </c>
      <c r="R442" s="20">
        <f>COUNTIFS(tData[SEHTrajectPeriodeDatumTijdVan],"&lt;="&amp;($A442+14/24),tData[SEHTrajectPeriodeDatumTijdTotEnMet],"&gt;"&amp;($A442+14/24))</f>
        <v/>
      </c>
      <c r="S442" s="20">
        <f>COUNTIFS(tData[SEHTrajectPeriodeDatumTijdVan],"&lt;="&amp;($A442+15/24),tData[SEHTrajectPeriodeDatumTijdTotEnMet],"&gt;"&amp;($A442+15/24))</f>
        <v/>
      </c>
      <c r="T442" s="20">
        <f>COUNTIFS(tData[SEHTrajectPeriodeDatumTijdVan],"&lt;="&amp;($A442+16/24),tData[SEHTrajectPeriodeDatumTijdTotEnMet],"&gt;"&amp;($A442+16/24))</f>
        <v/>
      </c>
      <c r="U442" s="20">
        <f>COUNTIFS(tData[SEHTrajectPeriodeDatumTijdVan],"&lt;="&amp;($A442+17/24),tData[SEHTrajectPeriodeDatumTijdTotEnMet],"&gt;"&amp;($A442+17/24))</f>
        <v/>
      </c>
      <c r="V442" s="20">
        <f>COUNTIFS(tData[SEHTrajectPeriodeDatumTijdVan],"&lt;="&amp;($A442+18/24),tData[SEHTrajectPeriodeDatumTijdTotEnMet],"&gt;"&amp;($A442+18/24))</f>
        <v/>
      </c>
      <c r="W442" s="20">
        <f>COUNTIFS(tData[SEHTrajectPeriodeDatumTijdVan],"&lt;="&amp;($A442+19/24),tData[SEHTrajectPeriodeDatumTijdTotEnMet],"&gt;"&amp;($A442+19/24))</f>
        <v/>
      </c>
      <c r="X442" s="20">
        <f>COUNTIFS(tData[SEHTrajectPeriodeDatumTijdVan],"&lt;="&amp;($A442+20/24),tData[SEHTrajectPeriodeDatumTijdTotEnMet],"&gt;"&amp;($A442+20/24))</f>
        <v/>
      </c>
      <c r="Y442" s="20">
        <f>COUNTIFS(tData[SEHTrajectPeriodeDatumTijdVan],"&lt;="&amp;($A442+21/24),tData[SEHTrajectPeriodeDatumTijdTotEnMet],"&gt;"&amp;($A442+21/24))</f>
        <v/>
      </c>
      <c r="Z442" s="20">
        <f>COUNTIFS(tData[SEHTrajectPeriodeDatumTijdVan],"&lt;="&amp;($A442+22/24),tData[SEHTrajectPeriodeDatumTijdTotEnMet],"&gt;"&amp;($A442+22/24))</f>
        <v/>
      </c>
      <c r="AA442" s="20">
        <f>COUNTIFS(tData[SEHTrajectPeriodeDatumTijdVan],"&lt;="&amp;($A442+23/24),tData[SEHTrajectPeriodeDatumTijdTotEnMet],"&gt;"&amp;($A442+23/24))</f>
        <v/>
      </c>
    </row>
    <row r="443">
      <c r="A443" s="19" t="n">
        <v>45731</v>
      </c>
      <c r="B443" s="15">
        <f>WEEKDAY($A443,2)</f>
        <v/>
      </c>
      <c r="C443" s="15">
        <f>IF(AND($A443&gt;=INT(Instellingen!$B$5),$A443&lt;=INT(Instellingen!$B$6)),1,0)</f>
        <v/>
      </c>
      <c r="D443" s="20">
        <f>COUNTIFS(tData[SEHTrajectPeriodeDatumTijdVan],"&lt;="&amp;($A443+0/24),tData[SEHTrajectPeriodeDatumTijdTotEnMet],"&gt;"&amp;($A443+0/24))</f>
        <v/>
      </c>
      <c r="E443" s="20">
        <f>COUNTIFS(tData[SEHTrajectPeriodeDatumTijdVan],"&lt;="&amp;($A443+1/24),tData[SEHTrajectPeriodeDatumTijdTotEnMet],"&gt;"&amp;($A443+1/24))</f>
        <v/>
      </c>
      <c r="F443" s="20">
        <f>COUNTIFS(tData[SEHTrajectPeriodeDatumTijdVan],"&lt;="&amp;($A443+2/24),tData[SEHTrajectPeriodeDatumTijdTotEnMet],"&gt;"&amp;($A443+2/24))</f>
        <v/>
      </c>
      <c r="G443" s="20">
        <f>COUNTIFS(tData[SEHTrajectPeriodeDatumTijdVan],"&lt;="&amp;($A443+3/24),tData[SEHTrajectPeriodeDatumTijdTotEnMet],"&gt;"&amp;($A443+3/24))</f>
        <v/>
      </c>
      <c r="H443" s="20">
        <f>COUNTIFS(tData[SEHTrajectPeriodeDatumTijdVan],"&lt;="&amp;($A443+4/24),tData[SEHTrajectPeriodeDatumTijdTotEnMet],"&gt;"&amp;($A443+4/24))</f>
        <v/>
      </c>
      <c r="I443" s="20">
        <f>COUNTIFS(tData[SEHTrajectPeriodeDatumTijdVan],"&lt;="&amp;($A443+5/24),tData[SEHTrajectPeriodeDatumTijdTotEnMet],"&gt;"&amp;($A443+5/24))</f>
        <v/>
      </c>
      <c r="J443" s="20">
        <f>COUNTIFS(tData[SEHTrajectPeriodeDatumTijdVan],"&lt;="&amp;($A443+6/24),tData[SEHTrajectPeriodeDatumTijdTotEnMet],"&gt;"&amp;($A443+6/24))</f>
        <v/>
      </c>
      <c r="K443" s="20">
        <f>COUNTIFS(tData[SEHTrajectPeriodeDatumTijdVan],"&lt;="&amp;($A443+7/24),tData[SEHTrajectPeriodeDatumTijdTotEnMet],"&gt;"&amp;($A443+7/24))</f>
        <v/>
      </c>
      <c r="L443" s="20">
        <f>COUNTIFS(tData[SEHTrajectPeriodeDatumTijdVan],"&lt;="&amp;($A443+8/24),tData[SEHTrajectPeriodeDatumTijdTotEnMet],"&gt;"&amp;($A443+8/24))</f>
        <v/>
      </c>
      <c r="M443" s="20">
        <f>COUNTIFS(tData[SEHTrajectPeriodeDatumTijdVan],"&lt;="&amp;($A443+9/24),tData[SEHTrajectPeriodeDatumTijdTotEnMet],"&gt;"&amp;($A443+9/24))</f>
        <v/>
      </c>
      <c r="N443" s="20">
        <f>COUNTIFS(tData[SEHTrajectPeriodeDatumTijdVan],"&lt;="&amp;($A443+10/24),tData[SEHTrajectPeriodeDatumTijdTotEnMet],"&gt;"&amp;($A443+10/24))</f>
        <v/>
      </c>
      <c r="O443" s="20">
        <f>COUNTIFS(tData[SEHTrajectPeriodeDatumTijdVan],"&lt;="&amp;($A443+11/24),tData[SEHTrajectPeriodeDatumTijdTotEnMet],"&gt;"&amp;($A443+11/24))</f>
        <v/>
      </c>
      <c r="P443" s="20">
        <f>COUNTIFS(tData[SEHTrajectPeriodeDatumTijdVan],"&lt;="&amp;($A443+12/24),tData[SEHTrajectPeriodeDatumTijdTotEnMet],"&gt;"&amp;($A443+12/24))</f>
        <v/>
      </c>
      <c r="Q443" s="20">
        <f>COUNTIFS(tData[SEHTrajectPeriodeDatumTijdVan],"&lt;="&amp;($A443+13/24),tData[SEHTrajectPeriodeDatumTijdTotEnMet],"&gt;"&amp;($A443+13/24))</f>
        <v/>
      </c>
      <c r="R443" s="20">
        <f>COUNTIFS(tData[SEHTrajectPeriodeDatumTijdVan],"&lt;="&amp;($A443+14/24),tData[SEHTrajectPeriodeDatumTijdTotEnMet],"&gt;"&amp;($A443+14/24))</f>
        <v/>
      </c>
      <c r="S443" s="20">
        <f>COUNTIFS(tData[SEHTrajectPeriodeDatumTijdVan],"&lt;="&amp;($A443+15/24),tData[SEHTrajectPeriodeDatumTijdTotEnMet],"&gt;"&amp;($A443+15/24))</f>
        <v/>
      </c>
      <c r="T443" s="20">
        <f>COUNTIFS(tData[SEHTrajectPeriodeDatumTijdVan],"&lt;="&amp;($A443+16/24),tData[SEHTrajectPeriodeDatumTijdTotEnMet],"&gt;"&amp;($A443+16/24))</f>
        <v/>
      </c>
      <c r="U443" s="20">
        <f>COUNTIFS(tData[SEHTrajectPeriodeDatumTijdVan],"&lt;="&amp;($A443+17/24),tData[SEHTrajectPeriodeDatumTijdTotEnMet],"&gt;"&amp;($A443+17/24))</f>
        <v/>
      </c>
      <c r="V443" s="20">
        <f>COUNTIFS(tData[SEHTrajectPeriodeDatumTijdVan],"&lt;="&amp;($A443+18/24),tData[SEHTrajectPeriodeDatumTijdTotEnMet],"&gt;"&amp;($A443+18/24))</f>
        <v/>
      </c>
      <c r="W443" s="20">
        <f>COUNTIFS(tData[SEHTrajectPeriodeDatumTijdVan],"&lt;="&amp;($A443+19/24),tData[SEHTrajectPeriodeDatumTijdTotEnMet],"&gt;"&amp;($A443+19/24))</f>
        <v/>
      </c>
      <c r="X443" s="20">
        <f>COUNTIFS(tData[SEHTrajectPeriodeDatumTijdVan],"&lt;="&amp;($A443+20/24),tData[SEHTrajectPeriodeDatumTijdTotEnMet],"&gt;"&amp;($A443+20/24))</f>
        <v/>
      </c>
      <c r="Y443" s="20">
        <f>COUNTIFS(tData[SEHTrajectPeriodeDatumTijdVan],"&lt;="&amp;($A443+21/24),tData[SEHTrajectPeriodeDatumTijdTotEnMet],"&gt;"&amp;($A443+21/24))</f>
        <v/>
      </c>
      <c r="Z443" s="20">
        <f>COUNTIFS(tData[SEHTrajectPeriodeDatumTijdVan],"&lt;="&amp;($A443+22/24),tData[SEHTrajectPeriodeDatumTijdTotEnMet],"&gt;"&amp;($A443+22/24))</f>
        <v/>
      </c>
      <c r="AA443" s="20">
        <f>COUNTIFS(tData[SEHTrajectPeriodeDatumTijdVan],"&lt;="&amp;($A443+23/24),tData[SEHTrajectPeriodeDatumTijdTotEnMet],"&gt;"&amp;($A443+23/24))</f>
        <v/>
      </c>
    </row>
    <row r="444">
      <c r="A444" s="19" t="n">
        <v>45732</v>
      </c>
      <c r="B444" s="15">
        <f>WEEKDAY($A444,2)</f>
        <v/>
      </c>
      <c r="C444" s="15">
        <f>IF(AND($A444&gt;=INT(Instellingen!$B$5),$A444&lt;=INT(Instellingen!$B$6)),1,0)</f>
        <v/>
      </c>
      <c r="D444" s="20">
        <f>COUNTIFS(tData[SEHTrajectPeriodeDatumTijdVan],"&lt;="&amp;($A444+0/24),tData[SEHTrajectPeriodeDatumTijdTotEnMet],"&gt;"&amp;($A444+0/24))</f>
        <v/>
      </c>
      <c r="E444" s="20">
        <f>COUNTIFS(tData[SEHTrajectPeriodeDatumTijdVan],"&lt;="&amp;($A444+1/24),tData[SEHTrajectPeriodeDatumTijdTotEnMet],"&gt;"&amp;($A444+1/24))</f>
        <v/>
      </c>
      <c r="F444" s="20">
        <f>COUNTIFS(tData[SEHTrajectPeriodeDatumTijdVan],"&lt;="&amp;($A444+2/24),tData[SEHTrajectPeriodeDatumTijdTotEnMet],"&gt;"&amp;($A444+2/24))</f>
        <v/>
      </c>
      <c r="G444" s="20">
        <f>COUNTIFS(tData[SEHTrajectPeriodeDatumTijdVan],"&lt;="&amp;($A444+3/24),tData[SEHTrajectPeriodeDatumTijdTotEnMet],"&gt;"&amp;($A444+3/24))</f>
        <v/>
      </c>
      <c r="H444" s="20">
        <f>COUNTIFS(tData[SEHTrajectPeriodeDatumTijdVan],"&lt;="&amp;($A444+4/24),tData[SEHTrajectPeriodeDatumTijdTotEnMet],"&gt;"&amp;($A444+4/24))</f>
        <v/>
      </c>
      <c r="I444" s="20">
        <f>COUNTIFS(tData[SEHTrajectPeriodeDatumTijdVan],"&lt;="&amp;($A444+5/24),tData[SEHTrajectPeriodeDatumTijdTotEnMet],"&gt;"&amp;($A444+5/24))</f>
        <v/>
      </c>
      <c r="J444" s="20">
        <f>COUNTIFS(tData[SEHTrajectPeriodeDatumTijdVan],"&lt;="&amp;($A444+6/24),tData[SEHTrajectPeriodeDatumTijdTotEnMet],"&gt;"&amp;($A444+6/24))</f>
        <v/>
      </c>
      <c r="K444" s="20">
        <f>COUNTIFS(tData[SEHTrajectPeriodeDatumTijdVan],"&lt;="&amp;($A444+7/24),tData[SEHTrajectPeriodeDatumTijdTotEnMet],"&gt;"&amp;($A444+7/24))</f>
        <v/>
      </c>
      <c r="L444" s="20">
        <f>COUNTIFS(tData[SEHTrajectPeriodeDatumTijdVan],"&lt;="&amp;($A444+8/24),tData[SEHTrajectPeriodeDatumTijdTotEnMet],"&gt;"&amp;($A444+8/24))</f>
        <v/>
      </c>
      <c r="M444" s="20">
        <f>COUNTIFS(tData[SEHTrajectPeriodeDatumTijdVan],"&lt;="&amp;($A444+9/24),tData[SEHTrajectPeriodeDatumTijdTotEnMet],"&gt;"&amp;($A444+9/24))</f>
        <v/>
      </c>
      <c r="N444" s="20">
        <f>COUNTIFS(tData[SEHTrajectPeriodeDatumTijdVan],"&lt;="&amp;($A444+10/24),tData[SEHTrajectPeriodeDatumTijdTotEnMet],"&gt;"&amp;($A444+10/24))</f>
        <v/>
      </c>
      <c r="O444" s="20">
        <f>COUNTIFS(tData[SEHTrajectPeriodeDatumTijdVan],"&lt;="&amp;($A444+11/24),tData[SEHTrajectPeriodeDatumTijdTotEnMet],"&gt;"&amp;($A444+11/24))</f>
        <v/>
      </c>
      <c r="P444" s="20">
        <f>COUNTIFS(tData[SEHTrajectPeriodeDatumTijdVan],"&lt;="&amp;($A444+12/24),tData[SEHTrajectPeriodeDatumTijdTotEnMet],"&gt;"&amp;($A444+12/24))</f>
        <v/>
      </c>
      <c r="Q444" s="20">
        <f>COUNTIFS(tData[SEHTrajectPeriodeDatumTijdVan],"&lt;="&amp;($A444+13/24),tData[SEHTrajectPeriodeDatumTijdTotEnMet],"&gt;"&amp;($A444+13/24))</f>
        <v/>
      </c>
      <c r="R444" s="20">
        <f>COUNTIFS(tData[SEHTrajectPeriodeDatumTijdVan],"&lt;="&amp;($A444+14/24),tData[SEHTrajectPeriodeDatumTijdTotEnMet],"&gt;"&amp;($A444+14/24))</f>
        <v/>
      </c>
      <c r="S444" s="20">
        <f>COUNTIFS(tData[SEHTrajectPeriodeDatumTijdVan],"&lt;="&amp;($A444+15/24),tData[SEHTrajectPeriodeDatumTijdTotEnMet],"&gt;"&amp;($A444+15/24))</f>
        <v/>
      </c>
      <c r="T444" s="20">
        <f>COUNTIFS(tData[SEHTrajectPeriodeDatumTijdVan],"&lt;="&amp;($A444+16/24),tData[SEHTrajectPeriodeDatumTijdTotEnMet],"&gt;"&amp;($A444+16/24))</f>
        <v/>
      </c>
      <c r="U444" s="20">
        <f>COUNTIFS(tData[SEHTrajectPeriodeDatumTijdVan],"&lt;="&amp;($A444+17/24),tData[SEHTrajectPeriodeDatumTijdTotEnMet],"&gt;"&amp;($A444+17/24))</f>
        <v/>
      </c>
      <c r="V444" s="20">
        <f>COUNTIFS(tData[SEHTrajectPeriodeDatumTijdVan],"&lt;="&amp;($A444+18/24),tData[SEHTrajectPeriodeDatumTijdTotEnMet],"&gt;"&amp;($A444+18/24))</f>
        <v/>
      </c>
      <c r="W444" s="20">
        <f>COUNTIFS(tData[SEHTrajectPeriodeDatumTijdVan],"&lt;="&amp;($A444+19/24),tData[SEHTrajectPeriodeDatumTijdTotEnMet],"&gt;"&amp;($A444+19/24))</f>
        <v/>
      </c>
      <c r="X444" s="20">
        <f>COUNTIFS(tData[SEHTrajectPeriodeDatumTijdVan],"&lt;="&amp;($A444+20/24),tData[SEHTrajectPeriodeDatumTijdTotEnMet],"&gt;"&amp;($A444+20/24))</f>
        <v/>
      </c>
      <c r="Y444" s="20">
        <f>COUNTIFS(tData[SEHTrajectPeriodeDatumTijdVan],"&lt;="&amp;($A444+21/24),tData[SEHTrajectPeriodeDatumTijdTotEnMet],"&gt;"&amp;($A444+21/24))</f>
        <v/>
      </c>
      <c r="Z444" s="20">
        <f>COUNTIFS(tData[SEHTrajectPeriodeDatumTijdVan],"&lt;="&amp;($A444+22/24),tData[SEHTrajectPeriodeDatumTijdTotEnMet],"&gt;"&amp;($A444+22/24))</f>
        <v/>
      </c>
      <c r="AA444" s="20">
        <f>COUNTIFS(tData[SEHTrajectPeriodeDatumTijdVan],"&lt;="&amp;($A444+23/24),tData[SEHTrajectPeriodeDatumTijdTotEnMet],"&gt;"&amp;($A444+23/24))</f>
        <v/>
      </c>
    </row>
    <row r="445">
      <c r="A445" s="19" t="n">
        <v>45733</v>
      </c>
      <c r="B445" s="15">
        <f>WEEKDAY($A445,2)</f>
        <v/>
      </c>
      <c r="C445" s="15">
        <f>IF(AND($A445&gt;=INT(Instellingen!$B$5),$A445&lt;=INT(Instellingen!$B$6)),1,0)</f>
        <v/>
      </c>
      <c r="D445" s="20">
        <f>COUNTIFS(tData[SEHTrajectPeriodeDatumTijdVan],"&lt;="&amp;($A445+0/24),tData[SEHTrajectPeriodeDatumTijdTotEnMet],"&gt;"&amp;($A445+0/24))</f>
        <v/>
      </c>
      <c r="E445" s="20">
        <f>COUNTIFS(tData[SEHTrajectPeriodeDatumTijdVan],"&lt;="&amp;($A445+1/24),tData[SEHTrajectPeriodeDatumTijdTotEnMet],"&gt;"&amp;($A445+1/24))</f>
        <v/>
      </c>
      <c r="F445" s="20">
        <f>COUNTIFS(tData[SEHTrajectPeriodeDatumTijdVan],"&lt;="&amp;($A445+2/24),tData[SEHTrajectPeriodeDatumTijdTotEnMet],"&gt;"&amp;($A445+2/24))</f>
        <v/>
      </c>
      <c r="G445" s="20">
        <f>COUNTIFS(tData[SEHTrajectPeriodeDatumTijdVan],"&lt;="&amp;($A445+3/24),tData[SEHTrajectPeriodeDatumTijdTotEnMet],"&gt;"&amp;($A445+3/24))</f>
        <v/>
      </c>
      <c r="H445" s="20">
        <f>COUNTIFS(tData[SEHTrajectPeriodeDatumTijdVan],"&lt;="&amp;($A445+4/24),tData[SEHTrajectPeriodeDatumTijdTotEnMet],"&gt;"&amp;($A445+4/24))</f>
        <v/>
      </c>
      <c r="I445" s="20">
        <f>COUNTIFS(tData[SEHTrajectPeriodeDatumTijdVan],"&lt;="&amp;($A445+5/24),tData[SEHTrajectPeriodeDatumTijdTotEnMet],"&gt;"&amp;($A445+5/24))</f>
        <v/>
      </c>
      <c r="J445" s="20">
        <f>COUNTIFS(tData[SEHTrajectPeriodeDatumTijdVan],"&lt;="&amp;($A445+6/24),tData[SEHTrajectPeriodeDatumTijdTotEnMet],"&gt;"&amp;($A445+6/24))</f>
        <v/>
      </c>
      <c r="K445" s="20">
        <f>COUNTIFS(tData[SEHTrajectPeriodeDatumTijdVan],"&lt;="&amp;($A445+7/24),tData[SEHTrajectPeriodeDatumTijdTotEnMet],"&gt;"&amp;($A445+7/24))</f>
        <v/>
      </c>
      <c r="L445" s="20">
        <f>COUNTIFS(tData[SEHTrajectPeriodeDatumTijdVan],"&lt;="&amp;($A445+8/24),tData[SEHTrajectPeriodeDatumTijdTotEnMet],"&gt;"&amp;($A445+8/24))</f>
        <v/>
      </c>
      <c r="M445" s="20">
        <f>COUNTIFS(tData[SEHTrajectPeriodeDatumTijdVan],"&lt;="&amp;($A445+9/24),tData[SEHTrajectPeriodeDatumTijdTotEnMet],"&gt;"&amp;($A445+9/24))</f>
        <v/>
      </c>
      <c r="N445" s="20">
        <f>COUNTIFS(tData[SEHTrajectPeriodeDatumTijdVan],"&lt;="&amp;($A445+10/24),tData[SEHTrajectPeriodeDatumTijdTotEnMet],"&gt;"&amp;($A445+10/24))</f>
        <v/>
      </c>
      <c r="O445" s="20">
        <f>COUNTIFS(tData[SEHTrajectPeriodeDatumTijdVan],"&lt;="&amp;($A445+11/24),tData[SEHTrajectPeriodeDatumTijdTotEnMet],"&gt;"&amp;($A445+11/24))</f>
        <v/>
      </c>
      <c r="P445" s="20">
        <f>COUNTIFS(tData[SEHTrajectPeriodeDatumTijdVan],"&lt;="&amp;($A445+12/24),tData[SEHTrajectPeriodeDatumTijdTotEnMet],"&gt;"&amp;($A445+12/24))</f>
        <v/>
      </c>
      <c r="Q445" s="20">
        <f>COUNTIFS(tData[SEHTrajectPeriodeDatumTijdVan],"&lt;="&amp;($A445+13/24),tData[SEHTrajectPeriodeDatumTijdTotEnMet],"&gt;"&amp;($A445+13/24))</f>
        <v/>
      </c>
      <c r="R445" s="20">
        <f>COUNTIFS(tData[SEHTrajectPeriodeDatumTijdVan],"&lt;="&amp;($A445+14/24),tData[SEHTrajectPeriodeDatumTijdTotEnMet],"&gt;"&amp;($A445+14/24))</f>
        <v/>
      </c>
      <c r="S445" s="20">
        <f>COUNTIFS(tData[SEHTrajectPeriodeDatumTijdVan],"&lt;="&amp;($A445+15/24),tData[SEHTrajectPeriodeDatumTijdTotEnMet],"&gt;"&amp;($A445+15/24))</f>
        <v/>
      </c>
      <c r="T445" s="20">
        <f>COUNTIFS(tData[SEHTrajectPeriodeDatumTijdVan],"&lt;="&amp;($A445+16/24),tData[SEHTrajectPeriodeDatumTijdTotEnMet],"&gt;"&amp;($A445+16/24))</f>
        <v/>
      </c>
      <c r="U445" s="20">
        <f>COUNTIFS(tData[SEHTrajectPeriodeDatumTijdVan],"&lt;="&amp;($A445+17/24),tData[SEHTrajectPeriodeDatumTijdTotEnMet],"&gt;"&amp;($A445+17/24))</f>
        <v/>
      </c>
      <c r="V445" s="20">
        <f>COUNTIFS(tData[SEHTrajectPeriodeDatumTijdVan],"&lt;="&amp;($A445+18/24),tData[SEHTrajectPeriodeDatumTijdTotEnMet],"&gt;"&amp;($A445+18/24))</f>
        <v/>
      </c>
      <c r="W445" s="20">
        <f>COUNTIFS(tData[SEHTrajectPeriodeDatumTijdVan],"&lt;="&amp;($A445+19/24),tData[SEHTrajectPeriodeDatumTijdTotEnMet],"&gt;"&amp;($A445+19/24))</f>
        <v/>
      </c>
      <c r="X445" s="20">
        <f>COUNTIFS(tData[SEHTrajectPeriodeDatumTijdVan],"&lt;="&amp;($A445+20/24),tData[SEHTrajectPeriodeDatumTijdTotEnMet],"&gt;"&amp;($A445+20/24))</f>
        <v/>
      </c>
      <c r="Y445" s="20">
        <f>COUNTIFS(tData[SEHTrajectPeriodeDatumTijdVan],"&lt;="&amp;($A445+21/24),tData[SEHTrajectPeriodeDatumTijdTotEnMet],"&gt;"&amp;($A445+21/24))</f>
        <v/>
      </c>
      <c r="Z445" s="20">
        <f>COUNTIFS(tData[SEHTrajectPeriodeDatumTijdVan],"&lt;="&amp;($A445+22/24),tData[SEHTrajectPeriodeDatumTijdTotEnMet],"&gt;"&amp;($A445+22/24))</f>
        <v/>
      </c>
      <c r="AA445" s="20">
        <f>COUNTIFS(tData[SEHTrajectPeriodeDatumTijdVan],"&lt;="&amp;($A445+23/24),tData[SEHTrajectPeriodeDatumTijdTotEnMet],"&gt;"&amp;($A445+23/24))</f>
        <v/>
      </c>
    </row>
    <row r="446">
      <c r="A446" s="19" t="n">
        <v>45734</v>
      </c>
      <c r="B446" s="15">
        <f>WEEKDAY($A446,2)</f>
        <v/>
      </c>
      <c r="C446" s="15">
        <f>IF(AND($A446&gt;=INT(Instellingen!$B$5),$A446&lt;=INT(Instellingen!$B$6)),1,0)</f>
        <v/>
      </c>
      <c r="D446" s="20">
        <f>COUNTIFS(tData[SEHTrajectPeriodeDatumTijdVan],"&lt;="&amp;($A446+0/24),tData[SEHTrajectPeriodeDatumTijdTotEnMet],"&gt;"&amp;($A446+0/24))</f>
        <v/>
      </c>
      <c r="E446" s="20">
        <f>COUNTIFS(tData[SEHTrajectPeriodeDatumTijdVan],"&lt;="&amp;($A446+1/24),tData[SEHTrajectPeriodeDatumTijdTotEnMet],"&gt;"&amp;($A446+1/24))</f>
        <v/>
      </c>
      <c r="F446" s="20">
        <f>COUNTIFS(tData[SEHTrajectPeriodeDatumTijdVan],"&lt;="&amp;($A446+2/24),tData[SEHTrajectPeriodeDatumTijdTotEnMet],"&gt;"&amp;($A446+2/24))</f>
        <v/>
      </c>
      <c r="G446" s="20">
        <f>COUNTIFS(tData[SEHTrajectPeriodeDatumTijdVan],"&lt;="&amp;($A446+3/24),tData[SEHTrajectPeriodeDatumTijdTotEnMet],"&gt;"&amp;($A446+3/24))</f>
        <v/>
      </c>
      <c r="H446" s="20">
        <f>COUNTIFS(tData[SEHTrajectPeriodeDatumTijdVan],"&lt;="&amp;($A446+4/24),tData[SEHTrajectPeriodeDatumTijdTotEnMet],"&gt;"&amp;($A446+4/24))</f>
        <v/>
      </c>
      <c r="I446" s="20">
        <f>COUNTIFS(tData[SEHTrajectPeriodeDatumTijdVan],"&lt;="&amp;($A446+5/24),tData[SEHTrajectPeriodeDatumTijdTotEnMet],"&gt;"&amp;($A446+5/24))</f>
        <v/>
      </c>
      <c r="J446" s="20">
        <f>COUNTIFS(tData[SEHTrajectPeriodeDatumTijdVan],"&lt;="&amp;($A446+6/24),tData[SEHTrajectPeriodeDatumTijdTotEnMet],"&gt;"&amp;($A446+6/24))</f>
        <v/>
      </c>
      <c r="K446" s="20">
        <f>COUNTIFS(tData[SEHTrajectPeriodeDatumTijdVan],"&lt;="&amp;($A446+7/24),tData[SEHTrajectPeriodeDatumTijdTotEnMet],"&gt;"&amp;($A446+7/24))</f>
        <v/>
      </c>
      <c r="L446" s="20">
        <f>COUNTIFS(tData[SEHTrajectPeriodeDatumTijdVan],"&lt;="&amp;($A446+8/24),tData[SEHTrajectPeriodeDatumTijdTotEnMet],"&gt;"&amp;($A446+8/24))</f>
        <v/>
      </c>
      <c r="M446" s="20">
        <f>COUNTIFS(tData[SEHTrajectPeriodeDatumTijdVan],"&lt;="&amp;($A446+9/24),tData[SEHTrajectPeriodeDatumTijdTotEnMet],"&gt;"&amp;($A446+9/24))</f>
        <v/>
      </c>
      <c r="N446" s="20">
        <f>COUNTIFS(tData[SEHTrajectPeriodeDatumTijdVan],"&lt;="&amp;($A446+10/24),tData[SEHTrajectPeriodeDatumTijdTotEnMet],"&gt;"&amp;($A446+10/24))</f>
        <v/>
      </c>
      <c r="O446" s="20">
        <f>COUNTIFS(tData[SEHTrajectPeriodeDatumTijdVan],"&lt;="&amp;($A446+11/24),tData[SEHTrajectPeriodeDatumTijdTotEnMet],"&gt;"&amp;($A446+11/24))</f>
        <v/>
      </c>
      <c r="P446" s="20">
        <f>COUNTIFS(tData[SEHTrajectPeriodeDatumTijdVan],"&lt;="&amp;($A446+12/24),tData[SEHTrajectPeriodeDatumTijdTotEnMet],"&gt;"&amp;($A446+12/24))</f>
        <v/>
      </c>
      <c r="Q446" s="20">
        <f>COUNTIFS(tData[SEHTrajectPeriodeDatumTijdVan],"&lt;="&amp;($A446+13/24),tData[SEHTrajectPeriodeDatumTijdTotEnMet],"&gt;"&amp;($A446+13/24))</f>
        <v/>
      </c>
      <c r="R446" s="20">
        <f>COUNTIFS(tData[SEHTrajectPeriodeDatumTijdVan],"&lt;="&amp;($A446+14/24),tData[SEHTrajectPeriodeDatumTijdTotEnMet],"&gt;"&amp;($A446+14/24))</f>
        <v/>
      </c>
      <c r="S446" s="20">
        <f>COUNTIFS(tData[SEHTrajectPeriodeDatumTijdVan],"&lt;="&amp;($A446+15/24),tData[SEHTrajectPeriodeDatumTijdTotEnMet],"&gt;"&amp;($A446+15/24))</f>
        <v/>
      </c>
      <c r="T446" s="20">
        <f>COUNTIFS(tData[SEHTrajectPeriodeDatumTijdVan],"&lt;="&amp;($A446+16/24),tData[SEHTrajectPeriodeDatumTijdTotEnMet],"&gt;"&amp;($A446+16/24))</f>
        <v/>
      </c>
      <c r="U446" s="20">
        <f>COUNTIFS(tData[SEHTrajectPeriodeDatumTijdVan],"&lt;="&amp;($A446+17/24),tData[SEHTrajectPeriodeDatumTijdTotEnMet],"&gt;"&amp;($A446+17/24))</f>
        <v/>
      </c>
      <c r="V446" s="20">
        <f>COUNTIFS(tData[SEHTrajectPeriodeDatumTijdVan],"&lt;="&amp;($A446+18/24),tData[SEHTrajectPeriodeDatumTijdTotEnMet],"&gt;"&amp;($A446+18/24))</f>
        <v/>
      </c>
      <c r="W446" s="20">
        <f>COUNTIFS(tData[SEHTrajectPeriodeDatumTijdVan],"&lt;="&amp;($A446+19/24),tData[SEHTrajectPeriodeDatumTijdTotEnMet],"&gt;"&amp;($A446+19/24))</f>
        <v/>
      </c>
      <c r="X446" s="20">
        <f>COUNTIFS(tData[SEHTrajectPeriodeDatumTijdVan],"&lt;="&amp;($A446+20/24),tData[SEHTrajectPeriodeDatumTijdTotEnMet],"&gt;"&amp;($A446+20/24))</f>
        <v/>
      </c>
      <c r="Y446" s="20">
        <f>COUNTIFS(tData[SEHTrajectPeriodeDatumTijdVan],"&lt;="&amp;($A446+21/24),tData[SEHTrajectPeriodeDatumTijdTotEnMet],"&gt;"&amp;($A446+21/24))</f>
        <v/>
      </c>
      <c r="Z446" s="20">
        <f>COUNTIFS(tData[SEHTrajectPeriodeDatumTijdVan],"&lt;="&amp;($A446+22/24),tData[SEHTrajectPeriodeDatumTijdTotEnMet],"&gt;"&amp;($A446+22/24))</f>
        <v/>
      </c>
      <c r="AA446" s="20">
        <f>COUNTIFS(tData[SEHTrajectPeriodeDatumTijdVan],"&lt;="&amp;($A446+23/24),tData[SEHTrajectPeriodeDatumTijdTotEnMet],"&gt;"&amp;($A446+23/24))</f>
        <v/>
      </c>
    </row>
    <row r="447">
      <c r="A447" s="19" t="n">
        <v>45735</v>
      </c>
      <c r="B447" s="15">
        <f>WEEKDAY($A447,2)</f>
        <v/>
      </c>
      <c r="C447" s="15">
        <f>IF(AND($A447&gt;=INT(Instellingen!$B$5),$A447&lt;=INT(Instellingen!$B$6)),1,0)</f>
        <v/>
      </c>
      <c r="D447" s="20">
        <f>COUNTIFS(tData[SEHTrajectPeriodeDatumTijdVan],"&lt;="&amp;($A447+0/24),tData[SEHTrajectPeriodeDatumTijdTotEnMet],"&gt;"&amp;($A447+0/24))</f>
        <v/>
      </c>
      <c r="E447" s="20">
        <f>COUNTIFS(tData[SEHTrajectPeriodeDatumTijdVan],"&lt;="&amp;($A447+1/24),tData[SEHTrajectPeriodeDatumTijdTotEnMet],"&gt;"&amp;($A447+1/24))</f>
        <v/>
      </c>
      <c r="F447" s="20">
        <f>COUNTIFS(tData[SEHTrajectPeriodeDatumTijdVan],"&lt;="&amp;($A447+2/24),tData[SEHTrajectPeriodeDatumTijdTotEnMet],"&gt;"&amp;($A447+2/24))</f>
        <v/>
      </c>
      <c r="G447" s="20">
        <f>COUNTIFS(tData[SEHTrajectPeriodeDatumTijdVan],"&lt;="&amp;($A447+3/24),tData[SEHTrajectPeriodeDatumTijdTotEnMet],"&gt;"&amp;($A447+3/24))</f>
        <v/>
      </c>
      <c r="H447" s="20">
        <f>COUNTIFS(tData[SEHTrajectPeriodeDatumTijdVan],"&lt;="&amp;($A447+4/24),tData[SEHTrajectPeriodeDatumTijdTotEnMet],"&gt;"&amp;($A447+4/24))</f>
        <v/>
      </c>
      <c r="I447" s="20">
        <f>COUNTIFS(tData[SEHTrajectPeriodeDatumTijdVan],"&lt;="&amp;($A447+5/24),tData[SEHTrajectPeriodeDatumTijdTotEnMet],"&gt;"&amp;($A447+5/24))</f>
        <v/>
      </c>
      <c r="J447" s="20">
        <f>COUNTIFS(tData[SEHTrajectPeriodeDatumTijdVan],"&lt;="&amp;($A447+6/24),tData[SEHTrajectPeriodeDatumTijdTotEnMet],"&gt;"&amp;($A447+6/24))</f>
        <v/>
      </c>
      <c r="K447" s="20">
        <f>COUNTIFS(tData[SEHTrajectPeriodeDatumTijdVan],"&lt;="&amp;($A447+7/24),tData[SEHTrajectPeriodeDatumTijdTotEnMet],"&gt;"&amp;($A447+7/24))</f>
        <v/>
      </c>
      <c r="L447" s="20">
        <f>COUNTIFS(tData[SEHTrajectPeriodeDatumTijdVan],"&lt;="&amp;($A447+8/24),tData[SEHTrajectPeriodeDatumTijdTotEnMet],"&gt;"&amp;($A447+8/24))</f>
        <v/>
      </c>
      <c r="M447" s="20">
        <f>COUNTIFS(tData[SEHTrajectPeriodeDatumTijdVan],"&lt;="&amp;($A447+9/24),tData[SEHTrajectPeriodeDatumTijdTotEnMet],"&gt;"&amp;($A447+9/24))</f>
        <v/>
      </c>
      <c r="N447" s="20">
        <f>COUNTIFS(tData[SEHTrajectPeriodeDatumTijdVan],"&lt;="&amp;($A447+10/24),tData[SEHTrajectPeriodeDatumTijdTotEnMet],"&gt;"&amp;($A447+10/24))</f>
        <v/>
      </c>
      <c r="O447" s="20">
        <f>COUNTIFS(tData[SEHTrajectPeriodeDatumTijdVan],"&lt;="&amp;($A447+11/24),tData[SEHTrajectPeriodeDatumTijdTotEnMet],"&gt;"&amp;($A447+11/24))</f>
        <v/>
      </c>
      <c r="P447" s="20">
        <f>COUNTIFS(tData[SEHTrajectPeriodeDatumTijdVan],"&lt;="&amp;($A447+12/24),tData[SEHTrajectPeriodeDatumTijdTotEnMet],"&gt;"&amp;($A447+12/24))</f>
        <v/>
      </c>
      <c r="Q447" s="20">
        <f>COUNTIFS(tData[SEHTrajectPeriodeDatumTijdVan],"&lt;="&amp;($A447+13/24),tData[SEHTrajectPeriodeDatumTijdTotEnMet],"&gt;"&amp;($A447+13/24))</f>
        <v/>
      </c>
      <c r="R447" s="20">
        <f>COUNTIFS(tData[SEHTrajectPeriodeDatumTijdVan],"&lt;="&amp;($A447+14/24),tData[SEHTrajectPeriodeDatumTijdTotEnMet],"&gt;"&amp;($A447+14/24))</f>
        <v/>
      </c>
      <c r="S447" s="20">
        <f>COUNTIFS(tData[SEHTrajectPeriodeDatumTijdVan],"&lt;="&amp;($A447+15/24),tData[SEHTrajectPeriodeDatumTijdTotEnMet],"&gt;"&amp;($A447+15/24))</f>
        <v/>
      </c>
      <c r="T447" s="20">
        <f>COUNTIFS(tData[SEHTrajectPeriodeDatumTijdVan],"&lt;="&amp;($A447+16/24),tData[SEHTrajectPeriodeDatumTijdTotEnMet],"&gt;"&amp;($A447+16/24))</f>
        <v/>
      </c>
      <c r="U447" s="20">
        <f>COUNTIFS(tData[SEHTrajectPeriodeDatumTijdVan],"&lt;="&amp;($A447+17/24),tData[SEHTrajectPeriodeDatumTijdTotEnMet],"&gt;"&amp;($A447+17/24))</f>
        <v/>
      </c>
      <c r="V447" s="20">
        <f>COUNTIFS(tData[SEHTrajectPeriodeDatumTijdVan],"&lt;="&amp;($A447+18/24),tData[SEHTrajectPeriodeDatumTijdTotEnMet],"&gt;"&amp;($A447+18/24))</f>
        <v/>
      </c>
      <c r="W447" s="20">
        <f>COUNTIFS(tData[SEHTrajectPeriodeDatumTijdVan],"&lt;="&amp;($A447+19/24),tData[SEHTrajectPeriodeDatumTijdTotEnMet],"&gt;"&amp;($A447+19/24))</f>
        <v/>
      </c>
      <c r="X447" s="20">
        <f>COUNTIFS(tData[SEHTrajectPeriodeDatumTijdVan],"&lt;="&amp;($A447+20/24),tData[SEHTrajectPeriodeDatumTijdTotEnMet],"&gt;"&amp;($A447+20/24))</f>
        <v/>
      </c>
      <c r="Y447" s="20">
        <f>COUNTIFS(tData[SEHTrajectPeriodeDatumTijdVan],"&lt;="&amp;($A447+21/24),tData[SEHTrajectPeriodeDatumTijdTotEnMet],"&gt;"&amp;($A447+21/24))</f>
        <v/>
      </c>
      <c r="Z447" s="20">
        <f>COUNTIFS(tData[SEHTrajectPeriodeDatumTijdVan],"&lt;="&amp;($A447+22/24),tData[SEHTrajectPeriodeDatumTijdTotEnMet],"&gt;"&amp;($A447+22/24))</f>
        <v/>
      </c>
      <c r="AA447" s="20">
        <f>COUNTIFS(tData[SEHTrajectPeriodeDatumTijdVan],"&lt;="&amp;($A447+23/24),tData[SEHTrajectPeriodeDatumTijdTotEnMet],"&gt;"&amp;($A447+23/24))</f>
        <v/>
      </c>
    </row>
    <row r="448">
      <c r="A448" s="19" t="n">
        <v>45736</v>
      </c>
      <c r="B448" s="15">
        <f>WEEKDAY($A448,2)</f>
        <v/>
      </c>
      <c r="C448" s="15">
        <f>IF(AND($A448&gt;=INT(Instellingen!$B$5),$A448&lt;=INT(Instellingen!$B$6)),1,0)</f>
        <v/>
      </c>
      <c r="D448" s="20">
        <f>COUNTIFS(tData[SEHTrajectPeriodeDatumTijdVan],"&lt;="&amp;($A448+0/24),tData[SEHTrajectPeriodeDatumTijdTotEnMet],"&gt;"&amp;($A448+0/24))</f>
        <v/>
      </c>
      <c r="E448" s="20">
        <f>COUNTIFS(tData[SEHTrajectPeriodeDatumTijdVan],"&lt;="&amp;($A448+1/24),tData[SEHTrajectPeriodeDatumTijdTotEnMet],"&gt;"&amp;($A448+1/24))</f>
        <v/>
      </c>
      <c r="F448" s="20">
        <f>COUNTIFS(tData[SEHTrajectPeriodeDatumTijdVan],"&lt;="&amp;($A448+2/24),tData[SEHTrajectPeriodeDatumTijdTotEnMet],"&gt;"&amp;($A448+2/24))</f>
        <v/>
      </c>
      <c r="G448" s="20">
        <f>COUNTIFS(tData[SEHTrajectPeriodeDatumTijdVan],"&lt;="&amp;($A448+3/24),tData[SEHTrajectPeriodeDatumTijdTotEnMet],"&gt;"&amp;($A448+3/24))</f>
        <v/>
      </c>
      <c r="H448" s="20">
        <f>COUNTIFS(tData[SEHTrajectPeriodeDatumTijdVan],"&lt;="&amp;($A448+4/24),tData[SEHTrajectPeriodeDatumTijdTotEnMet],"&gt;"&amp;($A448+4/24))</f>
        <v/>
      </c>
      <c r="I448" s="20">
        <f>COUNTIFS(tData[SEHTrajectPeriodeDatumTijdVan],"&lt;="&amp;($A448+5/24),tData[SEHTrajectPeriodeDatumTijdTotEnMet],"&gt;"&amp;($A448+5/24))</f>
        <v/>
      </c>
      <c r="J448" s="20">
        <f>COUNTIFS(tData[SEHTrajectPeriodeDatumTijdVan],"&lt;="&amp;($A448+6/24),tData[SEHTrajectPeriodeDatumTijdTotEnMet],"&gt;"&amp;($A448+6/24))</f>
        <v/>
      </c>
      <c r="K448" s="20">
        <f>COUNTIFS(tData[SEHTrajectPeriodeDatumTijdVan],"&lt;="&amp;($A448+7/24),tData[SEHTrajectPeriodeDatumTijdTotEnMet],"&gt;"&amp;($A448+7/24))</f>
        <v/>
      </c>
      <c r="L448" s="20">
        <f>COUNTIFS(tData[SEHTrajectPeriodeDatumTijdVan],"&lt;="&amp;($A448+8/24),tData[SEHTrajectPeriodeDatumTijdTotEnMet],"&gt;"&amp;($A448+8/24))</f>
        <v/>
      </c>
      <c r="M448" s="20">
        <f>COUNTIFS(tData[SEHTrajectPeriodeDatumTijdVan],"&lt;="&amp;($A448+9/24),tData[SEHTrajectPeriodeDatumTijdTotEnMet],"&gt;"&amp;($A448+9/24))</f>
        <v/>
      </c>
      <c r="N448" s="20">
        <f>COUNTIFS(tData[SEHTrajectPeriodeDatumTijdVan],"&lt;="&amp;($A448+10/24),tData[SEHTrajectPeriodeDatumTijdTotEnMet],"&gt;"&amp;($A448+10/24))</f>
        <v/>
      </c>
      <c r="O448" s="20">
        <f>COUNTIFS(tData[SEHTrajectPeriodeDatumTijdVan],"&lt;="&amp;($A448+11/24),tData[SEHTrajectPeriodeDatumTijdTotEnMet],"&gt;"&amp;($A448+11/24))</f>
        <v/>
      </c>
      <c r="P448" s="20">
        <f>COUNTIFS(tData[SEHTrajectPeriodeDatumTijdVan],"&lt;="&amp;($A448+12/24),tData[SEHTrajectPeriodeDatumTijdTotEnMet],"&gt;"&amp;($A448+12/24))</f>
        <v/>
      </c>
      <c r="Q448" s="20">
        <f>COUNTIFS(tData[SEHTrajectPeriodeDatumTijdVan],"&lt;="&amp;($A448+13/24),tData[SEHTrajectPeriodeDatumTijdTotEnMet],"&gt;"&amp;($A448+13/24))</f>
        <v/>
      </c>
      <c r="R448" s="20">
        <f>COUNTIFS(tData[SEHTrajectPeriodeDatumTijdVan],"&lt;="&amp;($A448+14/24),tData[SEHTrajectPeriodeDatumTijdTotEnMet],"&gt;"&amp;($A448+14/24))</f>
        <v/>
      </c>
      <c r="S448" s="20">
        <f>COUNTIFS(tData[SEHTrajectPeriodeDatumTijdVan],"&lt;="&amp;($A448+15/24),tData[SEHTrajectPeriodeDatumTijdTotEnMet],"&gt;"&amp;($A448+15/24))</f>
        <v/>
      </c>
      <c r="T448" s="20">
        <f>COUNTIFS(tData[SEHTrajectPeriodeDatumTijdVan],"&lt;="&amp;($A448+16/24),tData[SEHTrajectPeriodeDatumTijdTotEnMet],"&gt;"&amp;($A448+16/24))</f>
        <v/>
      </c>
      <c r="U448" s="20">
        <f>COUNTIFS(tData[SEHTrajectPeriodeDatumTijdVan],"&lt;="&amp;($A448+17/24),tData[SEHTrajectPeriodeDatumTijdTotEnMet],"&gt;"&amp;($A448+17/24))</f>
        <v/>
      </c>
      <c r="V448" s="20">
        <f>COUNTIFS(tData[SEHTrajectPeriodeDatumTijdVan],"&lt;="&amp;($A448+18/24),tData[SEHTrajectPeriodeDatumTijdTotEnMet],"&gt;"&amp;($A448+18/24))</f>
        <v/>
      </c>
      <c r="W448" s="20">
        <f>COUNTIFS(tData[SEHTrajectPeriodeDatumTijdVan],"&lt;="&amp;($A448+19/24),tData[SEHTrajectPeriodeDatumTijdTotEnMet],"&gt;"&amp;($A448+19/24))</f>
        <v/>
      </c>
      <c r="X448" s="20">
        <f>COUNTIFS(tData[SEHTrajectPeriodeDatumTijdVan],"&lt;="&amp;($A448+20/24),tData[SEHTrajectPeriodeDatumTijdTotEnMet],"&gt;"&amp;($A448+20/24))</f>
        <v/>
      </c>
      <c r="Y448" s="20">
        <f>COUNTIFS(tData[SEHTrajectPeriodeDatumTijdVan],"&lt;="&amp;($A448+21/24),tData[SEHTrajectPeriodeDatumTijdTotEnMet],"&gt;"&amp;($A448+21/24))</f>
        <v/>
      </c>
      <c r="Z448" s="20">
        <f>COUNTIFS(tData[SEHTrajectPeriodeDatumTijdVan],"&lt;="&amp;($A448+22/24),tData[SEHTrajectPeriodeDatumTijdTotEnMet],"&gt;"&amp;($A448+22/24))</f>
        <v/>
      </c>
      <c r="AA448" s="20">
        <f>COUNTIFS(tData[SEHTrajectPeriodeDatumTijdVan],"&lt;="&amp;($A448+23/24),tData[SEHTrajectPeriodeDatumTijdTotEnMet],"&gt;"&amp;($A448+23/24))</f>
        <v/>
      </c>
    </row>
    <row r="449">
      <c r="A449" s="19" t="n">
        <v>45737</v>
      </c>
      <c r="B449" s="15">
        <f>WEEKDAY($A449,2)</f>
        <v/>
      </c>
      <c r="C449" s="15">
        <f>IF(AND($A449&gt;=INT(Instellingen!$B$5),$A449&lt;=INT(Instellingen!$B$6)),1,0)</f>
        <v/>
      </c>
      <c r="D449" s="20">
        <f>COUNTIFS(tData[SEHTrajectPeriodeDatumTijdVan],"&lt;="&amp;($A449+0/24),tData[SEHTrajectPeriodeDatumTijdTotEnMet],"&gt;"&amp;($A449+0/24))</f>
        <v/>
      </c>
      <c r="E449" s="20">
        <f>COUNTIFS(tData[SEHTrajectPeriodeDatumTijdVan],"&lt;="&amp;($A449+1/24),tData[SEHTrajectPeriodeDatumTijdTotEnMet],"&gt;"&amp;($A449+1/24))</f>
        <v/>
      </c>
      <c r="F449" s="20">
        <f>COUNTIFS(tData[SEHTrajectPeriodeDatumTijdVan],"&lt;="&amp;($A449+2/24),tData[SEHTrajectPeriodeDatumTijdTotEnMet],"&gt;"&amp;($A449+2/24))</f>
        <v/>
      </c>
      <c r="G449" s="20">
        <f>COUNTIFS(tData[SEHTrajectPeriodeDatumTijdVan],"&lt;="&amp;($A449+3/24),tData[SEHTrajectPeriodeDatumTijdTotEnMet],"&gt;"&amp;($A449+3/24))</f>
        <v/>
      </c>
      <c r="H449" s="20">
        <f>COUNTIFS(tData[SEHTrajectPeriodeDatumTijdVan],"&lt;="&amp;($A449+4/24),tData[SEHTrajectPeriodeDatumTijdTotEnMet],"&gt;"&amp;($A449+4/24))</f>
        <v/>
      </c>
      <c r="I449" s="20">
        <f>COUNTIFS(tData[SEHTrajectPeriodeDatumTijdVan],"&lt;="&amp;($A449+5/24),tData[SEHTrajectPeriodeDatumTijdTotEnMet],"&gt;"&amp;($A449+5/24))</f>
        <v/>
      </c>
      <c r="J449" s="20">
        <f>COUNTIFS(tData[SEHTrajectPeriodeDatumTijdVan],"&lt;="&amp;($A449+6/24),tData[SEHTrajectPeriodeDatumTijdTotEnMet],"&gt;"&amp;($A449+6/24))</f>
        <v/>
      </c>
      <c r="K449" s="20">
        <f>COUNTIFS(tData[SEHTrajectPeriodeDatumTijdVan],"&lt;="&amp;($A449+7/24),tData[SEHTrajectPeriodeDatumTijdTotEnMet],"&gt;"&amp;($A449+7/24))</f>
        <v/>
      </c>
      <c r="L449" s="20">
        <f>COUNTIFS(tData[SEHTrajectPeriodeDatumTijdVan],"&lt;="&amp;($A449+8/24),tData[SEHTrajectPeriodeDatumTijdTotEnMet],"&gt;"&amp;($A449+8/24))</f>
        <v/>
      </c>
      <c r="M449" s="20">
        <f>COUNTIFS(tData[SEHTrajectPeriodeDatumTijdVan],"&lt;="&amp;($A449+9/24),tData[SEHTrajectPeriodeDatumTijdTotEnMet],"&gt;"&amp;($A449+9/24))</f>
        <v/>
      </c>
      <c r="N449" s="20">
        <f>COUNTIFS(tData[SEHTrajectPeriodeDatumTijdVan],"&lt;="&amp;($A449+10/24),tData[SEHTrajectPeriodeDatumTijdTotEnMet],"&gt;"&amp;($A449+10/24))</f>
        <v/>
      </c>
      <c r="O449" s="20">
        <f>COUNTIFS(tData[SEHTrajectPeriodeDatumTijdVan],"&lt;="&amp;($A449+11/24),tData[SEHTrajectPeriodeDatumTijdTotEnMet],"&gt;"&amp;($A449+11/24))</f>
        <v/>
      </c>
      <c r="P449" s="20">
        <f>COUNTIFS(tData[SEHTrajectPeriodeDatumTijdVan],"&lt;="&amp;($A449+12/24),tData[SEHTrajectPeriodeDatumTijdTotEnMet],"&gt;"&amp;($A449+12/24))</f>
        <v/>
      </c>
      <c r="Q449" s="20">
        <f>COUNTIFS(tData[SEHTrajectPeriodeDatumTijdVan],"&lt;="&amp;($A449+13/24),tData[SEHTrajectPeriodeDatumTijdTotEnMet],"&gt;"&amp;($A449+13/24))</f>
        <v/>
      </c>
      <c r="R449" s="20">
        <f>COUNTIFS(tData[SEHTrajectPeriodeDatumTijdVan],"&lt;="&amp;($A449+14/24),tData[SEHTrajectPeriodeDatumTijdTotEnMet],"&gt;"&amp;($A449+14/24))</f>
        <v/>
      </c>
      <c r="S449" s="20">
        <f>COUNTIFS(tData[SEHTrajectPeriodeDatumTijdVan],"&lt;="&amp;($A449+15/24),tData[SEHTrajectPeriodeDatumTijdTotEnMet],"&gt;"&amp;($A449+15/24))</f>
        <v/>
      </c>
      <c r="T449" s="20">
        <f>COUNTIFS(tData[SEHTrajectPeriodeDatumTijdVan],"&lt;="&amp;($A449+16/24),tData[SEHTrajectPeriodeDatumTijdTotEnMet],"&gt;"&amp;($A449+16/24))</f>
        <v/>
      </c>
      <c r="U449" s="20">
        <f>COUNTIFS(tData[SEHTrajectPeriodeDatumTijdVan],"&lt;="&amp;($A449+17/24),tData[SEHTrajectPeriodeDatumTijdTotEnMet],"&gt;"&amp;($A449+17/24))</f>
        <v/>
      </c>
      <c r="V449" s="20">
        <f>COUNTIFS(tData[SEHTrajectPeriodeDatumTijdVan],"&lt;="&amp;($A449+18/24),tData[SEHTrajectPeriodeDatumTijdTotEnMet],"&gt;"&amp;($A449+18/24))</f>
        <v/>
      </c>
      <c r="W449" s="20">
        <f>COUNTIFS(tData[SEHTrajectPeriodeDatumTijdVan],"&lt;="&amp;($A449+19/24),tData[SEHTrajectPeriodeDatumTijdTotEnMet],"&gt;"&amp;($A449+19/24))</f>
        <v/>
      </c>
      <c r="X449" s="20">
        <f>COUNTIFS(tData[SEHTrajectPeriodeDatumTijdVan],"&lt;="&amp;($A449+20/24),tData[SEHTrajectPeriodeDatumTijdTotEnMet],"&gt;"&amp;($A449+20/24))</f>
        <v/>
      </c>
      <c r="Y449" s="20">
        <f>COUNTIFS(tData[SEHTrajectPeriodeDatumTijdVan],"&lt;="&amp;($A449+21/24),tData[SEHTrajectPeriodeDatumTijdTotEnMet],"&gt;"&amp;($A449+21/24))</f>
        <v/>
      </c>
      <c r="Z449" s="20">
        <f>COUNTIFS(tData[SEHTrajectPeriodeDatumTijdVan],"&lt;="&amp;($A449+22/24),tData[SEHTrajectPeriodeDatumTijdTotEnMet],"&gt;"&amp;($A449+22/24))</f>
        <v/>
      </c>
      <c r="AA449" s="20">
        <f>COUNTIFS(tData[SEHTrajectPeriodeDatumTijdVan],"&lt;="&amp;($A449+23/24),tData[SEHTrajectPeriodeDatumTijdTotEnMet],"&gt;"&amp;($A449+23/24))</f>
        <v/>
      </c>
    </row>
    <row r="450">
      <c r="A450" s="19" t="n">
        <v>45738</v>
      </c>
      <c r="B450" s="15">
        <f>WEEKDAY($A450,2)</f>
        <v/>
      </c>
      <c r="C450" s="15">
        <f>IF(AND($A450&gt;=INT(Instellingen!$B$5),$A450&lt;=INT(Instellingen!$B$6)),1,0)</f>
        <v/>
      </c>
      <c r="D450" s="20">
        <f>COUNTIFS(tData[SEHTrajectPeriodeDatumTijdVan],"&lt;="&amp;($A450+0/24),tData[SEHTrajectPeriodeDatumTijdTotEnMet],"&gt;"&amp;($A450+0/24))</f>
        <v/>
      </c>
      <c r="E450" s="20">
        <f>COUNTIFS(tData[SEHTrajectPeriodeDatumTijdVan],"&lt;="&amp;($A450+1/24),tData[SEHTrajectPeriodeDatumTijdTotEnMet],"&gt;"&amp;($A450+1/24))</f>
        <v/>
      </c>
      <c r="F450" s="20">
        <f>COUNTIFS(tData[SEHTrajectPeriodeDatumTijdVan],"&lt;="&amp;($A450+2/24),tData[SEHTrajectPeriodeDatumTijdTotEnMet],"&gt;"&amp;($A450+2/24))</f>
        <v/>
      </c>
      <c r="G450" s="20">
        <f>COUNTIFS(tData[SEHTrajectPeriodeDatumTijdVan],"&lt;="&amp;($A450+3/24),tData[SEHTrajectPeriodeDatumTijdTotEnMet],"&gt;"&amp;($A450+3/24))</f>
        <v/>
      </c>
      <c r="H450" s="20">
        <f>COUNTIFS(tData[SEHTrajectPeriodeDatumTijdVan],"&lt;="&amp;($A450+4/24),tData[SEHTrajectPeriodeDatumTijdTotEnMet],"&gt;"&amp;($A450+4/24))</f>
        <v/>
      </c>
      <c r="I450" s="20">
        <f>COUNTIFS(tData[SEHTrajectPeriodeDatumTijdVan],"&lt;="&amp;($A450+5/24),tData[SEHTrajectPeriodeDatumTijdTotEnMet],"&gt;"&amp;($A450+5/24))</f>
        <v/>
      </c>
      <c r="J450" s="20">
        <f>COUNTIFS(tData[SEHTrajectPeriodeDatumTijdVan],"&lt;="&amp;($A450+6/24),tData[SEHTrajectPeriodeDatumTijdTotEnMet],"&gt;"&amp;($A450+6/24))</f>
        <v/>
      </c>
      <c r="K450" s="20">
        <f>COUNTIFS(tData[SEHTrajectPeriodeDatumTijdVan],"&lt;="&amp;($A450+7/24),tData[SEHTrajectPeriodeDatumTijdTotEnMet],"&gt;"&amp;($A450+7/24))</f>
        <v/>
      </c>
      <c r="L450" s="20">
        <f>COUNTIFS(tData[SEHTrajectPeriodeDatumTijdVan],"&lt;="&amp;($A450+8/24),tData[SEHTrajectPeriodeDatumTijdTotEnMet],"&gt;"&amp;($A450+8/24))</f>
        <v/>
      </c>
      <c r="M450" s="20">
        <f>COUNTIFS(tData[SEHTrajectPeriodeDatumTijdVan],"&lt;="&amp;($A450+9/24),tData[SEHTrajectPeriodeDatumTijdTotEnMet],"&gt;"&amp;($A450+9/24))</f>
        <v/>
      </c>
      <c r="N450" s="20">
        <f>COUNTIFS(tData[SEHTrajectPeriodeDatumTijdVan],"&lt;="&amp;($A450+10/24),tData[SEHTrajectPeriodeDatumTijdTotEnMet],"&gt;"&amp;($A450+10/24))</f>
        <v/>
      </c>
      <c r="O450" s="20">
        <f>COUNTIFS(tData[SEHTrajectPeriodeDatumTijdVan],"&lt;="&amp;($A450+11/24),tData[SEHTrajectPeriodeDatumTijdTotEnMet],"&gt;"&amp;($A450+11/24))</f>
        <v/>
      </c>
      <c r="P450" s="20">
        <f>COUNTIFS(tData[SEHTrajectPeriodeDatumTijdVan],"&lt;="&amp;($A450+12/24),tData[SEHTrajectPeriodeDatumTijdTotEnMet],"&gt;"&amp;($A450+12/24))</f>
        <v/>
      </c>
      <c r="Q450" s="20">
        <f>COUNTIFS(tData[SEHTrajectPeriodeDatumTijdVan],"&lt;="&amp;($A450+13/24),tData[SEHTrajectPeriodeDatumTijdTotEnMet],"&gt;"&amp;($A450+13/24))</f>
        <v/>
      </c>
      <c r="R450" s="20">
        <f>COUNTIFS(tData[SEHTrajectPeriodeDatumTijdVan],"&lt;="&amp;($A450+14/24),tData[SEHTrajectPeriodeDatumTijdTotEnMet],"&gt;"&amp;($A450+14/24))</f>
        <v/>
      </c>
      <c r="S450" s="20">
        <f>COUNTIFS(tData[SEHTrajectPeriodeDatumTijdVan],"&lt;="&amp;($A450+15/24),tData[SEHTrajectPeriodeDatumTijdTotEnMet],"&gt;"&amp;($A450+15/24))</f>
        <v/>
      </c>
      <c r="T450" s="20">
        <f>COUNTIFS(tData[SEHTrajectPeriodeDatumTijdVan],"&lt;="&amp;($A450+16/24),tData[SEHTrajectPeriodeDatumTijdTotEnMet],"&gt;"&amp;($A450+16/24))</f>
        <v/>
      </c>
      <c r="U450" s="20">
        <f>COUNTIFS(tData[SEHTrajectPeriodeDatumTijdVan],"&lt;="&amp;($A450+17/24),tData[SEHTrajectPeriodeDatumTijdTotEnMet],"&gt;"&amp;($A450+17/24))</f>
        <v/>
      </c>
      <c r="V450" s="20">
        <f>COUNTIFS(tData[SEHTrajectPeriodeDatumTijdVan],"&lt;="&amp;($A450+18/24),tData[SEHTrajectPeriodeDatumTijdTotEnMet],"&gt;"&amp;($A450+18/24))</f>
        <v/>
      </c>
      <c r="W450" s="20">
        <f>COUNTIFS(tData[SEHTrajectPeriodeDatumTijdVan],"&lt;="&amp;($A450+19/24),tData[SEHTrajectPeriodeDatumTijdTotEnMet],"&gt;"&amp;($A450+19/24))</f>
        <v/>
      </c>
      <c r="X450" s="20">
        <f>COUNTIFS(tData[SEHTrajectPeriodeDatumTijdVan],"&lt;="&amp;($A450+20/24),tData[SEHTrajectPeriodeDatumTijdTotEnMet],"&gt;"&amp;($A450+20/24))</f>
        <v/>
      </c>
      <c r="Y450" s="20">
        <f>COUNTIFS(tData[SEHTrajectPeriodeDatumTijdVan],"&lt;="&amp;($A450+21/24),tData[SEHTrajectPeriodeDatumTijdTotEnMet],"&gt;"&amp;($A450+21/24))</f>
        <v/>
      </c>
      <c r="Z450" s="20">
        <f>COUNTIFS(tData[SEHTrajectPeriodeDatumTijdVan],"&lt;="&amp;($A450+22/24),tData[SEHTrajectPeriodeDatumTijdTotEnMet],"&gt;"&amp;($A450+22/24))</f>
        <v/>
      </c>
      <c r="AA450" s="20">
        <f>COUNTIFS(tData[SEHTrajectPeriodeDatumTijdVan],"&lt;="&amp;($A450+23/24),tData[SEHTrajectPeriodeDatumTijdTotEnMet],"&gt;"&amp;($A450+23/24))</f>
        <v/>
      </c>
    </row>
    <row r="451">
      <c r="A451" s="19" t="n">
        <v>45739</v>
      </c>
      <c r="B451" s="15">
        <f>WEEKDAY($A451,2)</f>
        <v/>
      </c>
      <c r="C451" s="15">
        <f>IF(AND($A451&gt;=INT(Instellingen!$B$5),$A451&lt;=INT(Instellingen!$B$6)),1,0)</f>
        <v/>
      </c>
      <c r="D451" s="20">
        <f>COUNTIFS(tData[SEHTrajectPeriodeDatumTijdVan],"&lt;="&amp;($A451+0/24),tData[SEHTrajectPeriodeDatumTijdTotEnMet],"&gt;"&amp;($A451+0/24))</f>
        <v/>
      </c>
      <c r="E451" s="20">
        <f>COUNTIFS(tData[SEHTrajectPeriodeDatumTijdVan],"&lt;="&amp;($A451+1/24),tData[SEHTrajectPeriodeDatumTijdTotEnMet],"&gt;"&amp;($A451+1/24))</f>
        <v/>
      </c>
      <c r="F451" s="20">
        <f>COUNTIFS(tData[SEHTrajectPeriodeDatumTijdVan],"&lt;="&amp;($A451+2/24),tData[SEHTrajectPeriodeDatumTijdTotEnMet],"&gt;"&amp;($A451+2/24))</f>
        <v/>
      </c>
      <c r="G451" s="20">
        <f>COUNTIFS(tData[SEHTrajectPeriodeDatumTijdVan],"&lt;="&amp;($A451+3/24),tData[SEHTrajectPeriodeDatumTijdTotEnMet],"&gt;"&amp;($A451+3/24))</f>
        <v/>
      </c>
      <c r="H451" s="20">
        <f>COUNTIFS(tData[SEHTrajectPeriodeDatumTijdVan],"&lt;="&amp;($A451+4/24),tData[SEHTrajectPeriodeDatumTijdTotEnMet],"&gt;"&amp;($A451+4/24))</f>
        <v/>
      </c>
      <c r="I451" s="20">
        <f>COUNTIFS(tData[SEHTrajectPeriodeDatumTijdVan],"&lt;="&amp;($A451+5/24),tData[SEHTrajectPeriodeDatumTijdTotEnMet],"&gt;"&amp;($A451+5/24))</f>
        <v/>
      </c>
      <c r="J451" s="20">
        <f>COUNTIFS(tData[SEHTrajectPeriodeDatumTijdVan],"&lt;="&amp;($A451+6/24),tData[SEHTrajectPeriodeDatumTijdTotEnMet],"&gt;"&amp;($A451+6/24))</f>
        <v/>
      </c>
      <c r="K451" s="20">
        <f>COUNTIFS(tData[SEHTrajectPeriodeDatumTijdVan],"&lt;="&amp;($A451+7/24),tData[SEHTrajectPeriodeDatumTijdTotEnMet],"&gt;"&amp;($A451+7/24))</f>
        <v/>
      </c>
      <c r="L451" s="20">
        <f>COUNTIFS(tData[SEHTrajectPeriodeDatumTijdVan],"&lt;="&amp;($A451+8/24),tData[SEHTrajectPeriodeDatumTijdTotEnMet],"&gt;"&amp;($A451+8/24))</f>
        <v/>
      </c>
      <c r="M451" s="20">
        <f>COUNTIFS(tData[SEHTrajectPeriodeDatumTijdVan],"&lt;="&amp;($A451+9/24),tData[SEHTrajectPeriodeDatumTijdTotEnMet],"&gt;"&amp;($A451+9/24))</f>
        <v/>
      </c>
      <c r="N451" s="20">
        <f>COUNTIFS(tData[SEHTrajectPeriodeDatumTijdVan],"&lt;="&amp;($A451+10/24),tData[SEHTrajectPeriodeDatumTijdTotEnMet],"&gt;"&amp;($A451+10/24))</f>
        <v/>
      </c>
      <c r="O451" s="20">
        <f>COUNTIFS(tData[SEHTrajectPeriodeDatumTijdVan],"&lt;="&amp;($A451+11/24),tData[SEHTrajectPeriodeDatumTijdTotEnMet],"&gt;"&amp;($A451+11/24))</f>
        <v/>
      </c>
      <c r="P451" s="20">
        <f>COUNTIFS(tData[SEHTrajectPeriodeDatumTijdVan],"&lt;="&amp;($A451+12/24),tData[SEHTrajectPeriodeDatumTijdTotEnMet],"&gt;"&amp;($A451+12/24))</f>
        <v/>
      </c>
      <c r="Q451" s="20">
        <f>COUNTIFS(tData[SEHTrajectPeriodeDatumTijdVan],"&lt;="&amp;($A451+13/24),tData[SEHTrajectPeriodeDatumTijdTotEnMet],"&gt;"&amp;($A451+13/24))</f>
        <v/>
      </c>
      <c r="R451" s="20">
        <f>COUNTIFS(tData[SEHTrajectPeriodeDatumTijdVan],"&lt;="&amp;($A451+14/24),tData[SEHTrajectPeriodeDatumTijdTotEnMet],"&gt;"&amp;($A451+14/24))</f>
        <v/>
      </c>
      <c r="S451" s="20">
        <f>COUNTIFS(tData[SEHTrajectPeriodeDatumTijdVan],"&lt;="&amp;($A451+15/24),tData[SEHTrajectPeriodeDatumTijdTotEnMet],"&gt;"&amp;($A451+15/24))</f>
        <v/>
      </c>
      <c r="T451" s="20">
        <f>COUNTIFS(tData[SEHTrajectPeriodeDatumTijdVan],"&lt;="&amp;($A451+16/24),tData[SEHTrajectPeriodeDatumTijdTotEnMet],"&gt;"&amp;($A451+16/24))</f>
        <v/>
      </c>
      <c r="U451" s="20">
        <f>COUNTIFS(tData[SEHTrajectPeriodeDatumTijdVan],"&lt;="&amp;($A451+17/24),tData[SEHTrajectPeriodeDatumTijdTotEnMet],"&gt;"&amp;($A451+17/24))</f>
        <v/>
      </c>
      <c r="V451" s="20">
        <f>COUNTIFS(tData[SEHTrajectPeriodeDatumTijdVan],"&lt;="&amp;($A451+18/24),tData[SEHTrajectPeriodeDatumTijdTotEnMet],"&gt;"&amp;($A451+18/24))</f>
        <v/>
      </c>
      <c r="W451" s="20">
        <f>COUNTIFS(tData[SEHTrajectPeriodeDatumTijdVan],"&lt;="&amp;($A451+19/24),tData[SEHTrajectPeriodeDatumTijdTotEnMet],"&gt;"&amp;($A451+19/24))</f>
        <v/>
      </c>
      <c r="X451" s="20">
        <f>COUNTIFS(tData[SEHTrajectPeriodeDatumTijdVan],"&lt;="&amp;($A451+20/24),tData[SEHTrajectPeriodeDatumTijdTotEnMet],"&gt;"&amp;($A451+20/24))</f>
        <v/>
      </c>
      <c r="Y451" s="20">
        <f>COUNTIFS(tData[SEHTrajectPeriodeDatumTijdVan],"&lt;="&amp;($A451+21/24),tData[SEHTrajectPeriodeDatumTijdTotEnMet],"&gt;"&amp;($A451+21/24))</f>
        <v/>
      </c>
      <c r="Z451" s="20">
        <f>COUNTIFS(tData[SEHTrajectPeriodeDatumTijdVan],"&lt;="&amp;($A451+22/24),tData[SEHTrajectPeriodeDatumTijdTotEnMet],"&gt;"&amp;($A451+22/24))</f>
        <v/>
      </c>
      <c r="AA451" s="20">
        <f>COUNTIFS(tData[SEHTrajectPeriodeDatumTijdVan],"&lt;="&amp;($A451+23/24),tData[SEHTrajectPeriodeDatumTijdTotEnMet],"&gt;"&amp;($A451+23/24))</f>
        <v/>
      </c>
    </row>
    <row r="452">
      <c r="A452" s="19" t="n">
        <v>45740</v>
      </c>
      <c r="B452" s="15">
        <f>WEEKDAY($A452,2)</f>
        <v/>
      </c>
      <c r="C452" s="15">
        <f>IF(AND($A452&gt;=INT(Instellingen!$B$5),$A452&lt;=INT(Instellingen!$B$6)),1,0)</f>
        <v/>
      </c>
      <c r="D452" s="20">
        <f>COUNTIFS(tData[SEHTrajectPeriodeDatumTijdVan],"&lt;="&amp;($A452+0/24),tData[SEHTrajectPeriodeDatumTijdTotEnMet],"&gt;"&amp;($A452+0/24))</f>
        <v/>
      </c>
      <c r="E452" s="20">
        <f>COUNTIFS(tData[SEHTrajectPeriodeDatumTijdVan],"&lt;="&amp;($A452+1/24),tData[SEHTrajectPeriodeDatumTijdTotEnMet],"&gt;"&amp;($A452+1/24))</f>
        <v/>
      </c>
      <c r="F452" s="20">
        <f>COUNTIFS(tData[SEHTrajectPeriodeDatumTijdVan],"&lt;="&amp;($A452+2/24),tData[SEHTrajectPeriodeDatumTijdTotEnMet],"&gt;"&amp;($A452+2/24))</f>
        <v/>
      </c>
      <c r="G452" s="20">
        <f>COUNTIFS(tData[SEHTrajectPeriodeDatumTijdVan],"&lt;="&amp;($A452+3/24),tData[SEHTrajectPeriodeDatumTijdTotEnMet],"&gt;"&amp;($A452+3/24))</f>
        <v/>
      </c>
      <c r="H452" s="20">
        <f>COUNTIFS(tData[SEHTrajectPeriodeDatumTijdVan],"&lt;="&amp;($A452+4/24),tData[SEHTrajectPeriodeDatumTijdTotEnMet],"&gt;"&amp;($A452+4/24))</f>
        <v/>
      </c>
      <c r="I452" s="20">
        <f>COUNTIFS(tData[SEHTrajectPeriodeDatumTijdVan],"&lt;="&amp;($A452+5/24),tData[SEHTrajectPeriodeDatumTijdTotEnMet],"&gt;"&amp;($A452+5/24))</f>
        <v/>
      </c>
      <c r="J452" s="20">
        <f>COUNTIFS(tData[SEHTrajectPeriodeDatumTijdVan],"&lt;="&amp;($A452+6/24),tData[SEHTrajectPeriodeDatumTijdTotEnMet],"&gt;"&amp;($A452+6/24))</f>
        <v/>
      </c>
      <c r="K452" s="20">
        <f>COUNTIFS(tData[SEHTrajectPeriodeDatumTijdVan],"&lt;="&amp;($A452+7/24),tData[SEHTrajectPeriodeDatumTijdTotEnMet],"&gt;"&amp;($A452+7/24))</f>
        <v/>
      </c>
      <c r="L452" s="20">
        <f>COUNTIFS(tData[SEHTrajectPeriodeDatumTijdVan],"&lt;="&amp;($A452+8/24),tData[SEHTrajectPeriodeDatumTijdTotEnMet],"&gt;"&amp;($A452+8/24))</f>
        <v/>
      </c>
      <c r="M452" s="20">
        <f>COUNTIFS(tData[SEHTrajectPeriodeDatumTijdVan],"&lt;="&amp;($A452+9/24),tData[SEHTrajectPeriodeDatumTijdTotEnMet],"&gt;"&amp;($A452+9/24))</f>
        <v/>
      </c>
      <c r="N452" s="20">
        <f>COUNTIFS(tData[SEHTrajectPeriodeDatumTijdVan],"&lt;="&amp;($A452+10/24),tData[SEHTrajectPeriodeDatumTijdTotEnMet],"&gt;"&amp;($A452+10/24))</f>
        <v/>
      </c>
      <c r="O452" s="20">
        <f>COUNTIFS(tData[SEHTrajectPeriodeDatumTijdVan],"&lt;="&amp;($A452+11/24),tData[SEHTrajectPeriodeDatumTijdTotEnMet],"&gt;"&amp;($A452+11/24))</f>
        <v/>
      </c>
      <c r="P452" s="20">
        <f>COUNTIFS(tData[SEHTrajectPeriodeDatumTijdVan],"&lt;="&amp;($A452+12/24),tData[SEHTrajectPeriodeDatumTijdTotEnMet],"&gt;"&amp;($A452+12/24))</f>
        <v/>
      </c>
      <c r="Q452" s="20">
        <f>COUNTIFS(tData[SEHTrajectPeriodeDatumTijdVan],"&lt;="&amp;($A452+13/24),tData[SEHTrajectPeriodeDatumTijdTotEnMet],"&gt;"&amp;($A452+13/24))</f>
        <v/>
      </c>
      <c r="R452" s="20">
        <f>COUNTIFS(tData[SEHTrajectPeriodeDatumTijdVan],"&lt;="&amp;($A452+14/24),tData[SEHTrajectPeriodeDatumTijdTotEnMet],"&gt;"&amp;($A452+14/24))</f>
        <v/>
      </c>
      <c r="S452" s="20">
        <f>COUNTIFS(tData[SEHTrajectPeriodeDatumTijdVan],"&lt;="&amp;($A452+15/24),tData[SEHTrajectPeriodeDatumTijdTotEnMet],"&gt;"&amp;($A452+15/24))</f>
        <v/>
      </c>
      <c r="T452" s="20">
        <f>COUNTIFS(tData[SEHTrajectPeriodeDatumTijdVan],"&lt;="&amp;($A452+16/24),tData[SEHTrajectPeriodeDatumTijdTotEnMet],"&gt;"&amp;($A452+16/24))</f>
        <v/>
      </c>
      <c r="U452" s="20">
        <f>COUNTIFS(tData[SEHTrajectPeriodeDatumTijdVan],"&lt;="&amp;($A452+17/24),tData[SEHTrajectPeriodeDatumTijdTotEnMet],"&gt;"&amp;($A452+17/24))</f>
        <v/>
      </c>
      <c r="V452" s="20">
        <f>COUNTIFS(tData[SEHTrajectPeriodeDatumTijdVan],"&lt;="&amp;($A452+18/24),tData[SEHTrajectPeriodeDatumTijdTotEnMet],"&gt;"&amp;($A452+18/24))</f>
        <v/>
      </c>
      <c r="W452" s="20">
        <f>COUNTIFS(tData[SEHTrajectPeriodeDatumTijdVan],"&lt;="&amp;($A452+19/24),tData[SEHTrajectPeriodeDatumTijdTotEnMet],"&gt;"&amp;($A452+19/24))</f>
        <v/>
      </c>
      <c r="X452" s="20">
        <f>COUNTIFS(tData[SEHTrajectPeriodeDatumTijdVan],"&lt;="&amp;($A452+20/24),tData[SEHTrajectPeriodeDatumTijdTotEnMet],"&gt;"&amp;($A452+20/24))</f>
        <v/>
      </c>
      <c r="Y452" s="20">
        <f>COUNTIFS(tData[SEHTrajectPeriodeDatumTijdVan],"&lt;="&amp;($A452+21/24),tData[SEHTrajectPeriodeDatumTijdTotEnMet],"&gt;"&amp;($A452+21/24))</f>
        <v/>
      </c>
      <c r="Z452" s="20">
        <f>COUNTIFS(tData[SEHTrajectPeriodeDatumTijdVan],"&lt;="&amp;($A452+22/24),tData[SEHTrajectPeriodeDatumTijdTotEnMet],"&gt;"&amp;($A452+22/24))</f>
        <v/>
      </c>
      <c r="AA452" s="20">
        <f>COUNTIFS(tData[SEHTrajectPeriodeDatumTijdVan],"&lt;="&amp;($A452+23/24),tData[SEHTrajectPeriodeDatumTijdTotEnMet],"&gt;"&amp;($A452+23/24))</f>
        <v/>
      </c>
    </row>
    <row r="453">
      <c r="A453" s="19" t="n">
        <v>45741</v>
      </c>
      <c r="B453" s="15">
        <f>WEEKDAY($A453,2)</f>
        <v/>
      </c>
      <c r="C453" s="15">
        <f>IF(AND($A453&gt;=INT(Instellingen!$B$5),$A453&lt;=INT(Instellingen!$B$6)),1,0)</f>
        <v/>
      </c>
      <c r="D453" s="20">
        <f>COUNTIFS(tData[SEHTrajectPeriodeDatumTijdVan],"&lt;="&amp;($A453+0/24),tData[SEHTrajectPeriodeDatumTijdTotEnMet],"&gt;"&amp;($A453+0/24))</f>
        <v/>
      </c>
      <c r="E453" s="20">
        <f>COUNTIFS(tData[SEHTrajectPeriodeDatumTijdVan],"&lt;="&amp;($A453+1/24),tData[SEHTrajectPeriodeDatumTijdTotEnMet],"&gt;"&amp;($A453+1/24))</f>
        <v/>
      </c>
      <c r="F453" s="20">
        <f>COUNTIFS(tData[SEHTrajectPeriodeDatumTijdVan],"&lt;="&amp;($A453+2/24),tData[SEHTrajectPeriodeDatumTijdTotEnMet],"&gt;"&amp;($A453+2/24))</f>
        <v/>
      </c>
      <c r="G453" s="20">
        <f>COUNTIFS(tData[SEHTrajectPeriodeDatumTijdVan],"&lt;="&amp;($A453+3/24),tData[SEHTrajectPeriodeDatumTijdTotEnMet],"&gt;"&amp;($A453+3/24))</f>
        <v/>
      </c>
      <c r="H453" s="20">
        <f>COUNTIFS(tData[SEHTrajectPeriodeDatumTijdVan],"&lt;="&amp;($A453+4/24),tData[SEHTrajectPeriodeDatumTijdTotEnMet],"&gt;"&amp;($A453+4/24))</f>
        <v/>
      </c>
      <c r="I453" s="20">
        <f>COUNTIFS(tData[SEHTrajectPeriodeDatumTijdVan],"&lt;="&amp;($A453+5/24),tData[SEHTrajectPeriodeDatumTijdTotEnMet],"&gt;"&amp;($A453+5/24))</f>
        <v/>
      </c>
      <c r="J453" s="20">
        <f>COUNTIFS(tData[SEHTrajectPeriodeDatumTijdVan],"&lt;="&amp;($A453+6/24),tData[SEHTrajectPeriodeDatumTijdTotEnMet],"&gt;"&amp;($A453+6/24))</f>
        <v/>
      </c>
      <c r="K453" s="20">
        <f>COUNTIFS(tData[SEHTrajectPeriodeDatumTijdVan],"&lt;="&amp;($A453+7/24),tData[SEHTrajectPeriodeDatumTijdTotEnMet],"&gt;"&amp;($A453+7/24))</f>
        <v/>
      </c>
      <c r="L453" s="20">
        <f>COUNTIFS(tData[SEHTrajectPeriodeDatumTijdVan],"&lt;="&amp;($A453+8/24),tData[SEHTrajectPeriodeDatumTijdTotEnMet],"&gt;"&amp;($A453+8/24))</f>
        <v/>
      </c>
      <c r="M453" s="20">
        <f>COUNTIFS(tData[SEHTrajectPeriodeDatumTijdVan],"&lt;="&amp;($A453+9/24),tData[SEHTrajectPeriodeDatumTijdTotEnMet],"&gt;"&amp;($A453+9/24))</f>
        <v/>
      </c>
      <c r="N453" s="20">
        <f>COUNTIFS(tData[SEHTrajectPeriodeDatumTijdVan],"&lt;="&amp;($A453+10/24),tData[SEHTrajectPeriodeDatumTijdTotEnMet],"&gt;"&amp;($A453+10/24))</f>
        <v/>
      </c>
      <c r="O453" s="20">
        <f>COUNTIFS(tData[SEHTrajectPeriodeDatumTijdVan],"&lt;="&amp;($A453+11/24),tData[SEHTrajectPeriodeDatumTijdTotEnMet],"&gt;"&amp;($A453+11/24))</f>
        <v/>
      </c>
      <c r="P453" s="20">
        <f>COUNTIFS(tData[SEHTrajectPeriodeDatumTijdVan],"&lt;="&amp;($A453+12/24),tData[SEHTrajectPeriodeDatumTijdTotEnMet],"&gt;"&amp;($A453+12/24))</f>
        <v/>
      </c>
      <c r="Q453" s="20">
        <f>COUNTIFS(tData[SEHTrajectPeriodeDatumTijdVan],"&lt;="&amp;($A453+13/24),tData[SEHTrajectPeriodeDatumTijdTotEnMet],"&gt;"&amp;($A453+13/24))</f>
        <v/>
      </c>
      <c r="R453" s="20">
        <f>COUNTIFS(tData[SEHTrajectPeriodeDatumTijdVan],"&lt;="&amp;($A453+14/24),tData[SEHTrajectPeriodeDatumTijdTotEnMet],"&gt;"&amp;($A453+14/24))</f>
        <v/>
      </c>
      <c r="S453" s="20">
        <f>COUNTIFS(tData[SEHTrajectPeriodeDatumTijdVan],"&lt;="&amp;($A453+15/24),tData[SEHTrajectPeriodeDatumTijdTotEnMet],"&gt;"&amp;($A453+15/24))</f>
        <v/>
      </c>
      <c r="T453" s="20">
        <f>COUNTIFS(tData[SEHTrajectPeriodeDatumTijdVan],"&lt;="&amp;($A453+16/24),tData[SEHTrajectPeriodeDatumTijdTotEnMet],"&gt;"&amp;($A453+16/24))</f>
        <v/>
      </c>
      <c r="U453" s="20">
        <f>COUNTIFS(tData[SEHTrajectPeriodeDatumTijdVan],"&lt;="&amp;($A453+17/24),tData[SEHTrajectPeriodeDatumTijdTotEnMet],"&gt;"&amp;($A453+17/24))</f>
        <v/>
      </c>
      <c r="V453" s="20">
        <f>COUNTIFS(tData[SEHTrajectPeriodeDatumTijdVan],"&lt;="&amp;($A453+18/24),tData[SEHTrajectPeriodeDatumTijdTotEnMet],"&gt;"&amp;($A453+18/24))</f>
        <v/>
      </c>
      <c r="W453" s="20">
        <f>COUNTIFS(tData[SEHTrajectPeriodeDatumTijdVan],"&lt;="&amp;($A453+19/24),tData[SEHTrajectPeriodeDatumTijdTotEnMet],"&gt;"&amp;($A453+19/24))</f>
        <v/>
      </c>
      <c r="X453" s="20">
        <f>COUNTIFS(tData[SEHTrajectPeriodeDatumTijdVan],"&lt;="&amp;($A453+20/24),tData[SEHTrajectPeriodeDatumTijdTotEnMet],"&gt;"&amp;($A453+20/24))</f>
        <v/>
      </c>
      <c r="Y453" s="20">
        <f>COUNTIFS(tData[SEHTrajectPeriodeDatumTijdVan],"&lt;="&amp;($A453+21/24),tData[SEHTrajectPeriodeDatumTijdTotEnMet],"&gt;"&amp;($A453+21/24))</f>
        <v/>
      </c>
      <c r="Z453" s="20">
        <f>COUNTIFS(tData[SEHTrajectPeriodeDatumTijdVan],"&lt;="&amp;($A453+22/24),tData[SEHTrajectPeriodeDatumTijdTotEnMet],"&gt;"&amp;($A453+22/24))</f>
        <v/>
      </c>
      <c r="AA453" s="20">
        <f>COUNTIFS(tData[SEHTrajectPeriodeDatumTijdVan],"&lt;="&amp;($A453+23/24),tData[SEHTrajectPeriodeDatumTijdTotEnMet],"&gt;"&amp;($A453+23/24))</f>
        <v/>
      </c>
    </row>
    <row r="454">
      <c r="A454" s="19" t="n">
        <v>45742</v>
      </c>
      <c r="B454" s="15">
        <f>WEEKDAY($A454,2)</f>
        <v/>
      </c>
      <c r="C454" s="15">
        <f>IF(AND($A454&gt;=INT(Instellingen!$B$5),$A454&lt;=INT(Instellingen!$B$6)),1,0)</f>
        <v/>
      </c>
      <c r="D454" s="20">
        <f>COUNTIFS(tData[SEHTrajectPeriodeDatumTijdVan],"&lt;="&amp;($A454+0/24),tData[SEHTrajectPeriodeDatumTijdTotEnMet],"&gt;"&amp;($A454+0/24))</f>
        <v/>
      </c>
      <c r="E454" s="20">
        <f>COUNTIFS(tData[SEHTrajectPeriodeDatumTijdVan],"&lt;="&amp;($A454+1/24),tData[SEHTrajectPeriodeDatumTijdTotEnMet],"&gt;"&amp;($A454+1/24))</f>
        <v/>
      </c>
      <c r="F454" s="20">
        <f>COUNTIFS(tData[SEHTrajectPeriodeDatumTijdVan],"&lt;="&amp;($A454+2/24),tData[SEHTrajectPeriodeDatumTijdTotEnMet],"&gt;"&amp;($A454+2/24))</f>
        <v/>
      </c>
      <c r="G454" s="20">
        <f>COUNTIFS(tData[SEHTrajectPeriodeDatumTijdVan],"&lt;="&amp;($A454+3/24),tData[SEHTrajectPeriodeDatumTijdTotEnMet],"&gt;"&amp;($A454+3/24))</f>
        <v/>
      </c>
      <c r="H454" s="20">
        <f>COUNTIFS(tData[SEHTrajectPeriodeDatumTijdVan],"&lt;="&amp;($A454+4/24),tData[SEHTrajectPeriodeDatumTijdTotEnMet],"&gt;"&amp;($A454+4/24))</f>
        <v/>
      </c>
      <c r="I454" s="20">
        <f>COUNTIFS(tData[SEHTrajectPeriodeDatumTijdVan],"&lt;="&amp;($A454+5/24),tData[SEHTrajectPeriodeDatumTijdTotEnMet],"&gt;"&amp;($A454+5/24))</f>
        <v/>
      </c>
      <c r="J454" s="20">
        <f>COUNTIFS(tData[SEHTrajectPeriodeDatumTijdVan],"&lt;="&amp;($A454+6/24),tData[SEHTrajectPeriodeDatumTijdTotEnMet],"&gt;"&amp;($A454+6/24))</f>
        <v/>
      </c>
      <c r="K454" s="20">
        <f>COUNTIFS(tData[SEHTrajectPeriodeDatumTijdVan],"&lt;="&amp;($A454+7/24),tData[SEHTrajectPeriodeDatumTijdTotEnMet],"&gt;"&amp;($A454+7/24))</f>
        <v/>
      </c>
      <c r="L454" s="20">
        <f>COUNTIFS(tData[SEHTrajectPeriodeDatumTijdVan],"&lt;="&amp;($A454+8/24),tData[SEHTrajectPeriodeDatumTijdTotEnMet],"&gt;"&amp;($A454+8/24))</f>
        <v/>
      </c>
      <c r="M454" s="20">
        <f>COUNTIFS(tData[SEHTrajectPeriodeDatumTijdVan],"&lt;="&amp;($A454+9/24),tData[SEHTrajectPeriodeDatumTijdTotEnMet],"&gt;"&amp;($A454+9/24))</f>
        <v/>
      </c>
      <c r="N454" s="20">
        <f>COUNTIFS(tData[SEHTrajectPeriodeDatumTijdVan],"&lt;="&amp;($A454+10/24),tData[SEHTrajectPeriodeDatumTijdTotEnMet],"&gt;"&amp;($A454+10/24))</f>
        <v/>
      </c>
      <c r="O454" s="20">
        <f>COUNTIFS(tData[SEHTrajectPeriodeDatumTijdVan],"&lt;="&amp;($A454+11/24),tData[SEHTrajectPeriodeDatumTijdTotEnMet],"&gt;"&amp;($A454+11/24))</f>
        <v/>
      </c>
      <c r="P454" s="20">
        <f>COUNTIFS(tData[SEHTrajectPeriodeDatumTijdVan],"&lt;="&amp;($A454+12/24),tData[SEHTrajectPeriodeDatumTijdTotEnMet],"&gt;"&amp;($A454+12/24))</f>
        <v/>
      </c>
      <c r="Q454" s="20">
        <f>COUNTIFS(tData[SEHTrajectPeriodeDatumTijdVan],"&lt;="&amp;($A454+13/24),tData[SEHTrajectPeriodeDatumTijdTotEnMet],"&gt;"&amp;($A454+13/24))</f>
        <v/>
      </c>
      <c r="R454" s="20">
        <f>COUNTIFS(tData[SEHTrajectPeriodeDatumTijdVan],"&lt;="&amp;($A454+14/24),tData[SEHTrajectPeriodeDatumTijdTotEnMet],"&gt;"&amp;($A454+14/24))</f>
        <v/>
      </c>
      <c r="S454" s="20">
        <f>COUNTIFS(tData[SEHTrajectPeriodeDatumTijdVan],"&lt;="&amp;($A454+15/24),tData[SEHTrajectPeriodeDatumTijdTotEnMet],"&gt;"&amp;($A454+15/24))</f>
        <v/>
      </c>
      <c r="T454" s="20">
        <f>COUNTIFS(tData[SEHTrajectPeriodeDatumTijdVan],"&lt;="&amp;($A454+16/24),tData[SEHTrajectPeriodeDatumTijdTotEnMet],"&gt;"&amp;($A454+16/24))</f>
        <v/>
      </c>
      <c r="U454" s="20">
        <f>COUNTIFS(tData[SEHTrajectPeriodeDatumTijdVan],"&lt;="&amp;($A454+17/24),tData[SEHTrajectPeriodeDatumTijdTotEnMet],"&gt;"&amp;($A454+17/24))</f>
        <v/>
      </c>
      <c r="V454" s="20">
        <f>COUNTIFS(tData[SEHTrajectPeriodeDatumTijdVan],"&lt;="&amp;($A454+18/24),tData[SEHTrajectPeriodeDatumTijdTotEnMet],"&gt;"&amp;($A454+18/24))</f>
        <v/>
      </c>
      <c r="W454" s="20">
        <f>COUNTIFS(tData[SEHTrajectPeriodeDatumTijdVan],"&lt;="&amp;($A454+19/24),tData[SEHTrajectPeriodeDatumTijdTotEnMet],"&gt;"&amp;($A454+19/24))</f>
        <v/>
      </c>
      <c r="X454" s="20">
        <f>COUNTIFS(tData[SEHTrajectPeriodeDatumTijdVan],"&lt;="&amp;($A454+20/24),tData[SEHTrajectPeriodeDatumTijdTotEnMet],"&gt;"&amp;($A454+20/24))</f>
        <v/>
      </c>
      <c r="Y454" s="20">
        <f>COUNTIFS(tData[SEHTrajectPeriodeDatumTijdVan],"&lt;="&amp;($A454+21/24),tData[SEHTrajectPeriodeDatumTijdTotEnMet],"&gt;"&amp;($A454+21/24))</f>
        <v/>
      </c>
      <c r="Z454" s="20">
        <f>COUNTIFS(tData[SEHTrajectPeriodeDatumTijdVan],"&lt;="&amp;($A454+22/24),tData[SEHTrajectPeriodeDatumTijdTotEnMet],"&gt;"&amp;($A454+22/24))</f>
        <v/>
      </c>
      <c r="AA454" s="20">
        <f>COUNTIFS(tData[SEHTrajectPeriodeDatumTijdVan],"&lt;="&amp;($A454+23/24),tData[SEHTrajectPeriodeDatumTijdTotEnMet],"&gt;"&amp;($A454+23/24))</f>
        <v/>
      </c>
    </row>
    <row r="455">
      <c r="A455" s="19" t="n">
        <v>45743</v>
      </c>
      <c r="B455" s="15">
        <f>WEEKDAY($A455,2)</f>
        <v/>
      </c>
      <c r="C455" s="15">
        <f>IF(AND($A455&gt;=INT(Instellingen!$B$5),$A455&lt;=INT(Instellingen!$B$6)),1,0)</f>
        <v/>
      </c>
      <c r="D455" s="20">
        <f>COUNTIFS(tData[SEHTrajectPeriodeDatumTijdVan],"&lt;="&amp;($A455+0/24),tData[SEHTrajectPeriodeDatumTijdTotEnMet],"&gt;"&amp;($A455+0/24))</f>
        <v/>
      </c>
      <c r="E455" s="20">
        <f>COUNTIFS(tData[SEHTrajectPeriodeDatumTijdVan],"&lt;="&amp;($A455+1/24),tData[SEHTrajectPeriodeDatumTijdTotEnMet],"&gt;"&amp;($A455+1/24))</f>
        <v/>
      </c>
      <c r="F455" s="20">
        <f>COUNTIFS(tData[SEHTrajectPeriodeDatumTijdVan],"&lt;="&amp;($A455+2/24),tData[SEHTrajectPeriodeDatumTijdTotEnMet],"&gt;"&amp;($A455+2/24))</f>
        <v/>
      </c>
      <c r="G455" s="20">
        <f>COUNTIFS(tData[SEHTrajectPeriodeDatumTijdVan],"&lt;="&amp;($A455+3/24),tData[SEHTrajectPeriodeDatumTijdTotEnMet],"&gt;"&amp;($A455+3/24))</f>
        <v/>
      </c>
      <c r="H455" s="20">
        <f>COUNTIFS(tData[SEHTrajectPeriodeDatumTijdVan],"&lt;="&amp;($A455+4/24),tData[SEHTrajectPeriodeDatumTijdTotEnMet],"&gt;"&amp;($A455+4/24))</f>
        <v/>
      </c>
      <c r="I455" s="20">
        <f>COUNTIFS(tData[SEHTrajectPeriodeDatumTijdVan],"&lt;="&amp;($A455+5/24),tData[SEHTrajectPeriodeDatumTijdTotEnMet],"&gt;"&amp;($A455+5/24))</f>
        <v/>
      </c>
      <c r="J455" s="20">
        <f>COUNTIFS(tData[SEHTrajectPeriodeDatumTijdVan],"&lt;="&amp;($A455+6/24),tData[SEHTrajectPeriodeDatumTijdTotEnMet],"&gt;"&amp;($A455+6/24))</f>
        <v/>
      </c>
      <c r="K455" s="20">
        <f>COUNTIFS(tData[SEHTrajectPeriodeDatumTijdVan],"&lt;="&amp;($A455+7/24),tData[SEHTrajectPeriodeDatumTijdTotEnMet],"&gt;"&amp;($A455+7/24))</f>
        <v/>
      </c>
      <c r="L455" s="20">
        <f>COUNTIFS(tData[SEHTrajectPeriodeDatumTijdVan],"&lt;="&amp;($A455+8/24),tData[SEHTrajectPeriodeDatumTijdTotEnMet],"&gt;"&amp;($A455+8/24))</f>
        <v/>
      </c>
      <c r="M455" s="20">
        <f>COUNTIFS(tData[SEHTrajectPeriodeDatumTijdVan],"&lt;="&amp;($A455+9/24),tData[SEHTrajectPeriodeDatumTijdTotEnMet],"&gt;"&amp;($A455+9/24))</f>
        <v/>
      </c>
      <c r="N455" s="20">
        <f>COUNTIFS(tData[SEHTrajectPeriodeDatumTijdVan],"&lt;="&amp;($A455+10/24),tData[SEHTrajectPeriodeDatumTijdTotEnMet],"&gt;"&amp;($A455+10/24))</f>
        <v/>
      </c>
      <c r="O455" s="20">
        <f>COUNTIFS(tData[SEHTrajectPeriodeDatumTijdVan],"&lt;="&amp;($A455+11/24),tData[SEHTrajectPeriodeDatumTijdTotEnMet],"&gt;"&amp;($A455+11/24))</f>
        <v/>
      </c>
      <c r="P455" s="20">
        <f>COUNTIFS(tData[SEHTrajectPeriodeDatumTijdVan],"&lt;="&amp;($A455+12/24),tData[SEHTrajectPeriodeDatumTijdTotEnMet],"&gt;"&amp;($A455+12/24))</f>
        <v/>
      </c>
      <c r="Q455" s="20">
        <f>COUNTIFS(tData[SEHTrajectPeriodeDatumTijdVan],"&lt;="&amp;($A455+13/24),tData[SEHTrajectPeriodeDatumTijdTotEnMet],"&gt;"&amp;($A455+13/24))</f>
        <v/>
      </c>
      <c r="R455" s="20">
        <f>COUNTIFS(tData[SEHTrajectPeriodeDatumTijdVan],"&lt;="&amp;($A455+14/24),tData[SEHTrajectPeriodeDatumTijdTotEnMet],"&gt;"&amp;($A455+14/24))</f>
        <v/>
      </c>
      <c r="S455" s="20">
        <f>COUNTIFS(tData[SEHTrajectPeriodeDatumTijdVan],"&lt;="&amp;($A455+15/24),tData[SEHTrajectPeriodeDatumTijdTotEnMet],"&gt;"&amp;($A455+15/24))</f>
        <v/>
      </c>
      <c r="T455" s="20">
        <f>COUNTIFS(tData[SEHTrajectPeriodeDatumTijdVan],"&lt;="&amp;($A455+16/24),tData[SEHTrajectPeriodeDatumTijdTotEnMet],"&gt;"&amp;($A455+16/24))</f>
        <v/>
      </c>
      <c r="U455" s="20">
        <f>COUNTIFS(tData[SEHTrajectPeriodeDatumTijdVan],"&lt;="&amp;($A455+17/24),tData[SEHTrajectPeriodeDatumTijdTotEnMet],"&gt;"&amp;($A455+17/24))</f>
        <v/>
      </c>
      <c r="V455" s="20">
        <f>COUNTIFS(tData[SEHTrajectPeriodeDatumTijdVan],"&lt;="&amp;($A455+18/24),tData[SEHTrajectPeriodeDatumTijdTotEnMet],"&gt;"&amp;($A455+18/24))</f>
        <v/>
      </c>
      <c r="W455" s="20">
        <f>COUNTIFS(tData[SEHTrajectPeriodeDatumTijdVan],"&lt;="&amp;($A455+19/24),tData[SEHTrajectPeriodeDatumTijdTotEnMet],"&gt;"&amp;($A455+19/24))</f>
        <v/>
      </c>
      <c r="X455" s="20">
        <f>COUNTIFS(tData[SEHTrajectPeriodeDatumTijdVan],"&lt;="&amp;($A455+20/24),tData[SEHTrajectPeriodeDatumTijdTotEnMet],"&gt;"&amp;($A455+20/24))</f>
        <v/>
      </c>
      <c r="Y455" s="20">
        <f>COUNTIFS(tData[SEHTrajectPeriodeDatumTijdVan],"&lt;="&amp;($A455+21/24),tData[SEHTrajectPeriodeDatumTijdTotEnMet],"&gt;"&amp;($A455+21/24))</f>
        <v/>
      </c>
      <c r="Z455" s="20">
        <f>COUNTIFS(tData[SEHTrajectPeriodeDatumTijdVan],"&lt;="&amp;($A455+22/24),tData[SEHTrajectPeriodeDatumTijdTotEnMet],"&gt;"&amp;($A455+22/24))</f>
        <v/>
      </c>
      <c r="AA455" s="20">
        <f>COUNTIFS(tData[SEHTrajectPeriodeDatumTijdVan],"&lt;="&amp;($A455+23/24),tData[SEHTrajectPeriodeDatumTijdTotEnMet],"&gt;"&amp;($A455+23/24))</f>
        <v/>
      </c>
    </row>
    <row r="456">
      <c r="A456" s="19" t="n">
        <v>45744</v>
      </c>
      <c r="B456" s="15">
        <f>WEEKDAY($A456,2)</f>
        <v/>
      </c>
      <c r="C456" s="15">
        <f>IF(AND($A456&gt;=INT(Instellingen!$B$5),$A456&lt;=INT(Instellingen!$B$6)),1,0)</f>
        <v/>
      </c>
      <c r="D456" s="20">
        <f>COUNTIFS(tData[SEHTrajectPeriodeDatumTijdVan],"&lt;="&amp;($A456+0/24),tData[SEHTrajectPeriodeDatumTijdTotEnMet],"&gt;"&amp;($A456+0/24))</f>
        <v/>
      </c>
      <c r="E456" s="20">
        <f>COUNTIFS(tData[SEHTrajectPeriodeDatumTijdVan],"&lt;="&amp;($A456+1/24),tData[SEHTrajectPeriodeDatumTijdTotEnMet],"&gt;"&amp;($A456+1/24))</f>
        <v/>
      </c>
      <c r="F456" s="20">
        <f>COUNTIFS(tData[SEHTrajectPeriodeDatumTijdVan],"&lt;="&amp;($A456+2/24),tData[SEHTrajectPeriodeDatumTijdTotEnMet],"&gt;"&amp;($A456+2/24))</f>
        <v/>
      </c>
      <c r="G456" s="20">
        <f>COUNTIFS(tData[SEHTrajectPeriodeDatumTijdVan],"&lt;="&amp;($A456+3/24),tData[SEHTrajectPeriodeDatumTijdTotEnMet],"&gt;"&amp;($A456+3/24))</f>
        <v/>
      </c>
      <c r="H456" s="20">
        <f>COUNTIFS(tData[SEHTrajectPeriodeDatumTijdVan],"&lt;="&amp;($A456+4/24),tData[SEHTrajectPeriodeDatumTijdTotEnMet],"&gt;"&amp;($A456+4/24))</f>
        <v/>
      </c>
      <c r="I456" s="20">
        <f>COUNTIFS(tData[SEHTrajectPeriodeDatumTijdVan],"&lt;="&amp;($A456+5/24),tData[SEHTrajectPeriodeDatumTijdTotEnMet],"&gt;"&amp;($A456+5/24))</f>
        <v/>
      </c>
      <c r="J456" s="20">
        <f>COUNTIFS(tData[SEHTrajectPeriodeDatumTijdVan],"&lt;="&amp;($A456+6/24),tData[SEHTrajectPeriodeDatumTijdTotEnMet],"&gt;"&amp;($A456+6/24))</f>
        <v/>
      </c>
      <c r="K456" s="20">
        <f>COUNTIFS(tData[SEHTrajectPeriodeDatumTijdVan],"&lt;="&amp;($A456+7/24),tData[SEHTrajectPeriodeDatumTijdTotEnMet],"&gt;"&amp;($A456+7/24))</f>
        <v/>
      </c>
      <c r="L456" s="20">
        <f>COUNTIFS(tData[SEHTrajectPeriodeDatumTijdVan],"&lt;="&amp;($A456+8/24),tData[SEHTrajectPeriodeDatumTijdTotEnMet],"&gt;"&amp;($A456+8/24))</f>
        <v/>
      </c>
      <c r="M456" s="20">
        <f>COUNTIFS(tData[SEHTrajectPeriodeDatumTijdVan],"&lt;="&amp;($A456+9/24),tData[SEHTrajectPeriodeDatumTijdTotEnMet],"&gt;"&amp;($A456+9/24))</f>
        <v/>
      </c>
      <c r="N456" s="20">
        <f>COUNTIFS(tData[SEHTrajectPeriodeDatumTijdVan],"&lt;="&amp;($A456+10/24),tData[SEHTrajectPeriodeDatumTijdTotEnMet],"&gt;"&amp;($A456+10/24))</f>
        <v/>
      </c>
      <c r="O456" s="20">
        <f>COUNTIFS(tData[SEHTrajectPeriodeDatumTijdVan],"&lt;="&amp;($A456+11/24),tData[SEHTrajectPeriodeDatumTijdTotEnMet],"&gt;"&amp;($A456+11/24))</f>
        <v/>
      </c>
      <c r="P456" s="20">
        <f>COUNTIFS(tData[SEHTrajectPeriodeDatumTijdVan],"&lt;="&amp;($A456+12/24),tData[SEHTrajectPeriodeDatumTijdTotEnMet],"&gt;"&amp;($A456+12/24))</f>
        <v/>
      </c>
      <c r="Q456" s="20">
        <f>COUNTIFS(tData[SEHTrajectPeriodeDatumTijdVan],"&lt;="&amp;($A456+13/24),tData[SEHTrajectPeriodeDatumTijdTotEnMet],"&gt;"&amp;($A456+13/24))</f>
        <v/>
      </c>
      <c r="R456" s="20">
        <f>COUNTIFS(tData[SEHTrajectPeriodeDatumTijdVan],"&lt;="&amp;($A456+14/24),tData[SEHTrajectPeriodeDatumTijdTotEnMet],"&gt;"&amp;($A456+14/24))</f>
        <v/>
      </c>
      <c r="S456" s="20">
        <f>COUNTIFS(tData[SEHTrajectPeriodeDatumTijdVan],"&lt;="&amp;($A456+15/24),tData[SEHTrajectPeriodeDatumTijdTotEnMet],"&gt;"&amp;($A456+15/24))</f>
        <v/>
      </c>
      <c r="T456" s="20">
        <f>COUNTIFS(tData[SEHTrajectPeriodeDatumTijdVan],"&lt;="&amp;($A456+16/24),tData[SEHTrajectPeriodeDatumTijdTotEnMet],"&gt;"&amp;($A456+16/24))</f>
        <v/>
      </c>
      <c r="U456" s="20">
        <f>COUNTIFS(tData[SEHTrajectPeriodeDatumTijdVan],"&lt;="&amp;($A456+17/24),tData[SEHTrajectPeriodeDatumTijdTotEnMet],"&gt;"&amp;($A456+17/24))</f>
        <v/>
      </c>
      <c r="V456" s="20">
        <f>COUNTIFS(tData[SEHTrajectPeriodeDatumTijdVan],"&lt;="&amp;($A456+18/24),tData[SEHTrajectPeriodeDatumTijdTotEnMet],"&gt;"&amp;($A456+18/24))</f>
        <v/>
      </c>
      <c r="W456" s="20">
        <f>COUNTIFS(tData[SEHTrajectPeriodeDatumTijdVan],"&lt;="&amp;($A456+19/24),tData[SEHTrajectPeriodeDatumTijdTotEnMet],"&gt;"&amp;($A456+19/24))</f>
        <v/>
      </c>
      <c r="X456" s="20">
        <f>COUNTIFS(tData[SEHTrajectPeriodeDatumTijdVan],"&lt;="&amp;($A456+20/24),tData[SEHTrajectPeriodeDatumTijdTotEnMet],"&gt;"&amp;($A456+20/24))</f>
        <v/>
      </c>
      <c r="Y456" s="20">
        <f>COUNTIFS(tData[SEHTrajectPeriodeDatumTijdVan],"&lt;="&amp;($A456+21/24),tData[SEHTrajectPeriodeDatumTijdTotEnMet],"&gt;"&amp;($A456+21/24))</f>
        <v/>
      </c>
      <c r="Z456" s="20">
        <f>COUNTIFS(tData[SEHTrajectPeriodeDatumTijdVan],"&lt;="&amp;($A456+22/24),tData[SEHTrajectPeriodeDatumTijdTotEnMet],"&gt;"&amp;($A456+22/24))</f>
        <v/>
      </c>
      <c r="AA456" s="20">
        <f>COUNTIFS(tData[SEHTrajectPeriodeDatumTijdVan],"&lt;="&amp;($A456+23/24),tData[SEHTrajectPeriodeDatumTijdTotEnMet],"&gt;"&amp;($A456+23/24))</f>
        <v/>
      </c>
    </row>
    <row r="457">
      <c r="A457" s="19" t="n">
        <v>45745</v>
      </c>
      <c r="B457" s="15">
        <f>WEEKDAY($A457,2)</f>
        <v/>
      </c>
      <c r="C457" s="15">
        <f>IF(AND($A457&gt;=INT(Instellingen!$B$5),$A457&lt;=INT(Instellingen!$B$6)),1,0)</f>
        <v/>
      </c>
      <c r="D457" s="20">
        <f>COUNTIFS(tData[SEHTrajectPeriodeDatumTijdVan],"&lt;="&amp;($A457+0/24),tData[SEHTrajectPeriodeDatumTijdTotEnMet],"&gt;"&amp;($A457+0/24))</f>
        <v/>
      </c>
      <c r="E457" s="20">
        <f>COUNTIFS(tData[SEHTrajectPeriodeDatumTijdVan],"&lt;="&amp;($A457+1/24),tData[SEHTrajectPeriodeDatumTijdTotEnMet],"&gt;"&amp;($A457+1/24))</f>
        <v/>
      </c>
      <c r="F457" s="20">
        <f>COUNTIFS(tData[SEHTrajectPeriodeDatumTijdVan],"&lt;="&amp;($A457+2/24),tData[SEHTrajectPeriodeDatumTijdTotEnMet],"&gt;"&amp;($A457+2/24))</f>
        <v/>
      </c>
      <c r="G457" s="20">
        <f>COUNTIFS(tData[SEHTrajectPeriodeDatumTijdVan],"&lt;="&amp;($A457+3/24),tData[SEHTrajectPeriodeDatumTijdTotEnMet],"&gt;"&amp;($A457+3/24))</f>
        <v/>
      </c>
      <c r="H457" s="20">
        <f>COUNTIFS(tData[SEHTrajectPeriodeDatumTijdVan],"&lt;="&amp;($A457+4/24),tData[SEHTrajectPeriodeDatumTijdTotEnMet],"&gt;"&amp;($A457+4/24))</f>
        <v/>
      </c>
      <c r="I457" s="20">
        <f>COUNTIFS(tData[SEHTrajectPeriodeDatumTijdVan],"&lt;="&amp;($A457+5/24),tData[SEHTrajectPeriodeDatumTijdTotEnMet],"&gt;"&amp;($A457+5/24))</f>
        <v/>
      </c>
      <c r="J457" s="20">
        <f>COUNTIFS(tData[SEHTrajectPeriodeDatumTijdVan],"&lt;="&amp;($A457+6/24),tData[SEHTrajectPeriodeDatumTijdTotEnMet],"&gt;"&amp;($A457+6/24))</f>
        <v/>
      </c>
      <c r="K457" s="20">
        <f>COUNTIFS(tData[SEHTrajectPeriodeDatumTijdVan],"&lt;="&amp;($A457+7/24),tData[SEHTrajectPeriodeDatumTijdTotEnMet],"&gt;"&amp;($A457+7/24))</f>
        <v/>
      </c>
      <c r="L457" s="20">
        <f>COUNTIFS(tData[SEHTrajectPeriodeDatumTijdVan],"&lt;="&amp;($A457+8/24),tData[SEHTrajectPeriodeDatumTijdTotEnMet],"&gt;"&amp;($A457+8/24))</f>
        <v/>
      </c>
      <c r="M457" s="20">
        <f>COUNTIFS(tData[SEHTrajectPeriodeDatumTijdVan],"&lt;="&amp;($A457+9/24),tData[SEHTrajectPeriodeDatumTijdTotEnMet],"&gt;"&amp;($A457+9/24))</f>
        <v/>
      </c>
      <c r="N457" s="20">
        <f>COUNTIFS(tData[SEHTrajectPeriodeDatumTijdVan],"&lt;="&amp;($A457+10/24),tData[SEHTrajectPeriodeDatumTijdTotEnMet],"&gt;"&amp;($A457+10/24))</f>
        <v/>
      </c>
      <c r="O457" s="20">
        <f>COUNTIFS(tData[SEHTrajectPeriodeDatumTijdVan],"&lt;="&amp;($A457+11/24),tData[SEHTrajectPeriodeDatumTijdTotEnMet],"&gt;"&amp;($A457+11/24))</f>
        <v/>
      </c>
      <c r="P457" s="20">
        <f>COUNTIFS(tData[SEHTrajectPeriodeDatumTijdVan],"&lt;="&amp;($A457+12/24),tData[SEHTrajectPeriodeDatumTijdTotEnMet],"&gt;"&amp;($A457+12/24))</f>
        <v/>
      </c>
      <c r="Q457" s="20">
        <f>COUNTIFS(tData[SEHTrajectPeriodeDatumTijdVan],"&lt;="&amp;($A457+13/24),tData[SEHTrajectPeriodeDatumTijdTotEnMet],"&gt;"&amp;($A457+13/24))</f>
        <v/>
      </c>
      <c r="R457" s="20">
        <f>COUNTIFS(tData[SEHTrajectPeriodeDatumTijdVan],"&lt;="&amp;($A457+14/24),tData[SEHTrajectPeriodeDatumTijdTotEnMet],"&gt;"&amp;($A457+14/24))</f>
        <v/>
      </c>
      <c r="S457" s="20">
        <f>COUNTIFS(tData[SEHTrajectPeriodeDatumTijdVan],"&lt;="&amp;($A457+15/24),tData[SEHTrajectPeriodeDatumTijdTotEnMet],"&gt;"&amp;($A457+15/24))</f>
        <v/>
      </c>
      <c r="T457" s="20">
        <f>COUNTIFS(tData[SEHTrajectPeriodeDatumTijdVan],"&lt;="&amp;($A457+16/24),tData[SEHTrajectPeriodeDatumTijdTotEnMet],"&gt;"&amp;($A457+16/24))</f>
        <v/>
      </c>
      <c r="U457" s="20">
        <f>COUNTIFS(tData[SEHTrajectPeriodeDatumTijdVan],"&lt;="&amp;($A457+17/24),tData[SEHTrajectPeriodeDatumTijdTotEnMet],"&gt;"&amp;($A457+17/24))</f>
        <v/>
      </c>
      <c r="V457" s="20">
        <f>COUNTIFS(tData[SEHTrajectPeriodeDatumTijdVan],"&lt;="&amp;($A457+18/24),tData[SEHTrajectPeriodeDatumTijdTotEnMet],"&gt;"&amp;($A457+18/24))</f>
        <v/>
      </c>
      <c r="W457" s="20">
        <f>COUNTIFS(tData[SEHTrajectPeriodeDatumTijdVan],"&lt;="&amp;($A457+19/24),tData[SEHTrajectPeriodeDatumTijdTotEnMet],"&gt;"&amp;($A457+19/24))</f>
        <v/>
      </c>
      <c r="X457" s="20">
        <f>COUNTIFS(tData[SEHTrajectPeriodeDatumTijdVan],"&lt;="&amp;($A457+20/24),tData[SEHTrajectPeriodeDatumTijdTotEnMet],"&gt;"&amp;($A457+20/24))</f>
        <v/>
      </c>
      <c r="Y457" s="20">
        <f>COUNTIFS(tData[SEHTrajectPeriodeDatumTijdVan],"&lt;="&amp;($A457+21/24),tData[SEHTrajectPeriodeDatumTijdTotEnMet],"&gt;"&amp;($A457+21/24))</f>
        <v/>
      </c>
      <c r="Z457" s="20">
        <f>COUNTIFS(tData[SEHTrajectPeriodeDatumTijdVan],"&lt;="&amp;($A457+22/24),tData[SEHTrajectPeriodeDatumTijdTotEnMet],"&gt;"&amp;($A457+22/24))</f>
        <v/>
      </c>
      <c r="AA457" s="20">
        <f>COUNTIFS(tData[SEHTrajectPeriodeDatumTijdVan],"&lt;="&amp;($A457+23/24),tData[SEHTrajectPeriodeDatumTijdTotEnMet],"&gt;"&amp;($A457+23/24))</f>
        <v/>
      </c>
    </row>
    <row r="458">
      <c r="A458" s="19" t="n">
        <v>45746</v>
      </c>
      <c r="B458" s="15">
        <f>WEEKDAY($A458,2)</f>
        <v/>
      </c>
      <c r="C458" s="15">
        <f>IF(AND($A458&gt;=INT(Instellingen!$B$5),$A458&lt;=INT(Instellingen!$B$6)),1,0)</f>
        <v/>
      </c>
      <c r="D458" s="20">
        <f>COUNTIFS(tData[SEHTrajectPeriodeDatumTijdVan],"&lt;="&amp;($A458+0/24),tData[SEHTrajectPeriodeDatumTijdTotEnMet],"&gt;"&amp;($A458+0/24))</f>
        <v/>
      </c>
      <c r="E458" s="20">
        <f>COUNTIFS(tData[SEHTrajectPeriodeDatumTijdVan],"&lt;="&amp;($A458+1/24),tData[SEHTrajectPeriodeDatumTijdTotEnMet],"&gt;"&amp;($A458+1/24))</f>
        <v/>
      </c>
      <c r="F458" s="20">
        <f>COUNTIFS(tData[SEHTrajectPeriodeDatumTijdVan],"&lt;="&amp;($A458+2/24),tData[SEHTrajectPeriodeDatumTijdTotEnMet],"&gt;"&amp;($A458+2/24))</f>
        <v/>
      </c>
      <c r="G458" s="20">
        <f>COUNTIFS(tData[SEHTrajectPeriodeDatumTijdVan],"&lt;="&amp;($A458+3/24),tData[SEHTrajectPeriodeDatumTijdTotEnMet],"&gt;"&amp;($A458+3/24))</f>
        <v/>
      </c>
      <c r="H458" s="20">
        <f>COUNTIFS(tData[SEHTrajectPeriodeDatumTijdVan],"&lt;="&amp;($A458+4/24),tData[SEHTrajectPeriodeDatumTijdTotEnMet],"&gt;"&amp;($A458+4/24))</f>
        <v/>
      </c>
      <c r="I458" s="20">
        <f>COUNTIFS(tData[SEHTrajectPeriodeDatumTijdVan],"&lt;="&amp;($A458+5/24),tData[SEHTrajectPeriodeDatumTijdTotEnMet],"&gt;"&amp;($A458+5/24))</f>
        <v/>
      </c>
      <c r="J458" s="20">
        <f>COUNTIFS(tData[SEHTrajectPeriodeDatumTijdVan],"&lt;="&amp;($A458+6/24),tData[SEHTrajectPeriodeDatumTijdTotEnMet],"&gt;"&amp;($A458+6/24))</f>
        <v/>
      </c>
      <c r="K458" s="20">
        <f>COUNTIFS(tData[SEHTrajectPeriodeDatumTijdVan],"&lt;="&amp;($A458+7/24),tData[SEHTrajectPeriodeDatumTijdTotEnMet],"&gt;"&amp;($A458+7/24))</f>
        <v/>
      </c>
      <c r="L458" s="20">
        <f>COUNTIFS(tData[SEHTrajectPeriodeDatumTijdVan],"&lt;="&amp;($A458+8/24),tData[SEHTrajectPeriodeDatumTijdTotEnMet],"&gt;"&amp;($A458+8/24))</f>
        <v/>
      </c>
      <c r="M458" s="20">
        <f>COUNTIFS(tData[SEHTrajectPeriodeDatumTijdVan],"&lt;="&amp;($A458+9/24),tData[SEHTrajectPeriodeDatumTijdTotEnMet],"&gt;"&amp;($A458+9/24))</f>
        <v/>
      </c>
      <c r="N458" s="20">
        <f>COUNTIFS(tData[SEHTrajectPeriodeDatumTijdVan],"&lt;="&amp;($A458+10/24),tData[SEHTrajectPeriodeDatumTijdTotEnMet],"&gt;"&amp;($A458+10/24))</f>
        <v/>
      </c>
      <c r="O458" s="20">
        <f>COUNTIFS(tData[SEHTrajectPeriodeDatumTijdVan],"&lt;="&amp;($A458+11/24),tData[SEHTrajectPeriodeDatumTijdTotEnMet],"&gt;"&amp;($A458+11/24))</f>
        <v/>
      </c>
      <c r="P458" s="20">
        <f>COUNTIFS(tData[SEHTrajectPeriodeDatumTijdVan],"&lt;="&amp;($A458+12/24),tData[SEHTrajectPeriodeDatumTijdTotEnMet],"&gt;"&amp;($A458+12/24))</f>
        <v/>
      </c>
      <c r="Q458" s="20">
        <f>COUNTIFS(tData[SEHTrajectPeriodeDatumTijdVan],"&lt;="&amp;($A458+13/24),tData[SEHTrajectPeriodeDatumTijdTotEnMet],"&gt;"&amp;($A458+13/24))</f>
        <v/>
      </c>
      <c r="R458" s="20">
        <f>COUNTIFS(tData[SEHTrajectPeriodeDatumTijdVan],"&lt;="&amp;($A458+14/24),tData[SEHTrajectPeriodeDatumTijdTotEnMet],"&gt;"&amp;($A458+14/24))</f>
        <v/>
      </c>
      <c r="S458" s="20">
        <f>COUNTIFS(tData[SEHTrajectPeriodeDatumTijdVan],"&lt;="&amp;($A458+15/24),tData[SEHTrajectPeriodeDatumTijdTotEnMet],"&gt;"&amp;($A458+15/24))</f>
        <v/>
      </c>
      <c r="T458" s="20">
        <f>COUNTIFS(tData[SEHTrajectPeriodeDatumTijdVan],"&lt;="&amp;($A458+16/24),tData[SEHTrajectPeriodeDatumTijdTotEnMet],"&gt;"&amp;($A458+16/24))</f>
        <v/>
      </c>
      <c r="U458" s="20">
        <f>COUNTIFS(tData[SEHTrajectPeriodeDatumTijdVan],"&lt;="&amp;($A458+17/24),tData[SEHTrajectPeriodeDatumTijdTotEnMet],"&gt;"&amp;($A458+17/24))</f>
        <v/>
      </c>
      <c r="V458" s="20">
        <f>COUNTIFS(tData[SEHTrajectPeriodeDatumTijdVan],"&lt;="&amp;($A458+18/24),tData[SEHTrajectPeriodeDatumTijdTotEnMet],"&gt;"&amp;($A458+18/24))</f>
        <v/>
      </c>
      <c r="W458" s="20">
        <f>COUNTIFS(tData[SEHTrajectPeriodeDatumTijdVan],"&lt;="&amp;($A458+19/24),tData[SEHTrajectPeriodeDatumTijdTotEnMet],"&gt;"&amp;($A458+19/24))</f>
        <v/>
      </c>
      <c r="X458" s="20">
        <f>COUNTIFS(tData[SEHTrajectPeriodeDatumTijdVan],"&lt;="&amp;($A458+20/24),tData[SEHTrajectPeriodeDatumTijdTotEnMet],"&gt;"&amp;($A458+20/24))</f>
        <v/>
      </c>
      <c r="Y458" s="20">
        <f>COUNTIFS(tData[SEHTrajectPeriodeDatumTijdVan],"&lt;="&amp;($A458+21/24),tData[SEHTrajectPeriodeDatumTijdTotEnMet],"&gt;"&amp;($A458+21/24))</f>
        <v/>
      </c>
      <c r="Z458" s="20">
        <f>COUNTIFS(tData[SEHTrajectPeriodeDatumTijdVan],"&lt;="&amp;($A458+22/24),tData[SEHTrajectPeriodeDatumTijdTotEnMet],"&gt;"&amp;($A458+22/24))</f>
        <v/>
      </c>
      <c r="AA458" s="20">
        <f>COUNTIFS(tData[SEHTrajectPeriodeDatumTijdVan],"&lt;="&amp;($A458+23/24),tData[SEHTrajectPeriodeDatumTijdTotEnMet],"&gt;"&amp;($A458+23/24))</f>
        <v/>
      </c>
    </row>
    <row r="459">
      <c r="A459" s="19" t="n">
        <v>45747</v>
      </c>
      <c r="B459" s="15">
        <f>WEEKDAY($A459,2)</f>
        <v/>
      </c>
      <c r="C459" s="15">
        <f>IF(AND($A459&gt;=INT(Instellingen!$B$5),$A459&lt;=INT(Instellingen!$B$6)),1,0)</f>
        <v/>
      </c>
      <c r="D459" s="20">
        <f>COUNTIFS(tData[SEHTrajectPeriodeDatumTijdVan],"&lt;="&amp;($A459+0/24),tData[SEHTrajectPeriodeDatumTijdTotEnMet],"&gt;"&amp;($A459+0/24))</f>
        <v/>
      </c>
      <c r="E459" s="20">
        <f>COUNTIFS(tData[SEHTrajectPeriodeDatumTijdVan],"&lt;="&amp;($A459+1/24),tData[SEHTrajectPeriodeDatumTijdTotEnMet],"&gt;"&amp;($A459+1/24))</f>
        <v/>
      </c>
      <c r="F459" s="20">
        <f>COUNTIFS(tData[SEHTrajectPeriodeDatumTijdVan],"&lt;="&amp;($A459+2/24),tData[SEHTrajectPeriodeDatumTijdTotEnMet],"&gt;"&amp;($A459+2/24))</f>
        <v/>
      </c>
      <c r="G459" s="20">
        <f>COUNTIFS(tData[SEHTrajectPeriodeDatumTijdVan],"&lt;="&amp;($A459+3/24),tData[SEHTrajectPeriodeDatumTijdTotEnMet],"&gt;"&amp;($A459+3/24))</f>
        <v/>
      </c>
      <c r="H459" s="20">
        <f>COUNTIFS(tData[SEHTrajectPeriodeDatumTijdVan],"&lt;="&amp;($A459+4/24),tData[SEHTrajectPeriodeDatumTijdTotEnMet],"&gt;"&amp;($A459+4/24))</f>
        <v/>
      </c>
      <c r="I459" s="20">
        <f>COUNTIFS(tData[SEHTrajectPeriodeDatumTijdVan],"&lt;="&amp;($A459+5/24),tData[SEHTrajectPeriodeDatumTijdTotEnMet],"&gt;"&amp;($A459+5/24))</f>
        <v/>
      </c>
      <c r="J459" s="20">
        <f>COUNTIFS(tData[SEHTrajectPeriodeDatumTijdVan],"&lt;="&amp;($A459+6/24),tData[SEHTrajectPeriodeDatumTijdTotEnMet],"&gt;"&amp;($A459+6/24))</f>
        <v/>
      </c>
      <c r="K459" s="20">
        <f>COUNTIFS(tData[SEHTrajectPeriodeDatumTijdVan],"&lt;="&amp;($A459+7/24),tData[SEHTrajectPeriodeDatumTijdTotEnMet],"&gt;"&amp;($A459+7/24))</f>
        <v/>
      </c>
      <c r="L459" s="20">
        <f>COUNTIFS(tData[SEHTrajectPeriodeDatumTijdVan],"&lt;="&amp;($A459+8/24),tData[SEHTrajectPeriodeDatumTijdTotEnMet],"&gt;"&amp;($A459+8/24))</f>
        <v/>
      </c>
      <c r="M459" s="20">
        <f>COUNTIFS(tData[SEHTrajectPeriodeDatumTijdVan],"&lt;="&amp;($A459+9/24),tData[SEHTrajectPeriodeDatumTijdTotEnMet],"&gt;"&amp;($A459+9/24))</f>
        <v/>
      </c>
      <c r="N459" s="20">
        <f>COUNTIFS(tData[SEHTrajectPeriodeDatumTijdVan],"&lt;="&amp;($A459+10/24),tData[SEHTrajectPeriodeDatumTijdTotEnMet],"&gt;"&amp;($A459+10/24))</f>
        <v/>
      </c>
      <c r="O459" s="20">
        <f>COUNTIFS(tData[SEHTrajectPeriodeDatumTijdVan],"&lt;="&amp;($A459+11/24),tData[SEHTrajectPeriodeDatumTijdTotEnMet],"&gt;"&amp;($A459+11/24))</f>
        <v/>
      </c>
      <c r="P459" s="20">
        <f>COUNTIFS(tData[SEHTrajectPeriodeDatumTijdVan],"&lt;="&amp;($A459+12/24),tData[SEHTrajectPeriodeDatumTijdTotEnMet],"&gt;"&amp;($A459+12/24))</f>
        <v/>
      </c>
      <c r="Q459" s="20">
        <f>COUNTIFS(tData[SEHTrajectPeriodeDatumTijdVan],"&lt;="&amp;($A459+13/24),tData[SEHTrajectPeriodeDatumTijdTotEnMet],"&gt;"&amp;($A459+13/24))</f>
        <v/>
      </c>
      <c r="R459" s="20">
        <f>COUNTIFS(tData[SEHTrajectPeriodeDatumTijdVan],"&lt;="&amp;($A459+14/24),tData[SEHTrajectPeriodeDatumTijdTotEnMet],"&gt;"&amp;($A459+14/24))</f>
        <v/>
      </c>
      <c r="S459" s="20">
        <f>COUNTIFS(tData[SEHTrajectPeriodeDatumTijdVan],"&lt;="&amp;($A459+15/24),tData[SEHTrajectPeriodeDatumTijdTotEnMet],"&gt;"&amp;($A459+15/24))</f>
        <v/>
      </c>
      <c r="T459" s="20">
        <f>COUNTIFS(tData[SEHTrajectPeriodeDatumTijdVan],"&lt;="&amp;($A459+16/24),tData[SEHTrajectPeriodeDatumTijdTotEnMet],"&gt;"&amp;($A459+16/24))</f>
        <v/>
      </c>
      <c r="U459" s="20">
        <f>COUNTIFS(tData[SEHTrajectPeriodeDatumTijdVan],"&lt;="&amp;($A459+17/24),tData[SEHTrajectPeriodeDatumTijdTotEnMet],"&gt;"&amp;($A459+17/24))</f>
        <v/>
      </c>
      <c r="V459" s="20">
        <f>COUNTIFS(tData[SEHTrajectPeriodeDatumTijdVan],"&lt;="&amp;($A459+18/24),tData[SEHTrajectPeriodeDatumTijdTotEnMet],"&gt;"&amp;($A459+18/24))</f>
        <v/>
      </c>
      <c r="W459" s="20">
        <f>COUNTIFS(tData[SEHTrajectPeriodeDatumTijdVan],"&lt;="&amp;($A459+19/24),tData[SEHTrajectPeriodeDatumTijdTotEnMet],"&gt;"&amp;($A459+19/24))</f>
        <v/>
      </c>
      <c r="X459" s="20">
        <f>COUNTIFS(tData[SEHTrajectPeriodeDatumTijdVan],"&lt;="&amp;($A459+20/24),tData[SEHTrajectPeriodeDatumTijdTotEnMet],"&gt;"&amp;($A459+20/24))</f>
        <v/>
      </c>
      <c r="Y459" s="20">
        <f>COUNTIFS(tData[SEHTrajectPeriodeDatumTijdVan],"&lt;="&amp;($A459+21/24),tData[SEHTrajectPeriodeDatumTijdTotEnMet],"&gt;"&amp;($A459+21/24))</f>
        <v/>
      </c>
      <c r="Z459" s="20">
        <f>COUNTIFS(tData[SEHTrajectPeriodeDatumTijdVan],"&lt;="&amp;($A459+22/24),tData[SEHTrajectPeriodeDatumTijdTotEnMet],"&gt;"&amp;($A459+22/24))</f>
        <v/>
      </c>
      <c r="AA459" s="20">
        <f>COUNTIFS(tData[SEHTrajectPeriodeDatumTijdVan],"&lt;="&amp;($A459+23/24),tData[SEHTrajectPeriodeDatumTijdTotEnMet],"&gt;"&amp;($A459+23/24))</f>
        <v/>
      </c>
    </row>
    <row r="460">
      <c r="A460" s="19" t="n">
        <v>45748</v>
      </c>
      <c r="B460" s="15">
        <f>WEEKDAY($A460,2)</f>
        <v/>
      </c>
      <c r="C460" s="15">
        <f>IF(AND($A460&gt;=INT(Instellingen!$B$5),$A460&lt;=INT(Instellingen!$B$6)),1,0)</f>
        <v/>
      </c>
      <c r="D460" s="20">
        <f>COUNTIFS(tData[SEHTrajectPeriodeDatumTijdVan],"&lt;="&amp;($A460+0/24),tData[SEHTrajectPeriodeDatumTijdTotEnMet],"&gt;"&amp;($A460+0/24))</f>
        <v/>
      </c>
      <c r="E460" s="20">
        <f>COUNTIFS(tData[SEHTrajectPeriodeDatumTijdVan],"&lt;="&amp;($A460+1/24),tData[SEHTrajectPeriodeDatumTijdTotEnMet],"&gt;"&amp;($A460+1/24))</f>
        <v/>
      </c>
      <c r="F460" s="20">
        <f>COUNTIFS(tData[SEHTrajectPeriodeDatumTijdVan],"&lt;="&amp;($A460+2/24),tData[SEHTrajectPeriodeDatumTijdTotEnMet],"&gt;"&amp;($A460+2/24))</f>
        <v/>
      </c>
      <c r="G460" s="20">
        <f>COUNTIFS(tData[SEHTrajectPeriodeDatumTijdVan],"&lt;="&amp;($A460+3/24),tData[SEHTrajectPeriodeDatumTijdTotEnMet],"&gt;"&amp;($A460+3/24))</f>
        <v/>
      </c>
      <c r="H460" s="20">
        <f>COUNTIFS(tData[SEHTrajectPeriodeDatumTijdVan],"&lt;="&amp;($A460+4/24),tData[SEHTrajectPeriodeDatumTijdTotEnMet],"&gt;"&amp;($A460+4/24))</f>
        <v/>
      </c>
      <c r="I460" s="20">
        <f>COUNTIFS(tData[SEHTrajectPeriodeDatumTijdVan],"&lt;="&amp;($A460+5/24),tData[SEHTrajectPeriodeDatumTijdTotEnMet],"&gt;"&amp;($A460+5/24))</f>
        <v/>
      </c>
      <c r="J460" s="20">
        <f>COUNTIFS(tData[SEHTrajectPeriodeDatumTijdVan],"&lt;="&amp;($A460+6/24),tData[SEHTrajectPeriodeDatumTijdTotEnMet],"&gt;"&amp;($A460+6/24))</f>
        <v/>
      </c>
      <c r="K460" s="20">
        <f>COUNTIFS(tData[SEHTrajectPeriodeDatumTijdVan],"&lt;="&amp;($A460+7/24),tData[SEHTrajectPeriodeDatumTijdTotEnMet],"&gt;"&amp;($A460+7/24))</f>
        <v/>
      </c>
      <c r="L460" s="20">
        <f>COUNTIFS(tData[SEHTrajectPeriodeDatumTijdVan],"&lt;="&amp;($A460+8/24),tData[SEHTrajectPeriodeDatumTijdTotEnMet],"&gt;"&amp;($A460+8/24))</f>
        <v/>
      </c>
      <c r="M460" s="20">
        <f>COUNTIFS(tData[SEHTrajectPeriodeDatumTijdVan],"&lt;="&amp;($A460+9/24),tData[SEHTrajectPeriodeDatumTijdTotEnMet],"&gt;"&amp;($A460+9/24))</f>
        <v/>
      </c>
      <c r="N460" s="20">
        <f>COUNTIFS(tData[SEHTrajectPeriodeDatumTijdVan],"&lt;="&amp;($A460+10/24),tData[SEHTrajectPeriodeDatumTijdTotEnMet],"&gt;"&amp;($A460+10/24))</f>
        <v/>
      </c>
      <c r="O460" s="20">
        <f>COUNTIFS(tData[SEHTrajectPeriodeDatumTijdVan],"&lt;="&amp;($A460+11/24),tData[SEHTrajectPeriodeDatumTijdTotEnMet],"&gt;"&amp;($A460+11/24))</f>
        <v/>
      </c>
      <c r="P460" s="20">
        <f>COUNTIFS(tData[SEHTrajectPeriodeDatumTijdVan],"&lt;="&amp;($A460+12/24),tData[SEHTrajectPeriodeDatumTijdTotEnMet],"&gt;"&amp;($A460+12/24))</f>
        <v/>
      </c>
      <c r="Q460" s="20">
        <f>COUNTIFS(tData[SEHTrajectPeriodeDatumTijdVan],"&lt;="&amp;($A460+13/24),tData[SEHTrajectPeriodeDatumTijdTotEnMet],"&gt;"&amp;($A460+13/24))</f>
        <v/>
      </c>
      <c r="R460" s="20">
        <f>COUNTIFS(tData[SEHTrajectPeriodeDatumTijdVan],"&lt;="&amp;($A460+14/24),tData[SEHTrajectPeriodeDatumTijdTotEnMet],"&gt;"&amp;($A460+14/24))</f>
        <v/>
      </c>
      <c r="S460" s="20">
        <f>COUNTIFS(tData[SEHTrajectPeriodeDatumTijdVan],"&lt;="&amp;($A460+15/24),tData[SEHTrajectPeriodeDatumTijdTotEnMet],"&gt;"&amp;($A460+15/24))</f>
        <v/>
      </c>
      <c r="T460" s="20">
        <f>COUNTIFS(tData[SEHTrajectPeriodeDatumTijdVan],"&lt;="&amp;($A460+16/24),tData[SEHTrajectPeriodeDatumTijdTotEnMet],"&gt;"&amp;($A460+16/24))</f>
        <v/>
      </c>
      <c r="U460" s="20">
        <f>COUNTIFS(tData[SEHTrajectPeriodeDatumTijdVan],"&lt;="&amp;($A460+17/24),tData[SEHTrajectPeriodeDatumTijdTotEnMet],"&gt;"&amp;($A460+17/24))</f>
        <v/>
      </c>
      <c r="V460" s="20">
        <f>COUNTIFS(tData[SEHTrajectPeriodeDatumTijdVan],"&lt;="&amp;($A460+18/24),tData[SEHTrajectPeriodeDatumTijdTotEnMet],"&gt;"&amp;($A460+18/24))</f>
        <v/>
      </c>
      <c r="W460" s="20">
        <f>COUNTIFS(tData[SEHTrajectPeriodeDatumTijdVan],"&lt;="&amp;($A460+19/24),tData[SEHTrajectPeriodeDatumTijdTotEnMet],"&gt;"&amp;($A460+19/24))</f>
        <v/>
      </c>
      <c r="X460" s="20">
        <f>COUNTIFS(tData[SEHTrajectPeriodeDatumTijdVan],"&lt;="&amp;($A460+20/24),tData[SEHTrajectPeriodeDatumTijdTotEnMet],"&gt;"&amp;($A460+20/24))</f>
        <v/>
      </c>
      <c r="Y460" s="20">
        <f>COUNTIFS(tData[SEHTrajectPeriodeDatumTijdVan],"&lt;="&amp;($A460+21/24),tData[SEHTrajectPeriodeDatumTijdTotEnMet],"&gt;"&amp;($A460+21/24))</f>
        <v/>
      </c>
      <c r="Z460" s="20">
        <f>COUNTIFS(tData[SEHTrajectPeriodeDatumTijdVan],"&lt;="&amp;($A460+22/24),tData[SEHTrajectPeriodeDatumTijdTotEnMet],"&gt;"&amp;($A460+22/24))</f>
        <v/>
      </c>
      <c r="AA460" s="20">
        <f>COUNTIFS(tData[SEHTrajectPeriodeDatumTijdVan],"&lt;="&amp;($A460+23/24),tData[SEHTrajectPeriodeDatumTijdTotEnMet],"&gt;"&amp;($A460+23/24))</f>
        <v/>
      </c>
    </row>
    <row r="461">
      <c r="A461" s="19" t="n">
        <v>45749</v>
      </c>
      <c r="B461" s="15">
        <f>WEEKDAY($A461,2)</f>
        <v/>
      </c>
      <c r="C461" s="15">
        <f>IF(AND($A461&gt;=INT(Instellingen!$B$5),$A461&lt;=INT(Instellingen!$B$6)),1,0)</f>
        <v/>
      </c>
      <c r="D461" s="20">
        <f>COUNTIFS(tData[SEHTrajectPeriodeDatumTijdVan],"&lt;="&amp;($A461+0/24),tData[SEHTrajectPeriodeDatumTijdTotEnMet],"&gt;"&amp;($A461+0/24))</f>
        <v/>
      </c>
      <c r="E461" s="20">
        <f>COUNTIFS(tData[SEHTrajectPeriodeDatumTijdVan],"&lt;="&amp;($A461+1/24),tData[SEHTrajectPeriodeDatumTijdTotEnMet],"&gt;"&amp;($A461+1/24))</f>
        <v/>
      </c>
      <c r="F461" s="20">
        <f>COUNTIFS(tData[SEHTrajectPeriodeDatumTijdVan],"&lt;="&amp;($A461+2/24),tData[SEHTrajectPeriodeDatumTijdTotEnMet],"&gt;"&amp;($A461+2/24))</f>
        <v/>
      </c>
      <c r="G461" s="20">
        <f>COUNTIFS(tData[SEHTrajectPeriodeDatumTijdVan],"&lt;="&amp;($A461+3/24),tData[SEHTrajectPeriodeDatumTijdTotEnMet],"&gt;"&amp;($A461+3/24))</f>
        <v/>
      </c>
      <c r="H461" s="20">
        <f>COUNTIFS(tData[SEHTrajectPeriodeDatumTijdVan],"&lt;="&amp;($A461+4/24),tData[SEHTrajectPeriodeDatumTijdTotEnMet],"&gt;"&amp;($A461+4/24))</f>
        <v/>
      </c>
      <c r="I461" s="20">
        <f>COUNTIFS(tData[SEHTrajectPeriodeDatumTijdVan],"&lt;="&amp;($A461+5/24),tData[SEHTrajectPeriodeDatumTijdTotEnMet],"&gt;"&amp;($A461+5/24))</f>
        <v/>
      </c>
      <c r="J461" s="20">
        <f>COUNTIFS(tData[SEHTrajectPeriodeDatumTijdVan],"&lt;="&amp;($A461+6/24),tData[SEHTrajectPeriodeDatumTijdTotEnMet],"&gt;"&amp;($A461+6/24))</f>
        <v/>
      </c>
      <c r="K461" s="20">
        <f>COUNTIFS(tData[SEHTrajectPeriodeDatumTijdVan],"&lt;="&amp;($A461+7/24),tData[SEHTrajectPeriodeDatumTijdTotEnMet],"&gt;"&amp;($A461+7/24))</f>
        <v/>
      </c>
      <c r="L461" s="20">
        <f>COUNTIFS(tData[SEHTrajectPeriodeDatumTijdVan],"&lt;="&amp;($A461+8/24),tData[SEHTrajectPeriodeDatumTijdTotEnMet],"&gt;"&amp;($A461+8/24))</f>
        <v/>
      </c>
      <c r="M461" s="20">
        <f>COUNTIFS(tData[SEHTrajectPeriodeDatumTijdVan],"&lt;="&amp;($A461+9/24),tData[SEHTrajectPeriodeDatumTijdTotEnMet],"&gt;"&amp;($A461+9/24))</f>
        <v/>
      </c>
      <c r="N461" s="20">
        <f>COUNTIFS(tData[SEHTrajectPeriodeDatumTijdVan],"&lt;="&amp;($A461+10/24),tData[SEHTrajectPeriodeDatumTijdTotEnMet],"&gt;"&amp;($A461+10/24))</f>
        <v/>
      </c>
      <c r="O461" s="20">
        <f>COUNTIFS(tData[SEHTrajectPeriodeDatumTijdVan],"&lt;="&amp;($A461+11/24),tData[SEHTrajectPeriodeDatumTijdTotEnMet],"&gt;"&amp;($A461+11/24))</f>
        <v/>
      </c>
      <c r="P461" s="20">
        <f>COUNTIFS(tData[SEHTrajectPeriodeDatumTijdVan],"&lt;="&amp;($A461+12/24),tData[SEHTrajectPeriodeDatumTijdTotEnMet],"&gt;"&amp;($A461+12/24))</f>
        <v/>
      </c>
      <c r="Q461" s="20">
        <f>COUNTIFS(tData[SEHTrajectPeriodeDatumTijdVan],"&lt;="&amp;($A461+13/24),tData[SEHTrajectPeriodeDatumTijdTotEnMet],"&gt;"&amp;($A461+13/24))</f>
        <v/>
      </c>
      <c r="R461" s="20">
        <f>COUNTIFS(tData[SEHTrajectPeriodeDatumTijdVan],"&lt;="&amp;($A461+14/24),tData[SEHTrajectPeriodeDatumTijdTotEnMet],"&gt;"&amp;($A461+14/24))</f>
        <v/>
      </c>
      <c r="S461" s="20">
        <f>COUNTIFS(tData[SEHTrajectPeriodeDatumTijdVan],"&lt;="&amp;($A461+15/24),tData[SEHTrajectPeriodeDatumTijdTotEnMet],"&gt;"&amp;($A461+15/24))</f>
        <v/>
      </c>
      <c r="T461" s="20">
        <f>COUNTIFS(tData[SEHTrajectPeriodeDatumTijdVan],"&lt;="&amp;($A461+16/24),tData[SEHTrajectPeriodeDatumTijdTotEnMet],"&gt;"&amp;($A461+16/24))</f>
        <v/>
      </c>
      <c r="U461" s="20">
        <f>COUNTIFS(tData[SEHTrajectPeriodeDatumTijdVan],"&lt;="&amp;($A461+17/24),tData[SEHTrajectPeriodeDatumTijdTotEnMet],"&gt;"&amp;($A461+17/24))</f>
        <v/>
      </c>
      <c r="V461" s="20">
        <f>COUNTIFS(tData[SEHTrajectPeriodeDatumTijdVan],"&lt;="&amp;($A461+18/24),tData[SEHTrajectPeriodeDatumTijdTotEnMet],"&gt;"&amp;($A461+18/24))</f>
        <v/>
      </c>
      <c r="W461" s="20">
        <f>COUNTIFS(tData[SEHTrajectPeriodeDatumTijdVan],"&lt;="&amp;($A461+19/24),tData[SEHTrajectPeriodeDatumTijdTotEnMet],"&gt;"&amp;($A461+19/24))</f>
        <v/>
      </c>
      <c r="X461" s="20">
        <f>COUNTIFS(tData[SEHTrajectPeriodeDatumTijdVan],"&lt;="&amp;($A461+20/24),tData[SEHTrajectPeriodeDatumTijdTotEnMet],"&gt;"&amp;($A461+20/24))</f>
        <v/>
      </c>
      <c r="Y461" s="20">
        <f>COUNTIFS(tData[SEHTrajectPeriodeDatumTijdVan],"&lt;="&amp;($A461+21/24),tData[SEHTrajectPeriodeDatumTijdTotEnMet],"&gt;"&amp;($A461+21/24))</f>
        <v/>
      </c>
      <c r="Z461" s="20">
        <f>COUNTIFS(tData[SEHTrajectPeriodeDatumTijdVan],"&lt;="&amp;($A461+22/24),tData[SEHTrajectPeriodeDatumTijdTotEnMet],"&gt;"&amp;($A461+22/24))</f>
        <v/>
      </c>
      <c r="AA461" s="20">
        <f>COUNTIFS(tData[SEHTrajectPeriodeDatumTijdVan],"&lt;="&amp;($A461+23/24),tData[SEHTrajectPeriodeDatumTijdTotEnMet],"&gt;"&amp;($A461+23/24))</f>
        <v/>
      </c>
    </row>
    <row r="462">
      <c r="A462" s="19" t="n">
        <v>45750</v>
      </c>
      <c r="B462" s="15">
        <f>WEEKDAY($A462,2)</f>
        <v/>
      </c>
      <c r="C462" s="15">
        <f>IF(AND($A462&gt;=INT(Instellingen!$B$5),$A462&lt;=INT(Instellingen!$B$6)),1,0)</f>
        <v/>
      </c>
      <c r="D462" s="20">
        <f>COUNTIFS(tData[SEHTrajectPeriodeDatumTijdVan],"&lt;="&amp;($A462+0/24),tData[SEHTrajectPeriodeDatumTijdTotEnMet],"&gt;"&amp;($A462+0/24))</f>
        <v/>
      </c>
      <c r="E462" s="20">
        <f>COUNTIFS(tData[SEHTrajectPeriodeDatumTijdVan],"&lt;="&amp;($A462+1/24),tData[SEHTrajectPeriodeDatumTijdTotEnMet],"&gt;"&amp;($A462+1/24))</f>
        <v/>
      </c>
      <c r="F462" s="20">
        <f>COUNTIFS(tData[SEHTrajectPeriodeDatumTijdVan],"&lt;="&amp;($A462+2/24),tData[SEHTrajectPeriodeDatumTijdTotEnMet],"&gt;"&amp;($A462+2/24))</f>
        <v/>
      </c>
      <c r="G462" s="20">
        <f>COUNTIFS(tData[SEHTrajectPeriodeDatumTijdVan],"&lt;="&amp;($A462+3/24),tData[SEHTrajectPeriodeDatumTijdTotEnMet],"&gt;"&amp;($A462+3/24))</f>
        <v/>
      </c>
      <c r="H462" s="20">
        <f>COUNTIFS(tData[SEHTrajectPeriodeDatumTijdVan],"&lt;="&amp;($A462+4/24),tData[SEHTrajectPeriodeDatumTijdTotEnMet],"&gt;"&amp;($A462+4/24))</f>
        <v/>
      </c>
      <c r="I462" s="20">
        <f>COUNTIFS(tData[SEHTrajectPeriodeDatumTijdVan],"&lt;="&amp;($A462+5/24),tData[SEHTrajectPeriodeDatumTijdTotEnMet],"&gt;"&amp;($A462+5/24))</f>
        <v/>
      </c>
      <c r="J462" s="20">
        <f>COUNTIFS(tData[SEHTrajectPeriodeDatumTijdVan],"&lt;="&amp;($A462+6/24),tData[SEHTrajectPeriodeDatumTijdTotEnMet],"&gt;"&amp;($A462+6/24))</f>
        <v/>
      </c>
      <c r="K462" s="20">
        <f>COUNTIFS(tData[SEHTrajectPeriodeDatumTijdVan],"&lt;="&amp;($A462+7/24),tData[SEHTrajectPeriodeDatumTijdTotEnMet],"&gt;"&amp;($A462+7/24))</f>
        <v/>
      </c>
      <c r="L462" s="20">
        <f>COUNTIFS(tData[SEHTrajectPeriodeDatumTijdVan],"&lt;="&amp;($A462+8/24),tData[SEHTrajectPeriodeDatumTijdTotEnMet],"&gt;"&amp;($A462+8/24))</f>
        <v/>
      </c>
      <c r="M462" s="20">
        <f>COUNTIFS(tData[SEHTrajectPeriodeDatumTijdVan],"&lt;="&amp;($A462+9/24),tData[SEHTrajectPeriodeDatumTijdTotEnMet],"&gt;"&amp;($A462+9/24))</f>
        <v/>
      </c>
      <c r="N462" s="20">
        <f>COUNTIFS(tData[SEHTrajectPeriodeDatumTijdVan],"&lt;="&amp;($A462+10/24),tData[SEHTrajectPeriodeDatumTijdTotEnMet],"&gt;"&amp;($A462+10/24))</f>
        <v/>
      </c>
      <c r="O462" s="20">
        <f>COUNTIFS(tData[SEHTrajectPeriodeDatumTijdVan],"&lt;="&amp;($A462+11/24),tData[SEHTrajectPeriodeDatumTijdTotEnMet],"&gt;"&amp;($A462+11/24))</f>
        <v/>
      </c>
      <c r="P462" s="20">
        <f>COUNTIFS(tData[SEHTrajectPeriodeDatumTijdVan],"&lt;="&amp;($A462+12/24),tData[SEHTrajectPeriodeDatumTijdTotEnMet],"&gt;"&amp;($A462+12/24))</f>
        <v/>
      </c>
      <c r="Q462" s="20">
        <f>COUNTIFS(tData[SEHTrajectPeriodeDatumTijdVan],"&lt;="&amp;($A462+13/24),tData[SEHTrajectPeriodeDatumTijdTotEnMet],"&gt;"&amp;($A462+13/24))</f>
        <v/>
      </c>
      <c r="R462" s="20">
        <f>COUNTIFS(tData[SEHTrajectPeriodeDatumTijdVan],"&lt;="&amp;($A462+14/24),tData[SEHTrajectPeriodeDatumTijdTotEnMet],"&gt;"&amp;($A462+14/24))</f>
        <v/>
      </c>
      <c r="S462" s="20">
        <f>COUNTIFS(tData[SEHTrajectPeriodeDatumTijdVan],"&lt;="&amp;($A462+15/24),tData[SEHTrajectPeriodeDatumTijdTotEnMet],"&gt;"&amp;($A462+15/24))</f>
        <v/>
      </c>
      <c r="T462" s="20">
        <f>COUNTIFS(tData[SEHTrajectPeriodeDatumTijdVan],"&lt;="&amp;($A462+16/24),tData[SEHTrajectPeriodeDatumTijdTotEnMet],"&gt;"&amp;($A462+16/24))</f>
        <v/>
      </c>
      <c r="U462" s="20">
        <f>COUNTIFS(tData[SEHTrajectPeriodeDatumTijdVan],"&lt;="&amp;($A462+17/24),tData[SEHTrajectPeriodeDatumTijdTotEnMet],"&gt;"&amp;($A462+17/24))</f>
        <v/>
      </c>
      <c r="V462" s="20">
        <f>COUNTIFS(tData[SEHTrajectPeriodeDatumTijdVan],"&lt;="&amp;($A462+18/24),tData[SEHTrajectPeriodeDatumTijdTotEnMet],"&gt;"&amp;($A462+18/24))</f>
        <v/>
      </c>
      <c r="W462" s="20">
        <f>COUNTIFS(tData[SEHTrajectPeriodeDatumTijdVan],"&lt;="&amp;($A462+19/24),tData[SEHTrajectPeriodeDatumTijdTotEnMet],"&gt;"&amp;($A462+19/24))</f>
        <v/>
      </c>
      <c r="X462" s="20">
        <f>COUNTIFS(tData[SEHTrajectPeriodeDatumTijdVan],"&lt;="&amp;($A462+20/24),tData[SEHTrajectPeriodeDatumTijdTotEnMet],"&gt;"&amp;($A462+20/24))</f>
        <v/>
      </c>
      <c r="Y462" s="20">
        <f>COUNTIFS(tData[SEHTrajectPeriodeDatumTijdVan],"&lt;="&amp;($A462+21/24),tData[SEHTrajectPeriodeDatumTijdTotEnMet],"&gt;"&amp;($A462+21/24))</f>
        <v/>
      </c>
      <c r="Z462" s="20">
        <f>COUNTIFS(tData[SEHTrajectPeriodeDatumTijdVan],"&lt;="&amp;($A462+22/24),tData[SEHTrajectPeriodeDatumTijdTotEnMet],"&gt;"&amp;($A462+22/24))</f>
        <v/>
      </c>
      <c r="AA462" s="20">
        <f>COUNTIFS(tData[SEHTrajectPeriodeDatumTijdVan],"&lt;="&amp;($A462+23/24),tData[SEHTrajectPeriodeDatumTijdTotEnMet],"&gt;"&amp;($A462+23/24))</f>
        <v/>
      </c>
    </row>
    <row r="463">
      <c r="A463" s="19" t="n">
        <v>45751</v>
      </c>
      <c r="B463" s="15">
        <f>WEEKDAY($A463,2)</f>
        <v/>
      </c>
      <c r="C463" s="15">
        <f>IF(AND($A463&gt;=INT(Instellingen!$B$5),$A463&lt;=INT(Instellingen!$B$6)),1,0)</f>
        <v/>
      </c>
      <c r="D463" s="20">
        <f>COUNTIFS(tData[SEHTrajectPeriodeDatumTijdVan],"&lt;="&amp;($A463+0/24),tData[SEHTrajectPeriodeDatumTijdTotEnMet],"&gt;"&amp;($A463+0/24))</f>
        <v/>
      </c>
      <c r="E463" s="20">
        <f>COUNTIFS(tData[SEHTrajectPeriodeDatumTijdVan],"&lt;="&amp;($A463+1/24),tData[SEHTrajectPeriodeDatumTijdTotEnMet],"&gt;"&amp;($A463+1/24))</f>
        <v/>
      </c>
      <c r="F463" s="20">
        <f>COUNTIFS(tData[SEHTrajectPeriodeDatumTijdVan],"&lt;="&amp;($A463+2/24),tData[SEHTrajectPeriodeDatumTijdTotEnMet],"&gt;"&amp;($A463+2/24))</f>
        <v/>
      </c>
      <c r="G463" s="20">
        <f>COUNTIFS(tData[SEHTrajectPeriodeDatumTijdVan],"&lt;="&amp;($A463+3/24),tData[SEHTrajectPeriodeDatumTijdTotEnMet],"&gt;"&amp;($A463+3/24))</f>
        <v/>
      </c>
      <c r="H463" s="20">
        <f>COUNTIFS(tData[SEHTrajectPeriodeDatumTijdVan],"&lt;="&amp;($A463+4/24),tData[SEHTrajectPeriodeDatumTijdTotEnMet],"&gt;"&amp;($A463+4/24))</f>
        <v/>
      </c>
      <c r="I463" s="20">
        <f>COUNTIFS(tData[SEHTrajectPeriodeDatumTijdVan],"&lt;="&amp;($A463+5/24),tData[SEHTrajectPeriodeDatumTijdTotEnMet],"&gt;"&amp;($A463+5/24))</f>
        <v/>
      </c>
      <c r="J463" s="20">
        <f>COUNTIFS(tData[SEHTrajectPeriodeDatumTijdVan],"&lt;="&amp;($A463+6/24),tData[SEHTrajectPeriodeDatumTijdTotEnMet],"&gt;"&amp;($A463+6/24))</f>
        <v/>
      </c>
      <c r="K463" s="20">
        <f>COUNTIFS(tData[SEHTrajectPeriodeDatumTijdVan],"&lt;="&amp;($A463+7/24),tData[SEHTrajectPeriodeDatumTijdTotEnMet],"&gt;"&amp;($A463+7/24))</f>
        <v/>
      </c>
      <c r="L463" s="20">
        <f>COUNTIFS(tData[SEHTrajectPeriodeDatumTijdVan],"&lt;="&amp;($A463+8/24),tData[SEHTrajectPeriodeDatumTijdTotEnMet],"&gt;"&amp;($A463+8/24))</f>
        <v/>
      </c>
      <c r="M463" s="20">
        <f>COUNTIFS(tData[SEHTrajectPeriodeDatumTijdVan],"&lt;="&amp;($A463+9/24),tData[SEHTrajectPeriodeDatumTijdTotEnMet],"&gt;"&amp;($A463+9/24))</f>
        <v/>
      </c>
      <c r="N463" s="20">
        <f>COUNTIFS(tData[SEHTrajectPeriodeDatumTijdVan],"&lt;="&amp;($A463+10/24),tData[SEHTrajectPeriodeDatumTijdTotEnMet],"&gt;"&amp;($A463+10/24))</f>
        <v/>
      </c>
      <c r="O463" s="20">
        <f>COUNTIFS(tData[SEHTrajectPeriodeDatumTijdVan],"&lt;="&amp;($A463+11/24),tData[SEHTrajectPeriodeDatumTijdTotEnMet],"&gt;"&amp;($A463+11/24))</f>
        <v/>
      </c>
      <c r="P463" s="20">
        <f>COUNTIFS(tData[SEHTrajectPeriodeDatumTijdVan],"&lt;="&amp;($A463+12/24),tData[SEHTrajectPeriodeDatumTijdTotEnMet],"&gt;"&amp;($A463+12/24))</f>
        <v/>
      </c>
      <c r="Q463" s="20">
        <f>COUNTIFS(tData[SEHTrajectPeriodeDatumTijdVan],"&lt;="&amp;($A463+13/24),tData[SEHTrajectPeriodeDatumTijdTotEnMet],"&gt;"&amp;($A463+13/24))</f>
        <v/>
      </c>
      <c r="R463" s="20">
        <f>COUNTIFS(tData[SEHTrajectPeriodeDatumTijdVan],"&lt;="&amp;($A463+14/24),tData[SEHTrajectPeriodeDatumTijdTotEnMet],"&gt;"&amp;($A463+14/24))</f>
        <v/>
      </c>
      <c r="S463" s="20">
        <f>COUNTIFS(tData[SEHTrajectPeriodeDatumTijdVan],"&lt;="&amp;($A463+15/24),tData[SEHTrajectPeriodeDatumTijdTotEnMet],"&gt;"&amp;($A463+15/24))</f>
        <v/>
      </c>
      <c r="T463" s="20">
        <f>COUNTIFS(tData[SEHTrajectPeriodeDatumTijdVan],"&lt;="&amp;($A463+16/24),tData[SEHTrajectPeriodeDatumTijdTotEnMet],"&gt;"&amp;($A463+16/24))</f>
        <v/>
      </c>
      <c r="U463" s="20">
        <f>COUNTIFS(tData[SEHTrajectPeriodeDatumTijdVan],"&lt;="&amp;($A463+17/24),tData[SEHTrajectPeriodeDatumTijdTotEnMet],"&gt;"&amp;($A463+17/24))</f>
        <v/>
      </c>
      <c r="V463" s="20">
        <f>COUNTIFS(tData[SEHTrajectPeriodeDatumTijdVan],"&lt;="&amp;($A463+18/24),tData[SEHTrajectPeriodeDatumTijdTotEnMet],"&gt;"&amp;($A463+18/24))</f>
        <v/>
      </c>
      <c r="W463" s="20">
        <f>COUNTIFS(tData[SEHTrajectPeriodeDatumTijdVan],"&lt;="&amp;($A463+19/24),tData[SEHTrajectPeriodeDatumTijdTotEnMet],"&gt;"&amp;($A463+19/24))</f>
        <v/>
      </c>
      <c r="X463" s="20">
        <f>COUNTIFS(tData[SEHTrajectPeriodeDatumTijdVan],"&lt;="&amp;($A463+20/24),tData[SEHTrajectPeriodeDatumTijdTotEnMet],"&gt;"&amp;($A463+20/24))</f>
        <v/>
      </c>
      <c r="Y463" s="20">
        <f>COUNTIFS(tData[SEHTrajectPeriodeDatumTijdVan],"&lt;="&amp;($A463+21/24),tData[SEHTrajectPeriodeDatumTijdTotEnMet],"&gt;"&amp;($A463+21/24))</f>
        <v/>
      </c>
      <c r="Z463" s="20">
        <f>COUNTIFS(tData[SEHTrajectPeriodeDatumTijdVan],"&lt;="&amp;($A463+22/24),tData[SEHTrajectPeriodeDatumTijdTotEnMet],"&gt;"&amp;($A463+22/24))</f>
        <v/>
      </c>
      <c r="AA463" s="20">
        <f>COUNTIFS(tData[SEHTrajectPeriodeDatumTijdVan],"&lt;="&amp;($A463+23/24),tData[SEHTrajectPeriodeDatumTijdTotEnMet],"&gt;"&amp;($A463+23/24))</f>
        <v/>
      </c>
    </row>
    <row r="464">
      <c r="A464" s="19" t="n">
        <v>45752</v>
      </c>
      <c r="B464" s="15">
        <f>WEEKDAY($A464,2)</f>
        <v/>
      </c>
      <c r="C464" s="15">
        <f>IF(AND($A464&gt;=INT(Instellingen!$B$5),$A464&lt;=INT(Instellingen!$B$6)),1,0)</f>
        <v/>
      </c>
      <c r="D464" s="20">
        <f>COUNTIFS(tData[SEHTrajectPeriodeDatumTijdVan],"&lt;="&amp;($A464+0/24),tData[SEHTrajectPeriodeDatumTijdTotEnMet],"&gt;"&amp;($A464+0/24))</f>
        <v/>
      </c>
      <c r="E464" s="20">
        <f>COUNTIFS(tData[SEHTrajectPeriodeDatumTijdVan],"&lt;="&amp;($A464+1/24),tData[SEHTrajectPeriodeDatumTijdTotEnMet],"&gt;"&amp;($A464+1/24))</f>
        <v/>
      </c>
      <c r="F464" s="20">
        <f>COUNTIFS(tData[SEHTrajectPeriodeDatumTijdVan],"&lt;="&amp;($A464+2/24),tData[SEHTrajectPeriodeDatumTijdTotEnMet],"&gt;"&amp;($A464+2/24))</f>
        <v/>
      </c>
      <c r="G464" s="20">
        <f>COUNTIFS(tData[SEHTrajectPeriodeDatumTijdVan],"&lt;="&amp;($A464+3/24),tData[SEHTrajectPeriodeDatumTijdTotEnMet],"&gt;"&amp;($A464+3/24))</f>
        <v/>
      </c>
      <c r="H464" s="20">
        <f>COUNTIFS(tData[SEHTrajectPeriodeDatumTijdVan],"&lt;="&amp;($A464+4/24),tData[SEHTrajectPeriodeDatumTijdTotEnMet],"&gt;"&amp;($A464+4/24))</f>
        <v/>
      </c>
      <c r="I464" s="20">
        <f>COUNTIFS(tData[SEHTrajectPeriodeDatumTijdVan],"&lt;="&amp;($A464+5/24),tData[SEHTrajectPeriodeDatumTijdTotEnMet],"&gt;"&amp;($A464+5/24))</f>
        <v/>
      </c>
      <c r="J464" s="20">
        <f>COUNTIFS(tData[SEHTrajectPeriodeDatumTijdVan],"&lt;="&amp;($A464+6/24),tData[SEHTrajectPeriodeDatumTijdTotEnMet],"&gt;"&amp;($A464+6/24))</f>
        <v/>
      </c>
      <c r="K464" s="20">
        <f>COUNTIFS(tData[SEHTrajectPeriodeDatumTijdVan],"&lt;="&amp;($A464+7/24),tData[SEHTrajectPeriodeDatumTijdTotEnMet],"&gt;"&amp;($A464+7/24))</f>
        <v/>
      </c>
      <c r="L464" s="20">
        <f>COUNTIFS(tData[SEHTrajectPeriodeDatumTijdVan],"&lt;="&amp;($A464+8/24),tData[SEHTrajectPeriodeDatumTijdTotEnMet],"&gt;"&amp;($A464+8/24))</f>
        <v/>
      </c>
      <c r="M464" s="20">
        <f>COUNTIFS(tData[SEHTrajectPeriodeDatumTijdVan],"&lt;="&amp;($A464+9/24),tData[SEHTrajectPeriodeDatumTijdTotEnMet],"&gt;"&amp;($A464+9/24))</f>
        <v/>
      </c>
      <c r="N464" s="20">
        <f>COUNTIFS(tData[SEHTrajectPeriodeDatumTijdVan],"&lt;="&amp;($A464+10/24),tData[SEHTrajectPeriodeDatumTijdTotEnMet],"&gt;"&amp;($A464+10/24))</f>
        <v/>
      </c>
      <c r="O464" s="20">
        <f>COUNTIFS(tData[SEHTrajectPeriodeDatumTijdVan],"&lt;="&amp;($A464+11/24),tData[SEHTrajectPeriodeDatumTijdTotEnMet],"&gt;"&amp;($A464+11/24))</f>
        <v/>
      </c>
      <c r="P464" s="20">
        <f>COUNTIFS(tData[SEHTrajectPeriodeDatumTijdVan],"&lt;="&amp;($A464+12/24),tData[SEHTrajectPeriodeDatumTijdTotEnMet],"&gt;"&amp;($A464+12/24))</f>
        <v/>
      </c>
      <c r="Q464" s="20">
        <f>COUNTIFS(tData[SEHTrajectPeriodeDatumTijdVan],"&lt;="&amp;($A464+13/24),tData[SEHTrajectPeriodeDatumTijdTotEnMet],"&gt;"&amp;($A464+13/24))</f>
        <v/>
      </c>
      <c r="R464" s="20">
        <f>COUNTIFS(tData[SEHTrajectPeriodeDatumTijdVan],"&lt;="&amp;($A464+14/24),tData[SEHTrajectPeriodeDatumTijdTotEnMet],"&gt;"&amp;($A464+14/24))</f>
        <v/>
      </c>
      <c r="S464" s="20">
        <f>COUNTIFS(tData[SEHTrajectPeriodeDatumTijdVan],"&lt;="&amp;($A464+15/24),tData[SEHTrajectPeriodeDatumTijdTotEnMet],"&gt;"&amp;($A464+15/24))</f>
        <v/>
      </c>
      <c r="T464" s="20">
        <f>COUNTIFS(tData[SEHTrajectPeriodeDatumTijdVan],"&lt;="&amp;($A464+16/24),tData[SEHTrajectPeriodeDatumTijdTotEnMet],"&gt;"&amp;($A464+16/24))</f>
        <v/>
      </c>
      <c r="U464" s="20">
        <f>COUNTIFS(tData[SEHTrajectPeriodeDatumTijdVan],"&lt;="&amp;($A464+17/24),tData[SEHTrajectPeriodeDatumTijdTotEnMet],"&gt;"&amp;($A464+17/24))</f>
        <v/>
      </c>
      <c r="V464" s="20">
        <f>COUNTIFS(tData[SEHTrajectPeriodeDatumTijdVan],"&lt;="&amp;($A464+18/24),tData[SEHTrajectPeriodeDatumTijdTotEnMet],"&gt;"&amp;($A464+18/24))</f>
        <v/>
      </c>
      <c r="W464" s="20">
        <f>COUNTIFS(tData[SEHTrajectPeriodeDatumTijdVan],"&lt;="&amp;($A464+19/24),tData[SEHTrajectPeriodeDatumTijdTotEnMet],"&gt;"&amp;($A464+19/24))</f>
        <v/>
      </c>
      <c r="X464" s="20">
        <f>COUNTIFS(tData[SEHTrajectPeriodeDatumTijdVan],"&lt;="&amp;($A464+20/24),tData[SEHTrajectPeriodeDatumTijdTotEnMet],"&gt;"&amp;($A464+20/24))</f>
        <v/>
      </c>
      <c r="Y464" s="20">
        <f>COUNTIFS(tData[SEHTrajectPeriodeDatumTijdVan],"&lt;="&amp;($A464+21/24),tData[SEHTrajectPeriodeDatumTijdTotEnMet],"&gt;"&amp;($A464+21/24))</f>
        <v/>
      </c>
      <c r="Z464" s="20">
        <f>COUNTIFS(tData[SEHTrajectPeriodeDatumTijdVan],"&lt;="&amp;($A464+22/24),tData[SEHTrajectPeriodeDatumTijdTotEnMet],"&gt;"&amp;($A464+22/24))</f>
        <v/>
      </c>
      <c r="AA464" s="20">
        <f>COUNTIFS(tData[SEHTrajectPeriodeDatumTijdVan],"&lt;="&amp;($A464+23/24),tData[SEHTrajectPeriodeDatumTijdTotEnMet],"&gt;"&amp;($A464+23/24))</f>
        <v/>
      </c>
    </row>
    <row r="465">
      <c r="A465" s="19" t="n">
        <v>45753</v>
      </c>
      <c r="B465" s="15">
        <f>WEEKDAY($A465,2)</f>
        <v/>
      </c>
      <c r="C465" s="15">
        <f>IF(AND($A465&gt;=INT(Instellingen!$B$5),$A465&lt;=INT(Instellingen!$B$6)),1,0)</f>
        <v/>
      </c>
      <c r="D465" s="20">
        <f>COUNTIFS(tData[SEHTrajectPeriodeDatumTijdVan],"&lt;="&amp;($A465+0/24),tData[SEHTrajectPeriodeDatumTijdTotEnMet],"&gt;"&amp;($A465+0/24))</f>
        <v/>
      </c>
      <c r="E465" s="20">
        <f>COUNTIFS(tData[SEHTrajectPeriodeDatumTijdVan],"&lt;="&amp;($A465+1/24),tData[SEHTrajectPeriodeDatumTijdTotEnMet],"&gt;"&amp;($A465+1/24))</f>
        <v/>
      </c>
      <c r="F465" s="20">
        <f>COUNTIFS(tData[SEHTrajectPeriodeDatumTijdVan],"&lt;="&amp;($A465+2/24),tData[SEHTrajectPeriodeDatumTijdTotEnMet],"&gt;"&amp;($A465+2/24))</f>
        <v/>
      </c>
      <c r="G465" s="20">
        <f>COUNTIFS(tData[SEHTrajectPeriodeDatumTijdVan],"&lt;="&amp;($A465+3/24),tData[SEHTrajectPeriodeDatumTijdTotEnMet],"&gt;"&amp;($A465+3/24))</f>
        <v/>
      </c>
      <c r="H465" s="20">
        <f>COUNTIFS(tData[SEHTrajectPeriodeDatumTijdVan],"&lt;="&amp;($A465+4/24),tData[SEHTrajectPeriodeDatumTijdTotEnMet],"&gt;"&amp;($A465+4/24))</f>
        <v/>
      </c>
      <c r="I465" s="20">
        <f>COUNTIFS(tData[SEHTrajectPeriodeDatumTijdVan],"&lt;="&amp;($A465+5/24),tData[SEHTrajectPeriodeDatumTijdTotEnMet],"&gt;"&amp;($A465+5/24))</f>
        <v/>
      </c>
      <c r="J465" s="20">
        <f>COUNTIFS(tData[SEHTrajectPeriodeDatumTijdVan],"&lt;="&amp;($A465+6/24),tData[SEHTrajectPeriodeDatumTijdTotEnMet],"&gt;"&amp;($A465+6/24))</f>
        <v/>
      </c>
      <c r="K465" s="20">
        <f>COUNTIFS(tData[SEHTrajectPeriodeDatumTijdVan],"&lt;="&amp;($A465+7/24),tData[SEHTrajectPeriodeDatumTijdTotEnMet],"&gt;"&amp;($A465+7/24))</f>
        <v/>
      </c>
      <c r="L465" s="20">
        <f>COUNTIFS(tData[SEHTrajectPeriodeDatumTijdVan],"&lt;="&amp;($A465+8/24),tData[SEHTrajectPeriodeDatumTijdTotEnMet],"&gt;"&amp;($A465+8/24))</f>
        <v/>
      </c>
      <c r="M465" s="20">
        <f>COUNTIFS(tData[SEHTrajectPeriodeDatumTijdVan],"&lt;="&amp;($A465+9/24),tData[SEHTrajectPeriodeDatumTijdTotEnMet],"&gt;"&amp;($A465+9/24))</f>
        <v/>
      </c>
      <c r="N465" s="20">
        <f>COUNTIFS(tData[SEHTrajectPeriodeDatumTijdVan],"&lt;="&amp;($A465+10/24),tData[SEHTrajectPeriodeDatumTijdTotEnMet],"&gt;"&amp;($A465+10/24))</f>
        <v/>
      </c>
      <c r="O465" s="20">
        <f>COUNTIFS(tData[SEHTrajectPeriodeDatumTijdVan],"&lt;="&amp;($A465+11/24),tData[SEHTrajectPeriodeDatumTijdTotEnMet],"&gt;"&amp;($A465+11/24))</f>
        <v/>
      </c>
      <c r="P465" s="20">
        <f>COUNTIFS(tData[SEHTrajectPeriodeDatumTijdVan],"&lt;="&amp;($A465+12/24),tData[SEHTrajectPeriodeDatumTijdTotEnMet],"&gt;"&amp;($A465+12/24))</f>
        <v/>
      </c>
      <c r="Q465" s="20">
        <f>COUNTIFS(tData[SEHTrajectPeriodeDatumTijdVan],"&lt;="&amp;($A465+13/24),tData[SEHTrajectPeriodeDatumTijdTotEnMet],"&gt;"&amp;($A465+13/24))</f>
        <v/>
      </c>
      <c r="R465" s="20">
        <f>COUNTIFS(tData[SEHTrajectPeriodeDatumTijdVan],"&lt;="&amp;($A465+14/24),tData[SEHTrajectPeriodeDatumTijdTotEnMet],"&gt;"&amp;($A465+14/24))</f>
        <v/>
      </c>
      <c r="S465" s="20">
        <f>COUNTIFS(tData[SEHTrajectPeriodeDatumTijdVan],"&lt;="&amp;($A465+15/24),tData[SEHTrajectPeriodeDatumTijdTotEnMet],"&gt;"&amp;($A465+15/24))</f>
        <v/>
      </c>
      <c r="T465" s="20">
        <f>COUNTIFS(tData[SEHTrajectPeriodeDatumTijdVan],"&lt;="&amp;($A465+16/24),tData[SEHTrajectPeriodeDatumTijdTotEnMet],"&gt;"&amp;($A465+16/24))</f>
        <v/>
      </c>
      <c r="U465" s="20">
        <f>COUNTIFS(tData[SEHTrajectPeriodeDatumTijdVan],"&lt;="&amp;($A465+17/24),tData[SEHTrajectPeriodeDatumTijdTotEnMet],"&gt;"&amp;($A465+17/24))</f>
        <v/>
      </c>
      <c r="V465" s="20">
        <f>COUNTIFS(tData[SEHTrajectPeriodeDatumTijdVan],"&lt;="&amp;($A465+18/24),tData[SEHTrajectPeriodeDatumTijdTotEnMet],"&gt;"&amp;($A465+18/24))</f>
        <v/>
      </c>
      <c r="W465" s="20">
        <f>COUNTIFS(tData[SEHTrajectPeriodeDatumTijdVan],"&lt;="&amp;($A465+19/24),tData[SEHTrajectPeriodeDatumTijdTotEnMet],"&gt;"&amp;($A465+19/24))</f>
        <v/>
      </c>
      <c r="X465" s="20">
        <f>COUNTIFS(tData[SEHTrajectPeriodeDatumTijdVan],"&lt;="&amp;($A465+20/24),tData[SEHTrajectPeriodeDatumTijdTotEnMet],"&gt;"&amp;($A465+20/24))</f>
        <v/>
      </c>
      <c r="Y465" s="20">
        <f>COUNTIFS(tData[SEHTrajectPeriodeDatumTijdVan],"&lt;="&amp;($A465+21/24),tData[SEHTrajectPeriodeDatumTijdTotEnMet],"&gt;"&amp;($A465+21/24))</f>
        <v/>
      </c>
      <c r="Z465" s="20">
        <f>COUNTIFS(tData[SEHTrajectPeriodeDatumTijdVan],"&lt;="&amp;($A465+22/24),tData[SEHTrajectPeriodeDatumTijdTotEnMet],"&gt;"&amp;($A465+22/24))</f>
        <v/>
      </c>
      <c r="AA465" s="20">
        <f>COUNTIFS(tData[SEHTrajectPeriodeDatumTijdVan],"&lt;="&amp;($A465+23/24),tData[SEHTrajectPeriodeDatumTijdTotEnMet],"&gt;"&amp;($A465+23/24))</f>
        <v/>
      </c>
    </row>
    <row r="466">
      <c r="A466" s="19" t="n">
        <v>45754</v>
      </c>
      <c r="B466" s="15">
        <f>WEEKDAY($A466,2)</f>
        <v/>
      </c>
      <c r="C466" s="15">
        <f>IF(AND($A466&gt;=INT(Instellingen!$B$5),$A466&lt;=INT(Instellingen!$B$6)),1,0)</f>
        <v/>
      </c>
      <c r="D466" s="20">
        <f>COUNTIFS(tData[SEHTrajectPeriodeDatumTijdVan],"&lt;="&amp;($A466+0/24),tData[SEHTrajectPeriodeDatumTijdTotEnMet],"&gt;"&amp;($A466+0/24))</f>
        <v/>
      </c>
      <c r="E466" s="20">
        <f>COUNTIFS(tData[SEHTrajectPeriodeDatumTijdVan],"&lt;="&amp;($A466+1/24),tData[SEHTrajectPeriodeDatumTijdTotEnMet],"&gt;"&amp;($A466+1/24))</f>
        <v/>
      </c>
      <c r="F466" s="20">
        <f>COUNTIFS(tData[SEHTrajectPeriodeDatumTijdVan],"&lt;="&amp;($A466+2/24),tData[SEHTrajectPeriodeDatumTijdTotEnMet],"&gt;"&amp;($A466+2/24))</f>
        <v/>
      </c>
      <c r="G466" s="20">
        <f>COUNTIFS(tData[SEHTrajectPeriodeDatumTijdVan],"&lt;="&amp;($A466+3/24),tData[SEHTrajectPeriodeDatumTijdTotEnMet],"&gt;"&amp;($A466+3/24))</f>
        <v/>
      </c>
      <c r="H466" s="20">
        <f>COUNTIFS(tData[SEHTrajectPeriodeDatumTijdVan],"&lt;="&amp;($A466+4/24),tData[SEHTrajectPeriodeDatumTijdTotEnMet],"&gt;"&amp;($A466+4/24))</f>
        <v/>
      </c>
      <c r="I466" s="20">
        <f>COUNTIFS(tData[SEHTrajectPeriodeDatumTijdVan],"&lt;="&amp;($A466+5/24),tData[SEHTrajectPeriodeDatumTijdTotEnMet],"&gt;"&amp;($A466+5/24))</f>
        <v/>
      </c>
      <c r="J466" s="20">
        <f>COUNTIFS(tData[SEHTrajectPeriodeDatumTijdVan],"&lt;="&amp;($A466+6/24),tData[SEHTrajectPeriodeDatumTijdTotEnMet],"&gt;"&amp;($A466+6/24))</f>
        <v/>
      </c>
      <c r="K466" s="20">
        <f>COUNTIFS(tData[SEHTrajectPeriodeDatumTijdVan],"&lt;="&amp;($A466+7/24),tData[SEHTrajectPeriodeDatumTijdTotEnMet],"&gt;"&amp;($A466+7/24))</f>
        <v/>
      </c>
      <c r="L466" s="20">
        <f>COUNTIFS(tData[SEHTrajectPeriodeDatumTijdVan],"&lt;="&amp;($A466+8/24),tData[SEHTrajectPeriodeDatumTijdTotEnMet],"&gt;"&amp;($A466+8/24))</f>
        <v/>
      </c>
      <c r="M466" s="20">
        <f>COUNTIFS(tData[SEHTrajectPeriodeDatumTijdVan],"&lt;="&amp;($A466+9/24),tData[SEHTrajectPeriodeDatumTijdTotEnMet],"&gt;"&amp;($A466+9/24))</f>
        <v/>
      </c>
      <c r="N466" s="20">
        <f>COUNTIFS(tData[SEHTrajectPeriodeDatumTijdVan],"&lt;="&amp;($A466+10/24),tData[SEHTrajectPeriodeDatumTijdTotEnMet],"&gt;"&amp;($A466+10/24))</f>
        <v/>
      </c>
      <c r="O466" s="20">
        <f>COUNTIFS(tData[SEHTrajectPeriodeDatumTijdVan],"&lt;="&amp;($A466+11/24),tData[SEHTrajectPeriodeDatumTijdTotEnMet],"&gt;"&amp;($A466+11/24))</f>
        <v/>
      </c>
      <c r="P466" s="20">
        <f>COUNTIFS(tData[SEHTrajectPeriodeDatumTijdVan],"&lt;="&amp;($A466+12/24),tData[SEHTrajectPeriodeDatumTijdTotEnMet],"&gt;"&amp;($A466+12/24))</f>
        <v/>
      </c>
      <c r="Q466" s="20">
        <f>COUNTIFS(tData[SEHTrajectPeriodeDatumTijdVan],"&lt;="&amp;($A466+13/24),tData[SEHTrajectPeriodeDatumTijdTotEnMet],"&gt;"&amp;($A466+13/24))</f>
        <v/>
      </c>
      <c r="R466" s="20">
        <f>COUNTIFS(tData[SEHTrajectPeriodeDatumTijdVan],"&lt;="&amp;($A466+14/24),tData[SEHTrajectPeriodeDatumTijdTotEnMet],"&gt;"&amp;($A466+14/24))</f>
        <v/>
      </c>
      <c r="S466" s="20">
        <f>COUNTIFS(tData[SEHTrajectPeriodeDatumTijdVan],"&lt;="&amp;($A466+15/24),tData[SEHTrajectPeriodeDatumTijdTotEnMet],"&gt;"&amp;($A466+15/24))</f>
        <v/>
      </c>
      <c r="T466" s="20">
        <f>COUNTIFS(tData[SEHTrajectPeriodeDatumTijdVan],"&lt;="&amp;($A466+16/24),tData[SEHTrajectPeriodeDatumTijdTotEnMet],"&gt;"&amp;($A466+16/24))</f>
        <v/>
      </c>
      <c r="U466" s="20">
        <f>COUNTIFS(tData[SEHTrajectPeriodeDatumTijdVan],"&lt;="&amp;($A466+17/24),tData[SEHTrajectPeriodeDatumTijdTotEnMet],"&gt;"&amp;($A466+17/24))</f>
        <v/>
      </c>
      <c r="V466" s="20">
        <f>COUNTIFS(tData[SEHTrajectPeriodeDatumTijdVan],"&lt;="&amp;($A466+18/24),tData[SEHTrajectPeriodeDatumTijdTotEnMet],"&gt;"&amp;($A466+18/24))</f>
        <v/>
      </c>
      <c r="W466" s="20">
        <f>COUNTIFS(tData[SEHTrajectPeriodeDatumTijdVan],"&lt;="&amp;($A466+19/24),tData[SEHTrajectPeriodeDatumTijdTotEnMet],"&gt;"&amp;($A466+19/24))</f>
        <v/>
      </c>
      <c r="X466" s="20">
        <f>COUNTIFS(tData[SEHTrajectPeriodeDatumTijdVan],"&lt;="&amp;($A466+20/24),tData[SEHTrajectPeriodeDatumTijdTotEnMet],"&gt;"&amp;($A466+20/24))</f>
        <v/>
      </c>
      <c r="Y466" s="20">
        <f>COUNTIFS(tData[SEHTrajectPeriodeDatumTijdVan],"&lt;="&amp;($A466+21/24),tData[SEHTrajectPeriodeDatumTijdTotEnMet],"&gt;"&amp;($A466+21/24))</f>
        <v/>
      </c>
      <c r="Z466" s="20">
        <f>COUNTIFS(tData[SEHTrajectPeriodeDatumTijdVan],"&lt;="&amp;($A466+22/24),tData[SEHTrajectPeriodeDatumTijdTotEnMet],"&gt;"&amp;($A466+22/24))</f>
        <v/>
      </c>
      <c r="AA466" s="20">
        <f>COUNTIFS(tData[SEHTrajectPeriodeDatumTijdVan],"&lt;="&amp;($A466+23/24),tData[SEHTrajectPeriodeDatumTijdTotEnMet],"&gt;"&amp;($A466+23/24))</f>
        <v/>
      </c>
    </row>
    <row r="467">
      <c r="A467" s="19" t="n">
        <v>45755</v>
      </c>
      <c r="B467" s="15">
        <f>WEEKDAY($A467,2)</f>
        <v/>
      </c>
      <c r="C467" s="15">
        <f>IF(AND($A467&gt;=INT(Instellingen!$B$5),$A467&lt;=INT(Instellingen!$B$6)),1,0)</f>
        <v/>
      </c>
      <c r="D467" s="20">
        <f>COUNTIFS(tData[SEHTrajectPeriodeDatumTijdVan],"&lt;="&amp;($A467+0/24),tData[SEHTrajectPeriodeDatumTijdTotEnMet],"&gt;"&amp;($A467+0/24))</f>
        <v/>
      </c>
      <c r="E467" s="20">
        <f>COUNTIFS(tData[SEHTrajectPeriodeDatumTijdVan],"&lt;="&amp;($A467+1/24),tData[SEHTrajectPeriodeDatumTijdTotEnMet],"&gt;"&amp;($A467+1/24))</f>
        <v/>
      </c>
      <c r="F467" s="20">
        <f>COUNTIFS(tData[SEHTrajectPeriodeDatumTijdVan],"&lt;="&amp;($A467+2/24),tData[SEHTrajectPeriodeDatumTijdTotEnMet],"&gt;"&amp;($A467+2/24))</f>
        <v/>
      </c>
      <c r="G467" s="20">
        <f>COUNTIFS(tData[SEHTrajectPeriodeDatumTijdVan],"&lt;="&amp;($A467+3/24),tData[SEHTrajectPeriodeDatumTijdTotEnMet],"&gt;"&amp;($A467+3/24))</f>
        <v/>
      </c>
      <c r="H467" s="20">
        <f>COUNTIFS(tData[SEHTrajectPeriodeDatumTijdVan],"&lt;="&amp;($A467+4/24),tData[SEHTrajectPeriodeDatumTijdTotEnMet],"&gt;"&amp;($A467+4/24))</f>
        <v/>
      </c>
      <c r="I467" s="20">
        <f>COUNTIFS(tData[SEHTrajectPeriodeDatumTijdVan],"&lt;="&amp;($A467+5/24),tData[SEHTrajectPeriodeDatumTijdTotEnMet],"&gt;"&amp;($A467+5/24))</f>
        <v/>
      </c>
      <c r="J467" s="20">
        <f>COUNTIFS(tData[SEHTrajectPeriodeDatumTijdVan],"&lt;="&amp;($A467+6/24),tData[SEHTrajectPeriodeDatumTijdTotEnMet],"&gt;"&amp;($A467+6/24))</f>
        <v/>
      </c>
      <c r="K467" s="20">
        <f>COUNTIFS(tData[SEHTrajectPeriodeDatumTijdVan],"&lt;="&amp;($A467+7/24),tData[SEHTrajectPeriodeDatumTijdTotEnMet],"&gt;"&amp;($A467+7/24))</f>
        <v/>
      </c>
      <c r="L467" s="20">
        <f>COUNTIFS(tData[SEHTrajectPeriodeDatumTijdVan],"&lt;="&amp;($A467+8/24),tData[SEHTrajectPeriodeDatumTijdTotEnMet],"&gt;"&amp;($A467+8/24))</f>
        <v/>
      </c>
      <c r="M467" s="20">
        <f>COUNTIFS(tData[SEHTrajectPeriodeDatumTijdVan],"&lt;="&amp;($A467+9/24),tData[SEHTrajectPeriodeDatumTijdTotEnMet],"&gt;"&amp;($A467+9/24))</f>
        <v/>
      </c>
      <c r="N467" s="20">
        <f>COUNTIFS(tData[SEHTrajectPeriodeDatumTijdVan],"&lt;="&amp;($A467+10/24),tData[SEHTrajectPeriodeDatumTijdTotEnMet],"&gt;"&amp;($A467+10/24))</f>
        <v/>
      </c>
      <c r="O467" s="20">
        <f>COUNTIFS(tData[SEHTrajectPeriodeDatumTijdVan],"&lt;="&amp;($A467+11/24),tData[SEHTrajectPeriodeDatumTijdTotEnMet],"&gt;"&amp;($A467+11/24))</f>
        <v/>
      </c>
      <c r="P467" s="20">
        <f>COUNTIFS(tData[SEHTrajectPeriodeDatumTijdVan],"&lt;="&amp;($A467+12/24),tData[SEHTrajectPeriodeDatumTijdTotEnMet],"&gt;"&amp;($A467+12/24))</f>
        <v/>
      </c>
      <c r="Q467" s="20">
        <f>COUNTIFS(tData[SEHTrajectPeriodeDatumTijdVan],"&lt;="&amp;($A467+13/24),tData[SEHTrajectPeriodeDatumTijdTotEnMet],"&gt;"&amp;($A467+13/24))</f>
        <v/>
      </c>
      <c r="R467" s="20">
        <f>COUNTIFS(tData[SEHTrajectPeriodeDatumTijdVan],"&lt;="&amp;($A467+14/24),tData[SEHTrajectPeriodeDatumTijdTotEnMet],"&gt;"&amp;($A467+14/24))</f>
        <v/>
      </c>
      <c r="S467" s="20">
        <f>COUNTIFS(tData[SEHTrajectPeriodeDatumTijdVan],"&lt;="&amp;($A467+15/24),tData[SEHTrajectPeriodeDatumTijdTotEnMet],"&gt;"&amp;($A467+15/24))</f>
        <v/>
      </c>
      <c r="T467" s="20">
        <f>COUNTIFS(tData[SEHTrajectPeriodeDatumTijdVan],"&lt;="&amp;($A467+16/24),tData[SEHTrajectPeriodeDatumTijdTotEnMet],"&gt;"&amp;($A467+16/24))</f>
        <v/>
      </c>
      <c r="U467" s="20">
        <f>COUNTIFS(tData[SEHTrajectPeriodeDatumTijdVan],"&lt;="&amp;($A467+17/24),tData[SEHTrajectPeriodeDatumTijdTotEnMet],"&gt;"&amp;($A467+17/24))</f>
        <v/>
      </c>
      <c r="V467" s="20">
        <f>COUNTIFS(tData[SEHTrajectPeriodeDatumTijdVan],"&lt;="&amp;($A467+18/24),tData[SEHTrajectPeriodeDatumTijdTotEnMet],"&gt;"&amp;($A467+18/24))</f>
        <v/>
      </c>
      <c r="W467" s="20">
        <f>COUNTIFS(tData[SEHTrajectPeriodeDatumTijdVan],"&lt;="&amp;($A467+19/24),tData[SEHTrajectPeriodeDatumTijdTotEnMet],"&gt;"&amp;($A467+19/24))</f>
        <v/>
      </c>
      <c r="X467" s="20">
        <f>COUNTIFS(tData[SEHTrajectPeriodeDatumTijdVan],"&lt;="&amp;($A467+20/24),tData[SEHTrajectPeriodeDatumTijdTotEnMet],"&gt;"&amp;($A467+20/24))</f>
        <v/>
      </c>
      <c r="Y467" s="20">
        <f>COUNTIFS(tData[SEHTrajectPeriodeDatumTijdVan],"&lt;="&amp;($A467+21/24),tData[SEHTrajectPeriodeDatumTijdTotEnMet],"&gt;"&amp;($A467+21/24))</f>
        <v/>
      </c>
      <c r="Z467" s="20">
        <f>COUNTIFS(tData[SEHTrajectPeriodeDatumTijdVan],"&lt;="&amp;($A467+22/24),tData[SEHTrajectPeriodeDatumTijdTotEnMet],"&gt;"&amp;($A467+22/24))</f>
        <v/>
      </c>
      <c r="AA467" s="20">
        <f>COUNTIFS(tData[SEHTrajectPeriodeDatumTijdVan],"&lt;="&amp;($A467+23/24),tData[SEHTrajectPeriodeDatumTijdTotEnMet],"&gt;"&amp;($A467+23/24))</f>
        <v/>
      </c>
    </row>
    <row r="468">
      <c r="A468" s="19" t="n">
        <v>45756</v>
      </c>
      <c r="B468" s="15">
        <f>WEEKDAY($A468,2)</f>
        <v/>
      </c>
      <c r="C468" s="15">
        <f>IF(AND($A468&gt;=INT(Instellingen!$B$5),$A468&lt;=INT(Instellingen!$B$6)),1,0)</f>
        <v/>
      </c>
      <c r="D468" s="20">
        <f>COUNTIFS(tData[SEHTrajectPeriodeDatumTijdVan],"&lt;="&amp;($A468+0/24),tData[SEHTrajectPeriodeDatumTijdTotEnMet],"&gt;"&amp;($A468+0/24))</f>
        <v/>
      </c>
      <c r="E468" s="20">
        <f>COUNTIFS(tData[SEHTrajectPeriodeDatumTijdVan],"&lt;="&amp;($A468+1/24),tData[SEHTrajectPeriodeDatumTijdTotEnMet],"&gt;"&amp;($A468+1/24))</f>
        <v/>
      </c>
      <c r="F468" s="20">
        <f>COUNTIFS(tData[SEHTrajectPeriodeDatumTijdVan],"&lt;="&amp;($A468+2/24),tData[SEHTrajectPeriodeDatumTijdTotEnMet],"&gt;"&amp;($A468+2/24))</f>
        <v/>
      </c>
      <c r="G468" s="20">
        <f>COUNTIFS(tData[SEHTrajectPeriodeDatumTijdVan],"&lt;="&amp;($A468+3/24),tData[SEHTrajectPeriodeDatumTijdTotEnMet],"&gt;"&amp;($A468+3/24))</f>
        <v/>
      </c>
      <c r="H468" s="20">
        <f>COUNTIFS(tData[SEHTrajectPeriodeDatumTijdVan],"&lt;="&amp;($A468+4/24),tData[SEHTrajectPeriodeDatumTijdTotEnMet],"&gt;"&amp;($A468+4/24))</f>
        <v/>
      </c>
      <c r="I468" s="20">
        <f>COUNTIFS(tData[SEHTrajectPeriodeDatumTijdVan],"&lt;="&amp;($A468+5/24),tData[SEHTrajectPeriodeDatumTijdTotEnMet],"&gt;"&amp;($A468+5/24))</f>
        <v/>
      </c>
      <c r="J468" s="20">
        <f>COUNTIFS(tData[SEHTrajectPeriodeDatumTijdVan],"&lt;="&amp;($A468+6/24),tData[SEHTrajectPeriodeDatumTijdTotEnMet],"&gt;"&amp;($A468+6/24))</f>
        <v/>
      </c>
      <c r="K468" s="20">
        <f>COUNTIFS(tData[SEHTrajectPeriodeDatumTijdVan],"&lt;="&amp;($A468+7/24),tData[SEHTrajectPeriodeDatumTijdTotEnMet],"&gt;"&amp;($A468+7/24))</f>
        <v/>
      </c>
      <c r="L468" s="20">
        <f>COUNTIFS(tData[SEHTrajectPeriodeDatumTijdVan],"&lt;="&amp;($A468+8/24),tData[SEHTrajectPeriodeDatumTijdTotEnMet],"&gt;"&amp;($A468+8/24))</f>
        <v/>
      </c>
      <c r="M468" s="20">
        <f>COUNTIFS(tData[SEHTrajectPeriodeDatumTijdVan],"&lt;="&amp;($A468+9/24),tData[SEHTrajectPeriodeDatumTijdTotEnMet],"&gt;"&amp;($A468+9/24))</f>
        <v/>
      </c>
      <c r="N468" s="20">
        <f>COUNTIFS(tData[SEHTrajectPeriodeDatumTijdVan],"&lt;="&amp;($A468+10/24),tData[SEHTrajectPeriodeDatumTijdTotEnMet],"&gt;"&amp;($A468+10/24))</f>
        <v/>
      </c>
      <c r="O468" s="20">
        <f>COUNTIFS(tData[SEHTrajectPeriodeDatumTijdVan],"&lt;="&amp;($A468+11/24),tData[SEHTrajectPeriodeDatumTijdTotEnMet],"&gt;"&amp;($A468+11/24))</f>
        <v/>
      </c>
      <c r="P468" s="20">
        <f>COUNTIFS(tData[SEHTrajectPeriodeDatumTijdVan],"&lt;="&amp;($A468+12/24),tData[SEHTrajectPeriodeDatumTijdTotEnMet],"&gt;"&amp;($A468+12/24))</f>
        <v/>
      </c>
      <c r="Q468" s="20">
        <f>COUNTIFS(tData[SEHTrajectPeriodeDatumTijdVan],"&lt;="&amp;($A468+13/24),tData[SEHTrajectPeriodeDatumTijdTotEnMet],"&gt;"&amp;($A468+13/24))</f>
        <v/>
      </c>
      <c r="R468" s="20">
        <f>COUNTIFS(tData[SEHTrajectPeriodeDatumTijdVan],"&lt;="&amp;($A468+14/24),tData[SEHTrajectPeriodeDatumTijdTotEnMet],"&gt;"&amp;($A468+14/24))</f>
        <v/>
      </c>
      <c r="S468" s="20">
        <f>COUNTIFS(tData[SEHTrajectPeriodeDatumTijdVan],"&lt;="&amp;($A468+15/24),tData[SEHTrajectPeriodeDatumTijdTotEnMet],"&gt;"&amp;($A468+15/24))</f>
        <v/>
      </c>
      <c r="T468" s="20">
        <f>COUNTIFS(tData[SEHTrajectPeriodeDatumTijdVan],"&lt;="&amp;($A468+16/24),tData[SEHTrajectPeriodeDatumTijdTotEnMet],"&gt;"&amp;($A468+16/24))</f>
        <v/>
      </c>
      <c r="U468" s="20">
        <f>COUNTIFS(tData[SEHTrajectPeriodeDatumTijdVan],"&lt;="&amp;($A468+17/24),tData[SEHTrajectPeriodeDatumTijdTotEnMet],"&gt;"&amp;($A468+17/24))</f>
        <v/>
      </c>
      <c r="V468" s="20">
        <f>COUNTIFS(tData[SEHTrajectPeriodeDatumTijdVan],"&lt;="&amp;($A468+18/24),tData[SEHTrajectPeriodeDatumTijdTotEnMet],"&gt;"&amp;($A468+18/24))</f>
        <v/>
      </c>
      <c r="W468" s="20">
        <f>COUNTIFS(tData[SEHTrajectPeriodeDatumTijdVan],"&lt;="&amp;($A468+19/24),tData[SEHTrajectPeriodeDatumTijdTotEnMet],"&gt;"&amp;($A468+19/24))</f>
        <v/>
      </c>
      <c r="X468" s="20">
        <f>COUNTIFS(tData[SEHTrajectPeriodeDatumTijdVan],"&lt;="&amp;($A468+20/24),tData[SEHTrajectPeriodeDatumTijdTotEnMet],"&gt;"&amp;($A468+20/24))</f>
        <v/>
      </c>
      <c r="Y468" s="20">
        <f>COUNTIFS(tData[SEHTrajectPeriodeDatumTijdVan],"&lt;="&amp;($A468+21/24),tData[SEHTrajectPeriodeDatumTijdTotEnMet],"&gt;"&amp;($A468+21/24))</f>
        <v/>
      </c>
      <c r="Z468" s="20">
        <f>COUNTIFS(tData[SEHTrajectPeriodeDatumTijdVan],"&lt;="&amp;($A468+22/24),tData[SEHTrajectPeriodeDatumTijdTotEnMet],"&gt;"&amp;($A468+22/24))</f>
        <v/>
      </c>
      <c r="AA468" s="20">
        <f>COUNTIFS(tData[SEHTrajectPeriodeDatumTijdVan],"&lt;="&amp;($A468+23/24),tData[SEHTrajectPeriodeDatumTijdTotEnMet],"&gt;"&amp;($A468+23/24))</f>
        <v/>
      </c>
    </row>
    <row r="469">
      <c r="A469" s="19" t="n">
        <v>45757</v>
      </c>
      <c r="B469" s="15">
        <f>WEEKDAY($A469,2)</f>
        <v/>
      </c>
      <c r="C469" s="15">
        <f>IF(AND($A469&gt;=INT(Instellingen!$B$5),$A469&lt;=INT(Instellingen!$B$6)),1,0)</f>
        <v/>
      </c>
      <c r="D469" s="20">
        <f>COUNTIFS(tData[SEHTrajectPeriodeDatumTijdVan],"&lt;="&amp;($A469+0/24),tData[SEHTrajectPeriodeDatumTijdTotEnMet],"&gt;"&amp;($A469+0/24))</f>
        <v/>
      </c>
      <c r="E469" s="20">
        <f>COUNTIFS(tData[SEHTrajectPeriodeDatumTijdVan],"&lt;="&amp;($A469+1/24),tData[SEHTrajectPeriodeDatumTijdTotEnMet],"&gt;"&amp;($A469+1/24))</f>
        <v/>
      </c>
      <c r="F469" s="20">
        <f>COUNTIFS(tData[SEHTrajectPeriodeDatumTijdVan],"&lt;="&amp;($A469+2/24),tData[SEHTrajectPeriodeDatumTijdTotEnMet],"&gt;"&amp;($A469+2/24))</f>
        <v/>
      </c>
      <c r="G469" s="20">
        <f>COUNTIFS(tData[SEHTrajectPeriodeDatumTijdVan],"&lt;="&amp;($A469+3/24),tData[SEHTrajectPeriodeDatumTijdTotEnMet],"&gt;"&amp;($A469+3/24))</f>
        <v/>
      </c>
      <c r="H469" s="20">
        <f>COUNTIFS(tData[SEHTrajectPeriodeDatumTijdVan],"&lt;="&amp;($A469+4/24),tData[SEHTrajectPeriodeDatumTijdTotEnMet],"&gt;"&amp;($A469+4/24))</f>
        <v/>
      </c>
      <c r="I469" s="20">
        <f>COUNTIFS(tData[SEHTrajectPeriodeDatumTijdVan],"&lt;="&amp;($A469+5/24),tData[SEHTrajectPeriodeDatumTijdTotEnMet],"&gt;"&amp;($A469+5/24))</f>
        <v/>
      </c>
      <c r="J469" s="20">
        <f>COUNTIFS(tData[SEHTrajectPeriodeDatumTijdVan],"&lt;="&amp;($A469+6/24),tData[SEHTrajectPeriodeDatumTijdTotEnMet],"&gt;"&amp;($A469+6/24))</f>
        <v/>
      </c>
      <c r="K469" s="20">
        <f>COUNTIFS(tData[SEHTrajectPeriodeDatumTijdVan],"&lt;="&amp;($A469+7/24),tData[SEHTrajectPeriodeDatumTijdTotEnMet],"&gt;"&amp;($A469+7/24))</f>
        <v/>
      </c>
      <c r="L469" s="20">
        <f>COUNTIFS(tData[SEHTrajectPeriodeDatumTijdVan],"&lt;="&amp;($A469+8/24),tData[SEHTrajectPeriodeDatumTijdTotEnMet],"&gt;"&amp;($A469+8/24))</f>
        <v/>
      </c>
      <c r="M469" s="20">
        <f>COUNTIFS(tData[SEHTrajectPeriodeDatumTijdVan],"&lt;="&amp;($A469+9/24),tData[SEHTrajectPeriodeDatumTijdTotEnMet],"&gt;"&amp;($A469+9/24))</f>
        <v/>
      </c>
      <c r="N469" s="20">
        <f>COUNTIFS(tData[SEHTrajectPeriodeDatumTijdVan],"&lt;="&amp;($A469+10/24),tData[SEHTrajectPeriodeDatumTijdTotEnMet],"&gt;"&amp;($A469+10/24))</f>
        <v/>
      </c>
      <c r="O469" s="20">
        <f>COUNTIFS(tData[SEHTrajectPeriodeDatumTijdVan],"&lt;="&amp;($A469+11/24),tData[SEHTrajectPeriodeDatumTijdTotEnMet],"&gt;"&amp;($A469+11/24))</f>
        <v/>
      </c>
      <c r="P469" s="20">
        <f>COUNTIFS(tData[SEHTrajectPeriodeDatumTijdVan],"&lt;="&amp;($A469+12/24),tData[SEHTrajectPeriodeDatumTijdTotEnMet],"&gt;"&amp;($A469+12/24))</f>
        <v/>
      </c>
      <c r="Q469" s="20">
        <f>COUNTIFS(tData[SEHTrajectPeriodeDatumTijdVan],"&lt;="&amp;($A469+13/24),tData[SEHTrajectPeriodeDatumTijdTotEnMet],"&gt;"&amp;($A469+13/24))</f>
        <v/>
      </c>
      <c r="R469" s="20">
        <f>COUNTIFS(tData[SEHTrajectPeriodeDatumTijdVan],"&lt;="&amp;($A469+14/24),tData[SEHTrajectPeriodeDatumTijdTotEnMet],"&gt;"&amp;($A469+14/24))</f>
        <v/>
      </c>
      <c r="S469" s="20">
        <f>COUNTIFS(tData[SEHTrajectPeriodeDatumTijdVan],"&lt;="&amp;($A469+15/24),tData[SEHTrajectPeriodeDatumTijdTotEnMet],"&gt;"&amp;($A469+15/24))</f>
        <v/>
      </c>
      <c r="T469" s="20">
        <f>COUNTIFS(tData[SEHTrajectPeriodeDatumTijdVan],"&lt;="&amp;($A469+16/24),tData[SEHTrajectPeriodeDatumTijdTotEnMet],"&gt;"&amp;($A469+16/24))</f>
        <v/>
      </c>
      <c r="U469" s="20">
        <f>COUNTIFS(tData[SEHTrajectPeriodeDatumTijdVan],"&lt;="&amp;($A469+17/24),tData[SEHTrajectPeriodeDatumTijdTotEnMet],"&gt;"&amp;($A469+17/24))</f>
        <v/>
      </c>
      <c r="V469" s="20">
        <f>COUNTIFS(tData[SEHTrajectPeriodeDatumTijdVan],"&lt;="&amp;($A469+18/24),tData[SEHTrajectPeriodeDatumTijdTotEnMet],"&gt;"&amp;($A469+18/24))</f>
        <v/>
      </c>
      <c r="W469" s="20">
        <f>COUNTIFS(tData[SEHTrajectPeriodeDatumTijdVan],"&lt;="&amp;($A469+19/24),tData[SEHTrajectPeriodeDatumTijdTotEnMet],"&gt;"&amp;($A469+19/24))</f>
        <v/>
      </c>
      <c r="X469" s="20">
        <f>COUNTIFS(tData[SEHTrajectPeriodeDatumTijdVan],"&lt;="&amp;($A469+20/24),tData[SEHTrajectPeriodeDatumTijdTotEnMet],"&gt;"&amp;($A469+20/24))</f>
        <v/>
      </c>
      <c r="Y469" s="20">
        <f>COUNTIFS(tData[SEHTrajectPeriodeDatumTijdVan],"&lt;="&amp;($A469+21/24),tData[SEHTrajectPeriodeDatumTijdTotEnMet],"&gt;"&amp;($A469+21/24))</f>
        <v/>
      </c>
      <c r="Z469" s="20">
        <f>COUNTIFS(tData[SEHTrajectPeriodeDatumTijdVan],"&lt;="&amp;($A469+22/24),tData[SEHTrajectPeriodeDatumTijdTotEnMet],"&gt;"&amp;($A469+22/24))</f>
        <v/>
      </c>
      <c r="AA469" s="20">
        <f>COUNTIFS(tData[SEHTrajectPeriodeDatumTijdVan],"&lt;="&amp;($A469+23/24),tData[SEHTrajectPeriodeDatumTijdTotEnMet],"&gt;"&amp;($A469+23/24))</f>
        <v/>
      </c>
    </row>
    <row r="470">
      <c r="A470" s="19" t="n">
        <v>45758</v>
      </c>
      <c r="B470" s="15">
        <f>WEEKDAY($A470,2)</f>
        <v/>
      </c>
      <c r="C470" s="15">
        <f>IF(AND($A470&gt;=INT(Instellingen!$B$5),$A470&lt;=INT(Instellingen!$B$6)),1,0)</f>
        <v/>
      </c>
      <c r="D470" s="20">
        <f>COUNTIFS(tData[SEHTrajectPeriodeDatumTijdVan],"&lt;="&amp;($A470+0/24),tData[SEHTrajectPeriodeDatumTijdTotEnMet],"&gt;"&amp;($A470+0/24))</f>
        <v/>
      </c>
      <c r="E470" s="20">
        <f>COUNTIFS(tData[SEHTrajectPeriodeDatumTijdVan],"&lt;="&amp;($A470+1/24),tData[SEHTrajectPeriodeDatumTijdTotEnMet],"&gt;"&amp;($A470+1/24))</f>
        <v/>
      </c>
      <c r="F470" s="20">
        <f>COUNTIFS(tData[SEHTrajectPeriodeDatumTijdVan],"&lt;="&amp;($A470+2/24),tData[SEHTrajectPeriodeDatumTijdTotEnMet],"&gt;"&amp;($A470+2/24))</f>
        <v/>
      </c>
      <c r="G470" s="20">
        <f>COUNTIFS(tData[SEHTrajectPeriodeDatumTijdVan],"&lt;="&amp;($A470+3/24),tData[SEHTrajectPeriodeDatumTijdTotEnMet],"&gt;"&amp;($A470+3/24))</f>
        <v/>
      </c>
      <c r="H470" s="20">
        <f>COUNTIFS(tData[SEHTrajectPeriodeDatumTijdVan],"&lt;="&amp;($A470+4/24),tData[SEHTrajectPeriodeDatumTijdTotEnMet],"&gt;"&amp;($A470+4/24))</f>
        <v/>
      </c>
      <c r="I470" s="20">
        <f>COUNTIFS(tData[SEHTrajectPeriodeDatumTijdVan],"&lt;="&amp;($A470+5/24),tData[SEHTrajectPeriodeDatumTijdTotEnMet],"&gt;"&amp;($A470+5/24))</f>
        <v/>
      </c>
      <c r="J470" s="20">
        <f>COUNTIFS(tData[SEHTrajectPeriodeDatumTijdVan],"&lt;="&amp;($A470+6/24),tData[SEHTrajectPeriodeDatumTijdTotEnMet],"&gt;"&amp;($A470+6/24))</f>
        <v/>
      </c>
      <c r="K470" s="20">
        <f>COUNTIFS(tData[SEHTrajectPeriodeDatumTijdVan],"&lt;="&amp;($A470+7/24),tData[SEHTrajectPeriodeDatumTijdTotEnMet],"&gt;"&amp;($A470+7/24))</f>
        <v/>
      </c>
      <c r="L470" s="20">
        <f>COUNTIFS(tData[SEHTrajectPeriodeDatumTijdVan],"&lt;="&amp;($A470+8/24),tData[SEHTrajectPeriodeDatumTijdTotEnMet],"&gt;"&amp;($A470+8/24))</f>
        <v/>
      </c>
      <c r="M470" s="20">
        <f>COUNTIFS(tData[SEHTrajectPeriodeDatumTijdVan],"&lt;="&amp;($A470+9/24),tData[SEHTrajectPeriodeDatumTijdTotEnMet],"&gt;"&amp;($A470+9/24))</f>
        <v/>
      </c>
      <c r="N470" s="20">
        <f>COUNTIFS(tData[SEHTrajectPeriodeDatumTijdVan],"&lt;="&amp;($A470+10/24),tData[SEHTrajectPeriodeDatumTijdTotEnMet],"&gt;"&amp;($A470+10/24))</f>
        <v/>
      </c>
      <c r="O470" s="20">
        <f>COUNTIFS(tData[SEHTrajectPeriodeDatumTijdVan],"&lt;="&amp;($A470+11/24),tData[SEHTrajectPeriodeDatumTijdTotEnMet],"&gt;"&amp;($A470+11/24))</f>
        <v/>
      </c>
      <c r="P470" s="20">
        <f>COUNTIFS(tData[SEHTrajectPeriodeDatumTijdVan],"&lt;="&amp;($A470+12/24),tData[SEHTrajectPeriodeDatumTijdTotEnMet],"&gt;"&amp;($A470+12/24))</f>
        <v/>
      </c>
      <c r="Q470" s="20">
        <f>COUNTIFS(tData[SEHTrajectPeriodeDatumTijdVan],"&lt;="&amp;($A470+13/24),tData[SEHTrajectPeriodeDatumTijdTotEnMet],"&gt;"&amp;($A470+13/24))</f>
        <v/>
      </c>
      <c r="R470" s="20">
        <f>COUNTIFS(tData[SEHTrajectPeriodeDatumTijdVan],"&lt;="&amp;($A470+14/24),tData[SEHTrajectPeriodeDatumTijdTotEnMet],"&gt;"&amp;($A470+14/24))</f>
        <v/>
      </c>
      <c r="S470" s="20">
        <f>COUNTIFS(tData[SEHTrajectPeriodeDatumTijdVan],"&lt;="&amp;($A470+15/24),tData[SEHTrajectPeriodeDatumTijdTotEnMet],"&gt;"&amp;($A470+15/24))</f>
        <v/>
      </c>
      <c r="T470" s="20">
        <f>COUNTIFS(tData[SEHTrajectPeriodeDatumTijdVan],"&lt;="&amp;($A470+16/24),tData[SEHTrajectPeriodeDatumTijdTotEnMet],"&gt;"&amp;($A470+16/24))</f>
        <v/>
      </c>
      <c r="U470" s="20">
        <f>COUNTIFS(tData[SEHTrajectPeriodeDatumTijdVan],"&lt;="&amp;($A470+17/24),tData[SEHTrajectPeriodeDatumTijdTotEnMet],"&gt;"&amp;($A470+17/24))</f>
        <v/>
      </c>
      <c r="V470" s="20">
        <f>COUNTIFS(tData[SEHTrajectPeriodeDatumTijdVan],"&lt;="&amp;($A470+18/24),tData[SEHTrajectPeriodeDatumTijdTotEnMet],"&gt;"&amp;($A470+18/24))</f>
        <v/>
      </c>
      <c r="W470" s="20">
        <f>COUNTIFS(tData[SEHTrajectPeriodeDatumTijdVan],"&lt;="&amp;($A470+19/24),tData[SEHTrajectPeriodeDatumTijdTotEnMet],"&gt;"&amp;($A470+19/24))</f>
        <v/>
      </c>
      <c r="X470" s="20">
        <f>COUNTIFS(tData[SEHTrajectPeriodeDatumTijdVan],"&lt;="&amp;($A470+20/24),tData[SEHTrajectPeriodeDatumTijdTotEnMet],"&gt;"&amp;($A470+20/24))</f>
        <v/>
      </c>
      <c r="Y470" s="20">
        <f>COUNTIFS(tData[SEHTrajectPeriodeDatumTijdVan],"&lt;="&amp;($A470+21/24),tData[SEHTrajectPeriodeDatumTijdTotEnMet],"&gt;"&amp;($A470+21/24))</f>
        <v/>
      </c>
      <c r="Z470" s="20">
        <f>COUNTIFS(tData[SEHTrajectPeriodeDatumTijdVan],"&lt;="&amp;($A470+22/24),tData[SEHTrajectPeriodeDatumTijdTotEnMet],"&gt;"&amp;($A470+22/24))</f>
        <v/>
      </c>
      <c r="AA470" s="20">
        <f>COUNTIFS(tData[SEHTrajectPeriodeDatumTijdVan],"&lt;="&amp;($A470+23/24),tData[SEHTrajectPeriodeDatumTijdTotEnMet],"&gt;"&amp;($A470+23/24))</f>
        <v/>
      </c>
    </row>
    <row r="471">
      <c r="A471" s="19" t="n">
        <v>45759</v>
      </c>
      <c r="B471" s="15">
        <f>WEEKDAY($A471,2)</f>
        <v/>
      </c>
      <c r="C471" s="15">
        <f>IF(AND($A471&gt;=INT(Instellingen!$B$5),$A471&lt;=INT(Instellingen!$B$6)),1,0)</f>
        <v/>
      </c>
      <c r="D471" s="20">
        <f>COUNTIFS(tData[SEHTrajectPeriodeDatumTijdVan],"&lt;="&amp;($A471+0/24),tData[SEHTrajectPeriodeDatumTijdTotEnMet],"&gt;"&amp;($A471+0/24))</f>
        <v/>
      </c>
      <c r="E471" s="20">
        <f>COUNTIFS(tData[SEHTrajectPeriodeDatumTijdVan],"&lt;="&amp;($A471+1/24),tData[SEHTrajectPeriodeDatumTijdTotEnMet],"&gt;"&amp;($A471+1/24))</f>
        <v/>
      </c>
      <c r="F471" s="20">
        <f>COUNTIFS(tData[SEHTrajectPeriodeDatumTijdVan],"&lt;="&amp;($A471+2/24),tData[SEHTrajectPeriodeDatumTijdTotEnMet],"&gt;"&amp;($A471+2/24))</f>
        <v/>
      </c>
      <c r="G471" s="20">
        <f>COUNTIFS(tData[SEHTrajectPeriodeDatumTijdVan],"&lt;="&amp;($A471+3/24),tData[SEHTrajectPeriodeDatumTijdTotEnMet],"&gt;"&amp;($A471+3/24))</f>
        <v/>
      </c>
      <c r="H471" s="20">
        <f>COUNTIFS(tData[SEHTrajectPeriodeDatumTijdVan],"&lt;="&amp;($A471+4/24),tData[SEHTrajectPeriodeDatumTijdTotEnMet],"&gt;"&amp;($A471+4/24))</f>
        <v/>
      </c>
      <c r="I471" s="20">
        <f>COUNTIFS(tData[SEHTrajectPeriodeDatumTijdVan],"&lt;="&amp;($A471+5/24),tData[SEHTrajectPeriodeDatumTijdTotEnMet],"&gt;"&amp;($A471+5/24))</f>
        <v/>
      </c>
      <c r="J471" s="20">
        <f>COUNTIFS(tData[SEHTrajectPeriodeDatumTijdVan],"&lt;="&amp;($A471+6/24),tData[SEHTrajectPeriodeDatumTijdTotEnMet],"&gt;"&amp;($A471+6/24))</f>
        <v/>
      </c>
      <c r="K471" s="20">
        <f>COUNTIFS(tData[SEHTrajectPeriodeDatumTijdVan],"&lt;="&amp;($A471+7/24),tData[SEHTrajectPeriodeDatumTijdTotEnMet],"&gt;"&amp;($A471+7/24))</f>
        <v/>
      </c>
      <c r="L471" s="20">
        <f>COUNTIFS(tData[SEHTrajectPeriodeDatumTijdVan],"&lt;="&amp;($A471+8/24),tData[SEHTrajectPeriodeDatumTijdTotEnMet],"&gt;"&amp;($A471+8/24))</f>
        <v/>
      </c>
      <c r="M471" s="20">
        <f>COUNTIFS(tData[SEHTrajectPeriodeDatumTijdVan],"&lt;="&amp;($A471+9/24),tData[SEHTrajectPeriodeDatumTijdTotEnMet],"&gt;"&amp;($A471+9/24))</f>
        <v/>
      </c>
      <c r="N471" s="20">
        <f>COUNTIFS(tData[SEHTrajectPeriodeDatumTijdVan],"&lt;="&amp;($A471+10/24),tData[SEHTrajectPeriodeDatumTijdTotEnMet],"&gt;"&amp;($A471+10/24))</f>
        <v/>
      </c>
      <c r="O471" s="20">
        <f>COUNTIFS(tData[SEHTrajectPeriodeDatumTijdVan],"&lt;="&amp;($A471+11/24),tData[SEHTrajectPeriodeDatumTijdTotEnMet],"&gt;"&amp;($A471+11/24))</f>
        <v/>
      </c>
      <c r="P471" s="20">
        <f>COUNTIFS(tData[SEHTrajectPeriodeDatumTijdVan],"&lt;="&amp;($A471+12/24),tData[SEHTrajectPeriodeDatumTijdTotEnMet],"&gt;"&amp;($A471+12/24))</f>
        <v/>
      </c>
      <c r="Q471" s="20">
        <f>COUNTIFS(tData[SEHTrajectPeriodeDatumTijdVan],"&lt;="&amp;($A471+13/24),tData[SEHTrajectPeriodeDatumTijdTotEnMet],"&gt;"&amp;($A471+13/24))</f>
        <v/>
      </c>
      <c r="R471" s="20">
        <f>COUNTIFS(tData[SEHTrajectPeriodeDatumTijdVan],"&lt;="&amp;($A471+14/24),tData[SEHTrajectPeriodeDatumTijdTotEnMet],"&gt;"&amp;($A471+14/24))</f>
        <v/>
      </c>
      <c r="S471" s="20">
        <f>COUNTIFS(tData[SEHTrajectPeriodeDatumTijdVan],"&lt;="&amp;($A471+15/24),tData[SEHTrajectPeriodeDatumTijdTotEnMet],"&gt;"&amp;($A471+15/24))</f>
        <v/>
      </c>
      <c r="T471" s="20">
        <f>COUNTIFS(tData[SEHTrajectPeriodeDatumTijdVan],"&lt;="&amp;($A471+16/24),tData[SEHTrajectPeriodeDatumTijdTotEnMet],"&gt;"&amp;($A471+16/24))</f>
        <v/>
      </c>
      <c r="U471" s="20">
        <f>COUNTIFS(tData[SEHTrajectPeriodeDatumTijdVan],"&lt;="&amp;($A471+17/24),tData[SEHTrajectPeriodeDatumTijdTotEnMet],"&gt;"&amp;($A471+17/24))</f>
        <v/>
      </c>
      <c r="V471" s="20">
        <f>COUNTIFS(tData[SEHTrajectPeriodeDatumTijdVan],"&lt;="&amp;($A471+18/24),tData[SEHTrajectPeriodeDatumTijdTotEnMet],"&gt;"&amp;($A471+18/24))</f>
        <v/>
      </c>
      <c r="W471" s="20">
        <f>COUNTIFS(tData[SEHTrajectPeriodeDatumTijdVan],"&lt;="&amp;($A471+19/24),tData[SEHTrajectPeriodeDatumTijdTotEnMet],"&gt;"&amp;($A471+19/24))</f>
        <v/>
      </c>
      <c r="X471" s="20">
        <f>COUNTIFS(tData[SEHTrajectPeriodeDatumTijdVan],"&lt;="&amp;($A471+20/24),tData[SEHTrajectPeriodeDatumTijdTotEnMet],"&gt;"&amp;($A471+20/24))</f>
        <v/>
      </c>
      <c r="Y471" s="20">
        <f>COUNTIFS(tData[SEHTrajectPeriodeDatumTijdVan],"&lt;="&amp;($A471+21/24),tData[SEHTrajectPeriodeDatumTijdTotEnMet],"&gt;"&amp;($A471+21/24))</f>
        <v/>
      </c>
      <c r="Z471" s="20">
        <f>COUNTIFS(tData[SEHTrajectPeriodeDatumTijdVan],"&lt;="&amp;($A471+22/24),tData[SEHTrajectPeriodeDatumTijdTotEnMet],"&gt;"&amp;($A471+22/24))</f>
        <v/>
      </c>
      <c r="AA471" s="20">
        <f>COUNTIFS(tData[SEHTrajectPeriodeDatumTijdVan],"&lt;="&amp;($A471+23/24),tData[SEHTrajectPeriodeDatumTijdTotEnMet],"&gt;"&amp;($A471+23/24))</f>
        <v/>
      </c>
    </row>
    <row r="472">
      <c r="A472" s="19" t="n">
        <v>45760</v>
      </c>
      <c r="B472" s="15">
        <f>WEEKDAY($A472,2)</f>
        <v/>
      </c>
      <c r="C472" s="15">
        <f>IF(AND($A472&gt;=INT(Instellingen!$B$5),$A472&lt;=INT(Instellingen!$B$6)),1,0)</f>
        <v/>
      </c>
      <c r="D472" s="20">
        <f>COUNTIFS(tData[SEHTrajectPeriodeDatumTijdVan],"&lt;="&amp;($A472+0/24),tData[SEHTrajectPeriodeDatumTijdTotEnMet],"&gt;"&amp;($A472+0/24))</f>
        <v/>
      </c>
      <c r="E472" s="20">
        <f>COUNTIFS(tData[SEHTrajectPeriodeDatumTijdVan],"&lt;="&amp;($A472+1/24),tData[SEHTrajectPeriodeDatumTijdTotEnMet],"&gt;"&amp;($A472+1/24))</f>
        <v/>
      </c>
      <c r="F472" s="20">
        <f>COUNTIFS(tData[SEHTrajectPeriodeDatumTijdVan],"&lt;="&amp;($A472+2/24),tData[SEHTrajectPeriodeDatumTijdTotEnMet],"&gt;"&amp;($A472+2/24))</f>
        <v/>
      </c>
      <c r="G472" s="20">
        <f>COUNTIFS(tData[SEHTrajectPeriodeDatumTijdVan],"&lt;="&amp;($A472+3/24),tData[SEHTrajectPeriodeDatumTijdTotEnMet],"&gt;"&amp;($A472+3/24))</f>
        <v/>
      </c>
      <c r="H472" s="20">
        <f>COUNTIFS(tData[SEHTrajectPeriodeDatumTijdVan],"&lt;="&amp;($A472+4/24),tData[SEHTrajectPeriodeDatumTijdTotEnMet],"&gt;"&amp;($A472+4/24))</f>
        <v/>
      </c>
      <c r="I472" s="20">
        <f>COUNTIFS(tData[SEHTrajectPeriodeDatumTijdVan],"&lt;="&amp;($A472+5/24),tData[SEHTrajectPeriodeDatumTijdTotEnMet],"&gt;"&amp;($A472+5/24))</f>
        <v/>
      </c>
      <c r="J472" s="20">
        <f>COUNTIFS(tData[SEHTrajectPeriodeDatumTijdVan],"&lt;="&amp;($A472+6/24),tData[SEHTrajectPeriodeDatumTijdTotEnMet],"&gt;"&amp;($A472+6/24))</f>
        <v/>
      </c>
      <c r="K472" s="20">
        <f>COUNTIFS(tData[SEHTrajectPeriodeDatumTijdVan],"&lt;="&amp;($A472+7/24),tData[SEHTrajectPeriodeDatumTijdTotEnMet],"&gt;"&amp;($A472+7/24))</f>
        <v/>
      </c>
      <c r="L472" s="20">
        <f>COUNTIFS(tData[SEHTrajectPeriodeDatumTijdVan],"&lt;="&amp;($A472+8/24),tData[SEHTrajectPeriodeDatumTijdTotEnMet],"&gt;"&amp;($A472+8/24))</f>
        <v/>
      </c>
      <c r="M472" s="20">
        <f>COUNTIFS(tData[SEHTrajectPeriodeDatumTijdVan],"&lt;="&amp;($A472+9/24),tData[SEHTrajectPeriodeDatumTijdTotEnMet],"&gt;"&amp;($A472+9/24))</f>
        <v/>
      </c>
      <c r="N472" s="20">
        <f>COUNTIFS(tData[SEHTrajectPeriodeDatumTijdVan],"&lt;="&amp;($A472+10/24),tData[SEHTrajectPeriodeDatumTijdTotEnMet],"&gt;"&amp;($A472+10/24))</f>
        <v/>
      </c>
      <c r="O472" s="20">
        <f>COUNTIFS(tData[SEHTrajectPeriodeDatumTijdVan],"&lt;="&amp;($A472+11/24),tData[SEHTrajectPeriodeDatumTijdTotEnMet],"&gt;"&amp;($A472+11/24))</f>
        <v/>
      </c>
      <c r="P472" s="20">
        <f>COUNTIFS(tData[SEHTrajectPeriodeDatumTijdVan],"&lt;="&amp;($A472+12/24),tData[SEHTrajectPeriodeDatumTijdTotEnMet],"&gt;"&amp;($A472+12/24))</f>
        <v/>
      </c>
      <c r="Q472" s="20">
        <f>COUNTIFS(tData[SEHTrajectPeriodeDatumTijdVan],"&lt;="&amp;($A472+13/24),tData[SEHTrajectPeriodeDatumTijdTotEnMet],"&gt;"&amp;($A472+13/24))</f>
        <v/>
      </c>
      <c r="R472" s="20">
        <f>COUNTIFS(tData[SEHTrajectPeriodeDatumTijdVan],"&lt;="&amp;($A472+14/24),tData[SEHTrajectPeriodeDatumTijdTotEnMet],"&gt;"&amp;($A472+14/24))</f>
        <v/>
      </c>
      <c r="S472" s="20">
        <f>COUNTIFS(tData[SEHTrajectPeriodeDatumTijdVan],"&lt;="&amp;($A472+15/24),tData[SEHTrajectPeriodeDatumTijdTotEnMet],"&gt;"&amp;($A472+15/24))</f>
        <v/>
      </c>
      <c r="T472" s="20">
        <f>COUNTIFS(tData[SEHTrajectPeriodeDatumTijdVan],"&lt;="&amp;($A472+16/24),tData[SEHTrajectPeriodeDatumTijdTotEnMet],"&gt;"&amp;($A472+16/24))</f>
        <v/>
      </c>
      <c r="U472" s="20">
        <f>COUNTIFS(tData[SEHTrajectPeriodeDatumTijdVan],"&lt;="&amp;($A472+17/24),tData[SEHTrajectPeriodeDatumTijdTotEnMet],"&gt;"&amp;($A472+17/24))</f>
        <v/>
      </c>
      <c r="V472" s="20">
        <f>COUNTIFS(tData[SEHTrajectPeriodeDatumTijdVan],"&lt;="&amp;($A472+18/24),tData[SEHTrajectPeriodeDatumTijdTotEnMet],"&gt;"&amp;($A472+18/24))</f>
        <v/>
      </c>
      <c r="W472" s="20">
        <f>COUNTIFS(tData[SEHTrajectPeriodeDatumTijdVan],"&lt;="&amp;($A472+19/24),tData[SEHTrajectPeriodeDatumTijdTotEnMet],"&gt;"&amp;($A472+19/24))</f>
        <v/>
      </c>
      <c r="X472" s="20">
        <f>COUNTIFS(tData[SEHTrajectPeriodeDatumTijdVan],"&lt;="&amp;($A472+20/24),tData[SEHTrajectPeriodeDatumTijdTotEnMet],"&gt;"&amp;($A472+20/24))</f>
        <v/>
      </c>
      <c r="Y472" s="20">
        <f>COUNTIFS(tData[SEHTrajectPeriodeDatumTijdVan],"&lt;="&amp;($A472+21/24),tData[SEHTrajectPeriodeDatumTijdTotEnMet],"&gt;"&amp;($A472+21/24))</f>
        <v/>
      </c>
      <c r="Z472" s="20">
        <f>COUNTIFS(tData[SEHTrajectPeriodeDatumTijdVan],"&lt;="&amp;($A472+22/24),tData[SEHTrajectPeriodeDatumTijdTotEnMet],"&gt;"&amp;($A472+22/24))</f>
        <v/>
      </c>
      <c r="AA472" s="20">
        <f>COUNTIFS(tData[SEHTrajectPeriodeDatumTijdVan],"&lt;="&amp;($A472+23/24),tData[SEHTrajectPeriodeDatumTijdTotEnMet],"&gt;"&amp;($A472+23/24))</f>
        <v/>
      </c>
    </row>
    <row r="473">
      <c r="A473" s="19" t="n">
        <v>45761</v>
      </c>
      <c r="B473" s="15">
        <f>WEEKDAY($A473,2)</f>
        <v/>
      </c>
      <c r="C473" s="15">
        <f>IF(AND($A473&gt;=INT(Instellingen!$B$5),$A473&lt;=INT(Instellingen!$B$6)),1,0)</f>
        <v/>
      </c>
      <c r="D473" s="20">
        <f>COUNTIFS(tData[SEHTrajectPeriodeDatumTijdVan],"&lt;="&amp;($A473+0/24),tData[SEHTrajectPeriodeDatumTijdTotEnMet],"&gt;"&amp;($A473+0/24))</f>
        <v/>
      </c>
      <c r="E473" s="20">
        <f>COUNTIFS(tData[SEHTrajectPeriodeDatumTijdVan],"&lt;="&amp;($A473+1/24),tData[SEHTrajectPeriodeDatumTijdTotEnMet],"&gt;"&amp;($A473+1/24))</f>
        <v/>
      </c>
      <c r="F473" s="20">
        <f>COUNTIFS(tData[SEHTrajectPeriodeDatumTijdVan],"&lt;="&amp;($A473+2/24),tData[SEHTrajectPeriodeDatumTijdTotEnMet],"&gt;"&amp;($A473+2/24))</f>
        <v/>
      </c>
      <c r="G473" s="20">
        <f>COUNTIFS(tData[SEHTrajectPeriodeDatumTijdVan],"&lt;="&amp;($A473+3/24),tData[SEHTrajectPeriodeDatumTijdTotEnMet],"&gt;"&amp;($A473+3/24))</f>
        <v/>
      </c>
      <c r="H473" s="20">
        <f>COUNTIFS(tData[SEHTrajectPeriodeDatumTijdVan],"&lt;="&amp;($A473+4/24),tData[SEHTrajectPeriodeDatumTijdTotEnMet],"&gt;"&amp;($A473+4/24))</f>
        <v/>
      </c>
      <c r="I473" s="20">
        <f>COUNTIFS(tData[SEHTrajectPeriodeDatumTijdVan],"&lt;="&amp;($A473+5/24),tData[SEHTrajectPeriodeDatumTijdTotEnMet],"&gt;"&amp;($A473+5/24))</f>
        <v/>
      </c>
      <c r="J473" s="20">
        <f>COUNTIFS(tData[SEHTrajectPeriodeDatumTijdVan],"&lt;="&amp;($A473+6/24),tData[SEHTrajectPeriodeDatumTijdTotEnMet],"&gt;"&amp;($A473+6/24))</f>
        <v/>
      </c>
      <c r="K473" s="20">
        <f>COUNTIFS(tData[SEHTrajectPeriodeDatumTijdVan],"&lt;="&amp;($A473+7/24),tData[SEHTrajectPeriodeDatumTijdTotEnMet],"&gt;"&amp;($A473+7/24))</f>
        <v/>
      </c>
      <c r="L473" s="20">
        <f>COUNTIFS(tData[SEHTrajectPeriodeDatumTijdVan],"&lt;="&amp;($A473+8/24),tData[SEHTrajectPeriodeDatumTijdTotEnMet],"&gt;"&amp;($A473+8/24))</f>
        <v/>
      </c>
      <c r="M473" s="20">
        <f>COUNTIFS(tData[SEHTrajectPeriodeDatumTijdVan],"&lt;="&amp;($A473+9/24),tData[SEHTrajectPeriodeDatumTijdTotEnMet],"&gt;"&amp;($A473+9/24))</f>
        <v/>
      </c>
      <c r="N473" s="20">
        <f>COUNTIFS(tData[SEHTrajectPeriodeDatumTijdVan],"&lt;="&amp;($A473+10/24),tData[SEHTrajectPeriodeDatumTijdTotEnMet],"&gt;"&amp;($A473+10/24))</f>
        <v/>
      </c>
      <c r="O473" s="20">
        <f>COUNTIFS(tData[SEHTrajectPeriodeDatumTijdVan],"&lt;="&amp;($A473+11/24),tData[SEHTrajectPeriodeDatumTijdTotEnMet],"&gt;"&amp;($A473+11/24))</f>
        <v/>
      </c>
      <c r="P473" s="20">
        <f>COUNTIFS(tData[SEHTrajectPeriodeDatumTijdVan],"&lt;="&amp;($A473+12/24),tData[SEHTrajectPeriodeDatumTijdTotEnMet],"&gt;"&amp;($A473+12/24))</f>
        <v/>
      </c>
      <c r="Q473" s="20">
        <f>COUNTIFS(tData[SEHTrajectPeriodeDatumTijdVan],"&lt;="&amp;($A473+13/24),tData[SEHTrajectPeriodeDatumTijdTotEnMet],"&gt;"&amp;($A473+13/24))</f>
        <v/>
      </c>
      <c r="R473" s="20">
        <f>COUNTIFS(tData[SEHTrajectPeriodeDatumTijdVan],"&lt;="&amp;($A473+14/24),tData[SEHTrajectPeriodeDatumTijdTotEnMet],"&gt;"&amp;($A473+14/24))</f>
        <v/>
      </c>
      <c r="S473" s="20">
        <f>COUNTIFS(tData[SEHTrajectPeriodeDatumTijdVan],"&lt;="&amp;($A473+15/24),tData[SEHTrajectPeriodeDatumTijdTotEnMet],"&gt;"&amp;($A473+15/24))</f>
        <v/>
      </c>
      <c r="T473" s="20">
        <f>COUNTIFS(tData[SEHTrajectPeriodeDatumTijdVan],"&lt;="&amp;($A473+16/24),tData[SEHTrajectPeriodeDatumTijdTotEnMet],"&gt;"&amp;($A473+16/24))</f>
        <v/>
      </c>
      <c r="U473" s="20">
        <f>COUNTIFS(tData[SEHTrajectPeriodeDatumTijdVan],"&lt;="&amp;($A473+17/24),tData[SEHTrajectPeriodeDatumTijdTotEnMet],"&gt;"&amp;($A473+17/24))</f>
        <v/>
      </c>
      <c r="V473" s="20">
        <f>COUNTIFS(tData[SEHTrajectPeriodeDatumTijdVan],"&lt;="&amp;($A473+18/24),tData[SEHTrajectPeriodeDatumTijdTotEnMet],"&gt;"&amp;($A473+18/24))</f>
        <v/>
      </c>
      <c r="W473" s="20">
        <f>COUNTIFS(tData[SEHTrajectPeriodeDatumTijdVan],"&lt;="&amp;($A473+19/24),tData[SEHTrajectPeriodeDatumTijdTotEnMet],"&gt;"&amp;($A473+19/24))</f>
        <v/>
      </c>
      <c r="X473" s="20">
        <f>COUNTIFS(tData[SEHTrajectPeriodeDatumTijdVan],"&lt;="&amp;($A473+20/24),tData[SEHTrajectPeriodeDatumTijdTotEnMet],"&gt;"&amp;($A473+20/24))</f>
        <v/>
      </c>
      <c r="Y473" s="20">
        <f>COUNTIFS(tData[SEHTrajectPeriodeDatumTijdVan],"&lt;="&amp;($A473+21/24),tData[SEHTrajectPeriodeDatumTijdTotEnMet],"&gt;"&amp;($A473+21/24))</f>
        <v/>
      </c>
      <c r="Z473" s="20">
        <f>COUNTIFS(tData[SEHTrajectPeriodeDatumTijdVan],"&lt;="&amp;($A473+22/24),tData[SEHTrajectPeriodeDatumTijdTotEnMet],"&gt;"&amp;($A473+22/24))</f>
        <v/>
      </c>
      <c r="AA473" s="20">
        <f>COUNTIFS(tData[SEHTrajectPeriodeDatumTijdVan],"&lt;="&amp;($A473+23/24),tData[SEHTrajectPeriodeDatumTijdTotEnMet],"&gt;"&amp;($A473+23/24))</f>
        <v/>
      </c>
    </row>
    <row r="474">
      <c r="A474" s="19" t="n">
        <v>45762</v>
      </c>
      <c r="B474" s="15">
        <f>WEEKDAY($A474,2)</f>
        <v/>
      </c>
      <c r="C474" s="15">
        <f>IF(AND($A474&gt;=INT(Instellingen!$B$5),$A474&lt;=INT(Instellingen!$B$6)),1,0)</f>
        <v/>
      </c>
      <c r="D474" s="20">
        <f>COUNTIFS(tData[SEHTrajectPeriodeDatumTijdVan],"&lt;="&amp;($A474+0/24),tData[SEHTrajectPeriodeDatumTijdTotEnMet],"&gt;"&amp;($A474+0/24))</f>
        <v/>
      </c>
      <c r="E474" s="20">
        <f>COUNTIFS(tData[SEHTrajectPeriodeDatumTijdVan],"&lt;="&amp;($A474+1/24),tData[SEHTrajectPeriodeDatumTijdTotEnMet],"&gt;"&amp;($A474+1/24))</f>
        <v/>
      </c>
      <c r="F474" s="20">
        <f>COUNTIFS(tData[SEHTrajectPeriodeDatumTijdVan],"&lt;="&amp;($A474+2/24),tData[SEHTrajectPeriodeDatumTijdTotEnMet],"&gt;"&amp;($A474+2/24))</f>
        <v/>
      </c>
      <c r="G474" s="20">
        <f>COUNTIFS(tData[SEHTrajectPeriodeDatumTijdVan],"&lt;="&amp;($A474+3/24),tData[SEHTrajectPeriodeDatumTijdTotEnMet],"&gt;"&amp;($A474+3/24))</f>
        <v/>
      </c>
      <c r="H474" s="20">
        <f>COUNTIFS(tData[SEHTrajectPeriodeDatumTijdVan],"&lt;="&amp;($A474+4/24),tData[SEHTrajectPeriodeDatumTijdTotEnMet],"&gt;"&amp;($A474+4/24))</f>
        <v/>
      </c>
      <c r="I474" s="20">
        <f>COUNTIFS(tData[SEHTrajectPeriodeDatumTijdVan],"&lt;="&amp;($A474+5/24),tData[SEHTrajectPeriodeDatumTijdTotEnMet],"&gt;"&amp;($A474+5/24))</f>
        <v/>
      </c>
      <c r="J474" s="20">
        <f>COUNTIFS(tData[SEHTrajectPeriodeDatumTijdVan],"&lt;="&amp;($A474+6/24),tData[SEHTrajectPeriodeDatumTijdTotEnMet],"&gt;"&amp;($A474+6/24))</f>
        <v/>
      </c>
      <c r="K474" s="20">
        <f>COUNTIFS(tData[SEHTrajectPeriodeDatumTijdVan],"&lt;="&amp;($A474+7/24),tData[SEHTrajectPeriodeDatumTijdTotEnMet],"&gt;"&amp;($A474+7/24))</f>
        <v/>
      </c>
      <c r="L474" s="20">
        <f>COUNTIFS(tData[SEHTrajectPeriodeDatumTijdVan],"&lt;="&amp;($A474+8/24),tData[SEHTrajectPeriodeDatumTijdTotEnMet],"&gt;"&amp;($A474+8/24))</f>
        <v/>
      </c>
      <c r="M474" s="20">
        <f>COUNTIFS(tData[SEHTrajectPeriodeDatumTijdVan],"&lt;="&amp;($A474+9/24),tData[SEHTrajectPeriodeDatumTijdTotEnMet],"&gt;"&amp;($A474+9/24))</f>
        <v/>
      </c>
      <c r="N474" s="20">
        <f>COUNTIFS(tData[SEHTrajectPeriodeDatumTijdVan],"&lt;="&amp;($A474+10/24),tData[SEHTrajectPeriodeDatumTijdTotEnMet],"&gt;"&amp;($A474+10/24))</f>
        <v/>
      </c>
      <c r="O474" s="20">
        <f>COUNTIFS(tData[SEHTrajectPeriodeDatumTijdVan],"&lt;="&amp;($A474+11/24),tData[SEHTrajectPeriodeDatumTijdTotEnMet],"&gt;"&amp;($A474+11/24))</f>
        <v/>
      </c>
      <c r="P474" s="20">
        <f>COUNTIFS(tData[SEHTrajectPeriodeDatumTijdVan],"&lt;="&amp;($A474+12/24),tData[SEHTrajectPeriodeDatumTijdTotEnMet],"&gt;"&amp;($A474+12/24))</f>
        <v/>
      </c>
      <c r="Q474" s="20">
        <f>COUNTIFS(tData[SEHTrajectPeriodeDatumTijdVan],"&lt;="&amp;($A474+13/24),tData[SEHTrajectPeriodeDatumTijdTotEnMet],"&gt;"&amp;($A474+13/24))</f>
        <v/>
      </c>
      <c r="R474" s="20">
        <f>COUNTIFS(tData[SEHTrajectPeriodeDatumTijdVan],"&lt;="&amp;($A474+14/24),tData[SEHTrajectPeriodeDatumTijdTotEnMet],"&gt;"&amp;($A474+14/24))</f>
        <v/>
      </c>
      <c r="S474" s="20">
        <f>COUNTIFS(tData[SEHTrajectPeriodeDatumTijdVan],"&lt;="&amp;($A474+15/24),tData[SEHTrajectPeriodeDatumTijdTotEnMet],"&gt;"&amp;($A474+15/24))</f>
        <v/>
      </c>
      <c r="T474" s="20">
        <f>COUNTIFS(tData[SEHTrajectPeriodeDatumTijdVan],"&lt;="&amp;($A474+16/24),tData[SEHTrajectPeriodeDatumTijdTotEnMet],"&gt;"&amp;($A474+16/24))</f>
        <v/>
      </c>
      <c r="U474" s="20">
        <f>COUNTIFS(tData[SEHTrajectPeriodeDatumTijdVan],"&lt;="&amp;($A474+17/24),tData[SEHTrajectPeriodeDatumTijdTotEnMet],"&gt;"&amp;($A474+17/24))</f>
        <v/>
      </c>
      <c r="V474" s="20">
        <f>COUNTIFS(tData[SEHTrajectPeriodeDatumTijdVan],"&lt;="&amp;($A474+18/24),tData[SEHTrajectPeriodeDatumTijdTotEnMet],"&gt;"&amp;($A474+18/24))</f>
        <v/>
      </c>
      <c r="W474" s="20">
        <f>COUNTIFS(tData[SEHTrajectPeriodeDatumTijdVan],"&lt;="&amp;($A474+19/24),tData[SEHTrajectPeriodeDatumTijdTotEnMet],"&gt;"&amp;($A474+19/24))</f>
        <v/>
      </c>
      <c r="X474" s="20">
        <f>COUNTIFS(tData[SEHTrajectPeriodeDatumTijdVan],"&lt;="&amp;($A474+20/24),tData[SEHTrajectPeriodeDatumTijdTotEnMet],"&gt;"&amp;($A474+20/24))</f>
        <v/>
      </c>
      <c r="Y474" s="20">
        <f>COUNTIFS(tData[SEHTrajectPeriodeDatumTijdVan],"&lt;="&amp;($A474+21/24),tData[SEHTrajectPeriodeDatumTijdTotEnMet],"&gt;"&amp;($A474+21/24))</f>
        <v/>
      </c>
      <c r="Z474" s="20">
        <f>COUNTIFS(tData[SEHTrajectPeriodeDatumTijdVan],"&lt;="&amp;($A474+22/24),tData[SEHTrajectPeriodeDatumTijdTotEnMet],"&gt;"&amp;($A474+22/24))</f>
        <v/>
      </c>
      <c r="AA474" s="20">
        <f>COUNTIFS(tData[SEHTrajectPeriodeDatumTijdVan],"&lt;="&amp;($A474+23/24),tData[SEHTrajectPeriodeDatumTijdTotEnMet],"&gt;"&amp;($A474+23/24))</f>
        <v/>
      </c>
    </row>
    <row r="475">
      <c r="A475" s="19" t="n">
        <v>45763</v>
      </c>
      <c r="B475" s="15">
        <f>WEEKDAY($A475,2)</f>
        <v/>
      </c>
      <c r="C475" s="15">
        <f>IF(AND($A475&gt;=INT(Instellingen!$B$5),$A475&lt;=INT(Instellingen!$B$6)),1,0)</f>
        <v/>
      </c>
      <c r="D475" s="20">
        <f>COUNTIFS(tData[SEHTrajectPeriodeDatumTijdVan],"&lt;="&amp;($A475+0/24),tData[SEHTrajectPeriodeDatumTijdTotEnMet],"&gt;"&amp;($A475+0/24))</f>
        <v/>
      </c>
      <c r="E475" s="20">
        <f>COUNTIFS(tData[SEHTrajectPeriodeDatumTijdVan],"&lt;="&amp;($A475+1/24),tData[SEHTrajectPeriodeDatumTijdTotEnMet],"&gt;"&amp;($A475+1/24))</f>
        <v/>
      </c>
      <c r="F475" s="20">
        <f>COUNTIFS(tData[SEHTrajectPeriodeDatumTijdVan],"&lt;="&amp;($A475+2/24),tData[SEHTrajectPeriodeDatumTijdTotEnMet],"&gt;"&amp;($A475+2/24))</f>
        <v/>
      </c>
      <c r="G475" s="20">
        <f>COUNTIFS(tData[SEHTrajectPeriodeDatumTijdVan],"&lt;="&amp;($A475+3/24),tData[SEHTrajectPeriodeDatumTijdTotEnMet],"&gt;"&amp;($A475+3/24))</f>
        <v/>
      </c>
      <c r="H475" s="20">
        <f>COUNTIFS(tData[SEHTrajectPeriodeDatumTijdVan],"&lt;="&amp;($A475+4/24),tData[SEHTrajectPeriodeDatumTijdTotEnMet],"&gt;"&amp;($A475+4/24))</f>
        <v/>
      </c>
      <c r="I475" s="20">
        <f>COUNTIFS(tData[SEHTrajectPeriodeDatumTijdVan],"&lt;="&amp;($A475+5/24),tData[SEHTrajectPeriodeDatumTijdTotEnMet],"&gt;"&amp;($A475+5/24))</f>
        <v/>
      </c>
      <c r="J475" s="20">
        <f>COUNTIFS(tData[SEHTrajectPeriodeDatumTijdVan],"&lt;="&amp;($A475+6/24),tData[SEHTrajectPeriodeDatumTijdTotEnMet],"&gt;"&amp;($A475+6/24))</f>
        <v/>
      </c>
      <c r="K475" s="20">
        <f>COUNTIFS(tData[SEHTrajectPeriodeDatumTijdVan],"&lt;="&amp;($A475+7/24),tData[SEHTrajectPeriodeDatumTijdTotEnMet],"&gt;"&amp;($A475+7/24))</f>
        <v/>
      </c>
      <c r="L475" s="20">
        <f>COUNTIFS(tData[SEHTrajectPeriodeDatumTijdVan],"&lt;="&amp;($A475+8/24),tData[SEHTrajectPeriodeDatumTijdTotEnMet],"&gt;"&amp;($A475+8/24))</f>
        <v/>
      </c>
      <c r="M475" s="20">
        <f>COUNTIFS(tData[SEHTrajectPeriodeDatumTijdVan],"&lt;="&amp;($A475+9/24),tData[SEHTrajectPeriodeDatumTijdTotEnMet],"&gt;"&amp;($A475+9/24))</f>
        <v/>
      </c>
      <c r="N475" s="20">
        <f>COUNTIFS(tData[SEHTrajectPeriodeDatumTijdVan],"&lt;="&amp;($A475+10/24),tData[SEHTrajectPeriodeDatumTijdTotEnMet],"&gt;"&amp;($A475+10/24))</f>
        <v/>
      </c>
      <c r="O475" s="20">
        <f>COUNTIFS(tData[SEHTrajectPeriodeDatumTijdVan],"&lt;="&amp;($A475+11/24),tData[SEHTrajectPeriodeDatumTijdTotEnMet],"&gt;"&amp;($A475+11/24))</f>
        <v/>
      </c>
      <c r="P475" s="20">
        <f>COUNTIFS(tData[SEHTrajectPeriodeDatumTijdVan],"&lt;="&amp;($A475+12/24),tData[SEHTrajectPeriodeDatumTijdTotEnMet],"&gt;"&amp;($A475+12/24))</f>
        <v/>
      </c>
      <c r="Q475" s="20">
        <f>COUNTIFS(tData[SEHTrajectPeriodeDatumTijdVan],"&lt;="&amp;($A475+13/24),tData[SEHTrajectPeriodeDatumTijdTotEnMet],"&gt;"&amp;($A475+13/24))</f>
        <v/>
      </c>
      <c r="R475" s="20">
        <f>COUNTIFS(tData[SEHTrajectPeriodeDatumTijdVan],"&lt;="&amp;($A475+14/24),tData[SEHTrajectPeriodeDatumTijdTotEnMet],"&gt;"&amp;($A475+14/24))</f>
        <v/>
      </c>
      <c r="S475" s="20">
        <f>COUNTIFS(tData[SEHTrajectPeriodeDatumTijdVan],"&lt;="&amp;($A475+15/24),tData[SEHTrajectPeriodeDatumTijdTotEnMet],"&gt;"&amp;($A475+15/24))</f>
        <v/>
      </c>
      <c r="T475" s="20">
        <f>COUNTIFS(tData[SEHTrajectPeriodeDatumTijdVan],"&lt;="&amp;($A475+16/24),tData[SEHTrajectPeriodeDatumTijdTotEnMet],"&gt;"&amp;($A475+16/24))</f>
        <v/>
      </c>
      <c r="U475" s="20">
        <f>COUNTIFS(tData[SEHTrajectPeriodeDatumTijdVan],"&lt;="&amp;($A475+17/24),tData[SEHTrajectPeriodeDatumTijdTotEnMet],"&gt;"&amp;($A475+17/24))</f>
        <v/>
      </c>
      <c r="V475" s="20">
        <f>COUNTIFS(tData[SEHTrajectPeriodeDatumTijdVan],"&lt;="&amp;($A475+18/24),tData[SEHTrajectPeriodeDatumTijdTotEnMet],"&gt;"&amp;($A475+18/24))</f>
        <v/>
      </c>
      <c r="W475" s="20">
        <f>COUNTIFS(tData[SEHTrajectPeriodeDatumTijdVan],"&lt;="&amp;($A475+19/24),tData[SEHTrajectPeriodeDatumTijdTotEnMet],"&gt;"&amp;($A475+19/24))</f>
        <v/>
      </c>
      <c r="X475" s="20">
        <f>COUNTIFS(tData[SEHTrajectPeriodeDatumTijdVan],"&lt;="&amp;($A475+20/24),tData[SEHTrajectPeriodeDatumTijdTotEnMet],"&gt;"&amp;($A475+20/24))</f>
        <v/>
      </c>
      <c r="Y475" s="20">
        <f>COUNTIFS(tData[SEHTrajectPeriodeDatumTijdVan],"&lt;="&amp;($A475+21/24),tData[SEHTrajectPeriodeDatumTijdTotEnMet],"&gt;"&amp;($A475+21/24))</f>
        <v/>
      </c>
      <c r="Z475" s="20">
        <f>COUNTIFS(tData[SEHTrajectPeriodeDatumTijdVan],"&lt;="&amp;($A475+22/24),tData[SEHTrajectPeriodeDatumTijdTotEnMet],"&gt;"&amp;($A475+22/24))</f>
        <v/>
      </c>
      <c r="AA475" s="20">
        <f>COUNTIFS(tData[SEHTrajectPeriodeDatumTijdVan],"&lt;="&amp;($A475+23/24),tData[SEHTrajectPeriodeDatumTijdTotEnMet],"&gt;"&amp;($A475+23/24))</f>
        <v/>
      </c>
    </row>
    <row r="476">
      <c r="A476" s="19" t="n">
        <v>45764</v>
      </c>
      <c r="B476" s="15">
        <f>WEEKDAY($A476,2)</f>
        <v/>
      </c>
      <c r="C476" s="15">
        <f>IF(AND($A476&gt;=INT(Instellingen!$B$5),$A476&lt;=INT(Instellingen!$B$6)),1,0)</f>
        <v/>
      </c>
      <c r="D476" s="20">
        <f>COUNTIFS(tData[SEHTrajectPeriodeDatumTijdVan],"&lt;="&amp;($A476+0/24),tData[SEHTrajectPeriodeDatumTijdTotEnMet],"&gt;"&amp;($A476+0/24))</f>
        <v/>
      </c>
      <c r="E476" s="20">
        <f>COUNTIFS(tData[SEHTrajectPeriodeDatumTijdVan],"&lt;="&amp;($A476+1/24),tData[SEHTrajectPeriodeDatumTijdTotEnMet],"&gt;"&amp;($A476+1/24))</f>
        <v/>
      </c>
      <c r="F476" s="20">
        <f>COUNTIFS(tData[SEHTrajectPeriodeDatumTijdVan],"&lt;="&amp;($A476+2/24),tData[SEHTrajectPeriodeDatumTijdTotEnMet],"&gt;"&amp;($A476+2/24))</f>
        <v/>
      </c>
      <c r="G476" s="20">
        <f>COUNTIFS(tData[SEHTrajectPeriodeDatumTijdVan],"&lt;="&amp;($A476+3/24),tData[SEHTrajectPeriodeDatumTijdTotEnMet],"&gt;"&amp;($A476+3/24))</f>
        <v/>
      </c>
      <c r="H476" s="20">
        <f>COUNTIFS(tData[SEHTrajectPeriodeDatumTijdVan],"&lt;="&amp;($A476+4/24),tData[SEHTrajectPeriodeDatumTijdTotEnMet],"&gt;"&amp;($A476+4/24))</f>
        <v/>
      </c>
      <c r="I476" s="20">
        <f>COUNTIFS(tData[SEHTrajectPeriodeDatumTijdVan],"&lt;="&amp;($A476+5/24),tData[SEHTrajectPeriodeDatumTijdTotEnMet],"&gt;"&amp;($A476+5/24))</f>
        <v/>
      </c>
      <c r="J476" s="20">
        <f>COUNTIFS(tData[SEHTrajectPeriodeDatumTijdVan],"&lt;="&amp;($A476+6/24),tData[SEHTrajectPeriodeDatumTijdTotEnMet],"&gt;"&amp;($A476+6/24))</f>
        <v/>
      </c>
      <c r="K476" s="20">
        <f>COUNTIFS(tData[SEHTrajectPeriodeDatumTijdVan],"&lt;="&amp;($A476+7/24),tData[SEHTrajectPeriodeDatumTijdTotEnMet],"&gt;"&amp;($A476+7/24))</f>
        <v/>
      </c>
      <c r="L476" s="20">
        <f>COUNTIFS(tData[SEHTrajectPeriodeDatumTijdVan],"&lt;="&amp;($A476+8/24),tData[SEHTrajectPeriodeDatumTijdTotEnMet],"&gt;"&amp;($A476+8/24))</f>
        <v/>
      </c>
      <c r="M476" s="20">
        <f>COUNTIFS(tData[SEHTrajectPeriodeDatumTijdVan],"&lt;="&amp;($A476+9/24),tData[SEHTrajectPeriodeDatumTijdTotEnMet],"&gt;"&amp;($A476+9/24))</f>
        <v/>
      </c>
      <c r="N476" s="20">
        <f>COUNTIFS(tData[SEHTrajectPeriodeDatumTijdVan],"&lt;="&amp;($A476+10/24),tData[SEHTrajectPeriodeDatumTijdTotEnMet],"&gt;"&amp;($A476+10/24))</f>
        <v/>
      </c>
      <c r="O476" s="20">
        <f>COUNTIFS(tData[SEHTrajectPeriodeDatumTijdVan],"&lt;="&amp;($A476+11/24),tData[SEHTrajectPeriodeDatumTijdTotEnMet],"&gt;"&amp;($A476+11/24))</f>
        <v/>
      </c>
      <c r="P476" s="20">
        <f>COUNTIFS(tData[SEHTrajectPeriodeDatumTijdVan],"&lt;="&amp;($A476+12/24),tData[SEHTrajectPeriodeDatumTijdTotEnMet],"&gt;"&amp;($A476+12/24))</f>
        <v/>
      </c>
      <c r="Q476" s="20">
        <f>COUNTIFS(tData[SEHTrajectPeriodeDatumTijdVan],"&lt;="&amp;($A476+13/24),tData[SEHTrajectPeriodeDatumTijdTotEnMet],"&gt;"&amp;($A476+13/24))</f>
        <v/>
      </c>
      <c r="R476" s="20">
        <f>COUNTIFS(tData[SEHTrajectPeriodeDatumTijdVan],"&lt;="&amp;($A476+14/24),tData[SEHTrajectPeriodeDatumTijdTotEnMet],"&gt;"&amp;($A476+14/24))</f>
        <v/>
      </c>
      <c r="S476" s="20">
        <f>COUNTIFS(tData[SEHTrajectPeriodeDatumTijdVan],"&lt;="&amp;($A476+15/24),tData[SEHTrajectPeriodeDatumTijdTotEnMet],"&gt;"&amp;($A476+15/24))</f>
        <v/>
      </c>
      <c r="T476" s="20">
        <f>COUNTIFS(tData[SEHTrajectPeriodeDatumTijdVan],"&lt;="&amp;($A476+16/24),tData[SEHTrajectPeriodeDatumTijdTotEnMet],"&gt;"&amp;($A476+16/24))</f>
        <v/>
      </c>
      <c r="U476" s="20">
        <f>COUNTIFS(tData[SEHTrajectPeriodeDatumTijdVan],"&lt;="&amp;($A476+17/24),tData[SEHTrajectPeriodeDatumTijdTotEnMet],"&gt;"&amp;($A476+17/24))</f>
        <v/>
      </c>
      <c r="V476" s="20">
        <f>COUNTIFS(tData[SEHTrajectPeriodeDatumTijdVan],"&lt;="&amp;($A476+18/24),tData[SEHTrajectPeriodeDatumTijdTotEnMet],"&gt;"&amp;($A476+18/24))</f>
        <v/>
      </c>
      <c r="W476" s="20">
        <f>COUNTIFS(tData[SEHTrajectPeriodeDatumTijdVan],"&lt;="&amp;($A476+19/24),tData[SEHTrajectPeriodeDatumTijdTotEnMet],"&gt;"&amp;($A476+19/24))</f>
        <v/>
      </c>
      <c r="X476" s="20">
        <f>COUNTIFS(tData[SEHTrajectPeriodeDatumTijdVan],"&lt;="&amp;($A476+20/24),tData[SEHTrajectPeriodeDatumTijdTotEnMet],"&gt;"&amp;($A476+20/24))</f>
        <v/>
      </c>
      <c r="Y476" s="20">
        <f>COUNTIFS(tData[SEHTrajectPeriodeDatumTijdVan],"&lt;="&amp;($A476+21/24),tData[SEHTrajectPeriodeDatumTijdTotEnMet],"&gt;"&amp;($A476+21/24))</f>
        <v/>
      </c>
      <c r="Z476" s="20">
        <f>COUNTIFS(tData[SEHTrajectPeriodeDatumTijdVan],"&lt;="&amp;($A476+22/24),tData[SEHTrajectPeriodeDatumTijdTotEnMet],"&gt;"&amp;($A476+22/24))</f>
        <v/>
      </c>
      <c r="AA476" s="20">
        <f>COUNTIFS(tData[SEHTrajectPeriodeDatumTijdVan],"&lt;="&amp;($A476+23/24),tData[SEHTrajectPeriodeDatumTijdTotEnMet],"&gt;"&amp;($A476+23/24))</f>
        <v/>
      </c>
    </row>
    <row r="477">
      <c r="A477" s="19" t="n">
        <v>45765</v>
      </c>
      <c r="B477" s="15">
        <f>WEEKDAY($A477,2)</f>
        <v/>
      </c>
      <c r="C477" s="15">
        <f>IF(AND($A477&gt;=INT(Instellingen!$B$5),$A477&lt;=INT(Instellingen!$B$6)),1,0)</f>
        <v/>
      </c>
      <c r="D477" s="20">
        <f>COUNTIFS(tData[SEHTrajectPeriodeDatumTijdVan],"&lt;="&amp;($A477+0/24),tData[SEHTrajectPeriodeDatumTijdTotEnMet],"&gt;"&amp;($A477+0/24))</f>
        <v/>
      </c>
      <c r="E477" s="20">
        <f>COUNTIFS(tData[SEHTrajectPeriodeDatumTijdVan],"&lt;="&amp;($A477+1/24),tData[SEHTrajectPeriodeDatumTijdTotEnMet],"&gt;"&amp;($A477+1/24))</f>
        <v/>
      </c>
      <c r="F477" s="20">
        <f>COUNTIFS(tData[SEHTrajectPeriodeDatumTijdVan],"&lt;="&amp;($A477+2/24),tData[SEHTrajectPeriodeDatumTijdTotEnMet],"&gt;"&amp;($A477+2/24))</f>
        <v/>
      </c>
      <c r="G477" s="20">
        <f>COUNTIFS(tData[SEHTrajectPeriodeDatumTijdVan],"&lt;="&amp;($A477+3/24),tData[SEHTrajectPeriodeDatumTijdTotEnMet],"&gt;"&amp;($A477+3/24))</f>
        <v/>
      </c>
      <c r="H477" s="20">
        <f>COUNTIFS(tData[SEHTrajectPeriodeDatumTijdVan],"&lt;="&amp;($A477+4/24),tData[SEHTrajectPeriodeDatumTijdTotEnMet],"&gt;"&amp;($A477+4/24))</f>
        <v/>
      </c>
      <c r="I477" s="20">
        <f>COUNTIFS(tData[SEHTrajectPeriodeDatumTijdVan],"&lt;="&amp;($A477+5/24),tData[SEHTrajectPeriodeDatumTijdTotEnMet],"&gt;"&amp;($A477+5/24))</f>
        <v/>
      </c>
      <c r="J477" s="20">
        <f>COUNTIFS(tData[SEHTrajectPeriodeDatumTijdVan],"&lt;="&amp;($A477+6/24),tData[SEHTrajectPeriodeDatumTijdTotEnMet],"&gt;"&amp;($A477+6/24))</f>
        <v/>
      </c>
      <c r="K477" s="20">
        <f>COUNTIFS(tData[SEHTrajectPeriodeDatumTijdVan],"&lt;="&amp;($A477+7/24),tData[SEHTrajectPeriodeDatumTijdTotEnMet],"&gt;"&amp;($A477+7/24))</f>
        <v/>
      </c>
      <c r="L477" s="20">
        <f>COUNTIFS(tData[SEHTrajectPeriodeDatumTijdVan],"&lt;="&amp;($A477+8/24),tData[SEHTrajectPeriodeDatumTijdTotEnMet],"&gt;"&amp;($A477+8/24))</f>
        <v/>
      </c>
      <c r="M477" s="20">
        <f>COUNTIFS(tData[SEHTrajectPeriodeDatumTijdVan],"&lt;="&amp;($A477+9/24),tData[SEHTrajectPeriodeDatumTijdTotEnMet],"&gt;"&amp;($A477+9/24))</f>
        <v/>
      </c>
      <c r="N477" s="20">
        <f>COUNTIFS(tData[SEHTrajectPeriodeDatumTijdVan],"&lt;="&amp;($A477+10/24),tData[SEHTrajectPeriodeDatumTijdTotEnMet],"&gt;"&amp;($A477+10/24))</f>
        <v/>
      </c>
      <c r="O477" s="20">
        <f>COUNTIFS(tData[SEHTrajectPeriodeDatumTijdVan],"&lt;="&amp;($A477+11/24),tData[SEHTrajectPeriodeDatumTijdTotEnMet],"&gt;"&amp;($A477+11/24))</f>
        <v/>
      </c>
      <c r="P477" s="20">
        <f>COUNTIFS(tData[SEHTrajectPeriodeDatumTijdVan],"&lt;="&amp;($A477+12/24),tData[SEHTrajectPeriodeDatumTijdTotEnMet],"&gt;"&amp;($A477+12/24))</f>
        <v/>
      </c>
      <c r="Q477" s="20">
        <f>COUNTIFS(tData[SEHTrajectPeriodeDatumTijdVan],"&lt;="&amp;($A477+13/24),tData[SEHTrajectPeriodeDatumTijdTotEnMet],"&gt;"&amp;($A477+13/24))</f>
        <v/>
      </c>
      <c r="R477" s="20">
        <f>COUNTIFS(tData[SEHTrajectPeriodeDatumTijdVan],"&lt;="&amp;($A477+14/24),tData[SEHTrajectPeriodeDatumTijdTotEnMet],"&gt;"&amp;($A477+14/24))</f>
        <v/>
      </c>
      <c r="S477" s="20">
        <f>COUNTIFS(tData[SEHTrajectPeriodeDatumTijdVan],"&lt;="&amp;($A477+15/24),tData[SEHTrajectPeriodeDatumTijdTotEnMet],"&gt;"&amp;($A477+15/24))</f>
        <v/>
      </c>
      <c r="T477" s="20">
        <f>COUNTIFS(tData[SEHTrajectPeriodeDatumTijdVan],"&lt;="&amp;($A477+16/24),tData[SEHTrajectPeriodeDatumTijdTotEnMet],"&gt;"&amp;($A477+16/24))</f>
        <v/>
      </c>
      <c r="U477" s="20">
        <f>COUNTIFS(tData[SEHTrajectPeriodeDatumTijdVan],"&lt;="&amp;($A477+17/24),tData[SEHTrajectPeriodeDatumTijdTotEnMet],"&gt;"&amp;($A477+17/24))</f>
        <v/>
      </c>
      <c r="V477" s="20">
        <f>COUNTIFS(tData[SEHTrajectPeriodeDatumTijdVan],"&lt;="&amp;($A477+18/24),tData[SEHTrajectPeriodeDatumTijdTotEnMet],"&gt;"&amp;($A477+18/24))</f>
        <v/>
      </c>
      <c r="W477" s="20">
        <f>COUNTIFS(tData[SEHTrajectPeriodeDatumTijdVan],"&lt;="&amp;($A477+19/24),tData[SEHTrajectPeriodeDatumTijdTotEnMet],"&gt;"&amp;($A477+19/24))</f>
        <v/>
      </c>
      <c r="X477" s="20">
        <f>COUNTIFS(tData[SEHTrajectPeriodeDatumTijdVan],"&lt;="&amp;($A477+20/24),tData[SEHTrajectPeriodeDatumTijdTotEnMet],"&gt;"&amp;($A477+20/24))</f>
        <v/>
      </c>
      <c r="Y477" s="20">
        <f>COUNTIFS(tData[SEHTrajectPeriodeDatumTijdVan],"&lt;="&amp;($A477+21/24),tData[SEHTrajectPeriodeDatumTijdTotEnMet],"&gt;"&amp;($A477+21/24))</f>
        <v/>
      </c>
      <c r="Z477" s="20">
        <f>COUNTIFS(tData[SEHTrajectPeriodeDatumTijdVan],"&lt;="&amp;($A477+22/24),tData[SEHTrajectPeriodeDatumTijdTotEnMet],"&gt;"&amp;($A477+22/24))</f>
        <v/>
      </c>
      <c r="AA477" s="20">
        <f>COUNTIFS(tData[SEHTrajectPeriodeDatumTijdVan],"&lt;="&amp;($A477+23/24),tData[SEHTrajectPeriodeDatumTijdTotEnMet],"&gt;"&amp;($A477+23/24))</f>
        <v/>
      </c>
    </row>
    <row r="478">
      <c r="A478" s="19" t="n">
        <v>45766</v>
      </c>
      <c r="B478" s="15">
        <f>WEEKDAY($A478,2)</f>
        <v/>
      </c>
      <c r="C478" s="15">
        <f>IF(AND($A478&gt;=INT(Instellingen!$B$5),$A478&lt;=INT(Instellingen!$B$6)),1,0)</f>
        <v/>
      </c>
      <c r="D478" s="20">
        <f>COUNTIFS(tData[SEHTrajectPeriodeDatumTijdVan],"&lt;="&amp;($A478+0/24),tData[SEHTrajectPeriodeDatumTijdTotEnMet],"&gt;"&amp;($A478+0/24))</f>
        <v/>
      </c>
      <c r="E478" s="20">
        <f>COUNTIFS(tData[SEHTrajectPeriodeDatumTijdVan],"&lt;="&amp;($A478+1/24),tData[SEHTrajectPeriodeDatumTijdTotEnMet],"&gt;"&amp;($A478+1/24))</f>
        <v/>
      </c>
      <c r="F478" s="20">
        <f>COUNTIFS(tData[SEHTrajectPeriodeDatumTijdVan],"&lt;="&amp;($A478+2/24),tData[SEHTrajectPeriodeDatumTijdTotEnMet],"&gt;"&amp;($A478+2/24))</f>
        <v/>
      </c>
      <c r="G478" s="20">
        <f>COUNTIFS(tData[SEHTrajectPeriodeDatumTijdVan],"&lt;="&amp;($A478+3/24),tData[SEHTrajectPeriodeDatumTijdTotEnMet],"&gt;"&amp;($A478+3/24))</f>
        <v/>
      </c>
      <c r="H478" s="20">
        <f>COUNTIFS(tData[SEHTrajectPeriodeDatumTijdVan],"&lt;="&amp;($A478+4/24),tData[SEHTrajectPeriodeDatumTijdTotEnMet],"&gt;"&amp;($A478+4/24))</f>
        <v/>
      </c>
      <c r="I478" s="20">
        <f>COUNTIFS(tData[SEHTrajectPeriodeDatumTijdVan],"&lt;="&amp;($A478+5/24),tData[SEHTrajectPeriodeDatumTijdTotEnMet],"&gt;"&amp;($A478+5/24))</f>
        <v/>
      </c>
      <c r="J478" s="20">
        <f>COUNTIFS(tData[SEHTrajectPeriodeDatumTijdVan],"&lt;="&amp;($A478+6/24),tData[SEHTrajectPeriodeDatumTijdTotEnMet],"&gt;"&amp;($A478+6/24))</f>
        <v/>
      </c>
      <c r="K478" s="20">
        <f>COUNTIFS(tData[SEHTrajectPeriodeDatumTijdVan],"&lt;="&amp;($A478+7/24),tData[SEHTrajectPeriodeDatumTijdTotEnMet],"&gt;"&amp;($A478+7/24))</f>
        <v/>
      </c>
      <c r="L478" s="20">
        <f>COUNTIFS(tData[SEHTrajectPeriodeDatumTijdVan],"&lt;="&amp;($A478+8/24),tData[SEHTrajectPeriodeDatumTijdTotEnMet],"&gt;"&amp;($A478+8/24))</f>
        <v/>
      </c>
      <c r="M478" s="20">
        <f>COUNTIFS(tData[SEHTrajectPeriodeDatumTijdVan],"&lt;="&amp;($A478+9/24),tData[SEHTrajectPeriodeDatumTijdTotEnMet],"&gt;"&amp;($A478+9/24))</f>
        <v/>
      </c>
      <c r="N478" s="20">
        <f>COUNTIFS(tData[SEHTrajectPeriodeDatumTijdVan],"&lt;="&amp;($A478+10/24),tData[SEHTrajectPeriodeDatumTijdTotEnMet],"&gt;"&amp;($A478+10/24))</f>
        <v/>
      </c>
      <c r="O478" s="20">
        <f>COUNTIFS(tData[SEHTrajectPeriodeDatumTijdVan],"&lt;="&amp;($A478+11/24),tData[SEHTrajectPeriodeDatumTijdTotEnMet],"&gt;"&amp;($A478+11/24))</f>
        <v/>
      </c>
      <c r="P478" s="20">
        <f>COUNTIFS(tData[SEHTrajectPeriodeDatumTijdVan],"&lt;="&amp;($A478+12/24),tData[SEHTrajectPeriodeDatumTijdTotEnMet],"&gt;"&amp;($A478+12/24))</f>
        <v/>
      </c>
      <c r="Q478" s="20">
        <f>COUNTIFS(tData[SEHTrajectPeriodeDatumTijdVan],"&lt;="&amp;($A478+13/24),tData[SEHTrajectPeriodeDatumTijdTotEnMet],"&gt;"&amp;($A478+13/24))</f>
        <v/>
      </c>
      <c r="R478" s="20">
        <f>COUNTIFS(tData[SEHTrajectPeriodeDatumTijdVan],"&lt;="&amp;($A478+14/24),tData[SEHTrajectPeriodeDatumTijdTotEnMet],"&gt;"&amp;($A478+14/24))</f>
        <v/>
      </c>
      <c r="S478" s="20">
        <f>COUNTIFS(tData[SEHTrajectPeriodeDatumTijdVan],"&lt;="&amp;($A478+15/24),tData[SEHTrajectPeriodeDatumTijdTotEnMet],"&gt;"&amp;($A478+15/24))</f>
        <v/>
      </c>
      <c r="T478" s="20">
        <f>COUNTIFS(tData[SEHTrajectPeriodeDatumTijdVan],"&lt;="&amp;($A478+16/24),tData[SEHTrajectPeriodeDatumTijdTotEnMet],"&gt;"&amp;($A478+16/24))</f>
        <v/>
      </c>
      <c r="U478" s="20">
        <f>COUNTIFS(tData[SEHTrajectPeriodeDatumTijdVan],"&lt;="&amp;($A478+17/24),tData[SEHTrajectPeriodeDatumTijdTotEnMet],"&gt;"&amp;($A478+17/24))</f>
        <v/>
      </c>
      <c r="V478" s="20">
        <f>COUNTIFS(tData[SEHTrajectPeriodeDatumTijdVan],"&lt;="&amp;($A478+18/24),tData[SEHTrajectPeriodeDatumTijdTotEnMet],"&gt;"&amp;($A478+18/24))</f>
        <v/>
      </c>
      <c r="W478" s="20">
        <f>COUNTIFS(tData[SEHTrajectPeriodeDatumTijdVan],"&lt;="&amp;($A478+19/24),tData[SEHTrajectPeriodeDatumTijdTotEnMet],"&gt;"&amp;($A478+19/24))</f>
        <v/>
      </c>
      <c r="X478" s="20">
        <f>COUNTIFS(tData[SEHTrajectPeriodeDatumTijdVan],"&lt;="&amp;($A478+20/24),tData[SEHTrajectPeriodeDatumTijdTotEnMet],"&gt;"&amp;($A478+20/24))</f>
        <v/>
      </c>
      <c r="Y478" s="20">
        <f>COUNTIFS(tData[SEHTrajectPeriodeDatumTijdVan],"&lt;="&amp;($A478+21/24),tData[SEHTrajectPeriodeDatumTijdTotEnMet],"&gt;"&amp;($A478+21/24))</f>
        <v/>
      </c>
      <c r="Z478" s="20">
        <f>COUNTIFS(tData[SEHTrajectPeriodeDatumTijdVan],"&lt;="&amp;($A478+22/24),tData[SEHTrajectPeriodeDatumTijdTotEnMet],"&gt;"&amp;($A478+22/24))</f>
        <v/>
      </c>
      <c r="AA478" s="20">
        <f>COUNTIFS(tData[SEHTrajectPeriodeDatumTijdVan],"&lt;="&amp;($A478+23/24),tData[SEHTrajectPeriodeDatumTijdTotEnMet],"&gt;"&amp;($A478+23/24))</f>
        <v/>
      </c>
    </row>
    <row r="479">
      <c r="A479" s="19" t="n">
        <v>45767</v>
      </c>
      <c r="B479" s="15">
        <f>WEEKDAY($A479,2)</f>
        <v/>
      </c>
      <c r="C479" s="15">
        <f>IF(AND($A479&gt;=INT(Instellingen!$B$5),$A479&lt;=INT(Instellingen!$B$6)),1,0)</f>
        <v/>
      </c>
      <c r="D479" s="20">
        <f>COUNTIFS(tData[SEHTrajectPeriodeDatumTijdVan],"&lt;="&amp;($A479+0/24),tData[SEHTrajectPeriodeDatumTijdTotEnMet],"&gt;"&amp;($A479+0/24))</f>
        <v/>
      </c>
      <c r="E479" s="20">
        <f>COUNTIFS(tData[SEHTrajectPeriodeDatumTijdVan],"&lt;="&amp;($A479+1/24),tData[SEHTrajectPeriodeDatumTijdTotEnMet],"&gt;"&amp;($A479+1/24))</f>
        <v/>
      </c>
      <c r="F479" s="20">
        <f>COUNTIFS(tData[SEHTrajectPeriodeDatumTijdVan],"&lt;="&amp;($A479+2/24),tData[SEHTrajectPeriodeDatumTijdTotEnMet],"&gt;"&amp;($A479+2/24))</f>
        <v/>
      </c>
      <c r="G479" s="20">
        <f>COUNTIFS(tData[SEHTrajectPeriodeDatumTijdVan],"&lt;="&amp;($A479+3/24),tData[SEHTrajectPeriodeDatumTijdTotEnMet],"&gt;"&amp;($A479+3/24))</f>
        <v/>
      </c>
      <c r="H479" s="20">
        <f>COUNTIFS(tData[SEHTrajectPeriodeDatumTijdVan],"&lt;="&amp;($A479+4/24),tData[SEHTrajectPeriodeDatumTijdTotEnMet],"&gt;"&amp;($A479+4/24))</f>
        <v/>
      </c>
      <c r="I479" s="20">
        <f>COUNTIFS(tData[SEHTrajectPeriodeDatumTijdVan],"&lt;="&amp;($A479+5/24),tData[SEHTrajectPeriodeDatumTijdTotEnMet],"&gt;"&amp;($A479+5/24))</f>
        <v/>
      </c>
      <c r="J479" s="20">
        <f>COUNTIFS(tData[SEHTrajectPeriodeDatumTijdVan],"&lt;="&amp;($A479+6/24),tData[SEHTrajectPeriodeDatumTijdTotEnMet],"&gt;"&amp;($A479+6/24))</f>
        <v/>
      </c>
      <c r="K479" s="20">
        <f>COUNTIFS(tData[SEHTrajectPeriodeDatumTijdVan],"&lt;="&amp;($A479+7/24),tData[SEHTrajectPeriodeDatumTijdTotEnMet],"&gt;"&amp;($A479+7/24))</f>
        <v/>
      </c>
      <c r="L479" s="20">
        <f>COUNTIFS(tData[SEHTrajectPeriodeDatumTijdVan],"&lt;="&amp;($A479+8/24),tData[SEHTrajectPeriodeDatumTijdTotEnMet],"&gt;"&amp;($A479+8/24))</f>
        <v/>
      </c>
      <c r="M479" s="20">
        <f>COUNTIFS(tData[SEHTrajectPeriodeDatumTijdVan],"&lt;="&amp;($A479+9/24),tData[SEHTrajectPeriodeDatumTijdTotEnMet],"&gt;"&amp;($A479+9/24))</f>
        <v/>
      </c>
      <c r="N479" s="20">
        <f>COUNTIFS(tData[SEHTrajectPeriodeDatumTijdVan],"&lt;="&amp;($A479+10/24),tData[SEHTrajectPeriodeDatumTijdTotEnMet],"&gt;"&amp;($A479+10/24))</f>
        <v/>
      </c>
      <c r="O479" s="20">
        <f>COUNTIFS(tData[SEHTrajectPeriodeDatumTijdVan],"&lt;="&amp;($A479+11/24),tData[SEHTrajectPeriodeDatumTijdTotEnMet],"&gt;"&amp;($A479+11/24))</f>
        <v/>
      </c>
      <c r="P479" s="20">
        <f>COUNTIFS(tData[SEHTrajectPeriodeDatumTijdVan],"&lt;="&amp;($A479+12/24),tData[SEHTrajectPeriodeDatumTijdTotEnMet],"&gt;"&amp;($A479+12/24))</f>
        <v/>
      </c>
      <c r="Q479" s="20">
        <f>COUNTIFS(tData[SEHTrajectPeriodeDatumTijdVan],"&lt;="&amp;($A479+13/24),tData[SEHTrajectPeriodeDatumTijdTotEnMet],"&gt;"&amp;($A479+13/24))</f>
        <v/>
      </c>
      <c r="R479" s="20">
        <f>COUNTIFS(tData[SEHTrajectPeriodeDatumTijdVan],"&lt;="&amp;($A479+14/24),tData[SEHTrajectPeriodeDatumTijdTotEnMet],"&gt;"&amp;($A479+14/24))</f>
        <v/>
      </c>
      <c r="S479" s="20">
        <f>COUNTIFS(tData[SEHTrajectPeriodeDatumTijdVan],"&lt;="&amp;($A479+15/24),tData[SEHTrajectPeriodeDatumTijdTotEnMet],"&gt;"&amp;($A479+15/24))</f>
        <v/>
      </c>
      <c r="T479" s="20">
        <f>COUNTIFS(tData[SEHTrajectPeriodeDatumTijdVan],"&lt;="&amp;($A479+16/24),tData[SEHTrajectPeriodeDatumTijdTotEnMet],"&gt;"&amp;($A479+16/24))</f>
        <v/>
      </c>
      <c r="U479" s="20">
        <f>COUNTIFS(tData[SEHTrajectPeriodeDatumTijdVan],"&lt;="&amp;($A479+17/24),tData[SEHTrajectPeriodeDatumTijdTotEnMet],"&gt;"&amp;($A479+17/24))</f>
        <v/>
      </c>
      <c r="V479" s="20">
        <f>COUNTIFS(tData[SEHTrajectPeriodeDatumTijdVan],"&lt;="&amp;($A479+18/24),tData[SEHTrajectPeriodeDatumTijdTotEnMet],"&gt;"&amp;($A479+18/24))</f>
        <v/>
      </c>
      <c r="W479" s="20">
        <f>COUNTIFS(tData[SEHTrajectPeriodeDatumTijdVan],"&lt;="&amp;($A479+19/24),tData[SEHTrajectPeriodeDatumTijdTotEnMet],"&gt;"&amp;($A479+19/24))</f>
        <v/>
      </c>
      <c r="X479" s="20">
        <f>COUNTIFS(tData[SEHTrajectPeriodeDatumTijdVan],"&lt;="&amp;($A479+20/24),tData[SEHTrajectPeriodeDatumTijdTotEnMet],"&gt;"&amp;($A479+20/24))</f>
        <v/>
      </c>
      <c r="Y479" s="20">
        <f>COUNTIFS(tData[SEHTrajectPeriodeDatumTijdVan],"&lt;="&amp;($A479+21/24),tData[SEHTrajectPeriodeDatumTijdTotEnMet],"&gt;"&amp;($A479+21/24))</f>
        <v/>
      </c>
      <c r="Z479" s="20">
        <f>COUNTIFS(tData[SEHTrajectPeriodeDatumTijdVan],"&lt;="&amp;($A479+22/24),tData[SEHTrajectPeriodeDatumTijdTotEnMet],"&gt;"&amp;($A479+22/24))</f>
        <v/>
      </c>
      <c r="AA479" s="20">
        <f>COUNTIFS(tData[SEHTrajectPeriodeDatumTijdVan],"&lt;="&amp;($A479+23/24),tData[SEHTrajectPeriodeDatumTijdTotEnMet],"&gt;"&amp;($A479+23/24))</f>
        <v/>
      </c>
    </row>
    <row r="480">
      <c r="A480" s="19" t="n">
        <v>45768</v>
      </c>
      <c r="B480" s="15">
        <f>WEEKDAY($A480,2)</f>
        <v/>
      </c>
      <c r="C480" s="15">
        <f>IF(AND($A480&gt;=INT(Instellingen!$B$5),$A480&lt;=INT(Instellingen!$B$6)),1,0)</f>
        <v/>
      </c>
      <c r="D480" s="20">
        <f>COUNTIFS(tData[SEHTrajectPeriodeDatumTijdVan],"&lt;="&amp;($A480+0/24),tData[SEHTrajectPeriodeDatumTijdTotEnMet],"&gt;"&amp;($A480+0/24))</f>
        <v/>
      </c>
      <c r="E480" s="20">
        <f>COUNTIFS(tData[SEHTrajectPeriodeDatumTijdVan],"&lt;="&amp;($A480+1/24),tData[SEHTrajectPeriodeDatumTijdTotEnMet],"&gt;"&amp;($A480+1/24))</f>
        <v/>
      </c>
      <c r="F480" s="20">
        <f>COUNTIFS(tData[SEHTrajectPeriodeDatumTijdVan],"&lt;="&amp;($A480+2/24),tData[SEHTrajectPeriodeDatumTijdTotEnMet],"&gt;"&amp;($A480+2/24))</f>
        <v/>
      </c>
      <c r="G480" s="20">
        <f>COUNTIFS(tData[SEHTrajectPeriodeDatumTijdVan],"&lt;="&amp;($A480+3/24),tData[SEHTrajectPeriodeDatumTijdTotEnMet],"&gt;"&amp;($A480+3/24))</f>
        <v/>
      </c>
      <c r="H480" s="20">
        <f>COUNTIFS(tData[SEHTrajectPeriodeDatumTijdVan],"&lt;="&amp;($A480+4/24),tData[SEHTrajectPeriodeDatumTijdTotEnMet],"&gt;"&amp;($A480+4/24))</f>
        <v/>
      </c>
      <c r="I480" s="20">
        <f>COUNTIFS(tData[SEHTrajectPeriodeDatumTijdVan],"&lt;="&amp;($A480+5/24),tData[SEHTrajectPeriodeDatumTijdTotEnMet],"&gt;"&amp;($A480+5/24))</f>
        <v/>
      </c>
      <c r="J480" s="20">
        <f>COUNTIFS(tData[SEHTrajectPeriodeDatumTijdVan],"&lt;="&amp;($A480+6/24),tData[SEHTrajectPeriodeDatumTijdTotEnMet],"&gt;"&amp;($A480+6/24))</f>
        <v/>
      </c>
      <c r="K480" s="20">
        <f>COUNTIFS(tData[SEHTrajectPeriodeDatumTijdVan],"&lt;="&amp;($A480+7/24),tData[SEHTrajectPeriodeDatumTijdTotEnMet],"&gt;"&amp;($A480+7/24))</f>
        <v/>
      </c>
      <c r="L480" s="20">
        <f>COUNTIFS(tData[SEHTrajectPeriodeDatumTijdVan],"&lt;="&amp;($A480+8/24),tData[SEHTrajectPeriodeDatumTijdTotEnMet],"&gt;"&amp;($A480+8/24))</f>
        <v/>
      </c>
      <c r="M480" s="20">
        <f>COUNTIFS(tData[SEHTrajectPeriodeDatumTijdVan],"&lt;="&amp;($A480+9/24),tData[SEHTrajectPeriodeDatumTijdTotEnMet],"&gt;"&amp;($A480+9/24))</f>
        <v/>
      </c>
      <c r="N480" s="20">
        <f>COUNTIFS(tData[SEHTrajectPeriodeDatumTijdVan],"&lt;="&amp;($A480+10/24),tData[SEHTrajectPeriodeDatumTijdTotEnMet],"&gt;"&amp;($A480+10/24))</f>
        <v/>
      </c>
      <c r="O480" s="20">
        <f>COUNTIFS(tData[SEHTrajectPeriodeDatumTijdVan],"&lt;="&amp;($A480+11/24),tData[SEHTrajectPeriodeDatumTijdTotEnMet],"&gt;"&amp;($A480+11/24))</f>
        <v/>
      </c>
      <c r="P480" s="20">
        <f>COUNTIFS(tData[SEHTrajectPeriodeDatumTijdVan],"&lt;="&amp;($A480+12/24),tData[SEHTrajectPeriodeDatumTijdTotEnMet],"&gt;"&amp;($A480+12/24))</f>
        <v/>
      </c>
      <c r="Q480" s="20">
        <f>COUNTIFS(tData[SEHTrajectPeriodeDatumTijdVan],"&lt;="&amp;($A480+13/24),tData[SEHTrajectPeriodeDatumTijdTotEnMet],"&gt;"&amp;($A480+13/24))</f>
        <v/>
      </c>
      <c r="R480" s="20">
        <f>COUNTIFS(tData[SEHTrajectPeriodeDatumTijdVan],"&lt;="&amp;($A480+14/24),tData[SEHTrajectPeriodeDatumTijdTotEnMet],"&gt;"&amp;($A480+14/24))</f>
        <v/>
      </c>
      <c r="S480" s="20">
        <f>COUNTIFS(tData[SEHTrajectPeriodeDatumTijdVan],"&lt;="&amp;($A480+15/24),tData[SEHTrajectPeriodeDatumTijdTotEnMet],"&gt;"&amp;($A480+15/24))</f>
        <v/>
      </c>
      <c r="T480" s="20">
        <f>COUNTIFS(tData[SEHTrajectPeriodeDatumTijdVan],"&lt;="&amp;($A480+16/24),tData[SEHTrajectPeriodeDatumTijdTotEnMet],"&gt;"&amp;($A480+16/24))</f>
        <v/>
      </c>
      <c r="U480" s="20">
        <f>COUNTIFS(tData[SEHTrajectPeriodeDatumTijdVan],"&lt;="&amp;($A480+17/24),tData[SEHTrajectPeriodeDatumTijdTotEnMet],"&gt;"&amp;($A480+17/24))</f>
        <v/>
      </c>
      <c r="V480" s="20">
        <f>COUNTIFS(tData[SEHTrajectPeriodeDatumTijdVan],"&lt;="&amp;($A480+18/24),tData[SEHTrajectPeriodeDatumTijdTotEnMet],"&gt;"&amp;($A480+18/24))</f>
        <v/>
      </c>
      <c r="W480" s="20">
        <f>COUNTIFS(tData[SEHTrajectPeriodeDatumTijdVan],"&lt;="&amp;($A480+19/24),tData[SEHTrajectPeriodeDatumTijdTotEnMet],"&gt;"&amp;($A480+19/24))</f>
        <v/>
      </c>
      <c r="X480" s="20">
        <f>COUNTIFS(tData[SEHTrajectPeriodeDatumTijdVan],"&lt;="&amp;($A480+20/24),tData[SEHTrajectPeriodeDatumTijdTotEnMet],"&gt;"&amp;($A480+20/24))</f>
        <v/>
      </c>
      <c r="Y480" s="20">
        <f>COUNTIFS(tData[SEHTrajectPeriodeDatumTijdVan],"&lt;="&amp;($A480+21/24),tData[SEHTrajectPeriodeDatumTijdTotEnMet],"&gt;"&amp;($A480+21/24))</f>
        <v/>
      </c>
      <c r="Z480" s="20">
        <f>COUNTIFS(tData[SEHTrajectPeriodeDatumTijdVan],"&lt;="&amp;($A480+22/24),tData[SEHTrajectPeriodeDatumTijdTotEnMet],"&gt;"&amp;($A480+22/24))</f>
        <v/>
      </c>
      <c r="AA480" s="20">
        <f>COUNTIFS(tData[SEHTrajectPeriodeDatumTijdVan],"&lt;="&amp;($A480+23/24),tData[SEHTrajectPeriodeDatumTijdTotEnMet],"&gt;"&amp;($A480+23/24))</f>
        <v/>
      </c>
    </row>
    <row r="481">
      <c r="A481" s="19" t="n">
        <v>45769</v>
      </c>
      <c r="B481" s="15">
        <f>WEEKDAY($A481,2)</f>
        <v/>
      </c>
      <c r="C481" s="15">
        <f>IF(AND($A481&gt;=INT(Instellingen!$B$5),$A481&lt;=INT(Instellingen!$B$6)),1,0)</f>
        <v/>
      </c>
      <c r="D481" s="20">
        <f>COUNTIFS(tData[SEHTrajectPeriodeDatumTijdVan],"&lt;="&amp;($A481+0/24),tData[SEHTrajectPeriodeDatumTijdTotEnMet],"&gt;"&amp;($A481+0/24))</f>
        <v/>
      </c>
      <c r="E481" s="20">
        <f>COUNTIFS(tData[SEHTrajectPeriodeDatumTijdVan],"&lt;="&amp;($A481+1/24),tData[SEHTrajectPeriodeDatumTijdTotEnMet],"&gt;"&amp;($A481+1/24))</f>
        <v/>
      </c>
      <c r="F481" s="20">
        <f>COUNTIFS(tData[SEHTrajectPeriodeDatumTijdVan],"&lt;="&amp;($A481+2/24),tData[SEHTrajectPeriodeDatumTijdTotEnMet],"&gt;"&amp;($A481+2/24))</f>
        <v/>
      </c>
      <c r="G481" s="20">
        <f>COUNTIFS(tData[SEHTrajectPeriodeDatumTijdVan],"&lt;="&amp;($A481+3/24),tData[SEHTrajectPeriodeDatumTijdTotEnMet],"&gt;"&amp;($A481+3/24))</f>
        <v/>
      </c>
      <c r="H481" s="20">
        <f>COUNTIFS(tData[SEHTrajectPeriodeDatumTijdVan],"&lt;="&amp;($A481+4/24),tData[SEHTrajectPeriodeDatumTijdTotEnMet],"&gt;"&amp;($A481+4/24))</f>
        <v/>
      </c>
      <c r="I481" s="20">
        <f>COUNTIFS(tData[SEHTrajectPeriodeDatumTijdVan],"&lt;="&amp;($A481+5/24),tData[SEHTrajectPeriodeDatumTijdTotEnMet],"&gt;"&amp;($A481+5/24))</f>
        <v/>
      </c>
      <c r="J481" s="20">
        <f>COUNTIFS(tData[SEHTrajectPeriodeDatumTijdVan],"&lt;="&amp;($A481+6/24),tData[SEHTrajectPeriodeDatumTijdTotEnMet],"&gt;"&amp;($A481+6/24))</f>
        <v/>
      </c>
      <c r="K481" s="20">
        <f>COUNTIFS(tData[SEHTrajectPeriodeDatumTijdVan],"&lt;="&amp;($A481+7/24),tData[SEHTrajectPeriodeDatumTijdTotEnMet],"&gt;"&amp;($A481+7/24))</f>
        <v/>
      </c>
      <c r="L481" s="20">
        <f>COUNTIFS(tData[SEHTrajectPeriodeDatumTijdVan],"&lt;="&amp;($A481+8/24),tData[SEHTrajectPeriodeDatumTijdTotEnMet],"&gt;"&amp;($A481+8/24))</f>
        <v/>
      </c>
      <c r="M481" s="20">
        <f>COUNTIFS(tData[SEHTrajectPeriodeDatumTijdVan],"&lt;="&amp;($A481+9/24),tData[SEHTrajectPeriodeDatumTijdTotEnMet],"&gt;"&amp;($A481+9/24))</f>
        <v/>
      </c>
      <c r="N481" s="20">
        <f>COUNTIFS(tData[SEHTrajectPeriodeDatumTijdVan],"&lt;="&amp;($A481+10/24),tData[SEHTrajectPeriodeDatumTijdTotEnMet],"&gt;"&amp;($A481+10/24))</f>
        <v/>
      </c>
      <c r="O481" s="20">
        <f>COUNTIFS(tData[SEHTrajectPeriodeDatumTijdVan],"&lt;="&amp;($A481+11/24),tData[SEHTrajectPeriodeDatumTijdTotEnMet],"&gt;"&amp;($A481+11/24))</f>
        <v/>
      </c>
      <c r="P481" s="20">
        <f>COUNTIFS(tData[SEHTrajectPeriodeDatumTijdVan],"&lt;="&amp;($A481+12/24),tData[SEHTrajectPeriodeDatumTijdTotEnMet],"&gt;"&amp;($A481+12/24))</f>
        <v/>
      </c>
      <c r="Q481" s="20">
        <f>COUNTIFS(tData[SEHTrajectPeriodeDatumTijdVan],"&lt;="&amp;($A481+13/24),tData[SEHTrajectPeriodeDatumTijdTotEnMet],"&gt;"&amp;($A481+13/24))</f>
        <v/>
      </c>
      <c r="R481" s="20">
        <f>COUNTIFS(tData[SEHTrajectPeriodeDatumTijdVan],"&lt;="&amp;($A481+14/24),tData[SEHTrajectPeriodeDatumTijdTotEnMet],"&gt;"&amp;($A481+14/24))</f>
        <v/>
      </c>
      <c r="S481" s="20">
        <f>COUNTIFS(tData[SEHTrajectPeriodeDatumTijdVan],"&lt;="&amp;($A481+15/24),tData[SEHTrajectPeriodeDatumTijdTotEnMet],"&gt;"&amp;($A481+15/24))</f>
        <v/>
      </c>
      <c r="T481" s="20">
        <f>COUNTIFS(tData[SEHTrajectPeriodeDatumTijdVan],"&lt;="&amp;($A481+16/24),tData[SEHTrajectPeriodeDatumTijdTotEnMet],"&gt;"&amp;($A481+16/24))</f>
        <v/>
      </c>
      <c r="U481" s="20">
        <f>COUNTIFS(tData[SEHTrajectPeriodeDatumTijdVan],"&lt;="&amp;($A481+17/24),tData[SEHTrajectPeriodeDatumTijdTotEnMet],"&gt;"&amp;($A481+17/24))</f>
        <v/>
      </c>
      <c r="V481" s="20">
        <f>COUNTIFS(tData[SEHTrajectPeriodeDatumTijdVan],"&lt;="&amp;($A481+18/24),tData[SEHTrajectPeriodeDatumTijdTotEnMet],"&gt;"&amp;($A481+18/24))</f>
        <v/>
      </c>
      <c r="W481" s="20">
        <f>COUNTIFS(tData[SEHTrajectPeriodeDatumTijdVan],"&lt;="&amp;($A481+19/24),tData[SEHTrajectPeriodeDatumTijdTotEnMet],"&gt;"&amp;($A481+19/24))</f>
        <v/>
      </c>
      <c r="X481" s="20">
        <f>COUNTIFS(tData[SEHTrajectPeriodeDatumTijdVan],"&lt;="&amp;($A481+20/24),tData[SEHTrajectPeriodeDatumTijdTotEnMet],"&gt;"&amp;($A481+20/24))</f>
        <v/>
      </c>
      <c r="Y481" s="20">
        <f>COUNTIFS(tData[SEHTrajectPeriodeDatumTijdVan],"&lt;="&amp;($A481+21/24),tData[SEHTrajectPeriodeDatumTijdTotEnMet],"&gt;"&amp;($A481+21/24))</f>
        <v/>
      </c>
      <c r="Z481" s="20">
        <f>COUNTIFS(tData[SEHTrajectPeriodeDatumTijdVan],"&lt;="&amp;($A481+22/24),tData[SEHTrajectPeriodeDatumTijdTotEnMet],"&gt;"&amp;($A481+22/24))</f>
        <v/>
      </c>
      <c r="AA481" s="20">
        <f>COUNTIFS(tData[SEHTrajectPeriodeDatumTijdVan],"&lt;="&amp;($A481+23/24),tData[SEHTrajectPeriodeDatumTijdTotEnMet],"&gt;"&amp;($A481+23/24))</f>
        <v/>
      </c>
    </row>
    <row r="482">
      <c r="A482" s="19" t="n">
        <v>45770</v>
      </c>
      <c r="B482" s="15">
        <f>WEEKDAY($A482,2)</f>
        <v/>
      </c>
      <c r="C482" s="15">
        <f>IF(AND($A482&gt;=INT(Instellingen!$B$5),$A482&lt;=INT(Instellingen!$B$6)),1,0)</f>
        <v/>
      </c>
      <c r="D482" s="20">
        <f>COUNTIFS(tData[SEHTrajectPeriodeDatumTijdVan],"&lt;="&amp;($A482+0/24),tData[SEHTrajectPeriodeDatumTijdTotEnMet],"&gt;"&amp;($A482+0/24))</f>
        <v/>
      </c>
      <c r="E482" s="20">
        <f>COUNTIFS(tData[SEHTrajectPeriodeDatumTijdVan],"&lt;="&amp;($A482+1/24),tData[SEHTrajectPeriodeDatumTijdTotEnMet],"&gt;"&amp;($A482+1/24))</f>
        <v/>
      </c>
      <c r="F482" s="20">
        <f>COUNTIFS(tData[SEHTrajectPeriodeDatumTijdVan],"&lt;="&amp;($A482+2/24),tData[SEHTrajectPeriodeDatumTijdTotEnMet],"&gt;"&amp;($A482+2/24))</f>
        <v/>
      </c>
      <c r="G482" s="20">
        <f>COUNTIFS(tData[SEHTrajectPeriodeDatumTijdVan],"&lt;="&amp;($A482+3/24),tData[SEHTrajectPeriodeDatumTijdTotEnMet],"&gt;"&amp;($A482+3/24))</f>
        <v/>
      </c>
      <c r="H482" s="20">
        <f>COUNTIFS(tData[SEHTrajectPeriodeDatumTijdVan],"&lt;="&amp;($A482+4/24),tData[SEHTrajectPeriodeDatumTijdTotEnMet],"&gt;"&amp;($A482+4/24))</f>
        <v/>
      </c>
      <c r="I482" s="20">
        <f>COUNTIFS(tData[SEHTrajectPeriodeDatumTijdVan],"&lt;="&amp;($A482+5/24),tData[SEHTrajectPeriodeDatumTijdTotEnMet],"&gt;"&amp;($A482+5/24))</f>
        <v/>
      </c>
      <c r="J482" s="20">
        <f>COUNTIFS(tData[SEHTrajectPeriodeDatumTijdVan],"&lt;="&amp;($A482+6/24),tData[SEHTrajectPeriodeDatumTijdTotEnMet],"&gt;"&amp;($A482+6/24))</f>
        <v/>
      </c>
      <c r="K482" s="20">
        <f>COUNTIFS(tData[SEHTrajectPeriodeDatumTijdVan],"&lt;="&amp;($A482+7/24),tData[SEHTrajectPeriodeDatumTijdTotEnMet],"&gt;"&amp;($A482+7/24))</f>
        <v/>
      </c>
      <c r="L482" s="20">
        <f>COUNTIFS(tData[SEHTrajectPeriodeDatumTijdVan],"&lt;="&amp;($A482+8/24),tData[SEHTrajectPeriodeDatumTijdTotEnMet],"&gt;"&amp;($A482+8/24))</f>
        <v/>
      </c>
      <c r="M482" s="20">
        <f>COUNTIFS(tData[SEHTrajectPeriodeDatumTijdVan],"&lt;="&amp;($A482+9/24),tData[SEHTrajectPeriodeDatumTijdTotEnMet],"&gt;"&amp;($A482+9/24))</f>
        <v/>
      </c>
      <c r="N482" s="20">
        <f>COUNTIFS(tData[SEHTrajectPeriodeDatumTijdVan],"&lt;="&amp;($A482+10/24),tData[SEHTrajectPeriodeDatumTijdTotEnMet],"&gt;"&amp;($A482+10/24))</f>
        <v/>
      </c>
      <c r="O482" s="20">
        <f>COUNTIFS(tData[SEHTrajectPeriodeDatumTijdVan],"&lt;="&amp;($A482+11/24),tData[SEHTrajectPeriodeDatumTijdTotEnMet],"&gt;"&amp;($A482+11/24))</f>
        <v/>
      </c>
      <c r="P482" s="20">
        <f>COUNTIFS(tData[SEHTrajectPeriodeDatumTijdVan],"&lt;="&amp;($A482+12/24),tData[SEHTrajectPeriodeDatumTijdTotEnMet],"&gt;"&amp;($A482+12/24))</f>
        <v/>
      </c>
      <c r="Q482" s="20">
        <f>COUNTIFS(tData[SEHTrajectPeriodeDatumTijdVan],"&lt;="&amp;($A482+13/24),tData[SEHTrajectPeriodeDatumTijdTotEnMet],"&gt;"&amp;($A482+13/24))</f>
        <v/>
      </c>
      <c r="R482" s="20">
        <f>COUNTIFS(tData[SEHTrajectPeriodeDatumTijdVan],"&lt;="&amp;($A482+14/24),tData[SEHTrajectPeriodeDatumTijdTotEnMet],"&gt;"&amp;($A482+14/24))</f>
        <v/>
      </c>
      <c r="S482" s="20">
        <f>COUNTIFS(tData[SEHTrajectPeriodeDatumTijdVan],"&lt;="&amp;($A482+15/24),tData[SEHTrajectPeriodeDatumTijdTotEnMet],"&gt;"&amp;($A482+15/24))</f>
        <v/>
      </c>
      <c r="T482" s="20">
        <f>COUNTIFS(tData[SEHTrajectPeriodeDatumTijdVan],"&lt;="&amp;($A482+16/24),tData[SEHTrajectPeriodeDatumTijdTotEnMet],"&gt;"&amp;($A482+16/24))</f>
        <v/>
      </c>
      <c r="U482" s="20">
        <f>COUNTIFS(tData[SEHTrajectPeriodeDatumTijdVan],"&lt;="&amp;($A482+17/24),tData[SEHTrajectPeriodeDatumTijdTotEnMet],"&gt;"&amp;($A482+17/24))</f>
        <v/>
      </c>
      <c r="V482" s="20">
        <f>COUNTIFS(tData[SEHTrajectPeriodeDatumTijdVan],"&lt;="&amp;($A482+18/24),tData[SEHTrajectPeriodeDatumTijdTotEnMet],"&gt;"&amp;($A482+18/24))</f>
        <v/>
      </c>
      <c r="W482" s="20">
        <f>COUNTIFS(tData[SEHTrajectPeriodeDatumTijdVan],"&lt;="&amp;($A482+19/24),tData[SEHTrajectPeriodeDatumTijdTotEnMet],"&gt;"&amp;($A482+19/24))</f>
        <v/>
      </c>
      <c r="X482" s="20">
        <f>COUNTIFS(tData[SEHTrajectPeriodeDatumTijdVan],"&lt;="&amp;($A482+20/24),tData[SEHTrajectPeriodeDatumTijdTotEnMet],"&gt;"&amp;($A482+20/24))</f>
        <v/>
      </c>
      <c r="Y482" s="20">
        <f>COUNTIFS(tData[SEHTrajectPeriodeDatumTijdVan],"&lt;="&amp;($A482+21/24),tData[SEHTrajectPeriodeDatumTijdTotEnMet],"&gt;"&amp;($A482+21/24))</f>
        <v/>
      </c>
      <c r="Z482" s="20">
        <f>COUNTIFS(tData[SEHTrajectPeriodeDatumTijdVan],"&lt;="&amp;($A482+22/24),tData[SEHTrajectPeriodeDatumTijdTotEnMet],"&gt;"&amp;($A482+22/24))</f>
        <v/>
      </c>
      <c r="AA482" s="20">
        <f>COUNTIFS(tData[SEHTrajectPeriodeDatumTijdVan],"&lt;="&amp;($A482+23/24),tData[SEHTrajectPeriodeDatumTijdTotEnMet],"&gt;"&amp;($A482+23/24))</f>
        <v/>
      </c>
    </row>
    <row r="483">
      <c r="A483" s="19" t="n">
        <v>45771</v>
      </c>
      <c r="B483" s="15">
        <f>WEEKDAY($A483,2)</f>
        <v/>
      </c>
      <c r="C483" s="15">
        <f>IF(AND($A483&gt;=INT(Instellingen!$B$5),$A483&lt;=INT(Instellingen!$B$6)),1,0)</f>
        <v/>
      </c>
      <c r="D483" s="20">
        <f>COUNTIFS(tData[SEHTrajectPeriodeDatumTijdVan],"&lt;="&amp;($A483+0/24),tData[SEHTrajectPeriodeDatumTijdTotEnMet],"&gt;"&amp;($A483+0/24))</f>
        <v/>
      </c>
      <c r="E483" s="20">
        <f>COUNTIFS(tData[SEHTrajectPeriodeDatumTijdVan],"&lt;="&amp;($A483+1/24),tData[SEHTrajectPeriodeDatumTijdTotEnMet],"&gt;"&amp;($A483+1/24))</f>
        <v/>
      </c>
      <c r="F483" s="20">
        <f>COUNTIFS(tData[SEHTrajectPeriodeDatumTijdVan],"&lt;="&amp;($A483+2/24),tData[SEHTrajectPeriodeDatumTijdTotEnMet],"&gt;"&amp;($A483+2/24))</f>
        <v/>
      </c>
      <c r="G483" s="20">
        <f>COUNTIFS(tData[SEHTrajectPeriodeDatumTijdVan],"&lt;="&amp;($A483+3/24),tData[SEHTrajectPeriodeDatumTijdTotEnMet],"&gt;"&amp;($A483+3/24))</f>
        <v/>
      </c>
      <c r="H483" s="20">
        <f>COUNTIFS(tData[SEHTrajectPeriodeDatumTijdVan],"&lt;="&amp;($A483+4/24),tData[SEHTrajectPeriodeDatumTijdTotEnMet],"&gt;"&amp;($A483+4/24))</f>
        <v/>
      </c>
      <c r="I483" s="20">
        <f>COUNTIFS(tData[SEHTrajectPeriodeDatumTijdVan],"&lt;="&amp;($A483+5/24),tData[SEHTrajectPeriodeDatumTijdTotEnMet],"&gt;"&amp;($A483+5/24))</f>
        <v/>
      </c>
      <c r="J483" s="20">
        <f>COUNTIFS(tData[SEHTrajectPeriodeDatumTijdVan],"&lt;="&amp;($A483+6/24),tData[SEHTrajectPeriodeDatumTijdTotEnMet],"&gt;"&amp;($A483+6/24))</f>
        <v/>
      </c>
      <c r="K483" s="20">
        <f>COUNTIFS(tData[SEHTrajectPeriodeDatumTijdVan],"&lt;="&amp;($A483+7/24),tData[SEHTrajectPeriodeDatumTijdTotEnMet],"&gt;"&amp;($A483+7/24))</f>
        <v/>
      </c>
      <c r="L483" s="20">
        <f>COUNTIFS(tData[SEHTrajectPeriodeDatumTijdVan],"&lt;="&amp;($A483+8/24),tData[SEHTrajectPeriodeDatumTijdTotEnMet],"&gt;"&amp;($A483+8/24))</f>
        <v/>
      </c>
      <c r="M483" s="20">
        <f>COUNTIFS(tData[SEHTrajectPeriodeDatumTijdVan],"&lt;="&amp;($A483+9/24),tData[SEHTrajectPeriodeDatumTijdTotEnMet],"&gt;"&amp;($A483+9/24))</f>
        <v/>
      </c>
      <c r="N483" s="20">
        <f>COUNTIFS(tData[SEHTrajectPeriodeDatumTijdVan],"&lt;="&amp;($A483+10/24),tData[SEHTrajectPeriodeDatumTijdTotEnMet],"&gt;"&amp;($A483+10/24))</f>
        <v/>
      </c>
      <c r="O483" s="20">
        <f>COUNTIFS(tData[SEHTrajectPeriodeDatumTijdVan],"&lt;="&amp;($A483+11/24),tData[SEHTrajectPeriodeDatumTijdTotEnMet],"&gt;"&amp;($A483+11/24))</f>
        <v/>
      </c>
      <c r="P483" s="20">
        <f>COUNTIFS(tData[SEHTrajectPeriodeDatumTijdVan],"&lt;="&amp;($A483+12/24),tData[SEHTrajectPeriodeDatumTijdTotEnMet],"&gt;"&amp;($A483+12/24))</f>
        <v/>
      </c>
      <c r="Q483" s="20">
        <f>COUNTIFS(tData[SEHTrajectPeriodeDatumTijdVan],"&lt;="&amp;($A483+13/24),tData[SEHTrajectPeriodeDatumTijdTotEnMet],"&gt;"&amp;($A483+13/24))</f>
        <v/>
      </c>
      <c r="R483" s="20">
        <f>COUNTIFS(tData[SEHTrajectPeriodeDatumTijdVan],"&lt;="&amp;($A483+14/24),tData[SEHTrajectPeriodeDatumTijdTotEnMet],"&gt;"&amp;($A483+14/24))</f>
        <v/>
      </c>
      <c r="S483" s="20">
        <f>COUNTIFS(tData[SEHTrajectPeriodeDatumTijdVan],"&lt;="&amp;($A483+15/24),tData[SEHTrajectPeriodeDatumTijdTotEnMet],"&gt;"&amp;($A483+15/24))</f>
        <v/>
      </c>
      <c r="T483" s="20">
        <f>COUNTIFS(tData[SEHTrajectPeriodeDatumTijdVan],"&lt;="&amp;($A483+16/24),tData[SEHTrajectPeriodeDatumTijdTotEnMet],"&gt;"&amp;($A483+16/24))</f>
        <v/>
      </c>
      <c r="U483" s="20">
        <f>COUNTIFS(tData[SEHTrajectPeriodeDatumTijdVan],"&lt;="&amp;($A483+17/24),tData[SEHTrajectPeriodeDatumTijdTotEnMet],"&gt;"&amp;($A483+17/24))</f>
        <v/>
      </c>
      <c r="V483" s="20">
        <f>COUNTIFS(tData[SEHTrajectPeriodeDatumTijdVan],"&lt;="&amp;($A483+18/24),tData[SEHTrajectPeriodeDatumTijdTotEnMet],"&gt;"&amp;($A483+18/24))</f>
        <v/>
      </c>
      <c r="W483" s="20">
        <f>COUNTIFS(tData[SEHTrajectPeriodeDatumTijdVan],"&lt;="&amp;($A483+19/24),tData[SEHTrajectPeriodeDatumTijdTotEnMet],"&gt;"&amp;($A483+19/24))</f>
        <v/>
      </c>
      <c r="X483" s="20">
        <f>COUNTIFS(tData[SEHTrajectPeriodeDatumTijdVan],"&lt;="&amp;($A483+20/24),tData[SEHTrajectPeriodeDatumTijdTotEnMet],"&gt;"&amp;($A483+20/24))</f>
        <v/>
      </c>
      <c r="Y483" s="20">
        <f>COUNTIFS(tData[SEHTrajectPeriodeDatumTijdVan],"&lt;="&amp;($A483+21/24),tData[SEHTrajectPeriodeDatumTijdTotEnMet],"&gt;"&amp;($A483+21/24))</f>
        <v/>
      </c>
      <c r="Z483" s="20">
        <f>COUNTIFS(tData[SEHTrajectPeriodeDatumTijdVan],"&lt;="&amp;($A483+22/24),tData[SEHTrajectPeriodeDatumTijdTotEnMet],"&gt;"&amp;($A483+22/24))</f>
        <v/>
      </c>
      <c r="AA483" s="20">
        <f>COUNTIFS(tData[SEHTrajectPeriodeDatumTijdVan],"&lt;="&amp;($A483+23/24),tData[SEHTrajectPeriodeDatumTijdTotEnMet],"&gt;"&amp;($A483+23/24))</f>
        <v/>
      </c>
    </row>
    <row r="484">
      <c r="A484" s="19" t="n">
        <v>45772</v>
      </c>
      <c r="B484" s="15">
        <f>WEEKDAY($A484,2)</f>
        <v/>
      </c>
      <c r="C484" s="15">
        <f>IF(AND($A484&gt;=INT(Instellingen!$B$5),$A484&lt;=INT(Instellingen!$B$6)),1,0)</f>
        <v/>
      </c>
      <c r="D484" s="20">
        <f>COUNTIFS(tData[SEHTrajectPeriodeDatumTijdVan],"&lt;="&amp;($A484+0/24),tData[SEHTrajectPeriodeDatumTijdTotEnMet],"&gt;"&amp;($A484+0/24))</f>
        <v/>
      </c>
      <c r="E484" s="20">
        <f>COUNTIFS(tData[SEHTrajectPeriodeDatumTijdVan],"&lt;="&amp;($A484+1/24),tData[SEHTrajectPeriodeDatumTijdTotEnMet],"&gt;"&amp;($A484+1/24))</f>
        <v/>
      </c>
      <c r="F484" s="20">
        <f>COUNTIFS(tData[SEHTrajectPeriodeDatumTijdVan],"&lt;="&amp;($A484+2/24),tData[SEHTrajectPeriodeDatumTijdTotEnMet],"&gt;"&amp;($A484+2/24))</f>
        <v/>
      </c>
      <c r="G484" s="20">
        <f>COUNTIFS(tData[SEHTrajectPeriodeDatumTijdVan],"&lt;="&amp;($A484+3/24),tData[SEHTrajectPeriodeDatumTijdTotEnMet],"&gt;"&amp;($A484+3/24))</f>
        <v/>
      </c>
      <c r="H484" s="20">
        <f>COUNTIFS(tData[SEHTrajectPeriodeDatumTijdVan],"&lt;="&amp;($A484+4/24),tData[SEHTrajectPeriodeDatumTijdTotEnMet],"&gt;"&amp;($A484+4/24))</f>
        <v/>
      </c>
      <c r="I484" s="20">
        <f>COUNTIFS(tData[SEHTrajectPeriodeDatumTijdVan],"&lt;="&amp;($A484+5/24),tData[SEHTrajectPeriodeDatumTijdTotEnMet],"&gt;"&amp;($A484+5/24))</f>
        <v/>
      </c>
      <c r="J484" s="20">
        <f>COUNTIFS(tData[SEHTrajectPeriodeDatumTijdVan],"&lt;="&amp;($A484+6/24),tData[SEHTrajectPeriodeDatumTijdTotEnMet],"&gt;"&amp;($A484+6/24))</f>
        <v/>
      </c>
      <c r="K484" s="20">
        <f>COUNTIFS(tData[SEHTrajectPeriodeDatumTijdVan],"&lt;="&amp;($A484+7/24),tData[SEHTrajectPeriodeDatumTijdTotEnMet],"&gt;"&amp;($A484+7/24))</f>
        <v/>
      </c>
      <c r="L484" s="20">
        <f>COUNTIFS(tData[SEHTrajectPeriodeDatumTijdVan],"&lt;="&amp;($A484+8/24),tData[SEHTrajectPeriodeDatumTijdTotEnMet],"&gt;"&amp;($A484+8/24))</f>
        <v/>
      </c>
      <c r="M484" s="20">
        <f>COUNTIFS(tData[SEHTrajectPeriodeDatumTijdVan],"&lt;="&amp;($A484+9/24),tData[SEHTrajectPeriodeDatumTijdTotEnMet],"&gt;"&amp;($A484+9/24))</f>
        <v/>
      </c>
      <c r="N484" s="20">
        <f>COUNTIFS(tData[SEHTrajectPeriodeDatumTijdVan],"&lt;="&amp;($A484+10/24),tData[SEHTrajectPeriodeDatumTijdTotEnMet],"&gt;"&amp;($A484+10/24))</f>
        <v/>
      </c>
      <c r="O484" s="20">
        <f>COUNTIFS(tData[SEHTrajectPeriodeDatumTijdVan],"&lt;="&amp;($A484+11/24),tData[SEHTrajectPeriodeDatumTijdTotEnMet],"&gt;"&amp;($A484+11/24))</f>
        <v/>
      </c>
      <c r="P484" s="20">
        <f>COUNTIFS(tData[SEHTrajectPeriodeDatumTijdVan],"&lt;="&amp;($A484+12/24),tData[SEHTrajectPeriodeDatumTijdTotEnMet],"&gt;"&amp;($A484+12/24))</f>
        <v/>
      </c>
      <c r="Q484" s="20">
        <f>COUNTIFS(tData[SEHTrajectPeriodeDatumTijdVan],"&lt;="&amp;($A484+13/24),tData[SEHTrajectPeriodeDatumTijdTotEnMet],"&gt;"&amp;($A484+13/24))</f>
        <v/>
      </c>
      <c r="R484" s="20">
        <f>COUNTIFS(tData[SEHTrajectPeriodeDatumTijdVan],"&lt;="&amp;($A484+14/24),tData[SEHTrajectPeriodeDatumTijdTotEnMet],"&gt;"&amp;($A484+14/24))</f>
        <v/>
      </c>
      <c r="S484" s="20">
        <f>COUNTIFS(tData[SEHTrajectPeriodeDatumTijdVan],"&lt;="&amp;($A484+15/24),tData[SEHTrajectPeriodeDatumTijdTotEnMet],"&gt;"&amp;($A484+15/24))</f>
        <v/>
      </c>
      <c r="T484" s="20">
        <f>COUNTIFS(tData[SEHTrajectPeriodeDatumTijdVan],"&lt;="&amp;($A484+16/24),tData[SEHTrajectPeriodeDatumTijdTotEnMet],"&gt;"&amp;($A484+16/24))</f>
        <v/>
      </c>
      <c r="U484" s="20">
        <f>COUNTIFS(tData[SEHTrajectPeriodeDatumTijdVan],"&lt;="&amp;($A484+17/24),tData[SEHTrajectPeriodeDatumTijdTotEnMet],"&gt;"&amp;($A484+17/24))</f>
        <v/>
      </c>
      <c r="V484" s="20">
        <f>COUNTIFS(tData[SEHTrajectPeriodeDatumTijdVan],"&lt;="&amp;($A484+18/24),tData[SEHTrajectPeriodeDatumTijdTotEnMet],"&gt;"&amp;($A484+18/24))</f>
        <v/>
      </c>
      <c r="W484" s="20">
        <f>COUNTIFS(tData[SEHTrajectPeriodeDatumTijdVan],"&lt;="&amp;($A484+19/24),tData[SEHTrajectPeriodeDatumTijdTotEnMet],"&gt;"&amp;($A484+19/24))</f>
        <v/>
      </c>
      <c r="X484" s="20">
        <f>COUNTIFS(tData[SEHTrajectPeriodeDatumTijdVan],"&lt;="&amp;($A484+20/24),tData[SEHTrajectPeriodeDatumTijdTotEnMet],"&gt;"&amp;($A484+20/24))</f>
        <v/>
      </c>
      <c r="Y484" s="20">
        <f>COUNTIFS(tData[SEHTrajectPeriodeDatumTijdVan],"&lt;="&amp;($A484+21/24),tData[SEHTrajectPeriodeDatumTijdTotEnMet],"&gt;"&amp;($A484+21/24))</f>
        <v/>
      </c>
      <c r="Z484" s="20">
        <f>COUNTIFS(tData[SEHTrajectPeriodeDatumTijdVan],"&lt;="&amp;($A484+22/24),tData[SEHTrajectPeriodeDatumTijdTotEnMet],"&gt;"&amp;($A484+22/24))</f>
        <v/>
      </c>
      <c r="AA484" s="20">
        <f>COUNTIFS(tData[SEHTrajectPeriodeDatumTijdVan],"&lt;="&amp;($A484+23/24),tData[SEHTrajectPeriodeDatumTijdTotEnMet],"&gt;"&amp;($A484+23/24))</f>
        <v/>
      </c>
    </row>
    <row r="485">
      <c r="A485" s="19" t="n">
        <v>45773</v>
      </c>
      <c r="B485" s="15">
        <f>WEEKDAY($A485,2)</f>
        <v/>
      </c>
      <c r="C485" s="15">
        <f>IF(AND($A485&gt;=INT(Instellingen!$B$5),$A485&lt;=INT(Instellingen!$B$6)),1,0)</f>
        <v/>
      </c>
      <c r="D485" s="20">
        <f>COUNTIFS(tData[SEHTrajectPeriodeDatumTijdVan],"&lt;="&amp;($A485+0/24),tData[SEHTrajectPeriodeDatumTijdTotEnMet],"&gt;"&amp;($A485+0/24))</f>
        <v/>
      </c>
      <c r="E485" s="20">
        <f>COUNTIFS(tData[SEHTrajectPeriodeDatumTijdVan],"&lt;="&amp;($A485+1/24),tData[SEHTrajectPeriodeDatumTijdTotEnMet],"&gt;"&amp;($A485+1/24))</f>
        <v/>
      </c>
      <c r="F485" s="20">
        <f>COUNTIFS(tData[SEHTrajectPeriodeDatumTijdVan],"&lt;="&amp;($A485+2/24),tData[SEHTrajectPeriodeDatumTijdTotEnMet],"&gt;"&amp;($A485+2/24))</f>
        <v/>
      </c>
      <c r="G485" s="20">
        <f>COUNTIFS(tData[SEHTrajectPeriodeDatumTijdVan],"&lt;="&amp;($A485+3/24),tData[SEHTrajectPeriodeDatumTijdTotEnMet],"&gt;"&amp;($A485+3/24))</f>
        <v/>
      </c>
      <c r="H485" s="20">
        <f>COUNTIFS(tData[SEHTrajectPeriodeDatumTijdVan],"&lt;="&amp;($A485+4/24),tData[SEHTrajectPeriodeDatumTijdTotEnMet],"&gt;"&amp;($A485+4/24))</f>
        <v/>
      </c>
      <c r="I485" s="20">
        <f>COUNTIFS(tData[SEHTrajectPeriodeDatumTijdVan],"&lt;="&amp;($A485+5/24),tData[SEHTrajectPeriodeDatumTijdTotEnMet],"&gt;"&amp;($A485+5/24))</f>
        <v/>
      </c>
      <c r="J485" s="20">
        <f>COUNTIFS(tData[SEHTrajectPeriodeDatumTijdVan],"&lt;="&amp;($A485+6/24),tData[SEHTrajectPeriodeDatumTijdTotEnMet],"&gt;"&amp;($A485+6/24))</f>
        <v/>
      </c>
      <c r="K485" s="20">
        <f>COUNTIFS(tData[SEHTrajectPeriodeDatumTijdVan],"&lt;="&amp;($A485+7/24),tData[SEHTrajectPeriodeDatumTijdTotEnMet],"&gt;"&amp;($A485+7/24))</f>
        <v/>
      </c>
      <c r="L485" s="20">
        <f>COUNTIFS(tData[SEHTrajectPeriodeDatumTijdVan],"&lt;="&amp;($A485+8/24),tData[SEHTrajectPeriodeDatumTijdTotEnMet],"&gt;"&amp;($A485+8/24))</f>
        <v/>
      </c>
      <c r="M485" s="20">
        <f>COUNTIFS(tData[SEHTrajectPeriodeDatumTijdVan],"&lt;="&amp;($A485+9/24),tData[SEHTrajectPeriodeDatumTijdTotEnMet],"&gt;"&amp;($A485+9/24))</f>
        <v/>
      </c>
      <c r="N485" s="20">
        <f>COUNTIFS(tData[SEHTrajectPeriodeDatumTijdVan],"&lt;="&amp;($A485+10/24),tData[SEHTrajectPeriodeDatumTijdTotEnMet],"&gt;"&amp;($A485+10/24))</f>
        <v/>
      </c>
      <c r="O485" s="20">
        <f>COUNTIFS(tData[SEHTrajectPeriodeDatumTijdVan],"&lt;="&amp;($A485+11/24),tData[SEHTrajectPeriodeDatumTijdTotEnMet],"&gt;"&amp;($A485+11/24))</f>
        <v/>
      </c>
      <c r="P485" s="20">
        <f>COUNTIFS(tData[SEHTrajectPeriodeDatumTijdVan],"&lt;="&amp;($A485+12/24),tData[SEHTrajectPeriodeDatumTijdTotEnMet],"&gt;"&amp;($A485+12/24))</f>
        <v/>
      </c>
      <c r="Q485" s="20">
        <f>COUNTIFS(tData[SEHTrajectPeriodeDatumTijdVan],"&lt;="&amp;($A485+13/24),tData[SEHTrajectPeriodeDatumTijdTotEnMet],"&gt;"&amp;($A485+13/24))</f>
        <v/>
      </c>
      <c r="R485" s="20">
        <f>COUNTIFS(tData[SEHTrajectPeriodeDatumTijdVan],"&lt;="&amp;($A485+14/24),tData[SEHTrajectPeriodeDatumTijdTotEnMet],"&gt;"&amp;($A485+14/24))</f>
        <v/>
      </c>
      <c r="S485" s="20">
        <f>COUNTIFS(tData[SEHTrajectPeriodeDatumTijdVan],"&lt;="&amp;($A485+15/24),tData[SEHTrajectPeriodeDatumTijdTotEnMet],"&gt;"&amp;($A485+15/24))</f>
        <v/>
      </c>
      <c r="T485" s="20">
        <f>COUNTIFS(tData[SEHTrajectPeriodeDatumTijdVan],"&lt;="&amp;($A485+16/24),tData[SEHTrajectPeriodeDatumTijdTotEnMet],"&gt;"&amp;($A485+16/24))</f>
        <v/>
      </c>
      <c r="U485" s="20">
        <f>COUNTIFS(tData[SEHTrajectPeriodeDatumTijdVan],"&lt;="&amp;($A485+17/24),tData[SEHTrajectPeriodeDatumTijdTotEnMet],"&gt;"&amp;($A485+17/24))</f>
        <v/>
      </c>
      <c r="V485" s="20">
        <f>COUNTIFS(tData[SEHTrajectPeriodeDatumTijdVan],"&lt;="&amp;($A485+18/24),tData[SEHTrajectPeriodeDatumTijdTotEnMet],"&gt;"&amp;($A485+18/24))</f>
        <v/>
      </c>
      <c r="W485" s="20">
        <f>COUNTIFS(tData[SEHTrajectPeriodeDatumTijdVan],"&lt;="&amp;($A485+19/24),tData[SEHTrajectPeriodeDatumTijdTotEnMet],"&gt;"&amp;($A485+19/24))</f>
        <v/>
      </c>
      <c r="X485" s="20">
        <f>COUNTIFS(tData[SEHTrajectPeriodeDatumTijdVan],"&lt;="&amp;($A485+20/24),tData[SEHTrajectPeriodeDatumTijdTotEnMet],"&gt;"&amp;($A485+20/24))</f>
        <v/>
      </c>
      <c r="Y485" s="20">
        <f>COUNTIFS(tData[SEHTrajectPeriodeDatumTijdVan],"&lt;="&amp;($A485+21/24),tData[SEHTrajectPeriodeDatumTijdTotEnMet],"&gt;"&amp;($A485+21/24))</f>
        <v/>
      </c>
      <c r="Z485" s="20">
        <f>COUNTIFS(tData[SEHTrajectPeriodeDatumTijdVan],"&lt;="&amp;($A485+22/24),tData[SEHTrajectPeriodeDatumTijdTotEnMet],"&gt;"&amp;($A485+22/24))</f>
        <v/>
      </c>
      <c r="AA485" s="20">
        <f>COUNTIFS(tData[SEHTrajectPeriodeDatumTijdVan],"&lt;="&amp;($A485+23/24),tData[SEHTrajectPeriodeDatumTijdTotEnMet],"&gt;"&amp;($A485+23/24))</f>
        <v/>
      </c>
    </row>
    <row r="486">
      <c r="A486" s="19" t="n">
        <v>45774</v>
      </c>
      <c r="B486" s="15">
        <f>WEEKDAY($A486,2)</f>
        <v/>
      </c>
      <c r="C486" s="15">
        <f>IF(AND($A486&gt;=INT(Instellingen!$B$5),$A486&lt;=INT(Instellingen!$B$6)),1,0)</f>
        <v/>
      </c>
      <c r="D486" s="20">
        <f>COUNTIFS(tData[SEHTrajectPeriodeDatumTijdVan],"&lt;="&amp;($A486+0/24),tData[SEHTrajectPeriodeDatumTijdTotEnMet],"&gt;"&amp;($A486+0/24))</f>
        <v/>
      </c>
      <c r="E486" s="20">
        <f>COUNTIFS(tData[SEHTrajectPeriodeDatumTijdVan],"&lt;="&amp;($A486+1/24),tData[SEHTrajectPeriodeDatumTijdTotEnMet],"&gt;"&amp;($A486+1/24))</f>
        <v/>
      </c>
      <c r="F486" s="20">
        <f>COUNTIFS(tData[SEHTrajectPeriodeDatumTijdVan],"&lt;="&amp;($A486+2/24),tData[SEHTrajectPeriodeDatumTijdTotEnMet],"&gt;"&amp;($A486+2/24))</f>
        <v/>
      </c>
      <c r="G486" s="20">
        <f>COUNTIFS(tData[SEHTrajectPeriodeDatumTijdVan],"&lt;="&amp;($A486+3/24),tData[SEHTrajectPeriodeDatumTijdTotEnMet],"&gt;"&amp;($A486+3/24))</f>
        <v/>
      </c>
      <c r="H486" s="20">
        <f>COUNTIFS(tData[SEHTrajectPeriodeDatumTijdVan],"&lt;="&amp;($A486+4/24),tData[SEHTrajectPeriodeDatumTijdTotEnMet],"&gt;"&amp;($A486+4/24))</f>
        <v/>
      </c>
      <c r="I486" s="20">
        <f>COUNTIFS(tData[SEHTrajectPeriodeDatumTijdVan],"&lt;="&amp;($A486+5/24),tData[SEHTrajectPeriodeDatumTijdTotEnMet],"&gt;"&amp;($A486+5/24))</f>
        <v/>
      </c>
      <c r="J486" s="20">
        <f>COUNTIFS(tData[SEHTrajectPeriodeDatumTijdVan],"&lt;="&amp;($A486+6/24),tData[SEHTrajectPeriodeDatumTijdTotEnMet],"&gt;"&amp;($A486+6/24))</f>
        <v/>
      </c>
      <c r="K486" s="20">
        <f>COUNTIFS(tData[SEHTrajectPeriodeDatumTijdVan],"&lt;="&amp;($A486+7/24),tData[SEHTrajectPeriodeDatumTijdTotEnMet],"&gt;"&amp;($A486+7/24))</f>
        <v/>
      </c>
      <c r="L486" s="20">
        <f>COUNTIFS(tData[SEHTrajectPeriodeDatumTijdVan],"&lt;="&amp;($A486+8/24),tData[SEHTrajectPeriodeDatumTijdTotEnMet],"&gt;"&amp;($A486+8/24))</f>
        <v/>
      </c>
      <c r="M486" s="20">
        <f>COUNTIFS(tData[SEHTrajectPeriodeDatumTijdVan],"&lt;="&amp;($A486+9/24),tData[SEHTrajectPeriodeDatumTijdTotEnMet],"&gt;"&amp;($A486+9/24))</f>
        <v/>
      </c>
      <c r="N486" s="20">
        <f>COUNTIFS(tData[SEHTrajectPeriodeDatumTijdVan],"&lt;="&amp;($A486+10/24),tData[SEHTrajectPeriodeDatumTijdTotEnMet],"&gt;"&amp;($A486+10/24))</f>
        <v/>
      </c>
      <c r="O486" s="20">
        <f>COUNTIFS(tData[SEHTrajectPeriodeDatumTijdVan],"&lt;="&amp;($A486+11/24),tData[SEHTrajectPeriodeDatumTijdTotEnMet],"&gt;"&amp;($A486+11/24))</f>
        <v/>
      </c>
      <c r="P486" s="20">
        <f>COUNTIFS(tData[SEHTrajectPeriodeDatumTijdVan],"&lt;="&amp;($A486+12/24),tData[SEHTrajectPeriodeDatumTijdTotEnMet],"&gt;"&amp;($A486+12/24))</f>
        <v/>
      </c>
      <c r="Q486" s="20">
        <f>COUNTIFS(tData[SEHTrajectPeriodeDatumTijdVan],"&lt;="&amp;($A486+13/24),tData[SEHTrajectPeriodeDatumTijdTotEnMet],"&gt;"&amp;($A486+13/24))</f>
        <v/>
      </c>
      <c r="R486" s="20">
        <f>COUNTIFS(tData[SEHTrajectPeriodeDatumTijdVan],"&lt;="&amp;($A486+14/24),tData[SEHTrajectPeriodeDatumTijdTotEnMet],"&gt;"&amp;($A486+14/24))</f>
        <v/>
      </c>
      <c r="S486" s="20">
        <f>COUNTIFS(tData[SEHTrajectPeriodeDatumTijdVan],"&lt;="&amp;($A486+15/24),tData[SEHTrajectPeriodeDatumTijdTotEnMet],"&gt;"&amp;($A486+15/24))</f>
        <v/>
      </c>
      <c r="T486" s="20">
        <f>COUNTIFS(tData[SEHTrajectPeriodeDatumTijdVan],"&lt;="&amp;($A486+16/24),tData[SEHTrajectPeriodeDatumTijdTotEnMet],"&gt;"&amp;($A486+16/24))</f>
        <v/>
      </c>
      <c r="U486" s="20">
        <f>COUNTIFS(tData[SEHTrajectPeriodeDatumTijdVan],"&lt;="&amp;($A486+17/24),tData[SEHTrajectPeriodeDatumTijdTotEnMet],"&gt;"&amp;($A486+17/24))</f>
        <v/>
      </c>
      <c r="V486" s="20">
        <f>COUNTIFS(tData[SEHTrajectPeriodeDatumTijdVan],"&lt;="&amp;($A486+18/24),tData[SEHTrajectPeriodeDatumTijdTotEnMet],"&gt;"&amp;($A486+18/24))</f>
        <v/>
      </c>
      <c r="W486" s="20">
        <f>COUNTIFS(tData[SEHTrajectPeriodeDatumTijdVan],"&lt;="&amp;($A486+19/24),tData[SEHTrajectPeriodeDatumTijdTotEnMet],"&gt;"&amp;($A486+19/24))</f>
        <v/>
      </c>
      <c r="X486" s="20">
        <f>COUNTIFS(tData[SEHTrajectPeriodeDatumTijdVan],"&lt;="&amp;($A486+20/24),tData[SEHTrajectPeriodeDatumTijdTotEnMet],"&gt;"&amp;($A486+20/24))</f>
        <v/>
      </c>
      <c r="Y486" s="20">
        <f>COUNTIFS(tData[SEHTrajectPeriodeDatumTijdVan],"&lt;="&amp;($A486+21/24),tData[SEHTrajectPeriodeDatumTijdTotEnMet],"&gt;"&amp;($A486+21/24))</f>
        <v/>
      </c>
      <c r="Z486" s="20">
        <f>COUNTIFS(tData[SEHTrajectPeriodeDatumTijdVan],"&lt;="&amp;($A486+22/24),tData[SEHTrajectPeriodeDatumTijdTotEnMet],"&gt;"&amp;($A486+22/24))</f>
        <v/>
      </c>
      <c r="AA486" s="20">
        <f>COUNTIFS(tData[SEHTrajectPeriodeDatumTijdVan],"&lt;="&amp;($A486+23/24),tData[SEHTrajectPeriodeDatumTijdTotEnMet],"&gt;"&amp;($A486+23/24))</f>
        <v/>
      </c>
    </row>
    <row r="487">
      <c r="A487" s="19" t="n">
        <v>45775</v>
      </c>
      <c r="B487" s="15">
        <f>WEEKDAY($A487,2)</f>
        <v/>
      </c>
      <c r="C487" s="15">
        <f>IF(AND($A487&gt;=INT(Instellingen!$B$5),$A487&lt;=INT(Instellingen!$B$6)),1,0)</f>
        <v/>
      </c>
      <c r="D487" s="20">
        <f>COUNTIFS(tData[SEHTrajectPeriodeDatumTijdVan],"&lt;="&amp;($A487+0/24),tData[SEHTrajectPeriodeDatumTijdTotEnMet],"&gt;"&amp;($A487+0/24))</f>
        <v/>
      </c>
      <c r="E487" s="20">
        <f>COUNTIFS(tData[SEHTrajectPeriodeDatumTijdVan],"&lt;="&amp;($A487+1/24),tData[SEHTrajectPeriodeDatumTijdTotEnMet],"&gt;"&amp;($A487+1/24))</f>
        <v/>
      </c>
      <c r="F487" s="20">
        <f>COUNTIFS(tData[SEHTrajectPeriodeDatumTijdVan],"&lt;="&amp;($A487+2/24),tData[SEHTrajectPeriodeDatumTijdTotEnMet],"&gt;"&amp;($A487+2/24))</f>
        <v/>
      </c>
      <c r="G487" s="20">
        <f>COUNTIFS(tData[SEHTrajectPeriodeDatumTijdVan],"&lt;="&amp;($A487+3/24),tData[SEHTrajectPeriodeDatumTijdTotEnMet],"&gt;"&amp;($A487+3/24))</f>
        <v/>
      </c>
      <c r="H487" s="20">
        <f>COUNTIFS(tData[SEHTrajectPeriodeDatumTijdVan],"&lt;="&amp;($A487+4/24),tData[SEHTrajectPeriodeDatumTijdTotEnMet],"&gt;"&amp;($A487+4/24))</f>
        <v/>
      </c>
      <c r="I487" s="20">
        <f>COUNTIFS(tData[SEHTrajectPeriodeDatumTijdVan],"&lt;="&amp;($A487+5/24),tData[SEHTrajectPeriodeDatumTijdTotEnMet],"&gt;"&amp;($A487+5/24))</f>
        <v/>
      </c>
      <c r="J487" s="20">
        <f>COUNTIFS(tData[SEHTrajectPeriodeDatumTijdVan],"&lt;="&amp;($A487+6/24),tData[SEHTrajectPeriodeDatumTijdTotEnMet],"&gt;"&amp;($A487+6/24))</f>
        <v/>
      </c>
      <c r="K487" s="20">
        <f>COUNTIFS(tData[SEHTrajectPeriodeDatumTijdVan],"&lt;="&amp;($A487+7/24),tData[SEHTrajectPeriodeDatumTijdTotEnMet],"&gt;"&amp;($A487+7/24))</f>
        <v/>
      </c>
      <c r="L487" s="20">
        <f>COUNTIFS(tData[SEHTrajectPeriodeDatumTijdVan],"&lt;="&amp;($A487+8/24),tData[SEHTrajectPeriodeDatumTijdTotEnMet],"&gt;"&amp;($A487+8/24))</f>
        <v/>
      </c>
      <c r="M487" s="20">
        <f>COUNTIFS(tData[SEHTrajectPeriodeDatumTijdVan],"&lt;="&amp;($A487+9/24),tData[SEHTrajectPeriodeDatumTijdTotEnMet],"&gt;"&amp;($A487+9/24))</f>
        <v/>
      </c>
      <c r="N487" s="20">
        <f>COUNTIFS(tData[SEHTrajectPeriodeDatumTijdVan],"&lt;="&amp;($A487+10/24),tData[SEHTrajectPeriodeDatumTijdTotEnMet],"&gt;"&amp;($A487+10/24))</f>
        <v/>
      </c>
      <c r="O487" s="20">
        <f>COUNTIFS(tData[SEHTrajectPeriodeDatumTijdVan],"&lt;="&amp;($A487+11/24),tData[SEHTrajectPeriodeDatumTijdTotEnMet],"&gt;"&amp;($A487+11/24))</f>
        <v/>
      </c>
      <c r="P487" s="20">
        <f>COUNTIFS(tData[SEHTrajectPeriodeDatumTijdVan],"&lt;="&amp;($A487+12/24),tData[SEHTrajectPeriodeDatumTijdTotEnMet],"&gt;"&amp;($A487+12/24))</f>
        <v/>
      </c>
      <c r="Q487" s="20">
        <f>COUNTIFS(tData[SEHTrajectPeriodeDatumTijdVan],"&lt;="&amp;($A487+13/24),tData[SEHTrajectPeriodeDatumTijdTotEnMet],"&gt;"&amp;($A487+13/24))</f>
        <v/>
      </c>
      <c r="R487" s="20">
        <f>COUNTIFS(tData[SEHTrajectPeriodeDatumTijdVan],"&lt;="&amp;($A487+14/24),tData[SEHTrajectPeriodeDatumTijdTotEnMet],"&gt;"&amp;($A487+14/24))</f>
        <v/>
      </c>
      <c r="S487" s="20">
        <f>COUNTIFS(tData[SEHTrajectPeriodeDatumTijdVan],"&lt;="&amp;($A487+15/24),tData[SEHTrajectPeriodeDatumTijdTotEnMet],"&gt;"&amp;($A487+15/24))</f>
        <v/>
      </c>
      <c r="T487" s="20">
        <f>COUNTIFS(tData[SEHTrajectPeriodeDatumTijdVan],"&lt;="&amp;($A487+16/24),tData[SEHTrajectPeriodeDatumTijdTotEnMet],"&gt;"&amp;($A487+16/24))</f>
        <v/>
      </c>
      <c r="U487" s="20">
        <f>COUNTIFS(tData[SEHTrajectPeriodeDatumTijdVan],"&lt;="&amp;($A487+17/24),tData[SEHTrajectPeriodeDatumTijdTotEnMet],"&gt;"&amp;($A487+17/24))</f>
        <v/>
      </c>
      <c r="V487" s="20">
        <f>COUNTIFS(tData[SEHTrajectPeriodeDatumTijdVan],"&lt;="&amp;($A487+18/24),tData[SEHTrajectPeriodeDatumTijdTotEnMet],"&gt;"&amp;($A487+18/24))</f>
        <v/>
      </c>
      <c r="W487" s="20">
        <f>COUNTIFS(tData[SEHTrajectPeriodeDatumTijdVan],"&lt;="&amp;($A487+19/24),tData[SEHTrajectPeriodeDatumTijdTotEnMet],"&gt;"&amp;($A487+19/24))</f>
        <v/>
      </c>
      <c r="X487" s="20">
        <f>COUNTIFS(tData[SEHTrajectPeriodeDatumTijdVan],"&lt;="&amp;($A487+20/24),tData[SEHTrajectPeriodeDatumTijdTotEnMet],"&gt;"&amp;($A487+20/24))</f>
        <v/>
      </c>
      <c r="Y487" s="20">
        <f>COUNTIFS(tData[SEHTrajectPeriodeDatumTijdVan],"&lt;="&amp;($A487+21/24),tData[SEHTrajectPeriodeDatumTijdTotEnMet],"&gt;"&amp;($A487+21/24))</f>
        <v/>
      </c>
      <c r="Z487" s="20">
        <f>COUNTIFS(tData[SEHTrajectPeriodeDatumTijdVan],"&lt;="&amp;($A487+22/24),tData[SEHTrajectPeriodeDatumTijdTotEnMet],"&gt;"&amp;($A487+22/24))</f>
        <v/>
      </c>
      <c r="AA487" s="20">
        <f>COUNTIFS(tData[SEHTrajectPeriodeDatumTijdVan],"&lt;="&amp;($A487+23/24),tData[SEHTrajectPeriodeDatumTijdTotEnMet],"&gt;"&amp;($A487+23/24))</f>
        <v/>
      </c>
    </row>
    <row r="488">
      <c r="A488" s="19" t="n">
        <v>45776</v>
      </c>
      <c r="B488" s="15">
        <f>WEEKDAY($A488,2)</f>
        <v/>
      </c>
      <c r="C488" s="15">
        <f>IF(AND($A488&gt;=INT(Instellingen!$B$5),$A488&lt;=INT(Instellingen!$B$6)),1,0)</f>
        <v/>
      </c>
      <c r="D488" s="20">
        <f>COUNTIFS(tData[SEHTrajectPeriodeDatumTijdVan],"&lt;="&amp;($A488+0/24),tData[SEHTrajectPeriodeDatumTijdTotEnMet],"&gt;"&amp;($A488+0/24))</f>
        <v/>
      </c>
      <c r="E488" s="20">
        <f>COUNTIFS(tData[SEHTrajectPeriodeDatumTijdVan],"&lt;="&amp;($A488+1/24),tData[SEHTrajectPeriodeDatumTijdTotEnMet],"&gt;"&amp;($A488+1/24))</f>
        <v/>
      </c>
      <c r="F488" s="20">
        <f>COUNTIFS(tData[SEHTrajectPeriodeDatumTijdVan],"&lt;="&amp;($A488+2/24),tData[SEHTrajectPeriodeDatumTijdTotEnMet],"&gt;"&amp;($A488+2/24))</f>
        <v/>
      </c>
      <c r="G488" s="20">
        <f>COUNTIFS(tData[SEHTrajectPeriodeDatumTijdVan],"&lt;="&amp;($A488+3/24),tData[SEHTrajectPeriodeDatumTijdTotEnMet],"&gt;"&amp;($A488+3/24))</f>
        <v/>
      </c>
      <c r="H488" s="20">
        <f>COUNTIFS(tData[SEHTrajectPeriodeDatumTijdVan],"&lt;="&amp;($A488+4/24),tData[SEHTrajectPeriodeDatumTijdTotEnMet],"&gt;"&amp;($A488+4/24))</f>
        <v/>
      </c>
      <c r="I488" s="20">
        <f>COUNTIFS(tData[SEHTrajectPeriodeDatumTijdVan],"&lt;="&amp;($A488+5/24),tData[SEHTrajectPeriodeDatumTijdTotEnMet],"&gt;"&amp;($A488+5/24))</f>
        <v/>
      </c>
      <c r="J488" s="20">
        <f>COUNTIFS(tData[SEHTrajectPeriodeDatumTijdVan],"&lt;="&amp;($A488+6/24),tData[SEHTrajectPeriodeDatumTijdTotEnMet],"&gt;"&amp;($A488+6/24))</f>
        <v/>
      </c>
      <c r="K488" s="20">
        <f>COUNTIFS(tData[SEHTrajectPeriodeDatumTijdVan],"&lt;="&amp;($A488+7/24),tData[SEHTrajectPeriodeDatumTijdTotEnMet],"&gt;"&amp;($A488+7/24))</f>
        <v/>
      </c>
      <c r="L488" s="20">
        <f>COUNTIFS(tData[SEHTrajectPeriodeDatumTijdVan],"&lt;="&amp;($A488+8/24),tData[SEHTrajectPeriodeDatumTijdTotEnMet],"&gt;"&amp;($A488+8/24))</f>
        <v/>
      </c>
      <c r="M488" s="20">
        <f>COUNTIFS(tData[SEHTrajectPeriodeDatumTijdVan],"&lt;="&amp;($A488+9/24),tData[SEHTrajectPeriodeDatumTijdTotEnMet],"&gt;"&amp;($A488+9/24))</f>
        <v/>
      </c>
      <c r="N488" s="20">
        <f>COUNTIFS(tData[SEHTrajectPeriodeDatumTijdVan],"&lt;="&amp;($A488+10/24),tData[SEHTrajectPeriodeDatumTijdTotEnMet],"&gt;"&amp;($A488+10/24))</f>
        <v/>
      </c>
      <c r="O488" s="20">
        <f>COUNTIFS(tData[SEHTrajectPeriodeDatumTijdVan],"&lt;="&amp;($A488+11/24),tData[SEHTrajectPeriodeDatumTijdTotEnMet],"&gt;"&amp;($A488+11/24))</f>
        <v/>
      </c>
      <c r="P488" s="20">
        <f>COUNTIFS(tData[SEHTrajectPeriodeDatumTijdVan],"&lt;="&amp;($A488+12/24),tData[SEHTrajectPeriodeDatumTijdTotEnMet],"&gt;"&amp;($A488+12/24))</f>
        <v/>
      </c>
      <c r="Q488" s="20">
        <f>COUNTIFS(tData[SEHTrajectPeriodeDatumTijdVan],"&lt;="&amp;($A488+13/24),tData[SEHTrajectPeriodeDatumTijdTotEnMet],"&gt;"&amp;($A488+13/24))</f>
        <v/>
      </c>
      <c r="R488" s="20">
        <f>COUNTIFS(tData[SEHTrajectPeriodeDatumTijdVan],"&lt;="&amp;($A488+14/24),tData[SEHTrajectPeriodeDatumTijdTotEnMet],"&gt;"&amp;($A488+14/24))</f>
        <v/>
      </c>
      <c r="S488" s="20">
        <f>COUNTIFS(tData[SEHTrajectPeriodeDatumTijdVan],"&lt;="&amp;($A488+15/24),tData[SEHTrajectPeriodeDatumTijdTotEnMet],"&gt;"&amp;($A488+15/24))</f>
        <v/>
      </c>
      <c r="T488" s="20">
        <f>COUNTIFS(tData[SEHTrajectPeriodeDatumTijdVan],"&lt;="&amp;($A488+16/24),tData[SEHTrajectPeriodeDatumTijdTotEnMet],"&gt;"&amp;($A488+16/24))</f>
        <v/>
      </c>
      <c r="U488" s="20">
        <f>COUNTIFS(tData[SEHTrajectPeriodeDatumTijdVan],"&lt;="&amp;($A488+17/24),tData[SEHTrajectPeriodeDatumTijdTotEnMet],"&gt;"&amp;($A488+17/24))</f>
        <v/>
      </c>
      <c r="V488" s="20">
        <f>COUNTIFS(tData[SEHTrajectPeriodeDatumTijdVan],"&lt;="&amp;($A488+18/24),tData[SEHTrajectPeriodeDatumTijdTotEnMet],"&gt;"&amp;($A488+18/24))</f>
        <v/>
      </c>
      <c r="W488" s="20">
        <f>COUNTIFS(tData[SEHTrajectPeriodeDatumTijdVan],"&lt;="&amp;($A488+19/24),tData[SEHTrajectPeriodeDatumTijdTotEnMet],"&gt;"&amp;($A488+19/24))</f>
        <v/>
      </c>
      <c r="X488" s="20">
        <f>COUNTIFS(tData[SEHTrajectPeriodeDatumTijdVan],"&lt;="&amp;($A488+20/24),tData[SEHTrajectPeriodeDatumTijdTotEnMet],"&gt;"&amp;($A488+20/24))</f>
        <v/>
      </c>
      <c r="Y488" s="20">
        <f>COUNTIFS(tData[SEHTrajectPeriodeDatumTijdVan],"&lt;="&amp;($A488+21/24),tData[SEHTrajectPeriodeDatumTijdTotEnMet],"&gt;"&amp;($A488+21/24))</f>
        <v/>
      </c>
      <c r="Z488" s="20">
        <f>COUNTIFS(tData[SEHTrajectPeriodeDatumTijdVan],"&lt;="&amp;($A488+22/24),tData[SEHTrajectPeriodeDatumTijdTotEnMet],"&gt;"&amp;($A488+22/24))</f>
        <v/>
      </c>
      <c r="AA488" s="20">
        <f>COUNTIFS(tData[SEHTrajectPeriodeDatumTijdVan],"&lt;="&amp;($A488+23/24),tData[SEHTrajectPeriodeDatumTijdTotEnMet],"&gt;"&amp;($A488+23/24))</f>
        <v/>
      </c>
    </row>
    <row r="489">
      <c r="A489" s="19" t="n">
        <v>45777</v>
      </c>
      <c r="B489" s="15">
        <f>WEEKDAY($A489,2)</f>
        <v/>
      </c>
      <c r="C489" s="15">
        <f>IF(AND($A489&gt;=INT(Instellingen!$B$5),$A489&lt;=INT(Instellingen!$B$6)),1,0)</f>
        <v/>
      </c>
      <c r="D489" s="20">
        <f>COUNTIFS(tData[SEHTrajectPeriodeDatumTijdVan],"&lt;="&amp;($A489+0/24),tData[SEHTrajectPeriodeDatumTijdTotEnMet],"&gt;"&amp;($A489+0/24))</f>
        <v/>
      </c>
      <c r="E489" s="20">
        <f>COUNTIFS(tData[SEHTrajectPeriodeDatumTijdVan],"&lt;="&amp;($A489+1/24),tData[SEHTrajectPeriodeDatumTijdTotEnMet],"&gt;"&amp;($A489+1/24))</f>
        <v/>
      </c>
      <c r="F489" s="20">
        <f>COUNTIFS(tData[SEHTrajectPeriodeDatumTijdVan],"&lt;="&amp;($A489+2/24),tData[SEHTrajectPeriodeDatumTijdTotEnMet],"&gt;"&amp;($A489+2/24))</f>
        <v/>
      </c>
      <c r="G489" s="20">
        <f>COUNTIFS(tData[SEHTrajectPeriodeDatumTijdVan],"&lt;="&amp;($A489+3/24),tData[SEHTrajectPeriodeDatumTijdTotEnMet],"&gt;"&amp;($A489+3/24))</f>
        <v/>
      </c>
      <c r="H489" s="20">
        <f>COUNTIFS(tData[SEHTrajectPeriodeDatumTijdVan],"&lt;="&amp;($A489+4/24),tData[SEHTrajectPeriodeDatumTijdTotEnMet],"&gt;"&amp;($A489+4/24))</f>
        <v/>
      </c>
      <c r="I489" s="20">
        <f>COUNTIFS(tData[SEHTrajectPeriodeDatumTijdVan],"&lt;="&amp;($A489+5/24),tData[SEHTrajectPeriodeDatumTijdTotEnMet],"&gt;"&amp;($A489+5/24))</f>
        <v/>
      </c>
      <c r="J489" s="20">
        <f>COUNTIFS(tData[SEHTrajectPeriodeDatumTijdVan],"&lt;="&amp;($A489+6/24),tData[SEHTrajectPeriodeDatumTijdTotEnMet],"&gt;"&amp;($A489+6/24))</f>
        <v/>
      </c>
      <c r="K489" s="20">
        <f>COUNTIFS(tData[SEHTrajectPeriodeDatumTijdVan],"&lt;="&amp;($A489+7/24),tData[SEHTrajectPeriodeDatumTijdTotEnMet],"&gt;"&amp;($A489+7/24))</f>
        <v/>
      </c>
      <c r="L489" s="20">
        <f>COUNTIFS(tData[SEHTrajectPeriodeDatumTijdVan],"&lt;="&amp;($A489+8/24),tData[SEHTrajectPeriodeDatumTijdTotEnMet],"&gt;"&amp;($A489+8/24))</f>
        <v/>
      </c>
      <c r="M489" s="20">
        <f>COUNTIFS(tData[SEHTrajectPeriodeDatumTijdVan],"&lt;="&amp;($A489+9/24),tData[SEHTrajectPeriodeDatumTijdTotEnMet],"&gt;"&amp;($A489+9/24))</f>
        <v/>
      </c>
      <c r="N489" s="20">
        <f>COUNTIFS(tData[SEHTrajectPeriodeDatumTijdVan],"&lt;="&amp;($A489+10/24),tData[SEHTrajectPeriodeDatumTijdTotEnMet],"&gt;"&amp;($A489+10/24))</f>
        <v/>
      </c>
      <c r="O489" s="20">
        <f>COUNTIFS(tData[SEHTrajectPeriodeDatumTijdVan],"&lt;="&amp;($A489+11/24),tData[SEHTrajectPeriodeDatumTijdTotEnMet],"&gt;"&amp;($A489+11/24))</f>
        <v/>
      </c>
      <c r="P489" s="20">
        <f>COUNTIFS(tData[SEHTrajectPeriodeDatumTijdVan],"&lt;="&amp;($A489+12/24),tData[SEHTrajectPeriodeDatumTijdTotEnMet],"&gt;"&amp;($A489+12/24))</f>
        <v/>
      </c>
      <c r="Q489" s="20">
        <f>COUNTIFS(tData[SEHTrajectPeriodeDatumTijdVan],"&lt;="&amp;($A489+13/24),tData[SEHTrajectPeriodeDatumTijdTotEnMet],"&gt;"&amp;($A489+13/24))</f>
        <v/>
      </c>
      <c r="R489" s="20">
        <f>COUNTIFS(tData[SEHTrajectPeriodeDatumTijdVan],"&lt;="&amp;($A489+14/24),tData[SEHTrajectPeriodeDatumTijdTotEnMet],"&gt;"&amp;($A489+14/24))</f>
        <v/>
      </c>
      <c r="S489" s="20">
        <f>COUNTIFS(tData[SEHTrajectPeriodeDatumTijdVan],"&lt;="&amp;($A489+15/24),tData[SEHTrajectPeriodeDatumTijdTotEnMet],"&gt;"&amp;($A489+15/24))</f>
        <v/>
      </c>
      <c r="T489" s="20">
        <f>COUNTIFS(tData[SEHTrajectPeriodeDatumTijdVan],"&lt;="&amp;($A489+16/24),tData[SEHTrajectPeriodeDatumTijdTotEnMet],"&gt;"&amp;($A489+16/24))</f>
        <v/>
      </c>
      <c r="U489" s="20">
        <f>COUNTIFS(tData[SEHTrajectPeriodeDatumTijdVan],"&lt;="&amp;($A489+17/24),tData[SEHTrajectPeriodeDatumTijdTotEnMet],"&gt;"&amp;($A489+17/24))</f>
        <v/>
      </c>
      <c r="V489" s="20">
        <f>COUNTIFS(tData[SEHTrajectPeriodeDatumTijdVan],"&lt;="&amp;($A489+18/24),tData[SEHTrajectPeriodeDatumTijdTotEnMet],"&gt;"&amp;($A489+18/24))</f>
        <v/>
      </c>
      <c r="W489" s="20">
        <f>COUNTIFS(tData[SEHTrajectPeriodeDatumTijdVan],"&lt;="&amp;($A489+19/24),tData[SEHTrajectPeriodeDatumTijdTotEnMet],"&gt;"&amp;($A489+19/24))</f>
        <v/>
      </c>
      <c r="X489" s="20">
        <f>COUNTIFS(tData[SEHTrajectPeriodeDatumTijdVan],"&lt;="&amp;($A489+20/24),tData[SEHTrajectPeriodeDatumTijdTotEnMet],"&gt;"&amp;($A489+20/24))</f>
        <v/>
      </c>
      <c r="Y489" s="20">
        <f>COUNTIFS(tData[SEHTrajectPeriodeDatumTijdVan],"&lt;="&amp;($A489+21/24),tData[SEHTrajectPeriodeDatumTijdTotEnMet],"&gt;"&amp;($A489+21/24))</f>
        <v/>
      </c>
      <c r="Z489" s="20">
        <f>COUNTIFS(tData[SEHTrajectPeriodeDatumTijdVan],"&lt;="&amp;($A489+22/24),tData[SEHTrajectPeriodeDatumTijdTotEnMet],"&gt;"&amp;($A489+22/24))</f>
        <v/>
      </c>
      <c r="AA489" s="20">
        <f>COUNTIFS(tData[SEHTrajectPeriodeDatumTijdVan],"&lt;="&amp;($A489+23/24),tData[SEHTrajectPeriodeDatumTijdTotEnMet],"&gt;"&amp;($A489+23/24))</f>
        <v/>
      </c>
    </row>
    <row r="490">
      <c r="A490" s="19" t="n">
        <v>45778</v>
      </c>
      <c r="B490" s="15">
        <f>WEEKDAY($A490,2)</f>
        <v/>
      </c>
      <c r="C490" s="15">
        <f>IF(AND($A490&gt;=INT(Instellingen!$B$5),$A490&lt;=INT(Instellingen!$B$6)),1,0)</f>
        <v/>
      </c>
      <c r="D490" s="20">
        <f>COUNTIFS(tData[SEHTrajectPeriodeDatumTijdVan],"&lt;="&amp;($A490+0/24),tData[SEHTrajectPeriodeDatumTijdTotEnMet],"&gt;"&amp;($A490+0/24))</f>
        <v/>
      </c>
      <c r="E490" s="20">
        <f>COUNTIFS(tData[SEHTrajectPeriodeDatumTijdVan],"&lt;="&amp;($A490+1/24),tData[SEHTrajectPeriodeDatumTijdTotEnMet],"&gt;"&amp;($A490+1/24))</f>
        <v/>
      </c>
      <c r="F490" s="20">
        <f>COUNTIFS(tData[SEHTrajectPeriodeDatumTijdVan],"&lt;="&amp;($A490+2/24),tData[SEHTrajectPeriodeDatumTijdTotEnMet],"&gt;"&amp;($A490+2/24))</f>
        <v/>
      </c>
      <c r="G490" s="20">
        <f>COUNTIFS(tData[SEHTrajectPeriodeDatumTijdVan],"&lt;="&amp;($A490+3/24),tData[SEHTrajectPeriodeDatumTijdTotEnMet],"&gt;"&amp;($A490+3/24))</f>
        <v/>
      </c>
      <c r="H490" s="20">
        <f>COUNTIFS(tData[SEHTrajectPeriodeDatumTijdVan],"&lt;="&amp;($A490+4/24),tData[SEHTrajectPeriodeDatumTijdTotEnMet],"&gt;"&amp;($A490+4/24))</f>
        <v/>
      </c>
      <c r="I490" s="20">
        <f>COUNTIFS(tData[SEHTrajectPeriodeDatumTijdVan],"&lt;="&amp;($A490+5/24),tData[SEHTrajectPeriodeDatumTijdTotEnMet],"&gt;"&amp;($A490+5/24))</f>
        <v/>
      </c>
      <c r="J490" s="20">
        <f>COUNTIFS(tData[SEHTrajectPeriodeDatumTijdVan],"&lt;="&amp;($A490+6/24),tData[SEHTrajectPeriodeDatumTijdTotEnMet],"&gt;"&amp;($A490+6/24))</f>
        <v/>
      </c>
      <c r="K490" s="20">
        <f>COUNTIFS(tData[SEHTrajectPeriodeDatumTijdVan],"&lt;="&amp;($A490+7/24),tData[SEHTrajectPeriodeDatumTijdTotEnMet],"&gt;"&amp;($A490+7/24))</f>
        <v/>
      </c>
      <c r="L490" s="20">
        <f>COUNTIFS(tData[SEHTrajectPeriodeDatumTijdVan],"&lt;="&amp;($A490+8/24),tData[SEHTrajectPeriodeDatumTijdTotEnMet],"&gt;"&amp;($A490+8/24))</f>
        <v/>
      </c>
      <c r="M490" s="20">
        <f>COUNTIFS(tData[SEHTrajectPeriodeDatumTijdVan],"&lt;="&amp;($A490+9/24),tData[SEHTrajectPeriodeDatumTijdTotEnMet],"&gt;"&amp;($A490+9/24))</f>
        <v/>
      </c>
      <c r="N490" s="20">
        <f>COUNTIFS(tData[SEHTrajectPeriodeDatumTijdVan],"&lt;="&amp;($A490+10/24),tData[SEHTrajectPeriodeDatumTijdTotEnMet],"&gt;"&amp;($A490+10/24))</f>
        <v/>
      </c>
      <c r="O490" s="20">
        <f>COUNTIFS(tData[SEHTrajectPeriodeDatumTijdVan],"&lt;="&amp;($A490+11/24),tData[SEHTrajectPeriodeDatumTijdTotEnMet],"&gt;"&amp;($A490+11/24))</f>
        <v/>
      </c>
      <c r="P490" s="20">
        <f>COUNTIFS(tData[SEHTrajectPeriodeDatumTijdVan],"&lt;="&amp;($A490+12/24),tData[SEHTrajectPeriodeDatumTijdTotEnMet],"&gt;"&amp;($A490+12/24))</f>
        <v/>
      </c>
      <c r="Q490" s="20">
        <f>COUNTIFS(tData[SEHTrajectPeriodeDatumTijdVan],"&lt;="&amp;($A490+13/24),tData[SEHTrajectPeriodeDatumTijdTotEnMet],"&gt;"&amp;($A490+13/24))</f>
        <v/>
      </c>
      <c r="R490" s="20">
        <f>COUNTIFS(tData[SEHTrajectPeriodeDatumTijdVan],"&lt;="&amp;($A490+14/24),tData[SEHTrajectPeriodeDatumTijdTotEnMet],"&gt;"&amp;($A490+14/24))</f>
        <v/>
      </c>
      <c r="S490" s="20">
        <f>COUNTIFS(tData[SEHTrajectPeriodeDatumTijdVan],"&lt;="&amp;($A490+15/24),tData[SEHTrajectPeriodeDatumTijdTotEnMet],"&gt;"&amp;($A490+15/24))</f>
        <v/>
      </c>
      <c r="T490" s="20">
        <f>COUNTIFS(tData[SEHTrajectPeriodeDatumTijdVan],"&lt;="&amp;($A490+16/24),tData[SEHTrajectPeriodeDatumTijdTotEnMet],"&gt;"&amp;($A490+16/24))</f>
        <v/>
      </c>
      <c r="U490" s="20">
        <f>COUNTIFS(tData[SEHTrajectPeriodeDatumTijdVan],"&lt;="&amp;($A490+17/24),tData[SEHTrajectPeriodeDatumTijdTotEnMet],"&gt;"&amp;($A490+17/24))</f>
        <v/>
      </c>
      <c r="V490" s="20">
        <f>COUNTIFS(tData[SEHTrajectPeriodeDatumTijdVan],"&lt;="&amp;($A490+18/24),tData[SEHTrajectPeriodeDatumTijdTotEnMet],"&gt;"&amp;($A490+18/24))</f>
        <v/>
      </c>
      <c r="W490" s="20">
        <f>COUNTIFS(tData[SEHTrajectPeriodeDatumTijdVan],"&lt;="&amp;($A490+19/24),tData[SEHTrajectPeriodeDatumTijdTotEnMet],"&gt;"&amp;($A490+19/24))</f>
        <v/>
      </c>
      <c r="X490" s="20">
        <f>COUNTIFS(tData[SEHTrajectPeriodeDatumTijdVan],"&lt;="&amp;($A490+20/24),tData[SEHTrajectPeriodeDatumTijdTotEnMet],"&gt;"&amp;($A490+20/24))</f>
        <v/>
      </c>
      <c r="Y490" s="20">
        <f>COUNTIFS(tData[SEHTrajectPeriodeDatumTijdVan],"&lt;="&amp;($A490+21/24),tData[SEHTrajectPeriodeDatumTijdTotEnMet],"&gt;"&amp;($A490+21/24))</f>
        <v/>
      </c>
      <c r="Z490" s="20">
        <f>COUNTIFS(tData[SEHTrajectPeriodeDatumTijdVan],"&lt;="&amp;($A490+22/24),tData[SEHTrajectPeriodeDatumTijdTotEnMet],"&gt;"&amp;($A490+22/24))</f>
        <v/>
      </c>
      <c r="AA490" s="20">
        <f>COUNTIFS(tData[SEHTrajectPeriodeDatumTijdVan],"&lt;="&amp;($A490+23/24),tData[SEHTrajectPeriodeDatumTijdTotEnMet],"&gt;"&amp;($A490+23/24))</f>
        <v/>
      </c>
    </row>
    <row r="491">
      <c r="A491" s="19" t="n">
        <v>45779</v>
      </c>
      <c r="B491" s="15">
        <f>WEEKDAY($A491,2)</f>
        <v/>
      </c>
      <c r="C491" s="15">
        <f>IF(AND($A491&gt;=INT(Instellingen!$B$5),$A491&lt;=INT(Instellingen!$B$6)),1,0)</f>
        <v/>
      </c>
      <c r="D491" s="20">
        <f>COUNTIFS(tData[SEHTrajectPeriodeDatumTijdVan],"&lt;="&amp;($A491+0/24),tData[SEHTrajectPeriodeDatumTijdTotEnMet],"&gt;"&amp;($A491+0/24))</f>
        <v/>
      </c>
      <c r="E491" s="20">
        <f>COUNTIFS(tData[SEHTrajectPeriodeDatumTijdVan],"&lt;="&amp;($A491+1/24),tData[SEHTrajectPeriodeDatumTijdTotEnMet],"&gt;"&amp;($A491+1/24))</f>
        <v/>
      </c>
      <c r="F491" s="20">
        <f>COUNTIFS(tData[SEHTrajectPeriodeDatumTijdVan],"&lt;="&amp;($A491+2/24),tData[SEHTrajectPeriodeDatumTijdTotEnMet],"&gt;"&amp;($A491+2/24))</f>
        <v/>
      </c>
      <c r="G491" s="20">
        <f>COUNTIFS(tData[SEHTrajectPeriodeDatumTijdVan],"&lt;="&amp;($A491+3/24),tData[SEHTrajectPeriodeDatumTijdTotEnMet],"&gt;"&amp;($A491+3/24))</f>
        <v/>
      </c>
      <c r="H491" s="20">
        <f>COUNTIFS(tData[SEHTrajectPeriodeDatumTijdVan],"&lt;="&amp;($A491+4/24),tData[SEHTrajectPeriodeDatumTijdTotEnMet],"&gt;"&amp;($A491+4/24))</f>
        <v/>
      </c>
      <c r="I491" s="20">
        <f>COUNTIFS(tData[SEHTrajectPeriodeDatumTijdVan],"&lt;="&amp;($A491+5/24),tData[SEHTrajectPeriodeDatumTijdTotEnMet],"&gt;"&amp;($A491+5/24))</f>
        <v/>
      </c>
      <c r="J491" s="20">
        <f>COUNTIFS(tData[SEHTrajectPeriodeDatumTijdVan],"&lt;="&amp;($A491+6/24),tData[SEHTrajectPeriodeDatumTijdTotEnMet],"&gt;"&amp;($A491+6/24))</f>
        <v/>
      </c>
      <c r="K491" s="20">
        <f>COUNTIFS(tData[SEHTrajectPeriodeDatumTijdVan],"&lt;="&amp;($A491+7/24),tData[SEHTrajectPeriodeDatumTijdTotEnMet],"&gt;"&amp;($A491+7/24))</f>
        <v/>
      </c>
      <c r="L491" s="20">
        <f>COUNTIFS(tData[SEHTrajectPeriodeDatumTijdVan],"&lt;="&amp;($A491+8/24),tData[SEHTrajectPeriodeDatumTijdTotEnMet],"&gt;"&amp;($A491+8/24))</f>
        <v/>
      </c>
      <c r="M491" s="20">
        <f>COUNTIFS(tData[SEHTrajectPeriodeDatumTijdVan],"&lt;="&amp;($A491+9/24),tData[SEHTrajectPeriodeDatumTijdTotEnMet],"&gt;"&amp;($A491+9/24))</f>
        <v/>
      </c>
      <c r="N491" s="20">
        <f>COUNTIFS(tData[SEHTrajectPeriodeDatumTijdVan],"&lt;="&amp;($A491+10/24),tData[SEHTrajectPeriodeDatumTijdTotEnMet],"&gt;"&amp;($A491+10/24))</f>
        <v/>
      </c>
      <c r="O491" s="20">
        <f>COUNTIFS(tData[SEHTrajectPeriodeDatumTijdVan],"&lt;="&amp;($A491+11/24),tData[SEHTrajectPeriodeDatumTijdTotEnMet],"&gt;"&amp;($A491+11/24))</f>
        <v/>
      </c>
      <c r="P491" s="20">
        <f>COUNTIFS(tData[SEHTrajectPeriodeDatumTijdVan],"&lt;="&amp;($A491+12/24),tData[SEHTrajectPeriodeDatumTijdTotEnMet],"&gt;"&amp;($A491+12/24))</f>
        <v/>
      </c>
      <c r="Q491" s="20">
        <f>COUNTIFS(tData[SEHTrajectPeriodeDatumTijdVan],"&lt;="&amp;($A491+13/24),tData[SEHTrajectPeriodeDatumTijdTotEnMet],"&gt;"&amp;($A491+13/24))</f>
        <v/>
      </c>
      <c r="R491" s="20">
        <f>COUNTIFS(tData[SEHTrajectPeriodeDatumTijdVan],"&lt;="&amp;($A491+14/24),tData[SEHTrajectPeriodeDatumTijdTotEnMet],"&gt;"&amp;($A491+14/24))</f>
        <v/>
      </c>
      <c r="S491" s="20">
        <f>COUNTIFS(tData[SEHTrajectPeriodeDatumTijdVan],"&lt;="&amp;($A491+15/24),tData[SEHTrajectPeriodeDatumTijdTotEnMet],"&gt;"&amp;($A491+15/24))</f>
        <v/>
      </c>
      <c r="T491" s="20">
        <f>COUNTIFS(tData[SEHTrajectPeriodeDatumTijdVan],"&lt;="&amp;($A491+16/24),tData[SEHTrajectPeriodeDatumTijdTotEnMet],"&gt;"&amp;($A491+16/24))</f>
        <v/>
      </c>
      <c r="U491" s="20">
        <f>COUNTIFS(tData[SEHTrajectPeriodeDatumTijdVan],"&lt;="&amp;($A491+17/24),tData[SEHTrajectPeriodeDatumTijdTotEnMet],"&gt;"&amp;($A491+17/24))</f>
        <v/>
      </c>
      <c r="V491" s="20">
        <f>COUNTIFS(tData[SEHTrajectPeriodeDatumTijdVan],"&lt;="&amp;($A491+18/24),tData[SEHTrajectPeriodeDatumTijdTotEnMet],"&gt;"&amp;($A491+18/24))</f>
        <v/>
      </c>
      <c r="W491" s="20">
        <f>COUNTIFS(tData[SEHTrajectPeriodeDatumTijdVan],"&lt;="&amp;($A491+19/24),tData[SEHTrajectPeriodeDatumTijdTotEnMet],"&gt;"&amp;($A491+19/24))</f>
        <v/>
      </c>
      <c r="X491" s="20">
        <f>COUNTIFS(tData[SEHTrajectPeriodeDatumTijdVan],"&lt;="&amp;($A491+20/24),tData[SEHTrajectPeriodeDatumTijdTotEnMet],"&gt;"&amp;($A491+20/24))</f>
        <v/>
      </c>
      <c r="Y491" s="20">
        <f>COUNTIFS(tData[SEHTrajectPeriodeDatumTijdVan],"&lt;="&amp;($A491+21/24),tData[SEHTrajectPeriodeDatumTijdTotEnMet],"&gt;"&amp;($A491+21/24))</f>
        <v/>
      </c>
      <c r="Z491" s="20">
        <f>COUNTIFS(tData[SEHTrajectPeriodeDatumTijdVan],"&lt;="&amp;($A491+22/24),tData[SEHTrajectPeriodeDatumTijdTotEnMet],"&gt;"&amp;($A491+22/24))</f>
        <v/>
      </c>
      <c r="AA491" s="20">
        <f>COUNTIFS(tData[SEHTrajectPeriodeDatumTijdVan],"&lt;="&amp;($A491+23/24),tData[SEHTrajectPeriodeDatumTijdTotEnMet],"&gt;"&amp;($A491+23/24))</f>
        <v/>
      </c>
    </row>
    <row r="492">
      <c r="A492" s="19" t="n">
        <v>45780</v>
      </c>
      <c r="B492" s="15">
        <f>WEEKDAY($A492,2)</f>
        <v/>
      </c>
      <c r="C492" s="15">
        <f>IF(AND($A492&gt;=INT(Instellingen!$B$5),$A492&lt;=INT(Instellingen!$B$6)),1,0)</f>
        <v/>
      </c>
      <c r="D492" s="20">
        <f>COUNTIFS(tData[SEHTrajectPeriodeDatumTijdVan],"&lt;="&amp;($A492+0/24),tData[SEHTrajectPeriodeDatumTijdTotEnMet],"&gt;"&amp;($A492+0/24))</f>
        <v/>
      </c>
      <c r="E492" s="20">
        <f>COUNTIFS(tData[SEHTrajectPeriodeDatumTijdVan],"&lt;="&amp;($A492+1/24),tData[SEHTrajectPeriodeDatumTijdTotEnMet],"&gt;"&amp;($A492+1/24))</f>
        <v/>
      </c>
      <c r="F492" s="20">
        <f>COUNTIFS(tData[SEHTrajectPeriodeDatumTijdVan],"&lt;="&amp;($A492+2/24),tData[SEHTrajectPeriodeDatumTijdTotEnMet],"&gt;"&amp;($A492+2/24))</f>
        <v/>
      </c>
      <c r="G492" s="20">
        <f>COUNTIFS(tData[SEHTrajectPeriodeDatumTijdVan],"&lt;="&amp;($A492+3/24),tData[SEHTrajectPeriodeDatumTijdTotEnMet],"&gt;"&amp;($A492+3/24))</f>
        <v/>
      </c>
      <c r="H492" s="20">
        <f>COUNTIFS(tData[SEHTrajectPeriodeDatumTijdVan],"&lt;="&amp;($A492+4/24),tData[SEHTrajectPeriodeDatumTijdTotEnMet],"&gt;"&amp;($A492+4/24))</f>
        <v/>
      </c>
      <c r="I492" s="20">
        <f>COUNTIFS(tData[SEHTrajectPeriodeDatumTijdVan],"&lt;="&amp;($A492+5/24),tData[SEHTrajectPeriodeDatumTijdTotEnMet],"&gt;"&amp;($A492+5/24))</f>
        <v/>
      </c>
      <c r="J492" s="20">
        <f>COUNTIFS(tData[SEHTrajectPeriodeDatumTijdVan],"&lt;="&amp;($A492+6/24),tData[SEHTrajectPeriodeDatumTijdTotEnMet],"&gt;"&amp;($A492+6/24))</f>
        <v/>
      </c>
      <c r="K492" s="20">
        <f>COUNTIFS(tData[SEHTrajectPeriodeDatumTijdVan],"&lt;="&amp;($A492+7/24),tData[SEHTrajectPeriodeDatumTijdTotEnMet],"&gt;"&amp;($A492+7/24))</f>
        <v/>
      </c>
      <c r="L492" s="20">
        <f>COUNTIFS(tData[SEHTrajectPeriodeDatumTijdVan],"&lt;="&amp;($A492+8/24),tData[SEHTrajectPeriodeDatumTijdTotEnMet],"&gt;"&amp;($A492+8/24))</f>
        <v/>
      </c>
      <c r="M492" s="20">
        <f>COUNTIFS(tData[SEHTrajectPeriodeDatumTijdVan],"&lt;="&amp;($A492+9/24),tData[SEHTrajectPeriodeDatumTijdTotEnMet],"&gt;"&amp;($A492+9/24))</f>
        <v/>
      </c>
      <c r="N492" s="20">
        <f>COUNTIFS(tData[SEHTrajectPeriodeDatumTijdVan],"&lt;="&amp;($A492+10/24),tData[SEHTrajectPeriodeDatumTijdTotEnMet],"&gt;"&amp;($A492+10/24))</f>
        <v/>
      </c>
      <c r="O492" s="20">
        <f>COUNTIFS(tData[SEHTrajectPeriodeDatumTijdVan],"&lt;="&amp;($A492+11/24),tData[SEHTrajectPeriodeDatumTijdTotEnMet],"&gt;"&amp;($A492+11/24))</f>
        <v/>
      </c>
      <c r="P492" s="20">
        <f>COUNTIFS(tData[SEHTrajectPeriodeDatumTijdVan],"&lt;="&amp;($A492+12/24),tData[SEHTrajectPeriodeDatumTijdTotEnMet],"&gt;"&amp;($A492+12/24))</f>
        <v/>
      </c>
      <c r="Q492" s="20">
        <f>COUNTIFS(tData[SEHTrajectPeriodeDatumTijdVan],"&lt;="&amp;($A492+13/24),tData[SEHTrajectPeriodeDatumTijdTotEnMet],"&gt;"&amp;($A492+13/24))</f>
        <v/>
      </c>
      <c r="R492" s="20">
        <f>COUNTIFS(tData[SEHTrajectPeriodeDatumTijdVan],"&lt;="&amp;($A492+14/24),tData[SEHTrajectPeriodeDatumTijdTotEnMet],"&gt;"&amp;($A492+14/24))</f>
        <v/>
      </c>
      <c r="S492" s="20">
        <f>COUNTIFS(tData[SEHTrajectPeriodeDatumTijdVan],"&lt;="&amp;($A492+15/24),tData[SEHTrajectPeriodeDatumTijdTotEnMet],"&gt;"&amp;($A492+15/24))</f>
        <v/>
      </c>
      <c r="T492" s="20">
        <f>COUNTIFS(tData[SEHTrajectPeriodeDatumTijdVan],"&lt;="&amp;($A492+16/24),tData[SEHTrajectPeriodeDatumTijdTotEnMet],"&gt;"&amp;($A492+16/24))</f>
        <v/>
      </c>
      <c r="U492" s="20">
        <f>COUNTIFS(tData[SEHTrajectPeriodeDatumTijdVan],"&lt;="&amp;($A492+17/24),tData[SEHTrajectPeriodeDatumTijdTotEnMet],"&gt;"&amp;($A492+17/24))</f>
        <v/>
      </c>
      <c r="V492" s="20">
        <f>COUNTIFS(tData[SEHTrajectPeriodeDatumTijdVan],"&lt;="&amp;($A492+18/24),tData[SEHTrajectPeriodeDatumTijdTotEnMet],"&gt;"&amp;($A492+18/24))</f>
        <v/>
      </c>
      <c r="W492" s="20">
        <f>COUNTIFS(tData[SEHTrajectPeriodeDatumTijdVan],"&lt;="&amp;($A492+19/24),tData[SEHTrajectPeriodeDatumTijdTotEnMet],"&gt;"&amp;($A492+19/24))</f>
        <v/>
      </c>
      <c r="X492" s="20">
        <f>COUNTIFS(tData[SEHTrajectPeriodeDatumTijdVan],"&lt;="&amp;($A492+20/24),tData[SEHTrajectPeriodeDatumTijdTotEnMet],"&gt;"&amp;($A492+20/24))</f>
        <v/>
      </c>
      <c r="Y492" s="20">
        <f>COUNTIFS(tData[SEHTrajectPeriodeDatumTijdVan],"&lt;="&amp;($A492+21/24),tData[SEHTrajectPeriodeDatumTijdTotEnMet],"&gt;"&amp;($A492+21/24))</f>
        <v/>
      </c>
      <c r="Z492" s="20">
        <f>COUNTIFS(tData[SEHTrajectPeriodeDatumTijdVan],"&lt;="&amp;($A492+22/24),tData[SEHTrajectPeriodeDatumTijdTotEnMet],"&gt;"&amp;($A492+22/24))</f>
        <v/>
      </c>
      <c r="AA492" s="20">
        <f>COUNTIFS(tData[SEHTrajectPeriodeDatumTijdVan],"&lt;="&amp;($A492+23/24),tData[SEHTrajectPeriodeDatumTijdTotEnMet],"&gt;"&amp;($A492+23/24))</f>
        <v/>
      </c>
    </row>
    <row r="493">
      <c r="A493" s="19" t="n">
        <v>45781</v>
      </c>
      <c r="B493" s="15">
        <f>WEEKDAY($A493,2)</f>
        <v/>
      </c>
      <c r="C493" s="15">
        <f>IF(AND($A493&gt;=INT(Instellingen!$B$5),$A493&lt;=INT(Instellingen!$B$6)),1,0)</f>
        <v/>
      </c>
      <c r="D493" s="20">
        <f>COUNTIFS(tData[SEHTrajectPeriodeDatumTijdVan],"&lt;="&amp;($A493+0/24),tData[SEHTrajectPeriodeDatumTijdTotEnMet],"&gt;"&amp;($A493+0/24))</f>
        <v/>
      </c>
      <c r="E493" s="20">
        <f>COUNTIFS(tData[SEHTrajectPeriodeDatumTijdVan],"&lt;="&amp;($A493+1/24),tData[SEHTrajectPeriodeDatumTijdTotEnMet],"&gt;"&amp;($A493+1/24))</f>
        <v/>
      </c>
      <c r="F493" s="20">
        <f>COUNTIFS(tData[SEHTrajectPeriodeDatumTijdVan],"&lt;="&amp;($A493+2/24),tData[SEHTrajectPeriodeDatumTijdTotEnMet],"&gt;"&amp;($A493+2/24))</f>
        <v/>
      </c>
      <c r="G493" s="20">
        <f>COUNTIFS(tData[SEHTrajectPeriodeDatumTijdVan],"&lt;="&amp;($A493+3/24),tData[SEHTrajectPeriodeDatumTijdTotEnMet],"&gt;"&amp;($A493+3/24))</f>
        <v/>
      </c>
      <c r="H493" s="20">
        <f>COUNTIFS(tData[SEHTrajectPeriodeDatumTijdVan],"&lt;="&amp;($A493+4/24),tData[SEHTrajectPeriodeDatumTijdTotEnMet],"&gt;"&amp;($A493+4/24))</f>
        <v/>
      </c>
      <c r="I493" s="20">
        <f>COUNTIFS(tData[SEHTrajectPeriodeDatumTijdVan],"&lt;="&amp;($A493+5/24),tData[SEHTrajectPeriodeDatumTijdTotEnMet],"&gt;"&amp;($A493+5/24))</f>
        <v/>
      </c>
      <c r="J493" s="20">
        <f>COUNTIFS(tData[SEHTrajectPeriodeDatumTijdVan],"&lt;="&amp;($A493+6/24),tData[SEHTrajectPeriodeDatumTijdTotEnMet],"&gt;"&amp;($A493+6/24))</f>
        <v/>
      </c>
      <c r="K493" s="20">
        <f>COUNTIFS(tData[SEHTrajectPeriodeDatumTijdVan],"&lt;="&amp;($A493+7/24),tData[SEHTrajectPeriodeDatumTijdTotEnMet],"&gt;"&amp;($A493+7/24))</f>
        <v/>
      </c>
      <c r="L493" s="20">
        <f>COUNTIFS(tData[SEHTrajectPeriodeDatumTijdVan],"&lt;="&amp;($A493+8/24),tData[SEHTrajectPeriodeDatumTijdTotEnMet],"&gt;"&amp;($A493+8/24))</f>
        <v/>
      </c>
      <c r="M493" s="20">
        <f>COUNTIFS(tData[SEHTrajectPeriodeDatumTijdVan],"&lt;="&amp;($A493+9/24),tData[SEHTrajectPeriodeDatumTijdTotEnMet],"&gt;"&amp;($A493+9/24))</f>
        <v/>
      </c>
      <c r="N493" s="20">
        <f>COUNTIFS(tData[SEHTrajectPeriodeDatumTijdVan],"&lt;="&amp;($A493+10/24),tData[SEHTrajectPeriodeDatumTijdTotEnMet],"&gt;"&amp;($A493+10/24))</f>
        <v/>
      </c>
      <c r="O493" s="20">
        <f>COUNTIFS(tData[SEHTrajectPeriodeDatumTijdVan],"&lt;="&amp;($A493+11/24),tData[SEHTrajectPeriodeDatumTijdTotEnMet],"&gt;"&amp;($A493+11/24))</f>
        <v/>
      </c>
      <c r="P493" s="20">
        <f>COUNTIFS(tData[SEHTrajectPeriodeDatumTijdVan],"&lt;="&amp;($A493+12/24),tData[SEHTrajectPeriodeDatumTijdTotEnMet],"&gt;"&amp;($A493+12/24))</f>
        <v/>
      </c>
      <c r="Q493" s="20">
        <f>COUNTIFS(tData[SEHTrajectPeriodeDatumTijdVan],"&lt;="&amp;($A493+13/24),tData[SEHTrajectPeriodeDatumTijdTotEnMet],"&gt;"&amp;($A493+13/24))</f>
        <v/>
      </c>
      <c r="R493" s="20">
        <f>COUNTIFS(tData[SEHTrajectPeriodeDatumTijdVan],"&lt;="&amp;($A493+14/24),tData[SEHTrajectPeriodeDatumTijdTotEnMet],"&gt;"&amp;($A493+14/24))</f>
        <v/>
      </c>
      <c r="S493" s="20">
        <f>COUNTIFS(tData[SEHTrajectPeriodeDatumTijdVan],"&lt;="&amp;($A493+15/24),tData[SEHTrajectPeriodeDatumTijdTotEnMet],"&gt;"&amp;($A493+15/24))</f>
        <v/>
      </c>
      <c r="T493" s="20">
        <f>COUNTIFS(tData[SEHTrajectPeriodeDatumTijdVan],"&lt;="&amp;($A493+16/24),tData[SEHTrajectPeriodeDatumTijdTotEnMet],"&gt;"&amp;($A493+16/24))</f>
        <v/>
      </c>
      <c r="U493" s="20">
        <f>COUNTIFS(tData[SEHTrajectPeriodeDatumTijdVan],"&lt;="&amp;($A493+17/24),tData[SEHTrajectPeriodeDatumTijdTotEnMet],"&gt;"&amp;($A493+17/24))</f>
        <v/>
      </c>
      <c r="V493" s="20">
        <f>COUNTIFS(tData[SEHTrajectPeriodeDatumTijdVan],"&lt;="&amp;($A493+18/24),tData[SEHTrajectPeriodeDatumTijdTotEnMet],"&gt;"&amp;($A493+18/24))</f>
        <v/>
      </c>
      <c r="W493" s="20">
        <f>COUNTIFS(tData[SEHTrajectPeriodeDatumTijdVan],"&lt;="&amp;($A493+19/24),tData[SEHTrajectPeriodeDatumTijdTotEnMet],"&gt;"&amp;($A493+19/24))</f>
        <v/>
      </c>
      <c r="X493" s="20">
        <f>COUNTIFS(tData[SEHTrajectPeriodeDatumTijdVan],"&lt;="&amp;($A493+20/24),tData[SEHTrajectPeriodeDatumTijdTotEnMet],"&gt;"&amp;($A493+20/24))</f>
        <v/>
      </c>
      <c r="Y493" s="20">
        <f>COUNTIFS(tData[SEHTrajectPeriodeDatumTijdVan],"&lt;="&amp;($A493+21/24),tData[SEHTrajectPeriodeDatumTijdTotEnMet],"&gt;"&amp;($A493+21/24))</f>
        <v/>
      </c>
      <c r="Z493" s="20">
        <f>COUNTIFS(tData[SEHTrajectPeriodeDatumTijdVan],"&lt;="&amp;($A493+22/24),tData[SEHTrajectPeriodeDatumTijdTotEnMet],"&gt;"&amp;($A493+22/24))</f>
        <v/>
      </c>
      <c r="AA493" s="20">
        <f>COUNTIFS(tData[SEHTrajectPeriodeDatumTijdVan],"&lt;="&amp;($A493+23/24),tData[SEHTrajectPeriodeDatumTijdTotEnMet],"&gt;"&amp;($A493+23/24))</f>
        <v/>
      </c>
    </row>
    <row r="494">
      <c r="A494" s="19" t="n">
        <v>45782</v>
      </c>
      <c r="B494" s="15">
        <f>WEEKDAY($A494,2)</f>
        <v/>
      </c>
      <c r="C494" s="15">
        <f>IF(AND($A494&gt;=INT(Instellingen!$B$5),$A494&lt;=INT(Instellingen!$B$6)),1,0)</f>
        <v/>
      </c>
      <c r="D494" s="20">
        <f>COUNTIFS(tData[SEHTrajectPeriodeDatumTijdVan],"&lt;="&amp;($A494+0/24),tData[SEHTrajectPeriodeDatumTijdTotEnMet],"&gt;"&amp;($A494+0/24))</f>
        <v/>
      </c>
      <c r="E494" s="20">
        <f>COUNTIFS(tData[SEHTrajectPeriodeDatumTijdVan],"&lt;="&amp;($A494+1/24),tData[SEHTrajectPeriodeDatumTijdTotEnMet],"&gt;"&amp;($A494+1/24))</f>
        <v/>
      </c>
      <c r="F494" s="20">
        <f>COUNTIFS(tData[SEHTrajectPeriodeDatumTijdVan],"&lt;="&amp;($A494+2/24),tData[SEHTrajectPeriodeDatumTijdTotEnMet],"&gt;"&amp;($A494+2/24))</f>
        <v/>
      </c>
      <c r="G494" s="20">
        <f>COUNTIFS(tData[SEHTrajectPeriodeDatumTijdVan],"&lt;="&amp;($A494+3/24),tData[SEHTrajectPeriodeDatumTijdTotEnMet],"&gt;"&amp;($A494+3/24))</f>
        <v/>
      </c>
      <c r="H494" s="20">
        <f>COUNTIFS(tData[SEHTrajectPeriodeDatumTijdVan],"&lt;="&amp;($A494+4/24),tData[SEHTrajectPeriodeDatumTijdTotEnMet],"&gt;"&amp;($A494+4/24))</f>
        <v/>
      </c>
      <c r="I494" s="20">
        <f>COUNTIFS(tData[SEHTrajectPeriodeDatumTijdVan],"&lt;="&amp;($A494+5/24),tData[SEHTrajectPeriodeDatumTijdTotEnMet],"&gt;"&amp;($A494+5/24))</f>
        <v/>
      </c>
      <c r="J494" s="20">
        <f>COUNTIFS(tData[SEHTrajectPeriodeDatumTijdVan],"&lt;="&amp;($A494+6/24),tData[SEHTrajectPeriodeDatumTijdTotEnMet],"&gt;"&amp;($A494+6/24))</f>
        <v/>
      </c>
      <c r="K494" s="20">
        <f>COUNTIFS(tData[SEHTrajectPeriodeDatumTijdVan],"&lt;="&amp;($A494+7/24),tData[SEHTrajectPeriodeDatumTijdTotEnMet],"&gt;"&amp;($A494+7/24))</f>
        <v/>
      </c>
      <c r="L494" s="20">
        <f>COUNTIFS(tData[SEHTrajectPeriodeDatumTijdVan],"&lt;="&amp;($A494+8/24),tData[SEHTrajectPeriodeDatumTijdTotEnMet],"&gt;"&amp;($A494+8/24))</f>
        <v/>
      </c>
      <c r="M494" s="20">
        <f>COUNTIFS(tData[SEHTrajectPeriodeDatumTijdVan],"&lt;="&amp;($A494+9/24),tData[SEHTrajectPeriodeDatumTijdTotEnMet],"&gt;"&amp;($A494+9/24))</f>
        <v/>
      </c>
      <c r="N494" s="20">
        <f>COUNTIFS(tData[SEHTrajectPeriodeDatumTijdVan],"&lt;="&amp;($A494+10/24),tData[SEHTrajectPeriodeDatumTijdTotEnMet],"&gt;"&amp;($A494+10/24))</f>
        <v/>
      </c>
      <c r="O494" s="20">
        <f>COUNTIFS(tData[SEHTrajectPeriodeDatumTijdVan],"&lt;="&amp;($A494+11/24),tData[SEHTrajectPeriodeDatumTijdTotEnMet],"&gt;"&amp;($A494+11/24))</f>
        <v/>
      </c>
      <c r="P494" s="20">
        <f>COUNTIFS(tData[SEHTrajectPeriodeDatumTijdVan],"&lt;="&amp;($A494+12/24),tData[SEHTrajectPeriodeDatumTijdTotEnMet],"&gt;"&amp;($A494+12/24))</f>
        <v/>
      </c>
      <c r="Q494" s="20">
        <f>COUNTIFS(tData[SEHTrajectPeriodeDatumTijdVan],"&lt;="&amp;($A494+13/24),tData[SEHTrajectPeriodeDatumTijdTotEnMet],"&gt;"&amp;($A494+13/24))</f>
        <v/>
      </c>
      <c r="R494" s="20">
        <f>COUNTIFS(tData[SEHTrajectPeriodeDatumTijdVan],"&lt;="&amp;($A494+14/24),tData[SEHTrajectPeriodeDatumTijdTotEnMet],"&gt;"&amp;($A494+14/24))</f>
        <v/>
      </c>
      <c r="S494" s="20">
        <f>COUNTIFS(tData[SEHTrajectPeriodeDatumTijdVan],"&lt;="&amp;($A494+15/24),tData[SEHTrajectPeriodeDatumTijdTotEnMet],"&gt;"&amp;($A494+15/24))</f>
        <v/>
      </c>
      <c r="T494" s="20">
        <f>COUNTIFS(tData[SEHTrajectPeriodeDatumTijdVan],"&lt;="&amp;($A494+16/24),tData[SEHTrajectPeriodeDatumTijdTotEnMet],"&gt;"&amp;($A494+16/24))</f>
        <v/>
      </c>
      <c r="U494" s="20">
        <f>COUNTIFS(tData[SEHTrajectPeriodeDatumTijdVan],"&lt;="&amp;($A494+17/24),tData[SEHTrajectPeriodeDatumTijdTotEnMet],"&gt;"&amp;($A494+17/24))</f>
        <v/>
      </c>
      <c r="V494" s="20">
        <f>COUNTIFS(tData[SEHTrajectPeriodeDatumTijdVan],"&lt;="&amp;($A494+18/24),tData[SEHTrajectPeriodeDatumTijdTotEnMet],"&gt;"&amp;($A494+18/24))</f>
        <v/>
      </c>
      <c r="W494" s="20">
        <f>COUNTIFS(tData[SEHTrajectPeriodeDatumTijdVan],"&lt;="&amp;($A494+19/24),tData[SEHTrajectPeriodeDatumTijdTotEnMet],"&gt;"&amp;($A494+19/24))</f>
        <v/>
      </c>
      <c r="X494" s="20">
        <f>COUNTIFS(tData[SEHTrajectPeriodeDatumTijdVan],"&lt;="&amp;($A494+20/24),tData[SEHTrajectPeriodeDatumTijdTotEnMet],"&gt;"&amp;($A494+20/24))</f>
        <v/>
      </c>
      <c r="Y494" s="20">
        <f>COUNTIFS(tData[SEHTrajectPeriodeDatumTijdVan],"&lt;="&amp;($A494+21/24),tData[SEHTrajectPeriodeDatumTijdTotEnMet],"&gt;"&amp;($A494+21/24))</f>
        <v/>
      </c>
      <c r="Z494" s="20">
        <f>COUNTIFS(tData[SEHTrajectPeriodeDatumTijdVan],"&lt;="&amp;($A494+22/24),tData[SEHTrajectPeriodeDatumTijdTotEnMet],"&gt;"&amp;($A494+22/24))</f>
        <v/>
      </c>
      <c r="AA494" s="20">
        <f>COUNTIFS(tData[SEHTrajectPeriodeDatumTijdVan],"&lt;="&amp;($A494+23/24),tData[SEHTrajectPeriodeDatumTijdTotEnMet],"&gt;"&amp;($A494+23/24))</f>
        <v/>
      </c>
    </row>
    <row r="495">
      <c r="A495" s="19" t="n">
        <v>45783</v>
      </c>
      <c r="B495" s="15">
        <f>WEEKDAY($A495,2)</f>
        <v/>
      </c>
      <c r="C495" s="15">
        <f>IF(AND($A495&gt;=INT(Instellingen!$B$5),$A495&lt;=INT(Instellingen!$B$6)),1,0)</f>
        <v/>
      </c>
      <c r="D495" s="20">
        <f>COUNTIFS(tData[SEHTrajectPeriodeDatumTijdVan],"&lt;="&amp;($A495+0/24),tData[SEHTrajectPeriodeDatumTijdTotEnMet],"&gt;"&amp;($A495+0/24))</f>
        <v/>
      </c>
      <c r="E495" s="20">
        <f>COUNTIFS(tData[SEHTrajectPeriodeDatumTijdVan],"&lt;="&amp;($A495+1/24),tData[SEHTrajectPeriodeDatumTijdTotEnMet],"&gt;"&amp;($A495+1/24))</f>
        <v/>
      </c>
      <c r="F495" s="20">
        <f>COUNTIFS(tData[SEHTrajectPeriodeDatumTijdVan],"&lt;="&amp;($A495+2/24),tData[SEHTrajectPeriodeDatumTijdTotEnMet],"&gt;"&amp;($A495+2/24))</f>
        <v/>
      </c>
      <c r="G495" s="20">
        <f>COUNTIFS(tData[SEHTrajectPeriodeDatumTijdVan],"&lt;="&amp;($A495+3/24),tData[SEHTrajectPeriodeDatumTijdTotEnMet],"&gt;"&amp;($A495+3/24))</f>
        <v/>
      </c>
      <c r="H495" s="20">
        <f>COUNTIFS(tData[SEHTrajectPeriodeDatumTijdVan],"&lt;="&amp;($A495+4/24),tData[SEHTrajectPeriodeDatumTijdTotEnMet],"&gt;"&amp;($A495+4/24))</f>
        <v/>
      </c>
      <c r="I495" s="20">
        <f>COUNTIFS(tData[SEHTrajectPeriodeDatumTijdVan],"&lt;="&amp;($A495+5/24),tData[SEHTrajectPeriodeDatumTijdTotEnMet],"&gt;"&amp;($A495+5/24))</f>
        <v/>
      </c>
      <c r="J495" s="20">
        <f>COUNTIFS(tData[SEHTrajectPeriodeDatumTijdVan],"&lt;="&amp;($A495+6/24),tData[SEHTrajectPeriodeDatumTijdTotEnMet],"&gt;"&amp;($A495+6/24))</f>
        <v/>
      </c>
      <c r="K495" s="20">
        <f>COUNTIFS(tData[SEHTrajectPeriodeDatumTijdVan],"&lt;="&amp;($A495+7/24),tData[SEHTrajectPeriodeDatumTijdTotEnMet],"&gt;"&amp;($A495+7/24))</f>
        <v/>
      </c>
      <c r="L495" s="20">
        <f>COUNTIFS(tData[SEHTrajectPeriodeDatumTijdVan],"&lt;="&amp;($A495+8/24),tData[SEHTrajectPeriodeDatumTijdTotEnMet],"&gt;"&amp;($A495+8/24))</f>
        <v/>
      </c>
      <c r="M495" s="20">
        <f>COUNTIFS(tData[SEHTrajectPeriodeDatumTijdVan],"&lt;="&amp;($A495+9/24),tData[SEHTrajectPeriodeDatumTijdTotEnMet],"&gt;"&amp;($A495+9/24))</f>
        <v/>
      </c>
      <c r="N495" s="20">
        <f>COUNTIFS(tData[SEHTrajectPeriodeDatumTijdVan],"&lt;="&amp;($A495+10/24),tData[SEHTrajectPeriodeDatumTijdTotEnMet],"&gt;"&amp;($A495+10/24))</f>
        <v/>
      </c>
      <c r="O495" s="20">
        <f>COUNTIFS(tData[SEHTrajectPeriodeDatumTijdVan],"&lt;="&amp;($A495+11/24),tData[SEHTrajectPeriodeDatumTijdTotEnMet],"&gt;"&amp;($A495+11/24))</f>
        <v/>
      </c>
      <c r="P495" s="20">
        <f>COUNTIFS(tData[SEHTrajectPeriodeDatumTijdVan],"&lt;="&amp;($A495+12/24),tData[SEHTrajectPeriodeDatumTijdTotEnMet],"&gt;"&amp;($A495+12/24))</f>
        <v/>
      </c>
      <c r="Q495" s="20">
        <f>COUNTIFS(tData[SEHTrajectPeriodeDatumTijdVan],"&lt;="&amp;($A495+13/24),tData[SEHTrajectPeriodeDatumTijdTotEnMet],"&gt;"&amp;($A495+13/24))</f>
        <v/>
      </c>
      <c r="R495" s="20">
        <f>COUNTIFS(tData[SEHTrajectPeriodeDatumTijdVan],"&lt;="&amp;($A495+14/24),tData[SEHTrajectPeriodeDatumTijdTotEnMet],"&gt;"&amp;($A495+14/24))</f>
        <v/>
      </c>
      <c r="S495" s="20">
        <f>COUNTIFS(tData[SEHTrajectPeriodeDatumTijdVan],"&lt;="&amp;($A495+15/24),tData[SEHTrajectPeriodeDatumTijdTotEnMet],"&gt;"&amp;($A495+15/24))</f>
        <v/>
      </c>
      <c r="T495" s="20">
        <f>COUNTIFS(tData[SEHTrajectPeriodeDatumTijdVan],"&lt;="&amp;($A495+16/24),tData[SEHTrajectPeriodeDatumTijdTotEnMet],"&gt;"&amp;($A495+16/24))</f>
        <v/>
      </c>
      <c r="U495" s="20">
        <f>COUNTIFS(tData[SEHTrajectPeriodeDatumTijdVan],"&lt;="&amp;($A495+17/24),tData[SEHTrajectPeriodeDatumTijdTotEnMet],"&gt;"&amp;($A495+17/24))</f>
        <v/>
      </c>
      <c r="V495" s="20">
        <f>COUNTIFS(tData[SEHTrajectPeriodeDatumTijdVan],"&lt;="&amp;($A495+18/24),tData[SEHTrajectPeriodeDatumTijdTotEnMet],"&gt;"&amp;($A495+18/24))</f>
        <v/>
      </c>
      <c r="W495" s="20">
        <f>COUNTIFS(tData[SEHTrajectPeriodeDatumTijdVan],"&lt;="&amp;($A495+19/24),tData[SEHTrajectPeriodeDatumTijdTotEnMet],"&gt;"&amp;($A495+19/24))</f>
        <v/>
      </c>
      <c r="X495" s="20">
        <f>COUNTIFS(tData[SEHTrajectPeriodeDatumTijdVan],"&lt;="&amp;($A495+20/24),tData[SEHTrajectPeriodeDatumTijdTotEnMet],"&gt;"&amp;($A495+20/24))</f>
        <v/>
      </c>
      <c r="Y495" s="20">
        <f>COUNTIFS(tData[SEHTrajectPeriodeDatumTijdVan],"&lt;="&amp;($A495+21/24),tData[SEHTrajectPeriodeDatumTijdTotEnMet],"&gt;"&amp;($A495+21/24))</f>
        <v/>
      </c>
      <c r="Z495" s="20">
        <f>COUNTIFS(tData[SEHTrajectPeriodeDatumTijdVan],"&lt;="&amp;($A495+22/24),tData[SEHTrajectPeriodeDatumTijdTotEnMet],"&gt;"&amp;($A495+22/24))</f>
        <v/>
      </c>
      <c r="AA495" s="20">
        <f>COUNTIFS(tData[SEHTrajectPeriodeDatumTijdVan],"&lt;="&amp;($A495+23/24),tData[SEHTrajectPeriodeDatumTijdTotEnMet],"&gt;"&amp;($A495+23/24))</f>
        <v/>
      </c>
    </row>
    <row r="496">
      <c r="A496" s="19" t="n">
        <v>45784</v>
      </c>
      <c r="B496" s="15">
        <f>WEEKDAY($A496,2)</f>
        <v/>
      </c>
      <c r="C496" s="15">
        <f>IF(AND($A496&gt;=INT(Instellingen!$B$5),$A496&lt;=INT(Instellingen!$B$6)),1,0)</f>
        <v/>
      </c>
      <c r="D496" s="20">
        <f>COUNTIFS(tData[SEHTrajectPeriodeDatumTijdVan],"&lt;="&amp;($A496+0/24),tData[SEHTrajectPeriodeDatumTijdTotEnMet],"&gt;"&amp;($A496+0/24))</f>
        <v/>
      </c>
      <c r="E496" s="20">
        <f>COUNTIFS(tData[SEHTrajectPeriodeDatumTijdVan],"&lt;="&amp;($A496+1/24),tData[SEHTrajectPeriodeDatumTijdTotEnMet],"&gt;"&amp;($A496+1/24))</f>
        <v/>
      </c>
      <c r="F496" s="20">
        <f>COUNTIFS(tData[SEHTrajectPeriodeDatumTijdVan],"&lt;="&amp;($A496+2/24),tData[SEHTrajectPeriodeDatumTijdTotEnMet],"&gt;"&amp;($A496+2/24))</f>
        <v/>
      </c>
      <c r="G496" s="20">
        <f>COUNTIFS(tData[SEHTrajectPeriodeDatumTijdVan],"&lt;="&amp;($A496+3/24),tData[SEHTrajectPeriodeDatumTijdTotEnMet],"&gt;"&amp;($A496+3/24))</f>
        <v/>
      </c>
      <c r="H496" s="20">
        <f>COUNTIFS(tData[SEHTrajectPeriodeDatumTijdVan],"&lt;="&amp;($A496+4/24),tData[SEHTrajectPeriodeDatumTijdTotEnMet],"&gt;"&amp;($A496+4/24))</f>
        <v/>
      </c>
      <c r="I496" s="20">
        <f>COUNTIFS(tData[SEHTrajectPeriodeDatumTijdVan],"&lt;="&amp;($A496+5/24),tData[SEHTrajectPeriodeDatumTijdTotEnMet],"&gt;"&amp;($A496+5/24))</f>
        <v/>
      </c>
      <c r="J496" s="20">
        <f>COUNTIFS(tData[SEHTrajectPeriodeDatumTijdVan],"&lt;="&amp;($A496+6/24),tData[SEHTrajectPeriodeDatumTijdTotEnMet],"&gt;"&amp;($A496+6/24))</f>
        <v/>
      </c>
      <c r="K496" s="20">
        <f>COUNTIFS(tData[SEHTrajectPeriodeDatumTijdVan],"&lt;="&amp;($A496+7/24),tData[SEHTrajectPeriodeDatumTijdTotEnMet],"&gt;"&amp;($A496+7/24))</f>
        <v/>
      </c>
      <c r="L496" s="20">
        <f>COUNTIFS(tData[SEHTrajectPeriodeDatumTijdVan],"&lt;="&amp;($A496+8/24),tData[SEHTrajectPeriodeDatumTijdTotEnMet],"&gt;"&amp;($A496+8/24))</f>
        <v/>
      </c>
      <c r="M496" s="20">
        <f>COUNTIFS(tData[SEHTrajectPeriodeDatumTijdVan],"&lt;="&amp;($A496+9/24),tData[SEHTrajectPeriodeDatumTijdTotEnMet],"&gt;"&amp;($A496+9/24))</f>
        <v/>
      </c>
      <c r="N496" s="20">
        <f>COUNTIFS(tData[SEHTrajectPeriodeDatumTijdVan],"&lt;="&amp;($A496+10/24),tData[SEHTrajectPeriodeDatumTijdTotEnMet],"&gt;"&amp;($A496+10/24))</f>
        <v/>
      </c>
      <c r="O496" s="20">
        <f>COUNTIFS(tData[SEHTrajectPeriodeDatumTijdVan],"&lt;="&amp;($A496+11/24),tData[SEHTrajectPeriodeDatumTijdTotEnMet],"&gt;"&amp;($A496+11/24))</f>
        <v/>
      </c>
      <c r="P496" s="20">
        <f>COUNTIFS(tData[SEHTrajectPeriodeDatumTijdVan],"&lt;="&amp;($A496+12/24),tData[SEHTrajectPeriodeDatumTijdTotEnMet],"&gt;"&amp;($A496+12/24))</f>
        <v/>
      </c>
      <c r="Q496" s="20">
        <f>COUNTIFS(tData[SEHTrajectPeriodeDatumTijdVan],"&lt;="&amp;($A496+13/24),tData[SEHTrajectPeriodeDatumTijdTotEnMet],"&gt;"&amp;($A496+13/24))</f>
        <v/>
      </c>
      <c r="R496" s="20">
        <f>COUNTIFS(tData[SEHTrajectPeriodeDatumTijdVan],"&lt;="&amp;($A496+14/24),tData[SEHTrajectPeriodeDatumTijdTotEnMet],"&gt;"&amp;($A496+14/24))</f>
        <v/>
      </c>
      <c r="S496" s="20">
        <f>COUNTIFS(tData[SEHTrajectPeriodeDatumTijdVan],"&lt;="&amp;($A496+15/24),tData[SEHTrajectPeriodeDatumTijdTotEnMet],"&gt;"&amp;($A496+15/24))</f>
        <v/>
      </c>
      <c r="T496" s="20">
        <f>COUNTIFS(tData[SEHTrajectPeriodeDatumTijdVan],"&lt;="&amp;($A496+16/24),tData[SEHTrajectPeriodeDatumTijdTotEnMet],"&gt;"&amp;($A496+16/24))</f>
        <v/>
      </c>
      <c r="U496" s="20">
        <f>COUNTIFS(tData[SEHTrajectPeriodeDatumTijdVan],"&lt;="&amp;($A496+17/24),tData[SEHTrajectPeriodeDatumTijdTotEnMet],"&gt;"&amp;($A496+17/24))</f>
        <v/>
      </c>
      <c r="V496" s="20">
        <f>COUNTIFS(tData[SEHTrajectPeriodeDatumTijdVan],"&lt;="&amp;($A496+18/24),tData[SEHTrajectPeriodeDatumTijdTotEnMet],"&gt;"&amp;($A496+18/24))</f>
        <v/>
      </c>
      <c r="W496" s="20">
        <f>COUNTIFS(tData[SEHTrajectPeriodeDatumTijdVan],"&lt;="&amp;($A496+19/24),tData[SEHTrajectPeriodeDatumTijdTotEnMet],"&gt;"&amp;($A496+19/24))</f>
        <v/>
      </c>
      <c r="X496" s="20">
        <f>COUNTIFS(tData[SEHTrajectPeriodeDatumTijdVan],"&lt;="&amp;($A496+20/24),tData[SEHTrajectPeriodeDatumTijdTotEnMet],"&gt;"&amp;($A496+20/24))</f>
        <v/>
      </c>
      <c r="Y496" s="20">
        <f>COUNTIFS(tData[SEHTrajectPeriodeDatumTijdVan],"&lt;="&amp;($A496+21/24),tData[SEHTrajectPeriodeDatumTijdTotEnMet],"&gt;"&amp;($A496+21/24))</f>
        <v/>
      </c>
      <c r="Z496" s="20">
        <f>COUNTIFS(tData[SEHTrajectPeriodeDatumTijdVan],"&lt;="&amp;($A496+22/24),tData[SEHTrajectPeriodeDatumTijdTotEnMet],"&gt;"&amp;($A496+22/24))</f>
        <v/>
      </c>
      <c r="AA496" s="20">
        <f>COUNTIFS(tData[SEHTrajectPeriodeDatumTijdVan],"&lt;="&amp;($A496+23/24),tData[SEHTrajectPeriodeDatumTijdTotEnMet],"&gt;"&amp;($A496+23/24))</f>
        <v/>
      </c>
    </row>
    <row r="497">
      <c r="A497" s="19" t="n">
        <v>45785</v>
      </c>
      <c r="B497" s="15">
        <f>WEEKDAY($A497,2)</f>
        <v/>
      </c>
      <c r="C497" s="15">
        <f>IF(AND($A497&gt;=INT(Instellingen!$B$5),$A497&lt;=INT(Instellingen!$B$6)),1,0)</f>
        <v/>
      </c>
      <c r="D497" s="20">
        <f>COUNTIFS(tData[SEHTrajectPeriodeDatumTijdVan],"&lt;="&amp;($A497+0/24),tData[SEHTrajectPeriodeDatumTijdTotEnMet],"&gt;"&amp;($A497+0/24))</f>
        <v/>
      </c>
      <c r="E497" s="20">
        <f>COUNTIFS(tData[SEHTrajectPeriodeDatumTijdVan],"&lt;="&amp;($A497+1/24),tData[SEHTrajectPeriodeDatumTijdTotEnMet],"&gt;"&amp;($A497+1/24))</f>
        <v/>
      </c>
      <c r="F497" s="20">
        <f>COUNTIFS(tData[SEHTrajectPeriodeDatumTijdVan],"&lt;="&amp;($A497+2/24),tData[SEHTrajectPeriodeDatumTijdTotEnMet],"&gt;"&amp;($A497+2/24))</f>
        <v/>
      </c>
      <c r="G497" s="20">
        <f>COUNTIFS(tData[SEHTrajectPeriodeDatumTijdVan],"&lt;="&amp;($A497+3/24),tData[SEHTrajectPeriodeDatumTijdTotEnMet],"&gt;"&amp;($A497+3/24))</f>
        <v/>
      </c>
      <c r="H497" s="20">
        <f>COUNTIFS(tData[SEHTrajectPeriodeDatumTijdVan],"&lt;="&amp;($A497+4/24),tData[SEHTrajectPeriodeDatumTijdTotEnMet],"&gt;"&amp;($A497+4/24))</f>
        <v/>
      </c>
      <c r="I497" s="20">
        <f>COUNTIFS(tData[SEHTrajectPeriodeDatumTijdVan],"&lt;="&amp;($A497+5/24),tData[SEHTrajectPeriodeDatumTijdTotEnMet],"&gt;"&amp;($A497+5/24))</f>
        <v/>
      </c>
      <c r="J497" s="20">
        <f>COUNTIFS(tData[SEHTrajectPeriodeDatumTijdVan],"&lt;="&amp;($A497+6/24),tData[SEHTrajectPeriodeDatumTijdTotEnMet],"&gt;"&amp;($A497+6/24))</f>
        <v/>
      </c>
      <c r="K497" s="20">
        <f>COUNTIFS(tData[SEHTrajectPeriodeDatumTijdVan],"&lt;="&amp;($A497+7/24),tData[SEHTrajectPeriodeDatumTijdTotEnMet],"&gt;"&amp;($A497+7/24))</f>
        <v/>
      </c>
      <c r="L497" s="20">
        <f>COUNTIFS(tData[SEHTrajectPeriodeDatumTijdVan],"&lt;="&amp;($A497+8/24),tData[SEHTrajectPeriodeDatumTijdTotEnMet],"&gt;"&amp;($A497+8/24))</f>
        <v/>
      </c>
      <c r="M497" s="20">
        <f>COUNTIFS(tData[SEHTrajectPeriodeDatumTijdVan],"&lt;="&amp;($A497+9/24),tData[SEHTrajectPeriodeDatumTijdTotEnMet],"&gt;"&amp;($A497+9/24))</f>
        <v/>
      </c>
      <c r="N497" s="20">
        <f>COUNTIFS(tData[SEHTrajectPeriodeDatumTijdVan],"&lt;="&amp;($A497+10/24),tData[SEHTrajectPeriodeDatumTijdTotEnMet],"&gt;"&amp;($A497+10/24))</f>
        <v/>
      </c>
      <c r="O497" s="20">
        <f>COUNTIFS(tData[SEHTrajectPeriodeDatumTijdVan],"&lt;="&amp;($A497+11/24),tData[SEHTrajectPeriodeDatumTijdTotEnMet],"&gt;"&amp;($A497+11/24))</f>
        <v/>
      </c>
      <c r="P497" s="20">
        <f>COUNTIFS(tData[SEHTrajectPeriodeDatumTijdVan],"&lt;="&amp;($A497+12/24),tData[SEHTrajectPeriodeDatumTijdTotEnMet],"&gt;"&amp;($A497+12/24))</f>
        <v/>
      </c>
      <c r="Q497" s="20">
        <f>COUNTIFS(tData[SEHTrajectPeriodeDatumTijdVan],"&lt;="&amp;($A497+13/24),tData[SEHTrajectPeriodeDatumTijdTotEnMet],"&gt;"&amp;($A497+13/24))</f>
        <v/>
      </c>
      <c r="R497" s="20">
        <f>COUNTIFS(tData[SEHTrajectPeriodeDatumTijdVan],"&lt;="&amp;($A497+14/24),tData[SEHTrajectPeriodeDatumTijdTotEnMet],"&gt;"&amp;($A497+14/24))</f>
        <v/>
      </c>
      <c r="S497" s="20">
        <f>COUNTIFS(tData[SEHTrajectPeriodeDatumTijdVan],"&lt;="&amp;($A497+15/24),tData[SEHTrajectPeriodeDatumTijdTotEnMet],"&gt;"&amp;($A497+15/24))</f>
        <v/>
      </c>
      <c r="T497" s="20">
        <f>COUNTIFS(tData[SEHTrajectPeriodeDatumTijdVan],"&lt;="&amp;($A497+16/24),tData[SEHTrajectPeriodeDatumTijdTotEnMet],"&gt;"&amp;($A497+16/24))</f>
        <v/>
      </c>
      <c r="U497" s="20">
        <f>COUNTIFS(tData[SEHTrajectPeriodeDatumTijdVan],"&lt;="&amp;($A497+17/24),tData[SEHTrajectPeriodeDatumTijdTotEnMet],"&gt;"&amp;($A497+17/24))</f>
        <v/>
      </c>
      <c r="V497" s="20">
        <f>COUNTIFS(tData[SEHTrajectPeriodeDatumTijdVan],"&lt;="&amp;($A497+18/24),tData[SEHTrajectPeriodeDatumTijdTotEnMet],"&gt;"&amp;($A497+18/24))</f>
        <v/>
      </c>
      <c r="W497" s="20">
        <f>COUNTIFS(tData[SEHTrajectPeriodeDatumTijdVan],"&lt;="&amp;($A497+19/24),tData[SEHTrajectPeriodeDatumTijdTotEnMet],"&gt;"&amp;($A497+19/24))</f>
        <v/>
      </c>
      <c r="X497" s="20">
        <f>COUNTIFS(tData[SEHTrajectPeriodeDatumTijdVan],"&lt;="&amp;($A497+20/24),tData[SEHTrajectPeriodeDatumTijdTotEnMet],"&gt;"&amp;($A497+20/24))</f>
        <v/>
      </c>
      <c r="Y497" s="20">
        <f>COUNTIFS(tData[SEHTrajectPeriodeDatumTijdVan],"&lt;="&amp;($A497+21/24),tData[SEHTrajectPeriodeDatumTijdTotEnMet],"&gt;"&amp;($A497+21/24))</f>
        <v/>
      </c>
      <c r="Z497" s="20">
        <f>COUNTIFS(tData[SEHTrajectPeriodeDatumTijdVan],"&lt;="&amp;($A497+22/24),tData[SEHTrajectPeriodeDatumTijdTotEnMet],"&gt;"&amp;($A497+22/24))</f>
        <v/>
      </c>
      <c r="AA497" s="20">
        <f>COUNTIFS(tData[SEHTrajectPeriodeDatumTijdVan],"&lt;="&amp;($A497+23/24),tData[SEHTrajectPeriodeDatumTijdTotEnMet],"&gt;"&amp;($A497+23/24))</f>
        <v/>
      </c>
    </row>
    <row r="498">
      <c r="A498" s="19" t="n">
        <v>45786</v>
      </c>
      <c r="B498" s="15">
        <f>WEEKDAY($A498,2)</f>
        <v/>
      </c>
      <c r="C498" s="15">
        <f>IF(AND($A498&gt;=INT(Instellingen!$B$5),$A498&lt;=INT(Instellingen!$B$6)),1,0)</f>
        <v/>
      </c>
      <c r="D498" s="20">
        <f>COUNTIFS(tData[SEHTrajectPeriodeDatumTijdVan],"&lt;="&amp;($A498+0/24),tData[SEHTrajectPeriodeDatumTijdTotEnMet],"&gt;"&amp;($A498+0/24))</f>
        <v/>
      </c>
      <c r="E498" s="20">
        <f>COUNTIFS(tData[SEHTrajectPeriodeDatumTijdVan],"&lt;="&amp;($A498+1/24),tData[SEHTrajectPeriodeDatumTijdTotEnMet],"&gt;"&amp;($A498+1/24))</f>
        <v/>
      </c>
      <c r="F498" s="20">
        <f>COUNTIFS(tData[SEHTrajectPeriodeDatumTijdVan],"&lt;="&amp;($A498+2/24),tData[SEHTrajectPeriodeDatumTijdTotEnMet],"&gt;"&amp;($A498+2/24))</f>
        <v/>
      </c>
      <c r="G498" s="20">
        <f>COUNTIFS(tData[SEHTrajectPeriodeDatumTijdVan],"&lt;="&amp;($A498+3/24),tData[SEHTrajectPeriodeDatumTijdTotEnMet],"&gt;"&amp;($A498+3/24))</f>
        <v/>
      </c>
      <c r="H498" s="20">
        <f>COUNTIFS(tData[SEHTrajectPeriodeDatumTijdVan],"&lt;="&amp;($A498+4/24),tData[SEHTrajectPeriodeDatumTijdTotEnMet],"&gt;"&amp;($A498+4/24))</f>
        <v/>
      </c>
      <c r="I498" s="20">
        <f>COUNTIFS(tData[SEHTrajectPeriodeDatumTijdVan],"&lt;="&amp;($A498+5/24),tData[SEHTrajectPeriodeDatumTijdTotEnMet],"&gt;"&amp;($A498+5/24))</f>
        <v/>
      </c>
      <c r="J498" s="20">
        <f>COUNTIFS(tData[SEHTrajectPeriodeDatumTijdVan],"&lt;="&amp;($A498+6/24),tData[SEHTrajectPeriodeDatumTijdTotEnMet],"&gt;"&amp;($A498+6/24))</f>
        <v/>
      </c>
      <c r="K498" s="20">
        <f>COUNTIFS(tData[SEHTrajectPeriodeDatumTijdVan],"&lt;="&amp;($A498+7/24),tData[SEHTrajectPeriodeDatumTijdTotEnMet],"&gt;"&amp;($A498+7/24))</f>
        <v/>
      </c>
      <c r="L498" s="20">
        <f>COUNTIFS(tData[SEHTrajectPeriodeDatumTijdVan],"&lt;="&amp;($A498+8/24),tData[SEHTrajectPeriodeDatumTijdTotEnMet],"&gt;"&amp;($A498+8/24))</f>
        <v/>
      </c>
      <c r="M498" s="20">
        <f>COUNTIFS(tData[SEHTrajectPeriodeDatumTijdVan],"&lt;="&amp;($A498+9/24),tData[SEHTrajectPeriodeDatumTijdTotEnMet],"&gt;"&amp;($A498+9/24))</f>
        <v/>
      </c>
      <c r="N498" s="20">
        <f>COUNTIFS(tData[SEHTrajectPeriodeDatumTijdVan],"&lt;="&amp;($A498+10/24),tData[SEHTrajectPeriodeDatumTijdTotEnMet],"&gt;"&amp;($A498+10/24))</f>
        <v/>
      </c>
      <c r="O498" s="20">
        <f>COUNTIFS(tData[SEHTrajectPeriodeDatumTijdVan],"&lt;="&amp;($A498+11/24),tData[SEHTrajectPeriodeDatumTijdTotEnMet],"&gt;"&amp;($A498+11/24))</f>
        <v/>
      </c>
      <c r="P498" s="20">
        <f>COUNTIFS(tData[SEHTrajectPeriodeDatumTijdVan],"&lt;="&amp;($A498+12/24),tData[SEHTrajectPeriodeDatumTijdTotEnMet],"&gt;"&amp;($A498+12/24))</f>
        <v/>
      </c>
      <c r="Q498" s="20">
        <f>COUNTIFS(tData[SEHTrajectPeriodeDatumTijdVan],"&lt;="&amp;($A498+13/24),tData[SEHTrajectPeriodeDatumTijdTotEnMet],"&gt;"&amp;($A498+13/24))</f>
        <v/>
      </c>
      <c r="R498" s="20">
        <f>COUNTIFS(tData[SEHTrajectPeriodeDatumTijdVan],"&lt;="&amp;($A498+14/24),tData[SEHTrajectPeriodeDatumTijdTotEnMet],"&gt;"&amp;($A498+14/24))</f>
        <v/>
      </c>
      <c r="S498" s="20">
        <f>COUNTIFS(tData[SEHTrajectPeriodeDatumTijdVan],"&lt;="&amp;($A498+15/24),tData[SEHTrajectPeriodeDatumTijdTotEnMet],"&gt;"&amp;($A498+15/24))</f>
        <v/>
      </c>
      <c r="T498" s="20">
        <f>COUNTIFS(tData[SEHTrajectPeriodeDatumTijdVan],"&lt;="&amp;($A498+16/24),tData[SEHTrajectPeriodeDatumTijdTotEnMet],"&gt;"&amp;($A498+16/24))</f>
        <v/>
      </c>
      <c r="U498" s="20">
        <f>COUNTIFS(tData[SEHTrajectPeriodeDatumTijdVan],"&lt;="&amp;($A498+17/24),tData[SEHTrajectPeriodeDatumTijdTotEnMet],"&gt;"&amp;($A498+17/24))</f>
        <v/>
      </c>
      <c r="V498" s="20">
        <f>COUNTIFS(tData[SEHTrajectPeriodeDatumTijdVan],"&lt;="&amp;($A498+18/24),tData[SEHTrajectPeriodeDatumTijdTotEnMet],"&gt;"&amp;($A498+18/24))</f>
        <v/>
      </c>
      <c r="W498" s="20">
        <f>COUNTIFS(tData[SEHTrajectPeriodeDatumTijdVan],"&lt;="&amp;($A498+19/24),tData[SEHTrajectPeriodeDatumTijdTotEnMet],"&gt;"&amp;($A498+19/24))</f>
        <v/>
      </c>
      <c r="X498" s="20">
        <f>COUNTIFS(tData[SEHTrajectPeriodeDatumTijdVan],"&lt;="&amp;($A498+20/24),tData[SEHTrajectPeriodeDatumTijdTotEnMet],"&gt;"&amp;($A498+20/24))</f>
        <v/>
      </c>
      <c r="Y498" s="20">
        <f>COUNTIFS(tData[SEHTrajectPeriodeDatumTijdVan],"&lt;="&amp;($A498+21/24),tData[SEHTrajectPeriodeDatumTijdTotEnMet],"&gt;"&amp;($A498+21/24))</f>
        <v/>
      </c>
      <c r="Z498" s="20">
        <f>COUNTIFS(tData[SEHTrajectPeriodeDatumTijdVan],"&lt;="&amp;($A498+22/24),tData[SEHTrajectPeriodeDatumTijdTotEnMet],"&gt;"&amp;($A498+22/24))</f>
        <v/>
      </c>
      <c r="AA498" s="20">
        <f>COUNTIFS(tData[SEHTrajectPeriodeDatumTijdVan],"&lt;="&amp;($A498+23/24),tData[SEHTrajectPeriodeDatumTijdTotEnMet],"&gt;"&amp;($A498+23/24))</f>
        <v/>
      </c>
    </row>
    <row r="499">
      <c r="A499" s="19" t="n">
        <v>45787</v>
      </c>
      <c r="B499" s="15">
        <f>WEEKDAY($A499,2)</f>
        <v/>
      </c>
      <c r="C499" s="15">
        <f>IF(AND($A499&gt;=INT(Instellingen!$B$5),$A499&lt;=INT(Instellingen!$B$6)),1,0)</f>
        <v/>
      </c>
      <c r="D499" s="20">
        <f>COUNTIFS(tData[SEHTrajectPeriodeDatumTijdVan],"&lt;="&amp;($A499+0/24),tData[SEHTrajectPeriodeDatumTijdTotEnMet],"&gt;"&amp;($A499+0/24))</f>
        <v/>
      </c>
      <c r="E499" s="20">
        <f>COUNTIFS(tData[SEHTrajectPeriodeDatumTijdVan],"&lt;="&amp;($A499+1/24),tData[SEHTrajectPeriodeDatumTijdTotEnMet],"&gt;"&amp;($A499+1/24))</f>
        <v/>
      </c>
      <c r="F499" s="20">
        <f>COUNTIFS(tData[SEHTrajectPeriodeDatumTijdVan],"&lt;="&amp;($A499+2/24),tData[SEHTrajectPeriodeDatumTijdTotEnMet],"&gt;"&amp;($A499+2/24))</f>
        <v/>
      </c>
      <c r="G499" s="20">
        <f>COUNTIFS(tData[SEHTrajectPeriodeDatumTijdVan],"&lt;="&amp;($A499+3/24),tData[SEHTrajectPeriodeDatumTijdTotEnMet],"&gt;"&amp;($A499+3/24))</f>
        <v/>
      </c>
      <c r="H499" s="20">
        <f>COUNTIFS(tData[SEHTrajectPeriodeDatumTijdVan],"&lt;="&amp;($A499+4/24),tData[SEHTrajectPeriodeDatumTijdTotEnMet],"&gt;"&amp;($A499+4/24))</f>
        <v/>
      </c>
      <c r="I499" s="20">
        <f>COUNTIFS(tData[SEHTrajectPeriodeDatumTijdVan],"&lt;="&amp;($A499+5/24),tData[SEHTrajectPeriodeDatumTijdTotEnMet],"&gt;"&amp;($A499+5/24))</f>
        <v/>
      </c>
      <c r="J499" s="20">
        <f>COUNTIFS(tData[SEHTrajectPeriodeDatumTijdVan],"&lt;="&amp;($A499+6/24),tData[SEHTrajectPeriodeDatumTijdTotEnMet],"&gt;"&amp;($A499+6/24))</f>
        <v/>
      </c>
      <c r="K499" s="20">
        <f>COUNTIFS(tData[SEHTrajectPeriodeDatumTijdVan],"&lt;="&amp;($A499+7/24),tData[SEHTrajectPeriodeDatumTijdTotEnMet],"&gt;"&amp;($A499+7/24))</f>
        <v/>
      </c>
      <c r="L499" s="20">
        <f>COUNTIFS(tData[SEHTrajectPeriodeDatumTijdVan],"&lt;="&amp;($A499+8/24),tData[SEHTrajectPeriodeDatumTijdTotEnMet],"&gt;"&amp;($A499+8/24))</f>
        <v/>
      </c>
      <c r="M499" s="20">
        <f>COUNTIFS(tData[SEHTrajectPeriodeDatumTijdVan],"&lt;="&amp;($A499+9/24),tData[SEHTrajectPeriodeDatumTijdTotEnMet],"&gt;"&amp;($A499+9/24))</f>
        <v/>
      </c>
      <c r="N499" s="20">
        <f>COUNTIFS(tData[SEHTrajectPeriodeDatumTijdVan],"&lt;="&amp;($A499+10/24),tData[SEHTrajectPeriodeDatumTijdTotEnMet],"&gt;"&amp;($A499+10/24))</f>
        <v/>
      </c>
      <c r="O499" s="20">
        <f>COUNTIFS(tData[SEHTrajectPeriodeDatumTijdVan],"&lt;="&amp;($A499+11/24),tData[SEHTrajectPeriodeDatumTijdTotEnMet],"&gt;"&amp;($A499+11/24))</f>
        <v/>
      </c>
      <c r="P499" s="20">
        <f>COUNTIFS(tData[SEHTrajectPeriodeDatumTijdVan],"&lt;="&amp;($A499+12/24),tData[SEHTrajectPeriodeDatumTijdTotEnMet],"&gt;"&amp;($A499+12/24))</f>
        <v/>
      </c>
      <c r="Q499" s="20">
        <f>COUNTIFS(tData[SEHTrajectPeriodeDatumTijdVan],"&lt;="&amp;($A499+13/24),tData[SEHTrajectPeriodeDatumTijdTotEnMet],"&gt;"&amp;($A499+13/24))</f>
        <v/>
      </c>
      <c r="R499" s="20">
        <f>COUNTIFS(tData[SEHTrajectPeriodeDatumTijdVan],"&lt;="&amp;($A499+14/24),tData[SEHTrajectPeriodeDatumTijdTotEnMet],"&gt;"&amp;($A499+14/24))</f>
        <v/>
      </c>
      <c r="S499" s="20">
        <f>COUNTIFS(tData[SEHTrajectPeriodeDatumTijdVan],"&lt;="&amp;($A499+15/24),tData[SEHTrajectPeriodeDatumTijdTotEnMet],"&gt;"&amp;($A499+15/24))</f>
        <v/>
      </c>
      <c r="T499" s="20">
        <f>COUNTIFS(tData[SEHTrajectPeriodeDatumTijdVan],"&lt;="&amp;($A499+16/24),tData[SEHTrajectPeriodeDatumTijdTotEnMet],"&gt;"&amp;($A499+16/24))</f>
        <v/>
      </c>
      <c r="U499" s="20">
        <f>COUNTIFS(tData[SEHTrajectPeriodeDatumTijdVan],"&lt;="&amp;($A499+17/24),tData[SEHTrajectPeriodeDatumTijdTotEnMet],"&gt;"&amp;($A499+17/24))</f>
        <v/>
      </c>
      <c r="V499" s="20">
        <f>COUNTIFS(tData[SEHTrajectPeriodeDatumTijdVan],"&lt;="&amp;($A499+18/24),tData[SEHTrajectPeriodeDatumTijdTotEnMet],"&gt;"&amp;($A499+18/24))</f>
        <v/>
      </c>
      <c r="W499" s="20">
        <f>COUNTIFS(tData[SEHTrajectPeriodeDatumTijdVan],"&lt;="&amp;($A499+19/24),tData[SEHTrajectPeriodeDatumTijdTotEnMet],"&gt;"&amp;($A499+19/24))</f>
        <v/>
      </c>
      <c r="X499" s="20">
        <f>COUNTIFS(tData[SEHTrajectPeriodeDatumTijdVan],"&lt;="&amp;($A499+20/24),tData[SEHTrajectPeriodeDatumTijdTotEnMet],"&gt;"&amp;($A499+20/24))</f>
        <v/>
      </c>
      <c r="Y499" s="20">
        <f>COUNTIFS(tData[SEHTrajectPeriodeDatumTijdVan],"&lt;="&amp;($A499+21/24),tData[SEHTrajectPeriodeDatumTijdTotEnMet],"&gt;"&amp;($A499+21/24))</f>
        <v/>
      </c>
      <c r="Z499" s="20">
        <f>COUNTIFS(tData[SEHTrajectPeriodeDatumTijdVan],"&lt;="&amp;($A499+22/24),tData[SEHTrajectPeriodeDatumTijdTotEnMet],"&gt;"&amp;($A499+22/24))</f>
        <v/>
      </c>
      <c r="AA499" s="20">
        <f>COUNTIFS(tData[SEHTrajectPeriodeDatumTijdVan],"&lt;="&amp;($A499+23/24),tData[SEHTrajectPeriodeDatumTijdTotEnMet],"&gt;"&amp;($A499+23/24))</f>
        <v/>
      </c>
    </row>
    <row r="500">
      <c r="A500" s="19" t="n">
        <v>45788</v>
      </c>
      <c r="B500" s="15">
        <f>WEEKDAY($A500,2)</f>
        <v/>
      </c>
      <c r="C500" s="15">
        <f>IF(AND($A500&gt;=INT(Instellingen!$B$5),$A500&lt;=INT(Instellingen!$B$6)),1,0)</f>
        <v/>
      </c>
      <c r="D500" s="20">
        <f>COUNTIFS(tData[SEHTrajectPeriodeDatumTijdVan],"&lt;="&amp;($A500+0/24),tData[SEHTrajectPeriodeDatumTijdTotEnMet],"&gt;"&amp;($A500+0/24))</f>
        <v/>
      </c>
      <c r="E500" s="20">
        <f>COUNTIFS(tData[SEHTrajectPeriodeDatumTijdVan],"&lt;="&amp;($A500+1/24),tData[SEHTrajectPeriodeDatumTijdTotEnMet],"&gt;"&amp;($A500+1/24))</f>
        <v/>
      </c>
      <c r="F500" s="20">
        <f>COUNTIFS(tData[SEHTrajectPeriodeDatumTijdVan],"&lt;="&amp;($A500+2/24),tData[SEHTrajectPeriodeDatumTijdTotEnMet],"&gt;"&amp;($A500+2/24))</f>
        <v/>
      </c>
      <c r="G500" s="20">
        <f>COUNTIFS(tData[SEHTrajectPeriodeDatumTijdVan],"&lt;="&amp;($A500+3/24),tData[SEHTrajectPeriodeDatumTijdTotEnMet],"&gt;"&amp;($A500+3/24))</f>
        <v/>
      </c>
      <c r="H500" s="20">
        <f>COUNTIFS(tData[SEHTrajectPeriodeDatumTijdVan],"&lt;="&amp;($A500+4/24),tData[SEHTrajectPeriodeDatumTijdTotEnMet],"&gt;"&amp;($A500+4/24))</f>
        <v/>
      </c>
      <c r="I500" s="20">
        <f>COUNTIFS(tData[SEHTrajectPeriodeDatumTijdVan],"&lt;="&amp;($A500+5/24),tData[SEHTrajectPeriodeDatumTijdTotEnMet],"&gt;"&amp;($A500+5/24))</f>
        <v/>
      </c>
      <c r="J500" s="20">
        <f>COUNTIFS(tData[SEHTrajectPeriodeDatumTijdVan],"&lt;="&amp;($A500+6/24),tData[SEHTrajectPeriodeDatumTijdTotEnMet],"&gt;"&amp;($A500+6/24))</f>
        <v/>
      </c>
      <c r="K500" s="20">
        <f>COUNTIFS(tData[SEHTrajectPeriodeDatumTijdVan],"&lt;="&amp;($A500+7/24),tData[SEHTrajectPeriodeDatumTijdTotEnMet],"&gt;"&amp;($A500+7/24))</f>
        <v/>
      </c>
      <c r="L500" s="20">
        <f>COUNTIFS(tData[SEHTrajectPeriodeDatumTijdVan],"&lt;="&amp;($A500+8/24),tData[SEHTrajectPeriodeDatumTijdTotEnMet],"&gt;"&amp;($A500+8/24))</f>
        <v/>
      </c>
      <c r="M500" s="20">
        <f>COUNTIFS(tData[SEHTrajectPeriodeDatumTijdVan],"&lt;="&amp;($A500+9/24),tData[SEHTrajectPeriodeDatumTijdTotEnMet],"&gt;"&amp;($A500+9/24))</f>
        <v/>
      </c>
      <c r="N500" s="20">
        <f>COUNTIFS(tData[SEHTrajectPeriodeDatumTijdVan],"&lt;="&amp;($A500+10/24),tData[SEHTrajectPeriodeDatumTijdTotEnMet],"&gt;"&amp;($A500+10/24))</f>
        <v/>
      </c>
      <c r="O500" s="20">
        <f>COUNTIFS(tData[SEHTrajectPeriodeDatumTijdVan],"&lt;="&amp;($A500+11/24),tData[SEHTrajectPeriodeDatumTijdTotEnMet],"&gt;"&amp;($A500+11/24))</f>
        <v/>
      </c>
      <c r="P500" s="20">
        <f>COUNTIFS(tData[SEHTrajectPeriodeDatumTijdVan],"&lt;="&amp;($A500+12/24),tData[SEHTrajectPeriodeDatumTijdTotEnMet],"&gt;"&amp;($A500+12/24))</f>
        <v/>
      </c>
      <c r="Q500" s="20">
        <f>COUNTIFS(tData[SEHTrajectPeriodeDatumTijdVan],"&lt;="&amp;($A500+13/24),tData[SEHTrajectPeriodeDatumTijdTotEnMet],"&gt;"&amp;($A500+13/24))</f>
        <v/>
      </c>
      <c r="R500" s="20">
        <f>COUNTIFS(tData[SEHTrajectPeriodeDatumTijdVan],"&lt;="&amp;($A500+14/24),tData[SEHTrajectPeriodeDatumTijdTotEnMet],"&gt;"&amp;($A500+14/24))</f>
        <v/>
      </c>
      <c r="S500" s="20">
        <f>COUNTIFS(tData[SEHTrajectPeriodeDatumTijdVan],"&lt;="&amp;($A500+15/24),tData[SEHTrajectPeriodeDatumTijdTotEnMet],"&gt;"&amp;($A500+15/24))</f>
        <v/>
      </c>
      <c r="T500" s="20">
        <f>COUNTIFS(tData[SEHTrajectPeriodeDatumTijdVan],"&lt;="&amp;($A500+16/24),tData[SEHTrajectPeriodeDatumTijdTotEnMet],"&gt;"&amp;($A500+16/24))</f>
        <v/>
      </c>
      <c r="U500" s="20">
        <f>COUNTIFS(tData[SEHTrajectPeriodeDatumTijdVan],"&lt;="&amp;($A500+17/24),tData[SEHTrajectPeriodeDatumTijdTotEnMet],"&gt;"&amp;($A500+17/24))</f>
        <v/>
      </c>
      <c r="V500" s="20">
        <f>COUNTIFS(tData[SEHTrajectPeriodeDatumTijdVan],"&lt;="&amp;($A500+18/24),tData[SEHTrajectPeriodeDatumTijdTotEnMet],"&gt;"&amp;($A500+18/24))</f>
        <v/>
      </c>
      <c r="W500" s="20">
        <f>COUNTIFS(tData[SEHTrajectPeriodeDatumTijdVan],"&lt;="&amp;($A500+19/24),tData[SEHTrajectPeriodeDatumTijdTotEnMet],"&gt;"&amp;($A500+19/24))</f>
        <v/>
      </c>
      <c r="X500" s="20">
        <f>COUNTIFS(tData[SEHTrajectPeriodeDatumTijdVan],"&lt;="&amp;($A500+20/24),tData[SEHTrajectPeriodeDatumTijdTotEnMet],"&gt;"&amp;($A500+20/24))</f>
        <v/>
      </c>
      <c r="Y500" s="20">
        <f>COUNTIFS(tData[SEHTrajectPeriodeDatumTijdVan],"&lt;="&amp;($A500+21/24),tData[SEHTrajectPeriodeDatumTijdTotEnMet],"&gt;"&amp;($A500+21/24))</f>
        <v/>
      </c>
      <c r="Z500" s="20">
        <f>COUNTIFS(tData[SEHTrajectPeriodeDatumTijdVan],"&lt;="&amp;($A500+22/24),tData[SEHTrajectPeriodeDatumTijdTotEnMet],"&gt;"&amp;($A500+22/24))</f>
        <v/>
      </c>
      <c r="AA500" s="20">
        <f>COUNTIFS(tData[SEHTrajectPeriodeDatumTijdVan],"&lt;="&amp;($A500+23/24),tData[SEHTrajectPeriodeDatumTijdTotEnMet],"&gt;"&amp;($A500+23/24))</f>
        <v/>
      </c>
    </row>
    <row r="501">
      <c r="A501" s="19" t="n">
        <v>45789</v>
      </c>
      <c r="B501" s="15">
        <f>WEEKDAY($A501,2)</f>
        <v/>
      </c>
      <c r="C501" s="15">
        <f>IF(AND($A501&gt;=INT(Instellingen!$B$5),$A501&lt;=INT(Instellingen!$B$6)),1,0)</f>
        <v/>
      </c>
      <c r="D501" s="20">
        <f>COUNTIFS(tData[SEHTrajectPeriodeDatumTijdVan],"&lt;="&amp;($A501+0/24),tData[SEHTrajectPeriodeDatumTijdTotEnMet],"&gt;"&amp;($A501+0/24))</f>
        <v/>
      </c>
      <c r="E501" s="20">
        <f>COUNTIFS(tData[SEHTrajectPeriodeDatumTijdVan],"&lt;="&amp;($A501+1/24),tData[SEHTrajectPeriodeDatumTijdTotEnMet],"&gt;"&amp;($A501+1/24))</f>
        <v/>
      </c>
      <c r="F501" s="20">
        <f>COUNTIFS(tData[SEHTrajectPeriodeDatumTijdVan],"&lt;="&amp;($A501+2/24),tData[SEHTrajectPeriodeDatumTijdTotEnMet],"&gt;"&amp;($A501+2/24))</f>
        <v/>
      </c>
      <c r="G501" s="20">
        <f>COUNTIFS(tData[SEHTrajectPeriodeDatumTijdVan],"&lt;="&amp;($A501+3/24),tData[SEHTrajectPeriodeDatumTijdTotEnMet],"&gt;"&amp;($A501+3/24))</f>
        <v/>
      </c>
      <c r="H501" s="20">
        <f>COUNTIFS(tData[SEHTrajectPeriodeDatumTijdVan],"&lt;="&amp;($A501+4/24),tData[SEHTrajectPeriodeDatumTijdTotEnMet],"&gt;"&amp;($A501+4/24))</f>
        <v/>
      </c>
      <c r="I501" s="20">
        <f>COUNTIFS(tData[SEHTrajectPeriodeDatumTijdVan],"&lt;="&amp;($A501+5/24),tData[SEHTrajectPeriodeDatumTijdTotEnMet],"&gt;"&amp;($A501+5/24))</f>
        <v/>
      </c>
      <c r="J501" s="20">
        <f>COUNTIFS(tData[SEHTrajectPeriodeDatumTijdVan],"&lt;="&amp;($A501+6/24),tData[SEHTrajectPeriodeDatumTijdTotEnMet],"&gt;"&amp;($A501+6/24))</f>
        <v/>
      </c>
      <c r="K501" s="20">
        <f>COUNTIFS(tData[SEHTrajectPeriodeDatumTijdVan],"&lt;="&amp;($A501+7/24),tData[SEHTrajectPeriodeDatumTijdTotEnMet],"&gt;"&amp;($A501+7/24))</f>
        <v/>
      </c>
      <c r="L501" s="20">
        <f>COUNTIFS(tData[SEHTrajectPeriodeDatumTijdVan],"&lt;="&amp;($A501+8/24),tData[SEHTrajectPeriodeDatumTijdTotEnMet],"&gt;"&amp;($A501+8/24))</f>
        <v/>
      </c>
      <c r="M501" s="20">
        <f>COUNTIFS(tData[SEHTrajectPeriodeDatumTijdVan],"&lt;="&amp;($A501+9/24),tData[SEHTrajectPeriodeDatumTijdTotEnMet],"&gt;"&amp;($A501+9/24))</f>
        <v/>
      </c>
      <c r="N501" s="20">
        <f>COUNTIFS(tData[SEHTrajectPeriodeDatumTijdVan],"&lt;="&amp;($A501+10/24),tData[SEHTrajectPeriodeDatumTijdTotEnMet],"&gt;"&amp;($A501+10/24))</f>
        <v/>
      </c>
      <c r="O501" s="20">
        <f>COUNTIFS(tData[SEHTrajectPeriodeDatumTijdVan],"&lt;="&amp;($A501+11/24),tData[SEHTrajectPeriodeDatumTijdTotEnMet],"&gt;"&amp;($A501+11/24))</f>
        <v/>
      </c>
      <c r="P501" s="20">
        <f>COUNTIFS(tData[SEHTrajectPeriodeDatumTijdVan],"&lt;="&amp;($A501+12/24),tData[SEHTrajectPeriodeDatumTijdTotEnMet],"&gt;"&amp;($A501+12/24))</f>
        <v/>
      </c>
      <c r="Q501" s="20">
        <f>COUNTIFS(tData[SEHTrajectPeriodeDatumTijdVan],"&lt;="&amp;($A501+13/24),tData[SEHTrajectPeriodeDatumTijdTotEnMet],"&gt;"&amp;($A501+13/24))</f>
        <v/>
      </c>
      <c r="R501" s="20">
        <f>COUNTIFS(tData[SEHTrajectPeriodeDatumTijdVan],"&lt;="&amp;($A501+14/24),tData[SEHTrajectPeriodeDatumTijdTotEnMet],"&gt;"&amp;($A501+14/24))</f>
        <v/>
      </c>
      <c r="S501" s="20">
        <f>COUNTIFS(tData[SEHTrajectPeriodeDatumTijdVan],"&lt;="&amp;($A501+15/24),tData[SEHTrajectPeriodeDatumTijdTotEnMet],"&gt;"&amp;($A501+15/24))</f>
        <v/>
      </c>
      <c r="T501" s="20">
        <f>COUNTIFS(tData[SEHTrajectPeriodeDatumTijdVan],"&lt;="&amp;($A501+16/24),tData[SEHTrajectPeriodeDatumTijdTotEnMet],"&gt;"&amp;($A501+16/24))</f>
        <v/>
      </c>
      <c r="U501" s="20">
        <f>COUNTIFS(tData[SEHTrajectPeriodeDatumTijdVan],"&lt;="&amp;($A501+17/24),tData[SEHTrajectPeriodeDatumTijdTotEnMet],"&gt;"&amp;($A501+17/24))</f>
        <v/>
      </c>
      <c r="V501" s="20">
        <f>COUNTIFS(tData[SEHTrajectPeriodeDatumTijdVan],"&lt;="&amp;($A501+18/24),tData[SEHTrajectPeriodeDatumTijdTotEnMet],"&gt;"&amp;($A501+18/24))</f>
        <v/>
      </c>
      <c r="W501" s="20">
        <f>COUNTIFS(tData[SEHTrajectPeriodeDatumTijdVan],"&lt;="&amp;($A501+19/24),tData[SEHTrajectPeriodeDatumTijdTotEnMet],"&gt;"&amp;($A501+19/24))</f>
        <v/>
      </c>
      <c r="X501" s="20">
        <f>COUNTIFS(tData[SEHTrajectPeriodeDatumTijdVan],"&lt;="&amp;($A501+20/24),tData[SEHTrajectPeriodeDatumTijdTotEnMet],"&gt;"&amp;($A501+20/24))</f>
        <v/>
      </c>
      <c r="Y501" s="20">
        <f>COUNTIFS(tData[SEHTrajectPeriodeDatumTijdVan],"&lt;="&amp;($A501+21/24),tData[SEHTrajectPeriodeDatumTijdTotEnMet],"&gt;"&amp;($A501+21/24))</f>
        <v/>
      </c>
      <c r="Z501" s="20">
        <f>COUNTIFS(tData[SEHTrajectPeriodeDatumTijdVan],"&lt;="&amp;($A501+22/24),tData[SEHTrajectPeriodeDatumTijdTotEnMet],"&gt;"&amp;($A501+22/24))</f>
        <v/>
      </c>
      <c r="AA501" s="20">
        <f>COUNTIFS(tData[SEHTrajectPeriodeDatumTijdVan],"&lt;="&amp;($A501+23/24),tData[SEHTrajectPeriodeDatumTijdTotEnMet],"&gt;"&amp;($A501+23/24))</f>
        <v/>
      </c>
    </row>
    <row r="502">
      <c r="A502" s="19" t="n">
        <v>45790</v>
      </c>
      <c r="B502" s="15">
        <f>WEEKDAY($A502,2)</f>
        <v/>
      </c>
      <c r="C502" s="15">
        <f>IF(AND($A502&gt;=INT(Instellingen!$B$5),$A502&lt;=INT(Instellingen!$B$6)),1,0)</f>
        <v/>
      </c>
      <c r="D502" s="20">
        <f>COUNTIFS(tData[SEHTrajectPeriodeDatumTijdVan],"&lt;="&amp;($A502+0/24),tData[SEHTrajectPeriodeDatumTijdTotEnMet],"&gt;"&amp;($A502+0/24))</f>
        <v/>
      </c>
      <c r="E502" s="20">
        <f>COUNTIFS(tData[SEHTrajectPeriodeDatumTijdVan],"&lt;="&amp;($A502+1/24),tData[SEHTrajectPeriodeDatumTijdTotEnMet],"&gt;"&amp;($A502+1/24))</f>
        <v/>
      </c>
      <c r="F502" s="20">
        <f>COUNTIFS(tData[SEHTrajectPeriodeDatumTijdVan],"&lt;="&amp;($A502+2/24),tData[SEHTrajectPeriodeDatumTijdTotEnMet],"&gt;"&amp;($A502+2/24))</f>
        <v/>
      </c>
      <c r="G502" s="20">
        <f>COUNTIFS(tData[SEHTrajectPeriodeDatumTijdVan],"&lt;="&amp;($A502+3/24),tData[SEHTrajectPeriodeDatumTijdTotEnMet],"&gt;"&amp;($A502+3/24))</f>
        <v/>
      </c>
      <c r="H502" s="20">
        <f>COUNTIFS(tData[SEHTrajectPeriodeDatumTijdVan],"&lt;="&amp;($A502+4/24),tData[SEHTrajectPeriodeDatumTijdTotEnMet],"&gt;"&amp;($A502+4/24))</f>
        <v/>
      </c>
      <c r="I502" s="20">
        <f>COUNTIFS(tData[SEHTrajectPeriodeDatumTijdVan],"&lt;="&amp;($A502+5/24),tData[SEHTrajectPeriodeDatumTijdTotEnMet],"&gt;"&amp;($A502+5/24))</f>
        <v/>
      </c>
      <c r="J502" s="20">
        <f>COUNTIFS(tData[SEHTrajectPeriodeDatumTijdVan],"&lt;="&amp;($A502+6/24),tData[SEHTrajectPeriodeDatumTijdTotEnMet],"&gt;"&amp;($A502+6/24))</f>
        <v/>
      </c>
      <c r="K502" s="20">
        <f>COUNTIFS(tData[SEHTrajectPeriodeDatumTijdVan],"&lt;="&amp;($A502+7/24),tData[SEHTrajectPeriodeDatumTijdTotEnMet],"&gt;"&amp;($A502+7/24))</f>
        <v/>
      </c>
      <c r="L502" s="20">
        <f>COUNTIFS(tData[SEHTrajectPeriodeDatumTijdVan],"&lt;="&amp;($A502+8/24),tData[SEHTrajectPeriodeDatumTijdTotEnMet],"&gt;"&amp;($A502+8/24))</f>
        <v/>
      </c>
      <c r="M502" s="20">
        <f>COUNTIFS(tData[SEHTrajectPeriodeDatumTijdVan],"&lt;="&amp;($A502+9/24),tData[SEHTrajectPeriodeDatumTijdTotEnMet],"&gt;"&amp;($A502+9/24))</f>
        <v/>
      </c>
      <c r="N502" s="20">
        <f>COUNTIFS(tData[SEHTrajectPeriodeDatumTijdVan],"&lt;="&amp;($A502+10/24),tData[SEHTrajectPeriodeDatumTijdTotEnMet],"&gt;"&amp;($A502+10/24))</f>
        <v/>
      </c>
      <c r="O502" s="20">
        <f>COUNTIFS(tData[SEHTrajectPeriodeDatumTijdVan],"&lt;="&amp;($A502+11/24),tData[SEHTrajectPeriodeDatumTijdTotEnMet],"&gt;"&amp;($A502+11/24))</f>
        <v/>
      </c>
      <c r="P502" s="20">
        <f>COUNTIFS(tData[SEHTrajectPeriodeDatumTijdVan],"&lt;="&amp;($A502+12/24),tData[SEHTrajectPeriodeDatumTijdTotEnMet],"&gt;"&amp;($A502+12/24))</f>
        <v/>
      </c>
      <c r="Q502" s="20">
        <f>COUNTIFS(tData[SEHTrajectPeriodeDatumTijdVan],"&lt;="&amp;($A502+13/24),tData[SEHTrajectPeriodeDatumTijdTotEnMet],"&gt;"&amp;($A502+13/24))</f>
        <v/>
      </c>
      <c r="R502" s="20">
        <f>COUNTIFS(tData[SEHTrajectPeriodeDatumTijdVan],"&lt;="&amp;($A502+14/24),tData[SEHTrajectPeriodeDatumTijdTotEnMet],"&gt;"&amp;($A502+14/24))</f>
        <v/>
      </c>
      <c r="S502" s="20">
        <f>COUNTIFS(tData[SEHTrajectPeriodeDatumTijdVan],"&lt;="&amp;($A502+15/24),tData[SEHTrajectPeriodeDatumTijdTotEnMet],"&gt;"&amp;($A502+15/24))</f>
        <v/>
      </c>
      <c r="T502" s="20">
        <f>COUNTIFS(tData[SEHTrajectPeriodeDatumTijdVan],"&lt;="&amp;($A502+16/24),tData[SEHTrajectPeriodeDatumTijdTotEnMet],"&gt;"&amp;($A502+16/24))</f>
        <v/>
      </c>
      <c r="U502" s="20">
        <f>COUNTIFS(tData[SEHTrajectPeriodeDatumTijdVan],"&lt;="&amp;($A502+17/24),tData[SEHTrajectPeriodeDatumTijdTotEnMet],"&gt;"&amp;($A502+17/24))</f>
        <v/>
      </c>
      <c r="V502" s="20">
        <f>COUNTIFS(tData[SEHTrajectPeriodeDatumTijdVan],"&lt;="&amp;($A502+18/24),tData[SEHTrajectPeriodeDatumTijdTotEnMet],"&gt;"&amp;($A502+18/24))</f>
        <v/>
      </c>
      <c r="W502" s="20">
        <f>COUNTIFS(tData[SEHTrajectPeriodeDatumTijdVan],"&lt;="&amp;($A502+19/24),tData[SEHTrajectPeriodeDatumTijdTotEnMet],"&gt;"&amp;($A502+19/24))</f>
        <v/>
      </c>
      <c r="X502" s="20">
        <f>COUNTIFS(tData[SEHTrajectPeriodeDatumTijdVan],"&lt;="&amp;($A502+20/24),tData[SEHTrajectPeriodeDatumTijdTotEnMet],"&gt;"&amp;($A502+20/24))</f>
        <v/>
      </c>
      <c r="Y502" s="20">
        <f>COUNTIFS(tData[SEHTrajectPeriodeDatumTijdVan],"&lt;="&amp;($A502+21/24),tData[SEHTrajectPeriodeDatumTijdTotEnMet],"&gt;"&amp;($A502+21/24))</f>
        <v/>
      </c>
      <c r="Z502" s="20">
        <f>COUNTIFS(tData[SEHTrajectPeriodeDatumTijdVan],"&lt;="&amp;($A502+22/24),tData[SEHTrajectPeriodeDatumTijdTotEnMet],"&gt;"&amp;($A502+22/24))</f>
        <v/>
      </c>
      <c r="AA502" s="20">
        <f>COUNTIFS(tData[SEHTrajectPeriodeDatumTijdVan],"&lt;="&amp;($A502+23/24),tData[SEHTrajectPeriodeDatumTijdTotEnMet],"&gt;"&amp;($A502+23/24))</f>
        <v/>
      </c>
    </row>
    <row r="503">
      <c r="A503" s="19" t="n">
        <v>45791</v>
      </c>
      <c r="B503" s="15">
        <f>WEEKDAY($A503,2)</f>
        <v/>
      </c>
      <c r="C503" s="15">
        <f>IF(AND($A503&gt;=INT(Instellingen!$B$5),$A503&lt;=INT(Instellingen!$B$6)),1,0)</f>
        <v/>
      </c>
      <c r="D503" s="20">
        <f>COUNTIFS(tData[SEHTrajectPeriodeDatumTijdVan],"&lt;="&amp;($A503+0/24),tData[SEHTrajectPeriodeDatumTijdTotEnMet],"&gt;"&amp;($A503+0/24))</f>
        <v/>
      </c>
      <c r="E503" s="20">
        <f>COUNTIFS(tData[SEHTrajectPeriodeDatumTijdVan],"&lt;="&amp;($A503+1/24),tData[SEHTrajectPeriodeDatumTijdTotEnMet],"&gt;"&amp;($A503+1/24))</f>
        <v/>
      </c>
      <c r="F503" s="20">
        <f>COUNTIFS(tData[SEHTrajectPeriodeDatumTijdVan],"&lt;="&amp;($A503+2/24),tData[SEHTrajectPeriodeDatumTijdTotEnMet],"&gt;"&amp;($A503+2/24))</f>
        <v/>
      </c>
      <c r="G503" s="20">
        <f>COUNTIFS(tData[SEHTrajectPeriodeDatumTijdVan],"&lt;="&amp;($A503+3/24),tData[SEHTrajectPeriodeDatumTijdTotEnMet],"&gt;"&amp;($A503+3/24))</f>
        <v/>
      </c>
      <c r="H503" s="20">
        <f>COUNTIFS(tData[SEHTrajectPeriodeDatumTijdVan],"&lt;="&amp;($A503+4/24),tData[SEHTrajectPeriodeDatumTijdTotEnMet],"&gt;"&amp;($A503+4/24))</f>
        <v/>
      </c>
      <c r="I503" s="20">
        <f>COUNTIFS(tData[SEHTrajectPeriodeDatumTijdVan],"&lt;="&amp;($A503+5/24),tData[SEHTrajectPeriodeDatumTijdTotEnMet],"&gt;"&amp;($A503+5/24))</f>
        <v/>
      </c>
      <c r="J503" s="20">
        <f>COUNTIFS(tData[SEHTrajectPeriodeDatumTijdVan],"&lt;="&amp;($A503+6/24),tData[SEHTrajectPeriodeDatumTijdTotEnMet],"&gt;"&amp;($A503+6/24))</f>
        <v/>
      </c>
      <c r="K503" s="20">
        <f>COUNTIFS(tData[SEHTrajectPeriodeDatumTijdVan],"&lt;="&amp;($A503+7/24),tData[SEHTrajectPeriodeDatumTijdTotEnMet],"&gt;"&amp;($A503+7/24))</f>
        <v/>
      </c>
      <c r="L503" s="20">
        <f>COUNTIFS(tData[SEHTrajectPeriodeDatumTijdVan],"&lt;="&amp;($A503+8/24),tData[SEHTrajectPeriodeDatumTijdTotEnMet],"&gt;"&amp;($A503+8/24))</f>
        <v/>
      </c>
      <c r="M503" s="20">
        <f>COUNTIFS(tData[SEHTrajectPeriodeDatumTijdVan],"&lt;="&amp;($A503+9/24),tData[SEHTrajectPeriodeDatumTijdTotEnMet],"&gt;"&amp;($A503+9/24))</f>
        <v/>
      </c>
      <c r="N503" s="20">
        <f>COUNTIFS(tData[SEHTrajectPeriodeDatumTijdVan],"&lt;="&amp;($A503+10/24),tData[SEHTrajectPeriodeDatumTijdTotEnMet],"&gt;"&amp;($A503+10/24))</f>
        <v/>
      </c>
      <c r="O503" s="20">
        <f>COUNTIFS(tData[SEHTrajectPeriodeDatumTijdVan],"&lt;="&amp;($A503+11/24),tData[SEHTrajectPeriodeDatumTijdTotEnMet],"&gt;"&amp;($A503+11/24))</f>
        <v/>
      </c>
      <c r="P503" s="20">
        <f>COUNTIFS(tData[SEHTrajectPeriodeDatumTijdVan],"&lt;="&amp;($A503+12/24),tData[SEHTrajectPeriodeDatumTijdTotEnMet],"&gt;"&amp;($A503+12/24))</f>
        <v/>
      </c>
      <c r="Q503" s="20">
        <f>COUNTIFS(tData[SEHTrajectPeriodeDatumTijdVan],"&lt;="&amp;($A503+13/24),tData[SEHTrajectPeriodeDatumTijdTotEnMet],"&gt;"&amp;($A503+13/24))</f>
        <v/>
      </c>
      <c r="R503" s="20">
        <f>COUNTIFS(tData[SEHTrajectPeriodeDatumTijdVan],"&lt;="&amp;($A503+14/24),tData[SEHTrajectPeriodeDatumTijdTotEnMet],"&gt;"&amp;($A503+14/24))</f>
        <v/>
      </c>
      <c r="S503" s="20">
        <f>COUNTIFS(tData[SEHTrajectPeriodeDatumTijdVan],"&lt;="&amp;($A503+15/24),tData[SEHTrajectPeriodeDatumTijdTotEnMet],"&gt;"&amp;($A503+15/24))</f>
        <v/>
      </c>
      <c r="T503" s="20">
        <f>COUNTIFS(tData[SEHTrajectPeriodeDatumTijdVan],"&lt;="&amp;($A503+16/24),tData[SEHTrajectPeriodeDatumTijdTotEnMet],"&gt;"&amp;($A503+16/24))</f>
        <v/>
      </c>
      <c r="U503" s="20">
        <f>COUNTIFS(tData[SEHTrajectPeriodeDatumTijdVan],"&lt;="&amp;($A503+17/24),tData[SEHTrajectPeriodeDatumTijdTotEnMet],"&gt;"&amp;($A503+17/24))</f>
        <v/>
      </c>
      <c r="V503" s="20">
        <f>COUNTIFS(tData[SEHTrajectPeriodeDatumTijdVan],"&lt;="&amp;($A503+18/24),tData[SEHTrajectPeriodeDatumTijdTotEnMet],"&gt;"&amp;($A503+18/24))</f>
        <v/>
      </c>
      <c r="W503" s="20">
        <f>COUNTIFS(tData[SEHTrajectPeriodeDatumTijdVan],"&lt;="&amp;($A503+19/24),tData[SEHTrajectPeriodeDatumTijdTotEnMet],"&gt;"&amp;($A503+19/24))</f>
        <v/>
      </c>
      <c r="X503" s="20">
        <f>COUNTIFS(tData[SEHTrajectPeriodeDatumTijdVan],"&lt;="&amp;($A503+20/24),tData[SEHTrajectPeriodeDatumTijdTotEnMet],"&gt;"&amp;($A503+20/24))</f>
        <v/>
      </c>
      <c r="Y503" s="20">
        <f>COUNTIFS(tData[SEHTrajectPeriodeDatumTijdVan],"&lt;="&amp;($A503+21/24),tData[SEHTrajectPeriodeDatumTijdTotEnMet],"&gt;"&amp;($A503+21/24))</f>
        <v/>
      </c>
      <c r="Z503" s="20">
        <f>COUNTIFS(tData[SEHTrajectPeriodeDatumTijdVan],"&lt;="&amp;($A503+22/24),tData[SEHTrajectPeriodeDatumTijdTotEnMet],"&gt;"&amp;($A503+22/24))</f>
        <v/>
      </c>
      <c r="AA503" s="20">
        <f>COUNTIFS(tData[SEHTrajectPeriodeDatumTijdVan],"&lt;="&amp;($A503+23/24),tData[SEHTrajectPeriodeDatumTijdTotEnMet],"&gt;"&amp;($A503+23/24))</f>
        <v/>
      </c>
    </row>
    <row r="504">
      <c r="A504" s="19" t="n">
        <v>45792</v>
      </c>
      <c r="B504" s="15">
        <f>WEEKDAY($A504,2)</f>
        <v/>
      </c>
      <c r="C504" s="15">
        <f>IF(AND($A504&gt;=INT(Instellingen!$B$5),$A504&lt;=INT(Instellingen!$B$6)),1,0)</f>
        <v/>
      </c>
      <c r="D504" s="20">
        <f>COUNTIFS(tData[SEHTrajectPeriodeDatumTijdVan],"&lt;="&amp;($A504+0/24),tData[SEHTrajectPeriodeDatumTijdTotEnMet],"&gt;"&amp;($A504+0/24))</f>
        <v/>
      </c>
      <c r="E504" s="20">
        <f>COUNTIFS(tData[SEHTrajectPeriodeDatumTijdVan],"&lt;="&amp;($A504+1/24),tData[SEHTrajectPeriodeDatumTijdTotEnMet],"&gt;"&amp;($A504+1/24))</f>
        <v/>
      </c>
      <c r="F504" s="20">
        <f>COUNTIFS(tData[SEHTrajectPeriodeDatumTijdVan],"&lt;="&amp;($A504+2/24),tData[SEHTrajectPeriodeDatumTijdTotEnMet],"&gt;"&amp;($A504+2/24))</f>
        <v/>
      </c>
      <c r="G504" s="20">
        <f>COUNTIFS(tData[SEHTrajectPeriodeDatumTijdVan],"&lt;="&amp;($A504+3/24),tData[SEHTrajectPeriodeDatumTijdTotEnMet],"&gt;"&amp;($A504+3/24))</f>
        <v/>
      </c>
      <c r="H504" s="20">
        <f>COUNTIFS(tData[SEHTrajectPeriodeDatumTijdVan],"&lt;="&amp;($A504+4/24),tData[SEHTrajectPeriodeDatumTijdTotEnMet],"&gt;"&amp;($A504+4/24))</f>
        <v/>
      </c>
      <c r="I504" s="20">
        <f>COUNTIFS(tData[SEHTrajectPeriodeDatumTijdVan],"&lt;="&amp;($A504+5/24),tData[SEHTrajectPeriodeDatumTijdTotEnMet],"&gt;"&amp;($A504+5/24))</f>
        <v/>
      </c>
      <c r="J504" s="20">
        <f>COUNTIFS(tData[SEHTrajectPeriodeDatumTijdVan],"&lt;="&amp;($A504+6/24),tData[SEHTrajectPeriodeDatumTijdTotEnMet],"&gt;"&amp;($A504+6/24))</f>
        <v/>
      </c>
      <c r="K504" s="20">
        <f>COUNTIFS(tData[SEHTrajectPeriodeDatumTijdVan],"&lt;="&amp;($A504+7/24),tData[SEHTrajectPeriodeDatumTijdTotEnMet],"&gt;"&amp;($A504+7/24))</f>
        <v/>
      </c>
      <c r="L504" s="20">
        <f>COUNTIFS(tData[SEHTrajectPeriodeDatumTijdVan],"&lt;="&amp;($A504+8/24),tData[SEHTrajectPeriodeDatumTijdTotEnMet],"&gt;"&amp;($A504+8/24))</f>
        <v/>
      </c>
      <c r="M504" s="20">
        <f>COUNTIFS(tData[SEHTrajectPeriodeDatumTijdVan],"&lt;="&amp;($A504+9/24),tData[SEHTrajectPeriodeDatumTijdTotEnMet],"&gt;"&amp;($A504+9/24))</f>
        <v/>
      </c>
      <c r="N504" s="20">
        <f>COUNTIFS(tData[SEHTrajectPeriodeDatumTijdVan],"&lt;="&amp;($A504+10/24),tData[SEHTrajectPeriodeDatumTijdTotEnMet],"&gt;"&amp;($A504+10/24))</f>
        <v/>
      </c>
      <c r="O504" s="20">
        <f>COUNTIFS(tData[SEHTrajectPeriodeDatumTijdVan],"&lt;="&amp;($A504+11/24),tData[SEHTrajectPeriodeDatumTijdTotEnMet],"&gt;"&amp;($A504+11/24))</f>
        <v/>
      </c>
      <c r="P504" s="20">
        <f>COUNTIFS(tData[SEHTrajectPeriodeDatumTijdVan],"&lt;="&amp;($A504+12/24),tData[SEHTrajectPeriodeDatumTijdTotEnMet],"&gt;"&amp;($A504+12/24))</f>
        <v/>
      </c>
      <c r="Q504" s="20">
        <f>COUNTIFS(tData[SEHTrajectPeriodeDatumTijdVan],"&lt;="&amp;($A504+13/24),tData[SEHTrajectPeriodeDatumTijdTotEnMet],"&gt;"&amp;($A504+13/24))</f>
        <v/>
      </c>
      <c r="R504" s="20">
        <f>COUNTIFS(tData[SEHTrajectPeriodeDatumTijdVan],"&lt;="&amp;($A504+14/24),tData[SEHTrajectPeriodeDatumTijdTotEnMet],"&gt;"&amp;($A504+14/24))</f>
        <v/>
      </c>
      <c r="S504" s="20">
        <f>COUNTIFS(tData[SEHTrajectPeriodeDatumTijdVan],"&lt;="&amp;($A504+15/24),tData[SEHTrajectPeriodeDatumTijdTotEnMet],"&gt;"&amp;($A504+15/24))</f>
        <v/>
      </c>
      <c r="T504" s="20">
        <f>COUNTIFS(tData[SEHTrajectPeriodeDatumTijdVan],"&lt;="&amp;($A504+16/24),tData[SEHTrajectPeriodeDatumTijdTotEnMet],"&gt;"&amp;($A504+16/24))</f>
        <v/>
      </c>
      <c r="U504" s="20">
        <f>COUNTIFS(tData[SEHTrajectPeriodeDatumTijdVan],"&lt;="&amp;($A504+17/24),tData[SEHTrajectPeriodeDatumTijdTotEnMet],"&gt;"&amp;($A504+17/24))</f>
        <v/>
      </c>
      <c r="V504" s="20">
        <f>COUNTIFS(tData[SEHTrajectPeriodeDatumTijdVan],"&lt;="&amp;($A504+18/24),tData[SEHTrajectPeriodeDatumTijdTotEnMet],"&gt;"&amp;($A504+18/24))</f>
        <v/>
      </c>
      <c r="W504" s="20">
        <f>COUNTIFS(tData[SEHTrajectPeriodeDatumTijdVan],"&lt;="&amp;($A504+19/24),tData[SEHTrajectPeriodeDatumTijdTotEnMet],"&gt;"&amp;($A504+19/24))</f>
        <v/>
      </c>
      <c r="X504" s="20">
        <f>COUNTIFS(tData[SEHTrajectPeriodeDatumTijdVan],"&lt;="&amp;($A504+20/24),tData[SEHTrajectPeriodeDatumTijdTotEnMet],"&gt;"&amp;($A504+20/24))</f>
        <v/>
      </c>
      <c r="Y504" s="20">
        <f>COUNTIFS(tData[SEHTrajectPeriodeDatumTijdVan],"&lt;="&amp;($A504+21/24),tData[SEHTrajectPeriodeDatumTijdTotEnMet],"&gt;"&amp;($A504+21/24))</f>
        <v/>
      </c>
      <c r="Z504" s="20">
        <f>COUNTIFS(tData[SEHTrajectPeriodeDatumTijdVan],"&lt;="&amp;($A504+22/24),tData[SEHTrajectPeriodeDatumTijdTotEnMet],"&gt;"&amp;($A504+22/24))</f>
        <v/>
      </c>
      <c r="AA504" s="20">
        <f>COUNTIFS(tData[SEHTrajectPeriodeDatumTijdVan],"&lt;="&amp;($A504+23/24),tData[SEHTrajectPeriodeDatumTijdTotEnMet],"&gt;"&amp;($A504+23/24))</f>
        <v/>
      </c>
    </row>
    <row r="505">
      <c r="A505" s="19" t="n">
        <v>45793</v>
      </c>
      <c r="B505" s="15">
        <f>WEEKDAY($A505,2)</f>
        <v/>
      </c>
      <c r="C505" s="15">
        <f>IF(AND($A505&gt;=INT(Instellingen!$B$5),$A505&lt;=INT(Instellingen!$B$6)),1,0)</f>
        <v/>
      </c>
      <c r="D505" s="20">
        <f>COUNTIFS(tData[SEHTrajectPeriodeDatumTijdVan],"&lt;="&amp;($A505+0/24),tData[SEHTrajectPeriodeDatumTijdTotEnMet],"&gt;"&amp;($A505+0/24))</f>
        <v/>
      </c>
      <c r="E505" s="20">
        <f>COUNTIFS(tData[SEHTrajectPeriodeDatumTijdVan],"&lt;="&amp;($A505+1/24),tData[SEHTrajectPeriodeDatumTijdTotEnMet],"&gt;"&amp;($A505+1/24))</f>
        <v/>
      </c>
      <c r="F505" s="20">
        <f>COUNTIFS(tData[SEHTrajectPeriodeDatumTijdVan],"&lt;="&amp;($A505+2/24),tData[SEHTrajectPeriodeDatumTijdTotEnMet],"&gt;"&amp;($A505+2/24))</f>
        <v/>
      </c>
      <c r="G505" s="20">
        <f>COUNTIFS(tData[SEHTrajectPeriodeDatumTijdVan],"&lt;="&amp;($A505+3/24),tData[SEHTrajectPeriodeDatumTijdTotEnMet],"&gt;"&amp;($A505+3/24))</f>
        <v/>
      </c>
      <c r="H505" s="20">
        <f>COUNTIFS(tData[SEHTrajectPeriodeDatumTijdVan],"&lt;="&amp;($A505+4/24),tData[SEHTrajectPeriodeDatumTijdTotEnMet],"&gt;"&amp;($A505+4/24))</f>
        <v/>
      </c>
      <c r="I505" s="20">
        <f>COUNTIFS(tData[SEHTrajectPeriodeDatumTijdVan],"&lt;="&amp;($A505+5/24),tData[SEHTrajectPeriodeDatumTijdTotEnMet],"&gt;"&amp;($A505+5/24))</f>
        <v/>
      </c>
      <c r="J505" s="20">
        <f>COUNTIFS(tData[SEHTrajectPeriodeDatumTijdVan],"&lt;="&amp;($A505+6/24),tData[SEHTrajectPeriodeDatumTijdTotEnMet],"&gt;"&amp;($A505+6/24))</f>
        <v/>
      </c>
      <c r="K505" s="20">
        <f>COUNTIFS(tData[SEHTrajectPeriodeDatumTijdVan],"&lt;="&amp;($A505+7/24),tData[SEHTrajectPeriodeDatumTijdTotEnMet],"&gt;"&amp;($A505+7/24))</f>
        <v/>
      </c>
      <c r="L505" s="20">
        <f>COUNTIFS(tData[SEHTrajectPeriodeDatumTijdVan],"&lt;="&amp;($A505+8/24),tData[SEHTrajectPeriodeDatumTijdTotEnMet],"&gt;"&amp;($A505+8/24))</f>
        <v/>
      </c>
      <c r="M505" s="20">
        <f>COUNTIFS(tData[SEHTrajectPeriodeDatumTijdVan],"&lt;="&amp;($A505+9/24),tData[SEHTrajectPeriodeDatumTijdTotEnMet],"&gt;"&amp;($A505+9/24))</f>
        <v/>
      </c>
      <c r="N505" s="20">
        <f>COUNTIFS(tData[SEHTrajectPeriodeDatumTijdVan],"&lt;="&amp;($A505+10/24),tData[SEHTrajectPeriodeDatumTijdTotEnMet],"&gt;"&amp;($A505+10/24))</f>
        <v/>
      </c>
      <c r="O505" s="20">
        <f>COUNTIFS(tData[SEHTrajectPeriodeDatumTijdVan],"&lt;="&amp;($A505+11/24),tData[SEHTrajectPeriodeDatumTijdTotEnMet],"&gt;"&amp;($A505+11/24))</f>
        <v/>
      </c>
      <c r="P505" s="20">
        <f>COUNTIFS(tData[SEHTrajectPeriodeDatumTijdVan],"&lt;="&amp;($A505+12/24),tData[SEHTrajectPeriodeDatumTijdTotEnMet],"&gt;"&amp;($A505+12/24))</f>
        <v/>
      </c>
      <c r="Q505" s="20">
        <f>COUNTIFS(tData[SEHTrajectPeriodeDatumTijdVan],"&lt;="&amp;($A505+13/24),tData[SEHTrajectPeriodeDatumTijdTotEnMet],"&gt;"&amp;($A505+13/24))</f>
        <v/>
      </c>
      <c r="R505" s="20">
        <f>COUNTIFS(tData[SEHTrajectPeriodeDatumTijdVan],"&lt;="&amp;($A505+14/24),tData[SEHTrajectPeriodeDatumTijdTotEnMet],"&gt;"&amp;($A505+14/24))</f>
        <v/>
      </c>
      <c r="S505" s="20">
        <f>COUNTIFS(tData[SEHTrajectPeriodeDatumTijdVan],"&lt;="&amp;($A505+15/24),tData[SEHTrajectPeriodeDatumTijdTotEnMet],"&gt;"&amp;($A505+15/24))</f>
        <v/>
      </c>
      <c r="T505" s="20">
        <f>COUNTIFS(tData[SEHTrajectPeriodeDatumTijdVan],"&lt;="&amp;($A505+16/24),tData[SEHTrajectPeriodeDatumTijdTotEnMet],"&gt;"&amp;($A505+16/24))</f>
        <v/>
      </c>
      <c r="U505" s="20">
        <f>COUNTIFS(tData[SEHTrajectPeriodeDatumTijdVan],"&lt;="&amp;($A505+17/24),tData[SEHTrajectPeriodeDatumTijdTotEnMet],"&gt;"&amp;($A505+17/24))</f>
        <v/>
      </c>
      <c r="V505" s="20">
        <f>COUNTIFS(tData[SEHTrajectPeriodeDatumTijdVan],"&lt;="&amp;($A505+18/24),tData[SEHTrajectPeriodeDatumTijdTotEnMet],"&gt;"&amp;($A505+18/24))</f>
        <v/>
      </c>
      <c r="W505" s="20">
        <f>COUNTIFS(tData[SEHTrajectPeriodeDatumTijdVan],"&lt;="&amp;($A505+19/24),tData[SEHTrajectPeriodeDatumTijdTotEnMet],"&gt;"&amp;($A505+19/24))</f>
        <v/>
      </c>
      <c r="X505" s="20">
        <f>COUNTIFS(tData[SEHTrajectPeriodeDatumTijdVan],"&lt;="&amp;($A505+20/24),tData[SEHTrajectPeriodeDatumTijdTotEnMet],"&gt;"&amp;($A505+20/24))</f>
        <v/>
      </c>
      <c r="Y505" s="20">
        <f>COUNTIFS(tData[SEHTrajectPeriodeDatumTijdVan],"&lt;="&amp;($A505+21/24),tData[SEHTrajectPeriodeDatumTijdTotEnMet],"&gt;"&amp;($A505+21/24))</f>
        <v/>
      </c>
      <c r="Z505" s="20">
        <f>COUNTIFS(tData[SEHTrajectPeriodeDatumTijdVan],"&lt;="&amp;($A505+22/24),tData[SEHTrajectPeriodeDatumTijdTotEnMet],"&gt;"&amp;($A505+22/24))</f>
        <v/>
      </c>
      <c r="AA505" s="20">
        <f>COUNTIFS(tData[SEHTrajectPeriodeDatumTijdVan],"&lt;="&amp;($A505+23/24),tData[SEHTrajectPeriodeDatumTijdTotEnMet],"&gt;"&amp;($A505+23/24))</f>
        <v/>
      </c>
    </row>
    <row r="506">
      <c r="A506" s="19" t="n">
        <v>45794</v>
      </c>
      <c r="B506" s="15">
        <f>WEEKDAY($A506,2)</f>
        <v/>
      </c>
      <c r="C506" s="15">
        <f>IF(AND($A506&gt;=INT(Instellingen!$B$5),$A506&lt;=INT(Instellingen!$B$6)),1,0)</f>
        <v/>
      </c>
      <c r="D506" s="20">
        <f>COUNTIFS(tData[SEHTrajectPeriodeDatumTijdVan],"&lt;="&amp;($A506+0/24),tData[SEHTrajectPeriodeDatumTijdTotEnMet],"&gt;"&amp;($A506+0/24))</f>
        <v/>
      </c>
      <c r="E506" s="20">
        <f>COUNTIFS(tData[SEHTrajectPeriodeDatumTijdVan],"&lt;="&amp;($A506+1/24),tData[SEHTrajectPeriodeDatumTijdTotEnMet],"&gt;"&amp;($A506+1/24))</f>
        <v/>
      </c>
      <c r="F506" s="20">
        <f>COUNTIFS(tData[SEHTrajectPeriodeDatumTijdVan],"&lt;="&amp;($A506+2/24),tData[SEHTrajectPeriodeDatumTijdTotEnMet],"&gt;"&amp;($A506+2/24))</f>
        <v/>
      </c>
      <c r="G506" s="20">
        <f>COUNTIFS(tData[SEHTrajectPeriodeDatumTijdVan],"&lt;="&amp;($A506+3/24),tData[SEHTrajectPeriodeDatumTijdTotEnMet],"&gt;"&amp;($A506+3/24))</f>
        <v/>
      </c>
      <c r="H506" s="20">
        <f>COUNTIFS(tData[SEHTrajectPeriodeDatumTijdVan],"&lt;="&amp;($A506+4/24),tData[SEHTrajectPeriodeDatumTijdTotEnMet],"&gt;"&amp;($A506+4/24))</f>
        <v/>
      </c>
      <c r="I506" s="20">
        <f>COUNTIFS(tData[SEHTrajectPeriodeDatumTijdVan],"&lt;="&amp;($A506+5/24),tData[SEHTrajectPeriodeDatumTijdTotEnMet],"&gt;"&amp;($A506+5/24))</f>
        <v/>
      </c>
      <c r="J506" s="20">
        <f>COUNTIFS(tData[SEHTrajectPeriodeDatumTijdVan],"&lt;="&amp;($A506+6/24),tData[SEHTrajectPeriodeDatumTijdTotEnMet],"&gt;"&amp;($A506+6/24))</f>
        <v/>
      </c>
      <c r="K506" s="20">
        <f>COUNTIFS(tData[SEHTrajectPeriodeDatumTijdVan],"&lt;="&amp;($A506+7/24),tData[SEHTrajectPeriodeDatumTijdTotEnMet],"&gt;"&amp;($A506+7/24))</f>
        <v/>
      </c>
      <c r="L506" s="20">
        <f>COUNTIFS(tData[SEHTrajectPeriodeDatumTijdVan],"&lt;="&amp;($A506+8/24),tData[SEHTrajectPeriodeDatumTijdTotEnMet],"&gt;"&amp;($A506+8/24))</f>
        <v/>
      </c>
      <c r="M506" s="20">
        <f>COUNTIFS(tData[SEHTrajectPeriodeDatumTijdVan],"&lt;="&amp;($A506+9/24),tData[SEHTrajectPeriodeDatumTijdTotEnMet],"&gt;"&amp;($A506+9/24))</f>
        <v/>
      </c>
      <c r="N506" s="20">
        <f>COUNTIFS(tData[SEHTrajectPeriodeDatumTijdVan],"&lt;="&amp;($A506+10/24),tData[SEHTrajectPeriodeDatumTijdTotEnMet],"&gt;"&amp;($A506+10/24))</f>
        <v/>
      </c>
      <c r="O506" s="20">
        <f>COUNTIFS(tData[SEHTrajectPeriodeDatumTijdVan],"&lt;="&amp;($A506+11/24),tData[SEHTrajectPeriodeDatumTijdTotEnMet],"&gt;"&amp;($A506+11/24))</f>
        <v/>
      </c>
      <c r="P506" s="20">
        <f>COUNTIFS(tData[SEHTrajectPeriodeDatumTijdVan],"&lt;="&amp;($A506+12/24),tData[SEHTrajectPeriodeDatumTijdTotEnMet],"&gt;"&amp;($A506+12/24))</f>
        <v/>
      </c>
      <c r="Q506" s="20">
        <f>COUNTIFS(tData[SEHTrajectPeriodeDatumTijdVan],"&lt;="&amp;($A506+13/24),tData[SEHTrajectPeriodeDatumTijdTotEnMet],"&gt;"&amp;($A506+13/24))</f>
        <v/>
      </c>
      <c r="R506" s="20">
        <f>COUNTIFS(tData[SEHTrajectPeriodeDatumTijdVan],"&lt;="&amp;($A506+14/24),tData[SEHTrajectPeriodeDatumTijdTotEnMet],"&gt;"&amp;($A506+14/24))</f>
        <v/>
      </c>
      <c r="S506" s="20">
        <f>COUNTIFS(tData[SEHTrajectPeriodeDatumTijdVan],"&lt;="&amp;($A506+15/24),tData[SEHTrajectPeriodeDatumTijdTotEnMet],"&gt;"&amp;($A506+15/24))</f>
        <v/>
      </c>
      <c r="T506" s="20">
        <f>COUNTIFS(tData[SEHTrajectPeriodeDatumTijdVan],"&lt;="&amp;($A506+16/24),tData[SEHTrajectPeriodeDatumTijdTotEnMet],"&gt;"&amp;($A506+16/24))</f>
        <v/>
      </c>
      <c r="U506" s="20">
        <f>COUNTIFS(tData[SEHTrajectPeriodeDatumTijdVan],"&lt;="&amp;($A506+17/24),tData[SEHTrajectPeriodeDatumTijdTotEnMet],"&gt;"&amp;($A506+17/24))</f>
        <v/>
      </c>
      <c r="V506" s="20">
        <f>COUNTIFS(tData[SEHTrajectPeriodeDatumTijdVan],"&lt;="&amp;($A506+18/24),tData[SEHTrajectPeriodeDatumTijdTotEnMet],"&gt;"&amp;($A506+18/24))</f>
        <v/>
      </c>
      <c r="W506" s="20">
        <f>COUNTIFS(tData[SEHTrajectPeriodeDatumTijdVan],"&lt;="&amp;($A506+19/24),tData[SEHTrajectPeriodeDatumTijdTotEnMet],"&gt;"&amp;($A506+19/24))</f>
        <v/>
      </c>
      <c r="X506" s="20">
        <f>COUNTIFS(tData[SEHTrajectPeriodeDatumTijdVan],"&lt;="&amp;($A506+20/24),tData[SEHTrajectPeriodeDatumTijdTotEnMet],"&gt;"&amp;($A506+20/24))</f>
        <v/>
      </c>
      <c r="Y506" s="20">
        <f>COUNTIFS(tData[SEHTrajectPeriodeDatumTijdVan],"&lt;="&amp;($A506+21/24),tData[SEHTrajectPeriodeDatumTijdTotEnMet],"&gt;"&amp;($A506+21/24))</f>
        <v/>
      </c>
      <c r="Z506" s="20">
        <f>COUNTIFS(tData[SEHTrajectPeriodeDatumTijdVan],"&lt;="&amp;($A506+22/24),tData[SEHTrajectPeriodeDatumTijdTotEnMet],"&gt;"&amp;($A506+22/24))</f>
        <v/>
      </c>
      <c r="AA506" s="20">
        <f>COUNTIFS(tData[SEHTrajectPeriodeDatumTijdVan],"&lt;="&amp;($A506+23/24),tData[SEHTrajectPeriodeDatumTijdTotEnMet],"&gt;"&amp;($A506+23/24))</f>
        <v/>
      </c>
    </row>
    <row r="507">
      <c r="A507" s="19" t="n">
        <v>45795</v>
      </c>
      <c r="B507" s="15">
        <f>WEEKDAY($A507,2)</f>
        <v/>
      </c>
      <c r="C507" s="15">
        <f>IF(AND($A507&gt;=INT(Instellingen!$B$5),$A507&lt;=INT(Instellingen!$B$6)),1,0)</f>
        <v/>
      </c>
      <c r="D507" s="20">
        <f>COUNTIFS(tData[SEHTrajectPeriodeDatumTijdVan],"&lt;="&amp;($A507+0/24),tData[SEHTrajectPeriodeDatumTijdTotEnMet],"&gt;"&amp;($A507+0/24))</f>
        <v/>
      </c>
      <c r="E507" s="20">
        <f>COUNTIFS(tData[SEHTrajectPeriodeDatumTijdVan],"&lt;="&amp;($A507+1/24),tData[SEHTrajectPeriodeDatumTijdTotEnMet],"&gt;"&amp;($A507+1/24))</f>
        <v/>
      </c>
      <c r="F507" s="20">
        <f>COUNTIFS(tData[SEHTrajectPeriodeDatumTijdVan],"&lt;="&amp;($A507+2/24),tData[SEHTrajectPeriodeDatumTijdTotEnMet],"&gt;"&amp;($A507+2/24))</f>
        <v/>
      </c>
      <c r="G507" s="20">
        <f>COUNTIFS(tData[SEHTrajectPeriodeDatumTijdVan],"&lt;="&amp;($A507+3/24),tData[SEHTrajectPeriodeDatumTijdTotEnMet],"&gt;"&amp;($A507+3/24))</f>
        <v/>
      </c>
      <c r="H507" s="20">
        <f>COUNTIFS(tData[SEHTrajectPeriodeDatumTijdVan],"&lt;="&amp;($A507+4/24),tData[SEHTrajectPeriodeDatumTijdTotEnMet],"&gt;"&amp;($A507+4/24))</f>
        <v/>
      </c>
      <c r="I507" s="20">
        <f>COUNTIFS(tData[SEHTrajectPeriodeDatumTijdVan],"&lt;="&amp;($A507+5/24),tData[SEHTrajectPeriodeDatumTijdTotEnMet],"&gt;"&amp;($A507+5/24))</f>
        <v/>
      </c>
      <c r="J507" s="20">
        <f>COUNTIFS(tData[SEHTrajectPeriodeDatumTijdVan],"&lt;="&amp;($A507+6/24),tData[SEHTrajectPeriodeDatumTijdTotEnMet],"&gt;"&amp;($A507+6/24))</f>
        <v/>
      </c>
      <c r="K507" s="20">
        <f>COUNTIFS(tData[SEHTrajectPeriodeDatumTijdVan],"&lt;="&amp;($A507+7/24),tData[SEHTrajectPeriodeDatumTijdTotEnMet],"&gt;"&amp;($A507+7/24))</f>
        <v/>
      </c>
      <c r="L507" s="20">
        <f>COUNTIFS(tData[SEHTrajectPeriodeDatumTijdVan],"&lt;="&amp;($A507+8/24),tData[SEHTrajectPeriodeDatumTijdTotEnMet],"&gt;"&amp;($A507+8/24))</f>
        <v/>
      </c>
      <c r="M507" s="20">
        <f>COUNTIFS(tData[SEHTrajectPeriodeDatumTijdVan],"&lt;="&amp;($A507+9/24),tData[SEHTrajectPeriodeDatumTijdTotEnMet],"&gt;"&amp;($A507+9/24))</f>
        <v/>
      </c>
      <c r="N507" s="20">
        <f>COUNTIFS(tData[SEHTrajectPeriodeDatumTijdVan],"&lt;="&amp;($A507+10/24),tData[SEHTrajectPeriodeDatumTijdTotEnMet],"&gt;"&amp;($A507+10/24))</f>
        <v/>
      </c>
      <c r="O507" s="20">
        <f>COUNTIFS(tData[SEHTrajectPeriodeDatumTijdVan],"&lt;="&amp;($A507+11/24),tData[SEHTrajectPeriodeDatumTijdTotEnMet],"&gt;"&amp;($A507+11/24))</f>
        <v/>
      </c>
      <c r="P507" s="20">
        <f>COUNTIFS(tData[SEHTrajectPeriodeDatumTijdVan],"&lt;="&amp;($A507+12/24),tData[SEHTrajectPeriodeDatumTijdTotEnMet],"&gt;"&amp;($A507+12/24))</f>
        <v/>
      </c>
      <c r="Q507" s="20">
        <f>COUNTIFS(tData[SEHTrajectPeriodeDatumTijdVan],"&lt;="&amp;($A507+13/24),tData[SEHTrajectPeriodeDatumTijdTotEnMet],"&gt;"&amp;($A507+13/24))</f>
        <v/>
      </c>
      <c r="R507" s="20">
        <f>COUNTIFS(tData[SEHTrajectPeriodeDatumTijdVan],"&lt;="&amp;($A507+14/24),tData[SEHTrajectPeriodeDatumTijdTotEnMet],"&gt;"&amp;($A507+14/24))</f>
        <v/>
      </c>
      <c r="S507" s="20">
        <f>COUNTIFS(tData[SEHTrajectPeriodeDatumTijdVan],"&lt;="&amp;($A507+15/24),tData[SEHTrajectPeriodeDatumTijdTotEnMet],"&gt;"&amp;($A507+15/24))</f>
        <v/>
      </c>
      <c r="T507" s="20">
        <f>COUNTIFS(tData[SEHTrajectPeriodeDatumTijdVan],"&lt;="&amp;($A507+16/24),tData[SEHTrajectPeriodeDatumTijdTotEnMet],"&gt;"&amp;($A507+16/24))</f>
        <v/>
      </c>
      <c r="U507" s="20">
        <f>COUNTIFS(tData[SEHTrajectPeriodeDatumTijdVan],"&lt;="&amp;($A507+17/24),tData[SEHTrajectPeriodeDatumTijdTotEnMet],"&gt;"&amp;($A507+17/24))</f>
        <v/>
      </c>
      <c r="V507" s="20">
        <f>COUNTIFS(tData[SEHTrajectPeriodeDatumTijdVan],"&lt;="&amp;($A507+18/24),tData[SEHTrajectPeriodeDatumTijdTotEnMet],"&gt;"&amp;($A507+18/24))</f>
        <v/>
      </c>
      <c r="W507" s="20">
        <f>COUNTIFS(tData[SEHTrajectPeriodeDatumTijdVan],"&lt;="&amp;($A507+19/24),tData[SEHTrajectPeriodeDatumTijdTotEnMet],"&gt;"&amp;($A507+19/24))</f>
        <v/>
      </c>
      <c r="X507" s="20">
        <f>COUNTIFS(tData[SEHTrajectPeriodeDatumTijdVan],"&lt;="&amp;($A507+20/24),tData[SEHTrajectPeriodeDatumTijdTotEnMet],"&gt;"&amp;($A507+20/24))</f>
        <v/>
      </c>
      <c r="Y507" s="20">
        <f>COUNTIFS(tData[SEHTrajectPeriodeDatumTijdVan],"&lt;="&amp;($A507+21/24),tData[SEHTrajectPeriodeDatumTijdTotEnMet],"&gt;"&amp;($A507+21/24))</f>
        <v/>
      </c>
      <c r="Z507" s="20">
        <f>COUNTIFS(tData[SEHTrajectPeriodeDatumTijdVan],"&lt;="&amp;($A507+22/24),tData[SEHTrajectPeriodeDatumTijdTotEnMet],"&gt;"&amp;($A507+22/24))</f>
        <v/>
      </c>
      <c r="AA507" s="20">
        <f>COUNTIFS(tData[SEHTrajectPeriodeDatumTijdVan],"&lt;="&amp;($A507+23/24),tData[SEHTrajectPeriodeDatumTijdTotEnMet],"&gt;"&amp;($A507+23/24))</f>
        <v/>
      </c>
    </row>
    <row r="508">
      <c r="A508" s="19" t="n">
        <v>45796</v>
      </c>
      <c r="B508" s="15">
        <f>WEEKDAY($A508,2)</f>
        <v/>
      </c>
      <c r="C508" s="15">
        <f>IF(AND($A508&gt;=INT(Instellingen!$B$5),$A508&lt;=INT(Instellingen!$B$6)),1,0)</f>
        <v/>
      </c>
      <c r="D508" s="20">
        <f>COUNTIFS(tData[SEHTrajectPeriodeDatumTijdVan],"&lt;="&amp;($A508+0/24),tData[SEHTrajectPeriodeDatumTijdTotEnMet],"&gt;"&amp;($A508+0/24))</f>
        <v/>
      </c>
      <c r="E508" s="20">
        <f>COUNTIFS(tData[SEHTrajectPeriodeDatumTijdVan],"&lt;="&amp;($A508+1/24),tData[SEHTrajectPeriodeDatumTijdTotEnMet],"&gt;"&amp;($A508+1/24))</f>
        <v/>
      </c>
      <c r="F508" s="20">
        <f>COUNTIFS(tData[SEHTrajectPeriodeDatumTijdVan],"&lt;="&amp;($A508+2/24),tData[SEHTrajectPeriodeDatumTijdTotEnMet],"&gt;"&amp;($A508+2/24))</f>
        <v/>
      </c>
      <c r="G508" s="20">
        <f>COUNTIFS(tData[SEHTrajectPeriodeDatumTijdVan],"&lt;="&amp;($A508+3/24),tData[SEHTrajectPeriodeDatumTijdTotEnMet],"&gt;"&amp;($A508+3/24))</f>
        <v/>
      </c>
      <c r="H508" s="20">
        <f>COUNTIFS(tData[SEHTrajectPeriodeDatumTijdVan],"&lt;="&amp;($A508+4/24),tData[SEHTrajectPeriodeDatumTijdTotEnMet],"&gt;"&amp;($A508+4/24))</f>
        <v/>
      </c>
      <c r="I508" s="20">
        <f>COUNTIFS(tData[SEHTrajectPeriodeDatumTijdVan],"&lt;="&amp;($A508+5/24),tData[SEHTrajectPeriodeDatumTijdTotEnMet],"&gt;"&amp;($A508+5/24))</f>
        <v/>
      </c>
      <c r="J508" s="20">
        <f>COUNTIFS(tData[SEHTrajectPeriodeDatumTijdVan],"&lt;="&amp;($A508+6/24),tData[SEHTrajectPeriodeDatumTijdTotEnMet],"&gt;"&amp;($A508+6/24))</f>
        <v/>
      </c>
      <c r="K508" s="20">
        <f>COUNTIFS(tData[SEHTrajectPeriodeDatumTijdVan],"&lt;="&amp;($A508+7/24),tData[SEHTrajectPeriodeDatumTijdTotEnMet],"&gt;"&amp;($A508+7/24))</f>
        <v/>
      </c>
      <c r="L508" s="20">
        <f>COUNTIFS(tData[SEHTrajectPeriodeDatumTijdVan],"&lt;="&amp;($A508+8/24),tData[SEHTrajectPeriodeDatumTijdTotEnMet],"&gt;"&amp;($A508+8/24))</f>
        <v/>
      </c>
      <c r="M508" s="20">
        <f>COUNTIFS(tData[SEHTrajectPeriodeDatumTijdVan],"&lt;="&amp;($A508+9/24),tData[SEHTrajectPeriodeDatumTijdTotEnMet],"&gt;"&amp;($A508+9/24))</f>
        <v/>
      </c>
      <c r="N508" s="20">
        <f>COUNTIFS(tData[SEHTrajectPeriodeDatumTijdVan],"&lt;="&amp;($A508+10/24),tData[SEHTrajectPeriodeDatumTijdTotEnMet],"&gt;"&amp;($A508+10/24))</f>
        <v/>
      </c>
      <c r="O508" s="20">
        <f>COUNTIFS(tData[SEHTrajectPeriodeDatumTijdVan],"&lt;="&amp;($A508+11/24),tData[SEHTrajectPeriodeDatumTijdTotEnMet],"&gt;"&amp;($A508+11/24))</f>
        <v/>
      </c>
      <c r="P508" s="20">
        <f>COUNTIFS(tData[SEHTrajectPeriodeDatumTijdVan],"&lt;="&amp;($A508+12/24),tData[SEHTrajectPeriodeDatumTijdTotEnMet],"&gt;"&amp;($A508+12/24))</f>
        <v/>
      </c>
      <c r="Q508" s="20">
        <f>COUNTIFS(tData[SEHTrajectPeriodeDatumTijdVan],"&lt;="&amp;($A508+13/24),tData[SEHTrajectPeriodeDatumTijdTotEnMet],"&gt;"&amp;($A508+13/24))</f>
        <v/>
      </c>
      <c r="R508" s="20">
        <f>COUNTIFS(tData[SEHTrajectPeriodeDatumTijdVan],"&lt;="&amp;($A508+14/24),tData[SEHTrajectPeriodeDatumTijdTotEnMet],"&gt;"&amp;($A508+14/24))</f>
        <v/>
      </c>
      <c r="S508" s="20">
        <f>COUNTIFS(tData[SEHTrajectPeriodeDatumTijdVan],"&lt;="&amp;($A508+15/24),tData[SEHTrajectPeriodeDatumTijdTotEnMet],"&gt;"&amp;($A508+15/24))</f>
        <v/>
      </c>
      <c r="T508" s="20">
        <f>COUNTIFS(tData[SEHTrajectPeriodeDatumTijdVan],"&lt;="&amp;($A508+16/24),tData[SEHTrajectPeriodeDatumTijdTotEnMet],"&gt;"&amp;($A508+16/24))</f>
        <v/>
      </c>
      <c r="U508" s="20">
        <f>COUNTIFS(tData[SEHTrajectPeriodeDatumTijdVan],"&lt;="&amp;($A508+17/24),tData[SEHTrajectPeriodeDatumTijdTotEnMet],"&gt;"&amp;($A508+17/24))</f>
        <v/>
      </c>
      <c r="V508" s="20">
        <f>COUNTIFS(tData[SEHTrajectPeriodeDatumTijdVan],"&lt;="&amp;($A508+18/24),tData[SEHTrajectPeriodeDatumTijdTotEnMet],"&gt;"&amp;($A508+18/24))</f>
        <v/>
      </c>
      <c r="W508" s="20">
        <f>COUNTIFS(tData[SEHTrajectPeriodeDatumTijdVan],"&lt;="&amp;($A508+19/24),tData[SEHTrajectPeriodeDatumTijdTotEnMet],"&gt;"&amp;($A508+19/24))</f>
        <v/>
      </c>
      <c r="X508" s="20">
        <f>COUNTIFS(tData[SEHTrajectPeriodeDatumTijdVan],"&lt;="&amp;($A508+20/24),tData[SEHTrajectPeriodeDatumTijdTotEnMet],"&gt;"&amp;($A508+20/24))</f>
        <v/>
      </c>
      <c r="Y508" s="20">
        <f>COUNTIFS(tData[SEHTrajectPeriodeDatumTijdVan],"&lt;="&amp;($A508+21/24),tData[SEHTrajectPeriodeDatumTijdTotEnMet],"&gt;"&amp;($A508+21/24))</f>
        <v/>
      </c>
      <c r="Z508" s="20">
        <f>COUNTIFS(tData[SEHTrajectPeriodeDatumTijdVan],"&lt;="&amp;($A508+22/24),tData[SEHTrajectPeriodeDatumTijdTotEnMet],"&gt;"&amp;($A508+22/24))</f>
        <v/>
      </c>
      <c r="AA508" s="20">
        <f>COUNTIFS(tData[SEHTrajectPeriodeDatumTijdVan],"&lt;="&amp;($A508+23/24),tData[SEHTrajectPeriodeDatumTijdTotEnMet],"&gt;"&amp;($A508+23/24))</f>
        <v/>
      </c>
    </row>
    <row r="509">
      <c r="A509" s="19" t="n">
        <v>45797</v>
      </c>
      <c r="B509" s="15">
        <f>WEEKDAY($A509,2)</f>
        <v/>
      </c>
      <c r="C509" s="15">
        <f>IF(AND($A509&gt;=INT(Instellingen!$B$5),$A509&lt;=INT(Instellingen!$B$6)),1,0)</f>
        <v/>
      </c>
      <c r="D509" s="20">
        <f>COUNTIFS(tData[SEHTrajectPeriodeDatumTijdVan],"&lt;="&amp;($A509+0/24),tData[SEHTrajectPeriodeDatumTijdTotEnMet],"&gt;"&amp;($A509+0/24))</f>
        <v/>
      </c>
      <c r="E509" s="20">
        <f>COUNTIFS(tData[SEHTrajectPeriodeDatumTijdVan],"&lt;="&amp;($A509+1/24),tData[SEHTrajectPeriodeDatumTijdTotEnMet],"&gt;"&amp;($A509+1/24))</f>
        <v/>
      </c>
      <c r="F509" s="20">
        <f>COUNTIFS(tData[SEHTrajectPeriodeDatumTijdVan],"&lt;="&amp;($A509+2/24),tData[SEHTrajectPeriodeDatumTijdTotEnMet],"&gt;"&amp;($A509+2/24))</f>
        <v/>
      </c>
      <c r="G509" s="20">
        <f>COUNTIFS(tData[SEHTrajectPeriodeDatumTijdVan],"&lt;="&amp;($A509+3/24),tData[SEHTrajectPeriodeDatumTijdTotEnMet],"&gt;"&amp;($A509+3/24))</f>
        <v/>
      </c>
      <c r="H509" s="20">
        <f>COUNTIFS(tData[SEHTrajectPeriodeDatumTijdVan],"&lt;="&amp;($A509+4/24),tData[SEHTrajectPeriodeDatumTijdTotEnMet],"&gt;"&amp;($A509+4/24))</f>
        <v/>
      </c>
      <c r="I509" s="20">
        <f>COUNTIFS(tData[SEHTrajectPeriodeDatumTijdVan],"&lt;="&amp;($A509+5/24),tData[SEHTrajectPeriodeDatumTijdTotEnMet],"&gt;"&amp;($A509+5/24))</f>
        <v/>
      </c>
      <c r="J509" s="20">
        <f>COUNTIFS(tData[SEHTrajectPeriodeDatumTijdVan],"&lt;="&amp;($A509+6/24),tData[SEHTrajectPeriodeDatumTijdTotEnMet],"&gt;"&amp;($A509+6/24))</f>
        <v/>
      </c>
      <c r="K509" s="20">
        <f>COUNTIFS(tData[SEHTrajectPeriodeDatumTijdVan],"&lt;="&amp;($A509+7/24),tData[SEHTrajectPeriodeDatumTijdTotEnMet],"&gt;"&amp;($A509+7/24))</f>
        <v/>
      </c>
      <c r="L509" s="20">
        <f>COUNTIFS(tData[SEHTrajectPeriodeDatumTijdVan],"&lt;="&amp;($A509+8/24),tData[SEHTrajectPeriodeDatumTijdTotEnMet],"&gt;"&amp;($A509+8/24))</f>
        <v/>
      </c>
      <c r="M509" s="20">
        <f>COUNTIFS(tData[SEHTrajectPeriodeDatumTijdVan],"&lt;="&amp;($A509+9/24),tData[SEHTrajectPeriodeDatumTijdTotEnMet],"&gt;"&amp;($A509+9/24))</f>
        <v/>
      </c>
      <c r="N509" s="20">
        <f>COUNTIFS(tData[SEHTrajectPeriodeDatumTijdVan],"&lt;="&amp;($A509+10/24),tData[SEHTrajectPeriodeDatumTijdTotEnMet],"&gt;"&amp;($A509+10/24))</f>
        <v/>
      </c>
      <c r="O509" s="20">
        <f>COUNTIFS(tData[SEHTrajectPeriodeDatumTijdVan],"&lt;="&amp;($A509+11/24),tData[SEHTrajectPeriodeDatumTijdTotEnMet],"&gt;"&amp;($A509+11/24))</f>
        <v/>
      </c>
      <c r="P509" s="20">
        <f>COUNTIFS(tData[SEHTrajectPeriodeDatumTijdVan],"&lt;="&amp;($A509+12/24),tData[SEHTrajectPeriodeDatumTijdTotEnMet],"&gt;"&amp;($A509+12/24))</f>
        <v/>
      </c>
      <c r="Q509" s="20">
        <f>COUNTIFS(tData[SEHTrajectPeriodeDatumTijdVan],"&lt;="&amp;($A509+13/24),tData[SEHTrajectPeriodeDatumTijdTotEnMet],"&gt;"&amp;($A509+13/24))</f>
        <v/>
      </c>
      <c r="R509" s="20">
        <f>COUNTIFS(tData[SEHTrajectPeriodeDatumTijdVan],"&lt;="&amp;($A509+14/24),tData[SEHTrajectPeriodeDatumTijdTotEnMet],"&gt;"&amp;($A509+14/24))</f>
        <v/>
      </c>
      <c r="S509" s="20">
        <f>COUNTIFS(tData[SEHTrajectPeriodeDatumTijdVan],"&lt;="&amp;($A509+15/24),tData[SEHTrajectPeriodeDatumTijdTotEnMet],"&gt;"&amp;($A509+15/24))</f>
        <v/>
      </c>
      <c r="T509" s="20">
        <f>COUNTIFS(tData[SEHTrajectPeriodeDatumTijdVan],"&lt;="&amp;($A509+16/24),tData[SEHTrajectPeriodeDatumTijdTotEnMet],"&gt;"&amp;($A509+16/24))</f>
        <v/>
      </c>
      <c r="U509" s="20">
        <f>COUNTIFS(tData[SEHTrajectPeriodeDatumTijdVan],"&lt;="&amp;($A509+17/24),tData[SEHTrajectPeriodeDatumTijdTotEnMet],"&gt;"&amp;($A509+17/24))</f>
        <v/>
      </c>
      <c r="V509" s="20">
        <f>COUNTIFS(tData[SEHTrajectPeriodeDatumTijdVan],"&lt;="&amp;($A509+18/24),tData[SEHTrajectPeriodeDatumTijdTotEnMet],"&gt;"&amp;($A509+18/24))</f>
        <v/>
      </c>
      <c r="W509" s="20">
        <f>COUNTIFS(tData[SEHTrajectPeriodeDatumTijdVan],"&lt;="&amp;($A509+19/24),tData[SEHTrajectPeriodeDatumTijdTotEnMet],"&gt;"&amp;($A509+19/24))</f>
        <v/>
      </c>
      <c r="X509" s="20">
        <f>COUNTIFS(tData[SEHTrajectPeriodeDatumTijdVan],"&lt;="&amp;($A509+20/24),tData[SEHTrajectPeriodeDatumTijdTotEnMet],"&gt;"&amp;($A509+20/24))</f>
        <v/>
      </c>
      <c r="Y509" s="20">
        <f>COUNTIFS(tData[SEHTrajectPeriodeDatumTijdVan],"&lt;="&amp;($A509+21/24),tData[SEHTrajectPeriodeDatumTijdTotEnMet],"&gt;"&amp;($A509+21/24))</f>
        <v/>
      </c>
      <c r="Z509" s="20">
        <f>COUNTIFS(tData[SEHTrajectPeriodeDatumTijdVan],"&lt;="&amp;($A509+22/24),tData[SEHTrajectPeriodeDatumTijdTotEnMet],"&gt;"&amp;($A509+22/24))</f>
        <v/>
      </c>
      <c r="AA509" s="20">
        <f>COUNTIFS(tData[SEHTrajectPeriodeDatumTijdVan],"&lt;="&amp;($A509+23/24),tData[SEHTrajectPeriodeDatumTijdTotEnMet],"&gt;"&amp;($A509+23/24))</f>
        <v/>
      </c>
    </row>
    <row r="510">
      <c r="A510" s="19" t="n">
        <v>45798</v>
      </c>
      <c r="B510" s="15">
        <f>WEEKDAY($A510,2)</f>
        <v/>
      </c>
      <c r="C510" s="15">
        <f>IF(AND($A510&gt;=INT(Instellingen!$B$5),$A510&lt;=INT(Instellingen!$B$6)),1,0)</f>
        <v/>
      </c>
      <c r="D510" s="20">
        <f>COUNTIFS(tData[SEHTrajectPeriodeDatumTijdVan],"&lt;="&amp;($A510+0/24),tData[SEHTrajectPeriodeDatumTijdTotEnMet],"&gt;"&amp;($A510+0/24))</f>
        <v/>
      </c>
      <c r="E510" s="20">
        <f>COUNTIFS(tData[SEHTrajectPeriodeDatumTijdVan],"&lt;="&amp;($A510+1/24),tData[SEHTrajectPeriodeDatumTijdTotEnMet],"&gt;"&amp;($A510+1/24))</f>
        <v/>
      </c>
      <c r="F510" s="20">
        <f>COUNTIFS(tData[SEHTrajectPeriodeDatumTijdVan],"&lt;="&amp;($A510+2/24),tData[SEHTrajectPeriodeDatumTijdTotEnMet],"&gt;"&amp;($A510+2/24))</f>
        <v/>
      </c>
      <c r="G510" s="20">
        <f>COUNTIFS(tData[SEHTrajectPeriodeDatumTijdVan],"&lt;="&amp;($A510+3/24),tData[SEHTrajectPeriodeDatumTijdTotEnMet],"&gt;"&amp;($A510+3/24))</f>
        <v/>
      </c>
      <c r="H510" s="20">
        <f>COUNTIFS(tData[SEHTrajectPeriodeDatumTijdVan],"&lt;="&amp;($A510+4/24),tData[SEHTrajectPeriodeDatumTijdTotEnMet],"&gt;"&amp;($A510+4/24))</f>
        <v/>
      </c>
      <c r="I510" s="20">
        <f>COUNTIFS(tData[SEHTrajectPeriodeDatumTijdVan],"&lt;="&amp;($A510+5/24),tData[SEHTrajectPeriodeDatumTijdTotEnMet],"&gt;"&amp;($A510+5/24))</f>
        <v/>
      </c>
      <c r="J510" s="20">
        <f>COUNTIFS(tData[SEHTrajectPeriodeDatumTijdVan],"&lt;="&amp;($A510+6/24),tData[SEHTrajectPeriodeDatumTijdTotEnMet],"&gt;"&amp;($A510+6/24))</f>
        <v/>
      </c>
      <c r="K510" s="20">
        <f>COUNTIFS(tData[SEHTrajectPeriodeDatumTijdVan],"&lt;="&amp;($A510+7/24),tData[SEHTrajectPeriodeDatumTijdTotEnMet],"&gt;"&amp;($A510+7/24))</f>
        <v/>
      </c>
      <c r="L510" s="20">
        <f>COUNTIFS(tData[SEHTrajectPeriodeDatumTijdVan],"&lt;="&amp;($A510+8/24),tData[SEHTrajectPeriodeDatumTijdTotEnMet],"&gt;"&amp;($A510+8/24))</f>
        <v/>
      </c>
      <c r="M510" s="20">
        <f>COUNTIFS(tData[SEHTrajectPeriodeDatumTijdVan],"&lt;="&amp;($A510+9/24),tData[SEHTrajectPeriodeDatumTijdTotEnMet],"&gt;"&amp;($A510+9/24))</f>
        <v/>
      </c>
      <c r="N510" s="20">
        <f>COUNTIFS(tData[SEHTrajectPeriodeDatumTijdVan],"&lt;="&amp;($A510+10/24),tData[SEHTrajectPeriodeDatumTijdTotEnMet],"&gt;"&amp;($A510+10/24))</f>
        <v/>
      </c>
      <c r="O510" s="20">
        <f>COUNTIFS(tData[SEHTrajectPeriodeDatumTijdVan],"&lt;="&amp;($A510+11/24),tData[SEHTrajectPeriodeDatumTijdTotEnMet],"&gt;"&amp;($A510+11/24))</f>
        <v/>
      </c>
      <c r="P510" s="20">
        <f>COUNTIFS(tData[SEHTrajectPeriodeDatumTijdVan],"&lt;="&amp;($A510+12/24),tData[SEHTrajectPeriodeDatumTijdTotEnMet],"&gt;"&amp;($A510+12/24))</f>
        <v/>
      </c>
      <c r="Q510" s="20">
        <f>COUNTIFS(tData[SEHTrajectPeriodeDatumTijdVan],"&lt;="&amp;($A510+13/24),tData[SEHTrajectPeriodeDatumTijdTotEnMet],"&gt;"&amp;($A510+13/24))</f>
        <v/>
      </c>
      <c r="R510" s="20">
        <f>COUNTIFS(tData[SEHTrajectPeriodeDatumTijdVan],"&lt;="&amp;($A510+14/24),tData[SEHTrajectPeriodeDatumTijdTotEnMet],"&gt;"&amp;($A510+14/24))</f>
        <v/>
      </c>
      <c r="S510" s="20">
        <f>COUNTIFS(tData[SEHTrajectPeriodeDatumTijdVan],"&lt;="&amp;($A510+15/24),tData[SEHTrajectPeriodeDatumTijdTotEnMet],"&gt;"&amp;($A510+15/24))</f>
        <v/>
      </c>
      <c r="T510" s="20">
        <f>COUNTIFS(tData[SEHTrajectPeriodeDatumTijdVan],"&lt;="&amp;($A510+16/24),tData[SEHTrajectPeriodeDatumTijdTotEnMet],"&gt;"&amp;($A510+16/24))</f>
        <v/>
      </c>
      <c r="U510" s="20">
        <f>COUNTIFS(tData[SEHTrajectPeriodeDatumTijdVan],"&lt;="&amp;($A510+17/24),tData[SEHTrajectPeriodeDatumTijdTotEnMet],"&gt;"&amp;($A510+17/24))</f>
        <v/>
      </c>
      <c r="V510" s="20">
        <f>COUNTIFS(tData[SEHTrajectPeriodeDatumTijdVan],"&lt;="&amp;($A510+18/24),tData[SEHTrajectPeriodeDatumTijdTotEnMet],"&gt;"&amp;($A510+18/24))</f>
        <v/>
      </c>
      <c r="W510" s="20">
        <f>COUNTIFS(tData[SEHTrajectPeriodeDatumTijdVan],"&lt;="&amp;($A510+19/24),tData[SEHTrajectPeriodeDatumTijdTotEnMet],"&gt;"&amp;($A510+19/24))</f>
        <v/>
      </c>
      <c r="X510" s="20">
        <f>COUNTIFS(tData[SEHTrajectPeriodeDatumTijdVan],"&lt;="&amp;($A510+20/24),tData[SEHTrajectPeriodeDatumTijdTotEnMet],"&gt;"&amp;($A510+20/24))</f>
        <v/>
      </c>
      <c r="Y510" s="20">
        <f>COUNTIFS(tData[SEHTrajectPeriodeDatumTijdVan],"&lt;="&amp;($A510+21/24),tData[SEHTrajectPeriodeDatumTijdTotEnMet],"&gt;"&amp;($A510+21/24))</f>
        <v/>
      </c>
      <c r="Z510" s="20">
        <f>COUNTIFS(tData[SEHTrajectPeriodeDatumTijdVan],"&lt;="&amp;($A510+22/24),tData[SEHTrajectPeriodeDatumTijdTotEnMet],"&gt;"&amp;($A510+22/24))</f>
        <v/>
      </c>
      <c r="AA510" s="20">
        <f>COUNTIFS(tData[SEHTrajectPeriodeDatumTijdVan],"&lt;="&amp;($A510+23/24),tData[SEHTrajectPeriodeDatumTijdTotEnMet],"&gt;"&amp;($A510+23/24))</f>
        <v/>
      </c>
    </row>
    <row r="511">
      <c r="A511" s="19" t="n">
        <v>45799</v>
      </c>
      <c r="B511" s="15">
        <f>WEEKDAY($A511,2)</f>
        <v/>
      </c>
      <c r="C511" s="15">
        <f>IF(AND($A511&gt;=INT(Instellingen!$B$5),$A511&lt;=INT(Instellingen!$B$6)),1,0)</f>
        <v/>
      </c>
      <c r="D511" s="20">
        <f>COUNTIFS(tData[SEHTrajectPeriodeDatumTijdVan],"&lt;="&amp;($A511+0/24),tData[SEHTrajectPeriodeDatumTijdTotEnMet],"&gt;"&amp;($A511+0/24))</f>
        <v/>
      </c>
      <c r="E511" s="20">
        <f>COUNTIFS(tData[SEHTrajectPeriodeDatumTijdVan],"&lt;="&amp;($A511+1/24),tData[SEHTrajectPeriodeDatumTijdTotEnMet],"&gt;"&amp;($A511+1/24))</f>
        <v/>
      </c>
      <c r="F511" s="20">
        <f>COUNTIFS(tData[SEHTrajectPeriodeDatumTijdVan],"&lt;="&amp;($A511+2/24),tData[SEHTrajectPeriodeDatumTijdTotEnMet],"&gt;"&amp;($A511+2/24))</f>
        <v/>
      </c>
      <c r="G511" s="20">
        <f>COUNTIFS(tData[SEHTrajectPeriodeDatumTijdVan],"&lt;="&amp;($A511+3/24),tData[SEHTrajectPeriodeDatumTijdTotEnMet],"&gt;"&amp;($A511+3/24))</f>
        <v/>
      </c>
      <c r="H511" s="20">
        <f>COUNTIFS(tData[SEHTrajectPeriodeDatumTijdVan],"&lt;="&amp;($A511+4/24),tData[SEHTrajectPeriodeDatumTijdTotEnMet],"&gt;"&amp;($A511+4/24))</f>
        <v/>
      </c>
      <c r="I511" s="20">
        <f>COUNTIFS(tData[SEHTrajectPeriodeDatumTijdVan],"&lt;="&amp;($A511+5/24),tData[SEHTrajectPeriodeDatumTijdTotEnMet],"&gt;"&amp;($A511+5/24))</f>
        <v/>
      </c>
      <c r="J511" s="20">
        <f>COUNTIFS(tData[SEHTrajectPeriodeDatumTijdVan],"&lt;="&amp;($A511+6/24),tData[SEHTrajectPeriodeDatumTijdTotEnMet],"&gt;"&amp;($A511+6/24))</f>
        <v/>
      </c>
      <c r="K511" s="20">
        <f>COUNTIFS(tData[SEHTrajectPeriodeDatumTijdVan],"&lt;="&amp;($A511+7/24),tData[SEHTrajectPeriodeDatumTijdTotEnMet],"&gt;"&amp;($A511+7/24))</f>
        <v/>
      </c>
      <c r="L511" s="20">
        <f>COUNTIFS(tData[SEHTrajectPeriodeDatumTijdVan],"&lt;="&amp;($A511+8/24),tData[SEHTrajectPeriodeDatumTijdTotEnMet],"&gt;"&amp;($A511+8/24))</f>
        <v/>
      </c>
      <c r="M511" s="20">
        <f>COUNTIFS(tData[SEHTrajectPeriodeDatumTijdVan],"&lt;="&amp;($A511+9/24),tData[SEHTrajectPeriodeDatumTijdTotEnMet],"&gt;"&amp;($A511+9/24))</f>
        <v/>
      </c>
      <c r="N511" s="20">
        <f>COUNTIFS(tData[SEHTrajectPeriodeDatumTijdVan],"&lt;="&amp;($A511+10/24),tData[SEHTrajectPeriodeDatumTijdTotEnMet],"&gt;"&amp;($A511+10/24))</f>
        <v/>
      </c>
      <c r="O511" s="20">
        <f>COUNTIFS(tData[SEHTrajectPeriodeDatumTijdVan],"&lt;="&amp;($A511+11/24),tData[SEHTrajectPeriodeDatumTijdTotEnMet],"&gt;"&amp;($A511+11/24))</f>
        <v/>
      </c>
      <c r="P511" s="20">
        <f>COUNTIFS(tData[SEHTrajectPeriodeDatumTijdVan],"&lt;="&amp;($A511+12/24),tData[SEHTrajectPeriodeDatumTijdTotEnMet],"&gt;"&amp;($A511+12/24))</f>
        <v/>
      </c>
      <c r="Q511" s="20">
        <f>COUNTIFS(tData[SEHTrajectPeriodeDatumTijdVan],"&lt;="&amp;($A511+13/24),tData[SEHTrajectPeriodeDatumTijdTotEnMet],"&gt;"&amp;($A511+13/24))</f>
        <v/>
      </c>
      <c r="R511" s="20">
        <f>COUNTIFS(tData[SEHTrajectPeriodeDatumTijdVan],"&lt;="&amp;($A511+14/24),tData[SEHTrajectPeriodeDatumTijdTotEnMet],"&gt;"&amp;($A511+14/24))</f>
        <v/>
      </c>
      <c r="S511" s="20">
        <f>COUNTIFS(tData[SEHTrajectPeriodeDatumTijdVan],"&lt;="&amp;($A511+15/24),tData[SEHTrajectPeriodeDatumTijdTotEnMet],"&gt;"&amp;($A511+15/24))</f>
        <v/>
      </c>
      <c r="T511" s="20">
        <f>COUNTIFS(tData[SEHTrajectPeriodeDatumTijdVan],"&lt;="&amp;($A511+16/24),tData[SEHTrajectPeriodeDatumTijdTotEnMet],"&gt;"&amp;($A511+16/24))</f>
        <v/>
      </c>
      <c r="U511" s="20">
        <f>COUNTIFS(tData[SEHTrajectPeriodeDatumTijdVan],"&lt;="&amp;($A511+17/24),tData[SEHTrajectPeriodeDatumTijdTotEnMet],"&gt;"&amp;($A511+17/24))</f>
        <v/>
      </c>
      <c r="V511" s="20">
        <f>COUNTIFS(tData[SEHTrajectPeriodeDatumTijdVan],"&lt;="&amp;($A511+18/24),tData[SEHTrajectPeriodeDatumTijdTotEnMet],"&gt;"&amp;($A511+18/24))</f>
        <v/>
      </c>
      <c r="W511" s="20">
        <f>COUNTIFS(tData[SEHTrajectPeriodeDatumTijdVan],"&lt;="&amp;($A511+19/24),tData[SEHTrajectPeriodeDatumTijdTotEnMet],"&gt;"&amp;($A511+19/24))</f>
        <v/>
      </c>
      <c r="X511" s="20">
        <f>COUNTIFS(tData[SEHTrajectPeriodeDatumTijdVan],"&lt;="&amp;($A511+20/24),tData[SEHTrajectPeriodeDatumTijdTotEnMet],"&gt;"&amp;($A511+20/24))</f>
        <v/>
      </c>
      <c r="Y511" s="20">
        <f>COUNTIFS(tData[SEHTrajectPeriodeDatumTijdVan],"&lt;="&amp;($A511+21/24),tData[SEHTrajectPeriodeDatumTijdTotEnMet],"&gt;"&amp;($A511+21/24))</f>
        <v/>
      </c>
      <c r="Z511" s="20">
        <f>COUNTIFS(tData[SEHTrajectPeriodeDatumTijdVan],"&lt;="&amp;($A511+22/24),tData[SEHTrajectPeriodeDatumTijdTotEnMet],"&gt;"&amp;($A511+22/24))</f>
        <v/>
      </c>
      <c r="AA511" s="20">
        <f>COUNTIFS(tData[SEHTrajectPeriodeDatumTijdVan],"&lt;="&amp;($A511+23/24),tData[SEHTrajectPeriodeDatumTijdTotEnMet],"&gt;"&amp;($A511+23/24))</f>
        <v/>
      </c>
    </row>
    <row r="512">
      <c r="A512" s="19" t="n">
        <v>45800</v>
      </c>
      <c r="B512" s="15">
        <f>WEEKDAY($A512,2)</f>
        <v/>
      </c>
      <c r="C512" s="15">
        <f>IF(AND($A512&gt;=INT(Instellingen!$B$5),$A512&lt;=INT(Instellingen!$B$6)),1,0)</f>
        <v/>
      </c>
      <c r="D512" s="20">
        <f>COUNTIFS(tData[SEHTrajectPeriodeDatumTijdVan],"&lt;="&amp;($A512+0/24),tData[SEHTrajectPeriodeDatumTijdTotEnMet],"&gt;"&amp;($A512+0/24))</f>
        <v/>
      </c>
      <c r="E512" s="20">
        <f>COUNTIFS(tData[SEHTrajectPeriodeDatumTijdVan],"&lt;="&amp;($A512+1/24),tData[SEHTrajectPeriodeDatumTijdTotEnMet],"&gt;"&amp;($A512+1/24))</f>
        <v/>
      </c>
      <c r="F512" s="20">
        <f>COUNTIFS(tData[SEHTrajectPeriodeDatumTijdVan],"&lt;="&amp;($A512+2/24),tData[SEHTrajectPeriodeDatumTijdTotEnMet],"&gt;"&amp;($A512+2/24))</f>
        <v/>
      </c>
      <c r="G512" s="20">
        <f>COUNTIFS(tData[SEHTrajectPeriodeDatumTijdVan],"&lt;="&amp;($A512+3/24),tData[SEHTrajectPeriodeDatumTijdTotEnMet],"&gt;"&amp;($A512+3/24))</f>
        <v/>
      </c>
      <c r="H512" s="20">
        <f>COUNTIFS(tData[SEHTrajectPeriodeDatumTijdVan],"&lt;="&amp;($A512+4/24),tData[SEHTrajectPeriodeDatumTijdTotEnMet],"&gt;"&amp;($A512+4/24))</f>
        <v/>
      </c>
      <c r="I512" s="20">
        <f>COUNTIFS(tData[SEHTrajectPeriodeDatumTijdVan],"&lt;="&amp;($A512+5/24),tData[SEHTrajectPeriodeDatumTijdTotEnMet],"&gt;"&amp;($A512+5/24))</f>
        <v/>
      </c>
      <c r="J512" s="20">
        <f>COUNTIFS(tData[SEHTrajectPeriodeDatumTijdVan],"&lt;="&amp;($A512+6/24),tData[SEHTrajectPeriodeDatumTijdTotEnMet],"&gt;"&amp;($A512+6/24))</f>
        <v/>
      </c>
      <c r="K512" s="20">
        <f>COUNTIFS(tData[SEHTrajectPeriodeDatumTijdVan],"&lt;="&amp;($A512+7/24),tData[SEHTrajectPeriodeDatumTijdTotEnMet],"&gt;"&amp;($A512+7/24))</f>
        <v/>
      </c>
      <c r="L512" s="20">
        <f>COUNTIFS(tData[SEHTrajectPeriodeDatumTijdVan],"&lt;="&amp;($A512+8/24),tData[SEHTrajectPeriodeDatumTijdTotEnMet],"&gt;"&amp;($A512+8/24))</f>
        <v/>
      </c>
      <c r="M512" s="20">
        <f>COUNTIFS(tData[SEHTrajectPeriodeDatumTijdVan],"&lt;="&amp;($A512+9/24),tData[SEHTrajectPeriodeDatumTijdTotEnMet],"&gt;"&amp;($A512+9/24))</f>
        <v/>
      </c>
      <c r="N512" s="20">
        <f>COUNTIFS(tData[SEHTrajectPeriodeDatumTijdVan],"&lt;="&amp;($A512+10/24),tData[SEHTrajectPeriodeDatumTijdTotEnMet],"&gt;"&amp;($A512+10/24))</f>
        <v/>
      </c>
      <c r="O512" s="20">
        <f>COUNTIFS(tData[SEHTrajectPeriodeDatumTijdVan],"&lt;="&amp;($A512+11/24),tData[SEHTrajectPeriodeDatumTijdTotEnMet],"&gt;"&amp;($A512+11/24))</f>
        <v/>
      </c>
      <c r="P512" s="20">
        <f>COUNTIFS(tData[SEHTrajectPeriodeDatumTijdVan],"&lt;="&amp;($A512+12/24),tData[SEHTrajectPeriodeDatumTijdTotEnMet],"&gt;"&amp;($A512+12/24))</f>
        <v/>
      </c>
      <c r="Q512" s="20">
        <f>COUNTIFS(tData[SEHTrajectPeriodeDatumTijdVan],"&lt;="&amp;($A512+13/24),tData[SEHTrajectPeriodeDatumTijdTotEnMet],"&gt;"&amp;($A512+13/24))</f>
        <v/>
      </c>
      <c r="R512" s="20">
        <f>COUNTIFS(tData[SEHTrajectPeriodeDatumTijdVan],"&lt;="&amp;($A512+14/24),tData[SEHTrajectPeriodeDatumTijdTotEnMet],"&gt;"&amp;($A512+14/24))</f>
        <v/>
      </c>
      <c r="S512" s="20">
        <f>COUNTIFS(tData[SEHTrajectPeriodeDatumTijdVan],"&lt;="&amp;($A512+15/24),tData[SEHTrajectPeriodeDatumTijdTotEnMet],"&gt;"&amp;($A512+15/24))</f>
        <v/>
      </c>
      <c r="T512" s="20">
        <f>COUNTIFS(tData[SEHTrajectPeriodeDatumTijdVan],"&lt;="&amp;($A512+16/24),tData[SEHTrajectPeriodeDatumTijdTotEnMet],"&gt;"&amp;($A512+16/24))</f>
        <v/>
      </c>
      <c r="U512" s="20">
        <f>COUNTIFS(tData[SEHTrajectPeriodeDatumTijdVan],"&lt;="&amp;($A512+17/24),tData[SEHTrajectPeriodeDatumTijdTotEnMet],"&gt;"&amp;($A512+17/24))</f>
        <v/>
      </c>
      <c r="V512" s="20">
        <f>COUNTIFS(tData[SEHTrajectPeriodeDatumTijdVan],"&lt;="&amp;($A512+18/24),tData[SEHTrajectPeriodeDatumTijdTotEnMet],"&gt;"&amp;($A512+18/24))</f>
        <v/>
      </c>
      <c r="W512" s="20">
        <f>COUNTIFS(tData[SEHTrajectPeriodeDatumTijdVan],"&lt;="&amp;($A512+19/24),tData[SEHTrajectPeriodeDatumTijdTotEnMet],"&gt;"&amp;($A512+19/24))</f>
        <v/>
      </c>
      <c r="X512" s="20">
        <f>COUNTIFS(tData[SEHTrajectPeriodeDatumTijdVan],"&lt;="&amp;($A512+20/24),tData[SEHTrajectPeriodeDatumTijdTotEnMet],"&gt;"&amp;($A512+20/24))</f>
        <v/>
      </c>
      <c r="Y512" s="20">
        <f>COUNTIFS(tData[SEHTrajectPeriodeDatumTijdVan],"&lt;="&amp;($A512+21/24),tData[SEHTrajectPeriodeDatumTijdTotEnMet],"&gt;"&amp;($A512+21/24))</f>
        <v/>
      </c>
      <c r="Z512" s="20">
        <f>COUNTIFS(tData[SEHTrajectPeriodeDatumTijdVan],"&lt;="&amp;($A512+22/24),tData[SEHTrajectPeriodeDatumTijdTotEnMet],"&gt;"&amp;($A512+22/24))</f>
        <v/>
      </c>
      <c r="AA512" s="20">
        <f>COUNTIFS(tData[SEHTrajectPeriodeDatumTijdVan],"&lt;="&amp;($A512+23/24),tData[SEHTrajectPeriodeDatumTijdTotEnMet],"&gt;"&amp;($A512+23/24))</f>
        <v/>
      </c>
    </row>
    <row r="513">
      <c r="A513" s="19" t="n">
        <v>45801</v>
      </c>
      <c r="B513" s="15">
        <f>WEEKDAY($A513,2)</f>
        <v/>
      </c>
      <c r="C513" s="15">
        <f>IF(AND($A513&gt;=INT(Instellingen!$B$5),$A513&lt;=INT(Instellingen!$B$6)),1,0)</f>
        <v/>
      </c>
      <c r="D513" s="20">
        <f>COUNTIFS(tData[SEHTrajectPeriodeDatumTijdVan],"&lt;="&amp;($A513+0/24),tData[SEHTrajectPeriodeDatumTijdTotEnMet],"&gt;"&amp;($A513+0/24))</f>
        <v/>
      </c>
      <c r="E513" s="20">
        <f>COUNTIFS(tData[SEHTrajectPeriodeDatumTijdVan],"&lt;="&amp;($A513+1/24),tData[SEHTrajectPeriodeDatumTijdTotEnMet],"&gt;"&amp;($A513+1/24))</f>
        <v/>
      </c>
      <c r="F513" s="20">
        <f>COUNTIFS(tData[SEHTrajectPeriodeDatumTijdVan],"&lt;="&amp;($A513+2/24),tData[SEHTrajectPeriodeDatumTijdTotEnMet],"&gt;"&amp;($A513+2/24))</f>
        <v/>
      </c>
      <c r="G513" s="20">
        <f>COUNTIFS(tData[SEHTrajectPeriodeDatumTijdVan],"&lt;="&amp;($A513+3/24),tData[SEHTrajectPeriodeDatumTijdTotEnMet],"&gt;"&amp;($A513+3/24))</f>
        <v/>
      </c>
      <c r="H513" s="20">
        <f>COUNTIFS(tData[SEHTrajectPeriodeDatumTijdVan],"&lt;="&amp;($A513+4/24),tData[SEHTrajectPeriodeDatumTijdTotEnMet],"&gt;"&amp;($A513+4/24))</f>
        <v/>
      </c>
      <c r="I513" s="20">
        <f>COUNTIFS(tData[SEHTrajectPeriodeDatumTijdVan],"&lt;="&amp;($A513+5/24),tData[SEHTrajectPeriodeDatumTijdTotEnMet],"&gt;"&amp;($A513+5/24))</f>
        <v/>
      </c>
      <c r="J513" s="20">
        <f>COUNTIFS(tData[SEHTrajectPeriodeDatumTijdVan],"&lt;="&amp;($A513+6/24),tData[SEHTrajectPeriodeDatumTijdTotEnMet],"&gt;"&amp;($A513+6/24))</f>
        <v/>
      </c>
      <c r="K513" s="20">
        <f>COUNTIFS(tData[SEHTrajectPeriodeDatumTijdVan],"&lt;="&amp;($A513+7/24),tData[SEHTrajectPeriodeDatumTijdTotEnMet],"&gt;"&amp;($A513+7/24))</f>
        <v/>
      </c>
      <c r="L513" s="20">
        <f>COUNTIFS(tData[SEHTrajectPeriodeDatumTijdVan],"&lt;="&amp;($A513+8/24),tData[SEHTrajectPeriodeDatumTijdTotEnMet],"&gt;"&amp;($A513+8/24))</f>
        <v/>
      </c>
      <c r="M513" s="20">
        <f>COUNTIFS(tData[SEHTrajectPeriodeDatumTijdVan],"&lt;="&amp;($A513+9/24),tData[SEHTrajectPeriodeDatumTijdTotEnMet],"&gt;"&amp;($A513+9/24))</f>
        <v/>
      </c>
      <c r="N513" s="20">
        <f>COUNTIFS(tData[SEHTrajectPeriodeDatumTijdVan],"&lt;="&amp;($A513+10/24),tData[SEHTrajectPeriodeDatumTijdTotEnMet],"&gt;"&amp;($A513+10/24))</f>
        <v/>
      </c>
      <c r="O513" s="20">
        <f>COUNTIFS(tData[SEHTrajectPeriodeDatumTijdVan],"&lt;="&amp;($A513+11/24),tData[SEHTrajectPeriodeDatumTijdTotEnMet],"&gt;"&amp;($A513+11/24))</f>
        <v/>
      </c>
      <c r="P513" s="20">
        <f>COUNTIFS(tData[SEHTrajectPeriodeDatumTijdVan],"&lt;="&amp;($A513+12/24),tData[SEHTrajectPeriodeDatumTijdTotEnMet],"&gt;"&amp;($A513+12/24))</f>
        <v/>
      </c>
      <c r="Q513" s="20">
        <f>COUNTIFS(tData[SEHTrajectPeriodeDatumTijdVan],"&lt;="&amp;($A513+13/24),tData[SEHTrajectPeriodeDatumTijdTotEnMet],"&gt;"&amp;($A513+13/24))</f>
        <v/>
      </c>
      <c r="R513" s="20">
        <f>COUNTIFS(tData[SEHTrajectPeriodeDatumTijdVan],"&lt;="&amp;($A513+14/24),tData[SEHTrajectPeriodeDatumTijdTotEnMet],"&gt;"&amp;($A513+14/24))</f>
        <v/>
      </c>
      <c r="S513" s="20">
        <f>COUNTIFS(tData[SEHTrajectPeriodeDatumTijdVan],"&lt;="&amp;($A513+15/24),tData[SEHTrajectPeriodeDatumTijdTotEnMet],"&gt;"&amp;($A513+15/24))</f>
        <v/>
      </c>
      <c r="T513" s="20">
        <f>COUNTIFS(tData[SEHTrajectPeriodeDatumTijdVan],"&lt;="&amp;($A513+16/24),tData[SEHTrajectPeriodeDatumTijdTotEnMet],"&gt;"&amp;($A513+16/24))</f>
        <v/>
      </c>
      <c r="U513" s="20">
        <f>COUNTIFS(tData[SEHTrajectPeriodeDatumTijdVan],"&lt;="&amp;($A513+17/24),tData[SEHTrajectPeriodeDatumTijdTotEnMet],"&gt;"&amp;($A513+17/24))</f>
        <v/>
      </c>
      <c r="V513" s="20">
        <f>COUNTIFS(tData[SEHTrajectPeriodeDatumTijdVan],"&lt;="&amp;($A513+18/24),tData[SEHTrajectPeriodeDatumTijdTotEnMet],"&gt;"&amp;($A513+18/24))</f>
        <v/>
      </c>
      <c r="W513" s="20">
        <f>COUNTIFS(tData[SEHTrajectPeriodeDatumTijdVan],"&lt;="&amp;($A513+19/24),tData[SEHTrajectPeriodeDatumTijdTotEnMet],"&gt;"&amp;($A513+19/24))</f>
        <v/>
      </c>
      <c r="X513" s="20">
        <f>COUNTIFS(tData[SEHTrajectPeriodeDatumTijdVan],"&lt;="&amp;($A513+20/24),tData[SEHTrajectPeriodeDatumTijdTotEnMet],"&gt;"&amp;($A513+20/24))</f>
        <v/>
      </c>
      <c r="Y513" s="20">
        <f>COUNTIFS(tData[SEHTrajectPeriodeDatumTijdVan],"&lt;="&amp;($A513+21/24),tData[SEHTrajectPeriodeDatumTijdTotEnMet],"&gt;"&amp;($A513+21/24))</f>
        <v/>
      </c>
      <c r="Z513" s="20">
        <f>COUNTIFS(tData[SEHTrajectPeriodeDatumTijdVan],"&lt;="&amp;($A513+22/24),tData[SEHTrajectPeriodeDatumTijdTotEnMet],"&gt;"&amp;($A513+22/24))</f>
        <v/>
      </c>
      <c r="AA513" s="20">
        <f>COUNTIFS(tData[SEHTrajectPeriodeDatumTijdVan],"&lt;="&amp;($A513+23/24),tData[SEHTrajectPeriodeDatumTijdTotEnMet],"&gt;"&amp;($A513+23/24))</f>
        <v/>
      </c>
    </row>
    <row r="514">
      <c r="A514" s="19" t="n">
        <v>45802</v>
      </c>
      <c r="B514" s="15">
        <f>WEEKDAY($A514,2)</f>
        <v/>
      </c>
      <c r="C514" s="15">
        <f>IF(AND($A514&gt;=INT(Instellingen!$B$5),$A514&lt;=INT(Instellingen!$B$6)),1,0)</f>
        <v/>
      </c>
      <c r="D514" s="20">
        <f>COUNTIFS(tData[SEHTrajectPeriodeDatumTijdVan],"&lt;="&amp;($A514+0/24),tData[SEHTrajectPeriodeDatumTijdTotEnMet],"&gt;"&amp;($A514+0/24))</f>
        <v/>
      </c>
      <c r="E514" s="20">
        <f>COUNTIFS(tData[SEHTrajectPeriodeDatumTijdVan],"&lt;="&amp;($A514+1/24),tData[SEHTrajectPeriodeDatumTijdTotEnMet],"&gt;"&amp;($A514+1/24))</f>
        <v/>
      </c>
      <c r="F514" s="20">
        <f>COUNTIFS(tData[SEHTrajectPeriodeDatumTijdVan],"&lt;="&amp;($A514+2/24),tData[SEHTrajectPeriodeDatumTijdTotEnMet],"&gt;"&amp;($A514+2/24))</f>
        <v/>
      </c>
      <c r="G514" s="20">
        <f>COUNTIFS(tData[SEHTrajectPeriodeDatumTijdVan],"&lt;="&amp;($A514+3/24),tData[SEHTrajectPeriodeDatumTijdTotEnMet],"&gt;"&amp;($A514+3/24))</f>
        <v/>
      </c>
      <c r="H514" s="20">
        <f>COUNTIFS(tData[SEHTrajectPeriodeDatumTijdVan],"&lt;="&amp;($A514+4/24),tData[SEHTrajectPeriodeDatumTijdTotEnMet],"&gt;"&amp;($A514+4/24))</f>
        <v/>
      </c>
      <c r="I514" s="20">
        <f>COUNTIFS(tData[SEHTrajectPeriodeDatumTijdVan],"&lt;="&amp;($A514+5/24),tData[SEHTrajectPeriodeDatumTijdTotEnMet],"&gt;"&amp;($A514+5/24))</f>
        <v/>
      </c>
      <c r="J514" s="20">
        <f>COUNTIFS(tData[SEHTrajectPeriodeDatumTijdVan],"&lt;="&amp;($A514+6/24),tData[SEHTrajectPeriodeDatumTijdTotEnMet],"&gt;"&amp;($A514+6/24))</f>
        <v/>
      </c>
      <c r="K514" s="20">
        <f>COUNTIFS(tData[SEHTrajectPeriodeDatumTijdVan],"&lt;="&amp;($A514+7/24),tData[SEHTrajectPeriodeDatumTijdTotEnMet],"&gt;"&amp;($A514+7/24))</f>
        <v/>
      </c>
      <c r="L514" s="20">
        <f>COUNTIFS(tData[SEHTrajectPeriodeDatumTijdVan],"&lt;="&amp;($A514+8/24),tData[SEHTrajectPeriodeDatumTijdTotEnMet],"&gt;"&amp;($A514+8/24))</f>
        <v/>
      </c>
      <c r="M514" s="20">
        <f>COUNTIFS(tData[SEHTrajectPeriodeDatumTijdVan],"&lt;="&amp;($A514+9/24),tData[SEHTrajectPeriodeDatumTijdTotEnMet],"&gt;"&amp;($A514+9/24))</f>
        <v/>
      </c>
      <c r="N514" s="20">
        <f>COUNTIFS(tData[SEHTrajectPeriodeDatumTijdVan],"&lt;="&amp;($A514+10/24),tData[SEHTrajectPeriodeDatumTijdTotEnMet],"&gt;"&amp;($A514+10/24))</f>
        <v/>
      </c>
      <c r="O514" s="20">
        <f>COUNTIFS(tData[SEHTrajectPeriodeDatumTijdVan],"&lt;="&amp;($A514+11/24),tData[SEHTrajectPeriodeDatumTijdTotEnMet],"&gt;"&amp;($A514+11/24))</f>
        <v/>
      </c>
      <c r="P514" s="20">
        <f>COUNTIFS(tData[SEHTrajectPeriodeDatumTijdVan],"&lt;="&amp;($A514+12/24),tData[SEHTrajectPeriodeDatumTijdTotEnMet],"&gt;"&amp;($A514+12/24))</f>
        <v/>
      </c>
      <c r="Q514" s="20">
        <f>COUNTIFS(tData[SEHTrajectPeriodeDatumTijdVan],"&lt;="&amp;($A514+13/24),tData[SEHTrajectPeriodeDatumTijdTotEnMet],"&gt;"&amp;($A514+13/24))</f>
        <v/>
      </c>
      <c r="R514" s="20">
        <f>COUNTIFS(tData[SEHTrajectPeriodeDatumTijdVan],"&lt;="&amp;($A514+14/24),tData[SEHTrajectPeriodeDatumTijdTotEnMet],"&gt;"&amp;($A514+14/24))</f>
        <v/>
      </c>
      <c r="S514" s="20">
        <f>COUNTIFS(tData[SEHTrajectPeriodeDatumTijdVan],"&lt;="&amp;($A514+15/24),tData[SEHTrajectPeriodeDatumTijdTotEnMet],"&gt;"&amp;($A514+15/24))</f>
        <v/>
      </c>
      <c r="T514" s="20">
        <f>COUNTIFS(tData[SEHTrajectPeriodeDatumTijdVan],"&lt;="&amp;($A514+16/24),tData[SEHTrajectPeriodeDatumTijdTotEnMet],"&gt;"&amp;($A514+16/24))</f>
        <v/>
      </c>
      <c r="U514" s="20">
        <f>COUNTIFS(tData[SEHTrajectPeriodeDatumTijdVan],"&lt;="&amp;($A514+17/24),tData[SEHTrajectPeriodeDatumTijdTotEnMet],"&gt;"&amp;($A514+17/24))</f>
        <v/>
      </c>
      <c r="V514" s="20">
        <f>COUNTIFS(tData[SEHTrajectPeriodeDatumTijdVan],"&lt;="&amp;($A514+18/24),tData[SEHTrajectPeriodeDatumTijdTotEnMet],"&gt;"&amp;($A514+18/24))</f>
        <v/>
      </c>
      <c r="W514" s="20">
        <f>COUNTIFS(tData[SEHTrajectPeriodeDatumTijdVan],"&lt;="&amp;($A514+19/24),tData[SEHTrajectPeriodeDatumTijdTotEnMet],"&gt;"&amp;($A514+19/24))</f>
        <v/>
      </c>
      <c r="X514" s="20">
        <f>COUNTIFS(tData[SEHTrajectPeriodeDatumTijdVan],"&lt;="&amp;($A514+20/24),tData[SEHTrajectPeriodeDatumTijdTotEnMet],"&gt;"&amp;($A514+20/24))</f>
        <v/>
      </c>
      <c r="Y514" s="20">
        <f>COUNTIFS(tData[SEHTrajectPeriodeDatumTijdVan],"&lt;="&amp;($A514+21/24),tData[SEHTrajectPeriodeDatumTijdTotEnMet],"&gt;"&amp;($A514+21/24))</f>
        <v/>
      </c>
      <c r="Z514" s="20">
        <f>COUNTIFS(tData[SEHTrajectPeriodeDatumTijdVan],"&lt;="&amp;($A514+22/24),tData[SEHTrajectPeriodeDatumTijdTotEnMet],"&gt;"&amp;($A514+22/24))</f>
        <v/>
      </c>
      <c r="AA514" s="20">
        <f>COUNTIFS(tData[SEHTrajectPeriodeDatumTijdVan],"&lt;="&amp;($A514+23/24),tData[SEHTrajectPeriodeDatumTijdTotEnMet],"&gt;"&amp;($A514+23/24))</f>
        <v/>
      </c>
    </row>
    <row r="515">
      <c r="A515" s="19" t="n">
        <v>45803</v>
      </c>
      <c r="B515" s="15">
        <f>WEEKDAY($A515,2)</f>
        <v/>
      </c>
      <c r="C515" s="15">
        <f>IF(AND($A515&gt;=INT(Instellingen!$B$5),$A515&lt;=INT(Instellingen!$B$6)),1,0)</f>
        <v/>
      </c>
      <c r="D515" s="20">
        <f>COUNTIFS(tData[SEHTrajectPeriodeDatumTijdVan],"&lt;="&amp;($A515+0/24),tData[SEHTrajectPeriodeDatumTijdTotEnMet],"&gt;"&amp;($A515+0/24))</f>
        <v/>
      </c>
      <c r="E515" s="20">
        <f>COUNTIFS(tData[SEHTrajectPeriodeDatumTijdVan],"&lt;="&amp;($A515+1/24),tData[SEHTrajectPeriodeDatumTijdTotEnMet],"&gt;"&amp;($A515+1/24))</f>
        <v/>
      </c>
      <c r="F515" s="20">
        <f>COUNTIFS(tData[SEHTrajectPeriodeDatumTijdVan],"&lt;="&amp;($A515+2/24),tData[SEHTrajectPeriodeDatumTijdTotEnMet],"&gt;"&amp;($A515+2/24))</f>
        <v/>
      </c>
      <c r="G515" s="20">
        <f>COUNTIFS(tData[SEHTrajectPeriodeDatumTijdVan],"&lt;="&amp;($A515+3/24),tData[SEHTrajectPeriodeDatumTijdTotEnMet],"&gt;"&amp;($A515+3/24))</f>
        <v/>
      </c>
      <c r="H515" s="20">
        <f>COUNTIFS(tData[SEHTrajectPeriodeDatumTijdVan],"&lt;="&amp;($A515+4/24),tData[SEHTrajectPeriodeDatumTijdTotEnMet],"&gt;"&amp;($A515+4/24))</f>
        <v/>
      </c>
      <c r="I515" s="20">
        <f>COUNTIFS(tData[SEHTrajectPeriodeDatumTijdVan],"&lt;="&amp;($A515+5/24),tData[SEHTrajectPeriodeDatumTijdTotEnMet],"&gt;"&amp;($A515+5/24))</f>
        <v/>
      </c>
      <c r="J515" s="20">
        <f>COUNTIFS(tData[SEHTrajectPeriodeDatumTijdVan],"&lt;="&amp;($A515+6/24),tData[SEHTrajectPeriodeDatumTijdTotEnMet],"&gt;"&amp;($A515+6/24))</f>
        <v/>
      </c>
      <c r="K515" s="20">
        <f>COUNTIFS(tData[SEHTrajectPeriodeDatumTijdVan],"&lt;="&amp;($A515+7/24),tData[SEHTrajectPeriodeDatumTijdTotEnMet],"&gt;"&amp;($A515+7/24))</f>
        <v/>
      </c>
      <c r="L515" s="20">
        <f>COUNTIFS(tData[SEHTrajectPeriodeDatumTijdVan],"&lt;="&amp;($A515+8/24),tData[SEHTrajectPeriodeDatumTijdTotEnMet],"&gt;"&amp;($A515+8/24))</f>
        <v/>
      </c>
      <c r="M515" s="20">
        <f>COUNTIFS(tData[SEHTrajectPeriodeDatumTijdVan],"&lt;="&amp;($A515+9/24),tData[SEHTrajectPeriodeDatumTijdTotEnMet],"&gt;"&amp;($A515+9/24))</f>
        <v/>
      </c>
      <c r="N515" s="20">
        <f>COUNTIFS(tData[SEHTrajectPeriodeDatumTijdVan],"&lt;="&amp;($A515+10/24),tData[SEHTrajectPeriodeDatumTijdTotEnMet],"&gt;"&amp;($A515+10/24))</f>
        <v/>
      </c>
      <c r="O515" s="20">
        <f>COUNTIFS(tData[SEHTrajectPeriodeDatumTijdVan],"&lt;="&amp;($A515+11/24),tData[SEHTrajectPeriodeDatumTijdTotEnMet],"&gt;"&amp;($A515+11/24))</f>
        <v/>
      </c>
      <c r="P515" s="20">
        <f>COUNTIFS(tData[SEHTrajectPeriodeDatumTijdVan],"&lt;="&amp;($A515+12/24),tData[SEHTrajectPeriodeDatumTijdTotEnMet],"&gt;"&amp;($A515+12/24))</f>
        <v/>
      </c>
      <c r="Q515" s="20">
        <f>COUNTIFS(tData[SEHTrajectPeriodeDatumTijdVan],"&lt;="&amp;($A515+13/24),tData[SEHTrajectPeriodeDatumTijdTotEnMet],"&gt;"&amp;($A515+13/24))</f>
        <v/>
      </c>
      <c r="R515" s="20">
        <f>COUNTIFS(tData[SEHTrajectPeriodeDatumTijdVan],"&lt;="&amp;($A515+14/24),tData[SEHTrajectPeriodeDatumTijdTotEnMet],"&gt;"&amp;($A515+14/24))</f>
        <v/>
      </c>
      <c r="S515" s="20">
        <f>COUNTIFS(tData[SEHTrajectPeriodeDatumTijdVan],"&lt;="&amp;($A515+15/24),tData[SEHTrajectPeriodeDatumTijdTotEnMet],"&gt;"&amp;($A515+15/24))</f>
        <v/>
      </c>
      <c r="T515" s="20">
        <f>COUNTIFS(tData[SEHTrajectPeriodeDatumTijdVan],"&lt;="&amp;($A515+16/24),tData[SEHTrajectPeriodeDatumTijdTotEnMet],"&gt;"&amp;($A515+16/24))</f>
        <v/>
      </c>
      <c r="U515" s="20">
        <f>COUNTIFS(tData[SEHTrajectPeriodeDatumTijdVan],"&lt;="&amp;($A515+17/24),tData[SEHTrajectPeriodeDatumTijdTotEnMet],"&gt;"&amp;($A515+17/24))</f>
        <v/>
      </c>
      <c r="V515" s="20">
        <f>COUNTIFS(tData[SEHTrajectPeriodeDatumTijdVan],"&lt;="&amp;($A515+18/24),tData[SEHTrajectPeriodeDatumTijdTotEnMet],"&gt;"&amp;($A515+18/24))</f>
        <v/>
      </c>
      <c r="W515" s="20">
        <f>COUNTIFS(tData[SEHTrajectPeriodeDatumTijdVan],"&lt;="&amp;($A515+19/24),tData[SEHTrajectPeriodeDatumTijdTotEnMet],"&gt;"&amp;($A515+19/24))</f>
        <v/>
      </c>
      <c r="X515" s="20">
        <f>COUNTIFS(tData[SEHTrajectPeriodeDatumTijdVan],"&lt;="&amp;($A515+20/24),tData[SEHTrajectPeriodeDatumTijdTotEnMet],"&gt;"&amp;($A515+20/24))</f>
        <v/>
      </c>
      <c r="Y515" s="20">
        <f>COUNTIFS(tData[SEHTrajectPeriodeDatumTijdVan],"&lt;="&amp;($A515+21/24),tData[SEHTrajectPeriodeDatumTijdTotEnMet],"&gt;"&amp;($A515+21/24))</f>
        <v/>
      </c>
      <c r="Z515" s="20">
        <f>COUNTIFS(tData[SEHTrajectPeriodeDatumTijdVan],"&lt;="&amp;($A515+22/24),tData[SEHTrajectPeriodeDatumTijdTotEnMet],"&gt;"&amp;($A515+22/24))</f>
        <v/>
      </c>
      <c r="AA515" s="20">
        <f>COUNTIFS(tData[SEHTrajectPeriodeDatumTijdVan],"&lt;="&amp;($A515+23/24),tData[SEHTrajectPeriodeDatumTijdTotEnMet],"&gt;"&amp;($A515+23/24))</f>
        <v/>
      </c>
    </row>
    <row r="516">
      <c r="A516" s="19" t="n">
        <v>45804</v>
      </c>
      <c r="B516" s="15">
        <f>WEEKDAY($A516,2)</f>
        <v/>
      </c>
      <c r="C516" s="15">
        <f>IF(AND($A516&gt;=INT(Instellingen!$B$5),$A516&lt;=INT(Instellingen!$B$6)),1,0)</f>
        <v/>
      </c>
      <c r="D516" s="20">
        <f>COUNTIFS(tData[SEHTrajectPeriodeDatumTijdVan],"&lt;="&amp;($A516+0/24),tData[SEHTrajectPeriodeDatumTijdTotEnMet],"&gt;"&amp;($A516+0/24))</f>
        <v/>
      </c>
      <c r="E516" s="20">
        <f>COUNTIFS(tData[SEHTrajectPeriodeDatumTijdVan],"&lt;="&amp;($A516+1/24),tData[SEHTrajectPeriodeDatumTijdTotEnMet],"&gt;"&amp;($A516+1/24))</f>
        <v/>
      </c>
      <c r="F516" s="20">
        <f>COUNTIFS(tData[SEHTrajectPeriodeDatumTijdVan],"&lt;="&amp;($A516+2/24),tData[SEHTrajectPeriodeDatumTijdTotEnMet],"&gt;"&amp;($A516+2/24))</f>
        <v/>
      </c>
      <c r="G516" s="20">
        <f>COUNTIFS(tData[SEHTrajectPeriodeDatumTijdVan],"&lt;="&amp;($A516+3/24),tData[SEHTrajectPeriodeDatumTijdTotEnMet],"&gt;"&amp;($A516+3/24))</f>
        <v/>
      </c>
      <c r="H516" s="20">
        <f>COUNTIFS(tData[SEHTrajectPeriodeDatumTijdVan],"&lt;="&amp;($A516+4/24),tData[SEHTrajectPeriodeDatumTijdTotEnMet],"&gt;"&amp;($A516+4/24))</f>
        <v/>
      </c>
      <c r="I516" s="20">
        <f>COUNTIFS(tData[SEHTrajectPeriodeDatumTijdVan],"&lt;="&amp;($A516+5/24),tData[SEHTrajectPeriodeDatumTijdTotEnMet],"&gt;"&amp;($A516+5/24))</f>
        <v/>
      </c>
      <c r="J516" s="20">
        <f>COUNTIFS(tData[SEHTrajectPeriodeDatumTijdVan],"&lt;="&amp;($A516+6/24),tData[SEHTrajectPeriodeDatumTijdTotEnMet],"&gt;"&amp;($A516+6/24))</f>
        <v/>
      </c>
      <c r="K516" s="20">
        <f>COUNTIFS(tData[SEHTrajectPeriodeDatumTijdVan],"&lt;="&amp;($A516+7/24),tData[SEHTrajectPeriodeDatumTijdTotEnMet],"&gt;"&amp;($A516+7/24))</f>
        <v/>
      </c>
      <c r="L516" s="20">
        <f>COUNTIFS(tData[SEHTrajectPeriodeDatumTijdVan],"&lt;="&amp;($A516+8/24),tData[SEHTrajectPeriodeDatumTijdTotEnMet],"&gt;"&amp;($A516+8/24))</f>
        <v/>
      </c>
      <c r="M516" s="20">
        <f>COUNTIFS(tData[SEHTrajectPeriodeDatumTijdVan],"&lt;="&amp;($A516+9/24),tData[SEHTrajectPeriodeDatumTijdTotEnMet],"&gt;"&amp;($A516+9/24))</f>
        <v/>
      </c>
      <c r="N516" s="20">
        <f>COUNTIFS(tData[SEHTrajectPeriodeDatumTijdVan],"&lt;="&amp;($A516+10/24),tData[SEHTrajectPeriodeDatumTijdTotEnMet],"&gt;"&amp;($A516+10/24))</f>
        <v/>
      </c>
      <c r="O516" s="20">
        <f>COUNTIFS(tData[SEHTrajectPeriodeDatumTijdVan],"&lt;="&amp;($A516+11/24),tData[SEHTrajectPeriodeDatumTijdTotEnMet],"&gt;"&amp;($A516+11/24))</f>
        <v/>
      </c>
      <c r="P516" s="20">
        <f>COUNTIFS(tData[SEHTrajectPeriodeDatumTijdVan],"&lt;="&amp;($A516+12/24),tData[SEHTrajectPeriodeDatumTijdTotEnMet],"&gt;"&amp;($A516+12/24))</f>
        <v/>
      </c>
      <c r="Q516" s="20">
        <f>COUNTIFS(tData[SEHTrajectPeriodeDatumTijdVan],"&lt;="&amp;($A516+13/24),tData[SEHTrajectPeriodeDatumTijdTotEnMet],"&gt;"&amp;($A516+13/24))</f>
        <v/>
      </c>
      <c r="R516" s="20">
        <f>COUNTIFS(tData[SEHTrajectPeriodeDatumTijdVan],"&lt;="&amp;($A516+14/24),tData[SEHTrajectPeriodeDatumTijdTotEnMet],"&gt;"&amp;($A516+14/24))</f>
        <v/>
      </c>
      <c r="S516" s="20">
        <f>COUNTIFS(tData[SEHTrajectPeriodeDatumTijdVan],"&lt;="&amp;($A516+15/24),tData[SEHTrajectPeriodeDatumTijdTotEnMet],"&gt;"&amp;($A516+15/24))</f>
        <v/>
      </c>
      <c r="T516" s="20">
        <f>COUNTIFS(tData[SEHTrajectPeriodeDatumTijdVan],"&lt;="&amp;($A516+16/24),tData[SEHTrajectPeriodeDatumTijdTotEnMet],"&gt;"&amp;($A516+16/24))</f>
        <v/>
      </c>
      <c r="U516" s="20">
        <f>COUNTIFS(tData[SEHTrajectPeriodeDatumTijdVan],"&lt;="&amp;($A516+17/24),tData[SEHTrajectPeriodeDatumTijdTotEnMet],"&gt;"&amp;($A516+17/24))</f>
        <v/>
      </c>
      <c r="V516" s="20">
        <f>COUNTIFS(tData[SEHTrajectPeriodeDatumTijdVan],"&lt;="&amp;($A516+18/24),tData[SEHTrajectPeriodeDatumTijdTotEnMet],"&gt;"&amp;($A516+18/24))</f>
        <v/>
      </c>
      <c r="W516" s="20">
        <f>COUNTIFS(tData[SEHTrajectPeriodeDatumTijdVan],"&lt;="&amp;($A516+19/24),tData[SEHTrajectPeriodeDatumTijdTotEnMet],"&gt;"&amp;($A516+19/24))</f>
        <v/>
      </c>
      <c r="X516" s="20">
        <f>COUNTIFS(tData[SEHTrajectPeriodeDatumTijdVan],"&lt;="&amp;($A516+20/24),tData[SEHTrajectPeriodeDatumTijdTotEnMet],"&gt;"&amp;($A516+20/24))</f>
        <v/>
      </c>
      <c r="Y516" s="20">
        <f>COUNTIFS(tData[SEHTrajectPeriodeDatumTijdVan],"&lt;="&amp;($A516+21/24),tData[SEHTrajectPeriodeDatumTijdTotEnMet],"&gt;"&amp;($A516+21/24))</f>
        <v/>
      </c>
      <c r="Z516" s="20">
        <f>COUNTIFS(tData[SEHTrajectPeriodeDatumTijdVan],"&lt;="&amp;($A516+22/24),tData[SEHTrajectPeriodeDatumTijdTotEnMet],"&gt;"&amp;($A516+22/24))</f>
        <v/>
      </c>
      <c r="AA516" s="20">
        <f>COUNTIFS(tData[SEHTrajectPeriodeDatumTijdVan],"&lt;="&amp;($A516+23/24),tData[SEHTrajectPeriodeDatumTijdTotEnMet],"&gt;"&amp;($A516+23/24))</f>
        <v/>
      </c>
    </row>
    <row r="517">
      <c r="A517" s="19" t="n">
        <v>45805</v>
      </c>
      <c r="B517" s="15">
        <f>WEEKDAY($A517,2)</f>
        <v/>
      </c>
      <c r="C517" s="15">
        <f>IF(AND($A517&gt;=INT(Instellingen!$B$5),$A517&lt;=INT(Instellingen!$B$6)),1,0)</f>
        <v/>
      </c>
      <c r="D517" s="20">
        <f>COUNTIFS(tData[SEHTrajectPeriodeDatumTijdVan],"&lt;="&amp;($A517+0/24),tData[SEHTrajectPeriodeDatumTijdTotEnMet],"&gt;"&amp;($A517+0/24))</f>
        <v/>
      </c>
      <c r="E517" s="20">
        <f>COUNTIFS(tData[SEHTrajectPeriodeDatumTijdVan],"&lt;="&amp;($A517+1/24),tData[SEHTrajectPeriodeDatumTijdTotEnMet],"&gt;"&amp;($A517+1/24))</f>
        <v/>
      </c>
      <c r="F517" s="20">
        <f>COUNTIFS(tData[SEHTrajectPeriodeDatumTijdVan],"&lt;="&amp;($A517+2/24),tData[SEHTrajectPeriodeDatumTijdTotEnMet],"&gt;"&amp;($A517+2/24))</f>
        <v/>
      </c>
      <c r="G517" s="20">
        <f>COUNTIFS(tData[SEHTrajectPeriodeDatumTijdVan],"&lt;="&amp;($A517+3/24),tData[SEHTrajectPeriodeDatumTijdTotEnMet],"&gt;"&amp;($A517+3/24))</f>
        <v/>
      </c>
      <c r="H517" s="20">
        <f>COUNTIFS(tData[SEHTrajectPeriodeDatumTijdVan],"&lt;="&amp;($A517+4/24),tData[SEHTrajectPeriodeDatumTijdTotEnMet],"&gt;"&amp;($A517+4/24))</f>
        <v/>
      </c>
      <c r="I517" s="20">
        <f>COUNTIFS(tData[SEHTrajectPeriodeDatumTijdVan],"&lt;="&amp;($A517+5/24),tData[SEHTrajectPeriodeDatumTijdTotEnMet],"&gt;"&amp;($A517+5/24))</f>
        <v/>
      </c>
      <c r="J517" s="20">
        <f>COUNTIFS(tData[SEHTrajectPeriodeDatumTijdVan],"&lt;="&amp;($A517+6/24),tData[SEHTrajectPeriodeDatumTijdTotEnMet],"&gt;"&amp;($A517+6/24))</f>
        <v/>
      </c>
      <c r="K517" s="20">
        <f>COUNTIFS(tData[SEHTrajectPeriodeDatumTijdVan],"&lt;="&amp;($A517+7/24),tData[SEHTrajectPeriodeDatumTijdTotEnMet],"&gt;"&amp;($A517+7/24))</f>
        <v/>
      </c>
      <c r="L517" s="20">
        <f>COUNTIFS(tData[SEHTrajectPeriodeDatumTijdVan],"&lt;="&amp;($A517+8/24),tData[SEHTrajectPeriodeDatumTijdTotEnMet],"&gt;"&amp;($A517+8/24))</f>
        <v/>
      </c>
      <c r="M517" s="20">
        <f>COUNTIFS(tData[SEHTrajectPeriodeDatumTijdVan],"&lt;="&amp;($A517+9/24),tData[SEHTrajectPeriodeDatumTijdTotEnMet],"&gt;"&amp;($A517+9/24))</f>
        <v/>
      </c>
      <c r="N517" s="20">
        <f>COUNTIFS(tData[SEHTrajectPeriodeDatumTijdVan],"&lt;="&amp;($A517+10/24),tData[SEHTrajectPeriodeDatumTijdTotEnMet],"&gt;"&amp;($A517+10/24))</f>
        <v/>
      </c>
      <c r="O517" s="20">
        <f>COUNTIFS(tData[SEHTrajectPeriodeDatumTijdVan],"&lt;="&amp;($A517+11/24),tData[SEHTrajectPeriodeDatumTijdTotEnMet],"&gt;"&amp;($A517+11/24))</f>
        <v/>
      </c>
      <c r="P517" s="20">
        <f>COUNTIFS(tData[SEHTrajectPeriodeDatumTijdVan],"&lt;="&amp;($A517+12/24),tData[SEHTrajectPeriodeDatumTijdTotEnMet],"&gt;"&amp;($A517+12/24))</f>
        <v/>
      </c>
      <c r="Q517" s="20">
        <f>COUNTIFS(tData[SEHTrajectPeriodeDatumTijdVan],"&lt;="&amp;($A517+13/24),tData[SEHTrajectPeriodeDatumTijdTotEnMet],"&gt;"&amp;($A517+13/24))</f>
        <v/>
      </c>
      <c r="R517" s="20">
        <f>COUNTIFS(tData[SEHTrajectPeriodeDatumTijdVan],"&lt;="&amp;($A517+14/24),tData[SEHTrajectPeriodeDatumTijdTotEnMet],"&gt;"&amp;($A517+14/24))</f>
        <v/>
      </c>
      <c r="S517" s="20">
        <f>COUNTIFS(tData[SEHTrajectPeriodeDatumTijdVan],"&lt;="&amp;($A517+15/24),tData[SEHTrajectPeriodeDatumTijdTotEnMet],"&gt;"&amp;($A517+15/24))</f>
        <v/>
      </c>
      <c r="T517" s="20">
        <f>COUNTIFS(tData[SEHTrajectPeriodeDatumTijdVan],"&lt;="&amp;($A517+16/24),tData[SEHTrajectPeriodeDatumTijdTotEnMet],"&gt;"&amp;($A517+16/24))</f>
        <v/>
      </c>
      <c r="U517" s="20">
        <f>COUNTIFS(tData[SEHTrajectPeriodeDatumTijdVan],"&lt;="&amp;($A517+17/24),tData[SEHTrajectPeriodeDatumTijdTotEnMet],"&gt;"&amp;($A517+17/24))</f>
        <v/>
      </c>
      <c r="V517" s="20">
        <f>COUNTIFS(tData[SEHTrajectPeriodeDatumTijdVan],"&lt;="&amp;($A517+18/24),tData[SEHTrajectPeriodeDatumTijdTotEnMet],"&gt;"&amp;($A517+18/24))</f>
        <v/>
      </c>
      <c r="W517" s="20">
        <f>COUNTIFS(tData[SEHTrajectPeriodeDatumTijdVan],"&lt;="&amp;($A517+19/24),tData[SEHTrajectPeriodeDatumTijdTotEnMet],"&gt;"&amp;($A517+19/24))</f>
        <v/>
      </c>
      <c r="X517" s="20">
        <f>COUNTIFS(tData[SEHTrajectPeriodeDatumTijdVan],"&lt;="&amp;($A517+20/24),tData[SEHTrajectPeriodeDatumTijdTotEnMet],"&gt;"&amp;($A517+20/24))</f>
        <v/>
      </c>
      <c r="Y517" s="20">
        <f>COUNTIFS(tData[SEHTrajectPeriodeDatumTijdVan],"&lt;="&amp;($A517+21/24),tData[SEHTrajectPeriodeDatumTijdTotEnMet],"&gt;"&amp;($A517+21/24))</f>
        <v/>
      </c>
      <c r="Z517" s="20">
        <f>COUNTIFS(tData[SEHTrajectPeriodeDatumTijdVan],"&lt;="&amp;($A517+22/24),tData[SEHTrajectPeriodeDatumTijdTotEnMet],"&gt;"&amp;($A517+22/24))</f>
        <v/>
      </c>
      <c r="AA517" s="20">
        <f>COUNTIFS(tData[SEHTrajectPeriodeDatumTijdVan],"&lt;="&amp;($A517+23/24),tData[SEHTrajectPeriodeDatumTijdTotEnMet],"&gt;"&amp;($A517+23/24))</f>
        <v/>
      </c>
    </row>
    <row r="518">
      <c r="A518" s="19" t="n">
        <v>45806</v>
      </c>
      <c r="B518" s="15">
        <f>WEEKDAY($A518,2)</f>
        <v/>
      </c>
      <c r="C518" s="15">
        <f>IF(AND($A518&gt;=INT(Instellingen!$B$5),$A518&lt;=INT(Instellingen!$B$6)),1,0)</f>
        <v/>
      </c>
      <c r="D518" s="20">
        <f>COUNTIFS(tData[SEHTrajectPeriodeDatumTijdVan],"&lt;="&amp;($A518+0/24),tData[SEHTrajectPeriodeDatumTijdTotEnMet],"&gt;"&amp;($A518+0/24))</f>
        <v/>
      </c>
      <c r="E518" s="20">
        <f>COUNTIFS(tData[SEHTrajectPeriodeDatumTijdVan],"&lt;="&amp;($A518+1/24),tData[SEHTrajectPeriodeDatumTijdTotEnMet],"&gt;"&amp;($A518+1/24))</f>
        <v/>
      </c>
      <c r="F518" s="20">
        <f>COUNTIFS(tData[SEHTrajectPeriodeDatumTijdVan],"&lt;="&amp;($A518+2/24),tData[SEHTrajectPeriodeDatumTijdTotEnMet],"&gt;"&amp;($A518+2/24))</f>
        <v/>
      </c>
      <c r="G518" s="20">
        <f>COUNTIFS(tData[SEHTrajectPeriodeDatumTijdVan],"&lt;="&amp;($A518+3/24),tData[SEHTrajectPeriodeDatumTijdTotEnMet],"&gt;"&amp;($A518+3/24))</f>
        <v/>
      </c>
      <c r="H518" s="20">
        <f>COUNTIFS(tData[SEHTrajectPeriodeDatumTijdVan],"&lt;="&amp;($A518+4/24),tData[SEHTrajectPeriodeDatumTijdTotEnMet],"&gt;"&amp;($A518+4/24))</f>
        <v/>
      </c>
      <c r="I518" s="20">
        <f>COUNTIFS(tData[SEHTrajectPeriodeDatumTijdVan],"&lt;="&amp;($A518+5/24),tData[SEHTrajectPeriodeDatumTijdTotEnMet],"&gt;"&amp;($A518+5/24))</f>
        <v/>
      </c>
      <c r="J518" s="20">
        <f>COUNTIFS(tData[SEHTrajectPeriodeDatumTijdVan],"&lt;="&amp;($A518+6/24),tData[SEHTrajectPeriodeDatumTijdTotEnMet],"&gt;"&amp;($A518+6/24))</f>
        <v/>
      </c>
      <c r="K518" s="20">
        <f>COUNTIFS(tData[SEHTrajectPeriodeDatumTijdVan],"&lt;="&amp;($A518+7/24),tData[SEHTrajectPeriodeDatumTijdTotEnMet],"&gt;"&amp;($A518+7/24))</f>
        <v/>
      </c>
      <c r="L518" s="20">
        <f>COUNTIFS(tData[SEHTrajectPeriodeDatumTijdVan],"&lt;="&amp;($A518+8/24),tData[SEHTrajectPeriodeDatumTijdTotEnMet],"&gt;"&amp;($A518+8/24))</f>
        <v/>
      </c>
      <c r="M518" s="20">
        <f>COUNTIFS(tData[SEHTrajectPeriodeDatumTijdVan],"&lt;="&amp;($A518+9/24),tData[SEHTrajectPeriodeDatumTijdTotEnMet],"&gt;"&amp;($A518+9/24))</f>
        <v/>
      </c>
      <c r="N518" s="20">
        <f>COUNTIFS(tData[SEHTrajectPeriodeDatumTijdVan],"&lt;="&amp;($A518+10/24),tData[SEHTrajectPeriodeDatumTijdTotEnMet],"&gt;"&amp;($A518+10/24))</f>
        <v/>
      </c>
      <c r="O518" s="20">
        <f>COUNTIFS(tData[SEHTrajectPeriodeDatumTijdVan],"&lt;="&amp;($A518+11/24),tData[SEHTrajectPeriodeDatumTijdTotEnMet],"&gt;"&amp;($A518+11/24))</f>
        <v/>
      </c>
      <c r="P518" s="20">
        <f>COUNTIFS(tData[SEHTrajectPeriodeDatumTijdVan],"&lt;="&amp;($A518+12/24),tData[SEHTrajectPeriodeDatumTijdTotEnMet],"&gt;"&amp;($A518+12/24))</f>
        <v/>
      </c>
      <c r="Q518" s="20">
        <f>COUNTIFS(tData[SEHTrajectPeriodeDatumTijdVan],"&lt;="&amp;($A518+13/24),tData[SEHTrajectPeriodeDatumTijdTotEnMet],"&gt;"&amp;($A518+13/24))</f>
        <v/>
      </c>
      <c r="R518" s="20">
        <f>COUNTIFS(tData[SEHTrajectPeriodeDatumTijdVan],"&lt;="&amp;($A518+14/24),tData[SEHTrajectPeriodeDatumTijdTotEnMet],"&gt;"&amp;($A518+14/24))</f>
        <v/>
      </c>
      <c r="S518" s="20">
        <f>COUNTIFS(tData[SEHTrajectPeriodeDatumTijdVan],"&lt;="&amp;($A518+15/24),tData[SEHTrajectPeriodeDatumTijdTotEnMet],"&gt;"&amp;($A518+15/24))</f>
        <v/>
      </c>
      <c r="T518" s="20">
        <f>COUNTIFS(tData[SEHTrajectPeriodeDatumTijdVan],"&lt;="&amp;($A518+16/24),tData[SEHTrajectPeriodeDatumTijdTotEnMet],"&gt;"&amp;($A518+16/24))</f>
        <v/>
      </c>
      <c r="U518" s="20">
        <f>COUNTIFS(tData[SEHTrajectPeriodeDatumTijdVan],"&lt;="&amp;($A518+17/24),tData[SEHTrajectPeriodeDatumTijdTotEnMet],"&gt;"&amp;($A518+17/24))</f>
        <v/>
      </c>
      <c r="V518" s="20">
        <f>COUNTIFS(tData[SEHTrajectPeriodeDatumTijdVan],"&lt;="&amp;($A518+18/24),tData[SEHTrajectPeriodeDatumTijdTotEnMet],"&gt;"&amp;($A518+18/24))</f>
        <v/>
      </c>
      <c r="W518" s="20">
        <f>COUNTIFS(tData[SEHTrajectPeriodeDatumTijdVan],"&lt;="&amp;($A518+19/24),tData[SEHTrajectPeriodeDatumTijdTotEnMet],"&gt;"&amp;($A518+19/24))</f>
        <v/>
      </c>
      <c r="X518" s="20">
        <f>COUNTIFS(tData[SEHTrajectPeriodeDatumTijdVan],"&lt;="&amp;($A518+20/24),tData[SEHTrajectPeriodeDatumTijdTotEnMet],"&gt;"&amp;($A518+20/24))</f>
        <v/>
      </c>
      <c r="Y518" s="20">
        <f>COUNTIFS(tData[SEHTrajectPeriodeDatumTijdVan],"&lt;="&amp;($A518+21/24),tData[SEHTrajectPeriodeDatumTijdTotEnMet],"&gt;"&amp;($A518+21/24))</f>
        <v/>
      </c>
      <c r="Z518" s="20">
        <f>COUNTIFS(tData[SEHTrajectPeriodeDatumTijdVan],"&lt;="&amp;($A518+22/24),tData[SEHTrajectPeriodeDatumTijdTotEnMet],"&gt;"&amp;($A518+22/24))</f>
        <v/>
      </c>
      <c r="AA518" s="20">
        <f>COUNTIFS(tData[SEHTrajectPeriodeDatumTijdVan],"&lt;="&amp;($A518+23/24),tData[SEHTrajectPeriodeDatumTijdTotEnMet],"&gt;"&amp;($A518+23/24))</f>
        <v/>
      </c>
    </row>
    <row r="519">
      <c r="A519" s="19" t="n">
        <v>45807</v>
      </c>
      <c r="B519" s="15">
        <f>WEEKDAY($A519,2)</f>
        <v/>
      </c>
      <c r="C519" s="15">
        <f>IF(AND($A519&gt;=INT(Instellingen!$B$5),$A519&lt;=INT(Instellingen!$B$6)),1,0)</f>
        <v/>
      </c>
      <c r="D519" s="20">
        <f>COUNTIFS(tData[SEHTrajectPeriodeDatumTijdVan],"&lt;="&amp;($A519+0/24),tData[SEHTrajectPeriodeDatumTijdTotEnMet],"&gt;"&amp;($A519+0/24))</f>
        <v/>
      </c>
      <c r="E519" s="20">
        <f>COUNTIFS(tData[SEHTrajectPeriodeDatumTijdVan],"&lt;="&amp;($A519+1/24),tData[SEHTrajectPeriodeDatumTijdTotEnMet],"&gt;"&amp;($A519+1/24))</f>
        <v/>
      </c>
      <c r="F519" s="20">
        <f>COUNTIFS(tData[SEHTrajectPeriodeDatumTijdVan],"&lt;="&amp;($A519+2/24),tData[SEHTrajectPeriodeDatumTijdTotEnMet],"&gt;"&amp;($A519+2/24))</f>
        <v/>
      </c>
      <c r="G519" s="20">
        <f>COUNTIFS(tData[SEHTrajectPeriodeDatumTijdVan],"&lt;="&amp;($A519+3/24),tData[SEHTrajectPeriodeDatumTijdTotEnMet],"&gt;"&amp;($A519+3/24))</f>
        <v/>
      </c>
      <c r="H519" s="20">
        <f>COUNTIFS(tData[SEHTrajectPeriodeDatumTijdVan],"&lt;="&amp;($A519+4/24),tData[SEHTrajectPeriodeDatumTijdTotEnMet],"&gt;"&amp;($A519+4/24))</f>
        <v/>
      </c>
      <c r="I519" s="20">
        <f>COUNTIFS(tData[SEHTrajectPeriodeDatumTijdVan],"&lt;="&amp;($A519+5/24),tData[SEHTrajectPeriodeDatumTijdTotEnMet],"&gt;"&amp;($A519+5/24))</f>
        <v/>
      </c>
      <c r="J519" s="20">
        <f>COUNTIFS(tData[SEHTrajectPeriodeDatumTijdVan],"&lt;="&amp;($A519+6/24),tData[SEHTrajectPeriodeDatumTijdTotEnMet],"&gt;"&amp;($A519+6/24))</f>
        <v/>
      </c>
      <c r="K519" s="20">
        <f>COUNTIFS(tData[SEHTrajectPeriodeDatumTijdVan],"&lt;="&amp;($A519+7/24),tData[SEHTrajectPeriodeDatumTijdTotEnMet],"&gt;"&amp;($A519+7/24))</f>
        <v/>
      </c>
      <c r="L519" s="20">
        <f>COUNTIFS(tData[SEHTrajectPeriodeDatumTijdVan],"&lt;="&amp;($A519+8/24),tData[SEHTrajectPeriodeDatumTijdTotEnMet],"&gt;"&amp;($A519+8/24))</f>
        <v/>
      </c>
      <c r="M519" s="20">
        <f>COUNTIFS(tData[SEHTrajectPeriodeDatumTijdVan],"&lt;="&amp;($A519+9/24),tData[SEHTrajectPeriodeDatumTijdTotEnMet],"&gt;"&amp;($A519+9/24))</f>
        <v/>
      </c>
      <c r="N519" s="20">
        <f>COUNTIFS(tData[SEHTrajectPeriodeDatumTijdVan],"&lt;="&amp;($A519+10/24),tData[SEHTrajectPeriodeDatumTijdTotEnMet],"&gt;"&amp;($A519+10/24))</f>
        <v/>
      </c>
      <c r="O519" s="20">
        <f>COUNTIFS(tData[SEHTrajectPeriodeDatumTijdVan],"&lt;="&amp;($A519+11/24),tData[SEHTrajectPeriodeDatumTijdTotEnMet],"&gt;"&amp;($A519+11/24))</f>
        <v/>
      </c>
      <c r="P519" s="20">
        <f>COUNTIFS(tData[SEHTrajectPeriodeDatumTijdVan],"&lt;="&amp;($A519+12/24),tData[SEHTrajectPeriodeDatumTijdTotEnMet],"&gt;"&amp;($A519+12/24))</f>
        <v/>
      </c>
      <c r="Q519" s="20">
        <f>COUNTIFS(tData[SEHTrajectPeriodeDatumTijdVan],"&lt;="&amp;($A519+13/24),tData[SEHTrajectPeriodeDatumTijdTotEnMet],"&gt;"&amp;($A519+13/24))</f>
        <v/>
      </c>
      <c r="R519" s="20">
        <f>COUNTIFS(tData[SEHTrajectPeriodeDatumTijdVan],"&lt;="&amp;($A519+14/24),tData[SEHTrajectPeriodeDatumTijdTotEnMet],"&gt;"&amp;($A519+14/24))</f>
        <v/>
      </c>
      <c r="S519" s="20">
        <f>COUNTIFS(tData[SEHTrajectPeriodeDatumTijdVan],"&lt;="&amp;($A519+15/24),tData[SEHTrajectPeriodeDatumTijdTotEnMet],"&gt;"&amp;($A519+15/24))</f>
        <v/>
      </c>
      <c r="T519" s="20">
        <f>COUNTIFS(tData[SEHTrajectPeriodeDatumTijdVan],"&lt;="&amp;($A519+16/24),tData[SEHTrajectPeriodeDatumTijdTotEnMet],"&gt;"&amp;($A519+16/24))</f>
        <v/>
      </c>
      <c r="U519" s="20">
        <f>COUNTIFS(tData[SEHTrajectPeriodeDatumTijdVan],"&lt;="&amp;($A519+17/24),tData[SEHTrajectPeriodeDatumTijdTotEnMet],"&gt;"&amp;($A519+17/24))</f>
        <v/>
      </c>
      <c r="V519" s="20">
        <f>COUNTIFS(tData[SEHTrajectPeriodeDatumTijdVan],"&lt;="&amp;($A519+18/24),tData[SEHTrajectPeriodeDatumTijdTotEnMet],"&gt;"&amp;($A519+18/24))</f>
        <v/>
      </c>
      <c r="W519" s="20">
        <f>COUNTIFS(tData[SEHTrajectPeriodeDatumTijdVan],"&lt;="&amp;($A519+19/24),tData[SEHTrajectPeriodeDatumTijdTotEnMet],"&gt;"&amp;($A519+19/24))</f>
        <v/>
      </c>
      <c r="X519" s="20">
        <f>COUNTIFS(tData[SEHTrajectPeriodeDatumTijdVan],"&lt;="&amp;($A519+20/24),tData[SEHTrajectPeriodeDatumTijdTotEnMet],"&gt;"&amp;($A519+20/24))</f>
        <v/>
      </c>
      <c r="Y519" s="20">
        <f>COUNTIFS(tData[SEHTrajectPeriodeDatumTijdVan],"&lt;="&amp;($A519+21/24),tData[SEHTrajectPeriodeDatumTijdTotEnMet],"&gt;"&amp;($A519+21/24))</f>
        <v/>
      </c>
      <c r="Z519" s="20">
        <f>COUNTIFS(tData[SEHTrajectPeriodeDatumTijdVan],"&lt;="&amp;($A519+22/24),tData[SEHTrajectPeriodeDatumTijdTotEnMet],"&gt;"&amp;($A519+22/24))</f>
        <v/>
      </c>
      <c r="AA519" s="20">
        <f>COUNTIFS(tData[SEHTrajectPeriodeDatumTijdVan],"&lt;="&amp;($A519+23/24),tData[SEHTrajectPeriodeDatumTijdTotEnMet],"&gt;"&amp;($A519+23/24))</f>
        <v/>
      </c>
    </row>
    <row r="520">
      <c r="A520" s="19" t="n">
        <v>45808</v>
      </c>
      <c r="B520" s="15">
        <f>WEEKDAY($A520,2)</f>
        <v/>
      </c>
      <c r="C520" s="15">
        <f>IF(AND($A520&gt;=INT(Instellingen!$B$5),$A520&lt;=INT(Instellingen!$B$6)),1,0)</f>
        <v/>
      </c>
      <c r="D520" s="20">
        <f>COUNTIFS(tData[SEHTrajectPeriodeDatumTijdVan],"&lt;="&amp;($A520+0/24),tData[SEHTrajectPeriodeDatumTijdTotEnMet],"&gt;"&amp;($A520+0/24))</f>
        <v/>
      </c>
      <c r="E520" s="20">
        <f>COUNTIFS(tData[SEHTrajectPeriodeDatumTijdVan],"&lt;="&amp;($A520+1/24),tData[SEHTrajectPeriodeDatumTijdTotEnMet],"&gt;"&amp;($A520+1/24))</f>
        <v/>
      </c>
      <c r="F520" s="20">
        <f>COUNTIFS(tData[SEHTrajectPeriodeDatumTijdVan],"&lt;="&amp;($A520+2/24),tData[SEHTrajectPeriodeDatumTijdTotEnMet],"&gt;"&amp;($A520+2/24))</f>
        <v/>
      </c>
      <c r="G520" s="20">
        <f>COUNTIFS(tData[SEHTrajectPeriodeDatumTijdVan],"&lt;="&amp;($A520+3/24),tData[SEHTrajectPeriodeDatumTijdTotEnMet],"&gt;"&amp;($A520+3/24))</f>
        <v/>
      </c>
      <c r="H520" s="20">
        <f>COUNTIFS(tData[SEHTrajectPeriodeDatumTijdVan],"&lt;="&amp;($A520+4/24),tData[SEHTrajectPeriodeDatumTijdTotEnMet],"&gt;"&amp;($A520+4/24))</f>
        <v/>
      </c>
      <c r="I520" s="20">
        <f>COUNTIFS(tData[SEHTrajectPeriodeDatumTijdVan],"&lt;="&amp;($A520+5/24),tData[SEHTrajectPeriodeDatumTijdTotEnMet],"&gt;"&amp;($A520+5/24))</f>
        <v/>
      </c>
      <c r="J520" s="20">
        <f>COUNTIFS(tData[SEHTrajectPeriodeDatumTijdVan],"&lt;="&amp;($A520+6/24),tData[SEHTrajectPeriodeDatumTijdTotEnMet],"&gt;"&amp;($A520+6/24))</f>
        <v/>
      </c>
      <c r="K520" s="20">
        <f>COUNTIFS(tData[SEHTrajectPeriodeDatumTijdVan],"&lt;="&amp;($A520+7/24),tData[SEHTrajectPeriodeDatumTijdTotEnMet],"&gt;"&amp;($A520+7/24))</f>
        <v/>
      </c>
      <c r="L520" s="20">
        <f>COUNTIFS(tData[SEHTrajectPeriodeDatumTijdVan],"&lt;="&amp;($A520+8/24),tData[SEHTrajectPeriodeDatumTijdTotEnMet],"&gt;"&amp;($A520+8/24))</f>
        <v/>
      </c>
      <c r="M520" s="20">
        <f>COUNTIFS(tData[SEHTrajectPeriodeDatumTijdVan],"&lt;="&amp;($A520+9/24),tData[SEHTrajectPeriodeDatumTijdTotEnMet],"&gt;"&amp;($A520+9/24))</f>
        <v/>
      </c>
      <c r="N520" s="20">
        <f>COUNTIFS(tData[SEHTrajectPeriodeDatumTijdVan],"&lt;="&amp;($A520+10/24),tData[SEHTrajectPeriodeDatumTijdTotEnMet],"&gt;"&amp;($A520+10/24))</f>
        <v/>
      </c>
      <c r="O520" s="20">
        <f>COUNTIFS(tData[SEHTrajectPeriodeDatumTijdVan],"&lt;="&amp;($A520+11/24),tData[SEHTrajectPeriodeDatumTijdTotEnMet],"&gt;"&amp;($A520+11/24))</f>
        <v/>
      </c>
      <c r="P520" s="20">
        <f>COUNTIFS(tData[SEHTrajectPeriodeDatumTijdVan],"&lt;="&amp;($A520+12/24),tData[SEHTrajectPeriodeDatumTijdTotEnMet],"&gt;"&amp;($A520+12/24))</f>
        <v/>
      </c>
      <c r="Q520" s="20">
        <f>COUNTIFS(tData[SEHTrajectPeriodeDatumTijdVan],"&lt;="&amp;($A520+13/24),tData[SEHTrajectPeriodeDatumTijdTotEnMet],"&gt;"&amp;($A520+13/24))</f>
        <v/>
      </c>
      <c r="R520" s="20">
        <f>COUNTIFS(tData[SEHTrajectPeriodeDatumTijdVan],"&lt;="&amp;($A520+14/24),tData[SEHTrajectPeriodeDatumTijdTotEnMet],"&gt;"&amp;($A520+14/24))</f>
        <v/>
      </c>
      <c r="S520" s="20">
        <f>COUNTIFS(tData[SEHTrajectPeriodeDatumTijdVan],"&lt;="&amp;($A520+15/24),tData[SEHTrajectPeriodeDatumTijdTotEnMet],"&gt;"&amp;($A520+15/24))</f>
        <v/>
      </c>
      <c r="T520" s="20">
        <f>COUNTIFS(tData[SEHTrajectPeriodeDatumTijdVan],"&lt;="&amp;($A520+16/24),tData[SEHTrajectPeriodeDatumTijdTotEnMet],"&gt;"&amp;($A520+16/24))</f>
        <v/>
      </c>
      <c r="U520" s="20">
        <f>COUNTIFS(tData[SEHTrajectPeriodeDatumTijdVan],"&lt;="&amp;($A520+17/24),tData[SEHTrajectPeriodeDatumTijdTotEnMet],"&gt;"&amp;($A520+17/24))</f>
        <v/>
      </c>
      <c r="V520" s="20">
        <f>COUNTIFS(tData[SEHTrajectPeriodeDatumTijdVan],"&lt;="&amp;($A520+18/24),tData[SEHTrajectPeriodeDatumTijdTotEnMet],"&gt;"&amp;($A520+18/24))</f>
        <v/>
      </c>
      <c r="W520" s="20">
        <f>COUNTIFS(tData[SEHTrajectPeriodeDatumTijdVan],"&lt;="&amp;($A520+19/24),tData[SEHTrajectPeriodeDatumTijdTotEnMet],"&gt;"&amp;($A520+19/24))</f>
        <v/>
      </c>
      <c r="X520" s="20">
        <f>COUNTIFS(tData[SEHTrajectPeriodeDatumTijdVan],"&lt;="&amp;($A520+20/24),tData[SEHTrajectPeriodeDatumTijdTotEnMet],"&gt;"&amp;($A520+20/24))</f>
        <v/>
      </c>
      <c r="Y520" s="20">
        <f>COUNTIFS(tData[SEHTrajectPeriodeDatumTijdVan],"&lt;="&amp;($A520+21/24),tData[SEHTrajectPeriodeDatumTijdTotEnMet],"&gt;"&amp;($A520+21/24))</f>
        <v/>
      </c>
      <c r="Z520" s="20">
        <f>COUNTIFS(tData[SEHTrajectPeriodeDatumTijdVan],"&lt;="&amp;($A520+22/24),tData[SEHTrajectPeriodeDatumTijdTotEnMet],"&gt;"&amp;($A520+22/24))</f>
        <v/>
      </c>
      <c r="AA520" s="20">
        <f>COUNTIFS(tData[SEHTrajectPeriodeDatumTijdVan],"&lt;="&amp;($A520+23/24),tData[SEHTrajectPeriodeDatumTijdTotEnMet],"&gt;"&amp;($A520+23/24))</f>
        <v/>
      </c>
    </row>
    <row r="521">
      <c r="A521" s="19" t="n">
        <v>45809</v>
      </c>
      <c r="B521" s="15">
        <f>WEEKDAY($A521,2)</f>
        <v/>
      </c>
      <c r="C521" s="15">
        <f>IF(AND($A521&gt;=INT(Instellingen!$B$5),$A521&lt;=INT(Instellingen!$B$6)),1,0)</f>
        <v/>
      </c>
      <c r="D521" s="20">
        <f>COUNTIFS(tData[SEHTrajectPeriodeDatumTijdVan],"&lt;="&amp;($A521+0/24),tData[SEHTrajectPeriodeDatumTijdTotEnMet],"&gt;"&amp;($A521+0/24))</f>
        <v/>
      </c>
      <c r="E521" s="20">
        <f>COUNTIFS(tData[SEHTrajectPeriodeDatumTijdVan],"&lt;="&amp;($A521+1/24),tData[SEHTrajectPeriodeDatumTijdTotEnMet],"&gt;"&amp;($A521+1/24))</f>
        <v/>
      </c>
      <c r="F521" s="20">
        <f>COUNTIFS(tData[SEHTrajectPeriodeDatumTijdVan],"&lt;="&amp;($A521+2/24),tData[SEHTrajectPeriodeDatumTijdTotEnMet],"&gt;"&amp;($A521+2/24))</f>
        <v/>
      </c>
      <c r="G521" s="20">
        <f>COUNTIFS(tData[SEHTrajectPeriodeDatumTijdVan],"&lt;="&amp;($A521+3/24),tData[SEHTrajectPeriodeDatumTijdTotEnMet],"&gt;"&amp;($A521+3/24))</f>
        <v/>
      </c>
      <c r="H521" s="20">
        <f>COUNTIFS(tData[SEHTrajectPeriodeDatumTijdVan],"&lt;="&amp;($A521+4/24),tData[SEHTrajectPeriodeDatumTijdTotEnMet],"&gt;"&amp;($A521+4/24))</f>
        <v/>
      </c>
      <c r="I521" s="20">
        <f>COUNTIFS(tData[SEHTrajectPeriodeDatumTijdVan],"&lt;="&amp;($A521+5/24),tData[SEHTrajectPeriodeDatumTijdTotEnMet],"&gt;"&amp;($A521+5/24))</f>
        <v/>
      </c>
      <c r="J521" s="20">
        <f>COUNTIFS(tData[SEHTrajectPeriodeDatumTijdVan],"&lt;="&amp;($A521+6/24),tData[SEHTrajectPeriodeDatumTijdTotEnMet],"&gt;"&amp;($A521+6/24))</f>
        <v/>
      </c>
      <c r="K521" s="20">
        <f>COUNTIFS(tData[SEHTrajectPeriodeDatumTijdVan],"&lt;="&amp;($A521+7/24),tData[SEHTrajectPeriodeDatumTijdTotEnMet],"&gt;"&amp;($A521+7/24))</f>
        <v/>
      </c>
      <c r="L521" s="20">
        <f>COUNTIFS(tData[SEHTrajectPeriodeDatumTijdVan],"&lt;="&amp;($A521+8/24),tData[SEHTrajectPeriodeDatumTijdTotEnMet],"&gt;"&amp;($A521+8/24))</f>
        <v/>
      </c>
      <c r="M521" s="20">
        <f>COUNTIFS(tData[SEHTrajectPeriodeDatumTijdVan],"&lt;="&amp;($A521+9/24),tData[SEHTrajectPeriodeDatumTijdTotEnMet],"&gt;"&amp;($A521+9/24))</f>
        <v/>
      </c>
      <c r="N521" s="20">
        <f>COUNTIFS(tData[SEHTrajectPeriodeDatumTijdVan],"&lt;="&amp;($A521+10/24),tData[SEHTrajectPeriodeDatumTijdTotEnMet],"&gt;"&amp;($A521+10/24))</f>
        <v/>
      </c>
      <c r="O521" s="20">
        <f>COUNTIFS(tData[SEHTrajectPeriodeDatumTijdVan],"&lt;="&amp;($A521+11/24),tData[SEHTrajectPeriodeDatumTijdTotEnMet],"&gt;"&amp;($A521+11/24))</f>
        <v/>
      </c>
      <c r="P521" s="20">
        <f>COUNTIFS(tData[SEHTrajectPeriodeDatumTijdVan],"&lt;="&amp;($A521+12/24),tData[SEHTrajectPeriodeDatumTijdTotEnMet],"&gt;"&amp;($A521+12/24))</f>
        <v/>
      </c>
      <c r="Q521" s="20">
        <f>COUNTIFS(tData[SEHTrajectPeriodeDatumTijdVan],"&lt;="&amp;($A521+13/24),tData[SEHTrajectPeriodeDatumTijdTotEnMet],"&gt;"&amp;($A521+13/24))</f>
        <v/>
      </c>
      <c r="R521" s="20">
        <f>COUNTIFS(tData[SEHTrajectPeriodeDatumTijdVan],"&lt;="&amp;($A521+14/24),tData[SEHTrajectPeriodeDatumTijdTotEnMet],"&gt;"&amp;($A521+14/24))</f>
        <v/>
      </c>
      <c r="S521" s="20">
        <f>COUNTIFS(tData[SEHTrajectPeriodeDatumTijdVan],"&lt;="&amp;($A521+15/24),tData[SEHTrajectPeriodeDatumTijdTotEnMet],"&gt;"&amp;($A521+15/24))</f>
        <v/>
      </c>
      <c r="T521" s="20">
        <f>COUNTIFS(tData[SEHTrajectPeriodeDatumTijdVan],"&lt;="&amp;($A521+16/24),tData[SEHTrajectPeriodeDatumTijdTotEnMet],"&gt;"&amp;($A521+16/24))</f>
        <v/>
      </c>
      <c r="U521" s="20">
        <f>COUNTIFS(tData[SEHTrajectPeriodeDatumTijdVan],"&lt;="&amp;($A521+17/24),tData[SEHTrajectPeriodeDatumTijdTotEnMet],"&gt;"&amp;($A521+17/24))</f>
        <v/>
      </c>
      <c r="V521" s="20">
        <f>COUNTIFS(tData[SEHTrajectPeriodeDatumTijdVan],"&lt;="&amp;($A521+18/24),tData[SEHTrajectPeriodeDatumTijdTotEnMet],"&gt;"&amp;($A521+18/24))</f>
        <v/>
      </c>
      <c r="W521" s="20">
        <f>COUNTIFS(tData[SEHTrajectPeriodeDatumTijdVan],"&lt;="&amp;($A521+19/24),tData[SEHTrajectPeriodeDatumTijdTotEnMet],"&gt;"&amp;($A521+19/24))</f>
        <v/>
      </c>
      <c r="X521" s="20">
        <f>COUNTIFS(tData[SEHTrajectPeriodeDatumTijdVan],"&lt;="&amp;($A521+20/24),tData[SEHTrajectPeriodeDatumTijdTotEnMet],"&gt;"&amp;($A521+20/24))</f>
        <v/>
      </c>
      <c r="Y521" s="20">
        <f>COUNTIFS(tData[SEHTrajectPeriodeDatumTijdVan],"&lt;="&amp;($A521+21/24),tData[SEHTrajectPeriodeDatumTijdTotEnMet],"&gt;"&amp;($A521+21/24))</f>
        <v/>
      </c>
      <c r="Z521" s="20">
        <f>COUNTIFS(tData[SEHTrajectPeriodeDatumTijdVan],"&lt;="&amp;($A521+22/24),tData[SEHTrajectPeriodeDatumTijdTotEnMet],"&gt;"&amp;($A521+22/24))</f>
        <v/>
      </c>
      <c r="AA521" s="20">
        <f>COUNTIFS(tData[SEHTrajectPeriodeDatumTijdVan],"&lt;="&amp;($A521+23/24),tData[SEHTrajectPeriodeDatumTijdTotEnMet],"&gt;"&amp;($A521+23/24))</f>
        <v/>
      </c>
    </row>
    <row r="522">
      <c r="A522" s="19" t="n">
        <v>45810</v>
      </c>
      <c r="B522" s="15">
        <f>WEEKDAY($A522,2)</f>
        <v/>
      </c>
      <c r="C522" s="15">
        <f>IF(AND($A522&gt;=INT(Instellingen!$B$5),$A522&lt;=INT(Instellingen!$B$6)),1,0)</f>
        <v/>
      </c>
      <c r="D522" s="20">
        <f>COUNTIFS(tData[SEHTrajectPeriodeDatumTijdVan],"&lt;="&amp;($A522+0/24),tData[SEHTrajectPeriodeDatumTijdTotEnMet],"&gt;"&amp;($A522+0/24))</f>
        <v/>
      </c>
      <c r="E522" s="20">
        <f>COUNTIFS(tData[SEHTrajectPeriodeDatumTijdVan],"&lt;="&amp;($A522+1/24),tData[SEHTrajectPeriodeDatumTijdTotEnMet],"&gt;"&amp;($A522+1/24))</f>
        <v/>
      </c>
      <c r="F522" s="20">
        <f>COUNTIFS(tData[SEHTrajectPeriodeDatumTijdVan],"&lt;="&amp;($A522+2/24),tData[SEHTrajectPeriodeDatumTijdTotEnMet],"&gt;"&amp;($A522+2/24))</f>
        <v/>
      </c>
      <c r="G522" s="20">
        <f>COUNTIFS(tData[SEHTrajectPeriodeDatumTijdVan],"&lt;="&amp;($A522+3/24),tData[SEHTrajectPeriodeDatumTijdTotEnMet],"&gt;"&amp;($A522+3/24))</f>
        <v/>
      </c>
      <c r="H522" s="20">
        <f>COUNTIFS(tData[SEHTrajectPeriodeDatumTijdVan],"&lt;="&amp;($A522+4/24),tData[SEHTrajectPeriodeDatumTijdTotEnMet],"&gt;"&amp;($A522+4/24))</f>
        <v/>
      </c>
      <c r="I522" s="20">
        <f>COUNTIFS(tData[SEHTrajectPeriodeDatumTijdVan],"&lt;="&amp;($A522+5/24),tData[SEHTrajectPeriodeDatumTijdTotEnMet],"&gt;"&amp;($A522+5/24))</f>
        <v/>
      </c>
      <c r="J522" s="20">
        <f>COUNTIFS(tData[SEHTrajectPeriodeDatumTijdVan],"&lt;="&amp;($A522+6/24),tData[SEHTrajectPeriodeDatumTijdTotEnMet],"&gt;"&amp;($A522+6/24))</f>
        <v/>
      </c>
      <c r="K522" s="20">
        <f>COUNTIFS(tData[SEHTrajectPeriodeDatumTijdVan],"&lt;="&amp;($A522+7/24),tData[SEHTrajectPeriodeDatumTijdTotEnMet],"&gt;"&amp;($A522+7/24))</f>
        <v/>
      </c>
      <c r="L522" s="20">
        <f>COUNTIFS(tData[SEHTrajectPeriodeDatumTijdVan],"&lt;="&amp;($A522+8/24),tData[SEHTrajectPeriodeDatumTijdTotEnMet],"&gt;"&amp;($A522+8/24))</f>
        <v/>
      </c>
      <c r="M522" s="20">
        <f>COUNTIFS(tData[SEHTrajectPeriodeDatumTijdVan],"&lt;="&amp;($A522+9/24),tData[SEHTrajectPeriodeDatumTijdTotEnMet],"&gt;"&amp;($A522+9/24))</f>
        <v/>
      </c>
      <c r="N522" s="20">
        <f>COUNTIFS(tData[SEHTrajectPeriodeDatumTijdVan],"&lt;="&amp;($A522+10/24),tData[SEHTrajectPeriodeDatumTijdTotEnMet],"&gt;"&amp;($A522+10/24))</f>
        <v/>
      </c>
      <c r="O522" s="20">
        <f>COUNTIFS(tData[SEHTrajectPeriodeDatumTijdVan],"&lt;="&amp;($A522+11/24),tData[SEHTrajectPeriodeDatumTijdTotEnMet],"&gt;"&amp;($A522+11/24))</f>
        <v/>
      </c>
      <c r="P522" s="20">
        <f>COUNTIFS(tData[SEHTrajectPeriodeDatumTijdVan],"&lt;="&amp;($A522+12/24),tData[SEHTrajectPeriodeDatumTijdTotEnMet],"&gt;"&amp;($A522+12/24))</f>
        <v/>
      </c>
      <c r="Q522" s="20">
        <f>COUNTIFS(tData[SEHTrajectPeriodeDatumTijdVan],"&lt;="&amp;($A522+13/24),tData[SEHTrajectPeriodeDatumTijdTotEnMet],"&gt;"&amp;($A522+13/24))</f>
        <v/>
      </c>
      <c r="R522" s="20">
        <f>COUNTIFS(tData[SEHTrajectPeriodeDatumTijdVan],"&lt;="&amp;($A522+14/24),tData[SEHTrajectPeriodeDatumTijdTotEnMet],"&gt;"&amp;($A522+14/24))</f>
        <v/>
      </c>
      <c r="S522" s="20">
        <f>COUNTIFS(tData[SEHTrajectPeriodeDatumTijdVan],"&lt;="&amp;($A522+15/24),tData[SEHTrajectPeriodeDatumTijdTotEnMet],"&gt;"&amp;($A522+15/24))</f>
        <v/>
      </c>
      <c r="T522" s="20">
        <f>COUNTIFS(tData[SEHTrajectPeriodeDatumTijdVan],"&lt;="&amp;($A522+16/24),tData[SEHTrajectPeriodeDatumTijdTotEnMet],"&gt;"&amp;($A522+16/24))</f>
        <v/>
      </c>
      <c r="U522" s="20">
        <f>COUNTIFS(tData[SEHTrajectPeriodeDatumTijdVan],"&lt;="&amp;($A522+17/24),tData[SEHTrajectPeriodeDatumTijdTotEnMet],"&gt;"&amp;($A522+17/24))</f>
        <v/>
      </c>
      <c r="V522" s="20">
        <f>COUNTIFS(tData[SEHTrajectPeriodeDatumTijdVan],"&lt;="&amp;($A522+18/24),tData[SEHTrajectPeriodeDatumTijdTotEnMet],"&gt;"&amp;($A522+18/24))</f>
        <v/>
      </c>
      <c r="W522" s="20">
        <f>COUNTIFS(tData[SEHTrajectPeriodeDatumTijdVan],"&lt;="&amp;($A522+19/24),tData[SEHTrajectPeriodeDatumTijdTotEnMet],"&gt;"&amp;($A522+19/24))</f>
        <v/>
      </c>
      <c r="X522" s="20">
        <f>COUNTIFS(tData[SEHTrajectPeriodeDatumTijdVan],"&lt;="&amp;($A522+20/24),tData[SEHTrajectPeriodeDatumTijdTotEnMet],"&gt;"&amp;($A522+20/24))</f>
        <v/>
      </c>
      <c r="Y522" s="20">
        <f>COUNTIFS(tData[SEHTrajectPeriodeDatumTijdVan],"&lt;="&amp;($A522+21/24),tData[SEHTrajectPeriodeDatumTijdTotEnMet],"&gt;"&amp;($A522+21/24))</f>
        <v/>
      </c>
      <c r="Z522" s="20">
        <f>COUNTIFS(tData[SEHTrajectPeriodeDatumTijdVan],"&lt;="&amp;($A522+22/24),tData[SEHTrajectPeriodeDatumTijdTotEnMet],"&gt;"&amp;($A522+22/24))</f>
        <v/>
      </c>
      <c r="AA522" s="20">
        <f>COUNTIFS(tData[SEHTrajectPeriodeDatumTijdVan],"&lt;="&amp;($A522+23/24),tData[SEHTrajectPeriodeDatumTijdTotEnMet],"&gt;"&amp;($A522+23/24))</f>
        <v/>
      </c>
    </row>
    <row r="523">
      <c r="A523" s="19" t="n">
        <v>45811</v>
      </c>
      <c r="B523" s="15">
        <f>WEEKDAY($A523,2)</f>
        <v/>
      </c>
      <c r="C523" s="15">
        <f>IF(AND($A523&gt;=INT(Instellingen!$B$5),$A523&lt;=INT(Instellingen!$B$6)),1,0)</f>
        <v/>
      </c>
      <c r="D523" s="20">
        <f>COUNTIFS(tData[SEHTrajectPeriodeDatumTijdVan],"&lt;="&amp;($A523+0/24),tData[SEHTrajectPeriodeDatumTijdTotEnMet],"&gt;"&amp;($A523+0/24))</f>
        <v/>
      </c>
      <c r="E523" s="20">
        <f>COUNTIFS(tData[SEHTrajectPeriodeDatumTijdVan],"&lt;="&amp;($A523+1/24),tData[SEHTrajectPeriodeDatumTijdTotEnMet],"&gt;"&amp;($A523+1/24))</f>
        <v/>
      </c>
      <c r="F523" s="20">
        <f>COUNTIFS(tData[SEHTrajectPeriodeDatumTijdVan],"&lt;="&amp;($A523+2/24),tData[SEHTrajectPeriodeDatumTijdTotEnMet],"&gt;"&amp;($A523+2/24))</f>
        <v/>
      </c>
      <c r="G523" s="20">
        <f>COUNTIFS(tData[SEHTrajectPeriodeDatumTijdVan],"&lt;="&amp;($A523+3/24),tData[SEHTrajectPeriodeDatumTijdTotEnMet],"&gt;"&amp;($A523+3/24))</f>
        <v/>
      </c>
      <c r="H523" s="20">
        <f>COUNTIFS(tData[SEHTrajectPeriodeDatumTijdVan],"&lt;="&amp;($A523+4/24),tData[SEHTrajectPeriodeDatumTijdTotEnMet],"&gt;"&amp;($A523+4/24))</f>
        <v/>
      </c>
      <c r="I523" s="20">
        <f>COUNTIFS(tData[SEHTrajectPeriodeDatumTijdVan],"&lt;="&amp;($A523+5/24),tData[SEHTrajectPeriodeDatumTijdTotEnMet],"&gt;"&amp;($A523+5/24))</f>
        <v/>
      </c>
      <c r="J523" s="20">
        <f>COUNTIFS(tData[SEHTrajectPeriodeDatumTijdVan],"&lt;="&amp;($A523+6/24),tData[SEHTrajectPeriodeDatumTijdTotEnMet],"&gt;"&amp;($A523+6/24))</f>
        <v/>
      </c>
      <c r="K523" s="20">
        <f>COUNTIFS(tData[SEHTrajectPeriodeDatumTijdVan],"&lt;="&amp;($A523+7/24),tData[SEHTrajectPeriodeDatumTijdTotEnMet],"&gt;"&amp;($A523+7/24))</f>
        <v/>
      </c>
      <c r="L523" s="20">
        <f>COUNTIFS(tData[SEHTrajectPeriodeDatumTijdVan],"&lt;="&amp;($A523+8/24),tData[SEHTrajectPeriodeDatumTijdTotEnMet],"&gt;"&amp;($A523+8/24))</f>
        <v/>
      </c>
      <c r="M523" s="20">
        <f>COUNTIFS(tData[SEHTrajectPeriodeDatumTijdVan],"&lt;="&amp;($A523+9/24),tData[SEHTrajectPeriodeDatumTijdTotEnMet],"&gt;"&amp;($A523+9/24))</f>
        <v/>
      </c>
      <c r="N523" s="20">
        <f>COUNTIFS(tData[SEHTrajectPeriodeDatumTijdVan],"&lt;="&amp;($A523+10/24),tData[SEHTrajectPeriodeDatumTijdTotEnMet],"&gt;"&amp;($A523+10/24))</f>
        <v/>
      </c>
      <c r="O523" s="20">
        <f>COUNTIFS(tData[SEHTrajectPeriodeDatumTijdVan],"&lt;="&amp;($A523+11/24),tData[SEHTrajectPeriodeDatumTijdTotEnMet],"&gt;"&amp;($A523+11/24))</f>
        <v/>
      </c>
      <c r="P523" s="20">
        <f>COUNTIFS(tData[SEHTrajectPeriodeDatumTijdVan],"&lt;="&amp;($A523+12/24),tData[SEHTrajectPeriodeDatumTijdTotEnMet],"&gt;"&amp;($A523+12/24))</f>
        <v/>
      </c>
      <c r="Q523" s="20">
        <f>COUNTIFS(tData[SEHTrajectPeriodeDatumTijdVan],"&lt;="&amp;($A523+13/24),tData[SEHTrajectPeriodeDatumTijdTotEnMet],"&gt;"&amp;($A523+13/24))</f>
        <v/>
      </c>
      <c r="R523" s="20">
        <f>COUNTIFS(tData[SEHTrajectPeriodeDatumTijdVan],"&lt;="&amp;($A523+14/24),tData[SEHTrajectPeriodeDatumTijdTotEnMet],"&gt;"&amp;($A523+14/24))</f>
        <v/>
      </c>
      <c r="S523" s="20">
        <f>COUNTIFS(tData[SEHTrajectPeriodeDatumTijdVan],"&lt;="&amp;($A523+15/24),tData[SEHTrajectPeriodeDatumTijdTotEnMet],"&gt;"&amp;($A523+15/24))</f>
        <v/>
      </c>
      <c r="T523" s="20">
        <f>COUNTIFS(tData[SEHTrajectPeriodeDatumTijdVan],"&lt;="&amp;($A523+16/24),tData[SEHTrajectPeriodeDatumTijdTotEnMet],"&gt;"&amp;($A523+16/24))</f>
        <v/>
      </c>
      <c r="U523" s="20">
        <f>COUNTIFS(tData[SEHTrajectPeriodeDatumTijdVan],"&lt;="&amp;($A523+17/24),tData[SEHTrajectPeriodeDatumTijdTotEnMet],"&gt;"&amp;($A523+17/24))</f>
        <v/>
      </c>
      <c r="V523" s="20">
        <f>COUNTIFS(tData[SEHTrajectPeriodeDatumTijdVan],"&lt;="&amp;($A523+18/24),tData[SEHTrajectPeriodeDatumTijdTotEnMet],"&gt;"&amp;($A523+18/24))</f>
        <v/>
      </c>
      <c r="W523" s="20">
        <f>COUNTIFS(tData[SEHTrajectPeriodeDatumTijdVan],"&lt;="&amp;($A523+19/24),tData[SEHTrajectPeriodeDatumTijdTotEnMet],"&gt;"&amp;($A523+19/24))</f>
        <v/>
      </c>
      <c r="X523" s="20">
        <f>COUNTIFS(tData[SEHTrajectPeriodeDatumTijdVan],"&lt;="&amp;($A523+20/24),tData[SEHTrajectPeriodeDatumTijdTotEnMet],"&gt;"&amp;($A523+20/24))</f>
        <v/>
      </c>
      <c r="Y523" s="20">
        <f>COUNTIFS(tData[SEHTrajectPeriodeDatumTijdVan],"&lt;="&amp;($A523+21/24),tData[SEHTrajectPeriodeDatumTijdTotEnMet],"&gt;"&amp;($A523+21/24))</f>
        <v/>
      </c>
      <c r="Z523" s="20">
        <f>COUNTIFS(tData[SEHTrajectPeriodeDatumTijdVan],"&lt;="&amp;($A523+22/24),tData[SEHTrajectPeriodeDatumTijdTotEnMet],"&gt;"&amp;($A523+22/24))</f>
        <v/>
      </c>
      <c r="AA523" s="20">
        <f>COUNTIFS(tData[SEHTrajectPeriodeDatumTijdVan],"&lt;="&amp;($A523+23/24),tData[SEHTrajectPeriodeDatumTijdTotEnMet],"&gt;"&amp;($A523+23/24))</f>
        <v/>
      </c>
    </row>
    <row r="524">
      <c r="A524" s="19" t="n">
        <v>45812</v>
      </c>
      <c r="B524" s="15">
        <f>WEEKDAY($A524,2)</f>
        <v/>
      </c>
      <c r="C524" s="15">
        <f>IF(AND($A524&gt;=INT(Instellingen!$B$5),$A524&lt;=INT(Instellingen!$B$6)),1,0)</f>
        <v/>
      </c>
      <c r="D524" s="20">
        <f>COUNTIFS(tData[SEHTrajectPeriodeDatumTijdVan],"&lt;="&amp;($A524+0/24),tData[SEHTrajectPeriodeDatumTijdTotEnMet],"&gt;"&amp;($A524+0/24))</f>
        <v/>
      </c>
      <c r="E524" s="20">
        <f>COUNTIFS(tData[SEHTrajectPeriodeDatumTijdVan],"&lt;="&amp;($A524+1/24),tData[SEHTrajectPeriodeDatumTijdTotEnMet],"&gt;"&amp;($A524+1/24))</f>
        <v/>
      </c>
      <c r="F524" s="20">
        <f>COUNTIFS(tData[SEHTrajectPeriodeDatumTijdVan],"&lt;="&amp;($A524+2/24),tData[SEHTrajectPeriodeDatumTijdTotEnMet],"&gt;"&amp;($A524+2/24))</f>
        <v/>
      </c>
      <c r="G524" s="20">
        <f>COUNTIFS(tData[SEHTrajectPeriodeDatumTijdVan],"&lt;="&amp;($A524+3/24),tData[SEHTrajectPeriodeDatumTijdTotEnMet],"&gt;"&amp;($A524+3/24))</f>
        <v/>
      </c>
      <c r="H524" s="20">
        <f>COUNTIFS(tData[SEHTrajectPeriodeDatumTijdVan],"&lt;="&amp;($A524+4/24),tData[SEHTrajectPeriodeDatumTijdTotEnMet],"&gt;"&amp;($A524+4/24))</f>
        <v/>
      </c>
      <c r="I524" s="20">
        <f>COUNTIFS(tData[SEHTrajectPeriodeDatumTijdVan],"&lt;="&amp;($A524+5/24),tData[SEHTrajectPeriodeDatumTijdTotEnMet],"&gt;"&amp;($A524+5/24))</f>
        <v/>
      </c>
      <c r="J524" s="20">
        <f>COUNTIFS(tData[SEHTrajectPeriodeDatumTijdVan],"&lt;="&amp;($A524+6/24),tData[SEHTrajectPeriodeDatumTijdTotEnMet],"&gt;"&amp;($A524+6/24))</f>
        <v/>
      </c>
      <c r="K524" s="20">
        <f>COUNTIFS(tData[SEHTrajectPeriodeDatumTijdVan],"&lt;="&amp;($A524+7/24),tData[SEHTrajectPeriodeDatumTijdTotEnMet],"&gt;"&amp;($A524+7/24))</f>
        <v/>
      </c>
      <c r="L524" s="20">
        <f>COUNTIFS(tData[SEHTrajectPeriodeDatumTijdVan],"&lt;="&amp;($A524+8/24),tData[SEHTrajectPeriodeDatumTijdTotEnMet],"&gt;"&amp;($A524+8/24))</f>
        <v/>
      </c>
      <c r="M524" s="20">
        <f>COUNTIFS(tData[SEHTrajectPeriodeDatumTijdVan],"&lt;="&amp;($A524+9/24),tData[SEHTrajectPeriodeDatumTijdTotEnMet],"&gt;"&amp;($A524+9/24))</f>
        <v/>
      </c>
      <c r="N524" s="20">
        <f>COUNTIFS(tData[SEHTrajectPeriodeDatumTijdVan],"&lt;="&amp;($A524+10/24),tData[SEHTrajectPeriodeDatumTijdTotEnMet],"&gt;"&amp;($A524+10/24))</f>
        <v/>
      </c>
      <c r="O524" s="20">
        <f>COUNTIFS(tData[SEHTrajectPeriodeDatumTijdVan],"&lt;="&amp;($A524+11/24),tData[SEHTrajectPeriodeDatumTijdTotEnMet],"&gt;"&amp;($A524+11/24))</f>
        <v/>
      </c>
      <c r="P524" s="20">
        <f>COUNTIFS(tData[SEHTrajectPeriodeDatumTijdVan],"&lt;="&amp;($A524+12/24),tData[SEHTrajectPeriodeDatumTijdTotEnMet],"&gt;"&amp;($A524+12/24))</f>
        <v/>
      </c>
      <c r="Q524" s="20">
        <f>COUNTIFS(tData[SEHTrajectPeriodeDatumTijdVan],"&lt;="&amp;($A524+13/24),tData[SEHTrajectPeriodeDatumTijdTotEnMet],"&gt;"&amp;($A524+13/24))</f>
        <v/>
      </c>
      <c r="R524" s="20">
        <f>COUNTIFS(tData[SEHTrajectPeriodeDatumTijdVan],"&lt;="&amp;($A524+14/24),tData[SEHTrajectPeriodeDatumTijdTotEnMet],"&gt;"&amp;($A524+14/24))</f>
        <v/>
      </c>
      <c r="S524" s="20">
        <f>COUNTIFS(tData[SEHTrajectPeriodeDatumTijdVan],"&lt;="&amp;($A524+15/24),tData[SEHTrajectPeriodeDatumTijdTotEnMet],"&gt;"&amp;($A524+15/24))</f>
        <v/>
      </c>
      <c r="T524" s="20">
        <f>COUNTIFS(tData[SEHTrajectPeriodeDatumTijdVan],"&lt;="&amp;($A524+16/24),tData[SEHTrajectPeriodeDatumTijdTotEnMet],"&gt;"&amp;($A524+16/24))</f>
        <v/>
      </c>
      <c r="U524" s="20">
        <f>COUNTIFS(tData[SEHTrajectPeriodeDatumTijdVan],"&lt;="&amp;($A524+17/24),tData[SEHTrajectPeriodeDatumTijdTotEnMet],"&gt;"&amp;($A524+17/24))</f>
        <v/>
      </c>
      <c r="V524" s="20">
        <f>COUNTIFS(tData[SEHTrajectPeriodeDatumTijdVan],"&lt;="&amp;($A524+18/24),tData[SEHTrajectPeriodeDatumTijdTotEnMet],"&gt;"&amp;($A524+18/24))</f>
        <v/>
      </c>
      <c r="W524" s="20">
        <f>COUNTIFS(tData[SEHTrajectPeriodeDatumTijdVan],"&lt;="&amp;($A524+19/24),tData[SEHTrajectPeriodeDatumTijdTotEnMet],"&gt;"&amp;($A524+19/24))</f>
        <v/>
      </c>
      <c r="X524" s="20">
        <f>COUNTIFS(tData[SEHTrajectPeriodeDatumTijdVan],"&lt;="&amp;($A524+20/24),tData[SEHTrajectPeriodeDatumTijdTotEnMet],"&gt;"&amp;($A524+20/24))</f>
        <v/>
      </c>
      <c r="Y524" s="20">
        <f>COUNTIFS(tData[SEHTrajectPeriodeDatumTijdVan],"&lt;="&amp;($A524+21/24),tData[SEHTrajectPeriodeDatumTijdTotEnMet],"&gt;"&amp;($A524+21/24))</f>
        <v/>
      </c>
      <c r="Z524" s="20">
        <f>COUNTIFS(tData[SEHTrajectPeriodeDatumTijdVan],"&lt;="&amp;($A524+22/24),tData[SEHTrajectPeriodeDatumTijdTotEnMet],"&gt;"&amp;($A524+22/24))</f>
        <v/>
      </c>
      <c r="AA524" s="20">
        <f>COUNTIFS(tData[SEHTrajectPeriodeDatumTijdVan],"&lt;="&amp;($A524+23/24),tData[SEHTrajectPeriodeDatumTijdTotEnMet],"&gt;"&amp;($A524+23/24))</f>
        <v/>
      </c>
    </row>
    <row r="525">
      <c r="A525" s="19" t="n">
        <v>45813</v>
      </c>
      <c r="B525" s="15">
        <f>WEEKDAY($A525,2)</f>
        <v/>
      </c>
      <c r="C525" s="15">
        <f>IF(AND($A525&gt;=INT(Instellingen!$B$5),$A525&lt;=INT(Instellingen!$B$6)),1,0)</f>
        <v/>
      </c>
      <c r="D525" s="20">
        <f>COUNTIFS(tData[SEHTrajectPeriodeDatumTijdVan],"&lt;="&amp;($A525+0/24),tData[SEHTrajectPeriodeDatumTijdTotEnMet],"&gt;"&amp;($A525+0/24))</f>
        <v/>
      </c>
      <c r="E525" s="20">
        <f>COUNTIFS(tData[SEHTrajectPeriodeDatumTijdVan],"&lt;="&amp;($A525+1/24),tData[SEHTrajectPeriodeDatumTijdTotEnMet],"&gt;"&amp;($A525+1/24))</f>
        <v/>
      </c>
      <c r="F525" s="20">
        <f>COUNTIFS(tData[SEHTrajectPeriodeDatumTijdVan],"&lt;="&amp;($A525+2/24),tData[SEHTrajectPeriodeDatumTijdTotEnMet],"&gt;"&amp;($A525+2/24))</f>
        <v/>
      </c>
      <c r="G525" s="20">
        <f>COUNTIFS(tData[SEHTrajectPeriodeDatumTijdVan],"&lt;="&amp;($A525+3/24),tData[SEHTrajectPeriodeDatumTijdTotEnMet],"&gt;"&amp;($A525+3/24))</f>
        <v/>
      </c>
      <c r="H525" s="20">
        <f>COUNTIFS(tData[SEHTrajectPeriodeDatumTijdVan],"&lt;="&amp;($A525+4/24),tData[SEHTrajectPeriodeDatumTijdTotEnMet],"&gt;"&amp;($A525+4/24))</f>
        <v/>
      </c>
      <c r="I525" s="20">
        <f>COUNTIFS(tData[SEHTrajectPeriodeDatumTijdVan],"&lt;="&amp;($A525+5/24),tData[SEHTrajectPeriodeDatumTijdTotEnMet],"&gt;"&amp;($A525+5/24))</f>
        <v/>
      </c>
      <c r="J525" s="20">
        <f>COUNTIFS(tData[SEHTrajectPeriodeDatumTijdVan],"&lt;="&amp;($A525+6/24),tData[SEHTrajectPeriodeDatumTijdTotEnMet],"&gt;"&amp;($A525+6/24))</f>
        <v/>
      </c>
      <c r="K525" s="20">
        <f>COUNTIFS(tData[SEHTrajectPeriodeDatumTijdVan],"&lt;="&amp;($A525+7/24),tData[SEHTrajectPeriodeDatumTijdTotEnMet],"&gt;"&amp;($A525+7/24))</f>
        <v/>
      </c>
      <c r="L525" s="20">
        <f>COUNTIFS(tData[SEHTrajectPeriodeDatumTijdVan],"&lt;="&amp;($A525+8/24),tData[SEHTrajectPeriodeDatumTijdTotEnMet],"&gt;"&amp;($A525+8/24))</f>
        <v/>
      </c>
      <c r="M525" s="20">
        <f>COUNTIFS(tData[SEHTrajectPeriodeDatumTijdVan],"&lt;="&amp;($A525+9/24),tData[SEHTrajectPeriodeDatumTijdTotEnMet],"&gt;"&amp;($A525+9/24))</f>
        <v/>
      </c>
      <c r="N525" s="20">
        <f>COUNTIFS(tData[SEHTrajectPeriodeDatumTijdVan],"&lt;="&amp;($A525+10/24),tData[SEHTrajectPeriodeDatumTijdTotEnMet],"&gt;"&amp;($A525+10/24))</f>
        <v/>
      </c>
      <c r="O525" s="20">
        <f>COUNTIFS(tData[SEHTrajectPeriodeDatumTijdVan],"&lt;="&amp;($A525+11/24),tData[SEHTrajectPeriodeDatumTijdTotEnMet],"&gt;"&amp;($A525+11/24))</f>
        <v/>
      </c>
      <c r="P525" s="20">
        <f>COUNTIFS(tData[SEHTrajectPeriodeDatumTijdVan],"&lt;="&amp;($A525+12/24),tData[SEHTrajectPeriodeDatumTijdTotEnMet],"&gt;"&amp;($A525+12/24))</f>
        <v/>
      </c>
      <c r="Q525" s="20">
        <f>COUNTIFS(tData[SEHTrajectPeriodeDatumTijdVan],"&lt;="&amp;($A525+13/24),tData[SEHTrajectPeriodeDatumTijdTotEnMet],"&gt;"&amp;($A525+13/24))</f>
        <v/>
      </c>
      <c r="R525" s="20">
        <f>COUNTIFS(tData[SEHTrajectPeriodeDatumTijdVan],"&lt;="&amp;($A525+14/24),tData[SEHTrajectPeriodeDatumTijdTotEnMet],"&gt;"&amp;($A525+14/24))</f>
        <v/>
      </c>
      <c r="S525" s="20">
        <f>COUNTIFS(tData[SEHTrajectPeriodeDatumTijdVan],"&lt;="&amp;($A525+15/24),tData[SEHTrajectPeriodeDatumTijdTotEnMet],"&gt;"&amp;($A525+15/24))</f>
        <v/>
      </c>
      <c r="T525" s="20">
        <f>COUNTIFS(tData[SEHTrajectPeriodeDatumTijdVan],"&lt;="&amp;($A525+16/24),tData[SEHTrajectPeriodeDatumTijdTotEnMet],"&gt;"&amp;($A525+16/24))</f>
        <v/>
      </c>
      <c r="U525" s="20">
        <f>COUNTIFS(tData[SEHTrajectPeriodeDatumTijdVan],"&lt;="&amp;($A525+17/24),tData[SEHTrajectPeriodeDatumTijdTotEnMet],"&gt;"&amp;($A525+17/24))</f>
        <v/>
      </c>
      <c r="V525" s="20">
        <f>COUNTIFS(tData[SEHTrajectPeriodeDatumTijdVan],"&lt;="&amp;($A525+18/24),tData[SEHTrajectPeriodeDatumTijdTotEnMet],"&gt;"&amp;($A525+18/24))</f>
        <v/>
      </c>
      <c r="W525" s="20">
        <f>COUNTIFS(tData[SEHTrajectPeriodeDatumTijdVan],"&lt;="&amp;($A525+19/24),tData[SEHTrajectPeriodeDatumTijdTotEnMet],"&gt;"&amp;($A525+19/24))</f>
        <v/>
      </c>
      <c r="X525" s="20">
        <f>COUNTIFS(tData[SEHTrajectPeriodeDatumTijdVan],"&lt;="&amp;($A525+20/24),tData[SEHTrajectPeriodeDatumTijdTotEnMet],"&gt;"&amp;($A525+20/24))</f>
        <v/>
      </c>
      <c r="Y525" s="20">
        <f>COUNTIFS(tData[SEHTrajectPeriodeDatumTijdVan],"&lt;="&amp;($A525+21/24),tData[SEHTrajectPeriodeDatumTijdTotEnMet],"&gt;"&amp;($A525+21/24))</f>
        <v/>
      </c>
      <c r="Z525" s="20">
        <f>COUNTIFS(tData[SEHTrajectPeriodeDatumTijdVan],"&lt;="&amp;($A525+22/24),tData[SEHTrajectPeriodeDatumTijdTotEnMet],"&gt;"&amp;($A525+22/24))</f>
        <v/>
      </c>
      <c r="AA525" s="20">
        <f>COUNTIFS(tData[SEHTrajectPeriodeDatumTijdVan],"&lt;="&amp;($A525+23/24),tData[SEHTrajectPeriodeDatumTijdTotEnMet],"&gt;"&amp;($A525+23/24))</f>
        <v/>
      </c>
    </row>
    <row r="526">
      <c r="A526" s="19" t="n">
        <v>45814</v>
      </c>
      <c r="B526" s="15">
        <f>WEEKDAY($A526,2)</f>
        <v/>
      </c>
      <c r="C526" s="15">
        <f>IF(AND($A526&gt;=INT(Instellingen!$B$5),$A526&lt;=INT(Instellingen!$B$6)),1,0)</f>
        <v/>
      </c>
      <c r="D526" s="20">
        <f>COUNTIFS(tData[SEHTrajectPeriodeDatumTijdVan],"&lt;="&amp;($A526+0/24),tData[SEHTrajectPeriodeDatumTijdTotEnMet],"&gt;"&amp;($A526+0/24))</f>
        <v/>
      </c>
      <c r="E526" s="20">
        <f>COUNTIFS(tData[SEHTrajectPeriodeDatumTijdVan],"&lt;="&amp;($A526+1/24),tData[SEHTrajectPeriodeDatumTijdTotEnMet],"&gt;"&amp;($A526+1/24))</f>
        <v/>
      </c>
      <c r="F526" s="20">
        <f>COUNTIFS(tData[SEHTrajectPeriodeDatumTijdVan],"&lt;="&amp;($A526+2/24),tData[SEHTrajectPeriodeDatumTijdTotEnMet],"&gt;"&amp;($A526+2/24))</f>
        <v/>
      </c>
      <c r="G526" s="20">
        <f>COUNTIFS(tData[SEHTrajectPeriodeDatumTijdVan],"&lt;="&amp;($A526+3/24),tData[SEHTrajectPeriodeDatumTijdTotEnMet],"&gt;"&amp;($A526+3/24))</f>
        <v/>
      </c>
      <c r="H526" s="20">
        <f>COUNTIFS(tData[SEHTrajectPeriodeDatumTijdVan],"&lt;="&amp;($A526+4/24),tData[SEHTrajectPeriodeDatumTijdTotEnMet],"&gt;"&amp;($A526+4/24))</f>
        <v/>
      </c>
      <c r="I526" s="20">
        <f>COUNTIFS(tData[SEHTrajectPeriodeDatumTijdVan],"&lt;="&amp;($A526+5/24),tData[SEHTrajectPeriodeDatumTijdTotEnMet],"&gt;"&amp;($A526+5/24))</f>
        <v/>
      </c>
      <c r="J526" s="20">
        <f>COUNTIFS(tData[SEHTrajectPeriodeDatumTijdVan],"&lt;="&amp;($A526+6/24),tData[SEHTrajectPeriodeDatumTijdTotEnMet],"&gt;"&amp;($A526+6/24))</f>
        <v/>
      </c>
      <c r="K526" s="20">
        <f>COUNTIFS(tData[SEHTrajectPeriodeDatumTijdVan],"&lt;="&amp;($A526+7/24),tData[SEHTrajectPeriodeDatumTijdTotEnMet],"&gt;"&amp;($A526+7/24))</f>
        <v/>
      </c>
      <c r="L526" s="20">
        <f>COUNTIFS(tData[SEHTrajectPeriodeDatumTijdVan],"&lt;="&amp;($A526+8/24),tData[SEHTrajectPeriodeDatumTijdTotEnMet],"&gt;"&amp;($A526+8/24))</f>
        <v/>
      </c>
      <c r="M526" s="20">
        <f>COUNTIFS(tData[SEHTrajectPeriodeDatumTijdVan],"&lt;="&amp;($A526+9/24),tData[SEHTrajectPeriodeDatumTijdTotEnMet],"&gt;"&amp;($A526+9/24))</f>
        <v/>
      </c>
      <c r="N526" s="20">
        <f>COUNTIFS(tData[SEHTrajectPeriodeDatumTijdVan],"&lt;="&amp;($A526+10/24),tData[SEHTrajectPeriodeDatumTijdTotEnMet],"&gt;"&amp;($A526+10/24))</f>
        <v/>
      </c>
      <c r="O526" s="20">
        <f>COUNTIFS(tData[SEHTrajectPeriodeDatumTijdVan],"&lt;="&amp;($A526+11/24),tData[SEHTrajectPeriodeDatumTijdTotEnMet],"&gt;"&amp;($A526+11/24))</f>
        <v/>
      </c>
      <c r="P526" s="20">
        <f>COUNTIFS(tData[SEHTrajectPeriodeDatumTijdVan],"&lt;="&amp;($A526+12/24),tData[SEHTrajectPeriodeDatumTijdTotEnMet],"&gt;"&amp;($A526+12/24))</f>
        <v/>
      </c>
      <c r="Q526" s="20">
        <f>COUNTIFS(tData[SEHTrajectPeriodeDatumTijdVan],"&lt;="&amp;($A526+13/24),tData[SEHTrajectPeriodeDatumTijdTotEnMet],"&gt;"&amp;($A526+13/24))</f>
        <v/>
      </c>
      <c r="R526" s="20">
        <f>COUNTIFS(tData[SEHTrajectPeriodeDatumTijdVan],"&lt;="&amp;($A526+14/24),tData[SEHTrajectPeriodeDatumTijdTotEnMet],"&gt;"&amp;($A526+14/24))</f>
        <v/>
      </c>
      <c r="S526" s="20">
        <f>COUNTIFS(tData[SEHTrajectPeriodeDatumTijdVan],"&lt;="&amp;($A526+15/24),tData[SEHTrajectPeriodeDatumTijdTotEnMet],"&gt;"&amp;($A526+15/24))</f>
        <v/>
      </c>
      <c r="T526" s="20">
        <f>COUNTIFS(tData[SEHTrajectPeriodeDatumTijdVan],"&lt;="&amp;($A526+16/24),tData[SEHTrajectPeriodeDatumTijdTotEnMet],"&gt;"&amp;($A526+16/24))</f>
        <v/>
      </c>
      <c r="U526" s="20">
        <f>COUNTIFS(tData[SEHTrajectPeriodeDatumTijdVan],"&lt;="&amp;($A526+17/24),tData[SEHTrajectPeriodeDatumTijdTotEnMet],"&gt;"&amp;($A526+17/24))</f>
        <v/>
      </c>
      <c r="V526" s="20">
        <f>COUNTIFS(tData[SEHTrajectPeriodeDatumTijdVan],"&lt;="&amp;($A526+18/24),tData[SEHTrajectPeriodeDatumTijdTotEnMet],"&gt;"&amp;($A526+18/24))</f>
        <v/>
      </c>
      <c r="W526" s="20">
        <f>COUNTIFS(tData[SEHTrajectPeriodeDatumTijdVan],"&lt;="&amp;($A526+19/24),tData[SEHTrajectPeriodeDatumTijdTotEnMet],"&gt;"&amp;($A526+19/24))</f>
        <v/>
      </c>
      <c r="X526" s="20">
        <f>COUNTIFS(tData[SEHTrajectPeriodeDatumTijdVan],"&lt;="&amp;($A526+20/24),tData[SEHTrajectPeriodeDatumTijdTotEnMet],"&gt;"&amp;($A526+20/24))</f>
        <v/>
      </c>
      <c r="Y526" s="20">
        <f>COUNTIFS(tData[SEHTrajectPeriodeDatumTijdVan],"&lt;="&amp;($A526+21/24),tData[SEHTrajectPeriodeDatumTijdTotEnMet],"&gt;"&amp;($A526+21/24))</f>
        <v/>
      </c>
      <c r="Z526" s="20">
        <f>COUNTIFS(tData[SEHTrajectPeriodeDatumTijdVan],"&lt;="&amp;($A526+22/24),tData[SEHTrajectPeriodeDatumTijdTotEnMet],"&gt;"&amp;($A526+22/24))</f>
        <v/>
      </c>
      <c r="AA526" s="20">
        <f>COUNTIFS(tData[SEHTrajectPeriodeDatumTijdVan],"&lt;="&amp;($A526+23/24),tData[SEHTrajectPeriodeDatumTijdTotEnMet],"&gt;"&amp;($A526+23/24))</f>
        <v/>
      </c>
    </row>
    <row r="527">
      <c r="A527" s="19" t="n">
        <v>45815</v>
      </c>
      <c r="B527" s="15">
        <f>WEEKDAY($A527,2)</f>
        <v/>
      </c>
      <c r="C527" s="15">
        <f>IF(AND($A527&gt;=INT(Instellingen!$B$5),$A527&lt;=INT(Instellingen!$B$6)),1,0)</f>
        <v/>
      </c>
      <c r="D527" s="20">
        <f>COUNTIFS(tData[SEHTrajectPeriodeDatumTijdVan],"&lt;="&amp;($A527+0/24),tData[SEHTrajectPeriodeDatumTijdTotEnMet],"&gt;"&amp;($A527+0/24))</f>
        <v/>
      </c>
      <c r="E527" s="20">
        <f>COUNTIFS(tData[SEHTrajectPeriodeDatumTijdVan],"&lt;="&amp;($A527+1/24),tData[SEHTrajectPeriodeDatumTijdTotEnMet],"&gt;"&amp;($A527+1/24))</f>
        <v/>
      </c>
      <c r="F527" s="20">
        <f>COUNTIFS(tData[SEHTrajectPeriodeDatumTijdVan],"&lt;="&amp;($A527+2/24),tData[SEHTrajectPeriodeDatumTijdTotEnMet],"&gt;"&amp;($A527+2/24))</f>
        <v/>
      </c>
      <c r="G527" s="20">
        <f>COUNTIFS(tData[SEHTrajectPeriodeDatumTijdVan],"&lt;="&amp;($A527+3/24),tData[SEHTrajectPeriodeDatumTijdTotEnMet],"&gt;"&amp;($A527+3/24))</f>
        <v/>
      </c>
      <c r="H527" s="20">
        <f>COUNTIFS(tData[SEHTrajectPeriodeDatumTijdVan],"&lt;="&amp;($A527+4/24),tData[SEHTrajectPeriodeDatumTijdTotEnMet],"&gt;"&amp;($A527+4/24))</f>
        <v/>
      </c>
      <c r="I527" s="20">
        <f>COUNTIFS(tData[SEHTrajectPeriodeDatumTijdVan],"&lt;="&amp;($A527+5/24),tData[SEHTrajectPeriodeDatumTijdTotEnMet],"&gt;"&amp;($A527+5/24))</f>
        <v/>
      </c>
      <c r="J527" s="20">
        <f>COUNTIFS(tData[SEHTrajectPeriodeDatumTijdVan],"&lt;="&amp;($A527+6/24),tData[SEHTrajectPeriodeDatumTijdTotEnMet],"&gt;"&amp;($A527+6/24))</f>
        <v/>
      </c>
      <c r="K527" s="20">
        <f>COUNTIFS(tData[SEHTrajectPeriodeDatumTijdVan],"&lt;="&amp;($A527+7/24),tData[SEHTrajectPeriodeDatumTijdTotEnMet],"&gt;"&amp;($A527+7/24))</f>
        <v/>
      </c>
      <c r="L527" s="20">
        <f>COUNTIFS(tData[SEHTrajectPeriodeDatumTijdVan],"&lt;="&amp;($A527+8/24),tData[SEHTrajectPeriodeDatumTijdTotEnMet],"&gt;"&amp;($A527+8/24))</f>
        <v/>
      </c>
      <c r="M527" s="20">
        <f>COUNTIFS(tData[SEHTrajectPeriodeDatumTijdVan],"&lt;="&amp;($A527+9/24),tData[SEHTrajectPeriodeDatumTijdTotEnMet],"&gt;"&amp;($A527+9/24))</f>
        <v/>
      </c>
      <c r="N527" s="20">
        <f>COUNTIFS(tData[SEHTrajectPeriodeDatumTijdVan],"&lt;="&amp;($A527+10/24),tData[SEHTrajectPeriodeDatumTijdTotEnMet],"&gt;"&amp;($A527+10/24))</f>
        <v/>
      </c>
      <c r="O527" s="20">
        <f>COUNTIFS(tData[SEHTrajectPeriodeDatumTijdVan],"&lt;="&amp;($A527+11/24),tData[SEHTrajectPeriodeDatumTijdTotEnMet],"&gt;"&amp;($A527+11/24))</f>
        <v/>
      </c>
      <c r="P527" s="20">
        <f>COUNTIFS(tData[SEHTrajectPeriodeDatumTijdVan],"&lt;="&amp;($A527+12/24),tData[SEHTrajectPeriodeDatumTijdTotEnMet],"&gt;"&amp;($A527+12/24))</f>
        <v/>
      </c>
      <c r="Q527" s="20">
        <f>COUNTIFS(tData[SEHTrajectPeriodeDatumTijdVan],"&lt;="&amp;($A527+13/24),tData[SEHTrajectPeriodeDatumTijdTotEnMet],"&gt;"&amp;($A527+13/24))</f>
        <v/>
      </c>
      <c r="R527" s="20">
        <f>COUNTIFS(tData[SEHTrajectPeriodeDatumTijdVan],"&lt;="&amp;($A527+14/24),tData[SEHTrajectPeriodeDatumTijdTotEnMet],"&gt;"&amp;($A527+14/24))</f>
        <v/>
      </c>
      <c r="S527" s="20">
        <f>COUNTIFS(tData[SEHTrajectPeriodeDatumTijdVan],"&lt;="&amp;($A527+15/24),tData[SEHTrajectPeriodeDatumTijdTotEnMet],"&gt;"&amp;($A527+15/24))</f>
        <v/>
      </c>
      <c r="T527" s="20">
        <f>COUNTIFS(tData[SEHTrajectPeriodeDatumTijdVan],"&lt;="&amp;($A527+16/24),tData[SEHTrajectPeriodeDatumTijdTotEnMet],"&gt;"&amp;($A527+16/24))</f>
        <v/>
      </c>
      <c r="U527" s="20">
        <f>COUNTIFS(tData[SEHTrajectPeriodeDatumTijdVan],"&lt;="&amp;($A527+17/24),tData[SEHTrajectPeriodeDatumTijdTotEnMet],"&gt;"&amp;($A527+17/24))</f>
        <v/>
      </c>
      <c r="V527" s="20">
        <f>COUNTIFS(tData[SEHTrajectPeriodeDatumTijdVan],"&lt;="&amp;($A527+18/24),tData[SEHTrajectPeriodeDatumTijdTotEnMet],"&gt;"&amp;($A527+18/24))</f>
        <v/>
      </c>
      <c r="W527" s="20">
        <f>COUNTIFS(tData[SEHTrajectPeriodeDatumTijdVan],"&lt;="&amp;($A527+19/24),tData[SEHTrajectPeriodeDatumTijdTotEnMet],"&gt;"&amp;($A527+19/24))</f>
        <v/>
      </c>
      <c r="X527" s="20">
        <f>COUNTIFS(tData[SEHTrajectPeriodeDatumTijdVan],"&lt;="&amp;($A527+20/24),tData[SEHTrajectPeriodeDatumTijdTotEnMet],"&gt;"&amp;($A527+20/24))</f>
        <v/>
      </c>
      <c r="Y527" s="20">
        <f>COUNTIFS(tData[SEHTrajectPeriodeDatumTijdVan],"&lt;="&amp;($A527+21/24),tData[SEHTrajectPeriodeDatumTijdTotEnMet],"&gt;"&amp;($A527+21/24))</f>
        <v/>
      </c>
      <c r="Z527" s="20">
        <f>COUNTIFS(tData[SEHTrajectPeriodeDatumTijdVan],"&lt;="&amp;($A527+22/24),tData[SEHTrajectPeriodeDatumTijdTotEnMet],"&gt;"&amp;($A527+22/24))</f>
        <v/>
      </c>
      <c r="AA527" s="20">
        <f>COUNTIFS(tData[SEHTrajectPeriodeDatumTijdVan],"&lt;="&amp;($A527+23/24),tData[SEHTrajectPeriodeDatumTijdTotEnMet],"&gt;"&amp;($A527+23/24))</f>
        <v/>
      </c>
    </row>
    <row r="528">
      <c r="A528" s="19" t="n">
        <v>45816</v>
      </c>
      <c r="B528" s="15">
        <f>WEEKDAY($A528,2)</f>
        <v/>
      </c>
      <c r="C528" s="15">
        <f>IF(AND($A528&gt;=INT(Instellingen!$B$5),$A528&lt;=INT(Instellingen!$B$6)),1,0)</f>
        <v/>
      </c>
      <c r="D528" s="20">
        <f>COUNTIFS(tData[SEHTrajectPeriodeDatumTijdVan],"&lt;="&amp;($A528+0/24),tData[SEHTrajectPeriodeDatumTijdTotEnMet],"&gt;"&amp;($A528+0/24))</f>
        <v/>
      </c>
      <c r="E528" s="20">
        <f>COUNTIFS(tData[SEHTrajectPeriodeDatumTijdVan],"&lt;="&amp;($A528+1/24),tData[SEHTrajectPeriodeDatumTijdTotEnMet],"&gt;"&amp;($A528+1/24))</f>
        <v/>
      </c>
      <c r="F528" s="20">
        <f>COUNTIFS(tData[SEHTrajectPeriodeDatumTijdVan],"&lt;="&amp;($A528+2/24),tData[SEHTrajectPeriodeDatumTijdTotEnMet],"&gt;"&amp;($A528+2/24))</f>
        <v/>
      </c>
      <c r="G528" s="20">
        <f>COUNTIFS(tData[SEHTrajectPeriodeDatumTijdVan],"&lt;="&amp;($A528+3/24),tData[SEHTrajectPeriodeDatumTijdTotEnMet],"&gt;"&amp;($A528+3/24))</f>
        <v/>
      </c>
      <c r="H528" s="20">
        <f>COUNTIFS(tData[SEHTrajectPeriodeDatumTijdVan],"&lt;="&amp;($A528+4/24),tData[SEHTrajectPeriodeDatumTijdTotEnMet],"&gt;"&amp;($A528+4/24))</f>
        <v/>
      </c>
      <c r="I528" s="20">
        <f>COUNTIFS(tData[SEHTrajectPeriodeDatumTijdVan],"&lt;="&amp;($A528+5/24),tData[SEHTrajectPeriodeDatumTijdTotEnMet],"&gt;"&amp;($A528+5/24))</f>
        <v/>
      </c>
      <c r="J528" s="20">
        <f>COUNTIFS(tData[SEHTrajectPeriodeDatumTijdVan],"&lt;="&amp;($A528+6/24),tData[SEHTrajectPeriodeDatumTijdTotEnMet],"&gt;"&amp;($A528+6/24))</f>
        <v/>
      </c>
      <c r="K528" s="20">
        <f>COUNTIFS(tData[SEHTrajectPeriodeDatumTijdVan],"&lt;="&amp;($A528+7/24),tData[SEHTrajectPeriodeDatumTijdTotEnMet],"&gt;"&amp;($A528+7/24))</f>
        <v/>
      </c>
      <c r="L528" s="20">
        <f>COUNTIFS(tData[SEHTrajectPeriodeDatumTijdVan],"&lt;="&amp;($A528+8/24),tData[SEHTrajectPeriodeDatumTijdTotEnMet],"&gt;"&amp;($A528+8/24))</f>
        <v/>
      </c>
      <c r="M528" s="20">
        <f>COUNTIFS(tData[SEHTrajectPeriodeDatumTijdVan],"&lt;="&amp;($A528+9/24),tData[SEHTrajectPeriodeDatumTijdTotEnMet],"&gt;"&amp;($A528+9/24))</f>
        <v/>
      </c>
      <c r="N528" s="20">
        <f>COUNTIFS(tData[SEHTrajectPeriodeDatumTijdVan],"&lt;="&amp;($A528+10/24),tData[SEHTrajectPeriodeDatumTijdTotEnMet],"&gt;"&amp;($A528+10/24))</f>
        <v/>
      </c>
      <c r="O528" s="20">
        <f>COUNTIFS(tData[SEHTrajectPeriodeDatumTijdVan],"&lt;="&amp;($A528+11/24),tData[SEHTrajectPeriodeDatumTijdTotEnMet],"&gt;"&amp;($A528+11/24))</f>
        <v/>
      </c>
      <c r="P528" s="20">
        <f>COUNTIFS(tData[SEHTrajectPeriodeDatumTijdVan],"&lt;="&amp;($A528+12/24),tData[SEHTrajectPeriodeDatumTijdTotEnMet],"&gt;"&amp;($A528+12/24))</f>
        <v/>
      </c>
      <c r="Q528" s="20">
        <f>COUNTIFS(tData[SEHTrajectPeriodeDatumTijdVan],"&lt;="&amp;($A528+13/24),tData[SEHTrajectPeriodeDatumTijdTotEnMet],"&gt;"&amp;($A528+13/24))</f>
        <v/>
      </c>
      <c r="R528" s="20">
        <f>COUNTIFS(tData[SEHTrajectPeriodeDatumTijdVan],"&lt;="&amp;($A528+14/24),tData[SEHTrajectPeriodeDatumTijdTotEnMet],"&gt;"&amp;($A528+14/24))</f>
        <v/>
      </c>
      <c r="S528" s="20">
        <f>COUNTIFS(tData[SEHTrajectPeriodeDatumTijdVan],"&lt;="&amp;($A528+15/24),tData[SEHTrajectPeriodeDatumTijdTotEnMet],"&gt;"&amp;($A528+15/24))</f>
        <v/>
      </c>
      <c r="T528" s="20">
        <f>COUNTIFS(tData[SEHTrajectPeriodeDatumTijdVan],"&lt;="&amp;($A528+16/24),tData[SEHTrajectPeriodeDatumTijdTotEnMet],"&gt;"&amp;($A528+16/24))</f>
        <v/>
      </c>
      <c r="U528" s="20">
        <f>COUNTIFS(tData[SEHTrajectPeriodeDatumTijdVan],"&lt;="&amp;($A528+17/24),tData[SEHTrajectPeriodeDatumTijdTotEnMet],"&gt;"&amp;($A528+17/24))</f>
        <v/>
      </c>
      <c r="V528" s="20">
        <f>COUNTIFS(tData[SEHTrajectPeriodeDatumTijdVan],"&lt;="&amp;($A528+18/24),tData[SEHTrajectPeriodeDatumTijdTotEnMet],"&gt;"&amp;($A528+18/24))</f>
        <v/>
      </c>
      <c r="W528" s="20">
        <f>COUNTIFS(tData[SEHTrajectPeriodeDatumTijdVan],"&lt;="&amp;($A528+19/24),tData[SEHTrajectPeriodeDatumTijdTotEnMet],"&gt;"&amp;($A528+19/24))</f>
        <v/>
      </c>
      <c r="X528" s="20">
        <f>COUNTIFS(tData[SEHTrajectPeriodeDatumTijdVan],"&lt;="&amp;($A528+20/24),tData[SEHTrajectPeriodeDatumTijdTotEnMet],"&gt;"&amp;($A528+20/24))</f>
        <v/>
      </c>
      <c r="Y528" s="20">
        <f>COUNTIFS(tData[SEHTrajectPeriodeDatumTijdVan],"&lt;="&amp;($A528+21/24),tData[SEHTrajectPeriodeDatumTijdTotEnMet],"&gt;"&amp;($A528+21/24))</f>
        <v/>
      </c>
      <c r="Z528" s="20">
        <f>COUNTIFS(tData[SEHTrajectPeriodeDatumTijdVan],"&lt;="&amp;($A528+22/24),tData[SEHTrajectPeriodeDatumTijdTotEnMet],"&gt;"&amp;($A528+22/24))</f>
        <v/>
      </c>
      <c r="AA528" s="20">
        <f>COUNTIFS(tData[SEHTrajectPeriodeDatumTijdVan],"&lt;="&amp;($A528+23/24),tData[SEHTrajectPeriodeDatumTijdTotEnMet],"&gt;"&amp;($A528+23/24))</f>
        <v/>
      </c>
    </row>
    <row r="529">
      <c r="A529" s="19" t="n">
        <v>45817</v>
      </c>
      <c r="B529" s="15">
        <f>WEEKDAY($A529,2)</f>
        <v/>
      </c>
      <c r="C529" s="15">
        <f>IF(AND($A529&gt;=INT(Instellingen!$B$5),$A529&lt;=INT(Instellingen!$B$6)),1,0)</f>
        <v/>
      </c>
      <c r="D529" s="20">
        <f>COUNTIFS(tData[SEHTrajectPeriodeDatumTijdVan],"&lt;="&amp;($A529+0/24),tData[SEHTrajectPeriodeDatumTijdTotEnMet],"&gt;"&amp;($A529+0/24))</f>
        <v/>
      </c>
      <c r="E529" s="20">
        <f>COUNTIFS(tData[SEHTrajectPeriodeDatumTijdVan],"&lt;="&amp;($A529+1/24),tData[SEHTrajectPeriodeDatumTijdTotEnMet],"&gt;"&amp;($A529+1/24))</f>
        <v/>
      </c>
      <c r="F529" s="20">
        <f>COUNTIFS(tData[SEHTrajectPeriodeDatumTijdVan],"&lt;="&amp;($A529+2/24),tData[SEHTrajectPeriodeDatumTijdTotEnMet],"&gt;"&amp;($A529+2/24))</f>
        <v/>
      </c>
      <c r="G529" s="20">
        <f>COUNTIFS(tData[SEHTrajectPeriodeDatumTijdVan],"&lt;="&amp;($A529+3/24),tData[SEHTrajectPeriodeDatumTijdTotEnMet],"&gt;"&amp;($A529+3/24))</f>
        <v/>
      </c>
      <c r="H529" s="20">
        <f>COUNTIFS(tData[SEHTrajectPeriodeDatumTijdVan],"&lt;="&amp;($A529+4/24),tData[SEHTrajectPeriodeDatumTijdTotEnMet],"&gt;"&amp;($A529+4/24))</f>
        <v/>
      </c>
      <c r="I529" s="20">
        <f>COUNTIFS(tData[SEHTrajectPeriodeDatumTijdVan],"&lt;="&amp;($A529+5/24),tData[SEHTrajectPeriodeDatumTijdTotEnMet],"&gt;"&amp;($A529+5/24))</f>
        <v/>
      </c>
      <c r="J529" s="20">
        <f>COUNTIFS(tData[SEHTrajectPeriodeDatumTijdVan],"&lt;="&amp;($A529+6/24),tData[SEHTrajectPeriodeDatumTijdTotEnMet],"&gt;"&amp;($A529+6/24))</f>
        <v/>
      </c>
      <c r="K529" s="20">
        <f>COUNTIFS(tData[SEHTrajectPeriodeDatumTijdVan],"&lt;="&amp;($A529+7/24),tData[SEHTrajectPeriodeDatumTijdTotEnMet],"&gt;"&amp;($A529+7/24))</f>
        <v/>
      </c>
      <c r="L529" s="20">
        <f>COUNTIFS(tData[SEHTrajectPeriodeDatumTijdVan],"&lt;="&amp;($A529+8/24),tData[SEHTrajectPeriodeDatumTijdTotEnMet],"&gt;"&amp;($A529+8/24))</f>
        <v/>
      </c>
      <c r="M529" s="20">
        <f>COUNTIFS(tData[SEHTrajectPeriodeDatumTijdVan],"&lt;="&amp;($A529+9/24),tData[SEHTrajectPeriodeDatumTijdTotEnMet],"&gt;"&amp;($A529+9/24))</f>
        <v/>
      </c>
      <c r="N529" s="20">
        <f>COUNTIFS(tData[SEHTrajectPeriodeDatumTijdVan],"&lt;="&amp;($A529+10/24),tData[SEHTrajectPeriodeDatumTijdTotEnMet],"&gt;"&amp;($A529+10/24))</f>
        <v/>
      </c>
      <c r="O529" s="20">
        <f>COUNTIFS(tData[SEHTrajectPeriodeDatumTijdVan],"&lt;="&amp;($A529+11/24),tData[SEHTrajectPeriodeDatumTijdTotEnMet],"&gt;"&amp;($A529+11/24))</f>
        <v/>
      </c>
      <c r="P529" s="20">
        <f>COUNTIFS(tData[SEHTrajectPeriodeDatumTijdVan],"&lt;="&amp;($A529+12/24),tData[SEHTrajectPeriodeDatumTijdTotEnMet],"&gt;"&amp;($A529+12/24))</f>
        <v/>
      </c>
      <c r="Q529" s="20">
        <f>COUNTIFS(tData[SEHTrajectPeriodeDatumTijdVan],"&lt;="&amp;($A529+13/24),tData[SEHTrajectPeriodeDatumTijdTotEnMet],"&gt;"&amp;($A529+13/24))</f>
        <v/>
      </c>
      <c r="R529" s="20">
        <f>COUNTIFS(tData[SEHTrajectPeriodeDatumTijdVan],"&lt;="&amp;($A529+14/24),tData[SEHTrajectPeriodeDatumTijdTotEnMet],"&gt;"&amp;($A529+14/24))</f>
        <v/>
      </c>
      <c r="S529" s="20">
        <f>COUNTIFS(tData[SEHTrajectPeriodeDatumTijdVan],"&lt;="&amp;($A529+15/24),tData[SEHTrajectPeriodeDatumTijdTotEnMet],"&gt;"&amp;($A529+15/24))</f>
        <v/>
      </c>
      <c r="T529" s="20">
        <f>COUNTIFS(tData[SEHTrajectPeriodeDatumTijdVan],"&lt;="&amp;($A529+16/24),tData[SEHTrajectPeriodeDatumTijdTotEnMet],"&gt;"&amp;($A529+16/24))</f>
        <v/>
      </c>
      <c r="U529" s="20">
        <f>COUNTIFS(tData[SEHTrajectPeriodeDatumTijdVan],"&lt;="&amp;($A529+17/24),tData[SEHTrajectPeriodeDatumTijdTotEnMet],"&gt;"&amp;($A529+17/24))</f>
        <v/>
      </c>
      <c r="V529" s="20">
        <f>COUNTIFS(tData[SEHTrajectPeriodeDatumTijdVan],"&lt;="&amp;($A529+18/24),tData[SEHTrajectPeriodeDatumTijdTotEnMet],"&gt;"&amp;($A529+18/24))</f>
        <v/>
      </c>
      <c r="W529" s="20">
        <f>COUNTIFS(tData[SEHTrajectPeriodeDatumTijdVan],"&lt;="&amp;($A529+19/24),tData[SEHTrajectPeriodeDatumTijdTotEnMet],"&gt;"&amp;($A529+19/24))</f>
        <v/>
      </c>
      <c r="X529" s="20">
        <f>COUNTIFS(tData[SEHTrajectPeriodeDatumTijdVan],"&lt;="&amp;($A529+20/24),tData[SEHTrajectPeriodeDatumTijdTotEnMet],"&gt;"&amp;($A529+20/24))</f>
        <v/>
      </c>
      <c r="Y529" s="20">
        <f>COUNTIFS(tData[SEHTrajectPeriodeDatumTijdVan],"&lt;="&amp;($A529+21/24),tData[SEHTrajectPeriodeDatumTijdTotEnMet],"&gt;"&amp;($A529+21/24))</f>
        <v/>
      </c>
      <c r="Z529" s="20">
        <f>COUNTIFS(tData[SEHTrajectPeriodeDatumTijdVan],"&lt;="&amp;($A529+22/24),tData[SEHTrajectPeriodeDatumTijdTotEnMet],"&gt;"&amp;($A529+22/24))</f>
        <v/>
      </c>
      <c r="AA529" s="20">
        <f>COUNTIFS(tData[SEHTrajectPeriodeDatumTijdVan],"&lt;="&amp;($A529+23/24),tData[SEHTrajectPeriodeDatumTijdTotEnMet],"&gt;"&amp;($A529+23/24))</f>
        <v/>
      </c>
    </row>
    <row r="530">
      <c r="A530" s="19" t="n">
        <v>45818</v>
      </c>
      <c r="B530" s="15">
        <f>WEEKDAY($A530,2)</f>
        <v/>
      </c>
      <c r="C530" s="15">
        <f>IF(AND($A530&gt;=INT(Instellingen!$B$5),$A530&lt;=INT(Instellingen!$B$6)),1,0)</f>
        <v/>
      </c>
      <c r="D530" s="20">
        <f>COUNTIFS(tData[SEHTrajectPeriodeDatumTijdVan],"&lt;="&amp;($A530+0/24),tData[SEHTrajectPeriodeDatumTijdTotEnMet],"&gt;"&amp;($A530+0/24))</f>
        <v/>
      </c>
      <c r="E530" s="20">
        <f>COUNTIFS(tData[SEHTrajectPeriodeDatumTijdVan],"&lt;="&amp;($A530+1/24),tData[SEHTrajectPeriodeDatumTijdTotEnMet],"&gt;"&amp;($A530+1/24))</f>
        <v/>
      </c>
      <c r="F530" s="20">
        <f>COUNTIFS(tData[SEHTrajectPeriodeDatumTijdVan],"&lt;="&amp;($A530+2/24),tData[SEHTrajectPeriodeDatumTijdTotEnMet],"&gt;"&amp;($A530+2/24))</f>
        <v/>
      </c>
      <c r="G530" s="20">
        <f>COUNTIFS(tData[SEHTrajectPeriodeDatumTijdVan],"&lt;="&amp;($A530+3/24),tData[SEHTrajectPeriodeDatumTijdTotEnMet],"&gt;"&amp;($A530+3/24))</f>
        <v/>
      </c>
      <c r="H530" s="20">
        <f>COUNTIFS(tData[SEHTrajectPeriodeDatumTijdVan],"&lt;="&amp;($A530+4/24),tData[SEHTrajectPeriodeDatumTijdTotEnMet],"&gt;"&amp;($A530+4/24))</f>
        <v/>
      </c>
      <c r="I530" s="20">
        <f>COUNTIFS(tData[SEHTrajectPeriodeDatumTijdVan],"&lt;="&amp;($A530+5/24),tData[SEHTrajectPeriodeDatumTijdTotEnMet],"&gt;"&amp;($A530+5/24))</f>
        <v/>
      </c>
      <c r="J530" s="20">
        <f>COUNTIFS(tData[SEHTrajectPeriodeDatumTijdVan],"&lt;="&amp;($A530+6/24),tData[SEHTrajectPeriodeDatumTijdTotEnMet],"&gt;"&amp;($A530+6/24))</f>
        <v/>
      </c>
      <c r="K530" s="20">
        <f>COUNTIFS(tData[SEHTrajectPeriodeDatumTijdVan],"&lt;="&amp;($A530+7/24),tData[SEHTrajectPeriodeDatumTijdTotEnMet],"&gt;"&amp;($A530+7/24))</f>
        <v/>
      </c>
      <c r="L530" s="20">
        <f>COUNTIFS(tData[SEHTrajectPeriodeDatumTijdVan],"&lt;="&amp;($A530+8/24),tData[SEHTrajectPeriodeDatumTijdTotEnMet],"&gt;"&amp;($A530+8/24))</f>
        <v/>
      </c>
      <c r="M530" s="20">
        <f>COUNTIFS(tData[SEHTrajectPeriodeDatumTijdVan],"&lt;="&amp;($A530+9/24),tData[SEHTrajectPeriodeDatumTijdTotEnMet],"&gt;"&amp;($A530+9/24))</f>
        <v/>
      </c>
      <c r="N530" s="20">
        <f>COUNTIFS(tData[SEHTrajectPeriodeDatumTijdVan],"&lt;="&amp;($A530+10/24),tData[SEHTrajectPeriodeDatumTijdTotEnMet],"&gt;"&amp;($A530+10/24))</f>
        <v/>
      </c>
      <c r="O530" s="20">
        <f>COUNTIFS(tData[SEHTrajectPeriodeDatumTijdVan],"&lt;="&amp;($A530+11/24),tData[SEHTrajectPeriodeDatumTijdTotEnMet],"&gt;"&amp;($A530+11/24))</f>
        <v/>
      </c>
      <c r="P530" s="20">
        <f>COUNTIFS(tData[SEHTrajectPeriodeDatumTijdVan],"&lt;="&amp;($A530+12/24),tData[SEHTrajectPeriodeDatumTijdTotEnMet],"&gt;"&amp;($A530+12/24))</f>
        <v/>
      </c>
      <c r="Q530" s="20">
        <f>COUNTIFS(tData[SEHTrajectPeriodeDatumTijdVan],"&lt;="&amp;($A530+13/24),tData[SEHTrajectPeriodeDatumTijdTotEnMet],"&gt;"&amp;($A530+13/24))</f>
        <v/>
      </c>
      <c r="R530" s="20">
        <f>COUNTIFS(tData[SEHTrajectPeriodeDatumTijdVan],"&lt;="&amp;($A530+14/24),tData[SEHTrajectPeriodeDatumTijdTotEnMet],"&gt;"&amp;($A530+14/24))</f>
        <v/>
      </c>
      <c r="S530" s="20">
        <f>COUNTIFS(tData[SEHTrajectPeriodeDatumTijdVan],"&lt;="&amp;($A530+15/24),tData[SEHTrajectPeriodeDatumTijdTotEnMet],"&gt;"&amp;($A530+15/24))</f>
        <v/>
      </c>
      <c r="T530" s="20">
        <f>COUNTIFS(tData[SEHTrajectPeriodeDatumTijdVan],"&lt;="&amp;($A530+16/24),tData[SEHTrajectPeriodeDatumTijdTotEnMet],"&gt;"&amp;($A530+16/24))</f>
        <v/>
      </c>
      <c r="U530" s="20">
        <f>COUNTIFS(tData[SEHTrajectPeriodeDatumTijdVan],"&lt;="&amp;($A530+17/24),tData[SEHTrajectPeriodeDatumTijdTotEnMet],"&gt;"&amp;($A530+17/24))</f>
        <v/>
      </c>
      <c r="V530" s="20">
        <f>COUNTIFS(tData[SEHTrajectPeriodeDatumTijdVan],"&lt;="&amp;($A530+18/24),tData[SEHTrajectPeriodeDatumTijdTotEnMet],"&gt;"&amp;($A530+18/24))</f>
        <v/>
      </c>
      <c r="W530" s="20">
        <f>COUNTIFS(tData[SEHTrajectPeriodeDatumTijdVan],"&lt;="&amp;($A530+19/24),tData[SEHTrajectPeriodeDatumTijdTotEnMet],"&gt;"&amp;($A530+19/24))</f>
        <v/>
      </c>
      <c r="X530" s="20">
        <f>COUNTIFS(tData[SEHTrajectPeriodeDatumTijdVan],"&lt;="&amp;($A530+20/24),tData[SEHTrajectPeriodeDatumTijdTotEnMet],"&gt;"&amp;($A530+20/24))</f>
        <v/>
      </c>
      <c r="Y530" s="20">
        <f>COUNTIFS(tData[SEHTrajectPeriodeDatumTijdVan],"&lt;="&amp;($A530+21/24),tData[SEHTrajectPeriodeDatumTijdTotEnMet],"&gt;"&amp;($A530+21/24))</f>
        <v/>
      </c>
      <c r="Z530" s="20">
        <f>COUNTIFS(tData[SEHTrajectPeriodeDatumTijdVan],"&lt;="&amp;($A530+22/24),tData[SEHTrajectPeriodeDatumTijdTotEnMet],"&gt;"&amp;($A530+22/24))</f>
        <v/>
      </c>
      <c r="AA530" s="20">
        <f>COUNTIFS(tData[SEHTrajectPeriodeDatumTijdVan],"&lt;="&amp;($A530+23/24),tData[SEHTrajectPeriodeDatumTijdTotEnMet],"&gt;"&amp;($A530+23/24))</f>
        <v/>
      </c>
    </row>
    <row r="531">
      <c r="A531" s="19" t="n">
        <v>45819</v>
      </c>
      <c r="B531" s="15">
        <f>WEEKDAY($A531,2)</f>
        <v/>
      </c>
      <c r="C531" s="15">
        <f>IF(AND($A531&gt;=INT(Instellingen!$B$5),$A531&lt;=INT(Instellingen!$B$6)),1,0)</f>
        <v/>
      </c>
      <c r="D531" s="20">
        <f>COUNTIFS(tData[SEHTrajectPeriodeDatumTijdVan],"&lt;="&amp;($A531+0/24),tData[SEHTrajectPeriodeDatumTijdTotEnMet],"&gt;"&amp;($A531+0/24))</f>
        <v/>
      </c>
      <c r="E531" s="20">
        <f>COUNTIFS(tData[SEHTrajectPeriodeDatumTijdVan],"&lt;="&amp;($A531+1/24),tData[SEHTrajectPeriodeDatumTijdTotEnMet],"&gt;"&amp;($A531+1/24))</f>
        <v/>
      </c>
      <c r="F531" s="20">
        <f>COUNTIFS(tData[SEHTrajectPeriodeDatumTijdVan],"&lt;="&amp;($A531+2/24),tData[SEHTrajectPeriodeDatumTijdTotEnMet],"&gt;"&amp;($A531+2/24))</f>
        <v/>
      </c>
      <c r="G531" s="20">
        <f>COUNTIFS(tData[SEHTrajectPeriodeDatumTijdVan],"&lt;="&amp;($A531+3/24),tData[SEHTrajectPeriodeDatumTijdTotEnMet],"&gt;"&amp;($A531+3/24))</f>
        <v/>
      </c>
      <c r="H531" s="20">
        <f>COUNTIFS(tData[SEHTrajectPeriodeDatumTijdVan],"&lt;="&amp;($A531+4/24),tData[SEHTrajectPeriodeDatumTijdTotEnMet],"&gt;"&amp;($A531+4/24))</f>
        <v/>
      </c>
      <c r="I531" s="20">
        <f>COUNTIFS(tData[SEHTrajectPeriodeDatumTijdVan],"&lt;="&amp;($A531+5/24),tData[SEHTrajectPeriodeDatumTijdTotEnMet],"&gt;"&amp;($A531+5/24))</f>
        <v/>
      </c>
      <c r="J531" s="20">
        <f>COUNTIFS(tData[SEHTrajectPeriodeDatumTijdVan],"&lt;="&amp;($A531+6/24),tData[SEHTrajectPeriodeDatumTijdTotEnMet],"&gt;"&amp;($A531+6/24))</f>
        <v/>
      </c>
      <c r="K531" s="20">
        <f>COUNTIFS(tData[SEHTrajectPeriodeDatumTijdVan],"&lt;="&amp;($A531+7/24),tData[SEHTrajectPeriodeDatumTijdTotEnMet],"&gt;"&amp;($A531+7/24))</f>
        <v/>
      </c>
      <c r="L531" s="20">
        <f>COUNTIFS(tData[SEHTrajectPeriodeDatumTijdVan],"&lt;="&amp;($A531+8/24),tData[SEHTrajectPeriodeDatumTijdTotEnMet],"&gt;"&amp;($A531+8/24))</f>
        <v/>
      </c>
      <c r="M531" s="20">
        <f>COUNTIFS(tData[SEHTrajectPeriodeDatumTijdVan],"&lt;="&amp;($A531+9/24),tData[SEHTrajectPeriodeDatumTijdTotEnMet],"&gt;"&amp;($A531+9/24))</f>
        <v/>
      </c>
      <c r="N531" s="20">
        <f>COUNTIFS(tData[SEHTrajectPeriodeDatumTijdVan],"&lt;="&amp;($A531+10/24),tData[SEHTrajectPeriodeDatumTijdTotEnMet],"&gt;"&amp;($A531+10/24))</f>
        <v/>
      </c>
      <c r="O531" s="20">
        <f>COUNTIFS(tData[SEHTrajectPeriodeDatumTijdVan],"&lt;="&amp;($A531+11/24),tData[SEHTrajectPeriodeDatumTijdTotEnMet],"&gt;"&amp;($A531+11/24))</f>
        <v/>
      </c>
      <c r="P531" s="20">
        <f>COUNTIFS(tData[SEHTrajectPeriodeDatumTijdVan],"&lt;="&amp;($A531+12/24),tData[SEHTrajectPeriodeDatumTijdTotEnMet],"&gt;"&amp;($A531+12/24))</f>
        <v/>
      </c>
      <c r="Q531" s="20">
        <f>COUNTIFS(tData[SEHTrajectPeriodeDatumTijdVan],"&lt;="&amp;($A531+13/24),tData[SEHTrajectPeriodeDatumTijdTotEnMet],"&gt;"&amp;($A531+13/24))</f>
        <v/>
      </c>
      <c r="R531" s="20">
        <f>COUNTIFS(tData[SEHTrajectPeriodeDatumTijdVan],"&lt;="&amp;($A531+14/24),tData[SEHTrajectPeriodeDatumTijdTotEnMet],"&gt;"&amp;($A531+14/24))</f>
        <v/>
      </c>
      <c r="S531" s="20">
        <f>COUNTIFS(tData[SEHTrajectPeriodeDatumTijdVan],"&lt;="&amp;($A531+15/24),tData[SEHTrajectPeriodeDatumTijdTotEnMet],"&gt;"&amp;($A531+15/24))</f>
        <v/>
      </c>
      <c r="T531" s="20">
        <f>COUNTIFS(tData[SEHTrajectPeriodeDatumTijdVan],"&lt;="&amp;($A531+16/24),tData[SEHTrajectPeriodeDatumTijdTotEnMet],"&gt;"&amp;($A531+16/24))</f>
        <v/>
      </c>
      <c r="U531" s="20">
        <f>COUNTIFS(tData[SEHTrajectPeriodeDatumTijdVan],"&lt;="&amp;($A531+17/24),tData[SEHTrajectPeriodeDatumTijdTotEnMet],"&gt;"&amp;($A531+17/24))</f>
        <v/>
      </c>
      <c r="V531" s="20">
        <f>COUNTIFS(tData[SEHTrajectPeriodeDatumTijdVan],"&lt;="&amp;($A531+18/24),tData[SEHTrajectPeriodeDatumTijdTotEnMet],"&gt;"&amp;($A531+18/24))</f>
        <v/>
      </c>
      <c r="W531" s="20">
        <f>COUNTIFS(tData[SEHTrajectPeriodeDatumTijdVan],"&lt;="&amp;($A531+19/24),tData[SEHTrajectPeriodeDatumTijdTotEnMet],"&gt;"&amp;($A531+19/24))</f>
        <v/>
      </c>
      <c r="X531" s="20">
        <f>COUNTIFS(tData[SEHTrajectPeriodeDatumTijdVan],"&lt;="&amp;($A531+20/24),tData[SEHTrajectPeriodeDatumTijdTotEnMet],"&gt;"&amp;($A531+20/24))</f>
        <v/>
      </c>
      <c r="Y531" s="20">
        <f>COUNTIFS(tData[SEHTrajectPeriodeDatumTijdVan],"&lt;="&amp;($A531+21/24),tData[SEHTrajectPeriodeDatumTijdTotEnMet],"&gt;"&amp;($A531+21/24))</f>
        <v/>
      </c>
      <c r="Z531" s="20">
        <f>COUNTIFS(tData[SEHTrajectPeriodeDatumTijdVan],"&lt;="&amp;($A531+22/24),tData[SEHTrajectPeriodeDatumTijdTotEnMet],"&gt;"&amp;($A531+22/24))</f>
        <v/>
      </c>
      <c r="AA531" s="20">
        <f>COUNTIFS(tData[SEHTrajectPeriodeDatumTijdVan],"&lt;="&amp;($A531+23/24),tData[SEHTrajectPeriodeDatumTijdTotEnMet],"&gt;"&amp;($A531+23/24))</f>
        <v/>
      </c>
    </row>
    <row r="532">
      <c r="A532" s="19" t="n">
        <v>45820</v>
      </c>
      <c r="B532" s="15">
        <f>WEEKDAY($A532,2)</f>
        <v/>
      </c>
      <c r="C532" s="15">
        <f>IF(AND($A532&gt;=INT(Instellingen!$B$5),$A532&lt;=INT(Instellingen!$B$6)),1,0)</f>
        <v/>
      </c>
      <c r="D532" s="20">
        <f>COUNTIFS(tData[SEHTrajectPeriodeDatumTijdVan],"&lt;="&amp;($A532+0/24),tData[SEHTrajectPeriodeDatumTijdTotEnMet],"&gt;"&amp;($A532+0/24))</f>
        <v/>
      </c>
      <c r="E532" s="20">
        <f>COUNTIFS(tData[SEHTrajectPeriodeDatumTijdVan],"&lt;="&amp;($A532+1/24),tData[SEHTrajectPeriodeDatumTijdTotEnMet],"&gt;"&amp;($A532+1/24))</f>
        <v/>
      </c>
      <c r="F532" s="20">
        <f>COUNTIFS(tData[SEHTrajectPeriodeDatumTijdVan],"&lt;="&amp;($A532+2/24),tData[SEHTrajectPeriodeDatumTijdTotEnMet],"&gt;"&amp;($A532+2/24))</f>
        <v/>
      </c>
      <c r="G532" s="20">
        <f>COUNTIFS(tData[SEHTrajectPeriodeDatumTijdVan],"&lt;="&amp;($A532+3/24),tData[SEHTrajectPeriodeDatumTijdTotEnMet],"&gt;"&amp;($A532+3/24))</f>
        <v/>
      </c>
      <c r="H532" s="20">
        <f>COUNTIFS(tData[SEHTrajectPeriodeDatumTijdVan],"&lt;="&amp;($A532+4/24),tData[SEHTrajectPeriodeDatumTijdTotEnMet],"&gt;"&amp;($A532+4/24))</f>
        <v/>
      </c>
      <c r="I532" s="20">
        <f>COUNTIFS(tData[SEHTrajectPeriodeDatumTijdVan],"&lt;="&amp;($A532+5/24),tData[SEHTrajectPeriodeDatumTijdTotEnMet],"&gt;"&amp;($A532+5/24))</f>
        <v/>
      </c>
      <c r="J532" s="20">
        <f>COUNTIFS(tData[SEHTrajectPeriodeDatumTijdVan],"&lt;="&amp;($A532+6/24),tData[SEHTrajectPeriodeDatumTijdTotEnMet],"&gt;"&amp;($A532+6/24))</f>
        <v/>
      </c>
      <c r="K532" s="20">
        <f>COUNTIFS(tData[SEHTrajectPeriodeDatumTijdVan],"&lt;="&amp;($A532+7/24),tData[SEHTrajectPeriodeDatumTijdTotEnMet],"&gt;"&amp;($A532+7/24))</f>
        <v/>
      </c>
      <c r="L532" s="20">
        <f>COUNTIFS(tData[SEHTrajectPeriodeDatumTijdVan],"&lt;="&amp;($A532+8/24),tData[SEHTrajectPeriodeDatumTijdTotEnMet],"&gt;"&amp;($A532+8/24))</f>
        <v/>
      </c>
      <c r="M532" s="20">
        <f>COUNTIFS(tData[SEHTrajectPeriodeDatumTijdVan],"&lt;="&amp;($A532+9/24),tData[SEHTrajectPeriodeDatumTijdTotEnMet],"&gt;"&amp;($A532+9/24))</f>
        <v/>
      </c>
      <c r="N532" s="20">
        <f>COUNTIFS(tData[SEHTrajectPeriodeDatumTijdVan],"&lt;="&amp;($A532+10/24),tData[SEHTrajectPeriodeDatumTijdTotEnMet],"&gt;"&amp;($A532+10/24))</f>
        <v/>
      </c>
      <c r="O532" s="20">
        <f>COUNTIFS(tData[SEHTrajectPeriodeDatumTijdVan],"&lt;="&amp;($A532+11/24),tData[SEHTrajectPeriodeDatumTijdTotEnMet],"&gt;"&amp;($A532+11/24))</f>
        <v/>
      </c>
      <c r="P532" s="20">
        <f>COUNTIFS(tData[SEHTrajectPeriodeDatumTijdVan],"&lt;="&amp;($A532+12/24),tData[SEHTrajectPeriodeDatumTijdTotEnMet],"&gt;"&amp;($A532+12/24))</f>
        <v/>
      </c>
      <c r="Q532" s="20">
        <f>COUNTIFS(tData[SEHTrajectPeriodeDatumTijdVan],"&lt;="&amp;($A532+13/24),tData[SEHTrajectPeriodeDatumTijdTotEnMet],"&gt;"&amp;($A532+13/24))</f>
        <v/>
      </c>
      <c r="R532" s="20">
        <f>COUNTIFS(tData[SEHTrajectPeriodeDatumTijdVan],"&lt;="&amp;($A532+14/24),tData[SEHTrajectPeriodeDatumTijdTotEnMet],"&gt;"&amp;($A532+14/24))</f>
        <v/>
      </c>
      <c r="S532" s="20">
        <f>COUNTIFS(tData[SEHTrajectPeriodeDatumTijdVan],"&lt;="&amp;($A532+15/24),tData[SEHTrajectPeriodeDatumTijdTotEnMet],"&gt;"&amp;($A532+15/24))</f>
        <v/>
      </c>
      <c r="T532" s="20">
        <f>COUNTIFS(tData[SEHTrajectPeriodeDatumTijdVan],"&lt;="&amp;($A532+16/24),tData[SEHTrajectPeriodeDatumTijdTotEnMet],"&gt;"&amp;($A532+16/24))</f>
        <v/>
      </c>
      <c r="U532" s="20">
        <f>COUNTIFS(tData[SEHTrajectPeriodeDatumTijdVan],"&lt;="&amp;($A532+17/24),tData[SEHTrajectPeriodeDatumTijdTotEnMet],"&gt;"&amp;($A532+17/24))</f>
        <v/>
      </c>
      <c r="V532" s="20">
        <f>COUNTIFS(tData[SEHTrajectPeriodeDatumTijdVan],"&lt;="&amp;($A532+18/24),tData[SEHTrajectPeriodeDatumTijdTotEnMet],"&gt;"&amp;($A532+18/24))</f>
        <v/>
      </c>
      <c r="W532" s="20">
        <f>COUNTIFS(tData[SEHTrajectPeriodeDatumTijdVan],"&lt;="&amp;($A532+19/24),tData[SEHTrajectPeriodeDatumTijdTotEnMet],"&gt;"&amp;($A532+19/24))</f>
        <v/>
      </c>
      <c r="X532" s="20">
        <f>COUNTIFS(tData[SEHTrajectPeriodeDatumTijdVan],"&lt;="&amp;($A532+20/24),tData[SEHTrajectPeriodeDatumTijdTotEnMet],"&gt;"&amp;($A532+20/24))</f>
        <v/>
      </c>
      <c r="Y532" s="20">
        <f>COUNTIFS(tData[SEHTrajectPeriodeDatumTijdVan],"&lt;="&amp;($A532+21/24),tData[SEHTrajectPeriodeDatumTijdTotEnMet],"&gt;"&amp;($A532+21/24))</f>
        <v/>
      </c>
      <c r="Z532" s="20">
        <f>COUNTIFS(tData[SEHTrajectPeriodeDatumTijdVan],"&lt;="&amp;($A532+22/24),tData[SEHTrajectPeriodeDatumTijdTotEnMet],"&gt;"&amp;($A532+22/24))</f>
        <v/>
      </c>
      <c r="AA532" s="20">
        <f>COUNTIFS(tData[SEHTrajectPeriodeDatumTijdVan],"&lt;="&amp;($A532+23/24),tData[SEHTrajectPeriodeDatumTijdTotEnMet],"&gt;"&amp;($A532+23/24))</f>
        <v/>
      </c>
    </row>
    <row r="533">
      <c r="A533" s="19" t="n">
        <v>45821</v>
      </c>
      <c r="B533" s="15">
        <f>WEEKDAY($A533,2)</f>
        <v/>
      </c>
      <c r="C533" s="15">
        <f>IF(AND($A533&gt;=INT(Instellingen!$B$5),$A533&lt;=INT(Instellingen!$B$6)),1,0)</f>
        <v/>
      </c>
      <c r="D533" s="20">
        <f>COUNTIFS(tData[SEHTrajectPeriodeDatumTijdVan],"&lt;="&amp;($A533+0/24),tData[SEHTrajectPeriodeDatumTijdTotEnMet],"&gt;"&amp;($A533+0/24))</f>
        <v/>
      </c>
      <c r="E533" s="20">
        <f>COUNTIFS(tData[SEHTrajectPeriodeDatumTijdVan],"&lt;="&amp;($A533+1/24),tData[SEHTrajectPeriodeDatumTijdTotEnMet],"&gt;"&amp;($A533+1/24))</f>
        <v/>
      </c>
      <c r="F533" s="20">
        <f>COUNTIFS(tData[SEHTrajectPeriodeDatumTijdVan],"&lt;="&amp;($A533+2/24),tData[SEHTrajectPeriodeDatumTijdTotEnMet],"&gt;"&amp;($A533+2/24))</f>
        <v/>
      </c>
      <c r="G533" s="20">
        <f>COUNTIFS(tData[SEHTrajectPeriodeDatumTijdVan],"&lt;="&amp;($A533+3/24),tData[SEHTrajectPeriodeDatumTijdTotEnMet],"&gt;"&amp;($A533+3/24))</f>
        <v/>
      </c>
      <c r="H533" s="20">
        <f>COUNTIFS(tData[SEHTrajectPeriodeDatumTijdVan],"&lt;="&amp;($A533+4/24),tData[SEHTrajectPeriodeDatumTijdTotEnMet],"&gt;"&amp;($A533+4/24))</f>
        <v/>
      </c>
      <c r="I533" s="20">
        <f>COUNTIFS(tData[SEHTrajectPeriodeDatumTijdVan],"&lt;="&amp;($A533+5/24),tData[SEHTrajectPeriodeDatumTijdTotEnMet],"&gt;"&amp;($A533+5/24))</f>
        <v/>
      </c>
      <c r="J533" s="20">
        <f>COUNTIFS(tData[SEHTrajectPeriodeDatumTijdVan],"&lt;="&amp;($A533+6/24),tData[SEHTrajectPeriodeDatumTijdTotEnMet],"&gt;"&amp;($A533+6/24))</f>
        <v/>
      </c>
      <c r="K533" s="20">
        <f>COUNTIFS(tData[SEHTrajectPeriodeDatumTijdVan],"&lt;="&amp;($A533+7/24),tData[SEHTrajectPeriodeDatumTijdTotEnMet],"&gt;"&amp;($A533+7/24))</f>
        <v/>
      </c>
      <c r="L533" s="20">
        <f>COUNTIFS(tData[SEHTrajectPeriodeDatumTijdVan],"&lt;="&amp;($A533+8/24),tData[SEHTrajectPeriodeDatumTijdTotEnMet],"&gt;"&amp;($A533+8/24))</f>
        <v/>
      </c>
      <c r="M533" s="20">
        <f>COUNTIFS(tData[SEHTrajectPeriodeDatumTijdVan],"&lt;="&amp;($A533+9/24),tData[SEHTrajectPeriodeDatumTijdTotEnMet],"&gt;"&amp;($A533+9/24))</f>
        <v/>
      </c>
      <c r="N533" s="20">
        <f>COUNTIFS(tData[SEHTrajectPeriodeDatumTijdVan],"&lt;="&amp;($A533+10/24),tData[SEHTrajectPeriodeDatumTijdTotEnMet],"&gt;"&amp;($A533+10/24))</f>
        <v/>
      </c>
      <c r="O533" s="20">
        <f>COUNTIFS(tData[SEHTrajectPeriodeDatumTijdVan],"&lt;="&amp;($A533+11/24),tData[SEHTrajectPeriodeDatumTijdTotEnMet],"&gt;"&amp;($A533+11/24))</f>
        <v/>
      </c>
      <c r="P533" s="20">
        <f>COUNTIFS(tData[SEHTrajectPeriodeDatumTijdVan],"&lt;="&amp;($A533+12/24),tData[SEHTrajectPeriodeDatumTijdTotEnMet],"&gt;"&amp;($A533+12/24))</f>
        <v/>
      </c>
      <c r="Q533" s="20">
        <f>COUNTIFS(tData[SEHTrajectPeriodeDatumTijdVan],"&lt;="&amp;($A533+13/24),tData[SEHTrajectPeriodeDatumTijdTotEnMet],"&gt;"&amp;($A533+13/24))</f>
        <v/>
      </c>
      <c r="R533" s="20">
        <f>COUNTIFS(tData[SEHTrajectPeriodeDatumTijdVan],"&lt;="&amp;($A533+14/24),tData[SEHTrajectPeriodeDatumTijdTotEnMet],"&gt;"&amp;($A533+14/24))</f>
        <v/>
      </c>
      <c r="S533" s="20">
        <f>COUNTIFS(tData[SEHTrajectPeriodeDatumTijdVan],"&lt;="&amp;($A533+15/24),tData[SEHTrajectPeriodeDatumTijdTotEnMet],"&gt;"&amp;($A533+15/24))</f>
        <v/>
      </c>
      <c r="T533" s="20">
        <f>COUNTIFS(tData[SEHTrajectPeriodeDatumTijdVan],"&lt;="&amp;($A533+16/24),tData[SEHTrajectPeriodeDatumTijdTotEnMet],"&gt;"&amp;($A533+16/24))</f>
        <v/>
      </c>
      <c r="U533" s="20">
        <f>COUNTIFS(tData[SEHTrajectPeriodeDatumTijdVan],"&lt;="&amp;($A533+17/24),tData[SEHTrajectPeriodeDatumTijdTotEnMet],"&gt;"&amp;($A533+17/24))</f>
        <v/>
      </c>
      <c r="V533" s="20">
        <f>COUNTIFS(tData[SEHTrajectPeriodeDatumTijdVan],"&lt;="&amp;($A533+18/24),tData[SEHTrajectPeriodeDatumTijdTotEnMet],"&gt;"&amp;($A533+18/24))</f>
        <v/>
      </c>
      <c r="W533" s="20">
        <f>COUNTIFS(tData[SEHTrajectPeriodeDatumTijdVan],"&lt;="&amp;($A533+19/24),tData[SEHTrajectPeriodeDatumTijdTotEnMet],"&gt;"&amp;($A533+19/24))</f>
        <v/>
      </c>
      <c r="X533" s="20">
        <f>COUNTIFS(tData[SEHTrajectPeriodeDatumTijdVan],"&lt;="&amp;($A533+20/24),tData[SEHTrajectPeriodeDatumTijdTotEnMet],"&gt;"&amp;($A533+20/24))</f>
        <v/>
      </c>
      <c r="Y533" s="20">
        <f>COUNTIFS(tData[SEHTrajectPeriodeDatumTijdVan],"&lt;="&amp;($A533+21/24),tData[SEHTrajectPeriodeDatumTijdTotEnMet],"&gt;"&amp;($A533+21/24))</f>
        <v/>
      </c>
      <c r="Z533" s="20">
        <f>COUNTIFS(tData[SEHTrajectPeriodeDatumTijdVan],"&lt;="&amp;($A533+22/24),tData[SEHTrajectPeriodeDatumTijdTotEnMet],"&gt;"&amp;($A533+22/24))</f>
        <v/>
      </c>
      <c r="AA533" s="20">
        <f>COUNTIFS(tData[SEHTrajectPeriodeDatumTijdVan],"&lt;="&amp;($A533+23/24),tData[SEHTrajectPeriodeDatumTijdTotEnMet],"&gt;"&amp;($A533+23/24))</f>
        <v/>
      </c>
    </row>
    <row r="534">
      <c r="A534" s="19" t="n">
        <v>45822</v>
      </c>
      <c r="B534" s="15">
        <f>WEEKDAY($A534,2)</f>
        <v/>
      </c>
      <c r="C534" s="15">
        <f>IF(AND($A534&gt;=INT(Instellingen!$B$5),$A534&lt;=INT(Instellingen!$B$6)),1,0)</f>
        <v/>
      </c>
      <c r="D534" s="20">
        <f>COUNTIFS(tData[SEHTrajectPeriodeDatumTijdVan],"&lt;="&amp;($A534+0/24),tData[SEHTrajectPeriodeDatumTijdTotEnMet],"&gt;"&amp;($A534+0/24))</f>
        <v/>
      </c>
      <c r="E534" s="20">
        <f>COUNTIFS(tData[SEHTrajectPeriodeDatumTijdVan],"&lt;="&amp;($A534+1/24),tData[SEHTrajectPeriodeDatumTijdTotEnMet],"&gt;"&amp;($A534+1/24))</f>
        <v/>
      </c>
      <c r="F534" s="20">
        <f>COUNTIFS(tData[SEHTrajectPeriodeDatumTijdVan],"&lt;="&amp;($A534+2/24),tData[SEHTrajectPeriodeDatumTijdTotEnMet],"&gt;"&amp;($A534+2/24))</f>
        <v/>
      </c>
      <c r="G534" s="20">
        <f>COUNTIFS(tData[SEHTrajectPeriodeDatumTijdVan],"&lt;="&amp;($A534+3/24),tData[SEHTrajectPeriodeDatumTijdTotEnMet],"&gt;"&amp;($A534+3/24))</f>
        <v/>
      </c>
      <c r="H534" s="20">
        <f>COUNTIFS(tData[SEHTrajectPeriodeDatumTijdVan],"&lt;="&amp;($A534+4/24),tData[SEHTrajectPeriodeDatumTijdTotEnMet],"&gt;"&amp;($A534+4/24))</f>
        <v/>
      </c>
      <c r="I534" s="20">
        <f>COUNTIFS(tData[SEHTrajectPeriodeDatumTijdVan],"&lt;="&amp;($A534+5/24),tData[SEHTrajectPeriodeDatumTijdTotEnMet],"&gt;"&amp;($A534+5/24))</f>
        <v/>
      </c>
      <c r="J534" s="20">
        <f>COUNTIFS(tData[SEHTrajectPeriodeDatumTijdVan],"&lt;="&amp;($A534+6/24),tData[SEHTrajectPeriodeDatumTijdTotEnMet],"&gt;"&amp;($A534+6/24))</f>
        <v/>
      </c>
      <c r="K534" s="20">
        <f>COUNTIFS(tData[SEHTrajectPeriodeDatumTijdVan],"&lt;="&amp;($A534+7/24),tData[SEHTrajectPeriodeDatumTijdTotEnMet],"&gt;"&amp;($A534+7/24))</f>
        <v/>
      </c>
      <c r="L534" s="20">
        <f>COUNTIFS(tData[SEHTrajectPeriodeDatumTijdVan],"&lt;="&amp;($A534+8/24),tData[SEHTrajectPeriodeDatumTijdTotEnMet],"&gt;"&amp;($A534+8/24))</f>
        <v/>
      </c>
      <c r="M534" s="20">
        <f>COUNTIFS(tData[SEHTrajectPeriodeDatumTijdVan],"&lt;="&amp;($A534+9/24),tData[SEHTrajectPeriodeDatumTijdTotEnMet],"&gt;"&amp;($A534+9/24))</f>
        <v/>
      </c>
      <c r="N534" s="20">
        <f>COUNTIFS(tData[SEHTrajectPeriodeDatumTijdVan],"&lt;="&amp;($A534+10/24),tData[SEHTrajectPeriodeDatumTijdTotEnMet],"&gt;"&amp;($A534+10/24))</f>
        <v/>
      </c>
      <c r="O534" s="20">
        <f>COUNTIFS(tData[SEHTrajectPeriodeDatumTijdVan],"&lt;="&amp;($A534+11/24),tData[SEHTrajectPeriodeDatumTijdTotEnMet],"&gt;"&amp;($A534+11/24))</f>
        <v/>
      </c>
      <c r="P534" s="20">
        <f>COUNTIFS(tData[SEHTrajectPeriodeDatumTijdVan],"&lt;="&amp;($A534+12/24),tData[SEHTrajectPeriodeDatumTijdTotEnMet],"&gt;"&amp;($A534+12/24))</f>
        <v/>
      </c>
      <c r="Q534" s="20">
        <f>COUNTIFS(tData[SEHTrajectPeriodeDatumTijdVan],"&lt;="&amp;($A534+13/24),tData[SEHTrajectPeriodeDatumTijdTotEnMet],"&gt;"&amp;($A534+13/24))</f>
        <v/>
      </c>
      <c r="R534" s="20">
        <f>COUNTIFS(tData[SEHTrajectPeriodeDatumTijdVan],"&lt;="&amp;($A534+14/24),tData[SEHTrajectPeriodeDatumTijdTotEnMet],"&gt;"&amp;($A534+14/24))</f>
        <v/>
      </c>
      <c r="S534" s="20">
        <f>COUNTIFS(tData[SEHTrajectPeriodeDatumTijdVan],"&lt;="&amp;($A534+15/24),tData[SEHTrajectPeriodeDatumTijdTotEnMet],"&gt;"&amp;($A534+15/24))</f>
        <v/>
      </c>
      <c r="T534" s="20">
        <f>COUNTIFS(tData[SEHTrajectPeriodeDatumTijdVan],"&lt;="&amp;($A534+16/24),tData[SEHTrajectPeriodeDatumTijdTotEnMet],"&gt;"&amp;($A534+16/24))</f>
        <v/>
      </c>
      <c r="U534" s="20">
        <f>COUNTIFS(tData[SEHTrajectPeriodeDatumTijdVan],"&lt;="&amp;($A534+17/24),tData[SEHTrajectPeriodeDatumTijdTotEnMet],"&gt;"&amp;($A534+17/24))</f>
        <v/>
      </c>
      <c r="V534" s="20">
        <f>COUNTIFS(tData[SEHTrajectPeriodeDatumTijdVan],"&lt;="&amp;($A534+18/24),tData[SEHTrajectPeriodeDatumTijdTotEnMet],"&gt;"&amp;($A534+18/24))</f>
        <v/>
      </c>
      <c r="W534" s="20">
        <f>COUNTIFS(tData[SEHTrajectPeriodeDatumTijdVan],"&lt;="&amp;($A534+19/24),tData[SEHTrajectPeriodeDatumTijdTotEnMet],"&gt;"&amp;($A534+19/24))</f>
        <v/>
      </c>
      <c r="X534" s="20">
        <f>COUNTIFS(tData[SEHTrajectPeriodeDatumTijdVan],"&lt;="&amp;($A534+20/24),tData[SEHTrajectPeriodeDatumTijdTotEnMet],"&gt;"&amp;($A534+20/24))</f>
        <v/>
      </c>
      <c r="Y534" s="20">
        <f>COUNTIFS(tData[SEHTrajectPeriodeDatumTijdVan],"&lt;="&amp;($A534+21/24),tData[SEHTrajectPeriodeDatumTijdTotEnMet],"&gt;"&amp;($A534+21/24))</f>
        <v/>
      </c>
      <c r="Z534" s="20">
        <f>COUNTIFS(tData[SEHTrajectPeriodeDatumTijdVan],"&lt;="&amp;($A534+22/24),tData[SEHTrajectPeriodeDatumTijdTotEnMet],"&gt;"&amp;($A534+22/24))</f>
        <v/>
      </c>
      <c r="AA534" s="20">
        <f>COUNTIFS(tData[SEHTrajectPeriodeDatumTijdVan],"&lt;="&amp;($A534+23/24),tData[SEHTrajectPeriodeDatumTijdTotEnMet],"&gt;"&amp;($A534+23/24))</f>
        <v/>
      </c>
    </row>
    <row r="535">
      <c r="A535" s="19" t="n">
        <v>45823</v>
      </c>
      <c r="B535" s="15">
        <f>WEEKDAY($A535,2)</f>
        <v/>
      </c>
      <c r="C535" s="15">
        <f>IF(AND($A535&gt;=INT(Instellingen!$B$5),$A535&lt;=INT(Instellingen!$B$6)),1,0)</f>
        <v/>
      </c>
      <c r="D535" s="20">
        <f>COUNTIFS(tData[SEHTrajectPeriodeDatumTijdVan],"&lt;="&amp;($A535+0/24),tData[SEHTrajectPeriodeDatumTijdTotEnMet],"&gt;"&amp;($A535+0/24))</f>
        <v/>
      </c>
      <c r="E535" s="20">
        <f>COUNTIFS(tData[SEHTrajectPeriodeDatumTijdVan],"&lt;="&amp;($A535+1/24),tData[SEHTrajectPeriodeDatumTijdTotEnMet],"&gt;"&amp;($A535+1/24))</f>
        <v/>
      </c>
      <c r="F535" s="20">
        <f>COUNTIFS(tData[SEHTrajectPeriodeDatumTijdVan],"&lt;="&amp;($A535+2/24),tData[SEHTrajectPeriodeDatumTijdTotEnMet],"&gt;"&amp;($A535+2/24))</f>
        <v/>
      </c>
      <c r="G535" s="20">
        <f>COUNTIFS(tData[SEHTrajectPeriodeDatumTijdVan],"&lt;="&amp;($A535+3/24),tData[SEHTrajectPeriodeDatumTijdTotEnMet],"&gt;"&amp;($A535+3/24))</f>
        <v/>
      </c>
      <c r="H535" s="20">
        <f>COUNTIFS(tData[SEHTrajectPeriodeDatumTijdVan],"&lt;="&amp;($A535+4/24),tData[SEHTrajectPeriodeDatumTijdTotEnMet],"&gt;"&amp;($A535+4/24))</f>
        <v/>
      </c>
      <c r="I535" s="20">
        <f>COUNTIFS(tData[SEHTrajectPeriodeDatumTijdVan],"&lt;="&amp;($A535+5/24),tData[SEHTrajectPeriodeDatumTijdTotEnMet],"&gt;"&amp;($A535+5/24))</f>
        <v/>
      </c>
      <c r="J535" s="20">
        <f>COUNTIFS(tData[SEHTrajectPeriodeDatumTijdVan],"&lt;="&amp;($A535+6/24),tData[SEHTrajectPeriodeDatumTijdTotEnMet],"&gt;"&amp;($A535+6/24))</f>
        <v/>
      </c>
      <c r="K535" s="20">
        <f>COUNTIFS(tData[SEHTrajectPeriodeDatumTijdVan],"&lt;="&amp;($A535+7/24),tData[SEHTrajectPeriodeDatumTijdTotEnMet],"&gt;"&amp;($A535+7/24))</f>
        <v/>
      </c>
      <c r="L535" s="20">
        <f>COUNTIFS(tData[SEHTrajectPeriodeDatumTijdVan],"&lt;="&amp;($A535+8/24),tData[SEHTrajectPeriodeDatumTijdTotEnMet],"&gt;"&amp;($A535+8/24))</f>
        <v/>
      </c>
      <c r="M535" s="20">
        <f>COUNTIFS(tData[SEHTrajectPeriodeDatumTijdVan],"&lt;="&amp;($A535+9/24),tData[SEHTrajectPeriodeDatumTijdTotEnMet],"&gt;"&amp;($A535+9/24))</f>
        <v/>
      </c>
      <c r="N535" s="20">
        <f>COUNTIFS(tData[SEHTrajectPeriodeDatumTijdVan],"&lt;="&amp;($A535+10/24),tData[SEHTrajectPeriodeDatumTijdTotEnMet],"&gt;"&amp;($A535+10/24))</f>
        <v/>
      </c>
      <c r="O535" s="20">
        <f>COUNTIFS(tData[SEHTrajectPeriodeDatumTijdVan],"&lt;="&amp;($A535+11/24),tData[SEHTrajectPeriodeDatumTijdTotEnMet],"&gt;"&amp;($A535+11/24))</f>
        <v/>
      </c>
      <c r="P535" s="20">
        <f>COUNTIFS(tData[SEHTrajectPeriodeDatumTijdVan],"&lt;="&amp;($A535+12/24),tData[SEHTrajectPeriodeDatumTijdTotEnMet],"&gt;"&amp;($A535+12/24))</f>
        <v/>
      </c>
      <c r="Q535" s="20">
        <f>COUNTIFS(tData[SEHTrajectPeriodeDatumTijdVan],"&lt;="&amp;($A535+13/24),tData[SEHTrajectPeriodeDatumTijdTotEnMet],"&gt;"&amp;($A535+13/24))</f>
        <v/>
      </c>
      <c r="R535" s="20">
        <f>COUNTIFS(tData[SEHTrajectPeriodeDatumTijdVan],"&lt;="&amp;($A535+14/24),tData[SEHTrajectPeriodeDatumTijdTotEnMet],"&gt;"&amp;($A535+14/24))</f>
        <v/>
      </c>
      <c r="S535" s="20">
        <f>COUNTIFS(tData[SEHTrajectPeriodeDatumTijdVan],"&lt;="&amp;($A535+15/24),tData[SEHTrajectPeriodeDatumTijdTotEnMet],"&gt;"&amp;($A535+15/24))</f>
        <v/>
      </c>
      <c r="T535" s="20">
        <f>COUNTIFS(tData[SEHTrajectPeriodeDatumTijdVan],"&lt;="&amp;($A535+16/24),tData[SEHTrajectPeriodeDatumTijdTotEnMet],"&gt;"&amp;($A535+16/24))</f>
        <v/>
      </c>
      <c r="U535" s="20">
        <f>COUNTIFS(tData[SEHTrajectPeriodeDatumTijdVan],"&lt;="&amp;($A535+17/24),tData[SEHTrajectPeriodeDatumTijdTotEnMet],"&gt;"&amp;($A535+17/24))</f>
        <v/>
      </c>
      <c r="V535" s="20">
        <f>COUNTIFS(tData[SEHTrajectPeriodeDatumTijdVan],"&lt;="&amp;($A535+18/24),tData[SEHTrajectPeriodeDatumTijdTotEnMet],"&gt;"&amp;($A535+18/24))</f>
        <v/>
      </c>
      <c r="W535" s="20">
        <f>COUNTIFS(tData[SEHTrajectPeriodeDatumTijdVan],"&lt;="&amp;($A535+19/24),tData[SEHTrajectPeriodeDatumTijdTotEnMet],"&gt;"&amp;($A535+19/24))</f>
        <v/>
      </c>
      <c r="X535" s="20">
        <f>COUNTIFS(tData[SEHTrajectPeriodeDatumTijdVan],"&lt;="&amp;($A535+20/24),tData[SEHTrajectPeriodeDatumTijdTotEnMet],"&gt;"&amp;($A535+20/24))</f>
        <v/>
      </c>
      <c r="Y535" s="20">
        <f>COUNTIFS(tData[SEHTrajectPeriodeDatumTijdVan],"&lt;="&amp;($A535+21/24),tData[SEHTrajectPeriodeDatumTijdTotEnMet],"&gt;"&amp;($A535+21/24))</f>
        <v/>
      </c>
      <c r="Z535" s="20">
        <f>COUNTIFS(tData[SEHTrajectPeriodeDatumTijdVan],"&lt;="&amp;($A535+22/24),tData[SEHTrajectPeriodeDatumTijdTotEnMet],"&gt;"&amp;($A535+22/24))</f>
        <v/>
      </c>
      <c r="AA535" s="20">
        <f>COUNTIFS(tData[SEHTrajectPeriodeDatumTijdVan],"&lt;="&amp;($A535+23/24),tData[SEHTrajectPeriodeDatumTijdTotEnMet],"&gt;"&amp;($A535+23/24))</f>
        <v/>
      </c>
    </row>
    <row r="536">
      <c r="A536" s="19" t="n">
        <v>45824</v>
      </c>
      <c r="B536" s="15">
        <f>WEEKDAY($A536,2)</f>
        <v/>
      </c>
      <c r="C536" s="15">
        <f>IF(AND($A536&gt;=INT(Instellingen!$B$5),$A536&lt;=INT(Instellingen!$B$6)),1,0)</f>
        <v/>
      </c>
      <c r="D536" s="20">
        <f>COUNTIFS(tData[SEHTrajectPeriodeDatumTijdVan],"&lt;="&amp;($A536+0/24),tData[SEHTrajectPeriodeDatumTijdTotEnMet],"&gt;"&amp;($A536+0/24))</f>
        <v/>
      </c>
      <c r="E536" s="20">
        <f>COUNTIFS(tData[SEHTrajectPeriodeDatumTijdVan],"&lt;="&amp;($A536+1/24),tData[SEHTrajectPeriodeDatumTijdTotEnMet],"&gt;"&amp;($A536+1/24))</f>
        <v/>
      </c>
      <c r="F536" s="20">
        <f>COUNTIFS(tData[SEHTrajectPeriodeDatumTijdVan],"&lt;="&amp;($A536+2/24),tData[SEHTrajectPeriodeDatumTijdTotEnMet],"&gt;"&amp;($A536+2/24))</f>
        <v/>
      </c>
      <c r="G536" s="20">
        <f>COUNTIFS(tData[SEHTrajectPeriodeDatumTijdVan],"&lt;="&amp;($A536+3/24),tData[SEHTrajectPeriodeDatumTijdTotEnMet],"&gt;"&amp;($A536+3/24))</f>
        <v/>
      </c>
      <c r="H536" s="20">
        <f>COUNTIFS(tData[SEHTrajectPeriodeDatumTijdVan],"&lt;="&amp;($A536+4/24),tData[SEHTrajectPeriodeDatumTijdTotEnMet],"&gt;"&amp;($A536+4/24))</f>
        <v/>
      </c>
      <c r="I536" s="20">
        <f>COUNTIFS(tData[SEHTrajectPeriodeDatumTijdVan],"&lt;="&amp;($A536+5/24),tData[SEHTrajectPeriodeDatumTijdTotEnMet],"&gt;"&amp;($A536+5/24))</f>
        <v/>
      </c>
      <c r="J536" s="20">
        <f>COUNTIFS(tData[SEHTrajectPeriodeDatumTijdVan],"&lt;="&amp;($A536+6/24),tData[SEHTrajectPeriodeDatumTijdTotEnMet],"&gt;"&amp;($A536+6/24))</f>
        <v/>
      </c>
      <c r="K536" s="20">
        <f>COUNTIFS(tData[SEHTrajectPeriodeDatumTijdVan],"&lt;="&amp;($A536+7/24),tData[SEHTrajectPeriodeDatumTijdTotEnMet],"&gt;"&amp;($A536+7/24))</f>
        <v/>
      </c>
      <c r="L536" s="20">
        <f>COUNTIFS(tData[SEHTrajectPeriodeDatumTijdVan],"&lt;="&amp;($A536+8/24),tData[SEHTrajectPeriodeDatumTijdTotEnMet],"&gt;"&amp;($A536+8/24))</f>
        <v/>
      </c>
      <c r="M536" s="20">
        <f>COUNTIFS(tData[SEHTrajectPeriodeDatumTijdVan],"&lt;="&amp;($A536+9/24),tData[SEHTrajectPeriodeDatumTijdTotEnMet],"&gt;"&amp;($A536+9/24))</f>
        <v/>
      </c>
      <c r="N536" s="20">
        <f>COUNTIFS(tData[SEHTrajectPeriodeDatumTijdVan],"&lt;="&amp;($A536+10/24),tData[SEHTrajectPeriodeDatumTijdTotEnMet],"&gt;"&amp;($A536+10/24))</f>
        <v/>
      </c>
      <c r="O536" s="20">
        <f>COUNTIFS(tData[SEHTrajectPeriodeDatumTijdVan],"&lt;="&amp;($A536+11/24),tData[SEHTrajectPeriodeDatumTijdTotEnMet],"&gt;"&amp;($A536+11/24))</f>
        <v/>
      </c>
      <c r="P536" s="20">
        <f>COUNTIFS(tData[SEHTrajectPeriodeDatumTijdVan],"&lt;="&amp;($A536+12/24),tData[SEHTrajectPeriodeDatumTijdTotEnMet],"&gt;"&amp;($A536+12/24))</f>
        <v/>
      </c>
      <c r="Q536" s="20">
        <f>COUNTIFS(tData[SEHTrajectPeriodeDatumTijdVan],"&lt;="&amp;($A536+13/24),tData[SEHTrajectPeriodeDatumTijdTotEnMet],"&gt;"&amp;($A536+13/24))</f>
        <v/>
      </c>
      <c r="R536" s="20">
        <f>COUNTIFS(tData[SEHTrajectPeriodeDatumTijdVan],"&lt;="&amp;($A536+14/24),tData[SEHTrajectPeriodeDatumTijdTotEnMet],"&gt;"&amp;($A536+14/24))</f>
        <v/>
      </c>
      <c r="S536" s="20">
        <f>COUNTIFS(tData[SEHTrajectPeriodeDatumTijdVan],"&lt;="&amp;($A536+15/24),tData[SEHTrajectPeriodeDatumTijdTotEnMet],"&gt;"&amp;($A536+15/24))</f>
        <v/>
      </c>
      <c r="T536" s="20">
        <f>COUNTIFS(tData[SEHTrajectPeriodeDatumTijdVan],"&lt;="&amp;($A536+16/24),tData[SEHTrajectPeriodeDatumTijdTotEnMet],"&gt;"&amp;($A536+16/24))</f>
        <v/>
      </c>
      <c r="U536" s="20">
        <f>COUNTIFS(tData[SEHTrajectPeriodeDatumTijdVan],"&lt;="&amp;($A536+17/24),tData[SEHTrajectPeriodeDatumTijdTotEnMet],"&gt;"&amp;($A536+17/24))</f>
        <v/>
      </c>
      <c r="V536" s="20">
        <f>COUNTIFS(tData[SEHTrajectPeriodeDatumTijdVan],"&lt;="&amp;($A536+18/24),tData[SEHTrajectPeriodeDatumTijdTotEnMet],"&gt;"&amp;($A536+18/24))</f>
        <v/>
      </c>
      <c r="W536" s="20">
        <f>COUNTIFS(tData[SEHTrajectPeriodeDatumTijdVan],"&lt;="&amp;($A536+19/24),tData[SEHTrajectPeriodeDatumTijdTotEnMet],"&gt;"&amp;($A536+19/24))</f>
        <v/>
      </c>
      <c r="X536" s="20">
        <f>COUNTIFS(tData[SEHTrajectPeriodeDatumTijdVan],"&lt;="&amp;($A536+20/24),tData[SEHTrajectPeriodeDatumTijdTotEnMet],"&gt;"&amp;($A536+20/24))</f>
        <v/>
      </c>
      <c r="Y536" s="20">
        <f>COUNTIFS(tData[SEHTrajectPeriodeDatumTijdVan],"&lt;="&amp;($A536+21/24),tData[SEHTrajectPeriodeDatumTijdTotEnMet],"&gt;"&amp;($A536+21/24))</f>
        <v/>
      </c>
      <c r="Z536" s="20">
        <f>COUNTIFS(tData[SEHTrajectPeriodeDatumTijdVan],"&lt;="&amp;($A536+22/24),tData[SEHTrajectPeriodeDatumTijdTotEnMet],"&gt;"&amp;($A536+22/24))</f>
        <v/>
      </c>
      <c r="AA536" s="20">
        <f>COUNTIFS(tData[SEHTrajectPeriodeDatumTijdVan],"&lt;="&amp;($A536+23/24),tData[SEHTrajectPeriodeDatumTijdTotEnMet],"&gt;"&amp;($A536+23/24))</f>
        <v/>
      </c>
    </row>
    <row r="537">
      <c r="A537" s="19" t="n">
        <v>45825</v>
      </c>
      <c r="B537" s="15">
        <f>WEEKDAY($A537,2)</f>
        <v/>
      </c>
      <c r="C537" s="15">
        <f>IF(AND($A537&gt;=INT(Instellingen!$B$5),$A537&lt;=INT(Instellingen!$B$6)),1,0)</f>
        <v/>
      </c>
      <c r="D537" s="20">
        <f>COUNTIFS(tData[SEHTrajectPeriodeDatumTijdVan],"&lt;="&amp;($A537+0/24),tData[SEHTrajectPeriodeDatumTijdTotEnMet],"&gt;"&amp;($A537+0/24))</f>
        <v/>
      </c>
      <c r="E537" s="20">
        <f>COUNTIFS(tData[SEHTrajectPeriodeDatumTijdVan],"&lt;="&amp;($A537+1/24),tData[SEHTrajectPeriodeDatumTijdTotEnMet],"&gt;"&amp;($A537+1/24))</f>
        <v/>
      </c>
      <c r="F537" s="20">
        <f>COUNTIFS(tData[SEHTrajectPeriodeDatumTijdVan],"&lt;="&amp;($A537+2/24),tData[SEHTrajectPeriodeDatumTijdTotEnMet],"&gt;"&amp;($A537+2/24))</f>
        <v/>
      </c>
      <c r="G537" s="20">
        <f>COUNTIFS(tData[SEHTrajectPeriodeDatumTijdVan],"&lt;="&amp;($A537+3/24),tData[SEHTrajectPeriodeDatumTijdTotEnMet],"&gt;"&amp;($A537+3/24))</f>
        <v/>
      </c>
      <c r="H537" s="20">
        <f>COUNTIFS(tData[SEHTrajectPeriodeDatumTijdVan],"&lt;="&amp;($A537+4/24),tData[SEHTrajectPeriodeDatumTijdTotEnMet],"&gt;"&amp;($A537+4/24))</f>
        <v/>
      </c>
      <c r="I537" s="20">
        <f>COUNTIFS(tData[SEHTrajectPeriodeDatumTijdVan],"&lt;="&amp;($A537+5/24),tData[SEHTrajectPeriodeDatumTijdTotEnMet],"&gt;"&amp;($A537+5/24))</f>
        <v/>
      </c>
      <c r="J537" s="20">
        <f>COUNTIFS(tData[SEHTrajectPeriodeDatumTijdVan],"&lt;="&amp;($A537+6/24),tData[SEHTrajectPeriodeDatumTijdTotEnMet],"&gt;"&amp;($A537+6/24))</f>
        <v/>
      </c>
      <c r="K537" s="20">
        <f>COUNTIFS(tData[SEHTrajectPeriodeDatumTijdVan],"&lt;="&amp;($A537+7/24),tData[SEHTrajectPeriodeDatumTijdTotEnMet],"&gt;"&amp;($A537+7/24))</f>
        <v/>
      </c>
      <c r="L537" s="20">
        <f>COUNTIFS(tData[SEHTrajectPeriodeDatumTijdVan],"&lt;="&amp;($A537+8/24),tData[SEHTrajectPeriodeDatumTijdTotEnMet],"&gt;"&amp;($A537+8/24))</f>
        <v/>
      </c>
      <c r="M537" s="20">
        <f>COUNTIFS(tData[SEHTrajectPeriodeDatumTijdVan],"&lt;="&amp;($A537+9/24),tData[SEHTrajectPeriodeDatumTijdTotEnMet],"&gt;"&amp;($A537+9/24))</f>
        <v/>
      </c>
      <c r="N537" s="20">
        <f>COUNTIFS(tData[SEHTrajectPeriodeDatumTijdVan],"&lt;="&amp;($A537+10/24),tData[SEHTrajectPeriodeDatumTijdTotEnMet],"&gt;"&amp;($A537+10/24))</f>
        <v/>
      </c>
      <c r="O537" s="20">
        <f>COUNTIFS(tData[SEHTrajectPeriodeDatumTijdVan],"&lt;="&amp;($A537+11/24),tData[SEHTrajectPeriodeDatumTijdTotEnMet],"&gt;"&amp;($A537+11/24))</f>
        <v/>
      </c>
      <c r="P537" s="20">
        <f>COUNTIFS(tData[SEHTrajectPeriodeDatumTijdVan],"&lt;="&amp;($A537+12/24),tData[SEHTrajectPeriodeDatumTijdTotEnMet],"&gt;"&amp;($A537+12/24))</f>
        <v/>
      </c>
      <c r="Q537" s="20">
        <f>COUNTIFS(tData[SEHTrajectPeriodeDatumTijdVan],"&lt;="&amp;($A537+13/24),tData[SEHTrajectPeriodeDatumTijdTotEnMet],"&gt;"&amp;($A537+13/24))</f>
        <v/>
      </c>
      <c r="R537" s="20">
        <f>COUNTIFS(tData[SEHTrajectPeriodeDatumTijdVan],"&lt;="&amp;($A537+14/24),tData[SEHTrajectPeriodeDatumTijdTotEnMet],"&gt;"&amp;($A537+14/24))</f>
        <v/>
      </c>
      <c r="S537" s="20">
        <f>COUNTIFS(tData[SEHTrajectPeriodeDatumTijdVan],"&lt;="&amp;($A537+15/24),tData[SEHTrajectPeriodeDatumTijdTotEnMet],"&gt;"&amp;($A537+15/24))</f>
        <v/>
      </c>
      <c r="T537" s="20">
        <f>COUNTIFS(tData[SEHTrajectPeriodeDatumTijdVan],"&lt;="&amp;($A537+16/24),tData[SEHTrajectPeriodeDatumTijdTotEnMet],"&gt;"&amp;($A537+16/24))</f>
        <v/>
      </c>
      <c r="U537" s="20">
        <f>COUNTIFS(tData[SEHTrajectPeriodeDatumTijdVan],"&lt;="&amp;($A537+17/24),tData[SEHTrajectPeriodeDatumTijdTotEnMet],"&gt;"&amp;($A537+17/24))</f>
        <v/>
      </c>
      <c r="V537" s="20">
        <f>COUNTIFS(tData[SEHTrajectPeriodeDatumTijdVan],"&lt;="&amp;($A537+18/24),tData[SEHTrajectPeriodeDatumTijdTotEnMet],"&gt;"&amp;($A537+18/24))</f>
        <v/>
      </c>
      <c r="W537" s="20">
        <f>COUNTIFS(tData[SEHTrajectPeriodeDatumTijdVan],"&lt;="&amp;($A537+19/24),tData[SEHTrajectPeriodeDatumTijdTotEnMet],"&gt;"&amp;($A537+19/24))</f>
        <v/>
      </c>
      <c r="X537" s="20">
        <f>COUNTIFS(tData[SEHTrajectPeriodeDatumTijdVan],"&lt;="&amp;($A537+20/24),tData[SEHTrajectPeriodeDatumTijdTotEnMet],"&gt;"&amp;($A537+20/24))</f>
        <v/>
      </c>
      <c r="Y537" s="20">
        <f>COUNTIFS(tData[SEHTrajectPeriodeDatumTijdVan],"&lt;="&amp;($A537+21/24),tData[SEHTrajectPeriodeDatumTijdTotEnMet],"&gt;"&amp;($A537+21/24))</f>
        <v/>
      </c>
      <c r="Z537" s="20">
        <f>COUNTIFS(tData[SEHTrajectPeriodeDatumTijdVan],"&lt;="&amp;($A537+22/24),tData[SEHTrajectPeriodeDatumTijdTotEnMet],"&gt;"&amp;($A537+22/24))</f>
        <v/>
      </c>
      <c r="AA537" s="20">
        <f>COUNTIFS(tData[SEHTrajectPeriodeDatumTijdVan],"&lt;="&amp;($A537+23/24),tData[SEHTrajectPeriodeDatumTijdTotEnMet],"&gt;"&amp;($A537+23/24))</f>
        <v/>
      </c>
    </row>
    <row r="538">
      <c r="A538" s="19" t="n">
        <v>45826</v>
      </c>
      <c r="B538" s="15">
        <f>WEEKDAY($A538,2)</f>
        <v/>
      </c>
      <c r="C538" s="15">
        <f>IF(AND($A538&gt;=INT(Instellingen!$B$5),$A538&lt;=INT(Instellingen!$B$6)),1,0)</f>
        <v/>
      </c>
      <c r="D538" s="20">
        <f>COUNTIFS(tData[SEHTrajectPeriodeDatumTijdVan],"&lt;="&amp;($A538+0/24),tData[SEHTrajectPeriodeDatumTijdTotEnMet],"&gt;"&amp;($A538+0/24))</f>
        <v/>
      </c>
      <c r="E538" s="20">
        <f>COUNTIFS(tData[SEHTrajectPeriodeDatumTijdVan],"&lt;="&amp;($A538+1/24),tData[SEHTrajectPeriodeDatumTijdTotEnMet],"&gt;"&amp;($A538+1/24))</f>
        <v/>
      </c>
      <c r="F538" s="20">
        <f>COUNTIFS(tData[SEHTrajectPeriodeDatumTijdVan],"&lt;="&amp;($A538+2/24),tData[SEHTrajectPeriodeDatumTijdTotEnMet],"&gt;"&amp;($A538+2/24))</f>
        <v/>
      </c>
      <c r="G538" s="20">
        <f>COUNTIFS(tData[SEHTrajectPeriodeDatumTijdVan],"&lt;="&amp;($A538+3/24),tData[SEHTrajectPeriodeDatumTijdTotEnMet],"&gt;"&amp;($A538+3/24))</f>
        <v/>
      </c>
      <c r="H538" s="20">
        <f>COUNTIFS(tData[SEHTrajectPeriodeDatumTijdVan],"&lt;="&amp;($A538+4/24),tData[SEHTrajectPeriodeDatumTijdTotEnMet],"&gt;"&amp;($A538+4/24))</f>
        <v/>
      </c>
      <c r="I538" s="20">
        <f>COUNTIFS(tData[SEHTrajectPeriodeDatumTijdVan],"&lt;="&amp;($A538+5/24),tData[SEHTrajectPeriodeDatumTijdTotEnMet],"&gt;"&amp;($A538+5/24))</f>
        <v/>
      </c>
      <c r="J538" s="20">
        <f>COUNTIFS(tData[SEHTrajectPeriodeDatumTijdVan],"&lt;="&amp;($A538+6/24),tData[SEHTrajectPeriodeDatumTijdTotEnMet],"&gt;"&amp;($A538+6/24))</f>
        <v/>
      </c>
      <c r="K538" s="20">
        <f>COUNTIFS(tData[SEHTrajectPeriodeDatumTijdVan],"&lt;="&amp;($A538+7/24),tData[SEHTrajectPeriodeDatumTijdTotEnMet],"&gt;"&amp;($A538+7/24))</f>
        <v/>
      </c>
      <c r="L538" s="20">
        <f>COUNTIFS(tData[SEHTrajectPeriodeDatumTijdVan],"&lt;="&amp;($A538+8/24),tData[SEHTrajectPeriodeDatumTijdTotEnMet],"&gt;"&amp;($A538+8/24))</f>
        <v/>
      </c>
      <c r="M538" s="20">
        <f>COUNTIFS(tData[SEHTrajectPeriodeDatumTijdVan],"&lt;="&amp;($A538+9/24),tData[SEHTrajectPeriodeDatumTijdTotEnMet],"&gt;"&amp;($A538+9/24))</f>
        <v/>
      </c>
      <c r="N538" s="20">
        <f>COUNTIFS(tData[SEHTrajectPeriodeDatumTijdVan],"&lt;="&amp;($A538+10/24),tData[SEHTrajectPeriodeDatumTijdTotEnMet],"&gt;"&amp;($A538+10/24))</f>
        <v/>
      </c>
      <c r="O538" s="20">
        <f>COUNTIFS(tData[SEHTrajectPeriodeDatumTijdVan],"&lt;="&amp;($A538+11/24),tData[SEHTrajectPeriodeDatumTijdTotEnMet],"&gt;"&amp;($A538+11/24))</f>
        <v/>
      </c>
      <c r="P538" s="20">
        <f>COUNTIFS(tData[SEHTrajectPeriodeDatumTijdVan],"&lt;="&amp;($A538+12/24),tData[SEHTrajectPeriodeDatumTijdTotEnMet],"&gt;"&amp;($A538+12/24))</f>
        <v/>
      </c>
      <c r="Q538" s="20">
        <f>COUNTIFS(tData[SEHTrajectPeriodeDatumTijdVan],"&lt;="&amp;($A538+13/24),tData[SEHTrajectPeriodeDatumTijdTotEnMet],"&gt;"&amp;($A538+13/24))</f>
        <v/>
      </c>
      <c r="R538" s="20">
        <f>COUNTIFS(tData[SEHTrajectPeriodeDatumTijdVan],"&lt;="&amp;($A538+14/24),tData[SEHTrajectPeriodeDatumTijdTotEnMet],"&gt;"&amp;($A538+14/24))</f>
        <v/>
      </c>
      <c r="S538" s="20">
        <f>COUNTIFS(tData[SEHTrajectPeriodeDatumTijdVan],"&lt;="&amp;($A538+15/24),tData[SEHTrajectPeriodeDatumTijdTotEnMet],"&gt;"&amp;($A538+15/24))</f>
        <v/>
      </c>
      <c r="T538" s="20">
        <f>COUNTIFS(tData[SEHTrajectPeriodeDatumTijdVan],"&lt;="&amp;($A538+16/24),tData[SEHTrajectPeriodeDatumTijdTotEnMet],"&gt;"&amp;($A538+16/24))</f>
        <v/>
      </c>
      <c r="U538" s="20">
        <f>COUNTIFS(tData[SEHTrajectPeriodeDatumTijdVan],"&lt;="&amp;($A538+17/24),tData[SEHTrajectPeriodeDatumTijdTotEnMet],"&gt;"&amp;($A538+17/24))</f>
        <v/>
      </c>
      <c r="V538" s="20">
        <f>COUNTIFS(tData[SEHTrajectPeriodeDatumTijdVan],"&lt;="&amp;($A538+18/24),tData[SEHTrajectPeriodeDatumTijdTotEnMet],"&gt;"&amp;($A538+18/24))</f>
        <v/>
      </c>
      <c r="W538" s="20">
        <f>COUNTIFS(tData[SEHTrajectPeriodeDatumTijdVan],"&lt;="&amp;($A538+19/24),tData[SEHTrajectPeriodeDatumTijdTotEnMet],"&gt;"&amp;($A538+19/24))</f>
        <v/>
      </c>
      <c r="X538" s="20">
        <f>COUNTIFS(tData[SEHTrajectPeriodeDatumTijdVan],"&lt;="&amp;($A538+20/24),tData[SEHTrajectPeriodeDatumTijdTotEnMet],"&gt;"&amp;($A538+20/24))</f>
        <v/>
      </c>
      <c r="Y538" s="20">
        <f>COUNTIFS(tData[SEHTrajectPeriodeDatumTijdVan],"&lt;="&amp;($A538+21/24),tData[SEHTrajectPeriodeDatumTijdTotEnMet],"&gt;"&amp;($A538+21/24))</f>
        <v/>
      </c>
      <c r="Z538" s="20">
        <f>COUNTIFS(tData[SEHTrajectPeriodeDatumTijdVan],"&lt;="&amp;($A538+22/24),tData[SEHTrajectPeriodeDatumTijdTotEnMet],"&gt;"&amp;($A538+22/24))</f>
        <v/>
      </c>
      <c r="AA538" s="20">
        <f>COUNTIFS(tData[SEHTrajectPeriodeDatumTijdVan],"&lt;="&amp;($A538+23/24),tData[SEHTrajectPeriodeDatumTijdTotEnMet],"&gt;"&amp;($A538+23/24))</f>
        <v/>
      </c>
    </row>
    <row r="539">
      <c r="A539" s="19" t="n">
        <v>45827</v>
      </c>
      <c r="B539" s="15">
        <f>WEEKDAY($A539,2)</f>
        <v/>
      </c>
      <c r="C539" s="15">
        <f>IF(AND($A539&gt;=INT(Instellingen!$B$5),$A539&lt;=INT(Instellingen!$B$6)),1,0)</f>
        <v/>
      </c>
      <c r="D539" s="20">
        <f>COUNTIFS(tData[SEHTrajectPeriodeDatumTijdVan],"&lt;="&amp;($A539+0/24),tData[SEHTrajectPeriodeDatumTijdTotEnMet],"&gt;"&amp;($A539+0/24))</f>
        <v/>
      </c>
      <c r="E539" s="20">
        <f>COUNTIFS(tData[SEHTrajectPeriodeDatumTijdVan],"&lt;="&amp;($A539+1/24),tData[SEHTrajectPeriodeDatumTijdTotEnMet],"&gt;"&amp;($A539+1/24))</f>
        <v/>
      </c>
      <c r="F539" s="20">
        <f>COUNTIFS(tData[SEHTrajectPeriodeDatumTijdVan],"&lt;="&amp;($A539+2/24),tData[SEHTrajectPeriodeDatumTijdTotEnMet],"&gt;"&amp;($A539+2/24))</f>
        <v/>
      </c>
      <c r="G539" s="20">
        <f>COUNTIFS(tData[SEHTrajectPeriodeDatumTijdVan],"&lt;="&amp;($A539+3/24),tData[SEHTrajectPeriodeDatumTijdTotEnMet],"&gt;"&amp;($A539+3/24))</f>
        <v/>
      </c>
      <c r="H539" s="20">
        <f>COUNTIFS(tData[SEHTrajectPeriodeDatumTijdVan],"&lt;="&amp;($A539+4/24),tData[SEHTrajectPeriodeDatumTijdTotEnMet],"&gt;"&amp;($A539+4/24))</f>
        <v/>
      </c>
      <c r="I539" s="20">
        <f>COUNTIFS(tData[SEHTrajectPeriodeDatumTijdVan],"&lt;="&amp;($A539+5/24),tData[SEHTrajectPeriodeDatumTijdTotEnMet],"&gt;"&amp;($A539+5/24))</f>
        <v/>
      </c>
      <c r="J539" s="20">
        <f>COUNTIFS(tData[SEHTrajectPeriodeDatumTijdVan],"&lt;="&amp;($A539+6/24),tData[SEHTrajectPeriodeDatumTijdTotEnMet],"&gt;"&amp;($A539+6/24))</f>
        <v/>
      </c>
      <c r="K539" s="20">
        <f>COUNTIFS(tData[SEHTrajectPeriodeDatumTijdVan],"&lt;="&amp;($A539+7/24),tData[SEHTrajectPeriodeDatumTijdTotEnMet],"&gt;"&amp;($A539+7/24))</f>
        <v/>
      </c>
      <c r="L539" s="20">
        <f>COUNTIFS(tData[SEHTrajectPeriodeDatumTijdVan],"&lt;="&amp;($A539+8/24),tData[SEHTrajectPeriodeDatumTijdTotEnMet],"&gt;"&amp;($A539+8/24))</f>
        <v/>
      </c>
      <c r="M539" s="20">
        <f>COUNTIFS(tData[SEHTrajectPeriodeDatumTijdVan],"&lt;="&amp;($A539+9/24),tData[SEHTrajectPeriodeDatumTijdTotEnMet],"&gt;"&amp;($A539+9/24))</f>
        <v/>
      </c>
      <c r="N539" s="20">
        <f>COUNTIFS(tData[SEHTrajectPeriodeDatumTijdVan],"&lt;="&amp;($A539+10/24),tData[SEHTrajectPeriodeDatumTijdTotEnMet],"&gt;"&amp;($A539+10/24))</f>
        <v/>
      </c>
      <c r="O539" s="20">
        <f>COUNTIFS(tData[SEHTrajectPeriodeDatumTijdVan],"&lt;="&amp;($A539+11/24),tData[SEHTrajectPeriodeDatumTijdTotEnMet],"&gt;"&amp;($A539+11/24))</f>
        <v/>
      </c>
      <c r="P539" s="20">
        <f>COUNTIFS(tData[SEHTrajectPeriodeDatumTijdVan],"&lt;="&amp;($A539+12/24),tData[SEHTrajectPeriodeDatumTijdTotEnMet],"&gt;"&amp;($A539+12/24))</f>
        <v/>
      </c>
      <c r="Q539" s="20">
        <f>COUNTIFS(tData[SEHTrajectPeriodeDatumTijdVan],"&lt;="&amp;($A539+13/24),tData[SEHTrajectPeriodeDatumTijdTotEnMet],"&gt;"&amp;($A539+13/24))</f>
        <v/>
      </c>
      <c r="R539" s="20">
        <f>COUNTIFS(tData[SEHTrajectPeriodeDatumTijdVan],"&lt;="&amp;($A539+14/24),tData[SEHTrajectPeriodeDatumTijdTotEnMet],"&gt;"&amp;($A539+14/24))</f>
        <v/>
      </c>
      <c r="S539" s="20">
        <f>COUNTIFS(tData[SEHTrajectPeriodeDatumTijdVan],"&lt;="&amp;($A539+15/24),tData[SEHTrajectPeriodeDatumTijdTotEnMet],"&gt;"&amp;($A539+15/24))</f>
        <v/>
      </c>
      <c r="T539" s="20">
        <f>COUNTIFS(tData[SEHTrajectPeriodeDatumTijdVan],"&lt;="&amp;($A539+16/24),tData[SEHTrajectPeriodeDatumTijdTotEnMet],"&gt;"&amp;($A539+16/24))</f>
        <v/>
      </c>
      <c r="U539" s="20">
        <f>COUNTIFS(tData[SEHTrajectPeriodeDatumTijdVan],"&lt;="&amp;($A539+17/24),tData[SEHTrajectPeriodeDatumTijdTotEnMet],"&gt;"&amp;($A539+17/24))</f>
        <v/>
      </c>
      <c r="V539" s="20">
        <f>COUNTIFS(tData[SEHTrajectPeriodeDatumTijdVan],"&lt;="&amp;($A539+18/24),tData[SEHTrajectPeriodeDatumTijdTotEnMet],"&gt;"&amp;($A539+18/24))</f>
        <v/>
      </c>
      <c r="W539" s="20">
        <f>COUNTIFS(tData[SEHTrajectPeriodeDatumTijdVan],"&lt;="&amp;($A539+19/24),tData[SEHTrajectPeriodeDatumTijdTotEnMet],"&gt;"&amp;($A539+19/24))</f>
        <v/>
      </c>
      <c r="X539" s="20">
        <f>COUNTIFS(tData[SEHTrajectPeriodeDatumTijdVan],"&lt;="&amp;($A539+20/24),tData[SEHTrajectPeriodeDatumTijdTotEnMet],"&gt;"&amp;($A539+20/24))</f>
        <v/>
      </c>
      <c r="Y539" s="20">
        <f>COUNTIFS(tData[SEHTrajectPeriodeDatumTijdVan],"&lt;="&amp;($A539+21/24),tData[SEHTrajectPeriodeDatumTijdTotEnMet],"&gt;"&amp;($A539+21/24))</f>
        <v/>
      </c>
      <c r="Z539" s="20">
        <f>COUNTIFS(tData[SEHTrajectPeriodeDatumTijdVan],"&lt;="&amp;($A539+22/24),tData[SEHTrajectPeriodeDatumTijdTotEnMet],"&gt;"&amp;($A539+22/24))</f>
        <v/>
      </c>
      <c r="AA539" s="20">
        <f>COUNTIFS(tData[SEHTrajectPeriodeDatumTijdVan],"&lt;="&amp;($A539+23/24),tData[SEHTrajectPeriodeDatumTijdTotEnMet],"&gt;"&amp;($A539+23/24))</f>
        <v/>
      </c>
    </row>
    <row r="540">
      <c r="A540" s="19" t="n">
        <v>45828</v>
      </c>
      <c r="B540" s="15">
        <f>WEEKDAY($A540,2)</f>
        <v/>
      </c>
      <c r="C540" s="15">
        <f>IF(AND($A540&gt;=INT(Instellingen!$B$5),$A540&lt;=INT(Instellingen!$B$6)),1,0)</f>
        <v/>
      </c>
      <c r="D540" s="20">
        <f>COUNTIFS(tData[SEHTrajectPeriodeDatumTijdVan],"&lt;="&amp;($A540+0/24),tData[SEHTrajectPeriodeDatumTijdTotEnMet],"&gt;"&amp;($A540+0/24))</f>
        <v/>
      </c>
      <c r="E540" s="20">
        <f>COUNTIFS(tData[SEHTrajectPeriodeDatumTijdVan],"&lt;="&amp;($A540+1/24),tData[SEHTrajectPeriodeDatumTijdTotEnMet],"&gt;"&amp;($A540+1/24))</f>
        <v/>
      </c>
      <c r="F540" s="20">
        <f>COUNTIFS(tData[SEHTrajectPeriodeDatumTijdVan],"&lt;="&amp;($A540+2/24),tData[SEHTrajectPeriodeDatumTijdTotEnMet],"&gt;"&amp;($A540+2/24))</f>
        <v/>
      </c>
      <c r="G540" s="20">
        <f>COUNTIFS(tData[SEHTrajectPeriodeDatumTijdVan],"&lt;="&amp;($A540+3/24),tData[SEHTrajectPeriodeDatumTijdTotEnMet],"&gt;"&amp;($A540+3/24))</f>
        <v/>
      </c>
      <c r="H540" s="20">
        <f>COUNTIFS(tData[SEHTrajectPeriodeDatumTijdVan],"&lt;="&amp;($A540+4/24),tData[SEHTrajectPeriodeDatumTijdTotEnMet],"&gt;"&amp;($A540+4/24))</f>
        <v/>
      </c>
      <c r="I540" s="20">
        <f>COUNTIFS(tData[SEHTrajectPeriodeDatumTijdVan],"&lt;="&amp;($A540+5/24),tData[SEHTrajectPeriodeDatumTijdTotEnMet],"&gt;"&amp;($A540+5/24))</f>
        <v/>
      </c>
      <c r="J540" s="20">
        <f>COUNTIFS(tData[SEHTrajectPeriodeDatumTijdVan],"&lt;="&amp;($A540+6/24),tData[SEHTrajectPeriodeDatumTijdTotEnMet],"&gt;"&amp;($A540+6/24))</f>
        <v/>
      </c>
      <c r="K540" s="20">
        <f>COUNTIFS(tData[SEHTrajectPeriodeDatumTijdVan],"&lt;="&amp;($A540+7/24),tData[SEHTrajectPeriodeDatumTijdTotEnMet],"&gt;"&amp;($A540+7/24))</f>
        <v/>
      </c>
      <c r="L540" s="20">
        <f>COUNTIFS(tData[SEHTrajectPeriodeDatumTijdVan],"&lt;="&amp;($A540+8/24),tData[SEHTrajectPeriodeDatumTijdTotEnMet],"&gt;"&amp;($A540+8/24))</f>
        <v/>
      </c>
      <c r="M540" s="20">
        <f>COUNTIFS(tData[SEHTrajectPeriodeDatumTijdVan],"&lt;="&amp;($A540+9/24),tData[SEHTrajectPeriodeDatumTijdTotEnMet],"&gt;"&amp;($A540+9/24))</f>
        <v/>
      </c>
      <c r="N540" s="20">
        <f>COUNTIFS(tData[SEHTrajectPeriodeDatumTijdVan],"&lt;="&amp;($A540+10/24),tData[SEHTrajectPeriodeDatumTijdTotEnMet],"&gt;"&amp;($A540+10/24))</f>
        <v/>
      </c>
      <c r="O540" s="20">
        <f>COUNTIFS(tData[SEHTrajectPeriodeDatumTijdVan],"&lt;="&amp;($A540+11/24),tData[SEHTrajectPeriodeDatumTijdTotEnMet],"&gt;"&amp;($A540+11/24))</f>
        <v/>
      </c>
      <c r="P540" s="20">
        <f>COUNTIFS(tData[SEHTrajectPeriodeDatumTijdVan],"&lt;="&amp;($A540+12/24),tData[SEHTrajectPeriodeDatumTijdTotEnMet],"&gt;"&amp;($A540+12/24))</f>
        <v/>
      </c>
      <c r="Q540" s="20">
        <f>COUNTIFS(tData[SEHTrajectPeriodeDatumTijdVan],"&lt;="&amp;($A540+13/24),tData[SEHTrajectPeriodeDatumTijdTotEnMet],"&gt;"&amp;($A540+13/24))</f>
        <v/>
      </c>
      <c r="R540" s="20">
        <f>COUNTIFS(tData[SEHTrajectPeriodeDatumTijdVan],"&lt;="&amp;($A540+14/24),tData[SEHTrajectPeriodeDatumTijdTotEnMet],"&gt;"&amp;($A540+14/24))</f>
        <v/>
      </c>
      <c r="S540" s="20">
        <f>COUNTIFS(tData[SEHTrajectPeriodeDatumTijdVan],"&lt;="&amp;($A540+15/24),tData[SEHTrajectPeriodeDatumTijdTotEnMet],"&gt;"&amp;($A540+15/24))</f>
        <v/>
      </c>
      <c r="T540" s="20">
        <f>COUNTIFS(tData[SEHTrajectPeriodeDatumTijdVan],"&lt;="&amp;($A540+16/24),tData[SEHTrajectPeriodeDatumTijdTotEnMet],"&gt;"&amp;($A540+16/24))</f>
        <v/>
      </c>
      <c r="U540" s="20">
        <f>COUNTIFS(tData[SEHTrajectPeriodeDatumTijdVan],"&lt;="&amp;($A540+17/24),tData[SEHTrajectPeriodeDatumTijdTotEnMet],"&gt;"&amp;($A540+17/24))</f>
        <v/>
      </c>
      <c r="V540" s="20">
        <f>COUNTIFS(tData[SEHTrajectPeriodeDatumTijdVan],"&lt;="&amp;($A540+18/24),tData[SEHTrajectPeriodeDatumTijdTotEnMet],"&gt;"&amp;($A540+18/24))</f>
        <v/>
      </c>
      <c r="W540" s="20">
        <f>COUNTIFS(tData[SEHTrajectPeriodeDatumTijdVan],"&lt;="&amp;($A540+19/24),tData[SEHTrajectPeriodeDatumTijdTotEnMet],"&gt;"&amp;($A540+19/24))</f>
        <v/>
      </c>
      <c r="X540" s="20">
        <f>COUNTIFS(tData[SEHTrajectPeriodeDatumTijdVan],"&lt;="&amp;($A540+20/24),tData[SEHTrajectPeriodeDatumTijdTotEnMet],"&gt;"&amp;($A540+20/24))</f>
        <v/>
      </c>
      <c r="Y540" s="20">
        <f>COUNTIFS(tData[SEHTrajectPeriodeDatumTijdVan],"&lt;="&amp;($A540+21/24),tData[SEHTrajectPeriodeDatumTijdTotEnMet],"&gt;"&amp;($A540+21/24))</f>
        <v/>
      </c>
      <c r="Z540" s="20">
        <f>COUNTIFS(tData[SEHTrajectPeriodeDatumTijdVan],"&lt;="&amp;($A540+22/24),tData[SEHTrajectPeriodeDatumTijdTotEnMet],"&gt;"&amp;($A540+22/24))</f>
        <v/>
      </c>
      <c r="AA540" s="20">
        <f>COUNTIFS(tData[SEHTrajectPeriodeDatumTijdVan],"&lt;="&amp;($A540+23/24),tData[SEHTrajectPeriodeDatumTijdTotEnMet],"&gt;"&amp;($A540+23/24))</f>
        <v/>
      </c>
    </row>
    <row r="541">
      <c r="A541" s="19" t="n">
        <v>45829</v>
      </c>
      <c r="B541" s="15">
        <f>WEEKDAY($A541,2)</f>
        <v/>
      </c>
      <c r="C541" s="15">
        <f>IF(AND($A541&gt;=INT(Instellingen!$B$5),$A541&lt;=INT(Instellingen!$B$6)),1,0)</f>
        <v/>
      </c>
      <c r="D541" s="20">
        <f>COUNTIFS(tData[SEHTrajectPeriodeDatumTijdVan],"&lt;="&amp;($A541+0/24),tData[SEHTrajectPeriodeDatumTijdTotEnMet],"&gt;"&amp;($A541+0/24))</f>
        <v/>
      </c>
      <c r="E541" s="20">
        <f>COUNTIFS(tData[SEHTrajectPeriodeDatumTijdVan],"&lt;="&amp;($A541+1/24),tData[SEHTrajectPeriodeDatumTijdTotEnMet],"&gt;"&amp;($A541+1/24))</f>
        <v/>
      </c>
      <c r="F541" s="20">
        <f>COUNTIFS(tData[SEHTrajectPeriodeDatumTijdVan],"&lt;="&amp;($A541+2/24),tData[SEHTrajectPeriodeDatumTijdTotEnMet],"&gt;"&amp;($A541+2/24))</f>
        <v/>
      </c>
      <c r="G541" s="20">
        <f>COUNTIFS(tData[SEHTrajectPeriodeDatumTijdVan],"&lt;="&amp;($A541+3/24),tData[SEHTrajectPeriodeDatumTijdTotEnMet],"&gt;"&amp;($A541+3/24))</f>
        <v/>
      </c>
      <c r="H541" s="20">
        <f>COUNTIFS(tData[SEHTrajectPeriodeDatumTijdVan],"&lt;="&amp;($A541+4/24),tData[SEHTrajectPeriodeDatumTijdTotEnMet],"&gt;"&amp;($A541+4/24))</f>
        <v/>
      </c>
      <c r="I541" s="20">
        <f>COUNTIFS(tData[SEHTrajectPeriodeDatumTijdVan],"&lt;="&amp;($A541+5/24),tData[SEHTrajectPeriodeDatumTijdTotEnMet],"&gt;"&amp;($A541+5/24))</f>
        <v/>
      </c>
      <c r="J541" s="20">
        <f>COUNTIFS(tData[SEHTrajectPeriodeDatumTijdVan],"&lt;="&amp;($A541+6/24),tData[SEHTrajectPeriodeDatumTijdTotEnMet],"&gt;"&amp;($A541+6/24))</f>
        <v/>
      </c>
      <c r="K541" s="20">
        <f>COUNTIFS(tData[SEHTrajectPeriodeDatumTijdVan],"&lt;="&amp;($A541+7/24),tData[SEHTrajectPeriodeDatumTijdTotEnMet],"&gt;"&amp;($A541+7/24))</f>
        <v/>
      </c>
      <c r="L541" s="20">
        <f>COUNTIFS(tData[SEHTrajectPeriodeDatumTijdVan],"&lt;="&amp;($A541+8/24),tData[SEHTrajectPeriodeDatumTijdTotEnMet],"&gt;"&amp;($A541+8/24))</f>
        <v/>
      </c>
      <c r="M541" s="20">
        <f>COUNTIFS(tData[SEHTrajectPeriodeDatumTijdVan],"&lt;="&amp;($A541+9/24),tData[SEHTrajectPeriodeDatumTijdTotEnMet],"&gt;"&amp;($A541+9/24))</f>
        <v/>
      </c>
      <c r="N541" s="20">
        <f>COUNTIFS(tData[SEHTrajectPeriodeDatumTijdVan],"&lt;="&amp;($A541+10/24),tData[SEHTrajectPeriodeDatumTijdTotEnMet],"&gt;"&amp;($A541+10/24))</f>
        <v/>
      </c>
      <c r="O541" s="20">
        <f>COUNTIFS(tData[SEHTrajectPeriodeDatumTijdVan],"&lt;="&amp;($A541+11/24),tData[SEHTrajectPeriodeDatumTijdTotEnMet],"&gt;"&amp;($A541+11/24))</f>
        <v/>
      </c>
      <c r="P541" s="20">
        <f>COUNTIFS(tData[SEHTrajectPeriodeDatumTijdVan],"&lt;="&amp;($A541+12/24),tData[SEHTrajectPeriodeDatumTijdTotEnMet],"&gt;"&amp;($A541+12/24))</f>
        <v/>
      </c>
      <c r="Q541" s="20">
        <f>COUNTIFS(tData[SEHTrajectPeriodeDatumTijdVan],"&lt;="&amp;($A541+13/24),tData[SEHTrajectPeriodeDatumTijdTotEnMet],"&gt;"&amp;($A541+13/24))</f>
        <v/>
      </c>
      <c r="R541" s="20">
        <f>COUNTIFS(tData[SEHTrajectPeriodeDatumTijdVan],"&lt;="&amp;($A541+14/24),tData[SEHTrajectPeriodeDatumTijdTotEnMet],"&gt;"&amp;($A541+14/24))</f>
        <v/>
      </c>
      <c r="S541" s="20">
        <f>COUNTIFS(tData[SEHTrajectPeriodeDatumTijdVan],"&lt;="&amp;($A541+15/24),tData[SEHTrajectPeriodeDatumTijdTotEnMet],"&gt;"&amp;($A541+15/24))</f>
        <v/>
      </c>
      <c r="T541" s="20">
        <f>COUNTIFS(tData[SEHTrajectPeriodeDatumTijdVan],"&lt;="&amp;($A541+16/24),tData[SEHTrajectPeriodeDatumTijdTotEnMet],"&gt;"&amp;($A541+16/24))</f>
        <v/>
      </c>
      <c r="U541" s="20">
        <f>COUNTIFS(tData[SEHTrajectPeriodeDatumTijdVan],"&lt;="&amp;($A541+17/24),tData[SEHTrajectPeriodeDatumTijdTotEnMet],"&gt;"&amp;($A541+17/24))</f>
        <v/>
      </c>
      <c r="V541" s="20">
        <f>COUNTIFS(tData[SEHTrajectPeriodeDatumTijdVan],"&lt;="&amp;($A541+18/24),tData[SEHTrajectPeriodeDatumTijdTotEnMet],"&gt;"&amp;($A541+18/24))</f>
        <v/>
      </c>
      <c r="W541" s="20">
        <f>COUNTIFS(tData[SEHTrajectPeriodeDatumTijdVan],"&lt;="&amp;($A541+19/24),tData[SEHTrajectPeriodeDatumTijdTotEnMet],"&gt;"&amp;($A541+19/24))</f>
        <v/>
      </c>
      <c r="X541" s="20">
        <f>COUNTIFS(tData[SEHTrajectPeriodeDatumTijdVan],"&lt;="&amp;($A541+20/24),tData[SEHTrajectPeriodeDatumTijdTotEnMet],"&gt;"&amp;($A541+20/24))</f>
        <v/>
      </c>
      <c r="Y541" s="20">
        <f>COUNTIFS(tData[SEHTrajectPeriodeDatumTijdVan],"&lt;="&amp;($A541+21/24),tData[SEHTrajectPeriodeDatumTijdTotEnMet],"&gt;"&amp;($A541+21/24))</f>
        <v/>
      </c>
      <c r="Z541" s="20">
        <f>COUNTIFS(tData[SEHTrajectPeriodeDatumTijdVan],"&lt;="&amp;($A541+22/24),tData[SEHTrajectPeriodeDatumTijdTotEnMet],"&gt;"&amp;($A541+22/24))</f>
        <v/>
      </c>
      <c r="AA541" s="20">
        <f>COUNTIFS(tData[SEHTrajectPeriodeDatumTijdVan],"&lt;="&amp;($A541+23/24),tData[SEHTrajectPeriodeDatumTijdTotEnMet],"&gt;"&amp;($A541+23/24))</f>
        <v/>
      </c>
    </row>
    <row r="542">
      <c r="A542" s="19" t="n">
        <v>45830</v>
      </c>
      <c r="B542" s="15">
        <f>WEEKDAY($A542,2)</f>
        <v/>
      </c>
      <c r="C542" s="15">
        <f>IF(AND($A542&gt;=INT(Instellingen!$B$5),$A542&lt;=INT(Instellingen!$B$6)),1,0)</f>
        <v/>
      </c>
      <c r="D542" s="20">
        <f>COUNTIFS(tData[SEHTrajectPeriodeDatumTijdVan],"&lt;="&amp;($A542+0/24),tData[SEHTrajectPeriodeDatumTijdTotEnMet],"&gt;"&amp;($A542+0/24))</f>
        <v/>
      </c>
      <c r="E542" s="20">
        <f>COUNTIFS(tData[SEHTrajectPeriodeDatumTijdVan],"&lt;="&amp;($A542+1/24),tData[SEHTrajectPeriodeDatumTijdTotEnMet],"&gt;"&amp;($A542+1/24))</f>
        <v/>
      </c>
      <c r="F542" s="20">
        <f>COUNTIFS(tData[SEHTrajectPeriodeDatumTijdVan],"&lt;="&amp;($A542+2/24),tData[SEHTrajectPeriodeDatumTijdTotEnMet],"&gt;"&amp;($A542+2/24))</f>
        <v/>
      </c>
      <c r="G542" s="20">
        <f>COUNTIFS(tData[SEHTrajectPeriodeDatumTijdVan],"&lt;="&amp;($A542+3/24),tData[SEHTrajectPeriodeDatumTijdTotEnMet],"&gt;"&amp;($A542+3/24))</f>
        <v/>
      </c>
      <c r="H542" s="20">
        <f>COUNTIFS(tData[SEHTrajectPeriodeDatumTijdVan],"&lt;="&amp;($A542+4/24),tData[SEHTrajectPeriodeDatumTijdTotEnMet],"&gt;"&amp;($A542+4/24))</f>
        <v/>
      </c>
      <c r="I542" s="20">
        <f>COUNTIFS(tData[SEHTrajectPeriodeDatumTijdVan],"&lt;="&amp;($A542+5/24),tData[SEHTrajectPeriodeDatumTijdTotEnMet],"&gt;"&amp;($A542+5/24))</f>
        <v/>
      </c>
      <c r="J542" s="20">
        <f>COUNTIFS(tData[SEHTrajectPeriodeDatumTijdVan],"&lt;="&amp;($A542+6/24),tData[SEHTrajectPeriodeDatumTijdTotEnMet],"&gt;"&amp;($A542+6/24))</f>
        <v/>
      </c>
      <c r="K542" s="20">
        <f>COUNTIFS(tData[SEHTrajectPeriodeDatumTijdVan],"&lt;="&amp;($A542+7/24),tData[SEHTrajectPeriodeDatumTijdTotEnMet],"&gt;"&amp;($A542+7/24))</f>
        <v/>
      </c>
      <c r="L542" s="20">
        <f>COUNTIFS(tData[SEHTrajectPeriodeDatumTijdVan],"&lt;="&amp;($A542+8/24),tData[SEHTrajectPeriodeDatumTijdTotEnMet],"&gt;"&amp;($A542+8/24))</f>
        <v/>
      </c>
      <c r="M542" s="20">
        <f>COUNTIFS(tData[SEHTrajectPeriodeDatumTijdVan],"&lt;="&amp;($A542+9/24),tData[SEHTrajectPeriodeDatumTijdTotEnMet],"&gt;"&amp;($A542+9/24))</f>
        <v/>
      </c>
      <c r="N542" s="20">
        <f>COUNTIFS(tData[SEHTrajectPeriodeDatumTijdVan],"&lt;="&amp;($A542+10/24),tData[SEHTrajectPeriodeDatumTijdTotEnMet],"&gt;"&amp;($A542+10/24))</f>
        <v/>
      </c>
      <c r="O542" s="20">
        <f>COUNTIFS(tData[SEHTrajectPeriodeDatumTijdVan],"&lt;="&amp;($A542+11/24),tData[SEHTrajectPeriodeDatumTijdTotEnMet],"&gt;"&amp;($A542+11/24))</f>
        <v/>
      </c>
      <c r="P542" s="20">
        <f>COUNTIFS(tData[SEHTrajectPeriodeDatumTijdVan],"&lt;="&amp;($A542+12/24),tData[SEHTrajectPeriodeDatumTijdTotEnMet],"&gt;"&amp;($A542+12/24))</f>
        <v/>
      </c>
      <c r="Q542" s="20">
        <f>COUNTIFS(tData[SEHTrajectPeriodeDatumTijdVan],"&lt;="&amp;($A542+13/24),tData[SEHTrajectPeriodeDatumTijdTotEnMet],"&gt;"&amp;($A542+13/24))</f>
        <v/>
      </c>
      <c r="R542" s="20">
        <f>COUNTIFS(tData[SEHTrajectPeriodeDatumTijdVan],"&lt;="&amp;($A542+14/24),tData[SEHTrajectPeriodeDatumTijdTotEnMet],"&gt;"&amp;($A542+14/24))</f>
        <v/>
      </c>
      <c r="S542" s="20">
        <f>COUNTIFS(tData[SEHTrajectPeriodeDatumTijdVan],"&lt;="&amp;($A542+15/24),tData[SEHTrajectPeriodeDatumTijdTotEnMet],"&gt;"&amp;($A542+15/24))</f>
        <v/>
      </c>
      <c r="T542" s="20">
        <f>COUNTIFS(tData[SEHTrajectPeriodeDatumTijdVan],"&lt;="&amp;($A542+16/24),tData[SEHTrajectPeriodeDatumTijdTotEnMet],"&gt;"&amp;($A542+16/24))</f>
        <v/>
      </c>
      <c r="U542" s="20">
        <f>COUNTIFS(tData[SEHTrajectPeriodeDatumTijdVan],"&lt;="&amp;($A542+17/24),tData[SEHTrajectPeriodeDatumTijdTotEnMet],"&gt;"&amp;($A542+17/24))</f>
        <v/>
      </c>
      <c r="V542" s="20">
        <f>COUNTIFS(tData[SEHTrajectPeriodeDatumTijdVan],"&lt;="&amp;($A542+18/24),tData[SEHTrajectPeriodeDatumTijdTotEnMet],"&gt;"&amp;($A542+18/24))</f>
        <v/>
      </c>
      <c r="W542" s="20">
        <f>COUNTIFS(tData[SEHTrajectPeriodeDatumTijdVan],"&lt;="&amp;($A542+19/24),tData[SEHTrajectPeriodeDatumTijdTotEnMet],"&gt;"&amp;($A542+19/24))</f>
        <v/>
      </c>
      <c r="X542" s="20">
        <f>COUNTIFS(tData[SEHTrajectPeriodeDatumTijdVan],"&lt;="&amp;($A542+20/24),tData[SEHTrajectPeriodeDatumTijdTotEnMet],"&gt;"&amp;($A542+20/24))</f>
        <v/>
      </c>
      <c r="Y542" s="20">
        <f>COUNTIFS(tData[SEHTrajectPeriodeDatumTijdVan],"&lt;="&amp;($A542+21/24),tData[SEHTrajectPeriodeDatumTijdTotEnMet],"&gt;"&amp;($A542+21/24))</f>
        <v/>
      </c>
      <c r="Z542" s="20">
        <f>COUNTIFS(tData[SEHTrajectPeriodeDatumTijdVan],"&lt;="&amp;($A542+22/24),tData[SEHTrajectPeriodeDatumTijdTotEnMet],"&gt;"&amp;($A542+22/24))</f>
        <v/>
      </c>
      <c r="AA542" s="20">
        <f>COUNTIFS(tData[SEHTrajectPeriodeDatumTijdVan],"&lt;="&amp;($A542+23/24),tData[SEHTrajectPeriodeDatumTijdTotEnMet],"&gt;"&amp;($A542+23/24))</f>
        <v/>
      </c>
    </row>
    <row r="543">
      <c r="A543" s="19" t="n">
        <v>45831</v>
      </c>
      <c r="B543" s="15">
        <f>WEEKDAY($A543,2)</f>
        <v/>
      </c>
      <c r="C543" s="15">
        <f>IF(AND($A543&gt;=INT(Instellingen!$B$5),$A543&lt;=INT(Instellingen!$B$6)),1,0)</f>
        <v/>
      </c>
      <c r="D543" s="20">
        <f>COUNTIFS(tData[SEHTrajectPeriodeDatumTijdVan],"&lt;="&amp;($A543+0/24),tData[SEHTrajectPeriodeDatumTijdTotEnMet],"&gt;"&amp;($A543+0/24))</f>
        <v/>
      </c>
      <c r="E543" s="20">
        <f>COUNTIFS(tData[SEHTrajectPeriodeDatumTijdVan],"&lt;="&amp;($A543+1/24),tData[SEHTrajectPeriodeDatumTijdTotEnMet],"&gt;"&amp;($A543+1/24))</f>
        <v/>
      </c>
      <c r="F543" s="20">
        <f>COUNTIFS(tData[SEHTrajectPeriodeDatumTijdVan],"&lt;="&amp;($A543+2/24),tData[SEHTrajectPeriodeDatumTijdTotEnMet],"&gt;"&amp;($A543+2/24))</f>
        <v/>
      </c>
      <c r="G543" s="20">
        <f>COUNTIFS(tData[SEHTrajectPeriodeDatumTijdVan],"&lt;="&amp;($A543+3/24),tData[SEHTrajectPeriodeDatumTijdTotEnMet],"&gt;"&amp;($A543+3/24))</f>
        <v/>
      </c>
      <c r="H543" s="20">
        <f>COUNTIFS(tData[SEHTrajectPeriodeDatumTijdVan],"&lt;="&amp;($A543+4/24),tData[SEHTrajectPeriodeDatumTijdTotEnMet],"&gt;"&amp;($A543+4/24))</f>
        <v/>
      </c>
      <c r="I543" s="20">
        <f>COUNTIFS(tData[SEHTrajectPeriodeDatumTijdVan],"&lt;="&amp;($A543+5/24),tData[SEHTrajectPeriodeDatumTijdTotEnMet],"&gt;"&amp;($A543+5/24))</f>
        <v/>
      </c>
      <c r="J543" s="20">
        <f>COUNTIFS(tData[SEHTrajectPeriodeDatumTijdVan],"&lt;="&amp;($A543+6/24),tData[SEHTrajectPeriodeDatumTijdTotEnMet],"&gt;"&amp;($A543+6/24))</f>
        <v/>
      </c>
      <c r="K543" s="20">
        <f>COUNTIFS(tData[SEHTrajectPeriodeDatumTijdVan],"&lt;="&amp;($A543+7/24),tData[SEHTrajectPeriodeDatumTijdTotEnMet],"&gt;"&amp;($A543+7/24))</f>
        <v/>
      </c>
      <c r="L543" s="20">
        <f>COUNTIFS(tData[SEHTrajectPeriodeDatumTijdVan],"&lt;="&amp;($A543+8/24),tData[SEHTrajectPeriodeDatumTijdTotEnMet],"&gt;"&amp;($A543+8/24))</f>
        <v/>
      </c>
      <c r="M543" s="20">
        <f>COUNTIFS(tData[SEHTrajectPeriodeDatumTijdVan],"&lt;="&amp;($A543+9/24),tData[SEHTrajectPeriodeDatumTijdTotEnMet],"&gt;"&amp;($A543+9/24))</f>
        <v/>
      </c>
      <c r="N543" s="20">
        <f>COUNTIFS(tData[SEHTrajectPeriodeDatumTijdVan],"&lt;="&amp;($A543+10/24),tData[SEHTrajectPeriodeDatumTijdTotEnMet],"&gt;"&amp;($A543+10/24))</f>
        <v/>
      </c>
      <c r="O543" s="20">
        <f>COUNTIFS(tData[SEHTrajectPeriodeDatumTijdVan],"&lt;="&amp;($A543+11/24),tData[SEHTrajectPeriodeDatumTijdTotEnMet],"&gt;"&amp;($A543+11/24))</f>
        <v/>
      </c>
      <c r="P543" s="20">
        <f>COUNTIFS(tData[SEHTrajectPeriodeDatumTijdVan],"&lt;="&amp;($A543+12/24),tData[SEHTrajectPeriodeDatumTijdTotEnMet],"&gt;"&amp;($A543+12/24))</f>
        <v/>
      </c>
      <c r="Q543" s="20">
        <f>COUNTIFS(tData[SEHTrajectPeriodeDatumTijdVan],"&lt;="&amp;($A543+13/24),tData[SEHTrajectPeriodeDatumTijdTotEnMet],"&gt;"&amp;($A543+13/24))</f>
        <v/>
      </c>
      <c r="R543" s="20">
        <f>COUNTIFS(tData[SEHTrajectPeriodeDatumTijdVan],"&lt;="&amp;($A543+14/24),tData[SEHTrajectPeriodeDatumTijdTotEnMet],"&gt;"&amp;($A543+14/24))</f>
        <v/>
      </c>
      <c r="S543" s="20">
        <f>COUNTIFS(tData[SEHTrajectPeriodeDatumTijdVan],"&lt;="&amp;($A543+15/24),tData[SEHTrajectPeriodeDatumTijdTotEnMet],"&gt;"&amp;($A543+15/24))</f>
        <v/>
      </c>
      <c r="T543" s="20">
        <f>COUNTIFS(tData[SEHTrajectPeriodeDatumTijdVan],"&lt;="&amp;($A543+16/24),tData[SEHTrajectPeriodeDatumTijdTotEnMet],"&gt;"&amp;($A543+16/24))</f>
        <v/>
      </c>
      <c r="U543" s="20">
        <f>COUNTIFS(tData[SEHTrajectPeriodeDatumTijdVan],"&lt;="&amp;($A543+17/24),tData[SEHTrajectPeriodeDatumTijdTotEnMet],"&gt;"&amp;($A543+17/24))</f>
        <v/>
      </c>
      <c r="V543" s="20">
        <f>COUNTIFS(tData[SEHTrajectPeriodeDatumTijdVan],"&lt;="&amp;($A543+18/24),tData[SEHTrajectPeriodeDatumTijdTotEnMet],"&gt;"&amp;($A543+18/24))</f>
        <v/>
      </c>
      <c r="W543" s="20">
        <f>COUNTIFS(tData[SEHTrajectPeriodeDatumTijdVan],"&lt;="&amp;($A543+19/24),tData[SEHTrajectPeriodeDatumTijdTotEnMet],"&gt;"&amp;($A543+19/24))</f>
        <v/>
      </c>
      <c r="X543" s="20">
        <f>COUNTIFS(tData[SEHTrajectPeriodeDatumTijdVan],"&lt;="&amp;($A543+20/24),tData[SEHTrajectPeriodeDatumTijdTotEnMet],"&gt;"&amp;($A543+20/24))</f>
        <v/>
      </c>
      <c r="Y543" s="20">
        <f>COUNTIFS(tData[SEHTrajectPeriodeDatumTijdVan],"&lt;="&amp;($A543+21/24),tData[SEHTrajectPeriodeDatumTijdTotEnMet],"&gt;"&amp;($A543+21/24))</f>
        <v/>
      </c>
      <c r="Z543" s="20">
        <f>COUNTIFS(tData[SEHTrajectPeriodeDatumTijdVan],"&lt;="&amp;($A543+22/24),tData[SEHTrajectPeriodeDatumTijdTotEnMet],"&gt;"&amp;($A543+22/24))</f>
        <v/>
      </c>
      <c r="AA543" s="20">
        <f>COUNTIFS(tData[SEHTrajectPeriodeDatumTijdVan],"&lt;="&amp;($A543+23/24),tData[SEHTrajectPeriodeDatumTijdTotEnMet],"&gt;"&amp;($A543+23/24))</f>
        <v/>
      </c>
    </row>
    <row r="544">
      <c r="A544" s="19" t="n">
        <v>45832</v>
      </c>
      <c r="B544" s="15">
        <f>WEEKDAY($A544,2)</f>
        <v/>
      </c>
      <c r="C544" s="15">
        <f>IF(AND($A544&gt;=INT(Instellingen!$B$5),$A544&lt;=INT(Instellingen!$B$6)),1,0)</f>
        <v/>
      </c>
      <c r="D544" s="20">
        <f>COUNTIFS(tData[SEHTrajectPeriodeDatumTijdVan],"&lt;="&amp;($A544+0/24),tData[SEHTrajectPeriodeDatumTijdTotEnMet],"&gt;"&amp;($A544+0/24))</f>
        <v/>
      </c>
      <c r="E544" s="20">
        <f>COUNTIFS(tData[SEHTrajectPeriodeDatumTijdVan],"&lt;="&amp;($A544+1/24),tData[SEHTrajectPeriodeDatumTijdTotEnMet],"&gt;"&amp;($A544+1/24))</f>
        <v/>
      </c>
      <c r="F544" s="20">
        <f>COUNTIFS(tData[SEHTrajectPeriodeDatumTijdVan],"&lt;="&amp;($A544+2/24),tData[SEHTrajectPeriodeDatumTijdTotEnMet],"&gt;"&amp;($A544+2/24))</f>
        <v/>
      </c>
      <c r="G544" s="20">
        <f>COUNTIFS(tData[SEHTrajectPeriodeDatumTijdVan],"&lt;="&amp;($A544+3/24),tData[SEHTrajectPeriodeDatumTijdTotEnMet],"&gt;"&amp;($A544+3/24))</f>
        <v/>
      </c>
      <c r="H544" s="20">
        <f>COUNTIFS(tData[SEHTrajectPeriodeDatumTijdVan],"&lt;="&amp;($A544+4/24),tData[SEHTrajectPeriodeDatumTijdTotEnMet],"&gt;"&amp;($A544+4/24))</f>
        <v/>
      </c>
      <c r="I544" s="20">
        <f>COUNTIFS(tData[SEHTrajectPeriodeDatumTijdVan],"&lt;="&amp;($A544+5/24),tData[SEHTrajectPeriodeDatumTijdTotEnMet],"&gt;"&amp;($A544+5/24))</f>
        <v/>
      </c>
      <c r="J544" s="20">
        <f>COUNTIFS(tData[SEHTrajectPeriodeDatumTijdVan],"&lt;="&amp;($A544+6/24),tData[SEHTrajectPeriodeDatumTijdTotEnMet],"&gt;"&amp;($A544+6/24))</f>
        <v/>
      </c>
      <c r="K544" s="20">
        <f>COUNTIFS(tData[SEHTrajectPeriodeDatumTijdVan],"&lt;="&amp;($A544+7/24),tData[SEHTrajectPeriodeDatumTijdTotEnMet],"&gt;"&amp;($A544+7/24))</f>
        <v/>
      </c>
      <c r="L544" s="20">
        <f>COUNTIFS(tData[SEHTrajectPeriodeDatumTijdVan],"&lt;="&amp;($A544+8/24),tData[SEHTrajectPeriodeDatumTijdTotEnMet],"&gt;"&amp;($A544+8/24))</f>
        <v/>
      </c>
      <c r="M544" s="20">
        <f>COUNTIFS(tData[SEHTrajectPeriodeDatumTijdVan],"&lt;="&amp;($A544+9/24),tData[SEHTrajectPeriodeDatumTijdTotEnMet],"&gt;"&amp;($A544+9/24))</f>
        <v/>
      </c>
      <c r="N544" s="20">
        <f>COUNTIFS(tData[SEHTrajectPeriodeDatumTijdVan],"&lt;="&amp;($A544+10/24),tData[SEHTrajectPeriodeDatumTijdTotEnMet],"&gt;"&amp;($A544+10/24))</f>
        <v/>
      </c>
      <c r="O544" s="20">
        <f>COUNTIFS(tData[SEHTrajectPeriodeDatumTijdVan],"&lt;="&amp;($A544+11/24),tData[SEHTrajectPeriodeDatumTijdTotEnMet],"&gt;"&amp;($A544+11/24))</f>
        <v/>
      </c>
      <c r="P544" s="20">
        <f>COUNTIFS(tData[SEHTrajectPeriodeDatumTijdVan],"&lt;="&amp;($A544+12/24),tData[SEHTrajectPeriodeDatumTijdTotEnMet],"&gt;"&amp;($A544+12/24))</f>
        <v/>
      </c>
      <c r="Q544" s="20">
        <f>COUNTIFS(tData[SEHTrajectPeriodeDatumTijdVan],"&lt;="&amp;($A544+13/24),tData[SEHTrajectPeriodeDatumTijdTotEnMet],"&gt;"&amp;($A544+13/24))</f>
        <v/>
      </c>
      <c r="R544" s="20">
        <f>COUNTIFS(tData[SEHTrajectPeriodeDatumTijdVan],"&lt;="&amp;($A544+14/24),tData[SEHTrajectPeriodeDatumTijdTotEnMet],"&gt;"&amp;($A544+14/24))</f>
        <v/>
      </c>
      <c r="S544" s="20">
        <f>COUNTIFS(tData[SEHTrajectPeriodeDatumTijdVan],"&lt;="&amp;($A544+15/24),tData[SEHTrajectPeriodeDatumTijdTotEnMet],"&gt;"&amp;($A544+15/24))</f>
        <v/>
      </c>
      <c r="T544" s="20">
        <f>COUNTIFS(tData[SEHTrajectPeriodeDatumTijdVan],"&lt;="&amp;($A544+16/24),tData[SEHTrajectPeriodeDatumTijdTotEnMet],"&gt;"&amp;($A544+16/24))</f>
        <v/>
      </c>
      <c r="U544" s="20">
        <f>COUNTIFS(tData[SEHTrajectPeriodeDatumTijdVan],"&lt;="&amp;($A544+17/24),tData[SEHTrajectPeriodeDatumTijdTotEnMet],"&gt;"&amp;($A544+17/24))</f>
        <v/>
      </c>
      <c r="V544" s="20">
        <f>COUNTIFS(tData[SEHTrajectPeriodeDatumTijdVan],"&lt;="&amp;($A544+18/24),tData[SEHTrajectPeriodeDatumTijdTotEnMet],"&gt;"&amp;($A544+18/24))</f>
        <v/>
      </c>
      <c r="W544" s="20">
        <f>COUNTIFS(tData[SEHTrajectPeriodeDatumTijdVan],"&lt;="&amp;($A544+19/24),tData[SEHTrajectPeriodeDatumTijdTotEnMet],"&gt;"&amp;($A544+19/24))</f>
        <v/>
      </c>
      <c r="X544" s="20">
        <f>COUNTIFS(tData[SEHTrajectPeriodeDatumTijdVan],"&lt;="&amp;($A544+20/24),tData[SEHTrajectPeriodeDatumTijdTotEnMet],"&gt;"&amp;($A544+20/24))</f>
        <v/>
      </c>
      <c r="Y544" s="20">
        <f>COUNTIFS(tData[SEHTrajectPeriodeDatumTijdVan],"&lt;="&amp;($A544+21/24),tData[SEHTrajectPeriodeDatumTijdTotEnMet],"&gt;"&amp;($A544+21/24))</f>
        <v/>
      </c>
      <c r="Z544" s="20">
        <f>COUNTIFS(tData[SEHTrajectPeriodeDatumTijdVan],"&lt;="&amp;($A544+22/24),tData[SEHTrajectPeriodeDatumTijdTotEnMet],"&gt;"&amp;($A544+22/24))</f>
        <v/>
      </c>
      <c r="AA544" s="20">
        <f>COUNTIFS(tData[SEHTrajectPeriodeDatumTijdVan],"&lt;="&amp;($A544+23/24),tData[SEHTrajectPeriodeDatumTijdTotEnMet],"&gt;"&amp;($A544+23/24))</f>
        <v/>
      </c>
    </row>
    <row r="545">
      <c r="A545" s="19" t="n">
        <v>45833</v>
      </c>
      <c r="B545" s="15">
        <f>WEEKDAY($A545,2)</f>
        <v/>
      </c>
      <c r="C545" s="15">
        <f>IF(AND($A545&gt;=INT(Instellingen!$B$5),$A545&lt;=INT(Instellingen!$B$6)),1,0)</f>
        <v/>
      </c>
      <c r="D545" s="20">
        <f>COUNTIFS(tData[SEHTrajectPeriodeDatumTijdVan],"&lt;="&amp;($A545+0/24),tData[SEHTrajectPeriodeDatumTijdTotEnMet],"&gt;"&amp;($A545+0/24))</f>
        <v/>
      </c>
      <c r="E545" s="20">
        <f>COUNTIFS(tData[SEHTrajectPeriodeDatumTijdVan],"&lt;="&amp;($A545+1/24),tData[SEHTrajectPeriodeDatumTijdTotEnMet],"&gt;"&amp;($A545+1/24))</f>
        <v/>
      </c>
      <c r="F545" s="20">
        <f>COUNTIFS(tData[SEHTrajectPeriodeDatumTijdVan],"&lt;="&amp;($A545+2/24),tData[SEHTrajectPeriodeDatumTijdTotEnMet],"&gt;"&amp;($A545+2/24))</f>
        <v/>
      </c>
      <c r="G545" s="20">
        <f>COUNTIFS(tData[SEHTrajectPeriodeDatumTijdVan],"&lt;="&amp;($A545+3/24),tData[SEHTrajectPeriodeDatumTijdTotEnMet],"&gt;"&amp;($A545+3/24))</f>
        <v/>
      </c>
      <c r="H545" s="20">
        <f>COUNTIFS(tData[SEHTrajectPeriodeDatumTijdVan],"&lt;="&amp;($A545+4/24),tData[SEHTrajectPeriodeDatumTijdTotEnMet],"&gt;"&amp;($A545+4/24))</f>
        <v/>
      </c>
      <c r="I545" s="20">
        <f>COUNTIFS(tData[SEHTrajectPeriodeDatumTijdVan],"&lt;="&amp;($A545+5/24),tData[SEHTrajectPeriodeDatumTijdTotEnMet],"&gt;"&amp;($A545+5/24))</f>
        <v/>
      </c>
      <c r="J545" s="20">
        <f>COUNTIFS(tData[SEHTrajectPeriodeDatumTijdVan],"&lt;="&amp;($A545+6/24),tData[SEHTrajectPeriodeDatumTijdTotEnMet],"&gt;"&amp;($A545+6/24))</f>
        <v/>
      </c>
      <c r="K545" s="20">
        <f>COUNTIFS(tData[SEHTrajectPeriodeDatumTijdVan],"&lt;="&amp;($A545+7/24),tData[SEHTrajectPeriodeDatumTijdTotEnMet],"&gt;"&amp;($A545+7/24))</f>
        <v/>
      </c>
      <c r="L545" s="20">
        <f>COUNTIFS(tData[SEHTrajectPeriodeDatumTijdVan],"&lt;="&amp;($A545+8/24),tData[SEHTrajectPeriodeDatumTijdTotEnMet],"&gt;"&amp;($A545+8/24))</f>
        <v/>
      </c>
      <c r="M545" s="20">
        <f>COUNTIFS(tData[SEHTrajectPeriodeDatumTijdVan],"&lt;="&amp;($A545+9/24),tData[SEHTrajectPeriodeDatumTijdTotEnMet],"&gt;"&amp;($A545+9/24))</f>
        <v/>
      </c>
      <c r="N545" s="20">
        <f>COUNTIFS(tData[SEHTrajectPeriodeDatumTijdVan],"&lt;="&amp;($A545+10/24),tData[SEHTrajectPeriodeDatumTijdTotEnMet],"&gt;"&amp;($A545+10/24))</f>
        <v/>
      </c>
      <c r="O545" s="20">
        <f>COUNTIFS(tData[SEHTrajectPeriodeDatumTijdVan],"&lt;="&amp;($A545+11/24),tData[SEHTrajectPeriodeDatumTijdTotEnMet],"&gt;"&amp;($A545+11/24))</f>
        <v/>
      </c>
      <c r="P545" s="20">
        <f>COUNTIFS(tData[SEHTrajectPeriodeDatumTijdVan],"&lt;="&amp;($A545+12/24),tData[SEHTrajectPeriodeDatumTijdTotEnMet],"&gt;"&amp;($A545+12/24))</f>
        <v/>
      </c>
      <c r="Q545" s="20">
        <f>COUNTIFS(tData[SEHTrajectPeriodeDatumTijdVan],"&lt;="&amp;($A545+13/24),tData[SEHTrajectPeriodeDatumTijdTotEnMet],"&gt;"&amp;($A545+13/24))</f>
        <v/>
      </c>
      <c r="R545" s="20">
        <f>COUNTIFS(tData[SEHTrajectPeriodeDatumTijdVan],"&lt;="&amp;($A545+14/24),tData[SEHTrajectPeriodeDatumTijdTotEnMet],"&gt;"&amp;($A545+14/24))</f>
        <v/>
      </c>
      <c r="S545" s="20">
        <f>COUNTIFS(tData[SEHTrajectPeriodeDatumTijdVan],"&lt;="&amp;($A545+15/24),tData[SEHTrajectPeriodeDatumTijdTotEnMet],"&gt;"&amp;($A545+15/24))</f>
        <v/>
      </c>
      <c r="T545" s="20">
        <f>COUNTIFS(tData[SEHTrajectPeriodeDatumTijdVan],"&lt;="&amp;($A545+16/24),tData[SEHTrajectPeriodeDatumTijdTotEnMet],"&gt;"&amp;($A545+16/24))</f>
        <v/>
      </c>
      <c r="U545" s="20">
        <f>COUNTIFS(tData[SEHTrajectPeriodeDatumTijdVan],"&lt;="&amp;($A545+17/24),tData[SEHTrajectPeriodeDatumTijdTotEnMet],"&gt;"&amp;($A545+17/24))</f>
        <v/>
      </c>
      <c r="V545" s="20">
        <f>COUNTIFS(tData[SEHTrajectPeriodeDatumTijdVan],"&lt;="&amp;($A545+18/24),tData[SEHTrajectPeriodeDatumTijdTotEnMet],"&gt;"&amp;($A545+18/24))</f>
        <v/>
      </c>
      <c r="W545" s="20">
        <f>COUNTIFS(tData[SEHTrajectPeriodeDatumTijdVan],"&lt;="&amp;($A545+19/24),tData[SEHTrajectPeriodeDatumTijdTotEnMet],"&gt;"&amp;($A545+19/24))</f>
        <v/>
      </c>
      <c r="X545" s="20">
        <f>COUNTIFS(tData[SEHTrajectPeriodeDatumTijdVan],"&lt;="&amp;($A545+20/24),tData[SEHTrajectPeriodeDatumTijdTotEnMet],"&gt;"&amp;($A545+20/24))</f>
        <v/>
      </c>
      <c r="Y545" s="20">
        <f>COUNTIFS(tData[SEHTrajectPeriodeDatumTijdVan],"&lt;="&amp;($A545+21/24),tData[SEHTrajectPeriodeDatumTijdTotEnMet],"&gt;"&amp;($A545+21/24))</f>
        <v/>
      </c>
      <c r="Z545" s="20">
        <f>COUNTIFS(tData[SEHTrajectPeriodeDatumTijdVan],"&lt;="&amp;($A545+22/24),tData[SEHTrajectPeriodeDatumTijdTotEnMet],"&gt;"&amp;($A545+22/24))</f>
        <v/>
      </c>
      <c r="AA545" s="20">
        <f>COUNTIFS(tData[SEHTrajectPeriodeDatumTijdVan],"&lt;="&amp;($A545+23/24),tData[SEHTrajectPeriodeDatumTijdTotEnMet],"&gt;"&amp;($A545+23/24))</f>
        <v/>
      </c>
    </row>
    <row r="546">
      <c r="A546" s="19" t="n">
        <v>45834</v>
      </c>
      <c r="B546" s="15">
        <f>WEEKDAY($A546,2)</f>
        <v/>
      </c>
      <c r="C546" s="15">
        <f>IF(AND($A546&gt;=INT(Instellingen!$B$5),$A546&lt;=INT(Instellingen!$B$6)),1,0)</f>
        <v/>
      </c>
      <c r="D546" s="20">
        <f>COUNTIFS(tData[SEHTrajectPeriodeDatumTijdVan],"&lt;="&amp;($A546+0/24),tData[SEHTrajectPeriodeDatumTijdTotEnMet],"&gt;"&amp;($A546+0/24))</f>
        <v/>
      </c>
      <c r="E546" s="20">
        <f>COUNTIFS(tData[SEHTrajectPeriodeDatumTijdVan],"&lt;="&amp;($A546+1/24),tData[SEHTrajectPeriodeDatumTijdTotEnMet],"&gt;"&amp;($A546+1/24))</f>
        <v/>
      </c>
      <c r="F546" s="20">
        <f>COUNTIFS(tData[SEHTrajectPeriodeDatumTijdVan],"&lt;="&amp;($A546+2/24),tData[SEHTrajectPeriodeDatumTijdTotEnMet],"&gt;"&amp;($A546+2/24))</f>
        <v/>
      </c>
      <c r="G546" s="20">
        <f>COUNTIFS(tData[SEHTrajectPeriodeDatumTijdVan],"&lt;="&amp;($A546+3/24),tData[SEHTrajectPeriodeDatumTijdTotEnMet],"&gt;"&amp;($A546+3/24))</f>
        <v/>
      </c>
      <c r="H546" s="20">
        <f>COUNTIFS(tData[SEHTrajectPeriodeDatumTijdVan],"&lt;="&amp;($A546+4/24),tData[SEHTrajectPeriodeDatumTijdTotEnMet],"&gt;"&amp;($A546+4/24))</f>
        <v/>
      </c>
      <c r="I546" s="20">
        <f>COUNTIFS(tData[SEHTrajectPeriodeDatumTijdVan],"&lt;="&amp;($A546+5/24),tData[SEHTrajectPeriodeDatumTijdTotEnMet],"&gt;"&amp;($A546+5/24))</f>
        <v/>
      </c>
      <c r="J546" s="20">
        <f>COUNTIFS(tData[SEHTrajectPeriodeDatumTijdVan],"&lt;="&amp;($A546+6/24),tData[SEHTrajectPeriodeDatumTijdTotEnMet],"&gt;"&amp;($A546+6/24))</f>
        <v/>
      </c>
      <c r="K546" s="20">
        <f>COUNTIFS(tData[SEHTrajectPeriodeDatumTijdVan],"&lt;="&amp;($A546+7/24),tData[SEHTrajectPeriodeDatumTijdTotEnMet],"&gt;"&amp;($A546+7/24))</f>
        <v/>
      </c>
      <c r="L546" s="20">
        <f>COUNTIFS(tData[SEHTrajectPeriodeDatumTijdVan],"&lt;="&amp;($A546+8/24),tData[SEHTrajectPeriodeDatumTijdTotEnMet],"&gt;"&amp;($A546+8/24))</f>
        <v/>
      </c>
      <c r="M546" s="20">
        <f>COUNTIFS(tData[SEHTrajectPeriodeDatumTijdVan],"&lt;="&amp;($A546+9/24),tData[SEHTrajectPeriodeDatumTijdTotEnMet],"&gt;"&amp;($A546+9/24))</f>
        <v/>
      </c>
      <c r="N546" s="20">
        <f>COUNTIFS(tData[SEHTrajectPeriodeDatumTijdVan],"&lt;="&amp;($A546+10/24),tData[SEHTrajectPeriodeDatumTijdTotEnMet],"&gt;"&amp;($A546+10/24))</f>
        <v/>
      </c>
      <c r="O546" s="20">
        <f>COUNTIFS(tData[SEHTrajectPeriodeDatumTijdVan],"&lt;="&amp;($A546+11/24),tData[SEHTrajectPeriodeDatumTijdTotEnMet],"&gt;"&amp;($A546+11/24))</f>
        <v/>
      </c>
      <c r="P546" s="20">
        <f>COUNTIFS(tData[SEHTrajectPeriodeDatumTijdVan],"&lt;="&amp;($A546+12/24),tData[SEHTrajectPeriodeDatumTijdTotEnMet],"&gt;"&amp;($A546+12/24))</f>
        <v/>
      </c>
      <c r="Q546" s="20">
        <f>COUNTIFS(tData[SEHTrajectPeriodeDatumTijdVan],"&lt;="&amp;($A546+13/24),tData[SEHTrajectPeriodeDatumTijdTotEnMet],"&gt;"&amp;($A546+13/24))</f>
        <v/>
      </c>
      <c r="R546" s="20">
        <f>COUNTIFS(tData[SEHTrajectPeriodeDatumTijdVan],"&lt;="&amp;($A546+14/24),tData[SEHTrajectPeriodeDatumTijdTotEnMet],"&gt;"&amp;($A546+14/24))</f>
        <v/>
      </c>
      <c r="S546" s="20">
        <f>COUNTIFS(tData[SEHTrajectPeriodeDatumTijdVan],"&lt;="&amp;($A546+15/24),tData[SEHTrajectPeriodeDatumTijdTotEnMet],"&gt;"&amp;($A546+15/24))</f>
        <v/>
      </c>
      <c r="T546" s="20">
        <f>COUNTIFS(tData[SEHTrajectPeriodeDatumTijdVan],"&lt;="&amp;($A546+16/24),tData[SEHTrajectPeriodeDatumTijdTotEnMet],"&gt;"&amp;($A546+16/24))</f>
        <v/>
      </c>
      <c r="U546" s="20">
        <f>COUNTIFS(tData[SEHTrajectPeriodeDatumTijdVan],"&lt;="&amp;($A546+17/24),tData[SEHTrajectPeriodeDatumTijdTotEnMet],"&gt;"&amp;($A546+17/24))</f>
        <v/>
      </c>
      <c r="V546" s="20">
        <f>COUNTIFS(tData[SEHTrajectPeriodeDatumTijdVan],"&lt;="&amp;($A546+18/24),tData[SEHTrajectPeriodeDatumTijdTotEnMet],"&gt;"&amp;($A546+18/24))</f>
        <v/>
      </c>
      <c r="W546" s="20">
        <f>COUNTIFS(tData[SEHTrajectPeriodeDatumTijdVan],"&lt;="&amp;($A546+19/24),tData[SEHTrajectPeriodeDatumTijdTotEnMet],"&gt;"&amp;($A546+19/24))</f>
        <v/>
      </c>
      <c r="X546" s="20">
        <f>COUNTIFS(tData[SEHTrajectPeriodeDatumTijdVan],"&lt;="&amp;($A546+20/24),tData[SEHTrajectPeriodeDatumTijdTotEnMet],"&gt;"&amp;($A546+20/24))</f>
        <v/>
      </c>
      <c r="Y546" s="20">
        <f>COUNTIFS(tData[SEHTrajectPeriodeDatumTijdVan],"&lt;="&amp;($A546+21/24),tData[SEHTrajectPeriodeDatumTijdTotEnMet],"&gt;"&amp;($A546+21/24))</f>
        <v/>
      </c>
      <c r="Z546" s="20">
        <f>COUNTIFS(tData[SEHTrajectPeriodeDatumTijdVan],"&lt;="&amp;($A546+22/24),tData[SEHTrajectPeriodeDatumTijdTotEnMet],"&gt;"&amp;($A546+22/24))</f>
        <v/>
      </c>
      <c r="AA546" s="20">
        <f>COUNTIFS(tData[SEHTrajectPeriodeDatumTijdVan],"&lt;="&amp;($A546+23/24),tData[SEHTrajectPeriodeDatumTijdTotEnMet],"&gt;"&amp;($A546+23/24))</f>
        <v/>
      </c>
    </row>
    <row r="547">
      <c r="A547" s="19" t="n">
        <v>45835</v>
      </c>
      <c r="B547" s="15">
        <f>WEEKDAY($A547,2)</f>
        <v/>
      </c>
      <c r="C547" s="15">
        <f>IF(AND($A547&gt;=INT(Instellingen!$B$5),$A547&lt;=INT(Instellingen!$B$6)),1,0)</f>
        <v/>
      </c>
      <c r="D547" s="20">
        <f>COUNTIFS(tData[SEHTrajectPeriodeDatumTijdVan],"&lt;="&amp;($A547+0/24),tData[SEHTrajectPeriodeDatumTijdTotEnMet],"&gt;"&amp;($A547+0/24))</f>
        <v/>
      </c>
      <c r="E547" s="20">
        <f>COUNTIFS(tData[SEHTrajectPeriodeDatumTijdVan],"&lt;="&amp;($A547+1/24),tData[SEHTrajectPeriodeDatumTijdTotEnMet],"&gt;"&amp;($A547+1/24))</f>
        <v/>
      </c>
      <c r="F547" s="20">
        <f>COUNTIFS(tData[SEHTrajectPeriodeDatumTijdVan],"&lt;="&amp;($A547+2/24),tData[SEHTrajectPeriodeDatumTijdTotEnMet],"&gt;"&amp;($A547+2/24))</f>
        <v/>
      </c>
      <c r="G547" s="20">
        <f>COUNTIFS(tData[SEHTrajectPeriodeDatumTijdVan],"&lt;="&amp;($A547+3/24),tData[SEHTrajectPeriodeDatumTijdTotEnMet],"&gt;"&amp;($A547+3/24))</f>
        <v/>
      </c>
      <c r="H547" s="20">
        <f>COUNTIFS(tData[SEHTrajectPeriodeDatumTijdVan],"&lt;="&amp;($A547+4/24),tData[SEHTrajectPeriodeDatumTijdTotEnMet],"&gt;"&amp;($A547+4/24))</f>
        <v/>
      </c>
      <c r="I547" s="20">
        <f>COUNTIFS(tData[SEHTrajectPeriodeDatumTijdVan],"&lt;="&amp;($A547+5/24),tData[SEHTrajectPeriodeDatumTijdTotEnMet],"&gt;"&amp;($A547+5/24))</f>
        <v/>
      </c>
      <c r="J547" s="20">
        <f>COUNTIFS(tData[SEHTrajectPeriodeDatumTijdVan],"&lt;="&amp;($A547+6/24),tData[SEHTrajectPeriodeDatumTijdTotEnMet],"&gt;"&amp;($A547+6/24))</f>
        <v/>
      </c>
      <c r="K547" s="20">
        <f>COUNTIFS(tData[SEHTrajectPeriodeDatumTijdVan],"&lt;="&amp;($A547+7/24),tData[SEHTrajectPeriodeDatumTijdTotEnMet],"&gt;"&amp;($A547+7/24))</f>
        <v/>
      </c>
      <c r="L547" s="20">
        <f>COUNTIFS(tData[SEHTrajectPeriodeDatumTijdVan],"&lt;="&amp;($A547+8/24),tData[SEHTrajectPeriodeDatumTijdTotEnMet],"&gt;"&amp;($A547+8/24))</f>
        <v/>
      </c>
      <c r="M547" s="20">
        <f>COUNTIFS(tData[SEHTrajectPeriodeDatumTijdVan],"&lt;="&amp;($A547+9/24),tData[SEHTrajectPeriodeDatumTijdTotEnMet],"&gt;"&amp;($A547+9/24))</f>
        <v/>
      </c>
      <c r="N547" s="20">
        <f>COUNTIFS(tData[SEHTrajectPeriodeDatumTijdVan],"&lt;="&amp;($A547+10/24),tData[SEHTrajectPeriodeDatumTijdTotEnMet],"&gt;"&amp;($A547+10/24))</f>
        <v/>
      </c>
      <c r="O547" s="20">
        <f>COUNTIFS(tData[SEHTrajectPeriodeDatumTijdVan],"&lt;="&amp;($A547+11/24),tData[SEHTrajectPeriodeDatumTijdTotEnMet],"&gt;"&amp;($A547+11/24))</f>
        <v/>
      </c>
      <c r="P547" s="20">
        <f>COUNTIFS(tData[SEHTrajectPeriodeDatumTijdVan],"&lt;="&amp;($A547+12/24),tData[SEHTrajectPeriodeDatumTijdTotEnMet],"&gt;"&amp;($A547+12/24))</f>
        <v/>
      </c>
      <c r="Q547" s="20">
        <f>COUNTIFS(tData[SEHTrajectPeriodeDatumTijdVan],"&lt;="&amp;($A547+13/24),tData[SEHTrajectPeriodeDatumTijdTotEnMet],"&gt;"&amp;($A547+13/24))</f>
        <v/>
      </c>
      <c r="R547" s="20">
        <f>COUNTIFS(tData[SEHTrajectPeriodeDatumTijdVan],"&lt;="&amp;($A547+14/24),tData[SEHTrajectPeriodeDatumTijdTotEnMet],"&gt;"&amp;($A547+14/24))</f>
        <v/>
      </c>
      <c r="S547" s="20">
        <f>COUNTIFS(tData[SEHTrajectPeriodeDatumTijdVan],"&lt;="&amp;($A547+15/24),tData[SEHTrajectPeriodeDatumTijdTotEnMet],"&gt;"&amp;($A547+15/24))</f>
        <v/>
      </c>
      <c r="T547" s="20">
        <f>COUNTIFS(tData[SEHTrajectPeriodeDatumTijdVan],"&lt;="&amp;($A547+16/24),tData[SEHTrajectPeriodeDatumTijdTotEnMet],"&gt;"&amp;($A547+16/24))</f>
        <v/>
      </c>
      <c r="U547" s="20">
        <f>COUNTIFS(tData[SEHTrajectPeriodeDatumTijdVan],"&lt;="&amp;($A547+17/24),tData[SEHTrajectPeriodeDatumTijdTotEnMet],"&gt;"&amp;($A547+17/24))</f>
        <v/>
      </c>
      <c r="V547" s="20">
        <f>COUNTIFS(tData[SEHTrajectPeriodeDatumTijdVan],"&lt;="&amp;($A547+18/24),tData[SEHTrajectPeriodeDatumTijdTotEnMet],"&gt;"&amp;($A547+18/24))</f>
        <v/>
      </c>
      <c r="W547" s="20">
        <f>COUNTIFS(tData[SEHTrajectPeriodeDatumTijdVan],"&lt;="&amp;($A547+19/24),tData[SEHTrajectPeriodeDatumTijdTotEnMet],"&gt;"&amp;($A547+19/24))</f>
        <v/>
      </c>
      <c r="X547" s="20">
        <f>COUNTIFS(tData[SEHTrajectPeriodeDatumTijdVan],"&lt;="&amp;($A547+20/24),tData[SEHTrajectPeriodeDatumTijdTotEnMet],"&gt;"&amp;($A547+20/24))</f>
        <v/>
      </c>
      <c r="Y547" s="20">
        <f>COUNTIFS(tData[SEHTrajectPeriodeDatumTijdVan],"&lt;="&amp;($A547+21/24),tData[SEHTrajectPeriodeDatumTijdTotEnMet],"&gt;"&amp;($A547+21/24))</f>
        <v/>
      </c>
      <c r="Z547" s="20">
        <f>COUNTIFS(tData[SEHTrajectPeriodeDatumTijdVan],"&lt;="&amp;($A547+22/24),tData[SEHTrajectPeriodeDatumTijdTotEnMet],"&gt;"&amp;($A547+22/24))</f>
        <v/>
      </c>
      <c r="AA547" s="20">
        <f>COUNTIFS(tData[SEHTrajectPeriodeDatumTijdVan],"&lt;="&amp;($A547+23/24),tData[SEHTrajectPeriodeDatumTijdTotEnMet],"&gt;"&amp;($A547+23/24))</f>
        <v/>
      </c>
    </row>
    <row r="548">
      <c r="A548" s="19" t="n">
        <v>45836</v>
      </c>
      <c r="B548" s="15">
        <f>WEEKDAY($A548,2)</f>
        <v/>
      </c>
      <c r="C548" s="15">
        <f>IF(AND($A548&gt;=INT(Instellingen!$B$5),$A548&lt;=INT(Instellingen!$B$6)),1,0)</f>
        <v/>
      </c>
      <c r="D548" s="20">
        <f>COUNTIFS(tData[SEHTrajectPeriodeDatumTijdVan],"&lt;="&amp;($A548+0/24),tData[SEHTrajectPeriodeDatumTijdTotEnMet],"&gt;"&amp;($A548+0/24))</f>
        <v/>
      </c>
      <c r="E548" s="20">
        <f>COUNTIFS(tData[SEHTrajectPeriodeDatumTijdVan],"&lt;="&amp;($A548+1/24),tData[SEHTrajectPeriodeDatumTijdTotEnMet],"&gt;"&amp;($A548+1/24))</f>
        <v/>
      </c>
      <c r="F548" s="20">
        <f>COUNTIFS(tData[SEHTrajectPeriodeDatumTijdVan],"&lt;="&amp;($A548+2/24),tData[SEHTrajectPeriodeDatumTijdTotEnMet],"&gt;"&amp;($A548+2/24))</f>
        <v/>
      </c>
      <c r="G548" s="20">
        <f>COUNTIFS(tData[SEHTrajectPeriodeDatumTijdVan],"&lt;="&amp;($A548+3/24),tData[SEHTrajectPeriodeDatumTijdTotEnMet],"&gt;"&amp;($A548+3/24))</f>
        <v/>
      </c>
      <c r="H548" s="20">
        <f>COUNTIFS(tData[SEHTrajectPeriodeDatumTijdVan],"&lt;="&amp;($A548+4/24),tData[SEHTrajectPeriodeDatumTijdTotEnMet],"&gt;"&amp;($A548+4/24))</f>
        <v/>
      </c>
      <c r="I548" s="20">
        <f>COUNTIFS(tData[SEHTrajectPeriodeDatumTijdVan],"&lt;="&amp;($A548+5/24),tData[SEHTrajectPeriodeDatumTijdTotEnMet],"&gt;"&amp;($A548+5/24))</f>
        <v/>
      </c>
      <c r="J548" s="20">
        <f>COUNTIFS(tData[SEHTrajectPeriodeDatumTijdVan],"&lt;="&amp;($A548+6/24),tData[SEHTrajectPeriodeDatumTijdTotEnMet],"&gt;"&amp;($A548+6/24))</f>
        <v/>
      </c>
      <c r="K548" s="20">
        <f>COUNTIFS(tData[SEHTrajectPeriodeDatumTijdVan],"&lt;="&amp;($A548+7/24),tData[SEHTrajectPeriodeDatumTijdTotEnMet],"&gt;"&amp;($A548+7/24))</f>
        <v/>
      </c>
      <c r="L548" s="20">
        <f>COUNTIFS(tData[SEHTrajectPeriodeDatumTijdVan],"&lt;="&amp;($A548+8/24),tData[SEHTrajectPeriodeDatumTijdTotEnMet],"&gt;"&amp;($A548+8/24))</f>
        <v/>
      </c>
      <c r="M548" s="20">
        <f>COUNTIFS(tData[SEHTrajectPeriodeDatumTijdVan],"&lt;="&amp;($A548+9/24),tData[SEHTrajectPeriodeDatumTijdTotEnMet],"&gt;"&amp;($A548+9/24))</f>
        <v/>
      </c>
      <c r="N548" s="20">
        <f>COUNTIFS(tData[SEHTrajectPeriodeDatumTijdVan],"&lt;="&amp;($A548+10/24),tData[SEHTrajectPeriodeDatumTijdTotEnMet],"&gt;"&amp;($A548+10/24))</f>
        <v/>
      </c>
      <c r="O548" s="20">
        <f>COUNTIFS(tData[SEHTrajectPeriodeDatumTijdVan],"&lt;="&amp;($A548+11/24),tData[SEHTrajectPeriodeDatumTijdTotEnMet],"&gt;"&amp;($A548+11/24))</f>
        <v/>
      </c>
      <c r="P548" s="20">
        <f>COUNTIFS(tData[SEHTrajectPeriodeDatumTijdVan],"&lt;="&amp;($A548+12/24),tData[SEHTrajectPeriodeDatumTijdTotEnMet],"&gt;"&amp;($A548+12/24))</f>
        <v/>
      </c>
      <c r="Q548" s="20">
        <f>COUNTIFS(tData[SEHTrajectPeriodeDatumTijdVan],"&lt;="&amp;($A548+13/24),tData[SEHTrajectPeriodeDatumTijdTotEnMet],"&gt;"&amp;($A548+13/24))</f>
        <v/>
      </c>
      <c r="R548" s="20">
        <f>COUNTIFS(tData[SEHTrajectPeriodeDatumTijdVan],"&lt;="&amp;($A548+14/24),tData[SEHTrajectPeriodeDatumTijdTotEnMet],"&gt;"&amp;($A548+14/24))</f>
        <v/>
      </c>
      <c r="S548" s="20">
        <f>COUNTIFS(tData[SEHTrajectPeriodeDatumTijdVan],"&lt;="&amp;($A548+15/24),tData[SEHTrajectPeriodeDatumTijdTotEnMet],"&gt;"&amp;($A548+15/24))</f>
        <v/>
      </c>
      <c r="T548" s="20">
        <f>COUNTIFS(tData[SEHTrajectPeriodeDatumTijdVan],"&lt;="&amp;($A548+16/24),tData[SEHTrajectPeriodeDatumTijdTotEnMet],"&gt;"&amp;($A548+16/24))</f>
        <v/>
      </c>
      <c r="U548" s="20">
        <f>COUNTIFS(tData[SEHTrajectPeriodeDatumTijdVan],"&lt;="&amp;($A548+17/24),tData[SEHTrajectPeriodeDatumTijdTotEnMet],"&gt;"&amp;($A548+17/24))</f>
        <v/>
      </c>
      <c r="V548" s="20">
        <f>COUNTIFS(tData[SEHTrajectPeriodeDatumTijdVan],"&lt;="&amp;($A548+18/24),tData[SEHTrajectPeriodeDatumTijdTotEnMet],"&gt;"&amp;($A548+18/24))</f>
        <v/>
      </c>
      <c r="W548" s="20">
        <f>COUNTIFS(tData[SEHTrajectPeriodeDatumTijdVan],"&lt;="&amp;($A548+19/24),tData[SEHTrajectPeriodeDatumTijdTotEnMet],"&gt;"&amp;($A548+19/24))</f>
        <v/>
      </c>
      <c r="X548" s="20">
        <f>COUNTIFS(tData[SEHTrajectPeriodeDatumTijdVan],"&lt;="&amp;($A548+20/24),tData[SEHTrajectPeriodeDatumTijdTotEnMet],"&gt;"&amp;($A548+20/24))</f>
        <v/>
      </c>
      <c r="Y548" s="20">
        <f>COUNTIFS(tData[SEHTrajectPeriodeDatumTijdVan],"&lt;="&amp;($A548+21/24),tData[SEHTrajectPeriodeDatumTijdTotEnMet],"&gt;"&amp;($A548+21/24))</f>
        <v/>
      </c>
      <c r="Z548" s="20">
        <f>COUNTIFS(tData[SEHTrajectPeriodeDatumTijdVan],"&lt;="&amp;($A548+22/24),tData[SEHTrajectPeriodeDatumTijdTotEnMet],"&gt;"&amp;($A548+22/24))</f>
        <v/>
      </c>
      <c r="AA548" s="20">
        <f>COUNTIFS(tData[SEHTrajectPeriodeDatumTijdVan],"&lt;="&amp;($A548+23/24),tData[SEHTrajectPeriodeDatumTijdTotEnMet],"&gt;"&amp;($A548+23/24))</f>
        <v/>
      </c>
    </row>
    <row r="549">
      <c r="A549" s="19" t="n">
        <v>45837</v>
      </c>
      <c r="B549" s="15">
        <f>WEEKDAY($A549,2)</f>
        <v/>
      </c>
      <c r="C549" s="15">
        <f>IF(AND($A549&gt;=INT(Instellingen!$B$5),$A549&lt;=INT(Instellingen!$B$6)),1,0)</f>
        <v/>
      </c>
      <c r="D549" s="20">
        <f>COUNTIFS(tData[SEHTrajectPeriodeDatumTijdVan],"&lt;="&amp;($A549+0/24),tData[SEHTrajectPeriodeDatumTijdTotEnMet],"&gt;"&amp;($A549+0/24))</f>
        <v/>
      </c>
      <c r="E549" s="20">
        <f>COUNTIFS(tData[SEHTrajectPeriodeDatumTijdVan],"&lt;="&amp;($A549+1/24),tData[SEHTrajectPeriodeDatumTijdTotEnMet],"&gt;"&amp;($A549+1/24))</f>
        <v/>
      </c>
      <c r="F549" s="20">
        <f>COUNTIFS(tData[SEHTrajectPeriodeDatumTijdVan],"&lt;="&amp;($A549+2/24),tData[SEHTrajectPeriodeDatumTijdTotEnMet],"&gt;"&amp;($A549+2/24))</f>
        <v/>
      </c>
      <c r="G549" s="20">
        <f>COUNTIFS(tData[SEHTrajectPeriodeDatumTijdVan],"&lt;="&amp;($A549+3/24),tData[SEHTrajectPeriodeDatumTijdTotEnMet],"&gt;"&amp;($A549+3/24))</f>
        <v/>
      </c>
      <c r="H549" s="20">
        <f>COUNTIFS(tData[SEHTrajectPeriodeDatumTijdVan],"&lt;="&amp;($A549+4/24),tData[SEHTrajectPeriodeDatumTijdTotEnMet],"&gt;"&amp;($A549+4/24))</f>
        <v/>
      </c>
      <c r="I549" s="20">
        <f>COUNTIFS(tData[SEHTrajectPeriodeDatumTijdVan],"&lt;="&amp;($A549+5/24),tData[SEHTrajectPeriodeDatumTijdTotEnMet],"&gt;"&amp;($A549+5/24))</f>
        <v/>
      </c>
      <c r="J549" s="20">
        <f>COUNTIFS(tData[SEHTrajectPeriodeDatumTijdVan],"&lt;="&amp;($A549+6/24),tData[SEHTrajectPeriodeDatumTijdTotEnMet],"&gt;"&amp;($A549+6/24))</f>
        <v/>
      </c>
      <c r="K549" s="20">
        <f>COUNTIFS(tData[SEHTrajectPeriodeDatumTijdVan],"&lt;="&amp;($A549+7/24),tData[SEHTrajectPeriodeDatumTijdTotEnMet],"&gt;"&amp;($A549+7/24))</f>
        <v/>
      </c>
      <c r="L549" s="20">
        <f>COUNTIFS(tData[SEHTrajectPeriodeDatumTijdVan],"&lt;="&amp;($A549+8/24),tData[SEHTrajectPeriodeDatumTijdTotEnMet],"&gt;"&amp;($A549+8/24))</f>
        <v/>
      </c>
      <c r="M549" s="20">
        <f>COUNTIFS(tData[SEHTrajectPeriodeDatumTijdVan],"&lt;="&amp;($A549+9/24),tData[SEHTrajectPeriodeDatumTijdTotEnMet],"&gt;"&amp;($A549+9/24))</f>
        <v/>
      </c>
      <c r="N549" s="20">
        <f>COUNTIFS(tData[SEHTrajectPeriodeDatumTijdVan],"&lt;="&amp;($A549+10/24),tData[SEHTrajectPeriodeDatumTijdTotEnMet],"&gt;"&amp;($A549+10/24))</f>
        <v/>
      </c>
      <c r="O549" s="20">
        <f>COUNTIFS(tData[SEHTrajectPeriodeDatumTijdVan],"&lt;="&amp;($A549+11/24),tData[SEHTrajectPeriodeDatumTijdTotEnMet],"&gt;"&amp;($A549+11/24))</f>
        <v/>
      </c>
      <c r="P549" s="20">
        <f>COUNTIFS(tData[SEHTrajectPeriodeDatumTijdVan],"&lt;="&amp;($A549+12/24),tData[SEHTrajectPeriodeDatumTijdTotEnMet],"&gt;"&amp;($A549+12/24))</f>
        <v/>
      </c>
      <c r="Q549" s="20">
        <f>COUNTIFS(tData[SEHTrajectPeriodeDatumTijdVan],"&lt;="&amp;($A549+13/24),tData[SEHTrajectPeriodeDatumTijdTotEnMet],"&gt;"&amp;($A549+13/24))</f>
        <v/>
      </c>
      <c r="R549" s="20">
        <f>COUNTIFS(tData[SEHTrajectPeriodeDatumTijdVan],"&lt;="&amp;($A549+14/24),tData[SEHTrajectPeriodeDatumTijdTotEnMet],"&gt;"&amp;($A549+14/24))</f>
        <v/>
      </c>
      <c r="S549" s="20">
        <f>COUNTIFS(tData[SEHTrajectPeriodeDatumTijdVan],"&lt;="&amp;($A549+15/24),tData[SEHTrajectPeriodeDatumTijdTotEnMet],"&gt;"&amp;($A549+15/24))</f>
        <v/>
      </c>
      <c r="T549" s="20">
        <f>COUNTIFS(tData[SEHTrajectPeriodeDatumTijdVan],"&lt;="&amp;($A549+16/24),tData[SEHTrajectPeriodeDatumTijdTotEnMet],"&gt;"&amp;($A549+16/24))</f>
        <v/>
      </c>
      <c r="U549" s="20">
        <f>COUNTIFS(tData[SEHTrajectPeriodeDatumTijdVan],"&lt;="&amp;($A549+17/24),tData[SEHTrajectPeriodeDatumTijdTotEnMet],"&gt;"&amp;($A549+17/24))</f>
        <v/>
      </c>
      <c r="V549" s="20">
        <f>COUNTIFS(tData[SEHTrajectPeriodeDatumTijdVan],"&lt;="&amp;($A549+18/24),tData[SEHTrajectPeriodeDatumTijdTotEnMet],"&gt;"&amp;($A549+18/24))</f>
        <v/>
      </c>
      <c r="W549" s="20">
        <f>COUNTIFS(tData[SEHTrajectPeriodeDatumTijdVan],"&lt;="&amp;($A549+19/24),tData[SEHTrajectPeriodeDatumTijdTotEnMet],"&gt;"&amp;($A549+19/24))</f>
        <v/>
      </c>
      <c r="X549" s="20">
        <f>COUNTIFS(tData[SEHTrajectPeriodeDatumTijdVan],"&lt;="&amp;($A549+20/24),tData[SEHTrajectPeriodeDatumTijdTotEnMet],"&gt;"&amp;($A549+20/24))</f>
        <v/>
      </c>
      <c r="Y549" s="20">
        <f>COUNTIFS(tData[SEHTrajectPeriodeDatumTijdVan],"&lt;="&amp;($A549+21/24),tData[SEHTrajectPeriodeDatumTijdTotEnMet],"&gt;"&amp;($A549+21/24))</f>
        <v/>
      </c>
      <c r="Z549" s="20">
        <f>COUNTIFS(tData[SEHTrajectPeriodeDatumTijdVan],"&lt;="&amp;($A549+22/24),tData[SEHTrajectPeriodeDatumTijdTotEnMet],"&gt;"&amp;($A549+22/24))</f>
        <v/>
      </c>
      <c r="AA549" s="20">
        <f>COUNTIFS(tData[SEHTrajectPeriodeDatumTijdVan],"&lt;="&amp;($A549+23/24),tData[SEHTrajectPeriodeDatumTijdTotEnMet],"&gt;"&amp;($A549+23/24))</f>
        <v/>
      </c>
    </row>
    <row r="550">
      <c r="A550" s="19" t="n">
        <v>45838</v>
      </c>
      <c r="B550" s="15">
        <f>WEEKDAY($A550,2)</f>
        <v/>
      </c>
      <c r="C550" s="15">
        <f>IF(AND($A550&gt;=INT(Instellingen!$B$5),$A550&lt;=INT(Instellingen!$B$6)),1,0)</f>
        <v/>
      </c>
      <c r="D550" s="20">
        <f>COUNTIFS(tData[SEHTrajectPeriodeDatumTijdVan],"&lt;="&amp;($A550+0/24),tData[SEHTrajectPeriodeDatumTijdTotEnMet],"&gt;"&amp;($A550+0/24))</f>
        <v/>
      </c>
      <c r="E550" s="20">
        <f>COUNTIFS(tData[SEHTrajectPeriodeDatumTijdVan],"&lt;="&amp;($A550+1/24),tData[SEHTrajectPeriodeDatumTijdTotEnMet],"&gt;"&amp;($A550+1/24))</f>
        <v/>
      </c>
      <c r="F550" s="20">
        <f>COUNTIFS(tData[SEHTrajectPeriodeDatumTijdVan],"&lt;="&amp;($A550+2/24),tData[SEHTrajectPeriodeDatumTijdTotEnMet],"&gt;"&amp;($A550+2/24))</f>
        <v/>
      </c>
      <c r="G550" s="20">
        <f>COUNTIFS(tData[SEHTrajectPeriodeDatumTijdVan],"&lt;="&amp;($A550+3/24),tData[SEHTrajectPeriodeDatumTijdTotEnMet],"&gt;"&amp;($A550+3/24))</f>
        <v/>
      </c>
      <c r="H550" s="20">
        <f>COUNTIFS(tData[SEHTrajectPeriodeDatumTijdVan],"&lt;="&amp;($A550+4/24),tData[SEHTrajectPeriodeDatumTijdTotEnMet],"&gt;"&amp;($A550+4/24))</f>
        <v/>
      </c>
      <c r="I550" s="20">
        <f>COUNTIFS(tData[SEHTrajectPeriodeDatumTijdVan],"&lt;="&amp;($A550+5/24),tData[SEHTrajectPeriodeDatumTijdTotEnMet],"&gt;"&amp;($A550+5/24))</f>
        <v/>
      </c>
      <c r="J550" s="20">
        <f>COUNTIFS(tData[SEHTrajectPeriodeDatumTijdVan],"&lt;="&amp;($A550+6/24),tData[SEHTrajectPeriodeDatumTijdTotEnMet],"&gt;"&amp;($A550+6/24))</f>
        <v/>
      </c>
      <c r="K550" s="20">
        <f>COUNTIFS(tData[SEHTrajectPeriodeDatumTijdVan],"&lt;="&amp;($A550+7/24),tData[SEHTrajectPeriodeDatumTijdTotEnMet],"&gt;"&amp;($A550+7/24))</f>
        <v/>
      </c>
      <c r="L550" s="20">
        <f>COUNTIFS(tData[SEHTrajectPeriodeDatumTijdVan],"&lt;="&amp;($A550+8/24),tData[SEHTrajectPeriodeDatumTijdTotEnMet],"&gt;"&amp;($A550+8/24))</f>
        <v/>
      </c>
      <c r="M550" s="20">
        <f>COUNTIFS(tData[SEHTrajectPeriodeDatumTijdVan],"&lt;="&amp;($A550+9/24),tData[SEHTrajectPeriodeDatumTijdTotEnMet],"&gt;"&amp;($A550+9/24))</f>
        <v/>
      </c>
      <c r="N550" s="20">
        <f>COUNTIFS(tData[SEHTrajectPeriodeDatumTijdVan],"&lt;="&amp;($A550+10/24),tData[SEHTrajectPeriodeDatumTijdTotEnMet],"&gt;"&amp;($A550+10/24))</f>
        <v/>
      </c>
      <c r="O550" s="20">
        <f>COUNTIFS(tData[SEHTrajectPeriodeDatumTijdVan],"&lt;="&amp;($A550+11/24),tData[SEHTrajectPeriodeDatumTijdTotEnMet],"&gt;"&amp;($A550+11/24))</f>
        <v/>
      </c>
      <c r="P550" s="20">
        <f>COUNTIFS(tData[SEHTrajectPeriodeDatumTijdVan],"&lt;="&amp;($A550+12/24),tData[SEHTrajectPeriodeDatumTijdTotEnMet],"&gt;"&amp;($A550+12/24))</f>
        <v/>
      </c>
      <c r="Q550" s="20">
        <f>COUNTIFS(tData[SEHTrajectPeriodeDatumTijdVan],"&lt;="&amp;($A550+13/24),tData[SEHTrajectPeriodeDatumTijdTotEnMet],"&gt;"&amp;($A550+13/24))</f>
        <v/>
      </c>
      <c r="R550" s="20">
        <f>COUNTIFS(tData[SEHTrajectPeriodeDatumTijdVan],"&lt;="&amp;($A550+14/24),tData[SEHTrajectPeriodeDatumTijdTotEnMet],"&gt;"&amp;($A550+14/24))</f>
        <v/>
      </c>
      <c r="S550" s="20">
        <f>COUNTIFS(tData[SEHTrajectPeriodeDatumTijdVan],"&lt;="&amp;($A550+15/24),tData[SEHTrajectPeriodeDatumTijdTotEnMet],"&gt;"&amp;($A550+15/24))</f>
        <v/>
      </c>
      <c r="T550" s="20">
        <f>COUNTIFS(tData[SEHTrajectPeriodeDatumTijdVan],"&lt;="&amp;($A550+16/24),tData[SEHTrajectPeriodeDatumTijdTotEnMet],"&gt;"&amp;($A550+16/24))</f>
        <v/>
      </c>
      <c r="U550" s="20">
        <f>COUNTIFS(tData[SEHTrajectPeriodeDatumTijdVan],"&lt;="&amp;($A550+17/24),tData[SEHTrajectPeriodeDatumTijdTotEnMet],"&gt;"&amp;($A550+17/24))</f>
        <v/>
      </c>
      <c r="V550" s="20">
        <f>COUNTIFS(tData[SEHTrajectPeriodeDatumTijdVan],"&lt;="&amp;($A550+18/24),tData[SEHTrajectPeriodeDatumTijdTotEnMet],"&gt;"&amp;($A550+18/24))</f>
        <v/>
      </c>
      <c r="W550" s="20">
        <f>COUNTIFS(tData[SEHTrajectPeriodeDatumTijdVan],"&lt;="&amp;($A550+19/24),tData[SEHTrajectPeriodeDatumTijdTotEnMet],"&gt;"&amp;($A550+19/24))</f>
        <v/>
      </c>
      <c r="X550" s="20">
        <f>COUNTIFS(tData[SEHTrajectPeriodeDatumTijdVan],"&lt;="&amp;($A550+20/24),tData[SEHTrajectPeriodeDatumTijdTotEnMet],"&gt;"&amp;($A550+20/24))</f>
        <v/>
      </c>
      <c r="Y550" s="20">
        <f>COUNTIFS(tData[SEHTrajectPeriodeDatumTijdVan],"&lt;="&amp;($A550+21/24),tData[SEHTrajectPeriodeDatumTijdTotEnMet],"&gt;"&amp;($A550+21/24))</f>
        <v/>
      </c>
      <c r="Z550" s="20">
        <f>COUNTIFS(tData[SEHTrajectPeriodeDatumTijdVan],"&lt;="&amp;($A550+22/24),tData[SEHTrajectPeriodeDatumTijdTotEnMet],"&gt;"&amp;($A550+22/24))</f>
        <v/>
      </c>
      <c r="AA550" s="20">
        <f>COUNTIFS(tData[SEHTrajectPeriodeDatumTijdVan],"&lt;="&amp;($A550+23/24),tData[SEHTrajectPeriodeDatumTijdTotEnMet],"&gt;"&amp;($A550+23/24))</f>
        <v/>
      </c>
    </row>
    <row r="551">
      <c r="A551" s="19" t="n">
        <v>45839</v>
      </c>
      <c r="B551" s="15">
        <f>WEEKDAY($A551,2)</f>
        <v/>
      </c>
      <c r="C551" s="15">
        <f>IF(AND($A551&gt;=INT(Instellingen!$B$5),$A551&lt;=INT(Instellingen!$B$6)),1,0)</f>
        <v/>
      </c>
      <c r="D551" s="20">
        <f>COUNTIFS(tData[SEHTrajectPeriodeDatumTijdVan],"&lt;="&amp;($A551+0/24),tData[SEHTrajectPeriodeDatumTijdTotEnMet],"&gt;"&amp;($A551+0/24))</f>
        <v/>
      </c>
      <c r="E551" s="20">
        <f>COUNTIFS(tData[SEHTrajectPeriodeDatumTijdVan],"&lt;="&amp;($A551+1/24),tData[SEHTrajectPeriodeDatumTijdTotEnMet],"&gt;"&amp;($A551+1/24))</f>
        <v/>
      </c>
      <c r="F551" s="20">
        <f>COUNTIFS(tData[SEHTrajectPeriodeDatumTijdVan],"&lt;="&amp;($A551+2/24),tData[SEHTrajectPeriodeDatumTijdTotEnMet],"&gt;"&amp;($A551+2/24))</f>
        <v/>
      </c>
      <c r="G551" s="20">
        <f>COUNTIFS(tData[SEHTrajectPeriodeDatumTijdVan],"&lt;="&amp;($A551+3/24),tData[SEHTrajectPeriodeDatumTijdTotEnMet],"&gt;"&amp;($A551+3/24))</f>
        <v/>
      </c>
      <c r="H551" s="20">
        <f>COUNTIFS(tData[SEHTrajectPeriodeDatumTijdVan],"&lt;="&amp;($A551+4/24),tData[SEHTrajectPeriodeDatumTijdTotEnMet],"&gt;"&amp;($A551+4/24))</f>
        <v/>
      </c>
      <c r="I551" s="20">
        <f>COUNTIFS(tData[SEHTrajectPeriodeDatumTijdVan],"&lt;="&amp;($A551+5/24),tData[SEHTrajectPeriodeDatumTijdTotEnMet],"&gt;"&amp;($A551+5/24))</f>
        <v/>
      </c>
      <c r="J551" s="20">
        <f>COUNTIFS(tData[SEHTrajectPeriodeDatumTijdVan],"&lt;="&amp;($A551+6/24),tData[SEHTrajectPeriodeDatumTijdTotEnMet],"&gt;"&amp;($A551+6/24))</f>
        <v/>
      </c>
      <c r="K551" s="20">
        <f>COUNTIFS(tData[SEHTrajectPeriodeDatumTijdVan],"&lt;="&amp;($A551+7/24),tData[SEHTrajectPeriodeDatumTijdTotEnMet],"&gt;"&amp;($A551+7/24))</f>
        <v/>
      </c>
      <c r="L551" s="20">
        <f>COUNTIFS(tData[SEHTrajectPeriodeDatumTijdVan],"&lt;="&amp;($A551+8/24),tData[SEHTrajectPeriodeDatumTijdTotEnMet],"&gt;"&amp;($A551+8/24))</f>
        <v/>
      </c>
      <c r="M551" s="20">
        <f>COUNTIFS(tData[SEHTrajectPeriodeDatumTijdVan],"&lt;="&amp;($A551+9/24),tData[SEHTrajectPeriodeDatumTijdTotEnMet],"&gt;"&amp;($A551+9/24))</f>
        <v/>
      </c>
      <c r="N551" s="20">
        <f>COUNTIFS(tData[SEHTrajectPeriodeDatumTijdVan],"&lt;="&amp;($A551+10/24),tData[SEHTrajectPeriodeDatumTijdTotEnMet],"&gt;"&amp;($A551+10/24))</f>
        <v/>
      </c>
      <c r="O551" s="20">
        <f>COUNTIFS(tData[SEHTrajectPeriodeDatumTijdVan],"&lt;="&amp;($A551+11/24),tData[SEHTrajectPeriodeDatumTijdTotEnMet],"&gt;"&amp;($A551+11/24))</f>
        <v/>
      </c>
      <c r="P551" s="20">
        <f>COUNTIFS(tData[SEHTrajectPeriodeDatumTijdVan],"&lt;="&amp;($A551+12/24),tData[SEHTrajectPeriodeDatumTijdTotEnMet],"&gt;"&amp;($A551+12/24))</f>
        <v/>
      </c>
      <c r="Q551" s="20">
        <f>COUNTIFS(tData[SEHTrajectPeriodeDatumTijdVan],"&lt;="&amp;($A551+13/24),tData[SEHTrajectPeriodeDatumTijdTotEnMet],"&gt;"&amp;($A551+13/24))</f>
        <v/>
      </c>
      <c r="R551" s="20">
        <f>COUNTIFS(tData[SEHTrajectPeriodeDatumTijdVan],"&lt;="&amp;($A551+14/24),tData[SEHTrajectPeriodeDatumTijdTotEnMet],"&gt;"&amp;($A551+14/24))</f>
        <v/>
      </c>
      <c r="S551" s="20">
        <f>COUNTIFS(tData[SEHTrajectPeriodeDatumTijdVan],"&lt;="&amp;($A551+15/24),tData[SEHTrajectPeriodeDatumTijdTotEnMet],"&gt;"&amp;($A551+15/24))</f>
        <v/>
      </c>
      <c r="T551" s="20">
        <f>COUNTIFS(tData[SEHTrajectPeriodeDatumTijdVan],"&lt;="&amp;($A551+16/24),tData[SEHTrajectPeriodeDatumTijdTotEnMet],"&gt;"&amp;($A551+16/24))</f>
        <v/>
      </c>
      <c r="U551" s="20">
        <f>COUNTIFS(tData[SEHTrajectPeriodeDatumTijdVan],"&lt;="&amp;($A551+17/24),tData[SEHTrajectPeriodeDatumTijdTotEnMet],"&gt;"&amp;($A551+17/24))</f>
        <v/>
      </c>
      <c r="V551" s="20">
        <f>COUNTIFS(tData[SEHTrajectPeriodeDatumTijdVan],"&lt;="&amp;($A551+18/24),tData[SEHTrajectPeriodeDatumTijdTotEnMet],"&gt;"&amp;($A551+18/24))</f>
        <v/>
      </c>
      <c r="W551" s="20">
        <f>COUNTIFS(tData[SEHTrajectPeriodeDatumTijdVan],"&lt;="&amp;($A551+19/24),tData[SEHTrajectPeriodeDatumTijdTotEnMet],"&gt;"&amp;($A551+19/24))</f>
        <v/>
      </c>
      <c r="X551" s="20">
        <f>COUNTIFS(tData[SEHTrajectPeriodeDatumTijdVan],"&lt;="&amp;($A551+20/24),tData[SEHTrajectPeriodeDatumTijdTotEnMet],"&gt;"&amp;($A551+20/24))</f>
        <v/>
      </c>
      <c r="Y551" s="20">
        <f>COUNTIFS(tData[SEHTrajectPeriodeDatumTijdVan],"&lt;="&amp;($A551+21/24),tData[SEHTrajectPeriodeDatumTijdTotEnMet],"&gt;"&amp;($A551+21/24))</f>
        <v/>
      </c>
      <c r="Z551" s="20">
        <f>COUNTIFS(tData[SEHTrajectPeriodeDatumTijdVan],"&lt;="&amp;($A551+22/24),tData[SEHTrajectPeriodeDatumTijdTotEnMet],"&gt;"&amp;($A551+22/24))</f>
        <v/>
      </c>
      <c r="AA551" s="20">
        <f>COUNTIFS(tData[SEHTrajectPeriodeDatumTijdVan],"&lt;="&amp;($A551+23/24),tData[SEHTrajectPeriodeDatumTijdTotEnMet],"&gt;"&amp;($A551+23/24))</f>
        <v/>
      </c>
    </row>
    <row r="552">
      <c r="A552" s="19" t="n">
        <v>45840</v>
      </c>
      <c r="B552" s="15">
        <f>WEEKDAY($A552,2)</f>
        <v/>
      </c>
      <c r="C552" s="15">
        <f>IF(AND($A552&gt;=INT(Instellingen!$B$5),$A552&lt;=INT(Instellingen!$B$6)),1,0)</f>
        <v/>
      </c>
      <c r="D552" s="20">
        <f>COUNTIFS(tData[SEHTrajectPeriodeDatumTijdVan],"&lt;="&amp;($A552+0/24),tData[SEHTrajectPeriodeDatumTijdTotEnMet],"&gt;"&amp;($A552+0/24))</f>
        <v/>
      </c>
      <c r="E552" s="20">
        <f>COUNTIFS(tData[SEHTrajectPeriodeDatumTijdVan],"&lt;="&amp;($A552+1/24),tData[SEHTrajectPeriodeDatumTijdTotEnMet],"&gt;"&amp;($A552+1/24))</f>
        <v/>
      </c>
      <c r="F552" s="20">
        <f>COUNTIFS(tData[SEHTrajectPeriodeDatumTijdVan],"&lt;="&amp;($A552+2/24),tData[SEHTrajectPeriodeDatumTijdTotEnMet],"&gt;"&amp;($A552+2/24))</f>
        <v/>
      </c>
      <c r="G552" s="20">
        <f>COUNTIFS(tData[SEHTrajectPeriodeDatumTijdVan],"&lt;="&amp;($A552+3/24),tData[SEHTrajectPeriodeDatumTijdTotEnMet],"&gt;"&amp;($A552+3/24))</f>
        <v/>
      </c>
      <c r="H552" s="20">
        <f>COUNTIFS(tData[SEHTrajectPeriodeDatumTijdVan],"&lt;="&amp;($A552+4/24),tData[SEHTrajectPeriodeDatumTijdTotEnMet],"&gt;"&amp;($A552+4/24))</f>
        <v/>
      </c>
      <c r="I552" s="20">
        <f>COUNTIFS(tData[SEHTrajectPeriodeDatumTijdVan],"&lt;="&amp;($A552+5/24),tData[SEHTrajectPeriodeDatumTijdTotEnMet],"&gt;"&amp;($A552+5/24))</f>
        <v/>
      </c>
      <c r="J552" s="20">
        <f>COUNTIFS(tData[SEHTrajectPeriodeDatumTijdVan],"&lt;="&amp;($A552+6/24),tData[SEHTrajectPeriodeDatumTijdTotEnMet],"&gt;"&amp;($A552+6/24))</f>
        <v/>
      </c>
      <c r="K552" s="20">
        <f>COUNTIFS(tData[SEHTrajectPeriodeDatumTijdVan],"&lt;="&amp;($A552+7/24),tData[SEHTrajectPeriodeDatumTijdTotEnMet],"&gt;"&amp;($A552+7/24))</f>
        <v/>
      </c>
      <c r="L552" s="20">
        <f>COUNTIFS(tData[SEHTrajectPeriodeDatumTijdVan],"&lt;="&amp;($A552+8/24),tData[SEHTrajectPeriodeDatumTijdTotEnMet],"&gt;"&amp;($A552+8/24))</f>
        <v/>
      </c>
      <c r="M552" s="20">
        <f>COUNTIFS(tData[SEHTrajectPeriodeDatumTijdVan],"&lt;="&amp;($A552+9/24),tData[SEHTrajectPeriodeDatumTijdTotEnMet],"&gt;"&amp;($A552+9/24))</f>
        <v/>
      </c>
      <c r="N552" s="20">
        <f>COUNTIFS(tData[SEHTrajectPeriodeDatumTijdVan],"&lt;="&amp;($A552+10/24),tData[SEHTrajectPeriodeDatumTijdTotEnMet],"&gt;"&amp;($A552+10/24))</f>
        <v/>
      </c>
      <c r="O552" s="20">
        <f>COUNTIFS(tData[SEHTrajectPeriodeDatumTijdVan],"&lt;="&amp;($A552+11/24),tData[SEHTrajectPeriodeDatumTijdTotEnMet],"&gt;"&amp;($A552+11/24))</f>
        <v/>
      </c>
      <c r="P552" s="20">
        <f>COUNTIFS(tData[SEHTrajectPeriodeDatumTijdVan],"&lt;="&amp;($A552+12/24),tData[SEHTrajectPeriodeDatumTijdTotEnMet],"&gt;"&amp;($A552+12/24))</f>
        <v/>
      </c>
      <c r="Q552" s="20">
        <f>COUNTIFS(tData[SEHTrajectPeriodeDatumTijdVan],"&lt;="&amp;($A552+13/24),tData[SEHTrajectPeriodeDatumTijdTotEnMet],"&gt;"&amp;($A552+13/24))</f>
        <v/>
      </c>
      <c r="R552" s="20">
        <f>COUNTIFS(tData[SEHTrajectPeriodeDatumTijdVan],"&lt;="&amp;($A552+14/24),tData[SEHTrajectPeriodeDatumTijdTotEnMet],"&gt;"&amp;($A552+14/24))</f>
        <v/>
      </c>
      <c r="S552" s="20">
        <f>COUNTIFS(tData[SEHTrajectPeriodeDatumTijdVan],"&lt;="&amp;($A552+15/24),tData[SEHTrajectPeriodeDatumTijdTotEnMet],"&gt;"&amp;($A552+15/24))</f>
        <v/>
      </c>
      <c r="T552" s="20">
        <f>COUNTIFS(tData[SEHTrajectPeriodeDatumTijdVan],"&lt;="&amp;($A552+16/24),tData[SEHTrajectPeriodeDatumTijdTotEnMet],"&gt;"&amp;($A552+16/24))</f>
        <v/>
      </c>
      <c r="U552" s="20">
        <f>COUNTIFS(tData[SEHTrajectPeriodeDatumTijdVan],"&lt;="&amp;($A552+17/24),tData[SEHTrajectPeriodeDatumTijdTotEnMet],"&gt;"&amp;($A552+17/24))</f>
        <v/>
      </c>
      <c r="V552" s="20">
        <f>COUNTIFS(tData[SEHTrajectPeriodeDatumTijdVan],"&lt;="&amp;($A552+18/24),tData[SEHTrajectPeriodeDatumTijdTotEnMet],"&gt;"&amp;($A552+18/24))</f>
        <v/>
      </c>
      <c r="W552" s="20">
        <f>COUNTIFS(tData[SEHTrajectPeriodeDatumTijdVan],"&lt;="&amp;($A552+19/24),tData[SEHTrajectPeriodeDatumTijdTotEnMet],"&gt;"&amp;($A552+19/24))</f>
        <v/>
      </c>
      <c r="X552" s="20">
        <f>COUNTIFS(tData[SEHTrajectPeriodeDatumTijdVan],"&lt;="&amp;($A552+20/24),tData[SEHTrajectPeriodeDatumTijdTotEnMet],"&gt;"&amp;($A552+20/24))</f>
        <v/>
      </c>
      <c r="Y552" s="20">
        <f>COUNTIFS(tData[SEHTrajectPeriodeDatumTijdVan],"&lt;="&amp;($A552+21/24),tData[SEHTrajectPeriodeDatumTijdTotEnMet],"&gt;"&amp;($A552+21/24))</f>
        <v/>
      </c>
      <c r="Z552" s="20">
        <f>COUNTIFS(tData[SEHTrajectPeriodeDatumTijdVan],"&lt;="&amp;($A552+22/24),tData[SEHTrajectPeriodeDatumTijdTotEnMet],"&gt;"&amp;($A552+22/24))</f>
        <v/>
      </c>
      <c r="AA552" s="20">
        <f>COUNTIFS(tData[SEHTrajectPeriodeDatumTijdVan],"&lt;="&amp;($A552+23/24),tData[SEHTrajectPeriodeDatumTijdTotEnMet],"&gt;"&amp;($A552+23/24))</f>
        <v/>
      </c>
    </row>
    <row r="553">
      <c r="A553" s="19" t="n">
        <v>45841</v>
      </c>
      <c r="B553" s="15">
        <f>WEEKDAY($A553,2)</f>
        <v/>
      </c>
      <c r="C553" s="15">
        <f>IF(AND($A553&gt;=INT(Instellingen!$B$5),$A553&lt;=INT(Instellingen!$B$6)),1,0)</f>
        <v/>
      </c>
      <c r="D553" s="20">
        <f>COUNTIFS(tData[SEHTrajectPeriodeDatumTijdVan],"&lt;="&amp;($A553+0/24),tData[SEHTrajectPeriodeDatumTijdTotEnMet],"&gt;"&amp;($A553+0/24))</f>
        <v/>
      </c>
      <c r="E553" s="20">
        <f>COUNTIFS(tData[SEHTrajectPeriodeDatumTijdVan],"&lt;="&amp;($A553+1/24),tData[SEHTrajectPeriodeDatumTijdTotEnMet],"&gt;"&amp;($A553+1/24))</f>
        <v/>
      </c>
      <c r="F553" s="20">
        <f>COUNTIFS(tData[SEHTrajectPeriodeDatumTijdVan],"&lt;="&amp;($A553+2/24),tData[SEHTrajectPeriodeDatumTijdTotEnMet],"&gt;"&amp;($A553+2/24))</f>
        <v/>
      </c>
      <c r="G553" s="20">
        <f>COUNTIFS(tData[SEHTrajectPeriodeDatumTijdVan],"&lt;="&amp;($A553+3/24),tData[SEHTrajectPeriodeDatumTijdTotEnMet],"&gt;"&amp;($A553+3/24))</f>
        <v/>
      </c>
      <c r="H553" s="20">
        <f>COUNTIFS(tData[SEHTrajectPeriodeDatumTijdVan],"&lt;="&amp;($A553+4/24),tData[SEHTrajectPeriodeDatumTijdTotEnMet],"&gt;"&amp;($A553+4/24))</f>
        <v/>
      </c>
      <c r="I553" s="20">
        <f>COUNTIFS(tData[SEHTrajectPeriodeDatumTijdVan],"&lt;="&amp;($A553+5/24),tData[SEHTrajectPeriodeDatumTijdTotEnMet],"&gt;"&amp;($A553+5/24))</f>
        <v/>
      </c>
      <c r="J553" s="20">
        <f>COUNTIFS(tData[SEHTrajectPeriodeDatumTijdVan],"&lt;="&amp;($A553+6/24),tData[SEHTrajectPeriodeDatumTijdTotEnMet],"&gt;"&amp;($A553+6/24))</f>
        <v/>
      </c>
      <c r="K553" s="20">
        <f>COUNTIFS(tData[SEHTrajectPeriodeDatumTijdVan],"&lt;="&amp;($A553+7/24),tData[SEHTrajectPeriodeDatumTijdTotEnMet],"&gt;"&amp;($A553+7/24))</f>
        <v/>
      </c>
      <c r="L553" s="20">
        <f>COUNTIFS(tData[SEHTrajectPeriodeDatumTijdVan],"&lt;="&amp;($A553+8/24),tData[SEHTrajectPeriodeDatumTijdTotEnMet],"&gt;"&amp;($A553+8/24))</f>
        <v/>
      </c>
      <c r="M553" s="20">
        <f>COUNTIFS(tData[SEHTrajectPeriodeDatumTijdVan],"&lt;="&amp;($A553+9/24),tData[SEHTrajectPeriodeDatumTijdTotEnMet],"&gt;"&amp;($A553+9/24))</f>
        <v/>
      </c>
      <c r="N553" s="20">
        <f>COUNTIFS(tData[SEHTrajectPeriodeDatumTijdVan],"&lt;="&amp;($A553+10/24),tData[SEHTrajectPeriodeDatumTijdTotEnMet],"&gt;"&amp;($A553+10/24))</f>
        <v/>
      </c>
      <c r="O553" s="20">
        <f>COUNTIFS(tData[SEHTrajectPeriodeDatumTijdVan],"&lt;="&amp;($A553+11/24),tData[SEHTrajectPeriodeDatumTijdTotEnMet],"&gt;"&amp;($A553+11/24))</f>
        <v/>
      </c>
      <c r="P553" s="20">
        <f>COUNTIFS(tData[SEHTrajectPeriodeDatumTijdVan],"&lt;="&amp;($A553+12/24),tData[SEHTrajectPeriodeDatumTijdTotEnMet],"&gt;"&amp;($A553+12/24))</f>
        <v/>
      </c>
      <c r="Q553" s="20">
        <f>COUNTIFS(tData[SEHTrajectPeriodeDatumTijdVan],"&lt;="&amp;($A553+13/24),tData[SEHTrajectPeriodeDatumTijdTotEnMet],"&gt;"&amp;($A553+13/24))</f>
        <v/>
      </c>
      <c r="R553" s="20">
        <f>COUNTIFS(tData[SEHTrajectPeriodeDatumTijdVan],"&lt;="&amp;($A553+14/24),tData[SEHTrajectPeriodeDatumTijdTotEnMet],"&gt;"&amp;($A553+14/24))</f>
        <v/>
      </c>
      <c r="S553" s="20">
        <f>COUNTIFS(tData[SEHTrajectPeriodeDatumTijdVan],"&lt;="&amp;($A553+15/24),tData[SEHTrajectPeriodeDatumTijdTotEnMet],"&gt;"&amp;($A553+15/24))</f>
        <v/>
      </c>
      <c r="T553" s="20">
        <f>COUNTIFS(tData[SEHTrajectPeriodeDatumTijdVan],"&lt;="&amp;($A553+16/24),tData[SEHTrajectPeriodeDatumTijdTotEnMet],"&gt;"&amp;($A553+16/24))</f>
        <v/>
      </c>
      <c r="U553" s="20">
        <f>COUNTIFS(tData[SEHTrajectPeriodeDatumTijdVan],"&lt;="&amp;($A553+17/24),tData[SEHTrajectPeriodeDatumTijdTotEnMet],"&gt;"&amp;($A553+17/24))</f>
        <v/>
      </c>
      <c r="V553" s="20">
        <f>COUNTIFS(tData[SEHTrajectPeriodeDatumTijdVan],"&lt;="&amp;($A553+18/24),tData[SEHTrajectPeriodeDatumTijdTotEnMet],"&gt;"&amp;($A553+18/24))</f>
        <v/>
      </c>
      <c r="W553" s="20">
        <f>COUNTIFS(tData[SEHTrajectPeriodeDatumTijdVan],"&lt;="&amp;($A553+19/24),tData[SEHTrajectPeriodeDatumTijdTotEnMet],"&gt;"&amp;($A553+19/24))</f>
        <v/>
      </c>
      <c r="X553" s="20">
        <f>COUNTIFS(tData[SEHTrajectPeriodeDatumTijdVan],"&lt;="&amp;($A553+20/24),tData[SEHTrajectPeriodeDatumTijdTotEnMet],"&gt;"&amp;($A553+20/24))</f>
        <v/>
      </c>
      <c r="Y553" s="20">
        <f>COUNTIFS(tData[SEHTrajectPeriodeDatumTijdVan],"&lt;="&amp;($A553+21/24),tData[SEHTrajectPeriodeDatumTijdTotEnMet],"&gt;"&amp;($A553+21/24))</f>
        <v/>
      </c>
      <c r="Z553" s="20">
        <f>COUNTIFS(tData[SEHTrajectPeriodeDatumTijdVan],"&lt;="&amp;($A553+22/24),tData[SEHTrajectPeriodeDatumTijdTotEnMet],"&gt;"&amp;($A553+22/24))</f>
        <v/>
      </c>
      <c r="AA553" s="20">
        <f>COUNTIFS(tData[SEHTrajectPeriodeDatumTijdVan],"&lt;="&amp;($A553+23/24),tData[SEHTrajectPeriodeDatumTijdTotEnMet],"&gt;"&amp;($A553+23/24))</f>
        <v/>
      </c>
    </row>
    <row r="554">
      <c r="A554" s="19" t="n">
        <v>45842</v>
      </c>
      <c r="B554" s="15">
        <f>WEEKDAY($A554,2)</f>
        <v/>
      </c>
      <c r="C554" s="15">
        <f>IF(AND($A554&gt;=INT(Instellingen!$B$5),$A554&lt;=INT(Instellingen!$B$6)),1,0)</f>
        <v/>
      </c>
      <c r="D554" s="20">
        <f>COUNTIFS(tData[SEHTrajectPeriodeDatumTijdVan],"&lt;="&amp;($A554+0/24),tData[SEHTrajectPeriodeDatumTijdTotEnMet],"&gt;"&amp;($A554+0/24))</f>
        <v/>
      </c>
      <c r="E554" s="20">
        <f>COUNTIFS(tData[SEHTrajectPeriodeDatumTijdVan],"&lt;="&amp;($A554+1/24),tData[SEHTrajectPeriodeDatumTijdTotEnMet],"&gt;"&amp;($A554+1/24))</f>
        <v/>
      </c>
      <c r="F554" s="20">
        <f>COUNTIFS(tData[SEHTrajectPeriodeDatumTijdVan],"&lt;="&amp;($A554+2/24),tData[SEHTrajectPeriodeDatumTijdTotEnMet],"&gt;"&amp;($A554+2/24))</f>
        <v/>
      </c>
      <c r="G554" s="20">
        <f>COUNTIFS(tData[SEHTrajectPeriodeDatumTijdVan],"&lt;="&amp;($A554+3/24),tData[SEHTrajectPeriodeDatumTijdTotEnMet],"&gt;"&amp;($A554+3/24))</f>
        <v/>
      </c>
      <c r="H554" s="20">
        <f>COUNTIFS(tData[SEHTrajectPeriodeDatumTijdVan],"&lt;="&amp;($A554+4/24),tData[SEHTrajectPeriodeDatumTijdTotEnMet],"&gt;"&amp;($A554+4/24))</f>
        <v/>
      </c>
      <c r="I554" s="20">
        <f>COUNTIFS(tData[SEHTrajectPeriodeDatumTijdVan],"&lt;="&amp;($A554+5/24),tData[SEHTrajectPeriodeDatumTijdTotEnMet],"&gt;"&amp;($A554+5/24))</f>
        <v/>
      </c>
      <c r="J554" s="20">
        <f>COUNTIFS(tData[SEHTrajectPeriodeDatumTijdVan],"&lt;="&amp;($A554+6/24),tData[SEHTrajectPeriodeDatumTijdTotEnMet],"&gt;"&amp;($A554+6/24))</f>
        <v/>
      </c>
      <c r="K554" s="20">
        <f>COUNTIFS(tData[SEHTrajectPeriodeDatumTijdVan],"&lt;="&amp;($A554+7/24),tData[SEHTrajectPeriodeDatumTijdTotEnMet],"&gt;"&amp;($A554+7/24))</f>
        <v/>
      </c>
      <c r="L554" s="20">
        <f>COUNTIFS(tData[SEHTrajectPeriodeDatumTijdVan],"&lt;="&amp;($A554+8/24),tData[SEHTrajectPeriodeDatumTijdTotEnMet],"&gt;"&amp;($A554+8/24))</f>
        <v/>
      </c>
      <c r="M554" s="20">
        <f>COUNTIFS(tData[SEHTrajectPeriodeDatumTijdVan],"&lt;="&amp;($A554+9/24),tData[SEHTrajectPeriodeDatumTijdTotEnMet],"&gt;"&amp;($A554+9/24))</f>
        <v/>
      </c>
      <c r="N554" s="20">
        <f>COUNTIFS(tData[SEHTrajectPeriodeDatumTijdVan],"&lt;="&amp;($A554+10/24),tData[SEHTrajectPeriodeDatumTijdTotEnMet],"&gt;"&amp;($A554+10/24))</f>
        <v/>
      </c>
      <c r="O554" s="20">
        <f>COUNTIFS(tData[SEHTrajectPeriodeDatumTijdVan],"&lt;="&amp;($A554+11/24),tData[SEHTrajectPeriodeDatumTijdTotEnMet],"&gt;"&amp;($A554+11/24))</f>
        <v/>
      </c>
      <c r="P554" s="20">
        <f>COUNTIFS(tData[SEHTrajectPeriodeDatumTijdVan],"&lt;="&amp;($A554+12/24),tData[SEHTrajectPeriodeDatumTijdTotEnMet],"&gt;"&amp;($A554+12/24))</f>
        <v/>
      </c>
      <c r="Q554" s="20">
        <f>COUNTIFS(tData[SEHTrajectPeriodeDatumTijdVan],"&lt;="&amp;($A554+13/24),tData[SEHTrajectPeriodeDatumTijdTotEnMet],"&gt;"&amp;($A554+13/24))</f>
        <v/>
      </c>
      <c r="R554" s="20">
        <f>COUNTIFS(tData[SEHTrajectPeriodeDatumTijdVan],"&lt;="&amp;($A554+14/24),tData[SEHTrajectPeriodeDatumTijdTotEnMet],"&gt;"&amp;($A554+14/24))</f>
        <v/>
      </c>
      <c r="S554" s="20">
        <f>COUNTIFS(tData[SEHTrajectPeriodeDatumTijdVan],"&lt;="&amp;($A554+15/24),tData[SEHTrajectPeriodeDatumTijdTotEnMet],"&gt;"&amp;($A554+15/24))</f>
        <v/>
      </c>
      <c r="T554" s="20">
        <f>COUNTIFS(tData[SEHTrajectPeriodeDatumTijdVan],"&lt;="&amp;($A554+16/24),tData[SEHTrajectPeriodeDatumTijdTotEnMet],"&gt;"&amp;($A554+16/24))</f>
        <v/>
      </c>
      <c r="U554" s="20">
        <f>COUNTIFS(tData[SEHTrajectPeriodeDatumTijdVan],"&lt;="&amp;($A554+17/24),tData[SEHTrajectPeriodeDatumTijdTotEnMet],"&gt;"&amp;($A554+17/24))</f>
        <v/>
      </c>
      <c r="V554" s="20">
        <f>COUNTIFS(tData[SEHTrajectPeriodeDatumTijdVan],"&lt;="&amp;($A554+18/24),tData[SEHTrajectPeriodeDatumTijdTotEnMet],"&gt;"&amp;($A554+18/24))</f>
        <v/>
      </c>
      <c r="W554" s="20">
        <f>COUNTIFS(tData[SEHTrajectPeriodeDatumTijdVan],"&lt;="&amp;($A554+19/24),tData[SEHTrajectPeriodeDatumTijdTotEnMet],"&gt;"&amp;($A554+19/24))</f>
        <v/>
      </c>
      <c r="X554" s="20">
        <f>COUNTIFS(tData[SEHTrajectPeriodeDatumTijdVan],"&lt;="&amp;($A554+20/24),tData[SEHTrajectPeriodeDatumTijdTotEnMet],"&gt;"&amp;($A554+20/24))</f>
        <v/>
      </c>
      <c r="Y554" s="20">
        <f>COUNTIFS(tData[SEHTrajectPeriodeDatumTijdVan],"&lt;="&amp;($A554+21/24),tData[SEHTrajectPeriodeDatumTijdTotEnMet],"&gt;"&amp;($A554+21/24))</f>
        <v/>
      </c>
      <c r="Z554" s="20">
        <f>COUNTIFS(tData[SEHTrajectPeriodeDatumTijdVan],"&lt;="&amp;($A554+22/24),tData[SEHTrajectPeriodeDatumTijdTotEnMet],"&gt;"&amp;($A554+22/24))</f>
        <v/>
      </c>
      <c r="AA554" s="20">
        <f>COUNTIFS(tData[SEHTrajectPeriodeDatumTijdVan],"&lt;="&amp;($A554+23/24),tData[SEHTrajectPeriodeDatumTijdTotEnMet],"&gt;"&amp;($A554+23/24))</f>
        <v/>
      </c>
    </row>
    <row r="555">
      <c r="A555" s="19" t="n">
        <v>45843</v>
      </c>
      <c r="B555" s="15">
        <f>WEEKDAY($A555,2)</f>
        <v/>
      </c>
      <c r="C555" s="15">
        <f>IF(AND($A555&gt;=INT(Instellingen!$B$5),$A555&lt;=INT(Instellingen!$B$6)),1,0)</f>
        <v/>
      </c>
      <c r="D555" s="20">
        <f>COUNTIFS(tData[SEHTrajectPeriodeDatumTijdVan],"&lt;="&amp;($A555+0/24),tData[SEHTrajectPeriodeDatumTijdTotEnMet],"&gt;"&amp;($A555+0/24))</f>
        <v/>
      </c>
      <c r="E555" s="20">
        <f>COUNTIFS(tData[SEHTrajectPeriodeDatumTijdVan],"&lt;="&amp;($A555+1/24),tData[SEHTrajectPeriodeDatumTijdTotEnMet],"&gt;"&amp;($A555+1/24))</f>
        <v/>
      </c>
      <c r="F555" s="20">
        <f>COUNTIFS(tData[SEHTrajectPeriodeDatumTijdVan],"&lt;="&amp;($A555+2/24),tData[SEHTrajectPeriodeDatumTijdTotEnMet],"&gt;"&amp;($A555+2/24))</f>
        <v/>
      </c>
      <c r="G555" s="20">
        <f>COUNTIFS(tData[SEHTrajectPeriodeDatumTijdVan],"&lt;="&amp;($A555+3/24),tData[SEHTrajectPeriodeDatumTijdTotEnMet],"&gt;"&amp;($A555+3/24))</f>
        <v/>
      </c>
      <c r="H555" s="20">
        <f>COUNTIFS(tData[SEHTrajectPeriodeDatumTijdVan],"&lt;="&amp;($A555+4/24),tData[SEHTrajectPeriodeDatumTijdTotEnMet],"&gt;"&amp;($A555+4/24))</f>
        <v/>
      </c>
      <c r="I555" s="20">
        <f>COUNTIFS(tData[SEHTrajectPeriodeDatumTijdVan],"&lt;="&amp;($A555+5/24),tData[SEHTrajectPeriodeDatumTijdTotEnMet],"&gt;"&amp;($A555+5/24))</f>
        <v/>
      </c>
      <c r="J555" s="20">
        <f>COUNTIFS(tData[SEHTrajectPeriodeDatumTijdVan],"&lt;="&amp;($A555+6/24),tData[SEHTrajectPeriodeDatumTijdTotEnMet],"&gt;"&amp;($A555+6/24))</f>
        <v/>
      </c>
      <c r="K555" s="20">
        <f>COUNTIFS(tData[SEHTrajectPeriodeDatumTijdVan],"&lt;="&amp;($A555+7/24),tData[SEHTrajectPeriodeDatumTijdTotEnMet],"&gt;"&amp;($A555+7/24))</f>
        <v/>
      </c>
      <c r="L555" s="20">
        <f>COUNTIFS(tData[SEHTrajectPeriodeDatumTijdVan],"&lt;="&amp;($A555+8/24),tData[SEHTrajectPeriodeDatumTijdTotEnMet],"&gt;"&amp;($A555+8/24))</f>
        <v/>
      </c>
      <c r="M555" s="20">
        <f>COUNTIFS(tData[SEHTrajectPeriodeDatumTijdVan],"&lt;="&amp;($A555+9/24),tData[SEHTrajectPeriodeDatumTijdTotEnMet],"&gt;"&amp;($A555+9/24))</f>
        <v/>
      </c>
      <c r="N555" s="20">
        <f>COUNTIFS(tData[SEHTrajectPeriodeDatumTijdVan],"&lt;="&amp;($A555+10/24),tData[SEHTrajectPeriodeDatumTijdTotEnMet],"&gt;"&amp;($A555+10/24))</f>
        <v/>
      </c>
      <c r="O555" s="20">
        <f>COUNTIFS(tData[SEHTrajectPeriodeDatumTijdVan],"&lt;="&amp;($A555+11/24),tData[SEHTrajectPeriodeDatumTijdTotEnMet],"&gt;"&amp;($A555+11/24))</f>
        <v/>
      </c>
      <c r="P555" s="20">
        <f>COUNTIFS(tData[SEHTrajectPeriodeDatumTijdVan],"&lt;="&amp;($A555+12/24),tData[SEHTrajectPeriodeDatumTijdTotEnMet],"&gt;"&amp;($A555+12/24))</f>
        <v/>
      </c>
      <c r="Q555" s="20">
        <f>COUNTIFS(tData[SEHTrajectPeriodeDatumTijdVan],"&lt;="&amp;($A555+13/24),tData[SEHTrajectPeriodeDatumTijdTotEnMet],"&gt;"&amp;($A555+13/24))</f>
        <v/>
      </c>
      <c r="R555" s="20">
        <f>COUNTIFS(tData[SEHTrajectPeriodeDatumTijdVan],"&lt;="&amp;($A555+14/24),tData[SEHTrajectPeriodeDatumTijdTotEnMet],"&gt;"&amp;($A555+14/24))</f>
        <v/>
      </c>
      <c r="S555" s="20">
        <f>COUNTIFS(tData[SEHTrajectPeriodeDatumTijdVan],"&lt;="&amp;($A555+15/24),tData[SEHTrajectPeriodeDatumTijdTotEnMet],"&gt;"&amp;($A555+15/24))</f>
        <v/>
      </c>
      <c r="T555" s="20">
        <f>COUNTIFS(tData[SEHTrajectPeriodeDatumTijdVan],"&lt;="&amp;($A555+16/24),tData[SEHTrajectPeriodeDatumTijdTotEnMet],"&gt;"&amp;($A555+16/24))</f>
        <v/>
      </c>
      <c r="U555" s="20">
        <f>COUNTIFS(tData[SEHTrajectPeriodeDatumTijdVan],"&lt;="&amp;($A555+17/24),tData[SEHTrajectPeriodeDatumTijdTotEnMet],"&gt;"&amp;($A555+17/24))</f>
        <v/>
      </c>
      <c r="V555" s="20">
        <f>COUNTIFS(tData[SEHTrajectPeriodeDatumTijdVan],"&lt;="&amp;($A555+18/24),tData[SEHTrajectPeriodeDatumTijdTotEnMet],"&gt;"&amp;($A555+18/24))</f>
        <v/>
      </c>
      <c r="W555" s="20">
        <f>COUNTIFS(tData[SEHTrajectPeriodeDatumTijdVan],"&lt;="&amp;($A555+19/24),tData[SEHTrajectPeriodeDatumTijdTotEnMet],"&gt;"&amp;($A555+19/24))</f>
        <v/>
      </c>
      <c r="X555" s="20">
        <f>COUNTIFS(tData[SEHTrajectPeriodeDatumTijdVan],"&lt;="&amp;($A555+20/24),tData[SEHTrajectPeriodeDatumTijdTotEnMet],"&gt;"&amp;($A555+20/24))</f>
        <v/>
      </c>
      <c r="Y555" s="20">
        <f>COUNTIFS(tData[SEHTrajectPeriodeDatumTijdVan],"&lt;="&amp;($A555+21/24),tData[SEHTrajectPeriodeDatumTijdTotEnMet],"&gt;"&amp;($A555+21/24))</f>
        <v/>
      </c>
      <c r="Z555" s="20">
        <f>COUNTIFS(tData[SEHTrajectPeriodeDatumTijdVan],"&lt;="&amp;($A555+22/24),tData[SEHTrajectPeriodeDatumTijdTotEnMet],"&gt;"&amp;($A555+22/24))</f>
        <v/>
      </c>
      <c r="AA555" s="20">
        <f>COUNTIFS(tData[SEHTrajectPeriodeDatumTijdVan],"&lt;="&amp;($A555+23/24),tData[SEHTrajectPeriodeDatumTijdTotEnMet],"&gt;"&amp;($A555+23/24))</f>
        <v/>
      </c>
    </row>
    <row r="556">
      <c r="A556" s="19" t="n">
        <v>45844</v>
      </c>
      <c r="B556" s="15">
        <f>WEEKDAY($A556,2)</f>
        <v/>
      </c>
      <c r="C556" s="15">
        <f>IF(AND($A556&gt;=INT(Instellingen!$B$5),$A556&lt;=INT(Instellingen!$B$6)),1,0)</f>
        <v/>
      </c>
      <c r="D556" s="20">
        <f>COUNTIFS(tData[SEHTrajectPeriodeDatumTijdVan],"&lt;="&amp;($A556+0/24),tData[SEHTrajectPeriodeDatumTijdTotEnMet],"&gt;"&amp;($A556+0/24))</f>
        <v/>
      </c>
      <c r="E556" s="20">
        <f>COUNTIFS(tData[SEHTrajectPeriodeDatumTijdVan],"&lt;="&amp;($A556+1/24),tData[SEHTrajectPeriodeDatumTijdTotEnMet],"&gt;"&amp;($A556+1/24))</f>
        <v/>
      </c>
      <c r="F556" s="20">
        <f>COUNTIFS(tData[SEHTrajectPeriodeDatumTijdVan],"&lt;="&amp;($A556+2/24),tData[SEHTrajectPeriodeDatumTijdTotEnMet],"&gt;"&amp;($A556+2/24))</f>
        <v/>
      </c>
      <c r="G556" s="20">
        <f>COUNTIFS(tData[SEHTrajectPeriodeDatumTijdVan],"&lt;="&amp;($A556+3/24),tData[SEHTrajectPeriodeDatumTijdTotEnMet],"&gt;"&amp;($A556+3/24))</f>
        <v/>
      </c>
      <c r="H556" s="20">
        <f>COUNTIFS(tData[SEHTrajectPeriodeDatumTijdVan],"&lt;="&amp;($A556+4/24),tData[SEHTrajectPeriodeDatumTijdTotEnMet],"&gt;"&amp;($A556+4/24))</f>
        <v/>
      </c>
      <c r="I556" s="20">
        <f>COUNTIFS(tData[SEHTrajectPeriodeDatumTijdVan],"&lt;="&amp;($A556+5/24),tData[SEHTrajectPeriodeDatumTijdTotEnMet],"&gt;"&amp;($A556+5/24))</f>
        <v/>
      </c>
      <c r="J556" s="20">
        <f>COUNTIFS(tData[SEHTrajectPeriodeDatumTijdVan],"&lt;="&amp;($A556+6/24),tData[SEHTrajectPeriodeDatumTijdTotEnMet],"&gt;"&amp;($A556+6/24))</f>
        <v/>
      </c>
      <c r="K556" s="20">
        <f>COUNTIFS(tData[SEHTrajectPeriodeDatumTijdVan],"&lt;="&amp;($A556+7/24),tData[SEHTrajectPeriodeDatumTijdTotEnMet],"&gt;"&amp;($A556+7/24))</f>
        <v/>
      </c>
      <c r="L556" s="20">
        <f>COUNTIFS(tData[SEHTrajectPeriodeDatumTijdVan],"&lt;="&amp;($A556+8/24),tData[SEHTrajectPeriodeDatumTijdTotEnMet],"&gt;"&amp;($A556+8/24))</f>
        <v/>
      </c>
      <c r="M556" s="20">
        <f>COUNTIFS(tData[SEHTrajectPeriodeDatumTijdVan],"&lt;="&amp;($A556+9/24),tData[SEHTrajectPeriodeDatumTijdTotEnMet],"&gt;"&amp;($A556+9/24))</f>
        <v/>
      </c>
      <c r="N556" s="20">
        <f>COUNTIFS(tData[SEHTrajectPeriodeDatumTijdVan],"&lt;="&amp;($A556+10/24),tData[SEHTrajectPeriodeDatumTijdTotEnMet],"&gt;"&amp;($A556+10/24))</f>
        <v/>
      </c>
      <c r="O556" s="20">
        <f>COUNTIFS(tData[SEHTrajectPeriodeDatumTijdVan],"&lt;="&amp;($A556+11/24),tData[SEHTrajectPeriodeDatumTijdTotEnMet],"&gt;"&amp;($A556+11/24))</f>
        <v/>
      </c>
      <c r="P556" s="20">
        <f>COUNTIFS(tData[SEHTrajectPeriodeDatumTijdVan],"&lt;="&amp;($A556+12/24),tData[SEHTrajectPeriodeDatumTijdTotEnMet],"&gt;"&amp;($A556+12/24))</f>
        <v/>
      </c>
      <c r="Q556" s="20">
        <f>COUNTIFS(tData[SEHTrajectPeriodeDatumTijdVan],"&lt;="&amp;($A556+13/24),tData[SEHTrajectPeriodeDatumTijdTotEnMet],"&gt;"&amp;($A556+13/24))</f>
        <v/>
      </c>
      <c r="R556" s="20">
        <f>COUNTIFS(tData[SEHTrajectPeriodeDatumTijdVan],"&lt;="&amp;($A556+14/24),tData[SEHTrajectPeriodeDatumTijdTotEnMet],"&gt;"&amp;($A556+14/24))</f>
        <v/>
      </c>
      <c r="S556" s="20">
        <f>COUNTIFS(tData[SEHTrajectPeriodeDatumTijdVan],"&lt;="&amp;($A556+15/24),tData[SEHTrajectPeriodeDatumTijdTotEnMet],"&gt;"&amp;($A556+15/24))</f>
        <v/>
      </c>
      <c r="T556" s="20">
        <f>COUNTIFS(tData[SEHTrajectPeriodeDatumTijdVan],"&lt;="&amp;($A556+16/24),tData[SEHTrajectPeriodeDatumTijdTotEnMet],"&gt;"&amp;($A556+16/24))</f>
        <v/>
      </c>
      <c r="U556" s="20">
        <f>COUNTIFS(tData[SEHTrajectPeriodeDatumTijdVan],"&lt;="&amp;($A556+17/24),tData[SEHTrajectPeriodeDatumTijdTotEnMet],"&gt;"&amp;($A556+17/24))</f>
        <v/>
      </c>
      <c r="V556" s="20">
        <f>COUNTIFS(tData[SEHTrajectPeriodeDatumTijdVan],"&lt;="&amp;($A556+18/24),tData[SEHTrajectPeriodeDatumTijdTotEnMet],"&gt;"&amp;($A556+18/24))</f>
        <v/>
      </c>
      <c r="W556" s="20">
        <f>COUNTIFS(tData[SEHTrajectPeriodeDatumTijdVan],"&lt;="&amp;($A556+19/24),tData[SEHTrajectPeriodeDatumTijdTotEnMet],"&gt;"&amp;($A556+19/24))</f>
        <v/>
      </c>
      <c r="X556" s="20">
        <f>COUNTIFS(tData[SEHTrajectPeriodeDatumTijdVan],"&lt;="&amp;($A556+20/24),tData[SEHTrajectPeriodeDatumTijdTotEnMet],"&gt;"&amp;($A556+20/24))</f>
        <v/>
      </c>
      <c r="Y556" s="20">
        <f>COUNTIFS(tData[SEHTrajectPeriodeDatumTijdVan],"&lt;="&amp;($A556+21/24),tData[SEHTrajectPeriodeDatumTijdTotEnMet],"&gt;"&amp;($A556+21/24))</f>
        <v/>
      </c>
      <c r="Z556" s="20">
        <f>COUNTIFS(tData[SEHTrajectPeriodeDatumTijdVan],"&lt;="&amp;($A556+22/24),tData[SEHTrajectPeriodeDatumTijdTotEnMet],"&gt;"&amp;($A556+22/24))</f>
        <v/>
      </c>
      <c r="AA556" s="20">
        <f>COUNTIFS(tData[SEHTrajectPeriodeDatumTijdVan],"&lt;="&amp;($A556+23/24),tData[SEHTrajectPeriodeDatumTijdTotEnMet],"&gt;"&amp;($A556+23/24))</f>
        <v/>
      </c>
    </row>
    <row r="557">
      <c r="A557" s="19" t="n">
        <v>45845</v>
      </c>
      <c r="B557" s="15">
        <f>WEEKDAY($A557,2)</f>
        <v/>
      </c>
      <c r="C557" s="15">
        <f>IF(AND($A557&gt;=INT(Instellingen!$B$5),$A557&lt;=INT(Instellingen!$B$6)),1,0)</f>
        <v/>
      </c>
      <c r="D557" s="20">
        <f>COUNTIFS(tData[SEHTrajectPeriodeDatumTijdVan],"&lt;="&amp;($A557+0/24),tData[SEHTrajectPeriodeDatumTijdTotEnMet],"&gt;"&amp;($A557+0/24))</f>
        <v/>
      </c>
      <c r="E557" s="20">
        <f>COUNTIFS(tData[SEHTrajectPeriodeDatumTijdVan],"&lt;="&amp;($A557+1/24),tData[SEHTrajectPeriodeDatumTijdTotEnMet],"&gt;"&amp;($A557+1/24))</f>
        <v/>
      </c>
      <c r="F557" s="20">
        <f>COUNTIFS(tData[SEHTrajectPeriodeDatumTijdVan],"&lt;="&amp;($A557+2/24),tData[SEHTrajectPeriodeDatumTijdTotEnMet],"&gt;"&amp;($A557+2/24))</f>
        <v/>
      </c>
      <c r="G557" s="20">
        <f>COUNTIFS(tData[SEHTrajectPeriodeDatumTijdVan],"&lt;="&amp;($A557+3/24),tData[SEHTrajectPeriodeDatumTijdTotEnMet],"&gt;"&amp;($A557+3/24))</f>
        <v/>
      </c>
      <c r="H557" s="20">
        <f>COUNTIFS(tData[SEHTrajectPeriodeDatumTijdVan],"&lt;="&amp;($A557+4/24),tData[SEHTrajectPeriodeDatumTijdTotEnMet],"&gt;"&amp;($A557+4/24))</f>
        <v/>
      </c>
      <c r="I557" s="20">
        <f>COUNTIFS(tData[SEHTrajectPeriodeDatumTijdVan],"&lt;="&amp;($A557+5/24),tData[SEHTrajectPeriodeDatumTijdTotEnMet],"&gt;"&amp;($A557+5/24))</f>
        <v/>
      </c>
      <c r="J557" s="20">
        <f>COUNTIFS(tData[SEHTrajectPeriodeDatumTijdVan],"&lt;="&amp;($A557+6/24),tData[SEHTrajectPeriodeDatumTijdTotEnMet],"&gt;"&amp;($A557+6/24))</f>
        <v/>
      </c>
      <c r="K557" s="20">
        <f>COUNTIFS(tData[SEHTrajectPeriodeDatumTijdVan],"&lt;="&amp;($A557+7/24),tData[SEHTrajectPeriodeDatumTijdTotEnMet],"&gt;"&amp;($A557+7/24))</f>
        <v/>
      </c>
      <c r="L557" s="20">
        <f>COUNTIFS(tData[SEHTrajectPeriodeDatumTijdVan],"&lt;="&amp;($A557+8/24),tData[SEHTrajectPeriodeDatumTijdTotEnMet],"&gt;"&amp;($A557+8/24))</f>
        <v/>
      </c>
      <c r="M557" s="20">
        <f>COUNTIFS(tData[SEHTrajectPeriodeDatumTijdVan],"&lt;="&amp;($A557+9/24),tData[SEHTrajectPeriodeDatumTijdTotEnMet],"&gt;"&amp;($A557+9/24))</f>
        <v/>
      </c>
      <c r="N557" s="20">
        <f>COUNTIFS(tData[SEHTrajectPeriodeDatumTijdVan],"&lt;="&amp;($A557+10/24),tData[SEHTrajectPeriodeDatumTijdTotEnMet],"&gt;"&amp;($A557+10/24))</f>
        <v/>
      </c>
      <c r="O557" s="20">
        <f>COUNTIFS(tData[SEHTrajectPeriodeDatumTijdVan],"&lt;="&amp;($A557+11/24),tData[SEHTrajectPeriodeDatumTijdTotEnMet],"&gt;"&amp;($A557+11/24))</f>
        <v/>
      </c>
      <c r="P557" s="20">
        <f>COUNTIFS(tData[SEHTrajectPeriodeDatumTijdVan],"&lt;="&amp;($A557+12/24),tData[SEHTrajectPeriodeDatumTijdTotEnMet],"&gt;"&amp;($A557+12/24))</f>
        <v/>
      </c>
      <c r="Q557" s="20">
        <f>COUNTIFS(tData[SEHTrajectPeriodeDatumTijdVan],"&lt;="&amp;($A557+13/24),tData[SEHTrajectPeriodeDatumTijdTotEnMet],"&gt;"&amp;($A557+13/24))</f>
        <v/>
      </c>
      <c r="R557" s="20">
        <f>COUNTIFS(tData[SEHTrajectPeriodeDatumTijdVan],"&lt;="&amp;($A557+14/24),tData[SEHTrajectPeriodeDatumTijdTotEnMet],"&gt;"&amp;($A557+14/24))</f>
        <v/>
      </c>
      <c r="S557" s="20">
        <f>COUNTIFS(tData[SEHTrajectPeriodeDatumTijdVan],"&lt;="&amp;($A557+15/24),tData[SEHTrajectPeriodeDatumTijdTotEnMet],"&gt;"&amp;($A557+15/24))</f>
        <v/>
      </c>
      <c r="T557" s="20">
        <f>COUNTIFS(tData[SEHTrajectPeriodeDatumTijdVan],"&lt;="&amp;($A557+16/24),tData[SEHTrajectPeriodeDatumTijdTotEnMet],"&gt;"&amp;($A557+16/24))</f>
        <v/>
      </c>
      <c r="U557" s="20">
        <f>COUNTIFS(tData[SEHTrajectPeriodeDatumTijdVan],"&lt;="&amp;($A557+17/24),tData[SEHTrajectPeriodeDatumTijdTotEnMet],"&gt;"&amp;($A557+17/24))</f>
        <v/>
      </c>
      <c r="V557" s="20">
        <f>COUNTIFS(tData[SEHTrajectPeriodeDatumTijdVan],"&lt;="&amp;($A557+18/24),tData[SEHTrajectPeriodeDatumTijdTotEnMet],"&gt;"&amp;($A557+18/24))</f>
        <v/>
      </c>
      <c r="W557" s="20">
        <f>COUNTIFS(tData[SEHTrajectPeriodeDatumTijdVan],"&lt;="&amp;($A557+19/24),tData[SEHTrajectPeriodeDatumTijdTotEnMet],"&gt;"&amp;($A557+19/24))</f>
        <v/>
      </c>
      <c r="X557" s="20">
        <f>COUNTIFS(tData[SEHTrajectPeriodeDatumTijdVan],"&lt;="&amp;($A557+20/24),tData[SEHTrajectPeriodeDatumTijdTotEnMet],"&gt;"&amp;($A557+20/24))</f>
        <v/>
      </c>
      <c r="Y557" s="20">
        <f>COUNTIFS(tData[SEHTrajectPeriodeDatumTijdVan],"&lt;="&amp;($A557+21/24),tData[SEHTrajectPeriodeDatumTijdTotEnMet],"&gt;"&amp;($A557+21/24))</f>
        <v/>
      </c>
      <c r="Z557" s="20">
        <f>COUNTIFS(tData[SEHTrajectPeriodeDatumTijdVan],"&lt;="&amp;($A557+22/24),tData[SEHTrajectPeriodeDatumTijdTotEnMet],"&gt;"&amp;($A557+22/24))</f>
        <v/>
      </c>
      <c r="AA557" s="20">
        <f>COUNTIFS(tData[SEHTrajectPeriodeDatumTijdVan],"&lt;="&amp;($A557+23/24),tData[SEHTrajectPeriodeDatumTijdTotEnMet],"&gt;"&amp;($A557+23/24))</f>
        <v/>
      </c>
    </row>
    <row r="558">
      <c r="A558" s="19" t="n">
        <v>45846</v>
      </c>
      <c r="B558" s="15">
        <f>WEEKDAY($A558,2)</f>
        <v/>
      </c>
      <c r="C558" s="15">
        <f>IF(AND($A558&gt;=INT(Instellingen!$B$5),$A558&lt;=INT(Instellingen!$B$6)),1,0)</f>
        <v/>
      </c>
      <c r="D558" s="20">
        <f>COUNTIFS(tData[SEHTrajectPeriodeDatumTijdVan],"&lt;="&amp;($A558+0/24),tData[SEHTrajectPeriodeDatumTijdTotEnMet],"&gt;"&amp;($A558+0/24))</f>
        <v/>
      </c>
      <c r="E558" s="20">
        <f>COUNTIFS(tData[SEHTrajectPeriodeDatumTijdVan],"&lt;="&amp;($A558+1/24),tData[SEHTrajectPeriodeDatumTijdTotEnMet],"&gt;"&amp;($A558+1/24))</f>
        <v/>
      </c>
      <c r="F558" s="20">
        <f>COUNTIFS(tData[SEHTrajectPeriodeDatumTijdVan],"&lt;="&amp;($A558+2/24),tData[SEHTrajectPeriodeDatumTijdTotEnMet],"&gt;"&amp;($A558+2/24))</f>
        <v/>
      </c>
      <c r="G558" s="20">
        <f>COUNTIFS(tData[SEHTrajectPeriodeDatumTijdVan],"&lt;="&amp;($A558+3/24),tData[SEHTrajectPeriodeDatumTijdTotEnMet],"&gt;"&amp;($A558+3/24))</f>
        <v/>
      </c>
      <c r="H558" s="20">
        <f>COUNTIFS(tData[SEHTrajectPeriodeDatumTijdVan],"&lt;="&amp;($A558+4/24),tData[SEHTrajectPeriodeDatumTijdTotEnMet],"&gt;"&amp;($A558+4/24))</f>
        <v/>
      </c>
      <c r="I558" s="20">
        <f>COUNTIFS(tData[SEHTrajectPeriodeDatumTijdVan],"&lt;="&amp;($A558+5/24),tData[SEHTrajectPeriodeDatumTijdTotEnMet],"&gt;"&amp;($A558+5/24))</f>
        <v/>
      </c>
      <c r="J558" s="20">
        <f>COUNTIFS(tData[SEHTrajectPeriodeDatumTijdVan],"&lt;="&amp;($A558+6/24),tData[SEHTrajectPeriodeDatumTijdTotEnMet],"&gt;"&amp;($A558+6/24))</f>
        <v/>
      </c>
      <c r="K558" s="20">
        <f>COUNTIFS(tData[SEHTrajectPeriodeDatumTijdVan],"&lt;="&amp;($A558+7/24),tData[SEHTrajectPeriodeDatumTijdTotEnMet],"&gt;"&amp;($A558+7/24))</f>
        <v/>
      </c>
      <c r="L558" s="20">
        <f>COUNTIFS(tData[SEHTrajectPeriodeDatumTijdVan],"&lt;="&amp;($A558+8/24),tData[SEHTrajectPeriodeDatumTijdTotEnMet],"&gt;"&amp;($A558+8/24))</f>
        <v/>
      </c>
      <c r="M558" s="20">
        <f>COUNTIFS(tData[SEHTrajectPeriodeDatumTijdVan],"&lt;="&amp;($A558+9/24),tData[SEHTrajectPeriodeDatumTijdTotEnMet],"&gt;"&amp;($A558+9/24))</f>
        <v/>
      </c>
      <c r="N558" s="20">
        <f>COUNTIFS(tData[SEHTrajectPeriodeDatumTijdVan],"&lt;="&amp;($A558+10/24),tData[SEHTrajectPeriodeDatumTijdTotEnMet],"&gt;"&amp;($A558+10/24))</f>
        <v/>
      </c>
      <c r="O558" s="20">
        <f>COUNTIFS(tData[SEHTrajectPeriodeDatumTijdVan],"&lt;="&amp;($A558+11/24),tData[SEHTrajectPeriodeDatumTijdTotEnMet],"&gt;"&amp;($A558+11/24))</f>
        <v/>
      </c>
      <c r="P558" s="20">
        <f>COUNTIFS(tData[SEHTrajectPeriodeDatumTijdVan],"&lt;="&amp;($A558+12/24),tData[SEHTrajectPeriodeDatumTijdTotEnMet],"&gt;"&amp;($A558+12/24))</f>
        <v/>
      </c>
      <c r="Q558" s="20">
        <f>COUNTIFS(tData[SEHTrajectPeriodeDatumTijdVan],"&lt;="&amp;($A558+13/24),tData[SEHTrajectPeriodeDatumTijdTotEnMet],"&gt;"&amp;($A558+13/24))</f>
        <v/>
      </c>
      <c r="R558" s="20">
        <f>COUNTIFS(tData[SEHTrajectPeriodeDatumTijdVan],"&lt;="&amp;($A558+14/24),tData[SEHTrajectPeriodeDatumTijdTotEnMet],"&gt;"&amp;($A558+14/24))</f>
        <v/>
      </c>
      <c r="S558" s="20">
        <f>COUNTIFS(tData[SEHTrajectPeriodeDatumTijdVan],"&lt;="&amp;($A558+15/24),tData[SEHTrajectPeriodeDatumTijdTotEnMet],"&gt;"&amp;($A558+15/24))</f>
        <v/>
      </c>
      <c r="T558" s="20">
        <f>COUNTIFS(tData[SEHTrajectPeriodeDatumTijdVan],"&lt;="&amp;($A558+16/24),tData[SEHTrajectPeriodeDatumTijdTotEnMet],"&gt;"&amp;($A558+16/24))</f>
        <v/>
      </c>
      <c r="U558" s="20">
        <f>COUNTIFS(tData[SEHTrajectPeriodeDatumTijdVan],"&lt;="&amp;($A558+17/24),tData[SEHTrajectPeriodeDatumTijdTotEnMet],"&gt;"&amp;($A558+17/24))</f>
        <v/>
      </c>
      <c r="V558" s="20">
        <f>COUNTIFS(tData[SEHTrajectPeriodeDatumTijdVan],"&lt;="&amp;($A558+18/24),tData[SEHTrajectPeriodeDatumTijdTotEnMet],"&gt;"&amp;($A558+18/24))</f>
        <v/>
      </c>
      <c r="W558" s="20">
        <f>COUNTIFS(tData[SEHTrajectPeriodeDatumTijdVan],"&lt;="&amp;($A558+19/24),tData[SEHTrajectPeriodeDatumTijdTotEnMet],"&gt;"&amp;($A558+19/24))</f>
        <v/>
      </c>
      <c r="X558" s="20">
        <f>COUNTIFS(tData[SEHTrajectPeriodeDatumTijdVan],"&lt;="&amp;($A558+20/24),tData[SEHTrajectPeriodeDatumTijdTotEnMet],"&gt;"&amp;($A558+20/24))</f>
        <v/>
      </c>
      <c r="Y558" s="20">
        <f>COUNTIFS(tData[SEHTrajectPeriodeDatumTijdVan],"&lt;="&amp;($A558+21/24),tData[SEHTrajectPeriodeDatumTijdTotEnMet],"&gt;"&amp;($A558+21/24))</f>
        <v/>
      </c>
      <c r="Z558" s="20">
        <f>COUNTIFS(tData[SEHTrajectPeriodeDatumTijdVan],"&lt;="&amp;($A558+22/24),tData[SEHTrajectPeriodeDatumTijdTotEnMet],"&gt;"&amp;($A558+22/24))</f>
        <v/>
      </c>
      <c r="AA558" s="20">
        <f>COUNTIFS(tData[SEHTrajectPeriodeDatumTijdVan],"&lt;="&amp;($A558+23/24),tData[SEHTrajectPeriodeDatumTijdTotEnMet],"&gt;"&amp;($A558+23/24))</f>
        <v/>
      </c>
    </row>
    <row r="559">
      <c r="A559" s="19" t="n">
        <v>45847</v>
      </c>
      <c r="B559" s="15">
        <f>WEEKDAY($A559,2)</f>
        <v/>
      </c>
      <c r="C559" s="15">
        <f>IF(AND($A559&gt;=INT(Instellingen!$B$5),$A559&lt;=INT(Instellingen!$B$6)),1,0)</f>
        <v/>
      </c>
      <c r="D559" s="20">
        <f>COUNTIFS(tData[SEHTrajectPeriodeDatumTijdVan],"&lt;="&amp;($A559+0/24),tData[SEHTrajectPeriodeDatumTijdTotEnMet],"&gt;"&amp;($A559+0/24))</f>
        <v/>
      </c>
      <c r="E559" s="20">
        <f>COUNTIFS(tData[SEHTrajectPeriodeDatumTijdVan],"&lt;="&amp;($A559+1/24),tData[SEHTrajectPeriodeDatumTijdTotEnMet],"&gt;"&amp;($A559+1/24))</f>
        <v/>
      </c>
      <c r="F559" s="20">
        <f>COUNTIFS(tData[SEHTrajectPeriodeDatumTijdVan],"&lt;="&amp;($A559+2/24),tData[SEHTrajectPeriodeDatumTijdTotEnMet],"&gt;"&amp;($A559+2/24))</f>
        <v/>
      </c>
      <c r="G559" s="20">
        <f>COUNTIFS(tData[SEHTrajectPeriodeDatumTijdVan],"&lt;="&amp;($A559+3/24),tData[SEHTrajectPeriodeDatumTijdTotEnMet],"&gt;"&amp;($A559+3/24))</f>
        <v/>
      </c>
      <c r="H559" s="20">
        <f>COUNTIFS(tData[SEHTrajectPeriodeDatumTijdVan],"&lt;="&amp;($A559+4/24),tData[SEHTrajectPeriodeDatumTijdTotEnMet],"&gt;"&amp;($A559+4/24))</f>
        <v/>
      </c>
      <c r="I559" s="20">
        <f>COUNTIFS(tData[SEHTrajectPeriodeDatumTijdVan],"&lt;="&amp;($A559+5/24),tData[SEHTrajectPeriodeDatumTijdTotEnMet],"&gt;"&amp;($A559+5/24))</f>
        <v/>
      </c>
      <c r="J559" s="20">
        <f>COUNTIFS(tData[SEHTrajectPeriodeDatumTijdVan],"&lt;="&amp;($A559+6/24),tData[SEHTrajectPeriodeDatumTijdTotEnMet],"&gt;"&amp;($A559+6/24))</f>
        <v/>
      </c>
      <c r="K559" s="20">
        <f>COUNTIFS(tData[SEHTrajectPeriodeDatumTijdVan],"&lt;="&amp;($A559+7/24),tData[SEHTrajectPeriodeDatumTijdTotEnMet],"&gt;"&amp;($A559+7/24))</f>
        <v/>
      </c>
      <c r="L559" s="20">
        <f>COUNTIFS(tData[SEHTrajectPeriodeDatumTijdVan],"&lt;="&amp;($A559+8/24),tData[SEHTrajectPeriodeDatumTijdTotEnMet],"&gt;"&amp;($A559+8/24))</f>
        <v/>
      </c>
      <c r="M559" s="20">
        <f>COUNTIFS(tData[SEHTrajectPeriodeDatumTijdVan],"&lt;="&amp;($A559+9/24),tData[SEHTrajectPeriodeDatumTijdTotEnMet],"&gt;"&amp;($A559+9/24))</f>
        <v/>
      </c>
      <c r="N559" s="20">
        <f>COUNTIFS(tData[SEHTrajectPeriodeDatumTijdVan],"&lt;="&amp;($A559+10/24),tData[SEHTrajectPeriodeDatumTijdTotEnMet],"&gt;"&amp;($A559+10/24))</f>
        <v/>
      </c>
      <c r="O559" s="20">
        <f>COUNTIFS(tData[SEHTrajectPeriodeDatumTijdVan],"&lt;="&amp;($A559+11/24),tData[SEHTrajectPeriodeDatumTijdTotEnMet],"&gt;"&amp;($A559+11/24))</f>
        <v/>
      </c>
      <c r="P559" s="20">
        <f>COUNTIFS(tData[SEHTrajectPeriodeDatumTijdVan],"&lt;="&amp;($A559+12/24),tData[SEHTrajectPeriodeDatumTijdTotEnMet],"&gt;"&amp;($A559+12/24))</f>
        <v/>
      </c>
      <c r="Q559" s="20">
        <f>COUNTIFS(tData[SEHTrajectPeriodeDatumTijdVan],"&lt;="&amp;($A559+13/24),tData[SEHTrajectPeriodeDatumTijdTotEnMet],"&gt;"&amp;($A559+13/24))</f>
        <v/>
      </c>
      <c r="R559" s="20">
        <f>COUNTIFS(tData[SEHTrajectPeriodeDatumTijdVan],"&lt;="&amp;($A559+14/24),tData[SEHTrajectPeriodeDatumTijdTotEnMet],"&gt;"&amp;($A559+14/24))</f>
        <v/>
      </c>
      <c r="S559" s="20">
        <f>COUNTIFS(tData[SEHTrajectPeriodeDatumTijdVan],"&lt;="&amp;($A559+15/24),tData[SEHTrajectPeriodeDatumTijdTotEnMet],"&gt;"&amp;($A559+15/24))</f>
        <v/>
      </c>
      <c r="T559" s="20">
        <f>COUNTIFS(tData[SEHTrajectPeriodeDatumTijdVan],"&lt;="&amp;($A559+16/24),tData[SEHTrajectPeriodeDatumTijdTotEnMet],"&gt;"&amp;($A559+16/24))</f>
        <v/>
      </c>
      <c r="U559" s="20">
        <f>COUNTIFS(tData[SEHTrajectPeriodeDatumTijdVan],"&lt;="&amp;($A559+17/24),tData[SEHTrajectPeriodeDatumTijdTotEnMet],"&gt;"&amp;($A559+17/24))</f>
        <v/>
      </c>
      <c r="V559" s="20">
        <f>COUNTIFS(tData[SEHTrajectPeriodeDatumTijdVan],"&lt;="&amp;($A559+18/24),tData[SEHTrajectPeriodeDatumTijdTotEnMet],"&gt;"&amp;($A559+18/24))</f>
        <v/>
      </c>
      <c r="W559" s="20">
        <f>COUNTIFS(tData[SEHTrajectPeriodeDatumTijdVan],"&lt;="&amp;($A559+19/24),tData[SEHTrajectPeriodeDatumTijdTotEnMet],"&gt;"&amp;($A559+19/24))</f>
        <v/>
      </c>
      <c r="X559" s="20">
        <f>COUNTIFS(tData[SEHTrajectPeriodeDatumTijdVan],"&lt;="&amp;($A559+20/24),tData[SEHTrajectPeriodeDatumTijdTotEnMet],"&gt;"&amp;($A559+20/24))</f>
        <v/>
      </c>
      <c r="Y559" s="20">
        <f>COUNTIFS(tData[SEHTrajectPeriodeDatumTijdVan],"&lt;="&amp;($A559+21/24),tData[SEHTrajectPeriodeDatumTijdTotEnMet],"&gt;"&amp;($A559+21/24))</f>
        <v/>
      </c>
      <c r="Z559" s="20">
        <f>COUNTIFS(tData[SEHTrajectPeriodeDatumTijdVan],"&lt;="&amp;($A559+22/24),tData[SEHTrajectPeriodeDatumTijdTotEnMet],"&gt;"&amp;($A559+22/24))</f>
        <v/>
      </c>
      <c r="AA559" s="20">
        <f>COUNTIFS(tData[SEHTrajectPeriodeDatumTijdVan],"&lt;="&amp;($A559+23/24),tData[SEHTrajectPeriodeDatumTijdTotEnMet],"&gt;"&amp;($A559+23/24))</f>
        <v/>
      </c>
    </row>
    <row r="560">
      <c r="A560" s="19" t="n">
        <v>45848</v>
      </c>
      <c r="B560" s="15">
        <f>WEEKDAY($A560,2)</f>
        <v/>
      </c>
      <c r="C560" s="15">
        <f>IF(AND($A560&gt;=INT(Instellingen!$B$5),$A560&lt;=INT(Instellingen!$B$6)),1,0)</f>
        <v/>
      </c>
      <c r="D560" s="20">
        <f>COUNTIFS(tData[SEHTrajectPeriodeDatumTijdVan],"&lt;="&amp;($A560+0/24),tData[SEHTrajectPeriodeDatumTijdTotEnMet],"&gt;"&amp;($A560+0/24))</f>
        <v/>
      </c>
      <c r="E560" s="20">
        <f>COUNTIFS(tData[SEHTrajectPeriodeDatumTijdVan],"&lt;="&amp;($A560+1/24),tData[SEHTrajectPeriodeDatumTijdTotEnMet],"&gt;"&amp;($A560+1/24))</f>
        <v/>
      </c>
      <c r="F560" s="20">
        <f>COUNTIFS(tData[SEHTrajectPeriodeDatumTijdVan],"&lt;="&amp;($A560+2/24),tData[SEHTrajectPeriodeDatumTijdTotEnMet],"&gt;"&amp;($A560+2/24))</f>
        <v/>
      </c>
      <c r="G560" s="20">
        <f>COUNTIFS(tData[SEHTrajectPeriodeDatumTijdVan],"&lt;="&amp;($A560+3/24),tData[SEHTrajectPeriodeDatumTijdTotEnMet],"&gt;"&amp;($A560+3/24))</f>
        <v/>
      </c>
      <c r="H560" s="20">
        <f>COUNTIFS(tData[SEHTrajectPeriodeDatumTijdVan],"&lt;="&amp;($A560+4/24),tData[SEHTrajectPeriodeDatumTijdTotEnMet],"&gt;"&amp;($A560+4/24))</f>
        <v/>
      </c>
      <c r="I560" s="20">
        <f>COUNTIFS(tData[SEHTrajectPeriodeDatumTijdVan],"&lt;="&amp;($A560+5/24),tData[SEHTrajectPeriodeDatumTijdTotEnMet],"&gt;"&amp;($A560+5/24))</f>
        <v/>
      </c>
      <c r="J560" s="20">
        <f>COUNTIFS(tData[SEHTrajectPeriodeDatumTijdVan],"&lt;="&amp;($A560+6/24),tData[SEHTrajectPeriodeDatumTijdTotEnMet],"&gt;"&amp;($A560+6/24))</f>
        <v/>
      </c>
      <c r="K560" s="20">
        <f>COUNTIFS(tData[SEHTrajectPeriodeDatumTijdVan],"&lt;="&amp;($A560+7/24),tData[SEHTrajectPeriodeDatumTijdTotEnMet],"&gt;"&amp;($A560+7/24))</f>
        <v/>
      </c>
      <c r="L560" s="20">
        <f>COUNTIFS(tData[SEHTrajectPeriodeDatumTijdVan],"&lt;="&amp;($A560+8/24),tData[SEHTrajectPeriodeDatumTijdTotEnMet],"&gt;"&amp;($A560+8/24))</f>
        <v/>
      </c>
      <c r="M560" s="20">
        <f>COUNTIFS(tData[SEHTrajectPeriodeDatumTijdVan],"&lt;="&amp;($A560+9/24),tData[SEHTrajectPeriodeDatumTijdTotEnMet],"&gt;"&amp;($A560+9/24))</f>
        <v/>
      </c>
      <c r="N560" s="20">
        <f>COUNTIFS(tData[SEHTrajectPeriodeDatumTijdVan],"&lt;="&amp;($A560+10/24),tData[SEHTrajectPeriodeDatumTijdTotEnMet],"&gt;"&amp;($A560+10/24))</f>
        <v/>
      </c>
      <c r="O560" s="20">
        <f>COUNTIFS(tData[SEHTrajectPeriodeDatumTijdVan],"&lt;="&amp;($A560+11/24),tData[SEHTrajectPeriodeDatumTijdTotEnMet],"&gt;"&amp;($A560+11/24))</f>
        <v/>
      </c>
      <c r="P560" s="20">
        <f>COUNTIFS(tData[SEHTrajectPeriodeDatumTijdVan],"&lt;="&amp;($A560+12/24),tData[SEHTrajectPeriodeDatumTijdTotEnMet],"&gt;"&amp;($A560+12/24))</f>
        <v/>
      </c>
      <c r="Q560" s="20">
        <f>COUNTIFS(tData[SEHTrajectPeriodeDatumTijdVan],"&lt;="&amp;($A560+13/24),tData[SEHTrajectPeriodeDatumTijdTotEnMet],"&gt;"&amp;($A560+13/24))</f>
        <v/>
      </c>
      <c r="R560" s="20">
        <f>COUNTIFS(tData[SEHTrajectPeriodeDatumTijdVan],"&lt;="&amp;($A560+14/24),tData[SEHTrajectPeriodeDatumTijdTotEnMet],"&gt;"&amp;($A560+14/24))</f>
        <v/>
      </c>
      <c r="S560" s="20">
        <f>COUNTIFS(tData[SEHTrajectPeriodeDatumTijdVan],"&lt;="&amp;($A560+15/24),tData[SEHTrajectPeriodeDatumTijdTotEnMet],"&gt;"&amp;($A560+15/24))</f>
        <v/>
      </c>
      <c r="T560" s="20">
        <f>COUNTIFS(tData[SEHTrajectPeriodeDatumTijdVan],"&lt;="&amp;($A560+16/24),tData[SEHTrajectPeriodeDatumTijdTotEnMet],"&gt;"&amp;($A560+16/24))</f>
        <v/>
      </c>
      <c r="U560" s="20">
        <f>COUNTIFS(tData[SEHTrajectPeriodeDatumTijdVan],"&lt;="&amp;($A560+17/24),tData[SEHTrajectPeriodeDatumTijdTotEnMet],"&gt;"&amp;($A560+17/24))</f>
        <v/>
      </c>
      <c r="V560" s="20">
        <f>COUNTIFS(tData[SEHTrajectPeriodeDatumTijdVan],"&lt;="&amp;($A560+18/24),tData[SEHTrajectPeriodeDatumTijdTotEnMet],"&gt;"&amp;($A560+18/24))</f>
        <v/>
      </c>
      <c r="W560" s="20">
        <f>COUNTIFS(tData[SEHTrajectPeriodeDatumTijdVan],"&lt;="&amp;($A560+19/24),tData[SEHTrajectPeriodeDatumTijdTotEnMet],"&gt;"&amp;($A560+19/24))</f>
        <v/>
      </c>
      <c r="X560" s="20">
        <f>COUNTIFS(tData[SEHTrajectPeriodeDatumTijdVan],"&lt;="&amp;($A560+20/24),tData[SEHTrajectPeriodeDatumTijdTotEnMet],"&gt;"&amp;($A560+20/24))</f>
        <v/>
      </c>
      <c r="Y560" s="20">
        <f>COUNTIFS(tData[SEHTrajectPeriodeDatumTijdVan],"&lt;="&amp;($A560+21/24),tData[SEHTrajectPeriodeDatumTijdTotEnMet],"&gt;"&amp;($A560+21/24))</f>
        <v/>
      </c>
      <c r="Z560" s="20">
        <f>COUNTIFS(tData[SEHTrajectPeriodeDatumTijdVan],"&lt;="&amp;($A560+22/24),tData[SEHTrajectPeriodeDatumTijdTotEnMet],"&gt;"&amp;($A560+22/24))</f>
        <v/>
      </c>
      <c r="AA560" s="20">
        <f>COUNTIFS(tData[SEHTrajectPeriodeDatumTijdVan],"&lt;="&amp;($A560+23/24),tData[SEHTrajectPeriodeDatumTijdTotEnMet],"&gt;"&amp;($A560+23/24))</f>
        <v/>
      </c>
    </row>
    <row r="561">
      <c r="A561" s="19" t="n">
        <v>45849</v>
      </c>
      <c r="B561" s="15">
        <f>WEEKDAY($A561,2)</f>
        <v/>
      </c>
      <c r="C561" s="15">
        <f>IF(AND($A561&gt;=INT(Instellingen!$B$5),$A561&lt;=INT(Instellingen!$B$6)),1,0)</f>
        <v/>
      </c>
      <c r="D561" s="20">
        <f>COUNTIFS(tData[SEHTrajectPeriodeDatumTijdVan],"&lt;="&amp;($A561+0/24),tData[SEHTrajectPeriodeDatumTijdTotEnMet],"&gt;"&amp;($A561+0/24))</f>
        <v/>
      </c>
      <c r="E561" s="20">
        <f>COUNTIFS(tData[SEHTrajectPeriodeDatumTijdVan],"&lt;="&amp;($A561+1/24),tData[SEHTrajectPeriodeDatumTijdTotEnMet],"&gt;"&amp;($A561+1/24))</f>
        <v/>
      </c>
      <c r="F561" s="20">
        <f>COUNTIFS(tData[SEHTrajectPeriodeDatumTijdVan],"&lt;="&amp;($A561+2/24),tData[SEHTrajectPeriodeDatumTijdTotEnMet],"&gt;"&amp;($A561+2/24))</f>
        <v/>
      </c>
      <c r="G561" s="20">
        <f>COUNTIFS(tData[SEHTrajectPeriodeDatumTijdVan],"&lt;="&amp;($A561+3/24),tData[SEHTrajectPeriodeDatumTijdTotEnMet],"&gt;"&amp;($A561+3/24))</f>
        <v/>
      </c>
      <c r="H561" s="20">
        <f>COUNTIFS(tData[SEHTrajectPeriodeDatumTijdVan],"&lt;="&amp;($A561+4/24),tData[SEHTrajectPeriodeDatumTijdTotEnMet],"&gt;"&amp;($A561+4/24))</f>
        <v/>
      </c>
      <c r="I561" s="20">
        <f>COUNTIFS(tData[SEHTrajectPeriodeDatumTijdVan],"&lt;="&amp;($A561+5/24),tData[SEHTrajectPeriodeDatumTijdTotEnMet],"&gt;"&amp;($A561+5/24))</f>
        <v/>
      </c>
      <c r="J561" s="20">
        <f>COUNTIFS(tData[SEHTrajectPeriodeDatumTijdVan],"&lt;="&amp;($A561+6/24),tData[SEHTrajectPeriodeDatumTijdTotEnMet],"&gt;"&amp;($A561+6/24))</f>
        <v/>
      </c>
      <c r="K561" s="20">
        <f>COUNTIFS(tData[SEHTrajectPeriodeDatumTijdVan],"&lt;="&amp;($A561+7/24),tData[SEHTrajectPeriodeDatumTijdTotEnMet],"&gt;"&amp;($A561+7/24))</f>
        <v/>
      </c>
      <c r="L561" s="20">
        <f>COUNTIFS(tData[SEHTrajectPeriodeDatumTijdVan],"&lt;="&amp;($A561+8/24),tData[SEHTrajectPeriodeDatumTijdTotEnMet],"&gt;"&amp;($A561+8/24))</f>
        <v/>
      </c>
      <c r="M561" s="20">
        <f>COUNTIFS(tData[SEHTrajectPeriodeDatumTijdVan],"&lt;="&amp;($A561+9/24),tData[SEHTrajectPeriodeDatumTijdTotEnMet],"&gt;"&amp;($A561+9/24))</f>
        <v/>
      </c>
      <c r="N561" s="20">
        <f>COUNTIFS(tData[SEHTrajectPeriodeDatumTijdVan],"&lt;="&amp;($A561+10/24),tData[SEHTrajectPeriodeDatumTijdTotEnMet],"&gt;"&amp;($A561+10/24))</f>
        <v/>
      </c>
      <c r="O561" s="20">
        <f>COUNTIFS(tData[SEHTrajectPeriodeDatumTijdVan],"&lt;="&amp;($A561+11/24),tData[SEHTrajectPeriodeDatumTijdTotEnMet],"&gt;"&amp;($A561+11/24))</f>
        <v/>
      </c>
      <c r="P561" s="20">
        <f>COUNTIFS(tData[SEHTrajectPeriodeDatumTijdVan],"&lt;="&amp;($A561+12/24),tData[SEHTrajectPeriodeDatumTijdTotEnMet],"&gt;"&amp;($A561+12/24))</f>
        <v/>
      </c>
      <c r="Q561" s="20">
        <f>COUNTIFS(tData[SEHTrajectPeriodeDatumTijdVan],"&lt;="&amp;($A561+13/24),tData[SEHTrajectPeriodeDatumTijdTotEnMet],"&gt;"&amp;($A561+13/24))</f>
        <v/>
      </c>
      <c r="R561" s="20">
        <f>COUNTIFS(tData[SEHTrajectPeriodeDatumTijdVan],"&lt;="&amp;($A561+14/24),tData[SEHTrajectPeriodeDatumTijdTotEnMet],"&gt;"&amp;($A561+14/24))</f>
        <v/>
      </c>
      <c r="S561" s="20">
        <f>COUNTIFS(tData[SEHTrajectPeriodeDatumTijdVan],"&lt;="&amp;($A561+15/24),tData[SEHTrajectPeriodeDatumTijdTotEnMet],"&gt;"&amp;($A561+15/24))</f>
        <v/>
      </c>
      <c r="T561" s="20">
        <f>COUNTIFS(tData[SEHTrajectPeriodeDatumTijdVan],"&lt;="&amp;($A561+16/24),tData[SEHTrajectPeriodeDatumTijdTotEnMet],"&gt;"&amp;($A561+16/24))</f>
        <v/>
      </c>
      <c r="U561" s="20">
        <f>COUNTIFS(tData[SEHTrajectPeriodeDatumTijdVan],"&lt;="&amp;($A561+17/24),tData[SEHTrajectPeriodeDatumTijdTotEnMet],"&gt;"&amp;($A561+17/24))</f>
        <v/>
      </c>
      <c r="V561" s="20">
        <f>COUNTIFS(tData[SEHTrajectPeriodeDatumTijdVan],"&lt;="&amp;($A561+18/24),tData[SEHTrajectPeriodeDatumTijdTotEnMet],"&gt;"&amp;($A561+18/24))</f>
        <v/>
      </c>
      <c r="W561" s="20">
        <f>COUNTIFS(tData[SEHTrajectPeriodeDatumTijdVan],"&lt;="&amp;($A561+19/24),tData[SEHTrajectPeriodeDatumTijdTotEnMet],"&gt;"&amp;($A561+19/24))</f>
        <v/>
      </c>
      <c r="X561" s="20">
        <f>COUNTIFS(tData[SEHTrajectPeriodeDatumTijdVan],"&lt;="&amp;($A561+20/24),tData[SEHTrajectPeriodeDatumTijdTotEnMet],"&gt;"&amp;($A561+20/24))</f>
        <v/>
      </c>
      <c r="Y561" s="20">
        <f>COUNTIFS(tData[SEHTrajectPeriodeDatumTijdVan],"&lt;="&amp;($A561+21/24),tData[SEHTrajectPeriodeDatumTijdTotEnMet],"&gt;"&amp;($A561+21/24))</f>
        <v/>
      </c>
      <c r="Z561" s="20">
        <f>COUNTIFS(tData[SEHTrajectPeriodeDatumTijdVan],"&lt;="&amp;($A561+22/24),tData[SEHTrajectPeriodeDatumTijdTotEnMet],"&gt;"&amp;($A561+22/24))</f>
        <v/>
      </c>
      <c r="AA561" s="20">
        <f>COUNTIFS(tData[SEHTrajectPeriodeDatumTijdVan],"&lt;="&amp;($A561+23/24),tData[SEHTrajectPeriodeDatumTijdTotEnMet],"&gt;"&amp;($A561+23/24))</f>
        <v/>
      </c>
    </row>
    <row r="562">
      <c r="A562" s="19" t="n">
        <v>45850</v>
      </c>
      <c r="B562" s="15">
        <f>WEEKDAY($A562,2)</f>
        <v/>
      </c>
      <c r="C562" s="15">
        <f>IF(AND($A562&gt;=INT(Instellingen!$B$5),$A562&lt;=INT(Instellingen!$B$6)),1,0)</f>
        <v/>
      </c>
      <c r="D562" s="20">
        <f>COUNTIFS(tData[SEHTrajectPeriodeDatumTijdVan],"&lt;="&amp;($A562+0/24),tData[SEHTrajectPeriodeDatumTijdTotEnMet],"&gt;"&amp;($A562+0/24))</f>
        <v/>
      </c>
      <c r="E562" s="20">
        <f>COUNTIFS(tData[SEHTrajectPeriodeDatumTijdVan],"&lt;="&amp;($A562+1/24),tData[SEHTrajectPeriodeDatumTijdTotEnMet],"&gt;"&amp;($A562+1/24))</f>
        <v/>
      </c>
      <c r="F562" s="20">
        <f>COUNTIFS(tData[SEHTrajectPeriodeDatumTijdVan],"&lt;="&amp;($A562+2/24),tData[SEHTrajectPeriodeDatumTijdTotEnMet],"&gt;"&amp;($A562+2/24))</f>
        <v/>
      </c>
      <c r="G562" s="20">
        <f>COUNTIFS(tData[SEHTrajectPeriodeDatumTijdVan],"&lt;="&amp;($A562+3/24),tData[SEHTrajectPeriodeDatumTijdTotEnMet],"&gt;"&amp;($A562+3/24))</f>
        <v/>
      </c>
      <c r="H562" s="20">
        <f>COUNTIFS(tData[SEHTrajectPeriodeDatumTijdVan],"&lt;="&amp;($A562+4/24),tData[SEHTrajectPeriodeDatumTijdTotEnMet],"&gt;"&amp;($A562+4/24))</f>
        <v/>
      </c>
      <c r="I562" s="20">
        <f>COUNTIFS(tData[SEHTrajectPeriodeDatumTijdVan],"&lt;="&amp;($A562+5/24),tData[SEHTrajectPeriodeDatumTijdTotEnMet],"&gt;"&amp;($A562+5/24))</f>
        <v/>
      </c>
      <c r="J562" s="20">
        <f>COUNTIFS(tData[SEHTrajectPeriodeDatumTijdVan],"&lt;="&amp;($A562+6/24),tData[SEHTrajectPeriodeDatumTijdTotEnMet],"&gt;"&amp;($A562+6/24))</f>
        <v/>
      </c>
      <c r="K562" s="20">
        <f>COUNTIFS(tData[SEHTrajectPeriodeDatumTijdVan],"&lt;="&amp;($A562+7/24),tData[SEHTrajectPeriodeDatumTijdTotEnMet],"&gt;"&amp;($A562+7/24))</f>
        <v/>
      </c>
      <c r="L562" s="20">
        <f>COUNTIFS(tData[SEHTrajectPeriodeDatumTijdVan],"&lt;="&amp;($A562+8/24),tData[SEHTrajectPeriodeDatumTijdTotEnMet],"&gt;"&amp;($A562+8/24))</f>
        <v/>
      </c>
      <c r="M562" s="20">
        <f>COUNTIFS(tData[SEHTrajectPeriodeDatumTijdVan],"&lt;="&amp;($A562+9/24),tData[SEHTrajectPeriodeDatumTijdTotEnMet],"&gt;"&amp;($A562+9/24))</f>
        <v/>
      </c>
      <c r="N562" s="20">
        <f>COUNTIFS(tData[SEHTrajectPeriodeDatumTijdVan],"&lt;="&amp;($A562+10/24),tData[SEHTrajectPeriodeDatumTijdTotEnMet],"&gt;"&amp;($A562+10/24))</f>
        <v/>
      </c>
      <c r="O562" s="20">
        <f>COUNTIFS(tData[SEHTrajectPeriodeDatumTijdVan],"&lt;="&amp;($A562+11/24),tData[SEHTrajectPeriodeDatumTijdTotEnMet],"&gt;"&amp;($A562+11/24))</f>
        <v/>
      </c>
      <c r="P562" s="20">
        <f>COUNTIFS(tData[SEHTrajectPeriodeDatumTijdVan],"&lt;="&amp;($A562+12/24),tData[SEHTrajectPeriodeDatumTijdTotEnMet],"&gt;"&amp;($A562+12/24))</f>
        <v/>
      </c>
      <c r="Q562" s="20">
        <f>COUNTIFS(tData[SEHTrajectPeriodeDatumTijdVan],"&lt;="&amp;($A562+13/24),tData[SEHTrajectPeriodeDatumTijdTotEnMet],"&gt;"&amp;($A562+13/24))</f>
        <v/>
      </c>
      <c r="R562" s="20">
        <f>COUNTIFS(tData[SEHTrajectPeriodeDatumTijdVan],"&lt;="&amp;($A562+14/24),tData[SEHTrajectPeriodeDatumTijdTotEnMet],"&gt;"&amp;($A562+14/24))</f>
        <v/>
      </c>
      <c r="S562" s="20">
        <f>COUNTIFS(tData[SEHTrajectPeriodeDatumTijdVan],"&lt;="&amp;($A562+15/24),tData[SEHTrajectPeriodeDatumTijdTotEnMet],"&gt;"&amp;($A562+15/24))</f>
        <v/>
      </c>
      <c r="T562" s="20">
        <f>COUNTIFS(tData[SEHTrajectPeriodeDatumTijdVan],"&lt;="&amp;($A562+16/24),tData[SEHTrajectPeriodeDatumTijdTotEnMet],"&gt;"&amp;($A562+16/24))</f>
        <v/>
      </c>
      <c r="U562" s="20">
        <f>COUNTIFS(tData[SEHTrajectPeriodeDatumTijdVan],"&lt;="&amp;($A562+17/24),tData[SEHTrajectPeriodeDatumTijdTotEnMet],"&gt;"&amp;($A562+17/24))</f>
        <v/>
      </c>
      <c r="V562" s="20">
        <f>COUNTIFS(tData[SEHTrajectPeriodeDatumTijdVan],"&lt;="&amp;($A562+18/24),tData[SEHTrajectPeriodeDatumTijdTotEnMet],"&gt;"&amp;($A562+18/24))</f>
        <v/>
      </c>
      <c r="W562" s="20">
        <f>COUNTIFS(tData[SEHTrajectPeriodeDatumTijdVan],"&lt;="&amp;($A562+19/24),tData[SEHTrajectPeriodeDatumTijdTotEnMet],"&gt;"&amp;($A562+19/24))</f>
        <v/>
      </c>
      <c r="X562" s="20">
        <f>COUNTIFS(tData[SEHTrajectPeriodeDatumTijdVan],"&lt;="&amp;($A562+20/24),tData[SEHTrajectPeriodeDatumTijdTotEnMet],"&gt;"&amp;($A562+20/24))</f>
        <v/>
      </c>
      <c r="Y562" s="20">
        <f>COUNTIFS(tData[SEHTrajectPeriodeDatumTijdVan],"&lt;="&amp;($A562+21/24),tData[SEHTrajectPeriodeDatumTijdTotEnMet],"&gt;"&amp;($A562+21/24))</f>
        <v/>
      </c>
      <c r="Z562" s="20">
        <f>COUNTIFS(tData[SEHTrajectPeriodeDatumTijdVan],"&lt;="&amp;($A562+22/24),tData[SEHTrajectPeriodeDatumTijdTotEnMet],"&gt;"&amp;($A562+22/24))</f>
        <v/>
      </c>
      <c r="AA562" s="20">
        <f>COUNTIFS(tData[SEHTrajectPeriodeDatumTijdVan],"&lt;="&amp;($A562+23/24),tData[SEHTrajectPeriodeDatumTijdTotEnMet],"&gt;"&amp;($A562+23/24))</f>
        <v/>
      </c>
    </row>
    <row r="563">
      <c r="A563" s="19" t="n">
        <v>45851</v>
      </c>
      <c r="B563" s="15">
        <f>WEEKDAY($A563,2)</f>
        <v/>
      </c>
      <c r="C563" s="15">
        <f>IF(AND($A563&gt;=INT(Instellingen!$B$5),$A563&lt;=INT(Instellingen!$B$6)),1,0)</f>
        <v/>
      </c>
      <c r="D563" s="20">
        <f>COUNTIFS(tData[SEHTrajectPeriodeDatumTijdVan],"&lt;="&amp;($A563+0/24),tData[SEHTrajectPeriodeDatumTijdTotEnMet],"&gt;"&amp;($A563+0/24))</f>
        <v/>
      </c>
      <c r="E563" s="20">
        <f>COUNTIFS(tData[SEHTrajectPeriodeDatumTijdVan],"&lt;="&amp;($A563+1/24),tData[SEHTrajectPeriodeDatumTijdTotEnMet],"&gt;"&amp;($A563+1/24))</f>
        <v/>
      </c>
      <c r="F563" s="20">
        <f>COUNTIFS(tData[SEHTrajectPeriodeDatumTijdVan],"&lt;="&amp;($A563+2/24),tData[SEHTrajectPeriodeDatumTijdTotEnMet],"&gt;"&amp;($A563+2/24))</f>
        <v/>
      </c>
      <c r="G563" s="20">
        <f>COUNTIFS(tData[SEHTrajectPeriodeDatumTijdVan],"&lt;="&amp;($A563+3/24),tData[SEHTrajectPeriodeDatumTijdTotEnMet],"&gt;"&amp;($A563+3/24))</f>
        <v/>
      </c>
      <c r="H563" s="20">
        <f>COUNTIFS(tData[SEHTrajectPeriodeDatumTijdVan],"&lt;="&amp;($A563+4/24),tData[SEHTrajectPeriodeDatumTijdTotEnMet],"&gt;"&amp;($A563+4/24))</f>
        <v/>
      </c>
      <c r="I563" s="20">
        <f>COUNTIFS(tData[SEHTrajectPeriodeDatumTijdVan],"&lt;="&amp;($A563+5/24),tData[SEHTrajectPeriodeDatumTijdTotEnMet],"&gt;"&amp;($A563+5/24))</f>
        <v/>
      </c>
      <c r="J563" s="20">
        <f>COUNTIFS(tData[SEHTrajectPeriodeDatumTijdVan],"&lt;="&amp;($A563+6/24),tData[SEHTrajectPeriodeDatumTijdTotEnMet],"&gt;"&amp;($A563+6/24))</f>
        <v/>
      </c>
      <c r="K563" s="20">
        <f>COUNTIFS(tData[SEHTrajectPeriodeDatumTijdVan],"&lt;="&amp;($A563+7/24),tData[SEHTrajectPeriodeDatumTijdTotEnMet],"&gt;"&amp;($A563+7/24))</f>
        <v/>
      </c>
      <c r="L563" s="20">
        <f>COUNTIFS(tData[SEHTrajectPeriodeDatumTijdVan],"&lt;="&amp;($A563+8/24),tData[SEHTrajectPeriodeDatumTijdTotEnMet],"&gt;"&amp;($A563+8/24))</f>
        <v/>
      </c>
      <c r="M563" s="20">
        <f>COUNTIFS(tData[SEHTrajectPeriodeDatumTijdVan],"&lt;="&amp;($A563+9/24),tData[SEHTrajectPeriodeDatumTijdTotEnMet],"&gt;"&amp;($A563+9/24))</f>
        <v/>
      </c>
      <c r="N563" s="20">
        <f>COUNTIFS(tData[SEHTrajectPeriodeDatumTijdVan],"&lt;="&amp;($A563+10/24),tData[SEHTrajectPeriodeDatumTijdTotEnMet],"&gt;"&amp;($A563+10/24))</f>
        <v/>
      </c>
      <c r="O563" s="20">
        <f>COUNTIFS(tData[SEHTrajectPeriodeDatumTijdVan],"&lt;="&amp;($A563+11/24),tData[SEHTrajectPeriodeDatumTijdTotEnMet],"&gt;"&amp;($A563+11/24))</f>
        <v/>
      </c>
      <c r="P563" s="20">
        <f>COUNTIFS(tData[SEHTrajectPeriodeDatumTijdVan],"&lt;="&amp;($A563+12/24),tData[SEHTrajectPeriodeDatumTijdTotEnMet],"&gt;"&amp;($A563+12/24))</f>
        <v/>
      </c>
      <c r="Q563" s="20">
        <f>COUNTIFS(tData[SEHTrajectPeriodeDatumTijdVan],"&lt;="&amp;($A563+13/24),tData[SEHTrajectPeriodeDatumTijdTotEnMet],"&gt;"&amp;($A563+13/24))</f>
        <v/>
      </c>
      <c r="R563" s="20">
        <f>COUNTIFS(tData[SEHTrajectPeriodeDatumTijdVan],"&lt;="&amp;($A563+14/24),tData[SEHTrajectPeriodeDatumTijdTotEnMet],"&gt;"&amp;($A563+14/24))</f>
        <v/>
      </c>
      <c r="S563" s="20">
        <f>COUNTIFS(tData[SEHTrajectPeriodeDatumTijdVan],"&lt;="&amp;($A563+15/24),tData[SEHTrajectPeriodeDatumTijdTotEnMet],"&gt;"&amp;($A563+15/24))</f>
        <v/>
      </c>
      <c r="T563" s="20">
        <f>COUNTIFS(tData[SEHTrajectPeriodeDatumTijdVan],"&lt;="&amp;($A563+16/24),tData[SEHTrajectPeriodeDatumTijdTotEnMet],"&gt;"&amp;($A563+16/24))</f>
        <v/>
      </c>
      <c r="U563" s="20">
        <f>COUNTIFS(tData[SEHTrajectPeriodeDatumTijdVan],"&lt;="&amp;($A563+17/24),tData[SEHTrajectPeriodeDatumTijdTotEnMet],"&gt;"&amp;($A563+17/24))</f>
        <v/>
      </c>
      <c r="V563" s="20">
        <f>COUNTIFS(tData[SEHTrajectPeriodeDatumTijdVan],"&lt;="&amp;($A563+18/24),tData[SEHTrajectPeriodeDatumTijdTotEnMet],"&gt;"&amp;($A563+18/24))</f>
        <v/>
      </c>
      <c r="W563" s="20">
        <f>COUNTIFS(tData[SEHTrajectPeriodeDatumTijdVan],"&lt;="&amp;($A563+19/24),tData[SEHTrajectPeriodeDatumTijdTotEnMet],"&gt;"&amp;($A563+19/24))</f>
        <v/>
      </c>
      <c r="X563" s="20">
        <f>COUNTIFS(tData[SEHTrajectPeriodeDatumTijdVan],"&lt;="&amp;($A563+20/24),tData[SEHTrajectPeriodeDatumTijdTotEnMet],"&gt;"&amp;($A563+20/24))</f>
        <v/>
      </c>
      <c r="Y563" s="20">
        <f>COUNTIFS(tData[SEHTrajectPeriodeDatumTijdVan],"&lt;="&amp;($A563+21/24),tData[SEHTrajectPeriodeDatumTijdTotEnMet],"&gt;"&amp;($A563+21/24))</f>
        <v/>
      </c>
      <c r="Z563" s="20">
        <f>COUNTIFS(tData[SEHTrajectPeriodeDatumTijdVan],"&lt;="&amp;($A563+22/24),tData[SEHTrajectPeriodeDatumTijdTotEnMet],"&gt;"&amp;($A563+22/24))</f>
        <v/>
      </c>
      <c r="AA563" s="20">
        <f>COUNTIFS(tData[SEHTrajectPeriodeDatumTijdVan],"&lt;="&amp;($A563+23/24),tData[SEHTrajectPeriodeDatumTijdTotEnMet],"&gt;"&amp;($A563+23/24))</f>
        <v/>
      </c>
    </row>
    <row r="564">
      <c r="A564" s="19" t="n">
        <v>45852</v>
      </c>
      <c r="B564" s="15">
        <f>WEEKDAY($A564,2)</f>
        <v/>
      </c>
      <c r="C564" s="15">
        <f>IF(AND($A564&gt;=INT(Instellingen!$B$5),$A564&lt;=INT(Instellingen!$B$6)),1,0)</f>
        <v/>
      </c>
      <c r="D564" s="20">
        <f>COUNTIFS(tData[SEHTrajectPeriodeDatumTijdVan],"&lt;="&amp;($A564+0/24),tData[SEHTrajectPeriodeDatumTijdTotEnMet],"&gt;"&amp;($A564+0/24))</f>
        <v/>
      </c>
      <c r="E564" s="20">
        <f>COUNTIFS(tData[SEHTrajectPeriodeDatumTijdVan],"&lt;="&amp;($A564+1/24),tData[SEHTrajectPeriodeDatumTijdTotEnMet],"&gt;"&amp;($A564+1/24))</f>
        <v/>
      </c>
      <c r="F564" s="20">
        <f>COUNTIFS(tData[SEHTrajectPeriodeDatumTijdVan],"&lt;="&amp;($A564+2/24),tData[SEHTrajectPeriodeDatumTijdTotEnMet],"&gt;"&amp;($A564+2/24))</f>
        <v/>
      </c>
      <c r="G564" s="20">
        <f>COUNTIFS(tData[SEHTrajectPeriodeDatumTijdVan],"&lt;="&amp;($A564+3/24),tData[SEHTrajectPeriodeDatumTijdTotEnMet],"&gt;"&amp;($A564+3/24))</f>
        <v/>
      </c>
      <c r="H564" s="20">
        <f>COUNTIFS(tData[SEHTrajectPeriodeDatumTijdVan],"&lt;="&amp;($A564+4/24),tData[SEHTrajectPeriodeDatumTijdTotEnMet],"&gt;"&amp;($A564+4/24))</f>
        <v/>
      </c>
      <c r="I564" s="20">
        <f>COUNTIFS(tData[SEHTrajectPeriodeDatumTijdVan],"&lt;="&amp;($A564+5/24),tData[SEHTrajectPeriodeDatumTijdTotEnMet],"&gt;"&amp;($A564+5/24))</f>
        <v/>
      </c>
      <c r="J564" s="20">
        <f>COUNTIFS(tData[SEHTrajectPeriodeDatumTijdVan],"&lt;="&amp;($A564+6/24),tData[SEHTrajectPeriodeDatumTijdTotEnMet],"&gt;"&amp;($A564+6/24))</f>
        <v/>
      </c>
      <c r="K564" s="20">
        <f>COUNTIFS(tData[SEHTrajectPeriodeDatumTijdVan],"&lt;="&amp;($A564+7/24),tData[SEHTrajectPeriodeDatumTijdTotEnMet],"&gt;"&amp;($A564+7/24))</f>
        <v/>
      </c>
      <c r="L564" s="20">
        <f>COUNTIFS(tData[SEHTrajectPeriodeDatumTijdVan],"&lt;="&amp;($A564+8/24),tData[SEHTrajectPeriodeDatumTijdTotEnMet],"&gt;"&amp;($A564+8/24))</f>
        <v/>
      </c>
      <c r="M564" s="20">
        <f>COUNTIFS(tData[SEHTrajectPeriodeDatumTijdVan],"&lt;="&amp;($A564+9/24),tData[SEHTrajectPeriodeDatumTijdTotEnMet],"&gt;"&amp;($A564+9/24))</f>
        <v/>
      </c>
      <c r="N564" s="20">
        <f>COUNTIFS(tData[SEHTrajectPeriodeDatumTijdVan],"&lt;="&amp;($A564+10/24),tData[SEHTrajectPeriodeDatumTijdTotEnMet],"&gt;"&amp;($A564+10/24))</f>
        <v/>
      </c>
      <c r="O564" s="20">
        <f>COUNTIFS(tData[SEHTrajectPeriodeDatumTijdVan],"&lt;="&amp;($A564+11/24),tData[SEHTrajectPeriodeDatumTijdTotEnMet],"&gt;"&amp;($A564+11/24))</f>
        <v/>
      </c>
      <c r="P564" s="20">
        <f>COUNTIFS(tData[SEHTrajectPeriodeDatumTijdVan],"&lt;="&amp;($A564+12/24),tData[SEHTrajectPeriodeDatumTijdTotEnMet],"&gt;"&amp;($A564+12/24))</f>
        <v/>
      </c>
      <c r="Q564" s="20">
        <f>COUNTIFS(tData[SEHTrajectPeriodeDatumTijdVan],"&lt;="&amp;($A564+13/24),tData[SEHTrajectPeriodeDatumTijdTotEnMet],"&gt;"&amp;($A564+13/24))</f>
        <v/>
      </c>
      <c r="R564" s="20">
        <f>COUNTIFS(tData[SEHTrajectPeriodeDatumTijdVan],"&lt;="&amp;($A564+14/24),tData[SEHTrajectPeriodeDatumTijdTotEnMet],"&gt;"&amp;($A564+14/24))</f>
        <v/>
      </c>
      <c r="S564" s="20">
        <f>COUNTIFS(tData[SEHTrajectPeriodeDatumTijdVan],"&lt;="&amp;($A564+15/24),tData[SEHTrajectPeriodeDatumTijdTotEnMet],"&gt;"&amp;($A564+15/24))</f>
        <v/>
      </c>
      <c r="T564" s="20">
        <f>COUNTIFS(tData[SEHTrajectPeriodeDatumTijdVan],"&lt;="&amp;($A564+16/24),tData[SEHTrajectPeriodeDatumTijdTotEnMet],"&gt;"&amp;($A564+16/24))</f>
        <v/>
      </c>
      <c r="U564" s="20">
        <f>COUNTIFS(tData[SEHTrajectPeriodeDatumTijdVan],"&lt;="&amp;($A564+17/24),tData[SEHTrajectPeriodeDatumTijdTotEnMet],"&gt;"&amp;($A564+17/24))</f>
        <v/>
      </c>
      <c r="V564" s="20">
        <f>COUNTIFS(tData[SEHTrajectPeriodeDatumTijdVan],"&lt;="&amp;($A564+18/24),tData[SEHTrajectPeriodeDatumTijdTotEnMet],"&gt;"&amp;($A564+18/24))</f>
        <v/>
      </c>
      <c r="W564" s="20">
        <f>COUNTIFS(tData[SEHTrajectPeriodeDatumTijdVan],"&lt;="&amp;($A564+19/24),tData[SEHTrajectPeriodeDatumTijdTotEnMet],"&gt;"&amp;($A564+19/24))</f>
        <v/>
      </c>
      <c r="X564" s="20">
        <f>COUNTIFS(tData[SEHTrajectPeriodeDatumTijdVan],"&lt;="&amp;($A564+20/24),tData[SEHTrajectPeriodeDatumTijdTotEnMet],"&gt;"&amp;($A564+20/24))</f>
        <v/>
      </c>
      <c r="Y564" s="20">
        <f>COUNTIFS(tData[SEHTrajectPeriodeDatumTijdVan],"&lt;="&amp;($A564+21/24),tData[SEHTrajectPeriodeDatumTijdTotEnMet],"&gt;"&amp;($A564+21/24))</f>
        <v/>
      </c>
      <c r="Z564" s="20">
        <f>COUNTIFS(tData[SEHTrajectPeriodeDatumTijdVan],"&lt;="&amp;($A564+22/24),tData[SEHTrajectPeriodeDatumTijdTotEnMet],"&gt;"&amp;($A564+22/24))</f>
        <v/>
      </c>
      <c r="AA564" s="20">
        <f>COUNTIFS(tData[SEHTrajectPeriodeDatumTijdVan],"&lt;="&amp;($A564+23/24),tData[SEHTrajectPeriodeDatumTijdTotEnMet],"&gt;"&amp;($A564+23/24))</f>
        <v/>
      </c>
    </row>
    <row r="565">
      <c r="A565" s="19" t="n">
        <v>45853</v>
      </c>
      <c r="B565" s="15">
        <f>WEEKDAY($A565,2)</f>
        <v/>
      </c>
      <c r="C565" s="15">
        <f>IF(AND($A565&gt;=INT(Instellingen!$B$5),$A565&lt;=INT(Instellingen!$B$6)),1,0)</f>
        <v/>
      </c>
      <c r="D565" s="20">
        <f>COUNTIFS(tData[SEHTrajectPeriodeDatumTijdVan],"&lt;="&amp;($A565+0/24),tData[SEHTrajectPeriodeDatumTijdTotEnMet],"&gt;"&amp;($A565+0/24))</f>
        <v/>
      </c>
      <c r="E565" s="20">
        <f>COUNTIFS(tData[SEHTrajectPeriodeDatumTijdVan],"&lt;="&amp;($A565+1/24),tData[SEHTrajectPeriodeDatumTijdTotEnMet],"&gt;"&amp;($A565+1/24))</f>
        <v/>
      </c>
      <c r="F565" s="20">
        <f>COUNTIFS(tData[SEHTrajectPeriodeDatumTijdVan],"&lt;="&amp;($A565+2/24),tData[SEHTrajectPeriodeDatumTijdTotEnMet],"&gt;"&amp;($A565+2/24))</f>
        <v/>
      </c>
      <c r="G565" s="20">
        <f>COUNTIFS(tData[SEHTrajectPeriodeDatumTijdVan],"&lt;="&amp;($A565+3/24),tData[SEHTrajectPeriodeDatumTijdTotEnMet],"&gt;"&amp;($A565+3/24))</f>
        <v/>
      </c>
      <c r="H565" s="20">
        <f>COUNTIFS(tData[SEHTrajectPeriodeDatumTijdVan],"&lt;="&amp;($A565+4/24),tData[SEHTrajectPeriodeDatumTijdTotEnMet],"&gt;"&amp;($A565+4/24))</f>
        <v/>
      </c>
      <c r="I565" s="20">
        <f>COUNTIFS(tData[SEHTrajectPeriodeDatumTijdVan],"&lt;="&amp;($A565+5/24),tData[SEHTrajectPeriodeDatumTijdTotEnMet],"&gt;"&amp;($A565+5/24))</f>
        <v/>
      </c>
      <c r="J565" s="20">
        <f>COUNTIFS(tData[SEHTrajectPeriodeDatumTijdVan],"&lt;="&amp;($A565+6/24),tData[SEHTrajectPeriodeDatumTijdTotEnMet],"&gt;"&amp;($A565+6/24))</f>
        <v/>
      </c>
      <c r="K565" s="20">
        <f>COUNTIFS(tData[SEHTrajectPeriodeDatumTijdVan],"&lt;="&amp;($A565+7/24),tData[SEHTrajectPeriodeDatumTijdTotEnMet],"&gt;"&amp;($A565+7/24))</f>
        <v/>
      </c>
      <c r="L565" s="20">
        <f>COUNTIFS(tData[SEHTrajectPeriodeDatumTijdVan],"&lt;="&amp;($A565+8/24),tData[SEHTrajectPeriodeDatumTijdTotEnMet],"&gt;"&amp;($A565+8/24))</f>
        <v/>
      </c>
      <c r="M565" s="20">
        <f>COUNTIFS(tData[SEHTrajectPeriodeDatumTijdVan],"&lt;="&amp;($A565+9/24),tData[SEHTrajectPeriodeDatumTijdTotEnMet],"&gt;"&amp;($A565+9/24))</f>
        <v/>
      </c>
      <c r="N565" s="20">
        <f>COUNTIFS(tData[SEHTrajectPeriodeDatumTijdVan],"&lt;="&amp;($A565+10/24),tData[SEHTrajectPeriodeDatumTijdTotEnMet],"&gt;"&amp;($A565+10/24))</f>
        <v/>
      </c>
      <c r="O565" s="20">
        <f>COUNTIFS(tData[SEHTrajectPeriodeDatumTijdVan],"&lt;="&amp;($A565+11/24),tData[SEHTrajectPeriodeDatumTijdTotEnMet],"&gt;"&amp;($A565+11/24))</f>
        <v/>
      </c>
      <c r="P565" s="20">
        <f>COUNTIFS(tData[SEHTrajectPeriodeDatumTijdVan],"&lt;="&amp;($A565+12/24),tData[SEHTrajectPeriodeDatumTijdTotEnMet],"&gt;"&amp;($A565+12/24))</f>
        <v/>
      </c>
      <c r="Q565" s="20">
        <f>COUNTIFS(tData[SEHTrajectPeriodeDatumTijdVan],"&lt;="&amp;($A565+13/24),tData[SEHTrajectPeriodeDatumTijdTotEnMet],"&gt;"&amp;($A565+13/24))</f>
        <v/>
      </c>
      <c r="R565" s="20">
        <f>COUNTIFS(tData[SEHTrajectPeriodeDatumTijdVan],"&lt;="&amp;($A565+14/24),tData[SEHTrajectPeriodeDatumTijdTotEnMet],"&gt;"&amp;($A565+14/24))</f>
        <v/>
      </c>
      <c r="S565" s="20">
        <f>COUNTIFS(tData[SEHTrajectPeriodeDatumTijdVan],"&lt;="&amp;($A565+15/24),tData[SEHTrajectPeriodeDatumTijdTotEnMet],"&gt;"&amp;($A565+15/24))</f>
        <v/>
      </c>
      <c r="T565" s="20">
        <f>COUNTIFS(tData[SEHTrajectPeriodeDatumTijdVan],"&lt;="&amp;($A565+16/24),tData[SEHTrajectPeriodeDatumTijdTotEnMet],"&gt;"&amp;($A565+16/24))</f>
        <v/>
      </c>
      <c r="U565" s="20">
        <f>COUNTIFS(tData[SEHTrajectPeriodeDatumTijdVan],"&lt;="&amp;($A565+17/24),tData[SEHTrajectPeriodeDatumTijdTotEnMet],"&gt;"&amp;($A565+17/24))</f>
        <v/>
      </c>
      <c r="V565" s="20">
        <f>COUNTIFS(tData[SEHTrajectPeriodeDatumTijdVan],"&lt;="&amp;($A565+18/24),tData[SEHTrajectPeriodeDatumTijdTotEnMet],"&gt;"&amp;($A565+18/24))</f>
        <v/>
      </c>
      <c r="W565" s="20">
        <f>COUNTIFS(tData[SEHTrajectPeriodeDatumTijdVan],"&lt;="&amp;($A565+19/24),tData[SEHTrajectPeriodeDatumTijdTotEnMet],"&gt;"&amp;($A565+19/24))</f>
        <v/>
      </c>
      <c r="X565" s="20">
        <f>COUNTIFS(tData[SEHTrajectPeriodeDatumTijdVan],"&lt;="&amp;($A565+20/24),tData[SEHTrajectPeriodeDatumTijdTotEnMet],"&gt;"&amp;($A565+20/24))</f>
        <v/>
      </c>
      <c r="Y565" s="20">
        <f>COUNTIFS(tData[SEHTrajectPeriodeDatumTijdVan],"&lt;="&amp;($A565+21/24),tData[SEHTrajectPeriodeDatumTijdTotEnMet],"&gt;"&amp;($A565+21/24))</f>
        <v/>
      </c>
      <c r="Z565" s="20">
        <f>COUNTIFS(tData[SEHTrajectPeriodeDatumTijdVan],"&lt;="&amp;($A565+22/24),tData[SEHTrajectPeriodeDatumTijdTotEnMet],"&gt;"&amp;($A565+22/24))</f>
        <v/>
      </c>
      <c r="AA565" s="20">
        <f>COUNTIFS(tData[SEHTrajectPeriodeDatumTijdVan],"&lt;="&amp;($A565+23/24),tData[SEHTrajectPeriodeDatumTijdTotEnMet],"&gt;"&amp;($A565+23/24))</f>
        <v/>
      </c>
    </row>
    <row r="566">
      <c r="A566" s="19" t="n">
        <v>45854</v>
      </c>
      <c r="B566" s="15">
        <f>WEEKDAY($A566,2)</f>
        <v/>
      </c>
      <c r="C566" s="15">
        <f>IF(AND($A566&gt;=INT(Instellingen!$B$5),$A566&lt;=INT(Instellingen!$B$6)),1,0)</f>
        <v/>
      </c>
      <c r="D566" s="20">
        <f>COUNTIFS(tData[SEHTrajectPeriodeDatumTijdVan],"&lt;="&amp;($A566+0/24),tData[SEHTrajectPeriodeDatumTijdTotEnMet],"&gt;"&amp;($A566+0/24))</f>
        <v/>
      </c>
      <c r="E566" s="20">
        <f>COUNTIFS(tData[SEHTrajectPeriodeDatumTijdVan],"&lt;="&amp;($A566+1/24),tData[SEHTrajectPeriodeDatumTijdTotEnMet],"&gt;"&amp;($A566+1/24))</f>
        <v/>
      </c>
      <c r="F566" s="20">
        <f>COUNTIFS(tData[SEHTrajectPeriodeDatumTijdVan],"&lt;="&amp;($A566+2/24),tData[SEHTrajectPeriodeDatumTijdTotEnMet],"&gt;"&amp;($A566+2/24))</f>
        <v/>
      </c>
      <c r="G566" s="20">
        <f>COUNTIFS(tData[SEHTrajectPeriodeDatumTijdVan],"&lt;="&amp;($A566+3/24),tData[SEHTrajectPeriodeDatumTijdTotEnMet],"&gt;"&amp;($A566+3/24))</f>
        <v/>
      </c>
      <c r="H566" s="20">
        <f>COUNTIFS(tData[SEHTrajectPeriodeDatumTijdVan],"&lt;="&amp;($A566+4/24),tData[SEHTrajectPeriodeDatumTijdTotEnMet],"&gt;"&amp;($A566+4/24))</f>
        <v/>
      </c>
      <c r="I566" s="20">
        <f>COUNTIFS(tData[SEHTrajectPeriodeDatumTijdVan],"&lt;="&amp;($A566+5/24),tData[SEHTrajectPeriodeDatumTijdTotEnMet],"&gt;"&amp;($A566+5/24))</f>
        <v/>
      </c>
      <c r="J566" s="20">
        <f>COUNTIFS(tData[SEHTrajectPeriodeDatumTijdVan],"&lt;="&amp;($A566+6/24),tData[SEHTrajectPeriodeDatumTijdTotEnMet],"&gt;"&amp;($A566+6/24))</f>
        <v/>
      </c>
      <c r="K566" s="20">
        <f>COUNTIFS(tData[SEHTrajectPeriodeDatumTijdVan],"&lt;="&amp;($A566+7/24),tData[SEHTrajectPeriodeDatumTijdTotEnMet],"&gt;"&amp;($A566+7/24))</f>
        <v/>
      </c>
      <c r="L566" s="20">
        <f>COUNTIFS(tData[SEHTrajectPeriodeDatumTijdVan],"&lt;="&amp;($A566+8/24),tData[SEHTrajectPeriodeDatumTijdTotEnMet],"&gt;"&amp;($A566+8/24))</f>
        <v/>
      </c>
      <c r="M566" s="20">
        <f>COUNTIFS(tData[SEHTrajectPeriodeDatumTijdVan],"&lt;="&amp;($A566+9/24),tData[SEHTrajectPeriodeDatumTijdTotEnMet],"&gt;"&amp;($A566+9/24))</f>
        <v/>
      </c>
      <c r="N566" s="20">
        <f>COUNTIFS(tData[SEHTrajectPeriodeDatumTijdVan],"&lt;="&amp;($A566+10/24),tData[SEHTrajectPeriodeDatumTijdTotEnMet],"&gt;"&amp;($A566+10/24))</f>
        <v/>
      </c>
      <c r="O566" s="20">
        <f>COUNTIFS(tData[SEHTrajectPeriodeDatumTijdVan],"&lt;="&amp;($A566+11/24),tData[SEHTrajectPeriodeDatumTijdTotEnMet],"&gt;"&amp;($A566+11/24))</f>
        <v/>
      </c>
      <c r="P566" s="20">
        <f>COUNTIFS(tData[SEHTrajectPeriodeDatumTijdVan],"&lt;="&amp;($A566+12/24),tData[SEHTrajectPeriodeDatumTijdTotEnMet],"&gt;"&amp;($A566+12/24))</f>
        <v/>
      </c>
      <c r="Q566" s="20">
        <f>COUNTIFS(tData[SEHTrajectPeriodeDatumTijdVan],"&lt;="&amp;($A566+13/24),tData[SEHTrajectPeriodeDatumTijdTotEnMet],"&gt;"&amp;($A566+13/24))</f>
        <v/>
      </c>
      <c r="R566" s="20">
        <f>COUNTIFS(tData[SEHTrajectPeriodeDatumTijdVan],"&lt;="&amp;($A566+14/24),tData[SEHTrajectPeriodeDatumTijdTotEnMet],"&gt;"&amp;($A566+14/24))</f>
        <v/>
      </c>
      <c r="S566" s="20">
        <f>COUNTIFS(tData[SEHTrajectPeriodeDatumTijdVan],"&lt;="&amp;($A566+15/24),tData[SEHTrajectPeriodeDatumTijdTotEnMet],"&gt;"&amp;($A566+15/24))</f>
        <v/>
      </c>
      <c r="T566" s="20">
        <f>COUNTIFS(tData[SEHTrajectPeriodeDatumTijdVan],"&lt;="&amp;($A566+16/24),tData[SEHTrajectPeriodeDatumTijdTotEnMet],"&gt;"&amp;($A566+16/24))</f>
        <v/>
      </c>
      <c r="U566" s="20">
        <f>COUNTIFS(tData[SEHTrajectPeriodeDatumTijdVan],"&lt;="&amp;($A566+17/24),tData[SEHTrajectPeriodeDatumTijdTotEnMet],"&gt;"&amp;($A566+17/24))</f>
        <v/>
      </c>
      <c r="V566" s="20">
        <f>COUNTIFS(tData[SEHTrajectPeriodeDatumTijdVan],"&lt;="&amp;($A566+18/24),tData[SEHTrajectPeriodeDatumTijdTotEnMet],"&gt;"&amp;($A566+18/24))</f>
        <v/>
      </c>
      <c r="W566" s="20">
        <f>COUNTIFS(tData[SEHTrajectPeriodeDatumTijdVan],"&lt;="&amp;($A566+19/24),tData[SEHTrajectPeriodeDatumTijdTotEnMet],"&gt;"&amp;($A566+19/24))</f>
        <v/>
      </c>
      <c r="X566" s="20">
        <f>COUNTIFS(tData[SEHTrajectPeriodeDatumTijdVan],"&lt;="&amp;($A566+20/24),tData[SEHTrajectPeriodeDatumTijdTotEnMet],"&gt;"&amp;($A566+20/24))</f>
        <v/>
      </c>
      <c r="Y566" s="20">
        <f>COUNTIFS(tData[SEHTrajectPeriodeDatumTijdVan],"&lt;="&amp;($A566+21/24),tData[SEHTrajectPeriodeDatumTijdTotEnMet],"&gt;"&amp;($A566+21/24))</f>
        <v/>
      </c>
      <c r="Z566" s="20">
        <f>COUNTIFS(tData[SEHTrajectPeriodeDatumTijdVan],"&lt;="&amp;($A566+22/24),tData[SEHTrajectPeriodeDatumTijdTotEnMet],"&gt;"&amp;($A566+22/24))</f>
        <v/>
      </c>
      <c r="AA566" s="20">
        <f>COUNTIFS(tData[SEHTrajectPeriodeDatumTijdVan],"&lt;="&amp;($A566+23/24),tData[SEHTrajectPeriodeDatumTijdTotEnMet],"&gt;"&amp;($A566+23/24))</f>
        <v/>
      </c>
    </row>
    <row r="567">
      <c r="A567" s="19" t="n">
        <v>45855</v>
      </c>
      <c r="B567" s="15">
        <f>WEEKDAY($A567,2)</f>
        <v/>
      </c>
      <c r="C567" s="15">
        <f>IF(AND($A567&gt;=INT(Instellingen!$B$5),$A567&lt;=INT(Instellingen!$B$6)),1,0)</f>
        <v/>
      </c>
      <c r="D567" s="20">
        <f>COUNTIFS(tData[SEHTrajectPeriodeDatumTijdVan],"&lt;="&amp;($A567+0/24),tData[SEHTrajectPeriodeDatumTijdTotEnMet],"&gt;"&amp;($A567+0/24))</f>
        <v/>
      </c>
      <c r="E567" s="20">
        <f>COUNTIFS(tData[SEHTrajectPeriodeDatumTijdVan],"&lt;="&amp;($A567+1/24),tData[SEHTrajectPeriodeDatumTijdTotEnMet],"&gt;"&amp;($A567+1/24))</f>
        <v/>
      </c>
      <c r="F567" s="20">
        <f>COUNTIFS(tData[SEHTrajectPeriodeDatumTijdVan],"&lt;="&amp;($A567+2/24),tData[SEHTrajectPeriodeDatumTijdTotEnMet],"&gt;"&amp;($A567+2/24))</f>
        <v/>
      </c>
      <c r="G567" s="20">
        <f>COUNTIFS(tData[SEHTrajectPeriodeDatumTijdVan],"&lt;="&amp;($A567+3/24),tData[SEHTrajectPeriodeDatumTijdTotEnMet],"&gt;"&amp;($A567+3/24))</f>
        <v/>
      </c>
      <c r="H567" s="20">
        <f>COUNTIFS(tData[SEHTrajectPeriodeDatumTijdVan],"&lt;="&amp;($A567+4/24),tData[SEHTrajectPeriodeDatumTijdTotEnMet],"&gt;"&amp;($A567+4/24))</f>
        <v/>
      </c>
      <c r="I567" s="20">
        <f>COUNTIFS(tData[SEHTrajectPeriodeDatumTijdVan],"&lt;="&amp;($A567+5/24),tData[SEHTrajectPeriodeDatumTijdTotEnMet],"&gt;"&amp;($A567+5/24))</f>
        <v/>
      </c>
      <c r="J567" s="20">
        <f>COUNTIFS(tData[SEHTrajectPeriodeDatumTijdVan],"&lt;="&amp;($A567+6/24),tData[SEHTrajectPeriodeDatumTijdTotEnMet],"&gt;"&amp;($A567+6/24))</f>
        <v/>
      </c>
      <c r="K567" s="20">
        <f>COUNTIFS(tData[SEHTrajectPeriodeDatumTijdVan],"&lt;="&amp;($A567+7/24),tData[SEHTrajectPeriodeDatumTijdTotEnMet],"&gt;"&amp;($A567+7/24))</f>
        <v/>
      </c>
      <c r="L567" s="20">
        <f>COUNTIFS(tData[SEHTrajectPeriodeDatumTijdVan],"&lt;="&amp;($A567+8/24),tData[SEHTrajectPeriodeDatumTijdTotEnMet],"&gt;"&amp;($A567+8/24))</f>
        <v/>
      </c>
      <c r="M567" s="20">
        <f>COUNTIFS(tData[SEHTrajectPeriodeDatumTijdVan],"&lt;="&amp;($A567+9/24),tData[SEHTrajectPeriodeDatumTijdTotEnMet],"&gt;"&amp;($A567+9/24))</f>
        <v/>
      </c>
      <c r="N567" s="20">
        <f>COUNTIFS(tData[SEHTrajectPeriodeDatumTijdVan],"&lt;="&amp;($A567+10/24),tData[SEHTrajectPeriodeDatumTijdTotEnMet],"&gt;"&amp;($A567+10/24))</f>
        <v/>
      </c>
      <c r="O567" s="20">
        <f>COUNTIFS(tData[SEHTrajectPeriodeDatumTijdVan],"&lt;="&amp;($A567+11/24),tData[SEHTrajectPeriodeDatumTijdTotEnMet],"&gt;"&amp;($A567+11/24))</f>
        <v/>
      </c>
      <c r="P567" s="20">
        <f>COUNTIFS(tData[SEHTrajectPeriodeDatumTijdVan],"&lt;="&amp;($A567+12/24),tData[SEHTrajectPeriodeDatumTijdTotEnMet],"&gt;"&amp;($A567+12/24))</f>
        <v/>
      </c>
      <c r="Q567" s="20">
        <f>COUNTIFS(tData[SEHTrajectPeriodeDatumTijdVan],"&lt;="&amp;($A567+13/24),tData[SEHTrajectPeriodeDatumTijdTotEnMet],"&gt;"&amp;($A567+13/24))</f>
        <v/>
      </c>
      <c r="R567" s="20">
        <f>COUNTIFS(tData[SEHTrajectPeriodeDatumTijdVan],"&lt;="&amp;($A567+14/24),tData[SEHTrajectPeriodeDatumTijdTotEnMet],"&gt;"&amp;($A567+14/24))</f>
        <v/>
      </c>
      <c r="S567" s="20">
        <f>COUNTIFS(tData[SEHTrajectPeriodeDatumTijdVan],"&lt;="&amp;($A567+15/24),tData[SEHTrajectPeriodeDatumTijdTotEnMet],"&gt;"&amp;($A567+15/24))</f>
        <v/>
      </c>
      <c r="T567" s="20">
        <f>COUNTIFS(tData[SEHTrajectPeriodeDatumTijdVan],"&lt;="&amp;($A567+16/24),tData[SEHTrajectPeriodeDatumTijdTotEnMet],"&gt;"&amp;($A567+16/24))</f>
        <v/>
      </c>
      <c r="U567" s="20">
        <f>COUNTIFS(tData[SEHTrajectPeriodeDatumTijdVan],"&lt;="&amp;($A567+17/24),tData[SEHTrajectPeriodeDatumTijdTotEnMet],"&gt;"&amp;($A567+17/24))</f>
        <v/>
      </c>
      <c r="V567" s="20">
        <f>COUNTIFS(tData[SEHTrajectPeriodeDatumTijdVan],"&lt;="&amp;($A567+18/24),tData[SEHTrajectPeriodeDatumTijdTotEnMet],"&gt;"&amp;($A567+18/24))</f>
        <v/>
      </c>
      <c r="W567" s="20">
        <f>COUNTIFS(tData[SEHTrajectPeriodeDatumTijdVan],"&lt;="&amp;($A567+19/24),tData[SEHTrajectPeriodeDatumTijdTotEnMet],"&gt;"&amp;($A567+19/24))</f>
        <v/>
      </c>
      <c r="X567" s="20">
        <f>COUNTIFS(tData[SEHTrajectPeriodeDatumTijdVan],"&lt;="&amp;($A567+20/24),tData[SEHTrajectPeriodeDatumTijdTotEnMet],"&gt;"&amp;($A567+20/24))</f>
        <v/>
      </c>
      <c r="Y567" s="20">
        <f>COUNTIFS(tData[SEHTrajectPeriodeDatumTijdVan],"&lt;="&amp;($A567+21/24),tData[SEHTrajectPeriodeDatumTijdTotEnMet],"&gt;"&amp;($A567+21/24))</f>
        <v/>
      </c>
      <c r="Z567" s="20">
        <f>COUNTIFS(tData[SEHTrajectPeriodeDatumTijdVan],"&lt;="&amp;($A567+22/24),tData[SEHTrajectPeriodeDatumTijdTotEnMet],"&gt;"&amp;($A567+22/24))</f>
        <v/>
      </c>
      <c r="AA567" s="20">
        <f>COUNTIFS(tData[SEHTrajectPeriodeDatumTijdVan],"&lt;="&amp;($A567+23/24),tData[SEHTrajectPeriodeDatumTijdTotEnMet],"&gt;"&amp;($A567+23/24))</f>
        <v/>
      </c>
    </row>
    <row r="568">
      <c r="A568" s="19" t="n">
        <v>45856</v>
      </c>
      <c r="B568" s="15">
        <f>WEEKDAY($A568,2)</f>
        <v/>
      </c>
      <c r="C568" s="15">
        <f>IF(AND($A568&gt;=INT(Instellingen!$B$5),$A568&lt;=INT(Instellingen!$B$6)),1,0)</f>
        <v/>
      </c>
      <c r="D568" s="20">
        <f>COUNTIFS(tData[SEHTrajectPeriodeDatumTijdVan],"&lt;="&amp;($A568+0/24),tData[SEHTrajectPeriodeDatumTijdTotEnMet],"&gt;"&amp;($A568+0/24))</f>
        <v/>
      </c>
      <c r="E568" s="20">
        <f>COUNTIFS(tData[SEHTrajectPeriodeDatumTijdVan],"&lt;="&amp;($A568+1/24),tData[SEHTrajectPeriodeDatumTijdTotEnMet],"&gt;"&amp;($A568+1/24))</f>
        <v/>
      </c>
      <c r="F568" s="20">
        <f>COUNTIFS(tData[SEHTrajectPeriodeDatumTijdVan],"&lt;="&amp;($A568+2/24),tData[SEHTrajectPeriodeDatumTijdTotEnMet],"&gt;"&amp;($A568+2/24))</f>
        <v/>
      </c>
      <c r="G568" s="20">
        <f>COUNTIFS(tData[SEHTrajectPeriodeDatumTijdVan],"&lt;="&amp;($A568+3/24),tData[SEHTrajectPeriodeDatumTijdTotEnMet],"&gt;"&amp;($A568+3/24))</f>
        <v/>
      </c>
      <c r="H568" s="20">
        <f>COUNTIFS(tData[SEHTrajectPeriodeDatumTijdVan],"&lt;="&amp;($A568+4/24),tData[SEHTrajectPeriodeDatumTijdTotEnMet],"&gt;"&amp;($A568+4/24))</f>
        <v/>
      </c>
      <c r="I568" s="20">
        <f>COUNTIFS(tData[SEHTrajectPeriodeDatumTijdVan],"&lt;="&amp;($A568+5/24),tData[SEHTrajectPeriodeDatumTijdTotEnMet],"&gt;"&amp;($A568+5/24))</f>
        <v/>
      </c>
      <c r="J568" s="20">
        <f>COUNTIFS(tData[SEHTrajectPeriodeDatumTijdVan],"&lt;="&amp;($A568+6/24),tData[SEHTrajectPeriodeDatumTijdTotEnMet],"&gt;"&amp;($A568+6/24))</f>
        <v/>
      </c>
      <c r="K568" s="20">
        <f>COUNTIFS(tData[SEHTrajectPeriodeDatumTijdVan],"&lt;="&amp;($A568+7/24),tData[SEHTrajectPeriodeDatumTijdTotEnMet],"&gt;"&amp;($A568+7/24))</f>
        <v/>
      </c>
      <c r="L568" s="20">
        <f>COUNTIFS(tData[SEHTrajectPeriodeDatumTijdVan],"&lt;="&amp;($A568+8/24),tData[SEHTrajectPeriodeDatumTijdTotEnMet],"&gt;"&amp;($A568+8/24))</f>
        <v/>
      </c>
      <c r="M568" s="20">
        <f>COUNTIFS(tData[SEHTrajectPeriodeDatumTijdVan],"&lt;="&amp;($A568+9/24),tData[SEHTrajectPeriodeDatumTijdTotEnMet],"&gt;"&amp;($A568+9/24))</f>
        <v/>
      </c>
      <c r="N568" s="20">
        <f>COUNTIFS(tData[SEHTrajectPeriodeDatumTijdVan],"&lt;="&amp;($A568+10/24),tData[SEHTrajectPeriodeDatumTijdTotEnMet],"&gt;"&amp;($A568+10/24))</f>
        <v/>
      </c>
      <c r="O568" s="20">
        <f>COUNTIFS(tData[SEHTrajectPeriodeDatumTijdVan],"&lt;="&amp;($A568+11/24),tData[SEHTrajectPeriodeDatumTijdTotEnMet],"&gt;"&amp;($A568+11/24))</f>
        <v/>
      </c>
      <c r="P568" s="20">
        <f>COUNTIFS(tData[SEHTrajectPeriodeDatumTijdVan],"&lt;="&amp;($A568+12/24),tData[SEHTrajectPeriodeDatumTijdTotEnMet],"&gt;"&amp;($A568+12/24))</f>
        <v/>
      </c>
      <c r="Q568" s="20">
        <f>COUNTIFS(tData[SEHTrajectPeriodeDatumTijdVan],"&lt;="&amp;($A568+13/24),tData[SEHTrajectPeriodeDatumTijdTotEnMet],"&gt;"&amp;($A568+13/24))</f>
        <v/>
      </c>
      <c r="R568" s="20">
        <f>COUNTIFS(tData[SEHTrajectPeriodeDatumTijdVan],"&lt;="&amp;($A568+14/24),tData[SEHTrajectPeriodeDatumTijdTotEnMet],"&gt;"&amp;($A568+14/24))</f>
        <v/>
      </c>
      <c r="S568" s="20">
        <f>COUNTIFS(tData[SEHTrajectPeriodeDatumTijdVan],"&lt;="&amp;($A568+15/24),tData[SEHTrajectPeriodeDatumTijdTotEnMet],"&gt;"&amp;($A568+15/24))</f>
        <v/>
      </c>
      <c r="T568" s="20">
        <f>COUNTIFS(tData[SEHTrajectPeriodeDatumTijdVan],"&lt;="&amp;($A568+16/24),tData[SEHTrajectPeriodeDatumTijdTotEnMet],"&gt;"&amp;($A568+16/24))</f>
        <v/>
      </c>
      <c r="U568" s="20">
        <f>COUNTIFS(tData[SEHTrajectPeriodeDatumTijdVan],"&lt;="&amp;($A568+17/24),tData[SEHTrajectPeriodeDatumTijdTotEnMet],"&gt;"&amp;($A568+17/24))</f>
        <v/>
      </c>
      <c r="V568" s="20">
        <f>COUNTIFS(tData[SEHTrajectPeriodeDatumTijdVan],"&lt;="&amp;($A568+18/24),tData[SEHTrajectPeriodeDatumTijdTotEnMet],"&gt;"&amp;($A568+18/24))</f>
        <v/>
      </c>
      <c r="W568" s="20">
        <f>COUNTIFS(tData[SEHTrajectPeriodeDatumTijdVan],"&lt;="&amp;($A568+19/24),tData[SEHTrajectPeriodeDatumTijdTotEnMet],"&gt;"&amp;($A568+19/24))</f>
        <v/>
      </c>
      <c r="X568" s="20">
        <f>COUNTIFS(tData[SEHTrajectPeriodeDatumTijdVan],"&lt;="&amp;($A568+20/24),tData[SEHTrajectPeriodeDatumTijdTotEnMet],"&gt;"&amp;($A568+20/24))</f>
        <v/>
      </c>
      <c r="Y568" s="20">
        <f>COUNTIFS(tData[SEHTrajectPeriodeDatumTijdVan],"&lt;="&amp;($A568+21/24),tData[SEHTrajectPeriodeDatumTijdTotEnMet],"&gt;"&amp;($A568+21/24))</f>
        <v/>
      </c>
      <c r="Z568" s="20">
        <f>COUNTIFS(tData[SEHTrajectPeriodeDatumTijdVan],"&lt;="&amp;($A568+22/24),tData[SEHTrajectPeriodeDatumTijdTotEnMet],"&gt;"&amp;($A568+22/24))</f>
        <v/>
      </c>
      <c r="AA568" s="20">
        <f>COUNTIFS(tData[SEHTrajectPeriodeDatumTijdVan],"&lt;="&amp;($A568+23/24),tData[SEHTrajectPeriodeDatumTijdTotEnMet],"&gt;"&amp;($A568+23/24))</f>
        <v/>
      </c>
    </row>
    <row r="569">
      <c r="A569" s="19" t="n">
        <v>45857</v>
      </c>
      <c r="B569" s="15">
        <f>WEEKDAY($A569,2)</f>
        <v/>
      </c>
      <c r="C569" s="15">
        <f>IF(AND($A569&gt;=INT(Instellingen!$B$5),$A569&lt;=INT(Instellingen!$B$6)),1,0)</f>
        <v/>
      </c>
      <c r="D569" s="20">
        <f>COUNTIFS(tData[SEHTrajectPeriodeDatumTijdVan],"&lt;="&amp;($A569+0/24),tData[SEHTrajectPeriodeDatumTijdTotEnMet],"&gt;"&amp;($A569+0/24))</f>
        <v/>
      </c>
      <c r="E569" s="20">
        <f>COUNTIFS(tData[SEHTrajectPeriodeDatumTijdVan],"&lt;="&amp;($A569+1/24),tData[SEHTrajectPeriodeDatumTijdTotEnMet],"&gt;"&amp;($A569+1/24))</f>
        <v/>
      </c>
      <c r="F569" s="20">
        <f>COUNTIFS(tData[SEHTrajectPeriodeDatumTijdVan],"&lt;="&amp;($A569+2/24),tData[SEHTrajectPeriodeDatumTijdTotEnMet],"&gt;"&amp;($A569+2/24))</f>
        <v/>
      </c>
      <c r="G569" s="20">
        <f>COUNTIFS(tData[SEHTrajectPeriodeDatumTijdVan],"&lt;="&amp;($A569+3/24),tData[SEHTrajectPeriodeDatumTijdTotEnMet],"&gt;"&amp;($A569+3/24))</f>
        <v/>
      </c>
      <c r="H569" s="20">
        <f>COUNTIFS(tData[SEHTrajectPeriodeDatumTijdVan],"&lt;="&amp;($A569+4/24),tData[SEHTrajectPeriodeDatumTijdTotEnMet],"&gt;"&amp;($A569+4/24))</f>
        <v/>
      </c>
      <c r="I569" s="20">
        <f>COUNTIFS(tData[SEHTrajectPeriodeDatumTijdVan],"&lt;="&amp;($A569+5/24),tData[SEHTrajectPeriodeDatumTijdTotEnMet],"&gt;"&amp;($A569+5/24))</f>
        <v/>
      </c>
      <c r="J569" s="20">
        <f>COUNTIFS(tData[SEHTrajectPeriodeDatumTijdVan],"&lt;="&amp;($A569+6/24),tData[SEHTrajectPeriodeDatumTijdTotEnMet],"&gt;"&amp;($A569+6/24))</f>
        <v/>
      </c>
      <c r="K569" s="20">
        <f>COUNTIFS(tData[SEHTrajectPeriodeDatumTijdVan],"&lt;="&amp;($A569+7/24),tData[SEHTrajectPeriodeDatumTijdTotEnMet],"&gt;"&amp;($A569+7/24))</f>
        <v/>
      </c>
      <c r="L569" s="20">
        <f>COUNTIFS(tData[SEHTrajectPeriodeDatumTijdVan],"&lt;="&amp;($A569+8/24),tData[SEHTrajectPeriodeDatumTijdTotEnMet],"&gt;"&amp;($A569+8/24))</f>
        <v/>
      </c>
      <c r="M569" s="20">
        <f>COUNTIFS(tData[SEHTrajectPeriodeDatumTijdVan],"&lt;="&amp;($A569+9/24),tData[SEHTrajectPeriodeDatumTijdTotEnMet],"&gt;"&amp;($A569+9/24))</f>
        <v/>
      </c>
      <c r="N569" s="20">
        <f>COUNTIFS(tData[SEHTrajectPeriodeDatumTijdVan],"&lt;="&amp;($A569+10/24),tData[SEHTrajectPeriodeDatumTijdTotEnMet],"&gt;"&amp;($A569+10/24))</f>
        <v/>
      </c>
      <c r="O569" s="20">
        <f>COUNTIFS(tData[SEHTrajectPeriodeDatumTijdVan],"&lt;="&amp;($A569+11/24),tData[SEHTrajectPeriodeDatumTijdTotEnMet],"&gt;"&amp;($A569+11/24))</f>
        <v/>
      </c>
      <c r="P569" s="20">
        <f>COUNTIFS(tData[SEHTrajectPeriodeDatumTijdVan],"&lt;="&amp;($A569+12/24),tData[SEHTrajectPeriodeDatumTijdTotEnMet],"&gt;"&amp;($A569+12/24))</f>
        <v/>
      </c>
      <c r="Q569" s="20">
        <f>COUNTIFS(tData[SEHTrajectPeriodeDatumTijdVan],"&lt;="&amp;($A569+13/24),tData[SEHTrajectPeriodeDatumTijdTotEnMet],"&gt;"&amp;($A569+13/24))</f>
        <v/>
      </c>
      <c r="R569" s="20">
        <f>COUNTIFS(tData[SEHTrajectPeriodeDatumTijdVan],"&lt;="&amp;($A569+14/24),tData[SEHTrajectPeriodeDatumTijdTotEnMet],"&gt;"&amp;($A569+14/24))</f>
        <v/>
      </c>
      <c r="S569" s="20">
        <f>COUNTIFS(tData[SEHTrajectPeriodeDatumTijdVan],"&lt;="&amp;($A569+15/24),tData[SEHTrajectPeriodeDatumTijdTotEnMet],"&gt;"&amp;($A569+15/24))</f>
        <v/>
      </c>
      <c r="T569" s="20">
        <f>COUNTIFS(tData[SEHTrajectPeriodeDatumTijdVan],"&lt;="&amp;($A569+16/24),tData[SEHTrajectPeriodeDatumTijdTotEnMet],"&gt;"&amp;($A569+16/24))</f>
        <v/>
      </c>
      <c r="U569" s="20">
        <f>COUNTIFS(tData[SEHTrajectPeriodeDatumTijdVan],"&lt;="&amp;($A569+17/24),tData[SEHTrajectPeriodeDatumTijdTotEnMet],"&gt;"&amp;($A569+17/24))</f>
        <v/>
      </c>
      <c r="V569" s="20">
        <f>COUNTIFS(tData[SEHTrajectPeriodeDatumTijdVan],"&lt;="&amp;($A569+18/24),tData[SEHTrajectPeriodeDatumTijdTotEnMet],"&gt;"&amp;($A569+18/24))</f>
        <v/>
      </c>
      <c r="W569" s="20">
        <f>COUNTIFS(tData[SEHTrajectPeriodeDatumTijdVan],"&lt;="&amp;($A569+19/24),tData[SEHTrajectPeriodeDatumTijdTotEnMet],"&gt;"&amp;($A569+19/24))</f>
        <v/>
      </c>
      <c r="X569" s="20">
        <f>COUNTIFS(tData[SEHTrajectPeriodeDatumTijdVan],"&lt;="&amp;($A569+20/24),tData[SEHTrajectPeriodeDatumTijdTotEnMet],"&gt;"&amp;($A569+20/24))</f>
        <v/>
      </c>
      <c r="Y569" s="20">
        <f>COUNTIFS(tData[SEHTrajectPeriodeDatumTijdVan],"&lt;="&amp;($A569+21/24),tData[SEHTrajectPeriodeDatumTijdTotEnMet],"&gt;"&amp;($A569+21/24))</f>
        <v/>
      </c>
      <c r="Z569" s="20">
        <f>COUNTIFS(tData[SEHTrajectPeriodeDatumTijdVan],"&lt;="&amp;($A569+22/24),tData[SEHTrajectPeriodeDatumTijdTotEnMet],"&gt;"&amp;($A569+22/24))</f>
        <v/>
      </c>
      <c r="AA569" s="20">
        <f>COUNTIFS(tData[SEHTrajectPeriodeDatumTijdVan],"&lt;="&amp;($A569+23/24),tData[SEHTrajectPeriodeDatumTijdTotEnMet],"&gt;"&amp;($A569+23/24))</f>
        <v/>
      </c>
    </row>
    <row r="570">
      <c r="A570" s="19" t="n">
        <v>45858</v>
      </c>
      <c r="B570" s="15">
        <f>WEEKDAY($A570,2)</f>
        <v/>
      </c>
      <c r="C570" s="15">
        <f>IF(AND($A570&gt;=INT(Instellingen!$B$5),$A570&lt;=INT(Instellingen!$B$6)),1,0)</f>
        <v/>
      </c>
      <c r="D570" s="20">
        <f>COUNTIFS(tData[SEHTrajectPeriodeDatumTijdVan],"&lt;="&amp;($A570+0/24),tData[SEHTrajectPeriodeDatumTijdTotEnMet],"&gt;"&amp;($A570+0/24))</f>
        <v/>
      </c>
      <c r="E570" s="20">
        <f>COUNTIFS(tData[SEHTrajectPeriodeDatumTijdVan],"&lt;="&amp;($A570+1/24),tData[SEHTrajectPeriodeDatumTijdTotEnMet],"&gt;"&amp;($A570+1/24))</f>
        <v/>
      </c>
      <c r="F570" s="20">
        <f>COUNTIFS(tData[SEHTrajectPeriodeDatumTijdVan],"&lt;="&amp;($A570+2/24),tData[SEHTrajectPeriodeDatumTijdTotEnMet],"&gt;"&amp;($A570+2/24))</f>
        <v/>
      </c>
      <c r="G570" s="20">
        <f>COUNTIFS(tData[SEHTrajectPeriodeDatumTijdVan],"&lt;="&amp;($A570+3/24),tData[SEHTrajectPeriodeDatumTijdTotEnMet],"&gt;"&amp;($A570+3/24))</f>
        <v/>
      </c>
      <c r="H570" s="20">
        <f>COUNTIFS(tData[SEHTrajectPeriodeDatumTijdVan],"&lt;="&amp;($A570+4/24),tData[SEHTrajectPeriodeDatumTijdTotEnMet],"&gt;"&amp;($A570+4/24))</f>
        <v/>
      </c>
      <c r="I570" s="20">
        <f>COUNTIFS(tData[SEHTrajectPeriodeDatumTijdVan],"&lt;="&amp;($A570+5/24),tData[SEHTrajectPeriodeDatumTijdTotEnMet],"&gt;"&amp;($A570+5/24))</f>
        <v/>
      </c>
      <c r="J570" s="20">
        <f>COUNTIFS(tData[SEHTrajectPeriodeDatumTijdVan],"&lt;="&amp;($A570+6/24),tData[SEHTrajectPeriodeDatumTijdTotEnMet],"&gt;"&amp;($A570+6/24))</f>
        <v/>
      </c>
      <c r="K570" s="20">
        <f>COUNTIFS(tData[SEHTrajectPeriodeDatumTijdVan],"&lt;="&amp;($A570+7/24),tData[SEHTrajectPeriodeDatumTijdTotEnMet],"&gt;"&amp;($A570+7/24))</f>
        <v/>
      </c>
      <c r="L570" s="20">
        <f>COUNTIFS(tData[SEHTrajectPeriodeDatumTijdVan],"&lt;="&amp;($A570+8/24),tData[SEHTrajectPeriodeDatumTijdTotEnMet],"&gt;"&amp;($A570+8/24))</f>
        <v/>
      </c>
      <c r="M570" s="20">
        <f>COUNTIFS(tData[SEHTrajectPeriodeDatumTijdVan],"&lt;="&amp;($A570+9/24),tData[SEHTrajectPeriodeDatumTijdTotEnMet],"&gt;"&amp;($A570+9/24))</f>
        <v/>
      </c>
      <c r="N570" s="20">
        <f>COUNTIFS(tData[SEHTrajectPeriodeDatumTijdVan],"&lt;="&amp;($A570+10/24),tData[SEHTrajectPeriodeDatumTijdTotEnMet],"&gt;"&amp;($A570+10/24))</f>
        <v/>
      </c>
      <c r="O570" s="20">
        <f>COUNTIFS(tData[SEHTrajectPeriodeDatumTijdVan],"&lt;="&amp;($A570+11/24),tData[SEHTrajectPeriodeDatumTijdTotEnMet],"&gt;"&amp;($A570+11/24))</f>
        <v/>
      </c>
      <c r="P570" s="20">
        <f>COUNTIFS(tData[SEHTrajectPeriodeDatumTijdVan],"&lt;="&amp;($A570+12/24),tData[SEHTrajectPeriodeDatumTijdTotEnMet],"&gt;"&amp;($A570+12/24))</f>
        <v/>
      </c>
      <c r="Q570" s="20">
        <f>COUNTIFS(tData[SEHTrajectPeriodeDatumTijdVan],"&lt;="&amp;($A570+13/24),tData[SEHTrajectPeriodeDatumTijdTotEnMet],"&gt;"&amp;($A570+13/24))</f>
        <v/>
      </c>
      <c r="R570" s="20">
        <f>COUNTIFS(tData[SEHTrajectPeriodeDatumTijdVan],"&lt;="&amp;($A570+14/24),tData[SEHTrajectPeriodeDatumTijdTotEnMet],"&gt;"&amp;($A570+14/24))</f>
        <v/>
      </c>
      <c r="S570" s="20">
        <f>COUNTIFS(tData[SEHTrajectPeriodeDatumTijdVan],"&lt;="&amp;($A570+15/24),tData[SEHTrajectPeriodeDatumTijdTotEnMet],"&gt;"&amp;($A570+15/24))</f>
        <v/>
      </c>
      <c r="T570" s="20">
        <f>COUNTIFS(tData[SEHTrajectPeriodeDatumTijdVan],"&lt;="&amp;($A570+16/24),tData[SEHTrajectPeriodeDatumTijdTotEnMet],"&gt;"&amp;($A570+16/24))</f>
        <v/>
      </c>
      <c r="U570" s="20">
        <f>COUNTIFS(tData[SEHTrajectPeriodeDatumTijdVan],"&lt;="&amp;($A570+17/24),tData[SEHTrajectPeriodeDatumTijdTotEnMet],"&gt;"&amp;($A570+17/24))</f>
        <v/>
      </c>
      <c r="V570" s="20">
        <f>COUNTIFS(tData[SEHTrajectPeriodeDatumTijdVan],"&lt;="&amp;($A570+18/24),tData[SEHTrajectPeriodeDatumTijdTotEnMet],"&gt;"&amp;($A570+18/24))</f>
        <v/>
      </c>
      <c r="W570" s="20">
        <f>COUNTIFS(tData[SEHTrajectPeriodeDatumTijdVan],"&lt;="&amp;($A570+19/24),tData[SEHTrajectPeriodeDatumTijdTotEnMet],"&gt;"&amp;($A570+19/24))</f>
        <v/>
      </c>
      <c r="X570" s="20">
        <f>COUNTIFS(tData[SEHTrajectPeriodeDatumTijdVan],"&lt;="&amp;($A570+20/24),tData[SEHTrajectPeriodeDatumTijdTotEnMet],"&gt;"&amp;($A570+20/24))</f>
        <v/>
      </c>
      <c r="Y570" s="20">
        <f>COUNTIFS(tData[SEHTrajectPeriodeDatumTijdVan],"&lt;="&amp;($A570+21/24),tData[SEHTrajectPeriodeDatumTijdTotEnMet],"&gt;"&amp;($A570+21/24))</f>
        <v/>
      </c>
      <c r="Z570" s="20">
        <f>COUNTIFS(tData[SEHTrajectPeriodeDatumTijdVan],"&lt;="&amp;($A570+22/24),tData[SEHTrajectPeriodeDatumTijdTotEnMet],"&gt;"&amp;($A570+22/24))</f>
        <v/>
      </c>
      <c r="AA570" s="20">
        <f>COUNTIFS(tData[SEHTrajectPeriodeDatumTijdVan],"&lt;="&amp;($A570+23/24),tData[SEHTrajectPeriodeDatumTijdTotEnMet],"&gt;"&amp;($A570+23/24))</f>
        <v/>
      </c>
    </row>
    <row r="571">
      <c r="A571" s="19" t="n">
        <v>45859</v>
      </c>
      <c r="B571" s="15">
        <f>WEEKDAY($A571,2)</f>
        <v/>
      </c>
      <c r="C571" s="15">
        <f>IF(AND($A571&gt;=INT(Instellingen!$B$5),$A571&lt;=INT(Instellingen!$B$6)),1,0)</f>
        <v/>
      </c>
      <c r="D571" s="20">
        <f>COUNTIFS(tData[SEHTrajectPeriodeDatumTijdVan],"&lt;="&amp;($A571+0/24),tData[SEHTrajectPeriodeDatumTijdTotEnMet],"&gt;"&amp;($A571+0/24))</f>
        <v/>
      </c>
      <c r="E571" s="20">
        <f>COUNTIFS(tData[SEHTrajectPeriodeDatumTijdVan],"&lt;="&amp;($A571+1/24),tData[SEHTrajectPeriodeDatumTijdTotEnMet],"&gt;"&amp;($A571+1/24))</f>
        <v/>
      </c>
      <c r="F571" s="20">
        <f>COUNTIFS(tData[SEHTrajectPeriodeDatumTijdVan],"&lt;="&amp;($A571+2/24),tData[SEHTrajectPeriodeDatumTijdTotEnMet],"&gt;"&amp;($A571+2/24))</f>
        <v/>
      </c>
      <c r="G571" s="20">
        <f>COUNTIFS(tData[SEHTrajectPeriodeDatumTijdVan],"&lt;="&amp;($A571+3/24),tData[SEHTrajectPeriodeDatumTijdTotEnMet],"&gt;"&amp;($A571+3/24))</f>
        <v/>
      </c>
      <c r="H571" s="20">
        <f>COUNTIFS(tData[SEHTrajectPeriodeDatumTijdVan],"&lt;="&amp;($A571+4/24),tData[SEHTrajectPeriodeDatumTijdTotEnMet],"&gt;"&amp;($A571+4/24))</f>
        <v/>
      </c>
      <c r="I571" s="20">
        <f>COUNTIFS(tData[SEHTrajectPeriodeDatumTijdVan],"&lt;="&amp;($A571+5/24),tData[SEHTrajectPeriodeDatumTijdTotEnMet],"&gt;"&amp;($A571+5/24))</f>
        <v/>
      </c>
      <c r="J571" s="20">
        <f>COUNTIFS(tData[SEHTrajectPeriodeDatumTijdVan],"&lt;="&amp;($A571+6/24),tData[SEHTrajectPeriodeDatumTijdTotEnMet],"&gt;"&amp;($A571+6/24))</f>
        <v/>
      </c>
      <c r="K571" s="20">
        <f>COUNTIFS(tData[SEHTrajectPeriodeDatumTijdVan],"&lt;="&amp;($A571+7/24),tData[SEHTrajectPeriodeDatumTijdTotEnMet],"&gt;"&amp;($A571+7/24))</f>
        <v/>
      </c>
      <c r="L571" s="20">
        <f>COUNTIFS(tData[SEHTrajectPeriodeDatumTijdVan],"&lt;="&amp;($A571+8/24),tData[SEHTrajectPeriodeDatumTijdTotEnMet],"&gt;"&amp;($A571+8/24))</f>
        <v/>
      </c>
      <c r="M571" s="20">
        <f>COUNTIFS(tData[SEHTrajectPeriodeDatumTijdVan],"&lt;="&amp;($A571+9/24),tData[SEHTrajectPeriodeDatumTijdTotEnMet],"&gt;"&amp;($A571+9/24))</f>
        <v/>
      </c>
      <c r="N571" s="20">
        <f>COUNTIFS(tData[SEHTrajectPeriodeDatumTijdVan],"&lt;="&amp;($A571+10/24),tData[SEHTrajectPeriodeDatumTijdTotEnMet],"&gt;"&amp;($A571+10/24))</f>
        <v/>
      </c>
      <c r="O571" s="20">
        <f>COUNTIFS(tData[SEHTrajectPeriodeDatumTijdVan],"&lt;="&amp;($A571+11/24),tData[SEHTrajectPeriodeDatumTijdTotEnMet],"&gt;"&amp;($A571+11/24))</f>
        <v/>
      </c>
      <c r="P571" s="20">
        <f>COUNTIFS(tData[SEHTrajectPeriodeDatumTijdVan],"&lt;="&amp;($A571+12/24),tData[SEHTrajectPeriodeDatumTijdTotEnMet],"&gt;"&amp;($A571+12/24))</f>
        <v/>
      </c>
      <c r="Q571" s="20">
        <f>COUNTIFS(tData[SEHTrajectPeriodeDatumTijdVan],"&lt;="&amp;($A571+13/24),tData[SEHTrajectPeriodeDatumTijdTotEnMet],"&gt;"&amp;($A571+13/24))</f>
        <v/>
      </c>
      <c r="R571" s="20">
        <f>COUNTIFS(tData[SEHTrajectPeriodeDatumTijdVan],"&lt;="&amp;($A571+14/24),tData[SEHTrajectPeriodeDatumTijdTotEnMet],"&gt;"&amp;($A571+14/24))</f>
        <v/>
      </c>
      <c r="S571" s="20">
        <f>COUNTIFS(tData[SEHTrajectPeriodeDatumTijdVan],"&lt;="&amp;($A571+15/24),tData[SEHTrajectPeriodeDatumTijdTotEnMet],"&gt;"&amp;($A571+15/24))</f>
        <v/>
      </c>
      <c r="T571" s="20">
        <f>COUNTIFS(tData[SEHTrajectPeriodeDatumTijdVan],"&lt;="&amp;($A571+16/24),tData[SEHTrajectPeriodeDatumTijdTotEnMet],"&gt;"&amp;($A571+16/24))</f>
        <v/>
      </c>
      <c r="U571" s="20">
        <f>COUNTIFS(tData[SEHTrajectPeriodeDatumTijdVan],"&lt;="&amp;($A571+17/24),tData[SEHTrajectPeriodeDatumTijdTotEnMet],"&gt;"&amp;($A571+17/24))</f>
        <v/>
      </c>
      <c r="V571" s="20">
        <f>COUNTIFS(tData[SEHTrajectPeriodeDatumTijdVan],"&lt;="&amp;($A571+18/24),tData[SEHTrajectPeriodeDatumTijdTotEnMet],"&gt;"&amp;($A571+18/24))</f>
        <v/>
      </c>
      <c r="W571" s="20">
        <f>COUNTIFS(tData[SEHTrajectPeriodeDatumTijdVan],"&lt;="&amp;($A571+19/24),tData[SEHTrajectPeriodeDatumTijdTotEnMet],"&gt;"&amp;($A571+19/24))</f>
        <v/>
      </c>
      <c r="X571" s="20">
        <f>COUNTIFS(tData[SEHTrajectPeriodeDatumTijdVan],"&lt;="&amp;($A571+20/24),tData[SEHTrajectPeriodeDatumTijdTotEnMet],"&gt;"&amp;($A571+20/24))</f>
        <v/>
      </c>
      <c r="Y571" s="20">
        <f>COUNTIFS(tData[SEHTrajectPeriodeDatumTijdVan],"&lt;="&amp;($A571+21/24),tData[SEHTrajectPeriodeDatumTijdTotEnMet],"&gt;"&amp;($A571+21/24))</f>
        <v/>
      </c>
      <c r="Z571" s="20">
        <f>COUNTIFS(tData[SEHTrajectPeriodeDatumTijdVan],"&lt;="&amp;($A571+22/24),tData[SEHTrajectPeriodeDatumTijdTotEnMet],"&gt;"&amp;($A571+22/24))</f>
        <v/>
      </c>
      <c r="AA571" s="20">
        <f>COUNTIFS(tData[SEHTrajectPeriodeDatumTijdVan],"&lt;="&amp;($A571+23/24),tData[SEHTrajectPeriodeDatumTijdTotEnMet],"&gt;"&amp;($A571+23/24))</f>
        <v/>
      </c>
    </row>
    <row r="572">
      <c r="A572" s="19" t="n">
        <v>45860</v>
      </c>
      <c r="B572" s="15">
        <f>WEEKDAY($A572,2)</f>
        <v/>
      </c>
      <c r="C572" s="15">
        <f>IF(AND($A572&gt;=INT(Instellingen!$B$5),$A572&lt;=INT(Instellingen!$B$6)),1,0)</f>
        <v/>
      </c>
      <c r="D572" s="20">
        <f>COUNTIFS(tData[SEHTrajectPeriodeDatumTijdVan],"&lt;="&amp;($A572+0/24),tData[SEHTrajectPeriodeDatumTijdTotEnMet],"&gt;"&amp;($A572+0/24))</f>
        <v/>
      </c>
      <c r="E572" s="20">
        <f>COUNTIFS(tData[SEHTrajectPeriodeDatumTijdVan],"&lt;="&amp;($A572+1/24),tData[SEHTrajectPeriodeDatumTijdTotEnMet],"&gt;"&amp;($A572+1/24))</f>
        <v/>
      </c>
      <c r="F572" s="20">
        <f>COUNTIFS(tData[SEHTrajectPeriodeDatumTijdVan],"&lt;="&amp;($A572+2/24),tData[SEHTrajectPeriodeDatumTijdTotEnMet],"&gt;"&amp;($A572+2/24))</f>
        <v/>
      </c>
      <c r="G572" s="20">
        <f>COUNTIFS(tData[SEHTrajectPeriodeDatumTijdVan],"&lt;="&amp;($A572+3/24),tData[SEHTrajectPeriodeDatumTijdTotEnMet],"&gt;"&amp;($A572+3/24))</f>
        <v/>
      </c>
      <c r="H572" s="20">
        <f>COUNTIFS(tData[SEHTrajectPeriodeDatumTijdVan],"&lt;="&amp;($A572+4/24),tData[SEHTrajectPeriodeDatumTijdTotEnMet],"&gt;"&amp;($A572+4/24))</f>
        <v/>
      </c>
      <c r="I572" s="20">
        <f>COUNTIFS(tData[SEHTrajectPeriodeDatumTijdVan],"&lt;="&amp;($A572+5/24),tData[SEHTrajectPeriodeDatumTijdTotEnMet],"&gt;"&amp;($A572+5/24))</f>
        <v/>
      </c>
      <c r="J572" s="20">
        <f>COUNTIFS(tData[SEHTrajectPeriodeDatumTijdVan],"&lt;="&amp;($A572+6/24),tData[SEHTrajectPeriodeDatumTijdTotEnMet],"&gt;"&amp;($A572+6/24))</f>
        <v/>
      </c>
      <c r="K572" s="20">
        <f>COUNTIFS(tData[SEHTrajectPeriodeDatumTijdVan],"&lt;="&amp;($A572+7/24),tData[SEHTrajectPeriodeDatumTijdTotEnMet],"&gt;"&amp;($A572+7/24))</f>
        <v/>
      </c>
      <c r="L572" s="20">
        <f>COUNTIFS(tData[SEHTrajectPeriodeDatumTijdVan],"&lt;="&amp;($A572+8/24),tData[SEHTrajectPeriodeDatumTijdTotEnMet],"&gt;"&amp;($A572+8/24))</f>
        <v/>
      </c>
      <c r="M572" s="20">
        <f>COUNTIFS(tData[SEHTrajectPeriodeDatumTijdVan],"&lt;="&amp;($A572+9/24),tData[SEHTrajectPeriodeDatumTijdTotEnMet],"&gt;"&amp;($A572+9/24))</f>
        <v/>
      </c>
      <c r="N572" s="20">
        <f>COUNTIFS(tData[SEHTrajectPeriodeDatumTijdVan],"&lt;="&amp;($A572+10/24),tData[SEHTrajectPeriodeDatumTijdTotEnMet],"&gt;"&amp;($A572+10/24))</f>
        <v/>
      </c>
      <c r="O572" s="20">
        <f>COUNTIFS(tData[SEHTrajectPeriodeDatumTijdVan],"&lt;="&amp;($A572+11/24),tData[SEHTrajectPeriodeDatumTijdTotEnMet],"&gt;"&amp;($A572+11/24))</f>
        <v/>
      </c>
      <c r="P572" s="20">
        <f>COUNTIFS(tData[SEHTrajectPeriodeDatumTijdVan],"&lt;="&amp;($A572+12/24),tData[SEHTrajectPeriodeDatumTijdTotEnMet],"&gt;"&amp;($A572+12/24))</f>
        <v/>
      </c>
      <c r="Q572" s="20">
        <f>COUNTIFS(tData[SEHTrajectPeriodeDatumTijdVan],"&lt;="&amp;($A572+13/24),tData[SEHTrajectPeriodeDatumTijdTotEnMet],"&gt;"&amp;($A572+13/24))</f>
        <v/>
      </c>
      <c r="R572" s="20">
        <f>COUNTIFS(tData[SEHTrajectPeriodeDatumTijdVan],"&lt;="&amp;($A572+14/24),tData[SEHTrajectPeriodeDatumTijdTotEnMet],"&gt;"&amp;($A572+14/24))</f>
        <v/>
      </c>
      <c r="S572" s="20">
        <f>COUNTIFS(tData[SEHTrajectPeriodeDatumTijdVan],"&lt;="&amp;($A572+15/24),tData[SEHTrajectPeriodeDatumTijdTotEnMet],"&gt;"&amp;($A572+15/24))</f>
        <v/>
      </c>
      <c r="T572" s="20">
        <f>COUNTIFS(tData[SEHTrajectPeriodeDatumTijdVan],"&lt;="&amp;($A572+16/24),tData[SEHTrajectPeriodeDatumTijdTotEnMet],"&gt;"&amp;($A572+16/24))</f>
        <v/>
      </c>
      <c r="U572" s="20">
        <f>COUNTIFS(tData[SEHTrajectPeriodeDatumTijdVan],"&lt;="&amp;($A572+17/24),tData[SEHTrajectPeriodeDatumTijdTotEnMet],"&gt;"&amp;($A572+17/24))</f>
        <v/>
      </c>
      <c r="V572" s="20">
        <f>COUNTIFS(tData[SEHTrajectPeriodeDatumTijdVan],"&lt;="&amp;($A572+18/24),tData[SEHTrajectPeriodeDatumTijdTotEnMet],"&gt;"&amp;($A572+18/24))</f>
        <v/>
      </c>
      <c r="W572" s="20">
        <f>COUNTIFS(tData[SEHTrajectPeriodeDatumTijdVan],"&lt;="&amp;($A572+19/24),tData[SEHTrajectPeriodeDatumTijdTotEnMet],"&gt;"&amp;($A572+19/24))</f>
        <v/>
      </c>
      <c r="X572" s="20">
        <f>COUNTIFS(tData[SEHTrajectPeriodeDatumTijdVan],"&lt;="&amp;($A572+20/24),tData[SEHTrajectPeriodeDatumTijdTotEnMet],"&gt;"&amp;($A572+20/24))</f>
        <v/>
      </c>
      <c r="Y572" s="20">
        <f>COUNTIFS(tData[SEHTrajectPeriodeDatumTijdVan],"&lt;="&amp;($A572+21/24),tData[SEHTrajectPeriodeDatumTijdTotEnMet],"&gt;"&amp;($A572+21/24))</f>
        <v/>
      </c>
      <c r="Z572" s="20">
        <f>COUNTIFS(tData[SEHTrajectPeriodeDatumTijdVan],"&lt;="&amp;($A572+22/24),tData[SEHTrajectPeriodeDatumTijdTotEnMet],"&gt;"&amp;($A572+22/24))</f>
        <v/>
      </c>
      <c r="AA572" s="20">
        <f>COUNTIFS(tData[SEHTrajectPeriodeDatumTijdVan],"&lt;="&amp;($A572+23/24),tData[SEHTrajectPeriodeDatumTijdTotEnMet],"&gt;"&amp;($A572+23/24))</f>
        <v/>
      </c>
    </row>
    <row r="573">
      <c r="A573" s="19" t="n">
        <v>45861</v>
      </c>
      <c r="B573" s="15">
        <f>WEEKDAY($A573,2)</f>
        <v/>
      </c>
      <c r="C573" s="15">
        <f>IF(AND($A573&gt;=INT(Instellingen!$B$5),$A573&lt;=INT(Instellingen!$B$6)),1,0)</f>
        <v/>
      </c>
      <c r="D573" s="20">
        <f>COUNTIFS(tData[SEHTrajectPeriodeDatumTijdVan],"&lt;="&amp;($A573+0/24),tData[SEHTrajectPeriodeDatumTijdTotEnMet],"&gt;"&amp;($A573+0/24))</f>
        <v/>
      </c>
      <c r="E573" s="20">
        <f>COUNTIFS(tData[SEHTrajectPeriodeDatumTijdVan],"&lt;="&amp;($A573+1/24),tData[SEHTrajectPeriodeDatumTijdTotEnMet],"&gt;"&amp;($A573+1/24))</f>
        <v/>
      </c>
      <c r="F573" s="20">
        <f>COUNTIFS(tData[SEHTrajectPeriodeDatumTijdVan],"&lt;="&amp;($A573+2/24),tData[SEHTrajectPeriodeDatumTijdTotEnMet],"&gt;"&amp;($A573+2/24))</f>
        <v/>
      </c>
      <c r="G573" s="20">
        <f>COUNTIFS(tData[SEHTrajectPeriodeDatumTijdVan],"&lt;="&amp;($A573+3/24),tData[SEHTrajectPeriodeDatumTijdTotEnMet],"&gt;"&amp;($A573+3/24))</f>
        <v/>
      </c>
      <c r="H573" s="20">
        <f>COUNTIFS(tData[SEHTrajectPeriodeDatumTijdVan],"&lt;="&amp;($A573+4/24),tData[SEHTrajectPeriodeDatumTijdTotEnMet],"&gt;"&amp;($A573+4/24))</f>
        <v/>
      </c>
      <c r="I573" s="20">
        <f>COUNTIFS(tData[SEHTrajectPeriodeDatumTijdVan],"&lt;="&amp;($A573+5/24),tData[SEHTrajectPeriodeDatumTijdTotEnMet],"&gt;"&amp;($A573+5/24))</f>
        <v/>
      </c>
      <c r="J573" s="20">
        <f>COUNTIFS(tData[SEHTrajectPeriodeDatumTijdVan],"&lt;="&amp;($A573+6/24),tData[SEHTrajectPeriodeDatumTijdTotEnMet],"&gt;"&amp;($A573+6/24))</f>
        <v/>
      </c>
      <c r="K573" s="20">
        <f>COUNTIFS(tData[SEHTrajectPeriodeDatumTijdVan],"&lt;="&amp;($A573+7/24),tData[SEHTrajectPeriodeDatumTijdTotEnMet],"&gt;"&amp;($A573+7/24))</f>
        <v/>
      </c>
      <c r="L573" s="20">
        <f>COUNTIFS(tData[SEHTrajectPeriodeDatumTijdVan],"&lt;="&amp;($A573+8/24),tData[SEHTrajectPeriodeDatumTijdTotEnMet],"&gt;"&amp;($A573+8/24))</f>
        <v/>
      </c>
      <c r="M573" s="20">
        <f>COUNTIFS(tData[SEHTrajectPeriodeDatumTijdVan],"&lt;="&amp;($A573+9/24),tData[SEHTrajectPeriodeDatumTijdTotEnMet],"&gt;"&amp;($A573+9/24))</f>
        <v/>
      </c>
      <c r="N573" s="20">
        <f>COUNTIFS(tData[SEHTrajectPeriodeDatumTijdVan],"&lt;="&amp;($A573+10/24),tData[SEHTrajectPeriodeDatumTijdTotEnMet],"&gt;"&amp;($A573+10/24))</f>
        <v/>
      </c>
      <c r="O573" s="20">
        <f>COUNTIFS(tData[SEHTrajectPeriodeDatumTijdVan],"&lt;="&amp;($A573+11/24),tData[SEHTrajectPeriodeDatumTijdTotEnMet],"&gt;"&amp;($A573+11/24))</f>
        <v/>
      </c>
      <c r="P573" s="20">
        <f>COUNTIFS(tData[SEHTrajectPeriodeDatumTijdVan],"&lt;="&amp;($A573+12/24),tData[SEHTrajectPeriodeDatumTijdTotEnMet],"&gt;"&amp;($A573+12/24))</f>
        <v/>
      </c>
      <c r="Q573" s="20">
        <f>COUNTIFS(tData[SEHTrajectPeriodeDatumTijdVan],"&lt;="&amp;($A573+13/24),tData[SEHTrajectPeriodeDatumTijdTotEnMet],"&gt;"&amp;($A573+13/24))</f>
        <v/>
      </c>
      <c r="R573" s="20">
        <f>COUNTIFS(tData[SEHTrajectPeriodeDatumTijdVan],"&lt;="&amp;($A573+14/24),tData[SEHTrajectPeriodeDatumTijdTotEnMet],"&gt;"&amp;($A573+14/24))</f>
        <v/>
      </c>
      <c r="S573" s="20">
        <f>COUNTIFS(tData[SEHTrajectPeriodeDatumTijdVan],"&lt;="&amp;($A573+15/24),tData[SEHTrajectPeriodeDatumTijdTotEnMet],"&gt;"&amp;($A573+15/24))</f>
        <v/>
      </c>
      <c r="T573" s="20">
        <f>COUNTIFS(tData[SEHTrajectPeriodeDatumTijdVan],"&lt;="&amp;($A573+16/24),tData[SEHTrajectPeriodeDatumTijdTotEnMet],"&gt;"&amp;($A573+16/24))</f>
        <v/>
      </c>
      <c r="U573" s="20">
        <f>COUNTIFS(tData[SEHTrajectPeriodeDatumTijdVan],"&lt;="&amp;($A573+17/24),tData[SEHTrajectPeriodeDatumTijdTotEnMet],"&gt;"&amp;($A573+17/24))</f>
        <v/>
      </c>
      <c r="V573" s="20">
        <f>COUNTIFS(tData[SEHTrajectPeriodeDatumTijdVan],"&lt;="&amp;($A573+18/24),tData[SEHTrajectPeriodeDatumTijdTotEnMet],"&gt;"&amp;($A573+18/24))</f>
        <v/>
      </c>
      <c r="W573" s="20">
        <f>COUNTIFS(tData[SEHTrajectPeriodeDatumTijdVan],"&lt;="&amp;($A573+19/24),tData[SEHTrajectPeriodeDatumTijdTotEnMet],"&gt;"&amp;($A573+19/24))</f>
        <v/>
      </c>
      <c r="X573" s="20">
        <f>COUNTIFS(tData[SEHTrajectPeriodeDatumTijdVan],"&lt;="&amp;($A573+20/24),tData[SEHTrajectPeriodeDatumTijdTotEnMet],"&gt;"&amp;($A573+20/24))</f>
        <v/>
      </c>
      <c r="Y573" s="20">
        <f>COUNTIFS(tData[SEHTrajectPeriodeDatumTijdVan],"&lt;="&amp;($A573+21/24),tData[SEHTrajectPeriodeDatumTijdTotEnMet],"&gt;"&amp;($A573+21/24))</f>
        <v/>
      </c>
      <c r="Z573" s="20">
        <f>COUNTIFS(tData[SEHTrajectPeriodeDatumTijdVan],"&lt;="&amp;($A573+22/24),tData[SEHTrajectPeriodeDatumTijdTotEnMet],"&gt;"&amp;($A573+22/24))</f>
        <v/>
      </c>
      <c r="AA573" s="20">
        <f>COUNTIFS(tData[SEHTrajectPeriodeDatumTijdVan],"&lt;="&amp;($A573+23/24),tData[SEHTrajectPeriodeDatumTijdTotEnMet],"&gt;"&amp;($A573+23/24))</f>
        <v/>
      </c>
    </row>
    <row r="574">
      <c r="A574" s="19" t="n">
        <v>45862</v>
      </c>
      <c r="B574" s="15">
        <f>WEEKDAY($A574,2)</f>
        <v/>
      </c>
      <c r="C574" s="15">
        <f>IF(AND($A574&gt;=INT(Instellingen!$B$5),$A574&lt;=INT(Instellingen!$B$6)),1,0)</f>
        <v/>
      </c>
      <c r="D574" s="20">
        <f>COUNTIFS(tData[SEHTrajectPeriodeDatumTijdVan],"&lt;="&amp;($A574+0/24),tData[SEHTrajectPeriodeDatumTijdTotEnMet],"&gt;"&amp;($A574+0/24))</f>
        <v/>
      </c>
      <c r="E574" s="20">
        <f>COUNTIFS(tData[SEHTrajectPeriodeDatumTijdVan],"&lt;="&amp;($A574+1/24),tData[SEHTrajectPeriodeDatumTijdTotEnMet],"&gt;"&amp;($A574+1/24))</f>
        <v/>
      </c>
      <c r="F574" s="20">
        <f>COUNTIFS(tData[SEHTrajectPeriodeDatumTijdVan],"&lt;="&amp;($A574+2/24),tData[SEHTrajectPeriodeDatumTijdTotEnMet],"&gt;"&amp;($A574+2/24))</f>
        <v/>
      </c>
      <c r="G574" s="20">
        <f>COUNTIFS(tData[SEHTrajectPeriodeDatumTijdVan],"&lt;="&amp;($A574+3/24),tData[SEHTrajectPeriodeDatumTijdTotEnMet],"&gt;"&amp;($A574+3/24))</f>
        <v/>
      </c>
      <c r="H574" s="20">
        <f>COUNTIFS(tData[SEHTrajectPeriodeDatumTijdVan],"&lt;="&amp;($A574+4/24),tData[SEHTrajectPeriodeDatumTijdTotEnMet],"&gt;"&amp;($A574+4/24))</f>
        <v/>
      </c>
      <c r="I574" s="20">
        <f>COUNTIFS(tData[SEHTrajectPeriodeDatumTijdVan],"&lt;="&amp;($A574+5/24),tData[SEHTrajectPeriodeDatumTijdTotEnMet],"&gt;"&amp;($A574+5/24))</f>
        <v/>
      </c>
      <c r="J574" s="20">
        <f>COUNTIFS(tData[SEHTrajectPeriodeDatumTijdVan],"&lt;="&amp;($A574+6/24),tData[SEHTrajectPeriodeDatumTijdTotEnMet],"&gt;"&amp;($A574+6/24))</f>
        <v/>
      </c>
      <c r="K574" s="20">
        <f>COUNTIFS(tData[SEHTrajectPeriodeDatumTijdVan],"&lt;="&amp;($A574+7/24),tData[SEHTrajectPeriodeDatumTijdTotEnMet],"&gt;"&amp;($A574+7/24))</f>
        <v/>
      </c>
      <c r="L574" s="20">
        <f>COUNTIFS(tData[SEHTrajectPeriodeDatumTijdVan],"&lt;="&amp;($A574+8/24),tData[SEHTrajectPeriodeDatumTijdTotEnMet],"&gt;"&amp;($A574+8/24))</f>
        <v/>
      </c>
      <c r="M574" s="20">
        <f>COUNTIFS(tData[SEHTrajectPeriodeDatumTijdVan],"&lt;="&amp;($A574+9/24),tData[SEHTrajectPeriodeDatumTijdTotEnMet],"&gt;"&amp;($A574+9/24))</f>
        <v/>
      </c>
      <c r="N574" s="20">
        <f>COUNTIFS(tData[SEHTrajectPeriodeDatumTijdVan],"&lt;="&amp;($A574+10/24),tData[SEHTrajectPeriodeDatumTijdTotEnMet],"&gt;"&amp;($A574+10/24))</f>
        <v/>
      </c>
      <c r="O574" s="20">
        <f>COUNTIFS(tData[SEHTrajectPeriodeDatumTijdVan],"&lt;="&amp;($A574+11/24),tData[SEHTrajectPeriodeDatumTijdTotEnMet],"&gt;"&amp;($A574+11/24))</f>
        <v/>
      </c>
      <c r="P574" s="20">
        <f>COUNTIFS(tData[SEHTrajectPeriodeDatumTijdVan],"&lt;="&amp;($A574+12/24),tData[SEHTrajectPeriodeDatumTijdTotEnMet],"&gt;"&amp;($A574+12/24))</f>
        <v/>
      </c>
      <c r="Q574" s="20">
        <f>COUNTIFS(tData[SEHTrajectPeriodeDatumTijdVan],"&lt;="&amp;($A574+13/24),tData[SEHTrajectPeriodeDatumTijdTotEnMet],"&gt;"&amp;($A574+13/24))</f>
        <v/>
      </c>
      <c r="R574" s="20">
        <f>COUNTIFS(tData[SEHTrajectPeriodeDatumTijdVan],"&lt;="&amp;($A574+14/24),tData[SEHTrajectPeriodeDatumTijdTotEnMet],"&gt;"&amp;($A574+14/24))</f>
        <v/>
      </c>
      <c r="S574" s="20">
        <f>COUNTIFS(tData[SEHTrajectPeriodeDatumTijdVan],"&lt;="&amp;($A574+15/24),tData[SEHTrajectPeriodeDatumTijdTotEnMet],"&gt;"&amp;($A574+15/24))</f>
        <v/>
      </c>
      <c r="T574" s="20">
        <f>COUNTIFS(tData[SEHTrajectPeriodeDatumTijdVan],"&lt;="&amp;($A574+16/24),tData[SEHTrajectPeriodeDatumTijdTotEnMet],"&gt;"&amp;($A574+16/24))</f>
        <v/>
      </c>
      <c r="U574" s="20">
        <f>COUNTIFS(tData[SEHTrajectPeriodeDatumTijdVan],"&lt;="&amp;($A574+17/24),tData[SEHTrajectPeriodeDatumTijdTotEnMet],"&gt;"&amp;($A574+17/24))</f>
        <v/>
      </c>
      <c r="V574" s="20">
        <f>COUNTIFS(tData[SEHTrajectPeriodeDatumTijdVan],"&lt;="&amp;($A574+18/24),tData[SEHTrajectPeriodeDatumTijdTotEnMet],"&gt;"&amp;($A574+18/24))</f>
        <v/>
      </c>
      <c r="W574" s="20">
        <f>COUNTIFS(tData[SEHTrajectPeriodeDatumTijdVan],"&lt;="&amp;($A574+19/24),tData[SEHTrajectPeriodeDatumTijdTotEnMet],"&gt;"&amp;($A574+19/24))</f>
        <v/>
      </c>
      <c r="X574" s="20">
        <f>COUNTIFS(tData[SEHTrajectPeriodeDatumTijdVan],"&lt;="&amp;($A574+20/24),tData[SEHTrajectPeriodeDatumTijdTotEnMet],"&gt;"&amp;($A574+20/24))</f>
        <v/>
      </c>
      <c r="Y574" s="20">
        <f>COUNTIFS(tData[SEHTrajectPeriodeDatumTijdVan],"&lt;="&amp;($A574+21/24),tData[SEHTrajectPeriodeDatumTijdTotEnMet],"&gt;"&amp;($A574+21/24))</f>
        <v/>
      </c>
      <c r="Z574" s="20">
        <f>COUNTIFS(tData[SEHTrajectPeriodeDatumTijdVan],"&lt;="&amp;($A574+22/24),tData[SEHTrajectPeriodeDatumTijdTotEnMet],"&gt;"&amp;($A574+22/24))</f>
        <v/>
      </c>
      <c r="AA574" s="20">
        <f>COUNTIFS(tData[SEHTrajectPeriodeDatumTijdVan],"&lt;="&amp;($A574+23/24),tData[SEHTrajectPeriodeDatumTijdTotEnMet],"&gt;"&amp;($A574+23/24))</f>
        <v/>
      </c>
    </row>
    <row r="575">
      <c r="A575" s="19" t="n">
        <v>45863</v>
      </c>
      <c r="B575" s="15">
        <f>WEEKDAY($A575,2)</f>
        <v/>
      </c>
      <c r="C575" s="15">
        <f>IF(AND($A575&gt;=INT(Instellingen!$B$5),$A575&lt;=INT(Instellingen!$B$6)),1,0)</f>
        <v/>
      </c>
      <c r="D575" s="20">
        <f>COUNTIFS(tData[SEHTrajectPeriodeDatumTijdVan],"&lt;="&amp;($A575+0/24),tData[SEHTrajectPeriodeDatumTijdTotEnMet],"&gt;"&amp;($A575+0/24))</f>
        <v/>
      </c>
      <c r="E575" s="20">
        <f>COUNTIFS(tData[SEHTrajectPeriodeDatumTijdVan],"&lt;="&amp;($A575+1/24),tData[SEHTrajectPeriodeDatumTijdTotEnMet],"&gt;"&amp;($A575+1/24))</f>
        <v/>
      </c>
      <c r="F575" s="20">
        <f>COUNTIFS(tData[SEHTrajectPeriodeDatumTijdVan],"&lt;="&amp;($A575+2/24),tData[SEHTrajectPeriodeDatumTijdTotEnMet],"&gt;"&amp;($A575+2/24))</f>
        <v/>
      </c>
      <c r="G575" s="20">
        <f>COUNTIFS(tData[SEHTrajectPeriodeDatumTijdVan],"&lt;="&amp;($A575+3/24),tData[SEHTrajectPeriodeDatumTijdTotEnMet],"&gt;"&amp;($A575+3/24))</f>
        <v/>
      </c>
      <c r="H575" s="20">
        <f>COUNTIFS(tData[SEHTrajectPeriodeDatumTijdVan],"&lt;="&amp;($A575+4/24),tData[SEHTrajectPeriodeDatumTijdTotEnMet],"&gt;"&amp;($A575+4/24))</f>
        <v/>
      </c>
      <c r="I575" s="20">
        <f>COUNTIFS(tData[SEHTrajectPeriodeDatumTijdVan],"&lt;="&amp;($A575+5/24),tData[SEHTrajectPeriodeDatumTijdTotEnMet],"&gt;"&amp;($A575+5/24))</f>
        <v/>
      </c>
      <c r="J575" s="20">
        <f>COUNTIFS(tData[SEHTrajectPeriodeDatumTijdVan],"&lt;="&amp;($A575+6/24),tData[SEHTrajectPeriodeDatumTijdTotEnMet],"&gt;"&amp;($A575+6/24))</f>
        <v/>
      </c>
      <c r="K575" s="20">
        <f>COUNTIFS(tData[SEHTrajectPeriodeDatumTijdVan],"&lt;="&amp;($A575+7/24),tData[SEHTrajectPeriodeDatumTijdTotEnMet],"&gt;"&amp;($A575+7/24))</f>
        <v/>
      </c>
      <c r="L575" s="20">
        <f>COUNTIFS(tData[SEHTrajectPeriodeDatumTijdVan],"&lt;="&amp;($A575+8/24),tData[SEHTrajectPeriodeDatumTijdTotEnMet],"&gt;"&amp;($A575+8/24))</f>
        <v/>
      </c>
      <c r="M575" s="20">
        <f>COUNTIFS(tData[SEHTrajectPeriodeDatumTijdVan],"&lt;="&amp;($A575+9/24),tData[SEHTrajectPeriodeDatumTijdTotEnMet],"&gt;"&amp;($A575+9/24))</f>
        <v/>
      </c>
      <c r="N575" s="20">
        <f>COUNTIFS(tData[SEHTrajectPeriodeDatumTijdVan],"&lt;="&amp;($A575+10/24),tData[SEHTrajectPeriodeDatumTijdTotEnMet],"&gt;"&amp;($A575+10/24))</f>
        <v/>
      </c>
      <c r="O575" s="20">
        <f>COUNTIFS(tData[SEHTrajectPeriodeDatumTijdVan],"&lt;="&amp;($A575+11/24),tData[SEHTrajectPeriodeDatumTijdTotEnMet],"&gt;"&amp;($A575+11/24))</f>
        <v/>
      </c>
      <c r="P575" s="20">
        <f>COUNTIFS(tData[SEHTrajectPeriodeDatumTijdVan],"&lt;="&amp;($A575+12/24),tData[SEHTrajectPeriodeDatumTijdTotEnMet],"&gt;"&amp;($A575+12/24))</f>
        <v/>
      </c>
      <c r="Q575" s="20">
        <f>COUNTIFS(tData[SEHTrajectPeriodeDatumTijdVan],"&lt;="&amp;($A575+13/24),tData[SEHTrajectPeriodeDatumTijdTotEnMet],"&gt;"&amp;($A575+13/24))</f>
        <v/>
      </c>
      <c r="R575" s="20">
        <f>COUNTIFS(tData[SEHTrajectPeriodeDatumTijdVan],"&lt;="&amp;($A575+14/24),tData[SEHTrajectPeriodeDatumTijdTotEnMet],"&gt;"&amp;($A575+14/24))</f>
        <v/>
      </c>
      <c r="S575" s="20">
        <f>COUNTIFS(tData[SEHTrajectPeriodeDatumTijdVan],"&lt;="&amp;($A575+15/24),tData[SEHTrajectPeriodeDatumTijdTotEnMet],"&gt;"&amp;($A575+15/24))</f>
        <v/>
      </c>
      <c r="T575" s="20">
        <f>COUNTIFS(tData[SEHTrajectPeriodeDatumTijdVan],"&lt;="&amp;($A575+16/24),tData[SEHTrajectPeriodeDatumTijdTotEnMet],"&gt;"&amp;($A575+16/24))</f>
        <v/>
      </c>
      <c r="U575" s="20">
        <f>COUNTIFS(tData[SEHTrajectPeriodeDatumTijdVan],"&lt;="&amp;($A575+17/24),tData[SEHTrajectPeriodeDatumTijdTotEnMet],"&gt;"&amp;($A575+17/24))</f>
        <v/>
      </c>
      <c r="V575" s="20">
        <f>COUNTIFS(tData[SEHTrajectPeriodeDatumTijdVan],"&lt;="&amp;($A575+18/24),tData[SEHTrajectPeriodeDatumTijdTotEnMet],"&gt;"&amp;($A575+18/24))</f>
        <v/>
      </c>
      <c r="W575" s="20">
        <f>COUNTIFS(tData[SEHTrajectPeriodeDatumTijdVan],"&lt;="&amp;($A575+19/24),tData[SEHTrajectPeriodeDatumTijdTotEnMet],"&gt;"&amp;($A575+19/24))</f>
        <v/>
      </c>
      <c r="X575" s="20">
        <f>COUNTIFS(tData[SEHTrajectPeriodeDatumTijdVan],"&lt;="&amp;($A575+20/24),tData[SEHTrajectPeriodeDatumTijdTotEnMet],"&gt;"&amp;($A575+20/24))</f>
        <v/>
      </c>
      <c r="Y575" s="20">
        <f>COUNTIFS(tData[SEHTrajectPeriodeDatumTijdVan],"&lt;="&amp;($A575+21/24),tData[SEHTrajectPeriodeDatumTijdTotEnMet],"&gt;"&amp;($A575+21/24))</f>
        <v/>
      </c>
      <c r="Z575" s="20">
        <f>COUNTIFS(tData[SEHTrajectPeriodeDatumTijdVan],"&lt;="&amp;($A575+22/24),tData[SEHTrajectPeriodeDatumTijdTotEnMet],"&gt;"&amp;($A575+22/24))</f>
        <v/>
      </c>
      <c r="AA575" s="20">
        <f>COUNTIFS(tData[SEHTrajectPeriodeDatumTijdVan],"&lt;="&amp;($A575+23/24),tData[SEHTrajectPeriodeDatumTijdTotEnMet],"&gt;"&amp;($A575+23/24))</f>
        <v/>
      </c>
    </row>
    <row r="576">
      <c r="A576" s="19" t="n">
        <v>45864</v>
      </c>
      <c r="B576" s="15">
        <f>WEEKDAY($A576,2)</f>
        <v/>
      </c>
      <c r="C576" s="15">
        <f>IF(AND($A576&gt;=INT(Instellingen!$B$5),$A576&lt;=INT(Instellingen!$B$6)),1,0)</f>
        <v/>
      </c>
      <c r="D576" s="20">
        <f>COUNTIFS(tData[SEHTrajectPeriodeDatumTijdVan],"&lt;="&amp;($A576+0/24),tData[SEHTrajectPeriodeDatumTijdTotEnMet],"&gt;"&amp;($A576+0/24))</f>
        <v/>
      </c>
      <c r="E576" s="20">
        <f>COUNTIFS(tData[SEHTrajectPeriodeDatumTijdVan],"&lt;="&amp;($A576+1/24),tData[SEHTrajectPeriodeDatumTijdTotEnMet],"&gt;"&amp;($A576+1/24))</f>
        <v/>
      </c>
      <c r="F576" s="20">
        <f>COUNTIFS(tData[SEHTrajectPeriodeDatumTijdVan],"&lt;="&amp;($A576+2/24),tData[SEHTrajectPeriodeDatumTijdTotEnMet],"&gt;"&amp;($A576+2/24))</f>
        <v/>
      </c>
      <c r="G576" s="20">
        <f>COUNTIFS(tData[SEHTrajectPeriodeDatumTijdVan],"&lt;="&amp;($A576+3/24),tData[SEHTrajectPeriodeDatumTijdTotEnMet],"&gt;"&amp;($A576+3/24))</f>
        <v/>
      </c>
      <c r="H576" s="20">
        <f>COUNTIFS(tData[SEHTrajectPeriodeDatumTijdVan],"&lt;="&amp;($A576+4/24),tData[SEHTrajectPeriodeDatumTijdTotEnMet],"&gt;"&amp;($A576+4/24))</f>
        <v/>
      </c>
      <c r="I576" s="20">
        <f>COUNTIFS(tData[SEHTrajectPeriodeDatumTijdVan],"&lt;="&amp;($A576+5/24),tData[SEHTrajectPeriodeDatumTijdTotEnMet],"&gt;"&amp;($A576+5/24))</f>
        <v/>
      </c>
      <c r="J576" s="20">
        <f>COUNTIFS(tData[SEHTrajectPeriodeDatumTijdVan],"&lt;="&amp;($A576+6/24),tData[SEHTrajectPeriodeDatumTijdTotEnMet],"&gt;"&amp;($A576+6/24))</f>
        <v/>
      </c>
      <c r="K576" s="20">
        <f>COUNTIFS(tData[SEHTrajectPeriodeDatumTijdVan],"&lt;="&amp;($A576+7/24),tData[SEHTrajectPeriodeDatumTijdTotEnMet],"&gt;"&amp;($A576+7/24))</f>
        <v/>
      </c>
      <c r="L576" s="20">
        <f>COUNTIFS(tData[SEHTrajectPeriodeDatumTijdVan],"&lt;="&amp;($A576+8/24),tData[SEHTrajectPeriodeDatumTijdTotEnMet],"&gt;"&amp;($A576+8/24))</f>
        <v/>
      </c>
      <c r="M576" s="20">
        <f>COUNTIFS(tData[SEHTrajectPeriodeDatumTijdVan],"&lt;="&amp;($A576+9/24),tData[SEHTrajectPeriodeDatumTijdTotEnMet],"&gt;"&amp;($A576+9/24))</f>
        <v/>
      </c>
      <c r="N576" s="20">
        <f>COUNTIFS(tData[SEHTrajectPeriodeDatumTijdVan],"&lt;="&amp;($A576+10/24),tData[SEHTrajectPeriodeDatumTijdTotEnMet],"&gt;"&amp;($A576+10/24))</f>
        <v/>
      </c>
      <c r="O576" s="20">
        <f>COUNTIFS(tData[SEHTrajectPeriodeDatumTijdVan],"&lt;="&amp;($A576+11/24),tData[SEHTrajectPeriodeDatumTijdTotEnMet],"&gt;"&amp;($A576+11/24))</f>
        <v/>
      </c>
      <c r="P576" s="20">
        <f>COUNTIFS(tData[SEHTrajectPeriodeDatumTijdVan],"&lt;="&amp;($A576+12/24),tData[SEHTrajectPeriodeDatumTijdTotEnMet],"&gt;"&amp;($A576+12/24))</f>
        <v/>
      </c>
      <c r="Q576" s="20">
        <f>COUNTIFS(tData[SEHTrajectPeriodeDatumTijdVan],"&lt;="&amp;($A576+13/24),tData[SEHTrajectPeriodeDatumTijdTotEnMet],"&gt;"&amp;($A576+13/24))</f>
        <v/>
      </c>
      <c r="R576" s="20">
        <f>COUNTIFS(tData[SEHTrajectPeriodeDatumTijdVan],"&lt;="&amp;($A576+14/24),tData[SEHTrajectPeriodeDatumTijdTotEnMet],"&gt;"&amp;($A576+14/24))</f>
        <v/>
      </c>
      <c r="S576" s="20">
        <f>COUNTIFS(tData[SEHTrajectPeriodeDatumTijdVan],"&lt;="&amp;($A576+15/24),tData[SEHTrajectPeriodeDatumTijdTotEnMet],"&gt;"&amp;($A576+15/24))</f>
        <v/>
      </c>
      <c r="T576" s="20">
        <f>COUNTIFS(tData[SEHTrajectPeriodeDatumTijdVan],"&lt;="&amp;($A576+16/24),tData[SEHTrajectPeriodeDatumTijdTotEnMet],"&gt;"&amp;($A576+16/24))</f>
        <v/>
      </c>
      <c r="U576" s="20">
        <f>COUNTIFS(tData[SEHTrajectPeriodeDatumTijdVan],"&lt;="&amp;($A576+17/24),tData[SEHTrajectPeriodeDatumTijdTotEnMet],"&gt;"&amp;($A576+17/24))</f>
        <v/>
      </c>
      <c r="V576" s="20">
        <f>COUNTIFS(tData[SEHTrajectPeriodeDatumTijdVan],"&lt;="&amp;($A576+18/24),tData[SEHTrajectPeriodeDatumTijdTotEnMet],"&gt;"&amp;($A576+18/24))</f>
        <v/>
      </c>
      <c r="W576" s="20">
        <f>COUNTIFS(tData[SEHTrajectPeriodeDatumTijdVan],"&lt;="&amp;($A576+19/24),tData[SEHTrajectPeriodeDatumTijdTotEnMet],"&gt;"&amp;($A576+19/24))</f>
        <v/>
      </c>
      <c r="X576" s="20">
        <f>COUNTIFS(tData[SEHTrajectPeriodeDatumTijdVan],"&lt;="&amp;($A576+20/24),tData[SEHTrajectPeriodeDatumTijdTotEnMet],"&gt;"&amp;($A576+20/24))</f>
        <v/>
      </c>
      <c r="Y576" s="20">
        <f>COUNTIFS(tData[SEHTrajectPeriodeDatumTijdVan],"&lt;="&amp;($A576+21/24),tData[SEHTrajectPeriodeDatumTijdTotEnMet],"&gt;"&amp;($A576+21/24))</f>
        <v/>
      </c>
      <c r="Z576" s="20">
        <f>COUNTIFS(tData[SEHTrajectPeriodeDatumTijdVan],"&lt;="&amp;($A576+22/24),tData[SEHTrajectPeriodeDatumTijdTotEnMet],"&gt;"&amp;($A576+22/24))</f>
        <v/>
      </c>
      <c r="AA576" s="20">
        <f>COUNTIFS(tData[SEHTrajectPeriodeDatumTijdVan],"&lt;="&amp;($A576+23/24),tData[SEHTrajectPeriodeDatumTijdTotEnMet],"&gt;"&amp;($A576+23/24))</f>
        <v/>
      </c>
    </row>
    <row r="577">
      <c r="A577" s="19" t="n">
        <v>45865</v>
      </c>
      <c r="B577" s="15">
        <f>WEEKDAY($A577,2)</f>
        <v/>
      </c>
      <c r="C577" s="15">
        <f>IF(AND($A577&gt;=INT(Instellingen!$B$5),$A577&lt;=INT(Instellingen!$B$6)),1,0)</f>
        <v/>
      </c>
      <c r="D577" s="20">
        <f>COUNTIFS(tData[SEHTrajectPeriodeDatumTijdVan],"&lt;="&amp;($A577+0/24),tData[SEHTrajectPeriodeDatumTijdTotEnMet],"&gt;"&amp;($A577+0/24))</f>
        <v/>
      </c>
      <c r="E577" s="20">
        <f>COUNTIFS(tData[SEHTrajectPeriodeDatumTijdVan],"&lt;="&amp;($A577+1/24),tData[SEHTrajectPeriodeDatumTijdTotEnMet],"&gt;"&amp;($A577+1/24))</f>
        <v/>
      </c>
      <c r="F577" s="20">
        <f>COUNTIFS(tData[SEHTrajectPeriodeDatumTijdVan],"&lt;="&amp;($A577+2/24),tData[SEHTrajectPeriodeDatumTijdTotEnMet],"&gt;"&amp;($A577+2/24))</f>
        <v/>
      </c>
      <c r="G577" s="20">
        <f>COUNTIFS(tData[SEHTrajectPeriodeDatumTijdVan],"&lt;="&amp;($A577+3/24),tData[SEHTrajectPeriodeDatumTijdTotEnMet],"&gt;"&amp;($A577+3/24))</f>
        <v/>
      </c>
      <c r="H577" s="20">
        <f>COUNTIFS(tData[SEHTrajectPeriodeDatumTijdVan],"&lt;="&amp;($A577+4/24),tData[SEHTrajectPeriodeDatumTijdTotEnMet],"&gt;"&amp;($A577+4/24))</f>
        <v/>
      </c>
      <c r="I577" s="20">
        <f>COUNTIFS(tData[SEHTrajectPeriodeDatumTijdVan],"&lt;="&amp;($A577+5/24),tData[SEHTrajectPeriodeDatumTijdTotEnMet],"&gt;"&amp;($A577+5/24))</f>
        <v/>
      </c>
      <c r="J577" s="20">
        <f>COUNTIFS(tData[SEHTrajectPeriodeDatumTijdVan],"&lt;="&amp;($A577+6/24),tData[SEHTrajectPeriodeDatumTijdTotEnMet],"&gt;"&amp;($A577+6/24))</f>
        <v/>
      </c>
      <c r="K577" s="20">
        <f>COUNTIFS(tData[SEHTrajectPeriodeDatumTijdVan],"&lt;="&amp;($A577+7/24),tData[SEHTrajectPeriodeDatumTijdTotEnMet],"&gt;"&amp;($A577+7/24))</f>
        <v/>
      </c>
      <c r="L577" s="20">
        <f>COUNTIFS(tData[SEHTrajectPeriodeDatumTijdVan],"&lt;="&amp;($A577+8/24),tData[SEHTrajectPeriodeDatumTijdTotEnMet],"&gt;"&amp;($A577+8/24))</f>
        <v/>
      </c>
      <c r="M577" s="20">
        <f>COUNTIFS(tData[SEHTrajectPeriodeDatumTijdVan],"&lt;="&amp;($A577+9/24),tData[SEHTrajectPeriodeDatumTijdTotEnMet],"&gt;"&amp;($A577+9/24))</f>
        <v/>
      </c>
      <c r="N577" s="20">
        <f>COUNTIFS(tData[SEHTrajectPeriodeDatumTijdVan],"&lt;="&amp;($A577+10/24),tData[SEHTrajectPeriodeDatumTijdTotEnMet],"&gt;"&amp;($A577+10/24))</f>
        <v/>
      </c>
      <c r="O577" s="20">
        <f>COUNTIFS(tData[SEHTrajectPeriodeDatumTijdVan],"&lt;="&amp;($A577+11/24),tData[SEHTrajectPeriodeDatumTijdTotEnMet],"&gt;"&amp;($A577+11/24))</f>
        <v/>
      </c>
      <c r="P577" s="20">
        <f>COUNTIFS(tData[SEHTrajectPeriodeDatumTijdVan],"&lt;="&amp;($A577+12/24),tData[SEHTrajectPeriodeDatumTijdTotEnMet],"&gt;"&amp;($A577+12/24))</f>
        <v/>
      </c>
      <c r="Q577" s="20">
        <f>COUNTIFS(tData[SEHTrajectPeriodeDatumTijdVan],"&lt;="&amp;($A577+13/24),tData[SEHTrajectPeriodeDatumTijdTotEnMet],"&gt;"&amp;($A577+13/24))</f>
        <v/>
      </c>
      <c r="R577" s="20">
        <f>COUNTIFS(tData[SEHTrajectPeriodeDatumTijdVan],"&lt;="&amp;($A577+14/24),tData[SEHTrajectPeriodeDatumTijdTotEnMet],"&gt;"&amp;($A577+14/24))</f>
        <v/>
      </c>
      <c r="S577" s="20">
        <f>COUNTIFS(tData[SEHTrajectPeriodeDatumTijdVan],"&lt;="&amp;($A577+15/24),tData[SEHTrajectPeriodeDatumTijdTotEnMet],"&gt;"&amp;($A577+15/24))</f>
        <v/>
      </c>
      <c r="T577" s="20">
        <f>COUNTIFS(tData[SEHTrajectPeriodeDatumTijdVan],"&lt;="&amp;($A577+16/24),tData[SEHTrajectPeriodeDatumTijdTotEnMet],"&gt;"&amp;($A577+16/24))</f>
        <v/>
      </c>
      <c r="U577" s="20">
        <f>COUNTIFS(tData[SEHTrajectPeriodeDatumTijdVan],"&lt;="&amp;($A577+17/24),tData[SEHTrajectPeriodeDatumTijdTotEnMet],"&gt;"&amp;($A577+17/24))</f>
        <v/>
      </c>
      <c r="V577" s="20">
        <f>COUNTIFS(tData[SEHTrajectPeriodeDatumTijdVan],"&lt;="&amp;($A577+18/24),tData[SEHTrajectPeriodeDatumTijdTotEnMet],"&gt;"&amp;($A577+18/24))</f>
        <v/>
      </c>
      <c r="W577" s="20">
        <f>COUNTIFS(tData[SEHTrajectPeriodeDatumTijdVan],"&lt;="&amp;($A577+19/24),tData[SEHTrajectPeriodeDatumTijdTotEnMet],"&gt;"&amp;($A577+19/24))</f>
        <v/>
      </c>
      <c r="X577" s="20">
        <f>COUNTIFS(tData[SEHTrajectPeriodeDatumTijdVan],"&lt;="&amp;($A577+20/24),tData[SEHTrajectPeriodeDatumTijdTotEnMet],"&gt;"&amp;($A577+20/24))</f>
        <v/>
      </c>
      <c r="Y577" s="20">
        <f>COUNTIFS(tData[SEHTrajectPeriodeDatumTijdVan],"&lt;="&amp;($A577+21/24),tData[SEHTrajectPeriodeDatumTijdTotEnMet],"&gt;"&amp;($A577+21/24))</f>
        <v/>
      </c>
      <c r="Z577" s="20">
        <f>COUNTIFS(tData[SEHTrajectPeriodeDatumTijdVan],"&lt;="&amp;($A577+22/24),tData[SEHTrajectPeriodeDatumTijdTotEnMet],"&gt;"&amp;($A577+22/24))</f>
        <v/>
      </c>
      <c r="AA577" s="20">
        <f>COUNTIFS(tData[SEHTrajectPeriodeDatumTijdVan],"&lt;="&amp;($A577+23/24),tData[SEHTrajectPeriodeDatumTijdTotEnMet],"&gt;"&amp;($A577+23/24))</f>
        <v/>
      </c>
    </row>
    <row r="578">
      <c r="A578" s="19" t="n">
        <v>45866</v>
      </c>
      <c r="B578" s="15">
        <f>WEEKDAY($A578,2)</f>
        <v/>
      </c>
      <c r="C578" s="15">
        <f>IF(AND($A578&gt;=INT(Instellingen!$B$5),$A578&lt;=INT(Instellingen!$B$6)),1,0)</f>
        <v/>
      </c>
      <c r="D578" s="20">
        <f>COUNTIFS(tData[SEHTrajectPeriodeDatumTijdVan],"&lt;="&amp;($A578+0/24),tData[SEHTrajectPeriodeDatumTijdTotEnMet],"&gt;"&amp;($A578+0/24))</f>
        <v/>
      </c>
      <c r="E578" s="20">
        <f>COUNTIFS(tData[SEHTrajectPeriodeDatumTijdVan],"&lt;="&amp;($A578+1/24),tData[SEHTrajectPeriodeDatumTijdTotEnMet],"&gt;"&amp;($A578+1/24))</f>
        <v/>
      </c>
      <c r="F578" s="20">
        <f>COUNTIFS(tData[SEHTrajectPeriodeDatumTijdVan],"&lt;="&amp;($A578+2/24),tData[SEHTrajectPeriodeDatumTijdTotEnMet],"&gt;"&amp;($A578+2/24))</f>
        <v/>
      </c>
      <c r="G578" s="20">
        <f>COUNTIFS(tData[SEHTrajectPeriodeDatumTijdVan],"&lt;="&amp;($A578+3/24),tData[SEHTrajectPeriodeDatumTijdTotEnMet],"&gt;"&amp;($A578+3/24))</f>
        <v/>
      </c>
      <c r="H578" s="20">
        <f>COUNTIFS(tData[SEHTrajectPeriodeDatumTijdVan],"&lt;="&amp;($A578+4/24),tData[SEHTrajectPeriodeDatumTijdTotEnMet],"&gt;"&amp;($A578+4/24))</f>
        <v/>
      </c>
      <c r="I578" s="20">
        <f>COUNTIFS(tData[SEHTrajectPeriodeDatumTijdVan],"&lt;="&amp;($A578+5/24),tData[SEHTrajectPeriodeDatumTijdTotEnMet],"&gt;"&amp;($A578+5/24))</f>
        <v/>
      </c>
      <c r="J578" s="20">
        <f>COUNTIFS(tData[SEHTrajectPeriodeDatumTijdVan],"&lt;="&amp;($A578+6/24),tData[SEHTrajectPeriodeDatumTijdTotEnMet],"&gt;"&amp;($A578+6/24))</f>
        <v/>
      </c>
      <c r="K578" s="20">
        <f>COUNTIFS(tData[SEHTrajectPeriodeDatumTijdVan],"&lt;="&amp;($A578+7/24),tData[SEHTrajectPeriodeDatumTijdTotEnMet],"&gt;"&amp;($A578+7/24))</f>
        <v/>
      </c>
      <c r="L578" s="20">
        <f>COUNTIFS(tData[SEHTrajectPeriodeDatumTijdVan],"&lt;="&amp;($A578+8/24),tData[SEHTrajectPeriodeDatumTijdTotEnMet],"&gt;"&amp;($A578+8/24))</f>
        <v/>
      </c>
      <c r="M578" s="20">
        <f>COUNTIFS(tData[SEHTrajectPeriodeDatumTijdVan],"&lt;="&amp;($A578+9/24),tData[SEHTrajectPeriodeDatumTijdTotEnMet],"&gt;"&amp;($A578+9/24))</f>
        <v/>
      </c>
      <c r="N578" s="20">
        <f>COUNTIFS(tData[SEHTrajectPeriodeDatumTijdVan],"&lt;="&amp;($A578+10/24),tData[SEHTrajectPeriodeDatumTijdTotEnMet],"&gt;"&amp;($A578+10/24))</f>
        <v/>
      </c>
      <c r="O578" s="20">
        <f>COUNTIFS(tData[SEHTrajectPeriodeDatumTijdVan],"&lt;="&amp;($A578+11/24),tData[SEHTrajectPeriodeDatumTijdTotEnMet],"&gt;"&amp;($A578+11/24))</f>
        <v/>
      </c>
      <c r="P578" s="20">
        <f>COUNTIFS(tData[SEHTrajectPeriodeDatumTijdVan],"&lt;="&amp;($A578+12/24),tData[SEHTrajectPeriodeDatumTijdTotEnMet],"&gt;"&amp;($A578+12/24))</f>
        <v/>
      </c>
      <c r="Q578" s="20">
        <f>COUNTIFS(tData[SEHTrajectPeriodeDatumTijdVan],"&lt;="&amp;($A578+13/24),tData[SEHTrajectPeriodeDatumTijdTotEnMet],"&gt;"&amp;($A578+13/24))</f>
        <v/>
      </c>
      <c r="R578" s="20">
        <f>COUNTIFS(tData[SEHTrajectPeriodeDatumTijdVan],"&lt;="&amp;($A578+14/24),tData[SEHTrajectPeriodeDatumTijdTotEnMet],"&gt;"&amp;($A578+14/24))</f>
        <v/>
      </c>
      <c r="S578" s="20">
        <f>COUNTIFS(tData[SEHTrajectPeriodeDatumTijdVan],"&lt;="&amp;($A578+15/24),tData[SEHTrajectPeriodeDatumTijdTotEnMet],"&gt;"&amp;($A578+15/24))</f>
        <v/>
      </c>
      <c r="T578" s="20">
        <f>COUNTIFS(tData[SEHTrajectPeriodeDatumTijdVan],"&lt;="&amp;($A578+16/24),tData[SEHTrajectPeriodeDatumTijdTotEnMet],"&gt;"&amp;($A578+16/24))</f>
        <v/>
      </c>
      <c r="U578" s="20">
        <f>COUNTIFS(tData[SEHTrajectPeriodeDatumTijdVan],"&lt;="&amp;($A578+17/24),tData[SEHTrajectPeriodeDatumTijdTotEnMet],"&gt;"&amp;($A578+17/24))</f>
        <v/>
      </c>
      <c r="V578" s="20">
        <f>COUNTIFS(tData[SEHTrajectPeriodeDatumTijdVan],"&lt;="&amp;($A578+18/24),tData[SEHTrajectPeriodeDatumTijdTotEnMet],"&gt;"&amp;($A578+18/24))</f>
        <v/>
      </c>
      <c r="W578" s="20">
        <f>COUNTIFS(tData[SEHTrajectPeriodeDatumTijdVan],"&lt;="&amp;($A578+19/24),tData[SEHTrajectPeriodeDatumTijdTotEnMet],"&gt;"&amp;($A578+19/24))</f>
        <v/>
      </c>
      <c r="X578" s="20">
        <f>COUNTIFS(tData[SEHTrajectPeriodeDatumTijdVan],"&lt;="&amp;($A578+20/24),tData[SEHTrajectPeriodeDatumTijdTotEnMet],"&gt;"&amp;($A578+20/24))</f>
        <v/>
      </c>
      <c r="Y578" s="20">
        <f>COUNTIFS(tData[SEHTrajectPeriodeDatumTijdVan],"&lt;="&amp;($A578+21/24),tData[SEHTrajectPeriodeDatumTijdTotEnMet],"&gt;"&amp;($A578+21/24))</f>
        <v/>
      </c>
      <c r="Z578" s="20">
        <f>COUNTIFS(tData[SEHTrajectPeriodeDatumTijdVan],"&lt;="&amp;($A578+22/24),tData[SEHTrajectPeriodeDatumTijdTotEnMet],"&gt;"&amp;($A578+22/24))</f>
        <v/>
      </c>
      <c r="AA578" s="20">
        <f>COUNTIFS(tData[SEHTrajectPeriodeDatumTijdVan],"&lt;="&amp;($A578+23/24),tData[SEHTrajectPeriodeDatumTijdTotEnMet],"&gt;"&amp;($A578+23/24))</f>
        <v/>
      </c>
    </row>
    <row r="579">
      <c r="A579" s="19" t="n">
        <v>45867</v>
      </c>
      <c r="B579" s="15">
        <f>WEEKDAY($A579,2)</f>
        <v/>
      </c>
      <c r="C579" s="15">
        <f>IF(AND($A579&gt;=INT(Instellingen!$B$5),$A579&lt;=INT(Instellingen!$B$6)),1,0)</f>
        <v/>
      </c>
      <c r="D579" s="20">
        <f>COUNTIFS(tData[SEHTrajectPeriodeDatumTijdVan],"&lt;="&amp;($A579+0/24),tData[SEHTrajectPeriodeDatumTijdTotEnMet],"&gt;"&amp;($A579+0/24))</f>
        <v/>
      </c>
      <c r="E579" s="20">
        <f>COUNTIFS(tData[SEHTrajectPeriodeDatumTijdVan],"&lt;="&amp;($A579+1/24),tData[SEHTrajectPeriodeDatumTijdTotEnMet],"&gt;"&amp;($A579+1/24))</f>
        <v/>
      </c>
      <c r="F579" s="20">
        <f>COUNTIFS(tData[SEHTrajectPeriodeDatumTijdVan],"&lt;="&amp;($A579+2/24),tData[SEHTrajectPeriodeDatumTijdTotEnMet],"&gt;"&amp;($A579+2/24))</f>
        <v/>
      </c>
      <c r="G579" s="20">
        <f>COUNTIFS(tData[SEHTrajectPeriodeDatumTijdVan],"&lt;="&amp;($A579+3/24),tData[SEHTrajectPeriodeDatumTijdTotEnMet],"&gt;"&amp;($A579+3/24))</f>
        <v/>
      </c>
      <c r="H579" s="20">
        <f>COUNTIFS(tData[SEHTrajectPeriodeDatumTijdVan],"&lt;="&amp;($A579+4/24),tData[SEHTrajectPeriodeDatumTijdTotEnMet],"&gt;"&amp;($A579+4/24))</f>
        <v/>
      </c>
      <c r="I579" s="20">
        <f>COUNTIFS(tData[SEHTrajectPeriodeDatumTijdVan],"&lt;="&amp;($A579+5/24),tData[SEHTrajectPeriodeDatumTijdTotEnMet],"&gt;"&amp;($A579+5/24))</f>
        <v/>
      </c>
      <c r="J579" s="20">
        <f>COUNTIFS(tData[SEHTrajectPeriodeDatumTijdVan],"&lt;="&amp;($A579+6/24),tData[SEHTrajectPeriodeDatumTijdTotEnMet],"&gt;"&amp;($A579+6/24))</f>
        <v/>
      </c>
      <c r="K579" s="20">
        <f>COUNTIFS(tData[SEHTrajectPeriodeDatumTijdVan],"&lt;="&amp;($A579+7/24),tData[SEHTrajectPeriodeDatumTijdTotEnMet],"&gt;"&amp;($A579+7/24))</f>
        <v/>
      </c>
      <c r="L579" s="20">
        <f>COUNTIFS(tData[SEHTrajectPeriodeDatumTijdVan],"&lt;="&amp;($A579+8/24),tData[SEHTrajectPeriodeDatumTijdTotEnMet],"&gt;"&amp;($A579+8/24))</f>
        <v/>
      </c>
      <c r="M579" s="20">
        <f>COUNTIFS(tData[SEHTrajectPeriodeDatumTijdVan],"&lt;="&amp;($A579+9/24),tData[SEHTrajectPeriodeDatumTijdTotEnMet],"&gt;"&amp;($A579+9/24))</f>
        <v/>
      </c>
      <c r="N579" s="20">
        <f>COUNTIFS(tData[SEHTrajectPeriodeDatumTijdVan],"&lt;="&amp;($A579+10/24),tData[SEHTrajectPeriodeDatumTijdTotEnMet],"&gt;"&amp;($A579+10/24))</f>
        <v/>
      </c>
      <c r="O579" s="20">
        <f>COUNTIFS(tData[SEHTrajectPeriodeDatumTijdVan],"&lt;="&amp;($A579+11/24),tData[SEHTrajectPeriodeDatumTijdTotEnMet],"&gt;"&amp;($A579+11/24))</f>
        <v/>
      </c>
      <c r="P579" s="20">
        <f>COUNTIFS(tData[SEHTrajectPeriodeDatumTijdVan],"&lt;="&amp;($A579+12/24),tData[SEHTrajectPeriodeDatumTijdTotEnMet],"&gt;"&amp;($A579+12/24))</f>
        <v/>
      </c>
      <c r="Q579" s="20">
        <f>COUNTIFS(tData[SEHTrajectPeriodeDatumTijdVan],"&lt;="&amp;($A579+13/24),tData[SEHTrajectPeriodeDatumTijdTotEnMet],"&gt;"&amp;($A579+13/24))</f>
        <v/>
      </c>
      <c r="R579" s="20">
        <f>COUNTIFS(tData[SEHTrajectPeriodeDatumTijdVan],"&lt;="&amp;($A579+14/24),tData[SEHTrajectPeriodeDatumTijdTotEnMet],"&gt;"&amp;($A579+14/24))</f>
        <v/>
      </c>
      <c r="S579" s="20">
        <f>COUNTIFS(tData[SEHTrajectPeriodeDatumTijdVan],"&lt;="&amp;($A579+15/24),tData[SEHTrajectPeriodeDatumTijdTotEnMet],"&gt;"&amp;($A579+15/24))</f>
        <v/>
      </c>
      <c r="T579" s="20">
        <f>COUNTIFS(tData[SEHTrajectPeriodeDatumTijdVan],"&lt;="&amp;($A579+16/24),tData[SEHTrajectPeriodeDatumTijdTotEnMet],"&gt;"&amp;($A579+16/24))</f>
        <v/>
      </c>
      <c r="U579" s="20">
        <f>COUNTIFS(tData[SEHTrajectPeriodeDatumTijdVan],"&lt;="&amp;($A579+17/24),tData[SEHTrajectPeriodeDatumTijdTotEnMet],"&gt;"&amp;($A579+17/24))</f>
        <v/>
      </c>
      <c r="V579" s="20">
        <f>COUNTIFS(tData[SEHTrajectPeriodeDatumTijdVan],"&lt;="&amp;($A579+18/24),tData[SEHTrajectPeriodeDatumTijdTotEnMet],"&gt;"&amp;($A579+18/24))</f>
        <v/>
      </c>
      <c r="W579" s="20">
        <f>COUNTIFS(tData[SEHTrajectPeriodeDatumTijdVan],"&lt;="&amp;($A579+19/24),tData[SEHTrajectPeriodeDatumTijdTotEnMet],"&gt;"&amp;($A579+19/24))</f>
        <v/>
      </c>
      <c r="X579" s="20">
        <f>COUNTIFS(tData[SEHTrajectPeriodeDatumTijdVan],"&lt;="&amp;($A579+20/24),tData[SEHTrajectPeriodeDatumTijdTotEnMet],"&gt;"&amp;($A579+20/24))</f>
        <v/>
      </c>
      <c r="Y579" s="20">
        <f>COUNTIFS(tData[SEHTrajectPeriodeDatumTijdVan],"&lt;="&amp;($A579+21/24),tData[SEHTrajectPeriodeDatumTijdTotEnMet],"&gt;"&amp;($A579+21/24))</f>
        <v/>
      </c>
      <c r="Z579" s="20">
        <f>COUNTIFS(tData[SEHTrajectPeriodeDatumTijdVan],"&lt;="&amp;($A579+22/24),tData[SEHTrajectPeriodeDatumTijdTotEnMet],"&gt;"&amp;($A579+22/24))</f>
        <v/>
      </c>
      <c r="AA579" s="20">
        <f>COUNTIFS(tData[SEHTrajectPeriodeDatumTijdVan],"&lt;="&amp;($A579+23/24),tData[SEHTrajectPeriodeDatumTijdTotEnMet],"&gt;"&amp;($A579+23/24))</f>
        <v/>
      </c>
    </row>
    <row r="580">
      <c r="A580" s="19" t="n">
        <v>45868</v>
      </c>
      <c r="B580" s="15">
        <f>WEEKDAY($A580,2)</f>
        <v/>
      </c>
      <c r="C580" s="15">
        <f>IF(AND($A580&gt;=INT(Instellingen!$B$5),$A580&lt;=INT(Instellingen!$B$6)),1,0)</f>
        <v/>
      </c>
      <c r="D580" s="20">
        <f>COUNTIFS(tData[SEHTrajectPeriodeDatumTijdVan],"&lt;="&amp;($A580+0/24),tData[SEHTrajectPeriodeDatumTijdTotEnMet],"&gt;"&amp;($A580+0/24))</f>
        <v/>
      </c>
      <c r="E580" s="20">
        <f>COUNTIFS(tData[SEHTrajectPeriodeDatumTijdVan],"&lt;="&amp;($A580+1/24),tData[SEHTrajectPeriodeDatumTijdTotEnMet],"&gt;"&amp;($A580+1/24))</f>
        <v/>
      </c>
      <c r="F580" s="20">
        <f>COUNTIFS(tData[SEHTrajectPeriodeDatumTijdVan],"&lt;="&amp;($A580+2/24),tData[SEHTrajectPeriodeDatumTijdTotEnMet],"&gt;"&amp;($A580+2/24))</f>
        <v/>
      </c>
      <c r="G580" s="20">
        <f>COUNTIFS(tData[SEHTrajectPeriodeDatumTijdVan],"&lt;="&amp;($A580+3/24),tData[SEHTrajectPeriodeDatumTijdTotEnMet],"&gt;"&amp;($A580+3/24))</f>
        <v/>
      </c>
      <c r="H580" s="20">
        <f>COUNTIFS(tData[SEHTrajectPeriodeDatumTijdVan],"&lt;="&amp;($A580+4/24),tData[SEHTrajectPeriodeDatumTijdTotEnMet],"&gt;"&amp;($A580+4/24))</f>
        <v/>
      </c>
      <c r="I580" s="20">
        <f>COUNTIFS(tData[SEHTrajectPeriodeDatumTijdVan],"&lt;="&amp;($A580+5/24),tData[SEHTrajectPeriodeDatumTijdTotEnMet],"&gt;"&amp;($A580+5/24))</f>
        <v/>
      </c>
      <c r="J580" s="20">
        <f>COUNTIFS(tData[SEHTrajectPeriodeDatumTijdVan],"&lt;="&amp;($A580+6/24),tData[SEHTrajectPeriodeDatumTijdTotEnMet],"&gt;"&amp;($A580+6/24))</f>
        <v/>
      </c>
      <c r="K580" s="20">
        <f>COUNTIFS(tData[SEHTrajectPeriodeDatumTijdVan],"&lt;="&amp;($A580+7/24),tData[SEHTrajectPeriodeDatumTijdTotEnMet],"&gt;"&amp;($A580+7/24))</f>
        <v/>
      </c>
      <c r="L580" s="20">
        <f>COUNTIFS(tData[SEHTrajectPeriodeDatumTijdVan],"&lt;="&amp;($A580+8/24),tData[SEHTrajectPeriodeDatumTijdTotEnMet],"&gt;"&amp;($A580+8/24))</f>
        <v/>
      </c>
      <c r="M580" s="20">
        <f>COUNTIFS(tData[SEHTrajectPeriodeDatumTijdVan],"&lt;="&amp;($A580+9/24),tData[SEHTrajectPeriodeDatumTijdTotEnMet],"&gt;"&amp;($A580+9/24))</f>
        <v/>
      </c>
      <c r="N580" s="20">
        <f>COUNTIFS(tData[SEHTrajectPeriodeDatumTijdVan],"&lt;="&amp;($A580+10/24),tData[SEHTrajectPeriodeDatumTijdTotEnMet],"&gt;"&amp;($A580+10/24))</f>
        <v/>
      </c>
      <c r="O580" s="20">
        <f>COUNTIFS(tData[SEHTrajectPeriodeDatumTijdVan],"&lt;="&amp;($A580+11/24),tData[SEHTrajectPeriodeDatumTijdTotEnMet],"&gt;"&amp;($A580+11/24))</f>
        <v/>
      </c>
      <c r="P580" s="20">
        <f>COUNTIFS(tData[SEHTrajectPeriodeDatumTijdVan],"&lt;="&amp;($A580+12/24),tData[SEHTrajectPeriodeDatumTijdTotEnMet],"&gt;"&amp;($A580+12/24))</f>
        <v/>
      </c>
      <c r="Q580" s="20">
        <f>COUNTIFS(tData[SEHTrajectPeriodeDatumTijdVan],"&lt;="&amp;($A580+13/24),tData[SEHTrajectPeriodeDatumTijdTotEnMet],"&gt;"&amp;($A580+13/24))</f>
        <v/>
      </c>
      <c r="R580" s="20">
        <f>COUNTIFS(tData[SEHTrajectPeriodeDatumTijdVan],"&lt;="&amp;($A580+14/24),tData[SEHTrajectPeriodeDatumTijdTotEnMet],"&gt;"&amp;($A580+14/24))</f>
        <v/>
      </c>
      <c r="S580" s="20">
        <f>COUNTIFS(tData[SEHTrajectPeriodeDatumTijdVan],"&lt;="&amp;($A580+15/24),tData[SEHTrajectPeriodeDatumTijdTotEnMet],"&gt;"&amp;($A580+15/24))</f>
        <v/>
      </c>
      <c r="T580" s="20">
        <f>COUNTIFS(tData[SEHTrajectPeriodeDatumTijdVan],"&lt;="&amp;($A580+16/24),tData[SEHTrajectPeriodeDatumTijdTotEnMet],"&gt;"&amp;($A580+16/24))</f>
        <v/>
      </c>
      <c r="U580" s="20">
        <f>COUNTIFS(tData[SEHTrajectPeriodeDatumTijdVan],"&lt;="&amp;($A580+17/24),tData[SEHTrajectPeriodeDatumTijdTotEnMet],"&gt;"&amp;($A580+17/24))</f>
        <v/>
      </c>
      <c r="V580" s="20">
        <f>COUNTIFS(tData[SEHTrajectPeriodeDatumTijdVan],"&lt;="&amp;($A580+18/24),tData[SEHTrajectPeriodeDatumTijdTotEnMet],"&gt;"&amp;($A580+18/24))</f>
        <v/>
      </c>
      <c r="W580" s="20">
        <f>COUNTIFS(tData[SEHTrajectPeriodeDatumTijdVan],"&lt;="&amp;($A580+19/24),tData[SEHTrajectPeriodeDatumTijdTotEnMet],"&gt;"&amp;($A580+19/24))</f>
        <v/>
      </c>
      <c r="X580" s="20">
        <f>COUNTIFS(tData[SEHTrajectPeriodeDatumTijdVan],"&lt;="&amp;($A580+20/24),tData[SEHTrajectPeriodeDatumTijdTotEnMet],"&gt;"&amp;($A580+20/24))</f>
        <v/>
      </c>
      <c r="Y580" s="20">
        <f>COUNTIFS(tData[SEHTrajectPeriodeDatumTijdVan],"&lt;="&amp;($A580+21/24),tData[SEHTrajectPeriodeDatumTijdTotEnMet],"&gt;"&amp;($A580+21/24))</f>
        <v/>
      </c>
      <c r="Z580" s="20">
        <f>COUNTIFS(tData[SEHTrajectPeriodeDatumTijdVan],"&lt;="&amp;($A580+22/24),tData[SEHTrajectPeriodeDatumTijdTotEnMet],"&gt;"&amp;($A580+22/24))</f>
        <v/>
      </c>
      <c r="AA580" s="20">
        <f>COUNTIFS(tData[SEHTrajectPeriodeDatumTijdVan],"&lt;="&amp;($A580+23/24),tData[SEHTrajectPeriodeDatumTijdTotEnMet],"&gt;"&amp;($A580+23/24))</f>
        <v/>
      </c>
    </row>
    <row r="581">
      <c r="A581" s="19" t="n">
        <v>45869</v>
      </c>
      <c r="B581" s="15">
        <f>WEEKDAY($A581,2)</f>
        <v/>
      </c>
      <c r="C581" s="15">
        <f>IF(AND($A581&gt;=INT(Instellingen!$B$5),$A581&lt;=INT(Instellingen!$B$6)),1,0)</f>
        <v/>
      </c>
      <c r="D581" s="20">
        <f>COUNTIFS(tData[SEHTrajectPeriodeDatumTijdVan],"&lt;="&amp;($A581+0/24),tData[SEHTrajectPeriodeDatumTijdTotEnMet],"&gt;"&amp;($A581+0/24))</f>
        <v/>
      </c>
      <c r="E581" s="20">
        <f>COUNTIFS(tData[SEHTrajectPeriodeDatumTijdVan],"&lt;="&amp;($A581+1/24),tData[SEHTrajectPeriodeDatumTijdTotEnMet],"&gt;"&amp;($A581+1/24))</f>
        <v/>
      </c>
      <c r="F581" s="20">
        <f>COUNTIFS(tData[SEHTrajectPeriodeDatumTijdVan],"&lt;="&amp;($A581+2/24),tData[SEHTrajectPeriodeDatumTijdTotEnMet],"&gt;"&amp;($A581+2/24))</f>
        <v/>
      </c>
      <c r="G581" s="20">
        <f>COUNTIFS(tData[SEHTrajectPeriodeDatumTijdVan],"&lt;="&amp;($A581+3/24),tData[SEHTrajectPeriodeDatumTijdTotEnMet],"&gt;"&amp;($A581+3/24))</f>
        <v/>
      </c>
      <c r="H581" s="20">
        <f>COUNTIFS(tData[SEHTrajectPeriodeDatumTijdVan],"&lt;="&amp;($A581+4/24),tData[SEHTrajectPeriodeDatumTijdTotEnMet],"&gt;"&amp;($A581+4/24))</f>
        <v/>
      </c>
      <c r="I581" s="20">
        <f>COUNTIFS(tData[SEHTrajectPeriodeDatumTijdVan],"&lt;="&amp;($A581+5/24),tData[SEHTrajectPeriodeDatumTijdTotEnMet],"&gt;"&amp;($A581+5/24))</f>
        <v/>
      </c>
      <c r="J581" s="20">
        <f>COUNTIFS(tData[SEHTrajectPeriodeDatumTijdVan],"&lt;="&amp;($A581+6/24),tData[SEHTrajectPeriodeDatumTijdTotEnMet],"&gt;"&amp;($A581+6/24))</f>
        <v/>
      </c>
      <c r="K581" s="20">
        <f>COUNTIFS(tData[SEHTrajectPeriodeDatumTijdVan],"&lt;="&amp;($A581+7/24),tData[SEHTrajectPeriodeDatumTijdTotEnMet],"&gt;"&amp;($A581+7/24))</f>
        <v/>
      </c>
      <c r="L581" s="20">
        <f>COUNTIFS(tData[SEHTrajectPeriodeDatumTijdVan],"&lt;="&amp;($A581+8/24),tData[SEHTrajectPeriodeDatumTijdTotEnMet],"&gt;"&amp;($A581+8/24))</f>
        <v/>
      </c>
      <c r="M581" s="20">
        <f>COUNTIFS(tData[SEHTrajectPeriodeDatumTijdVan],"&lt;="&amp;($A581+9/24),tData[SEHTrajectPeriodeDatumTijdTotEnMet],"&gt;"&amp;($A581+9/24))</f>
        <v/>
      </c>
      <c r="N581" s="20">
        <f>COUNTIFS(tData[SEHTrajectPeriodeDatumTijdVan],"&lt;="&amp;($A581+10/24),tData[SEHTrajectPeriodeDatumTijdTotEnMet],"&gt;"&amp;($A581+10/24))</f>
        <v/>
      </c>
      <c r="O581" s="20">
        <f>COUNTIFS(tData[SEHTrajectPeriodeDatumTijdVan],"&lt;="&amp;($A581+11/24),tData[SEHTrajectPeriodeDatumTijdTotEnMet],"&gt;"&amp;($A581+11/24))</f>
        <v/>
      </c>
      <c r="P581" s="20">
        <f>COUNTIFS(tData[SEHTrajectPeriodeDatumTijdVan],"&lt;="&amp;($A581+12/24),tData[SEHTrajectPeriodeDatumTijdTotEnMet],"&gt;"&amp;($A581+12/24))</f>
        <v/>
      </c>
      <c r="Q581" s="20">
        <f>COUNTIFS(tData[SEHTrajectPeriodeDatumTijdVan],"&lt;="&amp;($A581+13/24),tData[SEHTrajectPeriodeDatumTijdTotEnMet],"&gt;"&amp;($A581+13/24))</f>
        <v/>
      </c>
      <c r="R581" s="20">
        <f>COUNTIFS(tData[SEHTrajectPeriodeDatumTijdVan],"&lt;="&amp;($A581+14/24),tData[SEHTrajectPeriodeDatumTijdTotEnMet],"&gt;"&amp;($A581+14/24))</f>
        <v/>
      </c>
      <c r="S581" s="20">
        <f>COUNTIFS(tData[SEHTrajectPeriodeDatumTijdVan],"&lt;="&amp;($A581+15/24),tData[SEHTrajectPeriodeDatumTijdTotEnMet],"&gt;"&amp;($A581+15/24))</f>
        <v/>
      </c>
      <c r="T581" s="20">
        <f>COUNTIFS(tData[SEHTrajectPeriodeDatumTijdVan],"&lt;="&amp;($A581+16/24),tData[SEHTrajectPeriodeDatumTijdTotEnMet],"&gt;"&amp;($A581+16/24))</f>
        <v/>
      </c>
      <c r="U581" s="20">
        <f>COUNTIFS(tData[SEHTrajectPeriodeDatumTijdVan],"&lt;="&amp;($A581+17/24),tData[SEHTrajectPeriodeDatumTijdTotEnMet],"&gt;"&amp;($A581+17/24))</f>
        <v/>
      </c>
      <c r="V581" s="20">
        <f>COUNTIFS(tData[SEHTrajectPeriodeDatumTijdVan],"&lt;="&amp;($A581+18/24),tData[SEHTrajectPeriodeDatumTijdTotEnMet],"&gt;"&amp;($A581+18/24))</f>
        <v/>
      </c>
      <c r="W581" s="20">
        <f>COUNTIFS(tData[SEHTrajectPeriodeDatumTijdVan],"&lt;="&amp;($A581+19/24),tData[SEHTrajectPeriodeDatumTijdTotEnMet],"&gt;"&amp;($A581+19/24))</f>
        <v/>
      </c>
      <c r="X581" s="20">
        <f>COUNTIFS(tData[SEHTrajectPeriodeDatumTijdVan],"&lt;="&amp;($A581+20/24),tData[SEHTrajectPeriodeDatumTijdTotEnMet],"&gt;"&amp;($A581+20/24))</f>
        <v/>
      </c>
      <c r="Y581" s="20">
        <f>COUNTIFS(tData[SEHTrajectPeriodeDatumTijdVan],"&lt;="&amp;($A581+21/24),tData[SEHTrajectPeriodeDatumTijdTotEnMet],"&gt;"&amp;($A581+21/24))</f>
        <v/>
      </c>
      <c r="Z581" s="20">
        <f>COUNTIFS(tData[SEHTrajectPeriodeDatumTijdVan],"&lt;="&amp;($A581+22/24),tData[SEHTrajectPeriodeDatumTijdTotEnMet],"&gt;"&amp;($A581+22/24))</f>
        <v/>
      </c>
      <c r="AA581" s="20">
        <f>COUNTIFS(tData[SEHTrajectPeriodeDatumTijdVan],"&lt;="&amp;($A581+23/24),tData[SEHTrajectPeriodeDatumTijdTotEnMet],"&gt;"&amp;($A581+23/24))</f>
        <v/>
      </c>
    </row>
    <row r="582">
      <c r="A582" s="19" t="n">
        <v>45870</v>
      </c>
      <c r="B582" s="15">
        <f>WEEKDAY($A582,2)</f>
        <v/>
      </c>
      <c r="C582" s="15">
        <f>IF(AND($A582&gt;=INT(Instellingen!$B$5),$A582&lt;=INT(Instellingen!$B$6)),1,0)</f>
        <v/>
      </c>
      <c r="D582" s="20">
        <f>COUNTIFS(tData[SEHTrajectPeriodeDatumTijdVan],"&lt;="&amp;($A582+0/24),tData[SEHTrajectPeriodeDatumTijdTotEnMet],"&gt;"&amp;($A582+0/24))</f>
        <v/>
      </c>
      <c r="E582" s="20">
        <f>COUNTIFS(tData[SEHTrajectPeriodeDatumTijdVan],"&lt;="&amp;($A582+1/24),tData[SEHTrajectPeriodeDatumTijdTotEnMet],"&gt;"&amp;($A582+1/24))</f>
        <v/>
      </c>
      <c r="F582" s="20">
        <f>COUNTIFS(tData[SEHTrajectPeriodeDatumTijdVan],"&lt;="&amp;($A582+2/24),tData[SEHTrajectPeriodeDatumTijdTotEnMet],"&gt;"&amp;($A582+2/24))</f>
        <v/>
      </c>
      <c r="G582" s="20">
        <f>COUNTIFS(tData[SEHTrajectPeriodeDatumTijdVan],"&lt;="&amp;($A582+3/24),tData[SEHTrajectPeriodeDatumTijdTotEnMet],"&gt;"&amp;($A582+3/24))</f>
        <v/>
      </c>
      <c r="H582" s="20">
        <f>COUNTIFS(tData[SEHTrajectPeriodeDatumTijdVan],"&lt;="&amp;($A582+4/24),tData[SEHTrajectPeriodeDatumTijdTotEnMet],"&gt;"&amp;($A582+4/24))</f>
        <v/>
      </c>
      <c r="I582" s="20">
        <f>COUNTIFS(tData[SEHTrajectPeriodeDatumTijdVan],"&lt;="&amp;($A582+5/24),tData[SEHTrajectPeriodeDatumTijdTotEnMet],"&gt;"&amp;($A582+5/24))</f>
        <v/>
      </c>
      <c r="J582" s="20">
        <f>COUNTIFS(tData[SEHTrajectPeriodeDatumTijdVan],"&lt;="&amp;($A582+6/24),tData[SEHTrajectPeriodeDatumTijdTotEnMet],"&gt;"&amp;($A582+6/24))</f>
        <v/>
      </c>
      <c r="K582" s="20">
        <f>COUNTIFS(tData[SEHTrajectPeriodeDatumTijdVan],"&lt;="&amp;($A582+7/24),tData[SEHTrajectPeriodeDatumTijdTotEnMet],"&gt;"&amp;($A582+7/24))</f>
        <v/>
      </c>
      <c r="L582" s="20">
        <f>COUNTIFS(tData[SEHTrajectPeriodeDatumTijdVan],"&lt;="&amp;($A582+8/24),tData[SEHTrajectPeriodeDatumTijdTotEnMet],"&gt;"&amp;($A582+8/24))</f>
        <v/>
      </c>
      <c r="M582" s="20">
        <f>COUNTIFS(tData[SEHTrajectPeriodeDatumTijdVan],"&lt;="&amp;($A582+9/24),tData[SEHTrajectPeriodeDatumTijdTotEnMet],"&gt;"&amp;($A582+9/24))</f>
        <v/>
      </c>
      <c r="N582" s="20">
        <f>COUNTIFS(tData[SEHTrajectPeriodeDatumTijdVan],"&lt;="&amp;($A582+10/24),tData[SEHTrajectPeriodeDatumTijdTotEnMet],"&gt;"&amp;($A582+10/24))</f>
        <v/>
      </c>
      <c r="O582" s="20">
        <f>COUNTIFS(tData[SEHTrajectPeriodeDatumTijdVan],"&lt;="&amp;($A582+11/24),tData[SEHTrajectPeriodeDatumTijdTotEnMet],"&gt;"&amp;($A582+11/24))</f>
        <v/>
      </c>
      <c r="P582" s="20">
        <f>COUNTIFS(tData[SEHTrajectPeriodeDatumTijdVan],"&lt;="&amp;($A582+12/24),tData[SEHTrajectPeriodeDatumTijdTotEnMet],"&gt;"&amp;($A582+12/24))</f>
        <v/>
      </c>
      <c r="Q582" s="20">
        <f>COUNTIFS(tData[SEHTrajectPeriodeDatumTijdVan],"&lt;="&amp;($A582+13/24),tData[SEHTrajectPeriodeDatumTijdTotEnMet],"&gt;"&amp;($A582+13/24))</f>
        <v/>
      </c>
      <c r="R582" s="20">
        <f>COUNTIFS(tData[SEHTrajectPeriodeDatumTijdVan],"&lt;="&amp;($A582+14/24),tData[SEHTrajectPeriodeDatumTijdTotEnMet],"&gt;"&amp;($A582+14/24))</f>
        <v/>
      </c>
      <c r="S582" s="20">
        <f>COUNTIFS(tData[SEHTrajectPeriodeDatumTijdVan],"&lt;="&amp;($A582+15/24),tData[SEHTrajectPeriodeDatumTijdTotEnMet],"&gt;"&amp;($A582+15/24))</f>
        <v/>
      </c>
      <c r="T582" s="20">
        <f>COUNTIFS(tData[SEHTrajectPeriodeDatumTijdVan],"&lt;="&amp;($A582+16/24),tData[SEHTrajectPeriodeDatumTijdTotEnMet],"&gt;"&amp;($A582+16/24))</f>
        <v/>
      </c>
      <c r="U582" s="20">
        <f>COUNTIFS(tData[SEHTrajectPeriodeDatumTijdVan],"&lt;="&amp;($A582+17/24),tData[SEHTrajectPeriodeDatumTijdTotEnMet],"&gt;"&amp;($A582+17/24))</f>
        <v/>
      </c>
      <c r="V582" s="20">
        <f>COUNTIFS(tData[SEHTrajectPeriodeDatumTijdVan],"&lt;="&amp;($A582+18/24),tData[SEHTrajectPeriodeDatumTijdTotEnMet],"&gt;"&amp;($A582+18/24))</f>
        <v/>
      </c>
      <c r="W582" s="20">
        <f>COUNTIFS(tData[SEHTrajectPeriodeDatumTijdVan],"&lt;="&amp;($A582+19/24),tData[SEHTrajectPeriodeDatumTijdTotEnMet],"&gt;"&amp;($A582+19/24))</f>
        <v/>
      </c>
      <c r="X582" s="20">
        <f>COUNTIFS(tData[SEHTrajectPeriodeDatumTijdVan],"&lt;="&amp;($A582+20/24),tData[SEHTrajectPeriodeDatumTijdTotEnMet],"&gt;"&amp;($A582+20/24))</f>
        <v/>
      </c>
      <c r="Y582" s="20">
        <f>COUNTIFS(tData[SEHTrajectPeriodeDatumTijdVan],"&lt;="&amp;($A582+21/24),tData[SEHTrajectPeriodeDatumTijdTotEnMet],"&gt;"&amp;($A582+21/24))</f>
        <v/>
      </c>
      <c r="Z582" s="20">
        <f>COUNTIFS(tData[SEHTrajectPeriodeDatumTijdVan],"&lt;="&amp;($A582+22/24),tData[SEHTrajectPeriodeDatumTijdTotEnMet],"&gt;"&amp;($A582+22/24))</f>
        <v/>
      </c>
      <c r="AA582" s="20">
        <f>COUNTIFS(tData[SEHTrajectPeriodeDatumTijdVan],"&lt;="&amp;($A582+23/24),tData[SEHTrajectPeriodeDatumTijdTotEnMet],"&gt;"&amp;($A582+23/24))</f>
        <v/>
      </c>
    </row>
    <row r="583">
      <c r="A583" s="19" t="n">
        <v>45871</v>
      </c>
      <c r="B583" s="15">
        <f>WEEKDAY($A583,2)</f>
        <v/>
      </c>
      <c r="C583" s="15">
        <f>IF(AND($A583&gt;=INT(Instellingen!$B$5),$A583&lt;=INT(Instellingen!$B$6)),1,0)</f>
        <v/>
      </c>
      <c r="D583" s="20">
        <f>COUNTIFS(tData[SEHTrajectPeriodeDatumTijdVan],"&lt;="&amp;($A583+0/24),tData[SEHTrajectPeriodeDatumTijdTotEnMet],"&gt;"&amp;($A583+0/24))</f>
        <v/>
      </c>
      <c r="E583" s="20">
        <f>COUNTIFS(tData[SEHTrajectPeriodeDatumTijdVan],"&lt;="&amp;($A583+1/24),tData[SEHTrajectPeriodeDatumTijdTotEnMet],"&gt;"&amp;($A583+1/24))</f>
        <v/>
      </c>
      <c r="F583" s="20">
        <f>COUNTIFS(tData[SEHTrajectPeriodeDatumTijdVan],"&lt;="&amp;($A583+2/24),tData[SEHTrajectPeriodeDatumTijdTotEnMet],"&gt;"&amp;($A583+2/24))</f>
        <v/>
      </c>
      <c r="G583" s="20">
        <f>COUNTIFS(tData[SEHTrajectPeriodeDatumTijdVan],"&lt;="&amp;($A583+3/24),tData[SEHTrajectPeriodeDatumTijdTotEnMet],"&gt;"&amp;($A583+3/24))</f>
        <v/>
      </c>
      <c r="H583" s="20">
        <f>COUNTIFS(tData[SEHTrajectPeriodeDatumTijdVan],"&lt;="&amp;($A583+4/24),tData[SEHTrajectPeriodeDatumTijdTotEnMet],"&gt;"&amp;($A583+4/24))</f>
        <v/>
      </c>
      <c r="I583" s="20">
        <f>COUNTIFS(tData[SEHTrajectPeriodeDatumTijdVan],"&lt;="&amp;($A583+5/24),tData[SEHTrajectPeriodeDatumTijdTotEnMet],"&gt;"&amp;($A583+5/24))</f>
        <v/>
      </c>
      <c r="J583" s="20">
        <f>COUNTIFS(tData[SEHTrajectPeriodeDatumTijdVan],"&lt;="&amp;($A583+6/24),tData[SEHTrajectPeriodeDatumTijdTotEnMet],"&gt;"&amp;($A583+6/24))</f>
        <v/>
      </c>
      <c r="K583" s="20">
        <f>COUNTIFS(tData[SEHTrajectPeriodeDatumTijdVan],"&lt;="&amp;($A583+7/24),tData[SEHTrajectPeriodeDatumTijdTotEnMet],"&gt;"&amp;($A583+7/24))</f>
        <v/>
      </c>
      <c r="L583" s="20">
        <f>COUNTIFS(tData[SEHTrajectPeriodeDatumTijdVan],"&lt;="&amp;($A583+8/24),tData[SEHTrajectPeriodeDatumTijdTotEnMet],"&gt;"&amp;($A583+8/24))</f>
        <v/>
      </c>
      <c r="M583" s="20">
        <f>COUNTIFS(tData[SEHTrajectPeriodeDatumTijdVan],"&lt;="&amp;($A583+9/24),tData[SEHTrajectPeriodeDatumTijdTotEnMet],"&gt;"&amp;($A583+9/24))</f>
        <v/>
      </c>
      <c r="N583" s="20">
        <f>COUNTIFS(tData[SEHTrajectPeriodeDatumTijdVan],"&lt;="&amp;($A583+10/24),tData[SEHTrajectPeriodeDatumTijdTotEnMet],"&gt;"&amp;($A583+10/24))</f>
        <v/>
      </c>
      <c r="O583" s="20">
        <f>COUNTIFS(tData[SEHTrajectPeriodeDatumTijdVan],"&lt;="&amp;($A583+11/24),tData[SEHTrajectPeriodeDatumTijdTotEnMet],"&gt;"&amp;($A583+11/24))</f>
        <v/>
      </c>
      <c r="P583" s="20">
        <f>COUNTIFS(tData[SEHTrajectPeriodeDatumTijdVan],"&lt;="&amp;($A583+12/24),tData[SEHTrajectPeriodeDatumTijdTotEnMet],"&gt;"&amp;($A583+12/24))</f>
        <v/>
      </c>
      <c r="Q583" s="20">
        <f>COUNTIFS(tData[SEHTrajectPeriodeDatumTijdVan],"&lt;="&amp;($A583+13/24),tData[SEHTrajectPeriodeDatumTijdTotEnMet],"&gt;"&amp;($A583+13/24))</f>
        <v/>
      </c>
      <c r="R583" s="20">
        <f>COUNTIFS(tData[SEHTrajectPeriodeDatumTijdVan],"&lt;="&amp;($A583+14/24),tData[SEHTrajectPeriodeDatumTijdTotEnMet],"&gt;"&amp;($A583+14/24))</f>
        <v/>
      </c>
      <c r="S583" s="20">
        <f>COUNTIFS(tData[SEHTrajectPeriodeDatumTijdVan],"&lt;="&amp;($A583+15/24),tData[SEHTrajectPeriodeDatumTijdTotEnMet],"&gt;"&amp;($A583+15/24))</f>
        <v/>
      </c>
      <c r="T583" s="20">
        <f>COUNTIFS(tData[SEHTrajectPeriodeDatumTijdVan],"&lt;="&amp;($A583+16/24),tData[SEHTrajectPeriodeDatumTijdTotEnMet],"&gt;"&amp;($A583+16/24))</f>
        <v/>
      </c>
      <c r="U583" s="20">
        <f>COUNTIFS(tData[SEHTrajectPeriodeDatumTijdVan],"&lt;="&amp;($A583+17/24),tData[SEHTrajectPeriodeDatumTijdTotEnMet],"&gt;"&amp;($A583+17/24))</f>
        <v/>
      </c>
      <c r="V583" s="20">
        <f>COUNTIFS(tData[SEHTrajectPeriodeDatumTijdVan],"&lt;="&amp;($A583+18/24),tData[SEHTrajectPeriodeDatumTijdTotEnMet],"&gt;"&amp;($A583+18/24))</f>
        <v/>
      </c>
      <c r="W583" s="20">
        <f>COUNTIFS(tData[SEHTrajectPeriodeDatumTijdVan],"&lt;="&amp;($A583+19/24),tData[SEHTrajectPeriodeDatumTijdTotEnMet],"&gt;"&amp;($A583+19/24))</f>
        <v/>
      </c>
      <c r="X583" s="20">
        <f>COUNTIFS(tData[SEHTrajectPeriodeDatumTijdVan],"&lt;="&amp;($A583+20/24),tData[SEHTrajectPeriodeDatumTijdTotEnMet],"&gt;"&amp;($A583+20/24))</f>
        <v/>
      </c>
      <c r="Y583" s="20">
        <f>COUNTIFS(tData[SEHTrajectPeriodeDatumTijdVan],"&lt;="&amp;($A583+21/24),tData[SEHTrajectPeriodeDatumTijdTotEnMet],"&gt;"&amp;($A583+21/24))</f>
        <v/>
      </c>
      <c r="Z583" s="20">
        <f>COUNTIFS(tData[SEHTrajectPeriodeDatumTijdVan],"&lt;="&amp;($A583+22/24),tData[SEHTrajectPeriodeDatumTijdTotEnMet],"&gt;"&amp;($A583+22/24))</f>
        <v/>
      </c>
      <c r="AA583" s="20">
        <f>COUNTIFS(tData[SEHTrajectPeriodeDatumTijdVan],"&lt;="&amp;($A583+23/24),tData[SEHTrajectPeriodeDatumTijdTotEnMet],"&gt;"&amp;($A583+23/24))</f>
        <v/>
      </c>
    </row>
    <row r="584">
      <c r="A584" s="19" t="n">
        <v>45872</v>
      </c>
      <c r="B584" s="15">
        <f>WEEKDAY($A584,2)</f>
        <v/>
      </c>
      <c r="C584" s="15">
        <f>IF(AND($A584&gt;=INT(Instellingen!$B$5),$A584&lt;=INT(Instellingen!$B$6)),1,0)</f>
        <v/>
      </c>
      <c r="D584" s="20">
        <f>COUNTIFS(tData[SEHTrajectPeriodeDatumTijdVan],"&lt;="&amp;($A584+0/24),tData[SEHTrajectPeriodeDatumTijdTotEnMet],"&gt;"&amp;($A584+0/24))</f>
        <v/>
      </c>
      <c r="E584" s="20">
        <f>COUNTIFS(tData[SEHTrajectPeriodeDatumTijdVan],"&lt;="&amp;($A584+1/24),tData[SEHTrajectPeriodeDatumTijdTotEnMet],"&gt;"&amp;($A584+1/24))</f>
        <v/>
      </c>
      <c r="F584" s="20">
        <f>COUNTIFS(tData[SEHTrajectPeriodeDatumTijdVan],"&lt;="&amp;($A584+2/24),tData[SEHTrajectPeriodeDatumTijdTotEnMet],"&gt;"&amp;($A584+2/24))</f>
        <v/>
      </c>
      <c r="G584" s="20">
        <f>COUNTIFS(tData[SEHTrajectPeriodeDatumTijdVan],"&lt;="&amp;($A584+3/24),tData[SEHTrajectPeriodeDatumTijdTotEnMet],"&gt;"&amp;($A584+3/24))</f>
        <v/>
      </c>
      <c r="H584" s="20">
        <f>COUNTIFS(tData[SEHTrajectPeriodeDatumTijdVan],"&lt;="&amp;($A584+4/24),tData[SEHTrajectPeriodeDatumTijdTotEnMet],"&gt;"&amp;($A584+4/24))</f>
        <v/>
      </c>
      <c r="I584" s="20">
        <f>COUNTIFS(tData[SEHTrajectPeriodeDatumTijdVan],"&lt;="&amp;($A584+5/24),tData[SEHTrajectPeriodeDatumTijdTotEnMet],"&gt;"&amp;($A584+5/24))</f>
        <v/>
      </c>
      <c r="J584" s="20">
        <f>COUNTIFS(tData[SEHTrajectPeriodeDatumTijdVan],"&lt;="&amp;($A584+6/24),tData[SEHTrajectPeriodeDatumTijdTotEnMet],"&gt;"&amp;($A584+6/24))</f>
        <v/>
      </c>
      <c r="K584" s="20">
        <f>COUNTIFS(tData[SEHTrajectPeriodeDatumTijdVan],"&lt;="&amp;($A584+7/24),tData[SEHTrajectPeriodeDatumTijdTotEnMet],"&gt;"&amp;($A584+7/24))</f>
        <v/>
      </c>
      <c r="L584" s="20">
        <f>COUNTIFS(tData[SEHTrajectPeriodeDatumTijdVan],"&lt;="&amp;($A584+8/24),tData[SEHTrajectPeriodeDatumTijdTotEnMet],"&gt;"&amp;($A584+8/24))</f>
        <v/>
      </c>
      <c r="M584" s="20">
        <f>COUNTIFS(tData[SEHTrajectPeriodeDatumTijdVan],"&lt;="&amp;($A584+9/24),tData[SEHTrajectPeriodeDatumTijdTotEnMet],"&gt;"&amp;($A584+9/24))</f>
        <v/>
      </c>
      <c r="N584" s="20">
        <f>COUNTIFS(tData[SEHTrajectPeriodeDatumTijdVan],"&lt;="&amp;($A584+10/24),tData[SEHTrajectPeriodeDatumTijdTotEnMet],"&gt;"&amp;($A584+10/24))</f>
        <v/>
      </c>
      <c r="O584" s="20">
        <f>COUNTIFS(tData[SEHTrajectPeriodeDatumTijdVan],"&lt;="&amp;($A584+11/24),tData[SEHTrajectPeriodeDatumTijdTotEnMet],"&gt;"&amp;($A584+11/24))</f>
        <v/>
      </c>
      <c r="P584" s="20">
        <f>COUNTIFS(tData[SEHTrajectPeriodeDatumTijdVan],"&lt;="&amp;($A584+12/24),tData[SEHTrajectPeriodeDatumTijdTotEnMet],"&gt;"&amp;($A584+12/24))</f>
        <v/>
      </c>
      <c r="Q584" s="20">
        <f>COUNTIFS(tData[SEHTrajectPeriodeDatumTijdVan],"&lt;="&amp;($A584+13/24),tData[SEHTrajectPeriodeDatumTijdTotEnMet],"&gt;"&amp;($A584+13/24))</f>
        <v/>
      </c>
      <c r="R584" s="20">
        <f>COUNTIFS(tData[SEHTrajectPeriodeDatumTijdVan],"&lt;="&amp;($A584+14/24),tData[SEHTrajectPeriodeDatumTijdTotEnMet],"&gt;"&amp;($A584+14/24))</f>
        <v/>
      </c>
      <c r="S584" s="20">
        <f>COUNTIFS(tData[SEHTrajectPeriodeDatumTijdVan],"&lt;="&amp;($A584+15/24),tData[SEHTrajectPeriodeDatumTijdTotEnMet],"&gt;"&amp;($A584+15/24))</f>
        <v/>
      </c>
      <c r="T584" s="20">
        <f>COUNTIFS(tData[SEHTrajectPeriodeDatumTijdVan],"&lt;="&amp;($A584+16/24),tData[SEHTrajectPeriodeDatumTijdTotEnMet],"&gt;"&amp;($A584+16/24))</f>
        <v/>
      </c>
      <c r="U584" s="20">
        <f>COUNTIFS(tData[SEHTrajectPeriodeDatumTijdVan],"&lt;="&amp;($A584+17/24),tData[SEHTrajectPeriodeDatumTijdTotEnMet],"&gt;"&amp;($A584+17/24))</f>
        <v/>
      </c>
      <c r="V584" s="20">
        <f>COUNTIFS(tData[SEHTrajectPeriodeDatumTijdVan],"&lt;="&amp;($A584+18/24),tData[SEHTrajectPeriodeDatumTijdTotEnMet],"&gt;"&amp;($A584+18/24))</f>
        <v/>
      </c>
      <c r="W584" s="20">
        <f>COUNTIFS(tData[SEHTrajectPeriodeDatumTijdVan],"&lt;="&amp;($A584+19/24),tData[SEHTrajectPeriodeDatumTijdTotEnMet],"&gt;"&amp;($A584+19/24))</f>
        <v/>
      </c>
      <c r="X584" s="20">
        <f>COUNTIFS(tData[SEHTrajectPeriodeDatumTijdVan],"&lt;="&amp;($A584+20/24),tData[SEHTrajectPeriodeDatumTijdTotEnMet],"&gt;"&amp;($A584+20/24))</f>
        <v/>
      </c>
      <c r="Y584" s="20">
        <f>COUNTIFS(tData[SEHTrajectPeriodeDatumTijdVan],"&lt;="&amp;($A584+21/24),tData[SEHTrajectPeriodeDatumTijdTotEnMet],"&gt;"&amp;($A584+21/24))</f>
        <v/>
      </c>
      <c r="Z584" s="20">
        <f>COUNTIFS(tData[SEHTrajectPeriodeDatumTijdVan],"&lt;="&amp;($A584+22/24),tData[SEHTrajectPeriodeDatumTijdTotEnMet],"&gt;"&amp;($A584+22/24))</f>
        <v/>
      </c>
      <c r="AA584" s="20">
        <f>COUNTIFS(tData[SEHTrajectPeriodeDatumTijdVan],"&lt;="&amp;($A584+23/24),tData[SEHTrajectPeriodeDatumTijdTotEnMet],"&gt;"&amp;($A584+23/24))</f>
        <v/>
      </c>
    </row>
    <row r="585">
      <c r="A585" s="19" t="n">
        <v>45873</v>
      </c>
      <c r="B585" s="15">
        <f>WEEKDAY($A585,2)</f>
        <v/>
      </c>
      <c r="C585" s="15">
        <f>IF(AND($A585&gt;=INT(Instellingen!$B$5),$A585&lt;=INT(Instellingen!$B$6)),1,0)</f>
        <v/>
      </c>
      <c r="D585" s="20">
        <f>COUNTIFS(tData[SEHTrajectPeriodeDatumTijdVan],"&lt;="&amp;($A585+0/24),tData[SEHTrajectPeriodeDatumTijdTotEnMet],"&gt;"&amp;($A585+0/24))</f>
        <v/>
      </c>
      <c r="E585" s="20">
        <f>COUNTIFS(tData[SEHTrajectPeriodeDatumTijdVan],"&lt;="&amp;($A585+1/24),tData[SEHTrajectPeriodeDatumTijdTotEnMet],"&gt;"&amp;($A585+1/24))</f>
        <v/>
      </c>
      <c r="F585" s="20">
        <f>COUNTIFS(tData[SEHTrajectPeriodeDatumTijdVan],"&lt;="&amp;($A585+2/24),tData[SEHTrajectPeriodeDatumTijdTotEnMet],"&gt;"&amp;($A585+2/24))</f>
        <v/>
      </c>
      <c r="G585" s="20">
        <f>COUNTIFS(tData[SEHTrajectPeriodeDatumTijdVan],"&lt;="&amp;($A585+3/24),tData[SEHTrajectPeriodeDatumTijdTotEnMet],"&gt;"&amp;($A585+3/24))</f>
        <v/>
      </c>
      <c r="H585" s="20">
        <f>COUNTIFS(tData[SEHTrajectPeriodeDatumTijdVan],"&lt;="&amp;($A585+4/24),tData[SEHTrajectPeriodeDatumTijdTotEnMet],"&gt;"&amp;($A585+4/24))</f>
        <v/>
      </c>
      <c r="I585" s="20">
        <f>COUNTIFS(tData[SEHTrajectPeriodeDatumTijdVan],"&lt;="&amp;($A585+5/24),tData[SEHTrajectPeriodeDatumTijdTotEnMet],"&gt;"&amp;($A585+5/24))</f>
        <v/>
      </c>
      <c r="J585" s="20">
        <f>COUNTIFS(tData[SEHTrajectPeriodeDatumTijdVan],"&lt;="&amp;($A585+6/24),tData[SEHTrajectPeriodeDatumTijdTotEnMet],"&gt;"&amp;($A585+6/24))</f>
        <v/>
      </c>
      <c r="K585" s="20">
        <f>COUNTIFS(tData[SEHTrajectPeriodeDatumTijdVan],"&lt;="&amp;($A585+7/24),tData[SEHTrajectPeriodeDatumTijdTotEnMet],"&gt;"&amp;($A585+7/24))</f>
        <v/>
      </c>
      <c r="L585" s="20">
        <f>COUNTIFS(tData[SEHTrajectPeriodeDatumTijdVan],"&lt;="&amp;($A585+8/24),tData[SEHTrajectPeriodeDatumTijdTotEnMet],"&gt;"&amp;($A585+8/24))</f>
        <v/>
      </c>
      <c r="M585" s="20">
        <f>COUNTIFS(tData[SEHTrajectPeriodeDatumTijdVan],"&lt;="&amp;($A585+9/24),tData[SEHTrajectPeriodeDatumTijdTotEnMet],"&gt;"&amp;($A585+9/24))</f>
        <v/>
      </c>
      <c r="N585" s="20">
        <f>COUNTIFS(tData[SEHTrajectPeriodeDatumTijdVan],"&lt;="&amp;($A585+10/24),tData[SEHTrajectPeriodeDatumTijdTotEnMet],"&gt;"&amp;($A585+10/24))</f>
        <v/>
      </c>
      <c r="O585" s="20">
        <f>COUNTIFS(tData[SEHTrajectPeriodeDatumTijdVan],"&lt;="&amp;($A585+11/24),tData[SEHTrajectPeriodeDatumTijdTotEnMet],"&gt;"&amp;($A585+11/24))</f>
        <v/>
      </c>
      <c r="P585" s="20">
        <f>COUNTIFS(tData[SEHTrajectPeriodeDatumTijdVan],"&lt;="&amp;($A585+12/24),tData[SEHTrajectPeriodeDatumTijdTotEnMet],"&gt;"&amp;($A585+12/24))</f>
        <v/>
      </c>
      <c r="Q585" s="20">
        <f>COUNTIFS(tData[SEHTrajectPeriodeDatumTijdVan],"&lt;="&amp;($A585+13/24),tData[SEHTrajectPeriodeDatumTijdTotEnMet],"&gt;"&amp;($A585+13/24))</f>
        <v/>
      </c>
      <c r="R585" s="20">
        <f>COUNTIFS(tData[SEHTrajectPeriodeDatumTijdVan],"&lt;="&amp;($A585+14/24),tData[SEHTrajectPeriodeDatumTijdTotEnMet],"&gt;"&amp;($A585+14/24))</f>
        <v/>
      </c>
      <c r="S585" s="20">
        <f>COUNTIFS(tData[SEHTrajectPeriodeDatumTijdVan],"&lt;="&amp;($A585+15/24),tData[SEHTrajectPeriodeDatumTijdTotEnMet],"&gt;"&amp;($A585+15/24))</f>
        <v/>
      </c>
      <c r="T585" s="20">
        <f>COUNTIFS(tData[SEHTrajectPeriodeDatumTijdVan],"&lt;="&amp;($A585+16/24),tData[SEHTrajectPeriodeDatumTijdTotEnMet],"&gt;"&amp;($A585+16/24))</f>
        <v/>
      </c>
      <c r="U585" s="20">
        <f>COUNTIFS(tData[SEHTrajectPeriodeDatumTijdVan],"&lt;="&amp;($A585+17/24),tData[SEHTrajectPeriodeDatumTijdTotEnMet],"&gt;"&amp;($A585+17/24))</f>
        <v/>
      </c>
      <c r="V585" s="20">
        <f>COUNTIFS(tData[SEHTrajectPeriodeDatumTijdVan],"&lt;="&amp;($A585+18/24),tData[SEHTrajectPeriodeDatumTijdTotEnMet],"&gt;"&amp;($A585+18/24))</f>
        <v/>
      </c>
      <c r="W585" s="20">
        <f>COUNTIFS(tData[SEHTrajectPeriodeDatumTijdVan],"&lt;="&amp;($A585+19/24),tData[SEHTrajectPeriodeDatumTijdTotEnMet],"&gt;"&amp;($A585+19/24))</f>
        <v/>
      </c>
      <c r="X585" s="20">
        <f>COUNTIFS(tData[SEHTrajectPeriodeDatumTijdVan],"&lt;="&amp;($A585+20/24),tData[SEHTrajectPeriodeDatumTijdTotEnMet],"&gt;"&amp;($A585+20/24))</f>
        <v/>
      </c>
      <c r="Y585" s="20">
        <f>COUNTIFS(tData[SEHTrajectPeriodeDatumTijdVan],"&lt;="&amp;($A585+21/24),tData[SEHTrajectPeriodeDatumTijdTotEnMet],"&gt;"&amp;($A585+21/24))</f>
        <v/>
      </c>
      <c r="Z585" s="20">
        <f>COUNTIFS(tData[SEHTrajectPeriodeDatumTijdVan],"&lt;="&amp;($A585+22/24),tData[SEHTrajectPeriodeDatumTijdTotEnMet],"&gt;"&amp;($A585+22/24))</f>
        <v/>
      </c>
      <c r="AA585" s="20">
        <f>COUNTIFS(tData[SEHTrajectPeriodeDatumTijdVan],"&lt;="&amp;($A585+23/24),tData[SEHTrajectPeriodeDatumTijdTotEnMet],"&gt;"&amp;($A585+23/24))</f>
        <v/>
      </c>
    </row>
    <row r="586">
      <c r="A586" s="19" t="n">
        <v>45874</v>
      </c>
      <c r="B586" s="15">
        <f>WEEKDAY($A586,2)</f>
        <v/>
      </c>
      <c r="C586" s="15">
        <f>IF(AND($A586&gt;=INT(Instellingen!$B$5),$A586&lt;=INT(Instellingen!$B$6)),1,0)</f>
        <v/>
      </c>
      <c r="D586" s="20">
        <f>COUNTIFS(tData[SEHTrajectPeriodeDatumTijdVan],"&lt;="&amp;($A586+0/24),tData[SEHTrajectPeriodeDatumTijdTotEnMet],"&gt;"&amp;($A586+0/24))</f>
        <v/>
      </c>
      <c r="E586" s="20">
        <f>COUNTIFS(tData[SEHTrajectPeriodeDatumTijdVan],"&lt;="&amp;($A586+1/24),tData[SEHTrajectPeriodeDatumTijdTotEnMet],"&gt;"&amp;($A586+1/24))</f>
        <v/>
      </c>
      <c r="F586" s="20">
        <f>COUNTIFS(tData[SEHTrajectPeriodeDatumTijdVan],"&lt;="&amp;($A586+2/24),tData[SEHTrajectPeriodeDatumTijdTotEnMet],"&gt;"&amp;($A586+2/24))</f>
        <v/>
      </c>
      <c r="G586" s="20">
        <f>COUNTIFS(tData[SEHTrajectPeriodeDatumTijdVan],"&lt;="&amp;($A586+3/24),tData[SEHTrajectPeriodeDatumTijdTotEnMet],"&gt;"&amp;($A586+3/24))</f>
        <v/>
      </c>
      <c r="H586" s="20">
        <f>COUNTIFS(tData[SEHTrajectPeriodeDatumTijdVan],"&lt;="&amp;($A586+4/24),tData[SEHTrajectPeriodeDatumTijdTotEnMet],"&gt;"&amp;($A586+4/24))</f>
        <v/>
      </c>
      <c r="I586" s="20">
        <f>COUNTIFS(tData[SEHTrajectPeriodeDatumTijdVan],"&lt;="&amp;($A586+5/24),tData[SEHTrajectPeriodeDatumTijdTotEnMet],"&gt;"&amp;($A586+5/24))</f>
        <v/>
      </c>
      <c r="J586" s="20">
        <f>COUNTIFS(tData[SEHTrajectPeriodeDatumTijdVan],"&lt;="&amp;($A586+6/24),tData[SEHTrajectPeriodeDatumTijdTotEnMet],"&gt;"&amp;($A586+6/24))</f>
        <v/>
      </c>
      <c r="K586" s="20">
        <f>COUNTIFS(tData[SEHTrajectPeriodeDatumTijdVan],"&lt;="&amp;($A586+7/24),tData[SEHTrajectPeriodeDatumTijdTotEnMet],"&gt;"&amp;($A586+7/24))</f>
        <v/>
      </c>
      <c r="L586" s="20">
        <f>COUNTIFS(tData[SEHTrajectPeriodeDatumTijdVan],"&lt;="&amp;($A586+8/24),tData[SEHTrajectPeriodeDatumTijdTotEnMet],"&gt;"&amp;($A586+8/24))</f>
        <v/>
      </c>
      <c r="M586" s="20">
        <f>COUNTIFS(tData[SEHTrajectPeriodeDatumTijdVan],"&lt;="&amp;($A586+9/24),tData[SEHTrajectPeriodeDatumTijdTotEnMet],"&gt;"&amp;($A586+9/24))</f>
        <v/>
      </c>
      <c r="N586" s="20">
        <f>COUNTIFS(tData[SEHTrajectPeriodeDatumTijdVan],"&lt;="&amp;($A586+10/24),tData[SEHTrajectPeriodeDatumTijdTotEnMet],"&gt;"&amp;($A586+10/24))</f>
        <v/>
      </c>
      <c r="O586" s="20">
        <f>COUNTIFS(tData[SEHTrajectPeriodeDatumTijdVan],"&lt;="&amp;($A586+11/24),tData[SEHTrajectPeriodeDatumTijdTotEnMet],"&gt;"&amp;($A586+11/24))</f>
        <v/>
      </c>
      <c r="P586" s="20">
        <f>COUNTIFS(tData[SEHTrajectPeriodeDatumTijdVan],"&lt;="&amp;($A586+12/24),tData[SEHTrajectPeriodeDatumTijdTotEnMet],"&gt;"&amp;($A586+12/24))</f>
        <v/>
      </c>
      <c r="Q586" s="20">
        <f>COUNTIFS(tData[SEHTrajectPeriodeDatumTijdVan],"&lt;="&amp;($A586+13/24),tData[SEHTrajectPeriodeDatumTijdTotEnMet],"&gt;"&amp;($A586+13/24))</f>
        <v/>
      </c>
      <c r="R586" s="20">
        <f>COUNTIFS(tData[SEHTrajectPeriodeDatumTijdVan],"&lt;="&amp;($A586+14/24),tData[SEHTrajectPeriodeDatumTijdTotEnMet],"&gt;"&amp;($A586+14/24))</f>
        <v/>
      </c>
      <c r="S586" s="20">
        <f>COUNTIFS(tData[SEHTrajectPeriodeDatumTijdVan],"&lt;="&amp;($A586+15/24),tData[SEHTrajectPeriodeDatumTijdTotEnMet],"&gt;"&amp;($A586+15/24))</f>
        <v/>
      </c>
      <c r="T586" s="20">
        <f>COUNTIFS(tData[SEHTrajectPeriodeDatumTijdVan],"&lt;="&amp;($A586+16/24),tData[SEHTrajectPeriodeDatumTijdTotEnMet],"&gt;"&amp;($A586+16/24))</f>
        <v/>
      </c>
      <c r="U586" s="20">
        <f>COUNTIFS(tData[SEHTrajectPeriodeDatumTijdVan],"&lt;="&amp;($A586+17/24),tData[SEHTrajectPeriodeDatumTijdTotEnMet],"&gt;"&amp;($A586+17/24))</f>
        <v/>
      </c>
      <c r="V586" s="20">
        <f>COUNTIFS(tData[SEHTrajectPeriodeDatumTijdVan],"&lt;="&amp;($A586+18/24),tData[SEHTrajectPeriodeDatumTijdTotEnMet],"&gt;"&amp;($A586+18/24))</f>
        <v/>
      </c>
      <c r="W586" s="20">
        <f>COUNTIFS(tData[SEHTrajectPeriodeDatumTijdVan],"&lt;="&amp;($A586+19/24),tData[SEHTrajectPeriodeDatumTijdTotEnMet],"&gt;"&amp;($A586+19/24))</f>
        <v/>
      </c>
      <c r="X586" s="20">
        <f>COUNTIFS(tData[SEHTrajectPeriodeDatumTijdVan],"&lt;="&amp;($A586+20/24),tData[SEHTrajectPeriodeDatumTijdTotEnMet],"&gt;"&amp;($A586+20/24))</f>
        <v/>
      </c>
      <c r="Y586" s="20">
        <f>COUNTIFS(tData[SEHTrajectPeriodeDatumTijdVan],"&lt;="&amp;($A586+21/24),tData[SEHTrajectPeriodeDatumTijdTotEnMet],"&gt;"&amp;($A586+21/24))</f>
        <v/>
      </c>
      <c r="Z586" s="20">
        <f>COUNTIFS(tData[SEHTrajectPeriodeDatumTijdVan],"&lt;="&amp;($A586+22/24),tData[SEHTrajectPeriodeDatumTijdTotEnMet],"&gt;"&amp;($A586+22/24))</f>
        <v/>
      </c>
      <c r="AA586" s="20">
        <f>COUNTIFS(tData[SEHTrajectPeriodeDatumTijdVan],"&lt;="&amp;($A586+23/24),tData[SEHTrajectPeriodeDatumTijdTotEnMet],"&gt;"&amp;($A586+23/24))</f>
        <v/>
      </c>
    </row>
    <row r="587">
      <c r="A587" s="19" t="n">
        <v>45875</v>
      </c>
      <c r="B587" s="15">
        <f>WEEKDAY($A587,2)</f>
        <v/>
      </c>
      <c r="C587" s="15">
        <f>IF(AND($A587&gt;=INT(Instellingen!$B$5),$A587&lt;=INT(Instellingen!$B$6)),1,0)</f>
        <v/>
      </c>
      <c r="D587" s="20">
        <f>COUNTIFS(tData[SEHTrajectPeriodeDatumTijdVan],"&lt;="&amp;($A587+0/24),tData[SEHTrajectPeriodeDatumTijdTotEnMet],"&gt;"&amp;($A587+0/24))</f>
        <v/>
      </c>
      <c r="E587" s="20">
        <f>COUNTIFS(tData[SEHTrajectPeriodeDatumTijdVan],"&lt;="&amp;($A587+1/24),tData[SEHTrajectPeriodeDatumTijdTotEnMet],"&gt;"&amp;($A587+1/24))</f>
        <v/>
      </c>
      <c r="F587" s="20">
        <f>COUNTIFS(tData[SEHTrajectPeriodeDatumTijdVan],"&lt;="&amp;($A587+2/24),tData[SEHTrajectPeriodeDatumTijdTotEnMet],"&gt;"&amp;($A587+2/24))</f>
        <v/>
      </c>
      <c r="G587" s="20">
        <f>COUNTIFS(tData[SEHTrajectPeriodeDatumTijdVan],"&lt;="&amp;($A587+3/24),tData[SEHTrajectPeriodeDatumTijdTotEnMet],"&gt;"&amp;($A587+3/24))</f>
        <v/>
      </c>
      <c r="H587" s="20">
        <f>COUNTIFS(tData[SEHTrajectPeriodeDatumTijdVan],"&lt;="&amp;($A587+4/24),tData[SEHTrajectPeriodeDatumTijdTotEnMet],"&gt;"&amp;($A587+4/24))</f>
        <v/>
      </c>
      <c r="I587" s="20">
        <f>COUNTIFS(tData[SEHTrajectPeriodeDatumTijdVan],"&lt;="&amp;($A587+5/24),tData[SEHTrajectPeriodeDatumTijdTotEnMet],"&gt;"&amp;($A587+5/24))</f>
        <v/>
      </c>
      <c r="J587" s="20">
        <f>COUNTIFS(tData[SEHTrajectPeriodeDatumTijdVan],"&lt;="&amp;($A587+6/24),tData[SEHTrajectPeriodeDatumTijdTotEnMet],"&gt;"&amp;($A587+6/24))</f>
        <v/>
      </c>
      <c r="K587" s="20">
        <f>COUNTIFS(tData[SEHTrajectPeriodeDatumTijdVan],"&lt;="&amp;($A587+7/24),tData[SEHTrajectPeriodeDatumTijdTotEnMet],"&gt;"&amp;($A587+7/24))</f>
        <v/>
      </c>
      <c r="L587" s="20">
        <f>COUNTIFS(tData[SEHTrajectPeriodeDatumTijdVan],"&lt;="&amp;($A587+8/24),tData[SEHTrajectPeriodeDatumTijdTotEnMet],"&gt;"&amp;($A587+8/24))</f>
        <v/>
      </c>
      <c r="M587" s="20">
        <f>COUNTIFS(tData[SEHTrajectPeriodeDatumTijdVan],"&lt;="&amp;($A587+9/24),tData[SEHTrajectPeriodeDatumTijdTotEnMet],"&gt;"&amp;($A587+9/24))</f>
        <v/>
      </c>
      <c r="N587" s="20">
        <f>COUNTIFS(tData[SEHTrajectPeriodeDatumTijdVan],"&lt;="&amp;($A587+10/24),tData[SEHTrajectPeriodeDatumTijdTotEnMet],"&gt;"&amp;($A587+10/24))</f>
        <v/>
      </c>
      <c r="O587" s="20">
        <f>COUNTIFS(tData[SEHTrajectPeriodeDatumTijdVan],"&lt;="&amp;($A587+11/24),tData[SEHTrajectPeriodeDatumTijdTotEnMet],"&gt;"&amp;($A587+11/24))</f>
        <v/>
      </c>
      <c r="P587" s="20">
        <f>COUNTIFS(tData[SEHTrajectPeriodeDatumTijdVan],"&lt;="&amp;($A587+12/24),tData[SEHTrajectPeriodeDatumTijdTotEnMet],"&gt;"&amp;($A587+12/24))</f>
        <v/>
      </c>
      <c r="Q587" s="20">
        <f>COUNTIFS(tData[SEHTrajectPeriodeDatumTijdVan],"&lt;="&amp;($A587+13/24),tData[SEHTrajectPeriodeDatumTijdTotEnMet],"&gt;"&amp;($A587+13/24))</f>
        <v/>
      </c>
      <c r="R587" s="20">
        <f>COUNTIFS(tData[SEHTrajectPeriodeDatumTijdVan],"&lt;="&amp;($A587+14/24),tData[SEHTrajectPeriodeDatumTijdTotEnMet],"&gt;"&amp;($A587+14/24))</f>
        <v/>
      </c>
      <c r="S587" s="20">
        <f>COUNTIFS(tData[SEHTrajectPeriodeDatumTijdVan],"&lt;="&amp;($A587+15/24),tData[SEHTrajectPeriodeDatumTijdTotEnMet],"&gt;"&amp;($A587+15/24))</f>
        <v/>
      </c>
      <c r="T587" s="20">
        <f>COUNTIFS(tData[SEHTrajectPeriodeDatumTijdVan],"&lt;="&amp;($A587+16/24),tData[SEHTrajectPeriodeDatumTijdTotEnMet],"&gt;"&amp;($A587+16/24))</f>
        <v/>
      </c>
      <c r="U587" s="20">
        <f>COUNTIFS(tData[SEHTrajectPeriodeDatumTijdVan],"&lt;="&amp;($A587+17/24),tData[SEHTrajectPeriodeDatumTijdTotEnMet],"&gt;"&amp;($A587+17/24))</f>
        <v/>
      </c>
      <c r="V587" s="20">
        <f>COUNTIFS(tData[SEHTrajectPeriodeDatumTijdVan],"&lt;="&amp;($A587+18/24),tData[SEHTrajectPeriodeDatumTijdTotEnMet],"&gt;"&amp;($A587+18/24))</f>
        <v/>
      </c>
      <c r="W587" s="20">
        <f>COUNTIFS(tData[SEHTrajectPeriodeDatumTijdVan],"&lt;="&amp;($A587+19/24),tData[SEHTrajectPeriodeDatumTijdTotEnMet],"&gt;"&amp;($A587+19/24))</f>
        <v/>
      </c>
      <c r="X587" s="20">
        <f>COUNTIFS(tData[SEHTrajectPeriodeDatumTijdVan],"&lt;="&amp;($A587+20/24),tData[SEHTrajectPeriodeDatumTijdTotEnMet],"&gt;"&amp;($A587+20/24))</f>
        <v/>
      </c>
      <c r="Y587" s="20">
        <f>COUNTIFS(tData[SEHTrajectPeriodeDatumTijdVan],"&lt;="&amp;($A587+21/24),tData[SEHTrajectPeriodeDatumTijdTotEnMet],"&gt;"&amp;($A587+21/24))</f>
        <v/>
      </c>
      <c r="Z587" s="20">
        <f>COUNTIFS(tData[SEHTrajectPeriodeDatumTijdVan],"&lt;="&amp;($A587+22/24),tData[SEHTrajectPeriodeDatumTijdTotEnMet],"&gt;"&amp;($A587+22/24))</f>
        <v/>
      </c>
      <c r="AA587" s="20">
        <f>COUNTIFS(tData[SEHTrajectPeriodeDatumTijdVan],"&lt;="&amp;($A587+23/24),tData[SEHTrajectPeriodeDatumTijdTotEnMet],"&gt;"&amp;($A587+23/24))</f>
        <v/>
      </c>
    </row>
    <row r="588">
      <c r="A588" s="19" t="n">
        <v>45876</v>
      </c>
      <c r="B588" s="15">
        <f>WEEKDAY($A588,2)</f>
        <v/>
      </c>
      <c r="C588" s="15">
        <f>IF(AND($A588&gt;=INT(Instellingen!$B$5),$A588&lt;=INT(Instellingen!$B$6)),1,0)</f>
        <v/>
      </c>
      <c r="D588" s="20">
        <f>COUNTIFS(tData[SEHTrajectPeriodeDatumTijdVan],"&lt;="&amp;($A588+0/24),tData[SEHTrajectPeriodeDatumTijdTotEnMet],"&gt;"&amp;($A588+0/24))</f>
        <v/>
      </c>
      <c r="E588" s="20">
        <f>COUNTIFS(tData[SEHTrajectPeriodeDatumTijdVan],"&lt;="&amp;($A588+1/24),tData[SEHTrajectPeriodeDatumTijdTotEnMet],"&gt;"&amp;($A588+1/24))</f>
        <v/>
      </c>
      <c r="F588" s="20">
        <f>COUNTIFS(tData[SEHTrajectPeriodeDatumTijdVan],"&lt;="&amp;($A588+2/24),tData[SEHTrajectPeriodeDatumTijdTotEnMet],"&gt;"&amp;($A588+2/24))</f>
        <v/>
      </c>
      <c r="G588" s="20">
        <f>COUNTIFS(tData[SEHTrajectPeriodeDatumTijdVan],"&lt;="&amp;($A588+3/24),tData[SEHTrajectPeriodeDatumTijdTotEnMet],"&gt;"&amp;($A588+3/24))</f>
        <v/>
      </c>
      <c r="H588" s="20">
        <f>COUNTIFS(tData[SEHTrajectPeriodeDatumTijdVan],"&lt;="&amp;($A588+4/24),tData[SEHTrajectPeriodeDatumTijdTotEnMet],"&gt;"&amp;($A588+4/24))</f>
        <v/>
      </c>
      <c r="I588" s="20">
        <f>COUNTIFS(tData[SEHTrajectPeriodeDatumTijdVan],"&lt;="&amp;($A588+5/24),tData[SEHTrajectPeriodeDatumTijdTotEnMet],"&gt;"&amp;($A588+5/24))</f>
        <v/>
      </c>
      <c r="J588" s="20">
        <f>COUNTIFS(tData[SEHTrajectPeriodeDatumTijdVan],"&lt;="&amp;($A588+6/24),tData[SEHTrajectPeriodeDatumTijdTotEnMet],"&gt;"&amp;($A588+6/24))</f>
        <v/>
      </c>
      <c r="K588" s="20">
        <f>COUNTIFS(tData[SEHTrajectPeriodeDatumTijdVan],"&lt;="&amp;($A588+7/24),tData[SEHTrajectPeriodeDatumTijdTotEnMet],"&gt;"&amp;($A588+7/24))</f>
        <v/>
      </c>
      <c r="L588" s="20">
        <f>COUNTIFS(tData[SEHTrajectPeriodeDatumTijdVan],"&lt;="&amp;($A588+8/24),tData[SEHTrajectPeriodeDatumTijdTotEnMet],"&gt;"&amp;($A588+8/24))</f>
        <v/>
      </c>
      <c r="M588" s="20">
        <f>COUNTIFS(tData[SEHTrajectPeriodeDatumTijdVan],"&lt;="&amp;($A588+9/24),tData[SEHTrajectPeriodeDatumTijdTotEnMet],"&gt;"&amp;($A588+9/24))</f>
        <v/>
      </c>
      <c r="N588" s="20">
        <f>COUNTIFS(tData[SEHTrajectPeriodeDatumTijdVan],"&lt;="&amp;($A588+10/24),tData[SEHTrajectPeriodeDatumTijdTotEnMet],"&gt;"&amp;($A588+10/24))</f>
        <v/>
      </c>
      <c r="O588" s="20">
        <f>COUNTIFS(tData[SEHTrajectPeriodeDatumTijdVan],"&lt;="&amp;($A588+11/24),tData[SEHTrajectPeriodeDatumTijdTotEnMet],"&gt;"&amp;($A588+11/24))</f>
        <v/>
      </c>
      <c r="P588" s="20">
        <f>COUNTIFS(tData[SEHTrajectPeriodeDatumTijdVan],"&lt;="&amp;($A588+12/24),tData[SEHTrajectPeriodeDatumTijdTotEnMet],"&gt;"&amp;($A588+12/24))</f>
        <v/>
      </c>
      <c r="Q588" s="20">
        <f>COUNTIFS(tData[SEHTrajectPeriodeDatumTijdVan],"&lt;="&amp;($A588+13/24),tData[SEHTrajectPeriodeDatumTijdTotEnMet],"&gt;"&amp;($A588+13/24))</f>
        <v/>
      </c>
      <c r="R588" s="20">
        <f>COUNTIFS(tData[SEHTrajectPeriodeDatumTijdVan],"&lt;="&amp;($A588+14/24),tData[SEHTrajectPeriodeDatumTijdTotEnMet],"&gt;"&amp;($A588+14/24))</f>
        <v/>
      </c>
      <c r="S588" s="20">
        <f>COUNTIFS(tData[SEHTrajectPeriodeDatumTijdVan],"&lt;="&amp;($A588+15/24),tData[SEHTrajectPeriodeDatumTijdTotEnMet],"&gt;"&amp;($A588+15/24))</f>
        <v/>
      </c>
      <c r="T588" s="20">
        <f>COUNTIFS(tData[SEHTrajectPeriodeDatumTijdVan],"&lt;="&amp;($A588+16/24),tData[SEHTrajectPeriodeDatumTijdTotEnMet],"&gt;"&amp;($A588+16/24))</f>
        <v/>
      </c>
      <c r="U588" s="20">
        <f>COUNTIFS(tData[SEHTrajectPeriodeDatumTijdVan],"&lt;="&amp;($A588+17/24),tData[SEHTrajectPeriodeDatumTijdTotEnMet],"&gt;"&amp;($A588+17/24))</f>
        <v/>
      </c>
      <c r="V588" s="20">
        <f>COUNTIFS(tData[SEHTrajectPeriodeDatumTijdVan],"&lt;="&amp;($A588+18/24),tData[SEHTrajectPeriodeDatumTijdTotEnMet],"&gt;"&amp;($A588+18/24))</f>
        <v/>
      </c>
      <c r="W588" s="20">
        <f>COUNTIFS(tData[SEHTrajectPeriodeDatumTijdVan],"&lt;="&amp;($A588+19/24),tData[SEHTrajectPeriodeDatumTijdTotEnMet],"&gt;"&amp;($A588+19/24))</f>
        <v/>
      </c>
      <c r="X588" s="20">
        <f>COUNTIFS(tData[SEHTrajectPeriodeDatumTijdVan],"&lt;="&amp;($A588+20/24),tData[SEHTrajectPeriodeDatumTijdTotEnMet],"&gt;"&amp;($A588+20/24))</f>
        <v/>
      </c>
      <c r="Y588" s="20">
        <f>COUNTIFS(tData[SEHTrajectPeriodeDatumTijdVan],"&lt;="&amp;($A588+21/24),tData[SEHTrajectPeriodeDatumTijdTotEnMet],"&gt;"&amp;($A588+21/24))</f>
        <v/>
      </c>
      <c r="Z588" s="20">
        <f>COUNTIFS(tData[SEHTrajectPeriodeDatumTijdVan],"&lt;="&amp;($A588+22/24),tData[SEHTrajectPeriodeDatumTijdTotEnMet],"&gt;"&amp;($A588+22/24))</f>
        <v/>
      </c>
      <c r="AA588" s="20">
        <f>COUNTIFS(tData[SEHTrajectPeriodeDatumTijdVan],"&lt;="&amp;($A588+23/24),tData[SEHTrajectPeriodeDatumTijdTotEnMet],"&gt;"&amp;($A588+23/24))</f>
        <v/>
      </c>
    </row>
    <row r="589">
      <c r="A589" s="19" t="n">
        <v>45877</v>
      </c>
      <c r="B589" s="15">
        <f>WEEKDAY($A589,2)</f>
        <v/>
      </c>
      <c r="C589" s="15">
        <f>IF(AND($A589&gt;=INT(Instellingen!$B$5),$A589&lt;=INT(Instellingen!$B$6)),1,0)</f>
        <v/>
      </c>
      <c r="D589" s="20">
        <f>COUNTIFS(tData[SEHTrajectPeriodeDatumTijdVan],"&lt;="&amp;($A589+0/24),tData[SEHTrajectPeriodeDatumTijdTotEnMet],"&gt;"&amp;($A589+0/24))</f>
        <v/>
      </c>
      <c r="E589" s="20">
        <f>COUNTIFS(tData[SEHTrajectPeriodeDatumTijdVan],"&lt;="&amp;($A589+1/24),tData[SEHTrajectPeriodeDatumTijdTotEnMet],"&gt;"&amp;($A589+1/24))</f>
        <v/>
      </c>
      <c r="F589" s="20">
        <f>COUNTIFS(tData[SEHTrajectPeriodeDatumTijdVan],"&lt;="&amp;($A589+2/24),tData[SEHTrajectPeriodeDatumTijdTotEnMet],"&gt;"&amp;($A589+2/24))</f>
        <v/>
      </c>
      <c r="G589" s="20">
        <f>COUNTIFS(tData[SEHTrajectPeriodeDatumTijdVan],"&lt;="&amp;($A589+3/24),tData[SEHTrajectPeriodeDatumTijdTotEnMet],"&gt;"&amp;($A589+3/24))</f>
        <v/>
      </c>
      <c r="H589" s="20">
        <f>COUNTIFS(tData[SEHTrajectPeriodeDatumTijdVan],"&lt;="&amp;($A589+4/24),tData[SEHTrajectPeriodeDatumTijdTotEnMet],"&gt;"&amp;($A589+4/24))</f>
        <v/>
      </c>
      <c r="I589" s="20">
        <f>COUNTIFS(tData[SEHTrajectPeriodeDatumTijdVan],"&lt;="&amp;($A589+5/24),tData[SEHTrajectPeriodeDatumTijdTotEnMet],"&gt;"&amp;($A589+5/24))</f>
        <v/>
      </c>
      <c r="J589" s="20">
        <f>COUNTIFS(tData[SEHTrajectPeriodeDatumTijdVan],"&lt;="&amp;($A589+6/24),tData[SEHTrajectPeriodeDatumTijdTotEnMet],"&gt;"&amp;($A589+6/24))</f>
        <v/>
      </c>
      <c r="K589" s="20">
        <f>COUNTIFS(tData[SEHTrajectPeriodeDatumTijdVan],"&lt;="&amp;($A589+7/24),tData[SEHTrajectPeriodeDatumTijdTotEnMet],"&gt;"&amp;($A589+7/24))</f>
        <v/>
      </c>
      <c r="L589" s="20">
        <f>COUNTIFS(tData[SEHTrajectPeriodeDatumTijdVan],"&lt;="&amp;($A589+8/24),tData[SEHTrajectPeriodeDatumTijdTotEnMet],"&gt;"&amp;($A589+8/24))</f>
        <v/>
      </c>
      <c r="M589" s="20">
        <f>COUNTIFS(tData[SEHTrajectPeriodeDatumTijdVan],"&lt;="&amp;($A589+9/24),tData[SEHTrajectPeriodeDatumTijdTotEnMet],"&gt;"&amp;($A589+9/24))</f>
        <v/>
      </c>
      <c r="N589" s="20">
        <f>COUNTIFS(tData[SEHTrajectPeriodeDatumTijdVan],"&lt;="&amp;($A589+10/24),tData[SEHTrajectPeriodeDatumTijdTotEnMet],"&gt;"&amp;($A589+10/24))</f>
        <v/>
      </c>
      <c r="O589" s="20">
        <f>COUNTIFS(tData[SEHTrajectPeriodeDatumTijdVan],"&lt;="&amp;($A589+11/24),tData[SEHTrajectPeriodeDatumTijdTotEnMet],"&gt;"&amp;($A589+11/24))</f>
        <v/>
      </c>
      <c r="P589" s="20">
        <f>COUNTIFS(tData[SEHTrajectPeriodeDatumTijdVan],"&lt;="&amp;($A589+12/24),tData[SEHTrajectPeriodeDatumTijdTotEnMet],"&gt;"&amp;($A589+12/24))</f>
        <v/>
      </c>
      <c r="Q589" s="20">
        <f>COUNTIFS(tData[SEHTrajectPeriodeDatumTijdVan],"&lt;="&amp;($A589+13/24),tData[SEHTrajectPeriodeDatumTijdTotEnMet],"&gt;"&amp;($A589+13/24))</f>
        <v/>
      </c>
      <c r="R589" s="20">
        <f>COUNTIFS(tData[SEHTrajectPeriodeDatumTijdVan],"&lt;="&amp;($A589+14/24),tData[SEHTrajectPeriodeDatumTijdTotEnMet],"&gt;"&amp;($A589+14/24))</f>
        <v/>
      </c>
      <c r="S589" s="20">
        <f>COUNTIFS(tData[SEHTrajectPeriodeDatumTijdVan],"&lt;="&amp;($A589+15/24),tData[SEHTrajectPeriodeDatumTijdTotEnMet],"&gt;"&amp;($A589+15/24))</f>
        <v/>
      </c>
      <c r="T589" s="20">
        <f>COUNTIFS(tData[SEHTrajectPeriodeDatumTijdVan],"&lt;="&amp;($A589+16/24),tData[SEHTrajectPeriodeDatumTijdTotEnMet],"&gt;"&amp;($A589+16/24))</f>
        <v/>
      </c>
      <c r="U589" s="20">
        <f>COUNTIFS(tData[SEHTrajectPeriodeDatumTijdVan],"&lt;="&amp;($A589+17/24),tData[SEHTrajectPeriodeDatumTijdTotEnMet],"&gt;"&amp;($A589+17/24))</f>
        <v/>
      </c>
      <c r="V589" s="20">
        <f>COUNTIFS(tData[SEHTrajectPeriodeDatumTijdVan],"&lt;="&amp;($A589+18/24),tData[SEHTrajectPeriodeDatumTijdTotEnMet],"&gt;"&amp;($A589+18/24))</f>
        <v/>
      </c>
      <c r="W589" s="20">
        <f>COUNTIFS(tData[SEHTrajectPeriodeDatumTijdVan],"&lt;="&amp;($A589+19/24),tData[SEHTrajectPeriodeDatumTijdTotEnMet],"&gt;"&amp;($A589+19/24))</f>
        <v/>
      </c>
      <c r="X589" s="20">
        <f>COUNTIFS(tData[SEHTrajectPeriodeDatumTijdVan],"&lt;="&amp;($A589+20/24),tData[SEHTrajectPeriodeDatumTijdTotEnMet],"&gt;"&amp;($A589+20/24))</f>
        <v/>
      </c>
      <c r="Y589" s="20">
        <f>COUNTIFS(tData[SEHTrajectPeriodeDatumTijdVan],"&lt;="&amp;($A589+21/24),tData[SEHTrajectPeriodeDatumTijdTotEnMet],"&gt;"&amp;($A589+21/24))</f>
        <v/>
      </c>
      <c r="Z589" s="20">
        <f>COUNTIFS(tData[SEHTrajectPeriodeDatumTijdVan],"&lt;="&amp;($A589+22/24),tData[SEHTrajectPeriodeDatumTijdTotEnMet],"&gt;"&amp;($A589+22/24))</f>
        <v/>
      </c>
      <c r="AA589" s="20">
        <f>COUNTIFS(tData[SEHTrajectPeriodeDatumTijdVan],"&lt;="&amp;($A589+23/24),tData[SEHTrajectPeriodeDatumTijdTotEnMet],"&gt;"&amp;($A589+23/24))</f>
        <v/>
      </c>
    </row>
    <row r="590">
      <c r="A590" s="19" t="n">
        <v>45878</v>
      </c>
      <c r="B590" s="15">
        <f>WEEKDAY($A590,2)</f>
        <v/>
      </c>
      <c r="C590" s="15">
        <f>IF(AND($A590&gt;=INT(Instellingen!$B$5),$A590&lt;=INT(Instellingen!$B$6)),1,0)</f>
        <v/>
      </c>
      <c r="D590" s="20">
        <f>COUNTIFS(tData[SEHTrajectPeriodeDatumTijdVan],"&lt;="&amp;($A590+0/24),tData[SEHTrajectPeriodeDatumTijdTotEnMet],"&gt;"&amp;($A590+0/24))</f>
        <v/>
      </c>
      <c r="E590" s="20">
        <f>COUNTIFS(tData[SEHTrajectPeriodeDatumTijdVan],"&lt;="&amp;($A590+1/24),tData[SEHTrajectPeriodeDatumTijdTotEnMet],"&gt;"&amp;($A590+1/24))</f>
        <v/>
      </c>
      <c r="F590" s="20">
        <f>COUNTIFS(tData[SEHTrajectPeriodeDatumTijdVan],"&lt;="&amp;($A590+2/24),tData[SEHTrajectPeriodeDatumTijdTotEnMet],"&gt;"&amp;($A590+2/24))</f>
        <v/>
      </c>
      <c r="G590" s="20">
        <f>COUNTIFS(tData[SEHTrajectPeriodeDatumTijdVan],"&lt;="&amp;($A590+3/24),tData[SEHTrajectPeriodeDatumTijdTotEnMet],"&gt;"&amp;($A590+3/24))</f>
        <v/>
      </c>
      <c r="H590" s="20">
        <f>COUNTIFS(tData[SEHTrajectPeriodeDatumTijdVan],"&lt;="&amp;($A590+4/24),tData[SEHTrajectPeriodeDatumTijdTotEnMet],"&gt;"&amp;($A590+4/24))</f>
        <v/>
      </c>
      <c r="I590" s="20">
        <f>COUNTIFS(tData[SEHTrajectPeriodeDatumTijdVan],"&lt;="&amp;($A590+5/24),tData[SEHTrajectPeriodeDatumTijdTotEnMet],"&gt;"&amp;($A590+5/24))</f>
        <v/>
      </c>
      <c r="J590" s="20">
        <f>COUNTIFS(tData[SEHTrajectPeriodeDatumTijdVan],"&lt;="&amp;($A590+6/24),tData[SEHTrajectPeriodeDatumTijdTotEnMet],"&gt;"&amp;($A590+6/24))</f>
        <v/>
      </c>
      <c r="K590" s="20">
        <f>COUNTIFS(tData[SEHTrajectPeriodeDatumTijdVan],"&lt;="&amp;($A590+7/24),tData[SEHTrajectPeriodeDatumTijdTotEnMet],"&gt;"&amp;($A590+7/24))</f>
        <v/>
      </c>
      <c r="L590" s="20">
        <f>COUNTIFS(tData[SEHTrajectPeriodeDatumTijdVan],"&lt;="&amp;($A590+8/24),tData[SEHTrajectPeriodeDatumTijdTotEnMet],"&gt;"&amp;($A590+8/24))</f>
        <v/>
      </c>
      <c r="M590" s="20">
        <f>COUNTIFS(tData[SEHTrajectPeriodeDatumTijdVan],"&lt;="&amp;($A590+9/24),tData[SEHTrajectPeriodeDatumTijdTotEnMet],"&gt;"&amp;($A590+9/24))</f>
        <v/>
      </c>
      <c r="N590" s="20">
        <f>COUNTIFS(tData[SEHTrajectPeriodeDatumTijdVan],"&lt;="&amp;($A590+10/24),tData[SEHTrajectPeriodeDatumTijdTotEnMet],"&gt;"&amp;($A590+10/24))</f>
        <v/>
      </c>
      <c r="O590" s="20">
        <f>COUNTIFS(tData[SEHTrajectPeriodeDatumTijdVan],"&lt;="&amp;($A590+11/24),tData[SEHTrajectPeriodeDatumTijdTotEnMet],"&gt;"&amp;($A590+11/24))</f>
        <v/>
      </c>
      <c r="P590" s="20">
        <f>COUNTIFS(tData[SEHTrajectPeriodeDatumTijdVan],"&lt;="&amp;($A590+12/24),tData[SEHTrajectPeriodeDatumTijdTotEnMet],"&gt;"&amp;($A590+12/24))</f>
        <v/>
      </c>
      <c r="Q590" s="20">
        <f>COUNTIFS(tData[SEHTrajectPeriodeDatumTijdVan],"&lt;="&amp;($A590+13/24),tData[SEHTrajectPeriodeDatumTijdTotEnMet],"&gt;"&amp;($A590+13/24))</f>
        <v/>
      </c>
      <c r="R590" s="20">
        <f>COUNTIFS(tData[SEHTrajectPeriodeDatumTijdVan],"&lt;="&amp;($A590+14/24),tData[SEHTrajectPeriodeDatumTijdTotEnMet],"&gt;"&amp;($A590+14/24))</f>
        <v/>
      </c>
      <c r="S590" s="20">
        <f>COUNTIFS(tData[SEHTrajectPeriodeDatumTijdVan],"&lt;="&amp;($A590+15/24),tData[SEHTrajectPeriodeDatumTijdTotEnMet],"&gt;"&amp;($A590+15/24))</f>
        <v/>
      </c>
      <c r="T590" s="20">
        <f>COUNTIFS(tData[SEHTrajectPeriodeDatumTijdVan],"&lt;="&amp;($A590+16/24),tData[SEHTrajectPeriodeDatumTijdTotEnMet],"&gt;"&amp;($A590+16/24))</f>
        <v/>
      </c>
      <c r="U590" s="20">
        <f>COUNTIFS(tData[SEHTrajectPeriodeDatumTijdVan],"&lt;="&amp;($A590+17/24),tData[SEHTrajectPeriodeDatumTijdTotEnMet],"&gt;"&amp;($A590+17/24))</f>
        <v/>
      </c>
      <c r="V590" s="20">
        <f>COUNTIFS(tData[SEHTrajectPeriodeDatumTijdVan],"&lt;="&amp;($A590+18/24),tData[SEHTrajectPeriodeDatumTijdTotEnMet],"&gt;"&amp;($A590+18/24))</f>
        <v/>
      </c>
      <c r="W590" s="20">
        <f>COUNTIFS(tData[SEHTrajectPeriodeDatumTijdVan],"&lt;="&amp;($A590+19/24),tData[SEHTrajectPeriodeDatumTijdTotEnMet],"&gt;"&amp;($A590+19/24))</f>
        <v/>
      </c>
      <c r="X590" s="20">
        <f>COUNTIFS(tData[SEHTrajectPeriodeDatumTijdVan],"&lt;="&amp;($A590+20/24),tData[SEHTrajectPeriodeDatumTijdTotEnMet],"&gt;"&amp;($A590+20/24))</f>
        <v/>
      </c>
      <c r="Y590" s="20">
        <f>COUNTIFS(tData[SEHTrajectPeriodeDatumTijdVan],"&lt;="&amp;($A590+21/24),tData[SEHTrajectPeriodeDatumTijdTotEnMet],"&gt;"&amp;($A590+21/24))</f>
        <v/>
      </c>
      <c r="Z590" s="20">
        <f>COUNTIFS(tData[SEHTrajectPeriodeDatumTijdVan],"&lt;="&amp;($A590+22/24),tData[SEHTrajectPeriodeDatumTijdTotEnMet],"&gt;"&amp;($A590+22/24))</f>
        <v/>
      </c>
      <c r="AA590" s="20">
        <f>COUNTIFS(tData[SEHTrajectPeriodeDatumTijdVan],"&lt;="&amp;($A590+23/24),tData[SEHTrajectPeriodeDatumTijdTotEnMet],"&gt;"&amp;($A590+23/24))</f>
        <v/>
      </c>
    </row>
    <row r="591">
      <c r="A591" s="19" t="n">
        <v>45879</v>
      </c>
      <c r="B591" s="15">
        <f>WEEKDAY($A591,2)</f>
        <v/>
      </c>
      <c r="C591" s="15">
        <f>IF(AND($A591&gt;=INT(Instellingen!$B$5),$A591&lt;=INT(Instellingen!$B$6)),1,0)</f>
        <v/>
      </c>
      <c r="D591" s="20">
        <f>COUNTIFS(tData[SEHTrajectPeriodeDatumTijdVan],"&lt;="&amp;($A591+0/24),tData[SEHTrajectPeriodeDatumTijdTotEnMet],"&gt;"&amp;($A591+0/24))</f>
        <v/>
      </c>
      <c r="E591" s="20">
        <f>COUNTIFS(tData[SEHTrajectPeriodeDatumTijdVan],"&lt;="&amp;($A591+1/24),tData[SEHTrajectPeriodeDatumTijdTotEnMet],"&gt;"&amp;($A591+1/24))</f>
        <v/>
      </c>
      <c r="F591" s="20">
        <f>COUNTIFS(tData[SEHTrajectPeriodeDatumTijdVan],"&lt;="&amp;($A591+2/24),tData[SEHTrajectPeriodeDatumTijdTotEnMet],"&gt;"&amp;($A591+2/24))</f>
        <v/>
      </c>
      <c r="G591" s="20">
        <f>COUNTIFS(tData[SEHTrajectPeriodeDatumTijdVan],"&lt;="&amp;($A591+3/24),tData[SEHTrajectPeriodeDatumTijdTotEnMet],"&gt;"&amp;($A591+3/24))</f>
        <v/>
      </c>
      <c r="H591" s="20">
        <f>COUNTIFS(tData[SEHTrajectPeriodeDatumTijdVan],"&lt;="&amp;($A591+4/24),tData[SEHTrajectPeriodeDatumTijdTotEnMet],"&gt;"&amp;($A591+4/24))</f>
        <v/>
      </c>
      <c r="I591" s="20">
        <f>COUNTIFS(tData[SEHTrajectPeriodeDatumTijdVan],"&lt;="&amp;($A591+5/24),tData[SEHTrajectPeriodeDatumTijdTotEnMet],"&gt;"&amp;($A591+5/24))</f>
        <v/>
      </c>
      <c r="J591" s="20">
        <f>COUNTIFS(tData[SEHTrajectPeriodeDatumTijdVan],"&lt;="&amp;($A591+6/24),tData[SEHTrajectPeriodeDatumTijdTotEnMet],"&gt;"&amp;($A591+6/24))</f>
        <v/>
      </c>
      <c r="K591" s="20">
        <f>COUNTIFS(tData[SEHTrajectPeriodeDatumTijdVan],"&lt;="&amp;($A591+7/24),tData[SEHTrajectPeriodeDatumTijdTotEnMet],"&gt;"&amp;($A591+7/24))</f>
        <v/>
      </c>
      <c r="L591" s="20">
        <f>COUNTIFS(tData[SEHTrajectPeriodeDatumTijdVan],"&lt;="&amp;($A591+8/24),tData[SEHTrajectPeriodeDatumTijdTotEnMet],"&gt;"&amp;($A591+8/24))</f>
        <v/>
      </c>
      <c r="M591" s="20">
        <f>COUNTIFS(tData[SEHTrajectPeriodeDatumTijdVan],"&lt;="&amp;($A591+9/24),tData[SEHTrajectPeriodeDatumTijdTotEnMet],"&gt;"&amp;($A591+9/24))</f>
        <v/>
      </c>
      <c r="N591" s="20">
        <f>COUNTIFS(tData[SEHTrajectPeriodeDatumTijdVan],"&lt;="&amp;($A591+10/24),tData[SEHTrajectPeriodeDatumTijdTotEnMet],"&gt;"&amp;($A591+10/24))</f>
        <v/>
      </c>
      <c r="O591" s="20">
        <f>COUNTIFS(tData[SEHTrajectPeriodeDatumTijdVan],"&lt;="&amp;($A591+11/24),tData[SEHTrajectPeriodeDatumTijdTotEnMet],"&gt;"&amp;($A591+11/24))</f>
        <v/>
      </c>
      <c r="P591" s="20">
        <f>COUNTIFS(tData[SEHTrajectPeriodeDatumTijdVan],"&lt;="&amp;($A591+12/24),tData[SEHTrajectPeriodeDatumTijdTotEnMet],"&gt;"&amp;($A591+12/24))</f>
        <v/>
      </c>
      <c r="Q591" s="20">
        <f>COUNTIFS(tData[SEHTrajectPeriodeDatumTijdVan],"&lt;="&amp;($A591+13/24),tData[SEHTrajectPeriodeDatumTijdTotEnMet],"&gt;"&amp;($A591+13/24))</f>
        <v/>
      </c>
      <c r="R591" s="20">
        <f>COUNTIFS(tData[SEHTrajectPeriodeDatumTijdVan],"&lt;="&amp;($A591+14/24),tData[SEHTrajectPeriodeDatumTijdTotEnMet],"&gt;"&amp;($A591+14/24))</f>
        <v/>
      </c>
      <c r="S591" s="20">
        <f>COUNTIFS(tData[SEHTrajectPeriodeDatumTijdVan],"&lt;="&amp;($A591+15/24),tData[SEHTrajectPeriodeDatumTijdTotEnMet],"&gt;"&amp;($A591+15/24))</f>
        <v/>
      </c>
      <c r="T591" s="20">
        <f>COUNTIFS(tData[SEHTrajectPeriodeDatumTijdVan],"&lt;="&amp;($A591+16/24),tData[SEHTrajectPeriodeDatumTijdTotEnMet],"&gt;"&amp;($A591+16/24))</f>
        <v/>
      </c>
      <c r="U591" s="20">
        <f>COUNTIFS(tData[SEHTrajectPeriodeDatumTijdVan],"&lt;="&amp;($A591+17/24),tData[SEHTrajectPeriodeDatumTijdTotEnMet],"&gt;"&amp;($A591+17/24))</f>
        <v/>
      </c>
      <c r="V591" s="20">
        <f>COUNTIFS(tData[SEHTrajectPeriodeDatumTijdVan],"&lt;="&amp;($A591+18/24),tData[SEHTrajectPeriodeDatumTijdTotEnMet],"&gt;"&amp;($A591+18/24))</f>
        <v/>
      </c>
      <c r="W591" s="20">
        <f>COUNTIFS(tData[SEHTrajectPeriodeDatumTijdVan],"&lt;="&amp;($A591+19/24),tData[SEHTrajectPeriodeDatumTijdTotEnMet],"&gt;"&amp;($A591+19/24))</f>
        <v/>
      </c>
      <c r="X591" s="20">
        <f>COUNTIFS(tData[SEHTrajectPeriodeDatumTijdVan],"&lt;="&amp;($A591+20/24),tData[SEHTrajectPeriodeDatumTijdTotEnMet],"&gt;"&amp;($A591+20/24))</f>
        <v/>
      </c>
      <c r="Y591" s="20">
        <f>COUNTIFS(tData[SEHTrajectPeriodeDatumTijdVan],"&lt;="&amp;($A591+21/24),tData[SEHTrajectPeriodeDatumTijdTotEnMet],"&gt;"&amp;($A591+21/24))</f>
        <v/>
      </c>
      <c r="Z591" s="20">
        <f>COUNTIFS(tData[SEHTrajectPeriodeDatumTijdVan],"&lt;="&amp;($A591+22/24),tData[SEHTrajectPeriodeDatumTijdTotEnMet],"&gt;"&amp;($A591+22/24))</f>
        <v/>
      </c>
      <c r="AA591" s="20">
        <f>COUNTIFS(tData[SEHTrajectPeriodeDatumTijdVan],"&lt;="&amp;($A591+23/24),tData[SEHTrajectPeriodeDatumTijdTotEnMet],"&gt;"&amp;($A591+23/24))</f>
        <v/>
      </c>
    </row>
    <row r="592">
      <c r="A592" s="19" t="n">
        <v>45880</v>
      </c>
      <c r="B592" s="15">
        <f>WEEKDAY($A592,2)</f>
        <v/>
      </c>
      <c r="C592" s="15">
        <f>IF(AND($A592&gt;=INT(Instellingen!$B$5),$A592&lt;=INT(Instellingen!$B$6)),1,0)</f>
        <v/>
      </c>
      <c r="D592" s="20">
        <f>COUNTIFS(tData[SEHTrajectPeriodeDatumTijdVan],"&lt;="&amp;($A592+0/24),tData[SEHTrajectPeriodeDatumTijdTotEnMet],"&gt;"&amp;($A592+0/24))</f>
        <v/>
      </c>
      <c r="E592" s="20">
        <f>COUNTIFS(tData[SEHTrajectPeriodeDatumTijdVan],"&lt;="&amp;($A592+1/24),tData[SEHTrajectPeriodeDatumTijdTotEnMet],"&gt;"&amp;($A592+1/24))</f>
        <v/>
      </c>
      <c r="F592" s="20">
        <f>COUNTIFS(tData[SEHTrajectPeriodeDatumTijdVan],"&lt;="&amp;($A592+2/24),tData[SEHTrajectPeriodeDatumTijdTotEnMet],"&gt;"&amp;($A592+2/24))</f>
        <v/>
      </c>
      <c r="G592" s="20">
        <f>COUNTIFS(tData[SEHTrajectPeriodeDatumTijdVan],"&lt;="&amp;($A592+3/24),tData[SEHTrajectPeriodeDatumTijdTotEnMet],"&gt;"&amp;($A592+3/24))</f>
        <v/>
      </c>
      <c r="H592" s="20">
        <f>COUNTIFS(tData[SEHTrajectPeriodeDatumTijdVan],"&lt;="&amp;($A592+4/24),tData[SEHTrajectPeriodeDatumTijdTotEnMet],"&gt;"&amp;($A592+4/24))</f>
        <v/>
      </c>
      <c r="I592" s="20">
        <f>COUNTIFS(tData[SEHTrajectPeriodeDatumTijdVan],"&lt;="&amp;($A592+5/24),tData[SEHTrajectPeriodeDatumTijdTotEnMet],"&gt;"&amp;($A592+5/24))</f>
        <v/>
      </c>
      <c r="J592" s="20">
        <f>COUNTIFS(tData[SEHTrajectPeriodeDatumTijdVan],"&lt;="&amp;($A592+6/24),tData[SEHTrajectPeriodeDatumTijdTotEnMet],"&gt;"&amp;($A592+6/24))</f>
        <v/>
      </c>
      <c r="K592" s="20">
        <f>COUNTIFS(tData[SEHTrajectPeriodeDatumTijdVan],"&lt;="&amp;($A592+7/24),tData[SEHTrajectPeriodeDatumTijdTotEnMet],"&gt;"&amp;($A592+7/24))</f>
        <v/>
      </c>
      <c r="L592" s="20">
        <f>COUNTIFS(tData[SEHTrajectPeriodeDatumTijdVan],"&lt;="&amp;($A592+8/24),tData[SEHTrajectPeriodeDatumTijdTotEnMet],"&gt;"&amp;($A592+8/24))</f>
        <v/>
      </c>
      <c r="M592" s="20">
        <f>COUNTIFS(tData[SEHTrajectPeriodeDatumTijdVan],"&lt;="&amp;($A592+9/24),tData[SEHTrajectPeriodeDatumTijdTotEnMet],"&gt;"&amp;($A592+9/24))</f>
        <v/>
      </c>
      <c r="N592" s="20">
        <f>COUNTIFS(tData[SEHTrajectPeriodeDatumTijdVan],"&lt;="&amp;($A592+10/24),tData[SEHTrajectPeriodeDatumTijdTotEnMet],"&gt;"&amp;($A592+10/24))</f>
        <v/>
      </c>
      <c r="O592" s="20">
        <f>COUNTIFS(tData[SEHTrajectPeriodeDatumTijdVan],"&lt;="&amp;($A592+11/24),tData[SEHTrajectPeriodeDatumTijdTotEnMet],"&gt;"&amp;($A592+11/24))</f>
        <v/>
      </c>
      <c r="P592" s="20">
        <f>COUNTIFS(tData[SEHTrajectPeriodeDatumTijdVan],"&lt;="&amp;($A592+12/24),tData[SEHTrajectPeriodeDatumTijdTotEnMet],"&gt;"&amp;($A592+12/24))</f>
        <v/>
      </c>
      <c r="Q592" s="20">
        <f>COUNTIFS(tData[SEHTrajectPeriodeDatumTijdVan],"&lt;="&amp;($A592+13/24),tData[SEHTrajectPeriodeDatumTijdTotEnMet],"&gt;"&amp;($A592+13/24))</f>
        <v/>
      </c>
      <c r="R592" s="20">
        <f>COUNTIFS(tData[SEHTrajectPeriodeDatumTijdVan],"&lt;="&amp;($A592+14/24),tData[SEHTrajectPeriodeDatumTijdTotEnMet],"&gt;"&amp;($A592+14/24))</f>
        <v/>
      </c>
      <c r="S592" s="20">
        <f>COUNTIFS(tData[SEHTrajectPeriodeDatumTijdVan],"&lt;="&amp;($A592+15/24),tData[SEHTrajectPeriodeDatumTijdTotEnMet],"&gt;"&amp;($A592+15/24))</f>
        <v/>
      </c>
      <c r="T592" s="20">
        <f>COUNTIFS(tData[SEHTrajectPeriodeDatumTijdVan],"&lt;="&amp;($A592+16/24),tData[SEHTrajectPeriodeDatumTijdTotEnMet],"&gt;"&amp;($A592+16/24))</f>
        <v/>
      </c>
      <c r="U592" s="20">
        <f>COUNTIFS(tData[SEHTrajectPeriodeDatumTijdVan],"&lt;="&amp;($A592+17/24),tData[SEHTrajectPeriodeDatumTijdTotEnMet],"&gt;"&amp;($A592+17/24))</f>
        <v/>
      </c>
      <c r="V592" s="20">
        <f>COUNTIFS(tData[SEHTrajectPeriodeDatumTijdVan],"&lt;="&amp;($A592+18/24),tData[SEHTrajectPeriodeDatumTijdTotEnMet],"&gt;"&amp;($A592+18/24))</f>
        <v/>
      </c>
      <c r="W592" s="20">
        <f>COUNTIFS(tData[SEHTrajectPeriodeDatumTijdVan],"&lt;="&amp;($A592+19/24),tData[SEHTrajectPeriodeDatumTijdTotEnMet],"&gt;"&amp;($A592+19/24))</f>
        <v/>
      </c>
      <c r="X592" s="20">
        <f>COUNTIFS(tData[SEHTrajectPeriodeDatumTijdVan],"&lt;="&amp;($A592+20/24),tData[SEHTrajectPeriodeDatumTijdTotEnMet],"&gt;"&amp;($A592+20/24))</f>
        <v/>
      </c>
      <c r="Y592" s="20">
        <f>COUNTIFS(tData[SEHTrajectPeriodeDatumTijdVan],"&lt;="&amp;($A592+21/24),tData[SEHTrajectPeriodeDatumTijdTotEnMet],"&gt;"&amp;($A592+21/24))</f>
        <v/>
      </c>
      <c r="Z592" s="20">
        <f>COUNTIFS(tData[SEHTrajectPeriodeDatumTijdVan],"&lt;="&amp;($A592+22/24),tData[SEHTrajectPeriodeDatumTijdTotEnMet],"&gt;"&amp;($A592+22/24))</f>
        <v/>
      </c>
      <c r="AA592" s="20">
        <f>COUNTIFS(tData[SEHTrajectPeriodeDatumTijdVan],"&lt;="&amp;($A592+23/24),tData[SEHTrajectPeriodeDatumTijdTotEnMet],"&gt;"&amp;($A592+23/24))</f>
        <v/>
      </c>
    </row>
    <row r="593">
      <c r="A593" s="19" t="n">
        <v>45881</v>
      </c>
      <c r="B593" s="15">
        <f>WEEKDAY($A593,2)</f>
        <v/>
      </c>
      <c r="C593" s="15">
        <f>IF(AND($A593&gt;=INT(Instellingen!$B$5),$A593&lt;=INT(Instellingen!$B$6)),1,0)</f>
        <v/>
      </c>
      <c r="D593" s="20">
        <f>COUNTIFS(tData[SEHTrajectPeriodeDatumTijdVan],"&lt;="&amp;($A593+0/24),tData[SEHTrajectPeriodeDatumTijdTotEnMet],"&gt;"&amp;($A593+0/24))</f>
        <v/>
      </c>
      <c r="E593" s="20">
        <f>COUNTIFS(tData[SEHTrajectPeriodeDatumTijdVan],"&lt;="&amp;($A593+1/24),tData[SEHTrajectPeriodeDatumTijdTotEnMet],"&gt;"&amp;($A593+1/24))</f>
        <v/>
      </c>
      <c r="F593" s="20">
        <f>COUNTIFS(tData[SEHTrajectPeriodeDatumTijdVan],"&lt;="&amp;($A593+2/24),tData[SEHTrajectPeriodeDatumTijdTotEnMet],"&gt;"&amp;($A593+2/24))</f>
        <v/>
      </c>
      <c r="G593" s="20">
        <f>COUNTIFS(tData[SEHTrajectPeriodeDatumTijdVan],"&lt;="&amp;($A593+3/24),tData[SEHTrajectPeriodeDatumTijdTotEnMet],"&gt;"&amp;($A593+3/24))</f>
        <v/>
      </c>
      <c r="H593" s="20">
        <f>COUNTIFS(tData[SEHTrajectPeriodeDatumTijdVan],"&lt;="&amp;($A593+4/24),tData[SEHTrajectPeriodeDatumTijdTotEnMet],"&gt;"&amp;($A593+4/24))</f>
        <v/>
      </c>
      <c r="I593" s="20">
        <f>COUNTIFS(tData[SEHTrajectPeriodeDatumTijdVan],"&lt;="&amp;($A593+5/24),tData[SEHTrajectPeriodeDatumTijdTotEnMet],"&gt;"&amp;($A593+5/24))</f>
        <v/>
      </c>
      <c r="J593" s="20">
        <f>COUNTIFS(tData[SEHTrajectPeriodeDatumTijdVan],"&lt;="&amp;($A593+6/24),tData[SEHTrajectPeriodeDatumTijdTotEnMet],"&gt;"&amp;($A593+6/24))</f>
        <v/>
      </c>
      <c r="K593" s="20">
        <f>COUNTIFS(tData[SEHTrajectPeriodeDatumTijdVan],"&lt;="&amp;($A593+7/24),tData[SEHTrajectPeriodeDatumTijdTotEnMet],"&gt;"&amp;($A593+7/24))</f>
        <v/>
      </c>
      <c r="L593" s="20">
        <f>COUNTIFS(tData[SEHTrajectPeriodeDatumTijdVan],"&lt;="&amp;($A593+8/24),tData[SEHTrajectPeriodeDatumTijdTotEnMet],"&gt;"&amp;($A593+8/24))</f>
        <v/>
      </c>
      <c r="M593" s="20">
        <f>COUNTIFS(tData[SEHTrajectPeriodeDatumTijdVan],"&lt;="&amp;($A593+9/24),tData[SEHTrajectPeriodeDatumTijdTotEnMet],"&gt;"&amp;($A593+9/24))</f>
        <v/>
      </c>
      <c r="N593" s="20">
        <f>COUNTIFS(tData[SEHTrajectPeriodeDatumTijdVan],"&lt;="&amp;($A593+10/24),tData[SEHTrajectPeriodeDatumTijdTotEnMet],"&gt;"&amp;($A593+10/24))</f>
        <v/>
      </c>
      <c r="O593" s="20">
        <f>COUNTIFS(tData[SEHTrajectPeriodeDatumTijdVan],"&lt;="&amp;($A593+11/24),tData[SEHTrajectPeriodeDatumTijdTotEnMet],"&gt;"&amp;($A593+11/24))</f>
        <v/>
      </c>
      <c r="P593" s="20">
        <f>COUNTIFS(tData[SEHTrajectPeriodeDatumTijdVan],"&lt;="&amp;($A593+12/24),tData[SEHTrajectPeriodeDatumTijdTotEnMet],"&gt;"&amp;($A593+12/24))</f>
        <v/>
      </c>
      <c r="Q593" s="20">
        <f>COUNTIFS(tData[SEHTrajectPeriodeDatumTijdVan],"&lt;="&amp;($A593+13/24),tData[SEHTrajectPeriodeDatumTijdTotEnMet],"&gt;"&amp;($A593+13/24))</f>
        <v/>
      </c>
      <c r="R593" s="20">
        <f>COUNTIFS(tData[SEHTrajectPeriodeDatumTijdVan],"&lt;="&amp;($A593+14/24),tData[SEHTrajectPeriodeDatumTijdTotEnMet],"&gt;"&amp;($A593+14/24))</f>
        <v/>
      </c>
      <c r="S593" s="20">
        <f>COUNTIFS(tData[SEHTrajectPeriodeDatumTijdVan],"&lt;="&amp;($A593+15/24),tData[SEHTrajectPeriodeDatumTijdTotEnMet],"&gt;"&amp;($A593+15/24))</f>
        <v/>
      </c>
      <c r="T593" s="20">
        <f>COUNTIFS(tData[SEHTrajectPeriodeDatumTijdVan],"&lt;="&amp;($A593+16/24),tData[SEHTrajectPeriodeDatumTijdTotEnMet],"&gt;"&amp;($A593+16/24))</f>
        <v/>
      </c>
      <c r="U593" s="20">
        <f>COUNTIFS(tData[SEHTrajectPeriodeDatumTijdVan],"&lt;="&amp;($A593+17/24),tData[SEHTrajectPeriodeDatumTijdTotEnMet],"&gt;"&amp;($A593+17/24))</f>
        <v/>
      </c>
      <c r="V593" s="20">
        <f>COUNTIFS(tData[SEHTrajectPeriodeDatumTijdVan],"&lt;="&amp;($A593+18/24),tData[SEHTrajectPeriodeDatumTijdTotEnMet],"&gt;"&amp;($A593+18/24))</f>
        <v/>
      </c>
      <c r="W593" s="20">
        <f>COUNTIFS(tData[SEHTrajectPeriodeDatumTijdVan],"&lt;="&amp;($A593+19/24),tData[SEHTrajectPeriodeDatumTijdTotEnMet],"&gt;"&amp;($A593+19/24))</f>
        <v/>
      </c>
      <c r="X593" s="20">
        <f>COUNTIFS(tData[SEHTrajectPeriodeDatumTijdVan],"&lt;="&amp;($A593+20/24),tData[SEHTrajectPeriodeDatumTijdTotEnMet],"&gt;"&amp;($A593+20/24))</f>
        <v/>
      </c>
      <c r="Y593" s="20">
        <f>COUNTIFS(tData[SEHTrajectPeriodeDatumTijdVan],"&lt;="&amp;($A593+21/24),tData[SEHTrajectPeriodeDatumTijdTotEnMet],"&gt;"&amp;($A593+21/24))</f>
        <v/>
      </c>
      <c r="Z593" s="20">
        <f>COUNTIFS(tData[SEHTrajectPeriodeDatumTijdVan],"&lt;="&amp;($A593+22/24),tData[SEHTrajectPeriodeDatumTijdTotEnMet],"&gt;"&amp;($A593+22/24))</f>
        <v/>
      </c>
      <c r="AA593" s="20">
        <f>COUNTIFS(tData[SEHTrajectPeriodeDatumTijdVan],"&lt;="&amp;($A593+23/24),tData[SEHTrajectPeriodeDatumTijdTotEnMet],"&gt;"&amp;($A593+23/24))</f>
        <v/>
      </c>
    </row>
    <row r="594">
      <c r="A594" s="19" t="n">
        <v>45882</v>
      </c>
      <c r="B594" s="15">
        <f>WEEKDAY($A594,2)</f>
        <v/>
      </c>
      <c r="C594" s="15">
        <f>IF(AND($A594&gt;=INT(Instellingen!$B$5),$A594&lt;=INT(Instellingen!$B$6)),1,0)</f>
        <v/>
      </c>
      <c r="D594" s="20">
        <f>COUNTIFS(tData[SEHTrajectPeriodeDatumTijdVan],"&lt;="&amp;($A594+0/24),tData[SEHTrajectPeriodeDatumTijdTotEnMet],"&gt;"&amp;($A594+0/24))</f>
        <v/>
      </c>
      <c r="E594" s="20">
        <f>COUNTIFS(tData[SEHTrajectPeriodeDatumTijdVan],"&lt;="&amp;($A594+1/24),tData[SEHTrajectPeriodeDatumTijdTotEnMet],"&gt;"&amp;($A594+1/24))</f>
        <v/>
      </c>
      <c r="F594" s="20">
        <f>COUNTIFS(tData[SEHTrajectPeriodeDatumTijdVan],"&lt;="&amp;($A594+2/24),tData[SEHTrajectPeriodeDatumTijdTotEnMet],"&gt;"&amp;($A594+2/24))</f>
        <v/>
      </c>
      <c r="G594" s="20">
        <f>COUNTIFS(tData[SEHTrajectPeriodeDatumTijdVan],"&lt;="&amp;($A594+3/24),tData[SEHTrajectPeriodeDatumTijdTotEnMet],"&gt;"&amp;($A594+3/24))</f>
        <v/>
      </c>
      <c r="H594" s="20">
        <f>COUNTIFS(tData[SEHTrajectPeriodeDatumTijdVan],"&lt;="&amp;($A594+4/24),tData[SEHTrajectPeriodeDatumTijdTotEnMet],"&gt;"&amp;($A594+4/24))</f>
        <v/>
      </c>
      <c r="I594" s="20">
        <f>COUNTIFS(tData[SEHTrajectPeriodeDatumTijdVan],"&lt;="&amp;($A594+5/24),tData[SEHTrajectPeriodeDatumTijdTotEnMet],"&gt;"&amp;($A594+5/24))</f>
        <v/>
      </c>
      <c r="J594" s="20">
        <f>COUNTIFS(tData[SEHTrajectPeriodeDatumTijdVan],"&lt;="&amp;($A594+6/24),tData[SEHTrajectPeriodeDatumTijdTotEnMet],"&gt;"&amp;($A594+6/24))</f>
        <v/>
      </c>
      <c r="K594" s="20">
        <f>COUNTIFS(tData[SEHTrajectPeriodeDatumTijdVan],"&lt;="&amp;($A594+7/24),tData[SEHTrajectPeriodeDatumTijdTotEnMet],"&gt;"&amp;($A594+7/24))</f>
        <v/>
      </c>
      <c r="L594" s="20">
        <f>COUNTIFS(tData[SEHTrajectPeriodeDatumTijdVan],"&lt;="&amp;($A594+8/24),tData[SEHTrajectPeriodeDatumTijdTotEnMet],"&gt;"&amp;($A594+8/24))</f>
        <v/>
      </c>
      <c r="M594" s="20">
        <f>COUNTIFS(tData[SEHTrajectPeriodeDatumTijdVan],"&lt;="&amp;($A594+9/24),tData[SEHTrajectPeriodeDatumTijdTotEnMet],"&gt;"&amp;($A594+9/24))</f>
        <v/>
      </c>
      <c r="N594" s="20">
        <f>COUNTIFS(tData[SEHTrajectPeriodeDatumTijdVan],"&lt;="&amp;($A594+10/24),tData[SEHTrajectPeriodeDatumTijdTotEnMet],"&gt;"&amp;($A594+10/24))</f>
        <v/>
      </c>
      <c r="O594" s="20">
        <f>COUNTIFS(tData[SEHTrajectPeriodeDatumTijdVan],"&lt;="&amp;($A594+11/24),tData[SEHTrajectPeriodeDatumTijdTotEnMet],"&gt;"&amp;($A594+11/24))</f>
        <v/>
      </c>
      <c r="P594" s="20">
        <f>COUNTIFS(tData[SEHTrajectPeriodeDatumTijdVan],"&lt;="&amp;($A594+12/24),tData[SEHTrajectPeriodeDatumTijdTotEnMet],"&gt;"&amp;($A594+12/24))</f>
        <v/>
      </c>
      <c r="Q594" s="20">
        <f>COUNTIFS(tData[SEHTrajectPeriodeDatumTijdVan],"&lt;="&amp;($A594+13/24),tData[SEHTrajectPeriodeDatumTijdTotEnMet],"&gt;"&amp;($A594+13/24))</f>
        <v/>
      </c>
      <c r="R594" s="20">
        <f>COUNTIFS(tData[SEHTrajectPeriodeDatumTijdVan],"&lt;="&amp;($A594+14/24),tData[SEHTrajectPeriodeDatumTijdTotEnMet],"&gt;"&amp;($A594+14/24))</f>
        <v/>
      </c>
      <c r="S594" s="20">
        <f>COUNTIFS(tData[SEHTrajectPeriodeDatumTijdVan],"&lt;="&amp;($A594+15/24),tData[SEHTrajectPeriodeDatumTijdTotEnMet],"&gt;"&amp;($A594+15/24))</f>
        <v/>
      </c>
      <c r="T594" s="20">
        <f>COUNTIFS(tData[SEHTrajectPeriodeDatumTijdVan],"&lt;="&amp;($A594+16/24),tData[SEHTrajectPeriodeDatumTijdTotEnMet],"&gt;"&amp;($A594+16/24))</f>
        <v/>
      </c>
      <c r="U594" s="20">
        <f>COUNTIFS(tData[SEHTrajectPeriodeDatumTijdVan],"&lt;="&amp;($A594+17/24),tData[SEHTrajectPeriodeDatumTijdTotEnMet],"&gt;"&amp;($A594+17/24))</f>
        <v/>
      </c>
      <c r="V594" s="20">
        <f>COUNTIFS(tData[SEHTrajectPeriodeDatumTijdVan],"&lt;="&amp;($A594+18/24),tData[SEHTrajectPeriodeDatumTijdTotEnMet],"&gt;"&amp;($A594+18/24))</f>
        <v/>
      </c>
      <c r="W594" s="20">
        <f>COUNTIFS(tData[SEHTrajectPeriodeDatumTijdVan],"&lt;="&amp;($A594+19/24),tData[SEHTrajectPeriodeDatumTijdTotEnMet],"&gt;"&amp;($A594+19/24))</f>
        <v/>
      </c>
      <c r="X594" s="20">
        <f>COUNTIFS(tData[SEHTrajectPeriodeDatumTijdVan],"&lt;="&amp;($A594+20/24),tData[SEHTrajectPeriodeDatumTijdTotEnMet],"&gt;"&amp;($A594+20/24))</f>
        <v/>
      </c>
      <c r="Y594" s="20">
        <f>COUNTIFS(tData[SEHTrajectPeriodeDatumTijdVan],"&lt;="&amp;($A594+21/24),tData[SEHTrajectPeriodeDatumTijdTotEnMet],"&gt;"&amp;($A594+21/24))</f>
        <v/>
      </c>
      <c r="Z594" s="20">
        <f>COUNTIFS(tData[SEHTrajectPeriodeDatumTijdVan],"&lt;="&amp;($A594+22/24),tData[SEHTrajectPeriodeDatumTijdTotEnMet],"&gt;"&amp;($A594+22/24))</f>
        <v/>
      </c>
      <c r="AA594" s="20">
        <f>COUNTIFS(tData[SEHTrajectPeriodeDatumTijdVan],"&lt;="&amp;($A594+23/24),tData[SEHTrajectPeriodeDatumTijdTotEnMet],"&gt;"&amp;($A594+23/24))</f>
        <v/>
      </c>
    </row>
    <row r="595">
      <c r="A595" s="19" t="n">
        <v>45883</v>
      </c>
      <c r="B595" s="15">
        <f>WEEKDAY($A595,2)</f>
        <v/>
      </c>
      <c r="C595" s="15">
        <f>IF(AND($A595&gt;=INT(Instellingen!$B$5),$A595&lt;=INT(Instellingen!$B$6)),1,0)</f>
        <v/>
      </c>
      <c r="D595" s="20">
        <f>COUNTIFS(tData[SEHTrajectPeriodeDatumTijdVan],"&lt;="&amp;($A595+0/24),tData[SEHTrajectPeriodeDatumTijdTotEnMet],"&gt;"&amp;($A595+0/24))</f>
        <v/>
      </c>
      <c r="E595" s="20">
        <f>COUNTIFS(tData[SEHTrajectPeriodeDatumTijdVan],"&lt;="&amp;($A595+1/24),tData[SEHTrajectPeriodeDatumTijdTotEnMet],"&gt;"&amp;($A595+1/24))</f>
        <v/>
      </c>
      <c r="F595" s="20">
        <f>COUNTIFS(tData[SEHTrajectPeriodeDatumTijdVan],"&lt;="&amp;($A595+2/24),tData[SEHTrajectPeriodeDatumTijdTotEnMet],"&gt;"&amp;($A595+2/24))</f>
        <v/>
      </c>
      <c r="G595" s="20">
        <f>COUNTIFS(tData[SEHTrajectPeriodeDatumTijdVan],"&lt;="&amp;($A595+3/24),tData[SEHTrajectPeriodeDatumTijdTotEnMet],"&gt;"&amp;($A595+3/24))</f>
        <v/>
      </c>
      <c r="H595" s="20">
        <f>COUNTIFS(tData[SEHTrajectPeriodeDatumTijdVan],"&lt;="&amp;($A595+4/24),tData[SEHTrajectPeriodeDatumTijdTotEnMet],"&gt;"&amp;($A595+4/24))</f>
        <v/>
      </c>
      <c r="I595" s="20">
        <f>COUNTIFS(tData[SEHTrajectPeriodeDatumTijdVan],"&lt;="&amp;($A595+5/24),tData[SEHTrajectPeriodeDatumTijdTotEnMet],"&gt;"&amp;($A595+5/24))</f>
        <v/>
      </c>
      <c r="J595" s="20">
        <f>COUNTIFS(tData[SEHTrajectPeriodeDatumTijdVan],"&lt;="&amp;($A595+6/24),tData[SEHTrajectPeriodeDatumTijdTotEnMet],"&gt;"&amp;($A595+6/24))</f>
        <v/>
      </c>
      <c r="K595" s="20">
        <f>COUNTIFS(tData[SEHTrajectPeriodeDatumTijdVan],"&lt;="&amp;($A595+7/24),tData[SEHTrajectPeriodeDatumTijdTotEnMet],"&gt;"&amp;($A595+7/24))</f>
        <v/>
      </c>
      <c r="L595" s="20">
        <f>COUNTIFS(tData[SEHTrajectPeriodeDatumTijdVan],"&lt;="&amp;($A595+8/24),tData[SEHTrajectPeriodeDatumTijdTotEnMet],"&gt;"&amp;($A595+8/24))</f>
        <v/>
      </c>
      <c r="M595" s="20">
        <f>COUNTIFS(tData[SEHTrajectPeriodeDatumTijdVan],"&lt;="&amp;($A595+9/24),tData[SEHTrajectPeriodeDatumTijdTotEnMet],"&gt;"&amp;($A595+9/24))</f>
        <v/>
      </c>
      <c r="N595" s="20">
        <f>COUNTIFS(tData[SEHTrajectPeriodeDatumTijdVan],"&lt;="&amp;($A595+10/24),tData[SEHTrajectPeriodeDatumTijdTotEnMet],"&gt;"&amp;($A595+10/24))</f>
        <v/>
      </c>
      <c r="O595" s="20">
        <f>COUNTIFS(tData[SEHTrajectPeriodeDatumTijdVan],"&lt;="&amp;($A595+11/24),tData[SEHTrajectPeriodeDatumTijdTotEnMet],"&gt;"&amp;($A595+11/24))</f>
        <v/>
      </c>
      <c r="P595" s="20">
        <f>COUNTIFS(tData[SEHTrajectPeriodeDatumTijdVan],"&lt;="&amp;($A595+12/24),tData[SEHTrajectPeriodeDatumTijdTotEnMet],"&gt;"&amp;($A595+12/24))</f>
        <v/>
      </c>
      <c r="Q595" s="20">
        <f>COUNTIFS(tData[SEHTrajectPeriodeDatumTijdVan],"&lt;="&amp;($A595+13/24),tData[SEHTrajectPeriodeDatumTijdTotEnMet],"&gt;"&amp;($A595+13/24))</f>
        <v/>
      </c>
      <c r="R595" s="20">
        <f>COUNTIFS(tData[SEHTrajectPeriodeDatumTijdVan],"&lt;="&amp;($A595+14/24),tData[SEHTrajectPeriodeDatumTijdTotEnMet],"&gt;"&amp;($A595+14/24))</f>
        <v/>
      </c>
      <c r="S595" s="20">
        <f>COUNTIFS(tData[SEHTrajectPeriodeDatumTijdVan],"&lt;="&amp;($A595+15/24),tData[SEHTrajectPeriodeDatumTijdTotEnMet],"&gt;"&amp;($A595+15/24))</f>
        <v/>
      </c>
      <c r="T595" s="20">
        <f>COUNTIFS(tData[SEHTrajectPeriodeDatumTijdVan],"&lt;="&amp;($A595+16/24),tData[SEHTrajectPeriodeDatumTijdTotEnMet],"&gt;"&amp;($A595+16/24))</f>
        <v/>
      </c>
      <c r="U595" s="20">
        <f>COUNTIFS(tData[SEHTrajectPeriodeDatumTijdVan],"&lt;="&amp;($A595+17/24),tData[SEHTrajectPeriodeDatumTijdTotEnMet],"&gt;"&amp;($A595+17/24))</f>
        <v/>
      </c>
      <c r="V595" s="20">
        <f>COUNTIFS(tData[SEHTrajectPeriodeDatumTijdVan],"&lt;="&amp;($A595+18/24),tData[SEHTrajectPeriodeDatumTijdTotEnMet],"&gt;"&amp;($A595+18/24))</f>
        <v/>
      </c>
      <c r="W595" s="20">
        <f>COUNTIFS(tData[SEHTrajectPeriodeDatumTijdVan],"&lt;="&amp;($A595+19/24),tData[SEHTrajectPeriodeDatumTijdTotEnMet],"&gt;"&amp;($A595+19/24))</f>
        <v/>
      </c>
      <c r="X595" s="20">
        <f>COUNTIFS(tData[SEHTrajectPeriodeDatumTijdVan],"&lt;="&amp;($A595+20/24),tData[SEHTrajectPeriodeDatumTijdTotEnMet],"&gt;"&amp;($A595+20/24))</f>
        <v/>
      </c>
      <c r="Y595" s="20">
        <f>COUNTIFS(tData[SEHTrajectPeriodeDatumTijdVan],"&lt;="&amp;($A595+21/24),tData[SEHTrajectPeriodeDatumTijdTotEnMet],"&gt;"&amp;($A595+21/24))</f>
        <v/>
      </c>
      <c r="Z595" s="20">
        <f>COUNTIFS(tData[SEHTrajectPeriodeDatumTijdVan],"&lt;="&amp;($A595+22/24),tData[SEHTrajectPeriodeDatumTijdTotEnMet],"&gt;"&amp;($A595+22/24))</f>
        <v/>
      </c>
      <c r="AA595" s="20">
        <f>COUNTIFS(tData[SEHTrajectPeriodeDatumTijdVan],"&lt;="&amp;($A595+23/24),tData[SEHTrajectPeriodeDatumTijdTotEnMet],"&gt;"&amp;($A595+23/24))</f>
        <v/>
      </c>
    </row>
    <row r="596">
      <c r="A596" s="19" t="n">
        <v>45884</v>
      </c>
      <c r="B596" s="15">
        <f>WEEKDAY($A596,2)</f>
        <v/>
      </c>
      <c r="C596" s="15">
        <f>IF(AND($A596&gt;=INT(Instellingen!$B$5),$A596&lt;=INT(Instellingen!$B$6)),1,0)</f>
        <v/>
      </c>
      <c r="D596" s="20">
        <f>COUNTIFS(tData[SEHTrajectPeriodeDatumTijdVan],"&lt;="&amp;($A596+0/24),tData[SEHTrajectPeriodeDatumTijdTotEnMet],"&gt;"&amp;($A596+0/24))</f>
        <v/>
      </c>
      <c r="E596" s="20">
        <f>COUNTIFS(tData[SEHTrajectPeriodeDatumTijdVan],"&lt;="&amp;($A596+1/24),tData[SEHTrajectPeriodeDatumTijdTotEnMet],"&gt;"&amp;($A596+1/24))</f>
        <v/>
      </c>
      <c r="F596" s="20">
        <f>COUNTIFS(tData[SEHTrajectPeriodeDatumTijdVan],"&lt;="&amp;($A596+2/24),tData[SEHTrajectPeriodeDatumTijdTotEnMet],"&gt;"&amp;($A596+2/24))</f>
        <v/>
      </c>
      <c r="G596" s="20">
        <f>COUNTIFS(tData[SEHTrajectPeriodeDatumTijdVan],"&lt;="&amp;($A596+3/24),tData[SEHTrajectPeriodeDatumTijdTotEnMet],"&gt;"&amp;($A596+3/24))</f>
        <v/>
      </c>
      <c r="H596" s="20">
        <f>COUNTIFS(tData[SEHTrajectPeriodeDatumTijdVan],"&lt;="&amp;($A596+4/24),tData[SEHTrajectPeriodeDatumTijdTotEnMet],"&gt;"&amp;($A596+4/24))</f>
        <v/>
      </c>
      <c r="I596" s="20">
        <f>COUNTIFS(tData[SEHTrajectPeriodeDatumTijdVan],"&lt;="&amp;($A596+5/24),tData[SEHTrajectPeriodeDatumTijdTotEnMet],"&gt;"&amp;($A596+5/24))</f>
        <v/>
      </c>
      <c r="J596" s="20">
        <f>COUNTIFS(tData[SEHTrajectPeriodeDatumTijdVan],"&lt;="&amp;($A596+6/24),tData[SEHTrajectPeriodeDatumTijdTotEnMet],"&gt;"&amp;($A596+6/24))</f>
        <v/>
      </c>
      <c r="K596" s="20">
        <f>COUNTIFS(tData[SEHTrajectPeriodeDatumTijdVan],"&lt;="&amp;($A596+7/24),tData[SEHTrajectPeriodeDatumTijdTotEnMet],"&gt;"&amp;($A596+7/24))</f>
        <v/>
      </c>
      <c r="L596" s="20">
        <f>COUNTIFS(tData[SEHTrajectPeriodeDatumTijdVan],"&lt;="&amp;($A596+8/24),tData[SEHTrajectPeriodeDatumTijdTotEnMet],"&gt;"&amp;($A596+8/24))</f>
        <v/>
      </c>
      <c r="M596" s="20">
        <f>COUNTIFS(tData[SEHTrajectPeriodeDatumTijdVan],"&lt;="&amp;($A596+9/24),tData[SEHTrajectPeriodeDatumTijdTotEnMet],"&gt;"&amp;($A596+9/24))</f>
        <v/>
      </c>
      <c r="N596" s="20">
        <f>COUNTIFS(tData[SEHTrajectPeriodeDatumTijdVan],"&lt;="&amp;($A596+10/24),tData[SEHTrajectPeriodeDatumTijdTotEnMet],"&gt;"&amp;($A596+10/24))</f>
        <v/>
      </c>
      <c r="O596" s="20">
        <f>COUNTIFS(tData[SEHTrajectPeriodeDatumTijdVan],"&lt;="&amp;($A596+11/24),tData[SEHTrajectPeriodeDatumTijdTotEnMet],"&gt;"&amp;($A596+11/24))</f>
        <v/>
      </c>
      <c r="P596" s="20">
        <f>COUNTIFS(tData[SEHTrajectPeriodeDatumTijdVan],"&lt;="&amp;($A596+12/24),tData[SEHTrajectPeriodeDatumTijdTotEnMet],"&gt;"&amp;($A596+12/24))</f>
        <v/>
      </c>
      <c r="Q596" s="20">
        <f>COUNTIFS(tData[SEHTrajectPeriodeDatumTijdVan],"&lt;="&amp;($A596+13/24),tData[SEHTrajectPeriodeDatumTijdTotEnMet],"&gt;"&amp;($A596+13/24))</f>
        <v/>
      </c>
      <c r="R596" s="20">
        <f>COUNTIFS(tData[SEHTrajectPeriodeDatumTijdVan],"&lt;="&amp;($A596+14/24),tData[SEHTrajectPeriodeDatumTijdTotEnMet],"&gt;"&amp;($A596+14/24))</f>
        <v/>
      </c>
      <c r="S596" s="20">
        <f>COUNTIFS(tData[SEHTrajectPeriodeDatumTijdVan],"&lt;="&amp;($A596+15/24),tData[SEHTrajectPeriodeDatumTijdTotEnMet],"&gt;"&amp;($A596+15/24))</f>
        <v/>
      </c>
      <c r="T596" s="20">
        <f>COUNTIFS(tData[SEHTrajectPeriodeDatumTijdVan],"&lt;="&amp;($A596+16/24),tData[SEHTrajectPeriodeDatumTijdTotEnMet],"&gt;"&amp;($A596+16/24))</f>
        <v/>
      </c>
      <c r="U596" s="20">
        <f>COUNTIFS(tData[SEHTrajectPeriodeDatumTijdVan],"&lt;="&amp;($A596+17/24),tData[SEHTrajectPeriodeDatumTijdTotEnMet],"&gt;"&amp;($A596+17/24))</f>
        <v/>
      </c>
      <c r="V596" s="20">
        <f>COUNTIFS(tData[SEHTrajectPeriodeDatumTijdVan],"&lt;="&amp;($A596+18/24),tData[SEHTrajectPeriodeDatumTijdTotEnMet],"&gt;"&amp;($A596+18/24))</f>
        <v/>
      </c>
      <c r="W596" s="20">
        <f>COUNTIFS(tData[SEHTrajectPeriodeDatumTijdVan],"&lt;="&amp;($A596+19/24),tData[SEHTrajectPeriodeDatumTijdTotEnMet],"&gt;"&amp;($A596+19/24))</f>
        <v/>
      </c>
      <c r="X596" s="20">
        <f>COUNTIFS(tData[SEHTrajectPeriodeDatumTijdVan],"&lt;="&amp;($A596+20/24),tData[SEHTrajectPeriodeDatumTijdTotEnMet],"&gt;"&amp;($A596+20/24))</f>
        <v/>
      </c>
      <c r="Y596" s="20">
        <f>COUNTIFS(tData[SEHTrajectPeriodeDatumTijdVan],"&lt;="&amp;($A596+21/24),tData[SEHTrajectPeriodeDatumTijdTotEnMet],"&gt;"&amp;($A596+21/24))</f>
        <v/>
      </c>
      <c r="Z596" s="20">
        <f>COUNTIFS(tData[SEHTrajectPeriodeDatumTijdVan],"&lt;="&amp;($A596+22/24),tData[SEHTrajectPeriodeDatumTijdTotEnMet],"&gt;"&amp;($A596+22/24))</f>
        <v/>
      </c>
      <c r="AA596" s="20">
        <f>COUNTIFS(tData[SEHTrajectPeriodeDatumTijdVan],"&lt;="&amp;($A596+23/24),tData[SEHTrajectPeriodeDatumTijdTotEnMet],"&gt;"&amp;($A596+23/24))</f>
        <v/>
      </c>
    </row>
    <row r="597">
      <c r="A597" s="19" t="n">
        <v>45885</v>
      </c>
      <c r="B597" s="15">
        <f>WEEKDAY($A597,2)</f>
        <v/>
      </c>
      <c r="C597" s="15">
        <f>IF(AND($A597&gt;=INT(Instellingen!$B$5),$A597&lt;=INT(Instellingen!$B$6)),1,0)</f>
        <v/>
      </c>
      <c r="D597" s="20">
        <f>COUNTIFS(tData[SEHTrajectPeriodeDatumTijdVan],"&lt;="&amp;($A597+0/24),tData[SEHTrajectPeriodeDatumTijdTotEnMet],"&gt;"&amp;($A597+0/24))</f>
        <v/>
      </c>
      <c r="E597" s="20">
        <f>COUNTIFS(tData[SEHTrajectPeriodeDatumTijdVan],"&lt;="&amp;($A597+1/24),tData[SEHTrajectPeriodeDatumTijdTotEnMet],"&gt;"&amp;($A597+1/24))</f>
        <v/>
      </c>
      <c r="F597" s="20">
        <f>COUNTIFS(tData[SEHTrajectPeriodeDatumTijdVan],"&lt;="&amp;($A597+2/24),tData[SEHTrajectPeriodeDatumTijdTotEnMet],"&gt;"&amp;($A597+2/24))</f>
        <v/>
      </c>
      <c r="G597" s="20">
        <f>COUNTIFS(tData[SEHTrajectPeriodeDatumTijdVan],"&lt;="&amp;($A597+3/24),tData[SEHTrajectPeriodeDatumTijdTotEnMet],"&gt;"&amp;($A597+3/24))</f>
        <v/>
      </c>
      <c r="H597" s="20">
        <f>COUNTIFS(tData[SEHTrajectPeriodeDatumTijdVan],"&lt;="&amp;($A597+4/24),tData[SEHTrajectPeriodeDatumTijdTotEnMet],"&gt;"&amp;($A597+4/24))</f>
        <v/>
      </c>
      <c r="I597" s="20">
        <f>COUNTIFS(tData[SEHTrajectPeriodeDatumTijdVan],"&lt;="&amp;($A597+5/24),tData[SEHTrajectPeriodeDatumTijdTotEnMet],"&gt;"&amp;($A597+5/24))</f>
        <v/>
      </c>
      <c r="J597" s="20">
        <f>COUNTIFS(tData[SEHTrajectPeriodeDatumTijdVan],"&lt;="&amp;($A597+6/24),tData[SEHTrajectPeriodeDatumTijdTotEnMet],"&gt;"&amp;($A597+6/24))</f>
        <v/>
      </c>
      <c r="K597" s="20">
        <f>COUNTIFS(tData[SEHTrajectPeriodeDatumTijdVan],"&lt;="&amp;($A597+7/24),tData[SEHTrajectPeriodeDatumTijdTotEnMet],"&gt;"&amp;($A597+7/24))</f>
        <v/>
      </c>
      <c r="L597" s="20">
        <f>COUNTIFS(tData[SEHTrajectPeriodeDatumTijdVan],"&lt;="&amp;($A597+8/24),tData[SEHTrajectPeriodeDatumTijdTotEnMet],"&gt;"&amp;($A597+8/24))</f>
        <v/>
      </c>
      <c r="M597" s="20">
        <f>COUNTIFS(tData[SEHTrajectPeriodeDatumTijdVan],"&lt;="&amp;($A597+9/24),tData[SEHTrajectPeriodeDatumTijdTotEnMet],"&gt;"&amp;($A597+9/24))</f>
        <v/>
      </c>
      <c r="N597" s="20">
        <f>COUNTIFS(tData[SEHTrajectPeriodeDatumTijdVan],"&lt;="&amp;($A597+10/24),tData[SEHTrajectPeriodeDatumTijdTotEnMet],"&gt;"&amp;($A597+10/24))</f>
        <v/>
      </c>
      <c r="O597" s="20">
        <f>COUNTIFS(tData[SEHTrajectPeriodeDatumTijdVan],"&lt;="&amp;($A597+11/24),tData[SEHTrajectPeriodeDatumTijdTotEnMet],"&gt;"&amp;($A597+11/24))</f>
        <v/>
      </c>
      <c r="P597" s="20">
        <f>COUNTIFS(tData[SEHTrajectPeriodeDatumTijdVan],"&lt;="&amp;($A597+12/24),tData[SEHTrajectPeriodeDatumTijdTotEnMet],"&gt;"&amp;($A597+12/24))</f>
        <v/>
      </c>
      <c r="Q597" s="20">
        <f>COUNTIFS(tData[SEHTrajectPeriodeDatumTijdVan],"&lt;="&amp;($A597+13/24),tData[SEHTrajectPeriodeDatumTijdTotEnMet],"&gt;"&amp;($A597+13/24))</f>
        <v/>
      </c>
      <c r="R597" s="20">
        <f>COUNTIFS(tData[SEHTrajectPeriodeDatumTijdVan],"&lt;="&amp;($A597+14/24),tData[SEHTrajectPeriodeDatumTijdTotEnMet],"&gt;"&amp;($A597+14/24))</f>
        <v/>
      </c>
      <c r="S597" s="20">
        <f>COUNTIFS(tData[SEHTrajectPeriodeDatumTijdVan],"&lt;="&amp;($A597+15/24),tData[SEHTrajectPeriodeDatumTijdTotEnMet],"&gt;"&amp;($A597+15/24))</f>
        <v/>
      </c>
      <c r="T597" s="20">
        <f>COUNTIFS(tData[SEHTrajectPeriodeDatumTijdVan],"&lt;="&amp;($A597+16/24),tData[SEHTrajectPeriodeDatumTijdTotEnMet],"&gt;"&amp;($A597+16/24))</f>
        <v/>
      </c>
      <c r="U597" s="20">
        <f>COUNTIFS(tData[SEHTrajectPeriodeDatumTijdVan],"&lt;="&amp;($A597+17/24),tData[SEHTrajectPeriodeDatumTijdTotEnMet],"&gt;"&amp;($A597+17/24))</f>
        <v/>
      </c>
      <c r="V597" s="20">
        <f>COUNTIFS(tData[SEHTrajectPeriodeDatumTijdVan],"&lt;="&amp;($A597+18/24),tData[SEHTrajectPeriodeDatumTijdTotEnMet],"&gt;"&amp;($A597+18/24))</f>
        <v/>
      </c>
      <c r="W597" s="20">
        <f>COUNTIFS(tData[SEHTrajectPeriodeDatumTijdVan],"&lt;="&amp;($A597+19/24),tData[SEHTrajectPeriodeDatumTijdTotEnMet],"&gt;"&amp;($A597+19/24))</f>
        <v/>
      </c>
      <c r="X597" s="20">
        <f>COUNTIFS(tData[SEHTrajectPeriodeDatumTijdVan],"&lt;="&amp;($A597+20/24),tData[SEHTrajectPeriodeDatumTijdTotEnMet],"&gt;"&amp;($A597+20/24))</f>
        <v/>
      </c>
      <c r="Y597" s="20">
        <f>COUNTIFS(tData[SEHTrajectPeriodeDatumTijdVan],"&lt;="&amp;($A597+21/24),tData[SEHTrajectPeriodeDatumTijdTotEnMet],"&gt;"&amp;($A597+21/24))</f>
        <v/>
      </c>
      <c r="Z597" s="20">
        <f>COUNTIFS(tData[SEHTrajectPeriodeDatumTijdVan],"&lt;="&amp;($A597+22/24),tData[SEHTrajectPeriodeDatumTijdTotEnMet],"&gt;"&amp;($A597+22/24))</f>
        <v/>
      </c>
      <c r="AA597" s="20">
        <f>COUNTIFS(tData[SEHTrajectPeriodeDatumTijdVan],"&lt;="&amp;($A597+23/24),tData[SEHTrajectPeriodeDatumTijdTotEnMet],"&gt;"&amp;($A597+23/24))</f>
        <v/>
      </c>
    </row>
    <row r="598">
      <c r="A598" s="19" t="n">
        <v>45886</v>
      </c>
      <c r="B598" s="15">
        <f>WEEKDAY($A598,2)</f>
        <v/>
      </c>
      <c r="C598" s="15">
        <f>IF(AND($A598&gt;=INT(Instellingen!$B$5),$A598&lt;=INT(Instellingen!$B$6)),1,0)</f>
        <v/>
      </c>
      <c r="D598" s="20">
        <f>COUNTIFS(tData[SEHTrajectPeriodeDatumTijdVan],"&lt;="&amp;($A598+0/24),tData[SEHTrajectPeriodeDatumTijdTotEnMet],"&gt;"&amp;($A598+0/24))</f>
        <v/>
      </c>
      <c r="E598" s="20">
        <f>COUNTIFS(tData[SEHTrajectPeriodeDatumTijdVan],"&lt;="&amp;($A598+1/24),tData[SEHTrajectPeriodeDatumTijdTotEnMet],"&gt;"&amp;($A598+1/24))</f>
        <v/>
      </c>
      <c r="F598" s="20">
        <f>COUNTIFS(tData[SEHTrajectPeriodeDatumTijdVan],"&lt;="&amp;($A598+2/24),tData[SEHTrajectPeriodeDatumTijdTotEnMet],"&gt;"&amp;($A598+2/24))</f>
        <v/>
      </c>
      <c r="G598" s="20">
        <f>COUNTIFS(tData[SEHTrajectPeriodeDatumTijdVan],"&lt;="&amp;($A598+3/24),tData[SEHTrajectPeriodeDatumTijdTotEnMet],"&gt;"&amp;($A598+3/24))</f>
        <v/>
      </c>
      <c r="H598" s="20">
        <f>COUNTIFS(tData[SEHTrajectPeriodeDatumTijdVan],"&lt;="&amp;($A598+4/24),tData[SEHTrajectPeriodeDatumTijdTotEnMet],"&gt;"&amp;($A598+4/24))</f>
        <v/>
      </c>
      <c r="I598" s="20">
        <f>COUNTIFS(tData[SEHTrajectPeriodeDatumTijdVan],"&lt;="&amp;($A598+5/24),tData[SEHTrajectPeriodeDatumTijdTotEnMet],"&gt;"&amp;($A598+5/24))</f>
        <v/>
      </c>
      <c r="J598" s="20">
        <f>COUNTIFS(tData[SEHTrajectPeriodeDatumTijdVan],"&lt;="&amp;($A598+6/24),tData[SEHTrajectPeriodeDatumTijdTotEnMet],"&gt;"&amp;($A598+6/24))</f>
        <v/>
      </c>
      <c r="K598" s="20">
        <f>COUNTIFS(tData[SEHTrajectPeriodeDatumTijdVan],"&lt;="&amp;($A598+7/24),tData[SEHTrajectPeriodeDatumTijdTotEnMet],"&gt;"&amp;($A598+7/24))</f>
        <v/>
      </c>
      <c r="L598" s="20">
        <f>COUNTIFS(tData[SEHTrajectPeriodeDatumTijdVan],"&lt;="&amp;($A598+8/24),tData[SEHTrajectPeriodeDatumTijdTotEnMet],"&gt;"&amp;($A598+8/24))</f>
        <v/>
      </c>
      <c r="M598" s="20">
        <f>COUNTIFS(tData[SEHTrajectPeriodeDatumTijdVan],"&lt;="&amp;($A598+9/24),tData[SEHTrajectPeriodeDatumTijdTotEnMet],"&gt;"&amp;($A598+9/24))</f>
        <v/>
      </c>
      <c r="N598" s="20">
        <f>COUNTIFS(tData[SEHTrajectPeriodeDatumTijdVan],"&lt;="&amp;($A598+10/24),tData[SEHTrajectPeriodeDatumTijdTotEnMet],"&gt;"&amp;($A598+10/24))</f>
        <v/>
      </c>
      <c r="O598" s="20">
        <f>COUNTIFS(tData[SEHTrajectPeriodeDatumTijdVan],"&lt;="&amp;($A598+11/24),tData[SEHTrajectPeriodeDatumTijdTotEnMet],"&gt;"&amp;($A598+11/24))</f>
        <v/>
      </c>
      <c r="P598" s="20">
        <f>COUNTIFS(tData[SEHTrajectPeriodeDatumTijdVan],"&lt;="&amp;($A598+12/24),tData[SEHTrajectPeriodeDatumTijdTotEnMet],"&gt;"&amp;($A598+12/24))</f>
        <v/>
      </c>
      <c r="Q598" s="20">
        <f>COUNTIFS(tData[SEHTrajectPeriodeDatumTijdVan],"&lt;="&amp;($A598+13/24),tData[SEHTrajectPeriodeDatumTijdTotEnMet],"&gt;"&amp;($A598+13/24))</f>
        <v/>
      </c>
      <c r="R598" s="20">
        <f>COUNTIFS(tData[SEHTrajectPeriodeDatumTijdVan],"&lt;="&amp;($A598+14/24),tData[SEHTrajectPeriodeDatumTijdTotEnMet],"&gt;"&amp;($A598+14/24))</f>
        <v/>
      </c>
      <c r="S598" s="20">
        <f>COUNTIFS(tData[SEHTrajectPeriodeDatumTijdVan],"&lt;="&amp;($A598+15/24),tData[SEHTrajectPeriodeDatumTijdTotEnMet],"&gt;"&amp;($A598+15/24))</f>
        <v/>
      </c>
      <c r="T598" s="20">
        <f>COUNTIFS(tData[SEHTrajectPeriodeDatumTijdVan],"&lt;="&amp;($A598+16/24),tData[SEHTrajectPeriodeDatumTijdTotEnMet],"&gt;"&amp;($A598+16/24))</f>
        <v/>
      </c>
      <c r="U598" s="20">
        <f>COUNTIFS(tData[SEHTrajectPeriodeDatumTijdVan],"&lt;="&amp;($A598+17/24),tData[SEHTrajectPeriodeDatumTijdTotEnMet],"&gt;"&amp;($A598+17/24))</f>
        <v/>
      </c>
      <c r="V598" s="20">
        <f>COUNTIFS(tData[SEHTrajectPeriodeDatumTijdVan],"&lt;="&amp;($A598+18/24),tData[SEHTrajectPeriodeDatumTijdTotEnMet],"&gt;"&amp;($A598+18/24))</f>
        <v/>
      </c>
      <c r="W598" s="20">
        <f>COUNTIFS(tData[SEHTrajectPeriodeDatumTijdVan],"&lt;="&amp;($A598+19/24),tData[SEHTrajectPeriodeDatumTijdTotEnMet],"&gt;"&amp;($A598+19/24))</f>
        <v/>
      </c>
      <c r="X598" s="20">
        <f>COUNTIFS(tData[SEHTrajectPeriodeDatumTijdVan],"&lt;="&amp;($A598+20/24),tData[SEHTrajectPeriodeDatumTijdTotEnMet],"&gt;"&amp;($A598+20/24))</f>
        <v/>
      </c>
      <c r="Y598" s="20">
        <f>COUNTIFS(tData[SEHTrajectPeriodeDatumTijdVan],"&lt;="&amp;($A598+21/24),tData[SEHTrajectPeriodeDatumTijdTotEnMet],"&gt;"&amp;($A598+21/24))</f>
        <v/>
      </c>
      <c r="Z598" s="20">
        <f>COUNTIFS(tData[SEHTrajectPeriodeDatumTijdVan],"&lt;="&amp;($A598+22/24),tData[SEHTrajectPeriodeDatumTijdTotEnMet],"&gt;"&amp;($A598+22/24))</f>
        <v/>
      </c>
      <c r="AA598" s="20">
        <f>COUNTIFS(tData[SEHTrajectPeriodeDatumTijdVan],"&lt;="&amp;($A598+23/24),tData[SEHTrajectPeriodeDatumTijdTotEnMet],"&gt;"&amp;($A598+23/24))</f>
        <v/>
      </c>
    </row>
    <row r="599">
      <c r="A599" s="19" t="n">
        <v>45887</v>
      </c>
      <c r="B599" s="15">
        <f>WEEKDAY($A599,2)</f>
        <v/>
      </c>
      <c r="C599" s="15">
        <f>IF(AND($A599&gt;=INT(Instellingen!$B$5),$A599&lt;=INT(Instellingen!$B$6)),1,0)</f>
        <v/>
      </c>
      <c r="D599" s="20">
        <f>COUNTIFS(tData[SEHTrajectPeriodeDatumTijdVan],"&lt;="&amp;($A599+0/24),tData[SEHTrajectPeriodeDatumTijdTotEnMet],"&gt;"&amp;($A599+0/24))</f>
        <v/>
      </c>
      <c r="E599" s="20">
        <f>COUNTIFS(tData[SEHTrajectPeriodeDatumTijdVan],"&lt;="&amp;($A599+1/24),tData[SEHTrajectPeriodeDatumTijdTotEnMet],"&gt;"&amp;($A599+1/24))</f>
        <v/>
      </c>
      <c r="F599" s="20">
        <f>COUNTIFS(tData[SEHTrajectPeriodeDatumTijdVan],"&lt;="&amp;($A599+2/24),tData[SEHTrajectPeriodeDatumTijdTotEnMet],"&gt;"&amp;($A599+2/24))</f>
        <v/>
      </c>
      <c r="G599" s="20">
        <f>COUNTIFS(tData[SEHTrajectPeriodeDatumTijdVan],"&lt;="&amp;($A599+3/24),tData[SEHTrajectPeriodeDatumTijdTotEnMet],"&gt;"&amp;($A599+3/24))</f>
        <v/>
      </c>
      <c r="H599" s="20">
        <f>COUNTIFS(tData[SEHTrajectPeriodeDatumTijdVan],"&lt;="&amp;($A599+4/24),tData[SEHTrajectPeriodeDatumTijdTotEnMet],"&gt;"&amp;($A599+4/24))</f>
        <v/>
      </c>
      <c r="I599" s="20">
        <f>COUNTIFS(tData[SEHTrajectPeriodeDatumTijdVan],"&lt;="&amp;($A599+5/24),tData[SEHTrajectPeriodeDatumTijdTotEnMet],"&gt;"&amp;($A599+5/24))</f>
        <v/>
      </c>
      <c r="J599" s="20">
        <f>COUNTIFS(tData[SEHTrajectPeriodeDatumTijdVan],"&lt;="&amp;($A599+6/24),tData[SEHTrajectPeriodeDatumTijdTotEnMet],"&gt;"&amp;($A599+6/24))</f>
        <v/>
      </c>
      <c r="K599" s="20">
        <f>COUNTIFS(tData[SEHTrajectPeriodeDatumTijdVan],"&lt;="&amp;($A599+7/24),tData[SEHTrajectPeriodeDatumTijdTotEnMet],"&gt;"&amp;($A599+7/24))</f>
        <v/>
      </c>
      <c r="L599" s="20">
        <f>COUNTIFS(tData[SEHTrajectPeriodeDatumTijdVan],"&lt;="&amp;($A599+8/24),tData[SEHTrajectPeriodeDatumTijdTotEnMet],"&gt;"&amp;($A599+8/24))</f>
        <v/>
      </c>
      <c r="M599" s="20">
        <f>COUNTIFS(tData[SEHTrajectPeriodeDatumTijdVan],"&lt;="&amp;($A599+9/24),tData[SEHTrajectPeriodeDatumTijdTotEnMet],"&gt;"&amp;($A599+9/24))</f>
        <v/>
      </c>
      <c r="N599" s="20">
        <f>COUNTIFS(tData[SEHTrajectPeriodeDatumTijdVan],"&lt;="&amp;($A599+10/24),tData[SEHTrajectPeriodeDatumTijdTotEnMet],"&gt;"&amp;($A599+10/24))</f>
        <v/>
      </c>
      <c r="O599" s="20">
        <f>COUNTIFS(tData[SEHTrajectPeriodeDatumTijdVan],"&lt;="&amp;($A599+11/24),tData[SEHTrajectPeriodeDatumTijdTotEnMet],"&gt;"&amp;($A599+11/24))</f>
        <v/>
      </c>
      <c r="P599" s="20">
        <f>COUNTIFS(tData[SEHTrajectPeriodeDatumTijdVan],"&lt;="&amp;($A599+12/24),tData[SEHTrajectPeriodeDatumTijdTotEnMet],"&gt;"&amp;($A599+12/24))</f>
        <v/>
      </c>
      <c r="Q599" s="20">
        <f>COUNTIFS(tData[SEHTrajectPeriodeDatumTijdVan],"&lt;="&amp;($A599+13/24),tData[SEHTrajectPeriodeDatumTijdTotEnMet],"&gt;"&amp;($A599+13/24))</f>
        <v/>
      </c>
      <c r="R599" s="20">
        <f>COUNTIFS(tData[SEHTrajectPeriodeDatumTijdVan],"&lt;="&amp;($A599+14/24),tData[SEHTrajectPeriodeDatumTijdTotEnMet],"&gt;"&amp;($A599+14/24))</f>
        <v/>
      </c>
      <c r="S599" s="20">
        <f>COUNTIFS(tData[SEHTrajectPeriodeDatumTijdVan],"&lt;="&amp;($A599+15/24),tData[SEHTrajectPeriodeDatumTijdTotEnMet],"&gt;"&amp;($A599+15/24))</f>
        <v/>
      </c>
      <c r="T599" s="20">
        <f>COUNTIFS(tData[SEHTrajectPeriodeDatumTijdVan],"&lt;="&amp;($A599+16/24),tData[SEHTrajectPeriodeDatumTijdTotEnMet],"&gt;"&amp;($A599+16/24))</f>
        <v/>
      </c>
      <c r="U599" s="20">
        <f>COUNTIFS(tData[SEHTrajectPeriodeDatumTijdVan],"&lt;="&amp;($A599+17/24),tData[SEHTrajectPeriodeDatumTijdTotEnMet],"&gt;"&amp;($A599+17/24))</f>
        <v/>
      </c>
      <c r="V599" s="20">
        <f>COUNTIFS(tData[SEHTrajectPeriodeDatumTijdVan],"&lt;="&amp;($A599+18/24),tData[SEHTrajectPeriodeDatumTijdTotEnMet],"&gt;"&amp;($A599+18/24))</f>
        <v/>
      </c>
      <c r="W599" s="20">
        <f>COUNTIFS(tData[SEHTrajectPeriodeDatumTijdVan],"&lt;="&amp;($A599+19/24),tData[SEHTrajectPeriodeDatumTijdTotEnMet],"&gt;"&amp;($A599+19/24))</f>
        <v/>
      </c>
      <c r="X599" s="20">
        <f>COUNTIFS(tData[SEHTrajectPeriodeDatumTijdVan],"&lt;="&amp;($A599+20/24),tData[SEHTrajectPeriodeDatumTijdTotEnMet],"&gt;"&amp;($A599+20/24))</f>
        <v/>
      </c>
      <c r="Y599" s="20">
        <f>COUNTIFS(tData[SEHTrajectPeriodeDatumTijdVan],"&lt;="&amp;($A599+21/24),tData[SEHTrajectPeriodeDatumTijdTotEnMet],"&gt;"&amp;($A599+21/24))</f>
        <v/>
      </c>
      <c r="Z599" s="20">
        <f>COUNTIFS(tData[SEHTrajectPeriodeDatumTijdVan],"&lt;="&amp;($A599+22/24),tData[SEHTrajectPeriodeDatumTijdTotEnMet],"&gt;"&amp;($A599+22/24))</f>
        <v/>
      </c>
      <c r="AA599" s="20">
        <f>COUNTIFS(tData[SEHTrajectPeriodeDatumTijdVan],"&lt;="&amp;($A599+23/24),tData[SEHTrajectPeriodeDatumTijdTotEnMet],"&gt;"&amp;($A599+23/24))</f>
        <v/>
      </c>
    </row>
    <row r="600">
      <c r="A600" s="19" t="n">
        <v>45888</v>
      </c>
      <c r="B600" s="15">
        <f>WEEKDAY($A600,2)</f>
        <v/>
      </c>
      <c r="C600" s="15">
        <f>IF(AND($A600&gt;=INT(Instellingen!$B$5),$A600&lt;=INT(Instellingen!$B$6)),1,0)</f>
        <v/>
      </c>
      <c r="D600" s="20">
        <f>COUNTIFS(tData[SEHTrajectPeriodeDatumTijdVan],"&lt;="&amp;($A600+0/24),tData[SEHTrajectPeriodeDatumTijdTotEnMet],"&gt;"&amp;($A600+0/24))</f>
        <v/>
      </c>
      <c r="E600" s="20">
        <f>COUNTIFS(tData[SEHTrajectPeriodeDatumTijdVan],"&lt;="&amp;($A600+1/24),tData[SEHTrajectPeriodeDatumTijdTotEnMet],"&gt;"&amp;($A600+1/24))</f>
        <v/>
      </c>
      <c r="F600" s="20">
        <f>COUNTIFS(tData[SEHTrajectPeriodeDatumTijdVan],"&lt;="&amp;($A600+2/24),tData[SEHTrajectPeriodeDatumTijdTotEnMet],"&gt;"&amp;($A600+2/24))</f>
        <v/>
      </c>
      <c r="G600" s="20">
        <f>COUNTIFS(tData[SEHTrajectPeriodeDatumTijdVan],"&lt;="&amp;($A600+3/24),tData[SEHTrajectPeriodeDatumTijdTotEnMet],"&gt;"&amp;($A600+3/24))</f>
        <v/>
      </c>
      <c r="H600" s="20">
        <f>COUNTIFS(tData[SEHTrajectPeriodeDatumTijdVan],"&lt;="&amp;($A600+4/24),tData[SEHTrajectPeriodeDatumTijdTotEnMet],"&gt;"&amp;($A600+4/24))</f>
        <v/>
      </c>
      <c r="I600" s="20">
        <f>COUNTIFS(tData[SEHTrajectPeriodeDatumTijdVan],"&lt;="&amp;($A600+5/24),tData[SEHTrajectPeriodeDatumTijdTotEnMet],"&gt;"&amp;($A600+5/24))</f>
        <v/>
      </c>
      <c r="J600" s="20">
        <f>COUNTIFS(tData[SEHTrajectPeriodeDatumTijdVan],"&lt;="&amp;($A600+6/24),tData[SEHTrajectPeriodeDatumTijdTotEnMet],"&gt;"&amp;($A600+6/24))</f>
        <v/>
      </c>
      <c r="K600" s="20">
        <f>COUNTIFS(tData[SEHTrajectPeriodeDatumTijdVan],"&lt;="&amp;($A600+7/24),tData[SEHTrajectPeriodeDatumTijdTotEnMet],"&gt;"&amp;($A600+7/24))</f>
        <v/>
      </c>
      <c r="L600" s="20">
        <f>COUNTIFS(tData[SEHTrajectPeriodeDatumTijdVan],"&lt;="&amp;($A600+8/24),tData[SEHTrajectPeriodeDatumTijdTotEnMet],"&gt;"&amp;($A600+8/24))</f>
        <v/>
      </c>
      <c r="M600" s="20">
        <f>COUNTIFS(tData[SEHTrajectPeriodeDatumTijdVan],"&lt;="&amp;($A600+9/24),tData[SEHTrajectPeriodeDatumTijdTotEnMet],"&gt;"&amp;($A600+9/24))</f>
        <v/>
      </c>
      <c r="N600" s="20">
        <f>COUNTIFS(tData[SEHTrajectPeriodeDatumTijdVan],"&lt;="&amp;($A600+10/24),tData[SEHTrajectPeriodeDatumTijdTotEnMet],"&gt;"&amp;($A600+10/24))</f>
        <v/>
      </c>
      <c r="O600" s="20">
        <f>COUNTIFS(tData[SEHTrajectPeriodeDatumTijdVan],"&lt;="&amp;($A600+11/24),tData[SEHTrajectPeriodeDatumTijdTotEnMet],"&gt;"&amp;($A600+11/24))</f>
        <v/>
      </c>
      <c r="P600" s="20">
        <f>COUNTIFS(tData[SEHTrajectPeriodeDatumTijdVan],"&lt;="&amp;($A600+12/24),tData[SEHTrajectPeriodeDatumTijdTotEnMet],"&gt;"&amp;($A600+12/24))</f>
        <v/>
      </c>
      <c r="Q600" s="20">
        <f>COUNTIFS(tData[SEHTrajectPeriodeDatumTijdVan],"&lt;="&amp;($A600+13/24),tData[SEHTrajectPeriodeDatumTijdTotEnMet],"&gt;"&amp;($A600+13/24))</f>
        <v/>
      </c>
      <c r="R600" s="20">
        <f>COUNTIFS(tData[SEHTrajectPeriodeDatumTijdVan],"&lt;="&amp;($A600+14/24),tData[SEHTrajectPeriodeDatumTijdTotEnMet],"&gt;"&amp;($A600+14/24))</f>
        <v/>
      </c>
      <c r="S600" s="20">
        <f>COUNTIFS(tData[SEHTrajectPeriodeDatumTijdVan],"&lt;="&amp;($A600+15/24),tData[SEHTrajectPeriodeDatumTijdTotEnMet],"&gt;"&amp;($A600+15/24))</f>
        <v/>
      </c>
      <c r="T600" s="20">
        <f>COUNTIFS(tData[SEHTrajectPeriodeDatumTijdVan],"&lt;="&amp;($A600+16/24),tData[SEHTrajectPeriodeDatumTijdTotEnMet],"&gt;"&amp;($A600+16/24))</f>
        <v/>
      </c>
      <c r="U600" s="20">
        <f>COUNTIFS(tData[SEHTrajectPeriodeDatumTijdVan],"&lt;="&amp;($A600+17/24),tData[SEHTrajectPeriodeDatumTijdTotEnMet],"&gt;"&amp;($A600+17/24))</f>
        <v/>
      </c>
      <c r="V600" s="20">
        <f>COUNTIFS(tData[SEHTrajectPeriodeDatumTijdVan],"&lt;="&amp;($A600+18/24),tData[SEHTrajectPeriodeDatumTijdTotEnMet],"&gt;"&amp;($A600+18/24))</f>
        <v/>
      </c>
      <c r="W600" s="20">
        <f>COUNTIFS(tData[SEHTrajectPeriodeDatumTijdVan],"&lt;="&amp;($A600+19/24),tData[SEHTrajectPeriodeDatumTijdTotEnMet],"&gt;"&amp;($A600+19/24))</f>
        <v/>
      </c>
      <c r="X600" s="20">
        <f>COUNTIFS(tData[SEHTrajectPeriodeDatumTijdVan],"&lt;="&amp;($A600+20/24),tData[SEHTrajectPeriodeDatumTijdTotEnMet],"&gt;"&amp;($A600+20/24))</f>
        <v/>
      </c>
      <c r="Y600" s="20">
        <f>COUNTIFS(tData[SEHTrajectPeriodeDatumTijdVan],"&lt;="&amp;($A600+21/24),tData[SEHTrajectPeriodeDatumTijdTotEnMet],"&gt;"&amp;($A600+21/24))</f>
        <v/>
      </c>
      <c r="Z600" s="20">
        <f>COUNTIFS(tData[SEHTrajectPeriodeDatumTijdVan],"&lt;="&amp;($A600+22/24),tData[SEHTrajectPeriodeDatumTijdTotEnMet],"&gt;"&amp;($A600+22/24))</f>
        <v/>
      </c>
      <c r="AA600" s="20">
        <f>COUNTIFS(tData[SEHTrajectPeriodeDatumTijdVan],"&lt;="&amp;($A600+23/24),tData[SEHTrajectPeriodeDatumTijdTotEnMet],"&gt;"&amp;($A600+23/24))</f>
        <v/>
      </c>
    </row>
    <row r="601">
      <c r="A601" s="19" t="n">
        <v>45889</v>
      </c>
      <c r="B601" s="15">
        <f>WEEKDAY($A601,2)</f>
        <v/>
      </c>
      <c r="C601" s="15">
        <f>IF(AND($A601&gt;=INT(Instellingen!$B$5),$A601&lt;=INT(Instellingen!$B$6)),1,0)</f>
        <v/>
      </c>
      <c r="D601" s="20">
        <f>COUNTIFS(tData[SEHTrajectPeriodeDatumTijdVan],"&lt;="&amp;($A601+0/24),tData[SEHTrajectPeriodeDatumTijdTotEnMet],"&gt;"&amp;($A601+0/24))</f>
        <v/>
      </c>
      <c r="E601" s="20">
        <f>COUNTIFS(tData[SEHTrajectPeriodeDatumTijdVan],"&lt;="&amp;($A601+1/24),tData[SEHTrajectPeriodeDatumTijdTotEnMet],"&gt;"&amp;($A601+1/24))</f>
        <v/>
      </c>
      <c r="F601" s="20">
        <f>COUNTIFS(tData[SEHTrajectPeriodeDatumTijdVan],"&lt;="&amp;($A601+2/24),tData[SEHTrajectPeriodeDatumTijdTotEnMet],"&gt;"&amp;($A601+2/24))</f>
        <v/>
      </c>
      <c r="G601" s="20">
        <f>COUNTIFS(tData[SEHTrajectPeriodeDatumTijdVan],"&lt;="&amp;($A601+3/24),tData[SEHTrajectPeriodeDatumTijdTotEnMet],"&gt;"&amp;($A601+3/24))</f>
        <v/>
      </c>
      <c r="H601" s="20">
        <f>COUNTIFS(tData[SEHTrajectPeriodeDatumTijdVan],"&lt;="&amp;($A601+4/24),tData[SEHTrajectPeriodeDatumTijdTotEnMet],"&gt;"&amp;($A601+4/24))</f>
        <v/>
      </c>
      <c r="I601" s="20">
        <f>COUNTIFS(tData[SEHTrajectPeriodeDatumTijdVan],"&lt;="&amp;($A601+5/24),tData[SEHTrajectPeriodeDatumTijdTotEnMet],"&gt;"&amp;($A601+5/24))</f>
        <v/>
      </c>
      <c r="J601" s="20">
        <f>COUNTIFS(tData[SEHTrajectPeriodeDatumTijdVan],"&lt;="&amp;($A601+6/24),tData[SEHTrajectPeriodeDatumTijdTotEnMet],"&gt;"&amp;($A601+6/24))</f>
        <v/>
      </c>
      <c r="K601" s="20">
        <f>COUNTIFS(tData[SEHTrajectPeriodeDatumTijdVan],"&lt;="&amp;($A601+7/24),tData[SEHTrajectPeriodeDatumTijdTotEnMet],"&gt;"&amp;($A601+7/24))</f>
        <v/>
      </c>
      <c r="L601" s="20">
        <f>COUNTIFS(tData[SEHTrajectPeriodeDatumTijdVan],"&lt;="&amp;($A601+8/24),tData[SEHTrajectPeriodeDatumTijdTotEnMet],"&gt;"&amp;($A601+8/24))</f>
        <v/>
      </c>
      <c r="M601" s="20">
        <f>COUNTIFS(tData[SEHTrajectPeriodeDatumTijdVan],"&lt;="&amp;($A601+9/24),tData[SEHTrajectPeriodeDatumTijdTotEnMet],"&gt;"&amp;($A601+9/24))</f>
        <v/>
      </c>
      <c r="N601" s="20">
        <f>COUNTIFS(tData[SEHTrajectPeriodeDatumTijdVan],"&lt;="&amp;($A601+10/24),tData[SEHTrajectPeriodeDatumTijdTotEnMet],"&gt;"&amp;($A601+10/24))</f>
        <v/>
      </c>
      <c r="O601" s="20">
        <f>COUNTIFS(tData[SEHTrajectPeriodeDatumTijdVan],"&lt;="&amp;($A601+11/24),tData[SEHTrajectPeriodeDatumTijdTotEnMet],"&gt;"&amp;($A601+11/24))</f>
        <v/>
      </c>
      <c r="P601" s="20">
        <f>COUNTIFS(tData[SEHTrajectPeriodeDatumTijdVan],"&lt;="&amp;($A601+12/24),tData[SEHTrajectPeriodeDatumTijdTotEnMet],"&gt;"&amp;($A601+12/24))</f>
        <v/>
      </c>
      <c r="Q601" s="20">
        <f>COUNTIFS(tData[SEHTrajectPeriodeDatumTijdVan],"&lt;="&amp;($A601+13/24),tData[SEHTrajectPeriodeDatumTijdTotEnMet],"&gt;"&amp;($A601+13/24))</f>
        <v/>
      </c>
      <c r="R601" s="20">
        <f>COUNTIFS(tData[SEHTrajectPeriodeDatumTijdVan],"&lt;="&amp;($A601+14/24),tData[SEHTrajectPeriodeDatumTijdTotEnMet],"&gt;"&amp;($A601+14/24))</f>
        <v/>
      </c>
      <c r="S601" s="20">
        <f>COUNTIFS(tData[SEHTrajectPeriodeDatumTijdVan],"&lt;="&amp;($A601+15/24),tData[SEHTrajectPeriodeDatumTijdTotEnMet],"&gt;"&amp;($A601+15/24))</f>
        <v/>
      </c>
      <c r="T601" s="20">
        <f>COUNTIFS(tData[SEHTrajectPeriodeDatumTijdVan],"&lt;="&amp;($A601+16/24),tData[SEHTrajectPeriodeDatumTijdTotEnMet],"&gt;"&amp;($A601+16/24))</f>
        <v/>
      </c>
      <c r="U601" s="20">
        <f>COUNTIFS(tData[SEHTrajectPeriodeDatumTijdVan],"&lt;="&amp;($A601+17/24),tData[SEHTrajectPeriodeDatumTijdTotEnMet],"&gt;"&amp;($A601+17/24))</f>
        <v/>
      </c>
      <c r="V601" s="20">
        <f>COUNTIFS(tData[SEHTrajectPeriodeDatumTijdVan],"&lt;="&amp;($A601+18/24),tData[SEHTrajectPeriodeDatumTijdTotEnMet],"&gt;"&amp;($A601+18/24))</f>
        <v/>
      </c>
      <c r="W601" s="20">
        <f>COUNTIFS(tData[SEHTrajectPeriodeDatumTijdVan],"&lt;="&amp;($A601+19/24),tData[SEHTrajectPeriodeDatumTijdTotEnMet],"&gt;"&amp;($A601+19/24))</f>
        <v/>
      </c>
      <c r="X601" s="20">
        <f>COUNTIFS(tData[SEHTrajectPeriodeDatumTijdVan],"&lt;="&amp;($A601+20/24),tData[SEHTrajectPeriodeDatumTijdTotEnMet],"&gt;"&amp;($A601+20/24))</f>
        <v/>
      </c>
      <c r="Y601" s="20">
        <f>COUNTIFS(tData[SEHTrajectPeriodeDatumTijdVan],"&lt;="&amp;($A601+21/24),tData[SEHTrajectPeriodeDatumTijdTotEnMet],"&gt;"&amp;($A601+21/24))</f>
        <v/>
      </c>
      <c r="Z601" s="20">
        <f>COUNTIFS(tData[SEHTrajectPeriodeDatumTijdVan],"&lt;="&amp;($A601+22/24),tData[SEHTrajectPeriodeDatumTijdTotEnMet],"&gt;"&amp;($A601+22/24))</f>
        <v/>
      </c>
      <c r="AA601" s="20">
        <f>COUNTIFS(tData[SEHTrajectPeriodeDatumTijdVan],"&lt;="&amp;($A601+23/24),tData[SEHTrajectPeriodeDatumTijdTotEnMet],"&gt;"&amp;($A601+23/24))</f>
        <v/>
      </c>
    </row>
    <row r="602">
      <c r="A602" s="19" t="n">
        <v>45890</v>
      </c>
      <c r="B602" s="15">
        <f>WEEKDAY($A602,2)</f>
        <v/>
      </c>
      <c r="C602" s="15">
        <f>IF(AND($A602&gt;=INT(Instellingen!$B$5),$A602&lt;=INT(Instellingen!$B$6)),1,0)</f>
        <v/>
      </c>
      <c r="D602" s="20">
        <f>COUNTIFS(tData[SEHTrajectPeriodeDatumTijdVan],"&lt;="&amp;($A602+0/24),tData[SEHTrajectPeriodeDatumTijdTotEnMet],"&gt;"&amp;($A602+0/24))</f>
        <v/>
      </c>
      <c r="E602" s="20">
        <f>COUNTIFS(tData[SEHTrajectPeriodeDatumTijdVan],"&lt;="&amp;($A602+1/24),tData[SEHTrajectPeriodeDatumTijdTotEnMet],"&gt;"&amp;($A602+1/24))</f>
        <v/>
      </c>
      <c r="F602" s="20">
        <f>COUNTIFS(tData[SEHTrajectPeriodeDatumTijdVan],"&lt;="&amp;($A602+2/24),tData[SEHTrajectPeriodeDatumTijdTotEnMet],"&gt;"&amp;($A602+2/24))</f>
        <v/>
      </c>
      <c r="G602" s="20">
        <f>COUNTIFS(tData[SEHTrajectPeriodeDatumTijdVan],"&lt;="&amp;($A602+3/24),tData[SEHTrajectPeriodeDatumTijdTotEnMet],"&gt;"&amp;($A602+3/24))</f>
        <v/>
      </c>
      <c r="H602" s="20">
        <f>COUNTIFS(tData[SEHTrajectPeriodeDatumTijdVan],"&lt;="&amp;($A602+4/24),tData[SEHTrajectPeriodeDatumTijdTotEnMet],"&gt;"&amp;($A602+4/24))</f>
        <v/>
      </c>
      <c r="I602" s="20">
        <f>COUNTIFS(tData[SEHTrajectPeriodeDatumTijdVan],"&lt;="&amp;($A602+5/24),tData[SEHTrajectPeriodeDatumTijdTotEnMet],"&gt;"&amp;($A602+5/24))</f>
        <v/>
      </c>
      <c r="J602" s="20">
        <f>COUNTIFS(tData[SEHTrajectPeriodeDatumTijdVan],"&lt;="&amp;($A602+6/24),tData[SEHTrajectPeriodeDatumTijdTotEnMet],"&gt;"&amp;($A602+6/24))</f>
        <v/>
      </c>
      <c r="K602" s="20">
        <f>COUNTIFS(tData[SEHTrajectPeriodeDatumTijdVan],"&lt;="&amp;($A602+7/24),tData[SEHTrajectPeriodeDatumTijdTotEnMet],"&gt;"&amp;($A602+7/24))</f>
        <v/>
      </c>
      <c r="L602" s="20">
        <f>COUNTIFS(tData[SEHTrajectPeriodeDatumTijdVan],"&lt;="&amp;($A602+8/24),tData[SEHTrajectPeriodeDatumTijdTotEnMet],"&gt;"&amp;($A602+8/24))</f>
        <v/>
      </c>
      <c r="M602" s="20">
        <f>COUNTIFS(tData[SEHTrajectPeriodeDatumTijdVan],"&lt;="&amp;($A602+9/24),tData[SEHTrajectPeriodeDatumTijdTotEnMet],"&gt;"&amp;($A602+9/24))</f>
        <v/>
      </c>
      <c r="N602" s="20">
        <f>COUNTIFS(tData[SEHTrajectPeriodeDatumTijdVan],"&lt;="&amp;($A602+10/24),tData[SEHTrajectPeriodeDatumTijdTotEnMet],"&gt;"&amp;($A602+10/24))</f>
        <v/>
      </c>
      <c r="O602" s="20">
        <f>COUNTIFS(tData[SEHTrajectPeriodeDatumTijdVan],"&lt;="&amp;($A602+11/24),tData[SEHTrajectPeriodeDatumTijdTotEnMet],"&gt;"&amp;($A602+11/24))</f>
        <v/>
      </c>
      <c r="P602" s="20">
        <f>COUNTIFS(tData[SEHTrajectPeriodeDatumTijdVan],"&lt;="&amp;($A602+12/24),tData[SEHTrajectPeriodeDatumTijdTotEnMet],"&gt;"&amp;($A602+12/24))</f>
        <v/>
      </c>
      <c r="Q602" s="20">
        <f>COUNTIFS(tData[SEHTrajectPeriodeDatumTijdVan],"&lt;="&amp;($A602+13/24),tData[SEHTrajectPeriodeDatumTijdTotEnMet],"&gt;"&amp;($A602+13/24))</f>
        <v/>
      </c>
      <c r="R602" s="20">
        <f>COUNTIFS(tData[SEHTrajectPeriodeDatumTijdVan],"&lt;="&amp;($A602+14/24),tData[SEHTrajectPeriodeDatumTijdTotEnMet],"&gt;"&amp;($A602+14/24))</f>
        <v/>
      </c>
      <c r="S602" s="20">
        <f>COUNTIFS(tData[SEHTrajectPeriodeDatumTijdVan],"&lt;="&amp;($A602+15/24),tData[SEHTrajectPeriodeDatumTijdTotEnMet],"&gt;"&amp;($A602+15/24))</f>
        <v/>
      </c>
      <c r="T602" s="20">
        <f>COUNTIFS(tData[SEHTrajectPeriodeDatumTijdVan],"&lt;="&amp;($A602+16/24),tData[SEHTrajectPeriodeDatumTijdTotEnMet],"&gt;"&amp;($A602+16/24))</f>
        <v/>
      </c>
      <c r="U602" s="20">
        <f>COUNTIFS(tData[SEHTrajectPeriodeDatumTijdVan],"&lt;="&amp;($A602+17/24),tData[SEHTrajectPeriodeDatumTijdTotEnMet],"&gt;"&amp;($A602+17/24))</f>
        <v/>
      </c>
      <c r="V602" s="20">
        <f>COUNTIFS(tData[SEHTrajectPeriodeDatumTijdVan],"&lt;="&amp;($A602+18/24),tData[SEHTrajectPeriodeDatumTijdTotEnMet],"&gt;"&amp;($A602+18/24))</f>
        <v/>
      </c>
      <c r="W602" s="20">
        <f>COUNTIFS(tData[SEHTrajectPeriodeDatumTijdVan],"&lt;="&amp;($A602+19/24),tData[SEHTrajectPeriodeDatumTijdTotEnMet],"&gt;"&amp;($A602+19/24))</f>
        <v/>
      </c>
      <c r="X602" s="20">
        <f>COUNTIFS(tData[SEHTrajectPeriodeDatumTijdVan],"&lt;="&amp;($A602+20/24),tData[SEHTrajectPeriodeDatumTijdTotEnMet],"&gt;"&amp;($A602+20/24))</f>
        <v/>
      </c>
      <c r="Y602" s="20">
        <f>COUNTIFS(tData[SEHTrajectPeriodeDatumTijdVan],"&lt;="&amp;($A602+21/24),tData[SEHTrajectPeriodeDatumTijdTotEnMet],"&gt;"&amp;($A602+21/24))</f>
        <v/>
      </c>
      <c r="Z602" s="20">
        <f>COUNTIFS(tData[SEHTrajectPeriodeDatumTijdVan],"&lt;="&amp;($A602+22/24),tData[SEHTrajectPeriodeDatumTijdTotEnMet],"&gt;"&amp;($A602+22/24))</f>
        <v/>
      </c>
      <c r="AA602" s="20">
        <f>COUNTIFS(tData[SEHTrajectPeriodeDatumTijdVan],"&lt;="&amp;($A602+23/24),tData[SEHTrajectPeriodeDatumTijdTotEnMet],"&gt;"&amp;($A602+23/24))</f>
        <v/>
      </c>
    </row>
    <row r="603">
      <c r="A603" s="19" t="n">
        <v>45891</v>
      </c>
      <c r="B603" s="15">
        <f>WEEKDAY($A603,2)</f>
        <v/>
      </c>
      <c r="C603" s="15">
        <f>IF(AND($A603&gt;=INT(Instellingen!$B$5),$A603&lt;=INT(Instellingen!$B$6)),1,0)</f>
        <v/>
      </c>
      <c r="D603" s="20">
        <f>COUNTIFS(tData[SEHTrajectPeriodeDatumTijdVan],"&lt;="&amp;($A603+0/24),tData[SEHTrajectPeriodeDatumTijdTotEnMet],"&gt;"&amp;($A603+0/24))</f>
        <v/>
      </c>
      <c r="E603" s="20">
        <f>COUNTIFS(tData[SEHTrajectPeriodeDatumTijdVan],"&lt;="&amp;($A603+1/24),tData[SEHTrajectPeriodeDatumTijdTotEnMet],"&gt;"&amp;($A603+1/24))</f>
        <v/>
      </c>
      <c r="F603" s="20">
        <f>COUNTIFS(tData[SEHTrajectPeriodeDatumTijdVan],"&lt;="&amp;($A603+2/24),tData[SEHTrajectPeriodeDatumTijdTotEnMet],"&gt;"&amp;($A603+2/24))</f>
        <v/>
      </c>
      <c r="G603" s="20">
        <f>COUNTIFS(tData[SEHTrajectPeriodeDatumTijdVan],"&lt;="&amp;($A603+3/24),tData[SEHTrajectPeriodeDatumTijdTotEnMet],"&gt;"&amp;($A603+3/24))</f>
        <v/>
      </c>
      <c r="H603" s="20">
        <f>COUNTIFS(tData[SEHTrajectPeriodeDatumTijdVan],"&lt;="&amp;($A603+4/24),tData[SEHTrajectPeriodeDatumTijdTotEnMet],"&gt;"&amp;($A603+4/24))</f>
        <v/>
      </c>
      <c r="I603" s="20">
        <f>COUNTIFS(tData[SEHTrajectPeriodeDatumTijdVan],"&lt;="&amp;($A603+5/24),tData[SEHTrajectPeriodeDatumTijdTotEnMet],"&gt;"&amp;($A603+5/24))</f>
        <v/>
      </c>
      <c r="J603" s="20">
        <f>COUNTIFS(tData[SEHTrajectPeriodeDatumTijdVan],"&lt;="&amp;($A603+6/24),tData[SEHTrajectPeriodeDatumTijdTotEnMet],"&gt;"&amp;($A603+6/24))</f>
        <v/>
      </c>
      <c r="K603" s="20">
        <f>COUNTIFS(tData[SEHTrajectPeriodeDatumTijdVan],"&lt;="&amp;($A603+7/24),tData[SEHTrajectPeriodeDatumTijdTotEnMet],"&gt;"&amp;($A603+7/24))</f>
        <v/>
      </c>
      <c r="L603" s="20">
        <f>COUNTIFS(tData[SEHTrajectPeriodeDatumTijdVan],"&lt;="&amp;($A603+8/24),tData[SEHTrajectPeriodeDatumTijdTotEnMet],"&gt;"&amp;($A603+8/24))</f>
        <v/>
      </c>
      <c r="M603" s="20">
        <f>COUNTIFS(tData[SEHTrajectPeriodeDatumTijdVan],"&lt;="&amp;($A603+9/24),tData[SEHTrajectPeriodeDatumTijdTotEnMet],"&gt;"&amp;($A603+9/24))</f>
        <v/>
      </c>
      <c r="N603" s="20">
        <f>COUNTIFS(tData[SEHTrajectPeriodeDatumTijdVan],"&lt;="&amp;($A603+10/24),tData[SEHTrajectPeriodeDatumTijdTotEnMet],"&gt;"&amp;($A603+10/24))</f>
        <v/>
      </c>
      <c r="O603" s="20">
        <f>COUNTIFS(tData[SEHTrajectPeriodeDatumTijdVan],"&lt;="&amp;($A603+11/24),tData[SEHTrajectPeriodeDatumTijdTotEnMet],"&gt;"&amp;($A603+11/24))</f>
        <v/>
      </c>
      <c r="P603" s="20">
        <f>COUNTIFS(tData[SEHTrajectPeriodeDatumTijdVan],"&lt;="&amp;($A603+12/24),tData[SEHTrajectPeriodeDatumTijdTotEnMet],"&gt;"&amp;($A603+12/24))</f>
        <v/>
      </c>
      <c r="Q603" s="20">
        <f>COUNTIFS(tData[SEHTrajectPeriodeDatumTijdVan],"&lt;="&amp;($A603+13/24),tData[SEHTrajectPeriodeDatumTijdTotEnMet],"&gt;"&amp;($A603+13/24))</f>
        <v/>
      </c>
      <c r="R603" s="20">
        <f>COUNTIFS(tData[SEHTrajectPeriodeDatumTijdVan],"&lt;="&amp;($A603+14/24),tData[SEHTrajectPeriodeDatumTijdTotEnMet],"&gt;"&amp;($A603+14/24))</f>
        <v/>
      </c>
      <c r="S603" s="20">
        <f>COUNTIFS(tData[SEHTrajectPeriodeDatumTijdVan],"&lt;="&amp;($A603+15/24),tData[SEHTrajectPeriodeDatumTijdTotEnMet],"&gt;"&amp;($A603+15/24))</f>
        <v/>
      </c>
      <c r="T603" s="20">
        <f>COUNTIFS(tData[SEHTrajectPeriodeDatumTijdVan],"&lt;="&amp;($A603+16/24),tData[SEHTrajectPeriodeDatumTijdTotEnMet],"&gt;"&amp;($A603+16/24))</f>
        <v/>
      </c>
      <c r="U603" s="20">
        <f>COUNTIFS(tData[SEHTrajectPeriodeDatumTijdVan],"&lt;="&amp;($A603+17/24),tData[SEHTrajectPeriodeDatumTijdTotEnMet],"&gt;"&amp;($A603+17/24))</f>
        <v/>
      </c>
      <c r="V603" s="20">
        <f>COUNTIFS(tData[SEHTrajectPeriodeDatumTijdVan],"&lt;="&amp;($A603+18/24),tData[SEHTrajectPeriodeDatumTijdTotEnMet],"&gt;"&amp;($A603+18/24))</f>
        <v/>
      </c>
      <c r="W603" s="20">
        <f>COUNTIFS(tData[SEHTrajectPeriodeDatumTijdVan],"&lt;="&amp;($A603+19/24),tData[SEHTrajectPeriodeDatumTijdTotEnMet],"&gt;"&amp;($A603+19/24))</f>
        <v/>
      </c>
      <c r="X603" s="20">
        <f>COUNTIFS(tData[SEHTrajectPeriodeDatumTijdVan],"&lt;="&amp;($A603+20/24),tData[SEHTrajectPeriodeDatumTijdTotEnMet],"&gt;"&amp;($A603+20/24))</f>
        <v/>
      </c>
      <c r="Y603" s="20">
        <f>COUNTIFS(tData[SEHTrajectPeriodeDatumTijdVan],"&lt;="&amp;($A603+21/24),tData[SEHTrajectPeriodeDatumTijdTotEnMet],"&gt;"&amp;($A603+21/24))</f>
        <v/>
      </c>
      <c r="Z603" s="20">
        <f>COUNTIFS(tData[SEHTrajectPeriodeDatumTijdVan],"&lt;="&amp;($A603+22/24),tData[SEHTrajectPeriodeDatumTijdTotEnMet],"&gt;"&amp;($A603+22/24))</f>
        <v/>
      </c>
      <c r="AA603" s="20">
        <f>COUNTIFS(tData[SEHTrajectPeriodeDatumTijdVan],"&lt;="&amp;($A603+23/24),tData[SEHTrajectPeriodeDatumTijdTotEnMet],"&gt;"&amp;($A603+23/24))</f>
        <v/>
      </c>
    </row>
    <row r="604">
      <c r="A604" s="19" t="n">
        <v>45892</v>
      </c>
      <c r="B604" s="15">
        <f>WEEKDAY($A604,2)</f>
        <v/>
      </c>
      <c r="C604" s="15">
        <f>IF(AND($A604&gt;=INT(Instellingen!$B$5),$A604&lt;=INT(Instellingen!$B$6)),1,0)</f>
        <v/>
      </c>
      <c r="D604" s="20">
        <f>COUNTIFS(tData[SEHTrajectPeriodeDatumTijdVan],"&lt;="&amp;($A604+0/24),tData[SEHTrajectPeriodeDatumTijdTotEnMet],"&gt;"&amp;($A604+0/24))</f>
        <v/>
      </c>
      <c r="E604" s="20">
        <f>COUNTIFS(tData[SEHTrajectPeriodeDatumTijdVan],"&lt;="&amp;($A604+1/24),tData[SEHTrajectPeriodeDatumTijdTotEnMet],"&gt;"&amp;($A604+1/24))</f>
        <v/>
      </c>
      <c r="F604" s="20">
        <f>COUNTIFS(tData[SEHTrajectPeriodeDatumTijdVan],"&lt;="&amp;($A604+2/24),tData[SEHTrajectPeriodeDatumTijdTotEnMet],"&gt;"&amp;($A604+2/24))</f>
        <v/>
      </c>
      <c r="G604" s="20">
        <f>COUNTIFS(tData[SEHTrajectPeriodeDatumTijdVan],"&lt;="&amp;($A604+3/24),tData[SEHTrajectPeriodeDatumTijdTotEnMet],"&gt;"&amp;($A604+3/24))</f>
        <v/>
      </c>
      <c r="H604" s="20">
        <f>COUNTIFS(tData[SEHTrajectPeriodeDatumTijdVan],"&lt;="&amp;($A604+4/24),tData[SEHTrajectPeriodeDatumTijdTotEnMet],"&gt;"&amp;($A604+4/24))</f>
        <v/>
      </c>
      <c r="I604" s="20">
        <f>COUNTIFS(tData[SEHTrajectPeriodeDatumTijdVan],"&lt;="&amp;($A604+5/24),tData[SEHTrajectPeriodeDatumTijdTotEnMet],"&gt;"&amp;($A604+5/24))</f>
        <v/>
      </c>
      <c r="J604" s="20">
        <f>COUNTIFS(tData[SEHTrajectPeriodeDatumTijdVan],"&lt;="&amp;($A604+6/24),tData[SEHTrajectPeriodeDatumTijdTotEnMet],"&gt;"&amp;($A604+6/24))</f>
        <v/>
      </c>
      <c r="K604" s="20">
        <f>COUNTIFS(tData[SEHTrajectPeriodeDatumTijdVan],"&lt;="&amp;($A604+7/24),tData[SEHTrajectPeriodeDatumTijdTotEnMet],"&gt;"&amp;($A604+7/24))</f>
        <v/>
      </c>
      <c r="L604" s="20">
        <f>COUNTIFS(tData[SEHTrajectPeriodeDatumTijdVan],"&lt;="&amp;($A604+8/24),tData[SEHTrajectPeriodeDatumTijdTotEnMet],"&gt;"&amp;($A604+8/24))</f>
        <v/>
      </c>
      <c r="M604" s="20">
        <f>COUNTIFS(tData[SEHTrajectPeriodeDatumTijdVan],"&lt;="&amp;($A604+9/24),tData[SEHTrajectPeriodeDatumTijdTotEnMet],"&gt;"&amp;($A604+9/24))</f>
        <v/>
      </c>
      <c r="N604" s="20">
        <f>COUNTIFS(tData[SEHTrajectPeriodeDatumTijdVan],"&lt;="&amp;($A604+10/24),tData[SEHTrajectPeriodeDatumTijdTotEnMet],"&gt;"&amp;($A604+10/24))</f>
        <v/>
      </c>
      <c r="O604" s="20">
        <f>COUNTIFS(tData[SEHTrajectPeriodeDatumTijdVan],"&lt;="&amp;($A604+11/24),tData[SEHTrajectPeriodeDatumTijdTotEnMet],"&gt;"&amp;($A604+11/24))</f>
        <v/>
      </c>
      <c r="P604" s="20">
        <f>COUNTIFS(tData[SEHTrajectPeriodeDatumTijdVan],"&lt;="&amp;($A604+12/24),tData[SEHTrajectPeriodeDatumTijdTotEnMet],"&gt;"&amp;($A604+12/24))</f>
        <v/>
      </c>
      <c r="Q604" s="20">
        <f>COUNTIFS(tData[SEHTrajectPeriodeDatumTijdVan],"&lt;="&amp;($A604+13/24),tData[SEHTrajectPeriodeDatumTijdTotEnMet],"&gt;"&amp;($A604+13/24))</f>
        <v/>
      </c>
      <c r="R604" s="20">
        <f>COUNTIFS(tData[SEHTrajectPeriodeDatumTijdVan],"&lt;="&amp;($A604+14/24),tData[SEHTrajectPeriodeDatumTijdTotEnMet],"&gt;"&amp;($A604+14/24))</f>
        <v/>
      </c>
      <c r="S604" s="20">
        <f>COUNTIFS(tData[SEHTrajectPeriodeDatumTijdVan],"&lt;="&amp;($A604+15/24),tData[SEHTrajectPeriodeDatumTijdTotEnMet],"&gt;"&amp;($A604+15/24))</f>
        <v/>
      </c>
      <c r="T604" s="20">
        <f>COUNTIFS(tData[SEHTrajectPeriodeDatumTijdVan],"&lt;="&amp;($A604+16/24),tData[SEHTrajectPeriodeDatumTijdTotEnMet],"&gt;"&amp;($A604+16/24))</f>
        <v/>
      </c>
      <c r="U604" s="20">
        <f>COUNTIFS(tData[SEHTrajectPeriodeDatumTijdVan],"&lt;="&amp;($A604+17/24),tData[SEHTrajectPeriodeDatumTijdTotEnMet],"&gt;"&amp;($A604+17/24))</f>
        <v/>
      </c>
      <c r="V604" s="20">
        <f>COUNTIFS(tData[SEHTrajectPeriodeDatumTijdVan],"&lt;="&amp;($A604+18/24),tData[SEHTrajectPeriodeDatumTijdTotEnMet],"&gt;"&amp;($A604+18/24))</f>
        <v/>
      </c>
      <c r="W604" s="20">
        <f>COUNTIFS(tData[SEHTrajectPeriodeDatumTijdVan],"&lt;="&amp;($A604+19/24),tData[SEHTrajectPeriodeDatumTijdTotEnMet],"&gt;"&amp;($A604+19/24))</f>
        <v/>
      </c>
      <c r="X604" s="20">
        <f>COUNTIFS(tData[SEHTrajectPeriodeDatumTijdVan],"&lt;="&amp;($A604+20/24),tData[SEHTrajectPeriodeDatumTijdTotEnMet],"&gt;"&amp;($A604+20/24))</f>
        <v/>
      </c>
      <c r="Y604" s="20">
        <f>COUNTIFS(tData[SEHTrajectPeriodeDatumTijdVan],"&lt;="&amp;($A604+21/24),tData[SEHTrajectPeriodeDatumTijdTotEnMet],"&gt;"&amp;($A604+21/24))</f>
        <v/>
      </c>
      <c r="Z604" s="20">
        <f>COUNTIFS(tData[SEHTrajectPeriodeDatumTijdVan],"&lt;="&amp;($A604+22/24),tData[SEHTrajectPeriodeDatumTijdTotEnMet],"&gt;"&amp;($A604+22/24))</f>
        <v/>
      </c>
      <c r="AA604" s="20">
        <f>COUNTIFS(tData[SEHTrajectPeriodeDatumTijdVan],"&lt;="&amp;($A604+23/24),tData[SEHTrajectPeriodeDatumTijdTotEnMet],"&gt;"&amp;($A604+23/24))</f>
        <v/>
      </c>
    </row>
    <row r="605">
      <c r="A605" s="19" t="n">
        <v>45893</v>
      </c>
      <c r="B605" s="15">
        <f>WEEKDAY($A605,2)</f>
        <v/>
      </c>
      <c r="C605" s="15">
        <f>IF(AND($A605&gt;=INT(Instellingen!$B$5),$A605&lt;=INT(Instellingen!$B$6)),1,0)</f>
        <v/>
      </c>
      <c r="D605" s="20">
        <f>COUNTIFS(tData[SEHTrajectPeriodeDatumTijdVan],"&lt;="&amp;($A605+0/24),tData[SEHTrajectPeriodeDatumTijdTotEnMet],"&gt;"&amp;($A605+0/24))</f>
        <v/>
      </c>
      <c r="E605" s="20">
        <f>COUNTIFS(tData[SEHTrajectPeriodeDatumTijdVan],"&lt;="&amp;($A605+1/24),tData[SEHTrajectPeriodeDatumTijdTotEnMet],"&gt;"&amp;($A605+1/24))</f>
        <v/>
      </c>
      <c r="F605" s="20">
        <f>COUNTIFS(tData[SEHTrajectPeriodeDatumTijdVan],"&lt;="&amp;($A605+2/24),tData[SEHTrajectPeriodeDatumTijdTotEnMet],"&gt;"&amp;($A605+2/24))</f>
        <v/>
      </c>
      <c r="G605" s="20">
        <f>COUNTIFS(tData[SEHTrajectPeriodeDatumTijdVan],"&lt;="&amp;($A605+3/24),tData[SEHTrajectPeriodeDatumTijdTotEnMet],"&gt;"&amp;($A605+3/24))</f>
        <v/>
      </c>
      <c r="H605" s="20">
        <f>COUNTIFS(tData[SEHTrajectPeriodeDatumTijdVan],"&lt;="&amp;($A605+4/24),tData[SEHTrajectPeriodeDatumTijdTotEnMet],"&gt;"&amp;($A605+4/24))</f>
        <v/>
      </c>
      <c r="I605" s="20">
        <f>COUNTIFS(tData[SEHTrajectPeriodeDatumTijdVan],"&lt;="&amp;($A605+5/24),tData[SEHTrajectPeriodeDatumTijdTotEnMet],"&gt;"&amp;($A605+5/24))</f>
        <v/>
      </c>
      <c r="J605" s="20">
        <f>COUNTIFS(tData[SEHTrajectPeriodeDatumTijdVan],"&lt;="&amp;($A605+6/24),tData[SEHTrajectPeriodeDatumTijdTotEnMet],"&gt;"&amp;($A605+6/24))</f>
        <v/>
      </c>
      <c r="K605" s="20">
        <f>COUNTIFS(tData[SEHTrajectPeriodeDatumTijdVan],"&lt;="&amp;($A605+7/24),tData[SEHTrajectPeriodeDatumTijdTotEnMet],"&gt;"&amp;($A605+7/24))</f>
        <v/>
      </c>
      <c r="L605" s="20">
        <f>COUNTIFS(tData[SEHTrajectPeriodeDatumTijdVan],"&lt;="&amp;($A605+8/24),tData[SEHTrajectPeriodeDatumTijdTotEnMet],"&gt;"&amp;($A605+8/24))</f>
        <v/>
      </c>
      <c r="M605" s="20">
        <f>COUNTIFS(tData[SEHTrajectPeriodeDatumTijdVan],"&lt;="&amp;($A605+9/24),tData[SEHTrajectPeriodeDatumTijdTotEnMet],"&gt;"&amp;($A605+9/24))</f>
        <v/>
      </c>
      <c r="N605" s="20">
        <f>COUNTIFS(tData[SEHTrajectPeriodeDatumTijdVan],"&lt;="&amp;($A605+10/24),tData[SEHTrajectPeriodeDatumTijdTotEnMet],"&gt;"&amp;($A605+10/24))</f>
        <v/>
      </c>
      <c r="O605" s="20">
        <f>COUNTIFS(tData[SEHTrajectPeriodeDatumTijdVan],"&lt;="&amp;($A605+11/24),tData[SEHTrajectPeriodeDatumTijdTotEnMet],"&gt;"&amp;($A605+11/24))</f>
        <v/>
      </c>
      <c r="P605" s="20">
        <f>COUNTIFS(tData[SEHTrajectPeriodeDatumTijdVan],"&lt;="&amp;($A605+12/24),tData[SEHTrajectPeriodeDatumTijdTotEnMet],"&gt;"&amp;($A605+12/24))</f>
        <v/>
      </c>
      <c r="Q605" s="20">
        <f>COUNTIFS(tData[SEHTrajectPeriodeDatumTijdVan],"&lt;="&amp;($A605+13/24),tData[SEHTrajectPeriodeDatumTijdTotEnMet],"&gt;"&amp;($A605+13/24))</f>
        <v/>
      </c>
      <c r="R605" s="20">
        <f>COUNTIFS(tData[SEHTrajectPeriodeDatumTijdVan],"&lt;="&amp;($A605+14/24),tData[SEHTrajectPeriodeDatumTijdTotEnMet],"&gt;"&amp;($A605+14/24))</f>
        <v/>
      </c>
      <c r="S605" s="20">
        <f>COUNTIFS(tData[SEHTrajectPeriodeDatumTijdVan],"&lt;="&amp;($A605+15/24),tData[SEHTrajectPeriodeDatumTijdTotEnMet],"&gt;"&amp;($A605+15/24))</f>
        <v/>
      </c>
      <c r="T605" s="20">
        <f>COUNTIFS(tData[SEHTrajectPeriodeDatumTijdVan],"&lt;="&amp;($A605+16/24),tData[SEHTrajectPeriodeDatumTijdTotEnMet],"&gt;"&amp;($A605+16/24))</f>
        <v/>
      </c>
      <c r="U605" s="20">
        <f>COUNTIFS(tData[SEHTrajectPeriodeDatumTijdVan],"&lt;="&amp;($A605+17/24),tData[SEHTrajectPeriodeDatumTijdTotEnMet],"&gt;"&amp;($A605+17/24))</f>
        <v/>
      </c>
      <c r="V605" s="20">
        <f>COUNTIFS(tData[SEHTrajectPeriodeDatumTijdVan],"&lt;="&amp;($A605+18/24),tData[SEHTrajectPeriodeDatumTijdTotEnMet],"&gt;"&amp;($A605+18/24))</f>
        <v/>
      </c>
      <c r="W605" s="20">
        <f>COUNTIFS(tData[SEHTrajectPeriodeDatumTijdVan],"&lt;="&amp;($A605+19/24),tData[SEHTrajectPeriodeDatumTijdTotEnMet],"&gt;"&amp;($A605+19/24))</f>
        <v/>
      </c>
      <c r="X605" s="20">
        <f>COUNTIFS(tData[SEHTrajectPeriodeDatumTijdVan],"&lt;="&amp;($A605+20/24),tData[SEHTrajectPeriodeDatumTijdTotEnMet],"&gt;"&amp;($A605+20/24))</f>
        <v/>
      </c>
      <c r="Y605" s="20">
        <f>COUNTIFS(tData[SEHTrajectPeriodeDatumTijdVan],"&lt;="&amp;($A605+21/24),tData[SEHTrajectPeriodeDatumTijdTotEnMet],"&gt;"&amp;($A605+21/24))</f>
        <v/>
      </c>
      <c r="Z605" s="20">
        <f>COUNTIFS(tData[SEHTrajectPeriodeDatumTijdVan],"&lt;="&amp;($A605+22/24),tData[SEHTrajectPeriodeDatumTijdTotEnMet],"&gt;"&amp;($A605+22/24))</f>
        <v/>
      </c>
      <c r="AA605" s="20">
        <f>COUNTIFS(tData[SEHTrajectPeriodeDatumTijdVan],"&lt;="&amp;($A605+23/24),tData[SEHTrajectPeriodeDatumTijdTotEnMet],"&gt;"&amp;($A605+23/24))</f>
        <v/>
      </c>
    </row>
    <row r="606">
      <c r="A606" s="19" t="n">
        <v>45894</v>
      </c>
      <c r="B606" s="15">
        <f>WEEKDAY($A606,2)</f>
        <v/>
      </c>
      <c r="C606" s="15">
        <f>IF(AND($A606&gt;=INT(Instellingen!$B$5),$A606&lt;=INT(Instellingen!$B$6)),1,0)</f>
        <v/>
      </c>
      <c r="D606" s="20">
        <f>COUNTIFS(tData[SEHTrajectPeriodeDatumTijdVan],"&lt;="&amp;($A606+0/24),tData[SEHTrajectPeriodeDatumTijdTotEnMet],"&gt;"&amp;($A606+0/24))</f>
        <v/>
      </c>
      <c r="E606" s="20">
        <f>COUNTIFS(tData[SEHTrajectPeriodeDatumTijdVan],"&lt;="&amp;($A606+1/24),tData[SEHTrajectPeriodeDatumTijdTotEnMet],"&gt;"&amp;($A606+1/24))</f>
        <v/>
      </c>
      <c r="F606" s="20">
        <f>COUNTIFS(tData[SEHTrajectPeriodeDatumTijdVan],"&lt;="&amp;($A606+2/24),tData[SEHTrajectPeriodeDatumTijdTotEnMet],"&gt;"&amp;($A606+2/24))</f>
        <v/>
      </c>
      <c r="G606" s="20">
        <f>COUNTIFS(tData[SEHTrajectPeriodeDatumTijdVan],"&lt;="&amp;($A606+3/24),tData[SEHTrajectPeriodeDatumTijdTotEnMet],"&gt;"&amp;($A606+3/24))</f>
        <v/>
      </c>
      <c r="H606" s="20">
        <f>COUNTIFS(tData[SEHTrajectPeriodeDatumTijdVan],"&lt;="&amp;($A606+4/24),tData[SEHTrajectPeriodeDatumTijdTotEnMet],"&gt;"&amp;($A606+4/24))</f>
        <v/>
      </c>
      <c r="I606" s="20">
        <f>COUNTIFS(tData[SEHTrajectPeriodeDatumTijdVan],"&lt;="&amp;($A606+5/24),tData[SEHTrajectPeriodeDatumTijdTotEnMet],"&gt;"&amp;($A606+5/24))</f>
        <v/>
      </c>
      <c r="J606" s="20">
        <f>COUNTIFS(tData[SEHTrajectPeriodeDatumTijdVan],"&lt;="&amp;($A606+6/24),tData[SEHTrajectPeriodeDatumTijdTotEnMet],"&gt;"&amp;($A606+6/24))</f>
        <v/>
      </c>
      <c r="K606" s="20">
        <f>COUNTIFS(tData[SEHTrajectPeriodeDatumTijdVan],"&lt;="&amp;($A606+7/24),tData[SEHTrajectPeriodeDatumTijdTotEnMet],"&gt;"&amp;($A606+7/24))</f>
        <v/>
      </c>
      <c r="L606" s="20">
        <f>COUNTIFS(tData[SEHTrajectPeriodeDatumTijdVan],"&lt;="&amp;($A606+8/24),tData[SEHTrajectPeriodeDatumTijdTotEnMet],"&gt;"&amp;($A606+8/24))</f>
        <v/>
      </c>
      <c r="M606" s="20">
        <f>COUNTIFS(tData[SEHTrajectPeriodeDatumTijdVan],"&lt;="&amp;($A606+9/24),tData[SEHTrajectPeriodeDatumTijdTotEnMet],"&gt;"&amp;($A606+9/24))</f>
        <v/>
      </c>
      <c r="N606" s="20">
        <f>COUNTIFS(tData[SEHTrajectPeriodeDatumTijdVan],"&lt;="&amp;($A606+10/24),tData[SEHTrajectPeriodeDatumTijdTotEnMet],"&gt;"&amp;($A606+10/24))</f>
        <v/>
      </c>
      <c r="O606" s="20">
        <f>COUNTIFS(tData[SEHTrajectPeriodeDatumTijdVan],"&lt;="&amp;($A606+11/24),tData[SEHTrajectPeriodeDatumTijdTotEnMet],"&gt;"&amp;($A606+11/24))</f>
        <v/>
      </c>
      <c r="P606" s="20">
        <f>COUNTIFS(tData[SEHTrajectPeriodeDatumTijdVan],"&lt;="&amp;($A606+12/24),tData[SEHTrajectPeriodeDatumTijdTotEnMet],"&gt;"&amp;($A606+12/24))</f>
        <v/>
      </c>
      <c r="Q606" s="20">
        <f>COUNTIFS(tData[SEHTrajectPeriodeDatumTijdVan],"&lt;="&amp;($A606+13/24),tData[SEHTrajectPeriodeDatumTijdTotEnMet],"&gt;"&amp;($A606+13/24))</f>
        <v/>
      </c>
      <c r="R606" s="20">
        <f>COUNTIFS(tData[SEHTrajectPeriodeDatumTijdVan],"&lt;="&amp;($A606+14/24),tData[SEHTrajectPeriodeDatumTijdTotEnMet],"&gt;"&amp;($A606+14/24))</f>
        <v/>
      </c>
      <c r="S606" s="20">
        <f>COUNTIFS(tData[SEHTrajectPeriodeDatumTijdVan],"&lt;="&amp;($A606+15/24),tData[SEHTrajectPeriodeDatumTijdTotEnMet],"&gt;"&amp;($A606+15/24))</f>
        <v/>
      </c>
      <c r="T606" s="20">
        <f>COUNTIFS(tData[SEHTrajectPeriodeDatumTijdVan],"&lt;="&amp;($A606+16/24),tData[SEHTrajectPeriodeDatumTijdTotEnMet],"&gt;"&amp;($A606+16/24))</f>
        <v/>
      </c>
      <c r="U606" s="20">
        <f>COUNTIFS(tData[SEHTrajectPeriodeDatumTijdVan],"&lt;="&amp;($A606+17/24),tData[SEHTrajectPeriodeDatumTijdTotEnMet],"&gt;"&amp;($A606+17/24))</f>
        <v/>
      </c>
      <c r="V606" s="20">
        <f>COUNTIFS(tData[SEHTrajectPeriodeDatumTijdVan],"&lt;="&amp;($A606+18/24),tData[SEHTrajectPeriodeDatumTijdTotEnMet],"&gt;"&amp;($A606+18/24))</f>
        <v/>
      </c>
      <c r="W606" s="20">
        <f>COUNTIFS(tData[SEHTrajectPeriodeDatumTijdVan],"&lt;="&amp;($A606+19/24),tData[SEHTrajectPeriodeDatumTijdTotEnMet],"&gt;"&amp;($A606+19/24))</f>
        <v/>
      </c>
      <c r="X606" s="20">
        <f>COUNTIFS(tData[SEHTrajectPeriodeDatumTijdVan],"&lt;="&amp;($A606+20/24),tData[SEHTrajectPeriodeDatumTijdTotEnMet],"&gt;"&amp;($A606+20/24))</f>
        <v/>
      </c>
      <c r="Y606" s="20">
        <f>COUNTIFS(tData[SEHTrajectPeriodeDatumTijdVan],"&lt;="&amp;($A606+21/24),tData[SEHTrajectPeriodeDatumTijdTotEnMet],"&gt;"&amp;($A606+21/24))</f>
        <v/>
      </c>
      <c r="Z606" s="20">
        <f>COUNTIFS(tData[SEHTrajectPeriodeDatumTijdVan],"&lt;="&amp;($A606+22/24),tData[SEHTrajectPeriodeDatumTijdTotEnMet],"&gt;"&amp;($A606+22/24))</f>
        <v/>
      </c>
      <c r="AA606" s="20">
        <f>COUNTIFS(tData[SEHTrajectPeriodeDatumTijdVan],"&lt;="&amp;($A606+23/24),tData[SEHTrajectPeriodeDatumTijdTotEnMet],"&gt;"&amp;($A606+23/24))</f>
        <v/>
      </c>
    </row>
    <row r="607">
      <c r="A607" s="19" t="n">
        <v>45895</v>
      </c>
      <c r="B607" s="15">
        <f>WEEKDAY($A607,2)</f>
        <v/>
      </c>
      <c r="C607" s="15">
        <f>IF(AND($A607&gt;=INT(Instellingen!$B$5),$A607&lt;=INT(Instellingen!$B$6)),1,0)</f>
        <v/>
      </c>
      <c r="D607" s="20">
        <f>COUNTIFS(tData[SEHTrajectPeriodeDatumTijdVan],"&lt;="&amp;($A607+0/24),tData[SEHTrajectPeriodeDatumTijdTotEnMet],"&gt;"&amp;($A607+0/24))</f>
        <v/>
      </c>
      <c r="E607" s="20">
        <f>COUNTIFS(tData[SEHTrajectPeriodeDatumTijdVan],"&lt;="&amp;($A607+1/24),tData[SEHTrajectPeriodeDatumTijdTotEnMet],"&gt;"&amp;($A607+1/24))</f>
        <v/>
      </c>
      <c r="F607" s="20">
        <f>COUNTIFS(tData[SEHTrajectPeriodeDatumTijdVan],"&lt;="&amp;($A607+2/24),tData[SEHTrajectPeriodeDatumTijdTotEnMet],"&gt;"&amp;($A607+2/24))</f>
        <v/>
      </c>
      <c r="G607" s="20">
        <f>COUNTIFS(tData[SEHTrajectPeriodeDatumTijdVan],"&lt;="&amp;($A607+3/24),tData[SEHTrajectPeriodeDatumTijdTotEnMet],"&gt;"&amp;($A607+3/24))</f>
        <v/>
      </c>
      <c r="H607" s="20">
        <f>COUNTIFS(tData[SEHTrajectPeriodeDatumTijdVan],"&lt;="&amp;($A607+4/24),tData[SEHTrajectPeriodeDatumTijdTotEnMet],"&gt;"&amp;($A607+4/24))</f>
        <v/>
      </c>
      <c r="I607" s="20">
        <f>COUNTIFS(tData[SEHTrajectPeriodeDatumTijdVan],"&lt;="&amp;($A607+5/24),tData[SEHTrajectPeriodeDatumTijdTotEnMet],"&gt;"&amp;($A607+5/24))</f>
        <v/>
      </c>
      <c r="J607" s="20">
        <f>COUNTIFS(tData[SEHTrajectPeriodeDatumTijdVan],"&lt;="&amp;($A607+6/24),tData[SEHTrajectPeriodeDatumTijdTotEnMet],"&gt;"&amp;($A607+6/24))</f>
        <v/>
      </c>
      <c r="K607" s="20">
        <f>COUNTIFS(tData[SEHTrajectPeriodeDatumTijdVan],"&lt;="&amp;($A607+7/24),tData[SEHTrajectPeriodeDatumTijdTotEnMet],"&gt;"&amp;($A607+7/24))</f>
        <v/>
      </c>
      <c r="L607" s="20">
        <f>COUNTIFS(tData[SEHTrajectPeriodeDatumTijdVan],"&lt;="&amp;($A607+8/24),tData[SEHTrajectPeriodeDatumTijdTotEnMet],"&gt;"&amp;($A607+8/24))</f>
        <v/>
      </c>
      <c r="M607" s="20">
        <f>COUNTIFS(tData[SEHTrajectPeriodeDatumTijdVan],"&lt;="&amp;($A607+9/24),tData[SEHTrajectPeriodeDatumTijdTotEnMet],"&gt;"&amp;($A607+9/24))</f>
        <v/>
      </c>
      <c r="N607" s="20">
        <f>COUNTIFS(tData[SEHTrajectPeriodeDatumTijdVan],"&lt;="&amp;($A607+10/24),tData[SEHTrajectPeriodeDatumTijdTotEnMet],"&gt;"&amp;($A607+10/24))</f>
        <v/>
      </c>
      <c r="O607" s="20">
        <f>COUNTIFS(tData[SEHTrajectPeriodeDatumTijdVan],"&lt;="&amp;($A607+11/24),tData[SEHTrajectPeriodeDatumTijdTotEnMet],"&gt;"&amp;($A607+11/24))</f>
        <v/>
      </c>
      <c r="P607" s="20">
        <f>COUNTIFS(tData[SEHTrajectPeriodeDatumTijdVan],"&lt;="&amp;($A607+12/24),tData[SEHTrajectPeriodeDatumTijdTotEnMet],"&gt;"&amp;($A607+12/24))</f>
        <v/>
      </c>
      <c r="Q607" s="20">
        <f>COUNTIFS(tData[SEHTrajectPeriodeDatumTijdVan],"&lt;="&amp;($A607+13/24),tData[SEHTrajectPeriodeDatumTijdTotEnMet],"&gt;"&amp;($A607+13/24))</f>
        <v/>
      </c>
      <c r="R607" s="20">
        <f>COUNTIFS(tData[SEHTrajectPeriodeDatumTijdVan],"&lt;="&amp;($A607+14/24),tData[SEHTrajectPeriodeDatumTijdTotEnMet],"&gt;"&amp;($A607+14/24))</f>
        <v/>
      </c>
      <c r="S607" s="20">
        <f>COUNTIFS(tData[SEHTrajectPeriodeDatumTijdVan],"&lt;="&amp;($A607+15/24),tData[SEHTrajectPeriodeDatumTijdTotEnMet],"&gt;"&amp;($A607+15/24))</f>
        <v/>
      </c>
      <c r="T607" s="20">
        <f>COUNTIFS(tData[SEHTrajectPeriodeDatumTijdVan],"&lt;="&amp;($A607+16/24),tData[SEHTrajectPeriodeDatumTijdTotEnMet],"&gt;"&amp;($A607+16/24))</f>
        <v/>
      </c>
      <c r="U607" s="20">
        <f>COUNTIFS(tData[SEHTrajectPeriodeDatumTijdVan],"&lt;="&amp;($A607+17/24),tData[SEHTrajectPeriodeDatumTijdTotEnMet],"&gt;"&amp;($A607+17/24))</f>
        <v/>
      </c>
      <c r="V607" s="20">
        <f>COUNTIFS(tData[SEHTrajectPeriodeDatumTijdVan],"&lt;="&amp;($A607+18/24),tData[SEHTrajectPeriodeDatumTijdTotEnMet],"&gt;"&amp;($A607+18/24))</f>
        <v/>
      </c>
      <c r="W607" s="20">
        <f>COUNTIFS(tData[SEHTrajectPeriodeDatumTijdVan],"&lt;="&amp;($A607+19/24),tData[SEHTrajectPeriodeDatumTijdTotEnMet],"&gt;"&amp;($A607+19/24))</f>
        <v/>
      </c>
      <c r="X607" s="20">
        <f>COUNTIFS(tData[SEHTrajectPeriodeDatumTijdVan],"&lt;="&amp;($A607+20/24),tData[SEHTrajectPeriodeDatumTijdTotEnMet],"&gt;"&amp;($A607+20/24))</f>
        <v/>
      </c>
      <c r="Y607" s="20">
        <f>COUNTIFS(tData[SEHTrajectPeriodeDatumTijdVan],"&lt;="&amp;($A607+21/24),tData[SEHTrajectPeriodeDatumTijdTotEnMet],"&gt;"&amp;($A607+21/24))</f>
        <v/>
      </c>
      <c r="Z607" s="20">
        <f>COUNTIFS(tData[SEHTrajectPeriodeDatumTijdVan],"&lt;="&amp;($A607+22/24),tData[SEHTrajectPeriodeDatumTijdTotEnMet],"&gt;"&amp;($A607+22/24))</f>
        <v/>
      </c>
      <c r="AA607" s="20">
        <f>COUNTIFS(tData[SEHTrajectPeriodeDatumTijdVan],"&lt;="&amp;($A607+23/24),tData[SEHTrajectPeriodeDatumTijdTotEnMet],"&gt;"&amp;($A607+23/24))</f>
        <v/>
      </c>
    </row>
    <row r="608">
      <c r="A608" s="19" t="n">
        <v>45896</v>
      </c>
      <c r="B608" s="15">
        <f>WEEKDAY($A608,2)</f>
        <v/>
      </c>
      <c r="C608" s="15">
        <f>IF(AND($A608&gt;=INT(Instellingen!$B$5),$A608&lt;=INT(Instellingen!$B$6)),1,0)</f>
        <v/>
      </c>
      <c r="D608" s="20">
        <f>COUNTIFS(tData[SEHTrajectPeriodeDatumTijdVan],"&lt;="&amp;($A608+0/24),tData[SEHTrajectPeriodeDatumTijdTotEnMet],"&gt;"&amp;($A608+0/24))</f>
        <v/>
      </c>
      <c r="E608" s="20">
        <f>COUNTIFS(tData[SEHTrajectPeriodeDatumTijdVan],"&lt;="&amp;($A608+1/24),tData[SEHTrajectPeriodeDatumTijdTotEnMet],"&gt;"&amp;($A608+1/24))</f>
        <v/>
      </c>
      <c r="F608" s="20">
        <f>COUNTIFS(tData[SEHTrajectPeriodeDatumTijdVan],"&lt;="&amp;($A608+2/24),tData[SEHTrajectPeriodeDatumTijdTotEnMet],"&gt;"&amp;($A608+2/24))</f>
        <v/>
      </c>
      <c r="G608" s="20">
        <f>COUNTIFS(tData[SEHTrajectPeriodeDatumTijdVan],"&lt;="&amp;($A608+3/24),tData[SEHTrajectPeriodeDatumTijdTotEnMet],"&gt;"&amp;($A608+3/24))</f>
        <v/>
      </c>
      <c r="H608" s="20">
        <f>COUNTIFS(tData[SEHTrajectPeriodeDatumTijdVan],"&lt;="&amp;($A608+4/24),tData[SEHTrajectPeriodeDatumTijdTotEnMet],"&gt;"&amp;($A608+4/24))</f>
        <v/>
      </c>
      <c r="I608" s="20">
        <f>COUNTIFS(tData[SEHTrajectPeriodeDatumTijdVan],"&lt;="&amp;($A608+5/24),tData[SEHTrajectPeriodeDatumTijdTotEnMet],"&gt;"&amp;($A608+5/24))</f>
        <v/>
      </c>
      <c r="J608" s="20">
        <f>COUNTIFS(tData[SEHTrajectPeriodeDatumTijdVan],"&lt;="&amp;($A608+6/24),tData[SEHTrajectPeriodeDatumTijdTotEnMet],"&gt;"&amp;($A608+6/24))</f>
        <v/>
      </c>
      <c r="K608" s="20">
        <f>COUNTIFS(tData[SEHTrajectPeriodeDatumTijdVan],"&lt;="&amp;($A608+7/24),tData[SEHTrajectPeriodeDatumTijdTotEnMet],"&gt;"&amp;($A608+7/24))</f>
        <v/>
      </c>
      <c r="L608" s="20">
        <f>COUNTIFS(tData[SEHTrajectPeriodeDatumTijdVan],"&lt;="&amp;($A608+8/24),tData[SEHTrajectPeriodeDatumTijdTotEnMet],"&gt;"&amp;($A608+8/24))</f>
        <v/>
      </c>
      <c r="M608" s="20">
        <f>COUNTIFS(tData[SEHTrajectPeriodeDatumTijdVan],"&lt;="&amp;($A608+9/24),tData[SEHTrajectPeriodeDatumTijdTotEnMet],"&gt;"&amp;($A608+9/24))</f>
        <v/>
      </c>
      <c r="N608" s="20">
        <f>COUNTIFS(tData[SEHTrajectPeriodeDatumTijdVan],"&lt;="&amp;($A608+10/24),tData[SEHTrajectPeriodeDatumTijdTotEnMet],"&gt;"&amp;($A608+10/24))</f>
        <v/>
      </c>
      <c r="O608" s="20">
        <f>COUNTIFS(tData[SEHTrajectPeriodeDatumTijdVan],"&lt;="&amp;($A608+11/24),tData[SEHTrajectPeriodeDatumTijdTotEnMet],"&gt;"&amp;($A608+11/24))</f>
        <v/>
      </c>
      <c r="P608" s="20">
        <f>COUNTIFS(tData[SEHTrajectPeriodeDatumTijdVan],"&lt;="&amp;($A608+12/24),tData[SEHTrajectPeriodeDatumTijdTotEnMet],"&gt;"&amp;($A608+12/24))</f>
        <v/>
      </c>
      <c r="Q608" s="20">
        <f>COUNTIFS(tData[SEHTrajectPeriodeDatumTijdVan],"&lt;="&amp;($A608+13/24),tData[SEHTrajectPeriodeDatumTijdTotEnMet],"&gt;"&amp;($A608+13/24))</f>
        <v/>
      </c>
      <c r="R608" s="20">
        <f>COUNTIFS(tData[SEHTrajectPeriodeDatumTijdVan],"&lt;="&amp;($A608+14/24),tData[SEHTrajectPeriodeDatumTijdTotEnMet],"&gt;"&amp;($A608+14/24))</f>
        <v/>
      </c>
      <c r="S608" s="20">
        <f>COUNTIFS(tData[SEHTrajectPeriodeDatumTijdVan],"&lt;="&amp;($A608+15/24),tData[SEHTrajectPeriodeDatumTijdTotEnMet],"&gt;"&amp;($A608+15/24))</f>
        <v/>
      </c>
      <c r="T608" s="20">
        <f>COUNTIFS(tData[SEHTrajectPeriodeDatumTijdVan],"&lt;="&amp;($A608+16/24),tData[SEHTrajectPeriodeDatumTijdTotEnMet],"&gt;"&amp;($A608+16/24))</f>
        <v/>
      </c>
      <c r="U608" s="20">
        <f>COUNTIFS(tData[SEHTrajectPeriodeDatumTijdVan],"&lt;="&amp;($A608+17/24),tData[SEHTrajectPeriodeDatumTijdTotEnMet],"&gt;"&amp;($A608+17/24))</f>
        <v/>
      </c>
      <c r="V608" s="20">
        <f>COUNTIFS(tData[SEHTrajectPeriodeDatumTijdVan],"&lt;="&amp;($A608+18/24),tData[SEHTrajectPeriodeDatumTijdTotEnMet],"&gt;"&amp;($A608+18/24))</f>
        <v/>
      </c>
      <c r="W608" s="20">
        <f>COUNTIFS(tData[SEHTrajectPeriodeDatumTijdVan],"&lt;="&amp;($A608+19/24),tData[SEHTrajectPeriodeDatumTijdTotEnMet],"&gt;"&amp;($A608+19/24))</f>
        <v/>
      </c>
      <c r="X608" s="20">
        <f>COUNTIFS(tData[SEHTrajectPeriodeDatumTijdVan],"&lt;="&amp;($A608+20/24),tData[SEHTrajectPeriodeDatumTijdTotEnMet],"&gt;"&amp;($A608+20/24))</f>
        <v/>
      </c>
      <c r="Y608" s="20">
        <f>COUNTIFS(tData[SEHTrajectPeriodeDatumTijdVan],"&lt;="&amp;($A608+21/24),tData[SEHTrajectPeriodeDatumTijdTotEnMet],"&gt;"&amp;($A608+21/24))</f>
        <v/>
      </c>
      <c r="Z608" s="20">
        <f>COUNTIFS(tData[SEHTrajectPeriodeDatumTijdVan],"&lt;="&amp;($A608+22/24),tData[SEHTrajectPeriodeDatumTijdTotEnMet],"&gt;"&amp;($A608+22/24))</f>
        <v/>
      </c>
      <c r="AA608" s="20">
        <f>COUNTIFS(tData[SEHTrajectPeriodeDatumTijdVan],"&lt;="&amp;($A608+23/24),tData[SEHTrajectPeriodeDatumTijdTotEnMet],"&gt;"&amp;($A608+23/24))</f>
        <v/>
      </c>
    </row>
    <row r="609">
      <c r="A609" s="19" t="n">
        <v>45897</v>
      </c>
      <c r="B609" s="15">
        <f>WEEKDAY($A609,2)</f>
        <v/>
      </c>
      <c r="C609" s="15">
        <f>IF(AND($A609&gt;=INT(Instellingen!$B$5),$A609&lt;=INT(Instellingen!$B$6)),1,0)</f>
        <v/>
      </c>
      <c r="D609" s="20">
        <f>COUNTIFS(tData[SEHTrajectPeriodeDatumTijdVan],"&lt;="&amp;($A609+0/24),tData[SEHTrajectPeriodeDatumTijdTotEnMet],"&gt;"&amp;($A609+0/24))</f>
        <v/>
      </c>
      <c r="E609" s="20">
        <f>COUNTIFS(tData[SEHTrajectPeriodeDatumTijdVan],"&lt;="&amp;($A609+1/24),tData[SEHTrajectPeriodeDatumTijdTotEnMet],"&gt;"&amp;($A609+1/24))</f>
        <v/>
      </c>
      <c r="F609" s="20">
        <f>COUNTIFS(tData[SEHTrajectPeriodeDatumTijdVan],"&lt;="&amp;($A609+2/24),tData[SEHTrajectPeriodeDatumTijdTotEnMet],"&gt;"&amp;($A609+2/24))</f>
        <v/>
      </c>
      <c r="G609" s="20">
        <f>COUNTIFS(tData[SEHTrajectPeriodeDatumTijdVan],"&lt;="&amp;($A609+3/24),tData[SEHTrajectPeriodeDatumTijdTotEnMet],"&gt;"&amp;($A609+3/24))</f>
        <v/>
      </c>
      <c r="H609" s="20">
        <f>COUNTIFS(tData[SEHTrajectPeriodeDatumTijdVan],"&lt;="&amp;($A609+4/24),tData[SEHTrajectPeriodeDatumTijdTotEnMet],"&gt;"&amp;($A609+4/24))</f>
        <v/>
      </c>
      <c r="I609" s="20">
        <f>COUNTIFS(tData[SEHTrajectPeriodeDatumTijdVan],"&lt;="&amp;($A609+5/24),tData[SEHTrajectPeriodeDatumTijdTotEnMet],"&gt;"&amp;($A609+5/24))</f>
        <v/>
      </c>
      <c r="J609" s="20">
        <f>COUNTIFS(tData[SEHTrajectPeriodeDatumTijdVan],"&lt;="&amp;($A609+6/24),tData[SEHTrajectPeriodeDatumTijdTotEnMet],"&gt;"&amp;($A609+6/24))</f>
        <v/>
      </c>
      <c r="K609" s="20">
        <f>COUNTIFS(tData[SEHTrajectPeriodeDatumTijdVan],"&lt;="&amp;($A609+7/24),tData[SEHTrajectPeriodeDatumTijdTotEnMet],"&gt;"&amp;($A609+7/24))</f>
        <v/>
      </c>
      <c r="L609" s="20">
        <f>COUNTIFS(tData[SEHTrajectPeriodeDatumTijdVan],"&lt;="&amp;($A609+8/24),tData[SEHTrajectPeriodeDatumTijdTotEnMet],"&gt;"&amp;($A609+8/24))</f>
        <v/>
      </c>
      <c r="M609" s="20">
        <f>COUNTIFS(tData[SEHTrajectPeriodeDatumTijdVan],"&lt;="&amp;($A609+9/24),tData[SEHTrajectPeriodeDatumTijdTotEnMet],"&gt;"&amp;($A609+9/24))</f>
        <v/>
      </c>
      <c r="N609" s="20">
        <f>COUNTIFS(tData[SEHTrajectPeriodeDatumTijdVan],"&lt;="&amp;($A609+10/24),tData[SEHTrajectPeriodeDatumTijdTotEnMet],"&gt;"&amp;($A609+10/24))</f>
        <v/>
      </c>
      <c r="O609" s="20">
        <f>COUNTIFS(tData[SEHTrajectPeriodeDatumTijdVan],"&lt;="&amp;($A609+11/24),tData[SEHTrajectPeriodeDatumTijdTotEnMet],"&gt;"&amp;($A609+11/24))</f>
        <v/>
      </c>
      <c r="P609" s="20">
        <f>COUNTIFS(tData[SEHTrajectPeriodeDatumTijdVan],"&lt;="&amp;($A609+12/24),tData[SEHTrajectPeriodeDatumTijdTotEnMet],"&gt;"&amp;($A609+12/24))</f>
        <v/>
      </c>
      <c r="Q609" s="20">
        <f>COUNTIFS(tData[SEHTrajectPeriodeDatumTijdVan],"&lt;="&amp;($A609+13/24),tData[SEHTrajectPeriodeDatumTijdTotEnMet],"&gt;"&amp;($A609+13/24))</f>
        <v/>
      </c>
      <c r="R609" s="20">
        <f>COUNTIFS(tData[SEHTrajectPeriodeDatumTijdVan],"&lt;="&amp;($A609+14/24),tData[SEHTrajectPeriodeDatumTijdTotEnMet],"&gt;"&amp;($A609+14/24))</f>
        <v/>
      </c>
      <c r="S609" s="20">
        <f>COUNTIFS(tData[SEHTrajectPeriodeDatumTijdVan],"&lt;="&amp;($A609+15/24),tData[SEHTrajectPeriodeDatumTijdTotEnMet],"&gt;"&amp;($A609+15/24))</f>
        <v/>
      </c>
      <c r="T609" s="20">
        <f>COUNTIFS(tData[SEHTrajectPeriodeDatumTijdVan],"&lt;="&amp;($A609+16/24),tData[SEHTrajectPeriodeDatumTijdTotEnMet],"&gt;"&amp;($A609+16/24))</f>
        <v/>
      </c>
      <c r="U609" s="20">
        <f>COUNTIFS(tData[SEHTrajectPeriodeDatumTijdVan],"&lt;="&amp;($A609+17/24),tData[SEHTrajectPeriodeDatumTijdTotEnMet],"&gt;"&amp;($A609+17/24))</f>
        <v/>
      </c>
      <c r="V609" s="20">
        <f>COUNTIFS(tData[SEHTrajectPeriodeDatumTijdVan],"&lt;="&amp;($A609+18/24),tData[SEHTrajectPeriodeDatumTijdTotEnMet],"&gt;"&amp;($A609+18/24))</f>
        <v/>
      </c>
      <c r="W609" s="20">
        <f>COUNTIFS(tData[SEHTrajectPeriodeDatumTijdVan],"&lt;="&amp;($A609+19/24),tData[SEHTrajectPeriodeDatumTijdTotEnMet],"&gt;"&amp;($A609+19/24))</f>
        <v/>
      </c>
      <c r="X609" s="20">
        <f>COUNTIFS(tData[SEHTrajectPeriodeDatumTijdVan],"&lt;="&amp;($A609+20/24),tData[SEHTrajectPeriodeDatumTijdTotEnMet],"&gt;"&amp;($A609+20/24))</f>
        <v/>
      </c>
      <c r="Y609" s="20">
        <f>COUNTIFS(tData[SEHTrajectPeriodeDatumTijdVan],"&lt;="&amp;($A609+21/24),tData[SEHTrajectPeriodeDatumTijdTotEnMet],"&gt;"&amp;($A609+21/24))</f>
        <v/>
      </c>
      <c r="Z609" s="20">
        <f>COUNTIFS(tData[SEHTrajectPeriodeDatumTijdVan],"&lt;="&amp;($A609+22/24),tData[SEHTrajectPeriodeDatumTijdTotEnMet],"&gt;"&amp;($A609+22/24))</f>
        <v/>
      </c>
      <c r="AA609" s="20">
        <f>COUNTIFS(tData[SEHTrajectPeriodeDatumTijdVan],"&lt;="&amp;($A609+23/24),tData[SEHTrajectPeriodeDatumTijdTotEnMet],"&gt;"&amp;($A609+23/24))</f>
        <v/>
      </c>
    </row>
    <row r="610">
      <c r="A610" s="19" t="n">
        <v>45898</v>
      </c>
      <c r="B610" s="15">
        <f>WEEKDAY($A610,2)</f>
        <v/>
      </c>
      <c r="C610" s="15">
        <f>IF(AND($A610&gt;=INT(Instellingen!$B$5),$A610&lt;=INT(Instellingen!$B$6)),1,0)</f>
        <v/>
      </c>
      <c r="D610" s="20">
        <f>COUNTIFS(tData[SEHTrajectPeriodeDatumTijdVan],"&lt;="&amp;($A610+0/24),tData[SEHTrajectPeriodeDatumTijdTotEnMet],"&gt;"&amp;($A610+0/24))</f>
        <v/>
      </c>
      <c r="E610" s="20">
        <f>COUNTIFS(tData[SEHTrajectPeriodeDatumTijdVan],"&lt;="&amp;($A610+1/24),tData[SEHTrajectPeriodeDatumTijdTotEnMet],"&gt;"&amp;($A610+1/24))</f>
        <v/>
      </c>
      <c r="F610" s="20">
        <f>COUNTIFS(tData[SEHTrajectPeriodeDatumTijdVan],"&lt;="&amp;($A610+2/24),tData[SEHTrajectPeriodeDatumTijdTotEnMet],"&gt;"&amp;($A610+2/24))</f>
        <v/>
      </c>
      <c r="G610" s="20">
        <f>COUNTIFS(tData[SEHTrajectPeriodeDatumTijdVan],"&lt;="&amp;($A610+3/24),tData[SEHTrajectPeriodeDatumTijdTotEnMet],"&gt;"&amp;($A610+3/24))</f>
        <v/>
      </c>
      <c r="H610" s="20">
        <f>COUNTIFS(tData[SEHTrajectPeriodeDatumTijdVan],"&lt;="&amp;($A610+4/24),tData[SEHTrajectPeriodeDatumTijdTotEnMet],"&gt;"&amp;($A610+4/24))</f>
        <v/>
      </c>
      <c r="I610" s="20">
        <f>COUNTIFS(tData[SEHTrajectPeriodeDatumTijdVan],"&lt;="&amp;($A610+5/24),tData[SEHTrajectPeriodeDatumTijdTotEnMet],"&gt;"&amp;($A610+5/24))</f>
        <v/>
      </c>
      <c r="J610" s="20">
        <f>COUNTIFS(tData[SEHTrajectPeriodeDatumTijdVan],"&lt;="&amp;($A610+6/24),tData[SEHTrajectPeriodeDatumTijdTotEnMet],"&gt;"&amp;($A610+6/24))</f>
        <v/>
      </c>
      <c r="K610" s="20">
        <f>COUNTIFS(tData[SEHTrajectPeriodeDatumTijdVan],"&lt;="&amp;($A610+7/24),tData[SEHTrajectPeriodeDatumTijdTotEnMet],"&gt;"&amp;($A610+7/24))</f>
        <v/>
      </c>
      <c r="L610" s="20">
        <f>COUNTIFS(tData[SEHTrajectPeriodeDatumTijdVan],"&lt;="&amp;($A610+8/24),tData[SEHTrajectPeriodeDatumTijdTotEnMet],"&gt;"&amp;($A610+8/24))</f>
        <v/>
      </c>
      <c r="M610" s="20">
        <f>COUNTIFS(tData[SEHTrajectPeriodeDatumTijdVan],"&lt;="&amp;($A610+9/24),tData[SEHTrajectPeriodeDatumTijdTotEnMet],"&gt;"&amp;($A610+9/24))</f>
        <v/>
      </c>
      <c r="N610" s="20">
        <f>COUNTIFS(tData[SEHTrajectPeriodeDatumTijdVan],"&lt;="&amp;($A610+10/24),tData[SEHTrajectPeriodeDatumTijdTotEnMet],"&gt;"&amp;($A610+10/24))</f>
        <v/>
      </c>
      <c r="O610" s="20">
        <f>COUNTIFS(tData[SEHTrajectPeriodeDatumTijdVan],"&lt;="&amp;($A610+11/24),tData[SEHTrajectPeriodeDatumTijdTotEnMet],"&gt;"&amp;($A610+11/24))</f>
        <v/>
      </c>
      <c r="P610" s="20">
        <f>COUNTIFS(tData[SEHTrajectPeriodeDatumTijdVan],"&lt;="&amp;($A610+12/24),tData[SEHTrajectPeriodeDatumTijdTotEnMet],"&gt;"&amp;($A610+12/24))</f>
        <v/>
      </c>
      <c r="Q610" s="20">
        <f>COUNTIFS(tData[SEHTrajectPeriodeDatumTijdVan],"&lt;="&amp;($A610+13/24),tData[SEHTrajectPeriodeDatumTijdTotEnMet],"&gt;"&amp;($A610+13/24))</f>
        <v/>
      </c>
      <c r="R610" s="20">
        <f>COUNTIFS(tData[SEHTrajectPeriodeDatumTijdVan],"&lt;="&amp;($A610+14/24),tData[SEHTrajectPeriodeDatumTijdTotEnMet],"&gt;"&amp;($A610+14/24))</f>
        <v/>
      </c>
      <c r="S610" s="20">
        <f>COUNTIFS(tData[SEHTrajectPeriodeDatumTijdVan],"&lt;="&amp;($A610+15/24),tData[SEHTrajectPeriodeDatumTijdTotEnMet],"&gt;"&amp;($A610+15/24))</f>
        <v/>
      </c>
      <c r="T610" s="20">
        <f>COUNTIFS(tData[SEHTrajectPeriodeDatumTijdVan],"&lt;="&amp;($A610+16/24),tData[SEHTrajectPeriodeDatumTijdTotEnMet],"&gt;"&amp;($A610+16/24))</f>
        <v/>
      </c>
      <c r="U610" s="20">
        <f>COUNTIFS(tData[SEHTrajectPeriodeDatumTijdVan],"&lt;="&amp;($A610+17/24),tData[SEHTrajectPeriodeDatumTijdTotEnMet],"&gt;"&amp;($A610+17/24))</f>
        <v/>
      </c>
      <c r="V610" s="20">
        <f>COUNTIFS(tData[SEHTrajectPeriodeDatumTijdVan],"&lt;="&amp;($A610+18/24),tData[SEHTrajectPeriodeDatumTijdTotEnMet],"&gt;"&amp;($A610+18/24))</f>
        <v/>
      </c>
      <c r="W610" s="20">
        <f>COUNTIFS(tData[SEHTrajectPeriodeDatumTijdVan],"&lt;="&amp;($A610+19/24),tData[SEHTrajectPeriodeDatumTijdTotEnMet],"&gt;"&amp;($A610+19/24))</f>
        <v/>
      </c>
      <c r="X610" s="20">
        <f>COUNTIFS(tData[SEHTrajectPeriodeDatumTijdVan],"&lt;="&amp;($A610+20/24),tData[SEHTrajectPeriodeDatumTijdTotEnMet],"&gt;"&amp;($A610+20/24))</f>
        <v/>
      </c>
      <c r="Y610" s="20">
        <f>COUNTIFS(tData[SEHTrajectPeriodeDatumTijdVan],"&lt;="&amp;($A610+21/24),tData[SEHTrajectPeriodeDatumTijdTotEnMet],"&gt;"&amp;($A610+21/24))</f>
        <v/>
      </c>
      <c r="Z610" s="20">
        <f>COUNTIFS(tData[SEHTrajectPeriodeDatumTijdVan],"&lt;="&amp;($A610+22/24),tData[SEHTrajectPeriodeDatumTijdTotEnMet],"&gt;"&amp;($A610+22/24))</f>
        <v/>
      </c>
      <c r="AA610" s="20">
        <f>COUNTIFS(tData[SEHTrajectPeriodeDatumTijdVan],"&lt;="&amp;($A610+23/24),tData[SEHTrajectPeriodeDatumTijdTotEnMet],"&gt;"&amp;($A610+23/24))</f>
        <v/>
      </c>
    </row>
    <row r="611">
      <c r="A611" s="19" t="n">
        <v>45899</v>
      </c>
      <c r="B611" s="15">
        <f>WEEKDAY($A611,2)</f>
        <v/>
      </c>
      <c r="C611" s="15">
        <f>IF(AND($A611&gt;=INT(Instellingen!$B$5),$A611&lt;=INT(Instellingen!$B$6)),1,0)</f>
        <v/>
      </c>
      <c r="D611" s="20">
        <f>COUNTIFS(tData[SEHTrajectPeriodeDatumTijdVan],"&lt;="&amp;($A611+0/24),tData[SEHTrajectPeriodeDatumTijdTotEnMet],"&gt;"&amp;($A611+0/24))</f>
        <v/>
      </c>
      <c r="E611" s="20">
        <f>COUNTIFS(tData[SEHTrajectPeriodeDatumTijdVan],"&lt;="&amp;($A611+1/24),tData[SEHTrajectPeriodeDatumTijdTotEnMet],"&gt;"&amp;($A611+1/24))</f>
        <v/>
      </c>
      <c r="F611" s="20">
        <f>COUNTIFS(tData[SEHTrajectPeriodeDatumTijdVan],"&lt;="&amp;($A611+2/24),tData[SEHTrajectPeriodeDatumTijdTotEnMet],"&gt;"&amp;($A611+2/24))</f>
        <v/>
      </c>
      <c r="G611" s="20">
        <f>COUNTIFS(tData[SEHTrajectPeriodeDatumTijdVan],"&lt;="&amp;($A611+3/24),tData[SEHTrajectPeriodeDatumTijdTotEnMet],"&gt;"&amp;($A611+3/24))</f>
        <v/>
      </c>
      <c r="H611" s="20">
        <f>COUNTIFS(tData[SEHTrajectPeriodeDatumTijdVan],"&lt;="&amp;($A611+4/24),tData[SEHTrajectPeriodeDatumTijdTotEnMet],"&gt;"&amp;($A611+4/24))</f>
        <v/>
      </c>
      <c r="I611" s="20">
        <f>COUNTIFS(tData[SEHTrajectPeriodeDatumTijdVan],"&lt;="&amp;($A611+5/24),tData[SEHTrajectPeriodeDatumTijdTotEnMet],"&gt;"&amp;($A611+5/24))</f>
        <v/>
      </c>
      <c r="J611" s="20">
        <f>COUNTIFS(tData[SEHTrajectPeriodeDatumTijdVan],"&lt;="&amp;($A611+6/24),tData[SEHTrajectPeriodeDatumTijdTotEnMet],"&gt;"&amp;($A611+6/24))</f>
        <v/>
      </c>
      <c r="K611" s="20">
        <f>COUNTIFS(tData[SEHTrajectPeriodeDatumTijdVan],"&lt;="&amp;($A611+7/24),tData[SEHTrajectPeriodeDatumTijdTotEnMet],"&gt;"&amp;($A611+7/24))</f>
        <v/>
      </c>
      <c r="L611" s="20">
        <f>COUNTIFS(tData[SEHTrajectPeriodeDatumTijdVan],"&lt;="&amp;($A611+8/24),tData[SEHTrajectPeriodeDatumTijdTotEnMet],"&gt;"&amp;($A611+8/24))</f>
        <v/>
      </c>
      <c r="M611" s="20">
        <f>COUNTIFS(tData[SEHTrajectPeriodeDatumTijdVan],"&lt;="&amp;($A611+9/24),tData[SEHTrajectPeriodeDatumTijdTotEnMet],"&gt;"&amp;($A611+9/24))</f>
        <v/>
      </c>
      <c r="N611" s="20">
        <f>COUNTIFS(tData[SEHTrajectPeriodeDatumTijdVan],"&lt;="&amp;($A611+10/24),tData[SEHTrajectPeriodeDatumTijdTotEnMet],"&gt;"&amp;($A611+10/24))</f>
        <v/>
      </c>
      <c r="O611" s="20">
        <f>COUNTIFS(tData[SEHTrajectPeriodeDatumTijdVan],"&lt;="&amp;($A611+11/24),tData[SEHTrajectPeriodeDatumTijdTotEnMet],"&gt;"&amp;($A611+11/24))</f>
        <v/>
      </c>
      <c r="P611" s="20">
        <f>COUNTIFS(tData[SEHTrajectPeriodeDatumTijdVan],"&lt;="&amp;($A611+12/24),tData[SEHTrajectPeriodeDatumTijdTotEnMet],"&gt;"&amp;($A611+12/24))</f>
        <v/>
      </c>
      <c r="Q611" s="20">
        <f>COUNTIFS(tData[SEHTrajectPeriodeDatumTijdVan],"&lt;="&amp;($A611+13/24),tData[SEHTrajectPeriodeDatumTijdTotEnMet],"&gt;"&amp;($A611+13/24))</f>
        <v/>
      </c>
      <c r="R611" s="20">
        <f>COUNTIFS(tData[SEHTrajectPeriodeDatumTijdVan],"&lt;="&amp;($A611+14/24),tData[SEHTrajectPeriodeDatumTijdTotEnMet],"&gt;"&amp;($A611+14/24))</f>
        <v/>
      </c>
      <c r="S611" s="20">
        <f>COUNTIFS(tData[SEHTrajectPeriodeDatumTijdVan],"&lt;="&amp;($A611+15/24),tData[SEHTrajectPeriodeDatumTijdTotEnMet],"&gt;"&amp;($A611+15/24))</f>
        <v/>
      </c>
      <c r="T611" s="20">
        <f>COUNTIFS(tData[SEHTrajectPeriodeDatumTijdVan],"&lt;="&amp;($A611+16/24),tData[SEHTrajectPeriodeDatumTijdTotEnMet],"&gt;"&amp;($A611+16/24))</f>
        <v/>
      </c>
      <c r="U611" s="20">
        <f>COUNTIFS(tData[SEHTrajectPeriodeDatumTijdVan],"&lt;="&amp;($A611+17/24),tData[SEHTrajectPeriodeDatumTijdTotEnMet],"&gt;"&amp;($A611+17/24))</f>
        <v/>
      </c>
      <c r="V611" s="20">
        <f>COUNTIFS(tData[SEHTrajectPeriodeDatumTijdVan],"&lt;="&amp;($A611+18/24),tData[SEHTrajectPeriodeDatumTijdTotEnMet],"&gt;"&amp;($A611+18/24))</f>
        <v/>
      </c>
      <c r="W611" s="20">
        <f>COUNTIFS(tData[SEHTrajectPeriodeDatumTijdVan],"&lt;="&amp;($A611+19/24),tData[SEHTrajectPeriodeDatumTijdTotEnMet],"&gt;"&amp;($A611+19/24))</f>
        <v/>
      </c>
      <c r="X611" s="20">
        <f>COUNTIFS(tData[SEHTrajectPeriodeDatumTijdVan],"&lt;="&amp;($A611+20/24),tData[SEHTrajectPeriodeDatumTijdTotEnMet],"&gt;"&amp;($A611+20/24))</f>
        <v/>
      </c>
      <c r="Y611" s="20">
        <f>COUNTIFS(tData[SEHTrajectPeriodeDatumTijdVan],"&lt;="&amp;($A611+21/24),tData[SEHTrajectPeriodeDatumTijdTotEnMet],"&gt;"&amp;($A611+21/24))</f>
        <v/>
      </c>
      <c r="Z611" s="20">
        <f>COUNTIFS(tData[SEHTrajectPeriodeDatumTijdVan],"&lt;="&amp;($A611+22/24),tData[SEHTrajectPeriodeDatumTijdTotEnMet],"&gt;"&amp;($A611+22/24))</f>
        <v/>
      </c>
      <c r="AA611" s="20">
        <f>COUNTIFS(tData[SEHTrajectPeriodeDatumTijdVan],"&lt;="&amp;($A611+23/24),tData[SEHTrajectPeriodeDatumTijdTotEnMet],"&gt;"&amp;($A611+23/24))</f>
        <v/>
      </c>
    </row>
    <row r="612">
      <c r="A612" s="19" t="n">
        <v>45900</v>
      </c>
      <c r="B612" s="15">
        <f>WEEKDAY($A612,2)</f>
        <v/>
      </c>
      <c r="C612" s="15">
        <f>IF(AND($A612&gt;=INT(Instellingen!$B$5),$A612&lt;=INT(Instellingen!$B$6)),1,0)</f>
        <v/>
      </c>
      <c r="D612" s="20">
        <f>COUNTIFS(tData[SEHTrajectPeriodeDatumTijdVan],"&lt;="&amp;($A612+0/24),tData[SEHTrajectPeriodeDatumTijdTotEnMet],"&gt;"&amp;($A612+0/24))</f>
        <v/>
      </c>
      <c r="E612" s="20">
        <f>COUNTIFS(tData[SEHTrajectPeriodeDatumTijdVan],"&lt;="&amp;($A612+1/24),tData[SEHTrajectPeriodeDatumTijdTotEnMet],"&gt;"&amp;($A612+1/24))</f>
        <v/>
      </c>
      <c r="F612" s="20">
        <f>COUNTIFS(tData[SEHTrajectPeriodeDatumTijdVan],"&lt;="&amp;($A612+2/24),tData[SEHTrajectPeriodeDatumTijdTotEnMet],"&gt;"&amp;($A612+2/24))</f>
        <v/>
      </c>
      <c r="G612" s="20">
        <f>COUNTIFS(tData[SEHTrajectPeriodeDatumTijdVan],"&lt;="&amp;($A612+3/24),tData[SEHTrajectPeriodeDatumTijdTotEnMet],"&gt;"&amp;($A612+3/24))</f>
        <v/>
      </c>
      <c r="H612" s="20">
        <f>COUNTIFS(tData[SEHTrajectPeriodeDatumTijdVan],"&lt;="&amp;($A612+4/24),tData[SEHTrajectPeriodeDatumTijdTotEnMet],"&gt;"&amp;($A612+4/24))</f>
        <v/>
      </c>
      <c r="I612" s="20">
        <f>COUNTIFS(tData[SEHTrajectPeriodeDatumTijdVan],"&lt;="&amp;($A612+5/24),tData[SEHTrajectPeriodeDatumTijdTotEnMet],"&gt;"&amp;($A612+5/24))</f>
        <v/>
      </c>
      <c r="J612" s="20">
        <f>COUNTIFS(tData[SEHTrajectPeriodeDatumTijdVan],"&lt;="&amp;($A612+6/24),tData[SEHTrajectPeriodeDatumTijdTotEnMet],"&gt;"&amp;($A612+6/24))</f>
        <v/>
      </c>
      <c r="K612" s="20">
        <f>COUNTIFS(tData[SEHTrajectPeriodeDatumTijdVan],"&lt;="&amp;($A612+7/24),tData[SEHTrajectPeriodeDatumTijdTotEnMet],"&gt;"&amp;($A612+7/24))</f>
        <v/>
      </c>
      <c r="L612" s="20">
        <f>COUNTIFS(tData[SEHTrajectPeriodeDatumTijdVan],"&lt;="&amp;($A612+8/24),tData[SEHTrajectPeriodeDatumTijdTotEnMet],"&gt;"&amp;($A612+8/24))</f>
        <v/>
      </c>
      <c r="M612" s="20">
        <f>COUNTIFS(tData[SEHTrajectPeriodeDatumTijdVan],"&lt;="&amp;($A612+9/24),tData[SEHTrajectPeriodeDatumTijdTotEnMet],"&gt;"&amp;($A612+9/24))</f>
        <v/>
      </c>
      <c r="N612" s="20">
        <f>COUNTIFS(tData[SEHTrajectPeriodeDatumTijdVan],"&lt;="&amp;($A612+10/24),tData[SEHTrajectPeriodeDatumTijdTotEnMet],"&gt;"&amp;($A612+10/24))</f>
        <v/>
      </c>
      <c r="O612" s="20">
        <f>COUNTIFS(tData[SEHTrajectPeriodeDatumTijdVan],"&lt;="&amp;($A612+11/24),tData[SEHTrajectPeriodeDatumTijdTotEnMet],"&gt;"&amp;($A612+11/24))</f>
        <v/>
      </c>
      <c r="P612" s="20">
        <f>COUNTIFS(tData[SEHTrajectPeriodeDatumTijdVan],"&lt;="&amp;($A612+12/24),tData[SEHTrajectPeriodeDatumTijdTotEnMet],"&gt;"&amp;($A612+12/24))</f>
        <v/>
      </c>
      <c r="Q612" s="20">
        <f>COUNTIFS(tData[SEHTrajectPeriodeDatumTijdVan],"&lt;="&amp;($A612+13/24),tData[SEHTrajectPeriodeDatumTijdTotEnMet],"&gt;"&amp;($A612+13/24))</f>
        <v/>
      </c>
      <c r="R612" s="20">
        <f>COUNTIFS(tData[SEHTrajectPeriodeDatumTijdVan],"&lt;="&amp;($A612+14/24),tData[SEHTrajectPeriodeDatumTijdTotEnMet],"&gt;"&amp;($A612+14/24))</f>
        <v/>
      </c>
      <c r="S612" s="20">
        <f>COUNTIFS(tData[SEHTrajectPeriodeDatumTijdVan],"&lt;="&amp;($A612+15/24),tData[SEHTrajectPeriodeDatumTijdTotEnMet],"&gt;"&amp;($A612+15/24))</f>
        <v/>
      </c>
      <c r="T612" s="20">
        <f>COUNTIFS(tData[SEHTrajectPeriodeDatumTijdVan],"&lt;="&amp;($A612+16/24),tData[SEHTrajectPeriodeDatumTijdTotEnMet],"&gt;"&amp;($A612+16/24))</f>
        <v/>
      </c>
      <c r="U612" s="20">
        <f>COUNTIFS(tData[SEHTrajectPeriodeDatumTijdVan],"&lt;="&amp;($A612+17/24),tData[SEHTrajectPeriodeDatumTijdTotEnMet],"&gt;"&amp;($A612+17/24))</f>
        <v/>
      </c>
      <c r="V612" s="20">
        <f>COUNTIFS(tData[SEHTrajectPeriodeDatumTijdVan],"&lt;="&amp;($A612+18/24),tData[SEHTrajectPeriodeDatumTijdTotEnMet],"&gt;"&amp;($A612+18/24))</f>
        <v/>
      </c>
      <c r="W612" s="20">
        <f>COUNTIFS(tData[SEHTrajectPeriodeDatumTijdVan],"&lt;="&amp;($A612+19/24),tData[SEHTrajectPeriodeDatumTijdTotEnMet],"&gt;"&amp;($A612+19/24))</f>
        <v/>
      </c>
      <c r="X612" s="20">
        <f>COUNTIFS(tData[SEHTrajectPeriodeDatumTijdVan],"&lt;="&amp;($A612+20/24),tData[SEHTrajectPeriodeDatumTijdTotEnMet],"&gt;"&amp;($A612+20/24))</f>
        <v/>
      </c>
      <c r="Y612" s="20">
        <f>COUNTIFS(tData[SEHTrajectPeriodeDatumTijdVan],"&lt;="&amp;($A612+21/24),tData[SEHTrajectPeriodeDatumTijdTotEnMet],"&gt;"&amp;($A612+21/24))</f>
        <v/>
      </c>
      <c r="Z612" s="20">
        <f>COUNTIFS(tData[SEHTrajectPeriodeDatumTijdVan],"&lt;="&amp;($A612+22/24),tData[SEHTrajectPeriodeDatumTijdTotEnMet],"&gt;"&amp;($A612+22/24))</f>
        <v/>
      </c>
      <c r="AA612" s="20">
        <f>COUNTIFS(tData[SEHTrajectPeriodeDatumTijdVan],"&lt;="&amp;($A612+23/24),tData[SEHTrajectPeriodeDatumTijdTotEnMet],"&gt;"&amp;($A612+23/24))</f>
        <v/>
      </c>
    </row>
    <row r="613">
      <c r="A613" s="19" t="n">
        <v>45901</v>
      </c>
      <c r="B613" s="15">
        <f>WEEKDAY($A613,2)</f>
        <v/>
      </c>
      <c r="C613" s="15">
        <f>IF(AND($A613&gt;=INT(Instellingen!$B$5),$A613&lt;=INT(Instellingen!$B$6)),1,0)</f>
        <v/>
      </c>
      <c r="D613" s="20">
        <f>COUNTIFS(tData[SEHTrajectPeriodeDatumTijdVan],"&lt;="&amp;($A613+0/24),tData[SEHTrajectPeriodeDatumTijdTotEnMet],"&gt;"&amp;($A613+0/24))</f>
        <v/>
      </c>
      <c r="E613" s="20">
        <f>COUNTIFS(tData[SEHTrajectPeriodeDatumTijdVan],"&lt;="&amp;($A613+1/24),tData[SEHTrajectPeriodeDatumTijdTotEnMet],"&gt;"&amp;($A613+1/24))</f>
        <v/>
      </c>
      <c r="F613" s="20">
        <f>COUNTIFS(tData[SEHTrajectPeriodeDatumTijdVan],"&lt;="&amp;($A613+2/24),tData[SEHTrajectPeriodeDatumTijdTotEnMet],"&gt;"&amp;($A613+2/24))</f>
        <v/>
      </c>
      <c r="G613" s="20">
        <f>COUNTIFS(tData[SEHTrajectPeriodeDatumTijdVan],"&lt;="&amp;($A613+3/24),tData[SEHTrajectPeriodeDatumTijdTotEnMet],"&gt;"&amp;($A613+3/24))</f>
        <v/>
      </c>
      <c r="H613" s="20">
        <f>COUNTIFS(tData[SEHTrajectPeriodeDatumTijdVan],"&lt;="&amp;($A613+4/24),tData[SEHTrajectPeriodeDatumTijdTotEnMet],"&gt;"&amp;($A613+4/24))</f>
        <v/>
      </c>
      <c r="I613" s="20">
        <f>COUNTIFS(tData[SEHTrajectPeriodeDatumTijdVan],"&lt;="&amp;($A613+5/24),tData[SEHTrajectPeriodeDatumTijdTotEnMet],"&gt;"&amp;($A613+5/24))</f>
        <v/>
      </c>
      <c r="J613" s="20">
        <f>COUNTIFS(tData[SEHTrajectPeriodeDatumTijdVan],"&lt;="&amp;($A613+6/24),tData[SEHTrajectPeriodeDatumTijdTotEnMet],"&gt;"&amp;($A613+6/24))</f>
        <v/>
      </c>
      <c r="K613" s="20">
        <f>COUNTIFS(tData[SEHTrajectPeriodeDatumTijdVan],"&lt;="&amp;($A613+7/24),tData[SEHTrajectPeriodeDatumTijdTotEnMet],"&gt;"&amp;($A613+7/24))</f>
        <v/>
      </c>
      <c r="L613" s="20">
        <f>COUNTIFS(tData[SEHTrajectPeriodeDatumTijdVan],"&lt;="&amp;($A613+8/24),tData[SEHTrajectPeriodeDatumTijdTotEnMet],"&gt;"&amp;($A613+8/24))</f>
        <v/>
      </c>
      <c r="M613" s="20">
        <f>COUNTIFS(tData[SEHTrajectPeriodeDatumTijdVan],"&lt;="&amp;($A613+9/24),tData[SEHTrajectPeriodeDatumTijdTotEnMet],"&gt;"&amp;($A613+9/24))</f>
        <v/>
      </c>
      <c r="N613" s="20">
        <f>COUNTIFS(tData[SEHTrajectPeriodeDatumTijdVan],"&lt;="&amp;($A613+10/24),tData[SEHTrajectPeriodeDatumTijdTotEnMet],"&gt;"&amp;($A613+10/24))</f>
        <v/>
      </c>
      <c r="O613" s="20">
        <f>COUNTIFS(tData[SEHTrajectPeriodeDatumTijdVan],"&lt;="&amp;($A613+11/24),tData[SEHTrajectPeriodeDatumTijdTotEnMet],"&gt;"&amp;($A613+11/24))</f>
        <v/>
      </c>
      <c r="P613" s="20">
        <f>COUNTIFS(tData[SEHTrajectPeriodeDatumTijdVan],"&lt;="&amp;($A613+12/24),tData[SEHTrajectPeriodeDatumTijdTotEnMet],"&gt;"&amp;($A613+12/24))</f>
        <v/>
      </c>
      <c r="Q613" s="20">
        <f>COUNTIFS(tData[SEHTrajectPeriodeDatumTijdVan],"&lt;="&amp;($A613+13/24),tData[SEHTrajectPeriodeDatumTijdTotEnMet],"&gt;"&amp;($A613+13/24))</f>
        <v/>
      </c>
      <c r="R613" s="20">
        <f>COUNTIFS(tData[SEHTrajectPeriodeDatumTijdVan],"&lt;="&amp;($A613+14/24),tData[SEHTrajectPeriodeDatumTijdTotEnMet],"&gt;"&amp;($A613+14/24))</f>
        <v/>
      </c>
      <c r="S613" s="20">
        <f>COUNTIFS(tData[SEHTrajectPeriodeDatumTijdVan],"&lt;="&amp;($A613+15/24),tData[SEHTrajectPeriodeDatumTijdTotEnMet],"&gt;"&amp;($A613+15/24))</f>
        <v/>
      </c>
      <c r="T613" s="20">
        <f>COUNTIFS(tData[SEHTrajectPeriodeDatumTijdVan],"&lt;="&amp;($A613+16/24),tData[SEHTrajectPeriodeDatumTijdTotEnMet],"&gt;"&amp;($A613+16/24))</f>
        <v/>
      </c>
      <c r="U613" s="20">
        <f>COUNTIFS(tData[SEHTrajectPeriodeDatumTijdVan],"&lt;="&amp;($A613+17/24),tData[SEHTrajectPeriodeDatumTijdTotEnMet],"&gt;"&amp;($A613+17/24))</f>
        <v/>
      </c>
      <c r="V613" s="20">
        <f>COUNTIFS(tData[SEHTrajectPeriodeDatumTijdVan],"&lt;="&amp;($A613+18/24),tData[SEHTrajectPeriodeDatumTijdTotEnMet],"&gt;"&amp;($A613+18/24))</f>
        <v/>
      </c>
      <c r="W613" s="20">
        <f>COUNTIFS(tData[SEHTrajectPeriodeDatumTijdVan],"&lt;="&amp;($A613+19/24),tData[SEHTrajectPeriodeDatumTijdTotEnMet],"&gt;"&amp;($A613+19/24))</f>
        <v/>
      </c>
      <c r="X613" s="20">
        <f>COUNTIFS(tData[SEHTrajectPeriodeDatumTijdVan],"&lt;="&amp;($A613+20/24),tData[SEHTrajectPeriodeDatumTijdTotEnMet],"&gt;"&amp;($A613+20/24))</f>
        <v/>
      </c>
      <c r="Y613" s="20">
        <f>COUNTIFS(tData[SEHTrajectPeriodeDatumTijdVan],"&lt;="&amp;($A613+21/24),tData[SEHTrajectPeriodeDatumTijdTotEnMet],"&gt;"&amp;($A613+21/24))</f>
        <v/>
      </c>
      <c r="Z613" s="20">
        <f>COUNTIFS(tData[SEHTrajectPeriodeDatumTijdVan],"&lt;="&amp;($A613+22/24),tData[SEHTrajectPeriodeDatumTijdTotEnMet],"&gt;"&amp;($A613+22/24))</f>
        <v/>
      </c>
      <c r="AA613" s="20">
        <f>COUNTIFS(tData[SEHTrajectPeriodeDatumTijdVan],"&lt;="&amp;($A613+23/24),tData[SEHTrajectPeriodeDatumTijdTotEnMet],"&gt;"&amp;($A613+23/24))</f>
        <v/>
      </c>
    </row>
    <row r="614">
      <c r="A614" s="19" t="n">
        <v>45902</v>
      </c>
      <c r="B614" s="15">
        <f>WEEKDAY($A614,2)</f>
        <v/>
      </c>
      <c r="C614" s="15">
        <f>IF(AND($A614&gt;=INT(Instellingen!$B$5),$A614&lt;=INT(Instellingen!$B$6)),1,0)</f>
        <v/>
      </c>
      <c r="D614" s="20">
        <f>COUNTIFS(tData[SEHTrajectPeriodeDatumTijdVan],"&lt;="&amp;($A614+0/24),tData[SEHTrajectPeriodeDatumTijdTotEnMet],"&gt;"&amp;($A614+0/24))</f>
        <v/>
      </c>
      <c r="E614" s="20">
        <f>COUNTIFS(tData[SEHTrajectPeriodeDatumTijdVan],"&lt;="&amp;($A614+1/24),tData[SEHTrajectPeriodeDatumTijdTotEnMet],"&gt;"&amp;($A614+1/24))</f>
        <v/>
      </c>
      <c r="F614" s="20">
        <f>COUNTIFS(tData[SEHTrajectPeriodeDatumTijdVan],"&lt;="&amp;($A614+2/24),tData[SEHTrajectPeriodeDatumTijdTotEnMet],"&gt;"&amp;($A614+2/24))</f>
        <v/>
      </c>
      <c r="G614" s="20">
        <f>COUNTIFS(tData[SEHTrajectPeriodeDatumTijdVan],"&lt;="&amp;($A614+3/24),tData[SEHTrajectPeriodeDatumTijdTotEnMet],"&gt;"&amp;($A614+3/24))</f>
        <v/>
      </c>
      <c r="H614" s="20">
        <f>COUNTIFS(tData[SEHTrajectPeriodeDatumTijdVan],"&lt;="&amp;($A614+4/24),tData[SEHTrajectPeriodeDatumTijdTotEnMet],"&gt;"&amp;($A614+4/24))</f>
        <v/>
      </c>
      <c r="I614" s="20">
        <f>COUNTIFS(tData[SEHTrajectPeriodeDatumTijdVan],"&lt;="&amp;($A614+5/24),tData[SEHTrajectPeriodeDatumTijdTotEnMet],"&gt;"&amp;($A614+5/24))</f>
        <v/>
      </c>
      <c r="J614" s="20">
        <f>COUNTIFS(tData[SEHTrajectPeriodeDatumTijdVan],"&lt;="&amp;($A614+6/24),tData[SEHTrajectPeriodeDatumTijdTotEnMet],"&gt;"&amp;($A614+6/24))</f>
        <v/>
      </c>
      <c r="K614" s="20">
        <f>COUNTIFS(tData[SEHTrajectPeriodeDatumTijdVan],"&lt;="&amp;($A614+7/24),tData[SEHTrajectPeriodeDatumTijdTotEnMet],"&gt;"&amp;($A614+7/24))</f>
        <v/>
      </c>
      <c r="L614" s="20">
        <f>COUNTIFS(tData[SEHTrajectPeriodeDatumTijdVan],"&lt;="&amp;($A614+8/24),tData[SEHTrajectPeriodeDatumTijdTotEnMet],"&gt;"&amp;($A614+8/24))</f>
        <v/>
      </c>
      <c r="M614" s="20">
        <f>COUNTIFS(tData[SEHTrajectPeriodeDatumTijdVan],"&lt;="&amp;($A614+9/24),tData[SEHTrajectPeriodeDatumTijdTotEnMet],"&gt;"&amp;($A614+9/24))</f>
        <v/>
      </c>
      <c r="N614" s="20">
        <f>COUNTIFS(tData[SEHTrajectPeriodeDatumTijdVan],"&lt;="&amp;($A614+10/24),tData[SEHTrajectPeriodeDatumTijdTotEnMet],"&gt;"&amp;($A614+10/24))</f>
        <v/>
      </c>
      <c r="O614" s="20">
        <f>COUNTIFS(tData[SEHTrajectPeriodeDatumTijdVan],"&lt;="&amp;($A614+11/24),tData[SEHTrajectPeriodeDatumTijdTotEnMet],"&gt;"&amp;($A614+11/24))</f>
        <v/>
      </c>
      <c r="P614" s="20">
        <f>COUNTIFS(tData[SEHTrajectPeriodeDatumTijdVan],"&lt;="&amp;($A614+12/24),tData[SEHTrajectPeriodeDatumTijdTotEnMet],"&gt;"&amp;($A614+12/24))</f>
        <v/>
      </c>
      <c r="Q614" s="20">
        <f>COUNTIFS(tData[SEHTrajectPeriodeDatumTijdVan],"&lt;="&amp;($A614+13/24),tData[SEHTrajectPeriodeDatumTijdTotEnMet],"&gt;"&amp;($A614+13/24))</f>
        <v/>
      </c>
      <c r="R614" s="20">
        <f>COUNTIFS(tData[SEHTrajectPeriodeDatumTijdVan],"&lt;="&amp;($A614+14/24),tData[SEHTrajectPeriodeDatumTijdTotEnMet],"&gt;"&amp;($A614+14/24))</f>
        <v/>
      </c>
      <c r="S614" s="20">
        <f>COUNTIFS(tData[SEHTrajectPeriodeDatumTijdVan],"&lt;="&amp;($A614+15/24),tData[SEHTrajectPeriodeDatumTijdTotEnMet],"&gt;"&amp;($A614+15/24))</f>
        <v/>
      </c>
      <c r="T614" s="20">
        <f>COUNTIFS(tData[SEHTrajectPeriodeDatumTijdVan],"&lt;="&amp;($A614+16/24),tData[SEHTrajectPeriodeDatumTijdTotEnMet],"&gt;"&amp;($A614+16/24))</f>
        <v/>
      </c>
      <c r="U614" s="20">
        <f>COUNTIFS(tData[SEHTrajectPeriodeDatumTijdVan],"&lt;="&amp;($A614+17/24),tData[SEHTrajectPeriodeDatumTijdTotEnMet],"&gt;"&amp;($A614+17/24))</f>
        <v/>
      </c>
      <c r="V614" s="20">
        <f>COUNTIFS(tData[SEHTrajectPeriodeDatumTijdVan],"&lt;="&amp;($A614+18/24),tData[SEHTrajectPeriodeDatumTijdTotEnMet],"&gt;"&amp;($A614+18/24))</f>
        <v/>
      </c>
      <c r="W614" s="20">
        <f>COUNTIFS(tData[SEHTrajectPeriodeDatumTijdVan],"&lt;="&amp;($A614+19/24),tData[SEHTrajectPeriodeDatumTijdTotEnMet],"&gt;"&amp;($A614+19/24))</f>
        <v/>
      </c>
      <c r="X614" s="20">
        <f>COUNTIFS(tData[SEHTrajectPeriodeDatumTijdVan],"&lt;="&amp;($A614+20/24),tData[SEHTrajectPeriodeDatumTijdTotEnMet],"&gt;"&amp;($A614+20/24))</f>
        <v/>
      </c>
      <c r="Y614" s="20">
        <f>COUNTIFS(tData[SEHTrajectPeriodeDatumTijdVan],"&lt;="&amp;($A614+21/24),tData[SEHTrajectPeriodeDatumTijdTotEnMet],"&gt;"&amp;($A614+21/24))</f>
        <v/>
      </c>
      <c r="Z614" s="20">
        <f>COUNTIFS(tData[SEHTrajectPeriodeDatumTijdVan],"&lt;="&amp;($A614+22/24),tData[SEHTrajectPeriodeDatumTijdTotEnMet],"&gt;"&amp;($A614+22/24))</f>
        <v/>
      </c>
      <c r="AA614" s="20">
        <f>COUNTIFS(tData[SEHTrajectPeriodeDatumTijdVan],"&lt;="&amp;($A614+23/24),tData[SEHTrajectPeriodeDatumTijdTotEnMet],"&gt;"&amp;($A614+23/24))</f>
        <v/>
      </c>
    </row>
    <row r="615">
      <c r="A615" s="19" t="n">
        <v>45903</v>
      </c>
      <c r="B615" s="15">
        <f>WEEKDAY($A615,2)</f>
        <v/>
      </c>
      <c r="C615" s="15">
        <f>IF(AND($A615&gt;=INT(Instellingen!$B$5),$A615&lt;=INT(Instellingen!$B$6)),1,0)</f>
        <v/>
      </c>
      <c r="D615" s="20">
        <f>COUNTIFS(tData[SEHTrajectPeriodeDatumTijdVan],"&lt;="&amp;($A615+0/24),tData[SEHTrajectPeriodeDatumTijdTotEnMet],"&gt;"&amp;($A615+0/24))</f>
        <v/>
      </c>
      <c r="E615" s="20">
        <f>COUNTIFS(tData[SEHTrajectPeriodeDatumTijdVan],"&lt;="&amp;($A615+1/24),tData[SEHTrajectPeriodeDatumTijdTotEnMet],"&gt;"&amp;($A615+1/24))</f>
        <v/>
      </c>
      <c r="F615" s="20">
        <f>COUNTIFS(tData[SEHTrajectPeriodeDatumTijdVan],"&lt;="&amp;($A615+2/24),tData[SEHTrajectPeriodeDatumTijdTotEnMet],"&gt;"&amp;($A615+2/24))</f>
        <v/>
      </c>
      <c r="G615" s="20">
        <f>COUNTIFS(tData[SEHTrajectPeriodeDatumTijdVan],"&lt;="&amp;($A615+3/24),tData[SEHTrajectPeriodeDatumTijdTotEnMet],"&gt;"&amp;($A615+3/24))</f>
        <v/>
      </c>
      <c r="H615" s="20">
        <f>COUNTIFS(tData[SEHTrajectPeriodeDatumTijdVan],"&lt;="&amp;($A615+4/24),tData[SEHTrajectPeriodeDatumTijdTotEnMet],"&gt;"&amp;($A615+4/24))</f>
        <v/>
      </c>
      <c r="I615" s="20">
        <f>COUNTIFS(tData[SEHTrajectPeriodeDatumTijdVan],"&lt;="&amp;($A615+5/24),tData[SEHTrajectPeriodeDatumTijdTotEnMet],"&gt;"&amp;($A615+5/24))</f>
        <v/>
      </c>
      <c r="J615" s="20">
        <f>COUNTIFS(tData[SEHTrajectPeriodeDatumTijdVan],"&lt;="&amp;($A615+6/24),tData[SEHTrajectPeriodeDatumTijdTotEnMet],"&gt;"&amp;($A615+6/24))</f>
        <v/>
      </c>
      <c r="K615" s="20">
        <f>COUNTIFS(tData[SEHTrajectPeriodeDatumTijdVan],"&lt;="&amp;($A615+7/24),tData[SEHTrajectPeriodeDatumTijdTotEnMet],"&gt;"&amp;($A615+7/24))</f>
        <v/>
      </c>
      <c r="L615" s="20">
        <f>COUNTIFS(tData[SEHTrajectPeriodeDatumTijdVan],"&lt;="&amp;($A615+8/24),tData[SEHTrajectPeriodeDatumTijdTotEnMet],"&gt;"&amp;($A615+8/24))</f>
        <v/>
      </c>
      <c r="M615" s="20">
        <f>COUNTIFS(tData[SEHTrajectPeriodeDatumTijdVan],"&lt;="&amp;($A615+9/24),tData[SEHTrajectPeriodeDatumTijdTotEnMet],"&gt;"&amp;($A615+9/24))</f>
        <v/>
      </c>
      <c r="N615" s="20">
        <f>COUNTIFS(tData[SEHTrajectPeriodeDatumTijdVan],"&lt;="&amp;($A615+10/24),tData[SEHTrajectPeriodeDatumTijdTotEnMet],"&gt;"&amp;($A615+10/24))</f>
        <v/>
      </c>
      <c r="O615" s="20">
        <f>COUNTIFS(tData[SEHTrajectPeriodeDatumTijdVan],"&lt;="&amp;($A615+11/24),tData[SEHTrajectPeriodeDatumTijdTotEnMet],"&gt;"&amp;($A615+11/24))</f>
        <v/>
      </c>
      <c r="P615" s="20">
        <f>COUNTIFS(tData[SEHTrajectPeriodeDatumTijdVan],"&lt;="&amp;($A615+12/24),tData[SEHTrajectPeriodeDatumTijdTotEnMet],"&gt;"&amp;($A615+12/24))</f>
        <v/>
      </c>
      <c r="Q615" s="20">
        <f>COUNTIFS(tData[SEHTrajectPeriodeDatumTijdVan],"&lt;="&amp;($A615+13/24),tData[SEHTrajectPeriodeDatumTijdTotEnMet],"&gt;"&amp;($A615+13/24))</f>
        <v/>
      </c>
      <c r="R615" s="20">
        <f>COUNTIFS(tData[SEHTrajectPeriodeDatumTijdVan],"&lt;="&amp;($A615+14/24),tData[SEHTrajectPeriodeDatumTijdTotEnMet],"&gt;"&amp;($A615+14/24))</f>
        <v/>
      </c>
      <c r="S615" s="20">
        <f>COUNTIFS(tData[SEHTrajectPeriodeDatumTijdVan],"&lt;="&amp;($A615+15/24),tData[SEHTrajectPeriodeDatumTijdTotEnMet],"&gt;"&amp;($A615+15/24))</f>
        <v/>
      </c>
      <c r="T615" s="20">
        <f>COUNTIFS(tData[SEHTrajectPeriodeDatumTijdVan],"&lt;="&amp;($A615+16/24),tData[SEHTrajectPeriodeDatumTijdTotEnMet],"&gt;"&amp;($A615+16/24))</f>
        <v/>
      </c>
      <c r="U615" s="20">
        <f>COUNTIFS(tData[SEHTrajectPeriodeDatumTijdVan],"&lt;="&amp;($A615+17/24),tData[SEHTrajectPeriodeDatumTijdTotEnMet],"&gt;"&amp;($A615+17/24))</f>
        <v/>
      </c>
      <c r="V615" s="20">
        <f>COUNTIFS(tData[SEHTrajectPeriodeDatumTijdVan],"&lt;="&amp;($A615+18/24),tData[SEHTrajectPeriodeDatumTijdTotEnMet],"&gt;"&amp;($A615+18/24))</f>
        <v/>
      </c>
      <c r="W615" s="20">
        <f>COUNTIFS(tData[SEHTrajectPeriodeDatumTijdVan],"&lt;="&amp;($A615+19/24),tData[SEHTrajectPeriodeDatumTijdTotEnMet],"&gt;"&amp;($A615+19/24))</f>
        <v/>
      </c>
      <c r="X615" s="20">
        <f>COUNTIFS(tData[SEHTrajectPeriodeDatumTijdVan],"&lt;="&amp;($A615+20/24),tData[SEHTrajectPeriodeDatumTijdTotEnMet],"&gt;"&amp;($A615+20/24))</f>
        <v/>
      </c>
      <c r="Y615" s="20">
        <f>COUNTIFS(tData[SEHTrajectPeriodeDatumTijdVan],"&lt;="&amp;($A615+21/24),tData[SEHTrajectPeriodeDatumTijdTotEnMet],"&gt;"&amp;($A615+21/24))</f>
        <v/>
      </c>
      <c r="Z615" s="20">
        <f>COUNTIFS(tData[SEHTrajectPeriodeDatumTijdVan],"&lt;="&amp;($A615+22/24),tData[SEHTrajectPeriodeDatumTijdTotEnMet],"&gt;"&amp;($A615+22/24))</f>
        <v/>
      </c>
      <c r="AA615" s="20">
        <f>COUNTIFS(tData[SEHTrajectPeriodeDatumTijdVan],"&lt;="&amp;($A615+23/24),tData[SEHTrajectPeriodeDatumTijdTotEnMet],"&gt;"&amp;($A615+23/24))</f>
        <v/>
      </c>
    </row>
    <row r="616">
      <c r="A616" s="19" t="n">
        <v>45904</v>
      </c>
      <c r="B616" s="15">
        <f>WEEKDAY($A616,2)</f>
        <v/>
      </c>
      <c r="C616" s="15">
        <f>IF(AND($A616&gt;=INT(Instellingen!$B$5),$A616&lt;=INT(Instellingen!$B$6)),1,0)</f>
        <v/>
      </c>
      <c r="D616" s="20">
        <f>COUNTIFS(tData[SEHTrajectPeriodeDatumTijdVan],"&lt;="&amp;($A616+0/24),tData[SEHTrajectPeriodeDatumTijdTotEnMet],"&gt;"&amp;($A616+0/24))</f>
        <v/>
      </c>
      <c r="E616" s="20">
        <f>COUNTIFS(tData[SEHTrajectPeriodeDatumTijdVan],"&lt;="&amp;($A616+1/24),tData[SEHTrajectPeriodeDatumTijdTotEnMet],"&gt;"&amp;($A616+1/24))</f>
        <v/>
      </c>
      <c r="F616" s="20">
        <f>COUNTIFS(tData[SEHTrajectPeriodeDatumTijdVan],"&lt;="&amp;($A616+2/24),tData[SEHTrajectPeriodeDatumTijdTotEnMet],"&gt;"&amp;($A616+2/24))</f>
        <v/>
      </c>
      <c r="G616" s="20">
        <f>COUNTIFS(tData[SEHTrajectPeriodeDatumTijdVan],"&lt;="&amp;($A616+3/24),tData[SEHTrajectPeriodeDatumTijdTotEnMet],"&gt;"&amp;($A616+3/24))</f>
        <v/>
      </c>
      <c r="H616" s="20">
        <f>COUNTIFS(tData[SEHTrajectPeriodeDatumTijdVan],"&lt;="&amp;($A616+4/24),tData[SEHTrajectPeriodeDatumTijdTotEnMet],"&gt;"&amp;($A616+4/24))</f>
        <v/>
      </c>
      <c r="I616" s="20">
        <f>COUNTIFS(tData[SEHTrajectPeriodeDatumTijdVan],"&lt;="&amp;($A616+5/24),tData[SEHTrajectPeriodeDatumTijdTotEnMet],"&gt;"&amp;($A616+5/24))</f>
        <v/>
      </c>
      <c r="J616" s="20">
        <f>COUNTIFS(tData[SEHTrajectPeriodeDatumTijdVan],"&lt;="&amp;($A616+6/24),tData[SEHTrajectPeriodeDatumTijdTotEnMet],"&gt;"&amp;($A616+6/24))</f>
        <v/>
      </c>
      <c r="K616" s="20">
        <f>COUNTIFS(tData[SEHTrajectPeriodeDatumTijdVan],"&lt;="&amp;($A616+7/24),tData[SEHTrajectPeriodeDatumTijdTotEnMet],"&gt;"&amp;($A616+7/24))</f>
        <v/>
      </c>
      <c r="L616" s="20">
        <f>COUNTIFS(tData[SEHTrajectPeriodeDatumTijdVan],"&lt;="&amp;($A616+8/24),tData[SEHTrajectPeriodeDatumTijdTotEnMet],"&gt;"&amp;($A616+8/24))</f>
        <v/>
      </c>
      <c r="M616" s="20">
        <f>COUNTIFS(tData[SEHTrajectPeriodeDatumTijdVan],"&lt;="&amp;($A616+9/24),tData[SEHTrajectPeriodeDatumTijdTotEnMet],"&gt;"&amp;($A616+9/24))</f>
        <v/>
      </c>
      <c r="N616" s="20">
        <f>COUNTIFS(tData[SEHTrajectPeriodeDatumTijdVan],"&lt;="&amp;($A616+10/24),tData[SEHTrajectPeriodeDatumTijdTotEnMet],"&gt;"&amp;($A616+10/24))</f>
        <v/>
      </c>
      <c r="O616" s="20">
        <f>COUNTIFS(tData[SEHTrajectPeriodeDatumTijdVan],"&lt;="&amp;($A616+11/24),tData[SEHTrajectPeriodeDatumTijdTotEnMet],"&gt;"&amp;($A616+11/24))</f>
        <v/>
      </c>
      <c r="P616" s="20">
        <f>COUNTIFS(tData[SEHTrajectPeriodeDatumTijdVan],"&lt;="&amp;($A616+12/24),tData[SEHTrajectPeriodeDatumTijdTotEnMet],"&gt;"&amp;($A616+12/24))</f>
        <v/>
      </c>
      <c r="Q616" s="20">
        <f>COUNTIFS(tData[SEHTrajectPeriodeDatumTijdVan],"&lt;="&amp;($A616+13/24),tData[SEHTrajectPeriodeDatumTijdTotEnMet],"&gt;"&amp;($A616+13/24))</f>
        <v/>
      </c>
      <c r="R616" s="20">
        <f>COUNTIFS(tData[SEHTrajectPeriodeDatumTijdVan],"&lt;="&amp;($A616+14/24),tData[SEHTrajectPeriodeDatumTijdTotEnMet],"&gt;"&amp;($A616+14/24))</f>
        <v/>
      </c>
      <c r="S616" s="20">
        <f>COUNTIFS(tData[SEHTrajectPeriodeDatumTijdVan],"&lt;="&amp;($A616+15/24),tData[SEHTrajectPeriodeDatumTijdTotEnMet],"&gt;"&amp;($A616+15/24))</f>
        <v/>
      </c>
      <c r="T616" s="20">
        <f>COUNTIFS(tData[SEHTrajectPeriodeDatumTijdVan],"&lt;="&amp;($A616+16/24),tData[SEHTrajectPeriodeDatumTijdTotEnMet],"&gt;"&amp;($A616+16/24))</f>
        <v/>
      </c>
      <c r="U616" s="20">
        <f>COUNTIFS(tData[SEHTrajectPeriodeDatumTijdVan],"&lt;="&amp;($A616+17/24),tData[SEHTrajectPeriodeDatumTijdTotEnMet],"&gt;"&amp;($A616+17/24))</f>
        <v/>
      </c>
      <c r="V616" s="20">
        <f>COUNTIFS(tData[SEHTrajectPeriodeDatumTijdVan],"&lt;="&amp;($A616+18/24),tData[SEHTrajectPeriodeDatumTijdTotEnMet],"&gt;"&amp;($A616+18/24))</f>
        <v/>
      </c>
      <c r="W616" s="20">
        <f>COUNTIFS(tData[SEHTrajectPeriodeDatumTijdVan],"&lt;="&amp;($A616+19/24),tData[SEHTrajectPeriodeDatumTijdTotEnMet],"&gt;"&amp;($A616+19/24))</f>
        <v/>
      </c>
      <c r="X616" s="20">
        <f>COUNTIFS(tData[SEHTrajectPeriodeDatumTijdVan],"&lt;="&amp;($A616+20/24),tData[SEHTrajectPeriodeDatumTijdTotEnMet],"&gt;"&amp;($A616+20/24))</f>
        <v/>
      </c>
      <c r="Y616" s="20">
        <f>COUNTIFS(tData[SEHTrajectPeriodeDatumTijdVan],"&lt;="&amp;($A616+21/24),tData[SEHTrajectPeriodeDatumTijdTotEnMet],"&gt;"&amp;($A616+21/24))</f>
        <v/>
      </c>
      <c r="Z616" s="20">
        <f>COUNTIFS(tData[SEHTrajectPeriodeDatumTijdVan],"&lt;="&amp;($A616+22/24),tData[SEHTrajectPeriodeDatumTijdTotEnMet],"&gt;"&amp;($A616+22/24))</f>
        <v/>
      </c>
      <c r="AA616" s="20">
        <f>COUNTIFS(tData[SEHTrajectPeriodeDatumTijdVan],"&lt;="&amp;($A616+23/24),tData[SEHTrajectPeriodeDatumTijdTotEnMet],"&gt;"&amp;($A616+23/24))</f>
        <v/>
      </c>
    </row>
    <row r="617">
      <c r="A617" s="19" t="n">
        <v>45905</v>
      </c>
      <c r="B617" s="15">
        <f>WEEKDAY($A617,2)</f>
        <v/>
      </c>
      <c r="C617" s="15">
        <f>IF(AND($A617&gt;=INT(Instellingen!$B$5),$A617&lt;=INT(Instellingen!$B$6)),1,0)</f>
        <v/>
      </c>
      <c r="D617" s="20">
        <f>COUNTIFS(tData[SEHTrajectPeriodeDatumTijdVan],"&lt;="&amp;($A617+0/24),tData[SEHTrajectPeriodeDatumTijdTotEnMet],"&gt;"&amp;($A617+0/24))</f>
        <v/>
      </c>
      <c r="E617" s="20">
        <f>COUNTIFS(tData[SEHTrajectPeriodeDatumTijdVan],"&lt;="&amp;($A617+1/24),tData[SEHTrajectPeriodeDatumTijdTotEnMet],"&gt;"&amp;($A617+1/24))</f>
        <v/>
      </c>
      <c r="F617" s="20">
        <f>COUNTIFS(tData[SEHTrajectPeriodeDatumTijdVan],"&lt;="&amp;($A617+2/24),tData[SEHTrajectPeriodeDatumTijdTotEnMet],"&gt;"&amp;($A617+2/24))</f>
        <v/>
      </c>
      <c r="G617" s="20">
        <f>COUNTIFS(tData[SEHTrajectPeriodeDatumTijdVan],"&lt;="&amp;($A617+3/24),tData[SEHTrajectPeriodeDatumTijdTotEnMet],"&gt;"&amp;($A617+3/24))</f>
        <v/>
      </c>
      <c r="H617" s="20">
        <f>COUNTIFS(tData[SEHTrajectPeriodeDatumTijdVan],"&lt;="&amp;($A617+4/24),tData[SEHTrajectPeriodeDatumTijdTotEnMet],"&gt;"&amp;($A617+4/24))</f>
        <v/>
      </c>
      <c r="I617" s="20">
        <f>COUNTIFS(tData[SEHTrajectPeriodeDatumTijdVan],"&lt;="&amp;($A617+5/24),tData[SEHTrajectPeriodeDatumTijdTotEnMet],"&gt;"&amp;($A617+5/24))</f>
        <v/>
      </c>
      <c r="J617" s="20">
        <f>COUNTIFS(tData[SEHTrajectPeriodeDatumTijdVan],"&lt;="&amp;($A617+6/24),tData[SEHTrajectPeriodeDatumTijdTotEnMet],"&gt;"&amp;($A617+6/24))</f>
        <v/>
      </c>
      <c r="K617" s="20">
        <f>COUNTIFS(tData[SEHTrajectPeriodeDatumTijdVan],"&lt;="&amp;($A617+7/24),tData[SEHTrajectPeriodeDatumTijdTotEnMet],"&gt;"&amp;($A617+7/24))</f>
        <v/>
      </c>
      <c r="L617" s="20">
        <f>COUNTIFS(tData[SEHTrajectPeriodeDatumTijdVan],"&lt;="&amp;($A617+8/24),tData[SEHTrajectPeriodeDatumTijdTotEnMet],"&gt;"&amp;($A617+8/24))</f>
        <v/>
      </c>
      <c r="M617" s="20">
        <f>COUNTIFS(tData[SEHTrajectPeriodeDatumTijdVan],"&lt;="&amp;($A617+9/24),tData[SEHTrajectPeriodeDatumTijdTotEnMet],"&gt;"&amp;($A617+9/24))</f>
        <v/>
      </c>
      <c r="N617" s="20">
        <f>COUNTIFS(tData[SEHTrajectPeriodeDatumTijdVan],"&lt;="&amp;($A617+10/24),tData[SEHTrajectPeriodeDatumTijdTotEnMet],"&gt;"&amp;($A617+10/24))</f>
        <v/>
      </c>
      <c r="O617" s="20">
        <f>COUNTIFS(tData[SEHTrajectPeriodeDatumTijdVan],"&lt;="&amp;($A617+11/24),tData[SEHTrajectPeriodeDatumTijdTotEnMet],"&gt;"&amp;($A617+11/24))</f>
        <v/>
      </c>
      <c r="P617" s="20">
        <f>COUNTIFS(tData[SEHTrajectPeriodeDatumTijdVan],"&lt;="&amp;($A617+12/24),tData[SEHTrajectPeriodeDatumTijdTotEnMet],"&gt;"&amp;($A617+12/24))</f>
        <v/>
      </c>
      <c r="Q617" s="20">
        <f>COUNTIFS(tData[SEHTrajectPeriodeDatumTijdVan],"&lt;="&amp;($A617+13/24),tData[SEHTrajectPeriodeDatumTijdTotEnMet],"&gt;"&amp;($A617+13/24))</f>
        <v/>
      </c>
      <c r="R617" s="20">
        <f>COUNTIFS(tData[SEHTrajectPeriodeDatumTijdVan],"&lt;="&amp;($A617+14/24),tData[SEHTrajectPeriodeDatumTijdTotEnMet],"&gt;"&amp;($A617+14/24))</f>
        <v/>
      </c>
      <c r="S617" s="20">
        <f>COUNTIFS(tData[SEHTrajectPeriodeDatumTijdVan],"&lt;="&amp;($A617+15/24),tData[SEHTrajectPeriodeDatumTijdTotEnMet],"&gt;"&amp;($A617+15/24))</f>
        <v/>
      </c>
      <c r="T617" s="20">
        <f>COUNTIFS(tData[SEHTrajectPeriodeDatumTijdVan],"&lt;="&amp;($A617+16/24),tData[SEHTrajectPeriodeDatumTijdTotEnMet],"&gt;"&amp;($A617+16/24))</f>
        <v/>
      </c>
      <c r="U617" s="20">
        <f>COUNTIFS(tData[SEHTrajectPeriodeDatumTijdVan],"&lt;="&amp;($A617+17/24),tData[SEHTrajectPeriodeDatumTijdTotEnMet],"&gt;"&amp;($A617+17/24))</f>
        <v/>
      </c>
      <c r="V617" s="20">
        <f>COUNTIFS(tData[SEHTrajectPeriodeDatumTijdVan],"&lt;="&amp;($A617+18/24),tData[SEHTrajectPeriodeDatumTijdTotEnMet],"&gt;"&amp;($A617+18/24))</f>
        <v/>
      </c>
      <c r="W617" s="20">
        <f>COUNTIFS(tData[SEHTrajectPeriodeDatumTijdVan],"&lt;="&amp;($A617+19/24),tData[SEHTrajectPeriodeDatumTijdTotEnMet],"&gt;"&amp;($A617+19/24))</f>
        <v/>
      </c>
      <c r="X617" s="20">
        <f>COUNTIFS(tData[SEHTrajectPeriodeDatumTijdVan],"&lt;="&amp;($A617+20/24),tData[SEHTrajectPeriodeDatumTijdTotEnMet],"&gt;"&amp;($A617+20/24))</f>
        <v/>
      </c>
      <c r="Y617" s="20">
        <f>COUNTIFS(tData[SEHTrajectPeriodeDatumTijdVan],"&lt;="&amp;($A617+21/24),tData[SEHTrajectPeriodeDatumTijdTotEnMet],"&gt;"&amp;($A617+21/24))</f>
        <v/>
      </c>
      <c r="Z617" s="20">
        <f>COUNTIFS(tData[SEHTrajectPeriodeDatumTijdVan],"&lt;="&amp;($A617+22/24),tData[SEHTrajectPeriodeDatumTijdTotEnMet],"&gt;"&amp;($A617+22/24))</f>
        <v/>
      </c>
      <c r="AA617" s="20">
        <f>COUNTIFS(tData[SEHTrajectPeriodeDatumTijdVan],"&lt;="&amp;($A617+23/24),tData[SEHTrajectPeriodeDatumTijdTotEnMet],"&gt;"&amp;($A617+23/24))</f>
        <v/>
      </c>
    </row>
    <row r="618">
      <c r="A618" s="19" t="n">
        <v>45906</v>
      </c>
      <c r="B618" s="15">
        <f>WEEKDAY($A618,2)</f>
        <v/>
      </c>
      <c r="C618" s="15">
        <f>IF(AND($A618&gt;=INT(Instellingen!$B$5),$A618&lt;=INT(Instellingen!$B$6)),1,0)</f>
        <v/>
      </c>
      <c r="D618" s="20">
        <f>COUNTIFS(tData[SEHTrajectPeriodeDatumTijdVan],"&lt;="&amp;($A618+0/24),tData[SEHTrajectPeriodeDatumTijdTotEnMet],"&gt;"&amp;($A618+0/24))</f>
        <v/>
      </c>
      <c r="E618" s="20">
        <f>COUNTIFS(tData[SEHTrajectPeriodeDatumTijdVan],"&lt;="&amp;($A618+1/24),tData[SEHTrajectPeriodeDatumTijdTotEnMet],"&gt;"&amp;($A618+1/24))</f>
        <v/>
      </c>
      <c r="F618" s="20">
        <f>COUNTIFS(tData[SEHTrajectPeriodeDatumTijdVan],"&lt;="&amp;($A618+2/24),tData[SEHTrajectPeriodeDatumTijdTotEnMet],"&gt;"&amp;($A618+2/24))</f>
        <v/>
      </c>
      <c r="G618" s="20">
        <f>COUNTIFS(tData[SEHTrajectPeriodeDatumTijdVan],"&lt;="&amp;($A618+3/24),tData[SEHTrajectPeriodeDatumTijdTotEnMet],"&gt;"&amp;($A618+3/24))</f>
        <v/>
      </c>
      <c r="H618" s="20">
        <f>COUNTIFS(tData[SEHTrajectPeriodeDatumTijdVan],"&lt;="&amp;($A618+4/24),tData[SEHTrajectPeriodeDatumTijdTotEnMet],"&gt;"&amp;($A618+4/24))</f>
        <v/>
      </c>
      <c r="I618" s="20">
        <f>COUNTIFS(tData[SEHTrajectPeriodeDatumTijdVan],"&lt;="&amp;($A618+5/24),tData[SEHTrajectPeriodeDatumTijdTotEnMet],"&gt;"&amp;($A618+5/24))</f>
        <v/>
      </c>
      <c r="J618" s="20">
        <f>COUNTIFS(tData[SEHTrajectPeriodeDatumTijdVan],"&lt;="&amp;($A618+6/24),tData[SEHTrajectPeriodeDatumTijdTotEnMet],"&gt;"&amp;($A618+6/24))</f>
        <v/>
      </c>
      <c r="K618" s="20">
        <f>COUNTIFS(tData[SEHTrajectPeriodeDatumTijdVan],"&lt;="&amp;($A618+7/24),tData[SEHTrajectPeriodeDatumTijdTotEnMet],"&gt;"&amp;($A618+7/24))</f>
        <v/>
      </c>
      <c r="L618" s="20">
        <f>COUNTIFS(tData[SEHTrajectPeriodeDatumTijdVan],"&lt;="&amp;($A618+8/24),tData[SEHTrajectPeriodeDatumTijdTotEnMet],"&gt;"&amp;($A618+8/24))</f>
        <v/>
      </c>
      <c r="M618" s="20">
        <f>COUNTIFS(tData[SEHTrajectPeriodeDatumTijdVan],"&lt;="&amp;($A618+9/24),tData[SEHTrajectPeriodeDatumTijdTotEnMet],"&gt;"&amp;($A618+9/24))</f>
        <v/>
      </c>
      <c r="N618" s="20">
        <f>COUNTIFS(tData[SEHTrajectPeriodeDatumTijdVan],"&lt;="&amp;($A618+10/24),tData[SEHTrajectPeriodeDatumTijdTotEnMet],"&gt;"&amp;($A618+10/24))</f>
        <v/>
      </c>
      <c r="O618" s="20">
        <f>COUNTIFS(tData[SEHTrajectPeriodeDatumTijdVan],"&lt;="&amp;($A618+11/24),tData[SEHTrajectPeriodeDatumTijdTotEnMet],"&gt;"&amp;($A618+11/24))</f>
        <v/>
      </c>
      <c r="P618" s="20">
        <f>COUNTIFS(tData[SEHTrajectPeriodeDatumTijdVan],"&lt;="&amp;($A618+12/24),tData[SEHTrajectPeriodeDatumTijdTotEnMet],"&gt;"&amp;($A618+12/24))</f>
        <v/>
      </c>
      <c r="Q618" s="20">
        <f>COUNTIFS(tData[SEHTrajectPeriodeDatumTijdVan],"&lt;="&amp;($A618+13/24),tData[SEHTrajectPeriodeDatumTijdTotEnMet],"&gt;"&amp;($A618+13/24))</f>
        <v/>
      </c>
      <c r="R618" s="20">
        <f>COUNTIFS(tData[SEHTrajectPeriodeDatumTijdVan],"&lt;="&amp;($A618+14/24),tData[SEHTrajectPeriodeDatumTijdTotEnMet],"&gt;"&amp;($A618+14/24))</f>
        <v/>
      </c>
      <c r="S618" s="20">
        <f>COUNTIFS(tData[SEHTrajectPeriodeDatumTijdVan],"&lt;="&amp;($A618+15/24),tData[SEHTrajectPeriodeDatumTijdTotEnMet],"&gt;"&amp;($A618+15/24))</f>
        <v/>
      </c>
      <c r="T618" s="20">
        <f>COUNTIFS(tData[SEHTrajectPeriodeDatumTijdVan],"&lt;="&amp;($A618+16/24),tData[SEHTrajectPeriodeDatumTijdTotEnMet],"&gt;"&amp;($A618+16/24))</f>
        <v/>
      </c>
      <c r="U618" s="20">
        <f>COUNTIFS(tData[SEHTrajectPeriodeDatumTijdVan],"&lt;="&amp;($A618+17/24),tData[SEHTrajectPeriodeDatumTijdTotEnMet],"&gt;"&amp;($A618+17/24))</f>
        <v/>
      </c>
      <c r="V618" s="20">
        <f>COUNTIFS(tData[SEHTrajectPeriodeDatumTijdVan],"&lt;="&amp;($A618+18/24),tData[SEHTrajectPeriodeDatumTijdTotEnMet],"&gt;"&amp;($A618+18/24))</f>
        <v/>
      </c>
      <c r="W618" s="20">
        <f>COUNTIFS(tData[SEHTrajectPeriodeDatumTijdVan],"&lt;="&amp;($A618+19/24),tData[SEHTrajectPeriodeDatumTijdTotEnMet],"&gt;"&amp;($A618+19/24))</f>
        <v/>
      </c>
      <c r="X618" s="20">
        <f>COUNTIFS(tData[SEHTrajectPeriodeDatumTijdVan],"&lt;="&amp;($A618+20/24),tData[SEHTrajectPeriodeDatumTijdTotEnMet],"&gt;"&amp;($A618+20/24))</f>
        <v/>
      </c>
      <c r="Y618" s="20">
        <f>COUNTIFS(tData[SEHTrajectPeriodeDatumTijdVan],"&lt;="&amp;($A618+21/24),tData[SEHTrajectPeriodeDatumTijdTotEnMet],"&gt;"&amp;($A618+21/24))</f>
        <v/>
      </c>
      <c r="Z618" s="20">
        <f>COUNTIFS(tData[SEHTrajectPeriodeDatumTijdVan],"&lt;="&amp;($A618+22/24),tData[SEHTrajectPeriodeDatumTijdTotEnMet],"&gt;"&amp;($A618+22/24))</f>
        <v/>
      </c>
      <c r="AA618" s="20">
        <f>COUNTIFS(tData[SEHTrajectPeriodeDatumTijdVan],"&lt;="&amp;($A618+23/24),tData[SEHTrajectPeriodeDatumTijdTotEnMet],"&gt;"&amp;($A618+23/24))</f>
        <v/>
      </c>
    </row>
    <row r="619">
      <c r="A619" s="19" t="n">
        <v>45907</v>
      </c>
      <c r="B619" s="15">
        <f>WEEKDAY($A619,2)</f>
        <v/>
      </c>
      <c r="C619" s="15">
        <f>IF(AND($A619&gt;=INT(Instellingen!$B$5),$A619&lt;=INT(Instellingen!$B$6)),1,0)</f>
        <v/>
      </c>
      <c r="D619" s="20">
        <f>COUNTIFS(tData[SEHTrajectPeriodeDatumTijdVan],"&lt;="&amp;($A619+0/24),tData[SEHTrajectPeriodeDatumTijdTotEnMet],"&gt;"&amp;($A619+0/24))</f>
        <v/>
      </c>
      <c r="E619" s="20">
        <f>COUNTIFS(tData[SEHTrajectPeriodeDatumTijdVan],"&lt;="&amp;($A619+1/24),tData[SEHTrajectPeriodeDatumTijdTotEnMet],"&gt;"&amp;($A619+1/24))</f>
        <v/>
      </c>
      <c r="F619" s="20">
        <f>COUNTIFS(tData[SEHTrajectPeriodeDatumTijdVan],"&lt;="&amp;($A619+2/24),tData[SEHTrajectPeriodeDatumTijdTotEnMet],"&gt;"&amp;($A619+2/24))</f>
        <v/>
      </c>
      <c r="G619" s="20">
        <f>COUNTIFS(tData[SEHTrajectPeriodeDatumTijdVan],"&lt;="&amp;($A619+3/24),tData[SEHTrajectPeriodeDatumTijdTotEnMet],"&gt;"&amp;($A619+3/24))</f>
        <v/>
      </c>
      <c r="H619" s="20">
        <f>COUNTIFS(tData[SEHTrajectPeriodeDatumTijdVan],"&lt;="&amp;($A619+4/24),tData[SEHTrajectPeriodeDatumTijdTotEnMet],"&gt;"&amp;($A619+4/24))</f>
        <v/>
      </c>
      <c r="I619" s="20">
        <f>COUNTIFS(tData[SEHTrajectPeriodeDatumTijdVan],"&lt;="&amp;($A619+5/24),tData[SEHTrajectPeriodeDatumTijdTotEnMet],"&gt;"&amp;($A619+5/24))</f>
        <v/>
      </c>
      <c r="J619" s="20">
        <f>COUNTIFS(tData[SEHTrajectPeriodeDatumTijdVan],"&lt;="&amp;($A619+6/24),tData[SEHTrajectPeriodeDatumTijdTotEnMet],"&gt;"&amp;($A619+6/24))</f>
        <v/>
      </c>
      <c r="K619" s="20">
        <f>COUNTIFS(tData[SEHTrajectPeriodeDatumTijdVan],"&lt;="&amp;($A619+7/24),tData[SEHTrajectPeriodeDatumTijdTotEnMet],"&gt;"&amp;($A619+7/24))</f>
        <v/>
      </c>
      <c r="L619" s="20">
        <f>COUNTIFS(tData[SEHTrajectPeriodeDatumTijdVan],"&lt;="&amp;($A619+8/24),tData[SEHTrajectPeriodeDatumTijdTotEnMet],"&gt;"&amp;($A619+8/24))</f>
        <v/>
      </c>
      <c r="M619" s="20">
        <f>COUNTIFS(tData[SEHTrajectPeriodeDatumTijdVan],"&lt;="&amp;($A619+9/24),tData[SEHTrajectPeriodeDatumTijdTotEnMet],"&gt;"&amp;($A619+9/24))</f>
        <v/>
      </c>
      <c r="N619" s="20">
        <f>COUNTIFS(tData[SEHTrajectPeriodeDatumTijdVan],"&lt;="&amp;($A619+10/24),tData[SEHTrajectPeriodeDatumTijdTotEnMet],"&gt;"&amp;($A619+10/24))</f>
        <v/>
      </c>
      <c r="O619" s="20">
        <f>COUNTIFS(tData[SEHTrajectPeriodeDatumTijdVan],"&lt;="&amp;($A619+11/24),tData[SEHTrajectPeriodeDatumTijdTotEnMet],"&gt;"&amp;($A619+11/24))</f>
        <v/>
      </c>
      <c r="P619" s="20">
        <f>COUNTIFS(tData[SEHTrajectPeriodeDatumTijdVan],"&lt;="&amp;($A619+12/24),tData[SEHTrajectPeriodeDatumTijdTotEnMet],"&gt;"&amp;($A619+12/24))</f>
        <v/>
      </c>
      <c r="Q619" s="20">
        <f>COUNTIFS(tData[SEHTrajectPeriodeDatumTijdVan],"&lt;="&amp;($A619+13/24),tData[SEHTrajectPeriodeDatumTijdTotEnMet],"&gt;"&amp;($A619+13/24))</f>
        <v/>
      </c>
      <c r="R619" s="20">
        <f>COUNTIFS(tData[SEHTrajectPeriodeDatumTijdVan],"&lt;="&amp;($A619+14/24),tData[SEHTrajectPeriodeDatumTijdTotEnMet],"&gt;"&amp;($A619+14/24))</f>
        <v/>
      </c>
      <c r="S619" s="20">
        <f>COUNTIFS(tData[SEHTrajectPeriodeDatumTijdVan],"&lt;="&amp;($A619+15/24),tData[SEHTrajectPeriodeDatumTijdTotEnMet],"&gt;"&amp;($A619+15/24))</f>
        <v/>
      </c>
      <c r="T619" s="20">
        <f>COUNTIFS(tData[SEHTrajectPeriodeDatumTijdVan],"&lt;="&amp;($A619+16/24),tData[SEHTrajectPeriodeDatumTijdTotEnMet],"&gt;"&amp;($A619+16/24))</f>
        <v/>
      </c>
      <c r="U619" s="20">
        <f>COUNTIFS(tData[SEHTrajectPeriodeDatumTijdVan],"&lt;="&amp;($A619+17/24),tData[SEHTrajectPeriodeDatumTijdTotEnMet],"&gt;"&amp;($A619+17/24))</f>
        <v/>
      </c>
      <c r="V619" s="20">
        <f>COUNTIFS(tData[SEHTrajectPeriodeDatumTijdVan],"&lt;="&amp;($A619+18/24),tData[SEHTrajectPeriodeDatumTijdTotEnMet],"&gt;"&amp;($A619+18/24))</f>
        <v/>
      </c>
      <c r="W619" s="20">
        <f>COUNTIFS(tData[SEHTrajectPeriodeDatumTijdVan],"&lt;="&amp;($A619+19/24),tData[SEHTrajectPeriodeDatumTijdTotEnMet],"&gt;"&amp;($A619+19/24))</f>
        <v/>
      </c>
      <c r="X619" s="20">
        <f>COUNTIFS(tData[SEHTrajectPeriodeDatumTijdVan],"&lt;="&amp;($A619+20/24),tData[SEHTrajectPeriodeDatumTijdTotEnMet],"&gt;"&amp;($A619+20/24))</f>
        <v/>
      </c>
      <c r="Y619" s="20">
        <f>COUNTIFS(tData[SEHTrajectPeriodeDatumTijdVan],"&lt;="&amp;($A619+21/24),tData[SEHTrajectPeriodeDatumTijdTotEnMet],"&gt;"&amp;($A619+21/24))</f>
        <v/>
      </c>
      <c r="Z619" s="20">
        <f>COUNTIFS(tData[SEHTrajectPeriodeDatumTijdVan],"&lt;="&amp;($A619+22/24),tData[SEHTrajectPeriodeDatumTijdTotEnMet],"&gt;"&amp;($A619+22/24))</f>
        <v/>
      </c>
      <c r="AA619" s="20">
        <f>COUNTIFS(tData[SEHTrajectPeriodeDatumTijdVan],"&lt;="&amp;($A619+23/24),tData[SEHTrajectPeriodeDatumTijdTotEnMet],"&gt;"&amp;($A619+23/24))</f>
        <v/>
      </c>
    </row>
    <row r="620">
      <c r="A620" s="19" t="n">
        <v>45908</v>
      </c>
      <c r="B620" s="15">
        <f>WEEKDAY($A620,2)</f>
        <v/>
      </c>
      <c r="C620" s="15">
        <f>IF(AND($A620&gt;=INT(Instellingen!$B$5),$A620&lt;=INT(Instellingen!$B$6)),1,0)</f>
        <v/>
      </c>
      <c r="D620" s="20">
        <f>COUNTIFS(tData[SEHTrajectPeriodeDatumTijdVan],"&lt;="&amp;($A620+0/24),tData[SEHTrajectPeriodeDatumTijdTotEnMet],"&gt;"&amp;($A620+0/24))</f>
        <v/>
      </c>
      <c r="E620" s="20">
        <f>COUNTIFS(tData[SEHTrajectPeriodeDatumTijdVan],"&lt;="&amp;($A620+1/24),tData[SEHTrajectPeriodeDatumTijdTotEnMet],"&gt;"&amp;($A620+1/24))</f>
        <v/>
      </c>
      <c r="F620" s="20">
        <f>COUNTIFS(tData[SEHTrajectPeriodeDatumTijdVan],"&lt;="&amp;($A620+2/24),tData[SEHTrajectPeriodeDatumTijdTotEnMet],"&gt;"&amp;($A620+2/24))</f>
        <v/>
      </c>
      <c r="G620" s="20">
        <f>COUNTIFS(tData[SEHTrajectPeriodeDatumTijdVan],"&lt;="&amp;($A620+3/24),tData[SEHTrajectPeriodeDatumTijdTotEnMet],"&gt;"&amp;($A620+3/24))</f>
        <v/>
      </c>
      <c r="H620" s="20">
        <f>COUNTIFS(tData[SEHTrajectPeriodeDatumTijdVan],"&lt;="&amp;($A620+4/24),tData[SEHTrajectPeriodeDatumTijdTotEnMet],"&gt;"&amp;($A620+4/24))</f>
        <v/>
      </c>
      <c r="I620" s="20">
        <f>COUNTIFS(tData[SEHTrajectPeriodeDatumTijdVan],"&lt;="&amp;($A620+5/24),tData[SEHTrajectPeriodeDatumTijdTotEnMet],"&gt;"&amp;($A620+5/24))</f>
        <v/>
      </c>
      <c r="J620" s="20">
        <f>COUNTIFS(tData[SEHTrajectPeriodeDatumTijdVan],"&lt;="&amp;($A620+6/24),tData[SEHTrajectPeriodeDatumTijdTotEnMet],"&gt;"&amp;($A620+6/24))</f>
        <v/>
      </c>
      <c r="K620" s="20">
        <f>COUNTIFS(tData[SEHTrajectPeriodeDatumTijdVan],"&lt;="&amp;($A620+7/24),tData[SEHTrajectPeriodeDatumTijdTotEnMet],"&gt;"&amp;($A620+7/24))</f>
        <v/>
      </c>
      <c r="L620" s="20">
        <f>COUNTIFS(tData[SEHTrajectPeriodeDatumTijdVan],"&lt;="&amp;($A620+8/24),tData[SEHTrajectPeriodeDatumTijdTotEnMet],"&gt;"&amp;($A620+8/24))</f>
        <v/>
      </c>
      <c r="M620" s="20">
        <f>COUNTIFS(tData[SEHTrajectPeriodeDatumTijdVan],"&lt;="&amp;($A620+9/24),tData[SEHTrajectPeriodeDatumTijdTotEnMet],"&gt;"&amp;($A620+9/24))</f>
        <v/>
      </c>
      <c r="N620" s="20">
        <f>COUNTIFS(tData[SEHTrajectPeriodeDatumTijdVan],"&lt;="&amp;($A620+10/24),tData[SEHTrajectPeriodeDatumTijdTotEnMet],"&gt;"&amp;($A620+10/24))</f>
        <v/>
      </c>
      <c r="O620" s="20">
        <f>COUNTIFS(tData[SEHTrajectPeriodeDatumTijdVan],"&lt;="&amp;($A620+11/24),tData[SEHTrajectPeriodeDatumTijdTotEnMet],"&gt;"&amp;($A620+11/24))</f>
        <v/>
      </c>
      <c r="P620" s="20">
        <f>COUNTIFS(tData[SEHTrajectPeriodeDatumTijdVan],"&lt;="&amp;($A620+12/24),tData[SEHTrajectPeriodeDatumTijdTotEnMet],"&gt;"&amp;($A620+12/24))</f>
        <v/>
      </c>
      <c r="Q620" s="20">
        <f>COUNTIFS(tData[SEHTrajectPeriodeDatumTijdVan],"&lt;="&amp;($A620+13/24),tData[SEHTrajectPeriodeDatumTijdTotEnMet],"&gt;"&amp;($A620+13/24))</f>
        <v/>
      </c>
      <c r="R620" s="20">
        <f>COUNTIFS(tData[SEHTrajectPeriodeDatumTijdVan],"&lt;="&amp;($A620+14/24),tData[SEHTrajectPeriodeDatumTijdTotEnMet],"&gt;"&amp;($A620+14/24))</f>
        <v/>
      </c>
      <c r="S620" s="20">
        <f>COUNTIFS(tData[SEHTrajectPeriodeDatumTijdVan],"&lt;="&amp;($A620+15/24),tData[SEHTrajectPeriodeDatumTijdTotEnMet],"&gt;"&amp;($A620+15/24))</f>
        <v/>
      </c>
      <c r="T620" s="20">
        <f>COUNTIFS(tData[SEHTrajectPeriodeDatumTijdVan],"&lt;="&amp;($A620+16/24),tData[SEHTrajectPeriodeDatumTijdTotEnMet],"&gt;"&amp;($A620+16/24))</f>
        <v/>
      </c>
      <c r="U620" s="20">
        <f>COUNTIFS(tData[SEHTrajectPeriodeDatumTijdVan],"&lt;="&amp;($A620+17/24),tData[SEHTrajectPeriodeDatumTijdTotEnMet],"&gt;"&amp;($A620+17/24))</f>
        <v/>
      </c>
      <c r="V620" s="20">
        <f>COUNTIFS(tData[SEHTrajectPeriodeDatumTijdVan],"&lt;="&amp;($A620+18/24),tData[SEHTrajectPeriodeDatumTijdTotEnMet],"&gt;"&amp;($A620+18/24))</f>
        <v/>
      </c>
      <c r="W620" s="20">
        <f>COUNTIFS(tData[SEHTrajectPeriodeDatumTijdVan],"&lt;="&amp;($A620+19/24),tData[SEHTrajectPeriodeDatumTijdTotEnMet],"&gt;"&amp;($A620+19/24))</f>
        <v/>
      </c>
      <c r="X620" s="20">
        <f>COUNTIFS(tData[SEHTrajectPeriodeDatumTijdVan],"&lt;="&amp;($A620+20/24),tData[SEHTrajectPeriodeDatumTijdTotEnMet],"&gt;"&amp;($A620+20/24))</f>
        <v/>
      </c>
      <c r="Y620" s="20">
        <f>COUNTIFS(tData[SEHTrajectPeriodeDatumTijdVan],"&lt;="&amp;($A620+21/24),tData[SEHTrajectPeriodeDatumTijdTotEnMet],"&gt;"&amp;($A620+21/24))</f>
        <v/>
      </c>
      <c r="Z620" s="20">
        <f>COUNTIFS(tData[SEHTrajectPeriodeDatumTijdVan],"&lt;="&amp;($A620+22/24),tData[SEHTrajectPeriodeDatumTijdTotEnMet],"&gt;"&amp;($A620+22/24))</f>
        <v/>
      </c>
      <c r="AA620" s="20">
        <f>COUNTIFS(tData[SEHTrajectPeriodeDatumTijdVan],"&lt;="&amp;($A620+23/24),tData[SEHTrajectPeriodeDatumTijdTotEnMet],"&gt;"&amp;($A620+23/24))</f>
        <v/>
      </c>
    </row>
    <row r="621">
      <c r="A621" s="19" t="n">
        <v>45909</v>
      </c>
      <c r="B621" s="15">
        <f>WEEKDAY($A621,2)</f>
        <v/>
      </c>
      <c r="C621" s="15">
        <f>IF(AND($A621&gt;=INT(Instellingen!$B$5),$A621&lt;=INT(Instellingen!$B$6)),1,0)</f>
        <v/>
      </c>
      <c r="D621" s="20">
        <f>COUNTIFS(tData[SEHTrajectPeriodeDatumTijdVan],"&lt;="&amp;($A621+0/24),tData[SEHTrajectPeriodeDatumTijdTotEnMet],"&gt;"&amp;($A621+0/24))</f>
        <v/>
      </c>
      <c r="E621" s="20">
        <f>COUNTIFS(tData[SEHTrajectPeriodeDatumTijdVan],"&lt;="&amp;($A621+1/24),tData[SEHTrajectPeriodeDatumTijdTotEnMet],"&gt;"&amp;($A621+1/24))</f>
        <v/>
      </c>
      <c r="F621" s="20">
        <f>COUNTIFS(tData[SEHTrajectPeriodeDatumTijdVan],"&lt;="&amp;($A621+2/24),tData[SEHTrajectPeriodeDatumTijdTotEnMet],"&gt;"&amp;($A621+2/24))</f>
        <v/>
      </c>
      <c r="G621" s="20">
        <f>COUNTIFS(tData[SEHTrajectPeriodeDatumTijdVan],"&lt;="&amp;($A621+3/24),tData[SEHTrajectPeriodeDatumTijdTotEnMet],"&gt;"&amp;($A621+3/24))</f>
        <v/>
      </c>
      <c r="H621" s="20">
        <f>COUNTIFS(tData[SEHTrajectPeriodeDatumTijdVan],"&lt;="&amp;($A621+4/24),tData[SEHTrajectPeriodeDatumTijdTotEnMet],"&gt;"&amp;($A621+4/24))</f>
        <v/>
      </c>
      <c r="I621" s="20">
        <f>COUNTIFS(tData[SEHTrajectPeriodeDatumTijdVan],"&lt;="&amp;($A621+5/24),tData[SEHTrajectPeriodeDatumTijdTotEnMet],"&gt;"&amp;($A621+5/24))</f>
        <v/>
      </c>
      <c r="J621" s="20">
        <f>COUNTIFS(tData[SEHTrajectPeriodeDatumTijdVan],"&lt;="&amp;($A621+6/24),tData[SEHTrajectPeriodeDatumTijdTotEnMet],"&gt;"&amp;($A621+6/24))</f>
        <v/>
      </c>
      <c r="K621" s="20">
        <f>COUNTIFS(tData[SEHTrajectPeriodeDatumTijdVan],"&lt;="&amp;($A621+7/24),tData[SEHTrajectPeriodeDatumTijdTotEnMet],"&gt;"&amp;($A621+7/24))</f>
        <v/>
      </c>
      <c r="L621" s="20">
        <f>COUNTIFS(tData[SEHTrajectPeriodeDatumTijdVan],"&lt;="&amp;($A621+8/24),tData[SEHTrajectPeriodeDatumTijdTotEnMet],"&gt;"&amp;($A621+8/24))</f>
        <v/>
      </c>
      <c r="M621" s="20">
        <f>COUNTIFS(tData[SEHTrajectPeriodeDatumTijdVan],"&lt;="&amp;($A621+9/24),tData[SEHTrajectPeriodeDatumTijdTotEnMet],"&gt;"&amp;($A621+9/24))</f>
        <v/>
      </c>
      <c r="N621" s="20">
        <f>COUNTIFS(tData[SEHTrajectPeriodeDatumTijdVan],"&lt;="&amp;($A621+10/24),tData[SEHTrajectPeriodeDatumTijdTotEnMet],"&gt;"&amp;($A621+10/24))</f>
        <v/>
      </c>
      <c r="O621" s="20">
        <f>COUNTIFS(tData[SEHTrajectPeriodeDatumTijdVan],"&lt;="&amp;($A621+11/24),tData[SEHTrajectPeriodeDatumTijdTotEnMet],"&gt;"&amp;($A621+11/24))</f>
        <v/>
      </c>
      <c r="P621" s="20">
        <f>COUNTIFS(tData[SEHTrajectPeriodeDatumTijdVan],"&lt;="&amp;($A621+12/24),tData[SEHTrajectPeriodeDatumTijdTotEnMet],"&gt;"&amp;($A621+12/24))</f>
        <v/>
      </c>
      <c r="Q621" s="20">
        <f>COUNTIFS(tData[SEHTrajectPeriodeDatumTijdVan],"&lt;="&amp;($A621+13/24),tData[SEHTrajectPeriodeDatumTijdTotEnMet],"&gt;"&amp;($A621+13/24))</f>
        <v/>
      </c>
      <c r="R621" s="20">
        <f>COUNTIFS(tData[SEHTrajectPeriodeDatumTijdVan],"&lt;="&amp;($A621+14/24),tData[SEHTrajectPeriodeDatumTijdTotEnMet],"&gt;"&amp;($A621+14/24))</f>
        <v/>
      </c>
      <c r="S621" s="20">
        <f>COUNTIFS(tData[SEHTrajectPeriodeDatumTijdVan],"&lt;="&amp;($A621+15/24),tData[SEHTrajectPeriodeDatumTijdTotEnMet],"&gt;"&amp;($A621+15/24))</f>
        <v/>
      </c>
      <c r="T621" s="20">
        <f>COUNTIFS(tData[SEHTrajectPeriodeDatumTijdVan],"&lt;="&amp;($A621+16/24),tData[SEHTrajectPeriodeDatumTijdTotEnMet],"&gt;"&amp;($A621+16/24))</f>
        <v/>
      </c>
      <c r="U621" s="20">
        <f>COUNTIFS(tData[SEHTrajectPeriodeDatumTijdVan],"&lt;="&amp;($A621+17/24),tData[SEHTrajectPeriodeDatumTijdTotEnMet],"&gt;"&amp;($A621+17/24))</f>
        <v/>
      </c>
      <c r="V621" s="20">
        <f>COUNTIFS(tData[SEHTrajectPeriodeDatumTijdVan],"&lt;="&amp;($A621+18/24),tData[SEHTrajectPeriodeDatumTijdTotEnMet],"&gt;"&amp;($A621+18/24))</f>
        <v/>
      </c>
      <c r="W621" s="20">
        <f>COUNTIFS(tData[SEHTrajectPeriodeDatumTijdVan],"&lt;="&amp;($A621+19/24),tData[SEHTrajectPeriodeDatumTijdTotEnMet],"&gt;"&amp;($A621+19/24))</f>
        <v/>
      </c>
      <c r="X621" s="20">
        <f>COUNTIFS(tData[SEHTrajectPeriodeDatumTijdVan],"&lt;="&amp;($A621+20/24),tData[SEHTrajectPeriodeDatumTijdTotEnMet],"&gt;"&amp;($A621+20/24))</f>
        <v/>
      </c>
      <c r="Y621" s="20">
        <f>COUNTIFS(tData[SEHTrajectPeriodeDatumTijdVan],"&lt;="&amp;($A621+21/24),tData[SEHTrajectPeriodeDatumTijdTotEnMet],"&gt;"&amp;($A621+21/24))</f>
        <v/>
      </c>
      <c r="Z621" s="20">
        <f>COUNTIFS(tData[SEHTrajectPeriodeDatumTijdVan],"&lt;="&amp;($A621+22/24),tData[SEHTrajectPeriodeDatumTijdTotEnMet],"&gt;"&amp;($A621+22/24))</f>
        <v/>
      </c>
      <c r="AA621" s="20">
        <f>COUNTIFS(tData[SEHTrajectPeriodeDatumTijdVan],"&lt;="&amp;($A621+23/24),tData[SEHTrajectPeriodeDatumTijdTotEnMet],"&gt;"&amp;($A621+23/24))</f>
        <v/>
      </c>
    </row>
    <row r="622">
      <c r="A622" s="19" t="n">
        <v>45910</v>
      </c>
      <c r="B622" s="15">
        <f>WEEKDAY($A622,2)</f>
        <v/>
      </c>
      <c r="C622" s="15">
        <f>IF(AND($A622&gt;=INT(Instellingen!$B$5),$A622&lt;=INT(Instellingen!$B$6)),1,0)</f>
        <v/>
      </c>
      <c r="D622" s="20">
        <f>COUNTIFS(tData[SEHTrajectPeriodeDatumTijdVan],"&lt;="&amp;($A622+0/24),tData[SEHTrajectPeriodeDatumTijdTotEnMet],"&gt;"&amp;($A622+0/24))</f>
        <v/>
      </c>
      <c r="E622" s="20">
        <f>COUNTIFS(tData[SEHTrajectPeriodeDatumTijdVan],"&lt;="&amp;($A622+1/24),tData[SEHTrajectPeriodeDatumTijdTotEnMet],"&gt;"&amp;($A622+1/24))</f>
        <v/>
      </c>
      <c r="F622" s="20">
        <f>COUNTIFS(tData[SEHTrajectPeriodeDatumTijdVan],"&lt;="&amp;($A622+2/24),tData[SEHTrajectPeriodeDatumTijdTotEnMet],"&gt;"&amp;($A622+2/24))</f>
        <v/>
      </c>
      <c r="G622" s="20">
        <f>COUNTIFS(tData[SEHTrajectPeriodeDatumTijdVan],"&lt;="&amp;($A622+3/24),tData[SEHTrajectPeriodeDatumTijdTotEnMet],"&gt;"&amp;($A622+3/24))</f>
        <v/>
      </c>
      <c r="H622" s="20">
        <f>COUNTIFS(tData[SEHTrajectPeriodeDatumTijdVan],"&lt;="&amp;($A622+4/24),tData[SEHTrajectPeriodeDatumTijdTotEnMet],"&gt;"&amp;($A622+4/24))</f>
        <v/>
      </c>
      <c r="I622" s="20">
        <f>COUNTIFS(tData[SEHTrajectPeriodeDatumTijdVan],"&lt;="&amp;($A622+5/24),tData[SEHTrajectPeriodeDatumTijdTotEnMet],"&gt;"&amp;($A622+5/24))</f>
        <v/>
      </c>
      <c r="J622" s="20">
        <f>COUNTIFS(tData[SEHTrajectPeriodeDatumTijdVan],"&lt;="&amp;($A622+6/24),tData[SEHTrajectPeriodeDatumTijdTotEnMet],"&gt;"&amp;($A622+6/24))</f>
        <v/>
      </c>
      <c r="K622" s="20">
        <f>COUNTIFS(tData[SEHTrajectPeriodeDatumTijdVan],"&lt;="&amp;($A622+7/24),tData[SEHTrajectPeriodeDatumTijdTotEnMet],"&gt;"&amp;($A622+7/24))</f>
        <v/>
      </c>
      <c r="L622" s="20">
        <f>COUNTIFS(tData[SEHTrajectPeriodeDatumTijdVan],"&lt;="&amp;($A622+8/24),tData[SEHTrajectPeriodeDatumTijdTotEnMet],"&gt;"&amp;($A622+8/24))</f>
        <v/>
      </c>
      <c r="M622" s="20">
        <f>COUNTIFS(tData[SEHTrajectPeriodeDatumTijdVan],"&lt;="&amp;($A622+9/24),tData[SEHTrajectPeriodeDatumTijdTotEnMet],"&gt;"&amp;($A622+9/24))</f>
        <v/>
      </c>
      <c r="N622" s="20">
        <f>COUNTIFS(tData[SEHTrajectPeriodeDatumTijdVan],"&lt;="&amp;($A622+10/24),tData[SEHTrajectPeriodeDatumTijdTotEnMet],"&gt;"&amp;($A622+10/24))</f>
        <v/>
      </c>
      <c r="O622" s="20">
        <f>COUNTIFS(tData[SEHTrajectPeriodeDatumTijdVan],"&lt;="&amp;($A622+11/24),tData[SEHTrajectPeriodeDatumTijdTotEnMet],"&gt;"&amp;($A622+11/24))</f>
        <v/>
      </c>
      <c r="P622" s="20">
        <f>COUNTIFS(tData[SEHTrajectPeriodeDatumTijdVan],"&lt;="&amp;($A622+12/24),tData[SEHTrajectPeriodeDatumTijdTotEnMet],"&gt;"&amp;($A622+12/24))</f>
        <v/>
      </c>
      <c r="Q622" s="20">
        <f>COUNTIFS(tData[SEHTrajectPeriodeDatumTijdVan],"&lt;="&amp;($A622+13/24),tData[SEHTrajectPeriodeDatumTijdTotEnMet],"&gt;"&amp;($A622+13/24))</f>
        <v/>
      </c>
      <c r="R622" s="20">
        <f>COUNTIFS(tData[SEHTrajectPeriodeDatumTijdVan],"&lt;="&amp;($A622+14/24),tData[SEHTrajectPeriodeDatumTijdTotEnMet],"&gt;"&amp;($A622+14/24))</f>
        <v/>
      </c>
      <c r="S622" s="20">
        <f>COUNTIFS(tData[SEHTrajectPeriodeDatumTijdVan],"&lt;="&amp;($A622+15/24),tData[SEHTrajectPeriodeDatumTijdTotEnMet],"&gt;"&amp;($A622+15/24))</f>
        <v/>
      </c>
      <c r="T622" s="20">
        <f>COUNTIFS(tData[SEHTrajectPeriodeDatumTijdVan],"&lt;="&amp;($A622+16/24),tData[SEHTrajectPeriodeDatumTijdTotEnMet],"&gt;"&amp;($A622+16/24))</f>
        <v/>
      </c>
      <c r="U622" s="20">
        <f>COUNTIFS(tData[SEHTrajectPeriodeDatumTijdVan],"&lt;="&amp;($A622+17/24),tData[SEHTrajectPeriodeDatumTijdTotEnMet],"&gt;"&amp;($A622+17/24))</f>
        <v/>
      </c>
      <c r="V622" s="20">
        <f>COUNTIFS(tData[SEHTrajectPeriodeDatumTijdVan],"&lt;="&amp;($A622+18/24),tData[SEHTrajectPeriodeDatumTijdTotEnMet],"&gt;"&amp;($A622+18/24))</f>
        <v/>
      </c>
      <c r="W622" s="20">
        <f>COUNTIFS(tData[SEHTrajectPeriodeDatumTijdVan],"&lt;="&amp;($A622+19/24),tData[SEHTrajectPeriodeDatumTijdTotEnMet],"&gt;"&amp;($A622+19/24))</f>
        <v/>
      </c>
      <c r="X622" s="20">
        <f>COUNTIFS(tData[SEHTrajectPeriodeDatumTijdVan],"&lt;="&amp;($A622+20/24),tData[SEHTrajectPeriodeDatumTijdTotEnMet],"&gt;"&amp;($A622+20/24))</f>
        <v/>
      </c>
      <c r="Y622" s="20">
        <f>COUNTIFS(tData[SEHTrajectPeriodeDatumTijdVan],"&lt;="&amp;($A622+21/24),tData[SEHTrajectPeriodeDatumTijdTotEnMet],"&gt;"&amp;($A622+21/24))</f>
        <v/>
      </c>
      <c r="Z622" s="20">
        <f>COUNTIFS(tData[SEHTrajectPeriodeDatumTijdVan],"&lt;="&amp;($A622+22/24),tData[SEHTrajectPeriodeDatumTijdTotEnMet],"&gt;"&amp;($A622+22/24))</f>
        <v/>
      </c>
      <c r="AA622" s="20">
        <f>COUNTIFS(tData[SEHTrajectPeriodeDatumTijdVan],"&lt;="&amp;($A622+23/24),tData[SEHTrajectPeriodeDatumTijdTotEnMet],"&gt;"&amp;($A622+23/24))</f>
        <v/>
      </c>
    </row>
    <row r="623">
      <c r="A623" s="19" t="n">
        <v>45911</v>
      </c>
      <c r="B623" s="15">
        <f>WEEKDAY($A623,2)</f>
        <v/>
      </c>
      <c r="C623" s="15">
        <f>IF(AND($A623&gt;=INT(Instellingen!$B$5),$A623&lt;=INT(Instellingen!$B$6)),1,0)</f>
        <v/>
      </c>
      <c r="D623" s="20">
        <f>COUNTIFS(tData[SEHTrajectPeriodeDatumTijdVan],"&lt;="&amp;($A623+0/24),tData[SEHTrajectPeriodeDatumTijdTotEnMet],"&gt;"&amp;($A623+0/24))</f>
        <v/>
      </c>
      <c r="E623" s="20">
        <f>COUNTIFS(tData[SEHTrajectPeriodeDatumTijdVan],"&lt;="&amp;($A623+1/24),tData[SEHTrajectPeriodeDatumTijdTotEnMet],"&gt;"&amp;($A623+1/24))</f>
        <v/>
      </c>
      <c r="F623" s="20">
        <f>COUNTIFS(tData[SEHTrajectPeriodeDatumTijdVan],"&lt;="&amp;($A623+2/24),tData[SEHTrajectPeriodeDatumTijdTotEnMet],"&gt;"&amp;($A623+2/24))</f>
        <v/>
      </c>
      <c r="G623" s="20">
        <f>COUNTIFS(tData[SEHTrajectPeriodeDatumTijdVan],"&lt;="&amp;($A623+3/24),tData[SEHTrajectPeriodeDatumTijdTotEnMet],"&gt;"&amp;($A623+3/24))</f>
        <v/>
      </c>
      <c r="H623" s="20">
        <f>COUNTIFS(tData[SEHTrajectPeriodeDatumTijdVan],"&lt;="&amp;($A623+4/24),tData[SEHTrajectPeriodeDatumTijdTotEnMet],"&gt;"&amp;($A623+4/24))</f>
        <v/>
      </c>
      <c r="I623" s="20">
        <f>COUNTIFS(tData[SEHTrajectPeriodeDatumTijdVan],"&lt;="&amp;($A623+5/24),tData[SEHTrajectPeriodeDatumTijdTotEnMet],"&gt;"&amp;($A623+5/24))</f>
        <v/>
      </c>
      <c r="J623" s="20">
        <f>COUNTIFS(tData[SEHTrajectPeriodeDatumTijdVan],"&lt;="&amp;($A623+6/24),tData[SEHTrajectPeriodeDatumTijdTotEnMet],"&gt;"&amp;($A623+6/24))</f>
        <v/>
      </c>
      <c r="K623" s="20">
        <f>COUNTIFS(tData[SEHTrajectPeriodeDatumTijdVan],"&lt;="&amp;($A623+7/24),tData[SEHTrajectPeriodeDatumTijdTotEnMet],"&gt;"&amp;($A623+7/24))</f>
        <v/>
      </c>
      <c r="L623" s="20">
        <f>COUNTIFS(tData[SEHTrajectPeriodeDatumTijdVan],"&lt;="&amp;($A623+8/24),tData[SEHTrajectPeriodeDatumTijdTotEnMet],"&gt;"&amp;($A623+8/24))</f>
        <v/>
      </c>
      <c r="M623" s="20">
        <f>COUNTIFS(tData[SEHTrajectPeriodeDatumTijdVan],"&lt;="&amp;($A623+9/24),tData[SEHTrajectPeriodeDatumTijdTotEnMet],"&gt;"&amp;($A623+9/24))</f>
        <v/>
      </c>
      <c r="N623" s="20">
        <f>COUNTIFS(tData[SEHTrajectPeriodeDatumTijdVan],"&lt;="&amp;($A623+10/24),tData[SEHTrajectPeriodeDatumTijdTotEnMet],"&gt;"&amp;($A623+10/24))</f>
        <v/>
      </c>
      <c r="O623" s="20">
        <f>COUNTIFS(tData[SEHTrajectPeriodeDatumTijdVan],"&lt;="&amp;($A623+11/24),tData[SEHTrajectPeriodeDatumTijdTotEnMet],"&gt;"&amp;($A623+11/24))</f>
        <v/>
      </c>
      <c r="P623" s="20">
        <f>COUNTIFS(tData[SEHTrajectPeriodeDatumTijdVan],"&lt;="&amp;($A623+12/24),tData[SEHTrajectPeriodeDatumTijdTotEnMet],"&gt;"&amp;($A623+12/24))</f>
        <v/>
      </c>
      <c r="Q623" s="20">
        <f>COUNTIFS(tData[SEHTrajectPeriodeDatumTijdVan],"&lt;="&amp;($A623+13/24),tData[SEHTrajectPeriodeDatumTijdTotEnMet],"&gt;"&amp;($A623+13/24))</f>
        <v/>
      </c>
      <c r="R623" s="20">
        <f>COUNTIFS(tData[SEHTrajectPeriodeDatumTijdVan],"&lt;="&amp;($A623+14/24),tData[SEHTrajectPeriodeDatumTijdTotEnMet],"&gt;"&amp;($A623+14/24))</f>
        <v/>
      </c>
      <c r="S623" s="20">
        <f>COUNTIFS(tData[SEHTrajectPeriodeDatumTijdVan],"&lt;="&amp;($A623+15/24),tData[SEHTrajectPeriodeDatumTijdTotEnMet],"&gt;"&amp;($A623+15/24))</f>
        <v/>
      </c>
      <c r="T623" s="20">
        <f>COUNTIFS(tData[SEHTrajectPeriodeDatumTijdVan],"&lt;="&amp;($A623+16/24),tData[SEHTrajectPeriodeDatumTijdTotEnMet],"&gt;"&amp;($A623+16/24))</f>
        <v/>
      </c>
      <c r="U623" s="20">
        <f>COUNTIFS(tData[SEHTrajectPeriodeDatumTijdVan],"&lt;="&amp;($A623+17/24),tData[SEHTrajectPeriodeDatumTijdTotEnMet],"&gt;"&amp;($A623+17/24))</f>
        <v/>
      </c>
      <c r="V623" s="20">
        <f>COUNTIFS(tData[SEHTrajectPeriodeDatumTijdVan],"&lt;="&amp;($A623+18/24),tData[SEHTrajectPeriodeDatumTijdTotEnMet],"&gt;"&amp;($A623+18/24))</f>
        <v/>
      </c>
      <c r="W623" s="20">
        <f>COUNTIFS(tData[SEHTrajectPeriodeDatumTijdVan],"&lt;="&amp;($A623+19/24),tData[SEHTrajectPeriodeDatumTijdTotEnMet],"&gt;"&amp;($A623+19/24))</f>
        <v/>
      </c>
      <c r="X623" s="20">
        <f>COUNTIFS(tData[SEHTrajectPeriodeDatumTijdVan],"&lt;="&amp;($A623+20/24),tData[SEHTrajectPeriodeDatumTijdTotEnMet],"&gt;"&amp;($A623+20/24))</f>
        <v/>
      </c>
      <c r="Y623" s="20">
        <f>COUNTIFS(tData[SEHTrajectPeriodeDatumTijdVan],"&lt;="&amp;($A623+21/24),tData[SEHTrajectPeriodeDatumTijdTotEnMet],"&gt;"&amp;($A623+21/24))</f>
        <v/>
      </c>
      <c r="Z623" s="20">
        <f>COUNTIFS(tData[SEHTrajectPeriodeDatumTijdVan],"&lt;="&amp;($A623+22/24),tData[SEHTrajectPeriodeDatumTijdTotEnMet],"&gt;"&amp;($A623+22/24))</f>
        <v/>
      </c>
      <c r="AA623" s="20">
        <f>COUNTIFS(tData[SEHTrajectPeriodeDatumTijdVan],"&lt;="&amp;($A623+23/24),tData[SEHTrajectPeriodeDatumTijdTotEnMet],"&gt;"&amp;($A623+23/24))</f>
        <v/>
      </c>
    </row>
    <row r="624">
      <c r="A624" s="19" t="n">
        <v>45912</v>
      </c>
      <c r="B624" s="15">
        <f>WEEKDAY($A624,2)</f>
        <v/>
      </c>
      <c r="C624" s="15">
        <f>IF(AND($A624&gt;=INT(Instellingen!$B$5),$A624&lt;=INT(Instellingen!$B$6)),1,0)</f>
        <v/>
      </c>
      <c r="D624" s="20">
        <f>COUNTIFS(tData[SEHTrajectPeriodeDatumTijdVan],"&lt;="&amp;($A624+0/24),tData[SEHTrajectPeriodeDatumTijdTotEnMet],"&gt;"&amp;($A624+0/24))</f>
        <v/>
      </c>
      <c r="E624" s="20">
        <f>COUNTIFS(tData[SEHTrajectPeriodeDatumTijdVan],"&lt;="&amp;($A624+1/24),tData[SEHTrajectPeriodeDatumTijdTotEnMet],"&gt;"&amp;($A624+1/24))</f>
        <v/>
      </c>
      <c r="F624" s="20">
        <f>COUNTIFS(tData[SEHTrajectPeriodeDatumTijdVan],"&lt;="&amp;($A624+2/24),tData[SEHTrajectPeriodeDatumTijdTotEnMet],"&gt;"&amp;($A624+2/24))</f>
        <v/>
      </c>
      <c r="G624" s="20">
        <f>COUNTIFS(tData[SEHTrajectPeriodeDatumTijdVan],"&lt;="&amp;($A624+3/24),tData[SEHTrajectPeriodeDatumTijdTotEnMet],"&gt;"&amp;($A624+3/24))</f>
        <v/>
      </c>
      <c r="H624" s="20">
        <f>COUNTIFS(tData[SEHTrajectPeriodeDatumTijdVan],"&lt;="&amp;($A624+4/24),tData[SEHTrajectPeriodeDatumTijdTotEnMet],"&gt;"&amp;($A624+4/24))</f>
        <v/>
      </c>
      <c r="I624" s="20">
        <f>COUNTIFS(tData[SEHTrajectPeriodeDatumTijdVan],"&lt;="&amp;($A624+5/24),tData[SEHTrajectPeriodeDatumTijdTotEnMet],"&gt;"&amp;($A624+5/24))</f>
        <v/>
      </c>
      <c r="J624" s="20">
        <f>COUNTIFS(tData[SEHTrajectPeriodeDatumTijdVan],"&lt;="&amp;($A624+6/24),tData[SEHTrajectPeriodeDatumTijdTotEnMet],"&gt;"&amp;($A624+6/24))</f>
        <v/>
      </c>
      <c r="K624" s="20">
        <f>COUNTIFS(tData[SEHTrajectPeriodeDatumTijdVan],"&lt;="&amp;($A624+7/24),tData[SEHTrajectPeriodeDatumTijdTotEnMet],"&gt;"&amp;($A624+7/24))</f>
        <v/>
      </c>
      <c r="L624" s="20">
        <f>COUNTIFS(tData[SEHTrajectPeriodeDatumTijdVan],"&lt;="&amp;($A624+8/24),tData[SEHTrajectPeriodeDatumTijdTotEnMet],"&gt;"&amp;($A624+8/24))</f>
        <v/>
      </c>
      <c r="M624" s="20">
        <f>COUNTIFS(tData[SEHTrajectPeriodeDatumTijdVan],"&lt;="&amp;($A624+9/24),tData[SEHTrajectPeriodeDatumTijdTotEnMet],"&gt;"&amp;($A624+9/24))</f>
        <v/>
      </c>
      <c r="N624" s="20">
        <f>COUNTIFS(tData[SEHTrajectPeriodeDatumTijdVan],"&lt;="&amp;($A624+10/24),tData[SEHTrajectPeriodeDatumTijdTotEnMet],"&gt;"&amp;($A624+10/24))</f>
        <v/>
      </c>
      <c r="O624" s="20">
        <f>COUNTIFS(tData[SEHTrajectPeriodeDatumTijdVan],"&lt;="&amp;($A624+11/24),tData[SEHTrajectPeriodeDatumTijdTotEnMet],"&gt;"&amp;($A624+11/24))</f>
        <v/>
      </c>
      <c r="P624" s="20">
        <f>COUNTIFS(tData[SEHTrajectPeriodeDatumTijdVan],"&lt;="&amp;($A624+12/24),tData[SEHTrajectPeriodeDatumTijdTotEnMet],"&gt;"&amp;($A624+12/24))</f>
        <v/>
      </c>
      <c r="Q624" s="20">
        <f>COUNTIFS(tData[SEHTrajectPeriodeDatumTijdVan],"&lt;="&amp;($A624+13/24),tData[SEHTrajectPeriodeDatumTijdTotEnMet],"&gt;"&amp;($A624+13/24))</f>
        <v/>
      </c>
      <c r="R624" s="20">
        <f>COUNTIFS(tData[SEHTrajectPeriodeDatumTijdVan],"&lt;="&amp;($A624+14/24),tData[SEHTrajectPeriodeDatumTijdTotEnMet],"&gt;"&amp;($A624+14/24))</f>
        <v/>
      </c>
      <c r="S624" s="20">
        <f>COUNTIFS(tData[SEHTrajectPeriodeDatumTijdVan],"&lt;="&amp;($A624+15/24),tData[SEHTrajectPeriodeDatumTijdTotEnMet],"&gt;"&amp;($A624+15/24))</f>
        <v/>
      </c>
      <c r="T624" s="20">
        <f>COUNTIFS(tData[SEHTrajectPeriodeDatumTijdVan],"&lt;="&amp;($A624+16/24),tData[SEHTrajectPeriodeDatumTijdTotEnMet],"&gt;"&amp;($A624+16/24))</f>
        <v/>
      </c>
      <c r="U624" s="20">
        <f>COUNTIFS(tData[SEHTrajectPeriodeDatumTijdVan],"&lt;="&amp;($A624+17/24),tData[SEHTrajectPeriodeDatumTijdTotEnMet],"&gt;"&amp;($A624+17/24))</f>
        <v/>
      </c>
      <c r="V624" s="20">
        <f>COUNTIFS(tData[SEHTrajectPeriodeDatumTijdVan],"&lt;="&amp;($A624+18/24),tData[SEHTrajectPeriodeDatumTijdTotEnMet],"&gt;"&amp;($A624+18/24))</f>
        <v/>
      </c>
      <c r="W624" s="20">
        <f>COUNTIFS(tData[SEHTrajectPeriodeDatumTijdVan],"&lt;="&amp;($A624+19/24),tData[SEHTrajectPeriodeDatumTijdTotEnMet],"&gt;"&amp;($A624+19/24))</f>
        <v/>
      </c>
      <c r="X624" s="20">
        <f>COUNTIFS(tData[SEHTrajectPeriodeDatumTijdVan],"&lt;="&amp;($A624+20/24),tData[SEHTrajectPeriodeDatumTijdTotEnMet],"&gt;"&amp;($A624+20/24))</f>
        <v/>
      </c>
      <c r="Y624" s="20">
        <f>COUNTIFS(tData[SEHTrajectPeriodeDatumTijdVan],"&lt;="&amp;($A624+21/24),tData[SEHTrajectPeriodeDatumTijdTotEnMet],"&gt;"&amp;($A624+21/24))</f>
        <v/>
      </c>
      <c r="Z624" s="20">
        <f>COUNTIFS(tData[SEHTrajectPeriodeDatumTijdVan],"&lt;="&amp;($A624+22/24),tData[SEHTrajectPeriodeDatumTijdTotEnMet],"&gt;"&amp;($A624+22/24))</f>
        <v/>
      </c>
      <c r="AA624" s="20">
        <f>COUNTIFS(tData[SEHTrajectPeriodeDatumTijdVan],"&lt;="&amp;($A624+23/24),tData[SEHTrajectPeriodeDatumTijdTotEnMet],"&gt;"&amp;($A624+23/24))</f>
        <v/>
      </c>
    </row>
    <row r="625">
      <c r="A625" s="19" t="n">
        <v>45913</v>
      </c>
      <c r="B625" s="15">
        <f>WEEKDAY($A625,2)</f>
        <v/>
      </c>
      <c r="C625" s="15">
        <f>IF(AND($A625&gt;=INT(Instellingen!$B$5),$A625&lt;=INT(Instellingen!$B$6)),1,0)</f>
        <v/>
      </c>
      <c r="D625" s="20">
        <f>COUNTIFS(tData[SEHTrajectPeriodeDatumTijdVan],"&lt;="&amp;($A625+0/24),tData[SEHTrajectPeriodeDatumTijdTotEnMet],"&gt;"&amp;($A625+0/24))</f>
        <v/>
      </c>
      <c r="E625" s="20">
        <f>COUNTIFS(tData[SEHTrajectPeriodeDatumTijdVan],"&lt;="&amp;($A625+1/24),tData[SEHTrajectPeriodeDatumTijdTotEnMet],"&gt;"&amp;($A625+1/24))</f>
        <v/>
      </c>
      <c r="F625" s="20">
        <f>COUNTIFS(tData[SEHTrajectPeriodeDatumTijdVan],"&lt;="&amp;($A625+2/24),tData[SEHTrajectPeriodeDatumTijdTotEnMet],"&gt;"&amp;($A625+2/24))</f>
        <v/>
      </c>
      <c r="G625" s="20">
        <f>COUNTIFS(tData[SEHTrajectPeriodeDatumTijdVan],"&lt;="&amp;($A625+3/24),tData[SEHTrajectPeriodeDatumTijdTotEnMet],"&gt;"&amp;($A625+3/24))</f>
        <v/>
      </c>
      <c r="H625" s="20">
        <f>COUNTIFS(tData[SEHTrajectPeriodeDatumTijdVan],"&lt;="&amp;($A625+4/24),tData[SEHTrajectPeriodeDatumTijdTotEnMet],"&gt;"&amp;($A625+4/24))</f>
        <v/>
      </c>
      <c r="I625" s="20">
        <f>COUNTIFS(tData[SEHTrajectPeriodeDatumTijdVan],"&lt;="&amp;($A625+5/24),tData[SEHTrajectPeriodeDatumTijdTotEnMet],"&gt;"&amp;($A625+5/24))</f>
        <v/>
      </c>
      <c r="J625" s="20">
        <f>COUNTIFS(tData[SEHTrajectPeriodeDatumTijdVan],"&lt;="&amp;($A625+6/24),tData[SEHTrajectPeriodeDatumTijdTotEnMet],"&gt;"&amp;($A625+6/24))</f>
        <v/>
      </c>
      <c r="K625" s="20">
        <f>COUNTIFS(tData[SEHTrajectPeriodeDatumTijdVan],"&lt;="&amp;($A625+7/24),tData[SEHTrajectPeriodeDatumTijdTotEnMet],"&gt;"&amp;($A625+7/24))</f>
        <v/>
      </c>
      <c r="L625" s="20">
        <f>COUNTIFS(tData[SEHTrajectPeriodeDatumTijdVan],"&lt;="&amp;($A625+8/24),tData[SEHTrajectPeriodeDatumTijdTotEnMet],"&gt;"&amp;($A625+8/24))</f>
        <v/>
      </c>
      <c r="M625" s="20">
        <f>COUNTIFS(tData[SEHTrajectPeriodeDatumTijdVan],"&lt;="&amp;($A625+9/24),tData[SEHTrajectPeriodeDatumTijdTotEnMet],"&gt;"&amp;($A625+9/24))</f>
        <v/>
      </c>
      <c r="N625" s="20">
        <f>COUNTIFS(tData[SEHTrajectPeriodeDatumTijdVan],"&lt;="&amp;($A625+10/24),tData[SEHTrajectPeriodeDatumTijdTotEnMet],"&gt;"&amp;($A625+10/24))</f>
        <v/>
      </c>
      <c r="O625" s="20">
        <f>COUNTIFS(tData[SEHTrajectPeriodeDatumTijdVan],"&lt;="&amp;($A625+11/24),tData[SEHTrajectPeriodeDatumTijdTotEnMet],"&gt;"&amp;($A625+11/24))</f>
        <v/>
      </c>
      <c r="P625" s="20">
        <f>COUNTIFS(tData[SEHTrajectPeriodeDatumTijdVan],"&lt;="&amp;($A625+12/24),tData[SEHTrajectPeriodeDatumTijdTotEnMet],"&gt;"&amp;($A625+12/24))</f>
        <v/>
      </c>
      <c r="Q625" s="20">
        <f>COUNTIFS(tData[SEHTrajectPeriodeDatumTijdVan],"&lt;="&amp;($A625+13/24),tData[SEHTrajectPeriodeDatumTijdTotEnMet],"&gt;"&amp;($A625+13/24))</f>
        <v/>
      </c>
      <c r="R625" s="20">
        <f>COUNTIFS(tData[SEHTrajectPeriodeDatumTijdVan],"&lt;="&amp;($A625+14/24),tData[SEHTrajectPeriodeDatumTijdTotEnMet],"&gt;"&amp;($A625+14/24))</f>
        <v/>
      </c>
      <c r="S625" s="20">
        <f>COUNTIFS(tData[SEHTrajectPeriodeDatumTijdVan],"&lt;="&amp;($A625+15/24),tData[SEHTrajectPeriodeDatumTijdTotEnMet],"&gt;"&amp;($A625+15/24))</f>
        <v/>
      </c>
      <c r="T625" s="20">
        <f>COUNTIFS(tData[SEHTrajectPeriodeDatumTijdVan],"&lt;="&amp;($A625+16/24),tData[SEHTrajectPeriodeDatumTijdTotEnMet],"&gt;"&amp;($A625+16/24))</f>
        <v/>
      </c>
      <c r="U625" s="20">
        <f>COUNTIFS(tData[SEHTrajectPeriodeDatumTijdVan],"&lt;="&amp;($A625+17/24),tData[SEHTrajectPeriodeDatumTijdTotEnMet],"&gt;"&amp;($A625+17/24))</f>
        <v/>
      </c>
      <c r="V625" s="20">
        <f>COUNTIFS(tData[SEHTrajectPeriodeDatumTijdVan],"&lt;="&amp;($A625+18/24),tData[SEHTrajectPeriodeDatumTijdTotEnMet],"&gt;"&amp;($A625+18/24))</f>
        <v/>
      </c>
      <c r="W625" s="20">
        <f>COUNTIFS(tData[SEHTrajectPeriodeDatumTijdVan],"&lt;="&amp;($A625+19/24),tData[SEHTrajectPeriodeDatumTijdTotEnMet],"&gt;"&amp;($A625+19/24))</f>
        <v/>
      </c>
      <c r="X625" s="20">
        <f>COUNTIFS(tData[SEHTrajectPeriodeDatumTijdVan],"&lt;="&amp;($A625+20/24),tData[SEHTrajectPeriodeDatumTijdTotEnMet],"&gt;"&amp;($A625+20/24))</f>
        <v/>
      </c>
      <c r="Y625" s="20">
        <f>COUNTIFS(tData[SEHTrajectPeriodeDatumTijdVan],"&lt;="&amp;($A625+21/24),tData[SEHTrajectPeriodeDatumTijdTotEnMet],"&gt;"&amp;($A625+21/24))</f>
        <v/>
      </c>
      <c r="Z625" s="20">
        <f>COUNTIFS(tData[SEHTrajectPeriodeDatumTijdVan],"&lt;="&amp;($A625+22/24),tData[SEHTrajectPeriodeDatumTijdTotEnMet],"&gt;"&amp;($A625+22/24))</f>
        <v/>
      </c>
      <c r="AA625" s="20">
        <f>COUNTIFS(tData[SEHTrajectPeriodeDatumTijdVan],"&lt;="&amp;($A625+23/24),tData[SEHTrajectPeriodeDatumTijdTotEnMet],"&gt;"&amp;($A625+23/24))</f>
        <v/>
      </c>
    </row>
    <row r="626">
      <c r="A626" s="19" t="n">
        <v>45914</v>
      </c>
      <c r="B626" s="15">
        <f>WEEKDAY($A626,2)</f>
        <v/>
      </c>
      <c r="C626" s="15">
        <f>IF(AND($A626&gt;=INT(Instellingen!$B$5),$A626&lt;=INT(Instellingen!$B$6)),1,0)</f>
        <v/>
      </c>
      <c r="D626" s="20">
        <f>COUNTIFS(tData[SEHTrajectPeriodeDatumTijdVan],"&lt;="&amp;($A626+0/24),tData[SEHTrajectPeriodeDatumTijdTotEnMet],"&gt;"&amp;($A626+0/24))</f>
        <v/>
      </c>
      <c r="E626" s="20">
        <f>COUNTIFS(tData[SEHTrajectPeriodeDatumTijdVan],"&lt;="&amp;($A626+1/24),tData[SEHTrajectPeriodeDatumTijdTotEnMet],"&gt;"&amp;($A626+1/24))</f>
        <v/>
      </c>
      <c r="F626" s="20">
        <f>COUNTIFS(tData[SEHTrajectPeriodeDatumTijdVan],"&lt;="&amp;($A626+2/24),tData[SEHTrajectPeriodeDatumTijdTotEnMet],"&gt;"&amp;($A626+2/24))</f>
        <v/>
      </c>
      <c r="G626" s="20">
        <f>COUNTIFS(tData[SEHTrajectPeriodeDatumTijdVan],"&lt;="&amp;($A626+3/24),tData[SEHTrajectPeriodeDatumTijdTotEnMet],"&gt;"&amp;($A626+3/24))</f>
        <v/>
      </c>
      <c r="H626" s="20">
        <f>COUNTIFS(tData[SEHTrajectPeriodeDatumTijdVan],"&lt;="&amp;($A626+4/24),tData[SEHTrajectPeriodeDatumTijdTotEnMet],"&gt;"&amp;($A626+4/24))</f>
        <v/>
      </c>
      <c r="I626" s="20">
        <f>COUNTIFS(tData[SEHTrajectPeriodeDatumTijdVan],"&lt;="&amp;($A626+5/24),tData[SEHTrajectPeriodeDatumTijdTotEnMet],"&gt;"&amp;($A626+5/24))</f>
        <v/>
      </c>
      <c r="J626" s="20">
        <f>COUNTIFS(tData[SEHTrajectPeriodeDatumTijdVan],"&lt;="&amp;($A626+6/24),tData[SEHTrajectPeriodeDatumTijdTotEnMet],"&gt;"&amp;($A626+6/24))</f>
        <v/>
      </c>
      <c r="K626" s="20">
        <f>COUNTIFS(tData[SEHTrajectPeriodeDatumTijdVan],"&lt;="&amp;($A626+7/24),tData[SEHTrajectPeriodeDatumTijdTotEnMet],"&gt;"&amp;($A626+7/24))</f>
        <v/>
      </c>
      <c r="L626" s="20">
        <f>COUNTIFS(tData[SEHTrajectPeriodeDatumTijdVan],"&lt;="&amp;($A626+8/24),tData[SEHTrajectPeriodeDatumTijdTotEnMet],"&gt;"&amp;($A626+8/24))</f>
        <v/>
      </c>
      <c r="M626" s="20">
        <f>COUNTIFS(tData[SEHTrajectPeriodeDatumTijdVan],"&lt;="&amp;($A626+9/24),tData[SEHTrajectPeriodeDatumTijdTotEnMet],"&gt;"&amp;($A626+9/24))</f>
        <v/>
      </c>
      <c r="N626" s="20">
        <f>COUNTIFS(tData[SEHTrajectPeriodeDatumTijdVan],"&lt;="&amp;($A626+10/24),tData[SEHTrajectPeriodeDatumTijdTotEnMet],"&gt;"&amp;($A626+10/24))</f>
        <v/>
      </c>
      <c r="O626" s="20">
        <f>COUNTIFS(tData[SEHTrajectPeriodeDatumTijdVan],"&lt;="&amp;($A626+11/24),tData[SEHTrajectPeriodeDatumTijdTotEnMet],"&gt;"&amp;($A626+11/24))</f>
        <v/>
      </c>
      <c r="P626" s="20">
        <f>COUNTIFS(tData[SEHTrajectPeriodeDatumTijdVan],"&lt;="&amp;($A626+12/24),tData[SEHTrajectPeriodeDatumTijdTotEnMet],"&gt;"&amp;($A626+12/24))</f>
        <v/>
      </c>
      <c r="Q626" s="20">
        <f>COUNTIFS(tData[SEHTrajectPeriodeDatumTijdVan],"&lt;="&amp;($A626+13/24),tData[SEHTrajectPeriodeDatumTijdTotEnMet],"&gt;"&amp;($A626+13/24))</f>
        <v/>
      </c>
      <c r="R626" s="20">
        <f>COUNTIFS(tData[SEHTrajectPeriodeDatumTijdVan],"&lt;="&amp;($A626+14/24),tData[SEHTrajectPeriodeDatumTijdTotEnMet],"&gt;"&amp;($A626+14/24))</f>
        <v/>
      </c>
      <c r="S626" s="20">
        <f>COUNTIFS(tData[SEHTrajectPeriodeDatumTijdVan],"&lt;="&amp;($A626+15/24),tData[SEHTrajectPeriodeDatumTijdTotEnMet],"&gt;"&amp;($A626+15/24))</f>
        <v/>
      </c>
      <c r="T626" s="20">
        <f>COUNTIFS(tData[SEHTrajectPeriodeDatumTijdVan],"&lt;="&amp;($A626+16/24),tData[SEHTrajectPeriodeDatumTijdTotEnMet],"&gt;"&amp;($A626+16/24))</f>
        <v/>
      </c>
      <c r="U626" s="20">
        <f>COUNTIFS(tData[SEHTrajectPeriodeDatumTijdVan],"&lt;="&amp;($A626+17/24),tData[SEHTrajectPeriodeDatumTijdTotEnMet],"&gt;"&amp;($A626+17/24))</f>
        <v/>
      </c>
      <c r="V626" s="20">
        <f>COUNTIFS(tData[SEHTrajectPeriodeDatumTijdVan],"&lt;="&amp;($A626+18/24),tData[SEHTrajectPeriodeDatumTijdTotEnMet],"&gt;"&amp;($A626+18/24))</f>
        <v/>
      </c>
      <c r="W626" s="20">
        <f>COUNTIFS(tData[SEHTrajectPeriodeDatumTijdVan],"&lt;="&amp;($A626+19/24),tData[SEHTrajectPeriodeDatumTijdTotEnMet],"&gt;"&amp;($A626+19/24))</f>
        <v/>
      </c>
      <c r="X626" s="20">
        <f>COUNTIFS(tData[SEHTrajectPeriodeDatumTijdVan],"&lt;="&amp;($A626+20/24),tData[SEHTrajectPeriodeDatumTijdTotEnMet],"&gt;"&amp;($A626+20/24))</f>
        <v/>
      </c>
      <c r="Y626" s="20">
        <f>COUNTIFS(tData[SEHTrajectPeriodeDatumTijdVan],"&lt;="&amp;($A626+21/24),tData[SEHTrajectPeriodeDatumTijdTotEnMet],"&gt;"&amp;($A626+21/24))</f>
        <v/>
      </c>
      <c r="Z626" s="20">
        <f>COUNTIFS(tData[SEHTrajectPeriodeDatumTijdVan],"&lt;="&amp;($A626+22/24),tData[SEHTrajectPeriodeDatumTijdTotEnMet],"&gt;"&amp;($A626+22/24))</f>
        <v/>
      </c>
      <c r="AA626" s="20">
        <f>COUNTIFS(tData[SEHTrajectPeriodeDatumTijdVan],"&lt;="&amp;($A626+23/24),tData[SEHTrajectPeriodeDatumTijdTotEnMet],"&gt;"&amp;($A626+23/24))</f>
        <v/>
      </c>
    </row>
    <row r="627">
      <c r="A627" s="19" t="n">
        <v>45915</v>
      </c>
      <c r="B627" s="15">
        <f>WEEKDAY($A627,2)</f>
        <v/>
      </c>
      <c r="C627" s="15">
        <f>IF(AND($A627&gt;=INT(Instellingen!$B$5),$A627&lt;=INT(Instellingen!$B$6)),1,0)</f>
        <v/>
      </c>
      <c r="D627" s="20">
        <f>COUNTIFS(tData[SEHTrajectPeriodeDatumTijdVan],"&lt;="&amp;($A627+0/24),tData[SEHTrajectPeriodeDatumTijdTotEnMet],"&gt;"&amp;($A627+0/24))</f>
        <v/>
      </c>
      <c r="E627" s="20">
        <f>COUNTIFS(tData[SEHTrajectPeriodeDatumTijdVan],"&lt;="&amp;($A627+1/24),tData[SEHTrajectPeriodeDatumTijdTotEnMet],"&gt;"&amp;($A627+1/24))</f>
        <v/>
      </c>
      <c r="F627" s="20">
        <f>COUNTIFS(tData[SEHTrajectPeriodeDatumTijdVan],"&lt;="&amp;($A627+2/24),tData[SEHTrajectPeriodeDatumTijdTotEnMet],"&gt;"&amp;($A627+2/24))</f>
        <v/>
      </c>
      <c r="G627" s="20">
        <f>COUNTIFS(tData[SEHTrajectPeriodeDatumTijdVan],"&lt;="&amp;($A627+3/24),tData[SEHTrajectPeriodeDatumTijdTotEnMet],"&gt;"&amp;($A627+3/24))</f>
        <v/>
      </c>
      <c r="H627" s="20">
        <f>COUNTIFS(tData[SEHTrajectPeriodeDatumTijdVan],"&lt;="&amp;($A627+4/24),tData[SEHTrajectPeriodeDatumTijdTotEnMet],"&gt;"&amp;($A627+4/24))</f>
        <v/>
      </c>
      <c r="I627" s="20">
        <f>COUNTIFS(tData[SEHTrajectPeriodeDatumTijdVan],"&lt;="&amp;($A627+5/24),tData[SEHTrajectPeriodeDatumTijdTotEnMet],"&gt;"&amp;($A627+5/24))</f>
        <v/>
      </c>
      <c r="J627" s="20">
        <f>COUNTIFS(tData[SEHTrajectPeriodeDatumTijdVan],"&lt;="&amp;($A627+6/24),tData[SEHTrajectPeriodeDatumTijdTotEnMet],"&gt;"&amp;($A627+6/24))</f>
        <v/>
      </c>
      <c r="K627" s="20">
        <f>COUNTIFS(tData[SEHTrajectPeriodeDatumTijdVan],"&lt;="&amp;($A627+7/24),tData[SEHTrajectPeriodeDatumTijdTotEnMet],"&gt;"&amp;($A627+7/24))</f>
        <v/>
      </c>
      <c r="L627" s="20">
        <f>COUNTIFS(tData[SEHTrajectPeriodeDatumTijdVan],"&lt;="&amp;($A627+8/24),tData[SEHTrajectPeriodeDatumTijdTotEnMet],"&gt;"&amp;($A627+8/24))</f>
        <v/>
      </c>
      <c r="M627" s="20">
        <f>COUNTIFS(tData[SEHTrajectPeriodeDatumTijdVan],"&lt;="&amp;($A627+9/24),tData[SEHTrajectPeriodeDatumTijdTotEnMet],"&gt;"&amp;($A627+9/24))</f>
        <v/>
      </c>
      <c r="N627" s="20">
        <f>COUNTIFS(tData[SEHTrajectPeriodeDatumTijdVan],"&lt;="&amp;($A627+10/24),tData[SEHTrajectPeriodeDatumTijdTotEnMet],"&gt;"&amp;($A627+10/24))</f>
        <v/>
      </c>
      <c r="O627" s="20">
        <f>COUNTIFS(tData[SEHTrajectPeriodeDatumTijdVan],"&lt;="&amp;($A627+11/24),tData[SEHTrajectPeriodeDatumTijdTotEnMet],"&gt;"&amp;($A627+11/24))</f>
        <v/>
      </c>
      <c r="P627" s="20">
        <f>COUNTIFS(tData[SEHTrajectPeriodeDatumTijdVan],"&lt;="&amp;($A627+12/24),tData[SEHTrajectPeriodeDatumTijdTotEnMet],"&gt;"&amp;($A627+12/24))</f>
        <v/>
      </c>
      <c r="Q627" s="20">
        <f>COUNTIFS(tData[SEHTrajectPeriodeDatumTijdVan],"&lt;="&amp;($A627+13/24),tData[SEHTrajectPeriodeDatumTijdTotEnMet],"&gt;"&amp;($A627+13/24))</f>
        <v/>
      </c>
      <c r="R627" s="20">
        <f>COUNTIFS(tData[SEHTrajectPeriodeDatumTijdVan],"&lt;="&amp;($A627+14/24),tData[SEHTrajectPeriodeDatumTijdTotEnMet],"&gt;"&amp;($A627+14/24))</f>
        <v/>
      </c>
      <c r="S627" s="20">
        <f>COUNTIFS(tData[SEHTrajectPeriodeDatumTijdVan],"&lt;="&amp;($A627+15/24),tData[SEHTrajectPeriodeDatumTijdTotEnMet],"&gt;"&amp;($A627+15/24))</f>
        <v/>
      </c>
      <c r="T627" s="20">
        <f>COUNTIFS(tData[SEHTrajectPeriodeDatumTijdVan],"&lt;="&amp;($A627+16/24),tData[SEHTrajectPeriodeDatumTijdTotEnMet],"&gt;"&amp;($A627+16/24))</f>
        <v/>
      </c>
      <c r="U627" s="20">
        <f>COUNTIFS(tData[SEHTrajectPeriodeDatumTijdVan],"&lt;="&amp;($A627+17/24),tData[SEHTrajectPeriodeDatumTijdTotEnMet],"&gt;"&amp;($A627+17/24))</f>
        <v/>
      </c>
      <c r="V627" s="20">
        <f>COUNTIFS(tData[SEHTrajectPeriodeDatumTijdVan],"&lt;="&amp;($A627+18/24),tData[SEHTrajectPeriodeDatumTijdTotEnMet],"&gt;"&amp;($A627+18/24))</f>
        <v/>
      </c>
      <c r="W627" s="20">
        <f>COUNTIFS(tData[SEHTrajectPeriodeDatumTijdVan],"&lt;="&amp;($A627+19/24),tData[SEHTrajectPeriodeDatumTijdTotEnMet],"&gt;"&amp;($A627+19/24))</f>
        <v/>
      </c>
      <c r="X627" s="20">
        <f>COUNTIFS(tData[SEHTrajectPeriodeDatumTijdVan],"&lt;="&amp;($A627+20/24),tData[SEHTrajectPeriodeDatumTijdTotEnMet],"&gt;"&amp;($A627+20/24))</f>
        <v/>
      </c>
      <c r="Y627" s="20">
        <f>COUNTIFS(tData[SEHTrajectPeriodeDatumTijdVan],"&lt;="&amp;($A627+21/24),tData[SEHTrajectPeriodeDatumTijdTotEnMet],"&gt;"&amp;($A627+21/24))</f>
        <v/>
      </c>
      <c r="Z627" s="20">
        <f>COUNTIFS(tData[SEHTrajectPeriodeDatumTijdVan],"&lt;="&amp;($A627+22/24),tData[SEHTrajectPeriodeDatumTijdTotEnMet],"&gt;"&amp;($A627+22/24))</f>
        <v/>
      </c>
      <c r="AA627" s="20">
        <f>COUNTIFS(tData[SEHTrajectPeriodeDatumTijdVan],"&lt;="&amp;($A627+23/24),tData[SEHTrajectPeriodeDatumTijdTotEnMet],"&gt;"&amp;($A627+23/24))</f>
        <v/>
      </c>
    </row>
    <row r="628">
      <c r="A628" s="19" t="n">
        <v>45916</v>
      </c>
      <c r="B628" s="15">
        <f>WEEKDAY($A628,2)</f>
        <v/>
      </c>
      <c r="C628" s="15">
        <f>IF(AND($A628&gt;=INT(Instellingen!$B$5),$A628&lt;=INT(Instellingen!$B$6)),1,0)</f>
        <v/>
      </c>
      <c r="D628" s="20">
        <f>COUNTIFS(tData[SEHTrajectPeriodeDatumTijdVan],"&lt;="&amp;($A628+0/24),tData[SEHTrajectPeriodeDatumTijdTotEnMet],"&gt;"&amp;($A628+0/24))</f>
        <v/>
      </c>
      <c r="E628" s="20">
        <f>COUNTIFS(tData[SEHTrajectPeriodeDatumTijdVan],"&lt;="&amp;($A628+1/24),tData[SEHTrajectPeriodeDatumTijdTotEnMet],"&gt;"&amp;($A628+1/24))</f>
        <v/>
      </c>
      <c r="F628" s="20">
        <f>COUNTIFS(tData[SEHTrajectPeriodeDatumTijdVan],"&lt;="&amp;($A628+2/24),tData[SEHTrajectPeriodeDatumTijdTotEnMet],"&gt;"&amp;($A628+2/24))</f>
        <v/>
      </c>
      <c r="G628" s="20">
        <f>COUNTIFS(tData[SEHTrajectPeriodeDatumTijdVan],"&lt;="&amp;($A628+3/24),tData[SEHTrajectPeriodeDatumTijdTotEnMet],"&gt;"&amp;($A628+3/24))</f>
        <v/>
      </c>
      <c r="H628" s="20">
        <f>COUNTIFS(tData[SEHTrajectPeriodeDatumTijdVan],"&lt;="&amp;($A628+4/24),tData[SEHTrajectPeriodeDatumTijdTotEnMet],"&gt;"&amp;($A628+4/24))</f>
        <v/>
      </c>
      <c r="I628" s="20">
        <f>COUNTIFS(tData[SEHTrajectPeriodeDatumTijdVan],"&lt;="&amp;($A628+5/24),tData[SEHTrajectPeriodeDatumTijdTotEnMet],"&gt;"&amp;($A628+5/24))</f>
        <v/>
      </c>
      <c r="J628" s="20">
        <f>COUNTIFS(tData[SEHTrajectPeriodeDatumTijdVan],"&lt;="&amp;($A628+6/24),tData[SEHTrajectPeriodeDatumTijdTotEnMet],"&gt;"&amp;($A628+6/24))</f>
        <v/>
      </c>
      <c r="K628" s="20">
        <f>COUNTIFS(tData[SEHTrajectPeriodeDatumTijdVan],"&lt;="&amp;($A628+7/24),tData[SEHTrajectPeriodeDatumTijdTotEnMet],"&gt;"&amp;($A628+7/24))</f>
        <v/>
      </c>
      <c r="L628" s="20">
        <f>COUNTIFS(tData[SEHTrajectPeriodeDatumTijdVan],"&lt;="&amp;($A628+8/24),tData[SEHTrajectPeriodeDatumTijdTotEnMet],"&gt;"&amp;($A628+8/24))</f>
        <v/>
      </c>
      <c r="M628" s="20">
        <f>COUNTIFS(tData[SEHTrajectPeriodeDatumTijdVan],"&lt;="&amp;($A628+9/24),tData[SEHTrajectPeriodeDatumTijdTotEnMet],"&gt;"&amp;($A628+9/24))</f>
        <v/>
      </c>
      <c r="N628" s="20">
        <f>COUNTIFS(tData[SEHTrajectPeriodeDatumTijdVan],"&lt;="&amp;($A628+10/24),tData[SEHTrajectPeriodeDatumTijdTotEnMet],"&gt;"&amp;($A628+10/24))</f>
        <v/>
      </c>
      <c r="O628" s="20">
        <f>COUNTIFS(tData[SEHTrajectPeriodeDatumTijdVan],"&lt;="&amp;($A628+11/24),tData[SEHTrajectPeriodeDatumTijdTotEnMet],"&gt;"&amp;($A628+11/24))</f>
        <v/>
      </c>
      <c r="P628" s="20">
        <f>COUNTIFS(tData[SEHTrajectPeriodeDatumTijdVan],"&lt;="&amp;($A628+12/24),tData[SEHTrajectPeriodeDatumTijdTotEnMet],"&gt;"&amp;($A628+12/24))</f>
        <v/>
      </c>
      <c r="Q628" s="20">
        <f>COUNTIFS(tData[SEHTrajectPeriodeDatumTijdVan],"&lt;="&amp;($A628+13/24),tData[SEHTrajectPeriodeDatumTijdTotEnMet],"&gt;"&amp;($A628+13/24))</f>
        <v/>
      </c>
      <c r="R628" s="20">
        <f>COUNTIFS(tData[SEHTrajectPeriodeDatumTijdVan],"&lt;="&amp;($A628+14/24),tData[SEHTrajectPeriodeDatumTijdTotEnMet],"&gt;"&amp;($A628+14/24))</f>
        <v/>
      </c>
      <c r="S628" s="20">
        <f>COUNTIFS(tData[SEHTrajectPeriodeDatumTijdVan],"&lt;="&amp;($A628+15/24),tData[SEHTrajectPeriodeDatumTijdTotEnMet],"&gt;"&amp;($A628+15/24))</f>
        <v/>
      </c>
      <c r="T628" s="20">
        <f>COUNTIFS(tData[SEHTrajectPeriodeDatumTijdVan],"&lt;="&amp;($A628+16/24),tData[SEHTrajectPeriodeDatumTijdTotEnMet],"&gt;"&amp;($A628+16/24))</f>
        <v/>
      </c>
      <c r="U628" s="20">
        <f>COUNTIFS(tData[SEHTrajectPeriodeDatumTijdVan],"&lt;="&amp;($A628+17/24),tData[SEHTrajectPeriodeDatumTijdTotEnMet],"&gt;"&amp;($A628+17/24))</f>
        <v/>
      </c>
      <c r="V628" s="20">
        <f>COUNTIFS(tData[SEHTrajectPeriodeDatumTijdVan],"&lt;="&amp;($A628+18/24),tData[SEHTrajectPeriodeDatumTijdTotEnMet],"&gt;"&amp;($A628+18/24))</f>
        <v/>
      </c>
      <c r="W628" s="20">
        <f>COUNTIFS(tData[SEHTrajectPeriodeDatumTijdVan],"&lt;="&amp;($A628+19/24),tData[SEHTrajectPeriodeDatumTijdTotEnMet],"&gt;"&amp;($A628+19/24))</f>
        <v/>
      </c>
      <c r="X628" s="20">
        <f>COUNTIFS(tData[SEHTrajectPeriodeDatumTijdVan],"&lt;="&amp;($A628+20/24),tData[SEHTrajectPeriodeDatumTijdTotEnMet],"&gt;"&amp;($A628+20/24))</f>
        <v/>
      </c>
      <c r="Y628" s="20">
        <f>COUNTIFS(tData[SEHTrajectPeriodeDatumTijdVan],"&lt;="&amp;($A628+21/24),tData[SEHTrajectPeriodeDatumTijdTotEnMet],"&gt;"&amp;($A628+21/24))</f>
        <v/>
      </c>
      <c r="Z628" s="20">
        <f>COUNTIFS(tData[SEHTrajectPeriodeDatumTijdVan],"&lt;="&amp;($A628+22/24),tData[SEHTrajectPeriodeDatumTijdTotEnMet],"&gt;"&amp;($A628+22/24))</f>
        <v/>
      </c>
      <c r="AA628" s="20">
        <f>COUNTIFS(tData[SEHTrajectPeriodeDatumTijdVan],"&lt;="&amp;($A628+23/24),tData[SEHTrajectPeriodeDatumTijdTotEnMet],"&gt;"&amp;($A628+23/24))</f>
        <v/>
      </c>
    </row>
    <row r="629">
      <c r="A629" s="19" t="n">
        <v>45917</v>
      </c>
      <c r="B629" s="15">
        <f>WEEKDAY($A629,2)</f>
        <v/>
      </c>
      <c r="C629" s="15">
        <f>IF(AND($A629&gt;=INT(Instellingen!$B$5),$A629&lt;=INT(Instellingen!$B$6)),1,0)</f>
        <v/>
      </c>
      <c r="D629" s="20">
        <f>COUNTIFS(tData[SEHTrajectPeriodeDatumTijdVan],"&lt;="&amp;($A629+0/24),tData[SEHTrajectPeriodeDatumTijdTotEnMet],"&gt;"&amp;($A629+0/24))</f>
        <v/>
      </c>
      <c r="E629" s="20">
        <f>COUNTIFS(tData[SEHTrajectPeriodeDatumTijdVan],"&lt;="&amp;($A629+1/24),tData[SEHTrajectPeriodeDatumTijdTotEnMet],"&gt;"&amp;($A629+1/24))</f>
        <v/>
      </c>
      <c r="F629" s="20">
        <f>COUNTIFS(tData[SEHTrajectPeriodeDatumTijdVan],"&lt;="&amp;($A629+2/24),tData[SEHTrajectPeriodeDatumTijdTotEnMet],"&gt;"&amp;($A629+2/24))</f>
        <v/>
      </c>
      <c r="G629" s="20">
        <f>COUNTIFS(tData[SEHTrajectPeriodeDatumTijdVan],"&lt;="&amp;($A629+3/24),tData[SEHTrajectPeriodeDatumTijdTotEnMet],"&gt;"&amp;($A629+3/24))</f>
        <v/>
      </c>
      <c r="H629" s="20">
        <f>COUNTIFS(tData[SEHTrajectPeriodeDatumTijdVan],"&lt;="&amp;($A629+4/24),tData[SEHTrajectPeriodeDatumTijdTotEnMet],"&gt;"&amp;($A629+4/24))</f>
        <v/>
      </c>
      <c r="I629" s="20">
        <f>COUNTIFS(tData[SEHTrajectPeriodeDatumTijdVan],"&lt;="&amp;($A629+5/24),tData[SEHTrajectPeriodeDatumTijdTotEnMet],"&gt;"&amp;($A629+5/24))</f>
        <v/>
      </c>
      <c r="J629" s="20">
        <f>COUNTIFS(tData[SEHTrajectPeriodeDatumTijdVan],"&lt;="&amp;($A629+6/24),tData[SEHTrajectPeriodeDatumTijdTotEnMet],"&gt;"&amp;($A629+6/24))</f>
        <v/>
      </c>
      <c r="K629" s="20">
        <f>COUNTIFS(tData[SEHTrajectPeriodeDatumTijdVan],"&lt;="&amp;($A629+7/24),tData[SEHTrajectPeriodeDatumTijdTotEnMet],"&gt;"&amp;($A629+7/24))</f>
        <v/>
      </c>
      <c r="L629" s="20">
        <f>COUNTIFS(tData[SEHTrajectPeriodeDatumTijdVan],"&lt;="&amp;($A629+8/24),tData[SEHTrajectPeriodeDatumTijdTotEnMet],"&gt;"&amp;($A629+8/24))</f>
        <v/>
      </c>
      <c r="M629" s="20">
        <f>COUNTIFS(tData[SEHTrajectPeriodeDatumTijdVan],"&lt;="&amp;($A629+9/24),tData[SEHTrajectPeriodeDatumTijdTotEnMet],"&gt;"&amp;($A629+9/24))</f>
        <v/>
      </c>
      <c r="N629" s="20">
        <f>COUNTIFS(tData[SEHTrajectPeriodeDatumTijdVan],"&lt;="&amp;($A629+10/24),tData[SEHTrajectPeriodeDatumTijdTotEnMet],"&gt;"&amp;($A629+10/24))</f>
        <v/>
      </c>
      <c r="O629" s="20">
        <f>COUNTIFS(tData[SEHTrajectPeriodeDatumTijdVan],"&lt;="&amp;($A629+11/24),tData[SEHTrajectPeriodeDatumTijdTotEnMet],"&gt;"&amp;($A629+11/24))</f>
        <v/>
      </c>
      <c r="P629" s="20">
        <f>COUNTIFS(tData[SEHTrajectPeriodeDatumTijdVan],"&lt;="&amp;($A629+12/24),tData[SEHTrajectPeriodeDatumTijdTotEnMet],"&gt;"&amp;($A629+12/24))</f>
        <v/>
      </c>
      <c r="Q629" s="20">
        <f>COUNTIFS(tData[SEHTrajectPeriodeDatumTijdVan],"&lt;="&amp;($A629+13/24),tData[SEHTrajectPeriodeDatumTijdTotEnMet],"&gt;"&amp;($A629+13/24))</f>
        <v/>
      </c>
      <c r="R629" s="20">
        <f>COUNTIFS(tData[SEHTrajectPeriodeDatumTijdVan],"&lt;="&amp;($A629+14/24),tData[SEHTrajectPeriodeDatumTijdTotEnMet],"&gt;"&amp;($A629+14/24))</f>
        <v/>
      </c>
      <c r="S629" s="20">
        <f>COUNTIFS(tData[SEHTrajectPeriodeDatumTijdVan],"&lt;="&amp;($A629+15/24),tData[SEHTrajectPeriodeDatumTijdTotEnMet],"&gt;"&amp;($A629+15/24))</f>
        <v/>
      </c>
      <c r="T629" s="20">
        <f>COUNTIFS(tData[SEHTrajectPeriodeDatumTijdVan],"&lt;="&amp;($A629+16/24),tData[SEHTrajectPeriodeDatumTijdTotEnMet],"&gt;"&amp;($A629+16/24))</f>
        <v/>
      </c>
      <c r="U629" s="20">
        <f>COUNTIFS(tData[SEHTrajectPeriodeDatumTijdVan],"&lt;="&amp;($A629+17/24),tData[SEHTrajectPeriodeDatumTijdTotEnMet],"&gt;"&amp;($A629+17/24))</f>
        <v/>
      </c>
      <c r="V629" s="20">
        <f>COUNTIFS(tData[SEHTrajectPeriodeDatumTijdVan],"&lt;="&amp;($A629+18/24),tData[SEHTrajectPeriodeDatumTijdTotEnMet],"&gt;"&amp;($A629+18/24))</f>
        <v/>
      </c>
      <c r="W629" s="20">
        <f>COUNTIFS(tData[SEHTrajectPeriodeDatumTijdVan],"&lt;="&amp;($A629+19/24),tData[SEHTrajectPeriodeDatumTijdTotEnMet],"&gt;"&amp;($A629+19/24))</f>
        <v/>
      </c>
      <c r="X629" s="20">
        <f>COUNTIFS(tData[SEHTrajectPeriodeDatumTijdVan],"&lt;="&amp;($A629+20/24),tData[SEHTrajectPeriodeDatumTijdTotEnMet],"&gt;"&amp;($A629+20/24))</f>
        <v/>
      </c>
      <c r="Y629" s="20">
        <f>COUNTIFS(tData[SEHTrajectPeriodeDatumTijdVan],"&lt;="&amp;($A629+21/24),tData[SEHTrajectPeriodeDatumTijdTotEnMet],"&gt;"&amp;($A629+21/24))</f>
        <v/>
      </c>
      <c r="Z629" s="20">
        <f>COUNTIFS(tData[SEHTrajectPeriodeDatumTijdVan],"&lt;="&amp;($A629+22/24),tData[SEHTrajectPeriodeDatumTijdTotEnMet],"&gt;"&amp;($A629+22/24))</f>
        <v/>
      </c>
      <c r="AA629" s="20">
        <f>COUNTIFS(tData[SEHTrajectPeriodeDatumTijdVan],"&lt;="&amp;($A629+23/24),tData[SEHTrajectPeriodeDatumTijdTotEnMet],"&gt;"&amp;($A629+23/24))</f>
        <v/>
      </c>
    </row>
    <row r="630">
      <c r="A630" s="19" t="n">
        <v>45918</v>
      </c>
      <c r="B630" s="15">
        <f>WEEKDAY($A630,2)</f>
        <v/>
      </c>
      <c r="C630" s="15">
        <f>IF(AND($A630&gt;=INT(Instellingen!$B$5),$A630&lt;=INT(Instellingen!$B$6)),1,0)</f>
        <v/>
      </c>
      <c r="D630" s="20">
        <f>COUNTIFS(tData[SEHTrajectPeriodeDatumTijdVan],"&lt;="&amp;($A630+0/24),tData[SEHTrajectPeriodeDatumTijdTotEnMet],"&gt;"&amp;($A630+0/24))</f>
        <v/>
      </c>
      <c r="E630" s="20">
        <f>COUNTIFS(tData[SEHTrajectPeriodeDatumTijdVan],"&lt;="&amp;($A630+1/24),tData[SEHTrajectPeriodeDatumTijdTotEnMet],"&gt;"&amp;($A630+1/24))</f>
        <v/>
      </c>
      <c r="F630" s="20">
        <f>COUNTIFS(tData[SEHTrajectPeriodeDatumTijdVan],"&lt;="&amp;($A630+2/24),tData[SEHTrajectPeriodeDatumTijdTotEnMet],"&gt;"&amp;($A630+2/24))</f>
        <v/>
      </c>
      <c r="G630" s="20">
        <f>COUNTIFS(tData[SEHTrajectPeriodeDatumTijdVan],"&lt;="&amp;($A630+3/24),tData[SEHTrajectPeriodeDatumTijdTotEnMet],"&gt;"&amp;($A630+3/24))</f>
        <v/>
      </c>
      <c r="H630" s="20">
        <f>COUNTIFS(tData[SEHTrajectPeriodeDatumTijdVan],"&lt;="&amp;($A630+4/24),tData[SEHTrajectPeriodeDatumTijdTotEnMet],"&gt;"&amp;($A630+4/24))</f>
        <v/>
      </c>
      <c r="I630" s="20">
        <f>COUNTIFS(tData[SEHTrajectPeriodeDatumTijdVan],"&lt;="&amp;($A630+5/24),tData[SEHTrajectPeriodeDatumTijdTotEnMet],"&gt;"&amp;($A630+5/24))</f>
        <v/>
      </c>
      <c r="J630" s="20">
        <f>COUNTIFS(tData[SEHTrajectPeriodeDatumTijdVan],"&lt;="&amp;($A630+6/24),tData[SEHTrajectPeriodeDatumTijdTotEnMet],"&gt;"&amp;($A630+6/24))</f>
        <v/>
      </c>
      <c r="K630" s="20">
        <f>COUNTIFS(tData[SEHTrajectPeriodeDatumTijdVan],"&lt;="&amp;($A630+7/24),tData[SEHTrajectPeriodeDatumTijdTotEnMet],"&gt;"&amp;($A630+7/24))</f>
        <v/>
      </c>
      <c r="L630" s="20">
        <f>COUNTIFS(tData[SEHTrajectPeriodeDatumTijdVan],"&lt;="&amp;($A630+8/24),tData[SEHTrajectPeriodeDatumTijdTotEnMet],"&gt;"&amp;($A630+8/24))</f>
        <v/>
      </c>
      <c r="M630" s="20">
        <f>COUNTIFS(tData[SEHTrajectPeriodeDatumTijdVan],"&lt;="&amp;($A630+9/24),tData[SEHTrajectPeriodeDatumTijdTotEnMet],"&gt;"&amp;($A630+9/24))</f>
        <v/>
      </c>
      <c r="N630" s="20">
        <f>COUNTIFS(tData[SEHTrajectPeriodeDatumTijdVan],"&lt;="&amp;($A630+10/24),tData[SEHTrajectPeriodeDatumTijdTotEnMet],"&gt;"&amp;($A630+10/24))</f>
        <v/>
      </c>
      <c r="O630" s="20">
        <f>COUNTIFS(tData[SEHTrajectPeriodeDatumTijdVan],"&lt;="&amp;($A630+11/24),tData[SEHTrajectPeriodeDatumTijdTotEnMet],"&gt;"&amp;($A630+11/24))</f>
        <v/>
      </c>
      <c r="P630" s="20">
        <f>COUNTIFS(tData[SEHTrajectPeriodeDatumTijdVan],"&lt;="&amp;($A630+12/24),tData[SEHTrajectPeriodeDatumTijdTotEnMet],"&gt;"&amp;($A630+12/24))</f>
        <v/>
      </c>
      <c r="Q630" s="20">
        <f>COUNTIFS(tData[SEHTrajectPeriodeDatumTijdVan],"&lt;="&amp;($A630+13/24),tData[SEHTrajectPeriodeDatumTijdTotEnMet],"&gt;"&amp;($A630+13/24))</f>
        <v/>
      </c>
      <c r="R630" s="20">
        <f>COUNTIFS(tData[SEHTrajectPeriodeDatumTijdVan],"&lt;="&amp;($A630+14/24),tData[SEHTrajectPeriodeDatumTijdTotEnMet],"&gt;"&amp;($A630+14/24))</f>
        <v/>
      </c>
      <c r="S630" s="20">
        <f>COUNTIFS(tData[SEHTrajectPeriodeDatumTijdVan],"&lt;="&amp;($A630+15/24),tData[SEHTrajectPeriodeDatumTijdTotEnMet],"&gt;"&amp;($A630+15/24))</f>
        <v/>
      </c>
      <c r="T630" s="20">
        <f>COUNTIFS(tData[SEHTrajectPeriodeDatumTijdVan],"&lt;="&amp;($A630+16/24),tData[SEHTrajectPeriodeDatumTijdTotEnMet],"&gt;"&amp;($A630+16/24))</f>
        <v/>
      </c>
      <c r="U630" s="20">
        <f>COUNTIFS(tData[SEHTrajectPeriodeDatumTijdVan],"&lt;="&amp;($A630+17/24),tData[SEHTrajectPeriodeDatumTijdTotEnMet],"&gt;"&amp;($A630+17/24))</f>
        <v/>
      </c>
      <c r="V630" s="20">
        <f>COUNTIFS(tData[SEHTrajectPeriodeDatumTijdVan],"&lt;="&amp;($A630+18/24),tData[SEHTrajectPeriodeDatumTijdTotEnMet],"&gt;"&amp;($A630+18/24))</f>
        <v/>
      </c>
      <c r="W630" s="20">
        <f>COUNTIFS(tData[SEHTrajectPeriodeDatumTijdVan],"&lt;="&amp;($A630+19/24),tData[SEHTrajectPeriodeDatumTijdTotEnMet],"&gt;"&amp;($A630+19/24))</f>
        <v/>
      </c>
      <c r="X630" s="20">
        <f>COUNTIFS(tData[SEHTrajectPeriodeDatumTijdVan],"&lt;="&amp;($A630+20/24),tData[SEHTrajectPeriodeDatumTijdTotEnMet],"&gt;"&amp;($A630+20/24))</f>
        <v/>
      </c>
      <c r="Y630" s="20">
        <f>COUNTIFS(tData[SEHTrajectPeriodeDatumTijdVan],"&lt;="&amp;($A630+21/24),tData[SEHTrajectPeriodeDatumTijdTotEnMet],"&gt;"&amp;($A630+21/24))</f>
        <v/>
      </c>
      <c r="Z630" s="20">
        <f>COUNTIFS(tData[SEHTrajectPeriodeDatumTijdVan],"&lt;="&amp;($A630+22/24),tData[SEHTrajectPeriodeDatumTijdTotEnMet],"&gt;"&amp;($A630+22/24))</f>
        <v/>
      </c>
      <c r="AA630" s="20">
        <f>COUNTIFS(tData[SEHTrajectPeriodeDatumTijdVan],"&lt;="&amp;($A630+23/24),tData[SEHTrajectPeriodeDatumTijdTotEnMet],"&gt;"&amp;($A630+23/24))</f>
        <v/>
      </c>
    </row>
    <row r="631">
      <c r="A631" s="19" t="n">
        <v>45919</v>
      </c>
      <c r="B631" s="15">
        <f>WEEKDAY($A631,2)</f>
        <v/>
      </c>
      <c r="C631" s="15">
        <f>IF(AND($A631&gt;=INT(Instellingen!$B$5),$A631&lt;=INT(Instellingen!$B$6)),1,0)</f>
        <v/>
      </c>
      <c r="D631" s="20">
        <f>COUNTIFS(tData[SEHTrajectPeriodeDatumTijdVan],"&lt;="&amp;($A631+0/24),tData[SEHTrajectPeriodeDatumTijdTotEnMet],"&gt;"&amp;($A631+0/24))</f>
        <v/>
      </c>
      <c r="E631" s="20">
        <f>COUNTIFS(tData[SEHTrajectPeriodeDatumTijdVan],"&lt;="&amp;($A631+1/24),tData[SEHTrajectPeriodeDatumTijdTotEnMet],"&gt;"&amp;($A631+1/24))</f>
        <v/>
      </c>
      <c r="F631" s="20">
        <f>COUNTIFS(tData[SEHTrajectPeriodeDatumTijdVan],"&lt;="&amp;($A631+2/24),tData[SEHTrajectPeriodeDatumTijdTotEnMet],"&gt;"&amp;($A631+2/24))</f>
        <v/>
      </c>
      <c r="G631" s="20">
        <f>COUNTIFS(tData[SEHTrajectPeriodeDatumTijdVan],"&lt;="&amp;($A631+3/24),tData[SEHTrajectPeriodeDatumTijdTotEnMet],"&gt;"&amp;($A631+3/24))</f>
        <v/>
      </c>
      <c r="H631" s="20">
        <f>COUNTIFS(tData[SEHTrajectPeriodeDatumTijdVan],"&lt;="&amp;($A631+4/24),tData[SEHTrajectPeriodeDatumTijdTotEnMet],"&gt;"&amp;($A631+4/24))</f>
        <v/>
      </c>
      <c r="I631" s="20">
        <f>COUNTIFS(tData[SEHTrajectPeriodeDatumTijdVan],"&lt;="&amp;($A631+5/24),tData[SEHTrajectPeriodeDatumTijdTotEnMet],"&gt;"&amp;($A631+5/24))</f>
        <v/>
      </c>
      <c r="J631" s="20">
        <f>COUNTIFS(tData[SEHTrajectPeriodeDatumTijdVan],"&lt;="&amp;($A631+6/24),tData[SEHTrajectPeriodeDatumTijdTotEnMet],"&gt;"&amp;($A631+6/24))</f>
        <v/>
      </c>
      <c r="K631" s="20">
        <f>COUNTIFS(tData[SEHTrajectPeriodeDatumTijdVan],"&lt;="&amp;($A631+7/24),tData[SEHTrajectPeriodeDatumTijdTotEnMet],"&gt;"&amp;($A631+7/24))</f>
        <v/>
      </c>
      <c r="L631" s="20">
        <f>COUNTIFS(tData[SEHTrajectPeriodeDatumTijdVan],"&lt;="&amp;($A631+8/24),tData[SEHTrajectPeriodeDatumTijdTotEnMet],"&gt;"&amp;($A631+8/24))</f>
        <v/>
      </c>
      <c r="M631" s="20">
        <f>COUNTIFS(tData[SEHTrajectPeriodeDatumTijdVan],"&lt;="&amp;($A631+9/24),tData[SEHTrajectPeriodeDatumTijdTotEnMet],"&gt;"&amp;($A631+9/24))</f>
        <v/>
      </c>
      <c r="N631" s="20">
        <f>COUNTIFS(tData[SEHTrajectPeriodeDatumTijdVan],"&lt;="&amp;($A631+10/24),tData[SEHTrajectPeriodeDatumTijdTotEnMet],"&gt;"&amp;($A631+10/24))</f>
        <v/>
      </c>
      <c r="O631" s="20">
        <f>COUNTIFS(tData[SEHTrajectPeriodeDatumTijdVan],"&lt;="&amp;($A631+11/24),tData[SEHTrajectPeriodeDatumTijdTotEnMet],"&gt;"&amp;($A631+11/24))</f>
        <v/>
      </c>
      <c r="P631" s="20">
        <f>COUNTIFS(tData[SEHTrajectPeriodeDatumTijdVan],"&lt;="&amp;($A631+12/24),tData[SEHTrajectPeriodeDatumTijdTotEnMet],"&gt;"&amp;($A631+12/24))</f>
        <v/>
      </c>
      <c r="Q631" s="20">
        <f>COUNTIFS(tData[SEHTrajectPeriodeDatumTijdVan],"&lt;="&amp;($A631+13/24),tData[SEHTrajectPeriodeDatumTijdTotEnMet],"&gt;"&amp;($A631+13/24))</f>
        <v/>
      </c>
      <c r="R631" s="20">
        <f>COUNTIFS(tData[SEHTrajectPeriodeDatumTijdVan],"&lt;="&amp;($A631+14/24),tData[SEHTrajectPeriodeDatumTijdTotEnMet],"&gt;"&amp;($A631+14/24))</f>
        <v/>
      </c>
      <c r="S631" s="20">
        <f>COUNTIFS(tData[SEHTrajectPeriodeDatumTijdVan],"&lt;="&amp;($A631+15/24),tData[SEHTrajectPeriodeDatumTijdTotEnMet],"&gt;"&amp;($A631+15/24))</f>
        <v/>
      </c>
      <c r="T631" s="20">
        <f>COUNTIFS(tData[SEHTrajectPeriodeDatumTijdVan],"&lt;="&amp;($A631+16/24),tData[SEHTrajectPeriodeDatumTijdTotEnMet],"&gt;"&amp;($A631+16/24))</f>
        <v/>
      </c>
      <c r="U631" s="20">
        <f>COUNTIFS(tData[SEHTrajectPeriodeDatumTijdVan],"&lt;="&amp;($A631+17/24),tData[SEHTrajectPeriodeDatumTijdTotEnMet],"&gt;"&amp;($A631+17/24))</f>
        <v/>
      </c>
      <c r="V631" s="20">
        <f>COUNTIFS(tData[SEHTrajectPeriodeDatumTijdVan],"&lt;="&amp;($A631+18/24),tData[SEHTrajectPeriodeDatumTijdTotEnMet],"&gt;"&amp;($A631+18/24))</f>
        <v/>
      </c>
      <c r="W631" s="20">
        <f>COUNTIFS(tData[SEHTrajectPeriodeDatumTijdVan],"&lt;="&amp;($A631+19/24),tData[SEHTrajectPeriodeDatumTijdTotEnMet],"&gt;"&amp;($A631+19/24))</f>
        <v/>
      </c>
      <c r="X631" s="20">
        <f>COUNTIFS(tData[SEHTrajectPeriodeDatumTijdVan],"&lt;="&amp;($A631+20/24),tData[SEHTrajectPeriodeDatumTijdTotEnMet],"&gt;"&amp;($A631+20/24))</f>
        <v/>
      </c>
      <c r="Y631" s="20">
        <f>COUNTIFS(tData[SEHTrajectPeriodeDatumTijdVan],"&lt;="&amp;($A631+21/24),tData[SEHTrajectPeriodeDatumTijdTotEnMet],"&gt;"&amp;($A631+21/24))</f>
        <v/>
      </c>
      <c r="Z631" s="20">
        <f>COUNTIFS(tData[SEHTrajectPeriodeDatumTijdVan],"&lt;="&amp;($A631+22/24),tData[SEHTrajectPeriodeDatumTijdTotEnMet],"&gt;"&amp;($A631+22/24))</f>
        <v/>
      </c>
      <c r="AA631" s="20">
        <f>COUNTIFS(tData[SEHTrajectPeriodeDatumTijdVan],"&lt;="&amp;($A631+23/24),tData[SEHTrajectPeriodeDatumTijdTotEnMet],"&gt;"&amp;($A631+23/24))</f>
        <v/>
      </c>
    </row>
    <row r="632">
      <c r="A632" s="19" t="n">
        <v>45920</v>
      </c>
      <c r="B632" s="15">
        <f>WEEKDAY($A632,2)</f>
        <v/>
      </c>
      <c r="C632" s="15">
        <f>IF(AND($A632&gt;=INT(Instellingen!$B$5),$A632&lt;=INT(Instellingen!$B$6)),1,0)</f>
        <v/>
      </c>
      <c r="D632" s="20">
        <f>COUNTIFS(tData[SEHTrajectPeriodeDatumTijdVan],"&lt;="&amp;($A632+0/24),tData[SEHTrajectPeriodeDatumTijdTotEnMet],"&gt;"&amp;($A632+0/24))</f>
        <v/>
      </c>
      <c r="E632" s="20">
        <f>COUNTIFS(tData[SEHTrajectPeriodeDatumTijdVan],"&lt;="&amp;($A632+1/24),tData[SEHTrajectPeriodeDatumTijdTotEnMet],"&gt;"&amp;($A632+1/24))</f>
        <v/>
      </c>
      <c r="F632" s="20">
        <f>COUNTIFS(tData[SEHTrajectPeriodeDatumTijdVan],"&lt;="&amp;($A632+2/24),tData[SEHTrajectPeriodeDatumTijdTotEnMet],"&gt;"&amp;($A632+2/24))</f>
        <v/>
      </c>
      <c r="G632" s="20">
        <f>COUNTIFS(tData[SEHTrajectPeriodeDatumTijdVan],"&lt;="&amp;($A632+3/24),tData[SEHTrajectPeriodeDatumTijdTotEnMet],"&gt;"&amp;($A632+3/24))</f>
        <v/>
      </c>
      <c r="H632" s="20">
        <f>COUNTIFS(tData[SEHTrajectPeriodeDatumTijdVan],"&lt;="&amp;($A632+4/24),tData[SEHTrajectPeriodeDatumTijdTotEnMet],"&gt;"&amp;($A632+4/24))</f>
        <v/>
      </c>
      <c r="I632" s="20">
        <f>COUNTIFS(tData[SEHTrajectPeriodeDatumTijdVan],"&lt;="&amp;($A632+5/24),tData[SEHTrajectPeriodeDatumTijdTotEnMet],"&gt;"&amp;($A632+5/24))</f>
        <v/>
      </c>
      <c r="J632" s="20">
        <f>COUNTIFS(tData[SEHTrajectPeriodeDatumTijdVan],"&lt;="&amp;($A632+6/24),tData[SEHTrajectPeriodeDatumTijdTotEnMet],"&gt;"&amp;($A632+6/24))</f>
        <v/>
      </c>
      <c r="K632" s="20">
        <f>COUNTIFS(tData[SEHTrajectPeriodeDatumTijdVan],"&lt;="&amp;($A632+7/24),tData[SEHTrajectPeriodeDatumTijdTotEnMet],"&gt;"&amp;($A632+7/24))</f>
        <v/>
      </c>
      <c r="L632" s="20">
        <f>COUNTIFS(tData[SEHTrajectPeriodeDatumTijdVan],"&lt;="&amp;($A632+8/24),tData[SEHTrajectPeriodeDatumTijdTotEnMet],"&gt;"&amp;($A632+8/24))</f>
        <v/>
      </c>
      <c r="M632" s="20">
        <f>COUNTIFS(tData[SEHTrajectPeriodeDatumTijdVan],"&lt;="&amp;($A632+9/24),tData[SEHTrajectPeriodeDatumTijdTotEnMet],"&gt;"&amp;($A632+9/24))</f>
        <v/>
      </c>
      <c r="N632" s="20">
        <f>COUNTIFS(tData[SEHTrajectPeriodeDatumTijdVan],"&lt;="&amp;($A632+10/24),tData[SEHTrajectPeriodeDatumTijdTotEnMet],"&gt;"&amp;($A632+10/24))</f>
        <v/>
      </c>
      <c r="O632" s="20">
        <f>COUNTIFS(tData[SEHTrajectPeriodeDatumTijdVan],"&lt;="&amp;($A632+11/24),tData[SEHTrajectPeriodeDatumTijdTotEnMet],"&gt;"&amp;($A632+11/24))</f>
        <v/>
      </c>
      <c r="P632" s="20">
        <f>COUNTIFS(tData[SEHTrajectPeriodeDatumTijdVan],"&lt;="&amp;($A632+12/24),tData[SEHTrajectPeriodeDatumTijdTotEnMet],"&gt;"&amp;($A632+12/24))</f>
        <v/>
      </c>
      <c r="Q632" s="20">
        <f>COUNTIFS(tData[SEHTrajectPeriodeDatumTijdVan],"&lt;="&amp;($A632+13/24),tData[SEHTrajectPeriodeDatumTijdTotEnMet],"&gt;"&amp;($A632+13/24))</f>
        <v/>
      </c>
      <c r="R632" s="20">
        <f>COUNTIFS(tData[SEHTrajectPeriodeDatumTijdVan],"&lt;="&amp;($A632+14/24),tData[SEHTrajectPeriodeDatumTijdTotEnMet],"&gt;"&amp;($A632+14/24))</f>
        <v/>
      </c>
      <c r="S632" s="20">
        <f>COUNTIFS(tData[SEHTrajectPeriodeDatumTijdVan],"&lt;="&amp;($A632+15/24),tData[SEHTrajectPeriodeDatumTijdTotEnMet],"&gt;"&amp;($A632+15/24))</f>
        <v/>
      </c>
      <c r="T632" s="20">
        <f>COUNTIFS(tData[SEHTrajectPeriodeDatumTijdVan],"&lt;="&amp;($A632+16/24),tData[SEHTrajectPeriodeDatumTijdTotEnMet],"&gt;"&amp;($A632+16/24))</f>
        <v/>
      </c>
      <c r="U632" s="20">
        <f>COUNTIFS(tData[SEHTrajectPeriodeDatumTijdVan],"&lt;="&amp;($A632+17/24),tData[SEHTrajectPeriodeDatumTijdTotEnMet],"&gt;"&amp;($A632+17/24))</f>
        <v/>
      </c>
      <c r="V632" s="20">
        <f>COUNTIFS(tData[SEHTrajectPeriodeDatumTijdVan],"&lt;="&amp;($A632+18/24),tData[SEHTrajectPeriodeDatumTijdTotEnMet],"&gt;"&amp;($A632+18/24))</f>
        <v/>
      </c>
      <c r="W632" s="20">
        <f>COUNTIFS(tData[SEHTrajectPeriodeDatumTijdVan],"&lt;="&amp;($A632+19/24),tData[SEHTrajectPeriodeDatumTijdTotEnMet],"&gt;"&amp;($A632+19/24))</f>
        <v/>
      </c>
      <c r="X632" s="20">
        <f>COUNTIFS(tData[SEHTrajectPeriodeDatumTijdVan],"&lt;="&amp;($A632+20/24),tData[SEHTrajectPeriodeDatumTijdTotEnMet],"&gt;"&amp;($A632+20/24))</f>
        <v/>
      </c>
      <c r="Y632" s="20">
        <f>COUNTIFS(tData[SEHTrajectPeriodeDatumTijdVan],"&lt;="&amp;($A632+21/24),tData[SEHTrajectPeriodeDatumTijdTotEnMet],"&gt;"&amp;($A632+21/24))</f>
        <v/>
      </c>
      <c r="Z632" s="20">
        <f>COUNTIFS(tData[SEHTrajectPeriodeDatumTijdVan],"&lt;="&amp;($A632+22/24),tData[SEHTrajectPeriodeDatumTijdTotEnMet],"&gt;"&amp;($A632+22/24))</f>
        <v/>
      </c>
      <c r="AA632" s="20">
        <f>COUNTIFS(tData[SEHTrajectPeriodeDatumTijdVan],"&lt;="&amp;($A632+23/24),tData[SEHTrajectPeriodeDatumTijdTotEnMet],"&gt;"&amp;($A632+23/24))</f>
        <v/>
      </c>
    </row>
    <row r="633">
      <c r="A633" s="19" t="n">
        <v>45921</v>
      </c>
      <c r="B633" s="15">
        <f>WEEKDAY($A633,2)</f>
        <v/>
      </c>
      <c r="C633" s="15">
        <f>IF(AND($A633&gt;=INT(Instellingen!$B$5),$A633&lt;=INT(Instellingen!$B$6)),1,0)</f>
        <v/>
      </c>
      <c r="D633" s="20">
        <f>COUNTIFS(tData[SEHTrajectPeriodeDatumTijdVan],"&lt;="&amp;($A633+0/24),tData[SEHTrajectPeriodeDatumTijdTotEnMet],"&gt;"&amp;($A633+0/24))</f>
        <v/>
      </c>
      <c r="E633" s="20">
        <f>COUNTIFS(tData[SEHTrajectPeriodeDatumTijdVan],"&lt;="&amp;($A633+1/24),tData[SEHTrajectPeriodeDatumTijdTotEnMet],"&gt;"&amp;($A633+1/24))</f>
        <v/>
      </c>
      <c r="F633" s="20">
        <f>COUNTIFS(tData[SEHTrajectPeriodeDatumTijdVan],"&lt;="&amp;($A633+2/24),tData[SEHTrajectPeriodeDatumTijdTotEnMet],"&gt;"&amp;($A633+2/24))</f>
        <v/>
      </c>
      <c r="G633" s="20">
        <f>COUNTIFS(tData[SEHTrajectPeriodeDatumTijdVan],"&lt;="&amp;($A633+3/24),tData[SEHTrajectPeriodeDatumTijdTotEnMet],"&gt;"&amp;($A633+3/24))</f>
        <v/>
      </c>
      <c r="H633" s="20">
        <f>COUNTIFS(tData[SEHTrajectPeriodeDatumTijdVan],"&lt;="&amp;($A633+4/24),tData[SEHTrajectPeriodeDatumTijdTotEnMet],"&gt;"&amp;($A633+4/24))</f>
        <v/>
      </c>
      <c r="I633" s="20">
        <f>COUNTIFS(tData[SEHTrajectPeriodeDatumTijdVan],"&lt;="&amp;($A633+5/24),tData[SEHTrajectPeriodeDatumTijdTotEnMet],"&gt;"&amp;($A633+5/24))</f>
        <v/>
      </c>
      <c r="J633" s="20">
        <f>COUNTIFS(tData[SEHTrajectPeriodeDatumTijdVan],"&lt;="&amp;($A633+6/24),tData[SEHTrajectPeriodeDatumTijdTotEnMet],"&gt;"&amp;($A633+6/24))</f>
        <v/>
      </c>
      <c r="K633" s="20">
        <f>COUNTIFS(tData[SEHTrajectPeriodeDatumTijdVan],"&lt;="&amp;($A633+7/24),tData[SEHTrajectPeriodeDatumTijdTotEnMet],"&gt;"&amp;($A633+7/24))</f>
        <v/>
      </c>
      <c r="L633" s="20">
        <f>COUNTIFS(tData[SEHTrajectPeriodeDatumTijdVan],"&lt;="&amp;($A633+8/24),tData[SEHTrajectPeriodeDatumTijdTotEnMet],"&gt;"&amp;($A633+8/24))</f>
        <v/>
      </c>
      <c r="M633" s="20">
        <f>COUNTIFS(tData[SEHTrajectPeriodeDatumTijdVan],"&lt;="&amp;($A633+9/24),tData[SEHTrajectPeriodeDatumTijdTotEnMet],"&gt;"&amp;($A633+9/24))</f>
        <v/>
      </c>
      <c r="N633" s="20">
        <f>COUNTIFS(tData[SEHTrajectPeriodeDatumTijdVan],"&lt;="&amp;($A633+10/24),tData[SEHTrajectPeriodeDatumTijdTotEnMet],"&gt;"&amp;($A633+10/24))</f>
        <v/>
      </c>
      <c r="O633" s="20">
        <f>COUNTIFS(tData[SEHTrajectPeriodeDatumTijdVan],"&lt;="&amp;($A633+11/24),tData[SEHTrajectPeriodeDatumTijdTotEnMet],"&gt;"&amp;($A633+11/24))</f>
        <v/>
      </c>
      <c r="P633" s="20">
        <f>COUNTIFS(tData[SEHTrajectPeriodeDatumTijdVan],"&lt;="&amp;($A633+12/24),tData[SEHTrajectPeriodeDatumTijdTotEnMet],"&gt;"&amp;($A633+12/24))</f>
        <v/>
      </c>
      <c r="Q633" s="20">
        <f>COUNTIFS(tData[SEHTrajectPeriodeDatumTijdVan],"&lt;="&amp;($A633+13/24),tData[SEHTrajectPeriodeDatumTijdTotEnMet],"&gt;"&amp;($A633+13/24))</f>
        <v/>
      </c>
      <c r="R633" s="20">
        <f>COUNTIFS(tData[SEHTrajectPeriodeDatumTijdVan],"&lt;="&amp;($A633+14/24),tData[SEHTrajectPeriodeDatumTijdTotEnMet],"&gt;"&amp;($A633+14/24))</f>
        <v/>
      </c>
      <c r="S633" s="20">
        <f>COUNTIFS(tData[SEHTrajectPeriodeDatumTijdVan],"&lt;="&amp;($A633+15/24),tData[SEHTrajectPeriodeDatumTijdTotEnMet],"&gt;"&amp;($A633+15/24))</f>
        <v/>
      </c>
      <c r="T633" s="20">
        <f>COUNTIFS(tData[SEHTrajectPeriodeDatumTijdVan],"&lt;="&amp;($A633+16/24),tData[SEHTrajectPeriodeDatumTijdTotEnMet],"&gt;"&amp;($A633+16/24))</f>
        <v/>
      </c>
      <c r="U633" s="20">
        <f>COUNTIFS(tData[SEHTrajectPeriodeDatumTijdVan],"&lt;="&amp;($A633+17/24),tData[SEHTrajectPeriodeDatumTijdTotEnMet],"&gt;"&amp;($A633+17/24))</f>
        <v/>
      </c>
      <c r="V633" s="20">
        <f>COUNTIFS(tData[SEHTrajectPeriodeDatumTijdVan],"&lt;="&amp;($A633+18/24),tData[SEHTrajectPeriodeDatumTijdTotEnMet],"&gt;"&amp;($A633+18/24))</f>
        <v/>
      </c>
      <c r="W633" s="20">
        <f>COUNTIFS(tData[SEHTrajectPeriodeDatumTijdVan],"&lt;="&amp;($A633+19/24),tData[SEHTrajectPeriodeDatumTijdTotEnMet],"&gt;"&amp;($A633+19/24))</f>
        <v/>
      </c>
      <c r="X633" s="20">
        <f>COUNTIFS(tData[SEHTrajectPeriodeDatumTijdVan],"&lt;="&amp;($A633+20/24),tData[SEHTrajectPeriodeDatumTijdTotEnMet],"&gt;"&amp;($A633+20/24))</f>
        <v/>
      </c>
      <c r="Y633" s="20">
        <f>COUNTIFS(tData[SEHTrajectPeriodeDatumTijdVan],"&lt;="&amp;($A633+21/24),tData[SEHTrajectPeriodeDatumTijdTotEnMet],"&gt;"&amp;($A633+21/24))</f>
        <v/>
      </c>
      <c r="Z633" s="20">
        <f>COUNTIFS(tData[SEHTrajectPeriodeDatumTijdVan],"&lt;="&amp;($A633+22/24),tData[SEHTrajectPeriodeDatumTijdTotEnMet],"&gt;"&amp;($A633+22/24))</f>
        <v/>
      </c>
      <c r="AA633" s="20">
        <f>COUNTIFS(tData[SEHTrajectPeriodeDatumTijdVan],"&lt;="&amp;($A633+23/24),tData[SEHTrajectPeriodeDatumTijdTotEnMet],"&gt;"&amp;($A633+23/24))</f>
        <v/>
      </c>
    </row>
    <row r="634">
      <c r="A634" s="19" t="n">
        <v>45922</v>
      </c>
      <c r="B634" s="15">
        <f>WEEKDAY($A634,2)</f>
        <v/>
      </c>
      <c r="C634" s="15">
        <f>IF(AND($A634&gt;=INT(Instellingen!$B$5),$A634&lt;=INT(Instellingen!$B$6)),1,0)</f>
        <v/>
      </c>
      <c r="D634" s="20">
        <f>COUNTIFS(tData[SEHTrajectPeriodeDatumTijdVan],"&lt;="&amp;($A634+0/24),tData[SEHTrajectPeriodeDatumTijdTotEnMet],"&gt;"&amp;($A634+0/24))</f>
        <v/>
      </c>
      <c r="E634" s="20">
        <f>COUNTIFS(tData[SEHTrajectPeriodeDatumTijdVan],"&lt;="&amp;($A634+1/24),tData[SEHTrajectPeriodeDatumTijdTotEnMet],"&gt;"&amp;($A634+1/24))</f>
        <v/>
      </c>
      <c r="F634" s="20">
        <f>COUNTIFS(tData[SEHTrajectPeriodeDatumTijdVan],"&lt;="&amp;($A634+2/24),tData[SEHTrajectPeriodeDatumTijdTotEnMet],"&gt;"&amp;($A634+2/24))</f>
        <v/>
      </c>
      <c r="G634" s="20">
        <f>COUNTIFS(tData[SEHTrajectPeriodeDatumTijdVan],"&lt;="&amp;($A634+3/24),tData[SEHTrajectPeriodeDatumTijdTotEnMet],"&gt;"&amp;($A634+3/24))</f>
        <v/>
      </c>
      <c r="H634" s="20">
        <f>COUNTIFS(tData[SEHTrajectPeriodeDatumTijdVan],"&lt;="&amp;($A634+4/24),tData[SEHTrajectPeriodeDatumTijdTotEnMet],"&gt;"&amp;($A634+4/24))</f>
        <v/>
      </c>
      <c r="I634" s="20">
        <f>COUNTIFS(tData[SEHTrajectPeriodeDatumTijdVan],"&lt;="&amp;($A634+5/24),tData[SEHTrajectPeriodeDatumTijdTotEnMet],"&gt;"&amp;($A634+5/24))</f>
        <v/>
      </c>
      <c r="J634" s="20">
        <f>COUNTIFS(tData[SEHTrajectPeriodeDatumTijdVan],"&lt;="&amp;($A634+6/24),tData[SEHTrajectPeriodeDatumTijdTotEnMet],"&gt;"&amp;($A634+6/24))</f>
        <v/>
      </c>
      <c r="K634" s="20">
        <f>COUNTIFS(tData[SEHTrajectPeriodeDatumTijdVan],"&lt;="&amp;($A634+7/24),tData[SEHTrajectPeriodeDatumTijdTotEnMet],"&gt;"&amp;($A634+7/24))</f>
        <v/>
      </c>
      <c r="L634" s="20">
        <f>COUNTIFS(tData[SEHTrajectPeriodeDatumTijdVan],"&lt;="&amp;($A634+8/24),tData[SEHTrajectPeriodeDatumTijdTotEnMet],"&gt;"&amp;($A634+8/24))</f>
        <v/>
      </c>
      <c r="M634" s="20">
        <f>COUNTIFS(tData[SEHTrajectPeriodeDatumTijdVan],"&lt;="&amp;($A634+9/24),tData[SEHTrajectPeriodeDatumTijdTotEnMet],"&gt;"&amp;($A634+9/24))</f>
        <v/>
      </c>
      <c r="N634" s="20">
        <f>COUNTIFS(tData[SEHTrajectPeriodeDatumTijdVan],"&lt;="&amp;($A634+10/24),tData[SEHTrajectPeriodeDatumTijdTotEnMet],"&gt;"&amp;($A634+10/24))</f>
        <v/>
      </c>
      <c r="O634" s="20">
        <f>COUNTIFS(tData[SEHTrajectPeriodeDatumTijdVan],"&lt;="&amp;($A634+11/24),tData[SEHTrajectPeriodeDatumTijdTotEnMet],"&gt;"&amp;($A634+11/24))</f>
        <v/>
      </c>
      <c r="P634" s="20">
        <f>COUNTIFS(tData[SEHTrajectPeriodeDatumTijdVan],"&lt;="&amp;($A634+12/24),tData[SEHTrajectPeriodeDatumTijdTotEnMet],"&gt;"&amp;($A634+12/24))</f>
        <v/>
      </c>
      <c r="Q634" s="20">
        <f>COUNTIFS(tData[SEHTrajectPeriodeDatumTijdVan],"&lt;="&amp;($A634+13/24),tData[SEHTrajectPeriodeDatumTijdTotEnMet],"&gt;"&amp;($A634+13/24))</f>
        <v/>
      </c>
      <c r="R634" s="20">
        <f>COUNTIFS(tData[SEHTrajectPeriodeDatumTijdVan],"&lt;="&amp;($A634+14/24),tData[SEHTrajectPeriodeDatumTijdTotEnMet],"&gt;"&amp;($A634+14/24))</f>
        <v/>
      </c>
      <c r="S634" s="20">
        <f>COUNTIFS(tData[SEHTrajectPeriodeDatumTijdVan],"&lt;="&amp;($A634+15/24),tData[SEHTrajectPeriodeDatumTijdTotEnMet],"&gt;"&amp;($A634+15/24))</f>
        <v/>
      </c>
      <c r="T634" s="20">
        <f>COUNTIFS(tData[SEHTrajectPeriodeDatumTijdVan],"&lt;="&amp;($A634+16/24),tData[SEHTrajectPeriodeDatumTijdTotEnMet],"&gt;"&amp;($A634+16/24))</f>
        <v/>
      </c>
      <c r="U634" s="20">
        <f>COUNTIFS(tData[SEHTrajectPeriodeDatumTijdVan],"&lt;="&amp;($A634+17/24),tData[SEHTrajectPeriodeDatumTijdTotEnMet],"&gt;"&amp;($A634+17/24))</f>
        <v/>
      </c>
      <c r="V634" s="20">
        <f>COUNTIFS(tData[SEHTrajectPeriodeDatumTijdVan],"&lt;="&amp;($A634+18/24),tData[SEHTrajectPeriodeDatumTijdTotEnMet],"&gt;"&amp;($A634+18/24))</f>
        <v/>
      </c>
      <c r="W634" s="20">
        <f>COUNTIFS(tData[SEHTrajectPeriodeDatumTijdVan],"&lt;="&amp;($A634+19/24),tData[SEHTrajectPeriodeDatumTijdTotEnMet],"&gt;"&amp;($A634+19/24))</f>
        <v/>
      </c>
      <c r="X634" s="20">
        <f>COUNTIFS(tData[SEHTrajectPeriodeDatumTijdVan],"&lt;="&amp;($A634+20/24),tData[SEHTrajectPeriodeDatumTijdTotEnMet],"&gt;"&amp;($A634+20/24))</f>
        <v/>
      </c>
      <c r="Y634" s="20">
        <f>COUNTIFS(tData[SEHTrajectPeriodeDatumTijdVan],"&lt;="&amp;($A634+21/24),tData[SEHTrajectPeriodeDatumTijdTotEnMet],"&gt;"&amp;($A634+21/24))</f>
        <v/>
      </c>
      <c r="Z634" s="20">
        <f>COUNTIFS(tData[SEHTrajectPeriodeDatumTijdVan],"&lt;="&amp;($A634+22/24),tData[SEHTrajectPeriodeDatumTijdTotEnMet],"&gt;"&amp;($A634+22/24))</f>
        <v/>
      </c>
      <c r="AA634" s="20">
        <f>COUNTIFS(tData[SEHTrajectPeriodeDatumTijdVan],"&lt;="&amp;($A634+23/24),tData[SEHTrajectPeriodeDatumTijdTotEnMet],"&gt;"&amp;($A634+23/24))</f>
        <v/>
      </c>
    </row>
    <row r="635">
      <c r="A635" s="19" t="n">
        <v>45923</v>
      </c>
      <c r="B635" s="15">
        <f>WEEKDAY($A635,2)</f>
        <v/>
      </c>
      <c r="C635" s="15">
        <f>IF(AND($A635&gt;=INT(Instellingen!$B$5),$A635&lt;=INT(Instellingen!$B$6)),1,0)</f>
        <v/>
      </c>
      <c r="D635" s="20">
        <f>COUNTIFS(tData[SEHTrajectPeriodeDatumTijdVan],"&lt;="&amp;($A635+0/24),tData[SEHTrajectPeriodeDatumTijdTotEnMet],"&gt;"&amp;($A635+0/24))</f>
        <v/>
      </c>
      <c r="E635" s="20">
        <f>COUNTIFS(tData[SEHTrajectPeriodeDatumTijdVan],"&lt;="&amp;($A635+1/24),tData[SEHTrajectPeriodeDatumTijdTotEnMet],"&gt;"&amp;($A635+1/24))</f>
        <v/>
      </c>
      <c r="F635" s="20">
        <f>COUNTIFS(tData[SEHTrajectPeriodeDatumTijdVan],"&lt;="&amp;($A635+2/24),tData[SEHTrajectPeriodeDatumTijdTotEnMet],"&gt;"&amp;($A635+2/24))</f>
        <v/>
      </c>
      <c r="G635" s="20">
        <f>COUNTIFS(tData[SEHTrajectPeriodeDatumTijdVan],"&lt;="&amp;($A635+3/24),tData[SEHTrajectPeriodeDatumTijdTotEnMet],"&gt;"&amp;($A635+3/24))</f>
        <v/>
      </c>
      <c r="H635" s="20">
        <f>COUNTIFS(tData[SEHTrajectPeriodeDatumTijdVan],"&lt;="&amp;($A635+4/24),tData[SEHTrajectPeriodeDatumTijdTotEnMet],"&gt;"&amp;($A635+4/24))</f>
        <v/>
      </c>
      <c r="I635" s="20">
        <f>COUNTIFS(tData[SEHTrajectPeriodeDatumTijdVan],"&lt;="&amp;($A635+5/24),tData[SEHTrajectPeriodeDatumTijdTotEnMet],"&gt;"&amp;($A635+5/24))</f>
        <v/>
      </c>
      <c r="J635" s="20">
        <f>COUNTIFS(tData[SEHTrajectPeriodeDatumTijdVan],"&lt;="&amp;($A635+6/24),tData[SEHTrajectPeriodeDatumTijdTotEnMet],"&gt;"&amp;($A635+6/24))</f>
        <v/>
      </c>
      <c r="K635" s="20">
        <f>COUNTIFS(tData[SEHTrajectPeriodeDatumTijdVan],"&lt;="&amp;($A635+7/24),tData[SEHTrajectPeriodeDatumTijdTotEnMet],"&gt;"&amp;($A635+7/24))</f>
        <v/>
      </c>
      <c r="L635" s="20">
        <f>COUNTIFS(tData[SEHTrajectPeriodeDatumTijdVan],"&lt;="&amp;($A635+8/24),tData[SEHTrajectPeriodeDatumTijdTotEnMet],"&gt;"&amp;($A635+8/24))</f>
        <v/>
      </c>
      <c r="M635" s="20">
        <f>COUNTIFS(tData[SEHTrajectPeriodeDatumTijdVan],"&lt;="&amp;($A635+9/24),tData[SEHTrajectPeriodeDatumTijdTotEnMet],"&gt;"&amp;($A635+9/24))</f>
        <v/>
      </c>
      <c r="N635" s="20">
        <f>COUNTIFS(tData[SEHTrajectPeriodeDatumTijdVan],"&lt;="&amp;($A635+10/24),tData[SEHTrajectPeriodeDatumTijdTotEnMet],"&gt;"&amp;($A635+10/24))</f>
        <v/>
      </c>
      <c r="O635" s="20">
        <f>COUNTIFS(tData[SEHTrajectPeriodeDatumTijdVan],"&lt;="&amp;($A635+11/24),tData[SEHTrajectPeriodeDatumTijdTotEnMet],"&gt;"&amp;($A635+11/24))</f>
        <v/>
      </c>
      <c r="P635" s="20">
        <f>COUNTIFS(tData[SEHTrajectPeriodeDatumTijdVan],"&lt;="&amp;($A635+12/24),tData[SEHTrajectPeriodeDatumTijdTotEnMet],"&gt;"&amp;($A635+12/24))</f>
        <v/>
      </c>
      <c r="Q635" s="20">
        <f>COUNTIFS(tData[SEHTrajectPeriodeDatumTijdVan],"&lt;="&amp;($A635+13/24),tData[SEHTrajectPeriodeDatumTijdTotEnMet],"&gt;"&amp;($A635+13/24))</f>
        <v/>
      </c>
      <c r="R635" s="20">
        <f>COUNTIFS(tData[SEHTrajectPeriodeDatumTijdVan],"&lt;="&amp;($A635+14/24),tData[SEHTrajectPeriodeDatumTijdTotEnMet],"&gt;"&amp;($A635+14/24))</f>
        <v/>
      </c>
      <c r="S635" s="20">
        <f>COUNTIFS(tData[SEHTrajectPeriodeDatumTijdVan],"&lt;="&amp;($A635+15/24),tData[SEHTrajectPeriodeDatumTijdTotEnMet],"&gt;"&amp;($A635+15/24))</f>
        <v/>
      </c>
      <c r="T635" s="20">
        <f>COUNTIFS(tData[SEHTrajectPeriodeDatumTijdVan],"&lt;="&amp;($A635+16/24),tData[SEHTrajectPeriodeDatumTijdTotEnMet],"&gt;"&amp;($A635+16/24))</f>
        <v/>
      </c>
      <c r="U635" s="20">
        <f>COUNTIFS(tData[SEHTrajectPeriodeDatumTijdVan],"&lt;="&amp;($A635+17/24),tData[SEHTrajectPeriodeDatumTijdTotEnMet],"&gt;"&amp;($A635+17/24))</f>
        <v/>
      </c>
      <c r="V635" s="20">
        <f>COUNTIFS(tData[SEHTrajectPeriodeDatumTijdVan],"&lt;="&amp;($A635+18/24),tData[SEHTrajectPeriodeDatumTijdTotEnMet],"&gt;"&amp;($A635+18/24))</f>
        <v/>
      </c>
      <c r="W635" s="20">
        <f>COUNTIFS(tData[SEHTrajectPeriodeDatumTijdVan],"&lt;="&amp;($A635+19/24),tData[SEHTrajectPeriodeDatumTijdTotEnMet],"&gt;"&amp;($A635+19/24))</f>
        <v/>
      </c>
      <c r="X635" s="20">
        <f>COUNTIFS(tData[SEHTrajectPeriodeDatumTijdVan],"&lt;="&amp;($A635+20/24),tData[SEHTrajectPeriodeDatumTijdTotEnMet],"&gt;"&amp;($A635+20/24))</f>
        <v/>
      </c>
      <c r="Y635" s="20">
        <f>COUNTIFS(tData[SEHTrajectPeriodeDatumTijdVan],"&lt;="&amp;($A635+21/24),tData[SEHTrajectPeriodeDatumTijdTotEnMet],"&gt;"&amp;($A635+21/24))</f>
        <v/>
      </c>
      <c r="Z635" s="20">
        <f>COUNTIFS(tData[SEHTrajectPeriodeDatumTijdVan],"&lt;="&amp;($A635+22/24),tData[SEHTrajectPeriodeDatumTijdTotEnMet],"&gt;"&amp;($A635+22/24))</f>
        <v/>
      </c>
      <c r="AA635" s="20">
        <f>COUNTIFS(tData[SEHTrajectPeriodeDatumTijdVan],"&lt;="&amp;($A635+23/24),tData[SEHTrajectPeriodeDatumTijdTotEnMet],"&gt;"&amp;($A635+23/24))</f>
        <v/>
      </c>
    </row>
    <row r="636">
      <c r="A636" s="19" t="n">
        <v>45924</v>
      </c>
      <c r="B636" s="15">
        <f>WEEKDAY($A636,2)</f>
        <v/>
      </c>
      <c r="C636" s="15">
        <f>IF(AND($A636&gt;=INT(Instellingen!$B$5),$A636&lt;=INT(Instellingen!$B$6)),1,0)</f>
        <v/>
      </c>
      <c r="D636" s="20">
        <f>COUNTIFS(tData[SEHTrajectPeriodeDatumTijdVan],"&lt;="&amp;($A636+0/24),tData[SEHTrajectPeriodeDatumTijdTotEnMet],"&gt;"&amp;($A636+0/24))</f>
        <v/>
      </c>
      <c r="E636" s="20">
        <f>COUNTIFS(tData[SEHTrajectPeriodeDatumTijdVan],"&lt;="&amp;($A636+1/24),tData[SEHTrajectPeriodeDatumTijdTotEnMet],"&gt;"&amp;($A636+1/24))</f>
        <v/>
      </c>
      <c r="F636" s="20">
        <f>COUNTIFS(tData[SEHTrajectPeriodeDatumTijdVan],"&lt;="&amp;($A636+2/24),tData[SEHTrajectPeriodeDatumTijdTotEnMet],"&gt;"&amp;($A636+2/24))</f>
        <v/>
      </c>
      <c r="G636" s="20">
        <f>COUNTIFS(tData[SEHTrajectPeriodeDatumTijdVan],"&lt;="&amp;($A636+3/24),tData[SEHTrajectPeriodeDatumTijdTotEnMet],"&gt;"&amp;($A636+3/24))</f>
        <v/>
      </c>
      <c r="H636" s="20">
        <f>COUNTIFS(tData[SEHTrajectPeriodeDatumTijdVan],"&lt;="&amp;($A636+4/24),tData[SEHTrajectPeriodeDatumTijdTotEnMet],"&gt;"&amp;($A636+4/24))</f>
        <v/>
      </c>
      <c r="I636" s="20">
        <f>COUNTIFS(tData[SEHTrajectPeriodeDatumTijdVan],"&lt;="&amp;($A636+5/24),tData[SEHTrajectPeriodeDatumTijdTotEnMet],"&gt;"&amp;($A636+5/24))</f>
        <v/>
      </c>
      <c r="J636" s="20">
        <f>COUNTIFS(tData[SEHTrajectPeriodeDatumTijdVan],"&lt;="&amp;($A636+6/24),tData[SEHTrajectPeriodeDatumTijdTotEnMet],"&gt;"&amp;($A636+6/24))</f>
        <v/>
      </c>
      <c r="K636" s="20">
        <f>COUNTIFS(tData[SEHTrajectPeriodeDatumTijdVan],"&lt;="&amp;($A636+7/24),tData[SEHTrajectPeriodeDatumTijdTotEnMet],"&gt;"&amp;($A636+7/24))</f>
        <v/>
      </c>
      <c r="L636" s="20">
        <f>COUNTIFS(tData[SEHTrajectPeriodeDatumTijdVan],"&lt;="&amp;($A636+8/24),tData[SEHTrajectPeriodeDatumTijdTotEnMet],"&gt;"&amp;($A636+8/24))</f>
        <v/>
      </c>
      <c r="M636" s="20">
        <f>COUNTIFS(tData[SEHTrajectPeriodeDatumTijdVan],"&lt;="&amp;($A636+9/24),tData[SEHTrajectPeriodeDatumTijdTotEnMet],"&gt;"&amp;($A636+9/24))</f>
        <v/>
      </c>
      <c r="N636" s="20">
        <f>COUNTIFS(tData[SEHTrajectPeriodeDatumTijdVan],"&lt;="&amp;($A636+10/24),tData[SEHTrajectPeriodeDatumTijdTotEnMet],"&gt;"&amp;($A636+10/24))</f>
        <v/>
      </c>
      <c r="O636" s="20">
        <f>COUNTIFS(tData[SEHTrajectPeriodeDatumTijdVan],"&lt;="&amp;($A636+11/24),tData[SEHTrajectPeriodeDatumTijdTotEnMet],"&gt;"&amp;($A636+11/24))</f>
        <v/>
      </c>
      <c r="P636" s="20">
        <f>COUNTIFS(tData[SEHTrajectPeriodeDatumTijdVan],"&lt;="&amp;($A636+12/24),tData[SEHTrajectPeriodeDatumTijdTotEnMet],"&gt;"&amp;($A636+12/24))</f>
        <v/>
      </c>
      <c r="Q636" s="20">
        <f>COUNTIFS(tData[SEHTrajectPeriodeDatumTijdVan],"&lt;="&amp;($A636+13/24),tData[SEHTrajectPeriodeDatumTijdTotEnMet],"&gt;"&amp;($A636+13/24))</f>
        <v/>
      </c>
      <c r="R636" s="20">
        <f>COUNTIFS(tData[SEHTrajectPeriodeDatumTijdVan],"&lt;="&amp;($A636+14/24),tData[SEHTrajectPeriodeDatumTijdTotEnMet],"&gt;"&amp;($A636+14/24))</f>
        <v/>
      </c>
      <c r="S636" s="20">
        <f>COUNTIFS(tData[SEHTrajectPeriodeDatumTijdVan],"&lt;="&amp;($A636+15/24),tData[SEHTrajectPeriodeDatumTijdTotEnMet],"&gt;"&amp;($A636+15/24))</f>
        <v/>
      </c>
      <c r="T636" s="20">
        <f>COUNTIFS(tData[SEHTrajectPeriodeDatumTijdVan],"&lt;="&amp;($A636+16/24),tData[SEHTrajectPeriodeDatumTijdTotEnMet],"&gt;"&amp;($A636+16/24))</f>
        <v/>
      </c>
      <c r="U636" s="20">
        <f>COUNTIFS(tData[SEHTrajectPeriodeDatumTijdVan],"&lt;="&amp;($A636+17/24),tData[SEHTrajectPeriodeDatumTijdTotEnMet],"&gt;"&amp;($A636+17/24))</f>
        <v/>
      </c>
      <c r="V636" s="20">
        <f>COUNTIFS(tData[SEHTrajectPeriodeDatumTijdVan],"&lt;="&amp;($A636+18/24),tData[SEHTrajectPeriodeDatumTijdTotEnMet],"&gt;"&amp;($A636+18/24))</f>
        <v/>
      </c>
      <c r="W636" s="20">
        <f>COUNTIFS(tData[SEHTrajectPeriodeDatumTijdVan],"&lt;="&amp;($A636+19/24),tData[SEHTrajectPeriodeDatumTijdTotEnMet],"&gt;"&amp;($A636+19/24))</f>
        <v/>
      </c>
      <c r="X636" s="20">
        <f>COUNTIFS(tData[SEHTrajectPeriodeDatumTijdVan],"&lt;="&amp;($A636+20/24),tData[SEHTrajectPeriodeDatumTijdTotEnMet],"&gt;"&amp;($A636+20/24))</f>
        <v/>
      </c>
      <c r="Y636" s="20">
        <f>COUNTIFS(tData[SEHTrajectPeriodeDatumTijdVan],"&lt;="&amp;($A636+21/24),tData[SEHTrajectPeriodeDatumTijdTotEnMet],"&gt;"&amp;($A636+21/24))</f>
        <v/>
      </c>
      <c r="Z636" s="20">
        <f>COUNTIFS(tData[SEHTrajectPeriodeDatumTijdVan],"&lt;="&amp;($A636+22/24),tData[SEHTrajectPeriodeDatumTijdTotEnMet],"&gt;"&amp;($A636+22/24))</f>
        <v/>
      </c>
      <c r="AA636" s="20">
        <f>COUNTIFS(tData[SEHTrajectPeriodeDatumTijdVan],"&lt;="&amp;($A636+23/24),tData[SEHTrajectPeriodeDatumTijdTotEnMet],"&gt;"&amp;($A636+23/24))</f>
        <v/>
      </c>
    </row>
    <row r="637">
      <c r="A637" s="19" t="n">
        <v>45925</v>
      </c>
      <c r="B637" s="15">
        <f>WEEKDAY($A637,2)</f>
        <v/>
      </c>
      <c r="C637" s="15">
        <f>IF(AND($A637&gt;=INT(Instellingen!$B$5),$A637&lt;=INT(Instellingen!$B$6)),1,0)</f>
        <v/>
      </c>
      <c r="D637" s="20">
        <f>COUNTIFS(tData[SEHTrajectPeriodeDatumTijdVan],"&lt;="&amp;($A637+0/24),tData[SEHTrajectPeriodeDatumTijdTotEnMet],"&gt;"&amp;($A637+0/24))</f>
        <v/>
      </c>
      <c r="E637" s="20">
        <f>COUNTIFS(tData[SEHTrajectPeriodeDatumTijdVan],"&lt;="&amp;($A637+1/24),tData[SEHTrajectPeriodeDatumTijdTotEnMet],"&gt;"&amp;($A637+1/24))</f>
        <v/>
      </c>
      <c r="F637" s="20">
        <f>COUNTIFS(tData[SEHTrajectPeriodeDatumTijdVan],"&lt;="&amp;($A637+2/24),tData[SEHTrajectPeriodeDatumTijdTotEnMet],"&gt;"&amp;($A637+2/24))</f>
        <v/>
      </c>
      <c r="G637" s="20">
        <f>COUNTIFS(tData[SEHTrajectPeriodeDatumTijdVan],"&lt;="&amp;($A637+3/24),tData[SEHTrajectPeriodeDatumTijdTotEnMet],"&gt;"&amp;($A637+3/24))</f>
        <v/>
      </c>
      <c r="H637" s="20">
        <f>COUNTIFS(tData[SEHTrajectPeriodeDatumTijdVan],"&lt;="&amp;($A637+4/24),tData[SEHTrajectPeriodeDatumTijdTotEnMet],"&gt;"&amp;($A637+4/24))</f>
        <v/>
      </c>
      <c r="I637" s="20">
        <f>COUNTIFS(tData[SEHTrajectPeriodeDatumTijdVan],"&lt;="&amp;($A637+5/24),tData[SEHTrajectPeriodeDatumTijdTotEnMet],"&gt;"&amp;($A637+5/24))</f>
        <v/>
      </c>
      <c r="J637" s="20">
        <f>COUNTIFS(tData[SEHTrajectPeriodeDatumTijdVan],"&lt;="&amp;($A637+6/24),tData[SEHTrajectPeriodeDatumTijdTotEnMet],"&gt;"&amp;($A637+6/24))</f>
        <v/>
      </c>
      <c r="K637" s="20">
        <f>COUNTIFS(tData[SEHTrajectPeriodeDatumTijdVan],"&lt;="&amp;($A637+7/24),tData[SEHTrajectPeriodeDatumTijdTotEnMet],"&gt;"&amp;($A637+7/24))</f>
        <v/>
      </c>
      <c r="L637" s="20">
        <f>COUNTIFS(tData[SEHTrajectPeriodeDatumTijdVan],"&lt;="&amp;($A637+8/24),tData[SEHTrajectPeriodeDatumTijdTotEnMet],"&gt;"&amp;($A637+8/24))</f>
        <v/>
      </c>
      <c r="M637" s="20">
        <f>COUNTIFS(tData[SEHTrajectPeriodeDatumTijdVan],"&lt;="&amp;($A637+9/24),tData[SEHTrajectPeriodeDatumTijdTotEnMet],"&gt;"&amp;($A637+9/24))</f>
        <v/>
      </c>
      <c r="N637" s="20">
        <f>COUNTIFS(tData[SEHTrajectPeriodeDatumTijdVan],"&lt;="&amp;($A637+10/24),tData[SEHTrajectPeriodeDatumTijdTotEnMet],"&gt;"&amp;($A637+10/24))</f>
        <v/>
      </c>
      <c r="O637" s="20">
        <f>COUNTIFS(tData[SEHTrajectPeriodeDatumTijdVan],"&lt;="&amp;($A637+11/24),tData[SEHTrajectPeriodeDatumTijdTotEnMet],"&gt;"&amp;($A637+11/24))</f>
        <v/>
      </c>
      <c r="P637" s="20">
        <f>COUNTIFS(tData[SEHTrajectPeriodeDatumTijdVan],"&lt;="&amp;($A637+12/24),tData[SEHTrajectPeriodeDatumTijdTotEnMet],"&gt;"&amp;($A637+12/24))</f>
        <v/>
      </c>
      <c r="Q637" s="20">
        <f>COUNTIFS(tData[SEHTrajectPeriodeDatumTijdVan],"&lt;="&amp;($A637+13/24),tData[SEHTrajectPeriodeDatumTijdTotEnMet],"&gt;"&amp;($A637+13/24))</f>
        <v/>
      </c>
      <c r="R637" s="20">
        <f>COUNTIFS(tData[SEHTrajectPeriodeDatumTijdVan],"&lt;="&amp;($A637+14/24),tData[SEHTrajectPeriodeDatumTijdTotEnMet],"&gt;"&amp;($A637+14/24))</f>
        <v/>
      </c>
      <c r="S637" s="20">
        <f>COUNTIFS(tData[SEHTrajectPeriodeDatumTijdVan],"&lt;="&amp;($A637+15/24),tData[SEHTrajectPeriodeDatumTijdTotEnMet],"&gt;"&amp;($A637+15/24))</f>
        <v/>
      </c>
      <c r="T637" s="20">
        <f>COUNTIFS(tData[SEHTrajectPeriodeDatumTijdVan],"&lt;="&amp;($A637+16/24),tData[SEHTrajectPeriodeDatumTijdTotEnMet],"&gt;"&amp;($A637+16/24))</f>
        <v/>
      </c>
      <c r="U637" s="20">
        <f>COUNTIFS(tData[SEHTrajectPeriodeDatumTijdVan],"&lt;="&amp;($A637+17/24),tData[SEHTrajectPeriodeDatumTijdTotEnMet],"&gt;"&amp;($A637+17/24))</f>
        <v/>
      </c>
      <c r="V637" s="20">
        <f>COUNTIFS(tData[SEHTrajectPeriodeDatumTijdVan],"&lt;="&amp;($A637+18/24),tData[SEHTrajectPeriodeDatumTijdTotEnMet],"&gt;"&amp;($A637+18/24))</f>
        <v/>
      </c>
      <c r="W637" s="20">
        <f>COUNTIFS(tData[SEHTrajectPeriodeDatumTijdVan],"&lt;="&amp;($A637+19/24),tData[SEHTrajectPeriodeDatumTijdTotEnMet],"&gt;"&amp;($A637+19/24))</f>
        <v/>
      </c>
      <c r="X637" s="20">
        <f>COUNTIFS(tData[SEHTrajectPeriodeDatumTijdVan],"&lt;="&amp;($A637+20/24),tData[SEHTrajectPeriodeDatumTijdTotEnMet],"&gt;"&amp;($A637+20/24))</f>
        <v/>
      </c>
      <c r="Y637" s="20">
        <f>COUNTIFS(tData[SEHTrajectPeriodeDatumTijdVan],"&lt;="&amp;($A637+21/24),tData[SEHTrajectPeriodeDatumTijdTotEnMet],"&gt;"&amp;($A637+21/24))</f>
        <v/>
      </c>
      <c r="Z637" s="20">
        <f>COUNTIFS(tData[SEHTrajectPeriodeDatumTijdVan],"&lt;="&amp;($A637+22/24),tData[SEHTrajectPeriodeDatumTijdTotEnMet],"&gt;"&amp;($A637+22/24))</f>
        <v/>
      </c>
      <c r="AA637" s="20">
        <f>COUNTIFS(tData[SEHTrajectPeriodeDatumTijdVan],"&lt;="&amp;($A637+23/24),tData[SEHTrajectPeriodeDatumTijdTotEnMet],"&gt;"&amp;($A637+23/24))</f>
        <v/>
      </c>
    </row>
    <row r="638">
      <c r="A638" s="19" t="n">
        <v>45926</v>
      </c>
      <c r="B638" s="15">
        <f>WEEKDAY($A638,2)</f>
        <v/>
      </c>
      <c r="C638" s="15">
        <f>IF(AND($A638&gt;=INT(Instellingen!$B$5),$A638&lt;=INT(Instellingen!$B$6)),1,0)</f>
        <v/>
      </c>
      <c r="D638" s="20">
        <f>COUNTIFS(tData[SEHTrajectPeriodeDatumTijdVan],"&lt;="&amp;($A638+0/24),tData[SEHTrajectPeriodeDatumTijdTotEnMet],"&gt;"&amp;($A638+0/24))</f>
        <v/>
      </c>
      <c r="E638" s="20">
        <f>COUNTIFS(tData[SEHTrajectPeriodeDatumTijdVan],"&lt;="&amp;($A638+1/24),tData[SEHTrajectPeriodeDatumTijdTotEnMet],"&gt;"&amp;($A638+1/24))</f>
        <v/>
      </c>
      <c r="F638" s="20">
        <f>COUNTIFS(tData[SEHTrajectPeriodeDatumTijdVan],"&lt;="&amp;($A638+2/24),tData[SEHTrajectPeriodeDatumTijdTotEnMet],"&gt;"&amp;($A638+2/24))</f>
        <v/>
      </c>
      <c r="G638" s="20">
        <f>COUNTIFS(tData[SEHTrajectPeriodeDatumTijdVan],"&lt;="&amp;($A638+3/24),tData[SEHTrajectPeriodeDatumTijdTotEnMet],"&gt;"&amp;($A638+3/24))</f>
        <v/>
      </c>
      <c r="H638" s="20">
        <f>COUNTIFS(tData[SEHTrajectPeriodeDatumTijdVan],"&lt;="&amp;($A638+4/24),tData[SEHTrajectPeriodeDatumTijdTotEnMet],"&gt;"&amp;($A638+4/24))</f>
        <v/>
      </c>
      <c r="I638" s="20">
        <f>COUNTIFS(tData[SEHTrajectPeriodeDatumTijdVan],"&lt;="&amp;($A638+5/24),tData[SEHTrajectPeriodeDatumTijdTotEnMet],"&gt;"&amp;($A638+5/24))</f>
        <v/>
      </c>
      <c r="J638" s="20">
        <f>COUNTIFS(tData[SEHTrajectPeriodeDatumTijdVan],"&lt;="&amp;($A638+6/24),tData[SEHTrajectPeriodeDatumTijdTotEnMet],"&gt;"&amp;($A638+6/24))</f>
        <v/>
      </c>
      <c r="K638" s="20">
        <f>COUNTIFS(tData[SEHTrajectPeriodeDatumTijdVan],"&lt;="&amp;($A638+7/24),tData[SEHTrajectPeriodeDatumTijdTotEnMet],"&gt;"&amp;($A638+7/24))</f>
        <v/>
      </c>
      <c r="L638" s="20">
        <f>COUNTIFS(tData[SEHTrajectPeriodeDatumTijdVan],"&lt;="&amp;($A638+8/24),tData[SEHTrajectPeriodeDatumTijdTotEnMet],"&gt;"&amp;($A638+8/24))</f>
        <v/>
      </c>
      <c r="M638" s="20">
        <f>COUNTIFS(tData[SEHTrajectPeriodeDatumTijdVan],"&lt;="&amp;($A638+9/24),tData[SEHTrajectPeriodeDatumTijdTotEnMet],"&gt;"&amp;($A638+9/24))</f>
        <v/>
      </c>
      <c r="N638" s="20">
        <f>COUNTIFS(tData[SEHTrajectPeriodeDatumTijdVan],"&lt;="&amp;($A638+10/24),tData[SEHTrajectPeriodeDatumTijdTotEnMet],"&gt;"&amp;($A638+10/24))</f>
        <v/>
      </c>
      <c r="O638" s="20">
        <f>COUNTIFS(tData[SEHTrajectPeriodeDatumTijdVan],"&lt;="&amp;($A638+11/24),tData[SEHTrajectPeriodeDatumTijdTotEnMet],"&gt;"&amp;($A638+11/24))</f>
        <v/>
      </c>
      <c r="P638" s="20">
        <f>COUNTIFS(tData[SEHTrajectPeriodeDatumTijdVan],"&lt;="&amp;($A638+12/24),tData[SEHTrajectPeriodeDatumTijdTotEnMet],"&gt;"&amp;($A638+12/24))</f>
        <v/>
      </c>
      <c r="Q638" s="20">
        <f>COUNTIFS(tData[SEHTrajectPeriodeDatumTijdVan],"&lt;="&amp;($A638+13/24),tData[SEHTrajectPeriodeDatumTijdTotEnMet],"&gt;"&amp;($A638+13/24))</f>
        <v/>
      </c>
      <c r="R638" s="20">
        <f>COUNTIFS(tData[SEHTrajectPeriodeDatumTijdVan],"&lt;="&amp;($A638+14/24),tData[SEHTrajectPeriodeDatumTijdTotEnMet],"&gt;"&amp;($A638+14/24))</f>
        <v/>
      </c>
      <c r="S638" s="20">
        <f>COUNTIFS(tData[SEHTrajectPeriodeDatumTijdVan],"&lt;="&amp;($A638+15/24),tData[SEHTrajectPeriodeDatumTijdTotEnMet],"&gt;"&amp;($A638+15/24))</f>
        <v/>
      </c>
      <c r="T638" s="20">
        <f>COUNTIFS(tData[SEHTrajectPeriodeDatumTijdVan],"&lt;="&amp;($A638+16/24),tData[SEHTrajectPeriodeDatumTijdTotEnMet],"&gt;"&amp;($A638+16/24))</f>
        <v/>
      </c>
      <c r="U638" s="20">
        <f>COUNTIFS(tData[SEHTrajectPeriodeDatumTijdVan],"&lt;="&amp;($A638+17/24),tData[SEHTrajectPeriodeDatumTijdTotEnMet],"&gt;"&amp;($A638+17/24))</f>
        <v/>
      </c>
      <c r="V638" s="20">
        <f>COUNTIFS(tData[SEHTrajectPeriodeDatumTijdVan],"&lt;="&amp;($A638+18/24),tData[SEHTrajectPeriodeDatumTijdTotEnMet],"&gt;"&amp;($A638+18/24))</f>
        <v/>
      </c>
      <c r="W638" s="20">
        <f>COUNTIFS(tData[SEHTrajectPeriodeDatumTijdVan],"&lt;="&amp;($A638+19/24),tData[SEHTrajectPeriodeDatumTijdTotEnMet],"&gt;"&amp;($A638+19/24))</f>
        <v/>
      </c>
      <c r="X638" s="20">
        <f>COUNTIFS(tData[SEHTrajectPeriodeDatumTijdVan],"&lt;="&amp;($A638+20/24),tData[SEHTrajectPeriodeDatumTijdTotEnMet],"&gt;"&amp;($A638+20/24))</f>
        <v/>
      </c>
      <c r="Y638" s="20">
        <f>COUNTIFS(tData[SEHTrajectPeriodeDatumTijdVan],"&lt;="&amp;($A638+21/24),tData[SEHTrajectPeriodeDatumTijdTotEnMet],"&gt;"&amp;($A638+21/24))</f>
        <v/>
      </c>
      <c r="Z638" s="20">
        <f>COUNTIFS(tData[SEHTrajectPeriodeDatumTijdVan],"&lt;="&amp;($A638+22/24),tData[SEHTrajectPeriodeDatumTijdTotEnMet],"&gt;"&amp;($A638+22/24))</f>
        <v/>
      </c>
      <c r="AA638" s="20">
        <f>COUNTIFS(tData[SEHTrajectPeriodeDatumTijdVan],"&lt;="&amp;($A638+23/24),tData[SEHTrajectPeriodeDatumTijdTotEnMet],"&gt;"&amp;($A638+23/24))</f>
        <v/>
      </c>
    </row>
    <row r="639">
      <c r="A639" s="19" t="n">
        <v>45927</v>
      </c>
      <c r="B639" s="15">
        <f>WEEKDAY($A639,2)</f>
        <v/>
      </c>
      <c r="C639" s="15">
        <f>IF(AND($A639&gt;=INT(Instellingen!$B$5),$A639&lt;=INT(Instellingen!$B$6)),1,0)</f>
        <v/>
      </c>
      <c r="D639" s="20">
        <f>COUNTIFS(tData[SEHTrajectPeriodeDatumTijdVan],"&lt;="&amp;($A639+0/24),tData[SEHTrajectPeriodeDatumTijdTotEnMet],"&gt;"&amp;($A639+0/24))</f>
        <v/>
      </c>
      <c r="E639" s="20">
        <f>COUNTIFS(tData[SEHTrajectPeriodeDatumTijdVan],"&lt;="&amp;($A639+1/24),tData[SEHTrajectPeriodeDatumTijdTotEnMet],"&gt;"&amp;($A639+1/24))</f>
        <v/>
      </c>
      <c r="F639" s="20">
        <f>COUNTIFS(tData[SEHTrajectPeriodeDatumTijdVan],"&lt;="&amp;($A639+2/24),tData[SEHTrajectPeriodeDatumTijdTotEnMet],"&gt;"&amp;($A639+2/24))</f>
        <v/>
      </c>
      <c r="G639" s="20">
        <f>COUNTIFS(tData[SEHTrajectPeriodeDatumTijdVan],"&lt;="&amp;($A639+3/24),tData[SEHTrajectPeriodeDatumTijdTotEnMet],"&gt;"&amp;($A639+3/24))</f>
        <v/>
      </c>
      <c r="H639" s="20">
        <f>COUNTIFS(tData[SEHTrajectPeriodeDatumTijdVan],"&lt;="&amp;($A639+4/24),tData[SEHTrajectPeriodeDatumTijdTotEnMet],"&gt;"&amp;($A639+4/24))</f>
        <v/>
      </c>
      <c r="I639" s="20">
        <f>COUNTIFS(tData[SEHTrajectPeriodeDatumTijdVan],"&lt;="&amp;($A639+5/24),tData[SEHTrajectPeriodeDatumTijdTotEnMet],"&gt;"&amp;($A639+5/24))</f>
        <v/>
      </c>
      <c r="J639" s="20">
        <f>COUNTIFS(tData[SEHTrajectPeriodeDatumTijdVan],"&lt;="&amp;($A639+6/24),tData[SEHTrajectPeriodeDatumTijdTotEnMet],"&gt;"&amp;($A639+6/24))</f>
        <v/>
      </c>
      <c r="K639" s="20">
        <f>COUNTIFS(tData[SEHTrajectPeriodeDatumTijdVan],"&lt;="&amp;($A639+7/24),tData[SEHTrajectPeriodeDatumTijdTotEnMet],"&gt;"&amp;($A639+7/24))</f>
        <v/>
      </c>
      <c r="L639" s="20">
        <f>COUNTIFS(tData[SEHTrajectPeriodeDatumTijdVan],"&lt;="&amp;($A639+8/24),tData[SEHTrajectPeriodeDatumTijdTotEnMet],"&gt;"&amp;($A639+8/24))</f>
        <v/>
      </c>
      <c r="M639" s="20">
        <f>COUNTIFS(tData[SEHTrajectPeriodeDatumTijdVan],"&lt;="&amp;($A639+9/24),tData[SEHTrajectPeriodeDatumTijdTotEnMet],"&gt;"&amp;($A639+9/24))</f>
        <v/>
      </c>
      <c r="N639" s="20">
        <f>COUNTIFS(tData[SEHTrajectPeriodeDatumTijdVan],"&lt;="&amp;($A639+10/24),tData[SEHTrajectPeriodeDatumTijdTotEnMet],"&gt;"&amp;($A639+10/24))</f>
        <v/>
      </c>
      <c r="O639" s="20">
        <f>COUNTIFS(tData[SEHTrajectPeriodeDatumTijdVan],"&lt;="&amp;($A639+11/24),tData[SEHTrajectPeriodeDatumTijdTotEnMet],"&gt;"&amp;($A639+11/24))</f>
        <v/>
      </c>
      <c r="P639" s="20">
        <f>COUNTIFS(tData[SEHTrajectPeriodeDatumTijdVan],"&lt;="&amp;($A639+12/24),tData[SEHTrajectPeriodeDatumTijdTotEnMet],"&gt;"&amp;($A639+12/24))</f>
        <v/>
      </c>
      <c r="Q639" s="20">
        <f>COUNTIFS(tData[SEHTrajectPeriodeDatumTijdVan],"&lt;="&amp;($A639+13/24),tData[SEHTrajectPeriodeDatumTijdTotEnMet],"&gt;"&amp;($A639+13/24))</f>
        <v/>
      </c>
      <c r="R639" s="20">
        <f>COUNTIFS(tData[SEHTrajectPeriodeDatumTijdVan],"&lt;="&amp;($A639+14/24),tData[SEHTrajectPeriodeDatumTijdTotEnMet],"&gt;"&amp;($A639+14/24))</f>
        <v/>
      </c>
      <c r="S639" s="20">
        <f>COUNTIFS(tData[SEHTrajectPeriodeDatumTijdVan],"&lt;="&amp;($A639+15/24),tData[SEHTrajectPeriodeDatumTijdTotEnMet],"&gt;"&amp;($A639+15/24))</f>
        <v/>
      </c>
      <c r="T639" s="20">
        <f>COUNTIFS(tData[SEHTrajectPeriodeDatumTijdVan],"&lt;="&amp;($A639+16/24),tData[SEHTrajectPeriodeDatumTijdTotEnMet],"&gt;"&amp;($A639+16/24))</f>
        <v/>
      </c>
      <c r="U639" s="20">
        <f>COUNTIFS(tData[SEHTrajectPeriodeDatumTijdVan],"&lt;="&amp;($A639+17/24),tData[SEHTrajectPeriodeDatumTijdTotEnMet],"&gt;"&amp;($A639+17/24))</f>
        <v/>
      </c>
      <c r="V639" s="20">
        <f>COUNTIFS(tData[SEHTrajectPeriodeDatumTijdVan],"&lt;="&amp;($A639+18/24),tData[SEHTrajectPeriodeDatumTijdTotEnMet],"&gt;"&amp;($A639+18/24))</f>
        <v/>
      </c>
      <c r="W639" s="20">
        <f>COUNTIFS(tData[SEHTrajectPeriodeDatumTijdVan],"&lt;="&amp;($A639+19/24),tData[SEHTrajectPeriodeDatumTijdTotEnMet],"&gt;"&amp;($A639+19/24))</f>
        <v/>
      </c>
      <c r="X639" s="20">
        <f>COUNTIFS(tData[SEHTrajectPeriodeDatumTijdVan],"&lt;="&amp;($A639+20/24),tData[SEHTrajectPeriodeDatumTijdTotEnMet],"&gt;"&amp;($A639+20/24))</f>
        <v/>
      </c>
      <c r="Y639" s="20">
        <f>COUNTIFS(tData[SEHTrajectPeriodeDatumTijdVan],"&lt;="&amp;($A639+21/24),tData[SEHTrajectPeriodeDatumTijdTotEnMet],"&gt;"&amp;($A639+21/24))</f>
        <v/>
      </c>
      <c r="Z639" s="20">
        <f>COUNTIFS(tData[SEHTrajectPeriodeDatumTijdVan],"&lt;="&amp;($A639+22/24),tData[SEHTrajectPeriodeDatumTijdTotEnMet],"&gt;"&amp;($A639+22/24))</f>
        <v/>
      </c>
      <c r="AA639" s="20">
        <f>COUNTIFS(tData[SEHTrajectPeriodeDatumTijdVan],"&lt;="&amp;($A639+23/24),tData[SEHTrajectPeriodeDatumTijdTotEnMet],"&gt;"&amp;($A639+23/24))</f>
        <v/>
      </c>
    </row>
    <row r="640">
      <c r="A640" s="19" t="n">
        <v>45928</v>
      </c>
      <c r="B640" s="15">
        <f>WEEKDAY($A640,2)</f>
        <v/>
      </c>
      <c r="C640" s="15">
        <f>IF(AND($A640&gt;=INT(Instellingen!$B$5),$A640&lt;=INT(Instellingen!$B$6)),1,0)</f>
        <v/>
      </c>
      <c r="D640" s="20">
        <f>COUNTIFS(tData[SEHTrajectPeriodeDatumTijdVan],"&lt;="&amp;($A640+0/24),tData[SEHTrajectPeriodeDatumTijdTotEnMet],"&gt;"&amp;($A640+0/24))</f>
        <v/>
      </c>
      <c r="E640" s="20">
        <f>COUNTIFS(tData[SEHTrajectPeriodeDatumTijdVan],"&lt;="&amp;($A640+1/24),tData[SEHTrajectPeriodeDatumTijdTotEnMet],"&gt;"&amp;($A640+1/24))</f>
        <v/>
      </c>
      <c r="F640" s="20">
        <f>COUNTIFS(tData[SEHTrajectPeriodeDatumTijdVan],"&lt;="&amp;($A640+2/24),tData[SEHTrajectPeriodeDatumTijdTotEnMet],"&gt;"&amp;($A640+2/24))</f>
        <v/>
      </c>
      <c r="G640" s="20">
        <f>COUNTIFS(tData[SEHTrajectPeriodeDatumTijdVan],"&lt;="&amp;($A640+3/24),tData[SEHTrajectPeriodeDatumTijdTotEnMet],"&gt;"&amp;($A640+3/24))</f>
        <v/>
      </c>
      <c r="H640" s="20">
        <f>COUNTIFS(tData[SEHTrajectPeriodeDatumTijdVan],"&lt;="&amp;($A640+4/24),tData[SEHTrajectPeriodeDatumTijdTotEnMet],"&gt;"&amp;($A640+4/24))</f>
        <v/>
      </c>
      <c r="I640" s="20">
        <f>COUNTIFS(tData[SEHTrajectPeriodeDatumTijdVan],"&lt;="&amp;($A640+5/24),tData[SEHTrajectPeriodeDatumTijdTotEnMet],"&gt;"&amp;($A640+5/24))</f>
        <v/>
      </c>
      <c r="J640" s="20">
        <f>COUNTIFS(tData[SEHTrajectPeriodeDatumTijdVan],"&lt;="&amp;($A640+6/24),tData[SEHTrajectPeriodeDatumTijdTotEnMet],"&gt;"&amp;($A640+6/24))</f>
        <v/>
      </c>
      <c r="K640" s="20">
        <f>COUNTIFS(tData[SEHTrajectPeriodeDatumTijdVan],"&lt;="&amp;($A640+7/24),tData[SEHTrajectPeriodeDatumTijdTotEnMet],"&gt;"&amp;($A640+7/24))</f>
        <v/>
      </c>
      <c r="L640" s="20">
        <f>COUNTIFS(tData[SEHTrajectPeriodeDatumTijdVan],"&lt;="&amp;($A640+8/24),tData[SEHTrajectPeriodeDatumTijdTotEnMet],"&gt;"&amp;($A640+8/24))</f>
        <v/>
      </c>
      <c r="M640" s="20">
        <f>COUNTIFS(tData[SEHTrajectPeriodeDatumTijdVan],"&lt;="&amp;($A640+9/24),tData[SEHTrajectPeriodeDatumTijdTotEnMet],"&gt;"&amp;($A640+9/24))</f>
        <v/>
      </c>
      <c r="N640" s="20">
        <f>COUNTIFS(tData[SEHTrajectPeriodeDatumTijdVan],"&lt;="&amp;($A640+10/24),tData[SEHTrajectPeriodeDatumTijdTotEnMet],"&gt;"&amp;($A640+10/24))</f>
        <v/>
      </c>
      <c r="O640" s="20">
        <f>COUNTIFS(tData[SEHTrajectPeriodeDatumTijdVan],"&lt;="&amp;($A640+11/24),tData[SEHTrajectPeriodeDatumTijdTotEnMet],"&gt;"&amp;($A640+11/24))</f>
        <v/>
      </c>
      <c r="P640" s="20">
        <f>COUNTIFS(tData[SEHTrajectPeriodeDatumTijdVan],"&lt;="&amp;($A640+12/24),tData[SEHTrajectPeriodeDatumTijdTotEnMet],"&gt;"&amp;($A640+12/24))</f>
        <v/>
      </c>
      <c r="Q640" s="20">
        <f>COUNTIFS(tData[SEHTrajectPeriodeDatumTijdVan],"&lt;="&amp;($A640+13/24),tData[SEHTrajectPeriodeDatumTijdTotEnMet],"&gt;"&amp;($A640+13/24))</f>
        <v/>
      </c>
      <c r="R640" s="20">
        <f>COUNTIFS(tData[SEHTrajectPeriodeDatumTijdVan],"&lt;="&amp;($A640+14/24),tData[SEHTrajectPeriodeDatumTijdTotEnMet],"&gt;"&amp;($A640+14/24))</f>
        <v/>
      </c>
      <c r="S640" s="20">
        <f>COUNTIFS(tData[SEHTrajectPeriodeDatumTijdVan],"&lt;="&amp;($A640+15/24),tData[SEHTrajectPeriodeDatumTijdTotEnMet],"&gt;"&amp;($A640+15/24))</f>
        <v/>
      </c>
      <c r="T640" s="20">
        <f>COUNTIFS(tData[SEHTrajectPeriodeDatumTijdVan],"&lt;="&amp;($A640+16/24),tData[SEHTrajectPeriodeDatumTijdTotEnMet],"&gt;"&amp;($A640+16/24))</f>
        <v/>
      </c>
      <c r="U640" s="20">
        <f>COUNTIFS(tData[SEHTrajectPeriodeDatumTijdVan],"&lt;="&amp;($A640+17/24),tData[SEHTrajectPeriodeDatumTijdTotEnMet],"&gt;"&amp;($A640+17/24))</f>
        <v/>
      </c>
      <c r="V640" s="20">
        <f>COUNTIFS(tData[SEHTrajectPeriodeDatumTijdVan],"&lt;="&amp;($A640+18/24),tData[SEHTrajectPeriodeDatumTijdTotEnMet],"&gt;"&amp;($A640+18/24))</f>
        <v/>
      </c>
      <c r="W640" s="20">
        <f>COUNTIFS(tData[SEHTrajectPeriodeDatumTijdVan],"&lt;="&amp;($A640+19/24),tData[SEHTrajectPeriodeDatumTijdTotEnMet],"&gt;"&amp;($A640+19/24))</f>
        <v/>
      </c>
      <c r="X640" s="20">
        <f>COUNTIFS(tData[SEHTrajectPeriodeDatumTijdVan],"&lt;="&amp;($A640+20/24),tData[SEHTrajectPeriodeDatumTijdTotEnMet],"&gt;"&amp;($A640+20/24))</f>
        <v/>
      </c>
      <c r="Y640" s="20">
        <f>COUNTIFS(tData[SEHTrajectPeriodeDatumTijdVan],"&lt;="&amp;($A640+21/24),tData[SEHTrajectPeriodeDatumTijdTotEnMet],"&gt;"&amp;($A640+21/24))</f>
        <v/>
      </c>
      <c r="Z640" s="20">
        <f>COUNTIFS(tData[SEHTrajectPeriodeDatumTijdVan],"&lt;="&amp;($A640+22/24),tData[SEHTrajectPeriodeDatumTijdTotEnMet],"&gt;"&amp;($A640+22/24))</f>
        <v/>
      </c>
      <c r="AA640" s="20">
        <f>COUNTIFS(tData[SEHTrajectPeriodeDatumTijdVan],"&lt;="&amp;($A640+23/24),tData[SEHTrajectPeriodeDatumTijdTotEnMet],"&gt;"&amp;($A640+23/24))</f>
        <v/>
      </c>
    </row>
    <row r="641">
      <c r="A641" s="19" t="n">
        <v>45929</v>
      </c>
      <c r="B641" s="15">
        <f>WEEKDAY($A641,2)</f>
        <v/>
      </c>
      <c r="C641" s="15">
        <f>IF(AND($A641&gt;=INT(Instellingen!$B$5),$A641&lt;=INT(Instellingen!$B$6)),1,0)</f>
        <v/>
      </c>
      <c r="D641" s="20">
        <f>COUNTIFS(tData[SEHTrajectPeriodeDatumTijdVan],"&lt;="&amp;($A641+0/24),tData[SEHTrajectPeriodeDatumTijdTotEnMet],"&gt;"&amp;($A641+0/24))</f>
        <v/>
      </c>
      <c r="E641" s="20">
        <f>COUNTIFS(tData[SEHTrajectPeriodeDatumTijdVan],"&lt;="&amp;($A641+1/24),tData[SEHTrajectPeriodeDatumTijdTotEnMet],"&gt;"&amp;($A641+1/24))</f>
        <v/>
      </c>
      <c r="F641" s="20">
        <f>COUNTIFS(tData[SEHTrajectPeriodeDatumTijdVan],"&lt;="&amp;($A641+2/24),tData[SEHTrajectPeriodeDatumTijdTotEnMet],"&gt;"&amp;($A641+2/24))</f>
        <v/>
      </c>
      <c r="G641" s="20">
        <f>COUNTIFS(tData[SEHTrajectPeriodeDatumTijdVan],"&lt;="&amp;($A641+3/24),tData[SEHTrajectPeriodeDatumTijdTotEnMet],"&gt;"&amp;($A641+3/24))</f>
        <v/>
      </c>
      <c r="H641" s="20">
        <f>COUNTIFS(tData[SEHTrajectPeriodeDatumTijdVan],"&lt;="&amp;($A641+4/24),tData[SEHTrajectPeriodeDatumTijdTotEnMet],"&gt;"&amp;($A641+4/24))</f>
        <v/>
      </c>
      <c r="I641" s="20">
        <f>COUNTIFS(tData[SEHTrajectPeriodeDatumTijdVan],"&lt;="&amp;($A641+5/24),tData[SEHTrajectPeriodeDatumTijdTotEnMet],"&gt;"&amp;($A641+5/24))</f>
        <v/>
      </c>
      <c r="J641" s="20">
        <f>COUNTIFS(tData[SEHTrajectPeriodeDatumTijdVan],"&lt;="&amp;($A641+6/24),tData[SEHTrajectPeriodeDatumTijdTotEnMet],"&gt;"&amp;($A641+6/24))</f>
        <v/>
      </c>
      <c r="K641" s="20">
        <f>COUNTIFS(tData[SEHTrajectPeriodeDatumTijdVan],"&lt;="&amp;($A641+7/24),tData[SEHTrajectPeriodeDatumTijdTotEnMet],"&gt;"&amp;($A641+7/24))</f>
        <v/>
      </c>
      <c r="L641" s="20">
        <f>COUNTIFS(tData[SEHTrajectPeriodeDatumTijdVan],"&lt;="&amp;($A641+8/24),tData[SEHTrajectPeriodeDatumTijdTotEnMet],"&gt;"&amp;($A641+8/24))</f>
        <v/>
      </c>
      <c r="M641" s="20">
        <f>COUNTIFS(tData[SEHTrajectPeriodeDatumTijdVan],"&lt;="&amp;($A641+9/24),tData[SEHTrajectPeriodeDatumTijdTotEnMet],"&gt;"&amp;($A641+9/24))</f>
        <v/>
      </c>
      <c r="N641" s="20">
        <f>COUNTIFS(tData[SEHTrajectPeriodeDatumTijdVan],"&lt;="&amp;($A641+10/24),tData[SEHTrajectPeriodeDatumTijdTotEnMet],"&gt;"&amp;($A641+10/24))</f>
        <v/>
      </c>
      <c r="O641" s="20">
        <f>COUNTIFS(tData[SEHTrajectPeriodeDatumTijdVan],"&lt;="&amp;($A641+11/24),tData[SEHTrajectPeriodeDatumTijdTotEnMet],"&gt;"&amp;($A641+11/24))</f>
        <v/>
      </c>
      <c r="P641" s="20">
        <f>COUNTIFS(tData[SEHTrajectPeriodeDatumTijdVan],"&lt;="&amp;($A641+12/24),tData[SEHTrajectPeriodeDatumTijdTotEnMet],"&gt;"&amp;($A641+12/24))</f>
        <v/>
      </c>
      <c r="Q641" s="20">
        <f>COUNTIFS(tData[SEHTrajectPeriodeDatumTijdVan],"&lt;="&amp;($A641+13/24),tData[SEHTrajectPeriodeDatumTijdTotEnMet],"&gt;"&amp;($A641+13/24))</f>
        <v/>
      </c>
      <c r="R641" s="20">
        <f>COUNTIFS(tData[SEHTrajectPeriodeDatumTijdVan],"&lt;="&amp;($A641+14/24),tData[SEHTrajectPeriodeDatumTijdTotEnMet],"&gt;"&amp;($A641+14/24))</f>
        <v/>
      </c>
      <c r="S641" s="20">
        <f>COUNTIFS(tData[SEHTrajectPeriodeDatumTijdVan],"&lt;="&amp;($A641+15/24),tData[SEHTrajectPeriodeDatumTijdTotEnMet],"&gt;"&amp;($A641+15/24))</f>
        <v/>
      </c>
      <c r="T641" s="20">
        <f>COUNTIFS(tData[SEHTrajectPeriodeDatumTijdVan],"&lt;="&amp;($A641+16/24),tData[SEHTrajectPeriodeDatumTijdTotEnMet],"&gt;"&amp;($A641+16/24))</f>
        <v/>
      </c>
      <c r="U641" s="20">
        <f>COUNTIFS(tData[SEHTrajectPeriodeDatumTijdVan],"&lt;="&amp;($A641+17/24),tData[SEHTrajectPeriodeDatumTijdTotEnMet],"&gt;"&amp;($A641+17/24))</f>
        <v/>
      </c>
      <c r="V641" s="20">
        <f>COUNTIFS(tData[SEHTrajectPeriodeDatumTijdVan],"&lt;="&amp;($A641+18/24),tData[SEHTrajectPeriodeDatumTijdTotEnMet],"&gt;"&amp;($A641+18/24))</f>
        <v/>
      </c>
      <c r="W641" s="20">
        <f>COUNTIFS(tData[SEHTrajectPeriodeDatumTijdVan],"&lt;="&amp;($A641+19/24),tData[SEHTrajectPeriodeDatumTijdTotEnMet],"&gt;"&amp;($A641+19/24))</f>
        <v/>
      </c>
      <c r="X641" s="20">
        <f>COUNTIFS(tData[SEHTrajectPeriodeDatumTijdVan],"&lt;="&amp;($A641+20/24),tData[SEHTrajectPeriodeDatumTijdTotEnMet],"&gt;"&amp;($A641+20/24))</f>
        <v/>
      </c>
      <c r="Y641" s="20">
        <f>COUNTIFS(tData[SEHTrajectPeriodeDatumTijdVan],"&lt;="&amp;($A641+21/24),tData[SEHTrajectPeriodeDatumTijdTotEnMet],"&gt;"&amp;($A641+21/24))</f>
        <v/>
      </c>
      <c r="Z641" s="20">
        <f>COUNTIFS(tData[SEHTrajectPeriodeDatumTijdVan],"&lt;="&amp;($A641+22/24),tData[SEHTrajectPeriodeDatumTijdTotEnMet],"&gt;"&amp;($A641+22/24))</f>
        <v/>
      </c>
      <c r="AA641" s="20">
        <f>COUNTIFS(tData[SEHTrajectPeriodeDatumTijdVan],"&lt;="&amp;($A641+23/24),tData[SEHTrajectPeriodeDatumTijdTotEnMet],"&gt;"&amp;($A641+23/24))</f>
        <v/>
      </c>
    </row>
    <row r="642">
      <c r="A642" s="19" t="n">
        <v>45930</v>
      </c>
      <c r="B642" s="15">
        <f>WEEKDAY($A642,2)</f>
        <v/>
      </c>
      <c r="C642" s="15">
        <f>IF(AND($A642&gt;=INT(Instellingen!$B$5),$A642&lt;=INT(Instellingen!$B$6)),1,0)</f>
        <v/>
      </c>
      <c r="D642" s="20">
        <f>COUNTIFS(tData[SEHTrajectPeriodeDatumTijdVan],"&lt;="&amp;($A642+0/24),tData[SEHTrajectPeriodeDatumTijdTotEnMet],"&gt;"&amp;($A642+0/24))</f>
        <v/>
      </c>
      <c r="E642" s="20">
        <f>COUNTIFS(tData[SEHTrajectPeriodeDatumTijdVan],"&lt;="&amp;($A642+1/24),tData[SEHTrajectPeriodeDatumTijdTotEnMet],"&gt;"&amp;($A642+1/24))</f>
        <v/>
      </c>
      <c r="F642" s="20">
        <f>COUNTIFS(tData[SEHTrajectPeriodeDatumTijdVan],"&lt;="&amp;($A642+2/24),tData[SEHTrajectPeriodeDatumTijdTotEnMet],"&gt;"&amp;($A642+2/24))</f>
        <v/>
      </c>
      <c r="G642" s="20">
        <f>COUNTIFS(tData[SEHTrajectPeriodeDatumTijdVan],"&lt;="&amp;($A642+3/24),tData[SEHTrajectPeriodeDatumTijdTotEnMet],"&gt;"&amp;($A642+3/24))</f>
        <v/>
      </c>
      <c r="H642" s="20">
        <f>COUNTIFS(tData[SEHTrajectPeriodeDatumTijdVan],"&lt;="&amp;($A642+4/24),tData[SEHTrajectPeriodeDatumTijdTotEnMet],"&gt;"&amp;($A642+4/24))</f>
        <v/>
      </c>
      <c r="I642" s="20">
        <f>COUNTIFS(tData[SEHTrajectPeriodeDatumTijdVan],"&lt;="&amp;($A642+5/24),tData[SEHTrajectPeriodeDatumTijdTotEnMet],"&gt;"&amp;($A642+5/24))</f>
        <v/>
      </c>
      <c r="J642" s="20">
        <f>COUNTIFS(tData[SEHTrajectPeriodeDatumTijdVan],"&lt;="&amp;($A642+6/24),tData[SEHTrajectPeriodeDatumTijdTotEnMet],"&gt;"&amp;($A642+6/24))</f>
        <v/>
      </c>
      <c r="K642" s="20">
        <f>COUNTIFS(tData[SEHTrajectPeriodeDatumTijdVan],"&lt;="&amp;($A642+7/24),tData[SEHTrajectPeriodeDatumTijdTotEnMet],"&gt;"&amp;($A642+7/24))</f>
        <v/>
      </c>
      <c r="L642" s="20">
        <f>COUNTIFS(tData[SEHTrajectPeriodeDatumTijdVan],"&lt;="&amp;($A642+8/24),tData[SEHTrajectPeriodeDatumTijdTotEnMet],"&gt;"&amp;($A642+8/24))</f>
        <v/>
      </c>
      <c r="M642" s="20">
        <f>COUNTIFS(tData[SEHTrajectPeriodeDatumTijdVan],"&lt;="&amp;($A642+9/24),tData[SEHTrajectPeriodeDatumTijdTotEnMet],"&gt;"&amp;($A642+9/24))</f>
        <v/>
      </c>
      <c r="N642" s="20">
        <f>COUNTIFS(tData[SEHTrajectPeriodeDatumTijdVan],"&lt;="&amp;($A642+10/24),tData[SEHTrajectPeriodeDatumTijdTotEnMet],"&gt;"&amp;($A642+10/24))</f>
        <v/>
      </c>
      <c r="O642" s="20">
        <f>COUNTIFS(tData[SEHTrajectPeriodeDatumTijdVan],"&lt;="&amp;($A642+11/24),tData[SEHTrajectPeriodeDatumTijdTotEnMet],"&gt;"&amp;($A642+11/24))</f>
        <v/>
      </c>
      <c r="P642" s="20">
        <f>COUNTIFS(tData[SEHTrajectPeriodeDatumTijdVan],"&lt;="&amp;($A642+12/24),tData[SEHTrajectPeriodeDatumTijdTotEnMet],"&gt;"&amp;($A642+12/24))</f>
        <v/>
      </c>
      <c r="Q642" s="20">
        <f>COUNTIFS(tData[SEHTrajectPeriodeDatumTijdVan],"&lt;="&amp;($A642+13/24),tData[SEHTrajectPeriodeDatumTijdTotEnMet],"&gt;"&amp;($A642+13/24))</f>
        <v/>
      </c>
      <c r="R642" s="20">
        <f>COUNTIFS(tData[SEHTrajectPeriodeDatumTijdVan],"&lt;="&amp;($A642+14/24),tData[SEHTrajectPeriodeDatumTijdTotEnMet],"&gt;"&amp;($A642+14/24))</f>
        <v/>
      </c>
      <c r="S642" s="20">
        <f>COUNTIFS(tData[SEHTrajectPeriodeDatumTijdVan],"&lt;="&amp;($A642+15/24),tData[SEHTrajectPeriodeDatumTijdTotEnMet],"&gt;"&amp;($A642+15/24))</f>
        <v/>
      </c>
      <c r="T642" s="20">
        <f>COUNTIFS(tData[SEHTrajectPeriodeDatumTijdVan],"&lt;="&amp;($A642+16/24),tData[SEHTrajectPeriodeDatumTijdTotEnMet],"&gt;"&amp;($A642+16/24))</f>
        <v/>
      </c>
      <c r="U642" s="20">
        <f>COUNTIFS(tData[SEHTrajectPeriodeDatumTijdVan],"&lt;="&amp;($A642+17/24),tData[SEHTrajectPeriodeDatumTijdTotEnMet],"&gt;"&amp;($A642+17/24))</f>
        <v/>
      </c>
      <c r="V642" s="20">
        <f>COUNTIFS(tData[SEHTrajectPeriodeDatumTijdVan],"&lt;="&amp;($A642+18/24),tData[SEHTrajectPeriodeDatumTijdTotEnMet],"&gt;"&amp;($A642+18/24))</f>
        <v/>
      </c>
      <c r="W642" s="20">
        <f>COUNTIFS(tData[SEHTrajectPeriodeDatumTijdVan],"&lt;="&amp;($A642+19/24),tData[SEHTrajectPeriodeDatumTijdTotEnMet],"&gt;"&amp;($A642+19/24))</f>
        <v/>
      </c>
      <c r="X642" s="20">
        <f>COUNTIFS(tData[SEHTrajectPeriodeDatumTijdVan],"&lt;="&amp;($A642+20/24),tData[SEHTrajectPeriodeDatumTijdTotEnMet],"&gt;"&amp;($A642+20/24))</f>
        <v/>
      </c>
      <c r="Y642" s="20">
        <f>COUNTIFS(tData[SEHTrajectPeriodeDatumTijdVan],"&lt;="&amp;($A642+21/24),tData[SEHTrajectPeriodeDatumTijdTotEnMet],"&gt;"&amp;($A642+21/24))</f>
        <v/>
      </c>
      <c r="Z642" s="20">
        <f>COUNTIFS(tData[SEHTrajectPeriodeDatumTijdVan],"&lt;="&amp;($A642+22/24),tData[SEHTrajectPeriodeDatumTijdTotEnMet],"&gt;"&amp;($A642+22/24))</f>
        <v/>
      </c>
      <c r="AA642" s="20">
        <f>COUNTIFS(tData[SEHTrajectPeriodeDatumTijdVan],"&lt;="&amp;($A642+23/24),tData[SEHTrajectPeriodeDatumTijdTotEnMet],"&gt;"&amp;($A642+23/24))</f>
        <v/>
      </c>
    </row>
    <row r="643">
      <c r="A643" s="19" t="n">
        <v>45931</v>
      </c>
      <c r="B643" s="15">
        <f>WEEKDAY($A643,2)</f>
        <v/>
      </c>
      <c r="C643" s="15">
        <f>IF(AND($A643&gt;=INT(Instellingen!$B$5),$A643&lt;=INT(Instellingen!$B$6)),1,0)</f>
        <v/>
      </c>
      <c r="D643" s="20">
        <f>COUNTIFS(tData[SEHTrajectPeriodeDatumTijdVan],"&lt;="&amp;($A643+0/24),tData[SEHTrajectPeriodeDatumTijdTotEnMet],"&gt;"&amp;($A643+0/24))</f>
        <v/>
      </c>
      <c r="E643" s="20">
        <f>COUNTIFS(tData[SEHTrajectPeriodeDatumTijdVan],"&lt;="&amp;($A643+1/24),tData[SEHTrajectPeriodeDatumTijdTotEnMet],"&gt;"&amp;($A643+1/24))</f>
        <v/>
      </c>
      <c r="F643" s="20">
        <f>COUNTIFS(tData[SEHTrajectPeriodeDatumTijdVan],"&lt;="&amp;($A643+2/24),tData[SEHTrajectPeriodeDatumTijdTotEnMet],"&gt;"&amp;($A643+2/24))</f>
        <v/>
      </c>
      <c r="G643" s="20">
        <f>COUNTIFS(tData[SEHTrajectPeriodeDatumTijdVan],"&lt;="&amp;($A643+3/24),tData[SEHTrajectPeriodeDatumTijdTotEnMet],"&gt;"&amp;($A643+3/24))</f>
        <v/>
      </c>
      <c r="H643" s="20">
        <f>COUNTIFS(tData[SEHTrajectPeriodeDatumTijdVan],"&lt;="&amp;($A643+4/24),tData[SEHTrajectPeriodeDatumTijdTotEnMet],"&gt;"&amp;($A643+4/24))</f>
        <v/>
      </c>
      <c r="I643" s="20">
        <f>COUNTIFS(tData[SEHTrajectPeriodeDatumTijdVan],"&lt;="&amp;($A643+5/24),tData[SEHTrajectPeriodeDatumTijdTotEnMet],"&gt;"&amp;($A643+5/24))</f>
        <v/>
      </c>
      <c r="J643" s="20">
        <f>COUNTIFS(tData[SEHTrajectPeriodeDatumTijdVan],"&lt;="&amp;($A643+6/24),tData[SEHTrajectPeriodeDatumTijdTotEnMet],"&gt;"&amp;($A643+6/24))</f>
        <v/>
      </c>
      <c r="K643" s="20">
        <f>COUNTIFS(tData[SEHTrajectPeriodeDatumTijdVan],"&lt;="&amp;($A643+7/24),tData[SEHTrajectPeriodeDatumTijdTotEnMet],"&gt;"&amp;($A643+7/24))</f>
        <v/>
      </c>
      <c r="L643" s="20">
        <f>COUNTIFS(tData[SEHTrajectPeriodeDatumTijdVan],"&lt;="&amp;($A643+8/24),tData[SEHTrajectPeriodeDatumTijdTotEnMet],"&gt;"&amp;($A643+8/24))</f>
        <v/>
      </c>
      <c r="M643" s="20">
        <f>COUNTIFS(tData[SEHTrajectPeriodeDatumTijdVan],"&lt;="&amp;($A643+9/24),tData[SEHTrajectPeriodeDatumTijdTotEnMet],"&gt;"&amp;($A643+9/24))</f>
        <v/>
      </c>
      <c r="N643" s="20">
        <f>COUNTIFS(tData[SEHTrajectPeriodeDatumTijdVan],"&lt;="&amp;($A643+10/24),tData[SEHTrajectPeriodeDatumTijdTotEnMet],"&gt;"&amp;($A643+10/24))</f>
        <v/>
      </c>
      <c r="O643" s="20">
        <f>COUNTIFS(tData[SEHTrajectPeriodeDatumTijdVan],"&lt;="&amp;($A643+11/24),tData[SEHTrajectPeriodeDatumTijdTotEnMet],"&gt;"&amp;($A643+11/24))</f>
        <v/>
      </c>
      <c r="P643" s="20">
        <f>COUNTIFS(tData[SEHTrajectPeriodeDatumTijdVan],"&lt;="&amp;($A643+12/24),tData[SEHTrajectPeriodeDatumTijdTotEnMet],"&gt;"&amp;($A643+12/24))</f>
        <v/>
      </c>
      <c r="Q643" s="20">
        <f>COUNTIFS(tData[SEHTrajectPeriodeDatumTijdVan],"&lt;="&amp;($A643+13/24),tData[SEHTrajectPeriodeDatumTijdTotEnMet],"&gt;"&amp;($A643+13/24))</f>
        <v/>
      </c>
      <c r="R643" s="20">
        <f>COUNTIFS(tData[SEHTrajectPeriodeDatumTijdVan],"&lt;="&amp;($A643+14/24),tData[SEHTrajectPeriodeDatumTijdTotEnMet],"&gt;"&amp;($A643+14/24))</f>
        <v/>
      </c>
      <c r="S643" s="20">
        <f>COUNTIFS(tData[SEHTrajectPeriodeDatumTijdVan],"&lt;="&amp;($A643+15/24),tData[SEHTrajectPeriodeDatumTijdTotEnMet],"&gt;"&amp;($A643+15/24))</f>
        <v/>
      </c>
      <c r="T643" s="20">
        <f>COUNTIFS(tData[SEHTrajectPeriodeDatumTijdVan],"&lt;="&amp;($A643+16/24),tData[SEHTrajectPeriodeDatumTijdTotEnMet],"&gt;"&amp;($A643+16/24))</f>
        <v/>
      </c>
      <c r="U643" s="20">
        <f>COUNTIFS(tData[SEHTrajectPeriodeDatumTijdVan],"&lt;="&amp;($A643+17/24),tData[SEHTrajectPeriodeDatumTijdTotEnMet],"&gt;"&amp;($A643+17/24))</f>
        <v/>
      </c>
      <c r="V643" s="20">
        <f>COUNTIFS(tData[SEHTrajectPeriodeDatumTijdVan],"&lt;="&amp;($A643+18/24),tData[SEHTrajectPeriodeDatumTijdTotEnMet],"&gt;"&amp;($A643+18/24))</f>
        <v/>
      </c>
      <c r="W643" s="20">
        <f>COUNTIFS(tData[SEHTrajectPeriodeDatumTijdVan],"&lt;="&amp;($A643+19/24),tData[SEHTrajectPeriodeDatumTijdTotEnMet],"&gt;"&amp;($A643+19/24))</f>
        <v/>
      </c>
      <c r="X643" s="20">
        <f>COUNTIFS(tData[SEHTrajectPeriodeDatumTijdVan],"&lt;="&amp;($A643+20/24),tData[SEHTrajectPeriodeDatumTijdTotEnMet],"&gt;"&amp;($A643+20/24))</f>
        <v/>
      </c>
      <c r="Y643" s="20">
        <f>COUNTIFS(tData[SEHTrajectPeriodeDatumTijdVan],"&lt;="&amp;($A643+21/24),tData[SEHTrajectPeriodeDatumTijdTotEnMet],"&gt;"&amp;($A643+21/24))</f>
        <v/>
      </c>
      <c r="Z643" s="20">
        <f>COUNTIFS(tData[SEHTrajectPeriodeDatumTijdVan],"&lt;="&amp;($A643+22/24),tData[SEHTrajectPeriodeDatumTijdTotEnMet],"&gt;"&amp;($A643+22/24))</f>
        <v/>
      </c>
      <c r="AA643" s="20">
        <f>COUNTIFS(tData[SEHTrajectPeriodeDatumTijdVan],"&lt;="&amp;($A643+23/24),tData[SEHTrajectPeriodeDatumTijdTotEnMet],"&gt;"&amp;($A643+23/24))</f>
        <v/>
      </c>
    </row>
    <row r="644">
      <c r="A644" s="19" t="n">
        <v>45932</v>
      </c>
      <c r="B644" s="15">
        <f>WEEKDAY($A644,2)</f>
        <v/>
      </c>
      <c r="C644" s="15">
        <f>IF(AND($A644&gt;=INT(Instellingen!$B$5),$A644&lt;=INT(Instellingen!$B$6)),1,0)</f>
        <v/>
      </c>
      <c r="D644" s="20">
        <f>COUNTIFS(tData[SEHTrajectPeriodeDatumTijdVan],"&lt;="&amp;($A644+0/24),tData[SEHTrajectPeriodeDatumTijdTotEnMet],"&gt;"&amp;($A644+0/24))</f>
        <v/>
      </c>
      <c r="E644" s="20">
        <f>COUNTIFS(tData[SEHTrajectPeriodeDatumTijdVan],"&lt;="&amp;($A644+1/24),tData[SEHTrajectPeriodeDatumTijdTotEnMet],"&gt;"&amp;($A644+1/24))</f>
        <v/>
      </c>
      <c r="F644" s="20">
        <f>COUNTIFS(tData[SEHTrajectPeriodeDatumTijdVan],"&lt;="&amp;($A644+2/24),tData[SEHTrajectPeriodeDatumTijdTotEnMet],"&gt;"&amp;($A644+2/24))</f>
        <v/>
      </c>
      <c r="G644" s="20">
        <f>COUNTIFS(tData[SEHTrajectPeriodeDatumTijdVan],"&lt;="&amp;($A644+3/24),tData[SEHTrajectPeriodeDatumTijdTotEnMet],"&gt;"&amp;($A644+3/24))</f>
        <v/>
      </c>
      <c r="H644" s="20">
        <f>COUNTIFS(tData[SEHTrajectPeriodeDatumTijdVan],"&lt;="&amp;($A644+4/24),tData[SEHTrajectPeriodeDatumTijdTotEnMet],"&gt;"&amp;($A644+4/24))</f>
        <v/>
      </c>
      <c r="I644" s="20">
        <f>COUNTIFS(tData[SEHTrajectPeriodeDatumTijdVan],"&lt;="&amp;($A644+5/24),tData[SEHTrajectPeriodeDatumTijdTotEnMet],"&gt;"&amp;($A644+5/24))</f>
        <v/>
      </c>
      <c r="J644" s="20">
        <f>COUNTIFS(tData[SEHTrajectPeriodeDatumTijdVan],"&lt;="&amp;($A644+6/24),tData[SEHTrajectPeriodeDatumTijdTotEnMet],"&gt;"&amp;($A644+6/24))</f>
        <v/>
      </c>
      <c r="K644" s="20">
        <f>COUNTIFS(tData[SEHTrajectPeriodeDatumTijdVan],"&lt;="&amp;($A644+7/24),tData[SEHTrajectPeriodeDatumTijdTotEnMet],"&gt;"&amp;($A644+7/24))</f>
        <v/>
      </c>
      <c r="L644" s="20">
        <f>COUNTIFS(tData[SEHTrajectPeriodeDatumTijdVan],"&lt;="&amp;($A644+8/24),tData[SEHTrajectPeriodeDatumTijdTotEnMet],"&gt;"&amp;($A644+8/24))</f>
        <v/>
      </c>
      <c r="M644" s="20">
        <f>COUNTIFS(tData[SEHTrajectPeriodeDatumTijdVan],"&lt;="&amp;($A644+9/24),tData[SEHTrajectPeriodeDatumTijdTotEnMet],"&gt;"&amp;($A644+9/24))</f>
        <v/>
      </c>
      <c r="N644" s="20">
        <f>COUNTIFS(tData[SEHTrajectPeriodeDatumTijdVan],"&lt;="&amp;($A644+10/24),tData[SEHTrajectPeriodeDatumTijdTotEnMet],"&gt;"&amp;($A644+10/24))</f>
        <v/>
      </c>
      <c r="O644" s="20">
        <f>COUNTIFS(tData[SEHTrajectPeriodeDatumTijdVan],"&lt;="&amp;($A644+11/24),tData[SEHTrajectPeriodeDatumTijdTotEnMet],"&gt;"&amp;($A644+11/24))</f>
        <v/>
      </c>
      <c r="P644" s="20">
        <f>COUNTIFS(tData[SEHTrajectPeriodeDatumTijdVan],"&lt;="&amp;($A644+12/24),tData[SEHTrajectPeriodeDatumTijdTotEnMet],"&gt;"&amp;($A644+12/24))</f>
        <v/>
      </c>
      <c r="Q644" s="20">
        <f>COUNTIFS(tData[SEHTrajectPeriodeDatumTijdVan],"&lt;="&amp;($A644+13/24),tData[SEHTrajectPeriodeDatumTijdTotEnMet],"&gt;"&amp;($A644+13/24))</f>
        <v/>
      </c>
      <c r="R644" s="20">
        <f>COUNTIFS(tData[SEHTrajectPeriodeDatumTijdVan],"&lt;="&amp;($A644+14/24),tData[SEHTrajectPeriodeDatumTijdTotEnMet],"&gt;"&amp;($A644+14/24))</f>
        <v/>
      </c>
      <c r="S644" s="20">
        <f>COUNTIFS(tData[SEHTrajectPeriodeDatumTijdVan],"&lt;="&amp;($A644+15/24),tData[SEHTrajectPeriodeDatumTijdTotEnMet],"&gt;"&amp;($A644+15/24))</f>
        <v/>
      </c>
      <c r="T644" s="20">
        <f>COUNTIFS(tData[SEHTrajectPeriodeDatumTijdVan],"&lt;="&amp;($A644+16/24),tData[SEHTrajectPeriodeDatumTijdTotEnMet],"&gt;"&amp;($A644+16/24))</f>
        <v/>
      </c>
      <c r="U644" s="20">
        <f>COUNTIFS(tData[SEHTrajectPeriodeDatumTijdVan],"&lt;="&amp;($A644+17/24),tData[SEHTrajectPeriodeDatumTijdTotEnMet],"&gt;"&amp;($A644+17/24))</f>
        <v/>
      </c>
      <c r="V644" s="20">
        <f>COUNTIFS(tData[SEHTrajectPeriodeDatumTijdVan],"&lt;="&amp;($A644+18/24),tData[SEHTrajectPeriodeDatumTijdTotEnMet],"&gt;"&amp;($A644+18/24))</f>
        <v/>
      </c>
      <c r="W644" s="20">
        <f>COUNTIFS(tData[SEHTrajectPeriodeDatumTijdVan],"&lt;="&amp;($A644+19/24),tData[SEHTrajectPeriodeDatumTijdTotEnMet],"&gt;"&amp;($A644+19/24))</f>
        <v/>
      </c>
      <c r="X644" s="20">
        <f>COUNTIFS(tData[SEHTrajectPeriodeDatumTijdVan],"&lt;="&amp;($A644+20/24),tData[SEHTrajectPeriodeDatumTijdTotEnMet],"&gt;"&amp;($A644+20/24))</f>
        <v/>
      </c>
      <c r="Y644" s="20">
        <f>COUNTIFS(tData[SEHTrajectPeriodeDatumTijdVan],"&lt;="&amp;($A644+21/24),tData[SEHTrajectPeriodeDatumTijdTotEnMet],"&gt;"&amp;($A644+21/24))</f>
        <v/>
      </c>
      <c r="Z644" s="20">
        <f>COUNTIFS(tData[SEHTrajectPeriodeDatumTijdVan],"&lt;="&amp;($A644+22/24),tData[SEHTrajectPeriodeDatumTijdTotEnMet],"&gt;"&amp;($A644+22/24))</f>
        <v/>
      </c>
      <c r="AA644" s="20">
        <f>COUNTIFS(tData[SEHTrajectPeriodeDatumTijdVan],"&lt;="&amp;($A644+23/24),tData[SEHTrajectPeriodeDatumTijdTotEnMet],"&gt;"&amp;($A644+23/24))</f>
        <v/>
      </c>
    </row>
    <row r="645">
      <c r="A645" s="19" t="n">
        <v>45933</v>
      </c>
      <c r="B645" s="15">
        <f>WEEKDAY($A645,2)</f>
        <v/>
      </c>
      <c r="C645" s="15">
        <f>IF(AND($A645&gt;=INT(Instellingen!$B$5),$A645&lt;=INT(Instellingen!$B$6)),1,0)</f>
        <v/>
      </c>
      <c r="D645" s="20">
        <f>COUNTIFS(tData[SEHTrajectPeriodeDatumTijdVan],"&lt;="&amp;($A645+0/24),tData[SEHTrajectPeriodeDatumTijdTotEnMet],"&gt;"&amp;($A645+0/24))</f>
        <v/>
      </c>
      <c r="E645" s="20">
        <f>COUNTIFS(tData[SEHTrajectPeriodeDatumTijdVan],"&lt;="&amp;($A645+1/24),tData[SEHTrajectPeriodeDatumTijdTotEnMet],"&gt;"&amp;($A645+1/24))</f>
        <v/>
      </c>
      <c r="F645" s="20">
        <f>COUNTIFS(tData[SEHTrajectPeriodeDatumTijdVan],"&lt;="&amp;($A645+2/24),tData[SEHTrajectPeriodeDatumTijdTotEnMet],"&gt;"&amp;($A645+2/24))</f>
        <v/>
      </c>
      <c r="G645" s="20">
        <f>COUNTIFS(tData[SEHTrajectPeriodeDatumTijdVan],"&lt;="&amp;($A645+3/24),tData[SEHTrajectPeriodeDatumTijdTotEnMet],"&gt;"&amp;($A645+3/24))</f>
        <v/>
      </c>
      <c r="H645" s="20">
        <f>COUNTIFS(tData[SEHTrajectPeriodeDatumTijdVan],"&lt;="&amp;($A645+4/24),tData[SEHTrajectPeriodeDatumTijdTotEnMet],"&gt;"&amp;($A645+4/24))</f>
        <v/>
      </c>
      <c r="I645" s="20">
        <f>COUNTIFS(tData[SEHTrajectPeriodeDatumTijdVan],"&lt;="&amp;($A645+5/24),tData[SEHTrajectPeriodeDatumTijdTotEnMet],"&gt;"&amp;($A645+5/24))</f>
        <v/>
      </c>
      <c r="J645" s="20">
        <f>COUNTIFS(tData[SEHTrajectPeriodeDatumTijdVan],"&lt;="&amp;($A645+6/24),tData[SEHTrajectPeriodeDatumTijdTotEnMet],"&gt;"&amp;($A645+6/24))</f>
        <v/>
      </c>
      <c r="K645" s="20">
        <f>COUNTIFS(tData[SEHTrajectPeriodeDatumTijdVan],"&lt;="&amp;($A645+7/24),tData[SEHTrajectPeriodeDatumTijdTotEnMet],"&gt;"&amp;($A645+7/24))</f>
        <v/>
      </c>
      <c r="L645" s="20">
        <f>COUNTIFS(tData[SEHTrajectPeriodeDatumTijdVan],"&lt;="&amp;($A645+8/24),tData[SEHTrajectPeriodeDatumTijdTotEnMet],"&gt;"&amp;($A645+8/24))</f>
        <v/>
      </c>
      <c r="M645" s="20">
        <f>COUNTIFS(tData[SEHTrajectPeriodeDatumTijdVan],"&lt;="&amp;($A645+9/24),tData[SEHTrajectPeriodeDatumTijdTotEnMet],"&gt;"&amp;($A645+9/24))</f>
        <v/>
      </c>
      <c r="N645" s="20">
        <f>COUNTIFS(tData[SEHTrajectPeriodeDatumTijdVan],"&lt;="&amp;($A645+10/24),tData[SEHTrajectPeriodeDatumTijdTotEnMet],"&gt;"&amp;($A645+10/24))</f>
        <v/>
      </c>
      <c r="O645" s="20">
        <f>COUNTIFS(tData[SEHTrajectPeriodeDatumTijdVan],"&lt;="&amp;($A645+11/24),tData[SEHTrajectPeriodeDatumTijdTotEnMet],"&gt;"&amp;($A645+11/24))</f>
        <v/>
      </c>
      <c r="P645" s="20">
        <f>COUNTIFS(tData[SEHTrajectPeriodeDatumTijdVan],"&lt;="&amp;($A645+12/24),tData[SEHTrajectPeriodeDatumTijdTotEnMet],"&gt;"&amp;($A645+12/24))</f>
        <v/>
      </c>
      <c r="Q645" s="20">
        <f>COUNTIFS(tData[SEHTrajectPeriodeDatumTijdVan],"&lt;="&amp;($A645+13/24),tData[SEHTrajectPeriodeDatumTijdTotEnMet],"&gt;"&amp;($A645+13/24))</f>
        <v/>
      </c>
      <c r="R645" s="20">
        <f>COUNTIFS(tData[SEHTrajectPeriodeDatumTijdVan],"&lt;="&amp;($A645+14/24),tData[SEHTrajectPeriodeDatumTijdTotEnMet],"&gt;"&amp;($A645+14/24))</f>
        <v/>
      </c>
      <c r="S645" s="20">
        <f>COUNTIFS(tData[SEHTrajectPeriodeDatumTijdVan],"&lt;="&amp;($A645+15/24),tData[SEHTrajectPeriodeDatumTijdTotEnMet],"&gt;"&amp;($A645+15/24))</f>
        <v/>
      </c>
      <c r="T645" s="20">
        <f>COUNTIFS(tData[SEHTrajectPeriodeDatumTijdVan],"&lt;="&amp;($A645+16/24),tData[SEHTrajectPeriodeDatumTijdTotEnMet],"&gt;"&amp;($A645+16/24))</f>
        <v/>
      </c>
      <c r="U645" s="20">
        <f>COUNTIFS(tData[SEHTrajectPeriodeDatumTijdVan],"&lt;="&amp;($A645+17/24),tData[SEHTrajectPeriodeDatumTijdTotEnMet],"&gt;"&amp;($A645+17/24))</f>
        <v/>
      </c>
      <c r="V645" s="20">
        <f>COUNTIFS(tData[SEHTrajectPeriodeDatumTijdVan],"&lt;="&amp;($A645+18/24),tData[SEHTrajectPeriodeDatumTijdTotEnMet],"&gt;"&amp;($A645+18/24))</f>
        <v/>
      </c>
      <c r="W645" s="20">
        <f>COUNTIFS(tData[SEHTrajectPeriodeDatumTijdVan],"&lt;="&amp;($A645+19/24),tData[SEHTrajectPeriodeDatumTijdTotEnMet],"&gt;"&amp;($A645+19/24))</f>
        <v/>
      </c>
      <c r="X645" s="20">
        <f>COUNTIFS(tData[SEHTrajectPeriodeDatumTijdVan],"&lt;="&amp;($A645+20/24),tData[SEHTrajectPeriodeDatumTijdTotEnMet],"&gt;"&amp;($A645+20/24))</f>
        <v/>
      </c>
      <c r="Y645" s="20">
        <f>COUNTIFS(tData[SEHTrajectPeriodeDatumTijdVan],"&lt;="&amp;($A645+21/24),tData[SEHTrajectPeriodeDatumTijdTotEnMet],"&gt;"&amp;($A645+21/24))</f>
        <v/>
      </c>
      <c r="Z645" s="20">
        <f>COUNTIFS(tData[SEHTrajectPeriodeDatumTijdVan],"&lt;="&amp;($A645+22/24),tData[SEHTrajectPeriodeDatumTijdTotEnMet],"&gt;"&amp;($A645+22/24))</f>
        <v/>
      </c>
      <c r="AA645" s="20">
        <f>COUNTIFS(tData[SEHTrajectPeriodeDatumTijdVan],"&lt;="&amp;($A645+23/24),tData[SEHTrajectPeriodeDatumTijdTotEnMet],"&gt;"&amp;($A645+23/24))</f>
        <v/>
      </c>
    </row>
    <row r="646">
      <c r="A646" s="19" t="n">
        <v>45934</v>
      </c>
      <c r="B646" s="15">
        <f>WEEKDAY($A646,2)</f>
        <v/>
      </c>
      <c r="C646" s="15">
        <f>IF(AND($A646&gt;=INT(Instellingen!$B$5),$A646&lt;=INT(Instellingen!$B$6)),1,0)</f>
        <v/>
      </c>
      <c r="D646" s="20">
        <f>COUNTIFS(tData[SEHTrajectPeriodeDatumTijdVan],"&lt;="&amp;($A646+0/24),tData[SEHTrajectPeriodeDatumTijdTotEnMet],"&gt;"&amp;($A646+0/24))</f>
        <v/>
      </c>
      <c r="E646" s="20">
        <f>COUNTIFS(tData[SEHTrajectPeriodeDatumTijdVan],"&lt;="&amp;($A646+1/24),tData[SEHTrajectPeriodeDatumTijdTotEnMet],"&gt;"&amp;($A646+1/24))</f>
        <v/>
      </c>
      <c r="F646" s="20">
        <f>COUNTIFS(tData[SEHTrajectPeriodeDatumTijdVan],"&lt;="&amp;($A646+2/24),tData[SEHTrajectPeriodeDatumTijdTotEnMet],"&gt;"&amp;($A646+2/24))</f>
        <v/>
      </c>
      <c r="G646" s="20">
        <f>COUNTIFS(tData[SEHTrajectPeriodeDatumTijdVan],"&lt;="&amp;($A646+3/24),tData[SEHTrajectPeriodeDatumTijdTotEnMet],"&gt;"&amp;($A646+3/24))</f>
        <v/>
      </c>
      <c r="H646" s="20">
        <f>COUNTIFS(tData[SEHTrajectPeriodeDatumTijdVan],"&lt;="&amp;($A646+4/24),tData[SEHTrajectPeriodeDatumTijdTotEnMet],"&gt;"&amp;($A646+4/24))</f>
        <v/>
      </c>
      <c r="I646" s="20">
        <f>COUNTIFS(tData[SEHTrajectPeriodeDatumTijdVan],"&lt;="&amp;($A646+5/24),tData[SEHTrajectPeriodeDatumTijdTotEnMet],"&gt;"&amp;($A646+5/24))</f>
        <v/>
      </c>
      <c r="J646" s="20">
        <f>COUNTIFS(tData[SEHTrajectPeriodeDatumTijdVan],"&lt;="&amp;($A646+6/24),tData[SEHTrajectPeriodeDatumTijdTotEnMet],"&gt;"&amp;($A646+6/24))</f>
        <v/>
      </c>
      <c r="K646" s="20">
        <f>COUNTIFS(tData[SEHTrajectPeriodeDatumTijdVan],"&lt;="&amp;($A646+7/24),tData[SEHTrajectPeriodeDatumTijdTotEnMet],"&gt;"&amp;($A646+7/24))</f>
        <v/>
      </c>
      <c r="L646" s="20">
        <f>COUNTIFS(tData[SEHTrajectPeriodeDatumTijdVan],"&lt;="&amp;($A646+8/24),tData[SEHTrajectPeriodeDatumTijdTotEnMet],"&gt;"&amp;($A646+8/24))</f>
        <v/>
      </c>
      <c r="M646" s="20">
        <f>COUNTIFS(tData[SEHTrajectPeriodeDatumTijdVan],"&lt;="&amp;($A646+9/24),tData[SEHTrajectPeriodeDatumTijdTotEnMet],"&gt;"&amp;($A646+9/24))</f>
        <v/>
      </c>
      <c r="N646" s="20">
        <f>COUNTIFS(tData[SEHTrajectPeriodeDatumTijdVan],"&lt;="&amp;($A646+10/24),tData[SEHTrajectPeriodeDatumTijdTotEnMet],"&gt;"&amp;($A646+10/24))</f>
        <v/>
      </c>
      <c r="O646" s="20">
        <f>COUNTIFS(tData[SEHTrajectPeriodeDatumTijdVan],"&lt;="&amp;($A646+11/24),tData[SEHTrajectPeriodeDatumTijdTotEnMet],"&gt;"&amp;($A646+11/24))</f>
        <v/>
      </c>
      <c r="P646" s="20">
        <f>COUNTIFS(tData[SEHTrajectPeriodeDatumTijdVan],"&lt;="&amp;($A646+12/24),tData[SEHTrajectPeriodeDatumTijdTotEnMet],"&gt;"&amp;($A646+12/24))</f>
        <v/>
      </c>
      <c r="Q646" s="20">
        <f>COUNTIFS(tData[SEHTrajectPeriodeDatumTijdVan],"&lt;="&amp;($A646+13/24),tData[SEHTrajectPeriodeDatumTijdTotEnMet],"&gt;"&amp;($A646+13/24))</f>
        <v/>
      </c>
      <c r="R646" s="20">
        <f>COUNTIFS(tData[SEHTrajectPeriodeDatumTijdVan],"&lt;="&amp;($A646+14/24),tData[SEHTrajectPeriodeDatumTijdTotEnMet],"&gt;"&amp;($A646+14/24))</f>
        <v/>
      </c>
      <c r="S646" s="20">
        <f>COUNTIFS(tData[SEHTrajectPeriodeDatumTijdVan],"&lt;="&amp;($A646+15/24),tData[SEHTrajectPeriodeDatumTijdTotEnMet],"&gt;"&amp;($A646+15/24))</f>
        <v/>
      </c>
      <c r="T646" s="20">
        <f>COUNTIFS(tData[SEHTrajectPeriodeDatumTijdVan],"&lt;="&amp;($A646+16/24),tData[SEHTrajectPeriodeDatumTijdTotEnMet],"&gt;"&amp;($A646+16/24))</f>
        <v/>
      </c>
      <c r="U646" s="20">
        <f>COUNTIFS(tData[SEHTrajectPeriodeDatumTijdVan],"&lt;="&amp;($A646+17/24),tData[SEHTrajectPeriodeDatumTijdTotEnMet],"&gt;"&amp;($A646+17/24))</f>
        <v/>
      </c>
      <c r="V646" s="20">
        <f>COUNTIFS(tData[SEHTrajectPeriodeDatumTijdVan],"&lt;="&amp;($A646+18/24),tData[SEHTrajectPeriodeDatumTijdTotEnMet],"&gt;"&amp;($A646+18/24))</f>
        <v/>
      </c>
      <c r="W646" s="20">
        <f>COUNTIFS(tData[SEHTrajectPeriodeDatumTijdVan],"&lt;="&amp;($A646+19/24),tData[SEHTrajectPeriodeDatumTijdTotEnMet],"&gt;"&amp;($A646+19/24))</f>
        <v/>
      </c>
      <c r="X646" s="20">
        <f>COUNTIFS(tData[SEHTrajectPeriodeDatumTijdVan],"&lt;="&amp;($A646+20/24),tData[SEHTrajectPeriodeDatumTijdTotEnMet],"&gt;"&amp;($A646+20/24))</f>
        <v/>
      </c>
      <c r="Y646" s="20">
        <f>COUNTIFS(tData[SEHTrajectPeriodeDatumTijdVan],"&lt;="&amp;($A646+21/24),tData[SEHTrajectPeriodeDatumTijdTotEnMet],"&gt;"&amp;($A646+21/24))</f>
        <v/>
      </c>
      <c r="Z646" s="20">
        <f>COUNTIFS(tData[SEHTrajectPeriodeDatumTijdVan],"&lt;="&amp;($A646+22/24),tData[SEHTrajectPeriodeDatumTijdTotEnMet],"&gt;"&amp;($A646+22/24))</f>
        <v/>
      </c>
      <c r="AA646" s="20">
        <f>COUNTIFS(tData[SEHTrajectPeriodeDatumTijdVan],"&lt;="&amp;($A646+23/24),tData[SEHTrajectPeriodeDatumTijdTotEnMet],"&gt;"&amp;($A646+23/24))</f>
        <v/>
      </c>
    </row>
    <row r="647">
      <c r="A647" s="19" t="n">
        <v>45935</v>
      </c>
      <c r="B647" s="15">
        <f>WEEKDAY($A647,2)</f>
        <v/>
      </c>
      <c r="C647" s="15">
        <f>IF(AND($A647&gt;=INT(Instellingen!$B$5),$A647&lt;=INT(Instellingen!$B$6)),1,0)</f>
        <v/>
      </c>
      <c r="D647" s="20">
        <f>COUNTIFS(tData[SEHTrajectPeriodeDatumTijdVan],"&lt;="&amp;($A647+0/24),tData[SEHTrajectPeriodeDatumTijdTotEnMet],"&gt;"&amp;($A647+0/24))</f>
        <v/>
      </c>
      <c r="E647" s="20">
        <f>COUNTIFS(tData[SEHTrajectPeriodeDatumTijdVan],"&lt;="&amp;($A647+1/24),tData[SEHTrajectPeriodeDatumTijdTotEnMet],"&gt;"&amp;($A647+1/24))</f>
        <v/>
      </c>
      <c r="F647" s="20">
        <f>COUNTIFS(tData[SEHTrajectPeriodeDatumTijdVan],"&lt;="&amp;($A647+2/24),tData[SEHTrajectPeriodeDatumTijdTotEnMet],"&gt;"&amp;($A647+2/24))</f>
        <v/>
      </c>
      <c r="G647" s="20">
        <f>COUNTIFS(tData[SEHTrajectPeriodeDatumTijdVan],"&lt;="&amp;($A647+3/24),tData[SEHTrajectPeriodeDatumTijdTotEnMet],"&gt;"&amp;($A647+3/24))</f>
        <v/>
      </c>
      <c r="H647" s="20">
        <f>COUNTIFS(tData[SEHTrajectPeriodeDatumTijdVan],"&lt;="&amp;($A647+4/24),tData[SEHTrajectPeriodeDatumTijdTotEnMet],"&gt;"&amp;($A647+4/24))</f>
        <v/>
      </c>
      <c r="I647" s="20">
        <f>COUNTIFS(tData[SEHTrajectPeriodeDatumTijdVan],"&lt;="&amp;($A647+5/24),tData[SEHTrajectPeriodeDatumTijdTotEnMet],"&gt;"&amp;($A647+5/24))</f>
        <v/>
      </c>
      <c r="J647" s="20">
        <f>COUNTIFS(tData[SEHTrajectPeriodeDatumTijdVan],"&lt;="&amp;($A647+6/24),tData[SEHTrajectPeriodeDatumTijdTotEnMet],"&gt;"&amp;($A647+6/24))</f>
        <v/>
      </c>
      <c r="K647" s="20">
        <f>COUNTIFS(tData[SEHTrajectPeriodeDatumTijdVan],"&lt;="&amp;($A647+7/24),tData[SEHTrajectPeriodeDatumTijdTotEnMet],"&gt;"&amp;($A647+7/24))</f>
        <v/>
      </c>
      <c r="L647" s="20">
        <f>COUNTIFS(tData[SEHTrajectPeriodeDatumTijdVan],"&lt;="&amp;($A647+8/24),tData[SEHTrajectPeriodeDatumTijdTotEnMet],"&gt;"&amp;($A647+8/24))</f>
        <v/>
      </c>
      <c r="M647" s="20">
        <f>COUNTIFS(tData[SEHTrajectPeriodeDatumTijdVan],"&lt;="&amp;($A647+9/24),tData[SEHTrajectPeriodeDatumTijdTotEnMet],"&gt;"&amp;($A647+9/24))</f>
        <v/>
      </c>
      <c r="N647" s="20">
        <f>COUNTIFS(tData[SEHTrajectPeriodeDatumTijdVan],"&lt;="&amp;($A647+10/24),tData[SEHTrajectPeriodeDatumTijdTotEnMet],"&gt;"&amp;($A647+10/24))</f>
        <v/>
      </c>
      <c r="O647" s="20">
        <f>COUNTIFS(tData[SEHTrajectPeriodeDatumTijdVan],"&lt;="&amp;($A647+11/24),tData[SEHTrajectPeriodeDatumTijdTotEnMet],"&gt;"&amp;($A647+11/24))</f>
        <v/>
      </c>
      <c r="P647" s="20">
        <f>COUNTIFS(tData[SEHTrajectPeriodeDatumTijdVan],"&lt;="&amp;($A647+12/24),tData[SEHTrajectPeriodeDatumTijdTotEnMet],"&gt;"&amp;($A647+12/24))</f>
        <v/>
      </c>
      <c r="Q647" s="20">
        <f>COUNTIFS(tData[SEHTrajectPeriodeDatumTijdVan],"&lt;="&amp;($A647+13/24),tData[SEHTrajectPeriodeDatumTijdTotEnMet],"&gt;"&amp;($A647+13/24))</f>
        <v/>
      </c>
      <c r="R647" s="20">
        <f>COUNTIFS(tData[SEHTrajectPeriodeDatumTijdVan],"&lt;="&amp;($A647+14/24),tData[SEHTrajectPeriodeDatumTijdTotEnMet],"&gt;"&amp;($A647+14/24))</f>
        <v/>
      </c>
      <c r="S647" s="20">
        <f>COUNTIFS(tData[SEHTrajectPeriodeDatumTijdVan],"&lt;="&amp;($A647+15/24),tData[SEHTrajectPeriodeDatumTijdTotEnMet],"&gt;"&amp;($A647+15/24))</f>
        <v/>
      </c>
      <c r="T647" s="20">
        <f>COUNTIFS(tData[SEHTrajectPeriodeDatumTijdVan],"&lt;="&amp;($A647+16/24),tData[SEHTrajectPeriodeDatumTijdTotEnMet],"&gt;"&amp;($A647+16/24))</f>
        <v/>
      </c>
      <c r="U647" s="20">
        <f>COUNTIFS(tData[SEHTrajectPeriodeDatumTijdVan],"&lt;="&amp;($A647+17/24),tData[SEHTrajectPeriodeDatumTijdTotEnMet],"&gt;"&amp;($A647+17/24))</f>
        <v/>
      </c>
      <c r="V647" s="20">
        <f>COUNTIFS(tData[SEHTrajectPeriodeDatumTijdVan],"&lt;="&amp;($A647+18/24),tData[SEHTrajectPeriodeDatumTijdTotEnMet],"&gt;"&amp;($A647+18/24))</f>
        <v/>
      </c>
      <c r="W647" s="20">
        <f>COUNTIFS(tData[SEHTrajectPeriodeDatumTijdVan],"&lt;="&amp;($A647+19/24),tData[SEHTrajectPeriodeDatumTijdTotEnMet],"&gt;"&amp;($A647+19/24))</f>
        <v/>
      </c>
      <c r="X647" s="20">
        <f>COUNTIFS(tData[SEHTrajectPeriodeDatumTijdVan],"&lt;="&amp;($A647+20/24),tData[SEHTrajectPeriodeDatumTijdTotEnMet],"&gt;"&amp;($A647+20/24))</f>
        <v/>
      </c>
      <c r="Y647" s="20">
        <f>COUNTIFS(tData[SEHTrajectPeriodeDatumTijdVan],"&lt;="&amp;($A647+21/24),tData[SEHTrajectPeriodeDatumTijdTotEnMet],"&gt;"&amp;($A647+21/24))</f>
        <v/>
      </c>
      <c r="Z647" s="20">
        <f>COUNTIFS(tData[SEHTrajectPeriodeDatumTijdVan],"&lt;="&amp;($A647+22/24),tData[SEHTrajectPeriodeDatumTijdTotEnMet],"&gt;"&amp;($A647+22/24))</f>
        <v/>
      </c>
      <c r="AA647" s="20">
        <f>COUNTIFS(tData[SEHTrajectPeriodeDatumTijdVan],"&lt;="&amp;($A647+23/24),tData[SEHTrajectPeriodeDatumTijdTotEnMet],"&gt;"&amp;($A647+23/24))</f>
        <v/>
      </c>
    </row>
    <row r="648">
      <c r="A648" s="19" t="n">
        <v>45936</v>
      </c>
      <c r="B648" s="15">
        <f>WEEKDAY($A648,2)</f>
        <v/>
      </c>
      <c r="C648" s="15">
        <f>IF(AND($A648&gt;=INT(Instellingen!$B$5),$A648&lt;=INT(Instellingen!$B$6)),1,0)</f>
        <v/>
      </c>
      <c r="D648" s="20">
        <f>COUNTIFS(tData[SEHTrajectPeriodeDatumTijdVan],"&lt;="&amp;($A648+0/24),tData[SEHTrajectPeriodeDatumTijdTotEnMet],"&gt;"&amp;($A648+0/24))</f>
        <v/>
      </c>
      <c r="E648" s="20">
        <f>COUNTIFS(tData[SEHTrajectPeriodeDatumTijdVan],"&lt;="&amp;($A648+1/24),tData[SEHTrajectPeriodeDatumTijdTotEnMet],"&gt;"&amp;($A648+1/24))</f>
        <v/>
      </c>
      <c r="F648" s="20">
        <f>COUNTIFS(tData[SEHTrajectPeriodeDatumTijdVan],"&lt;="&amp;($A648+2/24),tData[SEHTrajectPeriodeDatumTijdTotEnMet],"&gt;"&amp;($A648+2/24))</f>
        <v/>
      </c>
      <c r="G648" s="20">
        <f>COUNTIFS(tData[SEHTrajectPeriodeDatumTijdVan],"&lt;="&amp;($A648+3/24),tData[SEHTrajectPeriodeDatumTijdTotEnMet],"&gt;"&amp;($A648+3/24))</f>
        <v/>
      </c>
      <c r="H648" s="20">
        <f>COUNTIFS(tData[SEHTrajectPeriodeDatumTijdVan],"&lt;="&amp;($A648+4/24),tData[SEHTrajectPeriodeDatumTijdTotEnMet],"&gt;"&amp;($A648+4/24))</f>
        <v/>
      </c>
      <c r="I648" s="20">
        <f>COUNTIFS(tData[SEHTrajectPeriodeDatumTijdVan],"&lt;="&amp;($A648+5/24),tData[SEHTrajectPeriodeDatumTijdTotEnMet],"&gt;"&amp;($A648+5/24))</f>
        <v/>
      </c>
      <c r="J648" s="20">
        <f>COUNTIFS(tData[SEHTrajectPeriodeDatumTijdVan],"&lt;="&amp;($A648+6/24),tData[SEHTrajectPeriodeDatumTijdTotEnMet],"&gt;"&amp;($A648+6/24))</f>
        <v/>
      </c>
      <c r="K648" s="20">
        <f>COUNTIFS(tData[SEHTrajectPeriodeDatumTijdVan],"&lt;="&amp;($A648+7/24),tData[SEHTrajectPeriodeDatumTijdTotEnMet],"&gt;"&amp;($A648+7/24))</f>
        <v/>
      </c>
      <c r="L648" s="20">
        <f>COUNTIFS(tData[SEHTrajectPeriodeDatumTijdVan],"&lt;="&amp;($A648+8/24),tData[SEHTrajectPeriodeDatumTijdTotEnMet],"&gt;"&amp;($A648+8/24))</f>
        <v/>
      </c>
      <c r="M648" s="20">
        <f>COUNTIFS(tData[SEHTrajectPeriodeDatumTijdVan],"&lt;="&amp;($A648+9/24),tData[SEHTrajectPeriodeDatumTijdTotEnMet],"&gt;"&amp;($A648+9/24))</f>
        <v/>
      </c>
      <c r="N648" s="20">
        <f>COUNTIFS(tData[SEHTrajectPeriodeDatumTijdVan],"&lt;="&amp;($A648+10/24),tData[SEHTrajectPeriodeDatumTijdTotEnMet],"&gt;"&amp;($A648+10/24))</f>
        <v/>
      </c>
      <c r="O648" s="20">
        <f>COUNTIFS(tData[SEHTrajectPeriodeDatumTijdVan],"&lt;="&amp;($A648+11/24),tData[SEHTrajectPeriodeDatumTijdTotEnMet],"&gt;"&amp;($A648+11/24))</f>
        <v/>
      </c>
      <c r="P648" s="20">
        <f>COUNTIFS(tData[SEHTrajectPeriodeDatumTijdVan],"&lt;="&amp;($A648+12/24),tData[SEHTrajectPeriodeDatumTijdTotEnMet],"&gt;"&amp;($A648+12/24))</f>
        <v/>
      </c>
      <c r="Q648" s="20">
        <f>COUNTIFS(tData[SEHTrajectPeriodeDatumTijdVan],"&lt;="&amp;($A648+13/24),tData[SEHTrajectPeriodeDatumTijdTotEnMet],"&gt;"&amp;($A648+13/24))</f>
        <v/>
      </c>
      <c r="R648" s="20">
        <f>COUNTIFS(tData[SEHTrajectPeriodeDatumTijdVan],"&lt;="&amp;($A648+14/24),tData[SEHTrajectPeriodeDatumTijdTotEnMet],"&gt;"&amp;($A648+14/24))</f>
        <v/>
      </c>
      <c r="S648" s="20">
        <f>COUNTIFS(tData[SEHTrajectPeriodeDatumTijdVan],"&lt;="&amp;($A648+15/24),tData[SEHTrajectPeriodeDatumTijdTotEnMet],"&gt;"&amp;($A648+15/24))</f>
        <v/>
      </c>
      <c r="T648" s="20">
        <f>COUNTIFS(tData[SEHTrajectPeriodeDatumTijdVan],"&lt;="&amp;($A648+16/24),tData[SEHTrajectPeriodeDatumTijdTotEnMet],"&gt;"&amp;($A648+16/24))</f>
        <v/>
      </c>
      <c r="U648" s="20">
        <f>COUNTIFS(tData[SEHTrajectPeriodeDatumTijdVan],"&lt;="&amp;($A648+17/24),tData[SEHTrajectPeriodeDatumTijdTotEnMet],"&gt;"&amp;($A648+17/24))</f>
        <v/>
      </c>
      <c r="V648" s="20">
        <f>COUNTIFS(tData[SEHTrajectPeriodeDatumTijdVan],"&lt;="&amp;($A648+18/24),tData[SEHTrajectPeriodeDatumTijdTotEnMet],"&gt;"&amp;($A648+18/24))</f>
        <v/>
      </c>
      <c r="W648" s="20">
        <f>COUNTIFS(tData[SEHTrajectPeriodeDatumTijdVan],"&lt;="&amp;($A648+19/24),tData[SEHTrajectPeriodeDatumTijdTotEnMet],"&gt;"&amp;($A648+19/24))</f>
        <v/>
      </c>
      <c r="X648" s="20">
        <f>COUNTIFS(tData[SEHTrajectPeriodeDatumTijdVan],"&lt;="&amp;($A648+20/24),tData[SEHTrajectPeriodeDatumTijdTotEnMet],"&gt;"&amp;($A648+20/24))</f>
        <v/>
      </c>
      <c r="Y648" s="20">
        <f>COUNTIFS(tData[SEHTrajectPeriodeDatumTijdVan],"&lt;="&amp;($A648+21/24),tData[SEHTrajectPeriodeDatumTijdTotEnMet],"&gt;"&amp;($A648+21/24))</f>
        <v/>
      </c>
      <c r="Z648" s="20">
        <f>COUNTIFS(tData[SEHTrajectPeriodeDatumTijdVan],"&lt;="&amp;($A648+22/24),tData[SEHTrajectPeriodeDatumTijdTotEnMet],"&gt;"&amp;($A648+22/24))</f>
        <v/>
      </c>
      <c r="AA648" s="20">
        <f>COUNTIFS(tData[SEHTrajectPeriodeDatumTijdVan],"&lt;="&amp;($A648+23/24),tData[SEHTrajectPeriodeDatumTijdTotEnMet],"&gt;"&amp;($A648+23/24))</f>
        <v/>
      </c>
    </row>
    <row r="649">
      <c r="A649" s="19" t="n">
        <v>45937</v>
      </c>
      <c r="B649" s="15">
        <f>WEEKDAY($A649,2)</f>
        <v/>
      </c>
      <c r="C649" s="15">
        <f>IF(AND($A649&gt;=INT(Instellingen!$B$5),$A649&lt;=INT(Instellingen!$B$6)),1,0)</f>
        <v/>
      </c>
      <c r="D649" s="20">
        <f>COUNTIFS(tData[SEHTrajectPeriodeDatumTijdVan],"&lt;="&amp;($A649+0/24),tData[SEHTrajectPeriodeDatumTijdTotEnMet],"&gt;"&amp;($A649+0/24))</f>
        <v/>
      </c>
      <c r="E649" s="20">
        <f>COUNTIFS(tData[SEHTrajectPeriodeDatumTijdVan],"&lt;="&amp;($A649+1/24),tData[SEHTrajectPeriodeDatumTijdTotEnMet],"&gt;"&amp;($A649+1/24))</f>
        <v/>
      </c>
      <c r="F649" s="20">
        <f>COUNTIFS(tData[SEHTrajectPeriodeDatumTijdVan],"&lt;="&amp;($A649+2/24),tData[SEHTrajectPeriodeDatumTijdTotEnMet],"&gt;"&amp;($A649+2/24))</f>
        <v/>
      </c>
      <c r="G649" s="20">
        <f>COUNTIFS(tData[SEHTrajectPeriodeDatumTijdVan],"&lt;="&amp;($A649+3/24),tData[SEHTrajectPeriodeDatumTijdTotEnMet],"&gt;"&amp;($A649+3/24))</f>
        <v/>
      </c>
      <c r="H649" s="20">
        <f>COUNTIFS(tData[SEHTrajectPeriodeDatumTijdVan],"&lt;="&amp;($A649+4/24),tData[SEHTrajectPeriodeDatumTijdTotEnMet],"&gt;"&amp;($A649+4/24))</f>
        <v/>
      </c>
      <c r="I649" s="20">
        <f>COUNTIFS(tData[SEHTrajectPeriodeDatumTijdVan],"&lt;="&amp;($A649+5/24),tData[SEHTrajectPeriodeDatumTijdTotEnMet],"&gt;"&amp;($A649+5/24))</f>
        <v/>
      </c>
      <c r="J649" s="20">
        <f>COUNTIFS(tData[SEHTrajectPeriodeDatumTijdVan],"&lt;="&amp;($A649+6/24),tData[SEHTrajectPeriodeDatumTijdTotEnMet],"&gt;"&amp;($A649+6/24))</f>
        <v/>
      </c>
      <c r="K649" s="20">
        <f>COUNTIFS(tData[SEHTrajectPeriodeDatumTijdVan],"&lt;="&amp;($A649+7/24),tData[SEHTrajectPeriodeDatumTijdTotEnMet],"&gt;"&amp;($A649+7/24))</f>
        <v/>
      </c>
      <c r="L649" s="20">
        <f>COUNTIFS(tData[SEHTrajectPeriodeDatumTijdVan],"&lt;="&amp;($A649+8/24),tData[SEHTrajectPeriodeDatumTijdTotEnMet],"&gt;"&amp;($A649+8/24))</f>
        <v/>
      </c>
      <c r="M649" s="20">
        <f>COUNTIFS(tData[SEHTrajectPeriodeDatumTijdVan],"&lt;="&amp;($A649+9/24),tData[SEHTrajectPeriodeDatumTijdTotEnMet],"&gt;"&amp;($A649+9/24))</f>
        <v/>
      </c>
      <c r="N649" s="20">
        <f>COUNTIFS(tData[SEHTrajectPeriodeDatumTijdVan],"&lt;="&amp;($A649+10/24),tData[SEHTrajectPeriodeDatumTijdTotEnMet],"&gt;"&amp;($A649+10/24))</f>
        <v/>
      </c>
      <c r="O649" s="20">
        <f>COUNTIFS(tData[SEHTrajectPeriodeDatumTijdVan],"&lt;="&amp;($A649+11/24),tData[SEHTrajectPeriodeDatumTijdTotEnMet],"&gt;"&amp;($A649+11/24))</f>
        <v/>
      </c>
      <c r="P649" s="20">
        <f>COUNTIFS(tData[SEHTrajectPeriodeDatumTijdVan],"&lt;="&amp;($A649+12/24),tData[SEHTrajectPeriodeDatumTijdTotEnMet],"&gt;"&amp;($A649+12/24))</f>
        <v/>
      </c>
      <c r="Q649" s="20">
        <f>COUNTIFS(tData[SEHTrajectPeriodeDatumTijdVan],"&lt;="&amp;($A649+13/24),tData[SEHTrajectPeriodeDatumTijdTotEnMet],"&gt;"&amp;($A649+13/24))</f>
        <v/>
      </c>
      <c r="R649" s="20">
        <f>COUNTIFS(tData[SEHTrajectPeriodeDatumTijdVan],"&lt;="&amp;($A649+14/24),tData[SEHTrajectPeriodeDatumTijdTotEnMet],"&gt;"&amp;($A649+14/24))</f>
        <v/>
      </c>
      <c r="S649" s="20">
        <f>COUNTIFS(tData[SEHTrajectPeriodeDatumTijdVan],"&lt;="&amp;($A649+15/24),tData[SEHTrajectPeriodeDatumTijdTotEnMet],"&gt;"&amp;($A649+15/24))</f>
        <v/>
      </c>
      <c r="T649" s="20">
        <f>COUNTIFS(tData[SEHTrajectPeriodeDatumTijdVan],"&lt;="&amp;($A649+16/24),tData[SEHTrajectPeriodeDatumTijdTotEnMet],"&gt;"&amp;($A649+16/24))</f>
        <v/>
      </c>
      <c r="U649" s="20">
        <f>COUNTIFS(tData[SEHTrajectPeriodeDatumTijdVan],"&lt;="&amp;($A649+17/24),tData[SEHTrajectPeriodeDatumTijdTotEnMet],"&gt;"&amp;($A649+17/24))</f>
        <v/>
      </c>
      <c r="V649" s="20">
        <f>COUNTIFS(tData[SEHTrajectPeriodeDatumTijdVan],"&lt;="&amp;($A649+18/24),tData[SEHTrajectPeriodeDatumTijdTotEnMet],"&gt;"&amp;($A649+18/24))</f>
        <v/>
      </c>
      <c r="W649" s="20">
        <f>COUNTIFS(tData[SEHTrajectPeriodeDatumTijdVan],"&lt;="&amp;($A649+19/24),tData[SEHTrajectPeriodeDatumTijdTotEnMet],"&gt;"&amp;($A649+19/24))</f>
        <v/>
      </c>
      <c r="X649" s="20">
        <f>COUNTIFS(tData[SEHTrajectPeriodeDatumTijdVan],"&lt;="&amp;($A649+20/24),tData[SEHTrajectPeriodeDatumTijdTotEnMet],"&gt;"&amp;($A649+20/24))</f>
        <v/>
      </c>
      <c r="Y649" s="20">
        <f>COUNTIFS(tData[SEHTrajectPeriodeDatumTijdVan],"&lt;="&amp;($A649+21/24),tData[SEHTrajectPeriodeDatumTijdTotEnMet],"&gt;"&amp;($A649+21/24))</f>
        <v/>
      </c>
      <c r="Z649" s="20">
        <f>COUNTIFS(tData[SEHTrajectPeriodeDatumTijdVan],"&lt;="&amp;($A649+22/24),tData[SEHTrajectPeriodeDatumTijdTotEnMet],"&gt;"&amp;($A649+22/24))</f>
        <v/>
      </c>
      <c r="AA649" s="20">
        <f>COUNTIFS(tData[SEHTrajectPeriodeDatumTijdVan],"&lt;="&amp;($A649+23/24),tData[SEHTrajectPeriodeDatumTijdTotEnMet],"&gt;"&amp;($A649+23/24))</f>
        <v/>
      </c>
    </row>
    <row r="650">
      <c r="A650" s="19" t="n">
        <v>45938</v>
      </c>
      <c r="B650" s="15">
        <f>WEEKDAY($A650,2)</f>
        <v/>
      </c>
      <c r="C650" s="15">
        <f>IF(AND($A650&gt;=INT(Instellingen!$B$5),$A650&lt;=INT(Instellingen!$B$6)),1,0)</f>
        <v/>
      </c>
      <c r="D650" s="20">
        <f>COUNTIFS(tData[SEHTrajectPeriodeDatumTijdVan],"&lt;="&amp;($A650+0/24),tData[SEHTrajectPeriodeDatumTijdTotEnMet],"&gt;"&amp;($A650+0/24))</f>
        <v/>
      </c>
      <c r="E650" s="20">
        <f>COUNTIFS(tData[SEHTrajectPeriodeDatumTijdVan],"&lt;="&amp;($A650+1/24),tData[SEHTrajectPeriodeDatumTijdTotEnMet],"&gt;"&amp;($A650+1/24))</f>
        <v/>
      </c>
      <c r="F650" s="20">
        <f>COUNTIFS(tData[SEHTrajectPeriodeDatumTijdVan],"&lt;="&amp;($A650+2/24),tData[SEHTrajectPeriodeDatumTijdTotEnMet],"&gt;"&amp;($A650+2/24))</f>
        <v/>
      </c>
      <c r="G650" s="20">
        <f>COUNTIFS(tData[SEHTrajectPeriodeDatumTijdVan],"&lt;="&amp;($A650+3/24),tData[SEHTrajectPeriodeDatumTijdTotEnMet],"&gt;"&amp;($A650+3/24))</f>
        <v/>
      </c>
      <c r="H650" s="20">
        <f>COUNTIFS(tData[SEHTrajectPeriodeDatumTijdVan],"&lt;="&amp;($A650+4/24),tData[SEHTrajectPeriodeDatumTijdTotEnMet],"&gt;"&amp;($A650+4/24))</f>
        <v/>
      </c>
      <c r="I650" s="20">
        <f>COUNTIFS(tData[SEHTrajectPeriodeDatumTijdVan],"&lt;="&amp;($A650+5/24),tData[SEHTrajectPeriodeDatumTijdTotEnMet],"&gt;"&amp;($A650+5/24))</f>
        <v/>
      </c>
      <c r="J650" s="20">
        <f>COUNTIFS(tData[SEHTrajectPeriodeDatumTijdVan],"&lt;="&amp;($A650+6/24),tData[SEHTrajectPeriodeDatumTijdTotEnMet],"&gt;"&amp;($A650+6/24))</f>
        <v/>
      </c>
      <c r="K650" s="20">
        <f>COUNTIFS(tData[SEHTrajectPeriodeDatumTijdVan],"&lt;="&amp;($A650+7/24),tData[SEHTrajectPeriodeDatumTijdTotEnMet],"&gt;"&amp;($A650+7/24))</f>
        <v/>
      </c>
      <c r="L650" s="20">
        <f>COUNTIFS(tData[SEHTrajectPeriodeDatumTijdVan],"&lt;="&amp;($A650+8/24),tData[SEHTrajectPeriodeDatumTijdTotEnMet],"&gt;"&amp;($A650+8/24))</f>
        <v/>
      </c>
      <c r="M650" s="20">
        <f>COUNTIFS(tData[SEHTrajectPeriodeDatumTijdVan],"&lt;="&amp;($A650+9/24),tData[SEHTrajectPeriodeDatumTijdTotEnMet],"&gt;"&amp;($A650+9/24))</f>
        <v/>
      </c>
      <c r="N650" s="20">
        <f>COUNTIFS(tData[SEHTrajectPeriodeDatumTijdVan],"&lt;="&amp;($A650+10/24),tData[SEHTrajectPeriodeDatumTijdTotEnMet],"&gt;"&amp;($A650+10/24))</f>
        <v/>
      </c>
      <c r="O650" s="20">
        <f>COUNTIFS(tData[SEHTrajectPeriodeDatumTijdVan],"&lt;="&amp;($A650+11/24),tData[SEHTrajectPeriodeDatumTijdTotEnMet],"&gt;"&amp;($A650+11/24))</f>
        <v/>
      </c>
      <c r="P650" s="20">
        <f>COUNTIFS(tData[SEHTrajectPeriodeDatumTijdVan],"&lt;="&amp;($A650+12/24),tData[SEHTrajectPeriodeDatumTijdTotEnMet],"&gt;"&amp;($A650+12/24))</f>
        <v/>
      </c>
      <c r="Q650" s="20">
        <f>COUNTIFS(tData[SEHTrajectPeriodeDatumTijdVan],"&lt;="&amp;($A650+13/24),tData[SEHTrajectPeriodeDatumTijdTotEnMet],"&gt;"&amp;($A650+13/24))</f>
        <v/>
      </c>
      <c r="R650" s="20">
        <f>COUNTIFS(tData[SEHTrajectPeriodeDatumTijdVan],"&lt;="&amp;($A650+14/24),tData[SEHTrajectPeriodeDatumTijdTotEnMet],"&gt;"&amp;($A650+14/24))</f>
        <v/>
      </c>
      <c r="S650" s="20">
        <f>COUNTIFS(tData[SEHTrajectPeriodeDatumTijdVan],"&lt;="&amp;($A650+15/24),tData[SEHTrajectPeriodeDatumTijdTotEnMet],"&gt;"&amp;($A650+15/24))</f>
        <v/>
      </c>
      <c r="T650" s="20">
        <f>COUNTIFS(tData[SEHTrajectPeriodeDatumTijdVan],"&lt;="&amp;($A650+16/24),tData[SEHTrajectPeriodeDatumTijdTotEnMet],"&gt;"&amp;($A650+16/24))</f>
        <v/>
      </c>
      <c r="U650" s="20">
        <f>COUNTIFS(tData[SEHTrajectPeriodeDatumTijdVan],"&lt;="&amp;($A650+17/24),tData[SEHTrajectPeriodeDatumTijdTotEnMet],"&gt;"&amp;($A650+17/24))</f>
        <v/>
      </c>
      <c r="V650" s="20">
        <f>COUNTIFS(tData[SEHTrajectPeriodeDatumTijdVan],"&lt;="&amp;($A650+18/24),tData[SEHTrajectPeriodeDatumTijdTotEnMet],"&gt;"&amp;($A650+18/24))</f>
        <v/>
      </c>
      <c r="W650" s="20">
        <f>COUNTIFS(tData[SEHTrajectPeriodeDatumTijdVan],"&lt;="&amp;($A650+19/24),tData[SEHTrajectPeriodeDatumTijdTotEnMet],"&gt;"&amp;($A650+19/24))</f>
        <v/>
      </c>
      <c r="X650" s="20">
        <f>COUNTIFS(tData[SEHTrajectPeriodeDatumTijdVan],"&lt;="&amp;($A650+20/24),tData[SEHTrajectPeriodeDatumTijdTotEnMet],"&gt;"&amp;($A650+20/24))</f>
        <v/>
      </c>
      <c r="Y650" s="20">
        <f>COUNTIFS(tData[SEHTrajectPeriodeDatumTijdVan],"&lt;="&amp;($A650+21/24),tData[SEHTrajectPeriodeDatumTijdTotEnMet],"&gt;"&amp;($A650+21/24))</f>
        <v/>
      </c>
      <c r="Z650" s="20">
        <f>COUNTIFS(tData[SEHTrajectPeriodeDatumTijdVan],"&lt;="&amp;($A650+22/24),tData[SEHTrajectPeriodeDatumTijdTotEnMet],"&gt;"&amp;($A650+22/24))</f>
        <v/>
      </c>
      <c r="AA650" s="20">
        <f>COUNTIFS(tData[SEHTrajectPeriodeDatumTijdVan],"&lt;="&amp;($A650+23/24),tData[SEHTrajectPeriodeDatumTijdTotEnMet],"&gt;"&amp;($A650+23/24))</f>
        <v/>
      </c>
    </row>
    <row r="651">
      <c r="A651" s="19" t="n">
        <v>45939</v>
      </c>
      <c r="B651" s="15">
        <f>WEEKDAY($A651,2)</f>
        <v/>
      </c>
      <c r="C651" s="15">
        <f>IF(AND($A651&gt;=INT(Instellingen!$B$5),$A651&lt;=INT(Instellingen!$B$6)),1,0)</f>
        <v/>
      </c>
      <c r="D651" s="20">
        <f>COUNTIFS(tData[SEHTrajectPeriodeDatumTijdVan],"&lt;="&amp;($A651+0/24),tData[SEHTrajectPeriodeDatumTijdTotEnMet],"&gt;"&amp;($A651+0/24))</f>
        <v/>
      </c>
      <c r="E651" s="20">
        <f>COUNTIFS(tData[SEHTrajectPeriodeDatumTijdVan],"&lt;="&amp;($A651+1/24),tData[SEHTrajectPeriodeDatumTijdTotEnMet],"&gt;"&amp;($A651+1/24))</f>
        <v/>
      </c>
      <c r="F651" s="20">
        <f>COUNTIFS(tData[SEHTrajectPeriodeDatumTijdVan],"&lt;="&amp;($A651+2/24),tData[SEHTrajectPeriodeDatumTijdTotEnMet],"&gt;"&amp;($A651+2/24))</f>
        <v/>
      </c>
      <c r="G651" s="20">
        <f>COUNTIFS(tData[SEHTrajectPeriodeDatumTijdVan],"&lt;="&amp;($A651+3/24),tData[SEHTrajectPeriodeDatumTijdTotEnMet],"&gt;"&amp;($A651+3/24))</f>
        <v/>
      </c>
      <c r="H651" s="20">
        <f>COUNTIFS(tData[SEHTrajectPeriodeDatumTijdVan],"&lt;="&amp;($A651+4/24),tData[SEHTrajectPeriodeDatumTijdTotEnMet],"&gt;"&amp;($A651+4/24))</f>
        <v/>
      </c>
      <c r="I651" s="20">
        <f>COUNTIFS(tData[SEHTrajectPeriodeDatumTijdVan],"&lt;="&amp;($A651+5/24),tData[SEHTrajectPeriodeDatumTijdTotEnMet],"&gt;"&amp;($A651+5/24))</f>
        <v/>
      </c>
      <c r="J651" s="20">
        <f>COUNTIFS(tData[SEHTrajectPeriodeDatumTijdVan],"&lt;="&amp;($A651+6/24),tData[SEHTrajectPeriodeDatumTijdTotEnMet],"&gt;"&amp;($A651+6/24))</f>
        <v/>
      </c>
      <c r="K651" s="20">
        <f>COUNTIFS(tData[SEHTrajectPeriodeDatumTijdVan],"&lt;="&amp;($A651+7/24),tData[SEHTrajectPeriodeDatumTijdTotEnMet],"&gt;"&amp;($A651+7/24))</f>
        <v/>
      </c>
      <c r="L651" s="20">
        <f>COUNTIFS(tData[SEHTrajectPeriodeDatumTijdVan],"&lt;="&amp;($A651+8/24),tData[SEHTrajectPeriodeDatumTijdTotEnMet],"&gt;"&amp;($A651+8/24))</f>
        <v/>
      </c>
      <c r="M651" s="20">
        <f>COUNTIFS(tData[SEHTrajectPeriodeDatumTijdVan],"&lt;="&amp;($A651+9/24),tData[SEHTrajectPeriodeDatumTijdTotEnMet],"&gt;"&amp;($A651+9/24))</f>
        <v/>
      </c>
      <c r="N651" s="20">
        <f>COUNTIFS(tData[SEHTrajectPeriodeDatumTijdVan],"&lt;="&amp;($A651+10/24),tData[SEHTrajectPeriodeDatumTijdTotEnMet],"&gt;"&amp;($A651+10/24))</f>
        <v/>
      </c>
      <c r="O651" s="20">
        <f>COUNTIFS(tData[SEHTrajectPeriodeDatumTijdVan],"&lt;="&amp;($A651+11/24),tData[SEHTrajectPeriodeDatumTijdTotEnMet],"&gt;"&amp;($A651+11/24))</f>
        <v/>
      </c>
      <c r="P651" s="20">
        <f>COUNTIFS(tData[SEHTrajectPeriodeDatumTijdVan],"&lt;="&amp;($A651+12/24),tData[SEHTrajectPeriodeDatumTijdTotEnMet],"&gt;"&amp;($A651+12/24))</f>
        <v/>
      </c>
      <c r="Q651" s="20">
        <f>COUNTIFS(tData[SEHTrajectPeriodeDatumTijdVan],"&lt;="&amp;($A651+13/24),tData[SEHTrajectPeriodeDatumTijdTotEnMet],"&gt;"&amp;($A651+13/24))</f>
        <v/>
      </c>
      <c r="R651" s="20">
        <f>COUNTIFS(tData[SEHTrajectPeriodeDatumTijdVan],"&lt;="&amp;($A651+14/24),tData[SEHTrajectPeriodeDatumTijdTotEnMet],"&gt;"&amp;($A651+14/24))</f>
        <v/>
      </c>
      <c r="S651" s="20">
        <f>COUNTIFS(tData[SEHTrajectPeriodeDatumTijdVan],"&lt;="&amp;($A651+15/24),tData[SEHTrajectPeriodeDatumTijdTotEnMet],"&gt;"&amp;($A651+15/24))</f>
        <v/>
      </c>
      <c r="T651" s="20">
        <f>COUNTIFS(tData[SEHTrajectPeriodeDatumTijdVan],"&lt;="&amp;($A651+16/24),tData[SEHTrajectPeriodeDatumTijdTotEnMet],"&gt;"&amp;($A651+16/24))</f>
        <v/>
      </c>
      <c r="U651" s="20">
        <f>COUNTIFS(tData[SEHTrajectPeriodeDatumTijdVan],"&lt;="&amp;($A651+17/24),tData[SEHTrajectPeriodeDatumTijdTotEnMet],"&gt;"&amp;($A651+17/24))</f>
        <v/>
      </c>
      <c r="V651" s="20">
        <f>COUNTIFS(tData[SEHTrajectPeriodeDatumTijdVan],"&lt;="&amp;($A651+18/24),tData[SEHTrajectPeriodeDatumTijdTotEnMet],"&gt;"&amp;($A651+18/24))</f>
        <v/>
      </c>
      <c r="W651" s="20">
        <f>COUNTIFS(tData[SEHTrajectPeriodeDatumTijdVan],"&lt;="&amp;($A651+19/24),tData[SEHTrajectPeriodeDatumTijdTotEnMet],"&gt;"&amp;($A651+19/24))</f>
        <v/>
      </c>
      <c r="X651" s="20">
        <f>COUNTIFS(tData[SEHTrajectPeriodeDatumTijdVan],"&lt;="&amp;($A651+20/24),tData[SEHTrajectPeriodeDatumTijdTotEnMet],"&gt;"&amp;($A651+20/24))</f>
        <v/>
      </c>
      <c r="Y651" s="20">
        <f>COUNTIFS(tData[SEHTrajectPeriodeDatumTijdVan],"&lt;="&amp;($A651+21/24),tData[SEHTrajectPeriodeDatumTijdTotEnMet],"&gt;"&amp;($A651+21/24))</f>
        <v/>
      </c>
      <c r="Z651" s="20">
        <f>COUNTIFS(tData[SEHTrajectPeriodeDatumTijdVan],"&lt;="&amp;($A651+22/24),tData[SEHTrajectPeriodeDatumTijdTotEnMet],"&gt;"&amp;($A651+22/24))</f>
        <v/>
      </c>
      <c r="AA651" s="20">
        <f>COUNTIFS(tData[SEHTrajectPeriodeDatumTijdVan],"&lt;="&amp;($A651+23/24),tData[SEHTrajectPeriodeDatumTijdTotEnMet],"&gt;"&amp;($A651+23/24))</f>
        <v/>
      </c>
    </row>
    <row r="652">
      <c r="A652" s="19" t="n">
        <v>45940</v>
      </c>
      <c r="B652" s="15">
        <f>WEEKDAY($A652,2)</f>
        <v/>
      </c>
      <c r="C652" s="15">
        <f>IF(AND($A652&gt;=INT(Instellingen!$B$5),$A652&lt;=INT(Instellingen!$B$6)),1,0)</f>
        <v/>
      </c>
      <c r="D652" s="20">
        <f>COUNTIFS(tData[SEHTrajectPeriodeDatumTijdVan],"&lt;="&amp;($A652+0/24),tData[SEHTrajectPeriodeDatumTijdTotEnMet],"&gt;"&amp;($A652+0/24))</f>
        <v/>
      </c>
      <c r="E652" s="20">
        <f>COUNTIFS(tData[SEHTrajectPeriodeDatumTijdVan],"&lt;="&amp;($A652+1/24),tData[SEHTrajectPeriodeDatumTijdTotEnMet],"&gt;"&amp;($A652+1/24))</f>
        <v/>
      </c>
      <c r="F652" s="20">
        <f>COUNTIFS(tData[SEHTrajectPeriodeDatumTijdVan],"&lt;="&amp;($A652+2/24),tData[SEHTrajectPeriodeDatumTijdTotEnMet],"&gt;"&amp;($A652+2/24))</f>
        <v/>
      </c>
      <c r="G652" s="20">
        <f>COUNTIFS(tData[SEHTrajectPeriodeDatumTijdVan],"&lt;="&amp;($A652+3/24),tData[SEHTrajectPeriodeDatumTijdTotEnMet],"&gt;"&amp;($A652+3/24))</f>
        <v/>
      </c>
      <c r="H652" s="20">
        <f>COUNTIFS(tData[SEHTrajectPeriodeDatumTijdVan],"&lt;="&amp;($A652+4/24),tData[SEHTrajectPeriodeDatumTijdTotEnMet],"&gt;"&amp;($A652+4/24))</f>
        <v/>
      </c>
      <c r="I652" s="20">
        <f>COUNTIFS(tData[SEHTrajectPeriodeDatumTijdVan],"&lt;="&amp;($A652+5/24),tData[SEHTrajectPeriodeDatumTijdTotEnMet],"&gt;"&amp;($A652+5/24))</f>
        <v/>
      </c>
      <c r="J652" s="20">
        <f>COUNTIFS(tData[SEHTrajectPeriodeDatumTijdVan],"&lt;="&amp;($A652+6/24),tData[SEHTrajectPeriodeDatumTijdTotEnMet],"&gt;"&amp;($A652+6/24))</f>
        <v/>
      </c>
      <c r="K652" s="20">
        <f>COUNTIFS(tData[SEHTrajectPeriodeDatumTijdVan],"&lt;="&amp;($A652+7/24),tData[SEHTrajectPeriodeDatumTijdTotEnMet],"&gt;"&amp;($A652+7/24))</f>
        <v/>
      </c>
      <c r="L652" s="20">
        <f>COUNTIFS(tData[SEHTrajectPeriodeDatumTijdVan],"&lt;="&amp;($A652+8/24),tData[SEHTrajectPeriodeDatumTijdTotEnMet],"&gt;"&amp;($A652+8/24))</f>
        <v/>
      </c>
      <c r="M652" s="20">
        <f>COUNTIFS(tData[SEHTrajectPeriodeDatumTijdVan],"&lt;="&amp;($A652+9/24),tData[SEHTrajectPeriodeDatumTijdTotEnMet],"&gt;"&amp;($A652+9/24))</f>
        <v/>
      </c>
      <c r="N652" s="20">
        <f>COUNTIFS(tData[SEHTrajectPeriodeDatumTijdVan],"&lt;="&amp;($A652+10/24),tData[SEHTrajectPeriodeDatumTijdTotEnMet],"&gt;"&amp;($A652+10/24))</f>
        <v/>
      </c>
      <c r="O652" s="20">
        <f>COUNTIFS(tData[SEHTrajectPeriodeDatumTijdVan],"&lt;="&amp;($A652+11/24),tData[SEHTrajectPeriodeDatumTijdTotEnMet],"&gt;"&amp;($A652+11/24))</f>
        <v/>
      </c>
      <c r="P652" s="20">
        <f>COUNTIFS(tData[SEHTrajectPeriodeDatumTijdVan],"&lt;="&amp;($A652+12/24),tData[SEHTrajectPeriodeDatumTijdTotEnMet],"&gt;"&amp;($A652+12/24))</f>
        <v/>
      </c>
      <c r="Q652" s="20">
        <f>COUNTIFS(tData[SEHTrajectPeriodeDatumTijdVan],"&lt;="&amp;($A652+13/24),tData[SEHTrajectPeriodeDatumTijdTotEnMet],"&gt;"&amp;($A652+13/24))</f>
        <v/>
      </c>
      <c r="R652" s="20">
        <f>COUNTIFS(tData[SEHTrajectPeriodeDatumTijdVan],"&lt;="&amp;($A652+14/24),tData[SEHTrajectPeriodeDatumTijdTotEnMet],"&gt;"&amp;($A652+14/24))</f>
        <v/>
      </c>
      <c r="S652" s="20">
        <f>COUNTIFS(tData[SEHTrajectPeriodeDatumTijdVan],"&lt;="&amp;($A652+15/24),tData[SEHTrajectPeriodeDatumTijdTotEnMet],"&gt;"&amp;($A652+15/24))</f>
        <v/>
      </c>
      <c r="T652" s="20">
        <f>COUNTIFS(tData[SEHTrajectPeriodeDatumTijdVan],"&lt;="&amp;($A652+16/24),tData[SEHTrajectPeriodeDatumTijdTotEnMet],"&gt;"&amp;($A652+16/24))</f>
        <v/>
      </c>
      <c r="U652" s="20">
        <f>COUNTIFS(tData[SEHTrajectPeriodeDatumTijdVan],"&lt;="&amp;($A652+17/24),tData[SEHTrajectPeriodeDatumTijdTotEnMet],"&gt;"&amp;($A652+17/24))</f>
        <v/>
      </c>
      <c r="V652" s="20">
        <f>COUNTIFS(tData[SEHTrajectPeriodeDatumTijdVan],"&lt;="&amp;($A652+18/24),tData[SEHTrajectPeriodeDatumTijdTotEnMet],"&gt;"&amp;($A652+18/24))</f>
        <v/>
      </c>
      <c r="W652" s="20">
        <f>COUNTIFS(tData[SEHTrajectPeriodeDatumTijdVan],"&lt;="&amp;($A652+19/24),tData[SEHTrajectPeriodeDatumTijdTotEnMet],"&gt;"&amp;($A652+19/24))</f>
        <v/>
      </c>
      <c r="X652" s="20">
        <f>COUNTIFS(tData[SEHTrajectPeriodeDatumTijdVan],"&lt;="&amp;($A652+20/24),tData[SEHTrajectPeriodeDatumTijdTotEnMet],"&gt;"&amp;($A652+20/24))</f>
        <v/>
      </c>
      <c r="Y652" s="20">
        <f>COUNTIFS(tData[SEHTrajectPeriodeDatumTijdVan],"&lt;="&amp;($A652+21/24),tData[SEHTrajectPeriodeDatumTijdTotEnMet],"&gt;"&amp;($A652+21/24))</f>
        <v/>
      </c>
      <c r="Z652" s="20">
        <f>COUNTIFS(tData[SEHTrajectPeriodeDatumTijdVan],"&lt;="&amp;($A652+22/24),tData[SEHTrajectPeriodeDatumTijdTotEnMet],"&gt;"&amp;($A652+22/24))</f>
        <v/>
      </c>
      <c r="AA652" s="20">
        <f>COUNTIFS(tData[SEHTrajectPeriodeDatumTijdVan],"&lt;="&amp;($A652+23/24),tData[SEHTrajectPeriodeDatumTijdTotEnMet],"&gt;"&amp;($A652+23/24))</f>
        <v/>
      </c>
    </row>
    <row r="653">
      <c r="A653" s="19" t="n">
        <v>45941</v>
      </c>
      <c r="B653" s="15">
        <f>WEEKDAY($A653,2)</f>
        <v/>
      </c>
      <c r="C653" s="15">
        <f>IF(AND($A653&gt;=INT(Instellingen!$B$5),$A653&lt;=INT(Instellingen!$B$6)),1,0)</f>
        <v/>
      </c>
      <c r="D653" s="20">
        <f>COUNTIFS(tData[SEHTrajectPeriodeDatumTijdVan],"&lt;="&amp;($A653+0/24),tData[SEHTrajectPeriodeDatumTijdTotEnMet],"&gt;"&amp;($A653+0/24))</f>
        <v/>
      </c>
      <c r="E653" s="20">
        <f>COUNTIFS(tData[SEHTrajectPeriodeDatumTijdVan],"&lt;="&amp;($A653+1/24),tData[SEHTrajectPeriodeDatumTijdTotEnMet],"&gt;"&amp;($A653+1/24))</f>
        <v/>
      </c>
      <c r="F653" s="20">
        <f>COUNTIFS(tData[SEHTrajectPeriodeDatumTijdVan],"&lt;="&amp;($A653+2/24),tData[SEHTrajectPeriodeDatumTijdTotEnMet],"&gt;"&amp;($A653+2/24))</f>
        <v/>
      </c>
      <c r="G653" s="20">
        <f>COUNTIFS(tData[SEHTrajectPeriodeDatumTijdVan],"&lt;="&amp;($A653+3/24),tData[SEHTrajectPeriodeDatumTijdTotEnMet],"&gt;"&amp;($A653+3/24))</f>
        <v/>
      </c>
      <c r="H653" s="20">
        <f>COUNTIFS(tData[SEHTrajectPeriodeDatumTijdVan],"&lt;="&amp;($A653+4/24),tData[SEHTrajectPeriodeDatumTijdTotEnMet],"&gt;"&amp;($A653+4/24))</f>
        <v/>
      </c>
      <c r="I653" s="20">
        <f>COUNTIFS(tData[SEHTrajectPeriodeDatumTijdVan],"&lt;="&amp;($A653+5/24),tData[SEHTrajectPeriodeDatumTijdTotEnMet],"&gt;"&amp;($A653+5/24))</f>
        <v/>
      </c>
      <c r="J653" s="20">
        <f>COUNTIFS(tData[SEHTrajectPeriodeDatumTijdVan],"&lt;="&amp;($A653+6/24),tData[SEHTrajectPeriodeDatumTijdTotEnMet],"&gt;"&amp;($A653+6/24))</f>
        <v/>
      </c>
      <c r="K653" s="20">
        <f>COUNTIFS(tData[SEHTrajectPeriodeDatumTijdVan],"&lt;="&amp;($A653+7/24),tData[SEHTrajectPeriodeDatumTijdTotEnMet],"&gt;"&amp;($A653+7/24))</f>
        <v/>
      </c>
      <c r="L653" s="20">
        <f>COUNTIFS(tData[SEHTrajectPeriodeDatumTijdVan],"&lt;="&amp;($A653+8/24),tData[SEHTrajectPeriodeDatumTijdTotEnMet],"&gt;"&amp;($A653+8/24))</f>
        <v/>
      </c>
      <c r="M653" s="20">
        <f>COUNTIFS(tData[SEHTrajectPeriodeDatumTijdVan],"&lt;="&amp;($A653+9/24),tData[SEHTrajectPeriodeDatumTijdTotEnMet],"&gt;"&amp;($A653+9/24))</f>
        <v/>
      </c>
      <c r="N653" s="20">
        <f>COUNTIFS(tData[SEHTrajectPeriodeDatumTijdVan],"&lt;="&amp;($A653+10/24),tData[SEHTrajectPeriodeDatumTijdTotEnMet],"&gt;"&amp;($A653+10/24))</f>
        <v/>
      </c>
      <c r="O653" s="20">
        <f>COUNTIFS(tData[SEHTrajectPeriodeDatumTijdVan],"&lt;="&amp;($A653+11/24),tData[SEHTrajectPeriodeDatumTijdTotEnMet],"&gt;"&amp;($A653+11/24))</f>
        <v/>
      </c>
      <c r="P653" s="20">
        <f>COUNTIFS(tData[SEHTrajectPeriodeDatumTijdVan],"&lt;="&amp;($A653+12/24),tData[SEHTrajectPeriodeDatumTijdTotEnMet],"&gt;"&amp;($A653+12/24))</f>
        <v/>
      </c>
      <c r="Q653" s="20">
        <f>COUNTIFS(tData[SEHTrajectPeriodeDatumTijdVan],"&lt;="&amp;($A653+13/24),tData[SEHTrajectPeriodeDatumTijdTotEnMet],"&gt;"&amp;($A653+13/24))</f>
        <v/>
      </c>
      <c r="R653" s="20">
        <f>COUNTIFS(tData[SEHTrajectPeriodeDatumTijdVan],"&lt;="&amp;($A653+14/24),tData[SEHTrajectPeriodeDatumTijdTotEnMet],"&gt;"&amp;($A653+14/24))</f>
        <v/>
      </c>
      <c r="S653" s="20">
        <f>COUNTIFS(tData[SEHTrajectPeriodeDatumTijdVan],"&lt;="&amp;($A653+15/24),tData[SEHTrajectPeriodeDatumTijdTotEnMet],"&gt;"&amp;($A653+15/24))</f>
        <v/>
      </c>
      <c r="T653" s="20">
        <f>COUNTIFS(tData[SEHTrajectPeriodeDatumTijdVan],"&lt;="&amp;($A653+16/24),tData[SEHTrajectPeriodeDatumTijdTotEnMet],"&gt;"&amp;($A653+16/24))</f>
        <v/>
      </c>
      <c r="U653" s="20">
        <f>COUNTIFS(tData[SEHTrajectPeriodeDatumTijdVan],"&lt;="&amp;($A653+17/24),tData[SEHTrajectPeriodeDatumTijdTotEnMet],"&gt;"&amp;($A653+17/24))</f>
        <v/>
      </c>
      <c r="V653" s="20">
        <f>COUNTIFS(tData[SEHTrajectPeriodeDatumTijdVan],"&lt;="&amp;($A653+18/24),tData[SEHTrajectPeriodeDatumTijdTotEnMet],"&gt;"&amp;($A653+18/24))</f>
        <v/>
      </c>
      <c r="W653" s="20">
        <f>COUNTIFS(tData[SEHTrajectPeriodeDatumTijdVan],"&lt;="&amp;($A653+19/24),tData[SEHTrajectPeriodeDatumTijdTotEnMet],"&gt;"&amp;($A653+19/24))</f>
        <v/>
      </c>
      <c r="X653" s="20">
        <f>COUNTIFS(tData[SEHTrajectPeriodeDatumTijdVan],"&lt;="&amp;($A653+20/24),tData[SEHTrajectPeriodeDatumTijdTotEnMet],"&gt;"&amp;($A653+20/24))</f>
        <v/>
      </c>
      <c r="Y653" s="20">
        <f>COUNTIFS(tData[SEHTrajectPeriodeDatumTijdVan],"&lt;="&amp;($A653+21/24),tData[SEHTrajectPeriodeDatumTijdTotEnMet],"&gt;"&amp;($A653+21/24))</f>
        <v/>
      </c>
      <c r="Z653" s="20">
        <f>COUNTIFS(tData[SEHTrajectPeriodeDatumTijdVan],"&lt;="&amp;($A653+22/24),tData[SEHTrajectPeriodeDatumTijdTotEnMet],"&gt;"&amp;($A653+22/24))</f>
        <v/>
      </c>
      <c r="AA653" s="20">
        <f>COUNTIFS(tData[SEHTrajectPeriodeDatumTijdVan],"&lt;="&amp;($A653+23/24),tData[SEHTrajectPeriodeDatumTijdTotEnMet],"&gt;"&amp;($A653+23/24))</f>
        <v/>
      </c>
    </row>
    <row r="654">
      <c r="A654" s="19" t="n">
        <v>45942</v>
      </c>
      <c r="B654" s="15">
        <f>WEEKDAY($A654,2)</f>
        <v/>
      </c>
      <c r="C654" s="15">
        <f>IF(AND($A654&gt;=INT(Instellingen!$B$5),$A654&lt;=INT(Instellingen!$B$6)),1,0)</f>
        <v/>
      </c>
      <c r="D654" s="20">
        <f>COUNTIFS(tData[SEHTrajectPeriodeDatumTijdVan],"&lt;="&amp;($A654+0/24),tData[SEHTrajectPeriodeDatumTijdTotEnMet],"&gt;"&amp;($A654+0/24))</f>
        <v/>
      </c>
      <c r="E654" s="20">
        <f>COUNTIFS(tData[SEHTrajectPeriodeDatumTijdVan],"&lt;="&amp;($A654+1/24),tData[SEHTrajectPeriodeDatumTijdTotEnMet],"&gt;"&amp;($A654+1/24))</f>
        <v/>
      </c>
      <c r="F654" s="20">
        <f>COUNTIFS(tData[SEHTrajectPeriodeDatumTijdVan],"&lt;="&amp;($A654+2/24),tData[SEHTrajectPeriodeDatumTijdTotEnMet],"&gt;"&amp;($A654+2/24))</f>
        <v/>
      </c>
      <c r="G654" s="20">
        <f>COUNTIFS(tData[SEHTrajectPeriodeDatumTijdVan],"&lt;="&amp;($A654+3/24),tData[SEHTrajectPeriodeDatumTijdTotEnMet],"&gt;"&amp;($A654+3/24))</f>
        <v/>
      </c>
      <c r="H654" s="20">
        <f>COUNTIFS(tData[SEHTrajectPeriodeDatumTijdVan],"&lt;="&amp;($A654+4/24),tData[SEHTrajectPeriodeDatumTijdTotEnMet],"&gt;"&amp;($A654+4/24))</f>
        <v/>
      </c>
      <c r="I654" s="20">
        <f>COUNTIFS(tData[SEHTrajectPeriodeDatumTijdVan],"&lt;="&amp;($A654+5/24),tData[SEHTrajectPeriodeDatumTijdTotEnMet],"&gt;"&amp;($A654+5/24))</f>
        <v/>
      </c>
      <c r="J654" s="20">
        <f>COUNTIFS(tData[SEHTrajectPeriodeDatumTijdVan],"&lt;="&amp;($A654+6/24),tData[SEHTrajectPeriodeDatumTijdTotEnMet],"&gt;"&amp;($A654+6/24))</f>
        <v/>
      </c>
      <c r="K654" s="20">
        <f>COUNTIFS(tData[SEHTrajectPeriodeDatumTijdVan],"&lt;="&amp;($A654+7/24),tData[SEHTrajectPeriodeDatumTijdTotEnMet],"&gt;"&amp;($A654+7/24))</f>
        <v/>
      </c>
      <c r="L654" s="20">
        <f>COUNTIFS(tData[SEHTrajectPeriodeDatumTijdVan],"&lt;="&amp;($A654+8/24),tData[SEHTrajectPeriodeDatumTijdTotEnMet],"&gt;"&amp;($A654+8/24))</f>
        <v/>
      </c>
      <c r="M654" s="20">
        <f>COUNTIFS(tData[SEHTrajectPeriodeDatumTijdVan],"&lt;="&amp;($A654+9/24),tData[SEHTrajectPeriodeDatumTijdTotEnMet],"&gt;"&amp;($A654+9/24))</f>
        <v/>
      </c>
      <c r="N654" s="20">
        <f>COUNTIFS(tData[SEHTrajectPeriodeDatumTijdVan],"&lt;="&amp;($A654+10/24),tData[SEHTrajectPeriodeDatumTijdTotEnMet],"&gt;"&amp;($A654+10/24))</f>
        <v/>
      </c>
      <c r="O654" s="20">
        <f>COUNTIFS(tData[SEHTrajectPeriodeDatumTijdVan],"&lt;="&amp;($A654+11/24),tData[SEHTrajectPeriodeDatumTijdTotEnMet],"&gt;"&amp;($A654+11/24))</f>
        <v/>
      </c>
      <c r="P654" s="20">
        <f>COUNTIFS(tData[SEHTrajectPeriodeDatumTijdVan],"&lt;="&amp;($A654+12/24),tData[SEHTrajectPeriodeDatumTijdTotEnMet],"&gt;"&amp;($A654+12/24))</f>
        <v/>
      </c>
      <c r="Q654" s="20">
        <f>COUNTIFS(tData[SEHTrajectPeriodeDatumTijdVan],"&lt;="&amp;($A654+13/24),tData[SEHTrajectPeriodeDatumTijdTotEnMet],"&gt;"&amp;($A654+13/24))</f>
        <v/>
      </c>
      <c r="R654" s="20">
        <f>COUNTIFS(tData[SEHTrajectPeriodeDatumTijdVan],"&lt;="&amp;($A654+14/24),tData[SEHTrajectPeriodeDatumTijdTotEnMet],"&gt;"&amp;($A654+14/24))</f>
        <v/>
      </c>
      <c r="S654" s="20">
        <f>COUNTIFS(tData[SEHTrajectPeriodeDatumTijdVan],"&lt;="&amp;($A654+15/24),tData[SEHTrajectPeriodeDatumTijdTotEnMet],"&gt;"&amp;($A654+15/24))</f>
        <v/>
      </c>
      <c r="T654" s="20">
        <f>COUNTIFS(tData[SEHTrajectPeriodeDatumTijdVan],"&lt;="&amp;($A654+16/24),tData[SEHTrajectPeriodeDatumTijdTotEnMet],"&gt;"&amp;($A654+16/24))</f>
        <v/>
      </c>
      <c r="U654" s="20">
        <f>COUNTIFS(tData[SEHTrajectPeriodeDatumTijdVan],"&lt;="&amp;($A654+17/24),tData[SEHTrajectPeriodeDatumTijdTotEnMet],"&gt;"&amp;($A654+17/24))</f>
        <v/>
      </c>
      <c r="V654" s="20">
        <f>COUNTIFS(tData[SEHTrajectPeriodeDatumTijdVan],"&lt;="&amp;($A654+18/24),tData[SEHTrajectPeriodeDatumTijdTotEnMet],"&gt;"&amp;($A654+18/24))</f>
        <v/>
      </c>
      <c r="W654" s="20">
        <f>COUNTIFS(tData[SEHTrajectPeriodeDatumTijdVan],"&lt;="&amp;($A654+19/24),tData[SEHTrajectPeriodeDatumTijdTotEnMet],"&gt;"&amp;($A654+19/24))</f>
        <v/>
      </c>
      <c r="X654" s="20">
        <f>COUNTIFS(tData[SEHTrajectPeriodeDatumTijdVan],"&lt;="&amp;($A654+20/24),tData[SEHTrajectPeriodeDatumTijdTotEnMet],"&gt;"&amp;($A654+20/24))</f>
        <v/>
      </c>
      <c r="Y654" s="20">
        <f>COUNTIFS(tData[SEHTrajectPeriodeDatumTijdVan],"&lt;="&amp;($A654+21/24),tData[SEHTrajectPeriodeDatumTijdTotEnMet],"&gt;"&amp;($A654+21/24))</f>
        <v/>
      </c>
      <c r="Z654" s="20">
        <f>COUNTIFS(tData[SEHTrajectPeriodeDatumTijdVan],"&lt;="&amp;($A654+22/24),tData[SEHTrajectPeriodeDatumTijdTotEnMet],"&gt;"&amp;($A654+22/24))</f>
        <v/>
      </c>
      <c r="AA654" s="20">
        <f>COUNTIFS(tData[SEHTrajectPeriodeDatumTijdVan],"&lt;="&amp;($A654+23/24),tData[SEHTrajectPeriodeDatumTijdTotEnMet],"&gt;"&amp;($A654+23/24))</f>
        <v/>
      </c>
    </row>
    <row r="655">
      <c r="A655" s="19" t="n">
        <v>45943</v>
      </c>
      <c r="B655" s="15">
        <f>WEEKDAY($A655,2)</f>
        <v/>
      </c>
      <c r="C655" s="15">
        <f>IF(AND($A655&gt;=INT(Instellingen!$B$5),$A655&lt;=INT(Instellingen!$B$6)),1,0)</f>
        <v/>
      </c>
      <c r="D655" s="20">
        <f>COUNTIFS(tData[SEHTrajectPeriodeDatumTijdVan],"&lt;="&amp;($A655+0/24),tData[SEHTrajectPeriodeDatumTijdTotEnMet],"&gt;"&amp;($A655+0/24))</f>
        <v/>
      </c>
      <c r="E655" s="20">
        <f>COUNTIFS(tData[SEHTrajectPeriodeDatumTijdVan],"&lt;="&amp;($A655+1/24),tData[SEHTrajectPeriodeDatumTijdTotEnMet],"&gt;"&amp;($A655+1/24))</f>
        <v/>
      </c>
      <c r="F655" s="20">
        <f>COUNTIFS(tData[SEHTrajectPeriodeDatumTijdVan],"&lt;="&amp;($A655+2/24),tData[SEHTrajectPeriodeDatumTijdTotEnMet],"&gt;"&amp;($A655+2/24))</f>
        <v/>
      </c>
      <c r="G655" s="20">
        <f>COUNTIFS(tData[SEHTrajectPeriodeDatumTijdVan],"&lt;="&amp;($A655+3/24),tData[SEHTrajectPeriodeDatumTijdTotEnMet],"&gt;"&amp;($A655+3/24))</f>
        <v/>
      </c>
      <c r="H655" s="20">
        <f>COUNTIFS(tData[SEHTrajectPeriodeDatumTijdVan],"&lt;="&amp;($A655+4/24),tData[SEHTrajectPeriodeDatumTijdTotEnMet],"&gt;"&amp;($A655+4/24))</f>
        <v/>
      </c>
      <c r="I655" s="20">
        <f>COUNTIFS(tData[SEHTrajectPeriodeDatumTijdVan],"&lt;="&amp;($A655+5/24),tData[SEHTrajectPeriodeDatumTijdTotEnMet],"&gt;"&amp;($A655+5/24))</f>
        <v/>
      </c>
      <c r="J655" s="20">
        <f>COUNTIFS(tData[SEHTrajectPeriodeDatumTijdVan],"&lt;="&amp;($A655+6/24),tData[SEHTrajectPeriodeDatumTijdTotEnMet],"&gt;"&amp;($A655+6/24))</f>
        <v/>
      </c>
      <c r="K655" s="20">
        <f>COUNTIFS(tData[SEHTrajectPeriodeDatumTijdVan],"&lt;="&amp;($A655+7/24),tData[SEHTrajectPeriodeDatumTijdTotEnMet],"&gt;"&amp;($A655+7/24))</f>
        <v/>
      </c>
      <c r="L655" s="20">
        <f>COUNTIFS(tData[SEHTrajectPeriodeDatumTijdVan],"&lt;="&amp;($A655+8/24),tData[SEHTrajectPeriodeDatumTijdTotEnMet],"&gt;"&amp;($A655+8/24))</f>
        <v/>
      </c>
      <c r="M655" s="20">
        <f>COUNTIFS(tData[SEHTrajectPeriodeDatumTijdVan],"&lt;="&amp;($A655+9/24),tData[SEHTrajectPeriodeDatumTijdTotEnMet],"&gt;"&amp;($A655+9/24))</f>
        <v/>
      </c>
      <c r="N655" s="20">
        <f>COUNTIFS(tData[SEHTrajectPeriodeDatumTijdVan],"&lt;="&amp;($A655+10/24),tData[SEHTrajectPeriodeDatumTijdTotEnMet],"&gt;"&amp;($A655+10/24))</f>
        <v/>
      </c>
      <c r="O655" s="20">
        <f>COUNTIFS(tData[SEHTrajectPeriodeDatumTijdVan],"&lt;="&amp;($A655+11/24),tData[SEHTrajectPeriodeDatumTijdTotEnMet],"&gt;"&amp;($A655+11/24))</f>
        <v/>
      </c>
      <c r="P655" s="20">
        <f>COUNTIFS(tData[SEHTrajectPeriodeDatumTijdVan],"&lt;="&amp;($A655+12/24),tData[SEHTrajectPeriodeDatumTijdTotEnMet],"&gt;"&amp;($A655+12/24))</f>
        <v/>
      </c>
      <c r="Q655" s="20">
        <f>COUNTIFS(tData[SEHTrajectPeriodeDatumTijdVan],"&lt;="&amp;($A655+13/24),tData[SEHTrajectPeriodeDatumTijdTotEnMet],"&gt;"&amp;($A655+13/24))</f>
        <v/>
      </c>
      <c r="R655" s="20">
        <f>COUNTIFS(tData[SEHTrajectPeriodeDatumTijdVan],"&lt;="&amp;($A655+14/24),tData[SEHTrajectPeriodeDatumTijdTotEnMet],"&gt;"&amp;($A655+14/24))</f>
        <v/>
      </c>
      <c r="S655" s="20">
        <f>COUNTIFS(tData[SEHTrajectPeriodeDatumTijdVan],"&lt;="&amp;($A655+15/24),tData[SEHTrajectPeriodeDatumTijdTotEnMet],"&gt;"&amp;($A655+15/24))</f>
        <v/>
      </c>
      <c r="T655" s="20">
        <f>COUNTIFS(tData[SEHTrajectPeriodeDatumTijdVan],"&lt;="&amp;($A655+16/24),tData[SEHTrajectPeriodeDatumTijdTotEnMet],"&gt;"&amp;($A655+16/24))</f>
        <v/>
      </c>
      <c r="U655" s="20">
        <f>COUNTIFS(tData[SEHTrajectPeriodeDatumTijdVan],"&lt;="&amp;($A655+17/24),tData[SEHTrajectPeriodeDatumTijdTotEnMet],"&gt;"&amp;($A655+17/24))</f>
        <v/>
      </c>
      <c r="V655" s="20">
        <f>COUNTIFS(tData[SEHTrajectPeriodeDatumTijdVan],"&lt;="&amp;($A655+18/24),tData[SEHTrajectPeriodeDatumTijdTotEnMet],"&gt;"&amp;($A655+18/24))</f>
        <v/>
      </c>
      <c r="W655" s="20">
        <f>COUNTIFS(tData[SEHTrajectPeriodeDatumTijdVan],"&lt;="&amp;($A655+19/24),tData[SEHTrajectPeriodeDatumTijdTotEnMet],"&gt;"&amp;($A655+19/24))</f>
        <v/>
      </c>
      <c r="X655" s="20">
        <f>COUNTIFS(tData[SEHTrajectPeriodeDatumTijdVan],"&lt;="&amp;($A655+20/24),tData[SEHTrajectPeriodeDatumTijdTotEnMet],"&gt;"&amp;($A655+20/24))</f>
        <v/>
      </c>
      <c r="Y655" s="20">
        <f>COUNTIFS(tData[SEHTrajectPeriodeDatumTijdVan],"&lt;="&amp;($A655+21/24),tData[SEHTrajectPeriodeDatumTijdTotEnMet],"&gt;"&amp;($A655+21/24))</f>
        <v/>
      </c>
      <c r="Z655" s="20">
        <f>COUNTIFS(tData[SEHTrajectPeriodeDatumTijdVan],"&lt;="&amp;($A655+22/24),tData[SEHTrajectPeriodeDatumTijdTotEnMet],"&gt;"&amp;($A655+22/24))</f>
        <v/>
      </c>
      <c r="AA655" s="20">
        <f>COUNTIFS(tData[SEHTrajectPeriodeDatumTijdVan],"&lt;="&amp;($A655+23/24),tData[SEHTrajectPeriodeDatumTijdTotEnMet],"&gt;"&amp;($A655+23/24))</f>
        <v/>
      </c>
    </row>
    <row r="656">
      <c r="A656" s="19" t="n">
        <v>45944</v>
      </c>
      <c r="B656" s="15">
        <f>WEEKDAY($A656,2)</f>
        <v/>
      </c>
      <c r="C656" s="15">
        <f>IF(AND($A656&gt;=INT(Instellingen!$B$5),$A656&lt;=INT(Instellingen!$B$6)),1,0)</f>
        <v/>
      </c>
      <c r="D656" s="20">
        <f>COUNTIFS(tData[SEHTrajectPeriodeDatumTijdVan],"&lt;="&amp;($A656+0/24),tData[SEHTrajectPeriodeDatumTijdTotEnMet],"&gt;"&amp;($A656+0/24))</f>
        <v/>
      </c>
      <c r="E656" s="20">
        <f>COUNTIFS(tData[SEHTrajectPeriodeDatumTijdVan],"&lt;="&amp;($A656+1/24),tData[SEHTrajectPeriodeDatumTijdTotEnMet],"&gt;"&amp;($A656+1/24))</f>
        <v/>
      </c>
      <c r="F656" s="20">
        <f>COUNTIFS(tData[SEHTrajectPeriodeDatumTijdVan],"&lt;="&amp;($A656+2/24),tData[SEHTrajectPeriodeDatumTijdTotEnMet],"&gt;"&amp;($A656+2/24))</f>
        <v/>
      </c>
      <c r="G656" s="20">
        <f>COUNTIFS(tData[SEHTrajectPeriodeDatumTijdVan],"&lt;="&amp;($A656+3/24),tData[SEHTrajectPeriodeDatumTijdTotEnMet],"&gt;"&amp;($A656+3/24))</f>
        <v/>
      </c>
      <c r="H656" s="20">
        <f>COUNTIFS(tData[SEHTrajectPeriodeDatumTijdVan],"&lt;="&amp;($A656+4/24),tData[SEHTrajectPeriodeDatumTijdTotEnMet],"&gt;"&amp;($A656+4/24))</f>
        <v/>
      </c>
      <c r="I656" s="20">
        <f>COUNTIFS(tData[SEHTrajectPeriodeDatumTijdVan],"&lt;="&amp;($A656+5/24),tData[SEHTrajectPeriodeDatumTijdTotEnMet],"&gt;"&amp;($A656+5/24))</f>
        <v/>
      </c>
      <c r="J656" s="20">
        <f>COUNTIFS(tData[SEHTrajectPeriodeDatumTijdVan],"&lt;="&amp;($A656+6/24),tData[SEHTrajectPeriodeDatumTijdTotEnMet],"&gt;"&amp;($A656+6/24))</f>
        <v/>
      </c>
      <c r="K656" s="20">
        <f>COUNTIFS(tData[SEHTrajectPeriodeDatumTijdVan],"&lt;="&amp;($A656+7/24),tData[SEHTrajectPeriodeDatumTijdTotEnMet],"&gt;"&amp;($A656+7/24))</f>
        <v/>
      </c>
      <c r="L656" s="20">
        <f>COUNTIFS(tData[SEHTrajectPeriodeDatumTijdVan],"&lt;="&amp;($A656+8/24),tData[SEHTrajectPeriodeDatumTijdTotEnMet],"&gt;"&amp;($A656+8/24))</f>
        <v/>
      </c>
      <c r="M656" s="20">
        <f>COUNTIFS(tData[SEHTrajectPeriodeDatumTijdVan],"&lt;="&amp;($A656+9/24),tData[SEHTrajectPeriodeDatumTijdTotEnMet],"&gt;"&amp;($A656+9/24))</f>
        <v/>
      </c>
      <c r="N656" s="20">
        <f>COUNTIFS(tData[SEHTrajectPeriodeDatumTijdVan],"&lt;="&amp;($A656+10/24),tData[SEHTrajectPeriodeDatumTijdTotEnMet],"&gt;"&amp;($A656+10/24))</f>
        <v/>
      </c>
      <c r="O656" s="20">
        <f>COUNTIFS(tData[SEHTrajectPeriodeDatumTijdVan],"&lt;="&amp;($A656+11/24),tData[SEHTrajectPeriodeDatumTijdTotEnMet],"&gt;"&amp;($A656+11/24))</f>
        <v/>
      </c>
      <c r="P656" s="20">
        <f>COUNTIFS(tData[SEHTrajectPeriodeDatumTijdVan],"&lt;="&amp;($A656+12/24),tData[SEHTrajectPeriodeDatumTijdTotEnMet],"&gt;"&amp;($A656+12/24))</f>
        <v/>
      </c>
      <c r="Q656" s="20">
        <f>COUNTIFS(tData[SEHTrajectPeriodeDatumTijdVan],"&lt;="&amp;($A656+13/24),tData[SEHTrajectPeriodeDatumTijdTotEnMet],"&gt;"&amp;($A656+13/24))</f>
        <v/>
      </c>
      <c r="R656" s="20">
        <f>COUNTIFS(tData[SEHTrajectPeriodeDatumTijdVan],"&lt;="&amp;($A656+14/24),tData[SEHTrajectPeriodeDatumTijdTotEnMet],"&gt;"&amp;($A656+14/24))</f>
        <v/>
      </c>
      <c r="S656" s="20">
        <f>COUNTIFS(tData[SEHTrajectPeriodeDatumTijdVan],"&lt;="&amp;($A656+15/24),tData[SEHTrajectPeriodeDatumTijdTotEnMet],"&gt;"&amp;($A656+15/24))</f>
        <v/>
      </c>
      <c r="T656" s="20">
        <f>COUNTIFS(tData[SEHTrajectPeriodeDatumTijdVan],"&lt;="&amp;($A656+16/24),tData[SEHTrajectPeriodeDatumTijdTotEnMet],"&gt;"&amp;($A656+16/24))</f>
        <v/>
      </c>
      <c r="U656" s="20">
        <f>COUNTIFS(tData[SEHTrajectPeriodeDatumTijdVan],"&lt;="&amp;($A656+17/24),tData[SEHTrajectPeriodeDatumTijdTotEnMet],"&gt;"&amp;($A656+17/24))</f>
        <v/>
      </c>
      <c r="V656" s="20">
        <f>COUNTIFS(tData[SEHTrajectPeriodeDatumTijdVan],"&lt;="&amp;($A656+18/24),tData[SEHTrajectPeriodeDatumTijdTotEnMet],"&gt;"&amp;($A656+18/24))</f>
        <v/>
      </c>
      <c r="W656" s="20">
        <f>COUNTIFS(tData[SEHTrajectPeriodeDatumTijdVan],"&lt;="&amp;($A656+19/24),tData[SEHTrajectPeriodeDatumTijdTotEnMet],"&gt;"&amp;($A656+19/24))</f>
        <v/>
      </c>
      <c r="X656" s="20">
        <f>COUNTIFS(tData[SEHTrajectPeriodeDatumTijdVan],"&lt;="&amp;($A656+20/24),tData[SEHTrajectPeriodeDatumTijdTotEnMet],"&gt;"&amp;($A656+20/24))</f>
        <v/>
      </c>
      <c r="Y656" s="20">
        <f>COUNTIFS(tData[SEHTrajectPeriodeDatumTijdVan],"&lt;="&amp;($A656+21/24),tData[SEHTrajectPeriodeDatumTijdTotEnMet],"&gt;"&amp;($A656+21/24))</f>
        <v/>
      </c>
      <c r="Z656" s="20">
        <f>COUNTIFS(tData[SEHTrajectPeriodeDatumTijdVan],"&lt;="&amp;($A656+22/24),tData[SEHTrajectPeriodeDatumTijdTotEnMet],"&gt;"&amp;($A656+22/24))</f>
        <v/>
      </c>
      <c r="AA656" s="20">
        <f>COUNTIFS(tData[SEHTrajectPeriodeDatumTijdVan],"&lt;="&amp;($A656+23/24),tData[SEHTrajectPeriodeDatumTijdTotEnMet],"&gt;"&amp;($A656+23/24))</f>
        <v/>
      </c>
    </row>
    <row r="657">
      <c r="A657" s="19" t="n">
        <v>45945</v>
      </c>
      <c r="B657" s="15">
        <f>WEEKDAY($A657,2)</f>
        <v/>
      </c>
      <c r="C657" s="15">
        <f>IF(AND($A657&gt;=INT(Instellingen!$B$5),$A657&lt;=INT(Instellingen!$B$6)),1,0)</f>
        <v/>
      </c>
      <c r="D657" s="20">
        <f>COUNTIFS(tData[SEHTrajectPeriodeDatumTijdVan],"&lt;="&amp;($A657+0/24),tData[SEHTrajectPeriodeDatumTijdTotEnMet],"&gt;"&amp;($A657+0/24))</f>
        <v/>
      </c>
      <c r="E657" s="20">
        <f>COUNTIFS(tData[SEHTrajectPeriodeDatumTijdVan],"&lt;="&amp;($A657+1/24),tData[SEHTrajectPeriodeDatumTijdTotEnMet],"&gt;"&amp;($A657+1/24))</f>
        <v/>
      </c>
      <c r="F657" s="20">
        <f>COUNTIFS(tData[SEHTrajectPeriodeDatumTijdVan],"&lt;="&amp;($A657+2/24),tData[SEHTrajectPeriodeDatumTijdTotEnMet],"&gt;"&amp;($A657+2/24))</f>
        <v/>
      </c>
      <c r="G657" s="20">
        <f>COUNTIFS(tData[SEHTrajectPeriodeDatumTijdVan],"&lt;="&amp;($A657+3/24),tData[SEHTrajectPeriodeDatumTijdTotEnMet],"&gt;"&amp;($A657+3/24))</f>
        <v/>
      </c>
      <c r="H657" s="20">
        <f>COUNTIFS(tData[SEHTrajectPeriodeDatumTijdVan],"&lt;="&amp;($A657+4/24),tData[SEHTrajectPeriodeDatumTijdTotEnMet],"&gt;"&amp;($A657+4/24))</f>
        <v/>
      </c>
      <c r="I657" s="20">
        <f>COUNTIFS(tData[SEHTrajectPeriodeDatumTijdVan],"&lt;="&amp;($A657+5/24),tData[SEHTrajectPeriodeDatumTijdTotEnMet],"&gt;"&amp;($A657+5/24))</f>
        <v/>
      </c>
      <c r="J657" s="20">
        <f>COUNTIFS(tData[SEHTrajectPeriodeDatumTijdVan],"&lt;="&amp;($A657+6/24),tData[SEHTrajectPeriodeDatumTijdTotEnMet],"&gt;"&amp;($A657+6/24))</f>
        <v/>
      </c>
      <c r="K657" s="20">
        <f>COUNTIFS(tData[SEHTrajectPeriodeDatumTijdVan],"&lt;="&amp;($A657+7/24),tData[SEHTrajectPeriodeDatumTijdTotEnMet],"&gt;"&amp;($A657+7/24))</f>
        <v/>
      </c>
      <c r="L657" s="20">
        <f>COUNTIFS(tData[SEHTrajectPeriodeDatumTijdVan],"&lt;="&amp;($A657+8/24),tData[SEHTrajectPeriodeDatumTijdTotEnMet],"&gt;"&amp;($A657+8/24))</f>
        <v/>
      </c>
      <c r="M657" s="20">
        <f>COUNTIFS(tData[SEHTrajectPeriodeDatumTijdVan],"&lt;="&amp;($A657+9/24),tData[SEHTrajectPeriodeDatumTijdTotEnMet],"&gt;"&amp;($A657+9/24))</f>
        <v/>
      </c>
      <c r="N657" s="20">
        <f>COUNTIFS(tData[SEHTrajectPeriodeDatumTijdVan],"&lt;="&amp;($A657+10/24),tData[SEHTrajectPeriodeDatumTijdTotEnMet],"&gt;"&amp;($A657+10/24))</f>
        <v/>
      </c>
      <c r="O657" s="20">
        <f>COUNTIFS(tData[SEHTrajectPeriodeDatumTijdVan],"&lt;="&amp;($A657+11/24),tData[SEHTrajectPeriodeDatumTijdTotEnMet],"&gt;"&amp;($A657+11/24))</f>
        <v/>
      </c>
      <c r="P657" s="20">
        <f>COUNTIFS(tData[SEHTrajectPeriodeDatumTijdVan],"&lt;="&amp;($A657+12/24),tData[SEHTrajectPeriodeDatumTijdTotEnMet],"&gt;"&amp;($A657+12/24))</f>
        <v/>
      </c>
      <c r="Q657" s="20">
        <f>COUNTIFS(tData[SEHTrajectPeriodeDatumTijdVan],"&lt;="&amp;($A657+13/24),tData[SEHTrajectPeriodeDatumTijdTotEnMet],"&gt;"&amp;($A657+13/24))</f>
        <v/>
      </c>
      <c r="R657" s="20">
        <f>COUNTIFS(tData[SEHTrajectPeriodeDatumTijdVan],"&lt;="&amp;($A657+14/24),tData[SEHTrajectPeriodeDatumTijdTotEnMet],"&gt;"&amp;($A657+14/24))</f>
        <v/>
      </c>
      <c r="S657" s="20">
        <f>COUNTIFS(tData[SEHTrajectPeriodeDatumTijdVan],"&lt;="&amp;($A657+15/24),tData[SEHTrajectPeriodeDatumTijdTotEnMet],"&gt;"&amp;($A657+15/24))</f>
        <v/>
      </c>
      <c r="T657" s="20">
        <f>COUNTIFS(tData[SEHTrajectPeriodeDatumTijdVan],"&lt;="&amp;($A657+16/24),tData[SEHTrajectPeriodeDatumTijdTotEnMet],"&gt;"&amp;($A657+16/24))</f>
        <v/>
      </c>
      <c r="U657" s="20">
        <f>COUNTIFS(tData[SEHTrajectPeriodeDatumTijdVan],"&lt;="&amp;($A657+17/24),tData[SEHTrajectPeriodeDatumTijdTotEnMet],"&gt;"&amp;($A657+17/24))</f>
        <v/>
      </c>
      <c r="V657" s="20">
        <f>COUNTIFS(tData[SEHTrajectPeriodeDatumTijdVan],"&lt;="&amp;($A657+18/24),tData[SEHTrajectPeriodeDatumTijdTotEnMet],"&gt;"&amp;($A657+18/24))</f>
        <v/>
      </c>
      <c r="W657" s="20">
        <f>COUNTIFS(tData[SEHTrajectPeriodeDatumTijdVan],"&lt;="&amp;($A657+19/24),tData[SEHTrajectPeriodeDatumTijdTotEnMet],"&gt;"&amp;($A657+19/24))</f>
        <v/>
      </c>
      <c r="X657" s="20">
        <f>COUNTIFS(tData[SEHTrajectPeriodeDatumTijdVan],"&lt;="&amp;($A657+20/24),tData[SEHTrajectPeriodeDatumTijdTotEnMet],"&gt;"&amp;($A657+20/24))</f>
        <v/>
      </c>
      <c r="Y657" s="20">
        <f>COUNTIFS(tData[SEHTrajectPeriodeDatumTijdVan],"&lt;="&amp;($A657+21/24),tData[SEHTrajectPeriodeDatumTijdTotEnMet],"&gt;"&amp;($A657+21/24))</f>
        <v/>
      </c>
      <c r="Z657" s="20">
        <f>COUNTIFS(tData[SEHTrajectPeriodeDatumTijdVan],"&lt;="&amp;($A657+22/24),tData[SEHTrajectPeriodeDatumTijdTotEnMet],"&gt;"&amp;($A657+22/24))</f>
        <v/>
      </c>
      <c r="AA657" s="20">
        <f>COUNTIFS(tData[SEHTrajectPeriodeDatumTijdVan],"&lt;="&amp;($A657+23/24),tData[SEHTrajectPeriodeDatumTijdTotEnMet],"&gt;"&amp;($A657+23/24))</f>
        <v/>
      </c>
    </row>
    <row r="658">
      <c r="A658" s="19" t="n">
        <v>45946</v>
      </c>
      <c r="B658" s="15">
        <f>WEEKDAY($A658,2)</f>
        <v/>
      </c>
      <c r="C658" s="15">
        <f>IF(AND($A658&gt;=INT(Instellingen!$B$5),$A658&lt;=INT(Instellingen!$B$6)),1,0)</f>
        <v/>
      </c>
      <c r="D658" s="20">
        <f>COUNTIFS(tData[SEHTrajectPeriodeDatumTijdVan],"&lt;="&amp;($A658+0/24),tData[SEHTrajectPeriodeDatumTijdTotEnMet],"&gt;"&amp;($A658+0/24))</f>
        <v/>
      </c>
      <c r="E658" s="20">
        <f>COUNTIFS(tData[SEHTrajectPeriodeDatumTijdVan],"&lt;="&amp;($A658+1/24),tData[SEHTrajectPeriodeDatumTijdTotEnMet],"&gt;"&amp;($A658+1/24))</f>
        <v/>
      </c>
      <c r="F658" s="20">
        <f>COUNTIFS(tData[SEHTrajectPeriodeDatumTijdVan],"&lt;="&amp;($A658+2/24),tData[SEHTrajectPeriodeDatumTijdTotEnMet],"&gt;"&amp;($A658+2/24))</f>
        <v/>
      </c>
      <c r="G658" s="20">
        <f>COUNTIFS(tData[SEHTrajectPeriodeDatumTijdVan],"&lt;="&amp;($A658+3/24),tData[SEHTrajectPeriodeDatumTijdTotEnMet],"&gt;"&amp;($A658+3/24))</f>
        <v/>
      </c>
      <c r="H658" s="20">
        <f>COUNTIFS(tData[SEHTrajectPeriodeDatumTijdVan],"&lt;="&amp;($A658+4/24),tData[SEHTrajectPeriodeDatumTijdTotEnMet],"&gt;"&amp;($A658+4/24))</f>
        <v/>
      </c>
      <c r="I658" s="20">
        <f>COUNTIFS(tData[SEHTrajectPeriodeDatumTijdVan],"&lt;="&amp;($A658+5/24),tData[SEHTrajectPeriodeDatumTijdTotEnMet],"&gt;"&amp;($A658+5/24))</f>
        <v/>
      </c>
      <c r="J658" s="20">
        <f>COUNTIFS(tData[SEHTrajectPeriodeDatumTijdVan],"&lt;="&amp;($A658+6/24),tData[SEHTrajectPeriodeDatumTijdTotEnMet],"&gt;"&amp;($A658+6/24))</f>
        <v/>
      </c>
      <c r="K658" s="20">
        <f>COUNTIFS(tData[SEHTrajectPeriodeDatumTijdVan],"&lt;="&amp;($A658+7/24),tData[SEHTrajectPeriodeDatumTijdTotEnMet],"&gt;"&amp;($A658+7/24))</f>
        <v/>
      </c>
      <c r="L658" s="20">
        <f>COUNTIFS(tData[SEHTrajectPeriodeDatumTijdVan],"&lt;="&amp;($A658+8/24),tData[SEHTrajectPeriodeDatumTijdTotEnMet],"&gt;"&amp;($A658+8/24))</f>
        <v/>
      </c>
      <c r="M658" s="20">
        <f>COUNTIFS(tData[SEHTrajectPeriodeDatumTijdVan],"&lt;="&amp;($A658+9/24),tData[SEHTrajectPeriodeDatumTijdTotEnMet],"&gt;"&amp;($A658+9/24))</f>
        <v/>
      </c>
      <c r="N658" s="20">
        <f>COUNTIFS(tData[SEHTrajectPeriodeDatumTijdVan],"&lt;="&amp;($A658+10/24),tData[SEHTrajectPeriodeDatumTijdTotEnMet],"&gt;"&amp;($A658+10/24))</f>
        <v/>
      </c>
      <c r="O658" s="20">
        <f>COUNTIFS(tData[SEHTrajectPeriodeDatumTijdVan],"&lt;="&amp;($A658+11/24),tData[SEHTrajectPeriodeDatumTijdTotEnMet],"&gt;"&amp;($A658+11/24))</f>
        <v/>
      </c>
      <c r="P658" s="20">
        <f>COUNTIFS(tData[SEHTrajectPeriodeDatumTijdVan],"&lt;="&amp;($A658+12/24),tData[SEHTrajectPeriodeDatumTijdTotEnMet],"&gt;"&amp;($A658+12/24))</f>
        <v/>
      </c>
      <c r="Q658" s="20">
        <f>COUNTIFS(tData[SEHTrajectPeriodeDatumTijdVan],"&lt;="&amp;($A658+13/24),tData[SEHTrajectPeriodeDatumTijdTotEnMet],"&gt;"&amp;($A658+13/24))</f>
        <v/>
      </c>
      <c r="R658" s="20">
        <f>COUNTIFS(tData[SEHTrajectPeriodeDatumTijdVan],"&lt;="&amp;($A658+14/24),tData[SEHTrajectPeriodeDatumTijdTotEnMet],"&gt;"&amp;($A658+14/24))</f>
        <v/>
      </c>
      <c r="S658" s="20">
        <f>COUNTIFS(tData[SEHTrajectPeriodeDatumTijdVan],"&lt;="&amp;($A658+15/24),tData[SEHTrajectPeriodeDatumTijdTotEnMet],"&gt;"&amp;($A658+15/24))</f>
        <v/>
      </c>
      <c r="T658" s="20">
        <f>COUNTIFS(tData[SEHTrajectPeriodeDatumTijdVan],"&lt;="&amp;($A658+16/24),tData[SEHTrajectPeriodeDatumTijdTotEnMet],"&gt;"&amp;($A658+16/24))</f>
        <v/>
      </c>
      <c r="U658" s="20">
        <f>COUNTIFS(tData[SEHTrajectPeriodeDatumTijdVan],"&lt;="&amp;($A658+17/24),tData[SEHTrajectPeriodeDatumTijdTotEnMet],"&gt;"&amp;($A658+17/24))</f>
        <v/>
      </c>
      <c r="V658" s="20">
        <f>COUNTIFS(tData[SEHTrajectPeriodeDatumTijdVan],"&lt;="&amp;($A658+18/24),tData[SEHTrajectPeriodeDatumTijdTotEnMet],"&gt;"&amp;($A658+18/24))</f>
        <v/>
      </c>
      <c r="W658" s="20">
        <f>COUNTIFS(tData[SEHTrajectPeriodeDatumTijdVan],"&lt;="&amp;($A658+19/24),tData[SEHTrajectPeriodeDatumTijdTotEnMet],"&gt;"&amp;($A658+19/24))</f>
        <v/>
      </c>
      <c r="X658" s="20">
        <f>COUNTIFS(tData[SEHTrajectPeriodeDatumTijdVan],"&lt;="&amp;($A658+20/24),tData[SEHTrajectPeriodeDatumTijdTotEnMet],"&gt;"&amp;($A658+20/24))</f>
        <v/>
      </c>
      <c r="Y658" s="20">
        <f>COUNTIFS(tData[SEHTrajectPeriodeDatumTijdVan],"&lt;="&amp;($A658+21/24),tData[SEHTrajectPeriodeDatumTijdTotEnMet],"&gt;"&amp;($A658+21/24))</f>
        <v/>
      </c>
      <c r="Z658" s="20">
        <f>COUNTIFS(tData[SEHTrajectPeriodeDatumTijdVan],"&lt;="&amp;($A658+22/24),tData[SEHTrajectPeriodeDatumTijdTotEnMet],"&gt;"&amp;($A658+22/24))</f>
        <v/>
      </c>
      <c r="AA658" s="20">
        <f>COUNTIFS(tData[SEHTrajectPeriodeDatumTijdVan],"&lt;="&amp;($A658+23/24),tData[SEHTrajectPeriodeDatumTijdTotEnMet],"&gt;"&amp;($A658+23/24))</f>
        <v/>
      </c>
    </row>
    <row r="659">
      <c r="A659" s="19" t="n">
        <v>45947</v>
      </c>
      <c r="B659" s="15">
        <f>WEEKDAY($A659,2)</f>
        <v/>
      </c>
      <c r="C659" s="15">
        <f>IF(AND($A659&gt;=INT(Instellingen!$B$5),$A659&lt;=INT(Instellingen!$B$6)),1,0)</f>
        <v/>
      </c>
      <c r="D659" s="20">
        <f>COUNTIFS(tData[SEHTrajectPeriodeDatumTijdVan],"&lt;="&amp;($A659+0/24),tData[SEHTrajectPeriodeDatumTijdTotEnMet],"&gt;"&amp;($A659+0/24))</f>
        <v/>
      </c>
      <c r="E659" s="20">
        <f>COUNTIFS(tData[SEHTrajectPeriodeDatumTijdVan],"&lt;="&amp;($A659+1/24),tData[SEHTrajectPeriodeDatumTijdTotEnMet],"&gt;"&amp;($A659+1/24))</f>
        <v/>
      </c>
      <c r="F659" s="20">
        <f>COUNTIFS(tData[SEHTrajectPeriodeDatumTijdVan],"&lt;="&amp;($A659+2/24),tData[SEHTrajectPeriodeDatumTijdTotEnMet],"&gt;"&amp;($A659+2/24))</f>
        <v/>
      </c>
      <c r="G659" s="20">
        <f>COUNTIFS(tData[SEHTrajectPeriodeDatumTijdVan],"&lt;="&amp;($A659+3/24),tData[SEHTrajectPeriodeDatumTijdTotEnMet],"&gt;"&amp;($A659+3/24))</f>
        <v/>
      </c>
      <c r="H659" s="20">
        <f>COUNTIFS(tData[SEHTrajectPeriodeDatumTijdVan],"&lt;="&amp;($A659+4/24),tData[SEHTrajectPeriodeDatumTijdTotEnMet],"&gt;"&amp;($A659+4/24))</f>
        <v/>
      </c>
      <c r="I659" s="20">
        <f>COUNTIFS(tData[SEHTrajectPeriodeDatumTijdVan],"&lt;="&amp;($A659+5/24),tData[SEHTrajectPeriodeDatumTijdTotEnMet],"&gt;"&amp;($A659+5/24))</f>
        <v/>
      </c>
      <c r="J659" s="20">
        <f>COUNTIFS(tData[SEHTrajectPeriodeDatumTijdVan],"&lt;="&amp;($A659+6/24),tData[SEHTrajectPeriodeDatumTijdTotEnMet],"&gt;"&amp;($A659+6/24))</f>
        <v/>
      </c>
      <c r="K659" s="20">
        <f>COUNTIFS(tData[SEHTrajectPeriodeDatumTijdVan],"&lt;="&amp;($A659+7/24),tData[SEHTrajectPeriodeDatumTijdTotEnMet],"&gt;"&amp;($A659+7/24))</f>
        <v/>
      </c>
      <c r="L659" s="20">
        <f>COUNTIFS(tData[SEHTrajectPeriodeDatumTijdVan],"&lt;="&amp;($A659+8/24),tData[SEHTrajectPeriodeDatumTijdTotEnMet],"&gt;"&amp;($A659+8/24))</f>
        <v/>
      </c>
      <c r="M659" s="20">
        <f>COUNTIFS(tData[SEHTrajectPeriodeDatumTijdVan],"&lt;="&amp;($A659+9/24),tData[SEHTrajectPeriodeDatumTijdTotEnMet],"&gt;"&amp;($A659+9/24))</f>
        <v/>
      </c>
      <c r="N659" s="20">
        <f>COUNTIFS(tData[SEHTrajectPeriodeDatumTijdVan],"&lt;="&amp;($A659+10/24),tData[SEHTrajectPeriodeDatumTijdTotEnMet],"&gt;"&amp;($A659+10/24))</f>
        <v/>
      </c>
      <c r="O659" s="20">
        <f>COUNTIFS(tData[SEHTrajectPeriodeDatumTijdVan],"&lt;="&amp;($A659+11/24),tData[SEHTrajectPeriodeDatumTijdTotEnMet],"&gt;"&amp;($A659+11/24))</f>
        <v/>
      </c>
      <c r="P659" s="20">
        <f>COUNTIFS(tData[SEHTrajectPeriodeDatumTijdVan],"&lt;="&amp;($A659+12/24),tData[SEHTrajectPeriodeDatumTijdTotEnMet],"&gt;"&amp;($A659+12/24))</f>
        <v/>
      </c>
      <c r="Q659" s="20">
        <f>COUNTIFS(tData[SEHTrajectPeriodeDatumTijdVan],"&lt;="&amp;($A659+13/24),tData[SEHTrajectPeriodeDatumTijdTotEnMet],"&gt;"&amp;($A659+13/24))</f>
        <v/>
      </c>
      <c r="R659" s="20">
        <f>COUNTIFS(tData[SEHTrajectPeriodeDatumTijdVan],"&lt;="&amp;($A659+14/24),tData[SEHTrajectPeriodeDatumTijdTotEnMet],"&gt;"&amp;($A659+14/24))</f>
        <v/>
      </c>
      <c r="S659" s="20">
        <f>COUNTIFS(tData[SEHTrajectPeriodeDatumTijdVan],"&lt;="&amp;($A659+15/24),tData[SEHTrajectPeriodeDatumTijdTotEnMet],"&gt;"&amp;($A659+15/24))</f>
        <v/>
      </c>
      <c r="T659" s="20">
        <f>COUNTIFS(tData[SEHTrajectPeriodeDatumTijdVan],"&lt;="&amp;($A659+16/24),tData[SEHTrajectPeriodeDatumTijdTotEnMet],"&gt;"&amp;($A659+16/24))</f>
        <v/>
      </c>
      <c r="U659" s="20">
        <f>COUNTIFS(tData[SEHTrajectPeriodeDatumTijdVan],"&lt;="&amp;($A659+17/24),tData[SEHTrajectPeriodeDatumTijdTotEnMet],"&gt;"&amp;($A659+17/24))</f>
        <v/>
      </c>
      <c r="V659" s="20">
        <f>COUNTIFS(tData[SEHTrajectPeriodeDatumTijdVan],"&lt;="&amp;($A659+18/24),tData[SEHTrajectPeriodeDatumTijdTotEnMet],"&gt;"&amp;($A659+18/24))</f>
        <v/>
      </c>
      <c r="W659" s="20">
        <f>COUNTIFS(tData[SEHTrajectPeriodeDatumTijdVan],"&lt;="&amp;($A659+19/24),tData[SEHTrajectPeriodeDatumTijdTotEnMet],"&gt;"&amp;($A659+19/24))</f>
        <v/>
      </c>
      <c r="X659" s="20">
        <f>COUNTIFS(tData[SEHTrajectPeriodeDatumTijdVan],"&lt;="&amp;($A659+20/24),tData[SEHTrajectPeriodeDatumTijdTotEnMet],"&gt;"&amp;($A659+20/24))</f>
        <v/>
      </c>
      <c r="Y659" s="20">
        <f>COUNTIFS(tData[SEHTrajectPeriodeDatumTijdVan],"&lt;="&amp;($A659+21/24),tData[SEHTrajectPeriodeDatumTijdTotEnMet],"&gt;"&amp;($A659+21/24))</f>
        <v/>
      </c>
      <c r="Z659" s="20">
        <f>COUNTIFS(tData[SEHTrajectPeriodeDatumTijdVan],"&lt;="&amp;($A659+22/24),tData[SEHTrajectPeriodeDatumTijdTotEnMet],"&gt;"&amp;($A659+22/24))</f>
        <v/>
      </c>
      <c r="AA659" s="20">
        <f>COUNTIFS(tData[SEHTrajectPeriodeDatumTijdVan],"&lt;="&amp;($A659+23/24),tData[SEHTrajectPeriodeDatumTijdTotEnMet],"&gt;"&amp;($A659+23/24))</f>
        <v/>
      </c>
    </row>
    <row r="660">
      <c r="A660" s="19" t="n">
        <v>45948</v>
      </c>
      <c r="B660" s="15">
        <f>WEEKDAY($A660,2)</f>
        <v/>
      </c>
      <c r="C660" s="15">
        <f>IF(AND($A660&gt;=INT(Instellingen!$B$5),$A660&lt;=INT(Instellingen!$B$6)),1,0)</f>
        <v/>
      </c>
      <c r="D660" s="20">
        <f>COUNTIFS(tData[SEHTrajectPeriodeDatumTijdVan],"&lt;="&amp;($A660+0/24),tData[SEHTrajectPeriodeDatumTijdTotEnMet],"&gt;"&amp;($A660+0/24))</f>
        <v/>
      </c>
      <c r="E660" s="20">
        <f>COUNTIFS(tData[SEHTrajectPeriodeDatumTijdVan],"&lt;="&amp;($A660+1/24),tData[SEHTrajectPeriodeDatumTijdTotEnMet],"&gt;"&amp;($A660+1/24))</f>
        <v/>
      </c>
      <c r="F660" s="20">
        <f>COUNTIFS(tData[SEHTrajectPeriodeDatumTijdVan],"&lt;="&amp;($A660+2/24),tData[SEHTrajectPeriodeDatumTijdTotEnMet],"&gt;"&amp;($A660+2/24))</f>
        <v/>
      </c>
      <c r="G660" s="20">
        <f>COUNTIFS(tData[SEHTrajectPeriodeDatumTijdVan],"&lt;="&amp;($A660+3/24),tData[SEHTrajectPeriodeDatumTijdTotEnMet],"&gt;"&amp;($A660+3/24))</f>
        <v/>
      </c>
      <c r="H660" s="20">
        <f>COUNTIFS(tData[SEHTrajectPeriodeDatumTijdVan],"&lt;="&amp;($A660+4/24),tData[SEHTrajectPeriodeDatumTijdTotEnMet],"&gt;"&amp;($A660+4/24))</f>
        <v/>
      </c>
      <c r="I660" s="20">
        <f>COUNTIFS(tData[SEHTrajectPeriodeDatumTijdVan],"&lt;="&amp;($A660+5/24),tData[SEHTrajectPeriodeDatumTijdTotEnMet],"&gt;"&amp;($A660+5/24))</f>
        <v/>
      </c>
      <c r="J660" s="20">
        <f>COUNTIFS(tData[SEHTrajectPeriodeDatumTijdVan],"&lt;="&amp;($A660+6/24),tData[SEHTrajectPeriodeDatumTijdTotEnMet],"&gt;"&amp;($A660+6/24))</f>
        <v/>
      </c>
      <c r="K660" s="20">
        <f>COUNTIFS(tData[SEHTrajectPeriodeDatumTijdVan],"&lt;="&amp;($A660+7/24),tData[SEHTrajectPeriodeDatumTijdTotEnMet],"&gt;"&amp;($A660+7/24))</f>
        <v/>
      </c>
      <c r="L660" s="20">
        <f>COUNTIFS(tData[SEHTrajectPeriodeDatumTijdVan],"&lt;="&amp;($A660+8/24),tData[SEHTrajectPeriodeDatumTijdTotEnMet],"&gt;"&amp;($A660+8/24))</f>
        <v/>
      </c>
      <c r="M660" s="20">
        <f>COUNTIFS(tData[SEHTrajectPeriodeDatumTijdVan],"&lt;="&amp;($A660+9/24),tData[SEHTrajectPeriodeDatumTijdTotEnMet],"&gt;"&amp;($A660+9/24))</f>
        <v/>
      </c>
      <c r="N660" s="20">
        <f>COUNTIFS(tData[SEHTrajectPeriodeDatumTijdVan],"&lt;="&amp;($A660+10/24),tData[SEHTrajectPeriodeDatumTijdTotEnMet],"&gt;"&amp;($A660+10/24))</f>
        <v/>
      </c>
      <c r="O660" s="20">
        <f>COUNTIFS(tData[SEHTrajectPeriodeDatumTijdVan],"&lt;="&amp;($A660+11/24),tData[SEHTrajectPeriodeDatumTijdTotEnMet],"&gt;"&amp;($A660+11/24))</f>
        <v/>
      </c>
      <c r="P660" s="20">
        <f>COUNTIFS(tData[SEHTrajectPeriodeDatumTijdVan],"&lt;="&amp;($A660+12/24),tData[SEHTrajectPeriodeDatumTijdTotEnMet],"&gt;"&amp;($A660+12/24))</f>
        <v/>
      </c>
      <c r="Q660" s="20">
        <f>COUNTIFS(tData[SEHTrajectPeriodeDatumTijdVan],"&lt;="&amp;($A660+13/24),tData[SEHTrajectPeriodeDatumTijdTotEnMet],"&gt;"&amp;($A660+13/24))</f>
        <v/>
      </c>
      <c r="R660" s="20">
        <f>COUNTIFS(tData[SEHTrajectPeriodeDatumTijdVan],"&lt;="&amp;($A660+14/24),tData[SEHTrajectPeriodeDatumTijdTotEnMet],"&gt;"&amp;($A660+14/24))</f>
        <v/>
      </c>
      <c r="S660" s="20">
        <f>COUNTIFS(tData[SEHTrajectPeriodeDatumTijdVan],"&lt;="&amp;($A660+15/24),tData[SEHTrajectPeriodeDatumTijdTotEnMet],"&gt;"&amp;($A660+15/24))</f>
        <v/>
      </c>
      <c r="T660" s="20">
        <f>COUNTIFS(tData[SEHTrajectPeriodeDatumTijdVan],"&lt;="&amp;($A660+16/24),tData[SEHTrajectPeriodeDatumTijdTotEnMet],"&gt;"&amp;($A660+16/24))</f>
        <v/>
      </c>
      <c r="U660" s="20">
        <f>COUNTIFS(tData[SEHTrajectPeriodeDatumTijdVan],"&lt;="&amp;($A660+17/24),tData[SEHTrajectPeriodeDatumTijdTotEnMet],"&gt;"&amp;($A660+17/24))</f>
        <v/>
      </c>
      <c r="V660" s="20">
        <f>COUNTIFS(tData[SEHTrajectPeriodeDatumTijdVan],"&lt;="&amp;($A660+18/24),tData[SEHTrajectPeriodeDatumTijdTotEnMet],"&gt;"&amp;($A660+18/24))</f>
        <v/>
      </c>
      <c r="W660" s="20">
        <f>COUNTIFS(tData[SEHTrajectPeriodeDatumTijdVan],"&lt;="&amp;($A660+19/24),tData[SEHTrajectPeriodeDatumTijdTotEnMet],"&gt;"&amp;($A660+19/24))</f>
        <v/>
      </c>
      <c r="X660" s="20">
        <f>COUNTIFS(tData[SEHTrajectPeriodeDatumTijdVan],"&lt;="&amp;($A660+20/24),tData[SEHTrajectPeriodeDatumTijdTotEnMet],"&gt;"&amp;($A660+20/24))</f>
        <v/>
      </c>
      <c r="Y660" s="20">
        <f>COUNTIFS(tData[SEHTrajectPeriodeDatumTijdVan],"&lt;="&amp;($A660+21/24),tData[SEHTrajectPeriodeDatumTijdTotEnMet],"&gt;"&amp;($A660+21/24))</f>
        <v/>
      </c>
      <c r="Z660" s="20">
        <f>COUNTIFS(tData[SEHTrajectPeriodeDatumTijdVan],"&lt;="&amp;($A660+22/24),tData[SEHTrajectPeriodeDatumTijdTotEnMet],"&gt;"&amp;($A660+22/24))</f>
        <v/>
      </c>
      <c r="AA660" s="20">
        <f>COUNTIFS(tData[SEHTrajectPeriodeDatumTijdVan],"&lt;="&amp;($A660+23/24),tData[SEHTrajectPeriodeDatumTijdTotEnMet],"&gt;"&amp;($A660+23/24))</f>
        <v/>
      </c>
    </row>
    <row r="661">
      <c r="A661" s="19" t="n">
        <v>45949</v>
      </c>
      <c r="B661" s="15">
        <f>WEEKDAY($A661,2)</f>
        <v/>
      </c>
      <c r="C661" s="15">
        <f>IF(AND($A661&gt;=INT(Instellingen!$B$5),$A661&lt;=INT(Instellingen!$B$6)),1,0)</f>
        <v/>
      </c>
      <c r="D661" s="20">
        <f>COUNTIFS(tData[SEHTrajectPeriodeDatumTijdVan],"&lt;="&amp;($A661+0/24),tData[SEHTrajectPeriodeDatumTijdTotEnMet],"&gt;"&amp;($A661+0/24))</f>
        <v/>
      </c>
      <c r="E661" s="20">
        <f>COUNTIFS(tData[SEHTrajectPeriodeDatumTijdVan],"&lt;="&amp;($A661+1/24),tData[SEHTrajectPeriodeDatumTijdTotEnMet],"&gt;"&amp;($A661+1/24))</f>
        <v/>
      </c>
      <c r="F661" s="20">
        <f>COUNTIFS(tData[SEHTrajectPeriodeDatumTijdVan],"&lt;="&amp;($A661+2/24),tData[SEHTrajectPeriodeDatumTijdTotEnMet],"&gt;"&amp;($A661+2/24))</f>
        <v/>
      </c>
      <c r="G661" s="20">
        <f>COUNTIFS(tData[SEHTrajectPeriodeDatumTijdVan],"&lt;="&amp;($A661+3/24),tData[SEHTrajectPeriodeDatumTijdTotEnMet],"&gt;"&amp;($A661+3/24))</f>
        <v/>
      </c>
      <c r="H661" s="20">
        <f>COUNTIFS(tData[SEHTrajectPeriodeDatumTijdVan],"&lt;="&amp;($A661+4/24),tData[SEHTrajectPeriodeDatumTijdTotEnMet],"&gt;"&amp;($A661+4/24))</f>
        <v/>
      </c>
      <c r="I661" s="20">
        <f>COUNTIFS(tData[SEHTrajectPeriodeDatumTijdVan],"&lt;="&amp;($A661+5/24),tData[SEHTrajectPeriodeDatumTijdTotEnMet],"&gt;"&amp;($A661+5/24))</f>
        <v/>
      </c>
      <c r="J661" s="20">
        <f>COUNTIFS(tData[SEHTrajectPeriodeDatumTijdVan],"&lt;="&amp;($A661+6/24),tData[SEHTrajectPeriodeDatumTijdTotEnMet],"&gt;"&amp;($A661+6/24))</f>
        <v/>
      </c>
      <c r="K661" s="20">
        <f>COUNTIFS(tData[SEHTrajectPeriodeDatumTijdVan],"&lt;="&amp;($A661+7/24),tData[SEHTrajectPeriodeDatumTijdTotEnMet],"&gt;"&amp;($A661+7/24))</f>
        <v/>
      </c>
      <c r="L661" s="20">
        <f>COUNTIFS(tData[SEHTrajectPeriodeDatumTijdVan],"&lt;="&amp;($A661+8/24),tData[SEHTrajectPeriodeDatumTijdTotEnMet],"&gt;"&amp;($A661+8/24))</f>
        <v/>
      </c>
      <c r="M661" s="20">
        <f>COUNTIFS(tData[SEHTrajectPeriodeDatumTijdVan],"&lt;="&amp;($A661+9/24),tData[SEHTrajectPeriodeDatumTijdTotEnMet],"&gt;"&amp;($A661+9/24))</f>
        <v/>
      </c>
      <c r="N661" s="20">
        <f>COUNTIFS(tData[SEHTrajectPeriodeDatumTijdVan],"&lt;="&amp;($A661+10/24),tData[SEHTrajectPeriodeDatumTijdTotEnMet],"&gt;"&amp;($A661+10/24))</f>
        <v/>
      </c>
      <c r="O661" s="20">
        <f>COUNTIFS(tData[SEHTrajectPeriodeDatumTijdVan],"&lt;="&amp;($A661+11/24),tData[SEHTrajectPeriodeDatumTijdTotEnMet],"&gt;"&amp;($A661+11/24))</f>
        <v/>
      </c>
      <c r="P661" s="20">
        <f>COUNTIFS(tData[SEHTrajectPeriodeDatumTijdVan],"&lt;="&amp;($A661+12/24),tData[SEHTrajectPeriodeDatumTijdTotEnMet],"&gt;"&amp;($A661+12/24))</f>
        <v/>
      </c>
      <c r="Q661" s="20">
        <f>COUNTIFS(tData[SEHTrajectPeriodeDatumTijdVan],"&lt;="&amp;($A661+13/24),tData[SEHTrajectPeriodeDatumTijdTotEnMet],"&gt;"&amp;($A661+13/24))</f>
        <v/>
      </c>
      <c r="R661" s="20">
        <f>COUNTIFS(tData[SEHTrajectPeriodeDatumTijdVan],"&lt;="&amp;($A661+14/24),tData[SEHTrajectPeriodeDatumTijdTotEnMet],"&gt;"&amp;($A661+14/24))</f>
        <v/>
      </c>
      <c r="S661" s="20">
        <f>COUNTIFS(tData[SEHTrajectPeriodeDatumTijdVan],"&lt;="&amp;($A661+15/24),tData[SEHTrajectPeriodeDatumTijdTotEnMet],"&gt;"&amp;($A661+15/24))</f>
        <v/>
      </c>
      <c r="T661" s="20">
        <f>COUNTIFS(tData[SEHTrajectPeriodeDatumTijdVan],"&lt;="&amp;($A661+16/24),tData[SEHTrajectPeriodeDatumTijdTotEnMet],"&gt;"&amp;($A661+16/24))</f>
        <v/>
      </c>
      <c r="U661" s="20">
        <f>COUNTIFS(tData[SEHTrajectPeriodeDatumTijdVan],"&lt;="&amp;($A661+17/24),tData[SEHTrajectPeriodeDatumTijdTotEnMet],"&gt;"&amp;($A661+17/24))</f>
        <v/>
      </c>
      <c r="V661" s="20">
        <f>COUNTIFS(tData[SEHTrajectPeriodeDatumTijdVan],"&lt;="&amp;($A661+18/24),tData[SEHTrajectPeriodeDatumTijdTotEnMet],"&gt;"&amp;($A661+18/24))</f>
        <v/>
      </c>
      <c r="W661" s="20">
        <f>COUNTIFS(tData[SEHTrajectPeriodeDatumTijdVan],"&lt;="&amp;($A661+19/24),tData[SEHTrajectPeriodeDatumTijdTotEnMet],"&gt;"&amp;($A661+19/24))</f>
        <v/>
      </c>
      <c r="X661" s="20">
        <f>COUNTIFS(tData[SEHTrajectPeriodeDatumTijdVan],"&lt;="&amp;($A661+20/24),tData[SEHTrajectPeriodeDatumTijdTotEnMet],"&gt;"&amp;($A661+20/24))</f>
        <v/>
      </c>
      <c r="Y661" s="20">
        <f>COUNTIFS(tData[SEHTrajectPeriodeDatumTijdVan],"&lt;="&amp;($A661+21/24),tData[SEHTrajectPeriodeDatumTijdTotEnMet],"&gt;"&amp;($A661+21/24))</f>
        <v/>
      </c>
      <c r="Z661" s="20">
        <f>COUNTIFS(tData[SEHTrajectPeriodeDatumTijdVan],"&lt;="&amp;($A661+22/24),tData[SEHTrajectPeriodeDatumTijdTotEnMet],"&gt;"&amp;($A661+22/24))</f>
        <v/>
      </c>
      <c r="AA661" s="20">
        <f>COUNTIFS(tData[SEHTrajectPeriodeDatumTijdVan],"&lt;="&amp;($A661+23/24),tData[SEHTrajectPeriodeDatumTijdTotEnMet],"&gt;"&amp;($A661+23/24))</f>
        <v/>
      </c>
    </row>
    <row r="662">
      <c r="A662" s="19" t="n">
        <v>45950</v>
      </c>
      <c r="B662" s="15">
        <f>WEEKDAY($A662,2)</f>
        <v/>
      </c>
      <c r="C662" s="15">
        <f>IF(AND($A662&gt;=INT(Instellingen!$B$5),$A662&lt;=INT(Instellingen!$B$6)),1,0)</f>
        <v/>
      </c>
      <c r="D662" s="20">
        <f>COUNTIFS(tData[SEHTrajectPeriodeDatumTijdVan],"&lt;="&amp;($A662+0/24),tData[SEHTrajectPeriodeDatumTijdTotEnMet],"&gt;"&amp;($A662+0/24))</f>
        <v/>
      </c>
      <c r="E662" s="20">
        <f>COUNTIFS(tData[SEHTrajectPeriodeDatumTijdVan],"&lt;="&amp;($A662+1/24),tData[SEHTrajectPeriodeDatumTijdTotEnMet],"&gt;"&amp;($A662+1/24))</f>
        <v/>
      </c>
      <c r="F662" s="20">
        <f>COUNTIFS(tData[SEHTrajectPeriodeDatumTijdVan],"&lt;="&amp;($A662+2/24),tData[SEHTrajectPeriodeDatumTijdTotEnMet],"&gt;"&amp;($A662+2/24))</f>
        <v/>
      </c>
      <c r="G662" s="20">
        <f>COUNTIFS(tData[SEHTrajectPeriodeDatumTijdVan],"&lt;="&amp;($A662+3/24),tData[SEHTrajectPeriodeDatumTijdTotEnMet],"&gt;"&amp;($A662+3/24))</f>
        <v/>
      </c>
      <c r="H662" s="20">
        <f>COUNTIFS(tData[SEHTrajectPeriodeDatumTijdVan],"&lt;="&amp;($A662+4/24),tData[SEHTrajectPeriodeDatumTijdTotEnMet],"&gt;"&amp;($A662+4/24))</f>
        <v/>
      </c>
      <c r="I662" s="20">
        <f>COUNTIFS(tData[SEHTrajectPeriodeDatumTijdVan],"&lt;="&amp;($A662+5/24),tData[SEHTrajectPeriodeDatumTijdTotEnMet],"&gt;"&amp;($A662+5/24))</f>
        <v/>
      </c>
      <c r="J662" s="20">
        <f>COUNTIFS(tData[SEHTrajectPeriodeDatumTijdVan],"&lt;="&amp;($A662+6/24),tData[SEHTrajectPeriodeDatumTijdTotEnMet],"&gt;"&amp;($A662+6/24))</f>
        <v/>
      </c>
      <c r="K662" s="20">
        <f>COUNTIFS(tData[SEHTrajectPeriodeDatumTijdVan],"&lt;="&amp;($A662+7/24),tData[SEHTrajectPeriodeDatumTijdTotEnMet],"&gt;"&amp;($A662+7/24))</f>
        <v/>
      </c>
      <c r="L662" s="20">
        <f>COUNTIFS(tData[SEHTrajectPeriodeDatumTijdVan],"&lt;="&amp;($A662+8/24),tData[SEHTrajectPeriodeDatumTijdTotEnMet],"&gt;"&amp;($A662+8/24))</f>
        <v/>
      </c>
      <c r="M662" s="20">
        <f>COUNTIFS(tData[SEHTrajectPeriodeDatumTijdVan],"&lt;="&amp;($A662+9/24),tData[SEHTrajectPeriodeDatumTijdTotEnMet],"&gt;"&amp;($A662+9/24))</f>
        <v/>
      </c>
      <c r="N662" s="20">
        <f>COUNTIFS(tData[SEHTrajectPeriodeDatumTijdVan],"&lt;="&amp;($A662+10/24),tData[SEHTrajectPeriodeDatumTijdTotEnMet],"&gt;"&amp;($A662+10/24))</f>
        <v/>
      </c>
      <c r="O662" s="20">
        <f>COUNTIFS(tData[SEHTrajectPeriodeDatumTijdVan],"&lt;="&amp;($A662+11/24),tData[SEHTrajectPeriodeDatumTijdTotEnMet],"&gt;"&amp;($A662+11/24))</f>
        <v/>
      </c>
      <c r="P662" s="20">
        <f>COUNTIFS(tData[SEHTrajectPeriodeDatumTijdVan],"&lt;="&amp;($A662+12/24),tData[SEHTrajectPeriodeDatumTijdTotEnMet],"&gt;"&amp;($A662+12/24))</f>
        <v/>
      </c>
      <c r="Q662" s="20">
        <f>COUNTIFS(tData[SEHTrajectPeriodeDatumTijdVan],"&lt;="&amp;($A662+13/24),tData[SEHTrajectPeriodeDatumTijdTotEnMet],"&gt;"&amp;($A662+13/24))</f>
        <v/>
      </c>
      <c r="R662" s="20">
        <f>COUNTIFS(tData[SEHTrajectPeriodeDatumTijdVan],"&lt;="&amp;($A662+14/24),tData[SEHTrajectPeriodeDatumTijdTotEnMet],"&gt;"&amp;($A662+14/24))</f>
        <v/>
      </c>
      <c r="S662" s="20">
        <f>COUNTIFS(tData[SEHTrajectPeriodeDatumTijdVan],"&lt;="&amp;($A662+15/24),tData[SEHTrajectPeriodeDatumTijdTotEnMet],"&gt;"&amp;($A662+15/24))</f>
        <v/>
      </c>
      <c r="T662" s="20">
        <f>COUNTIFS(tData[SEHTrajectPeriodeDatumTijdVan],"&lt;="&amp;($A662+16/24),tData[SEHTrajectPeriodeDatumTijdTotEnMet],"&gt;"&amp;($A662+16/24))</f>
        <v/>
      </c>
      <c r="U662" s="20">
        <f>COUNTIFS(tData[SEHTrajectPeriodeDatumTijdVan],"&lt;="&amp;($A662+17/24),tData[SEHTrajectPeriodeDatumTijdTotEnMet],"&gt;"&amp;($A662+17/24))</f>
        <v/>
      </c>
      <c r="V662" s="20">
        <f>COUNTIFS(tData[SEHTrajectPeriodeDatumTijdVan],"&lt;="&amp;($A662+18/24),tData[SEHTrajectPeriodeDatumTijdTotEnMet],"&gt;"&amp;($A662+18/24))</f>
        <v/>
      </c>
      <c r="W662" s="20">
        <f>COUNTIFS(tData[SEHTrajectPeriodeDatumTijdVan],"&lt;="&amp;($A662+19/24),tData[SEHTrajectPeriodeDatumTijdTotEnMet],"&gt;"&amp;($A662+19/24))</f>
        <v/>
      </c>
      <c r="X662" s="20">
        <f>COUNTIFS(tData[SEHTrajectPeriodeDatumTijdVan],"&lt;="&amp;($A662+20/24),tData[SEHTrajectPeriodeDatumTijdTotEnMet],"&gt;"&amp;($A662+20/24))</f>
        <v/>
      </c>
      <c r="Y662" s="20">
        <f>COUNTIFS(tData[SEHTrajectPeriodeDatumTijdVan],"&lt;="&amp;($A662+21/24),tData[SEHTrajectPeriodeDatumTijdTotEnMet],"&gt;"&amp;($A662+21/24))</f>
        <v/>
      </c>
      <c r="Z662" s="20">
        <f>COUNTIFS(tData[SEHTrajectPeriodeDatumTijdVan],"&lt;="&amp;($A662+22/24),tData[SEHTrajectPeriodeDatumTijdTotEnMet],"&gt;"&amp;($A662+22/24))</f>
        <v/>
      </c>
      <c r="AA662" s="20">
        <f>COUNTIFS(tData[SEHTrajectPeriodeDatumTijdVan],"&lt;="&amp;($A662+23/24),tData[SEHTrajectPeriodeDatumTijdTotEnMet],"&gt;"&amp;($A662+23/24))</f>
        <v/>
      </c>
    </row>
    <row r="663">
      <c r="A663" s="19" t="n">
        <v>45951</v>
      </c>
      <c r="B663" s="15">
        <f>WEEKDAY($A663,2)</f>
        <v/>
      </c>
      <c r="C663" s="15">
        <f>IF(AND($A663&gt;=INT(Instellingen!$B$5),$A663&lt;=INT(Instellingen!$B$6)),1,0)</f>
        <v/>
      </c>
      <c r="D663" s="20">
        <f>COUNTIFS(tData[SEHTrajectPeriodeDatumTijdVan],"&lt;="&amp;($A663+0/24),tData[SEHTrajectPeriodeDatumTijdTotEnMet],"&gt;"&amp;($A663+0/24))</f>
        <v/>
      </c>
      <c r="E663" s="20">
        <f>COUNTIFS(tData[SEHTrajectPeriodeDatumTijdVan],"&lt;="&amp;($A663+1/24),tData[SEHTrajectPeriodeDatumTijdTotEnMet],"&gt;"&amp;($A663+1/24))</f>
        <v/>
      </c>
      <c r="F663" s="20">
        <f>COUNTIFS(tData[SEHTrajectPeriodeDatumTijdVan],"&lt;="&amp;($A663+2/24),tData[SEHTrajectPeriodeDatumTijdTotEnMet],"&gt;"&amp;($A663+2/24))</f>
        <v/>
      </c>
      <c r="G663" s="20">
        <f>COUNTIFS(tData[SEHTrajectPeriodeDatumTijdVan],"&lt;="&amp;($A663+3/24),tData[SEHTrajectPeriodeDatumTijdTotEnMet],"&gt;"&amp;($A663+3/24))</f>
        <v/>
      </c>
      <c r="H663" s="20">
        <f>COUNTIFS(tData[SEHTrajectPeriodeDatumTijdVan],"&lt;="&amp;($A663+4/24),tData[SEHTrajectPeriodeDatumTijdTotEnMet],"&gt;"&amp;($A663+4/24))</f>
        <v/>
      </c>
      <c r="I663" s="20">
        <f>COUNTIFS(tData[SEHTrajectPeriodeDatumTijdVan],"&lt;="&amp;($A663+5/24),tData[SEHTrajectPeriodeDatumTijdTotEnMet],"&gt;"&amp;($A663+5/24))</f>
        <v/>
      </c>
      <c r="J663" s="20">
        <f>COUNTIFS(tData[SEHTrajectPeriodeDatumTijdVan],"&lt;="&amp;($A663+6/24),tData[SEHTrajectPeriodeDatumTijdTotEnMet],"&gt;"&amp;($A663+6/24))</f>
        <v/>
      </c>
      <c r="K663" s="20">
        <f>COUNTIFS(tData[SEHTrajectPeriodeDatumTijdVan],"&lt;="&amp;($A663+7/24),tData[SEHTrajectPeriodeDatumTijdTotEnMet],"&gt;"&amp;($A663+7/24))</f>
        <v/>
      </c>
      <c r="L663" s="20">
        <f>COUNTIFS(tData[SEHTrajectPeriodeDatumTijdVan],"&lt;="&amp;($A663+8/24),tData[SEHTrajectPeriodeDatumTijdTotEnMet],"&gt;"&amp;($A663+8/24))</f>
        <v/>
      </c>
      <c r="M663" s="20">
        <f>COUNTIFS(tData[SEHTrajectPeriodeDatumTijdVan],"&lt;="&amp;($A663+9/24),tData[SEHTrajectPeriodeDatumTijdTotEnMet],"&gt;"&amp;($A663+9/24))</f>
        <v/>
      </c>
      <c r="N663" s="20">
        <f>COUNTIFS(tData[SEHTrajectPeriodeDatumTijdVan],"&lt;="&amp;($A663+10/24),tData[SEHTrajectPeriodeDatumTijdTotEnMet],"&gt;"&amp;($A663+10/24))</f>
        <v/>
      </c>
      <c r="O663" s="20">
        <f>COUNTIFS(tData[SEHTrajectPeriodeDatumTijdVan],"&lt;="&amp;($A663+11/24),tData[SEHTrajectPeriodeDatumTijdTotEnMet],"&gt;"&amp;($A663+11/24))</f>
        <v/>
      </c>
      <c r="P663" s="20">
        <f>COUNTIFS(tData[SEHTrajectPeriodeDatumTijdVan],"&lt;="&amp;($A663+12/24),tData[SEHTrajectPeriodeDatumTijdTotEnMet],"&gt;"&amp;($A663+12/24))</f>
        <v/>
      </c>
      <c r="Q663" s="20">
        <f>COUNTIFS(tData[SEHTrajectPeriodeDatumTijdVan],"&lt;="&amp;($A663+13/24),tData[SEHTrajectPeriodeDatumTijdTotEnMet],"&gt;"&amp;($A663+13/24))</f>
        <v/>
      </c>
      <c r="R663" s="20">
        <f>COUNTIFS(tData[SEHTrajectPeriodeDatumTijdVan],"&lt;="&amp;($A663+14/24),tData[SEHTrajectPeriodeDatumTijdTotEnMet],"&gt;"&amp;($A663+14/24))</f>
        <v/>
      </c>
      <c r="S663" s="20">
        <f>COUNTIFS(tData[SEHTrajectPeriodeDatumTijdVan],"&lt;="&amp;($A663+15/24),tData[SEHTrajectPeriodeDatumTijdTotEnMet],"&gt;"&amp;($A663+15/24))</f>
        <v/>
      </c>
      <c r="T663" s="20">
        <f>COUNTIFS(tData[SEHTrajectPeriodeDatumTijdVan],"&lt;="&amp;($A663+16/24),tData[SEHTrajectPeriodeDatumTijdTotEnMet],"&gt;"&amp;($A663+16/24))</f>
        <v/>
      </c>
      <c r="U663" s="20">
        <f>COUNTIFS(tData[SEHTrajectPeriodeDatumTijdVan],"&lt;="&amp;($A663+17/24),tData[SEHTrajectPeriodeDatumTijdTotEnMet],"&gt;"&amp;($A663+17/24))</f>
        <v/>
      </c>
      <c r="V663" s="20">
        <f>COUNTIFS(tData[SEHTrajectPeriodeDatumTijdVan],"&lt;="&amp;($A663+18/24),tData[SEHTrajectPeriodeDatumTijdTotEnMet],"&gt;"&amp;($A663+18/24))</f>
        <v/>
      </c>
      <c r="W663" s="20">
        <f>COUNTIFS(tData[SEHTrajectPeriodeDatumTijdVan],"&lt;="&amp;($A663+19/24),tData[SEHTrajectPeriodeDatumTijdTotEnMet],"&gt;"&amp;($A663+19/24))</f>
        <v/>
      </c>
      <c r="X663" s="20">
        <f>COUNTIFS(tData[SEHTrajectPeriodeDatumTijdVan],"&lt;="&amp;($A663+20/24),tData[SEHTrajectPeriodeDatumTijdTotEnMet],"&gt;"&amp;($A663+20/24))</f>
        <v/>
      </c>
      <c r="Y663" s="20">
        <f>COUNTIFS(tData[SEHTrajectPeriodeDatumTijdVan],"&lt;="&amp;($A663+21/24),tData[SEHTrajectPeriodeDatumTijdTotEnMet],"&gt;"&amp;($A663+21/24))</f>
        <v/>
      </c>
      <c r="Z663" s="20">
        <f>COUNTIFS(tData[SEHTrajectPeriodeDatumTijdVan],"&lt;="&amp;($A663+22/24),tData[SEHTrajectPeriodeDatumTijdTotEnMet],"&gt;"&amp;($A663+22/24))</f>
        <v/>
      </c>
      <c r="AA663" s="20">
        <f>COUNTIFS(tData[SEHTrajectPeriodeDatumTijdVan],"&lt;="&amp;($A663+23/24),tData[SEHTrajectPeriodeDatumTijdTotEnMet],"&gt;"&amp;($A663+23/24))</f>
        <v/>
      </c>
    </row>
    <row r="664">
      <c r="A664" s="19" t="n">
        <v>45952</v>
      </c>
      <c r="B664" s="15">
        <f>WEEKDAY($A664,2)</f>
        <v/>
      </c>
      <c r="C664" s="15">
        <f>IF(AND($A664&gt;=INT(Instellingen!$B$5),$A664&lt;=INT(Instellingen!$B$6)),1,0)</f>
        <v/>
      </c>
      <c r="D664" s="20">
        <f>COUNTIFS(tData[SEHTrajectPeriodeDatumTijdVan],"&lt;="&amp;($A664+0/24),tData[SEHTrajectPeriodeDatumTijdTotEnMet],"&gt;"&amp;($A664+0/24))</f>
        <v/>
      </c>
      <c r="E664" s="20">
        <f>COUNTIFS(tData[SEHTrajectPeriodeDatumTijdVan],"&lt;="&amp;($A664+1/24),tData[SEHTrajectPeriodeDatumTijdTotEnMet],"&gt;"&amp;($A664+1/24))</f>
        <v/>
      </c>
      <c r="F664" s="20">
        <f>COUNTIFS(tData[SEHTrajectPeriodeDatumTijdVan],"&lt;="&amp;($A664+2/24),tData[SEHTrajectPeriodeDatumTijdTotEnMet],"&gt;"&amp;($A664+2/24))</f>
        <v/>
      </c>
      <c r="G664" s="20">
        <f>COUNTIFS(tData[SEHTrajectPeriodeDatumTijdVan],"&lt;="&amp;($A664+3/24),tData[SEHTrajectPeriodeDatumTijdTotEnMet],"&gt;"&amp;($A664+3/24))</f>
        <v/>
      </c>
      <c r="H664" s="20">
        <f>COUNTIFS(tData[SEHTrajectPeriodeDatumTijdVan],"&lt;="&amp;($A664+4/24),tData[SEHTrajectPeriodeDatumTijdTotEnMet],"&gt;"&amp;($A664+4/24))</f>
        <v/>
      </c>
      <c r="I664" s="20">
        <f>COUNTIFS(tData[SEHTrajectPeriodeDatumTijdVan],"&lt;="&amp;($A664+5/24),tData[SEHTrajectPeriodeDatumTijdTotEnMet],"&gt;"&amp;($A664+5/24))</f>
        <v/>
      </c>
      <c r="J664" s="20">
        <f>COUNTIFS(tData[SEHTrajectPeriodeDatumTijdVan],"&lt;="&amp;($A664+6/24),tData[SEHTrajectPeriodeDatumTijdTotEnMet],"&gt;"&amp;($A664+6/24))</f>
        <v/>
      </c>
      <c r="K664" s="20">
        <f>COUNTIFS(tData[SEHTrajectPeriodeDatumTijdVan],"&lt;="&amp;($A664+7/24),tData[SEHTrajectPeriodeDatumTijdTotEnMet],"&gt;"&amp;($A664+7/24))</f>
        <v/>
      </c>
      <c r="L664" s="20">
        <f>COUNTIFS(tData[SEHTrajectPeriodeDatumTijdVan],"&lt;="&amp;($A664+8/24),tData[SEHTrajectPeriodeDatumTijdTotEnMet],"&gt;"&amp;($A664+8/24))</f>
        <v/>
      </c>
      <c r="M664" s="20">
        <f>COUNTIFS(tData[SEHTrajectPeriodeDatumTijdVan],"&lt;="&amp;($A664+9/24),tData[SEHTrajectPeriodeDatumTijdTotEnMet],"&gt;"&amp;($A664+9/24))</f>
        <v/>
      </c>
      <c r="N664" s="20">
        <f>COUNTIFS(tData[SEHTrajectPeriodeDatumTijdVan],"&lt;="&amp;($A664+10/24),tData[SEHTrajectPeriodeDatumTijdTotEnMet],"&gt;"&amp;($A664+10/24))</f>
        <v/>
      </c>
      <c r="O664" s="20">
        <f>COUNTIFS(tData[SEHTrajectPeriodeDatumTijdVan],"&lt;="&amp;($A664+11/24),tData[SEHTrajectPeriodeDatumTijdTotEnMet],"&gt;"&amp;($A664+11/24))</f>
        <v/>
      </c>
      <c r="P664" s="20">
        <f>COUNTIFS(tData[SEHTrajectPeriodeDatumTijdVan],"&lt;="&amp;($A664+12/24),tData[SEHTrajectPeriodeDatumTijdTotEnMet],"&gt;"&amp;($A664+12/24))</f>
        <v/>
      </c>
      <c r="Q664" s="20">
        <f>COUNTIFS(tData[SEHTrajectPeriodeDatumTijdVan],"&lt;="&amp;($A664+13/24),tData[SEHTrajectPeriodeDatumTijdTotEnMet],"&gt;"&amp;($A664+13/24))</f>
        <v/>
      </c>
      <c r="R664" s="20">
        <f>COUNTIFS(tData[SEHTrajectPeriodeDatumTijdVan],"&lt;="&amp;($A664+14/24),tData[SEHTrajectPeriodeDatumTijdTotEnMet],"&gt;"&amp;($A664+14/24))</f>
        <v/>
      </c>
      <c r="S664" s="20">
        <f>COUNTIFS(tData[SEHTrajectPeriodeDatumTijdVan],"&lt;="&amp;($A664+15/24),tData[SEHTrajectPeriodeDatumTijdTotEnMet],"&gt;"&amp;($A664+15/24))</f>
        <v/>
      </c>
      <c r="T664" s="20">
        <f>COUNTIFS(tData[SEHTrajectPeriodeDatumTijdVan],"&lt;="&amp;($A664+16/24),tData[SEHTrajectPeriodeDatumTijdTotEnMet],"&gt;"&amp;($A664+16/24))</f>
        <v/>
      </c>
      <c r="U664" s="20">
        <f>COUNTIFS(tData[SEHTrajectPeriodeDatumTijdVan],"&lt;="&amp;($A664+17/24),tData[SEHTrajectPeriodeDatumTijdTotEnMet],"&gt;"&amp;($A664+17/24))</f>
        <v/>
      </c>
      <c r="V664" s="20">
        <f>COUNTIFS(tData[SEHTrajectPeriodeDatumTijdVan],"&lt;="&amp;($A664+18/24),tData[SEHTrajectPeriodeDatumTijdTotEnMet],"&gt;"&amp;($A664+18/24))</f>
        <v/>
      </c>
      <c r="W664" s="20">
        <f>COUNTIFS(tData[SEHTrajectPeriodeDatumTijdVan],"&lt;="&amp;($A664+19/24),tData[SEHTrajectPeriodeDatumTijdTotEnMet],"&gt;"&amp;($A664+19/24))</f>
        <v/>
      </c>
      <c r="X664" s="20">
        <f>COUNTIFS(tData[SEHTrajectPeriodeDatumTijdVan],"&lt;="&amp;($A664+20/24),tData[SEHTrajectPeriodeDatumTijdTotEnMet],"&gt;"&amp;($A664+20/24))</f>
        <v/>
      </c>
      <c r="Y664" s="20">
        <f>COUNTIFS(tData[SEHTrajectPeriodeDatumTijdVan],"&lt;="&amp;($A664+21/24),tData[SEHTrajectPeriodeDatumTijdTotEnMet],"&gt;"&amp;($A664+21/24))</f>
        <v/>
      </c>
      <c r="Z664" s="20">
        <f>COUNTIFS(tData[SEHTrajectPeriodeDatumTijdVan],"&lt;="&amp;($A664+22/24),tData[SEHTrajectPeriodeDatumTijdTotEnMet],"&gt;"&amp;($A664+22/24))</f>
        <v/>
      </c>
      <c r="AA664" s="20">
        <f>COUNTIFS(tData[SEHTrajectPeriodeDatumTijdVan],"&lt;="&amp;($A664+23/24),tData[SEHTrajectPeriodeDatumTijdTotEnMet],"&gt;"&amp;($A664+23/24))</f>
        <v/>
      </c>
    </row>
    <row r="665">
      <c r="A665" s="19" t="n">
        <v>45953</v>
      </c>
      <c r="B665" s="15">
        <f>WEEKDAY($A665,2)</f>
        <v/>
      </c>
      <c r="C665" s="15">
        <f>IF(AND($A665&gt;=INT(Instellingen!$B$5),$A665&lt;=INT(Instellingen!$B$6)),1,0)</f>
        <v/>
      </c>
      <c r="D665" s="20">
        <f>COUNTIFS(tData[SEHTrajectPeriodeDatumTijdVan],"&lt;="&amp;($A665+0/24),tData[SEHTrajectPeriodeDatumTijdTotEnMet],"&gt;"&amp;($A665+0/24))</f>
        <v/>
      </c>
      <c r="E665" s="20">
        <f>COUNTIFS(tData[SEHTrajectPeriodeDatumTijdVan],"&lt;="&amp;($A665+1/24),tData[SEHTrajectPeriodeDatumTijdTotEnMet],"&gt;"&amp;($A665+1/24))</f>
        <v/>
      </c>
      <c r="F665" s="20">
        <f>COUNTIFS(tData[SEHTrajectPeriodeDatumTijdVan],"&lt;="&amp;($A665+2/24),tData[SEHTrajectPeriodeDatumTijdTotEnMet],"&gt;"&amp;($A665+2/24))</f>
        <v/>
      </c>
      <c r="G665" s="20">
        <f>COUNTIFS(tData[SEHTrajectPeriodeDatumTijdVan],"&lt;="&amp;($A665+3/24),tData[SEHTrajectPeriodeDatumTijdTotEnMet],"&gt;"&amp;($A665+3/24))</f>
        <v/>
      </c>
      <c r="H665" s="20">
        <f>COUNTIFS(tData[SEHTrajectPeriodeDatumTijdVan],"&lt;="&amp;($A665+4/24),tData[SEHTrajectPeriodeDatumTijdTotEnMet],"&gt;"&amp;($A665+4/24))</f>
        <v/>
      </c>
      <c r="I665" s="20">
        <f>COUNTIFS(tData[SEHTrajectPeriodeDatumTijdVan],"&lt;="&amp;($A665+5/24),tData[SEHTrajectPeriodeDatumTijdTotEnMet],"&gt;"&amp;($A665+5/24))</f>
        <v/>
      </c>
      <c r="J665" s="20">
        <f>COUNTIFS(tData[SEHTrajectPeriodeDatumTijdVan],"&lt;="&amp;($A665+6/24),tData[SEHTrajectPeriodeDatumTijdTotEnMet],"&gt;"&amp;($A665+6/24))</f>
        <v/>
      </c>
      <c r="K665" s="20">
        <f>COUNTIFS(tData[SEHTrajectPeriodeDatumTijdVan],"&lt;="&amp;($A665+7/24),tData[SEHTrajectPeriodeDatumTijdTotEnMet],"&gt;"&amp;($A665+7/24))</f>
        <v/>
      </c>
      <c r="L665" s="20">
        <f>COUNTIFS(tData[SEHTrajectPeriodeDatumTijdVan],"&lt;="&amp;($A665+8/24),tData[SEHTrajectPeriodeDatumTijdTotEnMet],"&gt;"&amp;($A665+8/24))</f>
        <v/>
      </c>
      <c r="M665" s="20">
        <f>COUNTIFS(tData[SEHTrajectPeriodeDatumTijdVan],"&lt;="&amp;($A665+9/24),tData[SEHTrajectPeriodeDatumTijdTotEnMet],"&gt;"&amp;($A665+9/24))</f>
        <v/>
      </c>
      <c r="N665" s="20">
        <f>COUNTIFS(tData[SEHTrajectPeriodeDatumTijdVan],"&lt;="&amp;($A665+10/24),tData[SEHTrajectPeriodeDatumTijdTotEnMet],"&gt;"&amp;($A665+10/24))</f>
        <v/>
      </c>
      <c r="O665" s="20">
        <f>COUNTIFS(tData[SEHTrajectPeriodeDatumTijdVan],"&lt;="&amp;($A665+11/24),tData[SEHTrajectPeriodeDatumTijdTotEnMet],"&gt;"&amp;($A665+11/24))</f>
        <v/>
      </c>
      <c r="P665" s="20">
        <f>COUNTIFS(tData[SEHTrajectPeriodeDatumTijdVan],"&lt;="&amp;($A665+12/24),tData[SEHTrajectPeriodeDatumTijdTotEnMet],"&gt;"&amp;($A665+12/24))</f>
        <v/>
      </c>
      <c r="Q665" s="20">
        <f>COUNTIFS(tData[SEHTrajectPeriodeDatumTijdVan],"&lt;="&amp;($A665+13/24),tData[SEHTrajectPeriodeDatumTijdTotEnMet],"&gt;"&amp;($A665+13/24))</f>
        <v/>
      </c>
      <c r="R665" s="20">
        <f>COUNTIFS(tData[SEHTrajectPeriodeDatumTijdVan],"&lt;="&amp;($A665+14/24),tData[SEHTrajectPeriodeDatumTijdTotEnMet],"&gt;"&amp;($A665+14/24))</f>
        <v/>
      </c>
      <c r="S665" s="20">
        <f>COUNTIFS(tData[SEHTrajectPeriodeDatumTijdVan],"&lt;="&amp;($A665+15/24),tData[SEHTrajectPeriodeDatumTijdTotEnMet],"&gt;"&amp;($A665+15/24))</f>
        <v/>
      </c>
      <c r="T665" s="20">
        <f>COUNTIFS(tData[SEHTrajectPeriodeDatumTijdVan],"&lt;="&amp;($A665+16/24),tData[SEHTrajectPeriodeDatumTijdTotEnMet],"&gt;"&amp;($A665+16/24))</f>
        <v/>
      </c>
      <c r="U665" s="20">
        <f>COUNTIFS(tData[SEHTrajectPeriodeDatumTijdVan],"&lt;="&amp;($A665+17/24),tData[SEHTrajectPeriodeDatumTijdTotEnMet],"&gt;"&amp;($A665+17/24))</f>
        <v/>
      </c>
      <c r="V665" s="20">
        <f>COUNTIFS(tData[SEHTrajectPeriodeDatumTijdVan],"&lt;="&amp;($A665+18/24),tData[SEHTrajectPeriodeDatumTijdTotEnMet],"&gt;"&amp;($A665+18/24))</f>
        <v/>
      </c>
      <c r="W665" s="20">
        <f>COUNTIFS(tData[SEHTrajectPeriodeDatumTijdVan],"&lt;="&amp;($A665+19/24),tData[SEHTrajectPeriodeDatumTijdTotEnMet],"&gt;"&amp;($A665+19/24))</f>
        <v/>
      </c>
      <c r="X665" s="20">
        <f>COUNTIFS(tData[SEHTrajectPeriodeDatumTijdVan],"&lt;="&amp;($A665+20/24),tData[SEHTrajectPeriodeDatumTijdTotEnMet],"&gt;"&amp;($A665+20/24))</f>
        <v/>
      </c>
      <c r="Y665" s="20">
        <f>COUNTIFS(tData[SEHTrajectPeriodeDatumTijdVan],"&lt;="&amp;($A665+21/24),tData[SEHTrajectPeriodeDatumTijdTotEnMet],"&gt;"&amp;($A665+21/24))</f>
        <v/>
      </c>
      <c r="Z665" s="20">
        <f>COUNTIFS(tData[SEHTrajectPeriodeDatumTijdVan],"&lt;="&amp;($A665+22/24),tData[SEHTrajectPeriodeDatumTijdTotEnMet],"&gt;"&amp;($A665+22/24))</f>
        <v/>
      </c>
      <c r="AA665" s="20">
        <f>COUNTIFS(tData[SEHTrajectPeriodeDatumTijdVan],"&lt;="&amp;($A665+23/24),tData[SEHTrajectPeriodeDatumTijdTotEnMet],"&gt;"&amp;($A665+23/24))</f>
        <v/>
      </c>
    </row>
    <row r="666">
      <c r="A666" s="19" t="n">
        <v>45954</v>
      </c>
      <c r="B666" s="15">
        <f>WEEKDAY($A666,2)</f>
        <v/>
      </c>
      <c r="C666" s="15">
        <f>IF(AND($A666&gt;=INT(Instellingen!$B$5),$A666&lt;=INT(Instellingen!$B$6)),1,0)</f>
        <v/>
      </c>
      <c r="D666" s="20">
        <f>COUNTIFS(tData[SEHTrajectPeriodeDatumTijdVan],"&lt;="&amp;($A666+0/24),tData[SEHTrajectPeriodeDatumTijdTotEnMet],"&gt;"&amp;($A666+0/24))</f>
        <v/>
      </c>
      <c r="E666" s="20">
        <f>COUNTIFS(tData[SEHTrajectPeriodeDatumTijdVan],"&lt;="&amp;($A666+1/24),tData[SEHTrajectPeriodeDatumTijdTotEnMet],"&gt;"&amp;($A666+1/24))</f>
        <v/>
      </c>
      <c r="F666" s="20">
        <f>COUNTIFS(tData[SEHTrajectPeriodeDatumTijdVan],"&lt;="&amp;($A666+2/24),tData[SEHTrajectPeriodeDatumTijdTotEnMet],"&gt;"&amp;($A666+2/24))</f>
        <v/>
      </c>
      <c r="G666" s="20">
        <f>COUNTIFS(tData[SEHTrajectPeriodeDatumTijdVan],"&lt;="&amp;($A666+3/24),tData[SEHTrajectPeriodeDatumTijdTotEnMet],"&gt;"&amp;($A666+3/24))</f>
        <v/>
      </c>
      <c r="H666" s="20">
        <f>COUNTIFS(tData[SEHTrajectPeriodeDatumTijdVan],"&lt;="&amp;($A666+4/24),tData[SEHTrajectPeriodeDatumTijdTotEnMet],"&gt;"&amp;($A666+4/24))</f>
        <v/>
      </c>
      <c r="I666" s="20">
        <f>COUNTIFS(tData[SEHTrajectPeriodeDatumTijdVan],"&lt;="&amp;($A666+5/24),tData[SEHTrajectPeriodeDatumTijdTotEnMet],"&gt;"&amp;($A666+5/24))</f>
        <v/>
      </c>
      <c r="J666" s="20">
        <f>COUNTIFS(tData[SEHTrajectPeriodeDatumTijdVan],"&lt;="&amp;($A666+6/24),tData[SEHTrajectPeriodeDatumTijdTotEnMet],"&gt;"&amp;($A666+6/24))</f>
        <v/>
      </c>
      <c r="K666" s="20">
        <f>COUNTIFS(tData[SEHTrajectPeriodeDatumTijdVan],"&lt;="&amp;($A666+7/24),tData[SEHTrajectPeriodeDatumTijdTotEnMet],"&gt;"&amp;($A666+7/24))</f>
        <v/>
      </c>
      <c r="L666" s="20">
        <f>COUNTIFS(tData[SEHTrajectPeriodeDatumTijdVan],"&lt;="&amp;($A666+8/24),tData[SEHTrajectPeriodeDatumTijdTotEnMet],"&gt;"&amp;($A666+8/24))</f>
        <v/>
      </c>
      <c r="M666" s="20">
        <f>COUNTIFS(tData[SEHTrajectPeriodeDatumTijdVan],"&lt;="&amp;($A666+9/24),tData[SEHTrajectPeriodeDatumTijdTotEnMet],"&gt;"&amp;($A666+9/24))</f>
        <v/>
      </c>
      <c r="N666" s="20">
        <f>COUNTIFS(tData[SEHTrajectPeriodeDatumTijdVan],"&lt;="&amp;($A666+10/24),tData[SEHTrajectPeriodeDatumTijdTotEnMet],"&gt;"&amp;($A666+10/24))</f>
        <v/>
      </c>
      <c r="O666" s="20">
        <f>COUNTIFS(tData[SEHTrajectPeriodeDatumTijdVan],"&lt;="&amp;($A666+11/24),tData[SEHTrajectPeriodeDatumTijdTotEnMet],"&gt;"&amp;($A666+11/24))</f>
        <v/>
      </c>
      <c r="P666" s="20">
        <f>COUNTIFS(tData[SEHTrajectPeriodeDatumTijdVan],"&lt;="&amp;($A666+12/24),tData[SEHTrajectPeriodeDatumTijdTotEnMet],"&gt;"&amp;($A666+12/24))</f>
        <v/>
      </c>
      <c r="Q666" s="20">
        <f>COUNTIFS(tData[SEHTrajectPeriodeDatumTijdVan],"&lt;="&amp;($A666+13/24),tData[SEHTrajectPeriodeDatumTijdTotEnMet],"&gt;"&amp;($A666+13/24))</f>
        <v/>
      </c>
      <c r="R666" s="20">
        <f>COUNTIFS(tData[SEHTrajectPeriodeDatumTijdVan],"&lt;="&amp;($A666+14/24),tData[SEHTrajectPeriodeDatumTijdTotEnMet],"&gt;"&amp;($A666+14/24))</f>
        <v/>
      </c>
      <c r="S666" s="20">
        <f>COUNTIFS(tData[SEHTrajectPeriodeDatumTijdVan],"&lt;="&amp;($A666+15/24),tData[SEHTrajectPeriodeDatumTijdTotEnMet],"&gt;"&amp;($A666+15/24))</f>
        <v/>
      </c>
      <c r="T666" s="20">
        <f>COUNTIFS(tData[SEHTrajectPeriodeDatumTijdVan],"&lt;="&amp;($A666+16/24),tData[SEHTrajectPeriodeDatumTijdTotEnMet],"&gt;"&amp;($A666+16/24))</f>
        <v/>
      </c>
      <c r="U666" s="20">
        <f>COUNTIFS(tData[SEHTrajectPeriodeDatumTijdVan],"&lt;="&amp;($A666+17/24),tData[SEHTrajectPeriodeDatumTijdTotEnMet],"&gt;"&amp;($A666+17/24))</f>
        <v/>
      </c>
      <c r="V666" s="20">
        <f>COUNTIFS(tData[SEHTrajectPeriodeDatumTijdVan],"&lt;="&amp;($A666+18/24),tData[SEHTrajectPeriodeDatumTijdTotEnMet],"&gt;"&amp;($A666+18/24))</f>
        <v/>
      </c>
      <c r="W666" s="20">
        <f>COUNTIFS(tData[SEHTrajectPeriodeDatumTijdVan],"&lt;="&amp;($A666+19/24),tData[SEHTrajectPeriodeDatumTijdTotEnMet],"&gt;"&amp;($A666+19/24))</f>
        <v/>
      </c>
      <c r="X666" s="20">
        <f>COUNTIFS(tData[SEHTrajectPeriodeDatumTijdVan],"&lt;="&amp;($A666+20/24),tData[SEHTrajectPeriodeDatumTijdTotEnMet],"&gt;"&amp;($A666+20/24))</f>
        <v/>
      </c>
      <c r="Y666" s="20">
        <f>COUNTIFS(tData[SEHTrajectPeriodeDatumTijdVan],"&lt;="&amp;($A666+21/24),tData[SEHTrajectPeriodeDatumTijdTotEnMet],"&gt;"&amp;($A666+21/24))</f>
        <v/>
      </c>
      <c r="Z666" s="20">
        <f>COUNTIFS(tData[SEHTrajectPeriodeDatumTijdVan],"&lt;="&amp;($A666+22/24),tData[SEHTrajectPeriodeDatumTijdTotEnMet],"&gt;"&amp;($A666+22/24))</f>
        <v/>
      </c>
      <c r="AA666" s="20">
        <f>COUNTIFS(tData[SEHTrajectPeriodeDatumTijdVan],"&lt;="&amp;($A666+23/24),tData[SEHTrajectPeriodeDatumTijdTotEnMet],"&gt;"&amp;($A666+23/24))</f>
        <v/>
      </c>
    </row>
    <row r="667">
      <c r="A667" s="19" t="n">
        <v>45955</v>
      </c>
      <c r="B667" s="15">
        <f>WEEKDAY($A667,2)</f>
        <v/>
      </c>
      <c r="C667" s="15">
        <f>IF(AND($A667&gt;=INT(Instellingen!$B$5),$A667&lt;=INT(Instellingen!$B$6)),1,0)</f>
        <v/>
      </c>
      <c r="D667" s="20">
        <f>COUNTIFS(tData[SEHTrajectPeriodeDatumTijdVan],"&lt;="&amp;($A667+0/24),tData[SEHTrajectPeriodeDatumTijdTotEnMet],"&gt;"&amp;($A667+0/24))</f>
        <v/>
      </c>
      <c r="E667" s="20">
        <f>COUNTIFS(tData[SEHTrajectPeriodeDatumTijdVan],"&lt;="&amp;($A667+1/24),tData[SEHTrajectPeriodeDatumTijdTotEnMet],"&gt;"&amp;($A667+1/24))</f>
        <v/>
      </c>
      <c r="F667" s="20">
        <f>COUNTIFS(tData[SEHTrajectPeriodeDatumTijdVan],"&lt;="&amp;($A667+2/24),tData[SEHTrajectPeriodeDatumTijdTotEnMet],"&gt;"&amp;($A667+2/24))</f>
        <v/>
      </c>
      <c r="G667" s="20">
        <f>COUNTIFS(tData[SEHTrajectPeriodeDatumTijdVan],"&lt;="&amp;($A667+3/24),tData[SEHTrajectPeriodeDatumTijdTotEnMet],"&gt;"&amp;($A667+3/24))</f>
        <v/>
      </c>
      <c r="H667" s="20">
        <f>COUNTIFS(tData[SEHTrajectPeriodeDatumTijdVan],"&lt;="&amp;($A667+4/24),tData[SEHTrajectPeriodeDatumTijdTotEnMet],"&gt;"&amp;($A667+4/24))</f>
        <v/>
      </c>
      <c r="I667" s="20">
        <f>COUNTIFS(tData[SEHTrajectPeriodeDatumTijdVan],"&lt;="&amp;($A667+5/24),tData[SEHTrajectPeriodeDatumTijdTotEnMet],"&gt;"&amp;($A667+5/24))</f>
        <v/>
      </c>
      <c r="J667" s="20">
        <f>COUNTIFS(tData[SEHTrajectPeriodeDatumTijdVan],"&lt;="&amp;($A667+6/24),tData[SEHTrajectPeriodeDatumTijdTotEnMet],"&gt;"&amp;($A667+6/24))</f>
        <v/>
      </c>
      <c r="K667" s="20">
        <f>COUNTIFS(tData[SEHTrajectPeriodeDatumTijdVan],"&lt;="&amp;($A667+7/24),tData[SEHTrajectPeriodeDatumTijdTotEnMet],"&gt;"&amp;($A667+7/24))</f>
        <v/>
      </c>
      <c r="L667" s="20">
        <f>COUNTIFS(tData[SEHTrajectPeriodeDatumTijdVan],"&lt;="&amp;($A667+8/24),tData[SEHTrajectPeriodeDatumTijdTotEnMet],"&gt;"&amp;($A667+8/24))</f>
        <v/>
      </c>
      <c r="M667" s="20">
        <f>COUNTIFS(tData[SEHTrajectPeriodeDatumTijdVan],"&lt;="&amp;($A667+9/24),tData[SEHTrajectPeriodeDatumTijdTotEnMet],"&gt;"&amp;($A667+9/24))</f>
        <v/>
      </c>
      <c r="N667" s="20">
        <f>COUNTIFS(tData[SEHTrajectPeriodeDatumTijdVan],"&lt;="&amp;($A667+10/24),tData[SEHTrajectPeriodeDatumTijdTotEnMet],"&gt;"&amp;($A667+10/24))</f>
        <v/>
      </c>
      <c r="O667" s="20">
        <f>COUNTIFS(tData[SEHTrajectPeriodeDatumTijdVan],"&lt;="&amp;($A667+11/24),tData[SEHTrajectPeriodeDatumTijdTotEnMet],"&gt;"&amp;($A667+11/24))</f>
        <v/>
      </c>
      <c r="P667" s="20">
        <f>COUNTIFS(tData[SEHTrajectPeriodeDatumTijdVan],"&lt;="&amp;($A667+12/24),tData[SEHTrajectPeriodeDatumTijdTotEnMet],"&gt;"&amp;($A667+12/24))</f>
        <v/>
      </c>
      <c r="Q667" s="20">
        <f>COUNTIFS(tData[SEHTrajectPeriodeDatumTijdVan],"&lt;="&amp;($A667+13/24),tData[SEHTrajectPeriodeDatumTijdTotEnMet],"&gt;"&amp;($A667+13/24))</f>
        <v/>
      </c>
      <c r="R667" s="20">
        <f>COUNTIFS(tData[SEHTrajectPeriodeDatumTijdVan],"&lt;="&amp;($A667+14/24),tData[SEHTrajectPeriodeDatumTijdTotEnMet],"&gt;"&amp;($A667+14/24))</f>
        <v/>
      </c>
      <c r="S667" s="20">
        <f>COUNTIFS(tData[SEHTrajectPeriodeDatumTijdVan],"&lt;="&amp;($A667+15/24),tData[SEHTrajectPeriodeDatumTijdTotEnMet],"&gt;"&amp;($A667+15/24))</f>
        <v/>
      </c>
      <c r="T667" s="20">
        <f>COUNTIFS(tData[SEHTrajectPeriodeDatumTijdVan],"&lt;="&amp;($A667+16/24),tData[SEHTrajectPeriodeDatumTijdTotEnMet],"&gt;"&amp;($A667+16/24))</f>
        <v/>
      </c>
      <c r="U667" s="20">
        <f>COUNTIFS(tData[SEHTrajectPeriodeDatumTijdVan],"&lt;="&amp;($A667+17/24),tData[SEHTrajectPeriodeDatumTijdTotEnMet],"&gt;"&amp;($A667+17/24))</f>
        <v/>
      </c>
      <c r="V667" s="20">
        <f>COUNTIFS(tData[SEHTrajectPeriodeDatumTijdVan],"&lt;="&amp;($A667+18/24),tData[SEHTrajectPeriodeDatumTijdTotEnMet],"&gt;"&amp;($A667+18/24))</f>
        <v/>
      </c>
      <c r="W667" s="20">
        <f>COUNTIFS(tData[SEHTrajectPeriodeDatumTijdVan],"&lt;="&amp;($A667+19/24),tData[SEHTrajectPeriodeDatumTijdTotEnMet],"&gt;"&amp;($A667+19/24))</f>
        <v/>
      </c>
      <c r="X667" s="20">
        <f>COUNTIFS(tData[SEHTrajectPeriodeDatumTijdVan],"&lt;="&amp;($A667+20/24),tData[SEHTrajectPeriodeDatumTijdTotEnMet],"&gt;"&amp;($A667+20/24))</f>
        <v/>
      </c>
      <c r="Y667" s="20">
        <f>COUNTIFS(tData[SEHTrajectPeriodeDatumTijdVan],"&lt;="&amp;($A667+21/24),tData[SEHTrajectPeriodeDatumTijdTotEnMet],"&gt;"&amp;($A667+21/24))</f>
        <v/>
      </c>
      <c r="Z667" s="20">
        <f>COUNTIFS(tData[SEHTrajectPeriodeDatumTijdVan],"&lt;="&amp;($A667+22/24),tData[SEHTrajectPeriodeDatumTijdTotEnMet],"&gt;"&amp;($A667+22/24))</f>
        <v/>
      </c>
      <c r="AA667" s="20">
        <f>COUNTIFS(tData[SEHTrajectPeriodeDatumTijdVan],"&lt;="&amp;($A667+23/24),tData[SEHTrajectPeriodeDatumTijdTotEnMet],"&gt;"&amp;($A667+23/24))</f>
        <v/>
      </c>
    </row>
    <row r="668">
      <c r="A668" s="19" t="n">
        <v>45956</v>
      </c>
      <c r="B668" s="15">
        <f>WEEKDAY($A668,2)</f>
        <v/>
      </c>
      <c r="C668" s="15">
        <f>IF(AND($A668&gt;=INT(Instellingen!$B$5),$A668&lt;=INT(Instellingen!$B$6)),1,0)</f>
        <v/>
      </c>
      <c r="D668" s="20">
        <f>COUNTIFS(tData[SEHTrajectPeriodeDatumTijdVan],"&lt;="&amp;($A668+0/24),tData[SEHTrajectPeriodeDatumTijdTotEnMet],"&gt;"&amp;($A668+0/24))</f>
        <v/>
      </c>
      <c r="E668" s="20">
        <f>COUNTIFS(tData[SEHTrajectPeriodeDatumTijdVan],"&lt;="&amp;($A668+1/24),tData[SEHTrajectPeriodeDatumTijdTotEnMet],"&gt;"&amp;($A668+1/24))</f>
        <v/>
      </c>
      <c r="F668" s="20">
        <f>COUNTIFS(tData[SEHTrajectPeriodeDatumTijdVan],"&lt;="&amp;($A668+2/24),tData[SEHTrajectPeriodeDatumTijdTotEnMet],"&gt;"&amp;($A668+2/24))</f>
        <v/>
      </c>
      <c r="G668" s="20">
        <f>COUNTIFS(tData[SEHTrajectPeriodeDatumTijdVan],"&lt;="&amp;($A668+3/24),tData[SEHTrajectPeriodeDatumTijdTotEnMet],"&gt;"&amp;($A668+3/24))</f>
        <v/>
      </c>
      <c r="H668" s="20">
        <f>COUNTIFS(tData[SEHTrajectPeriodeDatumTijdVan],"&lt;="&amp;($A668+4/24),tData[SEHTrajectPeriodeDatumTijdTotEnMet],"&gt;"&amp;($A668+4/24))</f>
        <v/>
      </c>
      <c r="I668" s="20">
        <f>COUNTIFS(tData[SEHTrajectPeriodeDatumTijdVan],"&lt;="&amp;($A668+5/24),tData[SEHTrajectPeriodeDatumTijdTotEnMet],"&gt;"&amp;($A668+5/24))</f>
        <v/>
      </c>
      <c r="J668" s="20">
        <f>COUNTIFS(tData[SEHTrajectPeriodeDatumTijdVan],"&lt;="&amp;($A668+6/24),tData[SEHTrajectPeriodeDatumTijdTotEnMet],"&gt;"&amp;($A668+6/24))</f>
        <v/>
      </c>
      <c r="K668" s="20">
        <f>COUNTIFS(tData[SEHTrajectPeriodeDatumTijdVan],"&lt;="&amp;($A668+7/24),tData[SEHTrajectPeriodeDatumTijdTotEnMet],"&gt;"&amp;($A668+7/24))</f>
        <v/>
      </c>
      <c r="L668" s="20">
        <f>COUNTIFS(tData[SEHTrajectPeriodeDatumTijdVan],"&lt;="&amp;($A668+8/24),tData[SEHTrajectPeriodeDatumTijdTotEnMet],"&gt;"&amp;($A668+8/24))</f>
        <v/>
      </c>
      <c r="M668" s="20">
        <f>COUNTIFS(tData[SEHTrajectPeriodeDatumTijdVan],"&lt;="&amp;($A668+9/24),tData[SEHTrajectPeriodeDatumTijdTotEnMet],"&gt;"&amp;($A668+9/24))</f>
        <v/>
      </c>
      <c r="N668" s="20">
        <f>COUNTIFS(tData[SEHTrajectPeriodeDatumTijdVan],"&lt;="&amp;($A668+10/24),tData[SEHTrajectPeriodeDatumTijdTotEnMet],"&gt;"&amp;($A668+10/24))</f>
        <v/>
      </c>
      <c r="O668" s="20">
        <f>COUNTIFS(tData[SEHTrajectPeriodeDatumTijdVan],"&lt;="&amp;($A668+11/24),tData[SEHTrajectPeriodeDatumTijdTotEnMet],"&gt;"&amp;($A668+11/24))</f>
        <v/>
      </c>
      <c r="P668" s="20">
        <f>COUNTIFS(tData[SEHTrajectPeriodeDatumTijdVan],"&lt;="&amp;($A668+12/24),tData[SEHTrajectPeriodeDatumTijdTotEnMet],"&gt;"&amp;($A668+12/24))</f>
        <v/>
      </c>
      <c r="Q668" s="20">
        <f>COUNTIFS(tData[SEHTrajectPeriodeDatumTijdVan],"&lt;="&amp;($A668+13/24),tData[SEHTrajectPeriodeDatumTijdTotEnMet],"&gt;"&amp;($A668+13/24))</f>
        <v/>
      </c>
      <c r="R668" s="20">
        <f>COUNTIFS(tData[SEHTrajectPeriodeDatumTijdVan],"&lt;="&amp;($A668+14/24),tData[SEHTrajectPeriodeDatumTijdTotEnMet],"&gt;"&amp;($A668+14/24))</f>
        <v/>
      </c>
      <c r="S668" s="20">
        <f>COUNTIFS(tData[SEHTrajectPeriodeDatumTijdVan],"&lt;="&amp;($A668+15/24),tData[SEHTrajectPeriodeDatumTijdTotEnMet],"&gt;"&amp;($A668+15/24))</f>
        <v/>
      </c>
      <c r="T668" s="20">
        <f>COUNTIFS(tData[SEHTrajectPeriodeDatumTijdVan],"&lt;="&amp;($A668+16/24),tData[SEHTrajectPeriodeDatumTijdTotEnMet],"&gt;"&amp;($A668+16/24))</f>
        <v/>
      </c>
      <c r="U668" s="20">
        <f>COUNTIFS(tData[SEHTrajectPeriodeDatumTijdVan],"&lt;="&amp;($A668+17/24),tData[SEHTrajectPeriodeDatumTijdTotEnMet],"&gt;"&amp;($A668+17/24))</f>
        <v/>
      </c>
      <c r="V668" s="20">
        <f>COUNTIFS(tData[SEHTrajectPeriodeDatumTijdVan],"&lt;="&amp;($A668+18/24),tData[SEHTrajectPeriodeDatumTijdTotEnMet],"&gt;"&amp;($A668+18/24))</f>
        <v/>
      </c>
      <c r="W668" s="20">
        <f>COUNTIFS(tData[SEHTrajectPeriodeDatumTijdVan],"&lt;="&amp;($A668+19/24),tData[SEHTrajectPeriodeDatumTijdTotEnMet],"&gt;"&amp;($A668+19/24))</f>
        <v/>
      </c>
      <c r="X668" s="20">
        <f>COUNTIFS(tData[SEHTrajectPeriodeDatumTijdVan],"&lt;="&amp;($A668+20/24),tData[SEHTrajectPeriodeDatumTijdTotEnMet],"&gt;"&amp;($A668+20/24))</f>
        <v/>
      </c>
      <c r="Y668" s="20">
        <f>COUNTIFS(tData[SEHTrajectPeriodeDatumTijdVan],"&lt;="&amp;($A668+21/24),tData[SEHTrajectPeriodeDatumTijdTotEnMet],"&gt;"&amp;($A668+21/24))</f>
        <v/>
      </c>
      <c r="Z668" s="20">
        <f>COUNTIFS(tData[SEHTrajectPeriodeDatumTijdVan],"&lt;="&amp;($A668+22/24),tData[SEHTrajectPeriodeDatumTijdTotEnMet],"&gt;"&amp;($A668+22/24))</f>
        <v/>
      </c>
      <c r="AA668" s="20">
        <f>COUNTIFS(tData[SEHTrajectPeriodeDatumTijdVan],"&lt;="&amp;($A668+23/24),tData[SEHTrajectPeriodeDatumTijdTotEnMet],"&gt;"&amp;($A668+23/24))</f>
        <v/>
      </c>
    </row>
    <row r="669">
      <c r="A669" s="19" t="n">
        <v>45957</v>
      </c>
      <c r="B669" s="15">
        <f>WEEKDAY($A669,2)</f>
        <v/>
      </c>
      <c r="C669" s="15">
        <f>IF(AND($A669&gt;=INT(Instellingen!$B$5),$A669&lt;=INT(Instellingen!$B$6)),1,0)</f>
        <v/>
      </c>
      <c r="D669" s="20">
        <f>COUNTIFS(tData[SEHTrajectPeriodeDatumTijdVan],"&lt;="&amp;($A669+0/24),tData[SEHTrajectPeriodeDatumTijdTotEnMet],"&gt;"&amp;($A669+0/24))</f>
        <v/>
      </c>
      <c r="E669" s="20">
        <f>COUNTIFS(tData[SEHTrajectPeriodeDatumTijdVan],"&lt;="&amp;($A669+1/24),tData[SEHTrajectPeriodeDatumTijdTotEnMet],"&gt;"&amp;($A669+1/24))</f>
        <v/>
      </c>
      <c r="F669" s="20">
        <f>COUNTIFS(tData[SEHTrajectPeriodeDatumTijdVan],"&lt;="&amp;($A669+2/24),tData[SEHTrajectPeriodeDatumTijdTotEnMet],"&gt;"&amp;($A669+2/24))</f>
        <v/>
      </c>
      <c r="G669" s="20">
        <f>COUNTIFS(tData[SEHTrajectPeriodeDatumTijdVan],"&lt;="&amp;($A669+3/24),tData[SEHTrajectPeriodeDatumTijdTotEnMet],"&gt;"&amp;($A669+3/24))</f>
        <v/>
      </c>
      <c r="H669" s="20">
        <f>COUNTIFS(tData[SEHTrajectPeriodeDatumTijdVan],"&lt;="&amp;($A669+4/24),tData[SEHTrajectPeriodeDatumTijdTotEnMet],"&gt;"&amp;($A669+4/24))</f>
        <v/>
      </c>
      <c r="I669" s="20">
        <f>COUNTIFS(tData[SEHTrajectPeriodeDatumTijdVan],"&lt;="&amp;($A669+5/24),tData[SEHTrajectPeriodeDatumTijdTotEnMet],"&gt;"&amp;($A669+5/24))</f>
        <v/>
      </c>
      <c r="J669" s="20">
        <f>COUNTIFS(tData[SEHTrajectPeriodeDatumTijdVan],"&lt;="&amp;($A669+6/24),tData[SEHTrajectPeriodeDatumTijdTotEnMet],"&gt;"&amp;($A669+6/24))</f>
        <v/>
      </c>
      <c r="K669" s="20">
        <f>COUNTIFS(tData[SEHTrajectPeriodeDatumTijdVan],"&lt;="&amp;($A669+7/24),tData[SEHTrajectPeriodeDatumTijdTotEnMet],"&gt;"&amp;($A669+7/24))</f>
        <v/>
      </c>
      <c r="L669" s="20">
        <f>COUNTIFS(tData[SEHTrajectPeriodeDatumTijdVan],"&lt;="&amp;($A669+8/24),tData[SEHTrajectPeriodeDatumTijdTotEnMet],"&gt;"&amp;($A669+8/24))</f>
        <v/>
      </c>
      <c r="M669" s="20">
        <f>COUNTIFS(tData[SEHTrajectPeriodeDatumTijdVan],"&lt;="&amp;($A669+9/24),tData[SEHTrajectPeriodeDatumTijdTotEnMet],"&gt;"&amp;($A669+9/24))</f>
        <v/>
      </c>
      <c r="N669" s="20">
        <f>COUNTIFS(tData[SEHTrajectPeriodeDatumTijdVan],"&lt;="&amp;($A669+10/24),tData[SEHTrajectPeriodeDatumTijdTotEnMet],"&gt;"&amp;($A669+10/24))</f>
        <v/>
      </c>
      <c r="O669" s="20">
        <f>COUNTIFS(tData[SEHTrajectPeriodeDatumTijdVan],"&lt;="&amp;($A669+11/24),tData[SEHTrajectPeriodeDatumTijdTotEnMet],"&gt;"&amp;($A669+11/24))</f>
        <v/>
      </c>
      <c r="P669" s="20">
        <f>COUNTIFS(tData[SEHTrajectPeriodeDatumTijdVan],"&lt;="&amp;($A669+12/24),tData[SEHTrajectPeriodeDatumTijdTotEnMet],"&gt;"&amp;($A669+12/24))</f>
        <v/>
      </c>
      <c r="Q669" s="20">
        <f>COUNTIFS(tData[SEHTrajectPeriodeDatumTijdVan],"&lt;="&amp;($A669+13/24),tData[SEHTrajectPeriodeDatumTijdTotEnMet],"&gt;"&amp;($A669+13/24))</f>
        <v/>
      </c>
      <c r="R669" s="20">
        <f>COUNTIFS(tData[SEHTrajectPeriodeDatumTijdVan],"&lt;="&amp;($A669+14/24),tData[SEHTrajectPeriodeDatumTijdTotEnMet],"&gt;"&amp;($A669+14/24))</f>
        <v/>
      </c>
      <c r="S669" s="20">
        <f>COUNTIFS(tData[SEHTrajectPeriodeDatumTijdVan],"&lt;="&amp;($A669+15/24),tData[SEHTrajectPeriodeDatumTijdTotEnMet],"&gt;"&amp;($A669+15/24))</f>
        <v/>
      </c>
      <c r="T669" s="20">
        <f>COUNTIFS(tData[SEHTrajectPeriodeDatumTijdVan],"&lt;="&amp;($A669+16/24),tData[SEHTrajectPeriodeDatumTijdTotEnMet],"&gt;"&amp;($A669+16/24))</f>
        <v/>
      </c>
      <c r="U669" s="20">
        <f>COUNTIFS(tData[SEHTrajectPeriodeDatumTijdVan],"&lt;="&amp;($A669+17/24),tData[SEHTrajectPeriodeDatumTijdTotEnMet],"&gt;"&amp;($A669+17/24))</f>
        <v/>
      </c>
      <c r="V669" s="20">
        <f>COUNTIFS(tData[SEHTrajectPeriodeDatumTijdVan],"&lt;="&amp;($A669+18/24),tData[SEHTrajectPeriodeDatumTijdTotEnMet],"&gt;"&amp;($A669+18/24))</f>
        <v/>
      </c>
      <c r="W669" s="20">
        <f>COUNTIFS(tData[SEHTrajectPeriodeDatumTijdVan],"&lt;="&amp;($A669+19/24),tData[SEHTrajectPeriodeDatumTijdTotEnMet],"&gt;"&amp;($A669+19/24))</f>
        <v/>
      </c>
      <c r="X669" s="20">
        <f>COUNTIFS(tData[SEHTrajectPeriodeDatumTijdVan],"&lt;="&amp;($A669+20/24),tData[SEHTrajectPeriodeDatumTijdTotEnMet],"&gt;"&amp;($A669+20/24))</f>
        <v/>
      </c>
      <c r="Y669" s="20">
        <f>COUNTIFS(tData[SEHTrajectPeriodeDatumTijdVan],"&lt;="&amp;($A669+21/24),tData[SEHTrajectPeriodeDatumTijdTotEnMet],"&gt;"&amp;($A669+21/24))</f>
        <v/>
      </c>
      <c r="Z669" s="20">
        <f>COUNTIFS(tData[SEHTrajectPeriodeDatumTijdVan],"&lt;="&amp;($A669+22/24),tData[SEHTrajectPeriodeDatumTijdTotEnMet],"&gt;"&amp;($A669+22/24))</f>
        <v/>
      </c>
      <c r="AA669" s="20">
        <f>COUNTIFS(tData[SEHTrajectPeriodeDatumTijdVan],"&lt;="&amp;($A669+23/24),tData[SEHTrajectPeriodeDatumTijdTotEnMet],"&gt;"&amp;($A669+23/24))</f>
        <v/>
      </c>
    </row>
    <row r="670">
      <c r="A670" s="19" t="n">
        <v>45958</v>
      </c>
      <c r="B670" s="15">
        <f>WEEKDAY($A670,2)</f>
        <v/>
      </c>
      <c r="C670" s="15">
        <f>IF(AND($A670&gt;=INT(Instellingen!$B$5),$A670&lt;=INT(Instellingen!$B$6)),1,0)</f>
        <v/>
      </c>
      <c r="D670" s="20">
        <f>COUNTIFS(tData[SEHTrajectPeriodeDatumTijdVan],"&lt;="&amp;($A670+0/24),tData[SEHTrajectPeriodeDatumTijdTotEnMet],"&gt;"&amp;($A670+0/24))</f>
        <v/>
      </c>
      <c r="E670" s="20">
        <f>COUNTIFS(tData[SEHTrajectPeriodeDatumTijdVan],"&lt;="&amp;($A670+1/24),tData[SEHTrajectPeriodeDatumTijdTotEnMet],"&gt;"&amp;($A670+1/24))</f>
        <v/>
      </c>
      <c r="F670" s="20">
        <f>COUNTIFS(tData[SEHTrajectPeriodeDatumTijdVan],"&lt;="&amp;($A670+2/24),tData[SEHTrajectPeriodeDatumTijdTotEnMet],"&gt;"&amp;($A670+2/24))</f>
        <v/>
      </c>
      <c r="G670" s="20">
        <f>COUNTIFS(tData[SEHTrajectPeriodeDatumTijdVan],"&lt;="&amp;($A670+3/24),tData[SEHTrajectPeriodeDatumTijdTotEnMet],"&gt;"&amp;($A670+3/24))</f>
        <v/>
      </c>
      <c r="H670" s="20">
        <f>COUNTIFS(tData[SEHTrajectPeriodeDatumTijdVan],"&lt;="&amp;($A670+4/24),tData[SEHTrajectPeriodeDatumTijdTotEnMet],"&gt;"&amp;($A670+4/24))</f>
        <v/>
      </c>
      <c r="I670" s="20">
        <f>COUNTIFS(tData[SEHTrajectPeriodeDatumTijdVan],"&lt;="&amp;($A670+5/24),tData[SEHTrajectPeriodeDatumTijdTotEnMet],"&gt;"&amp;($A670+5/24))</f>
        <v/>
      </c>
      <c r="J670" s="20">
        <f>COUNTIFS(tData[SEHTrajectPeriodeDatumTijdVan],"&lt;="&amp;($A670+6/24),tData[SEHTrajectPeriodeDatumTijdTotEnMet],"&gt;"&amp;($A670+6/24))</f>
        <v/>
      </c>
      <c r="K670" s="20">
        <f>COUNTIFS(tData[SEHTrajectPeriodeDatumTijdVan],"&lt;="&amp;($A670+7/24),tData[SEHTrajectPeriodeDatumTijdTotEnMet],"&gt;"&amp;($A670+7/24))</f>
        <v/>
      </c>
      <c r="L670" s="20">
        <f>COUNTIFS(tData[SEHTrajectPeriodeDatumTijdVan],"&lt;="&amp;($A670+8/24),tData[SEHTrajectPeriodeDatumTijdTotEnMet],"&gt;"&amp;($A670+8/24))</f>
        <v/>
      </c>
      <c r="M670" s="20">
        <f>COUNTIFS(tData[SEHTrajectPeriodeDatumTijdVan],"&lt;="&amp;($A670+9/24),tData[SEHTrajectPeriodeDatumTijdTotEnMet],"&gt;"&amp;($A670+9/24))</f>
        <v/>
      </c>
      <c r="N670" s="20">
        <f>COUNTIFS(tData[SEHTrajectPeriodeDatumTijdVan],"&lt;="&amp;($A670+10/24),tData[SEHTrajectPeriodeDatumTijdTotEnMet],"&gt;"&amp;($A670+10/24))</f>
        <v/>
      </c>
      <c r="O670" s="20">
        <f>COUNTIFS(tData[SEHTrajectPeriodeDatumTijdVan],"&lt;="&amp;($A670+11/24),tData[SEHTrajectPeriodeDatumTijdTotEnMet],"&gt;"&amp;($A670+11/24))</f>
        <v/>
      </c>
      <c r="P670" s="20">
        <f>COUNTIFS(tData[SEHTrajectPeriodeDatumTijdVan],"&lt;="&amp;($A670+12/24),tData[SEHTrajectPeriodeDatumTijdTotEnMet],"&gt;"&amp;($A670+12/24))</f>
        <v/>
      </c>
      <c r="Q670" s="20">
        <f>COUNTIFS(tData[SEHTrajectPeriodeDatumTijdVan],"&lt;="&amp;($A670+13/24),tData[SEHTrajectPeriodeDatumTijdTotEnMet],"&gt;"&amp;($A670+13/24))</f>
        <v/>
      </c>
      <c r="R670" s="20">
        <f>COUNTIFS(tData[SEHTrajectPeriodeDatumTijdVan],"&lt;="&amp;($A670+14/24),tData[SEHTrajectPeriodeDatumTijdTotEnMet],"&gt;"&amp;($A670+14/24))</f>
        <v/>
      </c>
      <c r="S670" s="20">
        <f>COUNTIFS(tData[SEHTrajectPeriodeDatumTijdVan],"&lt;="&amp;($A670+15/24),tData[SEHTrajectPeriodeDatumTijdTotEnMet],"&gt;"&amp;($A670+15/24))</f>
        <v/>
      </c>
      <c r="T670" s="20">
        <f>COUNTIFS(tData[SEHTrajectPeriodeDatumTijdVan],"&lt;="&amp;($A670+16/24),tData[SEHTrajectPeriodeDatumTijdTotEnMet],"&gt;"&amp;($A670+16/24))</f>
        <v/>
      </c>
      <c r="U670" s="20">
        <f>COUNTIFS(tData[SEHTrajectPeriodeDatumTijdVan],"&lt;="&amp;($A670+17/24),tData[SEHTrajectPeriodeDatumTijdTotEnMet],"&gt;"&amp;($A670+17/24))</f>
        <v/>
      </c>
      <c r="V670" s="20">
        <f>COUNTIFS(tData[SEHTrajectPeriodeDatumTijdVan],"&lt;="&amp;($A670+18/24),tData[SEHTrajectPeriodeDatumTijdTotEnMet],"&gt;"&amp;($A670+18/24))</f>
        <v/>
      </c>
      <c r="W670" s="20">
        <f>COUNTIFS(tData[SEHTrajectPeriodeDatumTijdVan],"&lt;="&amp;($A670+19/24),tData[SEHTrajectPeriodeDatumTijdTotEnMet],"&gt;"&amp;($A670+19/24))</f>
        <v/>
      </c>
      <c r="X670" s="20">
        <f>COUNTIFS(tData[SEHTrajectPeriodeDatumTijdVan],"&lt;="&amp;($A670+20/24),tData[SEHTrajectPeriodeDatumTijdTotEnMet],"&gt;"&amp;($A670+20/24))</f>
        <v/>
      </c>
      <c r="Y670" s="20">
        <f>COUNTIFS(tData[SEHTrajectPeriodeDatumTijdVan],"&lt;="&amp;($A670+21/24),tData[SEHTrajectPeriodeDatumTijdTotEnMet],"&gt;"&amp;($A670+21/24))</f>
        <v/>
      </c>
      <c r="Z670" s="20">
        <f>COUNTIFS(tData[SEHTrajectPeriodeDatumTijdVan],"&lt;="&amp;($A670+22/24),tData[SEHTrajectPeriodeDatumTijdTotEnMet],"&gt;"&amp;($A670+22/24))</f>
        <v/>
      </c>
      <c r="AA670" s="20">
        <f>COUNTIFS(tData[SEHTrajectPeriodeDatumTijdVan],"&lt;="&amp;($A670+23/24),tData[SEHTrajectPeriodeDatumTijdTotEnMet],"&gt;"&amp;($A670+23/24))</f>
        <v/>
      </c>
    </row>
    <row r="671">
      <c r="A671" s="19" t="n">
        <v>45959</v>
      </c>
      <c r="B671" s="15">
        <f>WEEKDAY($A671,2)</f>
        <v/>
      </c>
      <c r="C671" s="15">
        <f>IF(AND($A671&gt;=INT(Instellingen!$B$5),$A671&lt;=INT(Instellingen!$B$6)),1,0)</f>
        <v/>
      </c>
      <c r="D671" s="20">
        <f>COUNTIFS(tData[SEHTrajectPeriodeDatumTijdVan],"&lt;="&amp;($A671+0/24),tData[SEHTrajectPeriodeDatumTijdTotEnMet],"&gt;"&amp;($A671+0/24))</f>
        <v/>
      </c>
      <c r="E671" s="20">
        <f>COUNTIFS(tData[SEHTrajectPeriodeDatumTijdVan],"&lt;="&amp;($A671+1/24),tData[SEHTrajectPeriodeDatumTijdTotEnMet],"&gt;"&amp;($A671+1/24))</f>
        <v/>
      </c>
      <c r="F671" s="20">
        <f>COUNTIFS(tData[SEHTrajectPeriodeDatumTijdVan],"&lt;="&amp;($A671+2/24),tData[SEHTrajectPeriodeDatumTijdTotEnMet],"&gt;"&amp;($A671+2/24))</f>
        <v/>
      </c>
      <c r="G671" s="20">
        <f>COUNTIFS(tData[SEHTrajectPeriodeDatumTijdVan],"&lt;="&amp;($A671+3/24),tData[SEHTrajectPeriodeDatumTijdTotEnMet],"&gt;"&amp;($A671+3/24))</f>
        <v/>
      </c>
      <c r="H671" s="20">
        <f>COUNTIFS(tData[SEHTrajectPeriodeDatumTijdVan],"&lt;="&amp;($A671+4/24),tData[SEHTrajectPeriodeDatumTijdTotEnMet],"&gt;"&amp;($A671+4/24))</f>
        <v/>
      </c>
      <c r="I671" s="20">
        <f>COUNTIFS(tData[SEHTrajectPeriodeDatumTijdVan],"&lt;="&amp;($A671+5/24),tData[SEHTrajectPeriodeDatumTijdTotEnMet],"&gt;"&amp;($A671+5/24))</f>
        <v/>
      </c>
      <c r="J671" s="20">
        <f>COUNTIFS(tData[SEHTrajectPeriodeDatumTijdVan],"&lt;="&amp;($A671+6/24),tData[SEHTrajectPeriodeDatumTijdTotEnMet],"&gt;"&amp;($A671+6/24))</f>
        <v/>
      </c>
      <c r="K671" s="20">
        <f>COUNTIFS(tData[SEHTrajectPeriodeDatumTijdVan],"&lt;="&amp;($A671+7/24),tData[SEHTrajectPeriodeDatumTijdTotEnMet],"&gt;"&amp;($A671+7/24))</f>
        <v/>
      </c>
      <c r="L671" s="20">
        <f>COUNTIFS(tData[SEHTrajectPeriodeDatumTijdVan],"&lt;="&amp;($A671+8/24),tData[SEHTrajectPeriodeDatumTijdTotEnMet],"&gt;"&amp;($A671+8/24))</f>
        <v/>
      </c>
      <c r="M671" s="20">
        <f>COUNTIFS(tData[SEHTrajectPeriodeDatumTijdVan],"&lt;="&amp;($A671+9/24),tData[SEHTrajectPeriodeDatumTijdTotEnMet],"&gt;"&amp;($A671+9/24))</f>
        <v/>
      </c>
      <c r="N671" s="20">
        <f>COUNTIFS(tData[SEHTrajectPeriodeDatumTijdVan],"&lt;="&amp;($A671+10/24),tData[SEHTrajectPeriodeDatumTijdTotEnMet],"&gt;"&amp;($A671+10/24))</f>
        <v/>
      </c>
      <c r="O671" s="20">
        <f>COUNTIFS(tData[SEHTrajectPeriodeDatumTijdVan],"&lt;="&amp;($A671+11/24),tData[SEHTrajectPeriodeDatumTijdTotEnMet],"&gt;"&amp;($A671+11/24))</f>
        <v/>
      </c>
      <c r="P671" s="20">
        <f>COUNTIFS(tData[SEHTrajectPeriodeDatumTijdVan],"&lt;="&amp;($A671+12/24),tData[SEHTrajectPeriodeDatumTijdTotEnMet],"&gt;"&amp;($A671+12/24))</f>
        <v/>
      </c>
      <c r="Q671" s="20">
        <f>COUNTIFS(tData[SEHTrajectPeriodeDatumTijdVan],"&lt;="&amp;($A671+13/24),tData[SEHTrajectPeriodeDatumTijdTotEnMet],"&gt;"&amp;($A671+13/24))</f>
        <v/>
      </c>
      <c r="R671" s="20">
        <f>COUNTIFS(tData[SEHTrajectPeriodeDatumTijdVan],"&lt;="&amp;($A671+14/24),tData[SEHTrajectPeriodeDatumTijdTotEnMet],"&gt;"&amp;($A671+14/24))</f>
        <v/>
      </c>
      <c r="S671" s="20">
        <f>COUNTIFS(tData[SEHTrajectPeriodeDatumTijdVan],"&lt;="&amp;($A671+15/24),tData[SEHTrajectPeriodeDatumTijdTotEnMet],"&gt;"&amp;($A671+15/24))</f>
        <v/>
      </c>
      <c r="T671" s="20">
        <f>COUNTIFS(tData[SEHTrajectPeriodeDatumTijdVan],"&lt;="&amp;($A671+16/24),tData[SEHTrajectPeriodeDatumTijdTotEnMet],"&gt;"&amp;($A671+16/24))</f>
        <v/>
      </c>
      <c r="U671" s="20">
        <f>COUNTIFS(tData[SEHTrajectPeriodeDatumTijdVan],"&lt;="&amp;($A671+17/24),tData[SEHTrajectPeriodeDatumTijdTotEnMet],"&gt;"&amp;($A671+17/24))</f>
        <v/>
      </c>
      <c r="V671" s="20">
        <f>COUNTIFS(tData[SEHTrajectPeriodeDatumTijdVan],"&lt;="&amp;($A671+18/24),tData[SEHTrajectPeriodeDatumTijdTotEnMet],"&gt;"&amp;($A671+18/24))</f>
        <v/>
      </c>
      <c r="W671" s="20">
        <f>COUNTIFS(tData[SEHTrajectPeriodeDatumTijdVan],"&lt;="&amp;($A671+19/24),tData[SEHTrajectPeriodeDatumTijdTotEnMet],"&gt;"&amp;($A671+19/24))</f>
        <v/>
      </c>
      <c r="X671" s="20">
        <f>COUNTIFS(tData[SEHTrajectPeriodeDatumTijdVan],"&lt;="&amp;($A671+20/24),tData[SEHTrajectPeriodeDatumTijdTotEnMet],"&gt;"&amp;($A671+20/24))</f>
        <v/>
      </c>
      <c r="Y671" s="20">
        <f>COUNTIFS(tData[SEHTrajectPeriodeDatumTijdVan],"&lt;="&amp;($A671+21/24),tData[SEHTrajectPeriodeDatumTijdTotEnMet],"&gt;"&amp;($A671+21/24))</f>
        <v/>
      </c>
      <c r="Z671" s="20">
        <f>COUNTIFS(tData[SEHTrajectPeriodeDatumTijdVan],"&lt;="&amp;($A671+22/24),tData[SEHTrajectPeriodeDatumTijdTotEnMet],"&gt;"&amp;($A671+22/24))</f>
        <v/>
      </c>
      <c r="AA671" s="20">
        <f>COUNTIFS(tData[SEHTrajectPeriodeDatumTijdVan],"&lt;="&amp;($A671+23/24),tData[SEHTrajectPeriodeDatumTijdTotEnMet],"&gt;"&amp;($A671+23/24))</f>
        <v/>
      </c>
    </row>
    <row r="672">
      <c r="A672" s="19" t="n">
        <v>45960</v>
      </c>
      <c r="B672" s="15">
        <f>WEEKDAY($A672,2)</f>
        <v/>
      </c>
      <c r="C672" s="15">
        <f>IF(AND($A672&gt;=INT(Instellingen!$B$5),$A672&lt;=INT(Instellingen!$B$6)),1,0)</f>
        <v/>
      </c>
      <c r="D672" s="20">
        <f>COUNTIFS(tData[SEHTrajectPeriodeDatumTijdVan],"&lt;="&amp;($A672+0/24),tData[SEHTrajectPeriodeDatumTijdTotEnMet],"&gt;"&amp;($A672+0/24))</f>
        <v/>
      </c>
      <c r="E672" s="20">
        <f>COUNTIFS(tData[SEHTrajectPeriodeDatumTijdVan],"&lt;="&amp;($A672+1/24),tData[SEHTrajectPeriodeDatumTijdTotEnMet],"&gt;"&amp;($A672+1/24))</f>
        <v/>
      </c>
      <c r="F672" s="20">
        <f>COUNTIFS(tData[SEHTrajectPeriodeDatumTijdVan],"&lt;="&amp;($A672+2/24),tData[SEHTrajectPeriodeDatumTijdTotEnMet],"&gt;"&amp;($A672+2/24))</f>
        <v/>
      </c>
      <c r="G672" s="20">
        <f>COUNTIFS(tData[SEHTrajectPeriodeDatumTijdVan],"&lt;="&amp;($A672+3/24),tData[SEHTrajectPeriodeDatumTijdTotEnMet],"&gt;"&amp;($A672+3/24))</f>
        <v/>
      </c>
      <c r="H672" s="20">
        <f>COUNTIFS(tData[SEHTrajectPeriodeDatumTijdVan],"&lt;="&amp;($A672+4/24),tData[SEHTrajectPeriodeDatumTijdTotEnMet],"&gt;"&amp;($A672+4/24))</f>
        <v/>
      </c>
      <c r="I672" s="20">
        <f>COUNTIFS(tData[SEHTrajectPeriodeDatumTijdVan],"&lt;="&amp;($A672+5/24),tData[SEHTrajectPeriodeDatumTijdTotEnMet],"&gt;"&amp;($A672+5/24))</f>
        <v/>
      </c>
      <c r="J672" s="20">
        <f>COUNTIFS(tData[SEHTrajectPeriodeDatumTijdVan],"&lt;="&amp;($A672+6/24),tData[SEHTrajectPeriodeDatumTijdTotEnMet],"&gt;"&amp;($A672+6/24))</f>
        <v/>
      </c>
      <c r="K672" s="20">
        <f>COUNTIFS(tData[SEHTrajectPeriodeDatumTijdVan],"&lt;="&amp;($A672+7/24),tData[SEHTrajectPeriodeDatumTijdTotEnMet],"&gt;"&amp;($A672+7/24))</f>
        <v/>
      </c>
      <c r="L672" s="20">
        <f>COUNTIFS(tData[SEHTrajectPeriodeDatumTijdVan],"&lt;="&amp;($A672+8/24),tData[SEHTrajectPeriodeDatumTijdTotEnMet],"&gt;"&amp;($A672+8/24))</f>
        <v/>
      </c>
      <c r="M672" s="20">
        <f>COUNTIFS(tData[SEHTrajectPeriodeDatumTijdVan],"&lt;="&amp;($A672+9/24),tData[SEHTrajectPeriodeDatumTijdTotEnMet],"&gt;"&amp;($A672+9/24))</f>
        <v/>
      </c>
      <c r="N672" s="20">
        <f>COUNTIFS(tData[SEHTrajectPeriodeDatumTijdVan],"&lt;="&amp;($A672+10/24),tData[SEHTrajectPeriodeDatumTijdTotEnMet],"&gt;"&amp;($A672+10/24))</f>
        <v/>
      </c>
      <c r="O672" s="20">
        <f>COUNTIFS(tData[SEHTrajectPeriodeDatumTijdVan],"&lt;="&amp;($A672+11/24),tData[SEHTrajectPeriodeDatumTijdTotEnMet],"&gt;"&amp;($A672+11/24))</f>
        <v/>
      </c>
      <c r="P672" s="20">
        <f>COUNTIFS(tData[SEHTrajectPeriodeDatumTijdVan],"&lt;="&amp;($A672+12/24),tData[SEHTrajectPeriodeDatumTijdTotEnMet],"&gt;"&amp;($A672+12/24))</f>
        <v/>
      </c>
      <c r="Q672" s="20">
        <f>COUNTIFS(tData[SEHTrajectPeriodeDatumTijdVan],"&lt;="&amp;($A672+13/24),tData[SEHTrajectPeriodeDatumTijdTotEnMet],"&gt;"&amp;($A672+13/24))</f>
        <v/>
      </c>
      <c r="R672" s="20">
        <f>COUNTIFS(tData[SEHTrajectPeriodeDatumTijdVan],"&lt;="&amp;($A672+14/24),tData[SEHTrajectPeriodeDatumTijdTotEnMet],"&gt;"&amp;($A672+14/24))</f>
        <v/>
      </c>
      <c r="S672" s="20">
        <f>COUNTIFS(tData[SEHTrajectPeriodeDatumTijdVan],"&lt;="&amp;($A672+15/24),tData[SEHTrajectPeriodeDatumTijdTotEnMet],"&gt;"&amp;($A672+15/24))</f>
        <v/>
      </c>
      <c r="T672" s="20">
        <f>COUNTIFS(tData[SEHTrajectPeriodeDatumTijdVan],"&lt;="&amp;($A672+16/24),tData[SEHTrajectPeriodeDatumTijdTotEnMet],"&gt;"&amp;($A672+16/24))</f>
        <v/>
      </c>
      <c r="U672" s="20">
        <f>COUNTIFS(tData[SEHTrajectPeriodeDatumTijdVan],"&lt;="&amp;($A672+17/24),tData[SEHTrajectPeriodeDatumTijdTotEnMet],"&gt;"&amp;($A672+17/24))</f>
        <v/>
      </c>
      <c r="V672" s="20">
        <f>COUNTIFS(tData[SEHTrajectPeriodeDatumTijdVan],"&lt;="&amp;($A672+18/24),tData[SEHTrajectPeriodeDatumTijdTotEnMet],"&gt;"&amp;($A672+18/24))</f>
        <v/>
      </c>
      <c r="W672" s="20">
        <f>COUNTIFS(tData[SEHTrajectPeriodeDatumTijdVan],"&lt;="&amp;($A672+19/24),tData[SEHTrajectPeriodeDatumTijdTotEnMet],"&gt;"&amp;($A672+19/24))</f>
        <v/>
      </c>
      <c r="X672" s="20">
        <f>COUNTIFS(tData[SEHTrajectPeriodeDatumTijdVan],"&lt;="&amp;($A672+20/24),tData[SEHTrajectPeriodeDatumTijdTotEnMet],"&gt;"&amp;($A672+20/24))</f>
        <v/>
      </c>
      <c r="Y672" s="20">
        <f>COUNTIFS(tData[SEHTrajectPeriodeDatumTijdVan],"&lt;="&amp;($A672+21/24),tData[SEHTrajectPeriodeDatumTijdTotEnMet],"&gt;"&amp;($A672+21/24))</f>
        <v/>
      </c>
      <c r="Z672" s="20">
        <f>COUNTIFS(tData[SEHTrajectPeriodeDatumTijdVan],"&lt;="&amp;($A672+22/24),tData[SEHTrajectPeriodeDatumTijdTotEnMet],"&gt;"&amp;($A672+22/24))</f>
        <v/>
      </c>
      <c r="AA672" s="20">
        <f>COUNTIFS(tData[SEHTrajectPeriodeDatumTijdVan],"&lt;="&amp;($A672+23/24),tData[SEHTrajectPeriodeDatumTijdTotEnMet],"&gt;"&amp;($A672+23/24))</f>
        <v/>
      </c>
    </row>
    <row r="673">
      <c r="A673" s="19" t="n">
        <v>45961</v>
      </c>
      <c r="B673" s="15">
        <f>WEEKDAY($A673,2)</f>
        <v/>
      </c>
      <c r="C673" s="15">
        <f>IF(AND($A673&gt;=INT(Instellingen!$B$5),$A673&lt;=INT(Instellingen!$B$6)),1,0)</f>
        <v/>
      </c>
      <c r="D673" s="20">
        <f>COUNTIFS(tData[SEHTrajectPeriodeDatumTijdVan],"&lt;="&amp;($A673+0/24),tData[SEHTrajectPeriodeDatumTijdTotEnMet],"&gt;"&amp;($A673+0/24))</f>
        <v/>
      </c>
      <c r="E673" s="20">
        <f>COUNTIFS(tData[SEHTrajectPeriodeDatumTijdVan],"&lt;="&amp;($A673+1/24),tData[SEHTrajectPeriodeDatumTijdTotEnMet],"&gt;"&amp;($A673+1/24))</f>
        <v/>
      </c>
      <c r="F673" s="20">
        <f>COUNTIFS(tData[SEHTrajectPeriodeDatumTijdVan],"&lt;="&amp;($A673+2/24),tData[SEHTrajectPeriodeDatumTijdTotEnMet],"&gt;"&amp;($A673+2/24))</f>
        <v/>
      </c>
      <c r="G673" s="20">
        <f>COUNTIFS(tData[SEHTrajectPeriodeDatumTijdVan],"&lt;="&amp;($A673+3/24),tData[SEHTrajectPeriodeDatumTijdTotEnMet],"&gt;"&amp;($A673+3/24))</f>
        <v/>
      </c>
      <c r="H673" s="20">
        <f>COUNTIFS(tData[SEHTrajectPeriodeDatumTijdVan],"&lt;="&amp;($A673+4/24),tData[SEHTrajectPeriodeDatumTijdTotEnMet],"&gt;"&amp;($A673+4/24))</f>
        <v/>
      </c>
      <c r="I673" s="20">
        <f>COUNTIFS(tData[SEHTrajectPeriodeDatumTijdVan],"&lt;="&amp;($A673+5/24),tData[SEHTrajectPeriodeDatumTijdTotEnMet],"&gt;"&amp;($A673+5/24))</f>
        <v/>
      </c>
      <c r="J673" s="20">
        <f>COUNTIFS(tData[SEHTrajectPeriodeDatumTijdVan],"&lt;="&amp;($A673+6/24),tData[SEHTrajectPeriodeDatumTijdTotEnMet],"&gt;"&amp;($A673+6/24))</f>
        <v/>
      </c>
      <c r="K673" s="20">
        <f>COUNTIFS(tData[SEHTrajectPeriodeDatumTijdVan],"&lt;="&amp;($A673+7/24),tData[SEHTrajectPeriodeDatumTijdTotEnMet],"&gt;"&amp;($A673+7/24))</f>
        <v/>
      </c>
      <c r="L673" s="20">
        <f>COUNTIFS(tData[SEHTrajectPeriodeDatumTijdVan],"&lt;="&amp;($A673+8/24),tData[SEHTrajectPeriodeDatumTijdTotEnMet],"&gt;"&amp;($A673+8/24))</f>
        <v/>
      </c>
      <c r="M673" s="20">
        <f>COUNTIFS(tData[SEHTrajectPeriodeDatumTijdVan],"&lt;="&amp;($A673+9/24),tData[SEHTrajectPeriodeDatumTijdTotEnMet],"&gt;"&amp;($A673+9/24))</f>
        <v/>
      </c>
      <c r="N673" s="20">
        <f>COUNTIFS(tData[SEHTrajectPeriodeDatumTijdVan],"&lt;="&amp;($A673+10/24),tData[SEHTrajectPeriodeDatumTijdTotEnMet],"&gt;"&amp;($A673+10/24))</f>
        <v/>
      </c>
      <c r="O673" s="20">
        <f>COUNTIFS(tData[SEHTrajectPeriodeDatumTijdVan],"&lt;="&amp;($A673+11/24),tData[SEHTrajectPeriodeDatumTijdTotEnMet],"&gt;"&amp;($A673+11/24))</f>
        <v/>
      </c>
      <c r="P673" s="20">
        <f>COUNTIFS(tData[SEHTrajectPeriodeDatumTijdVan],"&lt;="&amp;($A673+12/24),tData[SEHTrajectPeriodeDatumTijdTotEnMet],"&gt;"&amp;($A673+12/24))</f>
        <v/>
      </c>
      <c r="Q673" s="20">
        <f>COUNTIFS(tData[SEHTrajectPeriodeDatumTijdVan],"&lt;="&amp;($A673+13/24),tData[SEHTrajectPeriodeDatumTijdTotEnMet],"&gt;"&amp;($A673+13/24))</f>
        <v/>
      </c>
      <c r="R673" s="20">
        <f>COUNTIFS(tData[SEHTrajectPeriodeDatumTijdVan],"&lt;="&amp;($A673+14/24),tData[SEHTrajectPeriodeDatumTijdTotEnMet],"&gt;"&amp;($A673+14/24))</f>
        <v/>
      </c>
      <c r="S673" s="20">
        <f>COUNTIFS(tData[SEHTrajectPeriodeDatumTijdVan],"&lt;="&amp;($A673+15/24),tData[SEHTrajectPeriodeDatumTijdTotEnMet],"&gt;"&amp;($A673+15/24))</f>
        <v/>
      </c>
      <c r="T673" s="20">
        <f>COUNTIFS(tData[SEHTrajectPeriodeDatumTijdVan],"&lt;="&amp;($A673+16/24),tData[SEHTrajectPeriodeDatumTijdTotEnMet],"&gt;"&amp;($A673+16/24))</f>
        <v/>
      </c>
      <c r="U673" s="20">
        <f>COUNTIFS(tData[SEHTrajectPeriodeDatumTijdVan],"&lt;="&amp;($A673+17/24),tData[SEHTrajectPeriodeDatumTijdTotEnMet],"&gt;"&amp;($A673+17/24))</f>
        <v/>
      </c>
      <c r="V673" s="20">
        <f>COUNTIFS(tData[SEHTrajectPeriodeDatumTijdVan],"&lt;="&amp;($A673+18/24),tData[SEHTrajectPeriodeDatumTijdTotEnMet],"&gt;"&amp;($A673+18/24))</f>
        <v/>
      </c>
      <c r="W673" s="20">
        <f>COUNTIFS(tData[SEHTrajectPeriodeDatumTijdVan],"&lt;="&amp;($A673+19/24),tData[SEHTrajectPeriodeDatumTijdTotEnMet],"&gt;"&amp;($A673+19/24))</f>
        <v/>
      </c>
      <c r="X673" s="20">
        <f>COUNTIFS(tData[SEHTrajectPeriodeDatumTijdVan],"&lt;="&amp;($A673+20/24),tData[SEHTrajectPeriodeDatumTijdTotEnMet],"&gt;"&amp;($A673+20/24))</f>
        <v/>
      </c>
      <c r="Y673" s="20">
        <f>COUNTIFS(tData[SEHTrajectPeriodeDatumTijdVan],"&lt;="&amp;($A673+21/24),tData[SEHTrajectPeriodeDatumTijdTotEnMet],"&gt;"&amp;($A673+21/24))</f>
        <v/>
      </c>
      <c r="Z673" s="20">
        <f>COUNTIFS(tData[SEHTrajectPeriodeDatumTijdVan],"&lt;="&amp;($A673+22/24),tData[SEHTrajectPeriodeDatumTijdTotEnMet],"&gt;"&amp;($A673+22/24))</f>
        <v/>
      </c>
      <c r="AA673" s="20">
        <f>COUNTIFS(tData[SEHTrajectPeriodeDatumTijdVan],"&lt;="&amp;($A673+23/24),tData[SEHTrajectPeriodeDatumTijdTotEnMet],"&gt;"&amp;($A673+23/24))</f>
        <v/>
      </c>
    </row>
    <row r="674">
      <c r="A674" s="19" t="n">
        <v>45962</v>
      </c>
      <c r="B674" s="15">
        <f>WEEKDAY($A674,2)</f>
        <v/>
      </c>
      <c r="C674" s="15">
        <f>IF(AND($A674&gt;=INT(Instellingen!$B$5),$A674&lt;=INT(Instellingen!$B$6)),1,0)</f>
        <v/>
      </c>
      <c r="D674" s="20">
        <f>COUNTIFS(tData[SEHTrajectPeriodeDatumTijdVan],"&lt;="&amp;($A674+0/24),tData[SEHTrajectPeriodeDatumTijdTotEnMet],"&gt;"&amp;($A674+0/24))</f>
        <v/>
      </c>
      <c r="E674" s="20">
        <f>COUNTIFS(tData[SEHTrajectPeriodeDatumTijdVan],"&lt;="&amp;($A674+1/24),tData[SEHTrajectPeriodeDatumTijdTotEnMet],"&gt;"&amp;($A674+1/24))</f>
        <v/>
      </c>
      <c r="F674" s="20">
        <f>COUNTIFS(tData[SEHTrajectPeriodeDatumTijdVan],"&lt;="&amp;($A674+2/24),tData[SEHTrajectPeriodeDatumTijdTotEnMet],"&gt;"&amp;($A674+2/24))</f>
        <v/>
      </c>
      <c r="G674" s="20">
        <f>COUNTIFS(tData[SEHTrajectPeriodeDatumTijdVan],"&lt;="&amp;($A674+3/24),tData[SEHTrajectPeriodeDatumTijdTotEnMet],"&gt;"&amp;($A674+3/24))</f>
        <v/>
      </c>
      <c r="H674" s="20">
        <f>COUNTIFS(tData[SEHTrajectPeriodeDatumTijdVan],"&lt;="&amp;($A674+4/24),tData[SEHTrajectPeriodeDatumTijdTotEnMet],"&gt;"&amp;($A674+4/24))</f>
        <v/>
      </c>
      <c r="I674" s="20">
        <f>COUNTIFS(tData[SEHTrajectPeriodeDatumTijdVan],"&lt;="&amp;($A674+5/24),tData[SEHTrajectPeriodeDatumTijdTotEnMet],"&gt;"&amp;($A674+5/24))</f>
        <v/>
      </c>
      <c r="J674" s="20">
        <f>COUNTIFS(tData[SEHTrajectPeriodeDatumTijdVan],"&lt;="&amp;($A674+6/24),tData[SEHTrajectPeriodeDatumTijdTotEnMet],"&gt;"&amp;($A674+6/24))</f>
        <v/>
      </c>
      <c r="K674" s="20">
        <f>COUNTIFS(tData[SEHTrajectPeriodeDatumTijdVan],"&lt;="&amp;($A674+7/24),tData[SEHTrajectPeriodeDatumTijdTotEnMet],"&gt;"&amp;($A674+7/24))</f>
        <v/>
      </c>
      <c r="L674" s="20">
        <f>COUNTIFS(tData[SEHTrajectPeriodeDatumTijdVan],"&lt;="&amp;($A674+8/24),tData[SEHTrajectPeriodeDatumTijdTotEnMet],"&gt;"&amp;($A674+8/24))</f>
        <v/>
      </c>
      <c r="M674" s="20">
        <f>COUNTIFS(tData[SEHTrajectPeriodeDatumTijdVan],"&lt;="&amp;($A674+9/24),tData[SEHTrajectPeriodeDatumTijdTotEnMet],"&gt;"&amp;($A674+9/24))</f>
        <v/>
      </c>
      <c r="N674" s="20">
        <f>COUNTIFS(tData[SEHTrajectPeriodeDatumTijdVan],"&lt;="&amp;($A674+10/24),tData[SEHTrajectPeriodeDatumTijdTotEnMet],"&gt;"&amp;($A674+10/24))</f>
        <v/>
      </c>
      <c r="O674" s="20">
        <f>COUNTIFS(tData[SEHTrajectPeriodeDatumTijdVan],"&lt;="&amp;($A674+11/24),tData[SEHTrajectPeriodeDatumTijdTotEnMet],"&gt;"&amp;($A674+11/24))</f>
        <v/>
      </c>
      <c r="P674" s="20">
        <f>COUNTIFS(tData[SEHTrajectPeriodeDatumTijdVan],"&lt;="&amp;($A674+12/24),tData[SEHTrajectPeriodeDatumTijdTotEnMet],"&gt;"&amp;($A674+12/24))</f>
        <v/>
      </c>
      <c r="Q674" s="20">
        <f>COUNTIFS(tData[SEHTrajectPeriodeDatumTijdVan],"&lt;="&amp;($A674+13/24),tData[SEHTrajectPeriodeDatumTijdTotEnMet],"&gt;"&amp;($A674+13/24))</f>
        <v/>
      </c>
      <c r="R674" s="20">
        <f>COUNTIFS(tData[SEHTrajectPeriodeDatumTijdVan],"&lt;="&amp;($A674+14/24),tData[SEHTrajectPeriodeDatumTijdTotEnMet],"&gt;"&amp;($A674+14/24))</f>
        <v/>
      </c>
      <c r="S674" s="20">
        <f>COUNTIFS(tData[SEHTrajectPeriodeDatumTijdVan],"&lt;="&amp;($A674+15/24),tData[SEHTrajectPeriodeDatumTijdTotEnMet],"&gt;"&amp;($A674+15/24))</f>
        <v/>
      </c>
      <c r="T674" s="20">
        <f>COUNTIFS(tData[SEHTrajectPeriodeDatumTijdVan],"&lt;="&amp;($A674+16/24),tData[SEHTrajectPeriodeDatumTijdTotEnMet],"&gt;"&amp;($A674+16/24))</f>
        <v/>
      </c>
      <c r="U674" s="20">
        <f>COUNTIFS(tData[SEHTrajectPeriodeDatumTijdVan],"&lt;="&amp;($A674+17/24),tData[SEHTrajectPeriodeDatumTijdTotEnMet],"&gt;"&amp;($A674+17/24))</f>
        <v/>
      </c>
      <c r="V674" s="20">
        <f>COUNTIFS(tData[SEHTrajectPeriodeDatumTijdVan],"&lt;="&amp;($A674+18/24),tData[SEHTrajectPeriodeDatumTijdTotEnMet],"&gt;"&amp;($A674+18/24))</f>
        <v/>
      </c>
      <c r="W674" s="20">
        <f>COUNTIFS(tData[SEHTrajectPeriodeDatumTijdVan],"&lt;="&amp;($A674+19/24),tData[SEHTrajectPeriodeDatumTijdTotEnMet],"&gt;"&amp;($A674+19/24))</f>
        <v/>
      </c>
      <c r="X674" s="20">
        <f>COUNTIFS(tData[SEHTrajectPeriodeDatumTijdVan],"&lt;="&amp;($A674+20/24),tData[SEHTrajectPeriodeDatumTijdTotEnMet],"&gt;"&amp;($A674+20/24))</f>
        <v/>
      </c>
      <c r="Y674" s="20">
        <f>COUNTIFS(tData[SEHTrajectPeriodeDatumTijdVan],"&lt;="&amp;($A674+21/24),tData[SEHTrajectPeriodeDatumTijdTotEnMet],"&gt;"&amp;($A674+21/24))</f>
        <v/>
      </c>
      <c r="Z674" s="20">
        <f>COUNTIFS(tData[SEHTrajectPeriodeDatumTijdVan],"&lt;="&amp;($A674+22/24),tData[SEHTrajectPeriodeDatumTijdTotEnMet],"&gt;"&amp;($A674+22/24))</f>
        <v/>
      </c>
      <c r="AA674" s="20">
        <f>COUNTIFS(tData[SEHTrajectPeriodeDatumTijdVan],"&lt;="&amp;($A674+23/24),tData[SEHTrajectPeriodeDatumTijdTotEnMet],"&gt;"&amp;($A674+23/24))</f>
        <v/>
      </c>
    </row>
    <row r="675">
      <c r="A675" s="19" t="n">
        <v>45963</v>
      </c>
      <c r="B675" s="15">
        <f>WEEKDAY($A675,2)</f>
        <v/>
      </c>
      <c r="C675" s="15">
        <f>IF(AND($A675&gt;=INT(Instellingen!$B$5),$A675&lt;=INT(Instellingen!$B$6)),1,0)</f>
        <v/>
      </c>
      <c r="D675" s="20">
        <f>COUNTIFS(tData[SEHTrajectPeriodeDatumTijdVan],"&lt;="&amp;($A675+0/24),tData[SEHTrajectPeriodeDatumTijdTotEnMet],"&gt;"&amp;($A675+0/24))</f>
        <v/>
      </c>
      <c r="E675" s="20">
        <f>COUNTIFS(tData[SEHTrajectPeriodeDatumTijdVan],"&lt;="&amp;($A675+1/24),tData[SEHTrajectPeriodeDatumTijdTotEnMet],"&gt;"&amp;($A675+1/24))</f>
        <v/>
      </c>
      <c r="F675" s="20">
        <f>COUNTIFS(tData[SEHTrajectPeriodeDatumTijdVan],"&lt;="&amp;($A675+2/24),tData[SEHTrajectPeriodeDatumTijdTotEnMet],"&gt;"&amp;($A675+2/24))</f>
        <v/>
      </c>
      <c r="G675" s="20">
        <f>COUNTIFS(tData[SEHTrajectPeriodeDatumTijdVan],"&lt;="&amp;($A675+3/24),tData[SEHTrajectPeriodeDatumTijdTotEnMet],"&gt;"&amp;($A675+3/24))</f>
        <v/>
      </c>
      <c r="H675" s="20">
        <f>COUNTIFS(tData[SEHTrajectPeriodeDatumTijdVan],"&lt;="&amp;($A675+4/24),tData[SEHTrajectPeriodeDatumTijdTotEnMet],"&gt;"&amp;($A675+4/24))</f>
        <v/>
      </c>
      <c r="I675" s="20">
        <f>COUNTIFS(tData[SEHTrajectPeriodeDatumTijdVan],"&lt;="&amp;($A675+5/24),tData[SEHTrajectPeriodeDatumTijdTotEnMet],"&gt;"&amp;($A675+5/24))</f>
        <v/>
      </c>
      <c r="J675" s="20">
        <f>COUNTIFS(tData[SEHTrajectPeriodeDatumTijdVan],"&lt;="&amp;($A675+6/24),tData[SEHTrajectPeriodeDatumTijdTotEnMet],"&gt;"&amp;($A675+6/24))</f>
        <v/>
      </c>
      <c r="K675" s="20">
        <f>COUNTIFS(tData[SEHTrajectPeriodeDatumTijdVan],"&lt;="&amp;($A675+7/24),tData[SEHTrajectPeriodeDatumTijdTotEnMet],"&gt;"&amp;($A675+7/24))</f>
        <v/>
      </c>
      <c r="L675" s="20">
        <f>COUNTIFS(tData[SEHTrajectPeriodeDatumTijdVan],"&lt;="&amp;($A675+8/24),tData[SEHTrajectPeriodeDatumTijdTotEnMet],"&gt;"&amp;($A675+8/24))</f>
        <v/>
      </c>
      <c r="M675" s="20">
        <f>COUNTIFS(tData[SEHTrajectPeriodeDatumTijdVan],"&lt;="&amp;($A675+9/24),tData[SEHTrajectPeriodeDatumTijdTotEnMet],"&gt;"&amp;($A675+9/24))</f>
        <v/>
      </c>
      <c r="N675" s="20">
        <f>COUNTIFS(tData[SEHTrajectPeriodeDatumTijdVan],"&lt;="&amp;($A675+10/24),tData[SEHTrajectPeriodeDatumTijdTotEnMet],"&gt;"&amp;($A675+10/24))</f>
        <v/>
      </c>
      <c r="O675" s="20">
        <f>COUNTIFS(tData[SEHTrajectPeriodeDatumTijdVan],"&lt;="&amp;($A675+11/24),tData[SEHTrajectPeriodeDatumTijdTotEnMet],"&gt;"&amp;($A675+11/24))</f>
        <v/>
      </c>
      <c r="P675" s="20">
        <f>COUNTIFS(tData[SEHTrajectPeriodeDatumTijdVan],"&lt;="&amp;($A675+12/24),tData[SEHTrajectPeriodeDatumTijdTotEnMet],"&gt;"&amp;($A675+12/24))</f>
        <v/>
      </c>
      <c r="Q675" s="20">
        <f>COUNTIFS(tData[SEHTrajectPeriodeDatumTijdVan],"&lt;="&amp;($A675+13/24),tData[SEHTrajectPeriodeDatumTijdTotEnMet],"&gt;"&amp;($A675+13/24))</f>
        <v/>
      </c>
      <c r="R675" s="20">
        <f>COUNTIFS(tData[SEHTrajectPeriodeDatumTijdVan],"&lt;="&amp;($A675+14/24),tData[SEHTrajectPeriodeDatumTijdTotEnMet],"&gt;"&amp;($A675+14/24))</f>
        <v/>
      </c>
      <c r="S675" s="20">
        <f>COUNTIFS(tData[SEHTrajectPeriodeDatumTijdVan],"&lt;="&amp;($A675+15/24),tData[SEHTrajectPeriodeDatumTijdTotEnMet],"&gt;"&amp;($A675+15/24))</f>
        <v/>
      </c>
      <c r="T675" s="20">
        <f>COUNTIFS(tData[SEHTrajectPeriodeDatumTijdVan],"&lt;="&amp;($A675+16/24),tData[SEHTrajectPeriodeDatumTijdTotEnMet],"&gt;"&amp;($A675+16/24))</f>
        <v/>
      </c>
      <c r="U675" s="20">
        <f>COUNTIFS(tData[SEHTrajectPeriodeDatumTijdVan],"&lt;="&amp;($A675+17/24),tData[SEHTrajectPeriodeDatumTijdTotEnMet],"&gt;"&amp;($A675+17/24))</f>
        <v/>
      </c>
      <c r="V675" s="20">
        <f>COUNTIFS(tData[SEHTrajectPeriodeDatumTijdVan],"&lt;="&amp;($A675+18/24),tData[SEHTrajectPeriodeDatumTijdTotEnMet],"&gt;"&amp;($A675+18/24))</f>
        <v/>
      </c>
      <c r="W675" s="20">
        <f>COUNTIFS(tData[SEHTrajectPeriodeDatumTijdVan],"&lt;="&amp;($A675+19/24),tData[SEHTrajectPeriodeDatumTijdTotEnMet],"&gt;"&amp;($A675+19/24))</f>
        <v/>
      </c>
      <c r="X675" s="20">
        <f>COUNTIFS(tData[SEHTrajectPeriodeDatumTijdVan],"&lt;="&amp;($A675+20/24),tData[SEHTrajectPeriodeDatumTijdTotEnMet],"&gt;"&amp;($A675+20/24))</f>
        <v/>
      </c>
      <c r="Y675" s="20">
        <f>COUNTIFS(tData[SEHTrajectPeriodeDatumTijdVan],"&lt;="&amp;($A675+21/24),tData[SEHTrajectPeriodeDatumTijdTotEnMet],"&gt;"&amp;($A675+21/24))</f>
        <v/>
      </c>
      <c r="Z675" s="20">
        <f>COUNTIFS(tData[SEHTrajectPeriodeDatumTijdVan],"&lt;="&amp;($A675+22/24),tData[SEHTrajectPeriodeDatumTijdTotEnMet],"&gt;"&amp;($A675+22/24))</f>
        <v/>
      </c>
      <c r="AA675" s="20">
        <f>COUNTIFS(tData[SEHTrajectPeriodeDatumTijdVan],"&lt;="&amp;($A675+23/24),tData[SEHTrajectPeriodeDatumTijdTotEnMet],"&gt;"&amp;($A675+23/24))</f>
        <v/>
      </c>
    </row>
    <row r="676">
      <c r="A676" s="19" t="n">
        <v>45964</v>
      </c>
      <c r="B676" s="15">
        <f>WEEKDAY($A676,2)</f>
        <v/>
      </c>
      <c r="C676" s="15">
        <f>IF(AND($A676&gt;=INT(Instellingen!$B$5),$A676&lt;=INT(Instellingen!$B$6)),1,0)</f>
        <v/>
      </c>
      <c r="D676" s="20">
        <f>COUNTIFS(tData[SEHTrajectPeriodeDatumTijdVan],"&lt;="&amp;($A676+0/24),tData[SEHTrajectPeriodeDatumTijdTotEnMet],"&gt;"&amp;($A676+0/24))</f>
        <v/>
      </c>
      <c r="E676" s="20">
        <f>COUNTIFS(tData[SEHTrajectPeriodeDatumTijdVan],"&lt;="&amp;($A676+1/24),tData[SEHTrajectPeriodeDatumTijdTotEnMet],"&gt;"&amp;($A676+1/24))</f>
        <v/>
      </c>
      <c r="F676" s="20">
        <f>COUNTIFS(tData[SEHTrajectPeriodeDatumTijdVan],"&lt;="&amp;($A676+2/24),tData[SEHTrajectPeriodeDatumTijdTotEnMet],"&gt;"&amp;($A676+2/24))</f>
        <v/>
      </c>
      <c r="G676" s="20">
        <f>COUNTIFS(tData[SEHTrajectPeriodeDatumTijdVan],"&lt;="&amp;($A676+3/24),tData[SEHTrajectPeriodeDatumTijdTotEnMet],"&gt;"&amp;($A676+3/24))</f>
        <v/>
      </c>
      <c r="H676" s="20">
        <f>COUNTIFS(tData[SEHTrajectPeriodeDatumTijdVan],"&lt;="&amp;($A676+4/24),tData[SEHTrajectPeriodeDatumTijdTotEnMet],"&gt;"&amp;($A676+4/24))</f>
        <v/>
      </c>
      <c r="I676" s="20">
        <f>COUNTIFS(tData[SEHTrajectPeriodeDatumTijdVan],"&lt;="&amp;($A676+5/24),tData[SEHTrajectPeriodeDatumTijdTotEnMet],"&gt;"&amp;($A676+5/24))</f>
        <v/>
      </c>
      <c r="J676" s="20">
        <f>COUNTIFS(tData[SEHTrajectPeriodeDatumTijdVan],"&lt;="&amp;($A676+6/24),tData[SEHTrajectPeriodeDatumTijdTotEnMet],"&gt;"&amp;($A676+6/24))</f>
        <v/>
      </c>
      <c r="K676" s="20">
        <f>COUNTIFS(tData[SEHTrajectPeriodeDatumTijdVan],"&lt;="&amp;($A676+7/24),tData[SEHTrajectPeriodeDatumTijdTotEnMet],"&gt;"&amp;($A676+7/24))</f>
        <v/>
      </c>
      <c r="L676" s="20">
        <f>COUNTIFS(tData[SEHTrajectPeriodeDatumTijdVan],"&lt;="&amp;($A676+8/24),tData[SEHTrajectPeriodeDatumTijdTotEnMet],"&gt;"&amp;($A676+8/24))</f>
        <v/>
      </c>
      <c r="M676" s="20">
        <f>COUNTIFS(tData[SEHTrajectPeriodeDatumTijdVan],"&lt;="&amp;($A676+9/24),tData[SEHTrajectPeriodeDatumTijdTotEnMet],"&gt;"&amp;($A676+9/24))</f>
        <v/>
      </c>
      <c r="N676" s="20">
        <f>COUNTIFS(tData[SEHTrajectPeriodeDatumTijdVan],"&lt;="&amp;($A676+10/24),tData[SEHTrajectPeriodeDatumTijdTotEnMet],"&gt;"&amp;($A676+10/24))</f>
        <v/>
      </c>
      <c r="O676" s="20">
        <f>COUNTIFS(tData[SEHTrajectPeriodeDatumTijdVan],"&lt;="&amp;($A676+11/24),tData[SEHTrajectPeriodeDatumTijdTotEnMet],"&gt;"&amp;($A676+11/24))</f>
        <v/>
      </c>
      <c r="P676" s="20">
        <f>COUNTIFS(tData[SEHTrajectPeriodeDatumTijdVan],"&lt;="&amp;($A676+12/24),tData[SEHTrajectPeriodeDatumTijdTotEnMet],"&gt;"&amp;($A676+12/24))</f>
        <v/>
      </c>
      <c r="Q676" s="20">
        <f>COUNTIFS(tData[SEHTrajectPeriodeDatumTijdVan],"&lt;="&amp;($A676+13/24),tData[SEHTrajectPeriodeDatumTijdTotEnMet],"&gt;"&amp;($A676+13/24))</f>
        <v/>
      </c>
      <c r="R676" s="20">
        <f>COUNTIFS(tData[SEHTrajectPeriodeDatumTijdVan],"&lt;="&amp;($A676+14/24),tData[SEHTrajectPeriodeDatumTijdTotEnMet],"&gt;"&amp;($A676+14/24))</f>
        <v/>
      </c>
      <c r="S676" s="20">
        <f>COUNTIFS(tData[SEHTrajectPeriodeDatumTijdVan],"&lt;="&amp;($A676+15/24),tData[SEHTrajectPeriodeDatumTijdTotEnMet],"&gt;"&amp;($A676+15/24))</f>
        <v/>
      </c>
      <c r="T676" s="20">
        <f>COUNTIFS(tData[SEHTrajectPeriodeDatumTijdVan],"&lt;="&amp;($A676+16/24),tData[SEHTrajectPeriodeDatumTijdTotEnMet],"&gt;"&amp;($A676+16/24))</f>
        <v/>
      </c>
      <c r="U676" s="20">
        <f>COUNTIFS(tData[SEHTrajectPeriodeDatumTijdVan],"&lt;="&amp;($A676+17/24),tData[SEHTrajectPeriodeDatumTijdTotEnMet],"&gt;"&amp;($A676+17/24))</f>
        <v/>
      </c>
      <c r="V676" s="20">
        <f>COUNTIFS(tData[SEHTrajectPeriodeDatumTijdVan],"&lt;="&amp;($A676+18/24),tData[SEHTrajectPeriodeDatumTijdTotEnMet],"&gt;"&amp;($A676+18/24))</f>
        <v/>
      </c>
      <c r="W676" s="20">
        <f>COUNTIFS(tData[SEHTrajectPeriodeDatumTijdVan],"&lt;="&amp;($A676+19/24),tData[SEHTrajectPeriodeDatumTijdTotEnMet],"&gt;"&amp;($A676+19/24))</f>
        <v/>
      </c>
      <c r="X676" s="20">
        <f>COUNTIFS(tData[SEHTrajectPeriodeDatumTijdVan],"&lt;="&amp;($A676+20/24),tData[SEHTrajectPeriodeDatumTijdTotEnMet],"&gt;"&amp;($A676+20/24))</f>
        <v/>
      </c>
      <c r="Y676" s="20">
        <f>COUNTIFS(tData[SEHTrajectPeriodeDatumTijdVan],"&lt;="&amp;($A676+21/24),tData[SEHTrajectPeriodeDatumTijdTotEnMet],"&gt;"&amp;($A676+21/24))</f>
        <v/>
      </c>
      <c r="Z676" s="20">
        <f>COUNTIFS(tData[SEHTrajectPeriodeDatumTijdVan],"&lt;="&amp;($A676+22/24),tData[SEHTrajectPeriodeDatumTijdTotEnMet],"&gt;"&amp;($A676+22/24))</f>
        <v/>
      </c>
      <c r="AA676" s="20">
        <f>COUNTIFS(tData[SEHTrajectPeriodeDatumTijdVan],"&lt;="&amp;($A676+23/24),tData[SEHTrajectPeriodeDatumTijdTotEnMet],"&gt;"&amp;($A676+23/24))</f>
        <v/>
      </c>
    </row>
    <row r="677">
      <c r="A677" s="19" t="n">
        <v>45965</v>
      </c>
      <c r="B677" s="15">
        <f>WEEKDAY($A677,2)</f>
        <v/>
      </c>
      <c r="C677" s="15">
        <f>IF(AND($A677&gt;=INT(Instellingen!$B$5),$A677&lt;=INT(Instellingen!$B$6)),1,0)</f>
        <v/>
      </c>
      <c r="D677" s="20">
        <f>COUNTIFS(tData[SEHTrajectPeriodeDatumTijdVan],"&lt;="&amp;($A677+0/24),tData[SEHTrajectPeriodeDatumTijdTotEnMet],"&gt;"&amp;($A677+0/24))</f>
        <v/>
      </c>
      <c r="E677" s="20">
        <f>COUNTIFS(tData[SEHTrajectPeriodeDatumTijdVan],"&lt;="&amp;($A677+1/24),tData[SEHTrajectPeriodeDatumTijdTotEnMet],"&gt;"&amp;($A677+1/24))</f>
        <v/>
      </c>
      <c r="F677" s="20">
        <f>COUNTIFS(tData[SEHTrajectPeriodeDatumTijdVan],"&lt;="&amp;($A677+2/24),tData[SEHTrajectPeriodeDatumTijdTotEnMet],"&gt;"&amp;($A677+2/24))</f>
        <v/>
      </c>
      <c r="G677" s="20">
        <f>COUNTIFS(tData[SEHTrajectPeriodeDatumTijdVan],"&lt;="&amp;($A677+3/24),tData[SEHTrajectPeriodeDatumTijdTotEnMet],"&gt;"&amp;($A677+3/24))</f>
        <v/>
      </c>
      <c r="H677" s="20">
        <f>COUNTIFS(tData[SEHTrajectPeriodeDatumTijdVan],"&lt;="&amp;($A677+4/24),tData[SEHTrajectPeriodeDatumTijdTotEnMet],"&gt;"&amp;($A677+4/24))</f>
        <v/>
      </c>
      <c r="I677" s="20">
        <f>COUNTIFS(tData[SEHTrajectPeriodeDatumTijdVan],"&lt;="&amp;($A677+5/24),tData[SEHTrajectPeriodeDatumTijdTotEnMet],"&gt;"&amp;($A677+5/24))</f>
        <v/>
      </c>
      <c r="J677" s="20">
        <f>COUNTIFS(tData[SEHTrajectPeriodeDatumTijdVan],"&lt;="&amp;($A677+6/24),tData[SEHTrajectPeriodeDatumTijdTotEnMet],"&gt;"&amp;($A677+6/24))</f>
        <v/>
      </c>
      <c r="K677" s="20">
        <f>COUNTIFS(tData[SEHTrajectPeriodeDatumTijdVan],"&lt;="&amp;($A677+7/24),tData[SEHTrajectPeriodeDatumTijdTotEnMet],"&gt;"&amp;($A677+7/24))</f>
        <v/>
      </c>
      <c r="L677" s="20">
        <f>COUNTIFS(tData[SEHTrajectPeriodeDatumTijdVan],"&lt;="&amp;($A677+8/24),tData[SEHTrajectPeriodeDatumTijdTotEnMet],"&gt;"&amp;($A677+8/24))</f>
        <v/>
      </c>
      <c r="M677" s="20">
        <f>COUNTIFS(tData[SEHTrajectPeriodeDatumTijdVan],"&lt;="&amp;($A677+9/24),tData[SEHTrajectPeriodeDatumTijdTotEnMet],"&gt;"&amp;($A677+9/24))</f>
        <v/>
      </c>
      <c r="N677" s="20">
        <f>COUNTIFS(tData[SEHTrajectPeriodeDatumTijdVan],"&lt;="&amp;($A677+10/24),tData[SEHTrajectPeriodeDatumTijdTotEnMet],"&gt;"&amp;($A677+10/24))</f>
        <v/>
      </c>
      <c r="O677" s="20">
        <f>COUNTIFS(tData[SEHTrajectPeriodeDatumTijdVan],"&lt;="&amp;($A677+11/24),tData[SEHTrajectPeriodeDatumTijdTotEnMet],"&gt;"&amp;($A677+11/24))</f>
        <v/>
      </c>
      <c r="P677" s="20">
        <f>COUNTIFS(tData[SEHTrajectPeriodeDatumTijdVan],"&lt;="&amp;($A677+12/24),tData[SEHTrajectPeriodeDatumTijdTotEnMet],"&gt;"&amp;($A677+12/24))</f>
        <v/>
      </c>
      <c r="Q677" s="20">
        <f>COUNTIFS(tData[SEHTrajectPeriodeDatumTijdVan],"&lt;="&amp;($A677+13/24),tData[SEHTrajectPeriodeDatumTijdTotEnMet],"&gt;"&amp;($A677+13/24))</f>
        <v/>
      </c>
      <c r="R677" s="20">
        <f>COUNTIFS(tData[SEHTrajectPeriodeDatumTijdVan],"&lt;="&amp;($A677+14/24),tData[SEHTrajectPeriodeDatumTijdTotEnMet],"&gt;"&amp;($A677+14/24))</f>
        <v/>
      </c>
      <c r="S677" s="20">
        <f>COUNTIFS(tData[SEHTrajectPeriodeDatumTijdVan],"&lt;="&amp;($A677+15/24),tData[SEHTrajectPeriodeDatumTijdTotEnMet],"&gt;"&amp;($A677+15/24))</f>
        <v/>
      </c>
      <c r="T677" s="20">
        <f>COUNTIFS(tData[SEHTrajectPeriodeDatumTijdVan],"&lt;="&amp;($A677+16/24),tData[SEHTrajectPeriodeDatumTijdTotEnMet],"&gt;"&amp;($A677+16/24))</f>
        <v/>
      </c>
      <c r="U677" s="20">
        <f>COUNTIFS(tData[SEHTrajectPeriodeDatumTijdVan],"&lt;="&amp;($A677+17/24),tData[SEHTrajectPeriodeDatumTijdTotEnMet],"&gt;"&amp;($A677+17/24))</f>
        <v/>
      </c>
      <c r="V677" s="20">
        <f>COUNTIFS(tData[SEHTrajectPeriodeDatumTijdVan],"&lt;="&amp;($A677+18/24),tData[SEHTrajectPeriodeDatumTijdTotEnMet],"&gt;"&amp;($A677+18/24))</f>
        <v/>
      </c>
      <c r="W677" s="20">
        <f>COUNTIFS(tData[SEHTrajectPeriodeDatumTijdVan],"&lt;="&amp;($A677+19/24),tData[SEHTrajectPeriodeDatumTijdTotEnMet],"&gt;"&amp;($A677+19/24))</f>
        <v/>
      </c>
      <c r="X677" s="20">
        <f>COUNTIFS(tData[SEHTrajectPeriodeDatumTijdVan],"&lt;="&amp;($A677+20/24),tData[SEHTrajectPeriodeDatumTijdTotEnMet],"&gt;"&amp;($A677+20/24))</f>
        <v/>
      </c>
      <c r="Y677" s="20">
        <f>COUNTIFS(tData[SEHTrajectPeriodeDatumTijdVan],"&lt;="&amp;($A677+21/24),tData[SEHTrajectPeriodeDatumTijdTotEnMet],"&gt;"&amp;($A677+21/24))</f>
        <v/>
      </c>
      <c r="Z677" s="20">
        <f>COUNTIFS(tData[SEHTrajectPeriodeDatumTijdVan],"&lt;="&amp;($A677+22/24),tData[SEHTrajectPeriodeDatumTijdTotEnMet],"&gt;"&amp;($A677+22/24))</f>
        <v/>
      </c>
      <c r="AA677" s="20">
        <f>COUNTIFS(tData[SEHTrajectPeriodeDatumTijdVan],"&lt;="&amp;($A677+23/24),tData[SEHTrajectPeriodeDatumTijdTotEnMet],"&gt;"&amp;($A677+23/24))</f>
        <v/>
      </c>
    </row>
    <row r="678">
      <c r="A678" s="19" t="n">
        <v>45966</v>
      </c>
      <c r="B678" s="15">
        <f>WEEKDAY($A678,2)</f>
        <v/>
      </c>
      <c r="C678" s="15">
        <f>IF(AND($A678&gt;=INT(Instellingen!$B$5),$A678&lt;=INT(Instellingen!$B$6)),1,0)</f>
        <v/>
      </c>
      <c r="D678" s="20">
        <f>COUNTIFS(tData[SEHTrajectPeriodeDatumTijdVan],"&lt;="&amp;($A678+0/24),tData[SEHTrajectPeriodeDatumTijdTotEnMet],"&gt;"&amp;($A678+0/24))</f>
        <v/>
      </c>
      <c r="E678" s="20">
        <f>COUNTIFS(tData[SEHTrajectPeriodeDatumTijdVan],"&lt;="&amp;($A678+1/24),tData[SEHTrajectPeriodeDatumTijdTotEnMet],"&gt;"&amp;($A678+1/24))</f>
        <v/>
      </c>
      <c r="F678" s="20">
        <f>COUNTIFS(tData[SEHTrajectPeriodeDatumTijdVan],"&lt;="&amp;($A678+2/24),tData[SEHTrajectPeriodeDatumTijdTotEnMet],"&gt;"&amp;($A678+2/24))</f>
        <v/>
      </c>
      <c r="G678" s="20">
        <f>COUNTIFS(tData[SEHTrajectPeriodeDatumTijdVan],"&lt;="&amp;($A678+3/24),tData[SEHTrajectPeriodeDatumTijdTotEnMet],"&gt;"&amp;($A678+3/24))</f>
        <v/>
      </c>
      <c r="H678" s="20">
        <f>COUNTIFS(tData[SEHTrajectPeriodeDatumTijdVan],"&lt;="&amp;($A678+4/24),tData[SEHTrajectPeriodeDatumTijdTotEnMet],"&gt;"&amp;($A678+4/24))</f>
        <v/>
      </c>
      <c r="I678" s="20">
        <f>COUNTIFS(tData[SEHTrajectPeriodeDatumTijdVan],"&lt;="&amp;($A678+5/24),tData[SEHTrajectPeriodeDatumTijdTotEnMet],"&gt;"&amp;($A678+5/24))</f>
        <v/>
      </c>
      <c r="J678" s="20">
        <f>COUNTIFS(tData[SEHTrajectPeriodeDatumTijdVan],"&lt;="&amp;($A678+6/24),tData[SEHTrajectPeriodeDatumTijdTotEnMet],"&gt;"&amp;($A678+6/24))</f>
        <v/>
      </c>
      <c r="K678" s="20">
        <f>COUNTIFS(tData[SEHTrajectPeriodeDatumTijdVan],"&lt;="&amp;($A678+7/24),tData[SEHTrajectPeriodeDatumTijdTotEnMet],"&gt;"&amp;($A678+7/24))</f>
        <v/>
      </c>
      <c r="L678" s="20">
        <f>COUNTIFS(tData[SEHTrajectPeriodeDatumTijdVan],"&lt;="&amp;($A678+8/24),tData[SEHTrajectPeriodeDatumTijdTotEnMet],"&gt;"&amp;($A678+8/24))</f>
        <v/>
      </c>
      <c r="M678" s="20">
        <f>COUNTIFS(tData[SEHTrajectPeriodeDatumTijdVan],"&lt;="&amp;($A678+9/24),tData[SEHTrajectPeriodeDatumTijdTotEnMet],"&gt;"&amp;($A678+9/24))</f>
        <v/>
      </c>
      <c r="N678" s="20">
        <f>COUNTIFS(tData[SEHTrajectPeriodeDatumTijdVan],"&lt;="&amp;($A678+10/24),tData[SEHTrajectPeriodeDatumTijdTotEnMet],"&gt;"&amp;($A678+10/24))</f>
        <v/>
      </c>
      <c r="O678" s="20">
        <f>COUNTIFS(tData[SEHTrajectPeriodeDatumTijdVan],"&lt;="&amp;($A678+11/24),tData[SEHTrajectPeriodeDatumTijdTotEnMet],"&gt;"&amp;($A678+11/24))</f>
        <v/>
      </c>
      <c r="P678" s="20">
        <f>COUNTIFS(tData[SEHTrajectPeriodeDatumTijdVan],"&lt;="&amp;($A678+12/24),tData[SEHTrajectPeriodeDatumTijdTotEnMet],"&gt;"&amp;($A678+12/24))</f>
        <v/>
      </c>
      <c r="Q678" s="20">
        <f>COUNTIFS(tData[SEHTrajectPeriodeDatumTijdVan],"&lt;="&amp;($A678+13/24),tData[SEHTrajectPeriodeDatumTijdTotEnMet],"&gt;"&amp;($A678+13/24))</f>
        <v/>
      </c>
      <c r="R678" s="20">
        <f>COUNTIFS(tData[SEHTrajectPeriodeDatumTijdVan],"&lt;="&amp;($A678+14/24),tData[SEHTrajectPeriodeDatumTijdTotEnMet],"&gt;"&amp;($A678+14/24))</f>
        <v/>
      </c>
      <c r="S678" s="20">
        <f>COUNTIFS(tData[SEHTrajectPeriodeDatumTijdVan],"&lt;="&amp;($A678+15/24),tData[SEHTrajectPeriodeDatumTijdTotEnMet],"&gt;"&amp;($A678+15/24))</f>
        <v/>
      </c>
      <c r="T678" s="20">
        <f>COUNTIFS(tData[SEHTrajectPeriodeDatumTijdVan],"&lt;="&amp;($A678+16/24),tData[SEHTrajectPeriodeDatumTijdTotEnMet],"&gt;"&amp;($A678+16/24))</f>
        <v/>
      </c>
      <c r="U678" s="20">
        <f>COUNTIFS(tData[SEHTrajectPeriodeDatumTijdVan],"&lt;="&amp;($A678+17/24),tData[SEHTrajectPeriodeDatumTijdTotEnMet],"&gt;"&amp;($A678+17/24))</f>
        <v/>
      </c>
      <c r="V678" s="20">
        <f>COUNTIFS(tData[SEHTrajectPeriodeDatumTijdVan],"&lt;="&amp;($A678+18/24),tData[SEHTrajectPeriodeDatumTijdTotEnMet],"&gt;"&amp;($A678+18/24))</f>
        <v/>
      </c>
      <c r="W678" s="20">
        <f>COUNTIFS(tData[SEHTrajectPeriodeDatumTijdVan],"&lt;="&amp;($A678+19/24),tData[SEHTrajectPeriodeDatumTijdTotEnMet],"&gt;"&amp;($A678+19/24))</f>
        <v/>
      </c>
      <c r="X678" s="20">
        <f>COUNTIFS(tData[SEHTrajectPeriodeDatumTijdVan],"&lt;="&amp;($A678+20/24),tData[SEHTrajectPeriodeDatumTijdTotEnMet],"&gt;"&amp;($A678+20/24))</f>
        <v/>
      </c>
      <c r="Y678" s="20">
        <f>COUNTIFS(tData[SEHTrajectPeriodeDatumTijdVan],"&lt;="&amp;($A678+21/24),tData[SEHTrajectPeriodeDatumTijdTotEnMet],"&gt;"&amp;($A678+21/24))</f>
        <v/>
      </c>
      <c r="Z678" s="20">
        <f>COUNTIFS(tData[SEHTrajectPeriodeDatumTijdVan],"&lt;="&amp;($A678+22/24),tData[SEHTrajectPeriodeDatumTijdTotEnMet],"&gt;"&amp;($A678+22/24))</f>
        <v/>
      </c>
      <c r="AA678" s="20">
        <f>COUNTIFS(tData[SEHTrajectPeriodeDatumTijdVan],"&lt;="&amp;($A678+23/24),tData[SEHTrajectPeriodeDatumTijdTotEnMet],"&gt;"&amp;($A678+23/24))</f>
        <v/>
      </c>
    </row>
    <row r="679">
      <c r="A679" s="19" t="n">
        <v>45967</v>
      </c>
      <c r="B679" s="15">
        <f>WEEKDAY($A679,2)</f>
        <v/>
      </c>
      <c r="C679" s="15">
        <f>IF(AND($A679&gt;=INT(Instellingen!$B$5),$A679&lt;=INT(Instellingen!$B$6)),1,0)</f>
        <v/>
      </c>
      <c r="D679" s="20">
        <f>COUNTIFS(tData[SEHTrajectPeriodeDatumTijdVan],"&lt;="&amp;($A679+0/24),tData[SEHTrajectPeriodeDatumTijdTotEnMet],"&gt;"&amp;($A679+0/24))</f>
        <v/>
      </c>
      <c r="E679" s="20">
        <f>COUNTIFS(tData[SEHTrajectPeriodeDatumTijdVan],"&lt;="&amp;($A679+1/24),tData[SEHTrajectPeriodeDatumTijdTotEnMet],"&gt;"&amp;($A679+1/24))</f>
        <v/>
      </c>
      <c r="F679" s="20">
        <f>COUNTIFS(tData[SEHTrajectPeriodeDatumTijdVan],"&lt;="&amp;($A679+2/24),tData[SEHTrajectPeriodeDatumTijdTotEnMet],"&gt;"&amp;($A679+2/24))</f>
        <v/>
      </c>
      <c r="G679" s="20">
        <f>COUNTIFS(tData[SEHTrajectPeriodeDatumTijdVan],"&lt;="&amp;($A679+3/24),tData[SEHTrajectPeriodeDatumTijdTotEnMet],"&gt;"&amp;($A679+3/24))</f>
        <v/>
      </c>
      <c r="H679" s="20">
        <f>COUNTIFS(tData[SEHTrajectPeriodeDatumTijdVan],"&lt;="&amp;($A679+4/24),tData[SEHTrajectPeriodeDatumTijdTotEnMet],"&gt;"&amp;($A679+4/24))</f>
        <v/>
      </c>
      <c r="I679" s="20">
        <f>COUNTIFS(tData[SEHTrajectPeriodeDatumTijdVan],"&lt;="&amp;($A679+5/24),tData[SEHTrajectPeriodeDatumTijdTotEnMet],"&gt;"&amp;($A679+5/24))</f>
        <v/>
      </c>
      <c r="J679" s="20">
        <f>COUNTIFS(tData[SEHTrajectPeriodeDatumTijdVan],"&lt;="&amp;($A679+6/24),tData[SEHTrajectPeriodeDatumTijdTotEnMet],"&gt;"&amp;($A679+6/24))</f>
        <v/>
      </c>
      <c r="K679" s="20">
        <f>COUNTIFS(tData[SEHTrajectPeriodeDatumTijdVan],"&lt;="&amp;($A679+7/24),tData[SEHTrajectPeriodeDatumTijdTotEnMet],"&gt;"&amp;($A679+7/24))</f>
        <v/>
      </c>
      <c r="L679" s="20">
        <f>COUNTIFS(tData[SEHTrajectPeriodeDatumTijdVan],"&lt;="&amp;($A679+8/24),tData[SEHTrajectPeriodeDatumTijdTotEnMet],"&gt;"&amp;($A679+8/24))</f>
        <v/>
      </c>
      <c r="M679" s="20">
        <f>COUNTIFS(tData[SEHTrajectPeriodeDatumTijdVan],"&lt;="&amp;($A679+9/24),tData[SEHTrajectPeriodeDatumTijdTotEnMet],"&gt;"&amp;($A679+9/24))</f>
        <v/>
      </c>
      <c r="N679" s="20">
        <f>COUNTIFS(tData[SEHTrajectPeriodeDatumTijdVan],"&lt;="&amp;($A679+10/24),tData[SEHTrajectPeriodeDatumTijdTotEnMet],"&gt;"&amp;($A679+10/24))</f>
        <v/>
      </c>
      <c r="O679" s="20">
        <f>COUNTIFS(tData[SEHTrajectPeriodeDatumTijdVan],"&lt;="&amp;($A679+11/24),tData[SEHTrajectPeriodeDatumTijdTotEnMet],"&gt;"&amp;($A679+11/24))</f>
        <v/>
      </c>
      <c r="P679" s="20">
        <f>COUNTIFS(tData[SEHTrajectPeriodeDatumTijdVan],"&lt;="&amp;($A679+12/24),tData[SEHTrajectPeriodeDatumTijdTotEnMet],"&gt;"&amp;($A679+12/24))</f>
        <v/>
      </c>
      <c r="Q679" s="20">
        <f>COUNTIFS(tData[SEHTrajectPeriodeDatumTijdVan],"&lt;="&amp;($A679+13/24),tData[SEHTrajectPeriodeDatumTijdTotEnMet],"&gt;"&amp;($A679+13/24))</f>
        <v/>
      </c>
      <c r="R679" s="20">
        <f>COUNTIFS(tData[SEHTrajectPeriodeDatumTijdVan],"&lt;="&amp;($A679+14/24),tData[SEHTrajectPeriodeDatumTijdTotEnMet],"&gt;"&amp;($A679+14/24))</f>
        <v/>
      </c>
      <c r="S679" s="20">
        <f>COUNTIFS(tData[SEHTrajectPeriodeDatumTijdVan],"&lt;="&amp;($A679+15/24),tData[SEHTrajectPeriodeDatumTijdTotEnMet],"&gt;"&amp;($A679+15/24))</f>
        <v/>
      </c>
      <c r="T679" s="20">
        <f>COUNTIFS(tData[SEHTrajectPeriodeDatumTijdVan],"&lt;="&amp;($A679+16/24),tData[SEHTrajectPeriodeDatumTijdTotEnMet],"&gt;"&amp;($A679+16/24))</f>
        <v/>
      </c>
      <c r="U679" s="20">
        <f>COUNTIFS(tData[SEHTrajectPeriodeDatumTijdVan],"&lt;="&amp;($A679+17/24),tData[SEHTrajectPeriodeDatumTijdTotEnMet],"&gt;"&amp;($A679+17/24))</f>
        <v/>
      </c>
      <c r="V679" s="20">
        <f>COUNTIFS(tData[SEHTrajectPeriodeDatumTijdVan],"&lt;="&amp;($A679+18/24),tData[SEHTrajectPeriodeDatumTijdTotEnMet],"&gt;"&amp;($A679+18/24))</f>
        <v/>
      </c>
      <c r="W679" s="20">
        <f>COUNTIFS(tData[SEHTrajectPeriodeDatumTijdVan],"&lt;="&amp;($A679+19/24),tData[SEHTrajectPeriodeDatumTijdTotEnMet],"&gt;"&amp;($A679+19/24))</f>
        <v/>
      </c>
      <c r="X679" s="20">
        <f>COUNTIFS(tData[SEHTrajectPeriodeDatumTijdVan],"&lt;="&amp;($A679+20/24),tData[SEHTrajectPeriodeDatumTijdTotEnMet],"&gt;"&amp;($A679+20/24))</f>
        <v/>
      </c>
      <c r="Y679" s="20">
        <f>COUNTIFS(tData[SEHTrajectPeriodeDatumTijdVan],"&lt;="&amp;($A679+21/24),tData[SEHTrajectPeriodeDatumTijdTotEnMet],"&gt;"&amp;($A679+21/24))</f>
        <v/>
      </c>
      <c r="Z679" s="20">
        <f>COUNTIFS(tData[SEHTrajectPeriodeDatumTijdVan],"&lt;="&amp;($A679+22/24),tData[SEHTrajectPeriodeDatumTijdTotEnMet],"&gt;"&amp;($A679+22/24))</f>
        <v/>
      </c>
      <c r="AA679" s="20">
        <f>COUNTIFS(tData[SEHTrajectPeriodeDatumTijdVan],"&lt;="&amp;($A679+23/24),tData[SEHTrajectPeriodeDatumTijdTotEnMet],"&gt;"&amp;($A679+23/24))</f>
        <v/>
      </c>
    </row>
    <row r="680">
      <c r="A680" s="19" t="n">
        <v>45968</v>
      </c>
      <c r="B680" s="15">
        <f>WEEKDAY($A680,2)</f>
        <v/>
      </c>
      <c r="C680" s="15">
        <f>IF(AND($A680&gt;=INT(Instellingen!$B$5),$A680&lt;=INT(Instellingen!$B$6)),1,0)</f>
        <v/>
      </c>
      <c r="D680" s="20">
        <f>COUNTIFS(tData[SEHTrajectPeriodeDatumTijdVan],"&lt;="&amp;($A680+0/24),tData[SEHTrajectPeriodeDatumTijdTotEnMet],"&gt;"&amp;($A680+0/24))</f>
        <v/>
      </c>
      <c r="E680" s="20">
        <f>COUNTIFS(tData[SEHTrajectPeriodeDatumTijdVan],"&lt;="&amp;($A680+1/24),tData[SEHTrajectPeriodeDatumTijdTotEnMet],"&gt;"&amp;($A680+1/24))</f>
        <v/>
      </c>
      <c r="F680" s="20">
        <f>COUNTIFS(tData[SEHTrajectPeriodeDatumTijdVan],"&lt;="&amp;($A680+2/24),tData[SEHTrajectPeriodeDatumTijdTotEnMet],"&gt;"&amp;($A680+2/24))</f>
        <v/>
      </c>
      <c r="G680" s="20">
        <f>COUNTIFS(tData[SEHTrajectPeriodeDatumTijdVan],"&lt;="&amp;($A680+3/24),tData[SEHTrajectPeriodeDatumTijdTotEnMet],"&gt;"&amp;($A680+3/24))</f>
        <v/>
      </c>
      <c r="H680" s="20">
        <f>COUNTIFS(tData[SEHTrajectPeriodeDatumTijdVan],"&lt;="&amp;($A680+4/24),tData[SEHTrajectPeriodeDatumTijdTotEnMet],"&gt;"&amp;($A680+4/24))</f>
        <v/>
      </c>
      <c r="I680" s="20">
        <f>COUNTIFS(tData[SEHTrajectPeriodeDatumTijdVan],"&lt;="&amp;($A680+5/24),tData[SEHTrajectPeriodeDatumTijdTotEnMet],"&gt;"&amp;($A680+5/24))</f>
        <v/>
      </c>
      <c r="J680" s="20">
        <f>COUNTIFS(tData[SEHTrajectPeriodeDatumTijdVan],"&lt;="&amp;($A680+6/24),tData[SEHTrajectPeriodeDatumTijdTotEnMet],"&gt;"&amp;($A680+6/24))</f>
        <v/>
      </c>
      <c r="K680" s="20">
        <f>COUNTIFS(tData[SEHTrajectPeriodeDatumTijdVan],"&lt;="&amp;($A680+7/24),tData[SEHTrajectPeriodeDatumTijdTotEnMet],"&gt;"&amp;($A680+7/24))</f>
        <v/>
      </c>
      <c r="L680" s="20">
        <f>COUNTIFS(tData[SEHTrajectPeriodeDatumTijdVan],"&lt;="&amp;($A680+8/24),tData[SEHTrajectPeriodeDatumTijdTotEnMet],"&gt;"&amp;($A680+8/24))</f>
        <v/>
      </c>
      <c r="M680" s="20">
        <f>COUNTIFS(tData[SEHTrajectPeriodeDatumTijdVan],"&lt;="&amp;($A680+9/24),tData[SEHTrajectPeriodeDatumTijdTotEnMet],"&gt;"&amp;($A680+9/24))</f>
        <v/>
      </c>
      <c r="N680" s="20">
        <f>COUNTIFS(tData[SEHTrajectPeriodeDatumTijdVan],"&lt;="&amp;($A680+10/24),tData[SEHTrajectPeriodeDatumTijdTotEnMet],"&gt;"&amp;($A680+10/24))</f>
        <v/>
      </c>
      <c r="O680" s="20">
        <f>COUNTIFS(tData[SEHTrajectPeriodeDatumTijdVan],"&lt;="&amp;($A680+11/24),tData[SEHTrajectPeriodeDatumTijdTotEnMet],"&gt;"&amp;($A680+11/24))</f>
        <v/>
      </c>
      <c r="P680" s="20">
        <f>COUNTIFS(tData[SEHTrajectPeriodeDatumTijdVan],"&lt;="&amp;($A680+12/24),tData[SEHTrajectPeriodeDatumTijdTotEnMet],"&gt;"&amp;($A680+12/24))</f>
        <v/>
      </c>
      <c r="Q680" s="20">
        <f>COUNTIFS(tData[SEHTrajectPeriodeDatumTijdVan],"&lt;="&amp;($A680+13/24),tData[SEHTrajectPeriodeDatumTijdTotEnMet],"&gt;"&amp;($A680+13/24))</f>
        <v/>
      </c>
      <c r="R680" s="20">
        <f>COUNTIFS(tData[SEHTrajectPeriodeDatumTijdVan],"&lt;="&amp;($A680+14/24),tData[SEHTrajectPeriodeDatumTijdTotEnMet],"&gt;"&amp;($A680+14/24))</f>
        <v/>
      </c>
      <c r="S680" s="20">
        <f>COUNTIFS(tData[SEHTrajectPeriodeDatumTijdVan],"&lt;="&amp;($A680+15/24),tData[SEHTrajectPeriodeDatumTijdTotEnMet],"&gt;"&amp;($A680+15/24))</f>
        <v/>
      </c>
      <c r="T680" s="20">
        <f>COUNTIFS(tData[SEHTrajectPeriodeDatumTijdVan],"&lt;="&amp;($A680+16/24),tData[SEHTrajectPeriodeDatumTijdTotEnMet],"&gt;"&amp;($A680+16/24))</f>
        <v/>
      </c>
      <c r="U680" s="20">
        <f>COUNTIFS(tData[SEHTrajectPeriodeDatumTijdVan],"&lt;="&amp;($A680+17/24),tData[SEHTrajectPeriodeDatumTijdTotEnMet],"&gt;"&amp;($A680+17/24))</f>
        <v/>
      </c>
      <c r="V680" s="20">
        <f>COUNTIFS(tData[SEHTrajectPeriodeDatumTijdVan],"&lt;="&amp;($A680+18/24),tData[SEHTrajectPeriodeDatumTijdTotEnMet],"&gt;"&amp;($A680+18/24))</f>
        <v/>
      </c>
      <c r="W680" s="20">
        <f>COUNTIFS(tData[SEHTrajectPeriodeDatumTijdVan],"&lt;="&amp;($A680+19/24),tData[SEHTrajectPeriodeDatumTijdTotEnMet],"&gt;"&amp;($A680+19/24))</f>
        <v/>
      </c>
      <c r="X680" s="20">
        <f>COUNTIFS(tData[SEHTrajectPeriodeDatumTijdVan],"&lt;="&amp;($A680+20/24),tData[SEHTrajectPeriodeDatumTijdTotEnMet],"&gt;"&amp;($A680+20/24))</f>
        <v/>
      </c>
      <c r="Y680" s="20">
        <f>COUNTIFS(tData[SEHTrajectPeriodeDatumTijdVan],"&lt;="&amp;($A680+21/24),tData[SEHTrajectPeriodeDatumTijdTotEnMet],"&gt;"&amp;($A680+21/24))</f>
        <v/>
      </c>
      <c r="Z680" s="20">
        <f>COUNTIFS(tData[SEHTrajectPeriodeDatumTijdVan],"&lt;="&amp;($A680+22/24),tData[SEHTrajectPeriodeDatumTijdTotEnMet],"&gt;"&amp;($A680+22/24))</f>
        <v/>
      </c>
      <c r="AA680" s="20">
        <f>COUNTIFS(tData[SEHTrajectPeriodeDatumTijdVan],"&lt;="&amp;($A680+23/24),tData[SEHTrajectPeriodeDatumTijdTotEnMet],"&gt;"&amp;($A680+23/24))</f>
        <v/>
      </c>
    </row>
    <row r="681">
      <c r="A681" s="19" t="n">
        <v>45969</v>
      </c>
      <c r="B681" s="15">
        <f>WEEKDAY($A681,2)</f>
        <v/>
      </c>
      <c r="C681" s="15">
        <f>IF(AND($A681&gt;=INT(Instellingen!$B$5),$A681&lt;=INT(Instellingen!$B$6)),1,0)</f>
        <v/>
      </c>
      <c r="D681" s="20">
        <f>COUNTIFS(tData[SEHTrajectPeriodeDatumTijdVan],"&lt;="&amp;($A681+0/24),tData[SEHTrajectPeriodeDatumTijdTotEnMet],"&gt;"&amp;($A681+0/24))</f>
        <v/>
      </c>
      <c r="E681" s="20">
        <f>COUNTIFS(tData[SEHTrajectPeriodeDatumTijdVan],"&lt;="&amp;($A681+1/24),tData[SEHTrajectPeriodeDatumTijdTotEnMet],"&gt;"&amp;($A681+1/24))</f>
        <v/>
      </c>
      <c r="F681" s="20">
        <f>COUNTIFS(tData[SEHTrajectPeriodeDatumTijdVan],"&lt;="&amp;($A681+2/24),tData[SEHTrajectPeriodeDatumTijdTotEnMet],"&gt;"&amp;($A681+2/24))</f>
        <v/>
      </c>
      <c r="G681" s="20">
        <f>COUNTIFS(tData[SEHTrajectPeriodeDatumTijdVan],"&lt;="&amp;($A681+3/24),tData[SEHTrajectPeriodeDatumTijdTotEnMet],"&gt;"&amp;($A681+3/24))</f>
        <v/>
      </c>
      <c r="H681" s="20">
        <f>COUNTIFS(tData[SEHTrajectPeriodeDatumTijdVan],"&lt;="&amp;($A681+4/24),tData[SEHTrajectPeriodeDatumTijdTotEnMet],"&gt;"&amp;($A681+4/24))</f>
        <v/>
      </c>
      <c r="I681" s="20">
        <f>COUNTIFS(tData[SEHTrajectPeriodeDatumTijdVan],"&lt;="&amp;($A681+5/24),tData[SEHTrajectPeriodeDatumTijdTotEnMet],"&gt;"&amp;($A681+5/24))</f>
        <v/>
      </c>
      <c r="J681" s="20">
        <f>COUNTIFS(tData[SEHTrajectPeriodeDatumTijdVan],"&lt;="&amp;($A681+6/24),tData[SEHTrajectPeriodeDatumTijdTotEnMet],"&gt;"&amp;($A681+6/24))</f>
        <v/>
      </c>
      <c r="K681" s="20">
        <f>COUNTIFS(tData[SEHTrajectPeriodeDatumTijdVan],"&lt;="&amp;($A681+7/24),tData[SEHTrajectPeriodeDatumTijdTotEnMet],"&gt;"&amp;($A681+7/24))</f>
        <v/>
      </c>
      <c r="L681" s="20">
        <f>COUNTIFS(tData[SEHTrajectPeriodeDatumTijdVan],"&lt;="&amp;($A681+8/24),tData[SEHTrajectPeriodeDatumTijdTotEnMet],"&gt;"&amp;($A681+8/24))</f>
        <v/>
      </c>
      <c r="M681" s="20">
        <f>COUNTIFS(tData[SEHTrajectPeriodeDatumTijdVan],"&lt;="&amp;($A681+9/24),tData[SEHTrajectPeriodeDatumTijdTotEnMet],"&gt;"&amp;($A681+9/24))</f>
        <v/>
      </c>
      <c r="N681" s="20">
        <f>COUNTIFS(tData[SEHTrajectPeriodeDatumTijdVan],"&lt;="&amp;($A681+10/24),tData[SEHTrajectPeriodeDatumTijdTotEnMet],"&gt;"&amp;($A681+10/24))</f>
        <v/>
      </c>
      <c r="O681" s="20">
        <f>COUNTIFS(tData[SEHTrajectPeriodeDatumTijdVan],"&lt;="&amp;($A681+11/24),tData[SEHTrajectPeriodeDatumTijdTotEnMet],"&gt;"&amp;($A681+11/24))</f>
        <v/>
      </c>
      <c r="P681" s="20">
        <f>COUNTIFS(tData[SEHTrajectPeriodeDatumTijdVan],"&lt;="&amp;($A681+12/24),tData[SEHTrajectPeriodeDatumTijdTotEnMet],"&gt;"&amp;($A681+12/24))</f>
        <v/>
      </c>
      <c r="Q681" s="20">
        <f>COUNTIFS(tData[SEHTrajectPeriodeDatumTijdVan],"&lt;="&amp;($A681+13/24),tData[SEHTrajectPeriodeDatumTijdTotEnMet],"&gt;"&amp;($A681+13/24))</f>
        <v/>
      </c>
      <c r="R681" s="20">
        <f>COUNTIFS(tData[SEHTrajectPeriodeDatumTijdVan],"&lt;="&amp;($A681+14/24),tData[SEHTrajectPeriodeDatumTijdTotEnMet],"&gt;"&amp;($A681+14/24))</f>
        <v/>
      </c>
      <c r="S681" s="20">
        <f>COUNTIFS(tData[SEHTrajectPeriodeDatumTijdVan],"&lt;="&amp;($A681+15/24),tData[SEHTrajectPeriodeDatumTijdTotEnMet],"&gt;"&amp;($A681+15/24))</f>
        <v/>
      </c>
      <c r="T681" s="20">
        <f>COUNTIFS(tData[SEHTrajectPeriodeDatumTijdVan],"&lt;="&amp;($A681+16/24),tData[SEHTrajectPeriodeDatumTijdTotEnMet],"&gt;"&amp;($A681+16/24))</f>
        <v/>
      </c>
      <c r="U681" s="20">
        <f>COUNTIFS(tData[SEHTrajectPeriodeDatumTijdVan],"&lt;="&amp;($A681+17/24),tData[SEHTrajectPeriodeDatumTijdTotEnMet],"&gt;"&amp;($A681+17/24))</f>
        <v/>
      </c>
      <c r="V681" s="20">
        <f>COUNTIFS(tData[SEHTrajectPeriodeDatumTijdVan],"&lt;="&amp;($A681+18/24),tData[SEHTrajectPeriodeDatumTijdTotEnMet],"&gt;"&amp;($A681+18/24))</f>
        <v/>
      </c>
      <c r="W681" s="20">
        <f>COUNTIFS(tData[SEHTrajectPeriodeDatumTijdVan],"&lt;="&amp;($A681+19/24),tData[SEHTrajectPeriodeDatumTijdTotEnMet],"&gt;"&amp;($A681+19/24))</f>
        <v/>
      </c>
      <c r="X681" s="20">
        <f>COUNTIFS(tData[SEHTrajectPeriodeDatumTijdVan],"&lt;="&amp;($A681+20/24),tData[SEHTrajectPeriodeDatumTijdTotEnMet],"&gt;"&amp;($A681+20/24))</f>
        <v/>
      </c>
      <c r="Y681" s="20">
        <f>COUNTIFS(tData[SEHTrajectPeriodeDatumTijdVan],"&lt;="&amp;($A681+21/24),tData[SEHTrajectPeriodeDatumTijdTotEnMet],"&gt;"&amp;($A681+21/24))</f>
        <v/>
      </c>
      <c r="Z681" s="20">
        <f>COUNTIFS(tData[SEHTrajectPeriodeDatumTijdVan],"&lt;="&amp;($A681+22/24),tData[SEHTrajectPeriodeDatumTijdTotEnMet],"&gt;"&amp;($A681+22/24))</f>
        <v/>
      </c>
      <c r="AA681" s="20">
        <f>COUNTIFS(tData[SEHTrajectPeriodeDatumTijdVan],"&lt;="&amp;($A681+23/24),tData[SEHTrajectPeriodeDatumTijdTotEnMet],"&gt;"&amp;($A681+23/24))</f>
        <v/>
      </c>
    </row>
    <row r="682">
      <c r="A682" s="19" t="n">
        <v>45970</v>
      </c>
      <c r="B682" s="15">
        <f>WEEKDAY($A682,2)</f>
        <v/>
      </c>
      <c r="C682" s="15">
        <f>IF(AND($A682&gt;=INT(Instellingen!$B$5),$A682&lt;=INT(Instellingen!$B$6)),1,0)</f>
        <v/>
      </c>
      <c r="D682" s="20">
        <f>COUNTIFS(tData[SEHTrajectPeriodeDatumTijdVan],"&lt;="&amp;($A682+0/24),tData[SEHTrajectPeriodeDatumTijdTotEnMet],"&gt;"&amp;($A682+0/24))</f>
        <v/>
      </c>
      <c r="E682" s="20">
        <f>COUNTIFS(tData[SEHTrajectPeriodeDatumTijdVan],"&lt;="&amp;($A682+1/24),tData[SEHTrajectPeriodeDatumTijdTotEnMet],"&gt;"&amp;($A682+1/24))</f>
        <v/>
      </c>
      <c r="F682" s="20">
        <f>COUNTIFS(tData[SEHTrajectPeriodeDatumTijdVan],"&lt;="&amp;($A682+2/24),tData[SEHTrajectPeriodeDatumTijdTotEnMet],"&gt;"&amp;($A682+2/24))</f>
        <v/>
      </c>
      <c r="G682" s="20">
        <f>COUNTIFS(tData[SEHTrajectPeriodeDatumTijdVan],"&lt;="&amp;($A682+3/24),tData[SEHTrajectPeriodeDatumTijdTotEnMet],"&gt;"&amp;($A682+3/24))</f>
        <v/>
      </c>
      <c r="H682" s="20">
        <f>COUNTIFS(tData[SEHTrajectPeriodeDatumTijdVan],"&lt;="&amp;($A682+4/24),tData[SEHTrajectPeriodeDatumTijdTotEnMet],"&gt;"&amp;($A682+4/24))</f>
        <v/>
      </c>
      <c r="I682" s="20">
        <f>COUNTIFS(tData[SEHTrajectPeriodeDatumTijdVan],"&lt;="&amp;($A682+5/24),tData[SEHTrajectPeriodeDatumTijdTotEnMet],"&gt;"&amp;($A682+5/24))</f>
        <v/>
      </c>
      <c r="J682" s="20">
        <f>COUNTIFS(tData[SEHTrajectPeriodeDatumTijdVan],"&lt;="&amp;($A682+6/24),tData[SEHTrajectPeriodeDatumTijdTotEnMet],"&gt;"&amp;($A682+6/24))</f>
        <v/>
      </c>
      <c r="K682" s="20">
        <f>COUNTIFS(tData[SEHTrajectPeriodeDatumTijdVan],"&lt;="&amp;($A682+7/24),tData[SEHTrajectPeriodeDatumTijdTotEnMet],"&gt;"&amp;($A682+7/24))</f>
        <v/>
      </c>
      <c r="L682" s="20">
        <f>COUNTIFS(tData[SEHTrajectPeriodeDatumTijdVan],"&lt;="&amp;($A682+8/24),tData[SEHTrajectPeriodeDatumTijdTotEnMet],"&gt;"&amp;($A682+8/24))</f>
        <v/>
      </c>
      <c r="M682" s="20">
        <f>COUNTIFS(tData[SEHTrajectPeriodeDatumTijdVan],"&lt;="&amp;($A682+9/24),tData[SEHTrajectPeriodeDatumTijdTotEnMet],"&gt;"&amp;($A682+9/24))</f>
        <v/>
      </c>
      <c r="N682" s="20">
        <f>COUNTIFS(tData[SEHTrajectPeriodeDatumTijdVan],"&lt;="&amp;($A682+10/24),tData[SEHTrajectPeriodeDatumTijdTotEnMet],"&gt;"&amp;($A682+10/24))</f>
        <v/>
      </c>
      <c r="O682" s="20">
        <f>COUNTIFS(tData[SEHTrajectPeriodeDatumTijdVan],"&lt;="&amp;($A682+11/24),tData[SEHTrajectPeriodeDatumTijdTotEnMet],"&gt;"&amp;($A682+11/24))</f>
        <v/>
      </c>
      <c r="P682" s="20">
        <f>COUNTIFS(tData[SEHTrajectPeriodeDatumTijdVan],"&lt;="&amp;($A682+12/24),tData[SEHTrajectPeriodeDatumTijdTotEnMet],"&gt;"&amp;($A682+12/24))</f>
        <v/>
      </c>
      <c r="Q682" s="20">
        <f>COUNTIFS(tData[SEHTrajectPeriodeDatumTijdVan],"&lt;="&amp;($A682+13/24),tData[SEHTrajectPeriodeDatumTijdTotEnMet],"&gt;"&amp;($A682+13/24))</f>
        <v/>
      </c>
      <c r="R682" s="20">
        <f>COUNTIFS(tData[SEHTrajectPeriodeDatumTijdVan],"&lt;="&amp;($A682+14/24),tData[SEHTrajectPeriodeDatumTijdTotEnMet],"&gt;"&amp;($A682+14/24))</f>
        <v/>
      </c>
      <c r="S682" s="20">
        <f>COUNTIFS(tData[SEHTrajectPeriodeDatumTijdVan],"&lt;="&amp;($A682+15/24),tData[SEHTrajectPeriodeDatumTijdTotEnMet],"&gt;"&amp;($A682+15/24))</f>
        <v/>
      </c>
      <c r="T682" s="20">
        <f>COUNTIFS(tData[SEHTrajectPeriodeDatumTijdVan],"&lt;="&amp;($A682+16/24),tData[SEHTrajectPeriodeDatumTijdTotEnMet],"&gt;"&amp;($A682+16/24))</f>
        <v/>
      </c>
      <c r="U682" s="20">
        <f>COUNTIFS(tData[SEHTrajectPeriodeDatumTijdVan],"&lt;="&amp;($A682+17/24),tData[SEHTrajectPeriodeDatumTijdTotEnMet],"&gt;"&amp;($A682+17/24))</f>
        <v/>
      </c>
      <c r="V682" s="20">
        <f>COUNTIFS(tData[SEHTrajectPeriodeDatumTijdVan],"&lt;="&amp;($A682+18/24),tData[SEHTrajectPeriodeDatumTijdTotEnMet],"&gt;"&amp;($A682+18/24))</f>
        <v/>
      </c>
      <c r="W682" s="20">
        <f>COUNTIFS(tData[SEHTrajectPeriodeDatumTijdVan],"&lt;="&amp;($A682+19/24),tData[SEHTrajectPeriodeDatumTijdTotEnMet],"&gt;"&amp;($A682+19/24))</f>
        <v/>
      </c>
      <c r="X682" s="20">
        <f>COUNTIFS(tData[SEHTrajectPeriodeDatumTijdVan],"&lt;="&amp;($A682+20/24),tData[SEHTrajectPeriodeDatumTijdTotEnMet],"&gt;"&amp;($A682+20/24))</f>
        <v/>
      </c>
      <c r="Y682" s="20">
        <f>COUNTIFS(tData[SEHTrajectPeriodeDatumTijdVan],"&lt;="&amp;($A682+21/24),tData[SEHTrajectPeriodeDatumTijdTotEnMet],"&gt;"&amp;($A682+21/24))</f>
        <v/>
      </c>
      <c r="Z682" s="20">
        <f>COUNTIFS(tData[SEHTrajectPeriodeDatumTijdVan],"&lt;="&amp;($A682+22/24),tData[SEHTrajectPeriodeDatumTijdTotEnMet],"&gt;"&amp;($A682+22/24))</f>
        <v/>
      </c>
      <c r="AA682" s="20">
        <f>COUNTIFS(tData[SEHTrajectPeriodeDatumTijdVan],"&lt;="&amp;($A682+23/24),tData[SEHTrajectPeriodeDatumTijdTotEnMet],"&gt;"&amp;($A682+23/24))</f>
        <v/>
      </c>
    </row>
    <row r="683">
      <c r="A683" s="19" t="n">
        <v>45971</v>
      </c>
      <c r="B683" s="15">
        <f>WEEKDAY($A683,2)</f>
        <v/>
      </c>
      <c r="C683" s="15">
        <f>IF(AND($A683&gt;=INT(Instellingen!$B$5),$A683&lt;=INT(Instellingen!$B$6)),1,0)</f>
        <v/>
      </c>
      <c r="D683" s="20">
        <f>COUNTIFS(tData[SEHTrajectPeriodeDatumTijdVan],"&lt;="&amp;($A683+0/24),tData[SEHTrajectPeriodeDatumTijdTotEnMet],"&gt;"&amp;($A683+0/24))</f>
        <v/>
      </c>
      <c r="E683" s="20">
        <f>COUNTIFS(tData[SEHTrajectPeriodeDatumTijdVan],"&lt;="&amp;($A683+1/24),tData[SEHTrajectPeriodeDatumTijdTotEnMet],"&gt;"&amp;($A683+1/24))</f>
        <v/>
      </c>
      <c r="F683" s="20">
        <f>COUNTIFS(tData[SEHTrajectPeriodeDatumTijdVan],"&lt;="&amp;($A683+2/24),tData[SEHTrajectPeriodeDatumTijdTotEnMet],"&gt;"&amp;($A683+2/24))</f>
        <v/>
      </c>
      <c r="G683" s="20">
        <f>COUNTIFS(tData[SEHTrajectPeriodeDatumTijdVan],"&lt;="&amp;($A683+3/24),tData[SEHTrajectPeriodeDatumTijdTotEnMet],"&gt;"&amp;($A683+3/24))</f>
        <v/>
      </c>
      <c r="H683" s="20">
        <f>COUNTIFS(tData[SEHTrajectPeriodeDatumTijdVan],"&lt;="&amp;($A683+4/24),tData[SEHTrajectPeriodeDatumTijdTotEnMet],"&gt;"&amp;($A683+4/24))</f>
        <v/>
      </c>
      <c r="I683" s="20">
        <f>COUNTIFS(tData[SEHTrajectPeriodeDatumTijdVan],"&lt;="&amp;($A683+5/24),tData[SEHTrajectPeriodeDatumTijdTotEnMet],"&gt;"&amp;($A683+5/24))</f>
        <v/>
      </c>
      <c r="J683" s="20">
        <f>COUNTIFS(tData[SEHTrajectPeriodeDatumTijdVan],"&lt;="&amp;($A683+6/24),tData[SEHTrajectPeriodeDatumTijdTotEnMet],"&gt;"&amp;($A683+6/24))</f>
        <v/>
      </c>
      <c r="K683" s="20">
        <f>COUNTIFS(tData[SEHTrajectPeriodeDatumTijdVan],"&lt;="&amp;($A683+7/24),tData[SEHTrajectPeriodeDatumTijdTotEnMet],"&gt;"&amp;($A683+7/24))</f>
        <v/>
      </c>
      <c r="L683" s="20">
        <f>COUNTIFS(tData[SEHTrajectPeriodeDatumTijdVan],"&lt;="&amp;($A683+8/24),tData[SEHTrajectPeriodeDatumTijdTotEnMet],"&gt;"&amp;($A683+8/24))</f>
        <v/>
      </c>
      <c r="M683" s="20">
        <f>COUNTIFS(tData[SEHTrajectPeriodeDatumTijdVan],"&lt;="&amp;($A683+9/24),tData[SEHTrajectPeriodeDatumTijdTotEnMet],"&gt;"&amp;($A683+9/24))</f>
        <v/>
      </c>
      <c r="N683" s="20">
        <f>COUNTIFS(tData[SEHTrajectPeriodeDatumTijdVan],"&lt;="&amp;($A683+10/24),tData[SEHTrajectPeriodeDatumTijdTotEnMet],"&gt;"&amp;($A683+10/24))</f>
        <v/>
      </c>
      <c r="O683" s="20">
        <f>COUNTIFS(tData[SEHTrajectPeriodeDatumTijdVan],"&lt;="&amp;($A683+11/24),tData[SEHTrajectPeriodeDatumTijdTotEnMet],"&gt;"&amp;($A683+11/24))</f>
        <v/>
      </c>
      <c r="P683" s="20">
        <f>COUNTIFS(tData[SEHTrajectPeriodeDatumTijdVan],"&lt;="&amp;($A683+12/24),tData[SEHTrajectPeriodeDatumTijdTotEnMet],"&gt;"&amp;($A683+12/24))</f>
        <v/>
      </c>
      <c r="Q683" s="20">
        <f>COUNTIFS(tData[SEHTrajectPeriodeDatumTijdVan],"&lt;="&amp;($A683+13/24),tData[SEHTrajectPeriodeDatumTijdTotEnMet],"&gt;"&amp;($A683+13/24))</f>
        <v/>
      </c>
      <c r="R683" s="20">
        <f>COUNTIFS(tData[SEHTrajectPeriodeDatumTijdVan],"&lt;="&amp;($A683+14/24),tData[SEHTrajectPeriodeDatumTijdTotEnMet],"&gt;"&amp;($A683+14/24))</f>
        <v/>
      </c>
      <c r="S683" s="20">
        <f>COUNTIFS(tData[SEHTrajectPeriodeDatumTijdVan],"&lt;="&amp;($A683+15/24),tData[SEHTrajectPeriodeDatumTijdTotEnMet],"&gt;"&amp;($A683+15/24))</f>
        <v/>
      </c>
      <c r="T683" s="20">
        <f>COUNTIFS(tData[SEHTrajectPeriodeDatumTijdVan],"&lt;="&amp;($A683+16/24),tData[SEHTrajectPeriodeDatumTijdTotEnMet],"&gt;"&amp;($A683+16/24))</f>
        <v/>
      </c>
      <c r="U683" s="20">
        <f>COUNTIFS(tData[SEHTrajectPeriodeDatumTijdVan],"&lt;="&amp;($A683+17/24),tData[SEHTrajectPeriodeDatumTijdTotEnMet],"&gt;"&amp;($A683+17/24))</f>
        <v/>
      </c>
      <c r="V683" s="20">
        <f>COUNTIFS(tData[SEHTrajectPeriodeDatumTijdVan],"&lt;="&amp;($A683+18/24),tData[SEHTrajectPeriodeDatumTijdTotEnMet],"&gt;"&amp;($A683+18/24))</f>
        <v/>
      </c>
      <c r="W683" s="20">
        <f>COUNTIFS(tData[SEHTrajectPeriodeDatumTijdVan],"&lt;="&amp;($A683+19/24),tData[SEHTrajectPeriodeDatumTijdTotEnMet],"&gt;"&amp;($A683+19/24))</f>
        <v/>
      </c>
      <c r="X683" s="20">
        <f>COUNTIFS(tData[SEHTrajectPeriodeDatumTijdVan],"&lt;="&amp;($A683+20/24),tData[SEHTrajectPeriodeDatumTijdTotEnMet],"&gt;"&amp;($A683+20/24))</f>
        <v/>
      </c>
      <c r="Y683" s="20">
        <f>COUNTIFS(tData[SEHTrajectPeriodeDatumTijdVan],"&lt;="&amp;($A683+21/24),tData[SEHTrajectPeriodeDatumTijdTotEnMet],"&gt;"&amp;($A683+21/24))</f>
        <v/>
      </c>
      <c r="Z683" s="20">
        <f>COUNTIFS(tData[SEHTrajectPeriodeDatumTijdVan],"&lt;="&amp;($A683+22/24),tData[SEHTrajectPeriodeDatumTijdTotEnMet],"&gt;"&amp;($A683+22/24))</f>
        <v/>
      </c>
      <c r="AA683" s="20">
        <f>COUNTIFS(tData[SEHTrajectPeriodeDatumTijdVan],"&lt;="&amp;($A683+23/24),tData[SEHTrajectPeriodeDatumTijdTotEnMet],"&gt;"&amp;($A683+23/24))</f>
        <v/>
      </c>
    </row>
    <row r="684">
      <c r="A684" s="19" t="n">
        <v>45972</v>
      </c>
      <c r="B684" s="15">
        <f>WEEKDAY($A684,2)</f>
        <v/>
      </c>
      <c r="C684" s="15">
        <f>IF(AND($A684&gt;=INT(Instellingen!$B$5),$A684&lt;=INT(Instellingen!$B$6)),1,0)</f>
        <v/>
      </c>
      <c r="D684" s="20">
        <f>COUNTIFS(tData[SEHTrajectPeriodeDatumTijdVan],"&lt;="&amp;($A684+0/24),tData[SEHTrajectPeriodeDatumTijdTotEnMet],"&gt;"&amp;($A684+0/24))</f>
        <v/>
      </c>
      <c r="E684" s="20">
        <f>COUNTIFS(tData[SEHTrajectPeriodeDatumTijdVan],"&lt;="&amp;($A684+1/24),tData[SEHTrajectPeriodeDatumTijdTotEnMet],"&gt;"&amp;($A684+1/24))</f>
        <v/>
      </c>
      <c r="F684" s="20">
        <f>COUNTIFS(tData[SEHTrajectPeriodeDatumTijdVan],"&lt;="&amp;($A684+2/24),tData[SEHTrajectPeriodeDatumTijdTotEnMet],"&gt;"&amp;($A684+2/24))</f>
        <v/>
      </c>
      <c r="G684" s="20">
        <f>COUNTIFS(tData[SEHTrajectPeriodeDatumTijdVan],"&lt;="&amp;($A684+3/24),tData[SEHTrajectPeriodeDatumTijdTotEnMet],"&gt;"&amp;($A684+3/24))</f>
        <v/>
      </c>
      <c r="H684" s="20">
        <f>COUNTIFS(tData[SEHTrajectPeriodeDatumTijdVan],"&lt;="&amp;($A684+4/24),tData[SEHTrajectPeriodeDatumTijdTotEnMet],"&gt;"&amp;($A684+4/24))</f>
        <v/>
      </c>
      <c r="I684" s="20">
        <f>COUNTIFS(tData[SEHTrajectPeriodeDatumTijdVan],"&lt;="&amp;($A684+5/24),tData[SEHTrajectPeriodeDatumTijdTotEnMet],"&gt;"&amp;($A684+5/24))</f>
        <v/>
      </c>
      <c r="J684" s="20">
        <f>COUNTIFS(tData[SEHTrajectPeriodeDatumTijdVan],"&lt;="&amp;($A684+6/24),tData[SEHTrajectPeriodeDatumTijdTotEnMet],"&gt;"&amp;($A684+6/24))</f>
        <v/>
      </c>
      <c r="K684" s="20">
        <f>COUNTIFS(tData[SEHTrajectPeriodeDatumTijdVan],"&lt;="&amp;($A684+7/24),tData[SEHTrajectPeriodeDatumTijdTotEnMet],"&gt;"&amp;($A684+7/24))</f>
        <v/>
      </c>
      <c r="L684" s="20">
        <f>COUNTIFS(tData[SEHTrajectPeriodeDatumTijdVan],"&lt;="&amp;($A684+8/24),tData[SEHTrajectPeriodeDatumTijdTotEnMet],"&gt;"&amp;($A684+8/24))</f>
        <v/>
      </c>
      <c r="M684" s="20">
        <f>COUNTIFS(tData[SEHTrajectPeriodeDatumTijdVan],"&lt;="&amp;($A684+9/24),tData[SEHTrajectPeriodeDatumTijdTotEnMet],"&gt;"&amp;($A684+9/24))</f>
        <v/>
      </c>
      <c r="N684" s="20">
        <f>COUNTIFS(tData[SEHTrajectPeriodeDatumTijdVan],"&lt;="&amp;($A684+10/24),tData[SEHTrajectPeriodeDatumTijdTotEnMet],"&gt;"&amp;($A684+10/24))</f>
        <v/>
      </c>
      <c r="O684" s="20">
        <f>COUNTIFS(tData[SEHTrajectPeriodeDatumTijdVan],"&lt;="&amp;($A684+11/24),tData[SEHTrajectPeriodeDatumTijdTotEnMet],"&gt;"&amp;($A684+11/24))</f>
        <v/>
      </c>
      <c r="P684" s="20">
        <f>COUNTIFS(tData[SEHTrajectPeriodeDatumTijdVan],"&lt;="&amp;($A684+12/24),tData[SEHTrajectPeriodeDatumTijdTotEnMet],"&gt;"&amp;($A684+12/24))</f>
        <v/>
      </c>
      <c r="Q684" s="20">
        <f>COUNTIFS(tData[SEHTrajectPeriodeDatumTijdVan],"&lt;="&amp;($A684+13/24),tData[SEHTrajectPeriodeDatumTijdTotEnMet],"&gt;"&amp;($A684+13/24))</f>
        <v/>
      </c>
      <c r="R684" s="20">
        <f>COUNTIFS(tData[SEHTrajectPeriodeDatumTijdVan],"&lt;="&amp;($A684+14/24),tData[SEHTrajectPeriodeDatumTijdTotEnMet],"&gt;"&amp;($A684+14/24))</f>
        <v/>
      </c>
      <c r="S684" s="20">
        <f>COUNTIFS(tData[SEHTrajectPeriodeDatumTijdVan],"&lt;="&amp;($A684+15/24),tData[SEHTrajectPeriodeDatumTijdTotEnMet],"&gt;"&amp;($A684+15/24))</f>
        <v/>
      </c>
      <c r="T684" s="20">
        <f>COUNTIFS(tData[SEHTrajectPeriodeDatumTijdVan],"&lt;="&amp;($A684+16/24),tData[SEHTrajectPeriodeDatumTijdTotEnMet],"&gt;"&amp;($A684+16/24))</f>
        <v/>
      </c>
      <c r="U684" s="20">
        <f>COUNTIFS(tData[SEHTrajectPeriodeDatumTijdVan],"&lt;="&amp;($A684+17/24),tData[SEHTrajectPeriodeDatumTijdTotEnMet],"&gt;"&amp;($A684+17/24))</f>
        <v/>
      </c>
      <c r="V684" s="20">
        <f>COUNTIFS(tData[SEHTrajectPeriodeDatumTijdVan],"&lt;="&amp;($A684+18/24),tData[SEHTrajectPeriodeDatumTijdTotEnMet],"&gt;"&amp;($A684+18/24))</f>
        <v/>
      </c>
      <c r="W684" s="20">
        <f>COUNTIFS(tData[SEHTrajectPeriodeDatumTijdVan],"&lt;="&amp;($A684+19/24),tData[SEHTrajectPeriodeDatumTijdTotEnMet],"&gt;"&amp;($A684+19/24))</f>
        <v/>
      </c>
      <c r="X684" s="20">
        <f>COUNTIFS(tData[SEHTrajectPeriodeDatumTijdVan],"&lt;="&amp;($A684+20/24),tData[SEHTrajectPeriodeDatumTijdTotEnMet],"&gt;"&amp;($A684+20/24))</f>
        <v/>
      </c>
      <c r="Y684" s="20">
        <f>COUNTIFS(tData[SEHTrajectPeriodeDatumTijdVan],"&lt;="&amp;($A684+21/24),tData[SEHTrajectPeriodeDatumTijdTotEnMet],"&gt;"&amp;($A684+21/24))</f>
        <v/>
      </c>
      <c r="Z684" s="20">
        <f>COUNTIFS(tData[SEHTrajectPeriodeDatumTijdVan],"&lt;="&amp;($A684+22/24),tData[SEHTrajectPeriodeDatumTijdTotEnMet],"&gt;"&amp;($A684+22/24))</f>
        <v/>
      </c>
      <c r="AA684" s="20">
        <f>COUNTIFS(tData[SEHTrajectPeriodeDatumTijdVan],"&lt;="&amp;($A684+23/24),tData[SEHTrajectPeriodeDatumTijdTotEnMet],"&gt;"&amp;($A684+23/24))</f>
        <v/>
      </c>
    </row>
    <row r="685">
      <c r="A685" s="19" t="n">
        <v>45973</v>
      </c>
      <c r="B685" s="15">
        <f>WEEKDAY($A685,2)</f>
        <v/>
      </c>
      <c r="C685" s="15">
        <f>IF(AND($A685&gt;=INT(Instellingen!$B$5),$A685&lt;=INT(Instellingen!$B$6)),1,0)</f>
        <v/>
      </c>
      <c r="D685" s="20">
        <f>COUNTIFS(tData[SEHTrajectPeriodeDatumTijdVan],"&lt;="&amp;($A685+0/24),tData[SEHTrajectPeriodeDatumTijdTotEnMet],"&gt;"&amp;($A685+0/24))</f>
        <v/>
      </c>
      <c r="E685" s="20">
        <f>COUNTIFS(tData[SEHTrajectPeriodeDatumTijdVan],"&lt;="&amp;($A685+1/24),tData[SEHTrajectPeriodeDatumTijdTotEnMet],"&gt;"&amp;($A685+1/24))</f>
        <v/>
      </c>
      <c r="F685" s="20">
        <f>COUNTIFS(tData[SEHTrajectPeriodeDatumTijdVan],"&lt;="&amp;($A685+2/24),tData[SEHTrajectPeriodeDatumTijdTotEnMet],"&gt;"&amp;($A685+2/24))</f>
        <v/>
      </c>
      <c r="G685" s="20">
        <f>COUNTIFS(tData[SEHTrajectPeriodeDatumTijdVan],"&lt;="&amp;($A685+3/24),tData[SEHTrajectPeriodeDatumTijdTotEnMet],"&gt;"&amp;($A685+3/24))</f>
        <v/>
      </c>
      <c r="H685" s="20">
        <f>COUNTIFS(tData[SEHTrajectPeriodeDatumTijdVan],"&lt;="&amp;($A685+4/24),tData[SEHTrajectPeriodeDatumTijdTotEnMet],"&gt;"&amp;($A685+4/24))</f>
        <v/>
      </c>
      <c r="I685" s="20">
        <f>COUNTIFS(tData[SEHTrajectPeriodeDatumTijdVan],"&lt;="&amp;($A685+5/24),tData[SEHTrajectPeriodeDatumTijdTotEnMet],"&gt;"&amp;($A685+5/24))</f>
        <v/>
      </c>
      <c r="J685" s="20">
        <f>COUNTIFS(tData[SEHTrajectPeriodeDatumTijdVan],"&lt;="&amp;($A685+6/24),tData[SEHTrajectPeriodeDatumTijdTotEnMet],"&gt;"&amp;($A685+6/24))</f>
        <v/>
      </c>
      <c r="K685" s="20">
        <f>COUNTIFS(tData[SEHTrajectPeriodeDatumTijdVan],"&lt;="&amp;($A685+7/24),tData[SEHTrajectPeriodeDatumTijdTotEnMet],"&gt;"&amp;($A685+7/24))</f>
        <v/>
      </c>
      <c r="L685" s="20">
        <f>COUNTIFS(tData[SEHTrajectPeriodeDatumTijdVan],"&lt;="&amp;($A685+8/24),tData[SEHTrajectPeriodeDatumTijdTotEnMet],"&gt;"&amp;($A685+8/24))</f>
        <v/>
      </c>
      <c r="M685" s="20">
        <f>COUNTIFS(tData[SEHTrajectPeriodeDatumTijdVan],"&lt;="&amp;($A685+9/24),tData[SEHTrajectPeriodeDatumTijdTotEnMet],"&gt;"&amp;($A685+9/24))</f>
        <v/>
      </c>
      <c r="N685" s="20">
        <f>COUNTIFS(tData[SEHTrajectPeriodeDatumTijdVan],"&lt;="&amp;($A685+10/24),tData[SEHTrajectPeriodeDatumTijdTotEnMet],"&gt;"&amp;($A685+10/24))</f>
        <v/>
      </c>
      <c r="O685" s="20">
        <f>COUNTIFS(tData[SEHTrajectPeriodeDatumTijdVan],"&lt;="&amp;($A685+11/24),tData[SEHTrajectPeriodeDatumTijdTotEnMet],"&gt;"&amp;($A685+11/24))</f>
        <v/>
      </c>
      <c r="P685" s="20">
        <f>COUNTIFS(tData[SEHTrajectPeriodeDatumTijdVan],"&lt;="&amp;($A685+12/24),tData[SEHTrajectPeriodeDatumTijdTotEnMet],"&gt;"&amp;($A685+12/24))</f>
        <v/>
      </c>
      <c r="Q685" s="20">
        <f>COUNTIFS(tData[SEHTrajectPeriodeDatumTijdVan],"&lt;="&amp;($A685+13/24),tData[SEHTrajectPeriodeDatumTijdTotEnMet],"&gt;"&amp;($A685+13/24))</f>
        <v/>
      </c>
      <c r="R685" s="20">
        <f>COUNTIFS(tData[SEHTrajectPeriodeDatumTijdVan],"&lt;="&amp;($A685+14/24),tData[SEHTrajectPeriodeDatumTijdTotEnMet],"&gt;"&amp;($A685+14/24))</f>
        <v/>
      </c>
      <c r="S685" s="20">
        <f>COUNTIFS(tData[SEHTrajectPeriodeDatumTijdVan],"&lt;="&amp;($A685+15/24),tData[SEHTrajectPeriodeDatumTijdTotEnMet],"&gt;"&amp;($A685+15/24))</f>
        <v/>
      </c>
      <c r="T685" s="20">
        <f>COUNTIFS(tData[SEHTrajectPeriodeDatumTijdVan],"&lt;="&amp;($A685+16/24),tData[SEHTrajectPeriodeDatumTijdTotEnMet],"&gt;"&amp;($A685+16/24))</f>
        <v/>
      </c>
      <c r="U685" s="20">
        <f>COUNTIFS(tData[SEHTrajectPeriodeDatumTijdVan],"&lt;="&amp;($A685+17/24),tData[SEHTrajectPeriodeDatumTijdTotEnMet],"&gt;"&amp;($A685+17/24))</f>
        <v/>
      </c>
      <c r="V685" s="20">
        <f>COUNTIFS(tData[SEHTrajectPeriodeDatumTijdVan],"&lt;="&amp;($A685+18/24),tData[SEHTrajectPeriodeDatumTijdTotEnMet],"&gt;"&amp;($A685+18/24))</f>
        <v/>
      </c>
      <c r="W685" s="20">
        <f>COUNTIFS(tData[SEHTrajectPeriodeDatumTijdVan],"&lt;="&amp;($A685+19/24),tData[SEHTrajectPeriodeDatumTijdTotEnMet],"&gt;"&amp;($A685+19/24))</f>
        <v/>
      </c>
      <c r="X685" s="20">
        <f>COUNTIFS(tData[SEHTrajectPeriodeDatumTijdVan],"&lt;="&amp;($A685+20/24),tData[SEHTrajectPeriodeDatumTijdTotEnMet],"&gt;"&amp;($A685+20/24))</f>
        <v/>
      </c>
      <c r="Y685" s="20">
        <f>COUNTIFS(tData[SEHTrajectPeriodeDatumTijdVan],"&lt;="&amp;($A685+21/24),tData[SEHTrajectPeriodeDatumTijdTotEnMet],"&gt;"&amp;($A685+21/24))</f>
        <v/>
      </c>
      <c r="Z685" s="20">
        <f>COUNTIFS(tData[SEHTrajectPeriodeDatumTijdVan],"&lt;="&amp;($A685+22/24),tData[SEHTrajectPeriodeDatumTijdTotEnMet],"&gt;"&amp;($A685+22/24))</f>
        <v/>
      </c>
      <c r="AA685" s="20">
        <f>COUNTIFS(tData[SEHTrajectPeriodeDatumTijdVan],"&lt;="&amp;($A685+23/24),tData[SEHTrajectPeriodeDatumTijdTotEnMet],"&gt;"&amp;($A685+23/24))</f>
        <v/>
      </c>
    </row>
    <row r="686">
      <c r="A686" s="19" t="n">
        <v>45974</v>
      </c>
      <c r="B686" s="15">
        <f>WEEKDAY($A686,2)</f>
        <v/>
      </c>
      <c r="C686" s="15">
        <f>IF(AND($A686&gt;=INT(Instellingen!$B$5),$A686&lt;=INT(Instellingen!$B$6)),1,0)</f>
        <v/>
      </c>
      <c r="D686" s="20">
        <f>COUNTIFS(tData[SEHTrajectPeriodeDatumTijdVan],"&lt;="&amp;($A686+0/24),tData[SEHTrajectPeriodeDatumTijdTotEnMet],"&gt;"&amp;($A686+0/24))</f>
        <v/>
      </c>
      <c r="E686" s="20">
        <f>COUNTIFS(tData[SEHTrajectPeriodeDatumTijdVan],"&lt;="&amp;($A686+1/24),tData[SEHTrajectPeriodeDatumTijdTotEnMet],"&gt;"&amp;($A686+1/24))</f>
        <v/>
      </c>
      <c r="F686" s="20">
        <f>COUNTIFS(tData[SEHTrajectPeriodeDatumTijdVan],"&lt;="&amp;($A686+2/24),tData[SEHTrajectPeriodeDatumTijdTotEnMet],"&gt;"&amp;($A686+2/24))</f>
        <v/>
      </c>
      <c r="G686" s="20">
        <f>COUNTIFS(tData[SEHTrajectPeriodeDatumTijdVan],"&lt;="&amp;($A686+3/24),tData[SEHTrajectPeriodeDatumTijdTotEnMet],"&gt;"&amp;($A686+3/24))</f>
        <v/>
      </c>
      <c r="H686" s="20">
        <f>COUNTIFS(tData[SEHTrajectPeriodeDatumTijdVan],"&lt;="&amp;($A686+4/24),tData[SEHTrajectPeriodeDatumTijdTotEnMet],"&gt;"&amp;($A686+4/24))</f>
        <v/>
      </c>
      <c r="I686" s="20">
        <f>COUNTIFS(tData[SEHTrajectPeriodeDatumTijdVan],"&lt;="&amp;($A686+5/24),tData[SEHTrajectPeriodeDatumTijdTotEnMet],"&gt;"&amp;($A686+5/24))</f>
        <v/>
      </c>
      <c r="J686" s="20">
        <f>COUNTIFS(tData[SEHTrajectPeriodeDatumTijdVan],"&lt;="&amp;($A686+6/24),tData[SEHTrajectPeriodeDatumTijdTotEnMet],"&gt;"&amp;($A686+6/24))</f>
        <v/>
      </c>
      <c r="K686" s="20">
        <f>COUNTIFS(tData[SEHTrajectPeriodeDatumTijdVan],"&lt;="&amp;($A686+7/24),tData[SEHTrajectPeriodeDatumTijdTotEnMet],"&gt;"&amp;($A686+7/24))</f>
        <v/>
      </c>
      <c r="L686" s="20">
        <f>COUNTIFS(tData[SEHTrajectPeriodeDatumTijdVan],"&lt;="&amp;($A686+8/24),tData[SEHTrajectPeriodeDatumTijdTotEnMet],"&gt;"&amp;($A686+8/24))</f>
        <v/>
      </c>
      <c r="M686" s="20">
        <f>COUNTIFS(tData[SEHTrajectPeriodeDatumTijdVan],"&lt;="&amp;($A686+9/24),tData[SEHTrajectPeriodeDatumTijdTotEnMet],"&gt;"&amp;($A686+9/24))</f>
        <v/>
      </c>
      <c r="N686" s="20">
        <f>COUNTIFS(tData[SEHTrajectPeriodeDatumTijdVan],"&lt;="&amp;($A686+10/24),tData[SEHTrajectPeriodeDatumTijdTotEnMet],"&gt;"&amp;($A686+10/24))</f>
        <v/>
      </c>
      <c r="O686" s="20">
        <f>COUNTIFS(tData[SEHTrajectPeriodeDatumTijdVan],"&lt;="&amp;($A686+11/24),tData[SEHTrajectPeriodeDatumTijdTotEnMet],"&gt;"&amp;($A686+11/24))</f>
        <v/>
      </c>
      <c r="P686" s="20">
        <f>COUNTIFS(tData[SEHTrajectPeriodeDatumTijdVan],"&lt;="&amp;($A686+12/24),tData[SEHTrajectPeriodeDatumTijdTotEnMet],"&gt;"&amp;($A686+12/24))</f>
        <v/>
      </c>
      <c r="Q686" s="20">
        <f>COUNTIFS(tData[SEHTrajectPeriodeDatumTijdVan],"&lt;="&amp;($A686+13/24),tData[SEHTrajectPeriodeDatumTijdTotEnMet],"&gt;"&amp;($A686+13/24))</f>
        <v/>
      </c>
      <c r="R686" s="20">
        <f>COUNTIFS(tData[SEHTrajectPeriodeDatumTijdVan],"&lt;="&amp;($A686+14/24),tData[SEHTrajectPeriodeDatumTijdTotEnMet],"&gt;"&amp;($A686+14/24))</f>
        <v/>
      </c>
      <c r="S686" s="20">
        <f>COUNTIFS(tData[SEHTrajectPeriodeDatumTijdVan],"&lt;="&amp;($A686+15/24),tData[SEHTrajectPeriodeDatumTijdTotEnMet],"&gt;"&amp;($A686+15/24))</f>
        <v/>
      </c>
      <c r="T686" s="20">
        <f>COUNTIFS(tData[SEHTrajectPeriodeDatumTijdVan],"&lt;="&amp;($A686+16/24),tData[SEHTrajectPeriodeDatumTijdTotEnMet],"&gt;"&amp;($A686+16/24))</f>
        <v/>
      </c>
      <c r="U686" s="20">
        <f>COUNTIFS(tData[SEHTrajectPeriodeDatumTijdVan],"&lt;="&amp;($A686+17/24),tData[SEHTrajectPeriodeDatumTijdTotEnMet],"&gt;"&amp;($A686+17/24))</f>
        <v/>
      </c>
      <c r="V686" s="20">
        <f>COUNTIFS(tData[SEHTrajectPeriodeDatumTijdVan],"&lt;="&amp;($A686+18/24),tData[SEHTrajectPeriodeDatumTijdTotEnMet],"&gt;"&amp;($A686+18/24))</f>
        <v/>
      </c>
      <c r="W686" s="20">
        <f>COUNTIFS(tData[SEHTrajectPeriodeDatumTijdVan],"&lt;="&amp;($A686+19/24),tData[SEHTrajectPeriodeDatumTijdTotEnMet],"&gt;"&amp;($A686+19/24))</f>
        <v/>
      </c>
      <c r="X686" s="20">
        <f>COUNTIFS(tData[SEHTrajectPeriodeDatumTijdVan],"&lt;="&amp;($A686+20/24),tData[SEHTrajectPeriodeDatumTijdTotEnMet],"&gt;"&amp;($A686+20/24))</f>
        <v/>
      </c>
      <c r="Y686" s="20">
        <f>COUNTIFS(tData[SEHTrajectPeriodeDatumTijdVan],"&lt;="&amp;($A686+21/24),tData[SEHTrajectPeriodeDatumTijdTotEnMet],"&gt;"&amp;($A686+21/24))</f>
        <v/>
      </c>
      <c r="Z686" s="20">
        <f>COUNTIFS(tData[SEHTrajectPeriodeDatumTijdVan],"&lt;="&amp;($A686+22/24),tData[SEHTrajectPeriodeDatumTijdTotEnMet],"&gt;"&amp;($A686+22/24))</f>
        <v/>
      </c>
      <c r="AA686" s="20">
        <f>COUNTIFS(tData[SEHTrajectPeriodeDatumTijdVan],"&lt;="&amp;($A686+23/24),tData[SEHTrajectPeriodeDatumTijdTotEnMet],"&gt;"&amp;($A686+23/24))</f>
        <v/>
      </c>
    </row>
    <row r="687">
      <c r="A687" s="19" t="n">
        <v>45975</v>
      </c>
      <c r="B687" s="15">
        <f>WEEKDAY($A687,2)</f>
        <v/>
      </c>
      <c r="C687" s="15">
        <f>IF(AND($A687&gt;=INT(Instellingen!$B$5),$A687&lt;=INT(Instellingen!$B$6)),1,0)</f>
        <v/>
      </c>
      <c r="D687" s="20">
        <f>COUNTIFS(tData[SEHTrajectPeriodeDatumTijdVan],"&lt;="&amp;($A687+0/24),tData[SEHTrajectPeriodeDatumTijdTotEnMet],"&gt;"&amp;($A687+0/24))</f>
        <v/>
      </c>
      <c r="E687" s="20">
        <f>COUNTIFS(tData[SEHTrajectPeriodeDatumTijdVan],"&lt;="&amp;($A687+1/24),tData[SEHTrajectPeriodeDatumTijdTotEnMet],"&gt;"&amp;($A687+1/24))</f>
        <v/>
      </c>
      <c r="F687" s="20">
        <f>COUNTIFS(tData[SEHTrajectPeriodeDatumTijdVan],"&lt;="&amp;($A687+2/24),tData[SEHTrajectPeriodeDatumTijdTotEnMet],"&gt;"&amp;($A687+2/24))</f>
        <v/>
      </c>
      <c r="G687" s="20">
        <f>COUNTIFS(tData[SEHTrajectPeriodeDatumTijdVan],"&lt;="&amp;($A687+3/24),tData[SEHTrajectPeriodeDatumTijdTotEnMet],"&gt;"&amp;($A687+3/24))</f>
        <v/>
      </c>
      <c r="H687" s="20">
        <f>COUNTIFS(tData[SEHTrajectPeriodeDatumTijdVan],"&lt;="&amp;($A687+4/24),tData[SEHTrajectPeriodeDatumTijdTotEnMet],"&gt;"&amp;($A687+4/24))</f>
        <v/>
      </c>
      <c r="I687" s="20">
        <f>COUNTIFS(tData[SEHTrajectPeriodeDatumTijdVan],"&lt;="&amp;($A687+5/24),tData[SEHTrajectPeriodeDatumTijdTotEnMet],"&gt;"&amp;($A687+5/24))</f>
        <v/>
      </c>
      <c r="J687" s="20">
        <f>COUNTIFS(tData[SEHTrajectPeriodeDatumTijdVan],"&lt;="&amp;($A687+6/24),tData[SEHTrajectPeriodeDatumTijdTotEnMet],"&gt;"&amp;($A687+6/24))</f>
        <v/>
      </c>
      <c r="K687" s="20">
        <f>COUNTIFS(tData[SEHTrajectPeriodeDatumTijdVan],"&lt;="&amp;($A687+7/24),tData[SEHTrajectPeriodeDatumTijdTotEnMet],"&gt;"&amp;($A687+7/24))</f>
        <v/>
      </c>
      <c r="L687" s="20">
        <f>COUNTIFS(tData[SEHTrajectPeriodeDatumTijdVan],"&lt;="&amp;($A687+8/24),tData[SEHTrajectPeriodeDatumTijdTotEnMet],"&gt;"&amp;($A687+8/24))</f>
        <v/>
      </c>
      <c r="M687" s="20">
        <f>COUNTIFS(tData[SEHTrajectPeriodeDatumTijdVan],"&lt;="&amp;($A687+9/24),tData[SEHTrajectPeriodeDatumTijdTotEnMet],"&gt;"&amp;($A687+9/24))</f>
        <v/>
      </c>
      <c r="N687" s="20">
        <f>COUNTIFS(tData[SEHTrajectPeriodeDatumTijdVan],"&lt;="&amp;($A687+10/24),tData[SEHTrajectPeriodeDatumTijdTotEnMet],"&gt;"&amp;($A687+10/24))</f>
        <v/>
      </c>
      <c r="O687" s="20">
        <f>COUNTIFS(tData[SEHTrajectPeriodeDatumTijdVan],"&lt;="&amp;($A687+11/24),tData[SEHTrajectPeriodeDatumTijdTotEnMet],"&gt;"&amp;($A687+11/24))</f>
        <v/>
      </c>
      <c r="P687" s="20">
        <f>COUNTIFS(tData[SEHTrajectPeriodeDatumTijdVan],"&lt;="&amp;($A687+12/24),tData[SEHTrajectPeriodeDatumTijdTotEnMet],"&gt;"&amp;($A687+12/24))</f>
        <v/>
      </c>
      <c r="Q687" s="20">
        <f>COUNTIFS(tData[SEHTrajectPeriodeDatumTijdVan],"&lt;="&amp;($A687+13/24),tData[SEHTrajectPeriodeDatumTijdTotEnMet],"&gt;"&amp;($A687+13/24))</f>
        <v/>
      </c>
      <c r="R687" s="20">
        <f>COUNTIFS(tData[SEHTrajectPeriodeDatumTijdVan],"&lt;="&amp;($A687+14/24),tData[SEHTrajectPeriodeDatumTijdTotEnMet],"&gt;"&amp;($A687+14/24))</f>
        <v/>
      </c>
      <c r="S687" s="20">
        <f>COUNTIFS(tData[SEHTrajectPeriodeDatumTijdVan],"&lt;="&amp;($A687+15/24),tData[SEHTrajectPeriodeDatumTijdTotEnMet],"&gt;"&amp;($A687+15/24))</f>
        <v/>
      </c>
      <c r="T687" s="20">
        <f>COUNTIFS(tData[SEHTrajectPeriodeDatumTijdVan],"&lt;="&amp;($A687+16/24),tData[SEHTrajectPeriodeDatumTijdTotEnMet],"&gt;"&amp;($A687+16/24))</f>
        <v/>
      </c>
      <c r="U687" s="20">
        <f>COUNTIFS(tData[SEHTrajectPeriodeDatumTijdVan],"&lt;="&amp;($A687+17/24),tData[SEHTrajectPeriodeDatumTijdTotEnMet],"&gt;"&amp;($A687+17/24))</f>
        <v/>
      </c>
      <c r="V687" s="20">
        <f>COUNTIFS(tData[SEHTrajectPeriodeDatumTijdVan],"&lt;="&amp;($A687+18/24),tData[SEHTrajectPeriodeDatumTijdTotEnMet],"&gt;"&amp;($A687+18/24))</f>
        <v/>
      </c>
      <c r="W687" s="20">
        <f>COUNTIFS(tData[SEHTrajectPeriodeDatumTijdVan],"&lt;="&amp;($A687+19/24),tData[SEHTrajectPeriodeDatumTijdTotEnMet],"&gt;"&amp;($A687+19/24))</f>
        <v/>
      </c>
      <c r="X687" s="20">
        <f>COUNTIFS(tData[SEHTrajectPeriodeDatumTijdVan],"&lt;="&amp;($A687+20/24),tData[SEHTrajectPeriodeDatumTijdTotEnMet],"&gt;"&amp;($A687+20/24))</f>
        <v/>
      </c>
      <c r="Y687" s="20">
        <f>COUNTIFS(tData[SEHTrajectPeriodeDatumTijdVan],"&lt;="&amp;($A687+21/24),tData[SEHTrajectPeriodeDatumTijdTotEnMet],"&gt;"&amp;($A687+21/24))</f>
        <v/>
      </c>
      <c r="Z687" s="20">
        <f>COUNTIFS(tData[SEHTrajectPeriodeDatumTijdVan],"&lt;="&amp;($A687+22/24),tData[SEHTrajectPeriodeDatumTijdTotEnMet],"&gt;"&amp;($A687+22/24))</f>
        <v/>
      </c>
      <c r="AA687" s="20">
        <f>COUNTIFS(tData[SEHTrajectPeriodeDatumTijdVan],"&lt;="&amp;($A687+23/24),tData[SEHTrajectPeriodeDatumTijdTotEnMet],"&gt;"&amp;($A687+23/24))</f>
        <v/>
      </c>
    </row>
    <row r="688">
      <c r="A688" s="19" t="n">
        <v>45976</v>
      </c>
      <c r="B688" s="15">
        <f>WEEKDAY($A688,2)</f>
        <v/>
      </c>
      <c r="C688" s="15">
        <f>IF(AND($A688&gt;=INT(Instellingen!$B$5),$A688&lt;=INT(Instellingen!$B$6)),1,0)</f>
        <v/>
      </c>
      <c r="D688" s="20">
        <f>COUNTIFS(tData[SEHTrajectPeriodeDatumTijdVan],"&lt;="&amp;($A688+0/24),tData[SEHTrajectPeriodeDatumTijdTotEnMet],"&gt;"&amp;($A688+0/24))</f>
        <v/>
      </c>
      <c r="E688" s="20">
        <f>COUNTIFS(tData[SEHTrajectPeriodeDatumTijdVan],"&lt;="&amp;($A688+1/24),tData[SEHTrajectPeriodeDatumTijdTotEnMet],"&gt;"&amp;($A688+1/24))</f>
        <v/>
      </c>
      <c r="F688" s="20">
        <f>COUNTIFS(tData[SEHTrajectPeriodeDatumTijdVan],"&lt;="&amp;($A688+2/24),tData[SEHTrajectPeriodeDatumTijdTotEnMet],"&gt;"&amp;($A688+2/24))</f>
        <v/>
      </c>
      <c r="G688" s="20">
        <f>COUNTIFS(tData[SEHTrajectPeriodeDatumTijdVan],"&lt;="&amp;($A688+3/24),tData[SEHTrajectPeriodeDatumTijdTotEnMet],"&gt;"&amp;($A688+3/24))</f>
        <v/>
      </c>
      <c r="H688" s="20">
        <f>COUNTIFS(tData[SEHTrajectPeriodeDatumTijdVan],"&lt;="&amp;($A688+4/24),tData[SEHTrajectPeriodeDatumTijdTotEnMet],"&gt;"&amp;($A688+4/24))</f>
        <v/>
      </c>
      <c r="I688" s="20">
        <f>COUNTIFS(tData[SEHTrajectPeriodeDatumTijdVan],"&lt;="&amp;($A688+5/24),tData[SEHTrajectPeriodeDatumTijdTotEnMet],"&gt;"&amp;($A688+5/24))</f>
        <v/>
      </c>
      <c r="J688" s="20">
        <f>COUNTIFS(tData[SEHTrajectPeriodeDatumTijdVan],"&lt;="&amp;($A688+6/24),tData[SEHTrajectPeriodeDatumTijdTotEnMet],"&gt;"&amp;($A688+6/24))</f>
        <v/>
      </c>
      <c r="K688" s="20">
        <f>COUNTIFS(tData[SEHTrajectPeriodeDatumTijdVan],"&lt;="&amp;($A688+7/24),tData[SEHTrajectPeriodeDatumTijdTotEnMet],"&gt;"&amp;($A688+7/24))</f>
        <v/>
      </c>
      <c r="L688" s="20">
        <f>COUNTIFS(tData[SEHTrajectPeriodeDatumTijdVan],"&lt;="&amp;($A688+8/24),tData[SEHTrajectPeriodeDatumTijdTotEnMet],"&gt;"&amp;($A688+8/24))</f>
        <v/>
      </c>
      <c r="M688" s="20">
        <f>COUNTIFS(tData[SEHTrajectPeriodeDatumTijdVan],"&lt;="&amp;($A688+9/24),tData[SEHTrajectPeriodeDatumTijdTotEnMet],"&gt;"&amp;($A688+9/24))</f>
        <v/>
      </c>
      <c r="N688" s="20">
        <f>COUNTIFS(tData[SEHTrajectPeriodeDatumTijdVan],"&lt;="&amp;($A688+10/24),tData[SEHTrajectPeriodeDatumTijdTotEnMet],"&gt;"&amp;($A688+10/24))</f>
        <v/>
      </c>
      <c r="O688" s="20">
        <f>COUNTIFS(tData[SEHTrajectPeriodeDatumTijdVan],"&lt;="&amp;($A688+11/24),tData[SEHTrajectPeriodeDatumTijdTotEnMet],"&gt;"&amp;($A688+11/24))</f>
        <v/>
      </c>
      <c r="P688" s="20">
        <f>COUNTIFS(tData[SEHTrajectPeriodeDatumTijdVan],"&lt;="&amp;($A688+12/24),tData[SEHTrajectPeriodeDatumTijdTotEnMet],"&gt;"&amp;($A688+12/24))</f>
        <v/>
      </c>
      <c r="Q688" s="20">
        <f>COUNTIFS(tData[SEHTrajectPeriodeDatumTijdVan],"&lt;="&amp;($A688+13/24),tData[SEHTrajectPeriodeDatumTijdTotEnMet],"&gt;"&amp;($A688+13/24))</f>
        <v/>
      </c>
      <c r="R688" s="20">
        <f>COUNTIFS(tData[SEHTrajectPeriodeDatumTijdVan],"&lt;="&amp;($A688+14/24),tData[SEHTrajectPeriodeDatumTijdTotEnMet],"&gt;"&amp;($A688+14/24))</f>
        <v/>
      </c>
      <c r="S688" s="20">
        <f>COUNTIFS(tData[SEHTrajectPeriodeDatumTijdVan],"&lt;="&amp;($A688+15/24),tData[SEHTrajectPeriodeDatumTijdTotEnMet],"&gt;"&amp;($A688+15/24))</f>
        <v/>
      </c>
      <c r="T688" s="20">
        <f>COUNTIFS(tData[SEHTrajectPeriodeDatumTijdVan],"&lt;="&amp;($A688+16/24),tData[SEHTrajectPeriodeDatumTijdTotEnMet],"&gt;"&amp;($A688+16/24))</f>
        <v/>
      </c>
      <c r="U688" s="20">
        <f>COUNTIFS(tData[SEHTrajectPeriodeDatumTijdVan],"&lt;="&amp;($A688+17/24),tData[SEHTrajectPeriodeDatumTijdTotEnMet],"&gt;"&amp;($A688+17/24))</f>
        <v/>
      </c>
      <c r="V688" s="20">
        <f>COUNTIFS(tData[SEHTrajectPeriodeDatumTijdVan],"&lt;="&amp;($A688+18/24),tData[SEHTrajectPeriodeDatumTijdTotEnMet],"&gt;"&amp;($A688+18/24))</f>
        <v/>
      </c>
      <c r="W688" s="20">
        <f>COUNTIFS(tData[SEHTrajectPeriodeDatumTijdVan],"&lt;="&amp;($A688+19/24),tData[SEHTrajectPeriodeDatumTijdTotEnMet],"&gt;"&amp;($A688+19/24))</f>
        <v/>
      </c>
      <c r="X688" s="20">
        <f>COUNTIFS(tData[SEHTrajectPeriodeDatumTijdVan],"&lt;="&amp;($A688+20/24),tData[SEHTrajectPeriodeDatumTijdTotEnMet],"&gt;"&amp;($A688+20/24))</f>
        <v/>
      </c>
      <c r="Y688" s="20">
        <f>COUNTIFS(tData[SEHTrajectPeriodeDatumTijdVan],"&lt;="&amp;($A688+21/24),tData[SEHTrajectPeriodeDatumTijdTotEnMet],"&gt;"&amp;($A688+21/24))</f>
        <v/>
      </c>
      <c r="Z688" s="20">
        <f>COUNTIFS(tData[SEHTrajectPeriodeDatumTijdVan],"&lt;="&amp;($A688+22/24),tData[SEHTrajectPeriodeDatumTijdTotEnMet],"&gt;"&amp;($A688+22/24))</f>
        <v/>
      </c>
      <c r="AA688" s="20">
        <f>COUNTIFS(tData[SEHTrajectPeriodeDatumTijdVan],"&lt;="&amp;($A688+23/24),tData[SEHTrajectPeriodeDatumTijdTotEnMet],"&gt;"&amp;($A688+23/24))</f>
        <v/>
      </c>
    </row>
    <row r="689">
      <c r="A689" s="19" t="n">
        <v>45977</v>
      </c>
      <c r="B689" s="15">
        <f>WEEKDAY($A689,2)</f>
        <v/>
      </c>
      <c r="C689" s="15">
        <f>IF(AND($A689&gt;=INT(Instellingen!$B$5),$A689&lt;=INT(Instellingen!$B$6)),1,0)</f>
        <v/>
      </c>
      <c r="D689" s="20">
        <f>COUNTIFS(tData[SEHTrajectPeriodeDatumTijdVan],"&lt;="&amp;($A689+0/24),tData[SEHTrajectPeriodeDatumTijdTotEnMet],"&gt;"&amp;($A689+0/24))</f>
        <v/>
      </c>
      <c r="E689" s="20">
        <f>COUNTIFS(tData[SEHTrajectPeriodeDatumTijdVan],"&lt;="&amp;($A689+1/24),tData[SEHTrajectPeriodeDatumTijdTotEnMet],"&gt;"&amp;($A689+1/24))</f>
        <v/>
      </c>
      <c r="F689" s="20">
        <f>COUNTIFS(tData[SEHTrajectPeriodeDatumTijdVan],"&lt;="&amp;($A689+2/24),tData[SEHTrajectPeriodeDatumTijdTotEnMet],"&gt;"&amp;($A689+2/24))</f>
        <v/>
      </c>
      <c r="G689" s="20">
        <f>COUNTIFS(tData[SEHTrajectPeriodeDatumTijdVan],"&lt;="&amp;($A689+3/24),tData[SEHTrajectPeriodeDatumTijdTotEnMet],"&gt;"&amp;($A689+3/24))</f>
        <v/>
      </c>
      <c r="H689" s="20">
        <f>COUNTIFS(tData[SEHTrajectPeriodeDatumTijdVan],"&lt;="&amp;($A689+4/24),tData[SEHTrajectPeriodeDatumTijdTotEnMet],"&gt;"&amp;($A689+4/24))</f>
        <v/>
      </c>
      <c r="I689" s="20">
        <f>COUNTIFS(tData[SEHTrajectPeriodeDatumTijdVan],"&lt;="&amp;($A689+5/24),tData[SEHTrajectPeriodeDatumTijdTotEnMet],"&gt;"&amp;($A689+5/24))</f>
        <v/>
      </c>
      <c r="J689" s="20">
        <f>COUNTIFS(tData[SEHTrajectPeriodeDatumTijdVan],"&lt;="&amp;($A689+6/24),tData[SEHTrajectPeriodeDatumTijdTotEnMet],"&gt;"&amp;($A689+6/24))</f>
        <v/>
      </c>
      <c r="K689" s="20">
        <f>COUNTIFS(tData[SEHTrajectPeriodeDatumTijdVan],"&lt;="&amp;($A689+7/24),tData[SEHTrajectPeriodeDatumTijdTotEnMet],"&gt;"&amp;($A689+7/24))</f>
        <v/>
      </c>
      <c r="L689" s="20">
        <f>COUNTIFS(tData[SEHTrajectPeriodeDatumTijdVan],"&lt;="&amp;($A689+8/24),tData[SEHTrajectPeriodeDatumTijdTotEnMet],"&gt;"&amp;($A689+8/24))</f>
        <v/>
      </c>
      <c r="M689" s="20">
        <f>COUNTIFS(tData[SEHTrajectPeriodeDatumTijdVan],"&lt;="&amp;($A689+9/24),tData[SEHTrajectPeriodeDatumTijdTotEnMet],"&gt;"&amp;($A689+9/24))</f>
        <v/>
      </c>
      <c r="N689" s="20">
        <f>COUNTIFS(tData[SEHTrajectPeriodeDatumTijdVan],"&lt;="&amp;($A689+10/24),tData[SEHTrajectPeriodeDatumTijdTotEnMet],"&gt;"&amp;($A689+10/24))</f>
        <v/>
      </c>
      <c r="O689" s="20">
        <f>COUNTIFS(tData[SEHTrajectPeriodeDatumTijdVan],"&lt;="&amp;($A689+11/24),tData[SEHTrajectPeriodeDatumTijdTotEnMet],"&gt;"&amp;($A689+11/24))</f>
        <v/>
      </c>
      <c r="P689" s="20">
        <f>COUNTIFS(tData[SEHTrajectPeriodeDatumTijdVan],"&lt;="&amp;($A689+12/24),tData[SEHTrajectPeriodeDatumTijdTotEnMet],"&gt;"&amp;($A689+12/24))</f>
        <v/>
      </c>
      <c r="Q689" s="20">
        <f>COUNTIFS(tData[SEHTrajectPeriodeDatumTijdVan],"&lt;="&amp;($A689+13/24),tData[SEHTrajectPeriodeDatumTijdTotEnMet],"&gt;"&amp;($A689+13/24))</f>
        <v/>
      </c>
      <c r="R689" s="20">
        <f>COUNTIFS(tData[SEHTrajectPeriodeDatumTijdVan],"&lt;="&amp;($A689+14/24),tData[SEHTrajectPeriodeDatumTijdTotEnMet],"&gt;"&amp;($A689+14/24))</f>
        <v/>
      </c>
      <c r="S689" s="20">
        <f>COUNTIFS(tData[SEHTrajectPeriodeDatumTijdVan],"&lt;="&amp;($A689+15/24),tData[SEHTrajectPeriodeDatumTijdTotEnMet],"&gt;"&amp;($A689+15/24))</f>
        <v/>
      </c>
      <c r="T689" s="20">
        <f>COUNTIFS(tData[SEHTrajectPeriodeDatumTijdVan],"&lt;="&amp;($A689+16/24),tData[SEHTrajectPeriodeDatumTijdTotEnMet],"&gt;"&amp;($A689+16/24))</f>
        <v/>
      </c>
      <c r="U689" s="20">
        <f>COUNTIFS(tData[SEHTrajectPeriodeDatumTijdVan],"&lt;="&amp;($A689+17/24),tData[SEHTrajectPeriodeDatumTijdTotEnMet],"&gt;"&amp;($A689+17/24))</f>
        <v/>
      </c>
      <c r="V689" s="20">
        <f>COUNTIFS(tData[SEHTrajectPeriodeDatumTijdVan],"&lt;="&amp;($A689+18/24),tData[SEHTrajectPeriodeDatumTijdTotEnMet],"&gt;"&amp;($A689+18/24))</f>
        <v/>
      </c>
      <c r="W689" s="20">
        <f>COUNTIFS(tData[SEHTrajectPeriodeDatumTijdVan],"&lt;="&amp;($A689+19/24),tData[SEHTrajectPeriodeDatumTijdTotEnMet],"&gt;"&amp;($A689+19/24))</f>
        <v/>
      </c>
      <c r="X689" s="20">
        <f>COUNTIFS(tData[SEHTrajectPeriodeDatumTijdVan],"&lt;="&amp;($A689+20/24),tData[SEHTrajectPeriodeDatumTijdTotEnMet],"&gt;"&amp;($A689+20/24))</f>
        <v/>
      </c>
      <c r="Y689" s="20">
        <f>COUNTIFS(tData[SEHTrajectPeriodeDatumTijdVan],"&lt;="&amp;($A689+21/24),tData[SEHTrajectPeriodeDatumTijdTotEnMet],"&gt;"&amp;($A689+21/24))</f>
        <v/>
      </c>
      <c r="Z689" s="20">
        <f>COUNTIFS(tData[SEHTrajectPeriodeDatumTijdVan],"&lt;="&amp;($A689+22/24),tData[SEHTrajectPeriodeDatumTijdTotEnMet],"&gt;"&amp;($A689+22/24))</f>
        <v/>
      </c>
      <c r="AA689" s="20">
        <f>COUNTIFS(tData[SEHTrajectPeriodeDatumTijdVan],"&lt;="&amp;($A689+23/24),tData[SEHTrajectPeriodeDatumTijdTotEnMet],"&gt;"&amp;($A689+23/24))</f>
        <v/>
      </c>
    </row>
    <row r="690">
      <c r="A690" s="19" t="n">
        <v>45978</v>
      </c>
      <c r="B690" s="15">
        <f>WEEKDAY($A690,2)</f>
        <v/>
      </c>
      <c r="C690" s="15">
        <f>IF(AND($A690&gt;=INT(Instellingen!$B$5),$A690&lt;=INT(Instellingen!$B$6)),1,0)</f>
        <v/>
      </c>
      <c r="D690" s="20">
        <f>COUNTIFS(tData[SEHTrajectPeriodeDatumTijdVan],"&lt;="&amp;($A690+0/24),tData[SEHTrajectPeriodeDatumTijdTotEnMet],"&gt;"&amp;($A690+0/24))</f>
        <v/>
      </c>
      <c r="E690" s="20">
        <f>COUNTIFS(tData[SEHTrajectPeriodeDatumTijdVan],"&lt;="&amp;($A690+1/24),tData[SEHTrajectPeriodeDatumTijdTotEnMet],"&gt;"&amp;($A690+1/24))</f>
        <v/>
      </c>
      <c r="F690" s="20">
        <f>COUNTIFS(tData[SEHTrajectPeriodeDatumTijdVan],"&lt;="&amp;($A690+2/24),tData[SEHTrajectPeriodeDatumTijdTotEnMet],"&gt;"&amp;($A690+2/24))</f>
        <v/>
      </c>
      <c r="G690" s="20">
        <f>COUNTIFS(tData[SEHTrajectPeriodeDatumTijdVan],"&lt;="&amp;($A690+3/24),tData[SEHTrajectPeriodeDatumTijdTotEnMet],"&gt;"&amp;($A690+3/24))</f>
        <v/>
      </c>
      <c r="H690" s="20">
        <f>COUNTIFS(tData[SEHTrajectPeriodeDatumTijdVan],"&lt;="&amp;($A690+4/24),tData[SEHTrajectPeriodeDatumTijdTotEnMet],"&gt;"&amp;($A690+4/24))</f>
        <v/>
      </c>
      <c r="I690" s="20">
        <f>COUNTIFS(tData[SEHTrajectPeriodeDatumTijdVan],"&lt;="&amp;($A690+5/24),tData[SEHTrajectPeriodeDatumTijdTotEnMet],"&gt;"&amp;($A690+5/24))</f>
        <v/>
      </c>
      <c r="J690" s="20">
        <f>COUNTIFS(tData[SEHTrajectPeriodeDatumTijdVan],"&lt;="&amp;($A690+6/24),tData[SEHTrajectPeriodeDatumTijdTotEnMet],"&gt;"&amp;($A690+6/24))</f>
        <v/>
      </c>
      <c r="K690" s="20">
        <f>COUNTIFS(tData[SEHTrajectPeriodeDatumTijdVan],"&lt;="&amp;($A690+7/24),tData[SEHTrajectPeriodeDatumTijdTotEnMet],"&gt;"&amp;($A690+7/24))</f>
        <v/>
      </c>
      <c r="L690" s="20">
        <f>COUNTIFS(tData[SEHTrajectPeriodeDatumTijdVan],"&lt;="&amp;($A690+8/24),tData[SEHTrajectPeriodeDatumTijdTotEnMet],"&gt;"&amp;($A690+8/24))</f>
        <v/>
      </c>
      <c r="M690" s="20">
        <f>COUNTIFS(tData[SEHTrajectPeriodeDatumTijdVan],"&lt;="&amp;($A690+9/24),tData[SEHTrajectPeriodeDatumTijdTotEnMet],"&gt;"&amp;($A690+9/24))</f>
        <v/>
      </c>
      <c r="N690" s="20">
        <f>COUNTIFS(tData[SEHTrajectPeriodeDatumTijdVan],"&lt;="&amp;($A690+10/24),tData[SEHTrajectPeriodeDatumTijdTotEnMet],"&gt;"&amp;($A690+10/24))</f>
        <v/>
      </c>
      <c r="O690" s="20">
        <f>COUNTIFS(tData[SEHTrajectPeriodeDatumTijdVan],"&lt;="&amp;($A690+11/24),tData[SEHTrajectPeriodeDatumTijdTotEnMet],"&gt;"&amp;($A690+11/24))</f>
        <v/>
      </c>
      <c r="P690" s="20">
        <f>COUNTIFS(tData[SEHTrajectPeriodeDatumTijdVan],"&lt;="&amp;($A690+12/24),tData[SEHTrajectPeriodeDatumTijdTotEnMet],"&gt;"&amp;($A690+12/24))</f>
        <v/>
      </c>
      <c r="Q690" s="20">
        <f>COUNTIFS(tData[SEHTrajectPeriodeDatumTijdVan],"&lt;="&amp;($A690+13/24),tData[SEHTrajectPeriodeDatumTijdTotEnMet],"&gt;"&amp;($A690+13/24))</f>
        <v/>
      </c>
      <c r="R690" s="20">
        <f>COUNTIFS(tData[SEHTrajectPeriodeDatumTijdVan],"&lt;="&amp;($A690+14/24),tData[SEHTrajectPeriodeDatumTijdTotEnMet],"&gt;"&amp;($A690+14/24))</f>
        <v/>
      </c>
      <c r="S690" s="20">
        <f>COUNTIFS(tData[SEHTrajectPeriodeDatumTijdVan],"&lt;="&amp;($A690+15/24),tData[SEHTrajectPeriodeDatumTijdTotEnMet],"&gt;"&amp;($A690+15/24))</f>
        <v/>
      </c>
      <c r="T690" s="20">
        <f>COUNTIFS(tData[SEHTrajectPeriodeDatumTijdVan],"&lt;="&amp;($A690+16/24),tData[SEHTrajectPeriodeDatumTijdTotEnMet],"&gt;"&amp;($A690+16/24))</f>
        <v/>
      </c>
      <c r="U690" s="20">
        <f>COUNTIFS(tData[SEHTrajectPeriodeDatumTijdVan],"&lt;="&amp;($A690+17/24),tData[SEHTrajectPeriodeDatumTijdTotEnMet],"&gt;"&amp;($A690+17/24))</f>
        <v/>
      </c>
      <c r="V690" s="20">
        <f>COUNTIFS(tData[SEHTrajectPeriodeDatumTijdVan],"&lt;="&amp;($A690+18/24),tData[SEHTrajectPeriodeDatumTijdTotEnMet],"&gt;"&amp;($A690+18/24))</f>
        <v/>
      </c>
      <c r="W690" s="20">
        <f>COUNTIFS(tData[SEHTrajectPeriodeDatumTijdVan],"&lt;="&amp;($A690+19/24),tData[SEHTrajectPeriodeDatumTijdTotEnMet],"&gt;"&amp;($A690+19/24))</f>
        <v/>
      </c>
      <c r="X690" s="20">
        <f>COUNTIFS(tData[SEHTrajectPeriodeDatumTijdVan],"&lt;="&amp;($A690+20/24),tData[SEHTrajectPeriodeDatumTijdTotEnMet],"&gt;"&amp;($A690+20/24))</f>
        <v/>
      </c>
      <c r="Y690" s="20">
        <f>COUNTIFS(tData[SEHTrajectPeriodeDatumTijdVan],"&lt;="&amp;($A690+21/24),tData[SEHTrajectPeriodeDatumTijdTotEnMet],"&gt;"&amp;($A690+21/24))</f>
        <v/>
      </c>
      <c r="Z690" s="20">
        <f>COUNTIFS(tData[SEHTrajectPeriodeDatumTijdVan],"&lt;="&amp;($A690+22/24),tData[SEHTrajectPeriodeDatumTijdTotEnMet],"&gt;"&amp;($A690+22/24))</f>
        <v/>
      </c>
      <c r="AA690" s="20">
        <f>COUNTIFS(tData[SEHTrajectPeriodeDatumTijdVan],"&lt;="&amp;($A690+23/24),tData[SEHTrajectPeriodeDatumTijdTotEnMet],"&gt;"&amp;($A690+23/24))</f>
        <v/>
      </c>
    </row>
    <row r="691">
      <c r="A691" s="19" t="n">
        <v>45979</v>
      </c>
      <c r="B691" s="15">
        <f>WEEKDAY($A691,2)</f>
        <v/>
      </c>
      <c r="C691" s="15">
        <f>IF(AND($A691&gt;=INT(Instellingen!$B$5),$A691&lt;=INT(Instellingen!$B$6)),1,0)</f>
        <v/>
      </c>
      <c r="D691" s="20">
        <f>COUNTIFS(tData[SEHTrajectPeriodeDatumTijdVan],"&lt;="&amp;($A691+0/24),tData[SEHTrajectPeriodeDatumTijdTotEnMet],"&gt;"&amp;($A691+0/24))</f>
        <v/>
      </c>
      <c r="E691" s="20">
        <f>COUNTIFS(tData[SEHTrajectPeriodeDatumTijdVan],"&lt;="&amp;($A691+1/24),tData[SEHTrajectPeriodeDatumTijdTotEnMet],"&gt;"&amp;($A691+1/24))</f>
        <v/>
      </c>
      <c r="F691" s="20">
        <f>COUNTIFS(tData[SEHTrajectPeriodeDatumTijdVan],"&lt;="&amp;($A691+2/24),tData[SEHTrajectPeriodeDatumTijdTotEnMet],"&gt;"&amp;($A691+2/24))</f>
        <v/>
      </c>
      <c r="G691" s="20">
        <f>COUNTIFS(tData[SEHTrajectPeriodeDatumTijdVan],"&lt;="&amp;($A691+3/24),tData[SEHTrajectPeriodeDatumTijdTotEnMet],"&gt;"&amp;($A691+3/24))</f>
        <v/>
      </c>
      <c r="H691" s="20">
        <f>COUNTIFS(tData[SEHTrajectPeriodeDatumTijdVan],"&lt;="&amp;($A691+4/24),tData[SEHTrajectPeriodeDatumTijdTotEnMet],"&gt;"&amp;($A691+4/24))</f>
        <v/>
      </c>
      <c r="I691" s="20">
        <f>COUNTIFS(tData[SEHTrajectPeriodeDatumTijdVan],"&lt;="&amp;($A691+5/24),tData[SEHTrajectPeriodeDatumTijdTotEnMet],"&gt;"&amp;($A691+5/24))</f>
        <v/>
      </c>
      <c r="J691" s="20">
        <f>COUNTIFS(tData[SEHTrajectPeriodeDatumTijdVan],"&lt;="&amp;($A691+6/24),tData[SEHTrajectPeriodeDatumTijdTotEnMet],"&gt;"&amp;($A691+6/24))</f>
        <v/>
      </c>
      <c r="K691" s="20">
        <f>COUNTIFS(tData[SEHTrajectPeriodeDatumTijdVan],"&lt;="&amp;($A691+7/24),tData[SEHTrajectPeriodeDatumTijdTotEnMet],"&gt;"&amp;($A691+7/24))</f>
        <v/>
      </c>
      <c r="L691" s="20">
        <f>COUNTIFS(tData[SEHTrajectPeriodeDatumTijdVan],"&lt;="&amp;($A691+8/24),tData[SEHTrajectPeriodeDatumTijdTotEnMet],"&gt;"&amp;($A691+8/24))</f>
        <v/>
      </c>
      <c r="M691" s="20">
        <f>COUNTIFS(tData[SEHTrajectPeriodeDatumTijdVan],"&lt;="&amp;($A691+9/24),tData[SEHTrajectPeriodeDatumTijdTotEnMet],"&gt;"&amp;($A691+9/24))</f>
        <v/>
      </c>
      <c r="N691" s="20">
        <f>COUNTIFS(tData[SEHTrajectPeriodeDatumTijdVan],"&lt;="&amp;($A691+10/24),tData[SEHTrajectPeriodeDatumTijdTotEnMet],"&gt;"&amp;($A691+10/24))</f>
        <v/>
      </c>
      <c r="O691" s="20">
        <f>COUNTIFS(tData[SEHTrajectPeriodeDatumTijdVan],"&lt;="&amp;($A691+11/24),tData[SEHTrajectPeriodeDatumTijdTotEnMet],"&gt;"&amp;($A691+11/24))</f>
        <v/>
      </c>
      <c r="P691" s="20">
        <f>COUNTIFS(tData[SEHTrajectPeriodeDatumTijdVan],"&lt;="&amp;($A691+12/24),tData[SEHTrajectPeriodeDatumTijdTotEnMet],"&gt;"&amp;($A691+12/24))</f>
        <v/>
      </c>
      <c r="Q691" s="20">
        <f>COUNTIFS(tData[SEHTrajectPeriodeDatumTijdVan],"&lt;="&amp;($A691+13/24),tData[SEHTrajectPeriodeDatumTijdTotEnMet],"&gt;"&amp;($A691+13/24))</f>
        <v/>
      </c>
      <c r="R691" s="20">
        <f>COUNTIFS(tData[SEHTrajectPeriodeDatumTijdVan],"&lt;="&amp;($A691+14/24),tData[SEHTrajectPeriodeDatumTijdTotEnMet],"&gt;"&amp;($A691+14/24))</f>
        <v/>
      </c>
      <c r="S691" s="20">
        <f>COUNTIFS(tData[SEHTrajectPeriodeDatumTijdVan],"&lt;="&amp;($A691+15/24),tData[SEHTrajectPeriodeDatumTijdTotEnMet],"&gt;"&amp;($A691+15/24))</f>
        <v/>
      </c>
      <c r="T691" s="20">
        <f>COUNTIFS(tData[SEHTrajectPeriodeDatumTijdVan],"&lt;="&amp;($A691+16/24),tData[SEHTrajectPeriodeDatumTijdTotEnMet],"&gt;"&amp;($A691+16/24))</f>
        <v/>
      </c>
      <c r="U691" s="20">
        <f>COUNTIFS(tData[SEHTrajectPeriodeDatumTijdVan],"&lt;="&amp;($A691+17/24),tData[SEHTrajectPeriodeDatumTijdTotEnMet],"&gt;"&amp;($A691+17/24))</f>
        <v/>
      </c>
      <c r="V691" s="20">
        <f>COUNTIFS(tData[SEHTrajectPeriodeDatumTijdVan],"&lt;="&amp;($A691+18/24),tData[SEHTrajectPeriodeDatumTijdTotEnMet],"&gt;"&amp;($A691+18/24))</f>
        <v/>
      </c>
      <c r="W691" s="20">
        <f>COUNTIFS(tData[SEHTrajectPeriodeDatumTijdVan],"&lt;="&amp;($A691+19/24),tData[SEHTrajectPeriodeDatumTijdTotEnMet],"&gt;"&amp;($A691+19/24))</f>
        <v/>
      </c>
      <c r="X691" s="20">
        <f>COUNTIFS(tData[SEHTrajectPeriodeDatumTijdVan],"&lt;="&amp;($A691+20/24),tData[SEHTrajectPeriodeDatumTijdTotEnMet],"&gt;"&amp;($A691+20/24))</f>
        <v/>
      </c>
      <c r="Y691" s="20">
        <f>COUNTIFS(tData[SEHTrajectPeriodeDatumTijdVan],"&lt;="&amp;($A691+21/24),tData[SEHTrajectPeriodeDatumTijdTotEnMet],"&gt;"&amp;($A691+21/24))</f>
        <v/>
      </c>
      <c r="Z691" s="20">
        <f>COUNTIFS(tData[SEHTrajectPeriodeDatumTijdVan],"&lt;="&amp;($A691+22/24),tData[SEHTrajectPeriodeDatumTijdTotEnMet],"&gt;"&amp;($A691+22/24))</f>
        <v/>
      </c>
      <c r="AA691" s="20">
        <f>COUNTIFS(tData[SEHTrajectPeriodeDatumTijdVan],"&lt;="&amp;($A691+23/24),tData[SEHTrajectPeriodeDatumTijdTotEnMet],"&gt;"&amp;($A691+23/24))</f>
        <v/>
      </c>
    </row>
    <row r="692">
      <c r="A692" s="19" t="n">
        <v>45980</v>
      </c>
      <c r="B692" s="15">
        <f>WEEKDAY($A692,2)</f>
        <v/>
      </c>
      <c r="C692" s="15">
        <f>IF(AND($A692&gt;=INT(Instellingen!$B$5),$A692&lt;=INT(Instellingen!$B$6)),1,0)</f>
        <v/>
      </c>
      <c r="D692" s="20">
        <f>COUNTIFS(tData[SEHTrajectPeriodeDatumTijdVan],"&lt;="&amp;($A692+0/24),tData[SEHTrajectPeriodeDatumTijdTotEnMet],"&gt;"&amp;($A692+0/24))</f>
        <v/>
      </c>
      <c r="E692" s="20">
        <f>COUNTIFS(tData[SEHTrajectPeriodeDatumTijdVan],"&lt;="&amp;($A692+1/24),tData[SEHTrajectPeriodeDatumTijdTotEnMet],"&gt;"&amp;($A692+1/24))</f>
        <v/>
      </c>
      <c r="F692" s="20">
        <f>COUNTIFS(tData[SEHTrajectPeriodeDatumTijdVan],"&lt;="&amp;($A692+2/24),tData[SEHTrajectPeriodeDatumTijdTotEnMet],"&gt;"&amp;($A692+2/24))</f>
        <v/>
      </c>
      <c r="G692" s="20">
        <f>COUNTIFS(tData[SEHTrajectPeriodeDatumTijdVan],"&lt;="&amp;($A692+3/24),tData[SEHTrajectPeriodeDatumTijdTotEnMet],"&gt;"&amp;($A692+3/24))</f>
        <v/>
      </c>
      <c r="H692" s="20">
        <f>COUNTIFS(tData[SEHTrajectPeriodeDatumTijdVan],"&lt;="&amp;($A692+4/24),tData[SEHTrajectPeriodeDatumTijdTotEnMet],"&gt;"&amp;($A692+4/24))</f>
        <v/>
      </c>
      <c r="I692" s="20">
        <f>COUNTIFS(tData[SEHTrajectPeriodeDatumTijdVan],"&lt;="&amp;($A692+5/24),tData[SEHTrajectPeriodeDatumTijdTotEnMet],"&gt;"&amp;($A692+5/24))</f>
        <v/>
      </c>
      <c r="J692" s="20">
        <f>COUNTIFS(tData[SEHTrajectPeriodeDatumTijdVan],"&lt;="&amp;($A692+6/24),tData[SEHTrajectPeriodeDatumTijdTotEnMet],"&gt;"&amp;($A692+6/24))</f>
        <v/>
      </c>
      <c r="K692" s="20">
        <f>COUNTIFS(tData[SEHTrajectPeriodeDatumTijdVan],"&lt;="&amp;($A692+7/24),tData[SEHTrajectPeriodeDatumTijdTotEnMet],"&gt;"&amp;($A692+7/24))</f>
        <v/>
      </c>
      <c r="L692" s="20">
        <f>COUNTIFS(tData[SEHTrajectPeriodeDatumTijdVan],"&lt;="&amp;($A692+8/24),tData[SEHTrajectPeriodeDatumTijdTotEnMet],"&gt;"&amp;($A692+8/24))</f>
        <v/>
      </c>
      <c r="M692" s="20">
        <f>COUNTIFS(tData[SEHTrajectPeriodeDatumTijdVan],"&lt;="&amp;($A692+9/24),tData[SEHTrajectPeriodeDatumTijdTotEnMet],"&gt;"&amp;($A692+9/24))</f>
        <v/>
      </c>
      <c r="N692" s="20">
        <f>COUNTIFS(tData[SEHTrajectPeriodeDatumTijdVan],"&lt;="&amp;($A692+10/24),tData[SEHTrajectPeriodeDatumTijdTotEnMet],"&gt;"&amp;($A692+10/24))</f>
        <v/>
      </c>
      <c r="O692" s="20">
        <f>COUNTIFS(tData[SEHTrajectPeriodeDatumTijdVan],"&lt;="&amp;($A692+11/24),tData[SEHTrajectPeriodeDatumTijdTotEnMet],"&gt;"&amp;($A692+11/24))</f>
        <v/>
      </c>
      <c r="P692" s="20">
        <f>COUNTIFS(tData[SEHTrajectPeriodeDatumTijdVan],"&lt;="&amp;($A692+12/24),tData[SEHTrajectPeriodeDatumTijdTotEnMet],"&gt;"&amp;($A692+12/24))</f>
        <v/>
      </c>
      <c r="Q692" s="20">
        <f>COUNTIFS(tData[SEHTrajectPeriodeDatumTijdVan],"&lt;="&amp;($A692+13/24),tData[SEHTrajectPeriodeDatumTijdTotEnMet],"&gt;"&amp;($A692+13/24))</f>
        <v/>
      </c>
      <c r="R692" s="20">
        <f>COUNTIFS(tData[SEHTrajectPeriodeDatumTijdVan],"&lt;="&amp;($A692+14/24),tData[SEHTrajectPeriodeDatumTijdTotEnMet],"&gt;"&amp;($A692+14/24))</f>
        <v/>
      </c>
      <c r="S692" s="20">
        <f>COUNTIFS(tData[SEHTrajectPeriodeDatumTijdVan],"&lt;="&amp;($A692+15/24),tData[SEHTrajectPeriodeDatumTijdTotEnMet],"&gt;"&amp;($A692+15/24))</f>
        <v/>
      </c>
      <c r="T692" s="20">
        <f>COUNTIFS(tData[SEHTrajectPeriodeDatumTijdVan],"&lt;="&amp;($A692+16/24),tData[SEHTrajectPeriodeDatumTijdTotEnMet],"&gt;"&amp;($A692+16/24))</f>
        <v/>
      </c>
      <c r="U692" s="20">
        <f>COUNTIFS(tData[SEHTrajectPeriodeDatumTijdVan],"&lt;="&amp;($A692+17/24),tData[SEHTrajectPeriodeDatumTijdTotEnMet],"&gt;"&amp;($A692+17/24))</f>
        <v/>
      </c>
      <c r="V692" s="20">
        <f>COUNTIFS(tData[SEHTrajectPeriodeDatumTijdVan],"&lt;="&amp;($A692+18/24),tData[SEHTrajectPeriodeDatumTijdTotEnMet],"&gt;"&amp;($A692+18/24))</f>
        <v/>
      </c>
      <c r="W692" s="20">
        <f>COUNTIFS(tData[SEHTrajectPeriodeDatumTijdVan],"&lt;="&amp;($A692+19/24),tData[SEHTrajectPeriodeDatumTijdTotEnMet],"&gt;"&amp;($A692+19/24))</f>
        <v/>
      </c>
      <c r="X692" s="20">
        <f>COUNTIFS(tData[SEHTrajectPeriodeDatumTijdVan],"&lt;="&amp;($A692+20/24),tData[SEHTrajectPeriodeDatumTijdTotEnMet],"&gt;"&amp;($A692+20/24))</f>
        <v/>
      </c>
      <c r="Y692" s="20">
        <f>COUNTIFS(tData[SEHTrajectPeriodeDatumTijdVan],"&lt;="&amp;($A692+21/24),tData[SEHTrajectPeriodeDatumTijdTotEnMet],"&gt;"&amp;($A692+21/24))</f>
        <v/>
      </c>
      <c r="Z692" s="20">
        <f>COUNTIFS(tData[SEHTrajectPeriodeDatumTijdVan],"&lt;="&amp;($A692+22/24),tData[SEHTrajectPeriodeDatumTijdTotEnMet],"&gt;"&amp;($A692+22/24))</f>
        <v/>
      </c>
      <c r="AA692" s="20">
        <f>COUNTIFS(tData[SEHTrajectPeriodeDatumTijdVan],"&lt;="&amp;($A692+23/24),tData[SEHTrajectPeriodeDatumTijdTotEnMet],"&gt;"&amp;($A692+23/24))</f>
        <v/>
      </c>
    </row>
    <row r="693">
      <c r="A693" s="19" t="n">
        <v>45981</v>
      </c>
      <c r="B693" s="15">
        <f>WEEKDAY($A693,2)</f>
        <v/>
      </c>
      <c r="C693" s="15">
        <f>IF(AND($A693&gt;=INT(Instellingen!$B$5),$A693&lt;=INT(Instellingen!$B$6)),1,0)</f>
        <v/>
      </c>
      <c r="D693" s="20">
        <f>COUNTIFS(tData[SEHTrajectPeriodeDatumTijdVan],"&lt;="&amp;($A693+0/24),tData[SEHTrajectPeriodeDatumTijdTotEnMet],"&gt;"&amp;($A693+0/24))</f>
        <v/>
      </c>
      <c r="E693" s="20">
        <f>COUNTIFS(tData[SEHTrajectPeriodeDatumTijdVan],"&lt;="&amp;($A693+1/24),tData[SEHTrajectPeriodeDatumTijdTotEnMet],"&gt;"&amp;($A693+1/24))</f>
        <v/>
      </c>
      <c r="F693" s="20">
        <f>COUNTIFS(tData[SEHTrajectPeriodeDatumTijdVan],"&lt;="&amp;($A693+2/24),tData[SEHTrajectPeriodeDatumTijdTotEnMet],"&gt;"&amp;($A693+2/24))</f>
        <v/>
      </c>
      <c r="G693" s="20">
        <f>COUNTIFS(tData[SEHTrajectPeriodeDatumTijdVan],"&lt;="&amp;($A693+3/24),tData[SEHTrajectPeriodeDatumTijdTotEnMet],"&gt;"&amp;($A693+3/24))</f>
        <v/>
      </c>
      <c r="H693" s="20">
        <f>COUNTIFS(tData[SEHTrajectPeriodeDatumTijdVan],"&lt;="&amp;($A693+4/24),tData[SEHTrajectPeriodeDatumTijdTotEnMet],"&gt;"&amp;($A693+4/24))</f>
        <v/>
      </c>
      <c r="I693" s="20">
        <f>COUNTIFS(tData[SEHTrajectPeriodeDatumTijdVan],"&lt;="&amp;($A693+5/24),tData[SEHTrajectPeriodeDatumTijdTotEnMet],"&gt;"&amp;($A693+5/24))</f>
        <v/>
      </c>
      <c r="J693" s="20">
        <f>COUNTIFS(tData[SEHTrajectPeriodeDatumTijdVan],"&lt;="&amp;($A693+6/24),tData[SEHTrajectPeriodeDatumTijdTotEnMet],"&gt;"&amp;($A693+6/24))</f>
        <v/>
      </c>
      <c r="K693" s="20">
        <f>COUNTIFS(tData[SEHTrajectPeriodeDatumTijdVan],"&lt;="&amp;($A693+7/24),tData[SEHTrajectPeriodeDatumTijdTotEnMet],"&gt;"&amp;($A693+7/24))</f>
        <v/>
      </c>
      <c r="L693" s="20">
        <f>COUNTIFS(tData[SEHTrajectPeriodeDatumTijdVan],"&lt;="&amp;($A693+8/24),tData[SEHTrajectPeriodeDatumTijdTotEnMet],"&gt;"&amp;($A693+8/24))</f>
        <v/>
      </c>
      <c r="M693" s="20">
        <f>COUNTIFS(tData[SEHTrajectPeriodeDatumTijdVan],"&lt;="&amp;($A693+9/24),tData[SEHTrajectPeriodeDatumTijdTotEnMet],"&gt;"&amp;($A693+9/24))</f>
        <v/>
      </c>
      <c r="N693" s="20">
        <f>COUNTIFS(tData[SEHTrajectPeriodeDatumTijdVan],"&lt;="&amp;($A693+10/24),tData[SEHTrajectPeriodeDatumTijdTotEnMet],"&gt;"&amp;($A693+10/24))</f>
        <v/>
      </c>
      <c r="O693" s="20">
        <f>COUNTIFS(tData[SEHTrajectPeriodeDatumTijdVan],"&lt;="&amp;($A693+11/24),tData[SEHTrajectPeriodeDatumTijdTotEnMet],"&gt;"&amp;($A693+11/24))</f>
        <v/>
      </c>
      <c r="P693" s="20">
        <f>COUNTIFS(tData[SEHTrajectPeriodeDatumTijdVan],"&lt;="&amp;($A693+12/24),tData[SEHTrajectPeriodeDatumTijdTotEnMet],"&gt;"&amp;($A693+12/24))</f>
        <v/>
      </c>
      <c r="Q693" s="20">
        <f>COUNTIFS(tData[SEHTrajectPeriodeDatumTijdVan],"&lt;="&amp;($A693+13/24),tData[SEHTrajectPeriodeDatumTijdTotEnMet],"&gt;"&amp;($A693+13/24))</f>
        <v/>
      </c>
      <c r="R693" s="20">
        <f>COUNTIFS(tData[SEHTrajectPeriodeDatumTijdVan],"&lt;="&amp;($A693+14/24),tData[SEHTrajectPeriodeDatumTijdTotEnMet],"&gt;"&amp;($A693+14/24))</f>
        <v/>
      </c>
      <c r="S693" s="20">
        <f>COUNTIFS(tData[SEHTrajectPeriodeDatumTijdVan],"&lt;="&amp;($A693+15/24),tData[SEHTrajectPeriodeDatumTijdTotEnMet],"&gt;"&amp;($A693+15/24))</f>
        <v/>
      </c>
      <c r="T693" s="20">
        <f>COUNTIFS(tData[SEHTrajectPeriodeDatumTijdVan],"&lt;="&amp;($A693+16/24),tData[SEHTrajectPeriodeDatumTijdTotEnMet],"&gt;"&amp;($A693+16/24))</f>
        <v/>
      </c>
      <c r="U693" s="20">
        <f>COUNTIFS(tData[SEHTrajectPeriodeDatumTijdVan],"&lt;="&amp;($A693+17/24),tData[SEHTrajectPeriodeDatumTijdTotEnMet],"&gt;"&amp;($A693+17/24))</f>
        <v/>
      </c>
      <c r="V693" s="20">
        <f>COUNTIFS(tData[SEHTrajectPeriodeDatumTijdVan],"&lt;="&amp;($A693+18/24),tData[SEHTrajectPeriodeDatumTijdTotEnMet],"&gt;"&amp;($A693+18/24))</f>
        <v/>
      </c>
      <c r="W693" s="20">
        <f>COUNTIFS(tData[SEHTrajectPeriodeDatumTijdVan],"&lt;="&amp;($A693+19/24),tData[SEHTrajectPeriodeDatumTijdTotEnMet],"&gt;"&amp;($A693+19/24))</f>
        <v/>
      </c>
      <c r="X693" s="20">
        <f>COUNTIFS(tData[SEHTrajectPeriodeDatumTijdVan],"&lt;="&amp;($A693+20/24),tData[SEHTrajectPeriodeDatumTijdTotEnMet],"&gt;"&amp;($A693+20/24))</f>
        <v/>
      </c>
      <c r="Y693" s="20">
        <f>COUNTIFS(tData[SEHTrajectPeriodeDatumTijdVan],"&lt;="&amp;($A693+21/24),tData[SEHTrajectPeriodeDatumTijdTotEnMet],"&gt;"&amp;($A693+21/24))</f>
        <v/>
      </c>
      <c r="Z693" s="20">
        <f>COUNTIFS(tData[SEHTrajectPeriodeDatumTijdVan],"&lt;="&amp;($A693+22/24),tData[SEHTrajectPeriodeDatumTijdTotEnMet],"&gt;"&amp;($A693+22/24))</f>
        <v/>
      </c>
      <c r="AA693" s="20">
        <f>COUNTIFS(tData[SEHTrajectPeriodeDatumTijdVan],"&lt;="&amp;($A693+23/24),tData[SEHTrajectPeriodeDatumTijdTotEnMet],"&gt;"&amp;($A693+23/24))</f>
        <v/>
      </c>
    </row>
    <row r="694">
      <c r="A694" s="19" t="n">
        <v>45982</v>
      </c>
      <c r="B694" s="15">
        <f>WEEKDAY($A694,2)</f>
        <v/>
      </c>
      <c r="C694" s="15">
        <f>IF(AND($A694&gt;=INT(Instellingen!$B$5),$A694&lt;=INT(Instellingen!$B$6)),1,0)</f>
        <v/>
      </c>
      <c r="D694" s="20">
        <f>COUNTIFS(tData[SEHTrajectPeriodeDatumTijdVan],"&lt;="&amp;($A694+0/24),tData[SEHTrajectPeriodeDatumTijdTotEnMet],"&gt;"&amp;($A694+0/24))</f>
        <v/>
      </c>
      <c r="E694" s="20">
        <f>COUNTIFS(tData[SEHTrajectPeriodeDatumTijdVan],"&lt;="&amp;($A694+1/24),tData[SEHTrajectPeriodeDatumTijdTotEnMet],"&gt;"&amp;($A694+1/24))</f>
        <v/>
      </c>
      <c r="F694" s="20">
        <f>COUNTIFS(tData[SEHTrajectPeriodeDatumTijdVan],"&lt;="&amp;($A694+2/24),tData[SEHTrajectPeriodeDatumTijdTotEnMet],"&gt;"&amp;($A694+2/24))</f>
        <v/>
      </c>
      <c r="G694" s="20">
        <f>COUNTIFS(tData[SEHTrajectPeriodeDatumTijdVan],"&lt;="&amp;($A694+3/24),tData[SEHTrajectPeriodeDatumTijdTotEnMet],"&gt;"&amp;($A694+3/24))</f>
        <v/>
      </c>
      <c r="H694" s="20">
        <f>COUNTIFS(tData[SEHTrajectPeriodeDatumTijdVan],"&lt;="&amp;($A694+4/24),tData[SEHTrajectPeriodeDatumTijdTotEnMet],"&gt;"&amp;($A694+4/24))</f>
        <v/>
      </c>
      <c r="I694" s="20">
        <f>COUNTIFS(tData[SEHTrajectPeriodeDatumTijdVan],"&lt;="&amp;($A694+5/24),tData[SEHTrajectPeriodeDatumTijdTotEnMet],"&gt;"&amp;($A694+5/24))</f>
        <v/>
      </c>
      <c r="J694" s="20">
        <f>COUNTIFS(tData[SEHTrajectPeriodeDatumTijdVan],"&lt;="&amp;($A694+6/24),tData[SEHTrajectPeriodeDatumTijdTotEnMet],"&gt;"&amp;($A694+6/24))</f>
        <v/>
      </c>
      <c r="K694" s="20">
        <f>COUNTIFS(tData[SEHTrajectPeriodeDatumTijdVan],"&lt;="&amp;($A694+7/24),tData[SEHTrajectPeriodeDatumTijdTotEnMet],"&gt;"&amp;($A694+7/24))</f>
        <v/>
      </c>
      <c r="L694" s="20">
        <f>COUNTIFS(tData[SEHTrajectPeriodeDatumTijdVan],"&lt;="&amp;($A694+8/24),tData[SEHTrajectPeriodeDatumTijdTotEnMet],"&gt;"&amp;($A694+8/24))</f>
        <v/>
      </c>
      <c r="M694" s="20">
        <f>COUNTIFS(tData[SEHTrajectPeriodeDatumTijdVan],"&lt;="&amp;($A694+9/24),tData[SEHTrajectPeriodeDatumTijdTotEnMet],"&gt;"&amp;($A694+9/24))</f>
        <v/>
      </c>
      <c r="N694" s="20">
        <f>COUNTIFS(tData[SEHTrajectPeriodeDatumTijdVan],"&lt;="&amp;($A694+10/24),tData[SEHTrajectPeriodeDatumTijdTotEnMet],"&gt;"&amp;($A694+10/24))</f>
        <v/>
      </c>
      <c r="O694" s="20">
        <f>COUNTIFS(tData[SEHTrajectPeriodeDatumTijdVan],"&lt;="&amp;($A694+11/24),tData[SEHTrajectPeriodeDatumTijdTotEnMet],"&gt;"&amp;($A694+11/24))</f>
        <v/>
      </c>
      <c r="P694" s="20">
        <f>COUNTIFS(tData[SEHTrajectPeriodeDatumTijdVan],"&lt;="&amp;($A694+12/24),tData[SEHTrajectPeriodeDatumTijdTotEnMet],"&gt;"&amp;($A694+12/24))</f>
        <v/>
      </c>
      <c r="Q694" s="20">
        <f>COUNTIFS(tData[SEHTrajectPeriodeDatumTijdVan],"&lt;="&amp;($A694+13/24),tData[SEHTrajectPeriodeDatumTijdTotEnMet],"&gt;"&amp;($A694+13/24))</f>
        <v/>
      </c>
      <c r="R694" s="20">
        <f>COUNTIFS(tData[SEHTrajectPeriodeDatumTijdVan],"&lt;="&amp;($A694+14/24),tData[SEHTrajectPeriodeDatumTijdTotEnMet],"&gt;"&amp;($A694+14/24))</f>
        <v/>
      </c>
      <c r="S694" s="20">
        <f>COUNTIFS(tData[SEHTrajectPeriodeDatumTijdVan],"&lt;="&amp;($A694+15/24),tData[SEHTrajectPeriodeDatumTijdTotEnMet],"&gt;"&amp;($A694+15/24))</f>
        <v/>
      </c>
      <c r="T694" s="20">
        <f>COUNTIFS(tData[SEHTrajectPeriodeDatumTijdVan],"&lt;="&amp;($A694+16/24),tData[SEHTrajectPeriodeDatumTijdTotEnMet],"&gt;"&amp;($A694+16/24))</f>
        <v/>
      </c>
      <c r="U694" s="20">
        <f>COUNTIFS(tData[SEHTrajectPeriodeDatumTijdVan],"&lt;="&amp;($A694+17/24),tData[SEHTrajectPeriodeDatumTijdTotEnMet],"&gt;"&amp;($A694+17/24))</f>
        <v/>
      </c>
      <c r="V694" s="20">
        <f>COUNTIFS(tData[SEHTrajectPeriodeDatumTijdVan],"&lt;="&amp;($A694+18/24),tData[SEHTrajectPeriodeDatumTijdTotEnMet],"&gt;"&amp;($A694+18/24))</f>
        <v/>
      </c>
      <c r="W694" s="20">
        <f>COUNTIFS(tData[SEHTrajectPeriodeDatumTijdVan],"&lt;="&amp;($A694+19/24),tData[SEHTrajectPeriodeDatumTijdTotEnMet],"&gt;"&amp;($A694+19/24))</f>
        <v/>
      </c>
      <c r="X694" s="20">
        <f>COUNTIFS(tData[SEHTrajectPeriodeDatumTijdVan],"&lt;="&amp;($A694+20/24),tData[SEHTrajectPeriodeDatumTijdTotEnMet],"&gt;"&amp;($A694+20/24))</f>
        <v/>
      </c>
      <c r="Y694" s="20">
        <f>COUNTIFS(tData[SEHTrajectPeriodeDatumTijdVan],"&lt;="&amp;($A694+21/24),tData[SEHTrajectPeriodeDatumTijdTotEnMet],"&gt;"&amp;($A694+21/24))</f>
        <v/>
      </c>
      <c r="Z694" s="20">
        <f>COUNTIFS(tData[SEHTrajectPeriodeDatumTijdVan],"&lt;="&amp;($A694+22/24),tData[SEHTrajectPeriodeDatumTijdTotEnMet],"&gt;"&amp;($A694+22/24))</f>
        <v/>
      </c>
      <c r="AA694" s="20">
        <f>COUNTIFS(tData[SEHTrajectPeriodeDatumTijdVan],"&lt;="&amp;($A694+23/24),tData[SEHTrajectPeriodeDatumTijdTotEnMet],"&gt;"&amp;($A694+23/24))</f>
        <v/>
      </c>
    </row>
    <row r="695">
      <c r="A695" s="19" t="n">
        <v>45983</v>
      </c>
      <c r="B695" s="15">
        <f>WEEKDAY($A695,2)</f>
        <v/>
      </c>
      <c r="C695" s="15">
        <f>IF(AND($A695&gt;=INT(Instellingen!$B$5),$A695&lt;=INT(Instellingen!$B$6)),1,0)</f>
        <v/>
      </c>
      <c r="D695" s="20">
        <f>COUNTIFS(tData[SEHTrajectPeriodeDatumTijdVan],"&lt;="&amp;($A695+0/24),tData[SEHTrajectPeriodeDatumTijdTotEnMet],"&gt;"&amp;($A695+0/24))</f>
        <v/>
      </c>
      <c r="E695" s="20">
        <f>COUNTIFS(tData[SEHTrajectPeriodeDatumTijdVan],"&lt;="&amp;($A695+1/24),tData[SEHTrajectPeriodeDatumTijdTotEnMet],"&gt;"&amp;($A695+1/24))</f>
        <v/>
      </c>
      <c r="F695" s="20">
        <f>COUNTIFS(tData[SEHTrajectPeriodeDatumTijdVan],"&lt;="&amp;($A695+2/24),tData[SEHTrajectPeriodeDatumTijdTotEnMet],"&gt;"&amp;($A695+2/24))</f>
        <v/>
      </c>
      <c r="G695" s="20">
        <f>COUNTIFS(tData[SEHTrajectPeriodeDatumTijdVan],"&lt;="&amp;($A695+3/24),tData[SEHTrajectPeriodeDatumTijdTotEnMet],"&gt;"&amp;($A695+3/24))</f>
        <v/>
      </c>
      <c r="H695" s="20">
        <f>COUNTIFS(tData[SEHTrajectPeriodeDatumTijdVan],"&lt;="&amp;($A695+4/24),tData[SEHTrajectPeriodeDatumTijdTotEnMet],"&gt;"&amp;($A695+4/24))</f>
        <v/>
      </c>
      <c r="I695" s="20">
        <f>COUNTIFS(tData[SEHTrajectPeriodeDatumTijdVan],"&lt;="&amp;($A695+5/24),tData[SEHTrajectPeriodeDatumTijdTotEnMet],"&gt;"&amp;($A695+5/24))</f>
        <v/>
      </c>
      <c r="J695" s="20">
        <f>COUNTIFS(tData[SEHTrajectPeriodeDatumTijdVan],"&lt;="&amp;($A695+6/24),tData[SEHTrajectPeriodeDatumTijdTotEnMet],"&gt;"&amp;($A695+6/24))</f>
        <v/>
      </c>
      <c r="K695" s="20">
        <f>COUNTIFS(tData[SEHTrajectPeriodeDatumTijdVan],"&lt;="&amp;($A695+7/24),tData[SEHTrajectPeriodeDatumTijdTotEnMet],"&gt;"&amp;($A695+7/24))</f>
        <v/>
      </c>
      <c r="L695" s="20">
        <f>COUNTIFS(tData[SEHTrajectPeriodeDatumTijdVan],"&lt;="&amp;($A695+8/24),tData[SEHTrajectPeriodeDatumTijdTotEnMet],"&gt;"&amp;($A695+8/24))</f>
        <v/>
      </c>
      <c r="M695" s="20">
        <f>COUNTIFS(tData[SEHTrajectPeriodeDatumTijdVan],"&lt;="&amp;($A695+9/24),tData[SEHTrajectPeriodeDatumTijdTotEnMet],"&gt;"&amp;($A695+9/24))</f>
        <v/>
      </c>
      <c r="N695" s="20">
        <f>COUNTIFS(tData[SEHTrajectPeriodeDatumTijdVan],"&lt;="&amp;($A695+10/24),tData[SEHTrajectPeriodeDatumTijdTotEnMet],"&gt;"&amp;($A695+10/24))</f>
        <v/>
      </c>
      <c r="O695" s="20">
        <f>COUNTIFS(tData[SEHTrajectPeriodeDatumTijdVan],"&lt;="&amp;($A695+11/24),tData[SEHTrajectPeriodeDatumTijdTotEnMet],"&gt;"&amp;($A695+11/24))</f>
        <v/>
      </c>
      <c r="P695" s="20">
        <f>COUNTIFS(tData[SEHTrajectPeriodeDatumTijdVan],"&lt;="&amp;($A695+12/24),tData[SEHTrajectPeriodeDatumTijdTotEnMet],"&gt;"&amp;($A695+12/24))</f>
        <v/>
      </c>
      <c r="Q695" s="20">
        <f>COUNTIFS(tData[SEHTrajectPeriodeDatumTijdVan],"&lt;="&amp;($A695+13/24),tData[SEHTrajectPeriodeDatumTijdTotEnMet],"&gt;"&amp;($A695+13/24))</f>
        <v/>
      </c>
      <c r="R695" s="20">
        <f>COUNTIFS(tData[SEHTrajectPeriodeDatumTijdVan],"&lt;="&amp;($A695+14/24),tData[SEHTrajectPeriodeDatumTijdTotEnMet],"&gt;"&amp;($A695+14/24))</f>
        <v/>
      </c>
      <c r="S695" s="20">
        <f>COUNTIFS(tData[SEHTrajectPeriodeDatumTijdVan],"&lt;="&amp;($A695+15/24),tData[SEHTrajectPeriodeDatumTijdTotEnMet],"&gt;"&amp;($A695+15/24))</f>
        <v/>
      </c>
      <c r="T695" s="20">
        <f>COUNTIFS(tData[SEHTrajectPeriodeDatumTijdVan],"&lt;="&amp;($A695+16/24),tData[SEHTrajectPeriodeDatumTijdTotEnMet],"&gt;"&amp;($A695+16/24))</f>
        <v/>
      </c>
      <c r="U695" s="20">
        <f>COUNTIFS(tData[SEHTrajectPeriodeDatumTijdVan],"&lt;="&amp;($A695+17/24),tData[SEHTrajectPeriodeDatumTijdTotEnMet],"&gt;"&amp;($A695+17/24))</f>
        <v/>
      </c>
      <c r="V695" s="20">
        <f>COUNTIFS(tData[SEHTrajectPeriodeDatumTijdVan],"&lt;="&amp;($A695+18/24),tData[SEHTrajectPeriodeDatumTijdTotEnMet],"&gt;"&amp;($A695+18/24))</f>
        <v/>
      </c>
      <c r="W695" s="20">
        <f>COUNTIFS(tData[SEHTrajectPeriodeDatumTijdVan],"&lt;="&amp;($A695+19/24),tData[SEHTrajectPeriodeDatumTijdTotEnMet],"&gt;"&amp;($A695+19/24))</f>
        <v/>
      </c>
      <c r="X695" s="20">
        <f>COUNTIFS(tData[SEHTrajectPeriodeDatumTijdVan],"&lt;="&amp;($A695+20/24),tData[SEHTrajectPeriodeDatumTijdTotEnMet],"&gt;"&amp;($A695+20/24))</f>
        <v/>
      </c>
      <c r="Y695" s="20">
        <f>COUNTIFS(tData[SEHTrajectPeriodeDatumTijdVan],"&lt;="&amp;($A695+21/24),tData[SEHTrajectPeriodeDatumTijdTotEnMet],"&gt;"&amp;($A695+21/24))</f>
        <v/>
      </c>
      <c r="Z695" s="20">
        <f>COUNTIFS(tData[SEHTrajectPeriodeDatumTijdVan],"&lt;="&amp;($A695+22/24),tData[SEHTrajectPeriodeDatumTijdTotEnMet],"&gt;"&amp;($A695+22/24))</f>
        <v/>
      </c>
      <c r="AA695" s="20">
        <f>COUNTIFS(tData[SEHTrajectPeriodeDatumTijdVan],"&lt;="&amp;($A695+23/24),tData[SEHTrajectPeriodeDatumTijdTotEnMet],"&gt;"&amp;($A695+23/24))</f>
        <v/>
      </c>
    </row>
    <row r="696">
      <c r="A696" s="19" t="n">
        <v>45984</v>
      </c>
      <c r="B696" s="15">
        <f>WEEKDAY($A696,2)</f>
        <v/>
      </c>
      <c r="C696" s="15">
        <f>IF(AND($A696&gt;=INT(Instellingen!$B$5),$A696&lt;=INT(Instellingen!$B$6)),1,0)</f>
        <v/>
      </c>
      <c r="D696" s="20">
        <f>COUNTIFS(tData[SEHTrajectPeriodeDatumTijdVan],"&lt;="&amp;($A696+0/24),tData[SEHTrajectPeriodeDatumTijdTotEnMet],"&gt;"&amp;($A696+0/24))</f>
        <v/>
      </c>
      <c r="E696" s="20">
        <f>COUNTIFS(tData[SEHTrajectPeriodeDatumTijdVan],"&lt;="&amp;($A696+1/24),tData[SEHTrajectPeriodeDatumTijdTotEnMet],"&gt;"&amp;($A696+1/24))</f>
        <v/>
      </c>
      <c r="F696" s="20">
        <f>COUNTIFS(tData[SEHTrajectPeriodeDatumTijdVan],"&lt;="&amp;($A696+2/24),tData[SEHTrajectPeriodeDatumTijdTotEnMet],"&gt;"&amp;($A696+2/24))</f>
        <v/>
      </c>
      <c r="G696" s="20">
        <f>COUNTIFS(tData[SEHTrajectPeriodeDatumTijdVan],"&lt;="&amp;($A696+3/24),tData[SEHTrajectPeriodeDatumTijdTotEnMet],"&gt;"&amp;($A696+3/24))</f>
        <v/>
      </c>
      <c r="H696" s="20">
        <f>COUNTIFS(tData[SEHTrajectPeriodeDatumTijdVan],"&lt;="&amp;($A696+4/24),tData[SEHTrajectPeriodeDatumTijdTotEnMet],"&gt;"&amp;($A696+4/24))</f>
        <v/>
      </c>
      <c r="I696" s="20">
        <f>COUNTIFS(tData[SEHTrajectPeriodeDatumTijdVan],"&lt;="&amp;($A696+5/24),tData[SEHTrajectPeriodeDatumTijdTotEnMet],"&gt;"&amp;($A696+5/24))</f>
        <v/>
      </c>
      <c r="J696" s="20">
        <f>COUNTIFS(tData[SEHTrajectPeriodeDatumTijdVan],"&lt;="&amp;($A696+6/24),tData[SEHTrajectPeriodeDatumTijdTotEnMet],"&gt;"&amp;($A696+6/24))</f>
        <v/>
      </c>
      <c r="K696" s="20">
        <f>COUNTIFS(tData[SEHTrajectPeriodeDatumTijdVan],"&lt;="&amp;($A696+7/24),tData[SEHTrajectPeriodeDatumTijdTotEnMet],"&gt;"&amp;($A696+7/24))</f>
        <v/>
      </c>
      <c r="L696" s="20">
        <f>COUNTIFS(tData[SEHTrajectPeriodeDatumTijdVan],"&lt;="&amp;($A696+8/24),tData[SEHTrajectPeriodeDatumTijdTotEnMet],"&gt;"&amp;($A696+8/24))</f>
        <v/>
      </c>
      <c r="M696" s="20">
        <f>COUNTIFS(tData[SEHTrajectPeriodeDatumTijdVan],"&lt;="&amp;($A696+9/24),tData[SEHTrajectPeriodeDatumTijdTotEnMet],"&gt;"&amp;($A696+9/24))</f>
        <v/>
      </c>
      <c r="N696" s="20">
        <f>COUNTIFS(tData[SEHTrajectPeriodeDatumTijdVan],"&lt;="&amp;($A696+10/24),tData[SEHTrajectPeriodeDatumTijdTotEnMet],"&gt;"&amp;($A696+10/24))</f>
        <v/>
      </c>
      <c r="O696" s="20">
        <f>COUNTIFS(tData[SEHTrajectPeriodeDatumTijdVan],"&lt;="&amp;($A696+11/24),tData[SEHTrajectPeriodeDatumTijdTotEnMet],"&gt;"&amp;($A696+11/24))</f>
        <v/>
      </c>
      <c r="P696" s="20">
        <f>COUNTIFS(tData[SEHTrajectPeriodeDatumTijdVan],"&lt;="&amp;($A696+12/24),tData[SEHTrajectPeriodeDatumTijdTotEnMet],"&gt;"&amp;($A696+12/24))</f>
        <v/>
      </c>
      <c r="Q696" s="20">
        <f>COUNTIFS(tData[SEHTrajectPeriodeDatumTijdVan],"&lt;="&amp;($A696+13/24),tData[SEHTrajectPeriodeDatumTijdTotEnMet],"&gt;"&amp;($A696+13/24))</f>
        <v/>
      </c>
      <c r="R696" s="20">
        <f>COUNTIFS(tData[SEHTrajectPeriodeDatumTijdVan],"&lt;="&amp;($A696+14/24),tData[SEHTrajectPeriodeDatumTijdTotEnMet],"&gt;"&amp;($A696+14/24))</f>
        <v/>
      </c>
      <c r="S696" s="20">
        <f>COUNTIFS(tData[SEHTrajectPeriodeDatumTijdVan],"&lt;="&amp;($A696+15/24),tData[SEHTrajectPeriodeDatumTijdTotEnMet],"&gt;"&amp;($A696+15/24))</f>
        <v/>
      </c>
      <c r="T696" s="20">
        <f>COUNTIFS(tData[SEHTrajectPeriodeDatumTijdVan],"&lt;="&amp;($A696+16/24),tData[SEHTrajectPeriodeDatumTijdTotEnMet],"&gt;"&amp;($A696+16/24))</f>
        <v/>
      </c>
      <c r="U696" s="20">
        <f>COUNTIFS(tData[SEHTrajectPeriodeDatumTijdVan],"&lt;="&amp;($A696+17/24),tData[SEHTrajectPeriodeDatumTijdTotEnMet],"&gt;"&amp;($A696+17/24))</f>
        <v/>
      </c>
      <c r="V696" s="20">
        <f>COUNTIFS(tData[SEHTrajectPeriodeDatumTijdVan],"&lt;="&amp;($A696+18/24),tData[SEHTrajectPeriodeDatumTijdTotEnMet],"&gt;"&amp;($A696+18/24))</f>
        <v/>
      </c>
      <c r="W696" s="20">
        <f>COUNTIFS(tData[SEHTrajectPeriodeDatumTijdVan],"&lt;="&amp;($A696+19/24),tData[SEHTrajectPeriodeDatumTijdTotEnMet],"&gt;"&amp;($A696+19/24))</f>
        <v/>
      </c>
      <c r="X696" s="20">
        <f>COUNTIFS(tData[SEHTrajectPeriodeDatumTijdVan],"&lt;="&amp;($A696+20/24),tData[SEHTrajectPeriodeDatumTijdTotEnMet],"&gt;"&amp;($A696+20/24))</f>
        <v/>
      </c>
      <c r="Y696" s="20">
        <f>COUNTIFS(tData[SEHTrajectPeriodeDatumTijdVan],"&lt;="&amp;($A696+21/24),tData[SEHTrajectPeriodeDatumTijdTotEnMet],"&gt;"&amp;($A696+21/24))</f>
        <v/>
      </c>
      <c r="Z696" s="20">
        <f>COUNTIFS(tData[SEHTrajectPeriodeDatumTijdVan],"&lt;="&amp;($A696+22/24),tData[SEHTrajectPeriodeDatumTijdTotEnMet],"&gt;"&amp;($A696+22/24))</f>
        <v/>
      </c>
      <c r="AA696" s="20">
        <f>COUNTIFS(tData[SEHTrajectPeriodeDatumTijdVan],"&lt;="&amp;($A696+23/24),tData[SEHTrajectPeriodeDatumTijdTotEnMet],"&gt;"&amp;($A696+23/24))</f>
        <v/>
      </c>
    </row>
    <row r="697">
      <c r="A697" s="19" t="n">
        <v>45985</v>
      </c>
      <c r="B697" s="15">
        <f>WEEKDAY($A697,2)</f>
        <v/>
      </c>
      <c r="C697" s="15">
        <f>IF(AND($A697&gt;=INT(Instellingen!$B$5),$A697&lt;=INT(Instellingen!$B$6)),1,0)</f>
        <v/>
      </c>
      <c r="D697" s="20">
        <f>COUNTIFS(tData[SEHTrajectPeriodeDatumTijdVan],"&lt;="&amp;($A697+0/24),tData[SEHTrajectPeriodeDatumTijdTotEnMet],"&gt;"&amp;($A697+0/24))</f>
        <v/>
      </c>
      <c r="E697" s="20">
        <f>COUNTIFS(tData[SEHTrajectPeriodeDatumTijdVan],"&lt;="&amp;($A697+1/24),tData[SEHTrajectPeriodeDatumTijdTotEnMet],"&gt;"&amp;($A697+1/24))</f>
        <v/>
      </c>
      <c r="F697" s="20">
        <f>COUNTIFS(tData[SEHTrajectPeriodeDatumTijdVan],"&lt;="&amp;($A697+2/24),tData[SEHTrajectPeriodeDatumTijdTotEnMet],"&gt;"&amp;($A697+2/24))</f>
        <v/>
      </c>
      <c r="G697" s="20">
        <f>COUNTIFS(tData[SEHTrajectPeriodeDatumTijdVan],"&lt;="&amp;($A697+3/24),tData[SEHTrajectPeriodeDatumTijdTotEnMet],"&gt;"&amp;($A697+3/24))</f>
        <v/>
      </c>
      <c r="H697" s="20">
        <f>COUNTIFS(tData[SEHTrajectPeriodeDatumTijdVan],"&lt;="&amp;($A697+4/24),tData[SEHTrajectPeriodeDatumTijdTotEnMet],"&gt;"&amp;($A697+4/24))</f>
        <v/>
      </c>
      <c r="I697" s="20">
        <f>COUNTIFS(tData[SEHTrajectPeriodeDatumTijdVan],"&lt;="&amp;($A697+5/24),tData[SEHTrajectPeriodeDatumTijdTotEnMet],"&gt;"&amp;($A697+5/24))</f>
        <v/>
      </c>
      <c r="J697" s="20">
        <f>COUNTIFS(tData[SEHTrajectPeriodeDatumTijdVan],"&lt;="&amp;($A697+6/24),tData[SEHTrajectPeriodeDatumTijdTotEnMet],"&gt;"&amp;($A697+6/24))</f>
        <v/>
      </c>
      <c r="K697" s="20">
        <f>COUNTIFS(tData[SEHTrajectPeriodeDatumTijdVan],"&lt;="&amp;($A697+7/24),tData[SEHTrajectPeriodeDatumTijdTotEnMet],"&gt;"&amp;($A697+7/24))</f>
        <v/>
      </c>
      <c r="L697" s="20">
        <f>COUNTIFS(tData[SEHTrajectPeriodeDatumTijdVan],"&lt;="&amp;($A697+8/24),tData[SEHTrajectPeriodeDatumTijdTotEnMet],"&gt;"&amp;($A697+8/24))</f>
        <v/>
      </c>
      <c r="M697" s="20">
        <f>COUNTIFS(tData[SEHTrajectPeriodeDatumTijdVan],"&lt;="&amp;($A697+9/24),tData[SEHTrajectPeriodeDatumTijdTotEnMet],"&gt;"&amp;($A697+9/24))</f>
        <v/>
      </c>
      <c r="N697" s="20">
        <f>COUNTIFS(tData[SEHTrajectPeriodeDatumTijdVan],"&lt;="&amp;($A697+10/24),tData[SEHTrajectPeriodeDatumTijdTotEnMet],"&gt;"&amp;($A697+10/24))</f>
        <v/>
      </c>
      <c r="O697" s="20">
        <f>COUNTIFS(tData[SEHTrajectPeriodeDatumTijdVan],"&lt;="&amp;($A697+11/24),tData[SEHTrajectPeriodeDatumTijdTotEnMet],"&gt;"&amp;($A697+11/24))</f>
        <v/>
      </c>
      <c r="P697" s="20">
        <f>COUNTIFS(tData[SEHTrajectPeriodeDatumTijdVan],"&lt;="&amp;($A697+12/24),tData[SEHTrajectPeriodeDatumTijdTotEnMet],"&gt;"&amp;($A697+12/24))</f>
        <v/>
      </c>
      <c r="Q697" s="20">
        <f>COUNTIFS(tData[SEHTrajectPeriodeDatumTijdVan],"&lt;="&amp;($A697+13/24),tData[SEHTrajectPeriodeDatumTijdTotEnMet],"&gt;"&amp;($A697+13/24))</f>
        <v/>
      </c>
      <c r="R697" s="20">
        <f>COUNTIFS(tData[SEHTrajectPeriodeDatumTijdVan],"&lt;="&amp;($A697+14/24),tData[SEHTrajectPeriodeDatumTijdTotEnMet],"&gt;"&amp;($A697+14/24))</f>
        <v/>
      </c>
      <c r="S697" s="20">
        <f>COUNTIFS(tData[SEHTrajectPeriodeDatumTijdVan],"&lt;="&amp;($A697+15/24),tData[SEHTrajectPeriodeDatumTijdTotEnMet],"&gt;"&amp;($A697+15/24))</f>
        <v/>
      </c>
      <c r="T697" s="20">
        <f>COUNTIFS(tData[SEHTrajectPeriodeDatumTijdVan],"&lt;="&amp;($A697+16/24),tData[SEHTrajectPeriodeDatumTijdTotEnMet],"&gt;"&amp;($A697+16/24))</f>
        <v/>
      </c>
      <c r="U697" s="20">
        <f>COUNTIFS(tData[SEHTrajectPeriodeDatumTijdVan],"&lt;="&amp;($A697+17/24),tData[SEHTrajectPeriodeDatumTijdTotEnMet],"&gt;"&amp;($A697+17/24))</f>
        <v/>
      </c>
      <c r="V697" s="20">
        <f>COUNTIFS(tData[SEHTrajectPeriodeDatumTijdVan],"&lt;="&amp;($A697+18/24),tData[SEHTrajectPeriodeDatumTijdTotEnMet],"&gt;"&amp;($A697+18/24))</f>
        <v/>
      </c>
      <c r="W697" s="20">
        <f>COUNTIFS(tData[SEHTrajectPeriodeDatumTijdVan],"&lt;="&amp;($A697+19/24),tData[SEHTrajectPeriodeDatumTijdTotEnMet],"&gt;"&amp;($A697+19/24))</f>
        <v/>
      </c>
      <c r="X697" s="20">
        <f>COUNTIFS(tData[SEHTrajectPeriodeDatumTijdVan],"&lt;="&amp;($A697+20/24),tData[SEHTrajectPeriodeDatumTijdTotEnMet],"&gt;"&amp;($A697+20/24))</f>
        <v/>
      </c>
      <c r="Y697" s="20">
        <f>COUNTIFS(tData[SEHTrajectPeriodeDatumTijdVan],"&lt;="&amp;($A697+21/24),tData[SEHTrajectPeriodeDatumTijdTotEnMet],"&gt;"&amp;($A697+21/24))</f>
        <v/>
      </c>
      <c r="Z697" s="20">
        <f>COUNTIFS(tData[SEHTrajectPeriodeDatumTijdVan],"&lt;="&amp;($A697+22/24),tData[SEHTrajectPeriodeDatumTijdTotEnMet],"&gt;"&amp;($A697+22/24))</f>
        <v/>
      </c>
      <c r="AA697" s="20">
        <f>COUNTIFS(tData[SEHTrajectPeriodeDatumTijdVan],"&lt;="&amp;($A697+23/24),tData[SEHTrajectPeriodeDatumTijdTotEnMet],"&gt;"&amp;($A697+23/24))</f>
        <v/>
      </c>
    </row>
    <row r="698">
      <c r="A698" s="19" t="n">
        <v>45986</v>
      </c>
      <c r="B698" s="15">
        <f>WEEKDAY($A698,2)</f>
        <v/>
      </c>
      <c r="C698" s="15">
        <f>IF(AND($A698&gt;=INT(Instellingen!$B$5),$A698&lt;=INT(Instellingen!$B$6)),1,0)</f>
        <v/>
      </c>
      <c r="D698" s="20">
        <f>COUNTIFS(tData[SEHTrajectPeriodeDatumTijdVan],"&lt;="&amp;($A698+0/24),tData[SEHTrajectPeriodeDatumTijdTotEnMet],"&gt;"&amp;($A698+0/24))</f>
        <v/>
      </c>
      <c r="E698" s="20">
        <f>COUNTIFS(tData[SEHTrajectPeriodeDatumTijdVan],"&lt;="&amp;($A698+1/24),tData[SEHTrajectPeriodeDatumTijdTotEnMet],"&gt;"&amp;($A698+1/24))</f>
        <v/>
      </c>
      <c r="F698" s="20">
        <f>COUNTIFS(tData[SEHTrajectPeriodeDatumTijdVan],"&lt;="&amp;($A698+2/24),tData[SEHTrajectPeriodeDatumTijdTotEnMet],"&gt;"&amp;($A698+2/24))</f>
        <v/>
      </c>
      <c r="G698" s="20">
        <f>COUNTIFS(tData[SEHTrajectPeriodeDatumTijdVan],"&lt;="&amp;($A698+3/24),tData[SEHTrajectPeriodeDatumTijdTotEnMet],"&gt;"&amp;($A698+3/24))</f>
        <v/>
      </c>
      <c r="H698" s="20">
        <f>COUNTIFS(tData[SEHTrajectPeriodeDatumTijdVan],"&lt;="&amp;($A698+4/24),tData[SEHTrajectPeriodeDatumTijdTotEnMet],"&gt;"&amp;($A698+4/24))</f>
        <v/>
      </c>
      <c r="I698" s="20">
        <f>COUNTIFS(tData[SEHTrajectPeriodeDatumTijdVan],"&lt;="&amp;($A698+5/24),tData[SEHTrajectPeriodeDatumTijdTotEnMet],"&gt;"&amp;($A698+5/24))</f>
        <v/>
      </c>
      <c r="J698" s="20">
        <f>COUNTIFS(tData[SEHTrajectPeriodeDatumTijdVan],"&lt;="&amp;($A698+6/24),tData[SEHTrajectPeriodeDatumTijdTotEnMet],"&gt;"&amp;($A698+6/24))</f>
        <v/>
      </c>
      <c r="K698" s="20">
        <f>COUNTIFS(tData[SEHTrajectPeriodeDatumTijdVan],"&lt;="&amp;($A698+7/24),tData[SEHTrajectPeriodeDatumTijdTotEnMet],"&gt;"&amp;($A698+7/24))</f>
        <v/>
      </c>
      <c r="L698" s="20">
        <f>COUNTIFS(tData[SEHTrajectPeriodeDatumTijdVan],"&lt;="&amp;($A698+8/24),tData[SEHTrajectPeriodeDatumTijdTotEnMet],"&gt;"&amp;($A698+8/24))</f>
        <v/>
      </c>
      <c r="M698" s="20">
        <f>COUNTIFS(tData[SEHTrajectPeriodeDatumTijdVan],"&lt;="&amp;($A698+9/24),tData[SEHTrajectPeriodeDatumTijdTotEnMet],"&gt;"&amp;($A698+9/24))</f>
        <v/>
      </c>
      <c r="N698" s="20">
        <f>COUNTIFS(tData[SEHTrajectPeriodeDatumTijdVan],"&lt;="&amp;($A698+10/24),tData[SEHTrajectPeriodeDatumTijdTotEnMet],"&gt;"&amp;($A698+10/24))</f>
        <v/>
      </c>
      <c r="O698" s="20">
        <f>COUNTIFS(tData[SEHTrajectPeriodeDatumTijdVan],"&lt;="&amp;($A698+11/24),tData[SEHTrajectPeriodeDatumTijdTotEnMet],"&gt;"&amp;($A698+11/24))</f>
        <v/>
      </c>
      <c r="P698" s="20">
        <f>COUNTIFS(tData[SEHTrajectPeriodeDatumTijdVan],"&lt;="&amp;($A698+12/24),tData[SEHTrajectPeriodeDatumTijdTotEnMet],"&gt;"&amp;($A698+12/24))</f>
        <v/>
      </c>
      <c r="Q698" s="20">
        <f>COUNTIFS(tData[SEHTrajectPeriodeDatumTijdVan],"&lt;="&amp;($A698+13/24),tData[SEHTrajectPeriodeDatumTijdTotEnMet],"&gt;"&amp;($A698+13/24))</f>
        <v/>
      </c>
      <c r="R698" s="20">
        <f>COUNTIFS(tData[SEHTrajectPeriodeDatumTijdVan],"&lt;="&amp;($A698+14/24),tData[SEHTrajectPeriodeDatumTijdTotEnMet],"&gt;"&amp;($A698+14/24))</f>
        <v/>
      </c>
      <c r="S698" s="20">
        <f>COUNTIFS(tData[SEHTrajectPeriodeDatumTijdVan],"&lt;="&amp;($A698+15/24),tData[SEHTrajectPeriodeDatumTijdTotEnMet],"&gt;"&amp;($A698+15/24))</f>
        <v/>
      </c>
      <c r="T698" s="20">
        <f>COUNTIFS(tData[SEHTrajectPeriodeDatumTijdVan],"&lt;="&amp;($A698+16/24),tData[SEHTrajectPeriodeDatumTijdTotEnMet],"&gt;"&amp;($A698+16/24))</f>
        <v/>
      </c>
      <c r="U698" s="20">
        <f>COUNTIFS(tData[SEHTrajectPeriodeDatumTijdVan],"&lt;="&amp;($A698+17/24),tData[SEHTrajectPeriodeDatumTijdTotEnMet],"&gt;"&amp;($A698+17/24))</f>
        <v/>
      </c>
      <c r="V698" s="20">
        <f>COUNTIFS(tData[SEHTrajectPeriodeDatumTijdVan],"&lt;="&amp;($A698+18/24),tData[SEHTrajectPeriodeDatumTijdTotEnMet],"&gt;"&amp;($A698+18/24))</f>
        <v/>
      </c>
      <c r="W698" s="20">
        <f>COUNTIFS(tData[SEHTrajectPeriodeDatumTijdVan],"&lt;="&amp;($A698+19/24),tData[SEHTrajectPeriodeDatumTijdTotEnMet],"&gt;"&amp;($A698+19/24))</f>
        <v/>
      </c>
      <c r="X698" s="20">
        <f>COUNTIFS(tData[SEHTrajectPeriodeDatumTijdVan],"&lt;="&amp;($A698+20/24),tData[SEHTrajectPeriodeDatumTijdTotEnMet],"&gt;"&amp;($A698+20/24))</f>
        <v/>
      </c>
      <c r="Y698" s="20">
        <f>COUNTIFS(tData[SEHTrajectPeriodeDatumTijdVan],"&lt;="&amp;($A698+21/24),tData[SEHTrajectPeriodeDatumTijdTotEnMet],"&gt;"&amp;($A698+21/24))</f>
        <v/>
      </c>
      <c r="Z698" s="20">
        <f>COUNTIFS(tData[SEHTrajectPeriodeDatumTijdVan],"&lt;="&amp;($A698+22/24),tData[SEHTrajectPeriodeDatumTijdTotEnMet],"&gt;"&amp;($A698+22/24))</f>
        <v/>
      </c>
      <c r="AA698" s="20">
        <f>COUNTIFS(tData[SEHTrajectPeriodeDatumTijdVan],"&lt;="&amp;($A698+23/24),tData[SEHTrajectPeriodeDatumTijdTotEnMet],"&gt;"&amp;($A698+23/24))</f>
        <v/>
      </c>
    </row>
    <row r="699">
      <c r="A699" s="19" t="n">
        <v>45987</v>
      </c>
      <c r="B699" s="15">
        <f>WEEKDAY($A699,2)</f>
        <v/>
      </c>
      <c r="C699" s="15">
        <f>IF(AND($A699&gt;=INT(Instellingen!$B$5),$A699&lt;=INT(Instellingen!$B$6)),1,0)</f>
        <v/>
      </c>
      <c r="D699" s="20">
        <f>COUNTIFS(tData[SEHTrajectPeriodeDatumTijdVan],"&lt;="&amp;($A699+0/24),tData[SEHTrajectPeriodeDatumTijdTotEnMet],"&gt;"&amp;($A699+0/24))</f>
        <v/>
      </c>
      <c r="E699" s="20">
        <f>COUNTIFS(tData[SEHTrajectPeriodeDatumTijdVan],"&lt;="&amp;($A699+1/24),tData[SEHTrajectPeriodeDatumTijdTotEnMet],"&gt;"&amp;($A699+1/24))</f>
        <v/>
      </c>
      <c r="F699" s="20">
        <f>COUNTIFS(tData[SEHTrajectPeriodeDatumTijdVan],"&lt;="&amp;($A699+2/24),tData[SEHTrajectPeriodeDatumTijdTotEnMet],"&gt;"&amp;($A699+2/24))</f>
        <v/>
      </c>
      <c r="G699" s="20">
        <f>COUNTIFS(tData[SEHTrajectPeriodeDatumTijdVan],"&lt;="&amp;($A699+3/24),tData[SEHTrajectPeriodeDatumTijdTotEnMet],"&gt;"&amp;($A699+3/24))</f>
        <v/>
      </c>
      <c r="H699" s="20">
        <f>COUNTIFS(tData[SEHTrajectPeriodeDatumTijdVan],"&lt;="&amp;($A699+4/24),tData[SEHTrajectPeriodeDatumTijdTotEnMet],"&gt;"&amp;($A699+4/24))</f>
        <v/>
      </c>
      <c r="I699" s="20">
        <f>COUNTIFS(tData[SEHTrajectPeriodeDatumTijdVan],"&lt;="&amp;($A699+5/24),tData[SEHTrajectPeriodeDatumTijdTotEnMet],"&gt;"&amp;($A699+5/24))</f>
        <v/>
      </c>
      <c r="J699" s="20">
        <f>COUNTIFS(tData[SEHTrajectPeriodeDatumTijdVan],"&lt;="&amp;($A699+6/24),tData[SEHTrajectPeriodeDatumTijdTotEnMet],"&gt;"&amp;($A699+6/24))</f>
        <v/>
      </c>
      <c r="K699" s="20">
        <f>COUNTIFS(tData[SEHTrajectPeriodeDatumTijdVan],"&lt;="&amp;($A699+7/24),tData[SEHTrajectPeriodeDatumTijdTotEnMet],"&gt;"&amp;($A699+7/24))</f>
        <v/>
      </c>
      <c r="L699" s="20">
        <f>COUNTIFS(tData[SEHTrajectPeriodeDatumTijdVan],"&lt;="&amp;($A699+8/24),tData[SEHTrajectPeriodeDatumTijdTotEnMet],"&gt;"&amp;($A699+8/24))</f>
        <v/>
      </c>
      <c r="M699" s="20">
        <f>COUNTIFS(tData[SEHTrajectPeriodeDatumTijdVan],"&lt;="&amp;($A699+9/24),tData[SEHTrajectPeriodeDatumTijdTotEnMet],"&gt;"&amp;($A699+9/24))</f>
        <v/>
      </c>
      <c r="N699" s="20">
        <f>COUNTIFS(tData[SEHTrajectPeriodeDatumTijdVan],"&lt;="&amp;($A699+10/24),tData[SEHTrajectPeriodeDatumTijdTotEnMet],"&gt;"&amp;($A699+10/24))</f>
        <v/>
      </c>
      <c r="O699" s="20">
        <f>COUNTIFS(tData[SEHTrajectPeriodeDatumTijdVan],"&lt;="&amp;($A699+11/24),tData[SEHTrajectPeriodeDatumTijdTotEnMet],"&gt;"&amp;($A699+11/24))</f>
        <v/>
      </c>
      <c r="P699" s="20">
        <f>COUNTIFS(tData[SEHTrajectPeriodeDatumTijdVan],"&lt;="&amp;($A699+12/24),tData[SEHTrajectPeriodeDatumTijdTotEnMet],"&gt;"&amp;($A699+12/24))</f>
        <v/>
      </c>
      <c r="Q699" s="20">
        <f>COUNTIFS(tData[SEHTrajectPeriodeDatumTijdVan],"&lt;="&amp;($A699+13/24),tData[SEHTrajectPeriodeDatumTijdTotEnMet],"&gt;"&amp;($A699+13/24))</f>
        <v/>
      </c>
      <c r="R699" s="20">
        <f>COUNTIFS(tData[SEHTrajectPeriodeDatumTijdVan],"&lt;="&amp;($A699+14/24),tData[SEHTrajectPeriodeDatumTijdTotEnMet],"&gt;"&amp;($A699+14/24))</f>
        <v/>
      </c>
      <c r="S699" s="20">
        <f>COUNTIFS(tData[SEHTrajectPeriodeDatumTijdVan],"&lt;="&amp;($A699+15/24),tData[SEHTrajectPeriodeDatumTijdTotEnMet],"&gt;"&amp;($A699+15/24))</f>
        <v/>
      </c>
      <c r="T699" s="20">
        <f>COUNTIFS(tData[SEHTrajectPeriodeDatumTijdVan],"&lt;="&amp;($A699+16/24),tData[SEHTrajectPeriodeDatumTijdTotEnMet],"&gt;"&amp;($A699+16/24))</f>
        <v/>
      </c>
      <c r="U699" s="20">
        <f>COUNTIFS(tData[SEHTrajectPeriodeDatumTijdVan],"&lt;="&amp;($A699+17/24),tData[SEHTrajectPeriodeDatumTijdTotEnMet],"&gt;"&amp;($A699+17/24))</f>
        <v/>
      </c>
      <c r="V699" s="20">
        <f>COUNTIFS(tData[SEHTrajectPeriodeDatumTijdVan],"&lt;="&amp;($A699+18/24),tData[SEHTrajectPeriodeDatumTijdTotEnMet],"&gt;"&amp;($A699+18/24))</f>
        <v/>
      </c>
      <c r="W699" s="20">
        <f>COUNTIFS(tData[SEHTrajectPeriodeDatumTijdVan],"&lt;="&amp;($A699+19/24),tData[SEHTrajectPeriodeDatumTijdTotEnMet],"&gt;"&amp;($A699+19/24))</f>
        <v/>
      </c>
      <c r="X699" s="20">
        <f>COUNTIFS(tData[SEHTrajectPeriodeDatumTijdVan],"&lt;="&amp;($A699+20/24),tData[SEHTrajectPeriodeDatumTijdTotEnMet],"&gt;"&amp;($A699+20/24))</f>
        <v/>
      </c>
      <c r="Y699" s="20">
        <f>COUNTIFS(tData[SEHTrajectPeriodeDatumTijdVan],"&lt;="&amp;($A699+21/24),tData[SEHTrajectPeriodeDatumTijdTotEnMet],"&gt;"&amp;($A699+21/24))</f>
        <v/>
      </c>
      <c r="Z699" s="20">
        <f>COUNTIFS(tData[SEHTrajectPeriodeDatumTijdVan],"&lt;="&amp;($A699+22/24),tData[SEHTrajectPeriodeDatumTijdTotEnMet],"&gt;"&amp;($A699+22/24))</f>
        <v/>
      </c>
      <c r="AA699" s="20">
        <f>COUNTIFS(tData[SEHTrajectPeriodeDatumTijdVan],"&lt;="&amp;($A699+23/24),tData[SEHTrajectPeriodeDatumTijdTotEnMet],"&gt;"&amp;($A699+23/24))</f>
        <v/>
      </c>
    </row>
    <row r="700">
      <c r="A700" s="19" t="n">
        <v>45988</v>
      </c>
      <c r="B700" s="15">
        <f>WEEKDAY($A700,2)</f>
        <v/>
      </c>
      <c r="C700" s="15">
        <f>IF(AND($A700&gt;=INT(Instellingen!$B$5),$A700&lt;=INT(Instellingen!$B$6)),1,0)</f>
        <v/>
      </c>
      <c r="D700" s="20">
        <f>COUNTIFS(tData[SEHTrajectPeriodeDatumTijdVan],"&lt;="&amp;($A700+0/24),tData[SEHTrajectPeriodeDatumTijdTotEnMet],"&gt;"&amp;($A700+0/24))</f>
        <v/>
      </c>
      <c r="E700" s="20">
        <f>COUNTIFS(tData[SEHTrajectPeriodeDatumTijdVan],"&lt;="&amp;($A700+1/24),tData[SEHTrajectPeriodeDatumTijdTotEnMet],"&gt;"&amp;($A700+1/24))</f>
        <v/>
      </c>
      <c r="F700" s="20">
        <f>COUNTIFS(tData[SEHTrajectPeriodeDatumTijdVan],"&lt;="&amp;($A700+2/24),tData[SEHTrajectPeriodeDatumTijdTotEnMet],"&gt;"&amp;($A700+2/24))</f>
        <v/>
      </c>
      <c r="G700" s="20">
        <f>COUNTIFS(tData[SEHTrajectPeriodeDatumTijdVan],"&lt;="&amp;($A700+3/24),tData[SEHTrajectPeriodeDatumTijdTotEnMet],"&gt;"&amp;($A700+3/24))</f>
        <v/>
      </c>
      <c r="H700" s="20">
        <f>COUNTIFS(tData[SEHTrajectPeriodeDatumTijdVan],"&lt;="&amp;($A700+4/24),tData[SEHTrajectPeriodeDatumTijdTotEnMet],"&gt;"&amp;($A700+4/24))</f>
        <v/>
      </c>
      <c r="I700" s="20">
        <f>COUNTIFS(tData[SEHTrajectPeriodeDatumTijdVan],"&lt;="&amp;($A700+5/24),tData[SEHTrajectPeriodeDatumTijdTotEnMet],"&gt;"&amp;($A700+5/24))</f>
        <v/>
      </c>
      <c r="J700" s="20">
        <f>COUNTIFS(tData[SEHTrajectPeriodeDatumTijdVan],"&lt;="&amp;($A700+6/24),tData[SEHTrajectPeriodeDatumTijdTotEnMet],"&gt;"&amp;($A700+6/24))</f>
        <v/>
      </c>
      <c r="K700" s="20">
        <f>COUNTIFS(tData[SEHTrajectPeriodeDatumTijdVan],"&lt;="&amp;($A700+7/24),tData[SEHTrajectPeriodeDatumTijdTotEnMet],"&gt;"&amp;($A700+7/24))</f>
        <v/>
      </c>
      <c r="L700" s="20">
        <f>COUNTIFS(tData[SEHTrajectPeriodeDatumTijdVan],"&lt;="&amp;($A700+8/24),tData[SEHTrajectPeriodeDatumTijdTotEnMet],"&gt;"&amp;($A700+8/24))</f>
        <v/>
      </c>
      <c r="M700" s="20">
        <f>COUNTIFS(tData[SEHTrajectPeriodeDatumTijdVan],"&lt;="&amp;($A700+9/24),tData[SEHTrajectPeriodeDatumTijdTotEnMet],"&gt;"&amp;($A700+9/24))</f>
        <v/>
      </c>
      <c r="N700" s="20">
        <f>COUNTIFS(tData[SEHTrajectPeriodeDatumTijdVan],"&lt;="&amp;($A700+10/24),tData[SEHTrajectPeriodeDatumTijdTotEnMet],"&gt;"&amp;($A700+10/24))</f>
        <v/>
      </c>
      <c r="O700" s="20">
        <f>COUNTIFS(tData[SEHTrajectPeriodeDatumTijdVan],"&lt;="&amp;($A700+11/24),tData[SEHTrajectPeriodeDatumTijdTotEnMet],"&gt;"&amp;($A700+11/24))</f>
        <v/>
      </c>
      <c r="P700" s="20">
        <f>COUNTIFS(tData[SEHTrajectPeriodeDatumTijdVan],"&lt;="&amp;($A700+12/24),tData[SEHTrajectPeriodeDatumTijdTotEnMet],"&gt;"&amp;($A700+12/24))</f>
        <v/>
      </c>
      <c r="Q700" s="20">
        <f>COUNTIFS(tData[SEHTrajectPeriodeDatumTijdVan],"&lt;="&amp;($A700+13/24),tData[SEHTrajectPeriodeDatumTijdTotEnMet],"&gt;"&amp;($A700+13/24))</f>
        <v/>
      </c>
      <c r="R700" s="20">
        <f>COUNTIFS(tData[SEHTrajectPeriodeDatumTijdVan],"&lt;="&amp;($A700+14/24),tData[SEHTrajectPeriodeDatumTijdTotEnMet],"&gt;"&amp;($A700+14/24))</f>
        <v/>
      </c>
      <c r="S700" s="20">
        <f>COUNTIFS(tData[SEHTrajectPeriodeDatumTijdVan],"&lt;="&amp;($A700+15/24),tData[SEHTrajectPeriodeDatumTijdTotEnMet],"&gt;"&amp;($A700+15/24))</f>
        <v/>
      </c>
      <c r="T700" s="20">
        <f>COUNTIFS(tData[SEHTrajectPeriodeDatumTijdVan],"&lt;="&amp;($A700+16/24),tData[SEHTrajectPeriodeDatumTijdTotEnMet],"&gt;"&amp;($A700+16/24))</f>
        <v/>
      </c>
      <c r="U700" s="20">
        <f>COUNTIFS(tData[SEHTrajectPeriodeDatumTijdVan],"&lt;="&amp;($A700+17/24),tData[SEHTrajectPeriodeDatumTijdTotEnMet],"&gt;"&amp;($A700+17/24))</f>
        <v/>
      </c>
      <c r="V700" s="20">
        <f>COUNTIFS(tData[SEHTrajectPeriodeDatumTijdVan],"&lt;="&amp;($A700+18/24),tData[SEHTrajectPeriodeDatumTijdTotEnMet],"&gt;"&amp;($A700+18/24))</f>
        <v/>
      </c>
      <c r="W700" s="20">
        <f>COUNTIFS(tData[SEHTrajectPeriodeDatumTijdVan],"&lt;="&amp;($A700+19/24),tData[SEHTrajectPeriodeDatumTijdTotEnMet],"&gt;"&amp;($A700+19/24))</f>
        <v/>
      </c>
      <c r="X700" s="20">
        <f>COUNTIFS(tData[SEHTrajectPeriodeDatumTijdVan],"&lt;="&amp;($A700+20/24),tData[SEHTrajectPeriodeDatumTijdTotEnMet],"&gt;"&amp;($A700+20/24))</f>
        <v/>
      </c>
      <c r="Y700" s="20">
        <f>COUNTIFS(tData[SEHTrajectPeriodeDatumTijdVan],"&lt;="&amp;($A700+21/24),tData[SEHTrajectPeriodeDatumTijdTotEnMet],"&gt;"&amp;($A700+21/24))</f>
        <v/>
      </c>
      <c r="Z700" s="20">
        <f>COUNTIFS(tData[SEHTrajectPeriodeDatumTijdVan],"&lt;="&amp;($A700+22/24),tData[SEHTrajectPeriodeDatumTijdTotEnMet],"&gt;"&amp;($A700+22/24))</f>
        <v/>
      </c>
      <c r="AA700" s="20">
        <f>COUNTIFS(tData[SEHTrajectPeriodeDatumTijdVan],"&lt;="&amp;($A700+23/24),tData[SEHTrajectPeriodeDatumTijdTotEnMet],"&gt;"&amp;($A700+23/24))</f>
        <v/>
      </c>
    </row>
    <row r="701">
      <c r="A701" s="19" t="n">
        <v>45989</v>
      </c>
      <c r="B701" s="15">
        <f>WEEKDAY($A701,2)</f>
        <v/>
      </c>
      <c r="C701" s="15">
        <f>IF(AND($A701&gt;=INT(Instellingen!$B$5),$A701&lt;=INT(Instellingen!$B$6)),1,0)</f>
        <v/>
      </c>
      <c r="D701" s="20">
        <f>COUNTIFS(tData[SEHTrajectPeriodeDatumTijdVan],"&lt;="&amp;($A701+0/24),tData[SEHTrajectPeriodeDatumTijdTotEnMet],"&gt;"&amp;($A701+0/24))</f>
        <v/>
      </c>
      <c r="E701" s="20">
        <f>COUNTIFS(tData[SEHTrajectPeriodeDatumTijdVan],"&lt;="&amp;($A701+1/24),tData[SEHTrajectPeriodeDatumTijdTotEnMet],"&gt;"&amp;($A701+1/24))</f>
        <v/>
      </c>
      <c r="F701" s="20">
        <f>COUNTIFS(tData[SEHTrajectPeriodeDatumTijdVan],"&lt;="&amp;($A701+2/24),tData[SEHTrajectPeriodeDatumTijdTotEnMet],"&gt;"&amp;($A701+2/24))</f>
        <v/>
      </c>
      <c r="G701" s="20">
        <f>COUNTIFS(tData[SEHTrajectPeriodeDatumTijdVan],"&lt;="&amp;($A701+3/24),tData[SEHTrajectPeriodeDatumTijdTotEnMet],"&gt;"&amp;($A701+3/24))</f>
        <v/>
      </c>
      <c r="H701" s="20">
        <f>COUNTIFS(tData[SEHTrajectPeriodeDatumTijdVan],"&lt;="&amp;($A701+4/24),tData[SEHTrajectPeriodeDatumTijdTotEnMet],"&gt;"&amp;($A701+4/24))</f>
        <v/>
      </c>
      <c r="I701" s="20">
        <f>COUNTIFS(tData[SEHTrajectPeriodeDatumTijdVan],"&lt;="&amp;($A701+5/24),tData[SEHTrajectPeriodeDatumTijdTotEnMet],"&gt;"&amp;($A701+5/24))</f>
        <v/>
      </c>
      <c r="J701" s="20">
        <f>COUNTIFS(tData[SEHTrajectPeriodeDatumTijdVan],"&lt;="&amp;($A701+6/24),tData[SEHTrajectPeriodeDatumTijdTotEnMet],"&gt;"&amp;($A701+6/24))</f>
        <v/>
      </c>
      <c r="K701" s="20">
        <f>COUNTIFS(tData[SEHTrajectPeriodeDatumTijdVan],"&lt;="&amp;($A701+7/24),tData[SEHTrajectPeriodeDatumTijdTotEnMet],"&gt;"&amp;($A701+7/24))</f>
        <v/>
      </c>
      <c r="L701" s="20">
        <f>COUNTIFS(tData[SEHTrajectPeriodeDatumTijdVan],"&lt;="&amp;($A701+8/24),tData[SEHTrajectPeriodeDatumTijdTotEnMet],"&gt;"&amp;($A701+8/24))</f>
        <v/>
      </c>
      <c r="M701" s="20">
        <f>COUNTIFS(tData[SEHTrajectPeriodeDatumTijdVan],"&lt;="&amp;($A701+9/24),tData[SEHTrajectPeriodeDatumTijdTotEnMet],"&gt;"&amp;($A701+9/24))</f>
        <v/>
      </c>
      <c r="N701" s="20">
        <f>COUNTIFS(tData[SEHTrajectPeriodeDatumTijdVan],"&lt;="&amp;($A701+10/24),tData[SEHTrajectPeriodeDatumTijdTotEnMet],"&gt;"&amp;($A701+10/24))</f>
        <v/>
      </c>
      <c r="O701" s="20">
        <f>COUNTIFS(tData[SEHTrajectPeriodeDatumTijdVan],"&lt;="&amp;($A701+11/24),tData[SEHTrajectPeriodeDatumTijdTotEnMet],"&gt;"&amp;($A701+11/24))</f>
        <v/>
      </c>
      <c r="P701" s="20">
        <f>COUNTIFS(tData[SEHTrajectPeriodeDatumTijdVan],"&lt;="&amp;($A701+12/24),tData[SEHTrajectPeriodeDatumTijdTotEnMet],"&gt;"&amp;($A701+12/24))</f>
        <v/>
      </c>
      <c r="Q701" s="20">
        <f>COUNTIFS(tData[SEHTrajectPeriodeDatumTijdVan],"&lt;="&amp;($A701+13/24),tData[SEHTrajectPeriodeDatumTijdTotEnMet],"&gt;"&amp;($A701+13/24))</f>
        <v/>
      </c>
      <c r="R701" s="20">
        <f>COUNTIFS(tData[SEHTrajectPeriodeDatumTijdVan],"&lt;="&amp;($A701+14/24),tData[SEHTrajectPeriodeDatumTijdTotEnMet],"&gt;"&amp;($A701+14/24))</f>
        <v/>
      </c>
      <c r="S701" s="20">
        <f>COUNTIFS(tData[SEHTrajectPeriodeDatumTijdVan],"&lt;="&amp;($A701+15/24),tData[SEHTrajectPeriodeDatumTijdTotEnMet],"&gt;"&amp;($A701+15/24))</f>
        <v/>
      </c>
      <c r="T701" s="20">
        <f>COUNTIFS(tData[SEHTrajectPeriodeDatumTijdVan],"&lt;="&amp;($A701+16/24),tData[SEHTrajectPeriodeDatumTijdTotEnMet],"&gt;"&amp;($A701+16/24))</f>
        <v/>
      </c>
      <c r="U701" s="20">
        <f>COUNTIFS(tData[SEHTrajectPeriodeDatumTijdVan],"&lt;="&amp;($A701+17/24),tData[SEHTrajectPeriodeDatumTijdTotEnMet],"&gt;"&amp;($A701+17/24))</f>
        <v/>
      </c>
      <c r="V701" s="20">
        <f>COUNTIFS(tData[SEHTrajectPeriodeDatumTijdVan],"&lt;="&amp;($A701+18/24),tData[SEHTrajectPeriodeDatumTijdTotEnMet],"&gt;"&amp;($A701+18/24))</f>
        <v/>
      </c>
      <c r="W701" s="20">
        <f>COUNTIFS(tData[SEHTrajectPeriodeDatumTijdVan],"&lt;="&amp;($A701+19/24),tData[SEHTrajectPeriodeDatumTijdTotEnMet],"&gt;"&amp;($A701+19/24))</f>
        <v/>
      </c>
      <c r="X701" s="20">
        <f>COUNTIFS(tData[SEHTrajectPeriodeDatumTijdVan],"&lt;="&amp;($A701+20/24),tData[SEHTrajectPeriodeDatumTijdTotEnMet],"&gt;"&amp;($A701+20/24))</f>
        <v/>
      </c>
      <c r="Y701" s="20">
        <f>COUNTIFS(tData[SEHTrajectPeriodeDatumTijdVan],"&lt;="&amp;($A701+21/24),tData[SEHTrajectPeriodeDatumTijdTotEnMet],"&gt;"&amp;($A701+21/24))</f>
        <v/>
      </c>
      <c r="Z701" s="20">
        <f>COUNTIFS(tData[SEHTrajectPeriodeDatumTijdVan],"&lt;="&amp;($A701+22/24),tData[SEHTrajectPeriodeDatumTijdTotEnMet],"&gt;"&amp;($A701+22/24))</f>
        <v/>
      </c>
      <c r="AA701" s="20">
        <f>COUNTIFS(tData[SEHTrajectPeriodeDatumTijdVan],"&lt;="&amp;($A701+23/24),tData[SEHTrajectPeriodeDatumTijdTotEnMet],"&gt;"&amp;($A701+23/24))</f>
        <v/>
      </c>
    </row>
    <row r="702">
      <c r="A702" s="19" t="n">
        <v>45990</v>
      </c>
      <c r="B702" s="15">
        <f>WEEKDAY($A702,2)</f>
        <v/>
      </c>
      <c r="C702" s="15">
        <f>IF(AND($A702&gt;=INT(Instellingen!$B$5),$A702&lt;=INT(Instellingen!$B$6)),1,0)</f>
        <v/>
      </c>
      <c r="D702" s="20">
        <f>COUNTIFS(tData[SEHTrajectPeriodeDatumTijdVan],"&lt;="&amp;($A702+0/24),tData[SEHTrajectPeriodeDatumTijdTotEnMet],"&gt;"&amp;($A702+0/24))</f>
        <v/>
      </c>
      <c r="E702" s="20">
        <f>COUNTIFS(tData[SEHTrajectPeriodeDatumTijdVan],"&lt;="&amp;($A702+1/24),tData[SEHTrajectPeriodeDatumTijdTotEnMet],"&gt;"&amp;($A702+1/24))</f>
        <v/>
      </c>
      <c r="F702" s="20">
        <f>COUNTIFS(tData[SEHTrajectPeriodeDatumTijdVan],"&lt;="&amp;($A702+2/24),tData[SEHTrajectPeriodeDatumTijdTotEnMet],"&gt;"&amp;($A702+2/24))</f>
        <v/>
      </c>
      <c r="G702" s="20">
        <f>COUNTIFS(tData[SEHTrajectPeriodeDatumTijdVan],"&lt;="&amp;($A702+3/24),tData[SEHTrajectPeriodeDatumTijdTotEnMet],"&gt;"&amp;($A702+3/24))</f>
        <v/>
      </c>
      <c r="H702" s="20">
        <f>COUNTIFS(tData[SEHTrajectPeriodeDatumTijdVan],"&lt;="&amp;($A702+4/24),tData[SEHTrajectPeriodeDatumTijdTotEnMet],"&gt;"&amp;($A702+4/24))</f>
        <v/>
      </c>
      <c r="I702" s="20">
        <f>COUNTIFS(tData[SEHTrajectPeriodeDatumTijdVan],"&lt;="&amp;($A702+5/24),tData[SEHTrajectPeriodeDatumTijdTotEnMet],"&gt;"&amp;($A702+5/24))</f>
        <v/>
      </c>
      <c r="J702" s="20">
        <f>COUNTIFS(tData[SEHTrajectPeriodeDatumTijdVan],"&lt;="&amp;($A702+6/24),tData[SEHTrajectPeriodeDatumTijdTotEnMet],"&gt;"&amp;($A702+6/24))</f>
        <v/>
      </c>
      <c r="K702" s="20">
        <f>COUNTIFS(tData[SEHTrajectPeriodeDatumTijdVan],"&lt;="&amp;($A702+7/24),tData[SEHTrajectPeriodeDatumTijdTotEnMet],"&gt;"&amp;($A702+7/24))</f>
        <v/>
      </c>
      <c r="L702" s="20">
        <f>COUNTIFS(tData[SEHTrajectPeriodeDatumTijdVan],"&lt;="&amp;($A702+8/24),tData[SEHTrajectPeriodeDatumTijdTotEnMet],"&gt;"&amp;($A702+8/24))</f>
        <v/>
      </c>
      <c r="M702" s="20">
        <f>COUNTIFS(tData[SEHTrajectPeriodeDatumTijdVan],"&lt;="&amp;($A702+9/24),tData[SEHTrajectPeriodeDatumTijdTotEnMet],"&gt;"&amp;($A702+9/24))</f>
        <v/>
      </c>
      <c r="N702" s="20">
        <f>COUNTIFS(tData[SEHTrajectPeriodeDatumTijdVan],"&lt;="&amp;($A702+10/24),tData[SEHTrajectPeriodeDatumTijdTotEnMet],"&gt;"&amp;($A702+10/24))</f>
        <v/>
      </c>
      <c r="O702" s="20">
        <f>COUNTIFS(tData[SEHTrajectPeriodeDatumTijdVan],"&lt;="&amp;($A702+11/24),tData[SEHTrajectPeriodeDatumTijdTotEnMet],"&gt;"&amp;($A702+11/24))</f>
        <v/>
      </c>
      <c r="P702" s="20">
        <f>COUNTIFS(tData[SEHTrajectPeriodeDatumTijdVan],"&lt;="&amp;($A702+12/24),tData[SEHTrajectPeriodeDatumTijdTotEnMet],"&gt;"&amp;($A702+12/24))</f>
        <v/>
      </c>
      <c r="Q702" s="20">
        <f>COUNTIFS(tData[SEHTrajectPeriodeDatumTijdVan],"&lt;="&amp;($A702+13/24),tData[SEHTrajectPeriodeDatumTijdTotEnMet],"&gt;"&amp;($A702+13/24))</f>
        <v/>
      </c>
      <c r="R702" s="20">
        <f>COUNTIFS(tData[SEHTrajectPeriodeDatumTijdVan],"&lt;="&amp;($A702+14/24),tData[SEHTrajectPeriodeDatumTijdTotEnMet],"&gt;"&amp;($A702+14/24))</f>
        <v/>
      </c>
      <c r="S702" s="20">
        <f>COUNTIFS(tData[SEHTrajectPeriodeDatumTijdVan],"&lt;="&amp;($A702+15/24),tData[SEHTrajectPeriodeDatumTijdTotEnMet],"&gt;"&amp;($A702+15/24))</f>
        <v/>
      </c>
      <c r="T702" s="20">
        <f>COUNTIFS(tData[SEHTrajectPeriodeDatumTijdVan],"&lt;="&amp;($A702+16/24),tData[SEHTrajectPeriodeDatumTijdTotEnMet],"&gt;"&amp;($A702+16/24))</f>
        <v/>
      </c>
      <c r="U702" s="20">
        <f>COUNTIFS(tData[SEHTrajectPeriodeDatumTijdVan],"&lt;="&amp;($A702+17/24),tData[SEHTrajectPeriodeDatumTijdTotEnMet],"&gt;"&amp;($A702+17/24))</f>
        <v/>
      </c>
      <c r="V702" s="20">
        <f>COUNTIFS(tData[SEHTrajectPeriodeDatumTijdVan],"&lt;="&amp;($A702+18/24),tData[SEHTrajectPeriodeDatumTijdTotEnMet],"&gt;"&amp;($A702+18/24))</f>
        <v/>
      </c>
      <c r="W702" s="20">
        <f>COUNTIFS(tData[SEHTrajectPeriodeDatumTijdVan],"&lt;="&amp;($A702+19/24),tData[SEHTrajectPeriodeDatumTijdTotEnMet],"&gt;"&amp;($A702+19/24))</f>
        <v/>
      </c>
      <c r="X702" s="20">
        <f>COUNTIFS(tData[SEHTrajectPeriodeDatumTijdVan],"&lt;="&amp;($A702+20/24),tData[SEHTrajectPeriodeDatumTijdTotEnMet],"&gt;"&amp;($A702+20/24))</f>
        <v/>
      </c>
      <c r="Y702" s="20">
        <f>COUNTIFS(tData[SEHTrajectPeriodeDatumTijdVan],"&lt;="&amp;($A702+21/24),tData[SEHTrajectPeriodeDatumTijdTotEnMet],"&gt;"&amp;($A702+21/24))</f>
        <v/>
      </c>
      <c r="Z702" s="20">
        <f>COUNTIFS(tData[SEHTrajectPeriodeDatumTijdVan],"&lt;="&amp;($A702+22/24),tData[SEHTrajectPeriodeDatumTijdTotEnMet],"&gt;"&amp;($A702+22/24))</f>
        <v/>
      </c>
      <c r="AA702" s="20">
        <f>COUNTIFS(tData[SEHTrajectPeriodeDatumTijdVan],"&lt;="&amp;($A702+23/24),tData[SEHTrajectPeriodeDatumTijdTotEnMet],"&gt;"&amp;($A702+23/24))</f>
        <v/>
      </c>
    </row>
    <row r="703">
      <c r="A703" s="19" t="n">
        <v>45991</v>
      </c>
      <c r="B703" s="15">
        <f>WEEKDAY($A703,2)</f>
        <v/>
      </c>
      <c r="C703" s="15">
        <f>IF(AND($A703&gt;=INT(Instellingen!$B$5),$A703&lt;=INT(Instellingen!$B$6)),1,0)</f>
        <v/>
      </c>
      <c r="D703" s="20">
        <f>COUNTIFS(tData[SEHTrajectPeriodeDatumTijdVan],"&lt;="&amp;($A703+0/24),tData[SEHTrajectPeriodeDatumTijdTotEnMet],"&gt;"&amp;($A703+0/24))</f>
        <v/>
      </c>
      <c r="E703" s="20">
        <f>COUNTIFS(tData[SEHTrajectPeriodeDatumTijdVan],"&lt;="&amp;($A703+1/24),tData[SEHTrajectPeriodeDatumTijdTotEnMet],"&gt;"&amp;($A703+1/24))</f>
        <v/>
      </c>
      <c r="F703" s="20">
        <f>COUNTIFS(tData[SEHTrajectPeriodeDatumTijdVan],"&lt;="&amp;($A703+2/24),tData[SEHTrajectPeriodeDatumTijdTotEnMet],"&gt;"&amp;($A703+2/24))</f>
        <v/>
      </c>
      <c r="G703" s="20">
        <f>COUNTIFS(tData[SEHTrajectPeriodeDatumTijdVan],"&lt;="&amp;($A703+3/24),tData[SEHTrajectPeriodeDatumTijdTotEnMet],"&gt;"&amp;($A703+3/24))</f>
        <v/>
      </c>
      <c r="H703" s="20">
        <f>COUNTIFS(tData[SEHTrajectPeriodeDatumTijdVan],"&lt;="&amp;($A703+4/24),tData[SEHTrajectPeriodeDatumTijdTotEnMet],"&gt;"&amp;($A703+4/24))</f>
        <v/>
      </c>
      <c r="I703" s="20">
        <f>COUNTIFS(tData[SEHTrajectPeriodeDatumTijdVan],"&lt;="&amp;($A703+5/24),tData[SEHTrajectPeriodeDatumTijdTotEnMet],"&gt;"&amp;($A703+5/24))</f>
        <v/>
      </c>
      <c r="J703" s="20">
        <f>COUNTIFS(tData[SEHTrajectPeriodeDatumTijdVan],"&lt;="&amp;($A703+6/24),tData[SEHTrajectPeriodeDatumTijdTotEnMet],"&gt;"&amp;($A703+6/24))</f>
        <v/>
      </c>
      <c r="K703" s="20">
        <f>COUNTIFS(tData[SEHTrajectPeriodeDatumTijdVan],"&lt;="&amp;($A703+7/24),tData[SEHTrajectPeriodeDatumTijdTotEnMet],"&gt;"&amp;($A703+7/24))</f>
        <v/>
      </c>
      <c r="L703" s="20">
        <f>COUNTIFS(tData[SEHTrajectPeriodeDatumTijdVan],"&lt;="&amp;($A703+8/24),tData[SEHTrajectPeriodeDatumTijdTotEnMet],"&gt;"&amp;($A703+8/24))</f>
        <v/>
      </c>
      <c r="M703" s="20">
        <f>COUNTIFS(tData[SEHTrajectPeriodeDatumTijdVan],"&lt;="&amp;($A703+9/24),tData[SEHTrajectPeriodeDatumTijdTotEnMet],"&gt;"&amp;($A703+9/24))</f>
        <v/>
      </c>
      <c r="N703" s="20">
        <f>COUNTIFS(tData[SEHTrajectPeriodeDatumTijdVan],"&lt;="&amp;($A703+10/24),tData[SEHTrajectPeriodeDatumTijdTotEnMet],"&gt;"&amp;($A703+10/24))</f>
        <v/>
      </c>
      <c r="O703" s="20">
        <f>COUNTIFS(tData[SEHTrajectPeriodeDatumTijdVan],"&lt;="&amp;($A703+11/24),tData[SEHTrajectPeriodeDatumTijdTotEnMet],"&gt;"&amp;($A703+11/24))</f>
        <v/>
      </c>
      <c r="P703" s="20">
        <f>COUNTIFS(tData[SEHTrajectPeriodeDatumTijdVan],"&lt;="&amp;($A703+12/24),tData[SEHTrajectPeriodeDatumTijdTotEnMet],"&gt;"&amp;($A703+12/24))</f>
        <v/>
      </c>
      <c r="Q703" s="20">
        <f>COUNTIFS(tData[SEHTrajectPeriodeDatumTijdVan],"&lt;="&amp;($A703+13/24),tData[SEHTrajectPeriodeDatumTijdTotEnMet],"&gt;"&amp;($A703+13/24))</f>
        <v/>
      </c>
      <c r="R703" s="20">
        <f>COUNTIFS(tData[SEHTrajectPeriodeDatumTijdVan],"&lt;="&amp;($A703+14/24),tData[SEHTrajectPeriodeDatumTijdTotEnMet],"&gt;"&amp;($A703+14/24))</f>
        <v/>
      </c>
      <c r="S703" s="20">
        <f>COUNTIFS(tData[SEHTrajectPeriodeDatumTijdVan],"&lt;="&amp;($A703+15/24),tData[SEHTrajectPeriodeDatumTijdTotEnMet],"&gt;"&amp;($A703+15/24))</f>
        <v/>
      </c>
      <c r="T703" s="20">
        <f>COUNTIFS(tData[SEHTrajectPeriodeDatumTijdVan],"&lt;="&amp;($A703+16/24),tData[SEHTrajectPeriodeDatumTijdTotEnMet],"&gt;"&amp;($A703+16/24))</f>
        <v/>
      </c>
      <c r="U703" s="20">
        <f>COUNTIFS(tData[SEHTrajectPeriodeDatumTijdVan],"&lt;="&amp;($A703+17/24),tData[SEHTrajectPeriodeDatumTijdTotEnMet],"&gt;"&amp;($A703+17/24))</f>
        <v/>
      </c>
      <c r="V703" s="20">
        <f>COUNTIFS(tData[SEHTrajectPeriodeDatumTijdVan],"&lt;="&amp;($A703+18/24),tData[SEHTrajectPeriodeDatumTijdTotEnMet],"&gt;"&amp;($A703+18/24))</f>
        <v/>
      </c>
      <c r="W703" s="20">
        <f>COUNTIFS(tData[SEHTrajectPeriodeDatumTijdVan],"&lt;="&amp;($A703+19/24),tData[SEHTrajectPeriodeDatumTijdTotEnMet],"&gt;"&amp;($A703+19/24))</f>
        <v/>
      </c>
      <c r="X703" s="20">
        <f>COUNTIFS(tData[SEHTrajectPeriodeDatumTijdVan],"&lt;="&amp;($A703+20/24),tData[SEHTrajectPeriodeDatumTijdTotEnMet],"&gt;"&amp;($A703+20/24))</f>
        <v/>
      </c>
      <c r="Y703" s="20">
        <f>COUNTIFS(tData[SEHTrajectPeriodeDatumTijdVan],"&lt;="&amp;($A703+21/24),tData[SEHTrajectPeriodeDatumTijdTotEnMet],"&gt;"&amp;($A703+21/24))</f>
        <v/>
      </c>
      <c r="Z703" s="20">
        <f>COUNTIFS(tData[SEHTrajectPeriodeDatumTijdVan],"&lt;="&amp;($A703+22/24),tData[SEHTrajectPeriodeDatumTijdTotEnMet],"&gt;"&amp;($A703+22/24))</f>
        <v/>
      </c>
      <c r="AA703" s="20">
        <f>COUNTIFS(tData[SEHTrajectPeriodeDatumTijdVan],"&lt;="&amp;($A703+23/24),tData[SEHTrajectPeriodeDatumTijdTotEnMet],"&gt;"&amp;($A703+23/24))</f>
        <v/>
      </c>
    </row>
    <row r="704">
      <c r="A704" s="19" t="n">
        <v>45992</v>
      </c>
      <c r="B704" s="15">
        <f>WEEKDAY($A704,2)</f>
        <v/>
      </c>
      <c r="C704" s="15">
        <f>IF(AND($A704&gt;=INT(Instellingen!$B$5),$A704&lt;=INT(Instellingen!$B$6)),1,0)</f>
        <v/>
      </c>
      <c r="D704" s="20">
        <f>COUNTIFS(tData[SEHTrajectPeriodeDatumTijdVan],"&lt;="&amp;($A704+0/24),tData[SEHTrajectPeriodeDatumTijdTotEnMet],"&gt;"&amp;($A704+0/24))</f>
        <v/>
      </c>
      <c r="E704" s="20">
        <f>COUNTIFS(tData[SEHTrajectPeriodeDatumTijdVan],"&lt;="&amp;($A704+1/24),tData[SEHTrajectPeriodeDatumTijdTotEnMet],"&gt;"&amp;($A704+1/24))</f>
        <v/>
      </c>
      <c r="F704" s="20">
        <f>COUNTIFS(tData[SEHTrajectPeriodeDatumTijdVan],"&lt;="&amp;($A704+2/24),tData[SEHTrajectPeriodeDatumTijdTotEnMet],"&gt;"&amp;($A704+2/24))</f>
        <v/>
      </c>
      <c r="G704" s="20">
        <f>COUNTIFS(tData[SEHTrajectPeriodeDatumTijdVan],"&lt;="&amp;($A704+3/24),tData[SEHTrajectPeriodeDatumTijdTotEnMet],"&gt;"&amp;($A704+3/24))</f>
        <v/>
      </c>
      <c r="H704" s="20">
        <f>COUNTIFS(tData[SEHTrajectPeriodeDatumTijdVan],"&lt;="&amp;($A704+4/24),tData[SEHTrajectPeriodeDatumTijdTotEnMet],"&gt;"&amp;($A704+4/24))</f>
        <v/>
      </c>
      <c r="I704" s="20">
        <f>COUNTIFS(tData[SEHTrajectPeriodeDatumTijdVan],"&lt;="&amp;($A704+5/24),tData[SEHTrajectPeriodeDatumTijdTotEnMet],"&gt;"&amp;($A704+5/24))</f>
        <v/>
      </c>
      <c r="J704" s="20">
        <f>COUNTIFS(tData[SEHTrajectPeriodeDatumTijdVan],"&lt;="&amp;($A704+6/24),tData[SEHTrajectPeriodeDatumTijdTotEnMet],"&gt;"&amp;($A704+6/24))</f>
        <v/>
      </c>
      <c r="K704" s="20">
        <f>COUNTIFS(tData[SEHTrajectPeriodeDatumTijdVan],"&lt;="&amp;($A704+7/24),tData[SEHTrajectPeriodeDatumTijdTotEnMet],"&gt;"&amp;($A704+7/24))</f>
        <v/>
      </c>
      <c r="L704" s="20">
        <f>COUNTIFS(tData[SEHTrajectPeriodeDatumTijdVan],"&lt;="&amp;($A704+8/24),tData[SEHTrajectPeriodeDatumTijdTotEnMet],"&gt;"&amp;($A704+8/24))</f>
        <v/>
      </c>
      <c r="M704" s="20">
        <f>COUNTIFS(tData[SEHTrajectPeriodeDatumTijdVan],"&lt;="&amp;($A704+9/24),tData[SEHTrajectPeriodeDatumTijdTotEnMet],"&gt;"&amp;($A704+9/24))</f>
        <v/>
      </c>
      <c r="N704" s="20">
        <f>COUNTIFS(tData[SEHTrajectPeriodeDatumTijdVan],"&lt;="&amp;($A704+10/24),tData[SEHTrajectPeriodeDatumTijdTotEnMet],"&gt;"&amp;($A704+10/24))</f>
        <v/>
      </c>
      <c r="O704" s="20">
        <f>COUNTIFS(tData[SEHTrajectPeriodeDatumTijdVan],"&lt;="&amp;($A704+11/24),tData[SEHTrajectPeriodeDatumTijdTotEnMet],"&gt;"&amp;($A704+11/24))</f>
        <v/>
      </c>
      <c r="P704" s="20">
        <f>COUNTIFS(tData[SEHTrajectPeriodeDatumTijdVan],"&lt;="&amp;($A704+12/24),tData[SEHTrajectPeriodeDatumTijdTotEnMet],"&gt;"&amp;($A704+12/24))</f>
        <v/>
      </c>
      <c r="Q704" s="20">
        <f>COUNTIFS(tData[SEHTrajectPeriodeDatumTijdVan],"&lt;="&amp;($A704+13/24),tData[SEHTrajectPeriodeDatumTijdTotEnMet],"&gt;"&amp;($A704+13/24))</f>
        <v/>
      </c>
      <c r="R704" s="20">
        <f>COUNTIFS(tData[SEHTrajectPeriodeDatumTijdVan],"&lt;="&amp;($A704+14/24),tData[SEHTrajectPeriodeDatumTijdTotEnMet],"&gt;"&amp;($A704+14/24))</f>
        <v/>
      </c>
      <c r="S704" s="20">
        <f>COUNTIFS(tData[SEHTrajectPeriodeDatumTijdVan],"&lt;="&amp;($A704+15/24),tData[SEHTrajectPeriodeDatumTijdTotEnMet],"&gt;"&amp;($A704+15/24))</f>
        <v/>
      </c>
      <c r="T704" s="20">
        <f>COUNTIFS(tData[SEHTrajectPeriodeDatumTijdVan],"&lt;="&amp;($A704+16/24),tData[SEHTrajectPeriodeDatumTijdTotEnMet],"&gt;"&amp;($A704+16/24))</f>
        <v/>
      </c>
      <c r="U704" s="20">
        <f>COUNTIFS(tData[SEHTrajectPeriodeDatumTijdVan],"&lt;="&amp;($A704+17/24),tData[SEHTrajectPeriodeDatumTijdTotEnMet],"&gt;"&amp;($A704+17/24))</f>
        <v/>
      </c>
      <c r="V704" s="20">
        <f>COUNTIFS(tData[SEHTrajectPeriodeDatumTijdVan],"&lt;="&amp;($A704+18/24),tData[SEHTrajectPeriodeDatumTijdTotEnMet],"&gt;"&amp;($A704+18/24))</f>
        <v/>
      </c>
      <c r="W704" s="20">
        <f>COUNTIFS(tData[SEHTrajectPeriodeDatumTijdVan],"&lt;="&amp;($A704+19/24),tData[SEHTrajectPeriodeDatumTijdTotEnMet],"&gt;"&amp;($A704+19/24))</f>
        <v/>
      </c>
      <c r="X704" s="20">
        <f>COUNTIFS(tData[SEHTrajectPeriodeDatumTijdVan],"&lt;="&amp;($A704+20/24),tData[SEHTrajectPeriodeDatumTijdTotEnMet],"&gt;"&amp;($A704+20/24))</f>
        <v/>
      </c>
      <c r="Y704" s="20">
        <f>COUNTIFS(tData[SEHTrajectPeriodeDatumTijdVan],"&lt;="&amp;($A704+21/24),tData[SEHTrajectPeriodeDatumTijdTotEnMet],"&gt;"&amp;($A704+21/24))</f>
        <v/>
      </c>
      <c r="Z704" s="20">
        <f>COUNTIFS(tData[SEHTrajectPeriodeDatumTijdVan],"&lt;="&amp;($A704+22/24),tData[SEHTrajectPeriodeDatumTijdTotEnMet],"&gt;"&amp;($A704+22/24))</f>
        <v/>
      </c>
      <c r="AA704" s="20">
        <f>COUNTIFS(tData[SEHTrajectPeriodeDatumTijdVan],"&lt;="&amp;($A704+23/24),tData[SEHTrajectPeriodeDatumTijdTotEnMet],"&gt;"&amp;($A704+23/24))</f>
        <v/>
      </c>
    </row>
    <row r="705">
      <c r="A705" s="19" t="n">
        <v>45993</v>
      </c>
      <c r="B705" s="15">
        <f>WEEKDAY($A705,2)</f>
        <v/>
      </c>
      <c r="C705" s="15">
        <f>IF(AND($A705&gt;=INT(Instellingen!$B$5),$A705&lt;=INT(Instellingen!$B$6)),1,0)</f>
        <v/>
      </c>
      <c r="D705" s="20">
        <f>COUNTIFS(tData[SEHTrajectPeriodeDatumTijdVan],"&lt;="&amp;($A705+0/24),tData[SEHTrajectPeriodeDatumTijdTotEnMet],"&gt;"&amp;($A705+0/24))</f>
        <v/>
      </c>
      <c r="E705" s="20">
        <f>COUNTIFS(tData[SEHTrajectPeriodeDatumTijdVan],"&lt;="&amp;($A705+1/24),tData[SEHTrajectPeriodeDatumTijdTotEnMet],"&gt;"&amp;($A705+1/24))</f>
        <v/>
      </c>
      <c r="F705" s="20">
        <f>COUNTIFS(tData[SEHTrajectPeriodeDatumTijdVan],"&lt;="&amp;($A705+2/24),tData[SEHTrajectPeriodeDatumTijdTotEnMet],"&gt;"&amp;($A705+2/24))</f>
        <v/>
      </c>
      <c r="G705" s="20">
        <f>COUNTIFS(tData[SEHTrajectPeriodeDatumTijdVan],"&lt;="&amp;($A705+3/24),tData[SEHTrajectPeriodeDatumTijdTotEnMet],"&gt;"&amp;($A705+3/24))</f>
        <v/>
      </c>
      <c r="H705" s="20">
        <f>COUNTIFS(tData[SEHTrajectPeriodeDatumTijdVan],"&lt;="&amp;($A705+4/24),tData[SEHTrajectPeriodeDatumTijdTotEnMet],"&gt;"&amp;($A705+4/24))</f>
        <v/>
      </c>
      <c r="I705" s="20">
        <f>COUNTIFS(tData[SEHTrajectPeriodeDatumTijdVan],"&lt;="&amp;($A705+5/24),tData[SEHTrajectPeriodeDatumTijdTotEnMet],"&gt;"&amp;($A705+5/24))</f>
        <v/>
      </c>
      <c r="J705" s="20">
        <f>COUNTIFS(tData[SEHTrajectPeriodeDatumTijdVan],"&lt;="&amp;($A705+6/24),tData[SEHTrajectPeriodeDatumTijdTotEnMet],"&gt;"&amp;($A705+6/24))</f>
        <v/>
      </c>
      <c r="K705" s="20">
        <f>COUNTIFS(tData[SEHTrajectPeriodeDatumTijdVan],"&lt;="&amp;($A705+7/24),tData[SEHTrajectPeriodeDatumTijdTotEnMet],"&gt;"&amp;($A705+7/24))</f>
        <v/>
      </c>
      <c r="L705" s="20">
        <f>COUNTIFS(tData[SEHTrajectPeriodeDatumTijdVan],"&lt;="&amp;($A705+8/24),tData[SEHTrajectPeriodeDatumTijdTotEnMet],"&gt;"&amp;($A705+8/24))</f>
        <v/>
      </c>
      <c r="M705" s="20">
        <f>COUNTIFS(tData[SEHTrajectPeriodeDatumTijdVan],"&lt;="&amp;($A705+9/24),tData[SEHTrajectPeriodeDatumTijdTotEnMet],"&gt;"&amp;($A705+9/24))</f>
        <v/>
      </c>
      <c r="N705" s="20">
        <f>COUNTIFS(tData[SEHTrajectPeriodeDatumTijdVan],"&lt;="&amp;($A705+10/24),tData[SEHTrajectPeriodeDatumTijdTotEnMet],"&gt;"&amp;($A705+10/24))</f>
        <v/>
      </c>
      <c r="O705" s="20">
        <f>COUNTIFS(tData[SEHTrajectPeriodeDatumTijdVan],"&lt;="&amp;($A705+11/24),tData[SEHTrajectPeriodeDatumTijdTotEnMet],"&gt;"&amp;($A705+11/24))</f>
        <v/>
      </c>
      <c r="P705" s="20">
        <f>COUNTIFS(tData[SEHTrajectPeriodeDatumTijdVan],"&lt;="&amp;($A705+12/24),tData[SEHTrajectPeriodeDatumTijdTotEnMet],"&gt;"&amp;($A705+12/24))</f>
        <v/>
      </c>
      <c r="Q705" s="20">
        <f>COUNTIFS(tData[SEHTrajectPeriodeDatumTijdVan],"&lt;="&amp;($A705+13/24),tData[SEHTrajectPeriodeDatumTijdTotEnMet],"&gt;"&amp;($A705+13/24))</f>
        <v/>
      </c>
      <c r="R705" s="20">
        <f>COUNTIFS(tData[SEHTrajectPeriodeDatumTijdVan],"&lt;="&amp;($A705+14/24),tData[SEHTrajectPeriodeDatumTijdTotEnMet],"&gt;"&amp;($A705+14/24))</f>
        <v/>
      </c>
      <c r="S705" s="20">
        <f>COUNTIFS(tData[SEHTrajectPeriodeDatumTijdVan],"&lt;="&amp;($A705+15/24),tData[SEHTrajectPeriodeDatumTijdTotEnMet],"&gt;"&amp;($A705+15/24))</f>
        <v/>
      </c>
      <c r="T705" s="20">
        <f>COUNTIFS(tData[SEHTrajectPeriodeDatumTijdVan],"&lt;="&amp;($A705+16/24),tData[SEHTrajectPeriodeDatumTijdTotEnMet],"&gt;"&amp;($A705+16/24))</f>
        <v/>
      </c>
      <c r="U705" s="20">
        <f>COUNTIFS(tData[SEHTrajectPeriodeDatumTijdVan],"&lt;="&amp;($A705+17/24),tData[SEHTrajectPeriodeDatumTijdTotEnMet],"&gt;"&amp;($A705+17/24))</f>
        <v/>
      </c>
      <c r="V705" s="20">
        <f>COUNTIFS(tData[SEHTrajectPeriodeDatumTijdVan],"&lt;="&amp;($A705+18/24),tData[SEHTrajectPeriodeDatumTijdTotEnMet],"&gt;"&amp;($A705+18/24))</f>
        <v/>
      </c>
      <c r="W705" s="20">
        <f>COUNTIFS(tData[SEHTrajectPeriodeDatumTijdVan],"&lt;="&amp;($A705+19/24),tData[SEHTrajectPeriodeDatumTijdTotEnMet],"&gt;"&amp;($A705+19/24))</f>
        <v/>
      </c>
      <c r="X705" s="20">
        <f>COUNTIFS(tData[SEHTrajectPeriodeDatumTijdVan],"&lt;="&amp;($A705+20/24),tData[SEHTrajectPeriodeDatumTijdTotEnMet],"&gt;"&amp;($A705+20/24))</f>
        <v/>
      </c>
      <c r="Y705" s="20">
        <f>COUNTIFS(tData[SEHTrajectPeriodeDatumTijdVan],"&lt;="&amp;($A705+21/24),tData[SEHTrajectPeriodeDatumTijdTotEnMet],"&gt;"&amp;($A705+21/24))</f>
        <v/>
      </c>
      <c r="Z705" s="20">
        <f>COUNTIFS(tData[SEHTrajectPeriodeDatumTijdVan],"&lt;="&amp;($A705+22/24),tData[SEHTrajectPeriodeDatumTijdTotEnMet],"&gt;"&amp;($A705+22/24))</f>
        <v/>
      </c>
      <c r="AA705" s="20">
        <f>COUNTIFS(tData[SEHTrajectPeriodeDatumTijdVan],"&lt;="&amp;($A705+23/24),tData[SEHTrajectPeriodeDatumTijdTotEnMet],"&gt;"&amp;($A705+23/24))</f>
        <v/>
      </c>
    </row>
    <row r="706">
      <c r="A706" s="19" t="n">
        <v>45994</v>
      </c>
      <c r="B706" s="15">
        <f>WEEKDAY($A706,2)</f>
        <v/>
      </c>
      <c r="C706" s="15">
        <f>IF(AND($A706&gt;=INT(Instellingen!$B$5),$A706&lt;=INT(Instellingen!$B$6)),1,0)</f>
        <v/>
      </c>
      <c r="D706" s="20">
        <f>COUNTIFS(tData[SEHTrajectPeriodeDatumTijdVan],"&lt;="&amp;($A706+0/24),tData[SEHTrajectPeriodeDatumTijdTotEnMet],"&gt;"&amp;($A706+0/24))</f>
        <v/>
      </c>
      <c r="E706" s="20">
        <f>COUNTIFS(tData[SEHTrajectPeriodeDatumTijdVan],"&lt;="&amp;($A706+1/24),tData[SEHTrajectPeriodeDatumTijdTotEnMet],"&gt;"&amp;($A706+1/24))</f>
        <v/>
      </c>
      <c r="F706" s="20">
        <f>COUNTIFS(tData[SEHTrajectPeriodeDatumTijdVan],"&lt;="&amp;($A706+2/24),tData[SEHTrajectPeriodeDatumTijdTotEnMet],"&gt;"&amp;($A706+2/24))</f>
        <v/>
      </c>
      <c r="G706" s="20">
        <f>COUNTIFS(tData[SEHTrajectPeriodeDatumTijdVan],"&lt;="&amp;($A706+3/24),tData[SEHTrajectPeriodeDatumTijdTotEnMet],"&gt;"&amp;($A706+3/24))</f>
        <v/>
      </c>
      <c r="H706" s="20">
        <f>COUNTIFS(tData[SEHTrajectPeriodeDatumTijdVan],"&lt;="&amp;($A706+4/24),tData[SEHTrajectPeriodeDatumTijdTotEnMet],"&gt;"&amp;($A706+4/24))</f>
        <v/>
      </c>
      <c r="I706" s="20">
        <f>COUNTIFS(tData[SEHTrajectPeriodeDatumTijdVan],"&lt;="&amp;($A706+5/24),tData[SEHTrajectPeriodeDatumTijdTotEnMet],"&gt;"&amp;($A706+5/24))</f>
        <v/>
      </c>
      <c r="J706" s="20">
        <f>COUNTIFS(tData[SEHTrajectPeriodeDatumTijdVan],"&lt;="&amp;($A706+6/24),tData[SEHTrajectPeriodeDatumTijdTotEnMet],"&gt;"&amp;($A706+6/24))</f>
        <v/>
      </c>
      <c r="K706" s="20">
        <f>COUNTIFS(tData[SEHTrajectPeriodeDatumTijdVan],"&lt;="&amp;($A706+7/24),tData[SEHTrajectPeriodeDatumTijdTotEnMet],"&gt;"&amp;($A706+7/24))</f>
        <v/>
      </c>
      <c r="L706" s="20">
        <f>COUNTIFS(tData[SEHTrajectPeriodeDatumTijdVan],"&lt;="&amp;($A706+8/24),tData[SEHTrajectPeriodeDatumTijdTotEnMet],"&gt;"&amp;($A706+8/24))</f>
        <v/>
      </c>
      <c r="M706" s="20">
        <f>COUNTIFS(tData[SEHTrajectPeriodeDatumTijdVan],"&lt;="&amp;($A706+9/24),tData[SEHTrajectPeriodeDatumTijdTotEnMet],"&gt;"&amp;($A706+9/24))</f>
        <v/>
      </c>
      <c r="N706" s="20">
        <f>COUNTIFS(tData[SEHTrajectPeriodeDatumTijdVan],"&lt;="&amp;($A706+10/24),tData[SEHTrajectPeriodeDatumTijdTotEnMet],"&gt;"&amp;($A706+10/24))</f>
        <v/>
      </c>
      <c r="O706" s="20">
        <f>COUNTIFS(tData[SEHTrajectPeriodeDatumTijdVan],"&lt;="&amp;($A706+11/24),tData[SEHTrajectPeriodeDatumTijdTotEnMet],"&gt;"&amp;($A706+11/24))</f>
        <v/>
      </c>
      <c r="P706" s="20">
        <f>COUNTIFS(tData[SEHTrajectPeriodeDatumTijdVan],"&lt;="&amp;($A706+12/24),tData[SEHTrajectPeriodeDatumTijdTotEnMet],"&gt;"&amp;($A706+12/24))</f>
        <v/>
      </c>
      <c r="Q706" s="20">
        <f>COUNTIFS(tData[SEHTrajectPeriodeDatumTijdVan],"&lt;="&amp;($A706+13/24),tData[SEHTrajectPeriodeDatumTijdTotEnMet],"&gt;"&amp;($A706+13/24))</f>
        <v/>
      </c>
      <c r="R706" s="20">
        <f>COUNTIFS(tData[SEHTrajectPeriodeDatumTijdVan],"&lt;="&amp;($A706+14/24),tData[SEHTrajectPeriodeDatumTijdTotEnMet],"&gt;"&amp;($A706+14/24))</f>
        <v/>
      </c>
      <c r="S706" s="20">
        <f>COUNTIFS(tData[SEHTrajectPeriodeDatumTijdVan],"&lt;="&amp;($A706+15/24),tData[SEHTrajectPeriodeDatumTijdTotEnMet],"&gt;"&amp;($A706+15/24))</f>
        <v/>
      </c>
      <c r="T706" s="20">
        <f>COUNTIFS(tData[SEHTrajectPeriodeDatumTijdVan],"&lt;="&amp;($A706+16/24),tData[SEHTrajectPeriodeDatumTijdTotEnMet],"&gt;"&amp;($A706+16/24))</f>
        <v/>
      </c>
      <c r="U706" s="20">
        <f>COUNTIFS(tData[SEHTrajectPeriodeDatumTijdVan],"&lt;="&amp;($A706+17/24),tData[SEHTrajectPeriodeDatumTijdTotEnMet],"&gt;"&amp;($A706+17/24))</f>
        <v/>
      </c>
      <c r="V706" s="20">
        <f>COUNTIFS(tData[SEHTrajectPeriodeDatumTijdVan],"&lt;="&amp;($A706+18/24),tData[SEHTrajectPeriodeDatumTijdTotEnMet],"&gt;"&amp;($A706+18/24))</f>
        <v/>
      </c>
      <c r="W706" s="20">
        <f>COUNTIFS(tData[SEHTrajectPeriodeDatumTijdVan],"&lt;="&amp;($A706+19/24),tData[SEHTrajectPeriodeDatumTijdTotEnMet],"&gt;"&amp;($A706+19/24))</f>
        <v/>
      </c>
      <c r="X706" s="20">
        <f>COUNTIFS(tData[SEHTrajectPeriodeDatumTijdVan],"&lt;="&amp;($A706+20/24),tData[SEHTrajectPeriodeDatumTijdTotEnMet],"&gt;"&amp;($A706+20/24))</f>
        <v/>
      </c>
      <c r="Y706" s="20">
        <f>COUNTIFS(tData[SEHTrajectPeriodeDatumTijdVan],"&lt;="&amp;($A706+21/24),tData[SEHTrajectPeriodeDatumTijdTotEnMet],"&gt;"&amp;($A706+21/24))</f>
        <v/>
      </c>
      <c r="Z706" s="20">
        <f>COUNTIFS(tData[SEHTrajectPeriodeDatumTijdVan],"&lt;="&amp;($A706+22/24),tData[SEHTrajectPeriodeDatumTijdTotEnMet],"&gt;"&amp;($A706+22/24))</f>
        <v/>
      </c>
      <c r="AA706" s="20">
        <f>COUNTIFS(tData[SEHTrajectPeriodeDatumTijdVan],"&lt;="&amp;($A706+23/24),tData[SEHTrajectPeriodeDatumTijdTotEnMet],"&gt;"&amp;($A706+23/24))</f>
        <v/>
      </c>
    </row>
    <row r="707">
      <c r="A707" s="19" t="n">
        <v>45995</v>
      </c>
      <c r="B707" s="15">
        <f>WEEKDAY($A707,2)</f>
        <v/>
      </c>
      <c r="C707" s="15">
        <f>IF(AND($A707&gt;=INT(Instellingen!$B$5),$A707&lt;=INT(Instellingen!$B$6)),1,0)</f>
        <v/>
      </c>
      <c r="D707" s="20">
        <f>COUNTIFS(tData[SEHTrajectPeriodeDatumTijdVan],"&lt;="&amp;($A707+0/24),tData[SEHTrajectPeriodeDatumTijdTotEnMet],"&gt;"&amp;($A707+0/24))</f>
        <v/>
      </c>
      <c r="E707" s="20">
        <f>COUNTIFS(tData[SEHTrajectPeriodeDatumTijdVan],"&lt;="&amp;($A707+1/24),tData[SEHTrajectPeriodeDatumTijdTotEnMet],"&gt;"&amp;($A707+1/24))</f>
        <v/>
      </c>
      <c r="F707" s="20">
        <f>COUNTIFS(tData[SEHTrajectPeriodeDatumTijdVan],"&lt;="&amp;($A707+2/24),tData[SEHTrajectPeriodeDatumTijdTotEnMet],"&gt;"&amp;($A707+2/24))</f>
        <v/>
      </c>
      <c r="G707" s="20">
        <f>COUNTIFS(tData[SEHTrajectPeriodeDatumTijdVan],"&lt;="&amp;($A707+3/24),tData[SEHTrajectPeriodeDatumTijdTotEnMet],"&gt;"&amp;($A707+3/24))</f>
        <v/>
      </c>
      <c r="H707" s="20">
        <f>COUNTIFS(tData[SEHTrajectPeriodeDatumTijdVan],"&lt;="&amp;($A707+4/24),tData[SEHTrajectPeriodeDatumTijdTotEnMet],"&gt;"&amp;($A707+4/24))</f>
        <v/>
      </c>
      <c r="I707" s="20">
        <f>COUNTIFS(tData[SEHTrajectPeriodeDatumTijdVan],"&lt;="&amp;($A707+5/24),tData[SEHTrajectPeriodeDatumTijdTotEnMet],"&gt;"&amp;($A707+5/24))</f>
        <v/>
      </c>
      <c r="J707" s="20">
        <f>COUNTIFS(tData[SEHTrajectPeriodeDatumTijdVan],"&lt;="&amp;($A707+6/24),tData[SEHTrajectPeriodeDatumTijdTotEnMet],"&gt;"&amp;($A707+6/24))</f>
        <v/>
      </c>
      <c r="K707" s="20">
        <f>COUNTIFS(tData[SEHTrajectPeriodeDatumTijdVan],"&lt;="&amp;($A707+7/24),tData[SEHTrajectPeriodeDatumTijdTotEnMet],"&gt;"&amp;($A707+7/24))</f>
        <v/>
      </c>
      <c r="L707" s="20">
        <f>COUNTIFS(tData[SEHTrajectPeriodeDatumTijdVan],"&lt;="&amp;($A707+8/24),tData[SEHTrajectPeriodeDatumTijdTotEnMet],"&gt;"&amp;($A707+8/24))</f>
        <v/>
      </c>
      <c r="M707" s="20">
        <f>COUNTIFS(tData[SEHTrajectPeriodeDatumTijdVan],"&lt;="&amp;($A707+9/24),tData[SEHTrajectPeriodeDatumTijdTotEnMet],"&gt;"&amp;($A707+9/24))</f>
        <v/>
      </c>
      <c r="N707" s="20">
        <f>COUNTIFS(tData[SEHTrajectPeriodeDatumTijdVan],"&lt;="&amp;($A707+10/24),tData[SEHTrajectPeriodeDatumTijdTotEnMet],"&gt;"&amp;($A707+10/24))</f>
        <v/>
      </c>
      <c r="O707" s="20">
        <f>COUNTIFS(tData[SEHTrajectPeriodeDatumTijdVan],"&lt;="&amp;($A707+11/24),tData[SEHTrajectPeriodeDatumTijdTotEnMet],"&gt;"&amp;($A707+11/24))</f>
        <v/>
      </c>
      <c r="P707" s="20">
        <f>COUNTIFS(tData[SEHTrajectPeriodeDatumTijdVan],"&lt;="&amp;($A707+12/24),tData[SEHTrajectPeriodeDatumTijdTotEnMet],"&gt;"&amp;($A707+12/24))</f>
        <v/>
      </c>
      <c r="Q707" s="20">
        <f>COUNTIFS(tData[SEHTrajectPeriodeDatumTijdVan],"&lt;="&amp;($A707+13/24),tData[SEHTrajectPeriodeDatumTijdTotEnMet],"&gt;"&amp;($A707+13/24))</f>
        <v/>
      </c>
      <c r="R707" s="20">
        <f>COUNTIFS(tData[SEHTrajectPeriodeDatumTijdVan],"&lt;="&amp;($A707+14/24),tData[SEHTrajectPeriodeDatumTijdTotEnMet],"&gt;"&amp;($A707+14/24))</f>
        <v/>
      </c>
      <c r="S707" s="20">
        <f>COUNTIFS(tData[SEHTrajectPeriodeDatumTijdVan],"&lt;="&amp;($A707+15/24),tData[SEHTrajectPeriodeDatumTijdTotEnMet],"&gt;"&amp;($A707+15/24))</f>
        <v/>
      </c>
      <c r="T707" s="20">
        <f>COUNTIFS(tData[SEHTrajectPeriodeDatumTijdVan],"&lt;="&amp;($A707+16/24),tData[SEHTrajectPeriodeDatumTijdTotEnMet],"&gt;"&amp;($A707+16/24))</f>
        <v/>
      </c>
      <c r="U707" s="20">
        <f>COUNTIFS(tData[SEHTrajectPeriodeDatumTijdVan],"&lt;="&amp;($A707+17/24),tData[SEHTrajectPeriodeDatumTijdTotEnMet],"&gt;"&amp;($A707+17/24))</f>
        <v/>
      </c>
      <c r="V707" s="20">
        <f>COUNTIFS(tData[SEHTrajectPeriodeDatumTijdVan],"&lt;="&amp;($A707+18/24),tData[SEHTrajectPeriodeDatumTijdTotEnMet],"&gt;"&amp;($A707+18/24))</f>
        <v/>
      </c>
      <c r="W707" s="20">
        <f>COUNTIFS(tData[SEHTrajectPeriodeDatumTijdVan],"&lt;="&amp;($A707+19/24),tData[SEHTrajectPeriodeDatumTijdTotEnMet],"&gt;"&amp;($A707+19/24))</f>
        <v/>
      </c>
      <c r="X707" s="20">
        <f>COUNTIFS(tData[SEHTrajectPeriodeDatumTijdVan],"&lt;="&amp;($A707+20/24),tData[SEHTrajectPeriodeDatumTijdTotEnMet],"&gt;"&amp;($A707+20/24))</f>
        <v/>
      </c>
      <c r="Y707" s="20">
        <f>COUNTIFS(tData[SEHTrajectPeriodeDatumTijdVan],"&lt;="&amp;($A707+21/24),tData[SEHTrajectPeriodeDatumTijdTotEnMet],"&gt;"&amp;($A707+21/24))</f>
        <v/>
      </c>
      <c r="Z707" s="20">
        <f>COUNTIFS(tData[SEHTrajectPeriodeDatumTijdVan],"&lt;="&amp;($A707+22/24),tData[SEHTrajectPeriodeDatumTijdTotEnMet],"&gt;"&amp;($A707+22/24))</f>
        <v/>
      </c>
      <c r="AA707" s="20">
        <f>COUNTIFS(tData[SEHTrajectPeriodeDatumTijdVan],"&lt;="&amp;($A707+23/24),tData[SEHTrajectPeriodeDatumTijdTotEnMet],"&gt;"&amp;($A707+23/24))</f>
        <v/>
      </c>
    </row>
    <row r="708">
      <c r="A708" s="19" t="n">
        <v>45996</v>
      </c>
      <c r="B708" s="15">
        <f>WEEKDAY($A708,2)</f>
        <v/>
      </c>
      <c r="C708" s="15">
        <f>IF(AND($A708&gt;=INT(Instellingen!$B$5),$A708&lt;=INT(Instellingen!$B$6)),1,0)</f>
        <v/>
      </c>
      <c r="D708" s="20">
        <f>COUNTIFS(tData[SEHTrajectPeriodeDatumTijdVan],"&lt;="&amp;($A708+0/24),tData[SEHTrajectPeriodeDatumTijdTotEnMet],"&gt;"&amp;($A708+0/24))</f>
        <v/>
      </c>
      <c r="E708" s="20">
        <f>COUNTIFS(tData[SEHTrajectPeriodeDatumTijdVan],"&lt;="&amp;($A708+1/24),tData[SEHTrajectPeriodeDatumTijdTotEnMet],"&gt;"&amp;($A708+1/24))</f>
        <v/>
      </c>
      <c r="F708" s="20">
        <f>COUNTIFS(tData[SEHTrajectPeriodeDatumTijdVan],"&lt;="&amp;($A708+2/24),tData[SEHTrajectPeriodeDatumTijdTotEnMet],"&gt;"&amp;($A708+2/24))</f>
        <v/>
      </c>
      <c r="G708" s="20">
        <f>COUNTIFS(tData[SEHTrajectPeriodeDatumTijdVan],"&lt;="&amp;($A708+3/24),tData[SEHTrajectPeriodeDatumTijdTotEnMet],"&gt;"&amp;($A708+3/24))</f>
        <v/>
      </c>
      <c r="H708" s="20">
        <f>COUNTIFS(tData[SEHTrajectPeriodeDatumTijdVan],"&lt;="&amp;($A708+4/24),tData[SEHTrajectPeriodeDatumTijdTotEnMet],"&gt;"&amp;($A708+4/24))</f>
        <v/>
      </c>
      <c r="I708" s="20">
        <f>COUNTIFS(tData[SEHTrajectPeriodeDatumTijdVan],"&lt;="&amp;($A708+5/24),tData[SEHTrajectPeriodeDatumTijdTotEnMet],"&gt;"&amp;($A708+5/24))</f>
        <v/>
      </c>
      <c r="J708" s="20">
        <f>COUNTIFS(tData[SEHTrajectPeriodeDatumTijdVan],"&lt;="&amp;($A708+6/24),tData[SEHTrajectPeriodeDatumTijdTotEnMet],"&gt;"&amp;($A708+6/24))</f>
        <v/>
      </c>
      <c r="K708" s="20">
        <f>COUNTIFS(tData[SEHTrajectPeriodeDatumTijdVan],"&lt;="&amp;($A708+7/24),tData[SEHTrajectPeriodeDatumTijdTotEnMet],"&gt;"&amp;($A708+7/24))</f>
        <v/>
      </c>
      <c r="L708" s="20">
        <f>COUNTIFS(tData[SEHTrajectPeriodeDatumTijdVan],"&lt;="&amp;($A708+8/24),tData[SEHTrajectPeriodeDatumTijdTotEnMet],"&gt;"&amp;($A708+8/24))</f>
        <v/>
      </c>
      <c r="M708" s="20">
        <f>COUNTIFS(tData[SEHTrajectPeriodeDatumTijdVan],"&lt;="&amp;($A708+9/24),tData[SEHTrajectPeriodeDatumTijdTotEnMet],"&gt;"&amp;($A708+9/24))</f>
        <v/>
      </c>
      <c r="N708" s="20">
        <f>COUNTIFS(tData[SEHTrajectPeriodeDatumTijdVan],"&lt;="&amp;($A708+10/24),tData[SEHTrajectPeriodeDatumTijdTotEnMet],"&gt;"&amp;($A708+10/24))</f>
        <v/>
      </c>
      <c r="O708" s="20">
        <f>COUNTIFS(tData[SEHTrajectPeriodeDatumTijdVan],"&lt;="&amp;($A708+11/24),tData[SEHTrajectPeriodeDatumTijdTotEnMet],"&gt;"&amp;($A708+11/24))</f>
        <v/>
      </c>
      <c r="P708" s="20">
        <f>COUNTIFS(tData[SEHTrajectPeriodeDatumTijdVan],"&lt;="&amp;($A708+12/24),tData[SEHTrajectPeriodeDatumTijdTotEnMet],"&gt;"&amp;($A708+12/24))</f>
        <v/>
      </c>
      <c r="Q708" s="20">
        <f>COUNTIFS(tData[SEHTrajectPeriodeDatumTijdVan],"&lt;="&amp;($A708+13/24),tData[SEHTrajectPeriodeDatumTijdTotEnMet],"&gt;"&amp;($A708+13/24))</f>
        <v/>
      </c>
      <c r="R708" s="20">
        <f>COUNTIFS(tData[SEHTrajectPeriodeDatumTijdVan],"&lt;="&amp;($A708+14/24),tData[SEHTrajectPeriodeDatumTijdTotEnMet],"&gt;"&amp;($A708+14/24))</f>
        <v/>
      </c>
      <c r="S708" s="20">
        <f>COUNTIFS(tData[SEHTrajectPeriodeDatumTijdVan],"&lt;="&amp;($A708+15/24),tData[SEHTrajectPeriodeDatumTijdTotEnMet],"&gt;"&amp;($A708+15/24))</f>
        <v/>
      </c>
      <c r="T708" s="20">
        <f>COUNTIFS(tData[SEHTrajectPeriodeDatumTijdVan],"&lt;="&amp;($A708+16/24),tData[SEHTrajectPeriodeDatumTijdTotEnMet],"&gt;"&amp;($A708+16/24))</f>
        <v/>
      </c>
      <c r="U708" s="20">
        <f>COUNTIFS(tData[SEHTrajectPeriodeDatumTijdVan],"&lt;="&amp;($A708+17/24),tData[SEHTrajectPeriodeDatumTijdTotEnMet],"&gt;"&amp;($A708+17/24))</f>
        <v/>
      </c>
      <c r="V708" s="20">
        <f>COUNTIFS(tData[SEHTrajectPeriodeDatumTijdVan],"&lt;="&amp;($A708+18/24),tData[SEHTrajectPeriodeDatumTijdTotEnMet],"&gt;"&amp;($A708+18/24))</f>
        <v/>
      </c>
      <c r="W708" s="20">
        <f>COUNTIFS(tData[SEHTrajectPeriodeDatumTijdVan],"&lt;="&amp;($A708+19/24),tData[SEHTrajectPeriodeDatumTijdTotEnMet],"&gt;"&amp;($A708+19/24))</f>
        <v/>
      </c>
      <c r="X708" s="20">
        <f>COUNTIFS(tData[SEHTrajectPeriodeDatumTijdVan],"&lt;="&amp;($A708+20/24),tData[SEHTrajectPeriodeDatumTijdTotEnMet],"&gt;"&amp;($A708+20/24))</f>
        <v/>
      </c>
      <c r="Y708" s="20">
        <f>COUNTIFS(tData[SEHTrajectPeriodeDatumTijdVan],"&lt;="&amp;($A708+21/24),tData[SEHTrajectPeriodeDatumTijdTotEnMet],"&gt;"&amp;($A708+21/24))</f>
        <v/>
      </c>
      <c r="Z708" s="20">
        <f>COUNTIFS(tData[SEHTrajectPeriodeDatumTijdVan],"&lt;="&amp;($A708+22/24),tData[SEHTrajectPeriodeDatumTijdTotEnMet],"&gt;"&amp;($A708+22/24))</f>
        <v/>
      </c>
      <c r="AA708" s="20">
        <f>COUNTIFS(tData[SEHTrajectPeriodeDatumTijdVan],"&lt;="&amp;($A708+23/24),tData[SEHTrajectPeriodeDatumTijdTotEnMet],"&gt;"&amp;($A708+23/24))</f>
        <v/>
      </c>
    </row>
    <row r="709">
      <c r="A709" s="19" t="n">
        <v>45997</v>
      </c>
      <c r="B709" s="15">
        <f>WEEKDAY($A709,2)</f>
        <v/>
      </c>
      <c r="C709" s="15">
        <f>IF(AND($A709&gt;=INT(Instellingen!$B$5),$A709&lt;=INT(Instellingen!$B$6)),1,0)</f>
        <v/>
      </c>
      <c r="D709" s="20">
        <f>COUNTIFS(tData[SEHTrajectPeriodeDatumTijdVan],"&lt;="&amp;($A709+0/24),tData[SEHTrajectPeriodeDatumTijdTotEnMet],"&gt;"&amp;($A709+0/24))</f>
        <v/>
      </c>
      <c r="E709" s="20">
        <f>COUNTIFS(tData[SEHTrajectPeriodeDatumTijdVan],"&lt;="&amp;($A709+1/24),tData[SEHTrajectPeriodeDatumTijdTotEnMet],"&gt;"&amp;($A709+1/24))</f>
        <v/>
      </c>
      <c r="F709" s="20">
        <f>COUNTIFS(tData[SEHTrajectPeriodeDatumTijdVan],"&lt;="&amp;($A709+2/24),tData[SEHTrajectPeriodeDatumTijdTotEnMet],"&gt;"&amp;($A709+2/24))</f>
        <v/>
      </c>
      <c r="G709" s="20">
        <f>COUNTIFS(tData[SEHTrajectPeriodeDatumTijdVan],"&lt;="&amp;($A709+3/24),tData[SEHTrajectPeriodeDatumTijdTotEnMet],"&gt;"&amp;($A709+3/24))</f>
        <v/>
      </c>
      <c r="H709" s="20">
        <f>COUNTIFS(tData[SEHTrajectPeriodeDatumTijdVan],"&lt;="&amp;($A709+4/24),tData[SEHTrajectPeriodeDatumTijdTotEnMet],"&gt;"&amp;($A709+4/24))</f>
        <v/>
      </c>
      <c r="I709" s="20">
        <f>COUNTIFS(tData[SEHTrajectPeriodeDatumTijdVan],"&lt;="&amp;($A709+5/24),tData[SEHTrajectPeriodeDatumTijdTotEnMet],"&gt;"&amp;($A709+5/24))</f>
        <v/>
      </c>
      <c r="J709" s="20">
        <f>COUNTIFS(tData[SEHTrajectPeriodeDatumTijdVan],"&lt;="&amp;($A709+6/24),tData[SEHTrajectPeriodeDatumTijdTotEnMet],"&gt;"&amp;($A709+6/24))</f>
        <v/>
      </c>
      <c r="K709" s="20">
        <f>COUNTIFS(tData[SEHTrajectPeriodeDatumTijdVan],"&lt;="&amp;($A709+7/24),tData[SEHTrajectPeriodeDatumTijdTotEnMet],"&gt;"&amp;($A709+7/24))</f>
        <v/>
      </c>
      <c r="L709" s="20">
        <f>COUNTIFS(tData[SEHTrajectPeriodeDatumTijdVan],"&lt;="&amp;($A709+8/24),tData[SEHTrajectPeriodeDatumTijdTotEnMet],"&gt;"&amp;($A709+8/24))</f>
        <v/>
      </c>
      <c r="M709" s="20">
        <f>COUNTIFS(tData[SEHTrajectPeriodeDatumTijdVan],"&lt;="&amp;($A709+9/24),tData[SEHTrajectPeriodeDatumTijdTotEnMet],"&gt;"&amp;($A709+9/24))</f>
        <v/>
      </c>
      <c r="N709" s="20">
        <f>COUNTIFS(tData[SEHTrajectPeriodeDatumTijdVan],"&lt;="&amp;($A709+10/24),tData[SEHTrajectPeriodeDatumTijdTotEnMet],"&gt;"&amp;($A709+10/24))</f>
        <v/>
      </c>
      <c r="O709" s="20">
        <f>COUNTIFS(tData[SEHTrajectPeriodeDatumTijdVan],"&lt;="&amp;($A709+11/24),tData[SEHTrajectPeriodeDatumTijdTotEnMet],"&gt;"&amp;($A709+11/24))</f>
        <v/>
      </c>
      <c r="P709" s="20">
        <f>COUNTIFS(tData[SEHTrajectPeriodeDatumTijdVan],"&lt;="&amp;($A709+12/24),tData[SEHTrajectPeriodeDatumTijdTotEnMet],"&gt;"&amp;($A709+12/24))</f>
        <v/>
      </c>
      <c r="Q709" s="20">
        <f>COUNTIFS(tData[SEHTrajectPeriodeDatumTijdVan],"&lt;="&amp;($A709+13/24),tData[SEHTrajectPeriodeDatumTijdTotEnMet],"&gt;"&amp;($A709+13/24))</f>
        <v/>
      </c>
      <c r="R709" s="20">
        <f>COUNTIFS(tData[SEHTrajectPeriodeDatumTijdVan],"&lt;="&amp;($A709+14/24),tData[SEHTrajectPeriodeDatumTijdTotEnMet],"&gt;"&amp;($A709+14/24))</f>
        <v/>
      </c>
      <c r="S709" s="20">
        <f>COUNTIFS(tData[SEHTrajectPeriodeDatumTijdVan],"&lt;="&amp;($A709+15/24),tData[SEHTrajectPeriodeDatumTijdTotEnMet],"&gt;"&amp;($A709+15/24))</f>
        <v/>
      </c>
      <c r="T709" s="20">
        <f>COUNTIFS(tData[SEHTrajectPeriodeDatumTijdVan],"&lt;="&amp;($A709+16/24),tData[SEHTrajectPeriodeDatumTijdTotEnMet],"&gt;"&amp;($A709+16/24))</f>
        <v/>
      </c>
      <c r="U709" s="20">
        <f>COUNTIFS(tData[SEHTrajectPeriodeDatumTijdVan],"&lt;="&amp;($A709+17/24),tData[SEHTrajectPeriodeDatumTijdTotEnMet],"&gt;"&amp;($A709+17/24))</f>
        <v/>
      </c>
      <c r="V709" s="20">
        <f>COUNTIFS(tData[SEHTrajectPeriodeDatumTijdVan],"&lt;="&amp;($A709+18/24),tData[SEHTrajectPeriodeDatumTijdTotEnMet],"&gt;"&amp;($A709+18/24))</f>
        <v/>
      </c>
      <c r="W709" s="20">
        <f>COUNTIFS(tData[SEHTrajectPeriodeDatumTijdVan],"&lt;="&amp;($A709+19/24),tData[SEHTrajectPeriodeDatumTijdTotEnMet],"&gt;"&amp;($A709+19/24))</f>
        <v/>
      </c>
      <c r="X709" s="20">
        <f>COUNTIFS(tData[SEHTrajectPeriodeDatumTijdVan],"&lt;="&amp;($A709+20/24),tData[SEHTrajectPeriodeDatumTijdTotEnMet],"&gt;"&amp;($A709+20/24))</f>
        <v/>
      </c>
      <c r="Y709" s="20">
        <f>COUNTIFS(tData[SEHTrajectPeriodeDatumTijdVan],"&lt;="&amp;($A709+21/24),tData[SEHTrajectPeriodeDatumTijdTotEnMet],"&gt;"&amp;($A709+21/24))</f>
        <v/>
      </c>
      <c r="Z709" s="20">
        <f>COUNTIFS(tData[SEHTrajectPeriodeDatumTijdVan],"&lt;="&amp;($A709+22/24),tData[SEHTrajectPeriodeDatumTijdTotEnMet],"&gt;"&amp;($A709+22/24))</f>
        <v/>
      </c>
      <c r="AA709" s="20">
        <f>COUNTIFS(tData[SEHTrajectPeriodeDatumTijdVan],"&lt;="&amp;($A709+23/24),tData[SEHTrajectPeriodeDatumTijdTotEnMet],"&gt;"&amp;($A709+23/24))</f>
        <v/>
      </c>
    </row>
    <row r="710">
      <c r="A710" s="19" t="n">
        <v>45998</v>
      </c>
      <c r="B710" s="15">
        <f>WEEKDAY($A710,2)</f>
        <v/>
      </c>
      <c r="C710" s="15">
        <f>IF(AND($A710&gt;=INT(Instellingen!$B$5),$A710&lt;=INT(Instellingen!$B$6)),1,0)</f>
        <v/>
      </c>
      <c r="D710" s="20">
        <f>COUNTIFS(tData[SEHTrajectPeriodeDatumTijdVan],"&lt;="&amp;($A710+0/24),tData[SEHTrajectPeriodeDatumTijdTotEnMet],"&gt;"&amp;($A710+0/24))</f>
        <v/>
      </c>
      <c r="E710" s="20">
        <f>COUNTIFS(tData[SEHTrajectPeriodeDatumTijdVan],"&lt;="&amp;($A710+1/24),tData[SEHTrajectPeriodeDatumTijdTotEnMet],"&gt;"&amp;($A710+1/24))</f>
        <v/>
      </c>
      <c r="F710" s="20">
        <f>COUNTIFS(tData[SEHTrajectPeriodeDatumTijdVan],"&lt;="&amp;($A710+2/24),tData[SEHTrajectPeriodeDatumTijdTotEnMet],"&gt;"&amp;($A710+2/24))</f>
        <v/>
      </c>
      <c r="G710" s="20">
        <f>COUNTIFS(tData[SEHTrajectPeriodeDatumTijdVan],"&lt;="&amp;($A710+3/24),tData[SEHTrajectPeriodeDatumTijdTotEnMet],"&gt;"&amp;($A710+3/24))</f>
        <v/>
      </c>
      <c r="H710" s="20">
        <f>COUNTIFS(tData[SEHTrajectPeriodeDatumTijdVan],"&lt;="&amp;($A710+4/24),tData[SEHTrajectPeriodeDatumTijdTotEnMet],"&gt;"&amp;($A710+4/24))</f>
        <v/>
      </c>
      <c r="I710" s="20">
        <f>COUNTIFS(tData[SEHTrajectPeriodeDatumTijdVan],"&lt;="&amp;($A710+5/24),tData[SEHTrajectPeriodeDatumTijdTotEnMet],"&gt;"&amp;($A710+5/24))</f>
        <v/>
      </c>
      <c r="J710" s="20">
        <f>COUNTIFS(tData[SEHTrajectPeriodeDatumTijdVan],"&lt;="&amp;($A710+6/24),tData[SEHTrajectPeriodeDatumTijdTotEnMet],"&gt;"&amp;($A710+6/24))</f>
        <v/>
      </c>
      <c r="K710" s="20">
        <f>COUNTIFS(tData[SEHTrajectPeriodeDatumTijdVan],"&lt;="&amp;($A710+7/24),tData[SEHTrajectPeriodeDatumTijdTotEnMet],"&gt;"&amp;($A710+7/24))</f>
        <v/>
      </c>
      <c r="L710" s="20">
        <f>COUNTIFS(tData[SEHTrajectPeriodeDatumTijdVan],"&lt;="&amp;($A710+8/24),tData[SEHTrajectPeriodeDatumTijdTotEnMet],"&gt;"&amp;($A710+8/24))</f>
        <v/>
      </c>
      <c r="M710" s="20">
        <f>COUNTIFS(tData[SEHTrajectPeriodeDatumTijdVan],"&lt;="&amp;($A710+9/24),tData[SEHTrajectPeriodeDatumTijdTotEnMet],"&gt;"&amp;($A710+9/24))</f>
        <v/>
      </c>
      <c r="N710" s="20">
        <f>COUNTIFS(tData[SEHTrajectPeriodeDatumTijdVan],"&lt;="&amp;($A710+10/24),tData[SEHTrajectPeriodeDatumTijdTotEnMet],"&gt;"&amp;($A710+10/24))</f>
        <v/>
      </c>
      <c r="O710" s="20">
        <f>COUNTIFS(tData[SEHTrajectPeriodeDatumTijdVan],"&lt;="&amp;($A710+11/24),tData[SEHTrajectPeriodeDatumTijdTotEnMet],"&gt;"&amp;($A710+11/24))</f>
        <v/>
      </c>
      <c r="P710" s="20">
        <f>COUNTIFS(tData[SEHTrajectPeriodeDatumTijdVan],"&lt;="&amp;($A710+12/24),tData[SEHTrajectPeriodeDatumTijdTotEnMet],"&gt;"&amp;($A710+12/24))</f>
        <v/>
      </c>
      <c r="Q710" s="20">
        <f>COUNTIFS(tData[SEHTrajectPeriodeDatumTijdVan],"&lt;="&amp;($A710+13/24),tData[SEHTrajectPeriodeDatumTijdTotEnMet],"&gt;"&amp;($A710+13/24))</f>
        <v/>
      </c>
      <c r="R710" s="20">
        <f>COUNTIFS(tData[SEHTrajectPeriodeDatumTijdVan],"&lt;="&amp;($A710+14/24),tData[SEHTrajectPeriodeDatumTijdTotEnMet],"&gt;"&amp;($A710+14/24))</f>
        <v/>
      </c>
      <c r="S710" s="20">
        <f>COUNTIFS(tData[SEHTrajectPeriodeDatumTijdVan],"&lt;="&amp;($A710+15/24),tData[SEHTrajectPeriodeDatumTijdTotEnMet],"&gt;"&amp;($A710+15/24))</f>
        <v/>
      </c>
      <c r="T710" s="20">
        <f>COUNTIFS(tData[SEHTrajectPeriodeDatumTijdVan],"&lt;="&amp;($A710+16/24),tData[SEHTrajectPeriodeDatumTijdTotEnMet],"&gt;"&amp;($A710+16/24))</f>
        <v/>
      </c>
      <c r="U710" s="20">
        <f>COUNTIFS(tData[SEHTrajectPeriodeDatumTijdVan],"&lt;="&amp;($A710+17/24),tData[SEHTrajectPeriodeDatumTijdTotEnMet],"&gt;"&amp;($A710+17/24))</f>
        <v/>
      </c>
      <c r="V710" s="20">
        <f>COUNTIFS(tData[SEHTrajectPeriodeDatumTijdVan],"&lt;="&amp;($A710+18/24),tData[SEHTrajectPeriodeDatumTijdTotEnMet],"&gt;"&amp;($A710+18/24))</f>
        <v/>
      </c>
      <c r="W710" s="20">
        <f>COUNTIFS(tData[SEHTrajectPeriodeDatumTijdVan],"&lt;="&amp;($A710+19/24),tData[SEHTrajectPeriodeDatumTijdTotEnMet],"&gt;"&amp;($A710+19/24))</f>
        <v/>
      </c>
      <c r="X710" s="20">
        <f>COUNTIFS(tData[SEHTrajectPeriodeDatumTijdVan],"&lt;="&amp;($A710+20/24),tData[SEHTrajectPeriodeDatumTijdTotEnMet],"&gt;"&amp;($A710+20/24))</f>
        <v/>
      </c>
      <c r="Y710" s="20">
        <f>COUNTIFS(tData[SEHTrajectPeriodeDatumTijdVan],"&lt;="&amp;($A710+21/24),tData[SEHTrajectPeriodeDatumTijdTotEnMet],"&gt;"&amp;($A710+21/24))</f>
        <v/>
      </c>
      <c r="Z710" s="20">
        <f>COUNTIFS(tData[SEHTrajectPeriodeDatumTijdVan],"&lt;="&amp;($A710+22/24),tData[SEHTrajectPeriodeDatumTijdTotEnMet],"&gt;"&amp;($A710+22/24))</f>
        <v/>
      </c>
      <c r="AA710" s="20">
        <f>COUNTIFS(tData[SEHTrajectPeriodeDatumTijdVan],"&lt;="&amp;($A710+23/24),tData[SEHTrajectPeriodeDatumTijdTotEnMet],"&gt;"&amp;($A710+23/24))</f>
        <v/>
      </c>
    </row>
    <row r="711">
      <c r="A711" s="19" t="n">
        <v>45999</v>
      </c>
      <c r="B711" s="15">
        <f>WEEKDAY($A711,2)</f>
        <v/>
      </c>
      <c r="C711" s="15">
        <f>IF(AND($A711&gt;=INT(Instellingen!$B$5),$A711&lt;=INT(Instellingen!$B$6)),1,0)</f>
        <v/>
      </c>
      <c r="D711" s="20">
        <f>COUNTIFS(tData[SEHTrajectPeriodeDatumTijdVan],"&lt;="&amp;($A711+0/24),tData[SEHTrajectPeriodeDatumTijdTotEnMet],"&gt;"&amp;($A711+0/24))</f>
        <v/>
      </c>
      <c r="E711" s="20">
        <f>COUNTIFS(tData[SEHTrajectPeriodeDatumTijdVan],"&lt;="&amp;($A711+1/24),tData[SEHTrajectPeriodeDatumTijdTotEnMet],"&gt;"&amp;($A711+1/24))</f>
        <v/>
      </c>
      <c r="F711" s="20">
        <f>COUNTIFS(tData[SEHTrajectPeriodeDatumTijdVan],"&lt;="&amp;($A711+2/24),tData[SEHTrajectPeriodeDatumTijdTotEnMet],"&gt;"&amp;($A711+2/24))</f>
        <v/>
      </c>
      <c r="G711" s="20">
        <f>COUNTIFS(tData[SEHTrajectPeriodeDatumTijdVan],"&lt;="&amp;($A711+3/24),tData[SEHTrajectPeriodeDatumTijdTotEnMet],"&gt;"&amp;($A711+3/24))</f>
        <v/>
      </c>
      <c r="H711" s="20">
        <f>COUNTIFS(tData[SEHTrajectPeriodeDatumTijdVan],"&lt;="&amp;($A711+4/24),tData[SEHTrajectPeriodeDatumTijdTotEnMet],"&gt;"&amp;($A711+4/24))</f>
        <v/>
      </c>
      <c r="I711" s="20">
        <f>COUNTIFS(tData[SEHTrajectPeriodeDatumTijdVan],"&lt;="&amp;($A711+5/24),tData[SEHTrajectPeriodeDatumTijdTotEnMet],"&gt;"&amp;($A711+5/24))</f>
        <v/>
      </c>
      <c r="J711" s="20">
        <f>COUNTIFS(tData[SEHTrajectPeriodeDatumTijdVan],"&lt;="&amp;($A711+6/24),tData[SEHTrajectPeriodeDatumTijdTotEnMet],"&gt;"&amp;($A711+6/24))</f>
        <v/>
      </c>
      <c r="K711" s="20">
        <f>COUNTIFS(tData[SEHTrajectPeriodeDatumTijdVan],"&lt;="&amp;($A711+7/24),tData[SEHTrajectPeriodeDatumTijdTotEnMet],"&gt;"&amp;($A711+7/24))</f>
        <v/>
      </c>
      <c r="L711" s="20">
        <f>COUNTIFS(tData[SEHTrajectPeriodeDatumTijdVan],"&lt;="&amp;($A711+8/24),tData[SEHTrajectPeriodeDatumTijdTotEnMet],"&gt;"&amp;($A711+8/24))</f>
        <v/>
      </c>
      <c r="M711" s="20">
        <f>COUNTIFS(tData[SEHTrajectPeriodeDatumTijdVan],"&lt;="&amp;($A711+9/24),tData[SEHTrajectPeriodeDatumTijdTotEnMet],"&gt;"&amp;($A711+9/24))</f>
        <v/>
      </c>
      <c r="N711" s="20">
        <f>COUNTIFS(tData[SEHTrajectPeriodeDatumTijdVan],"&lt;="&amp;($A711+10/24),tData[SEHTrajectPeriodeDatumTijdTotEnMet],"&gt;"&amp;($A711+10/24))</f>
        <v/>
      </c>
      <c r="O711" s="20">
        <f>COUNTIFS(tData[SEHTrajectPeriodeDatumTijdVan],"&lt;="&amp;($A711+11/24),tData[SEHTrajectPeriodeDatumTijdTotEnMet],"&gt;"&amp;($A711+11/24))</f>
        <v/>
      </c>
      <c r="P711" s="20">
        <f>COUNTIFS(tData[SEHTrajectPeriodeDatumTijdVan],"&lt;="&amp;($A711+12/24),tData[SEHTrajectPeriodeDatumTijdTotEnMet],"&gt;"&amp;($A711+12/24))</f>
        <v/>
      </c>
      <c r="Q711" s="20">
        <f>COUNTIFS(tData[SEHTrajectPeriodeDatumTijdVan],"&lt;="&amp;($A711+13/24),tData[SEHTrajectPeriodeDatumTijdTotEnMet],"&gt;"&amp;($A711+13/24))</f>
        <v/>
      </c>
      <c r="R711" s="20">
        <f>COUNTIFS(tData[SEHTrajectPeriodeDatumTijdVan],"&lt;="&amp;($A711+14/24),tData[SEHTrajectPeriodeDatumTijdTotEnMet],"&gt;"&amp;($A711+14/24))</f>
        <v/>
      </c>
      <c r="S711" s="20">
        <f>COUNTIFS(tData[SEHTrajectPeriodeDatumTijdVan],"&lt;="&amp;($A711+15/24),tData[SEHTrajectPeriodeDatumTijdTotEnMet],"&gt;"&amp;($A711+15/24))</f>
        <v/>
      </c>
      <c r="T711" s="20">
        <f>COUNTIFS(tData[SEHTrajectPeriodeDatumTijdVan],"&lt;="&amp;($A711+16/24),tData[SEHTrajectPeriodeDatumTijdTotEnMet],"&gt;"&amp;($A711+16/24))</f>
        <v/>
      </c>
      <c r="U711" s="20">
        <f>COUNTIFS(tData[SEHTrajectPeriodeDatumTijdVan],"&lt;="&amp;($A711+17/24),tData[SEHTrajectPeriodeDatumTijdTotEnMet],"&gt;"&amp;($A711+17/24))</f>
        <v/>
      </c>
      <c r="V711" s="20">
        <f>COUNTIFS(tData[SEHTrajectPeriodeDatumTijdVan],"&lt;="&amp;($A711+18/24),tData[SEHTrajectPeriodeDatumTijdTotEnMet],"&gt;"&amp;($A711+18/24))</f>
        <v/>
      </c>
      <c r="W711" s="20">
        <f>COUNTIFS(tData[SEHTrajectPeriodeDatumTijdVan],"&lt;="&amp;($A711+19/24),tData[SEHTrajectPeriodeDatumTijdTotEnMet],"&gt;"&amp;($A711+19/24))</f>
        <v/>
      </c>
      <c r="X711" s="20">
        <f>COUNTIFS(tData[SEHTrajectPeriodeDatumTijdVan],"&lt;="&amp;($A711+20/24),tData[SEHTrajectPeriodeDatumTijdTotEnMet],"&gt;"&amp;($A711+20/24))</f>
        <v/>
      </c>
      <c r="Y711" s="20">
        <f>COUNTIFS(tData[SEHTrajectPeriodeDatumTijdVan],"&lt;="&amp;($A711+21/24),tData[SEHTrajectPeriodeDatumTijdTotEnMet],"&gt;"&amp;($A711+21/24))</f>
        <v/>
      </c>
      <c r="Z711" s="20">
        <f>COUNTIFS(tData[SEHTrajectPeriodeDatumTijdVan],"&lt;="&amp;($A711+22/24),tData[SEHTrajectPeriodeDatumTijdTotEnMet],"&gt;"&amp;($A711+22/24))</f>
        <v/>
      </c>
      <c r="AA711" s="20">
        <f>COUNTIFS(tData[SEHTrajectPeriodeDatumTijdVan],"&lt;="&amp;($A711+23/24),tData[SEHTrajectPeriodeDatumTijdTotEnMet],"&gt;"&amp;($A711+23/24))</f>
        <v/>
      </c>
    </row>
    <row r="712">
      <c r="A712" s="19" t="n">
        <v>46000</v>
      </c>
      <c r="B712" s="15">
        <f>WEEKDAY($A712,2)</f>
        <v/>
      </c>
      <c r="C712" s="15">
        <f>IF(AND($A712&gt;=INT(Instellingen!$B$5),$A712&lt;=INT(Instellingen!$B$6)),1,0)</f>
        <v/>
      </c>
      <c r="D712" s="20">
        <f>COUNTIFS(tData[SEHTrajectPeriodeDatumTijdVan],"&lt;="&amp;($A712+0/24),tData[SEHTrajectPeriodeDatumTijdTotEnMet],"&gt;"&amp;($A712+0/24))</f>
        <v/>
      </c>
      <c r="E712" s="20">
        <f>COUNTIFS(tData[SEHTrajectPeriodeDatumTijdVan],"&lt;="&amp;($A712+1/24),tData[SEHTrajectPeriodeDatumTijdTotEnMet],"&gt;"&amp;($A712+1/24))</f>
        <v/>
      </c>
      <c r="F712" s="20">
        <f>COUNTIFS(tData[SEHTrajectPeriodeDatumTijdVan],"&lt;="&amp;($A712+2/24),tData[SEHTrajectPeriodeDatumTijdTotEnMet],"&gt;"&amp;($A712+2/24))</f>
        <v/>
      </c>
      <c r="G712" s="20">
        <f>COUNTIFS(tData[SEHTrajectPeriodeDatumTijdVan],"&lt;="&amp;($A712+3/24),tData[SEHTrajectPeriodeDatumTijdTotEnMet],"&gt;"&amp;($A712+3/24))</f>
        <v/>
      </c>
      <c r="H712" s="20">
        <f>COUNTIFS(tData[SEHTrajectPeriodeDatumTijdVan],"&lt;="&amp;($A712+4/24),tData[SEHTrajectPeriodeDatumTijdTotEnMet],"&gt;"&amp;($A712+4/24))</f>
        <v/>
      </c>
      <c r="I712" s="20">
        <f>COUNTIFS(tData[SEHTrajectPeriodeDatumTijdVan],"&lt;="&amp;($A712+5/24),tData[SEHTrajectPeriodeDatumTijdTotEnMet],"&gt;"&amp;($A712+5/24))</f>
        <v/>
      </c>
      <c r="J712" s="20">
        <f>COUNTIFS(tData[SEHTrajectPeriodeDatumTijdVan],"&lt;="&amp;($A712+6/24),tData[SEHTrajectPeriodeDatumTijdTotEnMet],"&gt;"&amp;($A712+6/24))</f>
        <v/>
      </c>
      <c r="K712" s="20">
        <f>COUNTIFS(tData[SEHTrajectPeriodeDatumTijdVan],"&lt;="&amp;($A712+7/24),tData[SEHTrajectPeriodeDatumTijdTotEnMet],"&gt;"&amp;($A712+7/24))</f>
        <v/>
      </c>
      <c r="L712" s="20">
        <f>COUNTIFS(tData[SEHTrajectPeriodeDatumTijdVan],"&lt;="&amp;($A712+8/24),tData[SEHTrajectPeriodeDatumTijdTotEnMet],"&gt;"&amp;($A712+8/24))</f>
        <v/>
      </c>
      <c r="M712" s="20">
        <f>COUNTIFS(tData[SEHTrajectPeriodeDatumTijdVan],"&lt;="&amp;($A712+9/24),tData[SEHTrajectPeriodeDatumTijdTotEnMet],"&gt;"&amp;($A712+9/24))</f>
        <v/>
      </c>
      <c r="N712" s="20">
        <f>COUNTIFS(tData[SEHTrajectPeriodeDatumTijdVan],"&lt;="&amp;($A712+10/24),tData[SEHTrajectPeriodeDatumTijdTotEnMet],"&gt;"&amp;($A712+10/24))</f>
        <v/>
      </c>
      <c r="O712" s="20">
        <f>COUNTIFS(tData[SEHTrajectPeriodeDatumTijdVan],"&lt;="&amp;($A712+11/24),tData[SEHTrajectPeriodeDatumTijdTotEnMet],"&gt;"&amp;($A712+11/24))</f>
        <v/>
      </c>
      <c r="P712" s="20">
        <f>COUNTIFS(tData[SEHTrajectPeriodeDatumTijdVan],"&lt;="&amp;($A712+12/24),tData[SEHTrajectPeriodeDatumTijdTotEnMet],"&gt;"&amp;($A712+12/24))</f>
        <v/>
      </c>
      <c r="Q712" s="20">
        <f>COUNTIFS(tData[SEHTrajectPeriodeDatumTijdVan],"&lt;="&amp;($A712+13/24),tData[SEHTrajectPeriodeDatumTijdTotEnMet],"&gt;"&amp;($A712+13/24))</f>
        <v/>
      </c>
      <c r="R712" s="20">
        <f>COUNTIFS(tData[SEHTrajectPeriodeDatumTijdVan],"&lt;="&amp;($A712+14/24),tData[SEHTrajectPeriodeDatumTijdTotEnMet],"&gt;"&amp;($A712+14/24))</f>
        <v/>
      </c>
      <c r="S712" s="20">
        <f>COUNTIFS(tData[SEHTrajectPeriodeDatumTijdVan],"&lt;="&amp;($A712+15/24),tData[SEHTrajectPeriodeDatumTijdTotEnMet],"&gt;"&amp;($A712+15/24))</f>
        <v/>
      </c>
      <c r="T712" s="20">
        <f>COUNTIFS(tData[SEHTrajectPeriodeDatumTijdVan],"&lt;="&amp;($A712+16/24),tData[SEHTrajectPeriodeDatumTijdTotEnMet],"&gt;"&amp;($A712+16/24))</f>
        <v/>
      </c>
      <c r="U712" s="20">
        <f>COUNTIFS(tData[SEHTrajectPeriodeDatumTijdVan],"&lt;="&amp;($A712+17/24),tData[SEHTrajectPeriodeDatumTijdTotEnMet],"&gt;"&amp;($A712+17/24))</f>
        <v/>
      </c>
      <c r="V712" s="20">
        <f>COUNTIFS(tData[SEHTrajectPeriodeDatumTijdVan],"&lt;="&amp;($A712+18/24),tData[SEHTrajectPeriodeDatumTijdTotEnMet],"&gt;"&amp;($A712+18/24))</f>
        <v/>
      </c>
      <c r="W712" s="20">
        <f>COUNTIFS(tData[SEHTrajectPeriodeDatumTijdVan],"&lt;="&amp;($A712+19/24),tData[SEHTrajectPeriodeDatumTijdTotEnMet],"&gt;"&amp;($A712+19/24))</f>
        <v/>
      </c>
      <c r="X712" s="20">
        <f>COUNTIFS(tData[SEHTrajectPeriodeDatumTijdVan],"&lt;="&amp;($A712+20/24),tData[SEHTrajectPeriodeDatumTijdTotEnMet],"&gt;"&amp;($A712+20/24))</f>
        <v/>
      </c>
      <c r="Y712" s="20">
        <f>COUNTIFS(tData[SEHTrajectPeriodeDatumTijdVan],"&lt;="&amp;($A712+21/24),tData[SEHTrajectPeriodeDatumTijdTotEnMet],"&gt;"&amp;($A712+21/24))</f>
        <v/>
      </c>
      <c r="Z712" s="20">
        <f>COUNTIFS(tData[SEHTrajectPeriodeDatumTijdVan],"&lt;="&amp;($A712+22/24),tData[SEHTrajectPeriodeDatumTijdTotEnMet],"&gt;"&amp;($A712+22/24))</f>
        <v/>
      </c>
      <c r="AA712" s="20">
        <f>COUNTIFS(tData[SEHTrajectPeriodeDatumTijdVan],"&lt;="&amp;($A712+23/24),tData[SEHTrajectPeriodeDatumTijdTotEnMet],"&gt;"&amp;($A712+23/24))</f>
        <v/>
      </c>
    </row>
    <row r="713">
      <c r="A713" s="19" t="n">
        <v>46001</v>
      </c>
      <c r="B713" s="15">
        <f>WEEKDAY($A713,2)</f>
        <v/>
      </c>
      <c r="C713" s="15">
        <f>IF(AND($A713&gt;=INT(Instellingen!$B$5),$A713&lt;=INT(Instellingen!$B$6)),1,0)</f>
        <v/>
      </c>
      <c r="D713" s="20">
        <f>COUNTIFS(tData[SEHTrajectPeriodeDatumTijdVan],"&lt;="&amp;($A713+0/24),tData[SEHTrajectPeriodeDatumTijdTotEnMet],"&gt;"&amp;($A713+0/24))</f>
        <v/>
      </c>
      <c r="E713" s="20">
        <f>COUNTIFS(tData[SEHTrajectPeriodeDatumTijdVan],"&lt;="&amp;($A713+1/24),tData[SEHTrajectPeriodeDatumTijdTotEnMet],"&gt;"&amp;($A713+1/24))</f>
        <v/>
      </c>
      <c r="F713" s="20">
        <f>COUNTIFS(tData[SEHTrajectPeriodeDatumTijdVan],"&lt;="&amp;($A713+2/24),tData[SEHTrajectPeriodeDatumTijdTotEnMet],"&gt;"&amp;($A713+2/24))</f>
        <v/>
      </c>
      <c r="G713" s="20">
        <f>COUNTIFS(tData[SEHTrajectPeriodeDatumTijdVan],"&lt;="&amp;($A713+3/24),tData[SEHTrajectPeriodeDatumTijdTotEnMet],"&gt;"&amp;($A713+3/24))</f>
        <v/>
      </c>
      <c r="H713" s="20">
        <f>COUNTIFS(tData[SEHTrajectPeriodeDatumTijdVan],"&lt;="&amp;($A713+4/24),tData[SEHTrajectPeriodeDatumTijdTotEnMet],"&gt;"&amp;($A713+4/24))</f>
        <v/>
      </c>
      <c r="I713" s="20">
        <f>COUNTIFS(tData[SEHTrajectPeriodeDatumTijdVan],"&lt;="&amp;($A713+5/24),tData[SEHTrajectPeriodeDatumTijdTotEnMet],"&gt;"&amp;($A713+5/24))</f>
        <v/>
      </c>
      <c r="J713" s="20">
        <f>COUNTIFS(tData[SEHTrajectPeriodeDatumTijdVan],"&lt;="&amp;($A713+6/24),tData[SEHTrajectPeriodeDatumTijdTotEnMet],"&gt;"&amp;($A713+6/24))</f>
        <v/>
      </c>
      <c r="K713" s="20">
        <f>COUNTIFS(tData[SEHTrajectPeriodeDatumTijdVan],"&lt;="&amp;($A713+7/24),tData[SEHTrajectPeriodeDatumTijdTotEnMet],"&gt;"&amp;($A713+7/24))</f>
        <v/>
      </c>
      <c r="L713" s="20">
        <f>COUNTIFS(tData[SEHTrajectPeriodeDatumTijdVan],"&lt;="&amp;($A713+8/24),tData[SEHTrajectPeriodeDatumTijdTotEnMet],"&gt;"&amp;($A713+8/24))</f>
        <v/>
      </c>
      <c r="M713" s="20">
        <f>COUNTIFS(tData[SEHTrajectPeriodeDatumTijdVan],"&lt;="&amp;($A713+9/24),tData[SEHTrajectPeriodeDatumTijdTotEnMet],"&gt;"&amp;($A713+9/24))</f>
        <v/>
      </c>
      <c r="N713" s="20">
        <f>COUNTIFS(tData[SEHTrajectPeriodeDatumTijdVan],"&lt;="&amp;($A713+10/24),tData[SEHTrajectPeriodeDatumTijdTotEnMet],"&gt;"&amp;($A713+10/24))</f>
        <v/>
      </c>
      <c r="O713" s="20">
        <f>COUNTIFS(tData[SEHTrajectPeriodeDatumTijdVan],"&lt;="&amp;($A713+11/24),tData[SEHTrajectPeriodeDatumTijdTotEnMet],"&gt;"&amp;($A713+11/24))</f>
        <v/>
      </c>
      <c r="P713" s="20">
        <f>COUNTIFS(tData[SEHTrajectPeriodeDatumTijdVan],"&lt;="&amp;($A713+12/24),tData[SEHTrajectPeriodeDatumTijdTotEnMet],"&gt;"&amp;($A713+12/24))</f>
        <v/>
      </c>
      <c r="Q713" s="20">
        <f>COUNTIFS(tData[SEHTrajectPeriodeDatumTijdVan],"&lt;="&amp;($A713+13/24),tData[SEHTrajectPeriodeDatumTijdTotEnMet],"&gt;"&amp;($A713+13/24))</f>
        <v/>
      </c>
      <c r="R713" s="20">
        <f>COUNTIFS(tData[SEHTrajectPeriodeDatumTijdVan],"&lt;="&amp;($A713+14/24),tData[SEHTrajectPeriodeDatumTijdTotEnMet],"&gt;"&amp;($A713+14/24))</f>
        <v/>
      </c>
      <c r="S713" s="20">
        <f>COUNTIFS(tData[SEHTrajectPeriodeDatumTijdVan],"&lt;="&amp;($A713+15/24),tData[SEHTrajectPeriodeDatumTijdTotEnMet],"&gt;"&amp;($A713+15/24))</f>
        <v/>
      </c>
      <c r="T713" s="20">
        <f>COUNTIFS(tData[SEHTrajectPeriodeDatumTijdVan],"&lt;="&amp;($A713+16/24),tData[SEHTrajectPeriodeDatumTijdTotEnMet],"&gt;"&amp;($A713+16/24))</f>
        <v/>
      </c>
      <c r="U713" s="20">
        <f>COUNTIFS(tData[SEHTrajectPeriodeDatumTijdVan],"&lt;="&amp;($A713+17/24),tData[SEHTrajectPeriodeDatumTijdTotEnMet],"&gt;"&amp;($A713+17/24))</f>
        <v/>
      </c>
      <c r="V713" s="20">
        <f>COUNTIFS(tData[SEHTrajectPeriodeDatumTijdVan],"&lt;="&amp;($A713+18/24),tData[SEHTrajectPeriodeDatumTijdTotEnMet],"&gt;"&amp;($A713+18/24))</f>
        <v/>
      </c>
      <c r="W713" s="20">
        <f>COUNTIFS(tData[SEHTrajectPeriodeDatumTijdVan],"&lt;="&amp;($A713+19/24),tData[SEHTrajectPeriodeDatumTijdTotEnMet],"&gt;"&amp;($A713+19/24))</f>
        <v/>
      </c>
      <c r="X713" s="20">
        <f>COUNTIFS(tData[SEHTrajectPeriodeDatumTijdVan],"&lt;="&amp;($A713+20/24),tData[SEHTrajectPeriodeDatumTijdTotEnMet],"&gt;"&amp;($A713+20/24))</f>
        <v/>
      </c>
      <c r="Y713" s="20">
        <f>COUNTIFS(tData[SEHTrajectPeriodeDatumTijdVan],"&lt;="&amp;($A713+21/24),tData[SEHTrajectPeriodeDatumTijdTotEnMet],"&gt;"&amp;($A713+21/24))</f>
        <v/>
      </c>
      <c r="Z713" s="20">
        <f>COUNTIFS(tData[SEHTrajectPeriodeDatumTijdVan],"&lt;="&amp;($A713+22/24),tData[SEHTrajectPeriodeDatumTijdTotEnMet],"&gt;"&amp;($A713+22/24))</f>
        <v/>
      </c>
      <c r="AA713" s="20">
        <f>COUNTIFS(tData[SEHTrajectPeriodeDatumTijdVan],"&lt;="&amp;($A713+23/24),tData[SEHTrajectPeriodeDatumTijdTotEnMet],"&gt;"&amp;($A713+23/24))</f>
        <v/>
      </c>
    </row>
    <row r="714">
      <c r="A714" s="19" t="n">
        <v>46002</v>
      </c>
      <c r="B714" s="15">
        <f>WEEKDAY($A714,2)</f>
        <v/>
      </c>
      <c r="C714" s="15">
        <f>IF(AND($A714&gt;=INT(Instellingen!$B$5),$A714&lt;=INT(Instellingen!$B$6)),1,0)</f>
        <v/>
      </c>
      <c r="D714" s="20">
        <f>COUNTIFS(tData[SEHTrajectPeriodeDatumTijdVan],"&lt;="&amp;($A714+0/24),tData[SEHTrajectPeriodeDatumTijdTotEnMet],"&gt;"&amp;($A714+0/24))</f>
        <v/>
      </c>
      <c r="E714" s="20">
        <f>COUNTIFS(tData[SEHTrajectPeriodeDatumTijdVan],"&lt;="&amp;($A714+1/24),tData[SEHTrajectPeriodeDatumTijdTotEnMet],"&gt;"&amp;($A714+1/24))</f>
        <v/>
      </c>
      <c r="F714" s="20">
        <f>COUNTIFS(tData[SEHTrajectPeriodeDatumTijdVan],"&lt;="&amp;($A714+2/24),tData[SEHTrajectPeriodeDatumTijdTotEnMet],"&gt;"&amp;($A714+2/24))</f>
        <v/>
      </c>
      <c r="G714" s="20">
        <f>COUNTIFS(tData[SEHTrajectPeriodeDatumTijdVan],"&lt;="&amp;($A714+3/24),tData[SEHTrajectPeriodeDatumTijdTotEnMet],"&gt;"&amp;($A714+3/24))</f>
        <v/>
      </c>
      <c r="H714" s="20">
        <f>COUNTIFS(tData[SEHTrajectPeriodeDatumTijdVan],"&lt;="&amp;($A714+4/24),tData[SEHTrajectPeriodeDatumTijdTotEnMet],"&gt;"&amp;($A714+4/24))</f>
        <v/>
      </c>
      <c r="I714" s="20">
        <f>COUNTIFS(tData[SEHTrajectPeriodeDatumTijdVan],"&lt;="&amp;($A714+5/24),tData[SEHTrajectPeriodeDatumTijdTotEnMet],"&gt;"&amp;($A714+5/24))</f>
        <v/>
      </c>
      <c r="J714" s="20">
        <f>COUNTIFS(tData[SEHTrajectPeriodeDatumTijdVan],"&lt;="&amp;($A714+6/24),tData[SEHTrajectPeriodeDatumTijdTotEnMet],"&gt;"&amp;($A714+6/24))</f>
        <v/>
      </c>
      <c r="K714" s="20">
        <f>COUNTIFS(tData[SEHTrajectPeriodeDatumTijdVan],"&lt;="&amp;($A714+7/24),tData[SEHTrajectPeriodeDatumTijdTotEnMet],"&gt;"&amp;($A714+7/24))</f>
        <v/>
      </c>
      <c r="L714" s="20">
        <f>COUNTIFS(tData[SEHTrajectPeriodeDatumTijdVan],"&lt;="&amp;($A714+8/24),tData[SEHTrajectPeriodeDatumTijdTotEnMet],"&gt;"&amp;($A714+8/24))</f>
        <v/>
      </c>
      <c r="M714" s="20">
        <f>COUNTIFS(tData[SEHTrajectPeriodeDatumTijdVan],"&lt;="&amp;($A714+9/24),tData[SEHTrajectPeriodeDatumTijdTotEnMet],"&gt;"&amp;($A714+9/24))</f>
        <v/>
      </c>
      <c r="N714" s="20">
        <f>COUNTIFS(tData[SEHTrajectPeriodeDatumTijdVan],"&lt;="&amp;($A714+10/24),tData[SEHTrajectPeriodeDatumTijdTotEnMet],"&gt;"&amp;($A714+10/24))</f>
        <v/>
      </c>
      <c r="O714" s="20">
        <f>COUNTIFS(tData[SEHTrajectPeriodeDatumTijdVan],"&lt;="&amp;($A714+11/24),tData[SEHTrajectPeriodeDatumTijdTotEnMet],"&gt;"&amp;($A714+11/24))</f>
        <v/>
      </c>
      <c r="P714" s="20">
        <f>COUNTIFS(tData[SEHTrajectPeriodeDatumTijdVan],"&lt;="&amp;($A714+12/24),tData[SEHTrajectPeriodeDatumTijdTotEnMet],"&gt;"&amp;($A714+12/24))</f>
        <v/>
      </c>
      <c r="Q714" s="20">
        <f>COUNTIFS(tData[SEHTrajectPeriodeDatumTijdVan],"&lt;="&amp;($A714+13/24),tData[SEHTrajectPeriodeDatumTijdTotEnMet],"&gt;"&amp;($A714+13/24))</f>
        <v/>
      </c>
      <c r="R714" s="20">
        <f>COUNTIFS(tData[SEHTrajectPeriodeDatumTijdVan],"&lt;="&amp;($A714+14/24),tData[SEHTrajectPeriodeDatumTijdTotEnMet],"&gt;"&amp;($A714+14/24))</f>
        <v/>
      </c>
      <c r="S714" s="20">
        <f>COUNTIFS(tData[SEHTrajectPeriodeDatumTijdVan],"&lt;="&amp;($A714+15/24),tData[SEHTrajectPeriodeDatumTijdTotEnMet],"&gt;"&amp;($A714+15/24))</f>
        <v/>
      </c>
      <c r="T714" s="20">
        <f>COUNTIFS(tData[SEHTrajectPeriodeDatumTijdVan],"&lt;="&amp;($A714+16/24),tData[SEHTrajectPeriodeDatumTijdTotEnMet],"&gt;"&amp;($A714+16/24))</f>
        <v/>
      </c>
      <c r="U714" s="20">
        <f>COUNTIFS(tData[SEHTrajectPeriodeDatumTijdVan],"&lt;="&amp;($A714+17/24),tData[SEHTrajectPeriodeDatumTijdTotEnMet],"&gt;"&amp;($A714+17/24))</f>
        <v/>
      </c>
      <c r="V714" s="20">
        <f>COUNTIFS(tData[SEHTrajectPeriodeDatumTijdVan],"&lt;="&amp;($A714+18/24),tData[SEHTrajectPeriodeDatumTijdTotEnMet],"&gt;"&amp;($A714+18/24))</f>
        <v/>
      </c>
      <c r="W714" s="20">
        <f>COUNTIFS(tData[SEHTrajectPeriodeDatumTijdVan],"&lt;="&amp;($A714+19/24),tData[SEHTrajectPeriodeDatumTijdTotEnMet],"&gt;"&amp;($A714+19/24))</f>
        <v/>
      </c>
      <c r="X714" s="20">
        <f>COUNTIFS(tData[SEHTrajectPeriodeDatumTijdVan],"&lt;="&amp;($A714+20/24),tData[SEHTrajectPeriodeDatumTijdTotEnMet],"&gt;"&amp;($A714+20/24))</f>
        <v/>
      </c>
      <c r="Y714" s="20">
        <f>COUNTIFS(tData[SEHTrajectPeriodeDatumTijdVan],"&lt;="&amp;($A714+21/24),tData[SEHTrajectPeriodeDatumTijdTotEnMet],"&gt;"&amp;($A714+21/24))</f>
        <v/>
      </c>
      <c r="Z714" s="20">
        <f>COUNTIFS(tData[SEHTrajectPeriodeDatumTijdVan],"&lt;="&amp;($A714+22/24),tData[SEHTrajectPeriodeDatumTijdTotEnMet],"&gt;"&amp;($A714+22/24))</f>
        <v/>
      </c>
      <c r="AA714" s="20">
        <f>COUNTIFS(tData[SEHTrajectPeriodeDatumTijdVan],"&lt;="&amp;($A714+23/24),tData[SEHTrajectPeriodeDatumTijdTotEnMet],"&gt;"&amp;($A714+23/24))</f>
        <v/>
      </c>
    </row>
    <row r="715">
      <c r="A715" s="19" t="n">
        <v>46003</v>
      </c>
      <c r="B715" s="15">
        <f>WEEKDAY($A715,2)</f>
        <v/>
      </c>
      <c r="C715" s="15">
        <f>IF(AND($A715&gt;=INT(Instellingen!$B$5),$A715&lt;=INT(Instellingen!$B$6)),1,0)</f>
        <v/>
      </c>
      <c r="D715" s="20">
        <f>COUNTIFS(tData[SEHTrajectPeriodeDatumTijdVan],"&lt;="&amp;($A715+0/24),tData[SEHTrajectPeriodeDatumTijdTotEnMet],"&gt;"&amp;($A715+0/24))</f>
        <v/>
      </c>
      <c r="E715" s="20">
        <f>COUNTIFS(tData[SEHTrajectPeriodeDatumTijdVan],"&lt;="&amp;($A715+1/24),tData[SEHTrajectPeriodeDatumTijdTotEnMet],"&gt;"&amp;($A715+1/24))</f>
        <v/>
      </c>
      <c r="F715" s="20">
        <f>COUNTIFS(tData[SEHTrajectPeriodeDatumTijdVan],"&lt;="&amp;($A715+2/24),tData[SEHTrajectPeriodeDatumTijdTotEnMet],"&gt;"&amp;($A715+2/24))</f>
        <v/>
      </c>
      <c r="G715" s="20">
        <f>COUNTIFS(tData[SEHTrajectPeriodeDatumTijdVan],"&lt;="&amp;($A715+3/24),tData[SEHTrajectPeriodeDatumTijdTotEnMet],"&gt;"&amp;($A715+3/24))</f>
        <v/>
      </c>
      <c r="H715" s="20">
        <f>COUNTIFS(tData[SEHTrajectPeriodeDatumTijdVan],"&lt;="&amp;($A715+4/24),tData[SEHTrajectPeriodeDatumTijdTotEnMet],"&gt;"&amp;($A715+4/24))</f>
        <v/>
      </c>
      <c r="I715" s="20">
        <f>COUNTIFS(tData[SEHTrajectPeriodeDatumTijdVan],"&lt;="&amp;($A715+5/24),tData[SEHTrajectPeriodeDatumTijdTotEnMet],"&gt;"&amp;($A715+5/24))</f>
        <v/>
      </c>
      <c r="J715" s="20">
        <f>COUNTIFS(tData[SEHTrajectPeriodeDatumTijdVan],"&lt;="&amp;($A715+6/24),tData[SEHTrajectPeriodeDatumTijdTotEnMet],"&gt;"&amp;($A715+6/24))</f>
        <v/>
      </c>
      <c r="K715" s="20">
        <f>COUNTIFS(tData[SEHTrajectPeriodeDatumTijdVan],"&lt;="&amp;($A715+7/24),tData[SEHTrajectPeriodeDatumTijdTotEnMet],"&gt;"&amp;($A715+7/24))</f>
        <v/>
      </c>
      <c r="L715" s="20">
        <f>COUNTIFS(tData[SEHTrajectPeriodeDatumTijdVan],"&lt;="&amp;($A715+8/24),tData[SEHTrajectPeriodeDatumTijdTotEnMet],"&gt;"&amp;($A715+8/24))</f>
        <v/>
      </c>
      <c r="M715" s="20">
        <f>COUNTIFS(tData[SEHTrajectPeriodeDatumTijdVan],"&lt;="&amp;($A715+9/24),tData[SEHTrajectPeriodeDatumTijdTotEnMet],"&gt;"&amp;($A715+9/24))</f>
        <v/>
      </c>
      <c r="N715" s="20">
        <f>COUNTIFS(tData[SEHTrajectPeriodeDatumTijdVan],"&lt;="&amp;($A715+10/24),tData[SEHTrajectPeriodeDatumTijdTotEnMet],"&gt;"&amp;($A715+10/24))</f>
        <v/>
      </c>
      <c r="O715" s="20">
        <f>COUNTIFS(tData[SEHTrajectPeriodeDatumTijdVan],"&lt;="&amp;($A715+11/24),tData[SEHTrajectPeriodeDatumTijdTotEnMet],"&gt;"&amp;($A715+11/24))</f>
        <v/>
      </c>
      <c r="P715" s="20">
        <f>COUNTIFS(tData[SEHTrajectPeriodeDatumTijdVan],"&lt;="&amp;($A715+12/24),tData[SEHTrajectPeriodeDatumTijdTotEnMet],"&gt;"&amp;($A715+12/24))</f>
        <v/>
      </c>
      <c r="Q715" s="20">
        <f>COUNTIFS(tData[SEHTrajectPeriodeDatumTijdVan],"&lt;="&amp;($A715+13/24),tData[SEHTrajectPeriodeDatumTijdTotEnMet],"&gt;"&amp;($A715+13/24))</f>
        <v/>
      </c>
      <c r="R715" s="20">
        <f>COUNTIFS(tData[SEHTrajectPeriodeDatumTijdVan],"&lt;="&amp;($A715+14/24),tData[SEHTrajectPeriodeDatumTijdTotEnMet],"&gt;"&amp;($A715+14/24))</f>
        <v/>
      </c>
      <c r="S715" s="20">
        <f>COUNTIFS(tData[SEHTrajectPeriodeDatumTijdVan],"&lt;="&amp;($A715+15/24),tData[SEHTrajectPeriodeDatumTijdTotEnMet],"&gt;"&amp;($A715+15/24))</f>
        <v/>
      </c>
      <c r="T715" s="20">
        <f>COUNTIFS(tData[SEHTrajectPeriodeDatumTijdVan],"&lt;="&amp;($A715+16/24),tData[SEHTrajectPeriodeDatumTijdTotEnMet],"&gt;"&amp;($A715+16/24))</f>
        <v/>
      </c>
      <c r="U715" s="20">
        <f>COUNTIFS(tData[SEHTrajectPeriodeDatumTijdVan],"&lt;="&amp;($A715+17/24),tData[SEHTrajectPeriodeDatumTijdTotEnMet],"&gt;"&amp;($A715+17/24))</f>
        <v/>
      </c>
      <c r="V715" s="20">
        <f>COUNTIFS(tData[SEHTrajectPeriodeDatumTijdVan],"&lt;="&amp;($A715+18/24),tData[SEHTrajectPeriodeDatumTijdTotEnMet],"&gt;"&amp;($A715+18/24))</f>
        <v/>
      </c>
      <c r="W715" s="20">
        <f>COUNTIFS(tData[SEHTrajectPeriodeDatumTijdVan],"&lt;="&amp;($A715+19/24),tData[SEHTrajectPeriodeDatumTijdTotEnMet],"&gt;"&amp;($A715+19/24))</f>
        <v/>
      </c>
      <c r="X715" s="20">
        <f>COUNTIFS(tData[SEHTrajectPeriodeDatumTijdVan],"&lt;="&amp;($A715+20/24),tData[SEHTrajectPeriodeDatumTijdTotEnMet],"&gt;"&amp;($A715+20/24))</f>
        <v/>
      </c>
      <c r="Y715" s="20">
        <f>COUNTIFS(tData[SEHTrajectPeriodeDatumTijdVan],"&lt;="&amp;($A715+21/24),tData[SEHTrajectPeriodeDatumTijdTotEnMet],"&gt;"&amp;($A715+21/24))</f>
        <v/>
      </c>
      <c r="Z715" s="20">
        <f>COUNTIFS(tData[SEHTrajectPeriodeDatumTijdVan],"&lt;="&amp;($A715+22/24),tData[SEHTrajectPeriodeDatumTijdTotEnMet],"&gt;"&amp;($A715+22/24))</f>
        <v/>
      </c>
      <c r="AA715" s="20">
        <f>COUNTIFS(tData[SEHTrajectPeriodeDatumTijdVan],"&lt;="&amp;($A715+23/24),tData[SEHTrajectPeriodeDatumTijdTotEnMet],"&gt;"&amp;($A715+23/24))</f>
        <v/>
      </c>
    </row>
    <row r="716">
      <c r="A716" s="19" t="n">
        <v>46004</v>
      </c>
      <c r="B716" s="15">
        <f>WEEKDAY($A716,2)</f>
        <v/>
      </c>
      <c r="C716" s="15">
        <f>IF(AND($A716&gt;=INT(Instellingen!$B$5),$A716&lt;=INT(Instellingen!$B$6)),1,0)</f>
        <v/>
      </c>
      <c r="D716" s="20">
        <f>COUNTIFS(tData[SEHTrajectPeriodeDatumTijdVan],"&lt;="&amp;($A716+0/24),tData[SEHTrajectPeriodeDatumTijdTotEnMet],"&gt;"&amp;($A716+0/24))</f>
        <v/>
      </c>
      <c r="E716" s="20">
        <f>COUNTIFS(tData[SEHTrajectPeriodeDatumTijdVan],"&lt;="&amp;($A716+1/24),tData[SEHTrajectPeriodeDatumTijdTotEnMet],"&gt;"&amp;($A716+1/24))</f>
        <v/>
      </c>
      <c r="F716" s="20">
        <f>COUNTIFS(tData[SEHTrajectPeriodeDatumTijdVan],"&lt;="&amp;($A716+2/24),tData[SEHTrajectPeriodeDatumTijdTotEnMet],"&gt;"&amp;($A716+2/24))</f>
        <v/>
      </c>
      <c r="G716" s="20">
        <f>COUNTIFS(tData[SEHTrajectPeriodeDatumTijdVan],"&lt;="&amp;($A716+3/24),tData[SEHTrajectPeriodeDatumTijdTotEnMet],"&gt;"&amp;($A716+3/24))</f>
        <v/>
      </c>
      <c r="H716" s="20">
        <f>COUNTIFS(tData[SEHTrajectPeriodeDatumTijdVan],"&lt;="&amp;($A716+4/24),tData[SEHTrajectPeriodeDatumTijdTotEnMet],"&gt;"&amp;($A716+4/24))</f>
        <v/>
      </c>
      <c r="I716" s="20">
        <f>COUNTIFS(tData[SEHTrajectPeriodeDatumTijdVan],"&lt;="&amp;($A716+5/24),tData[SEHTrajectPeriodeDatumTijdTotEnMet],"&gt;"&amp;($A716+5/24))</f>
        <v/>
      </c>
      <c r="J716" s="20">
        <f>COUNTIFS(tData[SEHTrajectPeriodeDatumTijdVan],"&lt;="&amp;($A716+6/24),tData[SEHTrajectPeriodeDatumTijdTotEnMet],"&gt;"&amp;($A716+6/24))</f>
        <v/>
      </c>
      <c r="K716" s="20">
        <f>COUNTIFS(tData[SEHTrajectPeriodeDatumTijdVan],"&lt;="&amp;($A716+7/24),tData[SEHTrajectPeriodeDatumTijdTotEnMet],"&gt;"&amp;($A716+7/24))</f>
        <v/>
      </c>
      <c r="L716" s="20">
        <f>COUNTIFS(tData[SEHTrajectPeriodeDatumTijdVan],"&lt;="&amp;($A716+8/24),tData[SEHTrajectPeriodeDatumTijdTotEnMet],"&gt;"&amp;($A716+8/24))</f>
        <v/>
      </c>
      <c r="M716" s="20">
        <f>COUNTIFS(tData[SEHTrajectPeriodeDatumTijdVan],"&lt;="&amp;($A716+9/24),tData[SEHTrajectPeriodeDatumTijdTotEnMet],"&gt;"&amp;($A716+9/24))</f>
        <v/>
      </c>
      <c r="N716" s="20">
        <f>COUNTIFS(tData[SEHTrajectPeriodeDatumTijdVan],"&lt;="&amp;($A716+10/24),tData[SEHTrajectPeriodeDatumTijdTotEnMet],"&gt;"&amp;($A716+10/24))</f>
        <v/>
      </c>
      <c r="O716" s="20">
        <f>COUNTIFS(tData[SEHTrajectPeriodeDatumTijdVan],"&lt;="&amp;($A716+11/24),tData[SEHTrajectPeriodeDatumTijdTotEnMet],"&gt;"&amp;($A716+11/24))</f>
        <v/>
      </c>
      <c r="P716" s="20">
        <f>COUNTIFS(tData[SEHTrajectPeriodeDatumTijdVan],"&lt;="&amp;($A716+12/24),tData[SEHTrajectPeriodeDatumTijdTotEnMet],"&gt;"&amp;($A716+12/24))</f>
        <v/>
      </c>
      <c r="Q716" s="20">
        <f>COUNTIFS(tData[SEHTrajectPeriodeDatumTijdVan],"&lt;="&amp;($A716+13/24),tData[SEHTrajectPeriodeDatumTijdTotEnMet],"&gt;"&amp;($A716+13/24))</f>
        <v/>
      </c>
      <c r="R716" s="20">
        <f>COUNTIFS(tData[SEHTrajectPeriodeDatumTijdVan],"&lt;="&amp;($A716+14/24),tData[SEHTrajectPeriodeDatumTijdTotEnMet],"&gt;"&amp;($A716+14/24))</f>
        <v/>
      </c>
      <c r="S716" s="20">
        <f>COUNTIFS(tData[SEHTrajectPeriodeDatumTijdVan],"&lt;="&amp;($A716+15/24),tData[SEHTrajectPeriodeDatumTijdTotEnMet],"&gt;"&amp;($A716+15/24))</f>
        <v/>
      </c>
      <c r="T716" s="20">
        <f>COUNTIFS(tData[SEHTrajectPeriodeDatumTijdVan],"&lt;="&amp;($A716+16/24),tData[SEHTrajectPeriodeDatumTijdTotEnMet],"&gt;"&amp;($A716+16/24))</f>
        <v/>
      </c>
      <c r="U716" s="20">
        <f>COUNTIFS(tData[SEHTrajectPeriodeDatumTijdVan],"&lt;="&amp;($A716+17/24),tData[SEHTrajectPeriodeDatumTijdTotEnMet],"&gt;"&amp;($A716+17/24))</f>
        <v/>
      </c>
      <c r="V716" s="20">
        <f>COUNTIFS(tData[SEHTrajectPeriodeDatumTijdVan],"&lt;="&amp;($A716+18/24),tData[SEHTrajectPeriodeDatumTijdTotEnMet],"&gt;"&amp;($A716+18/24))</f>
        <v/>
      </c>
      <c r="W716" s="20">
        <f>COUNTIFS(tData[SEHTrajectPeriodeDatumTijdVan],"&lt;="&amp;($A716+19/24),tData[SEHTrajectPeriodeDatumTijdTotEnMet],"&gt;"&amp;($A716+19/24))</f>
        <v/>
      </c>
      <c r="X716" s="20">
        <f>COUNTIFS(tData[SEHTrajectPeriodeDatumTijdVan],"&lt;="&amp;($A716+20/24),tData[SEHTrajectPeriodeDatumTijdTotEnMet],"&gt;"&amp;($A716+20/24))</f>
        <v/>
      </c>
      <c r="Y716" s="20">
        <f>COUNTIFS(tData[SEHTrajectPeriodeDatumTijdVan],"&lt;="&amp;($A716+21/24),tData[SEHTrajectPeriodeDatumTijdTotEnMet],"&gt;"&amp;($A716+21/24))</f>
        <v/>
      </c>
      <c r="Z716" s="20">
        <f>COUNTIFS(tData[SEHTrajectPeriodeDatumTijdVan],"&lt;="&amp;($A716+22/24),tData[SEHTrajectPeriodeDatumTijdTotEnMet],"&gt;"&amp;($A716+22/24))</f>
        <v/>
      </c>
      <c r="AA716" s="20">
        <f>COUNTIFS(tData[SEHTrajectPeriodeDatumTijdVan],"&lt;="&amp;($A716+23/24),tData[SEHTrajectPeriodeDatumTijdTotEnMet],"&gt;"&amp;($A716+23/24))</f>
        <v/>
      </c>
    </row>
    <row r="717">
      <c r="A717" s="19" t="n">
        <v>46005</v>
      </c>
      <c r="B717" s="15">
        <f>WEEKDAY($A717,2)</f>
        <v/>
      </c>
      <c r="C717" s="15">
        <f>IF(AND($A717&gt;=INT(Instellingen!$B$5),$A717&lt;=INT(Instellingen!$B$6)),1,0)</f>
        <v/>
      </c>
      <c r="D717" s="20">
        <f>COUNTIFS(tData[SEHTrajectPeriodeDatumTijdVan],"&lt;="&amp;($A717+0/24),tData[SEHTrajectPeriodeDatumTijdTotEnMet],"&gt;"&amp;($A717+0/24))</f>
        <v/>
      </c>
      <c r="E717" s="20">
        <f>COUNTIFS(tData[SEHTrajectPeriodeDatumTijdVan],"&lt;="&amp;($A717+1/24),tData[SEHTrajectPeriodeDatumTijdTotEnMet],"&gt;"&amp;($A717+1/24))</f>
        <v/>
      </c>
      <c r="F717" s="20">
        <f>COUNTIFS(tData[SEHTrajectPeriodeDatumTijdVan],"&lt;="&amp;($A717+2/24),tData[SEHTrajectPeriodeDatumTijdTotEnMet],"&gt;"&amp;($A717+2/24))</f>
        <v/>
      </c>
      <c r="G717" s="20">
        <f>COUNTIFS(tData[SEHTrajectPeriodeDatumTijdVan],"&lt;="&amp;($A717+3/24),tData[SEHTrajectPeriodeDatumTijdTotEnMet],"&gt;"&amp;($A717+3/24))</f>
        <v/>
      </c>
      <c r="H717" s="20">
        <f>COUNTIFS(tData[SEHTrajectPeriodeDatumTijdVan],"&lt;="&amp;($A717+4/24),tData[SEHTrajectPeriodeDatumTijdTotEnMet],"&gt;"&amp;($A717+4/24))</f>
        <v/>
      </c>
      <c r="I717" s="20">
        <f>COUNTIFS(tData[SEHTrajectPeriodeDatumTijdVan],"&lt;="&amp;($A717+5/24),tData[SEHTrajectPeriodeDatumTijdTotEnMet],"&gt;"&amp;($A717+5/24))</f>
        <v/>
      </c>
      <c r="J717" s="20">
        <f>COUNTIFS(tData[SEHTrajectPeriodeDatumTijdVan],"&lt;="&amp;($A717+6/24),tData[SEHTrajectPeriodeDatumTijdTotEnMet],"&gt;"&amp;($A717+6/24))</f>
        <v/>
      </c>
      <c r="K717" s="20">
        <f>COUNTIFS(tData[SEHTrajectPeriodeDatumTijdVan],"&lt;="&amp;($A717+7/24),tData[SEHTrajectPeriodeDatumTijdTotEnMet],"&gt;"&amp;($A717+7/24))</f>
        <v/>
      </c>
      <c r="L717" s="20">
        <f>COUNTIFS(tData[SEHTrajectPeriodeDatumTijdVan],"&lt;="&amp;($A717+8/24),tData[SEHTrajectPeriodeDatumTijdTotEnMet],"&gt;"&amp;($A717+8/24))</f>
        <v/>
      </c>
      <c r="M717" s="20">
        <f>COUNTIFS(tData[SEHTrajectPeriodeDatumTijdVan],"&lt;="&amp;($A717+9/24),tData[SEHTrajectPeriodeDatumTijdTotEnMet],"&gt;"&amp;($A717+9/24))</f>
        <v/>
      </c>
      <c r="N717" s="20">
        <f>COUNTIFS(tData[SEHTrajectPeriodeDatumTijdVan],"&lt;="&amp;($A717+10/24),tData[SEHTrajectPeriodeDatumTijdTotEnMet],"&gt;"&amp;($A717+10/24))</f>
        <v/>
      </c>
      <c r="O717" s="20">
        <f>COUNTIFS(tData[SEHTrajectPeriodeDatumTijdVan],"&lt;="&amp;($A717+11/24),tData[SEHTrajectPeriodeDatumTijdTotEnMet],"&gt;"&amp;($A717+11/24))</f>
        <v/>
      </c>
      <c r="P717" s="20">
        <f>COUNTIFS(tData[SEHTrajectPeriodeDatumTijdVan],"&lt;="&amp;($A717+12/24),tData[SEHTrajectPeriodeDatumTijdTotEnMet],"&gt;"&amp;($A717+12/24))</f>
        <v/>
      </c>
      <c r="Q717" s="20">
        <f>COUNTIFS(tData[SEHTrajectPeriodeDatumTijdVan],"&lt;="&amp;($A717+13/24),tData[SEHTrajectPeriodeDatumTijdTotEnMet],"&gt;"&amp;($A717+13/24))</f>
        <v/>
      </c>
      <c r="R717" s="20">
        <f>COUNTIFS(tData[SEHTrajectPeriodeDatumTijdVan],"&lt;="&amp;($A717+14/24),tData[SEHTrajectPeriodeDatumTijdTotEnMet],"&gt;"&amp;($A717+14/24))</f>
        <v/>
      </c>
      <c r="S717" s="20">
        <f>COUNTIFS(tData[SEHTrajectPeriodeDatumTijdVan],"&lt;="&amp;($A717+15/24),tData[SEHTrajectPeriodeDatumTijdTotEnMet],"&gt;"&amp;($A717+15/24))</f>
        <v/>
      </c>
      <c r="T717" s="20">
        <f>COUNTIFS(tData[SEHTrajectPeriodeDatumTijdVan],"&lt;="&amp;($A717+16/24),tData[SEHTrajectPeriodeDatumTijdTotEnMet],"&gt;"&amp;($A717+16/24))</f>
        <v/>
      </c>
      <c r="U717" s="20">
        <f>COUNTIFS(tData[SEHTrajectPeriodeDatumTijdVan],"&lt;="&amp;($A717+17/24),tData[SEHTrajectPeriodeDatumTijdTotEnMet],"&gt;"&amp;($A717+17/24))</f>
        <v/>
      </c>
      <c r="V717" s="20">
        <f>COUNTIFS(tData[SEHTrajectPeriodeDatumTijdVan],"&lt;="&amp;($A717+18/24),tData[SEHTrajectPeriodeDatumTijdTotEnMet],"&gt;"&amp;($A717+18/24))</f>
        <v/>
      </c>
      <c r="W717" s="20">
        <f>COUNTIFS(tData[SEHTrajectPeriodeDatumTijdVan],"&lt;="&amp;($A717+19/24),tData[SEHTrajectPeriodeDatumTijdTotEnMet],"&gt;"&amp;($A717+19/24))</f>
        <v/>
      </c>
      <c r="X717" s="20">
        <f>COUNTIFS(tData[SEHTrajectPeriodeDatumTijdVan],"&lt;="&amp;($A717+20/24),tData[SEHTrajectPeriodeDatumTijdTotEnMet],"&gt;"&amp;($A717+20/24))</f>
        <v/>
      </c>
      <c r="Y717" s="20">
        <f>COUNTIFS(tData[SEHTrajectPeriodeDatumTijdVan],"&lt;="&amp;($A717+21/24),tData[SEHTrajectPeriodeDatumTijdTotEnMet],"&gt;"&amp;($A717+21/24))</f>
        <v/>
      </c>
      <c r="Z717" s="20">
        <f>COUNTIFS(tData[SEHTrajectPeriodeDatumTijdVan],"&lt;="&amp;($A717+22/24),tData[SEHTrajectPeriodeDatumTijdTotEnMet],"&gt;"&amp;($A717+22/24))</f>
        <v/>
      </c>
      <c r="AA717" s="20">
        <f>COUNTIFS(tData[SEHTrajectPeriodeDatumTijdVan],"&lt;="&amp;($A717+23/24),tData[SEHTrajectPeriodeDatumTijdTotEnMet],"&gt;"&amp;($A717+23/24))</f>
        <v/>
      </c>
    </row>
    <row r="718">
      <c r="A718" s="19" t="n">
        <v>46006</v>
      </c>
      <c r="B718" s="15">
        <f>WEEKDAY($A718,2)</f>
        <v/>
      </c>
      <c r="C718" s="15">
        <f>IF(AND($A718&gt;=INT(Instellingen!$B$5),$A718&lt;=INT(Instellingen!$B$6)),1,0)</f>
        <v/>
      </c>
      <c r="D718" s="20">
        <f>COUNTIFS(tData[SEHTrajectPeriodeDatumTijdVan],"&lt;="&amp;($A718+0/24),tData[SEHTrajectPeriodeDatumTijdTotEnMet],"&gt;"&amp;($A718+0/24))</f>
        <v/>
      </c>
      <c r="E718" s="20">
        <f>COUNTIFS(tData[SEHTrajectPeriodeDatumTijdVan],"&lt;="&amp;($A718+1/24),tData[SEHTrajectPeriodeDatumTijdTotEnMet],"&gt;"&amp;($A718+1/24))</f>
        <v/>
      </c>
      <c r="F718" s="20">
        <f>COUNTIFS(tData[SEHTrajectPeriodeDatumTijdVan],"&lt;="&amp;($A718+2/24),tData[SEHTrajectPeriodeDatumTijdTotEnMet],"&gt;"&amp;($A718+2/24))</f>
        <v/>
      </c>
      <c r="G718" s="20">
        <f>COUNTIFS(tData[SEHTrajectPeriodeDatumTijdVan],"&lt;="&amp;($A718+3/24),tData[SEHTrajectPeriodeDatumTijdTotEnMet],"&gt;"&amp;($A718+3/24))</f>
        <v/>
      </c>
      <c r="H718" s="20">
        <f>COUNTIFS(tData[SEHTrajectPeriodeDatumTijdVan],"&lt;="&amp;($A718+4/24),tData[SEHTrajectPeriodeDatumTijdTotEnMet],"&gt;"&amp;($A718+4/24))</f>
        <v/>
      </c>
      <c r="I718" s="20">
        <f>COUNTIFS(tData[SEHTrajectPeriodeDatumTijdVan],"&lt;="&amp;($A718+5/24),tData[SEHTrajectPeriodeDatumTijdTotEnMet],"&gt;"&amp;($A718+5/24))</f>
        <v/>
      </c>
      <c r="J718" s="20">
        <f>COUNTIFS(tData[SEHTrajectPeriodeDatumTijdVan],"&lt;="&amp;($A718+6/24),tData[SEHTrajectPeriodeDatumTijdTotEnMet],"&gt;"&amp;($A718+6/24))</f>
        <v/>
      </c>
      <c r="K718" s="20">
        <f>COUNTIFS(tData[SEHTrajectPeriodeDatumTijdVan],"&lt;="&amp;($A718+7/24),tData[SEHTrajectPeriodeDatumTijdTotEnMet],"&gt;"&amp;($A718+7/24))</f>
        <v/>
      </c>
      <c r="L718" s="20">
        <f>COUNTIFS(tData[SEHTrajectPeriodeDatumTijdVan],"&lt;="&amp;($A718+8/24),tData[SEHTrajectPeriodeDatumTijdTotEnMet],"&gt;"&amp;($A718+8/24))</f>
        <v/>
      </c>
      <c r="M718" s="20">
        <f>COUNTIFS(tData[SEHTrajectPeriodeDatumTijdVan],"&lt;="&amp;($A718+9/24),tData[SEHTrajectPeriodeDatumTijdTotEnMet],"&gt;"&amp;($A718+9/24))</f>
        <v/>
      </c>
      <c r="N718" s="20">
        <f>COUNTIFS(tData[SEHTrajectPeriodeDatumTijdVan],"&lt;="&amp;($A718+10/24),tData[SEHTrajectPeriodeDatumTijdTotEnMet],"&gt;"&amp;($A718+10/24))</f>
        <v/>
      </c>
      <c r="O718" s="20">
        <f>COUNTIFS(tData[SEHTrajectPeriodeDatumTijdVan],"&lt;="&amp;($A718+11/24),tData[SEHTrajectPeriodeDatumTijdTotEnMet],"&gt;"&amp;($A718+11/24))</f>
        <v/>
      </c>
      <c r="P718" s="20">
        <f>COUNTIFS(tData[SEHTrajectPeriodeDatumTijdVan],"&lt;="&amp;($A718+12/24),tData[SEHTrajectPeriodeDatumTijdTotEnMet],"&gt;"&amp;($A718+12/24))</f>
        <v/>
      </c>
      <c r="Q718" s="20">
        <f>COUNTIFS(tData[SEHTrajectPeriodeDatumTijdVan],"&lt;="&amp;($A718+13/24),tData[SEHTrajectPeriodeDatumTijdTotEnMet],"&gt;"&amp;($A718+13/24))</f>
        <v/>
      </c>
      <c r="R718" s="20">
        <f>COUNTIFS(tData[SEHTrajectPeriodeDatumTijdVan],"&lt;="&amp;($A718+14/24),tData[SEHTrajectPeriodeDatumTijdTotEnMet],"&gt;"&amp;($A718+14/24))</f>
        <v/>
      </c>
      <c r="S718" s="20">
        <f>COUNTIFS(tData[SEHTrajectPeriodeDatumTijdVan],"&lt;="&amp;($A718+15/24),tData[SEHTrajectPeriodeDatumTijdTotEnMet],"&gt;"&amp;($A718+15/24))</f>
        <v/>
      </c>
      <c r="T718" s="20">
        <f>COUNTIFS(tData[SEHTrajectPeriodeDatumTijdVan],"&lt;="&amp;($A718+16/24),tData[SEHTrajectPeriodeDatumTijdTotEnMet],"&gt;"&amp;($A718+16/24))</f>
        <v/>
      </c>
      <c r="U718" s="20">
        <f>COUNTIFS(tData[SEHTrajectPeriodeDatumTijdVan],"&lt;="&amp;($A718+17/24),tData[SEHTrajectPeriodeDatumTijdTotEnMet],"&gt;"&amp;($A718+17/24))</f>
        <v/>
      </c>
      <c r="V718" s="20">
        <f>COUNTIFS(tData[SEHTrajectPeriodeDatumTijdVan],"&lt;="&amp;($A718+18/24),tData[SEHTrajectPeriodeDatumTijdTotEnMet],"&gt;"&amp;($A718+18/24))</f>
        <v/>
      </c>
      <c r="W718" s="20">
        <f>COUNTIFS(tData[SEHTrajectPeriodeDatumTijdVan],"&lt;="&amp;($A718+19/24),tData[SEHTrajectPeriodeDatumTijdTotEnMet],"&gt;"&amp;($A718+19/24))</f>
        <v/>
      </c>
      <c r="X718" s="20">
        <f>COUNTIFS(tData[SEHTrajectPeriodeDatumTijdVan],"&lt;="&amp;($A718+20/24),tData[SEHTrajectPeriodeDatumTijdTotEnMet],"&gt;"&amp;($A718+20/24))</f>
        <v/>
      </c>
      <c r="Y718" s="20">
        <f>COUNTIFS(tData[SEHTrajectPeriodeDatumTijdVan],"&lt;="&amp;($A718+21/24),tData[SEHTrajectPeriodeDatumTijdTotEnMet],"&gt;"&amp;($A718+21/24))</f>
        <v/>
      </c>
      <c r="Z718" s="20">
        <f>COUNTIFS(tData[SEHTrajectPeriodeDatumTijdVan],"&lt;="&amp;($A718+22/24),tData[SEHTrajectPeriodeDatumTijdTotEnMet],"&gt;"&amp;($A718+22/24))</f>
        <v/>
      </c>
      <c r="AA718" s="20">
        <f>COUNTIFS(tData[SEHTrajectPeriodeDatumTijdVan],"&lt;="&amp;($A718+23/24),tData[SEHTrajectPeriodeDatumTijdTotEnMet],"&gt;"&amp;($A718+23/24))</f>
        <v/>
      </c>
    </row>
    <row r="719">
      <c r="A719" s="19" t="n">
        <v>46007</v>
      </c>
      <c r="B719" s="15">
        <f>WEEKDAY($A719,2)</f>
        <v/>
      </c>
      <c r="C719" s="15">
        <f>IF(AND($A719&gt;=INT(Instellingen!$B$5),$A719&lt;=INT(Instellingen!$B$6)),1,0)</f>
        <v/>
      </c>
      <c r="D719" s="20">
        <f>COUNTIFS(tData[SEHTrajectPeriodeDatumTijdVan],"&lt;="&amp;($A719+0/24),tData[SEHTrajectPeriodeDatumTijdTotEnMet],"&gt;"&amp;($A719+0/24))</f>
        <v/>
      </c>
      <c r="E719" s="20">
        <f>COUNTIFS(tData[SEHTrajectPeriodeDatumTijdVan],"&lt;="&amp;($A719+1/24),tData[SEHTrajectPeriodeDatumTijdTotEnMet],"&gt;"&amp;($A719+1/24))</f>
        <v/>
      </c>
      <c r="F719" s="20">
        <f>COUNTIFS(tData[SEHTrajectPeriodeDatumTijdVan],"&lt;="&amp;($A719+2/24),tData[SEHTrajectPeriodeDatumTijdTotEnMet],"&gt;"&amp;($A719+2/24))</f>
        <v/>
      </c>
      <c r="G719" s="20">
        <f>COUNTIFS(tData[SEHTrajectPeriodeDatumTijdVan],"&lt;="&amp;($A719+3/24),tData[SEHTrajectPeriodeDatumTijdTotEnMet],"&gt;"&amp;($A719+3/24))</f>
        <v/>
      </c>
      <c r="H719" s="20">
        <f>COUNTIFS(tData[SEHTrajectPeriodeDatumTijdVan],"&lt;="&amp;($A719+4/24),tData[SEHTrajectPeriodeDatumTijdTotEnMet],"&gt;"&amp;($A719+4/24))</f>
        <v/>
      </c>
      <c r="I719" s="20">
        <f>COUNTIFS(tData[SEHTrajectPeriodeDatumTijdVan],"&lt;="&amp;($A719+5/24),tData[SEHTrajectPeriodeDatumTijdTotEnMet],"&gt;"&amp;($A719+5/24))</f>
        <v/>
      </c>
      <c r="J719" s="20">
        <f>COUNTIFS(tData[SEHTrajectPeriodeDatumTijdVan],"&lt;="&amp;($A719+6/24),tData[SEHTrajectPeriodeDatumTijdTotEnMet],"&gt;"&amp;($A719+6/24))</f>
        <v/>
      </c>
      <c r="K719" s="20">
        <f>COUNTIFS(tData[SEHTrajectPeriodeDatumTijdVan],"&lt;="&amp;($A719+7/24),tData[SEHTrajectPeriodeDatumTijdTotEnMet],"&gt;"&amp;($A719+7/24))</f>
        <v/>
      </c>
      <c r="L719" s="20">
        <f>COUNTIFS(tData[SEHTrajectPeriodeDatumTijdVan],"&lt;="&amp;($A719+8/24),tData[SEHTrajectPeriodeDatumTijdTotEnMet],"&gt;"&amp;($A719+8/24))</f>
        <v/>
      </c>
      <c r="M719" s="20">
        <f>COUNTIFS(tData[SEHTrajectPeriodeDatumTijdVan],"&lt;="&amp;($A719+9/24),tData[SEHTrajectPeriodeDatumTijdTotEnMet],"&gt;"&amp;($A719+9/24))</f>
        <v/>
      </c>
      <c r="N719" s="20">
        <f>COUNTIFS(tData[SEHTrajectPeriodeDatumTijdVan],"&lt;="&amp;($A719+10/24),tData[SEHTrajectPeriodeDatumTijdTotEnMet],"&gt;"&amp;($A719+10/24))</f>
        <v/>
      </c>
      <c r="O719" s="20">
        <f>COUNTIFS(tData[SEHTrajectPeriodeDatumTijdVan],"&lt;="&amp;($A719+11/24),tData[SEHTrajectPeriodeDatumTijdTotEnMet],"&gt;"&amp;($A719+11/24))</f>
        <v/>
      </c>
      <c r="P719" s="20">
        <f>COUNTIFS(tData[SEHTrajectPeriodeDatumTijdVan],"&lt;="&amp;($A719+12/24),tData[SEHTrajectPeriodeDatumTijdTotEnMet],"&gt;"&amp;($A719+12/24))</f>
        <v/>
      </c>
      <c r="Q719" s="20">
        <f>COUNTIFS(tData[SEHTrajectPeriodeDatumTijdVan],"&lt;="&amp;($A719+13/24),tData[SEHTrajectPeriodeDatumTijdTotEnMet],"&gt;"&amp;($A719+13/24))</f>
        <v/>
      </c>
      <c r="R719" s="20">
        <f>COUNTIFS(tData[SEHTrajectPeriodeDatumTijdVan],"&lt;="&amp;($A719+14/24),tData[SEHTrajectPeriodeDatumTijdTotEnMet],"&gt;"&amp;($A719+14/24))</f>
        <v/>
      </c>
      <c r="S719" s="20">
        <f>COUNTIFS(tData[SEHTrajectPeriodeDatumTijdVan],"&lt;="&amp;($A719+15/24),tData[SEHTrajectPeriodeDatumTijdTotEnMet],"&gt;"&amp;($A719+15/24))</f>
        <v/>
      </c>
      <c r="T719" s="20">
        <f>COUNTIFS(tData[SEHTrajectPeriodeDatumTijdVan],"&lt;="&amp;($A719+16/24),tData[SEHTrajectPeriodeDatumTijdTotEnMet],"&gt;"&amp;($A719+16/24))</f>
        <v/>
      </c>
      <c r="U719" s="20">
        <f>COUNTIFS(tData[SEHTrajectPeriodeDatumTijdVan],"&lt;="&amp;($A719+17/24),tData[SEHTrajectPeriodeDatumTijdTotEnMet],"&gt;"&amp;($A719+17/24))</f>
        <v/>
      </c>
      <c r="V719" s="20">
        <f>COUNTIFS(tData[SEHTrajectPeriodeDatumTijdVan],"&lt;="&amp;($A719+18/24),tData[SEHTrajectPeriodeDatumTijdTotEnMet],"&gt;"&amp;($A719+18/24))</f>
        <v/>
      </c>
      <c r="W719" s="20">
        <f>COUNTIFS(tData[SEHTrajectPeriodeDatumTijdVan],"&lt;="&amp;($A719+19/24),tData[SEHTrajectPeriodeDatumTijdTotEnMet],"&gt;"&amp;($A719+19/24))</f>
        <v/>
      </c>
      <c r="X719" s="20">
        <f>COUNTIFS(tData[SEHTrajectPeriodeDatumTijdVan],"&lt;="&amp;($A719+20/24),tData[SEHTrajectPeriodeDatumTijdTotEnMet],"&gt;"&amp;($A719+20/24))</f>
        <v/>
      </c>
      <c r="Y719" s="20">
        <f>COUNTIFS(tData[SEHTrajectPeriodeDatumTijdVan],"&lt;="&amp;($A719+21/24),tData[SEHTrajectPeriodeDatumTijdTotEnMet],"&gt;"&amp;($A719+21/24))</f>
        <v/>
      </c>
      <c r="Z719" s="20">
        <f>COUNTIFS(tData[SEHTrajectPeriodeDatumTijdVan],"&lt;="&amp;($A719+22/24),tData[SEHTrajectPeriodeDatumTijdTotEnMet],"&gt;"&amp;($A719+22/24))</f>
        <v/>
      </c>
      <c r="AA719" s="20">
        <f>COUNTIFS(tData[SEHTrajectPeriodeDatumTijdVan],"&lt;="&amp;($A719+23/24),tData[SEHTrajectPeriodeDatumTijdTotEnMet],"&gt;"&amp;($A719+23/24))</f>
        <v/>
      </c>
    </row>
    <row r="720">
      <c r="A720" s="19" t="n">
        <v>46008</v>
      </c>
      <c r="B720" s="15">
        <f>WEEKDAY($A720,2)</f>
        <v/>
      </c>
      <c r="C720" s="15">
        <f>IF(AND($A720&gt;=INT(Instellingen!$B$5),$A720&lt;=INT(Instellingen!$B$6)),1,0)</f>
        <v/>
      </c>
      <c r="D720" s="20">
        <f>COUNTIFS(tData[SEHTrajectPeriodeDatumTijdVan],"&lt;="&amp;($A720+0/24),tData[SEHTrajectPeriodeDatumTijdTotEnMet],"&gt;"&amp;($A720+0/24))</f>
        <v/>
      </c>
      <c r="E720" s="20">
        <f>COUNTIFS(tData[SEHTrajectPeriodeDatumTijdVan],"&lt;="&amp;($A720+1/24),tData[SEHTrajectPeriodeDatumTijdTotEnMet],"&gt;"&amp;($A720+1/24))</f>
        <v/>
      </c>
      <c r="F720" s="20">
        <f>COUNTIFS(tData[SEHTrajectPeriodeDatumTijdVan],"&lt;="&amp;($A720+2/24),tData[SEHTrajectPeriodeDatumTijdTotEnMet],"&gt;"&amp;($A720+2/24))</f>
        <v/>
      </c>
      <c r="G720" s="20">
        <f>COUNTIFS(tData[SEHTrajectPeriodeDatumTijdVan],"&lt;="&amp;($A720+3/24),tData[SEHTrajectPeriodeDatumTijdTotEnMet],"&gt;"&amp;($A720+3/24))</f>
        <v/>
      </c>
      <c r="H720" s="20">
        <f>COUNTIFS(tData[SEHTrajectPeriodeDatumTijdVan],"&lt;="&amp;($A720+4/24),tData[SEHTrajectPeriodeDatumTijdTotEnMet],"&gt;"&amp;($A720+4/24))</f>
        <v/>
      </c>
      <c r="I720" s="20">
        <f>COUNTIFS(tData[SEHTrajectPeriodeDatumTijdVan],"&lt;="&amp;($A720+5/24),tData[SEHTrajectPeriodeDatumTijdTotEnMet],"&gt;"&amp;($A720+5/24))</f>
        <v/>
      </c>
      <c r="J720" s="20">
        <f>COUNTIFS(tData[SEHTrajectPeriodeDatumTijdVan],"&lt;="&amp;($A720+6/24),tData[SEHTrajectPeriodeDatumTijdTotEnMet],"&gt;"&amp;($A720+6/24))</f>
        <v/>
      </c>
      <c r="K720" s="20">
        <f>COUNTIFS(tData[SEHTrajectPeriodeDatumTijdVan],"&lt;="&amp;($A720+7/24),tData[SEHTrajectPeriodeDatumTijdTotEnMet],"&gt;"&amp;($A720+7/24))</f>
        <v/>
      </c>
      <c r="L720" s="20">
        <f>COUNTIFS(tData[SEHTrajectPeriodeDatumTijdVan],"&lt;="&amp;($A720+8/24),tData[SEHTrajectPeriodeDatumTijdTotEnMet],"&gt;"&amp;($A720+8/24))</f>
        <v/>
      </c>
      <c r="M720" s="20">
        <f>COUNTIFS(tData[SEHTrajectPeriodeDatumTijdVan],"&lt;="&amp;($A720+9/24),tData[SEHTrajectPeriodeDatumTijdTotEnMet],"&gt;"&amp;($A720+9/24))</f>
        <v/>
      </c>
      <c r="N720" s="20">
        <f>COUNTIFS(tData[SEHTrajectPeriodeDatumTijdVan],"&lt;="&amp;($A720+10/24),tData[SEHTrajectPeriodeDatumTijdTotEnMet],"&gt;"&amp;($A720+10/24))</f>
        <v/>
      </c>
      <c r="O720" s="20">
        <f>COUNTIFS(tData[SEHTrajectPeriodeDatumTijdVan],"&lt;="&amp;($A720+11/24),tData[SEHTrajectPeriodeDatumTijdTotEnMet],"&gt;"&amp;($A720+11/24))</f>
        <v/>
      </c>
      <c r="P720" s="20">
        <f>COUNTIFS(tData[SEHTrajectPeriodeDatumTijdVan],"&lt;="&amp;($A720+12/24),tData[SEHTrajectPeriodeDatumTijdTotEnMet],"&gt;"&amp;($A720+12/24))</f>
        <v/>
      </c>
      <c r="Q720" s="20">
        <f>COUNTIFS(tData[SEHTrajectPeriodeDatumTijdVan],"&lt;="&amp;($A720+13/24),tData[SEHTrajectPeriodeDatumTijdTotEnMet],"&gt;"&amp;($A720+13/24))</f>
        <v/>
      </c>
      <c r="R720" s="20">
        <f>COUNTIFS(tData[SEHTrajectPeriodeDatumTijdVan],"&lt;="&amp;($A720+14/24),tData[SEHTrajectPeriodeDatumTijdTotEnMet],"&gt;"&amp;($A720+14/24))</f>
        <v/>
      </c>
      <c r="S720" s="20">
        <f>COUNTIFS(tData[SEHTrajectPeriodeDatumTijdVan],"&lt;="&amp;($A720+15/24),tData[SEHTrajectPeriodeDatumTijdTotEnMet],"&gt;"&amp;($A720+15/24))</f>
        <v/>
      </c>
      <c r="T720" s="20">
        <f>COUNTIFS(tData[SEHTrajectPeriodeDatumTijdVan],"&lt;="&amp;($A720+16/24),tData[SEHTrajectPeriodeDatumTijdTotEnMet],"&gt;"&amp;($A720+16/24))</f>
        <v/>
      </c>
      <c r="U720" s="20">
        <f>COUNTIFS(tData[SEHTrajectPeriodeDatumTijdVan],"&lt;="&amp;($A720+17/24),tData[SEHTrajectPeriodeDatumTijdTotEnMet],"&gt;"&amp;($A720+17/24))</f>
        <v/>
      </c>
      <c r="V720" s="20">
        <f>COUNTIFS(tData[SEHTrajectPeriodeDatumTijdVan],"&lt;="&amp;($A720+18/24),tData[SEHTrajectPeriodeDatumTijdTotEnMet],"&gt;"&amp;($A720+18/24))</f>
        <v/>
      </c>
      <c r="W720" s="20">
        <f>COUNTIFS(tData[SEHTrajectPeriodeDatumTijdVan],"&lt;="&amp;($A720+19/24),tData[SEHTrajectPeriodeDatumTijdTotEnMet],"&gt;"&amp;($A720+19/24))</f>
        <v/>
      </c>
      <c r="X720" s="20">
        <f>COUNTIFS(tData[SEHTrajectPeriodeDatumTijdVan],"&lt;="&amp;($A720+20/24),tData[SEHTrajectPeriodeDatumTijdTotEnMet],"&gt;"&amp;($A720+20/24))</f>
        <v/>
      </c>
      <c r="Y720" s="20">
        <f>COUNTIFS(tData[SEHTrajectPeriodeDatumTijdVan],"&lt;="&amp;($A720+21/24),tData[SEHTrajectPeriodeDatumTijdTotEnMet],"&gt;"&amp;($A720+21/24))</f>
        <v/>
      </c>
      <c r="Z720" s="20">
        <f>COUNTIFS(tData[SEHTrajectPeriodeDatumTijdVan],"&lt;="&amp;($A720+22/24),tData[SEHTrajectPeriodeDatumTijdTotEnMet],"&gt;"&amp;($A720+22/24))</f>
        <v/>
      </c>
      <c r="AA720" s="20">
        <f>COUNTIFS(tData[SEHTrajectPeriodeDatumTijdVan],"&lt;="&amp;($A720+23/24),tData[SEHTrajectPeriodeDatumTijdTotEnMet],"&gt;"&amp;($A720+23/24))</f>
        <v/>
      </c>
    </row>
    <row r="721">
      <c r="A721" s="19" t="n">
        <v>46009</v>
      </c>
      <c r="B721" s="15">
        <f>WEEKDAY($A721,2)</f>
        <v/>
      </c>
      <c r="C721" s="15">
        <f>IF(AND($A721&gt;=INT(Instellingen!$B$5),$A721&lt;=INT(Instellingen!$B$6)),1,0)</f>
        <v/>
      </c>
      <c r="D721" s="20">
        <f>COUNTIFS(tData[SEHTrajectPeriodeDatumTijdVan],"&lt;="&amp;($A721+0/24),tData[SEHTrajectPeriodeDatumTijdTotEnMet],"&gt;"&amp;($A721+0/24))</f>
        <v/>
      </c>
      <c r="E721" s="20">
        <f>COUNTIFS(tData[SEHTrajectPeriodeDatumTijdVan],"&lt;="&amp;($A721+1/24),tData[SEHTrajectPeriodeDatumTijdTotEnMet],"&gt;"&amp;($A721+1/24))</f>
        <v/>
      </c>
      <c r="F721" s="20">
        <f>COUNTIFS(tData[SEHTrajectPeriodeDatumTijdVan],"&lt;="&amp;($A721+2/24),tData[SEHTrajectPeriodeDatumTijdTotEnMet],"&gt;"&amp;($A721+2/24))</f>
        <v/>
      </c>
      <c r="G721" s="20">
        <f>COUNTIFS(tData[SEHTrajectPeriodeDatumTijdVan],"&lt;="&amp;($A721+3/24),tData[SEHTrajectPeriodeDatumTijdTotEnMet],"&gt;"&amp;($A721+3/24))</f>
        <v/>
      </c>
      <c r="H721" s="20">
        <f>COUNTIFS(tData[SEHTrajectPeriodeDatumTijdVan],"&lt;="&amp;($A721+4/24),tData[SEHTrajectPeriodeDatumTijdTotEnMet],"&gt;"&amp;($A721+4/24))</f>
        <v/>
      </c>
      <c r="I721" s="20">
        <f>COUNTIFS(tData[SEHTrajectPeriodeDatumTijdVan],"&lt;="&amp;($A721+5/24),tData[SEHTrajectPeriodeDatumTijdTotEnMet],"&gt;"&amp;($A721+5/24))</f>
        <v/>
      </c>
      <c r="J721" s="20">
        <f>COUNTIFS(tData[SEHTrajectPeriodeDatumTijdVan],"&lt;="&amp;($A721+6/24),tData[SEHTrajectPeriodeDatumTijdTotEnMet],"&gt;"&amp;($A721+6/24))</f>
        <v/>
      </c>
      <c r="K721" s="20">
        <f>COUNTIFS(tData[SEHTrajectPeriodeDatumTijdVan],"&lt;="&amp;($A721+7/24),tData[SEHTrajectPeriodeDatumTijdTotEnMet],"&gt;"&amp;($A721+7/24))</f>
        <v/>
      </c>
      <c r="L721" s="20">
        <f>COUNTIFS(tData[SEHTrajectPeriodeDatumTijdVan],"&lt;="&amp;($A721+8/24),tData[SEHTrajectPeriodeDatumTijdTotEnMet],"&gt;"&amp;($A721+8/24))</f>
        <v/>
      </c>
      <c r="M721" s="20">
        <f>COUNTIFS(tData[SEHTrajectPeriodeDatumTijdVan],"&lt;="&amp;($A721+9/24),tData[SEHTrajectPeriodeDatumTijdTotEnMet],"&gt;"&amp;($A721+9/24))</f>
        <v/>
      </c>
      <c r="N721" s="20">
        <f>COUNTIFS(tData[SEHTrajectPeriodeDatumTijdVan],"&lt;="&amp;($A721+10/24),tData[SEHTrajectPeriodeDatumTijdTotEnMet],"&gt;"&amp;($A721+10/24))</f>
        <v/>
      </c>
      <c r="O721" s="20">
        <f>COUNTIFS(tData[SEHTrajectPeriodeDatumTijdVan],"&lt;="&amp;($A721+11/24),tData[SEHTrajectPeriodeDatumTijdTotEnMet],"&gt;"&amp;($A721+11/24))</f>
        <v/>
      </c>
      <c r="P721" s="20">
        <f>COUNTIFS(tData[SEHTrajectPeriodeDatumTijdVan],"&lt;="&amp;($A721+12/24),tData[SEHTrajectPeriodeDatumTijdTotEnMet],"&gt;"&amp;($A721+12/24))</f>
        <v/>
      </c>
      <c r="Q721" s="20">
        <f>COUNTIFS(tData[SEHTrajectPeriodeDatumTijdVan],"&lt;="&amp;($A721+13/24),tData[SEHTrajectPeriodeDatumTijdTotEnMet],"&gt;"&amp;($A721+13/24))</f>
        <v/>
      </c>
      <c r="R721" s="20">
        <f>COUNTIFS(tData[SEHTrajectPeriodeDatumTijdVan],"&lt;="&amp;($A721+14/24),tData[SEHTrajectPeriodeDatumTijdTotEnMet],"&gt;"&amp;($A721+14/24))</f>
        <v/>
      </c>
      <c r="S721" s="20">
        <f>COUNTIFS(tData[SEHTrajectPeriodeDatumTijdVan],"&lt;="&amp;($A721+15/24),tData[SEHTrajectPeriodeDatumTijdTotEnMet],"&gt;"&amp;($A721+15/24))</f>
        <v/>
      </c>
      <c r="T721" s="20">
        <f>COUNTIFS(tData[SEHTrajectPeriodeDatumTijdVan],"&lt;="&amp;($A721+16/24),tData[SEHTrajectPeriodeDatumTijdTotEnMet],"&gt;"&amp;($A721+16/24))</f>
        <v/>
      </c>
      <c r="U721" s="20">
        <f>COUNTIFS(tData[SEHTrajectPeriodeDatumTijdVan],"&lt;="&amp;($A721+17/24),tData[SEHTrajectPeriodeDatumTijdTotEnMet],"&gt;"&amp;($A721+17/24))</f>
        <v/>
      </c>
      <c r="V721" s="20">
        <f>COUNTIFS(tData[SEHTrajectPeriodeDatumTijdVan],"&lt;="&amp;($A721+18/24),tData[SEHTrajectPeriodeDatumTijdTotEnMet],"&gt;"&amp;($A721+18/24))</f>
        <v/>
      </c>
      <c r="W721" s="20">
        <f>COUNTIFS(tData[SEHTrajectPeriodeDatumTijdVan],"&lt;="&amp;($A721+19/24),tData[SEHTrajectPeriodeDatumTijdTotEnMet],"&gt;"&amp;($A721+19/24))</f>
        <v/>
      </c>
      <c r="X721" s="20">
        <f>COUNTIFS(tData[SEHTrajectPeriodeDatumTijdVan],"&lt;="&amp;($A721+20/24),tData[SEHTrajectPeriodeDatumTijdTotEnMet],"&gt;"&amp;($A721+20/24))</f>
        <v/>
      </c>
      <c r="Y721" s="20">
        <f>COUNTIFS(tData[SEHTrajectPeriodeDatumTijdVan],"&lt;="&amp;($A721+21/24),tData[SEHTrajectPeriodeDatumTijdTotEnMet],"&gt;"&amp;($A721+21/24))</f>
        <v/>
      </c>
      <c r="Z721" s="20">
        <f>COUNTIFS(tData[SEHTrajectPeriodeDatumTijdVan],"&lt;="&amp;($A721+22/24),tData[SEHTrajectPeriodeDatumTijdTotEnMet],"&gt;"&amp;($A721+22/24))</f>
        <v/>
      </c>
      <c r="AA721" s="20">
        <f>COUNTIFS(tData[SEHTrajectPeriodeDatumTijdVan],"&lt;="&amp;($A721+23/24),tData[SEHTrajectPeriodeDatumTijdTotEnMet],"&gt;"&amp;($A721+23/24))</f>
        <v/>
      </c>
    </row>
    <row r="722">
      <c r="A722" s="19" t="n">
        <v>46010</v>
      </c>
      <c r="B722" s="15">
        <f>WEEKDAY($A722,2)</f>
        <v/>
      </c>
      <c r="C722" s="15">
        <f>IF(AND($A722&gt;=INT(Instellingen!$B$5),$A722&lt;=INT(Instellingen!$B$6)),1,0)</f>
        <v/>
      </c>
      <c r="D722" s="20">
        <f>COUNTIFS(tData[SEHTrajectPeriodeDatumTijdVan],"&lt;="&amp;($A722+0/24),tData[SEHTrajectPeriodeDatumTijdTotEnMet],"&gt;"&amp;($A722+0/24))</f>
        <v/>
      </c>
      <c r="E722" s="20">
        <f>COUNTIFS(tData[SEHTrajectPeriodeDatumTijdVan],"&lt;="&amp;($A722+1/24),tData[SEHTrajectPeriodeDatumTijdTotEnMet],"&gt;"&amp;($A722+1/24))</f>
        <v/>
      </c>
      <c r="F722" s="20">
        <f>COUNTIFS(tData[SEHTrajectPeriodeDatumTijdVan],"&lt;="&amp;($A722+2/24),tData[SEHTrajectPeriodeDatumTijdTotEnMet],"&gt;"&amp;($A722+2/24))</f>
        <v/>
      </c>
      <c r="G722" s="20">
        <f>COUNTIFS(tData[SEHTrajectPeriodeDatumTijdVan],"&lt;="&amp;($A722+3/24),tData[SEHTrajectPeriodeDatumTijdTotEnMet],"&gt;"&amp;($A722+3/24))</f>
        <v/>
      </c>
      <c r="H722" s="20">
        <f>COUNTIFS(tData[SEHTrajectPeriodeDatumTijdVan],"&lt;="&amp;($A722+4/24),tData[SEHTrajectPeriodeDatumTijdTotEnMet],"&gt;"&amp;($A722+4/24))</f>
        <v/>
      </c>
      <c r="I722" s="20">
        <f>COUNTIFS(tData[SEHTrajectPeriodeDatumTijdVan],"&lt;="&amp;($A722+5/24),tData[SEHTrajectPeriodeDatumTijdTotEnMet],"&gt;"&amp;($A722+5/24))</f>
        <v/>
      </c>
      <c r="J722" s="20">
        <f>COUNTIFS(tData[SEHTrajectPeriodeDatumTijdVan],"&lt;="&amp;($A722+6/24),tData[SEHTrajectPeriodeDatumTijdTotEnMet],"&gt;"&amp;($A722+6/24))</f>
        <v/>
      </c>
      <c r="K722" s="20">
        <f>COUNTIFS(tData[SEHTrajectPeriodeDatumTijdVan],"&lt;="&amp;($A722+7/24),tData[SEHTrajectPeriodeDatumTijdTotEnMet],"&gt;"&amp;($A722+7/24))</f>
        <v/>
      </c>
      <c r="L722" s="20">
        <f>COUNTIFS(tData[SEHTrajectPeriodeDatumTijdVan],"&lt;="&amp;($A722+8/24),tData[SEHTrajectPeriodeDatumTijdTotEnMet],"&gt;"&amp;($A722+8/24))</f>
        <v/>
      </c>
      <c r="M722" s="20">
        <f>COUNTIFS(tData[SEHTrajectPeriodeDatumTijdVan],"&lt;="&amp;($A722+9/24),tData[SEHTrajectPeriodeDatumTijdTotEnMet],"&gt;"&amp;($A722+9/24))</f>
        <v/>
      </c>
      <c r="N722" s="20">
        <f>COUNTIFS(tData[SEHTrajectPeriodeDatumTijdVan],"&lt;="&amp;($A722+10/24),tData[SEHTrajectPeriodeDatumTijdTotEnMet],"&gt;"&amp;($A722+10/24))</f>
        <v/>
      </c>
      <c r="O722" s="20">
        <f>COUNTIFS(tData[SEHTrajectPeriodeDatumTijdVan],"&lt;="&amp;($A722+11/24),tData[SEHTrajectPeriodeDatumTijdTotEnMet],"&gt;"&amp;($A722+11/24))</f>
        <v/>
      </c>
      <c r="P722" s="20">
        <f>COUNTIFS(tData[SEHTrajectPeriodeDatumTijdVan],"&lt;="&amp;($A722+12/24),tData[SEHTrajectPeriodeDatumTijdTotEnMet],"&gt;"&amp;($A722+12/24))</f>
        <v/>
      </c>
      <c r="Q722" s="20">
        <f>COUNTIFS(tData[SEHTrajectPeriodeDatumTijdVan],"&lt;="&amp;($A722+13/24),tData[SEHTrajectPeriodeDatumTijdTotEnMet],"&gt;"&amp;($A722+13/24))</f>
        <v/>
      </c>
      <c r="R722" s="20">
        <f>COUNTIFS(tData[SEHTrajectPeriodeDatumTijdVan],"&lt;="&amp;($A722+14/24),tData[SEHTrajectPeriodeDatumTijdTotEnMet],"&gt;"&amp;($A722+14/24))</f>
        <v/>
      </c>
      <c r="S722" s="20">
        <f>COUNTIFS(tData[SEHTrajectPeriodeDatumTijdVan],"&lt;="&amp;($A722+15/24),tData[SEHTrajectPeriodeDatumTijdTotEnMet],"&gt;"&amp;($A722+15/24))</f>
        <v/>
      </c>
      <c r="T722" s="20">
        <f>COUNTIFS(tData[SEHTrajectPeriodeDatumTijdVan],"&lt;="&amp;($A722+16/24),tData[SEHTrajectPeriodeDatumTijdTotEnMet],"&gt;"&amp;($A722+16/24))</f>
        <v/>
      </c>
      <c r="U722" s="20">
        <f>COUNTIFS(tData[SEHTrajectPeriodeDatumTijdVan],"&lt;="&amp;($A722+17/24),tData[SEHTrajectPeriodeDatumTijdTotEnMet],"&gt;"&amp;($A722+17/24))</f>
        <v/>
      </c>
      <c r="V722" s="20">
        <f>COUNTIFS(tData[SEHTrajectPeriodeDatumTijdVan],"&lt;="&amp;($A722+18/24),tData[SEHTrajectPeriodeDatumTijdTotEnMet],"&gt;"&amp;($A722+18/24))</f>
        <v/>
      </c>
      <c r="W722" s="20">
        <f>COUNTIFS(tData[SEHTrajectPeriodeDatumTijdVan],"&lt;="&amp;($A722+19/24),tData[SEHTrajectPeriodeDatumTijdTotEnMet],"&gt;"&amp;($A722+19/24))</f>
        <v/>
      </c>
      <c r="X722" s="20">
        <f>COUNTIFS(tData[SEHTrajectPeriodeDatumTijdVan],"&lt;="&amp;($A722+20/24),tData[SEHTrajectPeriodeDatumTijdTotEnMet],"&gt;"&amp;($A722+20/24))</f>
        <v/>
      </c>
      <c r="Y722" s="20">
        <f>COUNTIFS(tData[SEHTrajectPeriodeDatumTijdVan],"&lt;="&amp;($A722+21/24),tData[SEHTrajectPeriodeDatumTijdTotEnMet],"&gt;"&amp;($A722+21/24))</f>
        <v/>
      </c>
      <c r="Z722" s="20">
        <f>COUNTIFS(tData[SEHTrajectPeriodeDatumTijdVan],"&lt;="&amp;($A722+22/24),tData[SEHTrajectPeriodeDatumTijdTotEnMet],"&gt;"&amp;($A722+22/24))</f>
        <v/>
      </c>
      <c r="AA722" s="20">
        <f>COUNTIFS(tData[SEHTrajectPeriodeDatumTijdVan],"&lt;="&amp;($A722+23/24),tData[SEHTrajectPeriodeDatumTijdTotEnMet],"&gt;"&amp;($A722+23/24))</f>
        <v/>
      </c>
    </row>
    <row r="723">
      <c r="A723" s="19" t="n">
        <v>46011</v>
      </c>
      <c r="B723" s="15">
        <f>WEEKDAY($A723,2)</f>
        <v/>
      </c>
      <c r="C723" s="15">
        <f>IF(AND($A723&gt;=INT(Instellingen!$B$5),$A723&lt;=INT(Instellingen!$B$6)),1,0)</f>
        <v/>
      </c>
      <c r="D723" s="20">
        <f>COUNTIFS(tData[SEHTrajectPeriodeDatumTijdVan],"&lt;="&amp;($A723+0/24),tData[SEHTrajectPeriodeDatumTijdTotEnMet],"&gt;"&amp;($A723+0/24))</f>
        <v/>
      </c>
      <c r="E723" s="20">
        <f>COUNTIFS(tData[SEHTrajectPeriodeDatumTijdVan],"&lt;="&amp;($A723+1/24),tData[SEHTrajectPeriodeDatumTijdTotEnMet],"&gt;"&amp;($A723+1/24))</f>
        <v/>
      </c>
      <c r="F723" s="20">
        <f>COUNTIFS(tData[SEHTrajectPeriodeDatumTijdVan],"&lt;="&amp;($A723+2/24),tData[SEHTrajectPeriodeDatumTijdTotEnMet],"&gt;"&amp;($A723+2/24))</f>
        <v/>
      </c>
      <c r="G723" s="20">
        <f>COUNTIFS(tData[SEHTrajectPeriodeDatumTijdVan],"&lt;="&amp;($A723+3/24),tData[SEHTrajectPeriodeDatumTijdTotEnMet],"&gt;"&amp;($A723+3/24))</f>
        <v/>
      </c>
      <c r="H723" s="20">
        <f>COUNTIFS(tData[SEHTrajectPeriodeDatumTijdVan],"&lt;="&amp;($A723+4/24),tData[SEHTrajectPeriodeDatumTijdTotEnMet],"&gt;"&amp;($A723+4/24))</f>
        <v/>
      </c>
      <c r="I723" s="20">
        <f>COUNTIFS(tData[SEHTrajectPeriodeDatumTijdVan],"&lt;="&amp;($A723+5/24),tData[SEHTrajectPeriodeDatumTijdTotEnMet],"&gt;"&amp;($A723+5/24))</f>
        <v/>
      </c>
      <c r="J723" s="20">
        <f>COUNTIFS(tData[SEHTrajectPeriodeDatumTijdVan],"&lt;="&amp;($A723+6/24),tData[SEHTrajectPeriodeDatumTijdTotEnMet],"&gt;"&amp;($A723+6/24))</f>
        <v/>
      </c>
      <c r="K723" s="20">
        <f>COUNTIFS(tData[SEHTrajectPeriodeDatumTijdVan],"&lt;="&amp;($A723+7/24),tData[SEHTrajectPeriodeDatumTijdTotEnMet],"&gt;"&amp;($A723+7/24))</f>
        <v/>
      </c>
      <c r="L723" s="20">
        <f>COUNTIFS(tData[SEHTrajectPeriodeDatumTijdVan],"&lt;="&amp;($A723+8/24),tData[SEHTrajectPeriodeDatumTijdTotEnMet],"&gt;"&amp;($A723+8/24))</f>
        <v/>
      </c>
      <c r="M723" s="20">
        <f>COUNTIFS(tData[SEHTrajectPeriodeDatumTijdVan],"&lt;="&amp;($A723+9/24),tData[SEHTrajectPeriodeDatumTijdTotEnMet],"&gt;"&amp;($A723+9/24))</f>
        <v/>
      </c>
      <c r="N723" s="20">
        <f>COUNTIFS(tData[SEHTrajectPeriodeDatumTijdVan],"&lt;="&amp;($A723+10/24),tData[SEHTrajectPeriodeDatumTijdTotEnMet],"&gt;"&amp;($A723+10/24))</f>
        <v/>
      </c>
      <c r="O723" s="20">
        <f>COUNTIFS(tData[SEHTrajectPeriodeDatumTijdVan],"&lt;="&amp;($A723+11/24),tData[SEHTrajectPeriodeDatumTijdTotEnMet],"&gt;"&amp;($A723+11/24))</f>
        <v/>
      </c>
      <c r="P723" s="20">
        <f>COUNTIFS(tData[SEHTrajectPeriodeDatumTijdVan],"&lt;="&amp;($A723+12/24),tData[SEHTrajectPeriodeDatumTijdTotEnMet],"&gt;"&amp;($A723+12/24))</f>
        <v/>
      </c>
      <c r="Q723" s="20">
        <f>COUNTIFS(tData[SEHTrajectPeriodeDatumTijdVan],"&lt;="&amp;($A723+13/24),tData[SEHTrajectPeriodeDatumTijdTotEnMet],"&gt;"&amp;($A723+13/24))</f>
        <v/>
      </c>
      <c r="R723" s="20">
        <f>COUNTIFS(tData[SEHTrajectPeriodeDatumTijdVan],"&lt;="&amp;($A723+14/24),tData[SEHTrajectPeriodeDatumTijdTotEnMet],"&gt;"&amp;($A723+14/24))</f>
        <v/>
      </c>
      <c r="S723" s="20">
        <f>COUNTIFS(tData[SEHTrajectPeriodeDatumTijdVan],"&lt;="&amp;($A723+15/24),tData[SEHTrajectPeriodeDatumTijdTotEnMet],"&gt;"&amp;($A723+15/24))</f>
        <v/>
      </c>
      <c r="T723" s="20">
        <f>COUNTIFS(tData[SEHTrajectPeriodeDatumTijdVan],"&lt;="&amp;($A723+16/24),tData[SEHTrajectPeriodeDatumTijdTotEnMet],"&gt;"&amp;($A723+16/24))</f>
        <v/>
      </c>
      <c r="U723" s="20">
        <f>COUNTIFS(tData[SEHTrajectPeriodeDatumTijdVan],"&lt;="&amp;($A723+17/24),tData[SEHTrajectPeriodeDatumTijdTotEnMet],"&gt;"&amp;($A723+17/24))</f>
        <v/>
      </c>
      <c r="V723" s="20">
        <f>COUNTIFS(tData[SEHTrajectPeriodeDatumTijdVan],"&lt;="&amp;($A723+18/24),tData[SEHTrajectPeriodeDatumTijdTotEnMet],"&gt;"&amp;($A723+18/24))</f>
        <v/>
      </c>
      <c r="W723" s="20">
        <f>COUNTIFS(tData[SEHTrajectPeriodeDatumTijdVan],"&lt;="&amp;($A723+19/24),tData[SEHTrajectPeriodeDatumTijdTotEnMet],"&gt;"&amp;($A723+19/24))</f>
        <v/>
      </c>
      <c r="X723" s="20">
        <f>COUNTIFS(tData[SEHTrajectPeriodeDatumTijdVan],"&lt;="&amp;($A723+20/24),tData[SEHTrajectPeriodeDatumTijdTotEnMet],"&gt;"&amp;($A723+20/24))</f>
        <v/>
      </c>
      <c r="Y723" s="20">
        <f>COUNTIFS(tData[SEHTrajectPeriodeDatumTijdVan],"&lt;="&amp;($A723+21/24),tData[SEHTrajectPeriodeDatumTijdTotEnMet],"&gt;"&amp;($A723+21/24))</f>
        <v/>
      </c>
      <c r="Z723" s="20">
        <f>COUNTIFS(tData[SEHTrajectPeriodeDatumTijdVan],"&lt;="&amp;($A723+22/24),tData[SEHTrajectPeriodeDatumTijdTotEnMet],"&gt;"&amp;($A723+22/24))</f>
        <v/>
      </c>
      <c r="AA723" s="20">
        <f>COUNTIFS(tData[SEHTrajectPeriodeDatumTijdVan],"&lt;="&amp;($A723+23/24),tData[SEHTrajectPeriodeDatumTijdTotEnMet],"&gt;"&amp;($A723+23/24))</f>
        <v/>
      </c>
    </row>
    <row r="724">
      <c r="A724" s="19" t="n">
        <v>46012</v>
      </c>
      <c r="B724" s="15">
        <f>WEEKDAY($A724,2)</f>
        <v/>
      </c>
      <c r="C724" s="15">
        <f>IF(AND($A724&gt;=INT(Instellingen!$B$5),$A724&lt;=INT(Instellingen!$B$6)),1,0)</f>
        <v/>
      </c>
      <c r="D724" s="20">
        <f>COUNTIFS(tData[SEHTrajectPeriodeDatumTijdVan],"&lt;="&amp;($A724+0/24),tData[SEHTrajectPeriodeDatumTijdTotEnMet],"&gt;"&amp;($A724+0/24))</f>
        <v/>
      </c>
      <c r="E724" s="20">
        <f>COUNTIFS(tData[SEHTrajectPeriodeDatumTijdVan],"&lt;="&amp;($A724+1/24),tData[SEHTrajectPeriodeDatumTijdTotEnMet],"&gt;"&amp;($A724+1/24))</f>
        <v/>
      </c>
      <c r="F724" s="20">
        <f>COUNTIFS(tData[SEHTrajectPeriodeDatumTijdVan],"&lt;="&amp;($A724+2/24),tData[SEHTrajectPeriodeDatumTijdTotEnMet],"&gt;"&amp;($A724+2/24))</f>
        <v/>
      </c>
      <c r="G724" s="20">
        <f>COUNTIFS(tData[SEHTrajectPeriodeDatumTijdVan],"&lt;="&amp;($A724+3/24),tData[SEHTrajectPeriodeDatumTijdTotEnMet],"&gt;"&amp;($A724+3/24))</f>
        <v/>
      </c>
      <c r="H724" s="20">
        <f>COUNTIFS(tData[SEHTrajectPeriodeDatumTijdVan],"&lt;="&amp;($A724+4/24),tData[SEHTrajectPeriodeDatumTijdTotEnMet],"&gt;"&amp;($A724+4/24))</f>
        <v/>
      </c>
      <c r="I724" s="20">
        <f>COUNTIFS(tData[SEHTrajectPeriodeDatumTijdVan],"&lt;="&amp;($A724+5/24),tData[SEHTrajectPeriodeDatumTijdTotEnMet],"&gt;"&amp;($A724+5/24))</f>
        <v/>
      </c>
      <c r="J724" s="20">
        <f>COUNTIFS(tData[SEHTrajectPeriodeDatumTijdVan],"&lt;="&amp;($A724+6/24),tData[SEHTrajectPeriodeDatumTijdTotEnMet],"&gt;"&amp;($A724+6/24))</f>
        <v/>
      </c>
      <c r="K724" s="20">
        <f>COUNTIFS(tData[SEHTrajectPeriodeDatumTijdVan],"&lt;="&amp;($A724+7/24),tData[SEHTrajectPeriodeDatumTijdTotEnMet],"&gt;"&amp;($A724+7/24))</f>
        <v/>
      </c>
      <c r="L724" s="20">
        <f>COUNTIFS(tData[SEHTrajectPeriodeDatumTijdVan],"&lt;="&amp;($A724+8/24),tData[SEHTrajectPeriodeDatumTijdTotEnMet],"&gt;"&amp;($A724+8/24))</f>
        <v/>
      </c>
      <c r="M724" s="20">
        <f>COUNTIFS(tData[SEHTrajectPeriodeDatumTijdVan],"&lt;="&amp;($A724+9/24),tData[SEHTrajectPeriodeDatumTijdTotEnMet],"&gt;"&amp;($A724+9/24))</f>
        <v/>
      </c>
      <c r="N724" s="20">
        <f>COUNTIFS(tData[SEHTrajectPeriodeDatumTijdVan],"&lt;="&amp;($A724+10/24),tData[SEHTrajectPeriodeDatumTijdTotEnMet],"&gt;"&amp;($A724+10/24))</f>
        <v/>
      </c>
      <c r="O724" s="20">
        <f>COUNTIFS(tData[SEHTrajectPeriodeDatumTijdVan],"&lt;="&amp;($A724+11/24),tData[SEHTrajectPeriodeDatumTijdTotEnMet],"&gt;"&amp;($A724+11/24))</f>
        <v/>
      </c>
      <c r="P724" s="20">
        <f>COUNTIFS(tData[SEHTrajectPeriodeDatumTijdVan],"&lt;="&amp;($A724+12/24),tData[SEHTrajectPeriodeDatumTijdTotEnMet],"&gt;"&amp;($A724+12/24))</f>
        <v/>
      </c>
      <c r="Q724" s="20">
        <f>COUNTIFS(tData[SEHTrajectPeriodeDatumTijdVan],"&lt;="&amp;($A724+13/24),tData[SEHTrajectPeriodeDatumTijdTotEnMet],"&gt;"&amp;($A724+13/24))</f>
        <v/>
      </c>
      <c r="R724" s="20">
        <f>COUNTIFS(tData[SEHTrajectPeriodeDatumTijdVan],"&lt;="&amp;($A724+14/24),tData[SEHTrajectPeriodeDatumTijdTotEnMet],"&gt;"&amp;($A724+14/24))</f>
        <v/>
      </c>
      <c r="S724" s="20">
        <f>COUNTIFS(tData[SEHTrajectPeriodeDatumTijdVan],"&lt;="&amp;($A724+15/24),tData[SEHTrajectPeriodeDatumTijdTotEnMet],"&gt;"&amp;($A724+15/24))</f>
        <v/>
      </c>
      <c r="T724" s="20">
        <f>COUNTIFS(tData[SEHTrajectPeriodeDatumTijdVan],"&lt;="&amp;($A724+16/24),tData[SEHTrajectPeriodeDatumTijdTotEnMet],"&gt;"&amp;($A724+16/24))</f>
        <v/>
      </c>
      <c r="U724" s="20">
        <f>COUNTIFS(tData[SEHTrajectPeriodeDatumTijdVan],"&lt;="&amp;($A724+17/24),tData[SEHTrajectPeriodeDatumTijdTotEnMet],"&gt;"&amp;($A724+17/24))</f>
        <v/>
      </c>
      <c r="V724" s="20">
        <f>COUNTIFS(tData[SEHTrajectPeriodeDatumTijdVan],"&lt;="&amp;($A724+18/24),tData[SEHTrajectPeriodeDatumTijdTotEnMet],"&gt;"&amp;($A724+18/24))</f>
        <v/>
      </c>
      <c r="W724" s="20">
        <f>COUNTIFS(tData[SEHTrajectPeriodeDatumTijdVan],"&lt;="&amp;($A724+19/24),tData[SEHTrajectPeriodeDatumTijdTotEnMet],"&gt;"&amp;($A724+19/24))</f>
        <v/>
      </c>
      <c r="X724" s="20">
        <f>COUNTIFS(tData[SEHTrajectPeriodeDatumTijdVan],"&lt;="&amp;($A724+20/24),tData[SEHTrajectPeriodeDatumTijdTotEnMet],"&gt;"&amp;($A724+20/24))</f>
        <v/>
      </c>
      <c r="Y724" s="20">
        <f>COUNTIFS(tData[SEHTrajectPeriodeDatumTijdVan],"&lt;="&amp;($A724+21/24),tData[SEHTrajectPeriodeDatumTijdTotEnMet],"&gt;"&amp;($A724+21/24))</f>
        <v/>
      </c>
      <c r="Z724" s="20">
        <f>COUNTIFS(tData[SEHTrajectPeriodeDatumTijdVan],"&lt;="&amp;($A724+22/24),tData[SEHTrajectPeriodeDatumTijdTotEnMet],"&gt;"&amp;($A724+22/24))</f>
        <v/>
      </c>
      <c r="AA724" s="20">
        <f>COUNTIFS(tData[SEHTrajectPeriodeDatumTijdVan],"&lt;="&amp;($A724+23/24),tData[SEHTrajectPeriodeDatumTijdTotEnMet],"&gt;"&amp;($A724+23/24))</f>
        <v/>
      </c>
    </row>
    <row r="725">
      <c r="A725" s="19" t="n">
        <v>46013</v>
      </c>
      <c r="B725" s="15">
        <f>WEEKDAY($A725,2)</f>
        <v/>
      </c>
      <c r="C725" s="15">
        <f>IF(AND($A725&gt;=INT(Instellingen!$B$5),$A725&lt;=INT(Instellingen!$B$6)),1,0)</f>
        <v/>
      </c>
      <c r="D725" s="20">
        <f>COUNTIFS(tData[SEHTrajectPeriodeDatumTijdVan],"&lt;="&amp;($A725+0/24),tData[SEHTrajectPeriodeDatumTijdTotEnMet],"&gt;"&amp;($A725+0/24))</f>
        <v/>
      </c>
      <c r="E725" s="20">
        <f>COUNTIFS(tData[SEHTrajectPeriodeDatumTijdVan],"&lt;="&amp;($A725+1/24),tData[SEHTrajectPeriodeDatumTijdTotEnMet],"&gt;"&amp;($A725+1/24))</f>
        <v/>
      </c>
      <c r="F725" s="20">
        <f>COUNTIFS(tData[SEHTrajectPeriodeDatumTijdVan],"&lt;="&amp;($A725+2/24),tData[SEHTrajectPeriodeDatumTijdTotEnMet],"&gt;"&amp;($A725+2/24))</f>
        <v/>
      </c>
      <c r="G725" s="20">
        <f>COUNTIFS(tData[SEHTrajectPeriodeDatumTijdVan],"&lt;="&amp;($A725+3/24),tData[SEHTrajectPeriodeDatumTijdTotEnMet],"&gt;"&amp;($A725+3/24))</f>
        <v/>
      </c>
      <c r="H725" s="20">
        <f>COUNTIFS(tData[SEHTrajectPeriodeDatumTijdVan],"&lt;="&amp;($A725+4/24),tData[SEHTrajectPeriodeDatumTijdTotEnMet],"&gt;"&amp;($A725+4/24))</f>
        <v/>
      </c>
      <c r="I725" s="20">
        <f>COUNTIFS(tData[SEHTrajectPeriodeDatumTijdVan],"&lt;="&amp;($A725+5/24),tData[SEHTrajectPeriodeDatumTijdTotEnMet],"&gt;"&amp;($A725+5/24))</f>
        <v/>
      </c>
      <c r="J725" s="20">
        <f>COUNTIFS(tData[SEHTrajectPeriodeDatumTijdVan],"&lt;="&amp;($A725+6/24),tData[SEHTrajectPeriodeDatumTijdTotEnMet],"&gt;"&amp;($A725+6/24))</f>
        <v/>
      </c>
      <c r="K725" s="20">
        <f>COUNTIFS(tData[SEHTrajectPeriodeDatumTijdVan],"&lt;="&amp;($A725+7/24),tData[SEHTrajectPeriodeDatumTijdTotEnMet],"&gt;"&amp;($A725+7/24))</f>
        <v/>
      </c>
      <c r="L725" s="20">
        <f>COUNTIFS(tData[SEHTrajectPeriodeDatumTijdVan],"&lt;="&amp;($A725+8/24),tData[SEHTrajectPeriodeDatumTijdTotEnMet],"&gt;"&amp;($A725+8/24))</f>
        <v/>
      </c>
      <c r="M725" s="20">
        <f>COUNTIFS(tData[SEHTrajectPeriodeDatumTijdVan],"&lt;="&amp;($A725+9/24),tData[SEHTrajectPeriodeDatumTijdTotEnMet],"&gt;"&amp;($A725+9/24))</f>
        <v/>
      </c>
      <c r="N725" s="20">
        <f>COUNTIFS(tData[SEHTrajectPeriodeDatumTijdVan],"&lt;="&amp;($A725+10/24),tData[SEHTrajectPeriodeDatumTijdTotEnMet],"&gt;"&amp;($A725+10/24))</f>
        <v/>
      </c>
      <c r="O725" s="20">
        <f>COUNTIFS(tData[SEHTrajectPeriodeDatumTijdVan],"&lt;="&amp;($A725+11/24),tData[SEHTrajectPeriodeDatumTijdTotEnMet],"&gt;"&amp;($A725+11/24))</f>
        <v/>
      </c>
      <c r="P725" s="20">
        <f>COUNTIFS(tData[SEHTrajectPeriodeDatumTijdVan],"&lt;="&amp;($A725+12/24),tData[SEHTrajectPeriodeDatumTijdTotEnMet],"&gt;"&amp;($A725+12/24))</f>
        <v/>
      </c>
      <c r="Q725" s="20">
        <f>COUNTIFS(tData[SEHTrajectPeriodeDatumTijdVan],"&lt;="&amp;($A725+13/24),tData[SEHTrajectPeriodeDatumTijdTotEnMet],"&gt;"&amp;($A725+13/24))</f>
        <v/>
      </c>
      <c r="R725" s="20">
        <f>COUNTIFS(tData[SEHTrajectPeriodeDatumTijdVan],"&lt;="&amp;($A725+14/24),tData[SEHTrajectPeriodeDatumTijdTotEnMet],"&gt;"&amp;($A725+14/24))</f>
        <v/>
      </c>
      <c r="S725" s="20">
        <f>COUNTIFS(tData[SEHTrajectPeriodeDatumTijdVan],"&lt;="&amp;($A725+15/24),tData[SEHTrajectPeriodeDatumTijdTotEnMet],"&gt;"&amp;($A725+15/24))</f>
        <v/>
      </c>
      <c r="T725" s="20">
        <f>COUNTIFS(tData[SEHTrajectPeriodeDatumTijdVan],"&lt;="&amp;($A725+16/24),tData[SEHTrajectPeriodeDatumTijdTotEnMet],"&gt;"&amp;($A725+16/24))</f>
        <v/>
      </c>
      <c r="U725" s="20">
        <f>COUNTIFS(tData[SEHTrajectPeriodeDatumTijdVan],"&lt;="&amp;($A725+17/24),tData[SEHTrajectPeriodeDatumTijdTotEnMet],"&gt;"&amp;($A725+17/24))</f>
        <v/>
      </c>
      <c r="V725" s="20">
        <f>COUNTIFS(tData[SEHTrajectPeriodeDatumTijdVan],"&lt;="&amp;($A725+18/24),tData[SEHTrajectPeriodeDatumTijdTotEnMet],"&gt;"&amp;($A725+18/24))</f>
        <v/>
      </c>
      <c r="W725" s="20">
        <f>COUNTIFS(tData[SEHTrajectPeriodeDatumTijdVan],"&lt;="&amp;($A725+19/24),tData[SEHTrajectPeriodeDatumTijdTotEnMet],"&gt;"&amp;($A725+19/24))</f>
        <v/>
      </c>
      <c r="X725" s="20">
        <f>COUNTIFS(tData[SEHTrajectPeriodeDatumTijdVan],"&lt;="&amp;($A725+20/24),tData[SEHTrajectPeriodeDatumTijdTotEnMet],"&gt;"&amp;($A725+20/24))</f>
        <v/>
      </c>
      <c r="Y725" s="20">
        <f>COUNTIFS(tData[SEHTrajectPeriodeDatumTijdVan],"&lt;="&amp;($A725+21/24),tData[SEHTrajectPeriodeDatumTijdTotEnMet],"&gt;"&amp;($A725+21/24))</f>
        <v/>
      </c>
      <c r="Z725" s="20">
        <f>COUNTIFS(tData[SEHTrajectPeriodeDatumTijdVan],"&lt;="&amp;($A725+22/24),tData[SEHTrajectPeriodeDatumTijdTotEnMet],"&gt;"&amp;($A725+22/24))</f>
        <v/>
      </c>
      <c r="AA725" s="20">
        <f>COUNTIFS(tData[SEHTrajectPeriodeDatumTijdVan],"&lt;="&amp;($A725+23/24),tData[SEHTrajectPeriodeDatumTijdTotEnMet],"&gt;"&amp;($A725+23/24))</f>
        <v/>
      </c>
    </row>
    <row r="726">
      <c r="A726" s="19" t="n">
        <v>46014</v>
      </c>
      <c r="B726" s="15">
        <f>WEEKDAY($A726,2)</f>
        <v/>
      </c>
      <c r="C726" s="15">
        <f>IF(AND($A726&gt;=INT(Instellingen!$B$5),$A726&lt;=INT(Instellingen!$B$6)),1,0)</f>
        <v/>
      </c>
      <c r="D726" s="20">
        <f>COUNTIFS(tData[SEHTrajectPeriodeDatumTijdVan],"&lt;="&amp;($A726+0/24),tData[SEHTrajectPeriodeDatumTijdTotEnMet],"&gt;"&amp;($A726+0/24))</f>
        <v/>
      </c>
      <c r="E726" s="20">
        <f>COUNTIFS(tData[SEHTrajectPeriodeDatumTijdVan],"&lt;="&amp;($A726+1/24),tData[SEHTrajectPeriodeDatumTijdTotEnMet],"&gt;"&amp;($A726+1/24))</f>
        <v/>
      </c>
      <c r="F726" s="20">
        <f>COUNTIFS(tData[SEHTrajectPeriodeDatumTijdVan],"&lt;="&amp;($A726+2/24),tData[SEHTrajectPeriodeDatumTijdTotEnMet],"&gt;"&amp;($A726+2/24))</f>
        <v/>
      </c>
      <c r="G726" s="20">
        <f>COUNTIFS(tData[SEHTrajectPeriodeDatumTijdVan],"&lt;="&amp;($A726+3/24),tData[SEHTrajectPeriodeDatumTijdTotEnMet],"&gt;"&amp;($A726+3/24))</f>
        <v/>
      </c>
      <c r="H726" s="20">
        <f>COUNTIFS(tData[SEHTrajectPeriodeDatumTijdVan],"&lt;="&amp;($A726+4/24),tData[SEHTrajectPeriodeDatumTijdTotEnMet],"&gt;"&amp;($A726+4/24))</f>
        <v/>
      </c>
      <c r="I726" s="20">
        <f>COUNTIFS(tData[SEHTrajectPeriodeDatumTijdVan],"&lt;="&amp;($A726+5/24),tData[SEHTrajectPeriodeDatumTijdTotEnMet],"&gt;"&amp;($A726+5/24))</f>
        <v/>
      </c>
      <c r="J726" s="20">
        <f>COUNTIFS(tData[SEHTrajectPeriodeDatumTijdVan],"&lt;="&amp;($A726+6/24),tData[SEHTrajectPeriodeDatumTijdTotEnMet],"&gt;"&amp;($A726+6/24))</f>
        <v/>
      </c>
      <c r="K726" s="20">
        <f>COUNTIFS(tData[SEHTrajectPeriodeDatumTijdVan],"&lt;="&amp;($A726+7/24),tData[SEHTrajectPeriodeDatumTijdTotEnMet],"&gt;"&amp;($A726+7/24))</f>
        <v/>
      </c>
      <c r="L726" s="20">
        <f>COUNTIFS(tData[SEHTrajectPeriodeDatumTijdVan],"&lt;="&amp;($A726+8/24),tData[SEHTrajectPeriodeDatumTijdTotEnMet],"&gt;"&amp;($A726+8/24))</f>
        <v/>
      </c>
      <c r="M726" s="20">
        <f>COUNTIFS(tData[SEHTrajectPeriodeDatumTijdVan],"&lt;="&amp;($A726+9/24),tData[SEHTrajectPeriodeDatumTijdTotEnMet],"&gt;"&amp;($A726+9/24))</f>
        <v/>
      </c>
      <c r="N726" s="20">
        <f>COUNTIFS(tData[SEHTrajectPeriodeDatumTijdVan],"&lt;="&amp;($A726+10/24),tData[SEHTrajectPeriodeDatumTijdTotEnMet],"&gt;"&amp;($A726+10/24))</f>
        <v/>
      </c>
      <c r="O726" s="20">
        <f>COUNTIFS(tData[SEHTrajectPeriodeDatumTijdVan],"&lt;="&amp;($A726+11/24),tData[SEHTrajectPeriodeDatumTijdTotEnMet],"&gt;"&amp;($A726+11/24))</f>
        <v/>
      </c>
      <c r="P726" s="20">
        <f>COUNTIFS(tData[SEHTrajectPeriodeDatumTijdVan],"&lt;="&amp;($A726+12/24),tData[SEHTrajectPeriodeDatumTijdTotEnMet],"&gt;"&amp;($A726+12/24))</f>
        <v/>
      </c>
      <c r="Q726" s="20">
        <f>COUNTIFS(tData[SEHTrajectPeriodeDatumTijdVan],"&lt;="&amp;($A726+13/24),tData[SEHTrajectPeriodeDatumTijdTotEnMet],"&gt;"&amp;($A726+13/24))</f>
        <v/>
      </c>
      <c r="R726" s="20">
        <f>COUNTIFS(tData[SEHTrajectPeriodeDatumTijdVan],"&lt;="&amp;($A726+14/24),tData[SEHTrajectPeriodeDatumTijdTotEnMet],"&gt;"&amp;($A726+14/24))</f>
        <v/>
      </c>
      <c r="S726" s="20">
        <f>COUNTIFS(tData[SEHTrajectPeriodeDatumTijdVan],"&lt;="&amp;($A726+15/24),tData[SEHTrajectPeriodeDatumTijdTotEnMet],"&gt;"&amp;($A726+15/24))</f>
        <v/>
      </c>
      <c r="T726" s="20">
        <f>COUNTIFS(tData[SEHTrajectPeriodeDatumTijdVan],"&lt;="&amp;($A726+16/24),tData[SEHTrajectPeriodeDatumTijdTotEnMet],"&gt;"&amp;($A726+16/24))</f>
        <v/>
      </c>
      <c r="U726" s="20">
        <f>COUNTIFS(tData[SEHTrajectPeriodeDatumTijdVan],"&lt;="&amp;($A726+17/24),tData[SEHTrajectPeriodeDatumTijdTotEnMet],"&gt;"&amp;($A726+17/24))</f>
        <v/>
      </c>
      <c r="V726" s="20">
        <f>COUNTIFS(tData[SEHTrajectPeriodeDatumTijdVan],"&lt;="&amp;($A726+18/24),tData[SEHTrajectPeriodeDatumTijdTotEnMet],"&gt;"&amp;($A726+18/24))</f>
        <v/>
      </c>
      <c r="W726" s="20">
        <f>COUNTIFS(tData[SEHTrajectPeriodeDatumTijdVan],"&lt;="&amp;($A726+19/24),tData[SEHTrajectPeriodeDatumTijdTotEnMet],"&gt;"&amp;($A726+19/24))</f>
        <v/>
      </c>
      <c r="X726" s="20">
        <f>COUNTIFS(tData[SEHTrajectPeriodeDatumTijdVan],"&lt;="&amp;($A726+20/24),tData[SEHTrajectPeriodeDatumTijdTotEnMet],"&gt;"&amp;($A726+20/24))</f>
        <v/>
      </c>
      <c r="Y726" s="20">
        <f>COUNTIFS(tData[SEHTrajectPeriodeDatumTijdVan],"&lt;="&amp;($A726+21/24),tData[SEHTrajectPeriodeDatumTijdTotEnMet],"&gt;"&amp;($A726+21/24))</f>
        <v/>
      </c>
      <c r="Z726" s="20">
        <f>COUNTIFS(tData[SEHTrajectPeriodeDatumTijdVan],"&lt;="&amp;($A726+22/24),tData[SEHTrajectPeriodeDatumTijdTotEnMet],"&gt;"&amp;($A726+22/24))</f>
        <v/>
      </c>
      <c r="AA726" s="20">
        <f>COUNTIFS(tData[SEHTrajectPeriodeDatumTijdVan],"&lt;="&amp;($A726+23/24),tData[SEHTrajectPeriodeDatumTijdTotEnMet],"&gt;"&amp;($A726+23/24))</f>
        <v/>
      </c>
    </row>
    <row r="727">
      <c r="A727" s="19" t="n">
        <v>46015</v>
      </c>
      <c r="B727" s="15">
        <f>WEEKDAY($A727,2)</f>
        <v/>
      </c>
      <c r="C727" s="15">
        <f>IF(AND($A727&gt;=INT(Instellingen!$B$5),$A727&lt;=INT(Instellingen!$B$6)),1,0)</f>
        <v/>
      </c>
      <c r="D727" s="20">
        <f>COUNTIFS(tData[SEHTrajectPeriodeDatumTijdVan],"&lt;="&amp;($A727+0/24),tData[SEHTrajectPeriodeDatumTijdTotEnMet],"&gt;"&amp;($A727+0/24))</f>
        <v/>
      </c>
      <c r="E727" s="20">
        <f>COUNTIFS(tData[SEHTrajectPeriodeDatumTijdVan],"&lt;="&amp;($A727+1/24),tData[SEHTrajectPeriodeDatumTijdTotEnMet],"&gt;"&amp;($A727+1/24))</f>
        <v/>
      </c>
      <c r="F727" s="20">
        <f>COUNTIFS(tData[SEHTrajectPeriodeDatumTijdVan],"&lt;="&amp;($A727+2/24),tData[SEHTrajectPeriodeDatumTijdTotEnMet],"&gt;"&amp;($A727+2/24))</f>
        <v/>
      </c>
      <c r="G727" s="20">
        <f>COUNTIFS(tData[SEHTrajectPeriodeDatumTijdVan],"&lt;="&amp;($A727+3/24),tData[SEHTrajectPeriodeDatumTijdTotEnMet],"&gt;"&amp;($A727+3/24))</f>
        <v/>
      </c>
      <c r="H727" s="20">
        <f>COUNTIFS(tData[SEHTrajectPeriodeDatumTijdVan],"&lt;="&amp;($A727+4/24),tData[SEHTrajectPeriodeDatumTijdTotEnMet],"&gt;"&amp;($A727+4/24))</f>
        <v/>
      </c>
      <c r="I727" s="20">
        <f>COUNTIFS(tData[SEHTrajectPeriodeDatumTijdVan],"&lt;="&amp;($A727+5/24),tData[SEHTrajectPeriodeDatumTijdTotEnMet],"&gt;"&amp;($A727+5/24))</f>
        <v/>
      </c>
      <c r="J727" s="20">
        <f>COUNTIFS(tData[SEHTrajectPeriodeDatumTijdVan],"&lt;="&amp;($A727+6/24),tData[SEHTrajectPeriodeDatumTijdTotEnMet],"&gt;"&amp;($A727+6/24))</f>
        <v/>
      </c>
      <c r="K727" s="20">
        <f>COUNTIFS(tData[SEHTrajectPeriodeDatumTijdVan],"&lt;="&amp;($A727+7/24),tData[SEHTrajectPeriodeDatumTijdTotEnMet],"&gt;"&amp;($A727+7/24))</f>
        <v/>
      </c>
      <c r="L727" s="20">
        <f>COUNTIFS(tData[SEHTrajectPeriodeDatumTijdVan],"&lt;="&amp;($A727+8/24),tData[SEHTrajectPeriodeDatumTijdTotEnMet],"&gt;"&amp;($A727+8/24))</f>
        <v/>
      </c>
      <c r="M727" s="20">
        <f>COUNTIFS(tData[SEHTrajectPeriodeDatumTijdVan],"&lt;="&amp;($A727+9/24),tData[SEHTrajectPeriodeDatumTijdTotEnMet],"&gt;"&amp;($A727+9/24))</f>
        <v/>
      </c>
      <c r="N727" s="20">
        <f>COUNTIFS(tData[SEHTrajectPeriodeDatumTijdVan],"&lt;="&amp;($A727+10/24),tData[SEHTrajectPeriodeDatumTijdTotEnMet],"&gt;"&amp;($A727+10/24))</f>
        <v/>
      </c>
      <c r="O727" s="20">
        <f>COUNTIFS(tData[SEHTrajectPeriodeDatumTijdVan],"&lt;="&amp;($A727+11/24),tData[SEHTrajectPeriodeDatumTijdTotEnMet],"&gt;"&amp;($A727+11/24))</f>
        <v/>
      </c>
      <c r="P727" s="20">
        <f>COUNTIFS(tData[SEHTrajectPeriodeDatumTijdVan],"&lt;="&amp;($A727+12/24),tData[SEHTrajectPeriodeDatumTijdTotEnMet],"&gt;"&amp;($A727+12/24))</f>
        <v/>
      </c>
      <c r="Q727" s="20">
        <f>COUNTIFS(tData[SEHTrajectPeriodeDatumTijdVan],"&lt;="&amp;($A727+13/24),tData[SEHTrajectPeriodeDatumTijdTotEnMet],"&gt;"&amp;($A727+13/24))</f>
        <v/>
      </c>
      <c r="R727" s="20">
        <f>COUNTIFS(tData[SEHTrajectPeriodeDatumTijdVan],"&lt;="&amp;($A727+14/24),tData[SEHTrajectPeriodeDatumTijdTotEnMet],"&gt;"&amp;($A727+14/24))</f>
        <v/>
      </c>
      <c r="S727" s="20">
        <f>COUNTIFS(tData[SEHTrajectPeriodeDatumTijdVan],"&lt;="&amp;($A727+15/24),tData[SEHTrajectPeriodeDatumTijdTotEnMet],"&gt;"&amp;($A727+15/24))</f>
        <v/>
      </c>
      <c r="T727" s="20">
        <f>COUNTIFS(tData[SEHTrajectPeriodeDatumTijdVan],"&lt;="&amp;($A727+16/24),tData[SEHTrajectPeriodeDatumTijdTotEnMet],"&gt;"&amp;($A727+16/24))</f>
        <v/>
      </c>
      <c r="U727" s="20">
        <f>COUNTIFS(tData[SEHTrajectPeriodeDatumTijdVan],"&lt;="&amp;($A727+17/24),tData[SEHTrajectPeriodeDatumTijdTotEnMet],"&gt;"&amp;($A727+17/24))</f>
        <v/>
      </c>
      <c r="V727" s="20">
        <f>COUNTIFS(tData[SEHTrajectPeriodeDatumTijdVan],"&lt;="&amp;($A727+18/24),tData[SEHTrajectPeriodeDatumTijdTotEnMet],"&gt;"&amp;($A727+18/24))</f>
        <v/>
      </c>
      <c r="W727" s="20">
        <f>COUNTIFS(tData[SEHTrajectPeriodeDatumTijdVan],"&lt;="&amp;($A727+19/24),tData[SEHTrajectPeriodeDatumTijdTotEnMet],"&gt;"&amp;($A727+19/24))</f>
        <v/>
      </c>
      <c r="X727" s="20">
        <f>COUNTIFS(tData[SEHTrajectPeriodeDatumTijdVan],"&lt;="&amp;($A727+20/24),tData[SEHTrajectPeriodeDatumTijdTotEnMet],"&gt;"&amp;($A727+20/24))</f>
        <v/>
      </c>
      <c r="Y727" s="20">
        <f>COUNTIFS(tData[SEHTrajectPeriodeDatumTijdVan],"&lt;="&amp;($A727+21/24),tData[SEHTrajectPeriodeDatumTijdTotEnMet],"&gt;"&amp;($A727+21/24))</f>
        <v/>
      </c>
      <c r="Z727" s="20">
        <f>COUNTIFS(tData[SEHTrajectPeriodeDatumTijdVan],"&lt;="&amp;($A727+22/24),tData[SEHTrajectPeriodeDatumTijdTotEnMet],"&gt;"&amp;($A727+22/24))</f>
        <v/>
      </c>
      <c r="AA727" s="20">
        <f>COUNTIFS(tData[SEHTrajectPeriodeDatumTijdVan],"&lt;="&amp;($A727+23/24),tData[SEHTrajectPeriodeDatumTijdTotEnMet],"&gt;"&amp;($A727+23/24))</f>
        <v/>
      </c>
    </row>
    <row r="728">
      <c r="A728" s="19" t="n">
        <v>46016</v>
      </c>
      <c r="B728" s="15">
        <f>WEEKDAY($A728,2)</f>
        <v/>
      </c>
      <c r="C728" s="15">
        <f>IF(AND($A728&gt;=INT(Instellingen!$B$5),$A728&lt;=INT(Instellingen!$B$6)),1,0)</f>
        <v/>
      </c>
      <c r="D728" s="20">
        <f>COUNTIFS(tData[SEHTrajectPeriodeDatumTijdVan],"&lt;="&amp;($A728+0/24),tData[SEHTrajectPeriodeDatumTijdTotEnMet],"&gt;"&amp;($A728+0/24))</f>
        <v/>
      </c>
      <c r="E728" s="20">
        <f>COUNTIFS(tData[SEHTrajectPeriodeDatumTijdVan],"&lt;="&amp;($A728+1/24),tData[SEHTrajectPeriodeDatumTijdTotEnMet],"&gt;"&amp;($A728+1/24))</f>
        <v/>
      </c>
      <c r="F728" s="20">
        <f>COUNTIFS(tData[SEHTrajectPeriodeDatumTijdVan],"&lt;="&amp;($A728+2/24),tData[SEHTrajectPeriodeDatumTijdTotEnMet],"&gt;"&amp;($A728+2/24))</f>
        <v/>
      </c>
      <c r="G728" s="20">
        <f>COUNTIFS(tData[SEHTrajectPeriodeDatumTijdVan],"&lt;="&amp;($A728+3/24),tData[SEHTrajectPeriodeDatumTijdTotEnMet],"&gt;"&amp;($A728+3/24))</f>
        <v/>
      </c>
      <c r="H728" s="20">
        <f>COUNTIFS(tData[SEHTrajectPeriodeDatumTijdVan],"&lt;="&amp;($A728+4/24),tData[SEHTrajectPeriodeDatumTijdTotEnMet],"&gt;"&amp;($A728+4/24))</f>
        <v/>
      </c>
      <c r="I728" s="20">
        <f>COUNTIFS(tData[SEHTrajectPeriodeDatumTijdVan],"&lt;="&amp;($A728+5/24),tData[SEHTrajectPeriodeDatumTijdTotEnMet],"&gt;"&amp;($A728+5/24))</f>
        <v/>
      </c>
      <c r="J728" s="20">
        <f>COUNTIFS(tData[SEHTrajectPeriodeDatumTijdVan],"&lt;="&amp;($A728+6/24),tData[SEHTrajectPeriodeDatumTijdTotEnMet],"&gt;"&amp;($A728+6/24))</f>
        <v/>
      </c>
      <c r="K728" s="20">
        <f>COUNTIFS(tData[SEHTrajectPeriodeDatumTijdVan],"&lt;="&amp;($A728+7/24),tData[SEHTrajectPeriodeDatumTijdTotEnMet],"&gt;"&amp;($A728+7/24))</f>
        <v/>
      </c>
      <c r="L728" s="20">
        <f>COUNTIFS(tData[SEHTrajectPeriodeDatumTijdVan],"&lt;="&amp;($A728+8/24),tData[SEHTrajectPeriodeDatumTijdTotEnMet],"&gt;"&amp;($A728+8/24))</f>
        <v/>
      </c>
      <c r="M728" s="20">
        <f>COUNTIFS(tData[SEHTrajectPeriodeDatumTijdVan],"&lt;="&amp;($A728+9/24),tData[SEHTrajectPeriodeDatumTijdTotEnMet],"&gt;"&amp;($A728+9/24))</f>
        <v/>
      </c>
      <c r="N728" s="20">
        <f>COUNTIFS(tData[SEHTrajectPeriodeDatumTijdVan],"&lt;="&amp;($A728+10/24),tData[SEHTrajectPeriodeDatumTijdTotEnMet],"&gt;"&amp;($A728+10/24))</f>
        <v/>
      </c>
      <c r="O728" s="20">
        <f>COUNTIFS(tData[SEHTrajectPeriodeDatumTijdVan],"&lt;="&amp;($A728+11/24),tData[SEHTrajectPeriodeDatumTijdTotEnMet],"&gt;"&amp;($A728+11/24))</f>
        <v/>
      </c>
      <c r="P728" s="20">
        <f>COUNTIFS(tData[SEHTrajectPeriodeDatumTijdVan],"&lt;="&amp;($A728+12/24),tData[SEHTrajectPeriodeDatumTijdTotEnMet],"&gt;"&amp;($A728+12/24))</f>
        <v/>
      </c>
      <c r="Q728" s="20">
        <f>COUNTIFS(tData[SEHTrajectPeriodeDatumTijdVan],"&lt;="&amp;($A728+13/24),tData[SEHTrajectPeriodeDatumTijdTotEnMet],"&gt;"&amp;($A728+13/24))</f>
        <v/>
      </c>
      <c r="R728" s="20">
        <f>COUNTIFS(tData[SEHTrajectPeriodeDatumTijdVan],"&lt;="&amp;($A728+14/24),tData[SEHTrajectPeriodeDatumTijdTotEnMet],"&gt;"&amp;($A728+14/24))</f>
        <v/>
      </c>
      <c r="S728" s="20">
        <f>COUNTIFS(tData[SEHTrajectPeriodeDatumTijdVan],"&lt;="&amp;($A728+15/24),tData[SEHTrajectPeriodeDatumTijdTotEnMet],"&gt;"&amp;($A728+15/24))</f>
        <v/>
      </c>
      <c r="T728" s="20">
        <f>COUNTIFS(tData[SEHTrajectPeriodeDatumTijdVan],"&lt;="&amp;($A728+16/24),tData[SEHTrajectPeriodeDatumTijdTotEnMet],"&gt;"&amp;($A728+16/24))</f>
        <v/>
      </c>
      <c r="U728" s="20">
        <f>COUNTIFS(tData[SEHTrajectPeriodeDatumTijdVan],"&lt;="&amp;($A728+17/24),tData[SEHTrajectPeriodeDatumTijdTotEnMet],"&gt;"&amp;($A728+17/24))</f>
        <v/>
      </c>
      <c r="V728" s="20">
        <f>COUNTIFS(tData[SEHTrajectPeriodeDatumTijdVan],"&lt;="&amp;($A728+18/24),tData[SEHTrajectPeriodeDatumTijdTotEnMet],"&gt;"&amp;($A728+18/24))</f>
        <v/>
      </c>
      <c r="W728" s="20">
        <f>COUNTIFS(tData[SEHTrajectPeriodeDatumTijdVan],"&lt;="&amp;($A728+19/24),tData[SEHTrajectPeriodeDatumTijdTotEnMet],"&gt;"&amp;($A728+19/24))</f>
        <v/>
      </c>
      <c r="X728" s="20">
        <f>COUNTIFS(tData[SEHTrajectPeriodeDatumTijdVan],"&lt;="&amp;($A728+20/24),tData[SEHTrajectPeriodeDatumTijdTotEnMet],"&gt;"&amp;($A728+20/24))</f>
        <v/>
      </c>
      <c r="Y728" s="20">
        <f>COUNTIFS(tData[SEHTrajectPeriodeDatumTijdVan],"&lt;="&amp;($A728+21/24),tData[SEHTrajectPeriodeDatumTijdTotEnMet],"&gt;"&amp;($A728+21/24))</f>
        <v/>
      </c>
      <c r="Z728" s="20">
        <f>COUNTIFS(tData[SEHTrajectPeriodeDatumTijdVan],"&lt;="&amp;($A728+22/24),tData[SEHTrajectPeriodeDatumTijdTotEnMet],"&gt;"&amp;($A728+22/24))</f>
        <v/>
      </c>
      <c r="AA728" s="20">
        <f>COUNTIFS(tData[SEHTrajectPeriodeDatumTijdVan],"&lt;="&amp;($A728+23/24),tData[SEHTrajectPeriodeDatumTijdTotEnMet],"&gt;"&amp;($A728+23/24))</f>
        <v/>
      </c>
    </row>
    <row r="729">
      <c r="A729" s="19" t="n">
        <v>46017</v>
      </c>
      <c r="B729" s="15">
        <f>WEEKDAY($A729,2)</f>
        <v/>
      </c>
      <c r="C729" s="15">
        <f>IF(AND($A729&gt;=INT(Instellingen!$B$5),$A729&lt;=INT(Instellingen!$B$6)),1,0)</f>
        <v/>
      </c>
      <c r="D729" s="20">
        <f>COUNTIFS(tData[SEHTrajectPeriodeDatumTijdVan],"&lt;="&amp;($A729+0/24),tData[SEHTrajectPeriodeDatumTijdTotEnMet],"&gt;"&amp;($A729+0/24))</f>
        <v/>
      </c>
      <c r="E729" s="20">
        <f>COUNTIFS(tData[SEHTrajectPeriodeDatumTijdVan],"&lt;="&amp;($A729+1/24),tData[SEHTrajectPeriodeDatumTijdTotEnMet],"&gt;"&amp;($A729+1/24))</f>
        <v/>
      </c>
      <c r="F729" s="20">
        <f>COUNTIFS(tData[SEHTrajectPeriodeDatumTijdVan],"&lt;="&amp;($A729+2/24),tData[SEHTrajectPeriodeDatumTijdTotEnMet],"&gt;"&amp;($A729+2/24))</f>
        <v/>
      </c>
      <c r="G729" s="20">
        <f>COUNTIFS(tData[SEHTrajectPeriodeDatumTijdVan],"&lt;="&amp;($A729+3/24),tData[SEHTrajectPeriodeDatumTijdTotEnMet],"&gt;"&amp;($A729+3/24))</f>
        <v/>
      </c>
      <c r="H729" s="20">
        <f>COUNTIFS(tData[SEHTrajectPeriodeDatumTijdVan],"&lt;="&amp;($A729+4/24),tData[SEHTrajectPeriodeDatumTijdTotEnMet],"&gt;"&amp;($A729+4/24))</f>
        <v/>
      </c>
      <c r="I729" s="20">
        <f>COUNTIFS(tData[SEHTrajectPeriodeDatumTijdVan],"&lt;="&amp;($A729+5/24),tData[SEHTrajectPeriodeDatumTijdTotEnMet],"&gt;"&amp;($A729+5/24))</f>
        <v/>
      </c>
      <c r="J729" s="20">
        <f>COUNTIFS(tData[SEHTrajectPeriodeDatumTijdVan],"&lt;="&amp;($A729+6/24),tData[SEHTrajectPeriodeDatumTijdTotEnMet],"&gt;"&amp;($A729+6/24))</f>
        <v/>
      </c>
      <c r="K729" s="20">
        <f>COUNTIFS(tData[SEHTrajectPeriodeDatumTijdVan],"&lt;="&amp;($A729+7/24),tData[SEHTrajectPeriodeDatumTijdTotEnMet],"&gt;"&amp;($A729+7/24))</f>
        <v/>
      </c>
      <c r="L729" s="20">
        <f>COUNTIFS(tData[SEHTrajectPeriodeDatumTijdVan],"&lt;="&amp;($A729+8/24),tData[SEHTrajectPeriodeDatumTijdTotEnMet],"&gt;"&amp;($A729+8/24))</f>
        <v/>
      </c>
      <c r="M729" s="20">
        <f>COUNTIFS(tData[SEHTrajectPeriodeDatumTijdVan],"&lt;="&amp;($A729+9/24),tData[SEHTrajectPeriodeDatumTijdTotEnMet],"&gt;"&amp;($A729+9/24))</f>
        <v/>
      </c>
      <c r="N729" s="20">
        <f>COUNTIFS(tData[SEHTrajectPeriodeDatumTijdVan],"&lt;="&amp;($A729+10/24),tData[SEHTrajectPeriodeDatumTijdTotEnMet],"&gt;"&amp;($A729+10/24))</f>
        <v/>
      </c>
      <c r="O729" s="20">
        <f>COUNTIFS(tData[SEHTrajectPeriodeDatumTijdVan],"&lt;="&amp;($A729+11/24),tData[SEHTrajectPeriodeDatumTijdTotEnMet],"&gt;"&amp;($A729+11/24))</f>
        <v/>
      </c>
      <c r="P729" s="20">
        <f>COUNTIFS(tData[SEHTrajectPeriodeDatumTijdVan],"&lt;="&amp;($A729+12/24),tData[SEHTrajectPeriodeDatumTijdTotEnMet],"&gt;"&amp;($A729+12/24))</f>
        <v/>
      </c>
      <c r="Q729" s="20">
        <f>COUNTIFS(tData[SEHTrajectPeriodeDatumTijdVan],"&lt;="&amp;($A729+13/24),tData[SEHTrajectPeriodeDatumTijdTotEnMet],"&gt;"&amp;($A729+13/24))</f>
        <v/>
      </c>
      <c r="R729" s="20">
        <f>COUNTIFS(tData[SEHTrajectPeriodeDatumTijdVan],"&lt;="&amp;($A729+14/24),tData[SEHTrajectPeriodeDatumTijdTotEnMet],"&gt;"&amp;($A729+14/24))</f>
        <v/>
      </c>
      <c r="S729" s="20">
        <f>COUNTIFS(tData[SEHTrajectPeriodeDatumTijdVan],"&lt;="&amp;($A729+15/24),tData[SEHTrajectPeriodeDatumTijdTotEnMet],"&gt;"&amp;($A729+15/24))</f>
        <v/>
      </c>
      <c r="T729" s="20">
        <f>COUNTIFS(tData[SEHTrajectPeriodeDatumTijdVan],"&lt;="&amp;($A729+16/24),tData[SEHTrajectPeriodeDatumTijdTotEnMet],"&gt;"&amp;($A729+16/24))</f>
        <v/>
      </c>
      <c r="U729" s="20">
        <f>COUNTIFS(tData[SEHTrajectPeriodeDatumTijdVan],"&lt;="&amp;($A729+17/24),tData[SEHTrajectPeriodeDatumTijdTotEnMet],"&gt;"&amp;($A729+17/24))</f>
        <v/>
      </c>
      <c r="V729" s="20">
        <f>COUNTIFS(tData[SEHTrajectPeriodeDatumTijdVan],"&lt;="&amp;($A729+18/24),tData[SEHTrajectPeriodeDatumTijdTotEnMet],"&gt;"&amp;($A729+18/24))</f>
        <v/>
      </c>
      <c r="W729" s="20">
        <f>COUNTIFS(tData[SEHTrajectPeriodeDatumTijdVan],"&lt;="&amp;($A729+19/24),tData[SEHTrajectPeriodeDatumTijdTotEnMet],"&gt;"&amp;($A729+19/24))</f>
        <v/>
      </c>
      <c r="X729" s="20">
        <f>COUNTIFS(tData[SEHTrajectPeriodeDatumTijdVan],"&lt;="&amp;($A729+20/24),tData[SEHTrajectPeriodeDatumTijdTotEnMet],"&gt;"&amp;($A729+20/24))</f>
        <v/>
      </c>
      <c r="Y729" s="20">
        <f>COUNTIFS(tData[SEHTrajectPeriodeDatumTijdVan],"&lt;="&amp;($A729+21/24),tData[SEHTrajectPeriodeDatumTijdTotEnMet],"&gt;"&amp;($A729+21/24))</f>
        <v/>
      </c>
      <c r="Z729" s="20">
        <f>COUNTIFS(tData[SEHTrajectPeriodeDatumTijdVan],"&lt;="&amp;($A729+22/24),tData[SEHTrajectPeriodeDatumTijdTotEnMet],"&gt;"&amp;($A729+22/24))</f>
        <v/>
      </c>
      <c r="AA729" s="20">
        <f>COUNTIFS(tData[SEHTrajectPeriodeDatumTijdVan],"&lt;="&amp;($A729+23/24),tData[SEHTrajectPeriodeDatumTijdTotEnMet],"&gt;"&amp;($A729+23/24))</f>
        <v/>
      </c>
    </row>
    <row r="730">
      <c r="A730" s="19" t="n">
        <v>46018</v>
      </c>
      <c r="B730" s="15">
        <f>WEEKDAY($A730,2)</f>
        <v/>
      </c>
      <c r="C730" s="15">
        <f>IF(AND($A730&gt;=INT(Instellingen!$B$5),$A730&lt;=INT(Instellingen!$B$6)),1,0)</f>
        <v/>
      </c>
      <c r="D730" s="20">
        <f>COUNTIFS(tData[SEHTrajectPeriodeDatumTijdVan],"&lt;="&amp;($A730+0/24),tData[SEHTrajectPeriodeDatumTijdTotEnMet],"&gt;"&amp;($A730+0/24))</f>
        <v/>
      </c>
      <c r="E730" s="20">
        <f>COUNTIFS(tData[SEHTrajectPeriodeDatumTijdVan],"&lt;="&amp;($A730+1/24),tData[SEHTrajectPeriodeDatumTijdTotEnMet],"&gt;"&amp;($A730+1/24))</f>
        <v/>
      </c>
      <c r="F730" s="20">
        <f>COUNTIFS(tData[SEHTrajectPeriodeDatumTijdVan],"&lt;="&amp;($A730+2/24),tData[SEHTrajectPeriodeDatumTijdTotEnMet],"&gt;"&amp;($A730+2/24))</f>
        <v/>
      </c>
      <c r="G730" s="20">
        <f>COUNTIFS(tData[SEHTrajectPeriodeDatumTijdVan],"&lt;="&amp;($A730+3/24),tData[SEHTrajectPeriodeDatumTijdTotEnMet],"&gt;"&amp;($A730+3/24))</f>
        <v/>
      </c>
      <c r="H730" s="20">
        <f>COUNTIFS(tData[SEHTrajectPeriodeDatumTijdVan],"&lt;="&amp;($A730+4/24),tData[SEHTrajectPeriodeDatumTijdTotEnMet],"&gt;"&amp;($A730+4/24))</f>
        <v/>
      </c>
      <c r="I730" s="20">
        <f>COUNTIFS(tData[SEHTrajectPeriodeDatumTijdVan],"&lt;="&amp;($A730+5/24),tData[SEHTrajectPeriodeDatumTijdTotEnMet],"&gt;"&amp;($A730+5/24))</f>
        <v/>
      </c>
      <c r="J730" s="20">
        <f>COUNTIFS(tData[SEHTrajectPeriodeDatumTijdVan],"&lt;="&amp;($A730+6/24),tData[SEHTrajectPeriodeDatumTijdTotEnMet],"&gt;"&amp;($A730+6/24))</f>
        <v/>
      </c>
      <c r="K730" s="20">
        <f>COUNTIFS(tData[SEHTrajectPeriodeDatumTijdVan],"&lt;="&amp;($A730+7/24),tData[SEHTrajectPeriodeDatumTijdTotEnMet],"&gt;"&amp;($A730+7/24))</f>
        <v/>
      </c>
      <c r="L730" s="20">
        <f>COUNTIFS(tData[SEHTrajectPeriodeDatumTijdVan],"&lt;="&amp;($A730+8/24),tData[SEHTrajectPeriodeDatumTijdTotEnMet],"&gt;"&amp;($A730+8/24))</f>
        <v/>
      </c>
      <c r="M730" s="20">
        <f>COUNTIFS(tData[SEHTrajectPeriodeDatumTijdVan],"&lt;="&amp;($A730+9/24),tData[SEHTrajectPeriodeDatumTijdTotEnMet],"&gt;"&amp;($A730+9/24))</f>
        <v/>
      </c>
      <c r="N730" s="20">
        <f>COUNTIFS(tData[SEHTrajectPeriodeDatumTijdVan],"&lt;="&amp;($A730+10/24),tData[SEHTrajectPeriodeDatumTijdTotEnMet],"&gt;"&amp;($A730+10/24))</f>
        <v/>
      </c>
      <c r="O730" s="20">
        <f>COUNTIFS(tData[SEHTrajectPeriodeDatumTijdVan],"&lt;="&amp;($A730+11/24),tData[SEHTrajectPeriodeDatumTijdTotEnMet],"&gt;"&amp;($A730+11/24))</f>
        <v/>
      </c>
      <c r="P730" s="20">
        <f>COUNTIFS(tData[SEHTrajectPeriodeDatumTijdVan],"&lt;="&amp;($A730+12/24),tData[SEHTrajectPeriodeDatumTijdTotEnMet],"&gt;"&amp;($A730+12/24))</f>
        <v/>
      </c>
      <c r="Q730" s="20">
        <f>COUNTIFS(tData[SEHTrajectPeriodeDatumTijdVan],"&lt;="&amp;($A730+13/24),tData[SEHTrajectPeriodeDatumTijdTotEnMet],"&gt;"&amp;($A730+13/24))</f>
        <v/>
      </c>
      <c r="R730" s="20">
        <f>COUNTIFS(tData[SEHTrajectPeriodeDatumTijdVan],"&lt;="&amp;($A730+14/24),tData[SEHTrajectPeriodeDatumTijdTotEnMet],"&gt;"&amp;($A730+14/24))</f>
        <v/>
      </c>
      <c r="S730" s="20">
        <f>COUNTIFS(tData[SEHTrajectPeriodeDatumTijdVan],"&lt;="&amp;($A730+15/24),tData[SEHTrajectPeriodeDatumTijdTotEnMet],"&gt;"&amp;($A730+15/24))</f>
        <v/>
      </c>
      <c r="T730" s="20">
        <f>COUNTIFS(tData[SEHTrajectPeriodeDatumTijdVan],"&lt;="&amp;($A730+16/24),tData[SEHTrajectPeriodeDatumTijdTotEnMet],"&gt;"&amp;($A730+16/24))</f>
        <v/>
      </c>
      <c r="U730" s="20">
        <f>COUNTIFS(tData[SEHTrajectPeriodeDatumTijdVan],"&lt;="&amp;($A730+17/24),tData[SEHTrajectPeriodeDatumTijdTotEnMet],"&gt;"&amp;($A730+17/24))</f>
        <v/>
      </c>
      <c r="V730" s="20">
        <f>COUNTIFS(tData[SEHTrajectPeriodeDatumTijdVan],"&lt;="&amp;($A730+18/24),tData[SEHTrajectPeriodeDatumTijdTotEnMet],"&gt;"&amp;($A730+18/24))</f>
        <v/>
      </c>
      <c r="W730" s="20">
        <f>COUNTIFS(tData[SEHTrajectPeriodeDatumTijdVan],"&lt;="&amp;($A730+19/24),tData[SEHTrajectPeriodeDatumTijdTotEnMet],"&gt;"&amp;($A730+19/24))</f>
        <v/>
      </c>
      <c r="X730" s="20">
        <f>COUNTIFS(tData[SEHTrajectPeriodeDatumTijdVan],"&lt;="&amp;($A730+20/24),tData[SEHTrajectPeriodeDatumTijdTotEnMet],"&gt;"&amp;($A730+20/24))</f>
        <v/>
      </c>
      <c r="Y730" s="20">
        <f>COUNTIFS(tData[SEHTrajectPeriodeDatumTijdVan],"&lt;="&amp;($A730+21/24),tData[SEHTrajectPeriodeDatumTijdTotEnMet],"&gt;"&amp;($A730+21/24))</f>
        <v/>
      </c>
      <c r="Z730" s="20">
        <f>COUNTIFS(tData[SEHTrajectPeriodeDatumTijdVan],"&lt;="&amp;($A730+22/24),tData[SEHTrajectPeriodeDatumTijdTotEnMet],"&gt;"&amp;($A730+22/24))</f>
        <v/>
      </c>
      <c r="AA730" s="20">
        <f>COUNTIFS(tData[SEHTrajectPeriodeDatumTijdVan],"&lt;="&amp;($A730+23/24),tData[SEHTrajectPeriodeDatumTijdTotEnMet],"&gt;"&amp;($A730+23/24))</f>
        <v/>
      </c>
    </row>
    <row r="731">
      <c r="A731" s="19" t="n">
        <v>46019</v>
      </c>
      <c r="B731" s="15">
        <f>WEEKDAY($A731,2)</f>
        <v/>
      </c>
      <c r="C731" s="15">
        <f>IF(AND($A731&gt;=INT(Instellingen!$B$5),$A731&lt;=INT(Instellingen!$B$6)),1,0)</f>
        <v/>
      </c>
      <c r="D731" s="20">
        <f>COUNTIFS(tData[SEHTrajectPeriodeDatumTijdVan],"&lt;="&amp;($A731+0/24),tData[SEHTrajectPeriodeDatumTijdTotEnMet],"&gt;"&amp;($A731+0/24))</f>
        <v/>
      </c>
      <c r="E731" s="20">
        <f>COUNTIFS(tData[SEHTrajectPeriodeDatumTijdVan],"&lt;="&amp;($A731+1/24),tData[SEHTrajectPeriodeDatumTijdTotEnMet],"&gt;"&amp;($A731+1/24))</f>
        <v/>
      </c>
      <c r="F731" s="20">
        <f>COUNTIFS(tData[SEHTrajectPeriodeDatumTijdVan],"&lt;="&amp;($A731+2/24),tData[SEHTrajectPeriodeDatumTijdTotEnMet],"&gt;"&amp;($A731+2/24))</f>
        <v/>
      </c>
      <c r="G731" s="20">
        <f>COUNTIFS(tData[SEHTrajectPeriodeDatumTijdVan],"&lt;="&amp;($A731+3/24),tData[SEHTrajectPeriodeDatumTijdTotEnMet],"&gt;"&amp;($A731+3/24))</f>
        <v/>
      </c>
      <c r="H731" s="20">
        <f>COUNTIFS(tData[SEHTrajectPeriodeDatumTijdVan],"&lt;="&amp;($A731+4/24),tData[SEHTrajectPeriodeDatumTijdTotEnMet],"&gt;"&amp;($A731+4/24))</f>
        <v/>
      </c>
      <c r="I731" s="20">
        <f>COUNTIFS(tData[SEHTrajectPeriodeDatumTijdVan],"&lt;="&amp;($A731+5/24),tData[SEHTrajectPeriodeDatumTijdTotEnMet],"&gt;"&amp;($A731+5/24))</f>
        <v/>
      </c>
      <c r="J731" s="20">
        <f>COUNTIFS(tData[SEHTrajectPeriodeDatumTijdVan],"&lt;="&amp;($A731+6/24),tData[SEHTrajectPeriodeDatumTijdTotEnMet],"&gt;"&amp;($A731+6/24))</f>
        <v/>
      </c>
      <c r="K731" s="20">
        <f>COUNTIFS(tData[SEHTrajectPeriodeDatumTijdVan],"&lt;="&amp;($A731+7/24),tData[SEHTrajectPeriodeDatumTijdTotEnMet],"&gt;"&amp;($A731+7/24))</f>
        <v/>
      </c>
      <c r="L731" s="20">
        <f>COUNTIFS(tData[SEHTrajectPeriodeDatumTijdVan],"&lt;="&amp;($A731+8/24),tData[SEHTrajectPeriodeDatumTijdTotEnMet],"&gt;"&amp;($A731+8/24))</f>
        <v/>
      </c>
      <c r="M731" s="20">
        <f>COUNTIFS(tData[SEHTrajectPeriodeDatumTijdVan],"&lt;="&amp;($A731+9/24),tData[SEHTrajectPeriodeDatumTijdTotEnMet],"&gt;"&amp;($A731+9/24))</f>
        <v/>
      </c>
      <c r="N731" s="20">
        <f>COUNTIFS(tData[SEHTrajectPeriodeDatumTijdVan],"&lt;="&amp;($A731+10/24),tData[SEHTrajectPeriodeDatumTijdTotEnMet],"&gt;"&amp;($A731+10/24))</f>
        <v/>
      </c>
      <c r="O731" s="20">
        <f>COUNTIFS(tData[SEHTrajectPeriodeDatumTijdVan],"&lt;="&amp;($A731+11/24),tData[SEHTrajectPeriodeDatumTijdTotEnMet],"&gt;"&amp;($A731+11/24))</f>
        <v/>
      </c>
      <c r="P731" s="20">
        <f>COUNTIFS(tData[SEHTrajectPeriodeDatumTijdVan],"&lt;="&amp;($A731+12/24),tData[SEHTrajectPeriodeDatumTijdTotEnMet],"&gt;"&amp;($A731+12/24))</f>
        <v/>
      </c>
      <c r="Q731" s="20">
        <f>COUNTIFS(tData[SEHTrajectPeriodeDatumTijdVan],"&lt;="&amp;($A731+13/24),tData[SEHTrajectPeriodeDatumTijdTotEnMet],"&gt;"&amp;($A731+13/24))</f>
        <v/>
      </c>
      <c r="R731" s="20">
        <f>COUNTIFS(tData[SEHTrajectPeriodeDatumTijdVan],"&lt;="&amp;($A731+14/24),tData[SEHTrajectPeriodeDatumTijdTotEnMet],"&gt;"&amp;($A731+14/24))</f>
        <v/>
      </c>
      <c r="S731" s="20">
        <f>COUNTIFS(tData[SEHTrajectPeriodeDatumTijdVan],"&lt;="&amp;($A731+15/24),tData[SEHTrajectPeriodeDatumTijdTotEnMet],"&gt;"&amp;($A731+15/24))</f>
        <v/>
      </c>
      <c r="T731" s="20">
        <f>COUNTIFS(tData[SEHTrajectPeriodeDatumTijdVan],"&lt;="&amp;($A731+16/24),tData[SEHTrajectPeriodeDatumTijdTotEnMet],"&gt;"&amp;($A731+16/24))</f>
        <v/>
      </c>
      <c r="U731" s="20">
        <f>COUNTIFS(tData[SEHTrajectPeriodeDatumTijdVan],"&lt;="&amp;($A731+17/24),tData[SEHTrajectPeriodeDatumTijdTotEnMet],"&gt;"&amp;($A731+17/24))</f>
        <v/>
      </c>
      <c r="V731" s="20">
        <f>COUNTIFS(tData[SEHTrajectPeriodeDatumTijdVan],"&lt;="&amp;($A731+18/24),tData[SEHTrajectPeriodeDatumTijdTotEnMet],"&gt;"&amp;($A731+18/24))</f>
        <v/>
      </c>
      <c r="W731" s="20">
        <f>COUNTIFS(tData[SEHTrajectPeriodeDatumTijdVan],"&lt;="&amp;($A731+19/24),tData[SEHTrajectPeriodeDatumTijdTotEnMet],"&gt;"&amp;($A731+19/24))</f>
        <v/>
      </c>
      <c r="X731" s="20">
        <f>COUNTIFS(tData[SEHTrajectPeriodeDatumTijdVan],"&lt;="&amp;($A731+20/24),tData[SEHTrajectPeriodeDatumTijdTotEnMet],"&gt;"&amp;($A731+20/24))</f>
        <v/>
      </c>
      <c r="Y731" s="20">
        <f>COUNTIFS(tData[SEHTrajectPeriodeDatumTijdVan],"&lt;="&amp;($A731+21/24),tData[SEHTrajectPeriodeDatumTijdTotEnMet],"&gt;"&amp;($A731+21/24))</f>
        <v/>
      </c>
      <c r="Z731" s="20">
        <f>COUNTIFS(tData[SEHTrajectPeriodeDatumTijdVan],"&lt;="&amp;($A731+22/24),tData[SEHTrajectPeriodeDatumTijdTotEnMet],"&gt;"&amp;($A731+22/24))</f>
        <v/>
      </c>
      <c r="AA731" s="20">
        <f>COUNTIFS(tData[SEHTrajectPeriodeDatumTijdVan],"&lt;="&amp;($A731+23/24),tData[SEHTrajectPeriodeDatumTijdTotEnMet],"&gt;"&amp;($A731+23/24))</f>
        <v/>
      </c>
    </row>
    <row r="732">
      <c r="A732" s="19" t="n">
        <v>46020</v>
      </c>
      <c r="B732" s="15">
        <f>WEEKDAY($A732,2)</f>
        <v/>
      </c>
      <c r="C732" s="15">
        <f>IF(AND($A732&gt;=INT(Instellingen!$B$5),$A732&lt;=INT(Instellingen!$B$6)),1,0)</f>
        <v/>
      </c>
      <c r="D732" s="20">
        <f>COUNTIFS(tData[SEHTrajectPeriodeDatumTijdVan],"&lt;="&amp;($A732+0/24),tData[SEHTrajectPeriodeDatumTijdTotEnMet],"&gt;"&amp;($A732+0/24))</f>
        <v/>
      </c>
      <c r="E732" s="20">
        <f>COUNTIFS(tData[SEHTrajectPeriodeDatumTijdVan],"&lt;="&amp;($A732+1/24),tData[SEHTrajectPeriodeDatumTijdTotEnMet],"&gt;"&amp;($A732+1/24))</f>
        <v/>
      </c>
      <c r="F732" s="20">
        <f>COUNTIFS(tData[SEHTrajectPeriodeDatumTijdVan],"&lt;="&amp;($A732+2/24),tData[SEHTrajectPeriodeDatumTijdTotEnMet],"&gt;"&amp;($A732+2/24))</f>
        <v/>
      </c>
      <c r="G732" s="20">
        <f>COUNTIFS(tData[SEHTrajectPeriodeDatumTijdVan],"&lt;="&amp;($A732+3/24),tData[SEHTrajectPeriodeDatumTijdTotEnMet],"&gt;"&amp;($A732+3/24))</f>
        <v/>
      </c>
      <c r="H732" s="20">
        <f>COUNTIFS(tData[SEHTrajectPeriodeDatumTijdVan],"&lt;="&amp;($A732+4/24),tData[SEHTrajectPeriodeDatumTijdTotEnMet],"&gt;"&amp;($A732+4/24))</f>
        <v/>
      </c>
      <c r="I732" s="20">
        <f>COUNTIFS(tData[SEHTrajectPeriodeDatumTijdVan],"&lt;="&amp;($A732+5/24),tData[SEHTrajectPeriodeDatumTijdTotEnMet],"&gt;"&amp;($A732+5/24))</f>
        <v/>
      </c>
      <c r="J732" s="20">
        <f>COUNTIFS(tData[SEHTrajectPeriodeDatumTijdVan],"&lt;="&amp;($A732+6/24),tData[SEHTrajectPeriodeDatumTijdTotEnMet],"&gt;"&amp;($A732+6/24))</f>
        <v/>
      </c>
      <c r="K732" s="20">
        <f>COUNTIFS(tData[SEHTrajectPeriodeDatumTijdVan],"&lt;="&amp;($A732+7/24),tData[SEHTrajectPeriodeDatumTijdTotEnMet],"&gt;"&amp;($A732+7/24))</f>
        <v/>
      </c>
      <c r="L732" s="20">
        <f>COUNTIFS(tData[SEHTrajectPeriodeDatumTijdVan],"&lt;="&amp;($A732+8/24),tData[SEHTrajectPeriodeDatumTijdTotEnMet],"&gt;"&amp;($A732+8/24))</f>
        <v/>
      </c>
      <c r="M732" s="20">
        <f>COUNTIFS(tData[SEHTrajectPeriodeDatumTijdVan],"&lt;="&amp;($A732+9/24),tData[SEHTrajectPeriodeDatumTijdTotEnMet],"&gt;"&amp;($A732+9/24))</f>
        <v/>
      </c>
      <c r="N732" s="20">
        <f>COUNTIFS(tData[SEHTrajectPeriodeDatumTijdVan],"&lt;="&amp;($A732+10/24),tData[SEHTrajectPeriodeDatumTijdTotEnMet],"&gt;"&amp;($A732+10/24))</f>
        <v/>
      </c>
      <c r="O732" s="20">
        <f>COUNTIFS(tData[SEHTrajectPeriodeDatumTijdVan],"&lt;="&amp;($A732+11/24),tData[SEHTrajectPeriodeDatumTijdTotEnMet],"&gt;"&amp;($A732+11/24))</f>
        <v/>
      </c>
      <c r="P732" s="20">
        <f>COUNTIFS(tData[SEHTrajectPeriodeDatumTijdVan],"&lt;="&amp;($A732+12/24),tData[SEHTrajectPeriodeDatumTijdTotEnMet],"&gt;"&amp;($A732+12/24))</f>
        <v/>
      </c>
      <c r="Q732" s="20">
        <f>COUNTIFS(tData[SEHTrajectPeriodeDatumTijdVan],"&lt;="&amp;($A732+13/24),tData[SEHTrajectPeriodeDatumTijdTotEnMet],"&gt;"&amp;($A732+13/24))</f>
        <v/>
      </c>
      <c r="R732" s="20">
        <f>COUNTIFS(tData[SEHTrajectPeriodeDatumTijdVan],"&lt;="&amp;($A732+14/24),tData[SEHTrajectPeriodeDatumTijdTotEnMet],"&gt;"&amp;($A732+14/24))</f>
        <v/>
      </c>
      <c r="S732" s="20">
        <f>COUNTIFS(tData[SEHTrajectPeriodeDatumTijdVan],"&lt;="&amp;($A732+15/24),tData[SEHTrajectPeriodeDatumTijdTotEnMet],"&gt;"&amp;($A732+15/24))</f>
        <v/>
      </c>
      <c r="T732" s="20">
        <f>COUNTIFS(tData[SEHTrajectPeriodeDatumTijdVan],"&lt;="&amp;($A732+16/24),tData[SEHTrajectPeriodeDatumTijdTotEnMet],"&gt;"&amp;($A732+16/24))</f>
        <v/>
      </c>
      <c r="U732" s="20">
        <f>COUNTIFS(tData[SEHTrajectPeriodeDatumTijdVan],"&lt;="&amp;($A732+17/24),tData[SEHTrajectPeriodeDatumTijdTotEnMet],"&gt;"&amp;($A732+17/24))</f>
        <v/>
      </c>
      <c r="V732" s="20">
        <f>COUNTIFS(tData[SEHTrajectPeriodeDatumTijdVan],"&lt;="&amp;($A732+18/24),tData[SEHTrajectPeriodeDatumTijdTotEnMet],"&gt;"&amp;($A732+18/24))</f>
        <v/>
      </c>
      <c r="W732" s="20">
        <f>COUNTIFS(tData[SEHTrajectPeriodeDatumTijdVan],"&lt;="&amp;($A732+19/24),tData[SEHTrajectPeriodeDatumTijdTotEnMet],"&gt;"&amp;($A732+19/24))</f>
        <v/>
      </c>
      <c r="X732" s="20">
        <f>COUNTIFS(tData[SEHTrajectPeriodeDatumTijdVan],"&lt;="&amp;($A732+20/24),tData[SEHTrajectPeriodeDatumTijdTotEnMet],"&gt;"&amp;($A732+20/24))</f>
        <v/>
      </c>
      <c r="Y732" s="20">
        <f>COUNTIFS(tData[SEHTrajectPeriodeDatumTijdVan],"&lt;="&amp;($A732+21/24),tData[SEHTrajectPeriodeDatumTijdTotEnMet],"&gt;"&amp;($A732+21/24))</f>
        <v/>
      </c>
      <c r="Z732" s="20">
        <f>COUNTIFS(tData[SEHTrajectPeriodeDatumTijdVan],"&lt;="&amp;($A732+22/24),tData[SEHTrajectPeriodeDatumTijdTotEnMet],"&gt;"&amp;($A732+22/24))</f>
        <v/>
      </c>
      <c r="AA732" s="20">
        <f>COUNTIFS(tData[SEHTrajectPeriodeDatumTijdVan],"&lt;="&amp;($A732+23/24),tData[SEHTrajectPeriodeDatumTijdTotEnMet],"&gt;"&amp;($A732+23/24))</f>
        <v/>
      </c>
    </row>
    <row r="733">
      <c r="A733" s="19" t="n">
        <v>46021</v>
      </c>
      <c r="B733" s="15">
        <f>WEEKDAY($A733,2)</f>
        <v/>
      </c>
      <c r="C733" s="15">
        <f>IF(AND($A733&gt;=INT(Instellingen!$B$5),$A733&lt;=INT(Instellingen!$B$6)),1,0)</f>
        <v/>
      </c>
      <c r="D733" s="20">
        <f>COUNTIFS(tData[SEHTrajectPeriodeDatumTijdVan],"&lt;="&amp;($A733+0/24),tData[SEHTrajectPeriodeDatumTijdTotEnMet],"&gt;"&amp;($A733+0/24))</f>
        <v/>
      </c>
      <c r="E733" s="20">
        <f>COUNTIFS(tData[SEHTrajectPeriodeDatumTijdVan],"&lt;="&amp;($A733+1/24),tData[SEHTrajectPeriodeDatumTijdTotEnMet],"&gt;"&amp;($A733+1/24))</f>
        <v/>
      </c>
      <c r="F733" s="20">
        <f>COUNTIFS(tData[SEHTrajectPeriodeDatumTijdVan],"&lt;="&amp;($A733+2/24),tData[SEHTrajectPeriodeDatumTijdTotEnMet],"&gt;"&amp;($A733+2/24))</f>
        <v/>
      </c>
      <c r="G733" s="20">
        <f>COUNTIFS(tData[SEHTrajectPeriodeDatumTijdVan],"&lt;="&amp;($A733+3/24),tData[SEHTrajectPeriodeDatumTijdTotEnMet],"&gt;"&amp;($A733+3/24))</f>
        <v/>
      </c>
      <c r="H733" s="20">
        <f>COUNTIFS(tData[SEHTrajectPeriodeDatumTijdVan],"&lt;="&amp;($A733+4/24),tData[SEHTrajectPeriodeDatumTijdTotEnMet],"&gt;"&amp;($A733+4/24))</f>
        <v/>
      </c>
      <c r="I733" s="20">
        <f>COUNTIFS(tData[SEHTrajectPeriodeDatumTijdVan],"&lt;="&amp;($A733+5/24),tData[SEHTrajectPeriodeDatumTijdTotEnMet],"&gt;"&amp;($A733+5/24))</f>
        <v/>
      </c>
      <c r="J733" s="20">
        <f>COUNTIFS(tData[SEHTrajectPeriodeDatumTijdVan],"&lt;="&amp;($A733+6/24),tData[SEHTrajectPeriodeDatumTijdTotEnMet],"&gt;"&amp;($A733+6/24))</f>
        <v/>
      </c>
      <c r="K733" s="20">
        <f>COUNTIFS(tData[SEHTrajectPeriodeDatumTijdVan],"&lt;="&amp;($A733+7/24),tData[SEHTrajectPeriodeDatumTijdTotEnMet],"&gt;"&amp;($A733+7/24))</f>
        <v/>
      </c>
      <c r="L733" s="20">
        <f>COUNTIFS(tData[SEHTrajectPeriodeDatumTijdVan],"&lt;="&amp;($A733+8/24),tData[SEHTrajectPeriodeDatumTijdTotEnMet],"&gt;"&amp;($A733+8/24))</f>
        <v/>
      </c>
      <c r="M733" s="20">
        <f>COUNTIFS(tData[SEHTrajectPeriodeDatumTijdVan],"&lt;="&amp;($A733+9/24),tData[SEHTrajectPeriodeDatumTijdTotEnMet],"&gt;"&amp;($A733+9/24))</f>
        <v/>
      </c>
      <c r="N733" s="20">
        <f>COUNTIFS(tData[SEHTrajectPeriodeDatumTijdVan],"&lt;="&amp;($A733+10/24),tData[SEHTrajectPeriodeDatumTijdTotEnMet],"&gt;"&amp;($A733+10/24))</f>
        <v/>
      </c>
      <c r="O733" s="20">
        <f>COUNTIFS(tData[SEHTrajectPeriodeDatumTijdVan],"&lt;="&amp;($A733+11/24),tData[SEHTrajectPeriodeDatumTijdTotEnMet],"&gt;"&amp;($A733+11/24))</f>
        <v/>
      </c>
      <c r="P733" s="20">
        <f>COUNTIFS(tData[SEHTrajectPeriodeDatumTijdVan],"&lt;="&amp;($A733+12/24),tData[SEHTrajectPeriodeDatumTijdTotEnMet],"&gt;"&amp;($A733+12/24))</f>
        <v/>
      </c>
      <c r="Q733" s="20">
        <f>COUNTIFS(tData[SEHTrajectPeriodeDatumTijdVan],"&lt;="&amp;($A733+13/24),tData[SEHTrajectPeriodeDatumTijdTotEnMet],"&gt;"&amp;($A733+13/24))</f>
        <v/>
      </c>
      <c r="R733" s="20">
        <f>COUNTIFS(tData[SEHTrajectPeriodeDatumTijdVan],"&lt;="&amp;($A733+14/24),tData[SEHTrajectPeriodeDatumTijdTotEnMet],"&gt;"&amp;($A733+14/24))</f>
        <v/>
      </c>
      <c r="S733" s="20">
        <f>COUNTIFS(tData[SEHTrajectPeriodeDatumTijdVan],"&lt;="&amp;($A733+15/24),tData[SEHTrajectPeriodeDatumTijdTotEnMet],"&gt;"&amp;($A733+15/24))</f>
        <v/>
      </c>
      <c r="T733" s="20">
        <f>COUNTIFS(tData[SEHTrajectPeriodeDatumTijdVan],"&lt;="&amp;($A733+16/24),tData[SEHTrajectPeriodeDatumTijdTotEnMet],"&gt;"&amp;($A733+16/24))</f>
        <v/>
      </c>
      <c r="U733" s="20">
        <f>COUNTIFS(tData[SEHTrajectPeriodeDatumTijdVan],"&lt;="&amp;($A733+17/24),tData[SEHTrajectPeriodeDatumTijdTotEnMet],"&gt;"&amp;($A733+17/24))</f>
        <v/>
      </c>
      <c r="V733" s="20">
        <f>COUNTIFS(tData[SEHTrajectPeriodeDatumTijdVan],"&lt;="&amp;($A733+18/24),tData[SEHTrajectPeriodeDatumTijdTotEnMet],"&gt;"&amp;($A733+18/24))</f>
        <v/>
      </c>
      <c r="W733" s="20">
        <f>COUNTIFS(tData[SEHTrajectPeriodeDatumTijdVan],"&lt;="&amp;($A733+19/24),tData[SEHTrajectPeriodeDatumTijdTotEnMet],"&gt;"&amp;($A733+19/24))</f>
        <v/>
      </c>
      <c r="X733" s="20">
        <f>COUNTIFS(tData[SEHTrajectPeriodeDatumTijdVan],"&lt;="&amp;($A733+20/24),tData[SEHTrajectPeriodeDatumTijdTotEnMet],"&gt;"&amp;($A733+20/24))</f>
        <v/>
      </c>
      <c r="Y733" s="20">
        <f>COUNTIFS(tData[SEHTrajectPeriodeDatumTijdVan],"&lt;="&amp;($A733+21/24),tData[SEHTrajectPeriodeDatumTijdTotEnMet],"&gt;"&amp;($A733+21/24))</f>
        <v/>
      </c>
      <c r="Z733" s="20">
        <f>COUNTIFS(tData[SEHTrajectPeriodeDatumTijdVan],"&lt;="&amp;($A733+22/24),tData[SEHTrajectPeriodeDatumTijdTotEnMet],"&gt;"&amp;($A733+22/24))</f>
        <v/>
      </c>
      <c r="AA733" s="20">
        <f>COUNTIFS(tData[SEHTrajectPeriodeDatumTijdVan],"&lt;="&amp;($A733+23/24),tData[SEHTrajectPeriodeDatumTijdTotEnMet],"&gt;"&amp;($A733+23/24))</f>
        <v/>
      </c>
    </row>
    <row r="734">
      <c r="A734" s="19" t="n">
        <v>46022</v>
      </c>
      <c r="B734" s="15">
        <f>WEEKDAY($A734,2)</f>
        <v/>
      </c>
      <c r="C734" s="15">
        <f>IF(AND($A734&gt;=INT(Instellingen!$B$5),$A734&lt;=INT(Instellingen!$B$6)),1,0)</f>
        <v/>
      </c>
      <c r="D734" s="20">
        <f>COUNTIFS(tData[SEHTrajectPeriodeDatumTijdVan],"&lt;="&amp;($A734+0/24),tData[SEHTrajectPeriodeDatumTijdTotEnMet],"&gt;"&amp;($A734+0/24))</f>
        <v/>
      </c>
      <c r="E734" s="20">
        <f>COUNTIFS(tData[SEHTrajectPeriodeDatumTijdVan],"&lt;="&amp;($A734+1/24),tData[SEHTrajectPeriodeDatumTijdTotEnMet],"&gt;"&amp;($A734+1/24))</f>
        <v/>
      </c>
      <c r="F734" s="20">
        <f>COUNTIFS(tData[SEHTrajectPeriodeDatumTijdVan],"&lt;="&amp;($A734+2/24),tData[SEHTrajectPeriodeDatumTijdTotEnMet],"&gt;"&amp;($A734+2/24))</f>
        <v/>
      </c>
      <c r="G734" s="20">
        <f>COUNTIFS(tData[SEHTrajectPeriodeDatumTijdVan],"&lt;="&amp;($A734+3/24),tData[SEHTrajectPeriodeDatumTijdTotEnMet],"&gt;"&amp;($A734+3/24))</f>
        <v/>
      </c>
      <c r="H734" s="20">
        <f>COUNTIFS(tData[SEHTrajectPeriodeDatumTijdVan],"&lt;="&amp;($A734+4/24),tData[SEHTrajectPeriodeDatumTijdTotEnMet],"&gt;"&amp;($A734+4/24))</f>
        <v/>
      </c>
      <c r="I734" s="20">
        <f>COUNTIFS(tData[SEHTrajectPeriodeDatumTijdVan],"&lt;="&amp;($A734+5/24),tData[SEHTrajectPeriodeDatumTijdTotEnMet],"&gt;"&amp;($A734+5/24))</f>
        <v/>
      </c>
      <c r="J734" s="20">
        <f>COUNTIFS(tData[SEHTrajectPeriodeDatumTijdVan],"&lt;="&amp;($A734+6/24),tData[SEHTrajectPeriodeDatumTijdTotEnMet],"&gt;"&amp;($A734+6/24))</f>
        <v/>
      </c>
      <c r="K734" s="20">
        <f>COUNTIFS(tData[SEHTrajectPeriodeDatumTijdVan],"&lt;="&amp;($A734+7/24),tData[SEHTrajectPeriodeDatumTijdTotEnMet],"&gt;"&amp;($A734+7/24))</f>
        <v/>
      </c>
      <c r="L734" s="20">
        <f>COUNTIFS(tData[SEHTrajectPeriodeDatumTijdVan],"&lt;="&amp;($A734+8/24),tData[SEHTrajectPeriodeDatumTijdTotEnMet],"&gt;"&amp;($A734+8/24))</f>
        <v/>
      </c>
      <c r="M734" s="20">
        <f>COUNTIFS(tData[SEHTrajectPeriodeDatumTijdVan],"&lt;="&amp;($A734+9/24),tData[SEHTrajectPeriodeDatumTijdTotEnMet],"&gt;"&amp;($A734+9/24))</f>
        <v/>
      </c>
      <c r="N734" s="20">
        <f>COUNTIFS(tData[SEHTrajectPeriodeDatumTijdVan],"&lt;="&amp;($A734+10/24),tData[SEHTrajectPeriodeDatumTijdTotEnMet],"&gt;"&amp;($A734+10/24))</f>
        <v/>
      </c>
      <c r="O734" s="20">
        <f>COUNTIFS(tData[SEHTrajectPeriodeDatumTijdVan],"&lt;="&amp;($A734+11/24),tData[SEHTrajectPeriodeDatumTijdTotEnMet],"&gt;"&amp;($A734+11/24))</f>
        <v/>
      </c>
      <c r="P734" s="20">
        <f>COUNTIFS(tData[SEHTrajectPeriodeDatumTijdVan],"&lt;="&amp;($A734+12/24),tData[SEHTrajectPeriodeDatumTijdTotEnMet],"&gt;"&amp;($A734+12/24))</f>
        <v/>
      </c>
      <c r="Q734" s="20">
        <f>COUNTIFS(tData[SEHTrajectPeriodeDatumTijdVan],"&lt;="&amp;($A734+13/24),tData[SEHTrajectPeriodeDatumTijdTotEnMet],"&gt;"&amp;($A734+13/24))</f>
        <v/>
      </c>
      <c r="R734" s="20">
        <f>COUNTIFS(tData[SEHTrajectPeriodeDatumTijdVan],"&lt;="&amp;($A734+14/24),tData[SEHTrajectPeriodeDatumTijdTotEnMet],"&gt;"&amp;($A734+14/24))</f>
        <v/>
      </c>
      <c r="S734" s="20">
        <f>COUNTIFS(tData[SEHTrajectPeriodeDatumTijdVan],"&lt;="&amp;($A734+15/24),tData[SEHTrajectPeriodeDatumTijdTotEnMet],"&gt;"&amp;($A734+15/24))</f>
        <v/>
      </c>
      <c r="T734" s="20">
        <f>COUNTIFS(tData[SEHTrajectPeriodeDatumTijdVan],"&lt;="&amp;($A734+16/24),tData[SEHTrajectPeriodeDatumTijdTotEnMet],"&gt;"&amp;($A734+16/24))</f>
        <v/>
      </c>
      <c r="U734" s="20">
        <f>COUNTIFS(tData[SEHTrajectPeriodeDatumTijdVan],"&lt;="&amp;($A734+17/24),tData[SEHTrajectPeriodeDatumTijdTotEnMet],"&gt;"&amp;($A734+17/24))</f>
        <v/>
      </c>
      <c r="V734" s="20">
        <f>COUNTIFS(tData[SEHTrajectPeriodeDatumTijdVan],"&lt;="&amp;($A734+18/24),tData[SEHTrajectPeriodeDatumTijdTotEnMet],"&gt;"&amp;($A734+18/24))</f>
        <v/>
      </c>
      <c r="W734" s="20">
        <f>COUNTIFS(tData[SEHTrajectPeriodeDatumTijdVan],"&lt;="&amp;($A734+19/24),tData[SEHTrajectPeriodeDatumTijdTotEnMet],"&gt;"&amp;($A734+19/24))</f>
        <v/>
      </c>
      <c r="X734" s="20">
        <f>COUNTIFS(tData[SEHTrajectPeriodeDatumTijdVan],"&lt;="&amp;($A734+20/24),tData[SEHTrajectPeriodeDatumTijdTotEnMet],"&gt;"&amp;($A734+20/24))</f>
        <v/>
      </c>
      <c r="Y734" s="20">
        <f>COUNTIFS(tData[SEHTrajectPeriodeDatumTijdVan],"&lt;="&amp;($A734+21/24),tData[SEHTrajectPeriodeDatumTijdTotEnMet],"&gt;"&amp;($A734+21/24))</f>
        <v/>
      </c>
      <c r="Z734" s="20">
        <f>COUNTIFS(tData[SEHTrajectPeriodeDatumTijdVan],"&lt;="&amp;($A734+22/24),tData[SEHTrajectPeriodeDatumTijdTotEnMet],"&gt;"&amp;($A734+22/24))</f>
        <v/>
      </c>
      <c r="AA734" s="20">
        <f>COUNTIFS(tData[SEHTrajectPeriodeDatumTijdVan],"&lt;="&amp;($A734+23/24),tData[SEHTrajectPeriodeDatumTijdTotEnMet],"&gt;"&amp;($A734+23/24))</f>
        <v/>
      </c>
    </row>
  </sheetData>
  <mergeCells count="1">
    <mergeCell ref="A2:N2"/>
  </mergeCells>
  <conditionalFormatting sqref="D4:AA734">
    <cfRule type="colorScale" priority="1">
      <colorScale>
        <cfvo type="num" val="0"/>
        <cfvo type="percentile" val="50"/>
        <cfvo type="max"/>
        <color rgb="00FFFFFF"/>
        <color rgb="00FFD966"/>
        <color rgb="004472C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7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</cols>
  <sheetData>
    <row r="1">
      <c r="A1" s="11" t="inlineStr">
        <is>
          <t>Bezetting – alleen LANGLIGGERS (per datum en uur)</t>
        </is>
      </c>
    </row>
    <row r="2">
      <c r="A2" s="5" t="inlineStr">
        <is>
          <t>Per DATUM (rij) en UUR (kolom): hoeveel patiënten waren op dat tijdstip aanwezig (Periode Van ≤ tijdstip &lt; TotEnMet). Kleur = drukte. Dit is de basis; de analyses nemen hiervan het P95.</t>
        </is>
      </c>
    </row>
    <row r="3">
      <c r="A3" s="18" t="inlineStr">
        <is>
          <t>Datum</t>
        </is>
      </c>
      <c r="B3" s="18" t="inlineStr">
        <is>
          <t>Weekdag</t>
        </is>
      </c>
      <c r="C3" s="18" t="inlineStr">
        <is>
          <t>InBereik</t>
        </is>
      </c>
      <c r="D3" s="18" t="n">
        <v>0</v>
      </c>
      <c r="E3" s="18" t="n">
        <v>1</v>
      </c>
      <c r="F3" s="18" t="n">
        <v>2</v>
      </c>
      <c r="G3" s="18" t="n">
        <v>3</v>
      </c>
      <c r="H3" s="18" t="n">
        <v>4</v>
      </c>
      <c r="I3" s="18" t="n">
        <v>5</v>
      </c>
      <c r="J3" s="18" t="n">
        <v>6</v>
      </c>
      <c r="K3" s="18" t="n">
        <v>7</v>
      </c>
      <c r="L3" s="18" t="n">
        <v>8</v>
      </c>
      <c r="M3" s="18" t="n">
        <v>9</v>
      </c>
      <c r="N3" s="18" t="n">
        <v>10</v>
      </c>
      <c r="O3" s="18" t="n">
        <v>11</v>
      </c>
      <c r="P3" s="18" t="n">
        <v>12</v>
      </c>
      <c r="Q3" s="18" t="n">
        <v>13</v>
      </c>
      <c r="R3" s="18" t="n">
        <v>14</v>
      </c>
      <c r="S3" s="18" t="n">
        <v>15</v>
      </c>
      <c r="T3" s="18" t="n">
        <v>16</v>
      </c>
      <c r="U3" s="18" t="n">
        <v>17</v>
      </c>
      <c r="V3" s="18" t="n">
        <v>18</v>
      </c>
      <c r="W3" s="18" t="n">
        <v>19</v>
      </c>
      <c r="X3" s="18" t="n">
        <v>20</v>
      </c>
      <c r="Y3" s="18" t="n">
        <v>21</v>
      </c>
      <c r="Z3" s="18" t="n">
        <v>22</v>
      </c>
      <c r="AA3" s="18" t="n">
        <v>23</v>
      </c>
    </row>
    <row r="4">
      <c r="A4" s="19" t="n">
        <v>45292</v>
      </c>
      <c r="B4" s="15">
        <f>WEEKDAY($A4,2)</f>
        <v/>
      </c>
      <c r="C4" s="15">
        <f>IF(AND($A4&gt;=INT(Instellingen!$B$5),$A4&lt;=INT(Instellingen!$B$6)),1,0)</f>
        <v/>
      </c>
      <c r="D4" s="20">
        <f>COUNTIFS(tData[SEHTrajectPeriodeDatumTijdVan],"&lt;="&amp;($A4+0/24),tData[SEHTrajectPeriodeDatumTijdTotEnMet],"&gt;"&amp;($A4+0/24),tData[Langligger01],1)</f>
        <v/>
      </c>
      <c r="E4" s="20">
        <f>COUNTIFS(tData[SEHTrajectPeriodeDatumTijdVan],"&lt;="&amp;($A4+1/24),tData[SEHTrajectPeriodeDatumTijdTotEnMet],"&gt;"&amp;($A4+1/24),tData[Langligger01],1)</f>
        <v/>
      </c>
      <c r="F4" s="20">
        <f>COUNTIFS(tData[SEHTrajectPeriodeDatumTijdVan],"&lt;="&amp;($A4+2/24),tData[SEHTrajectPeriodeDatumTijdTotEnMet],"&gt;"&amp;($A4+2/24),tData[Langligger01],1)</f>
        <v/>
      </c>
      <c r="G4" s="20">
        <f>COUNTIFS(tData[SEHTrajectPeriodeDatumTijdVan],"&lt;="&amp;($A4+3/24),tData[SEHTrajectPeriodeDatumTijdTotEnMet],"&gt;"&amp;($A4+3/24),tData[Langligger01],1)</f>
        <v/>
      </c>
      <c r="H4" s="20">
        <f>COUNTIFS(tData[SEHTrajectPeriodeDatumTijdVan],"&lt;="&amp;($A4+4/24),tData[SEHTrajectPeriodeDatumTijdTotEnMet],"&gt;"&amp;($A4+4/24),tData[Langligger01],1)</f>
        <v/>
      </c>
      <c r="I4" s="20">
        <f>COUNTIFS(tData[SEHTrajectPeriodeDatumTijdVan],"&lt;="&amp;($A4+5/24),tData[SEHTrajectPeriodeDatumTijdTotEnMet],"&gt;"&amp;($A4+5/24),tData[Langligger01],1)</f>
        <v/>
      </c>
      <c r="J4" s="20">
        <f>COUNTIFS(tData[SEHTrajectPeriodeDatumTijdVan],"&lt;="&amp;($A4+6/24),tData[SEHTrajectPeriodeDatumTijdTotEnMet],"&gt;"&amp;($A4+6/24),tData[Langligger01],1)</f>
        <v/>
      </c>
      <c r="K4" s="20">
        <f>COUNTIFS(tData[SEHTrajectPeriodeDatumTijdVan],"&lt;="&amp;($A4+7/24),tData[SEHTrajectPeriodeDatumTijdTotEnMet],"&gt;"&amp;($A4+7/24),tData[Langligger01],1)</f>
        <v/>
      </c>
      <c r="L4" s="20">
        <f>COUNTIFS(tData[SEHTrajectPeriodeDatumTijdVan],"&lt;="&amp;($A4+8/24),tData[SEHTrajectPeriodeDatumTijdTotEnMet],"&gt;"&amp;($A4+8/24),tData[Langligger01],1)</f>
        <v/>
      </c>
      <c r="M4" s="20">
        <f>COUNTIFS(tData[SEHTrajectPeriodeDatumTijdVan],"&lt;="&amp;($A4+9/24),tData[SEHTrajectPeriodeDatumTijdTotEnMet],"&gt;"&amp;($A4+9/24),tData[Langligger01],1)</f>
        <v/>
      </c>
      <c r="N4" s="20">
        <f>COUNTIFS(tData[SEHTrajectPeriodeDatumTijdVan],"&lt;="&amp;($A4+10/24),tData[SEHTrajectPeriodeDatumTijdTotEnMet],"&gt;"&amp;($A4+10/24),tData[Langligger01],1)</f>
        <v/>
      </c>
      <c r="O4" s="20">
        <f>COUNTIFS(tData[SEHTrajectPeriodeDatumTijdVan],"&lt;="&amp;($A4+11/24),tData[SEHTrajectPeriodeDatumTijdTotEnMet],"&gt;"&amp;($A4+11/24),tData[Langligger01],1)</f>
        <v/>
      </c>
      <c r="P4" s="20">
        <f>COUNTIFS(tData[SEHTrajectPeriodeDatumTijdVan],"&lt;="&amp;($A4+12/24),tData[SEHTrajectPeriodeDatumTijdTotEnMet],"&gt;"&amp;($A4+12/24),tData[Langligger01],1)</f>
        <v/>
      </c>
      <c r="Q4" s="20">
        <f>COUNTIFS(tData[SEHTrajectPeriodeDatumTijdVan],"&lt;="&amp;($A4+13/24),tData[SEHTrajectPeriodeDatumTijdTotEnMet],"&gt;"&amp;($A4+13/24),tData[Langligger01],1)</f>
        <v/>
      </c>
      <c r="R4" s="20">
        <f>COUNTIFS(tData[SEHTrajectPeriodeDatumTijdVan],"&lt;="&amp;($A4+14/24),tData[SEHTrajectPeriodeDatumTijdTotEnMet],"&gt;"&amp;($A4+14/24),tData[Langligger01],1)</f>
        <v/>
      </c>
      <c r="S4" s="20">
        <f>COUNTIFS(tData[SEHTrajectPeriodeDatumTijdVan],"&lt;="&amp;($A4+15/24),tData[SEHTrajectPeriodeDatumTijdTotEnMet],"&gt;"&amp;($A4+15/24),tData[Langligger01],1)</f>
        <v/>
      </c>
      <c r="T4" s="20">
        <f>COUNTIFS(tData[SEHTrajectPeriodeDatumTijdVan],"&lt;="&amp;($A4+16/24),tData[SEHTrajectPeriodeDatumTijdTotEnMet],"&gt;"&amp;($A4+16/24),tData[Langligger01],1)</f>
        <v/>
      </c>
      <c r="U4" s="20">
        <f>COUNTIFS(tData[SEHTrajectPeriodeDatumTijdVan],"&lt;="&amp;($A4+17/24),tData[SEHTrajectPeriodeDatumTijdTotEnMet],"&gt;"&amp;($A4+17/24),tData[Langligger01],1)</f>
        <v/>
      </c>
      <c r="V4" s="20">
        <f>COUNTIFS(tData[SEHTrajectPeriodeDatumTijdVan],"&lt;="&amp;($A4+18/24),tData[SEHTrajectPeriodeDatumTijdTotEnMet],"&gt;"&amp;($A4+18/24),tData[Langligger01],1)</f>
        <v/>
      </c>
      <c r="W4" s="20">
        <f>COUNTIFS(tData[SEHTrajectPeriodeDatumTijdVan],"&lt;="&amp;($A4+19/24),tData[SEHTrajectPeriodeDatumTijdTotEnMet],"&gt;"&amp;($A4+19/24),tData[Langligger01],1)</f>
        <v/>
      </c>
      <c r="X4" s="20">
        <f>COUNTIFS(tData[SEHTrajectPeriodeDatumTijdVan],"&lt;="&amp;($A4+20/24),tData[SEHTrajectPeriodeDatumTijdTotEnMet],"&gt;"&amp;($A4+20/24),tData[Langligger01],1)</f>
        <v/>
      </c>
      <c r="Y4" s="20">
        <f>COUNTIFS(tData[SEHTrajectPeriodeDatumTijdVan],"&lt;="&amp;($A4+21/24),tData[SEHTrajectPeriodeDatumTijdTotEnMet],"&gt;"&amp;($A4+21/24),tData[Langligger01],1)</f>
        <v/>
      </c>
      <c r="Z4" s="20">
        <f>COUNTIFS(tData[SEHTrajectPeriodeDatumTijdVan],"&lt;="&amp;($A4+22/24),tData[SEHTrajectPeriodeDatumTijdTotEnMet],"&gt;"&amp;($A4+22/24),tData[Langligger01],1)</f>
        <v/>
      </c>
      <c r="AA4" s="20">
        <f>COUNTIFS(tData[SEHTrajectPeriodeDatumTijdVan],"&lt;="&amp;($A4+23/24),tData[SEHTrajectPeriodeDatumTijdTotEnMet],"&gt;"&amp;($A4+23/24),tData[Langligger01],1)</f>
        <v/>
      </c>
    </row>
    <row r="5">
      <c r="A5" s="19" t="n">
        <v>45293</v>
      </c>
      <c r="B5" s="15">
        <f>WEEKDAY($A5,2)</f>
        <v/>
      </c>
      <c r="C5" s="15">
        <f>IF(AND($A5&gt;=INT(Instellingen!$B$5),$A5&lt;=INT(Instellingen!$B$6)),1,0)</f>
        <v/>
      </c>
      <c r="D5" s="20">
        <f>COUNTIFS(tData[SEHTrajectPeriodeDatumTijdVan],"&lt;="&amp;($A5+0/24),tData[SEHTrajectPeriodeDatumTijdTotEnMet],"&gt;"&amp;($A5+0/24),tData[Langligger01],1)</f>
        <v/>
      </c>
      <c r="E5" s="20">
        <f>COUNTIFS(tData[SEHTrajectPeriodeDatumTijdVan],"&lt;="&amp;($A5+1/24),tData[SEHTrajectPeriodeDatumTijdTotEnMet],"&gt;"&amp;($A5+1/24),tData[Langligger01],1)</f>
        <v/>
      </c>
      <c r="F5" s="20">
        <f>COUNTIFS(tData[SEHTrajectPeriodeDatumTijdVan],"&lt;="&amp;($A5+2/24),tData[SEHTrajectPeriodeDatumTijdTotEnMet],"&gt;"&amp;($A5+2/24),tData[Langligger01],1)</f>
        <v/>
      </c>
      <c r="G5" s="20">
        <f>COUNTIFS(tData[SEHTrajectPeriodeDatumTijdVan],"&lt;="&amp;($A5+3/24),tData[SEHTrajectPeriodeDatumTijdTotEnMet],"&gt;"&amp;($A5+3/24),tData[Langligger01],1)</f>
        <v/>
      </c>
      <c r="H5" s="20">
        <f>COUNTIFS(tData[SEHTrajectPeriodeDatumTijdVan],"&lt;="&amp;($A5+4/24),tData[SEHTrajectPeriodeDatumTijdTotEnMet],"&gt;"&amp;($A5+4/24),tData[Langligger01],1)</f>
        <v/>
      </c>
      <c r="I5" s="20">
        <f>COUNTIFS(tData[SEHTrajectPeriodeDatumTijdVan],"&lt;="&amp;($A5+5/24),tData[SEHTrajectPeriodeDatumTijdTotEnMet],"&gt;"&amp;($A5+5/24),tData[Langligger01],1)</f>
        <v/>
      </c>
      <c r="J5" s="20">
        <f>COUNTIFS(tData[SEHTrajectPeriodeDatumTijdVan],"&lt;="&amp;($A5+6/24),tData[SEHTrajectPeriodeDatumTijdTotEnMet],"&gt;"&amp;($A5+6/24),tData[Langligger01],1)</f>
        <v/>
      </c>
      <c r="K5" s="20">
        <f>COUNTIFS(tData[SEHTrajectPeriodeDatumTijdVan],"&lt;="&amp;($A5+7/24),tData[SEHTrajectPeriodeDatumTijdTotEnMet],"&gt;"&amp;($A5+7/24),tData[Langligger01],1)</f>
        <v/>
      </c>
      <c r="L5" s="20">
        <f>COUNTIFS(tData[SEHTrajectPeriodeDatumTijdVan],"&lt;="&amp;($A5+8/24),tData[SEHTrajectPeriodeDatumTijdTotEnMet],"&gt;"&amp;($A5+8/24),tData[Langligger01],1)</f>
        <v/>
      </c>
      <c r="M5" s="20">
        <f>COUNTIFS(tData[SEHTrajectPeriodeDatumTijdVan],"&lt;="&amp;($A5+9/24),tData[SEHTrajectPeriodeDatumTijdTotEnMet],"&gt;"&amp;($A5+9/24),tData[Langligger01],1)</f>
        <v/>
      </c>
      <c r="N5" s="20">
        <f>COUNTIFS(tData[SEHTrajectPeriodeDatumTijdVan],"&lt;="&amp;($A5+10/24),tData[SEHTrajectPeriodeDatumTijdTotEnMet],"&gt;"&amp;($A5+10/24),tData[Langligger01],1)</f>
        <v/>
      </c>
      <c r="O5" s="20">
        <f>COUNTIFS(tData[SEHTrajectPeriodeDatumTijdVan],"&lt;="&amp;($A5+11/24),tData[SEHTrajectPeriodeDatumTijdTotEnMet],"&gt;"&amp;($A5+11/24),tData[Langligger01],1)</f>
        <v/>
      </c>
      <c r="P5" s="20">
        <f>COUNTIFS(tData[SEHTrajectPeriodeDatumTijdVan],"&lt;="&amp;($A5+12/24),tData[SEHTrajectPeriodeDatumTijdTotEnMet],"&gt;"&amp;($A5+12/24),tData[Langligger01],1)</f>
        <v/>
      </c>
      <c r="Q5" s="20">
        <f>COUNTIFS(tData[SEHTrajectPeriodeDatumTijdVan],"&lt;="&amp;($A5+13/24),tData[SEHTrajectPeriodeDatumTijdTotEnMet],"&gt;"&amp;($A5+13/24),tData[Langligger01],1)</f>
        <v/>
      </c>
      <c r="R5" s="20">
        <f>COUNTIFS(tData[SEHTrajectPeriodeDatumTijdVan],"&lt;="&amp;($A5+14/24),tData[SEHTrajectPeriodeDatumTijdTotEnMet],"&gt;"&amp;($A5+14/24),tData[Langligger01],1)</f>
        <v/>
      </c>
      <c r="S5" s="20">
        <f>COUNTIFS(tData[SEHTrajectPeriodeDatumTijdVan],"&lt;="&amp;($A5+15/24),tData[SEHTrajectPeriodeDatumTijdTotEnMet],"&gt;"&amp;($A5+15/24),tData[Langligger01],1)</f>
        <v/>
      </c>
      <c r="T5" s="20">
        <f>COUNTIFS(tData[SEHTrajectPeriodeDatumTijdVan],"&lt;="&amp;($A5+16/24),tData[SEHTrajectPeriodeDatumTijdTotEnMet],"&gt;"&amp;($A5+16/24),tData[Langligger01],1)</f>
        <v/>
      </c>
      <c r="U5" s="20">
        <f>COUNTIFS(tData[SEHTrajectPeriodeDatumTijdVan],"&lt;="&amp;($A5+17/24),tData[SEHTrajectPeriodeDatumTijdTotEnMet],"&gt;"&amp;($A5+17/24),tData[Langligger01],1)</f>
        <v/>
      </c>
      <c r="V5" s="20">
        <f>COUNTIFS(tData[SEHTrajectPeriodeDatumTijdVan],"&lt;="&amp;($A5+18/24),tData[SEHTrajectPeriodeDatumTijdTotEnMet],"&gt;"&amp;($A5+18/24),tData[Langligger01],1)</f>
        <v/>
      </c>
      <c r="W5" s="20">
        <f>COUNTIFS(tData[SEHTrajectPeriodeDatumTijdVan],"&lt;="&amp;($A5+19/24),tData[SEHTrajectPeriodeDatumTijdTotEnMet],"&gt;"&amp;($A5+19/24),tData[Langligger01],1)</f>
        <v/>
      </c>
      <c r="X5" s="20">
        <f>COUNTIFS(tData[SEHTrajectPeriodeDatumTijdVan],"&lt;="&amp;($A5+20/24),tData[SEHTrajectPeriodeDatumTijdTotEnMet],"&gt;"&amp;($A5+20/24),tData[Langligger01],1)</f>
        <v/>
      </c>
      <c r="Y5" s="20">
        <f>COUNTIFS(tData[SEHTrajectPeriodeDatumTijdVan],"&lt;="&amp;($A5+21/24),tData[SEHTrajectPeriodeDatumTijdTotEnMet],"&gt;"&amp;($A5+21/24),tData[Langligger01],1)</f>
        <v/>
      </c>
      <c r="Z5" s="20">
        <f>COUNTIFS(tData[SEHTrajectPeriodeDatumTijdVan],"&lt;="&amp;($A5+22/24),tData[SEHTrajectPeriodeDatumTijdTotEnMet],"&gt;"&amp;($A5+22/24),tData[Langligger01],1)</f>
        <v/>
      </c>
      <c r="AA5" s="20">
        <f>COUNTIFS(tData[SEHTrajectPeriodeDatumTijdVan],"&lt;="&amp;($A5+23/24),tData[SEHTrajectPeriodeDatumTijdTotEnMet],"&gt;"&amp;($A5+23/24),tData[Langligger01],1)</f>
        <v/>
      </c>
    </row>
    <row r="6">
      <c r="A6" s="19" t="n">
        <v>45294</v>
      </c>
      <c r="B6" s="15">
        <f>WEEKDAY($A6,2)</f>
        <v/>
      </c>
      <c r="C6" s="15">
        <f>IF(AND($A6&gt;=INT(Instellingen!$B$5),$A6&lt;=INT(Instellingen!$B$6)),1,0)</f>
        <v/>
      </c>
      <c r="D6" s="20">
        <f>COUNTIFS(tData[SEHTrajectPeriodeDatumTijdVan],"&lt;="&amp;($A6+0/24),tData[SEHTrajectPeriodeDatumTijdTotEnMet],"&gt;"&amp;($A6+0/24),tData[Langligger01],1)</f>
        <v/>
      </c>
      <c r="E6" s="20">
        <f>COUNTIFS(tData[SEHTrajectPeriodeDatumTijdVan],"&lt;="&amp;($A6+1/24),tData[SEHTrajectPeriodeDatumTijdTotEnMet],"&gt;"&amp;($A6+1/24),tData[Langligger01],1)</f>
        <v/>
      </c>
      <c r="F6" s="20">
        <f>COUNTIFS(tData[SEHTrajectPeriodeDatumTijdVan],"&lt;="&amp;($A6+2/24),tData[SEHTrajectPeriodeDatumTijdTotEnMet],"&gt;"&amp;($A6+2/24),tData[Langligger01],1)</f>
        <v/>
      </c>
      <c r="G6" s="20">
        <f>COUNTIFS(tData[SEHTrajectPeriodeDatumTijdVan],"&lt;="&amp;($A6+3/24),tData[SEHTrajectPeriodeDatumTijdTotEnMet],"&gt;"&amp;($A6+3/24),tData[Langligger01],1)</f>
        <v/>
      </c>
      <c r="H6" s="20">
        <f>COUNTIFS(tData[SEHTrajectPeriodeDatumTijdVan],"&lt;="&amp;($A6+4/24),tData[SEHTrajectPeriodeDatumTijdTotEnMet],"&gt;"&amp;($A6+4/24),tData[Langligger01],1)</f>
        <v/>
      </c>
      <c r="I6" s="20">
        <f>COUNTIFS(tData[SEHTrajectPeriodeDatumTijdVan],"&lt;="&amp;($A6+5/24),tData[SEHTrajectPeriodeDatumTijdTotEnMet],"&gt;"&amp;($A6+5/24),tData[Langligger01],1)</f>
        <v/>
      </c>
      <c r="J6" s="20">
        <f>COUNTIFS(tData[SEHTrajectPeriodeDatumTijdVan],"&lt;="&amp;($A6+6/24),tData[SEHTrajectPeriodeDatumTijdTotEnMet],"&gt;"&amp;($A6+6/24),tData[Langligger01],1)</f>
        <v/>
      </c>
      <c r="K6" s="20">
        <f>COUNTIFS(tData[SEHTrajectPeriodeDatumTijdVan],"&lt;="&amp;($A6+7/24),tData[SEHTrajectPeriodeDatumTijdTotEnMet],"&gt;"&amp;($A6+7/24),tData[Langligger01],1)</f>
        <v/>
      </c>
      <c r="L6" s="20">
        <f>COUNTIFS(tData[SEHTrajectPeriodeDatumTijdVan],"&lt;="&amp;($A6+8/24),tData[SEHTrajectPeriodeDatumTijdTotEnMet],"&gt;"&amp;($A6+8/24),tData[Langligger01],1)</f>
        <v/>
      </c>
      <c r="M6" s="20">
        <f>COUNTIFS(tData[SEHTrajectPeriodeDatumTijdVan],"&lt;="&amp;($A6+9/24),tData[SEHTrajectPeriodeDatumTijdTotEnMet],"&gt;"&amp;($A6+9/24),tData[Langligger01],1)</f>
        <v/>
      </c>
      <c r="N6" s="20">
        <f>COUNTIFS(tData[SEHTrajectPeriodeDatumTijdVan],"&lt;="&amp;($A6+10/24),tData[SEHTrajectPeriodeDatumTijdTotEnMet],"&gt;"&amp;($A6+10/24),tData[Langligger01],1)</f>
        <v/>
      </c>
      <c r="O6" s="20">
        <f>COUNTIFS(tData[SEHTrajectPeriodeDatumTijdVan],"&lt;="&amp;($A6+11/24),tData[SEHTrajectPeriodeDatumTijdTotEnMet],"&gt;"&amp;($A6+11/24),tData[Langligger01],1)</f>
        <v/>
      </c>
      <c r="P6" s="20">
        <f>COUNTIFS(tData[SEHTrajectPeriodeDatumTijdVan],"&lt;="&amp;($A6+12/24),tData[SEHTrajectPeriodeDatumTijdTotEnMet],"&gt;"&amp;($A6+12/24),tData[Langligger01],1)</f>
        <v/>
      </c>
      <c r="Q6" s="20">
        <f>COUNTIFS(tData[SEHTrajectPeriodeDatumTijdVan],"&lt;="&amp;($A6+13/24),tData[SEHTrajectPeriodeDatumTijdTotEnMet],"&gt;"&amp;($A6+13/24),tData[Langligger01],1)</f>
        <v/>
      </c>
      <c r="R6" s="20">
        <f>COUNTIFS(tData[SEHTrajectPeriodeDatumTijdVan],"&lt;="&amp;($A6+14/24),tData[SEHTrajectPeriodeDatumTijdTotEnMet],"&gt;"&amp;($A6+14/24),tData[Langligger01],1)</f>
        <v/>
      </c>
      <c r="S6" s="20">
        <f>COUNTIFS(tData[SEHTrajectPeriodeDatumTijdVan],"&lt;="&amp;($A6+15/24),tData[SEHTrajectPeriodeDatumTijdTotEnMet],"&gt;"&amp;($A6+15/24),tData[Langligger01],1)</f>
        <v/>
      </c>
      <c r="T6" s="20">
        <f>COUNTIFS(tData[SEHTrajectPeriodeDatumTijdVan],"&lt;="&amp;($A6+16/24),tData[SEHTrajectPeriodeDatumTijdTotEnMet],"&gt;"&amp;($A6+16/24),tData[Langligger01],1)</f>
        <v/>
      </c>
      <c r="U6" s="20">
        <f>COUNTIFS(tData[SEHTrajectPeriodeDatumTijdVan],"&lt;="&amp;($A6+17/24),tData[SEHTrajectPeriodeDatumTijdTotEnMet],"&gt;"&amp;($A6+17/24),tData[Langligger01],1)</f>
        <v/>
      </c>
      <c r="V6" s="20">
        <f>COUNTIFS(tData[SEHTrajectPeriodeDatumTijdVan],"&lt;="&amp;($A6+18/24),tData[SEHTrajectPeriodeDatumTijdTotEnMet],"&gt;"&amp;($A6+18/24),tData[Langligger01],1)</f>
        <v/>
      </c>
      <c r="W6" s="20">
        <f>COUNTIFS(tData[SEHTrajectPeriodeDatumTijdVan],"&lt;="&amp;($A6+19/24),tData[SEHTrajectPeriodeDatumTijdTotEnMet],"&gt;"&amp;($A6+19/24),tData[Langligger01],1)</f>
        <v/>
      </c>
      <c r="X6" s="20">
        <f>COUNTIFS(tData[SEHTrajectPeriodeDatumTijdVan],"&lt;="&amp;($A6+20/24),tData[SEHTrajectPeriodeDatumTijdTotEnMet],"&gt;"&amp;($A6+20/24),tData[Langligger01],1)</f>
        <v/>
      </c>
      <c r="Y6" s="20">
        <f>COUNTIFS(tData[SEHTrajectPeriodeDatumTijdVan],"&lt;="&amp;($A6+21/24),tData[SEHTrajectPeriodeDatumTijdTotEnMet],"&gt;"&amp;($A6+21/24),tData[Langligger01],1)</f>
        <v/>
      </c>
      <c r="Z6" s="20">
        <f>COUNTIFS(tData[SEHTrajectPeriodeDatumTijdVan],"&lt;="&amp;($A6+22/24),tData[SEHTrajectPeriodeDatumTijdTotEnMet],"&gt;"&amp;($A6+22/24),tData[Langligger01],1)</f>
        <v/>
      </c>
      <c r="AA6" s="20">
        <f>COUNTIFS(tData[SEHTrajectPeriodeDatumTijdVan],"&lt;="&amp;($A6+23/24),tData[SEHTrajectPeriodeDatumTijdTotEnMet],"&gt;"&amp;($A6+23/24),tData[Langligger01],1)</f>
        <v/>
      </c>
    </row>
    <row r="7">
      <c r="A7" s="19" t="n">
        <v>45295</v>
      </c>
      <c r="B7" s="15">
        <f>WEEKDAY($A7,2)</f>
        <v/>
      </c>
      <c r="C7" s="15">
        <f>IF(AND($A7&gt;=INT(Instellingen!$B$5),$A7&lt;=INT(Instellingen!$B$6)),1,0)</f>
        <v/>
      </c>
      <c r="D7" s="20">
        <f>COUNTIFS(tData[SEHTrajectPeriodeDatumTijdVan],"&lt;="&amp;($A7+0/24),tData[SEHTrajectPeriodeDatumTijdTotEnMet],"&gt;"&amp;($A7+0/24),tData[Langligger01],1)</f>
        <v/>
      </c>
      <c r="E7" s="20">
        <f>COUNTIFS(tData[SEHTrajectPeriodeDatumTijdVan],"&lt;="&amp;($A7+1/24),tData[SEHTrajectPeriodeDatumTijdTotEnMet],"&gt;"&amp;($A7+1/24),tData[Langligger01],1)</f>
        <v/>
      </c>
      <c r="F7" s="20">
        <f>COUNTIFS(tData[SEHTrajectPeriodeDatumTijdVan],"&lt;="&amp;($A7+2/24),tData[SEHTrajectPeriodeDatumTijdTotEnMet],"&gt;"&amp;($A7+2/24),tData[Langligger01],1)</f>
        <v/>
      </c>
      <c r="G7" s="20">
        <f>COUNTIFS(tData[SEHTrajectPeriodeDatumTijdVan],"&lt;="&amp;($A7+3/24),tData[SEHTrajectPeriodeDatumTijdTotEnMet],"&gt;"&amp;($A7+3/24),tData[Langligger01],1)</f>
        <v/>
      </c>
      <c r="H7" s="20">
        <f>COUNTIFS(tData[SEHTrajectPeriodeDatumTijdVan],"&lt;="&amp;($A7+4/24),tData[SEHTrajectPeriodeDatumTijdTotEnMet],"&gt;"&amp;($A7+4/24),tData[Langligger01],1)</f>
        <v/>
      </c>
      <c r="I7" s="20">
        <f>COUNTIFS(tData[SEHTrajectPeriodeDatumTijdVan],"&lt;="&amp;($A7+5/24),tData[SEHTrajectPeriodeDatumTijdTotEnMet],"&gt;"&amp;($A7+5/24),tData[Langligger01],1)</f>
        <v/>
      </c>
      <c r="J7" s="20">
        <f>COUNTIFS(tData[SEHTrajectPeriodeDatumTijdVan],"&lt;="&amp;($A7+6/24),tData[SEHTrajectPeriodeDatumTijdTotEnMet],"&gt;"&amp;($A7+6/24),tData[Langligger01],1)</f>
        <v/>
      </c>
      <c r="K7" s="20">
        <f>COUNTIFS(tData[SEHTrajectPeriodeDatumTijdVan],"&lt;="&amp;($A7+7/24),tData[SEHTrajectPeriodeDatumTijdTotEnMet],"&gt;"&amp;($A7+7/24),tData[Langligger01],1)</f>
        <v/>
      </c>
      <c r="L7" s="20">
        <f>COUNTIFS(tData[SEHTrajectPeriodeDatumTijdVan],"&lt;="&amp;($A7+8/24),tData[SEHTrajectPeriodeDatumTijdTotEnMet],"&gt;"&amp;($A7+8/24),tData[Langligger01],1)</f>
        <v/>
      </c>
      <c r="M7" s="20">
        <f>COUNTIFS(tData[SEHTrajectPeriodeDatumTijdVan],"&lt;="&amp;($A7+9/24),tData[SEHTrajectPeriodeDatumTijdTotEnMet],"&gt;"&amp;($A7+9/24),tData[Langligger01],1)</f>
        <v/>
      </c>
      <c r="N7" s="20">
        <f>COUNTIFS(tData[SEHTrajectPeriodeDatumTijdVan],"&lt;="&amp;($A7+10/24),tData[SEHTrajectPeriodeDatumTijdTotEnMet],"&gt;"&amp;($A7+10/24),tData[Langligger01],1)</f>
        <v/>
      </c>
      <c r="O7" s="20">
        <f>COUNTIFS(tData[SEHTrajectPeriodeDatumTijdVan],"&lt;="&amp;($A7+11/24),tData[SEHTrajectPeriodeDatumTijdTotEnMet],"&gt;"&amp;($A7+11/24),tData[Langligger01],1)</f>
        <v/>
      </c>
      <c r="P7" s="20">
        <f>COUNTIFS(tData[SEHTrajectPeriodeDatumTijdVan],"&lt;="&amp;($A7+12/24),tData[SEHTrajectPeriodeDatumTijdTotEnMet],"&gt;"&amp;($A7+12/24),tData[Langligger01],1)</f>
        <v/>
      </c>
      <c r="Q7" s="20">
        <f>COUNTIFS(tData[SEHTrajectPeriodeDatumTijdVan],"&lt;="&amp;($A7+13/24),tData[SEHTrajectPeriodeDatumTijdTotEnMet],"&gt;"&amp;($A7+13/24),tData[Langligger01],1)</f>
        <v/>
      </c>
      <c r="R7" s="20">
        <f>COUNTIFS(tData[SEHTrajectPeriodeDatumTijdVan],"&lt;="&amp;($A7+14/24),tData[SEHTrajectPeriodeDatumTijdTotEnMet],"&gt;"&amp;($A7+14/24),tData[Langligger01],1)</f>
        <v/>
      </c>
      <c r="S7" s="20">
        <f>COUNTIFS(tData[SEHTrajectPeriodeDatumTijdVan],"&lt;="&amp;($A7+15/24),tData[SEHTrajectPeriodeDatumTijdTotEnMet],"&gt;"&amp;($A7+15/24),tData[Langligger01],1)</f>
        <v/>
      </c>
      <c r="T7" s="20">
        <f>COUNTIFS(tData[SEHTrajectPeriodeDatumTijdVan],"&lt;="&amp;($A7+16/24),tData[SEHTrajectPeriodeDatumTijdTotEnMet],"&gt;"&amp;($A7+16/24),tData[Langligger01],1)</f>
        <v/>
      </c>
      <c r="U7" s="20">
        <f>COUNTIFS(tData[SEHTrajectPeriodeDatumTijdVan],"&lt;="&amp;($A7+17/24),tData[SEHTrajectPeriodeDatumTijdTotEnMet],"&gt;"&amp;($A7+17/24),tData[Langligger01],1)</f>
        <v/>
      </c>
      <c r="V7" s="20">
        <f>COUNTIFS(tData[SEHTrajectPeriodeDatumTijdVan],"&lt;="&amp;($A7+18/24),tData[SEHTrajectPeriodeDatumTijdTotEnMet],"&gt;"&amp;($A7+18/24),tData[Langligger01],1)</f>
        <v/>
      </c>
      <c r="W7" s="20">
        <f>COUNTIFS(tData[SEHTrajectPeriodeDatumTijdVan],"&lt;="&amp;($A7+19/24),tData[SEHTrajectPeriodeDatumTijdTotEnMet],"&gt;"&amp;($A7+19/24),tData[Langligger01],1)</f>
        <v/>
      </c>
      <c r="X7" s="20">
        <f>COUNTIFS(tData[SEHTrajectPeriodeDatumTijdVan],"&lt;="&amp;($A7+20/24),tData[SEHTrajectPeriodeDatumTijdTotEnMet],"&gt;"&amp;($A7+20/24),tData[Langligger01],1)</f>
        <v/>
      </c>
      <c r="Y7" s="20">
        <f>COUNTIFS(tData[SEHTrajectPeriodeDatumTijdVan],"&lt;="&amp;($A7+21/24),tData[SEHTrajectPeriodeDatumTijdTotEnMet],"&gt;"&amp;($A7+21/24),tData[Langligger01],1)</f>
        <v/>
      </c>
      <c r="Z7" s="20">
        <f>COUNTIFS(tData[SEHTrajectPeriodeDatumTijdVan],"&lt;="&amp;($A7+22/24),tData[SEHTrajectPeriodeDatumTijdTotEnMet],"&gt;"&amp;($A7+22/24),tData[Langligger01],1)</f>
        <v/>
      </c>
      <c r="AA7" s="20">
        <f>COUNTIFS(tData[SEHTrajectPeriodeDatumTijdVan],"&lt;="&amp;($A7+23/24),tData[SEHTrajectPeriodeDatumTijdTotEnMet],"&gt;"&amp;($A7+23/24),tData[Langligger01],1)</f>
        <v/>
      </c>
    </row>
    <row r="8">
      <c r="A8" s="19" t="n">
        <v>45296</v>
      </c>
      <c r="B8" s="15">
        <f>WEEKDAY($A8,2)</f>
        <v/>
      </c>
      <c r="C8" s="15">
        <f>IF(AND($A8&gt;=INT(Instellingen!$B$5),$A8&lt;=INT(Instellingen!$B$6)),1,0)</f>
        <v/>
      </c>
      <c r="D8" s="20">
        <f>COUNTIFS(tData[SEHTrajectPeriodeDatumTijdVan],"&lt;="&amp;($A8+0/24),tData[SEHTrajectPeriodeDatumTijdTotEnMet],"&gt;"&amp;($A8+0/24),tData[Langligger01],1)</f>
        <v/>
      </c>
      <c r="E8" s="20">
        <f>COUNTIFS(tData[SEHTrajectPeriodeDatumTijdVan],"&lt;="&amp;($A8+1/24),tData[SEHTrajectPeriodeDatumTijdTotEnMet],"&gt;"&amp;($A8+1/24),tData[Langligger01],1)</f>
        <v/>
      </c>
      <c r="F8" s="20">
        <f>COUNTIFS(tData[SEHTrajectPeriodeDatumTijdVan],"&lt;="&amp;($A8+2/24),tData[SEHTrajectPeriodeDatumTijdTotEnMet],"&gt;"&amp;($A8+2/24),tData[Langligger01],1)</f>
        <v/>
      </c>
      <c r="G8" s="20">
        <f>COUNTIFS(tData[SEHTrajectPeriodeDatumTijdVan],"&lt;="&amp;($A8+3/24),tData[SEHTrajectPeriodeDatumTijdTotEnMet],"&gt;"&amp;($A8+3/24),tData[Langligger01],1)</f>
        <v/>
      </c>
      <c r="H8" s="20">
        <f>COUNTIFS(tData[SEHTrajectPeriodeDatumTijdVan],"&lt;="&amp;($A8+4/24),tData[SEHTrajectPeriodeDatumTijdTotEnMet],"&gt;"&amp;($A8+4/24),tData[Langligger01],1)</f>
        <v/>
      </c>
      <c r="I8" s="20">
        <f>COUNTIFS(tData[SEHTrajectPeriodeDatumTijdVan],"&lt;="&amp;($A8+5/24),tData[SEHTrajectPeriodeDatumTijdTotEnMet],"&gt;"&amp;($A8+5/24),tData[Langligger01],1)</f>
        <v/>
      </c>
      <c r="J8" s="20">
        <f>COUNTIFS(tData[SEHTrajectPeriodeDatumTijdVan],"&lt;="&amp;($A8+6/24),tData[SEHTrajectPeriodeDatumTijdTotEnMet],"&gt;"&amp;($A8+6/24),tData[Langligger01],1)</f>
        <v/>
      </c>
      <c r="K8" s="20">
        <f>COUNTIFS(tData[SEHTrajectPeriodeDatumTijdVan],"&lt;="&amp;($A8+7/24),tData[SEHTrajectPeriodeDatumTijdTotEnMet],"&gt;"&amp;($A8+7/24),tData[Langligger01],1)</f>
        <v/>
      </c>
      <c r="L8" s="20">
        <f>COUNTIFS(tData[SEHTrajectPeriodeDatumTijdVan],"&lt;="&amp;($A8+8/24),tData[SEHTrajectPeriodeDatumTijdTotEnMet],"&gt;"&amp;($A8+8/24),tData[Langligger01],1)</f>
        <v/>
      </c>
      <c r="M8" s="20">
        <f>COUNTIFS(tData[SEHTrajectPeriodeDatumTijdVan],"&lt;="&amp;($A8+9/24),tData[SEHTrajectPeriodeDatumTijdTotEnMet],"&gt;"&amp;($A8+9/24),tData[Langligger01],1)</f>
        <v/>
      </c>
      <c r="N8" s="20">
        <f>COUNTIFS(tData[SEHTrajectPeriodeDatumTijdVan],"&lt;="&amp;($A8+10/24),tData[SEHTrajectPeriodeDatumTijdTotEnMet],"&gt;"&amp;($A8+10/24),tData[Langligger01],1)</f>
        <v/>
      </c>
      <c r="O8" s="20">
        <f>COUNTIFS(tData[SEHTrajectPeriodeDatumTijdVan],"&lt;="&amp;($A8+11/24),tData[SEHTrajectPeriodeDatumTijdTotEnMet],"&gt;"&amp;($A8+11/24),tData[Langligger01],1)</f>
        <v/>
      </c>
      <c r="P8" s="20">
        <f>COUNTIFS(tData[SEHTrajectPeriodeDatumTijdVan],"&lt;="&amp;($A8+12/24),tData[SEHTrajectPeriodeDatumTijdTotEnMet],"&gt;"&amp;($A8+12/24),tData[Langligger01],1)</f>
        <v/>
      </c>
      <c r="Q8" s="20">
        <f>COUNTIFS(tData[SEHTrajectPeriodeDatumTijdVan],"&lt;="&amp;($A8+13/24),tData[SEHTrajectPeriodeDatumTijdTotEnMet],"&gt;"&amp;($A8+13/24),tData[Langligger01],1)</f>
        <v/>
      </c>
      <c r="R8" s="20">
        <f>COUNTIFS(tData[SEHTrajectPeriodeDatumTijdVan],"&lt;="&amp;($A8+14/24),tData[SEHTrajectPeriodeDatumTijdTotEnMet],"&gt;"&amp;($A8+14/24),tData[Langligger01],1)</f>
        <v/>
      </c>
      <c r="S8" s="20">
        <f>COUNTIFS(tData[SEHTrajectPeriodeDatumTijdVan],"&lt;="&amp;($A8+15/24),tData[SEHTrajectPeriodeDatumTijdTotEnMet],"&gt;"&amp;($A8+15/24),tData[Langligger01],1)</f>
        <v/>
      </c>
      <c r="T8" s="20">
        <f>COUNTIFS(tData[SEHTrajectPeriodeDatumTijdVan],"&lt;="&amp;($A8+16/24),tData[SEHTrajectPeriodeDatumTijdTotEnMet],"&gt;"&amp;($A8+16/24),tData[Langligger01],1)</f>
        <v/>
      </c>
      <c r="U8" s="20">
        <f>COUNTIFS(tData[SEHTrajectPeriodeDatumTijdVan],"&lt;="&amp;($A8+17/24),tData[SEHTrajectPeriodeDatumTijdTotEnMet],"&gt;"&amp;($A8+17/24),tData[Langligger01],1)</f>
        <v/>
      </c>
      <c r="V8" s="20">
        <f>COUNTIFS(tData[SEHTrajectPeriodeDatumTijdVan],"&lt;="&amp;($A8+18/24),tData[SEHTrajectPeriodeDatumTijdTotEnMet],"&gt;"&amp;($A8+18/24),tData[Langligger01],1)</f>
        <v/>
      </c>
      <c r="W8" s="20">
        <f>COUNTIFS(tData[SEHTrajectPeriodeDatumTijdVan],"&lt;="&amp;($A8+19/24),tData[SEHTrajectPeriodeDatumTijdTotEnMet],"&gt;"&amp;($A8+19/24),tData[Langligger01],1)</f>
        <v/>
      </c>
      <c r="X8" s="20">
        <f>COUNTIFS(tData[SEHTrajectPeriodeDatumTijdVan],"&lt;="&amp;($A8+20/24),tData[SEHTrajectPeriodeDatumTijdTotEnMet],"&gt;"&amp;($A8+20/24),tData[Langligger01],1)</f>
        <v/>
      </c>
      <c r="Y8" s="20">
        <f>COUNTIFS(tData[SEHTrajectPeriodeDatumTijdVan],"&lt;="&amp;($A8+21/24),tData[SEHTrajectPeriodeDatumTijdTotEnMet],"&gt;"&amp;($A8+21/24),tData[Langligger01],1)</f>
        <v/>
      </c>
      <c r="Z8" s="20">
        <f>COUNTIFS(tData[SEHTrajectPeriodeDatumTijdVan],"&lt;="&amp;($A8+22/24),tData[SEHTrajectPeriodeDatumTijdTotEnMet],"&gt;"&amp;($A8+22/24),tData[Langligger01],1)</f>
        <v/>
      </c>
      <c r="AA8" s="20">
        <f>COUNTIFS(tData[SEHTrajectPeriodeDatumTijdVan],"&lt;="&amp;($A8+23/24),tData[SEHTrajectPeriodeDatumTijdTotEnMet],"&gt;"&amp;($A8+23/24),tData[Langligger01],1)</f>
        <v/>
      </c>
    </row>
    <row r="9">
      <c r="A9" s="19" t="n">
        <v>45297</v>
      </c>
      <c r="B9" s="15">
        <f>WEEKDAY($A9,2)</f>
        <v/>
      </c>
      <c r="C9" s="15">
        <f>IF(AND($A9&gt;=INT(Instellingen!$B$5),$A9&lt;=INT(Instellingen!$B$6)),1,0)</f>
        <v/>
      </c>
      <c r="D9" s="20">
        <f>COUNTIFS(tData[SEHTrajectPeriodeDatumTijdVan],"&lt;="&amp;($A9+0/24),tData[SEHTrajectPeriodeDatumTijdTotEnMet],"&gt;"&amp;($A9+0/24),tData[Langligger01],1)</f>
        <v/>
      </c>
      <c r="E9" s="20">
        <f>COUNTIFS(tData[SEHTrajectPeriodeDatumTijdVan],"&lt;="&amp;($A9+1/24),tData[SEHTrajectPeriodeDatumTijdTotEnMet],"&gt;"&amp;($A9+1/24),tData[Langligger01],1)</f>
        <v/>
      </c>
      <c r="F9" s="20">
        <f>COUNTIFS(tData[SEHTrajectPeriodeDatumTijdVan],"&lt;="&amp;($A9+2/24),tData[SEHTrajectPeriodeDatumTijdTotEnMet],"&gt;"&amp;($A9+2/24),tData[Langligger01],1)</f>
        <v/>
      </c>
      <c r="G9" s="20">
        <f>COUNTIFS(tData[SEHTrajectPeriodeDatumTijdVan],"&lt;="&amp;($A9+3/24),tData[SEHTrajectPeriodeDatumTijdTotEnMet],"&gt;"&amp;($A9+3/24),tData[Langligger01],1)</f>
        <v/>
      </c>
      <c r="H9" s="20">
        <f>COUNTIFS(tData[SEHTrajectPeriodeDatumTijdVan],"&lt;="&amp;($A9+4/24),tData[SEHTrajectPeriodeDatumTijdTotEnMet],"&gt;"&amp;($A9+4/24),tData[Langligger01],1)</f>
        <v/>
      </c>
      <c r="I9" s="20">
        <f>COUNTIFS(tData[SEHTrajectPeriodeDatumTijdVan],"&lt;="&amp;($A9+5/24),tData[SEHTrajectPeriodeDatumTijdTotEnMet],"&gt;"&amp;($A9+5/24),tData[Langligger01],1)</f>
        <v/>
      </c>
      <c r="J9" s="20">
        <f>COUNTIFS(tData[SEHTrajectPeriodeDatumTijdVan],"&lt;="&amp;($A9+6/24),tData[SEHTrajectPeriodeDatumTijdTotEnMet],"&gt;"&amp;($A9+6/24),tData[Langligger01],1)</f>
        <v/>
      </c>
      <c r="K9" s="20">
        <f>COUNTIFS(tData[SEHTrajectPeriodeDatumTijdVan],"&lt;="&amp;($A9+7/24),tData[SEHTrajectPeriodeDatumTijdTotEnMet],"&gt;"&amp;($A9+7/24),tData[Langligger01],1)</f>
        <v/>
      </c>
      <c r="L9" s="20">
        <f>COUNTIFS(tData[SEHTrajectPeriodeDatumTijdVan],"&lt;="&amp;($A9+8/24),tData[SEHTrajectPeriodeDatumTijdTotEnMet],"&gt;"&amp;($A9+8/24),tData[Langligger01],1)</f>
        <v/>
      </c>
      <c r="M9" s="20">
        <f>COUNTIFS(tData[SEHTrajectPeriodeDatumTijdVan],"&lt;="&amp;($A9+9/24),tData[SEHTrajectPeriodeDatumTijdTotEnMet],"&gt;"&amp;($A9+9/24),tData[Langligger01],1)</f>
        <v/>
      </c>
      <c r="N9" s="20">
        <f>COUNTIFS(tData[SEHTrajectPeriodeDatumTijdVan],"&lt;="&amp;($A9+10/24),tData[SEHTrajectPeriodeDatumTijdTotEnMet],"&gt;"&amp;($A9+10/24),tData[Langligger01],1)</f>
        <v/>
      </c>
      <c r="O9" s="20">
        <f>COUNTIFS(tData[SEHTrajectPeriodeDatumTijdVan],"&lt;="&amp;($A9+11/24),tData[SEHTrajectPeriodeDatumTijdTotEnMet],"&gt;"&amp;($A9+11/24),tData[Langligger01],1)</f>
        <v/>
      </c>
      <c r="P9" s="20">
        <f>COUNTIFS(tData[SEHTrajectPeriodeDatumTijdVan],"&lt;="&amp;($A9+12/24),tData[SEHTrajectPeriodeDatumTijdTotEnMet],"&gt;"&amp;($A9+12/24),tData[Langligger01],1)</f>
        <v/>
      </c>
      <c r="Q9" s="20">
        <f>COUNTIFS(tData[SEHTrajectPeriodeDatumTijdVan],"&lt;="&amp;($A9+13/24),tData[SEHTrajectPeriodeDatumTijdTotEnMet],"&gt;"&amp;($A9+13/24),tData[Langligger01],1)</f>
        <v/>
      </c>
      <c r="R9" s="20">
        <f>COUNTIFS(tData[SEHTrajectPeriodeDatumTijdVan],"&lt;="&amp;($A9+14/24),tData[SEHTrajectPeriodeDatumTijdTotEnMet],"&gt;"&amp;($A9+14/24),tData[Langligger01],1)</f>
        <v/>
      </c>
      <c r="S9" s="20">
        <f>COUNTIFS(tData[SEHTrajectPeriodeDatumTijdVan],"&lt;="&amp;($A9+15/24),tData[SEHTrajectPeriodeDatumTijdTotEnMet],"&gt;"&amp;($A9+15/24),tData[Langligger01],1)</f>
        <v/>
      </c>
      <c r="T9" s="20">
        <f>COUNTIFS(tData[SEHTrajectPeriodeDatumTijdVan],"&lt;="&amp;($A9+16/24),tData[SEHTrajectPeriodeDatumTijdTotEnMet],"&gt;"&amp;($A9+16/24),tData[Langligger01],1)</f>
        <v/>
      </c>
      <c r="U9" s="20">
        <f>COUNTIFS(tData[SEHTrajectPeriodeDatumTijdVan],"&lt;="&amp;($A9+17/24),tData[SEHTrajectPeriodeDatumTijdTotEnMet],"&gt;"&amp;($A9+17/24),tData[Langligger01],1)</f>
        <v/>
      </c>
      <c r="V9" s="20">
        <f>COUNTIFS(tData[SEHTrajectPeriodeDatumTijdVan],"&lt;="&amp;($A9+18/24),tData[SEHTrajectPeriodeDatumTijdTotEnMet],"&gt;"&amp;($A9+18/24),tData[Langligger01],1)</f>
        <v/>
      </c>
      <c r="W9" s="20">
        <f>COUNTIFS(tData[SEHTrajectPeriodeDatumTijdVan],"&lt;="&amp;($A9+19/24),tData[SEHTrajectPeriodeDatumTijdTotEnMet],"&gt;"&amp;($A9+19/24),tData[Langligger01],1)</f>
        <v/>
      </c>
      <c r="X9" s="20">
        <f>COUNTIFS(tData[SEHTrajectPeriodeDatumTijdVan],"&lt;="&amp;($A9+20/24),tData[SEHTrajectPeriodeDatumTijdTotEnMet],"&gt;"&amp;($A9+20/24),tData[Langligger01],1)</f>
        <v/>
      </c>
      <c r="Y9" s="20">
        <f>COUNTIFS(tData[SEHTrajectPeriodeDatumTijdVan],"&lt;="&amp;($A9+21/24),tData[SEHTrajectPeriodeDatumTijdTotEnMet],"&gt;"&amp;($A9+21/24),tData[Langligger01],1)</f>
        <v/>
      </c>
      <c r="Z9" s="20">
        <f>COUNTIFS(tData[SEHTrajectPeriodeDatumTijdVan],"&lt;="&amp;($A9+22/24),tData[SEHTrajectPeriodeDatumTijdTotEnMet],"&gt;"&amp;($A9+22/24),tData[Langligger01],1)</f>
        <v/>
      </c>
      <c r="AA9" s="20">
        <f>COUNTIFS(tData[SEHTrajectPeriodeDatumTijdVan],"&lt;="&amp;($A9+23/24),tData[SEHTrajectPeriodeDatumTijdTotEnMet],"&gt;"&amp;($A9+23/24),tData[Langligger01],1)</f>
        <v/>
      </c>
    </row>
    <row r="10">
      <c r="A10" s="19" t="n">
        <v>45298</v>
      </c>
      <c r="B10" s="15">
        <f>WEEKDAY($A10,2)</f>
        <v/>
      </c>
      <c r="C10" s="15">
        <f>IF(AND($A10&gt;=INT(Instellingen!$B$5),$A10&lt;=INT(Instellingen!$B$6)),1,0)</f>
        <v/>
      </c>
      <c r="D10" s="20">
        <f>COUNTIFS(tData[SEHTrajectPeriodeDatumTijdVan],"&lt;="&amp;($A10+0/24),tData[SEHTrajectPeriodeDatumTijdTotEnMet],"&gt;"&amp;($A10+0/24),tData[Langligger01],1)</f>
        <v/>
      </c>
      <c r="E10" s="20">
        <f>COUNTIFS(tData[SEHTrajectPeriodeDatumTijdVan],"&lt;="&amp;($A10+1/24),tData[SEHTrajectPeriodeDatumTijdTotEnMet],"&gt;"&amp;($A10+1/24),tData[Langligger01],1)</f>
        <v/>
      </c>
      <c r="F10" s="20">
        <f>COUNTIFS(tData[SEHTrajectPeriodeDatumTijdVan],"&lt;="&amp;($A10+2/24),tData[SEHTrajectPeriodeDatumTijdTotEnMet],"&gt;"&amp;($A10+2/24),tData[Langligger01],1)</f>
        <v/>
      </c>
      <c r="G10" s="20">
        <f>COUNTIFS(tData[SEHTrajectPeriodeDatumTijdVan],"&lt;="&amp;($A10+3/24),tData[SEHTrajectPeriodeDatumTijdTotEnMet],"&gt;"&amp;($A10+3/24),tData[Langligger01],1)</f>
        <v/>
      </c>
      <c r="H10" s="20">
        <f>COUNTIFS(tData[SEHTrajectPeriodeDatumTijdVan],"&lt;="&amp;($A10+4/24),tData[SEHTrajectPeriodeDatumTijdTotEnMet],"&gt;"&amp;($A10+4/24),tData[Langligger01],1)</f>
        <v/>
      </c>
      <c r="I10" s="20">
        <f>COUNTIFS(tData[SEHTrajectPeriodeDatumTijdVan],"&lt;="&amp;($A10+5/24),tData[SEHTrajectPeriodeDatumTijdTotEnMet],"&gt;"&amp;($A10+5/24),tData[Langligger01],1)</f>
        <v/>
      </c>
      <c r="J10" s="20">
        <f>COUNTIFS(tData[SEHTrajectPeriodeDatumTijdVan],"&lt;="&amp;($A10+6/24),tData[SEHTrajectPeriodeDatumTijdTotEnMet],"&gt;"&amp;($A10+6/24),tData[Langligger01],1)</f>
        <v/>
      </c>
      <c r="K10" s="20">
        <f>COUNTIFS(tData[SEHTrajectPeriodeDatumTijdVan],"&lt;="&amp;($A10+7/24),tData[SEHTrajectPeriodeDatumTijdTotEnMet],"&gt;"&amp;($A10+7/24),tData[Langligger01],1)</f>
        <v/>
      </c>
      <c r="L10" s="20">
        <f>COUNTIFS(tData[SEHTrajectPeriodeDatumTijdVan],"&lt;="&amp;($A10+8/24),tData[SEHTrajectPeriodeDatumTijdTotEnMet],"&gt;"&amp;($A10+8/24),tData[Langligger01],1)</f>
        <v/>
      </c>
      <c r="M10" s="20">
        <f>COUNTIFS(tData[SEHTrajectPeriodeDatumTijdVan],"&lt;="&amp;($A10+9/24),tData[SEHTrajectPeriodeDatumTijdTotEnMet],"&gt;"&amp;($A10+9/24),tData[Langligger01],1)</f>
        <v/>
      </c>
      <c r="N10" s="20">
        <f>COUNTIFS(tData[SEHTrajectPeriodeDatumTijdVan],"&lt;="&amp;($A10+10/24),tData[SEHTrajectPeriodeDatumTijdTotEnMet],"&gt;"&amp;($A10+10/24),tData[Langligger01],1)</f>
        <v/>
      </c>
      <c r="O10" s="20">
        <f>COUNTIFS(tData[SEHTrajectPeriodeDatumTijdVan],"&lt;="&amp;($A10+11/24),tData[SEHTrajectPeriodeDatumTijdTotEnMet],"&gt;"&amp;($A10+11/24),tData[Langligger01],1)</f>
        <v/>
      </c>
      <c r="P10" s="20">
        <f>COUNTIFS(tData[SEHTrajectPeriodeDatumTijdVan],"&lt;="&amp;($A10+12/24),tData[SEHTrajectPeriodeDatumTijdTotEnMet],"&gt;"&amp;($A10+12/24),tData[Langligger01],1)</f>
        <v/>
      </c>
      <c r="Q10" s="20">
        <f>COUNTIFS(tData[SEHTrajectPeriodeDatumTijdVan],"&lt;="&amp;($A10+13/24),tData[SEHTrajectPeriodeDatumTijdTotEnMet],"&gt;"&amp;($A10+13/24),tData[Langligger01],1)</f>
        <v/>
      </c>
      <c r="R10" s="20">
        <f>COUNTIFS(tData[SEHTrajectPeriodeDatumTijdVan],"&lt;="&amp;($A10+14/24),tData[SEHTrajectPeriodeDatumTijdTotEnMet],"&gt;"&amp;($A10+14/24),tData[Langligger01],1)</f>
        <v/>
      </c>
      <c r="S10" s="20">
        <f>COUNTIFS(tData[SEHTrajectPeriodeDatumTijdVan],"&lt;="&amp;($A10+15/24),tData[SEHTrajectPeriodeDatumTijdTotEnMet],"&gt;"&amp;($A10+15/24),tData[Langligger01],1)</f>
        <v/>
      </c>
      <c r="T10" s="20">
        <f>COUNTIFS(tData[SEHTrajectPeriodeDatumTijdVan],"&lt;="&amp;($A10+16/24),tData[SEHTrajectPeriodeDatumTijdTotEnMet],"&gt;"&amp;($A10+16/24),tData[Langligger01],1)</f>
        <v/>
      </c>
      <c r="U10" s="20">
        <f>COUNTIFS(tData[SEHTrajectPeriodeDatumTijdVan],"&lt;="&amp;($A10+17/24),tData[SEHTrajectPeriodeDatumTijdTotEnMet],"&gt;"&amp;($A10+17/24),tData[Langligger01],1)</f>
        <v/>
      </c>
      <c r="V10" s="20">
        <f>COUNTIFS(tData[SEHTrajectPeriodeDatumTijdVan],"&lt;="&amp;($A10+18/24),tData[SEHTrajectPeriodeDatumTijdTotEnMet],"&gt;"&amp;($A10+18/24),tData[Langligger01],1)</f>
        <v/>
      </c>
      <c r="W10" s="20">
        <f>COUNTIFS(tData[SEHTrajectPeriodeDatumTijdVan],"&lt;="&amp;($A10+19/24),tData[SEHTrajectPeriodeDatumTijdTotEnMet],"&gt;"&amp;($A10+19/24),tData[Langligger01],1)</f>
        <v/>
      </c>
      <c r="X10" s="20">
        <f>COUNTIFS(tData[SEHTrajectPeriodeDatumTijdVan],"&lt;="&amp;($A10+20/24),tData[SEHTrajectPeriodeDatumTijdTotEnMet],"&gt;"&amp;($A10+20/24),tData[Langligger01],1)</f>
        <v/>
      </c>
      <c r="Y10" s="20">
        <f>COUNTIFS(tData[SEHTrajectPeriodeDatumTijdVan],"&lt;="&amp;($A10+21/24),tData[SEHTrajectPeriodeDatumTijdTotEnMet],"&gt;"&amp;($A10+21/24),tData[Langligger01],1)</f>
        <v/>
      </c>
      <c r="Z10" s="20">
        <f>COUNTIFS(tData[SEHTrajectPeriodeDatumTijdVan],"&lt;="&amp;($A10+22/24),tData[SEHTrajectPeriodeDatumTijdTotEnMet],"&gt;"&amp;($A10+22/24),tData[Langligger01],1)</f>
        <v/>
      </c>
      <c r="AA10" s="20">
        <f>COUNTIFS(tData[SEHTrajectPeriodeDatumTijdVan],"&lt;="&amp;($A10+23/24),tData[SEHTrajectPeriodeDatumTijdTotEnMet],"&gt;"&amp;($A10+23/24),tData[Langligger01],1)</f>
        <v/>
      </c>
    </row>
    <row r="11">
      <c r="A11" s="19" t="n">
        <v>45299</v>
      </c>
      <c r="B11" s="15">
        <f>WEEKDAY($A11,2)</f>
        <v/>
      </c>
      <c r="C11" s="15">
        <f>IF(AND($A11&gt;=INT(Instellingen!$B$5),$A11&lt;=INT(Instellingen!$B$6)),1,0)</f>
        <v/>
      </c>
      <c r="D11" s="20">
        <f>COUNTIFS(tData[SEHTrajectPeriodeDatumTijdVan],"&lt;="&amp;($A11+0/24),tData[SEHTrajectPeriodeDatumTijdTotEnMet],"&gt;"&amp;($A11+0/24),tData[Langligger01],1)</f>
        <v/>
      </c>
      <c r="E11" s="20">
        <f>COUNTIFS(tData[SEHTrajectPeriodeDatumTijdVan],"&lt;="&amp;($A11+1/24),tData[SEHTrajectPeriodeDatumTijdTotEnMet],"&gt;"&amp;($A11+1/24),tData[Langligger01],1)</f>
        <v/>
      </c>
      <c r="F11" s="20">
        <f>COUNTIFS(tData[SEHTrajectPeriodeDatumTijdVan],"&lt;="&amp;($A11+2/24),tData[SEHTrajectPeriodeDatumTijdTotEnMet],"&gt;"&amp;($A11+2/24),tData[Langligger01],1)</f>
        <v/>
      </c>
      <c r="G11" s="20">
        <f>COUNTIFS(tData[SEHTrajectPeriodeDatumTijdVan],"&lt;="&amp;($A11+3/24),tData[SEHTrajectPeriodeDatumTijdTotEnMet],"&gt;"&amp;($A11+3/24),tData[Langligger01],1)</f>
        <v/>
      </c>
      <c r="H11" s="20">
        <f>COUNTIFS(tData[SEHTrajectPeriodeDatumTijdVan],"&lt;="&amp;($A11+4/24),tData[SEHTrajectPeriodeDatumTijdTotEnMet],"&gt;"&amp;($A11+4/24),tData[Langligger01],1)</f>
        <v/>
      </c>
      <c r="I11" s="20">
        <f>COUNTIFS(tData[SEHTrajectPeriodeDatumTijdVan],"&lt;="&amp;($A11+5/24),tData[SEHTrajectPeriodeDatumTijdTotEnMet],"&gt;"&amp;($A11+5/24),tData[Langligger01],1)</f>
        <v/>
      </c>
      <c r="J11" s="20">
        <f>COUNTIFS(tData[SEHTrajectPeriodeDatumTijdVan],"&lt;="&amp;($A11+6/24),tData[SEHTrajectPeriodeDatumTijdTotEnMet],"&gt;"&amp;($A11+6/24),tData[Langligger01],1)</f>
        <v/>
      </c>
      <c r="K11" s="20">
        <f>COUNTIFS(tData[SEHTrajectPeriodeDatumTijdVan],"&lt;="&amp;($A11+7/24),tData[SEHTrajectPeriodeDatumTijdTotEnMet],"&gt;"&amp;($A11+7/24),tData[Langligger01],1)</f>
        <v/>
      </c>
      <c r="L11" s="20">
        <f>COUNTIFS(tData[SEHTrajectPeriodeDatumTijdVan],"&lt;="&amp;($A11+8/24),tData[SEHTrajectPeriodeDatumTijdTotEnMet],"&gt;"&amp;($A11+8/24),tData[Langligger01],1)</f>
        <v/>
      </c>
      <c r="M11" s="20">
        <f>COUNTIFS(tData[SEHTrajectPeriodeDatumTijdVan],"&lt;="&amp;($A11+9/24),tData[SEHTrajectPeriodeDatumTijdTotEnMet],"&gt;"&amp;($A11+9/24),tData[Langligger01],1)</f>
        <v/>
      </c>
      <c r="N11" s="20">
        <f>COUNTIFS(tData[SEHTrajectPeriodeDatumTijdVan],"&lt;="&amp;($A11+10/24),tData[SEHTrajectPeriodeDatumTijdTotEnMet],"&gt;"&amp;($A11+10/24),tData[Langligger01],1)</f>
        <v/>
      </c>
      <c r="O11" s="20">
        <f>COUNTIFS(tData[SEHTrajectPeriodeDatumTijdVan],"&lt;="&amp;($A11+11/24),tData[SEHTrajectPeriodeDatumTijdTotEnMet],"&gt;"&amp;($A11+11/24),tData[Langligger01],1)</f>
        <v/>
      </c>
      <c r="P11" s="20">
        <f>COUNTIFS(tData[SEHTrajectPeriodeDatumTijdVan],"&lt;="&amp;($A11+12/24),tData[SEHTrajectPeriodeDatumTijdTotEnMet],"&gt;"&amp;($A11+12/24),tData[Langligger01],1)</f>
        <v/>
      </c>
      <c r="Q11" s="20">
        <f>COUNTIFS(tData[SEHTrajectPeriodeDatumTijdVan],"&lt;="&amp;($A11+13/24),tData[SEHTrajectPeriodeDatumTijdTotEnMet],"&gt;"&amp;($A11+13/24),tData[Langligger01],1)</f>
        <v/>
      </c>
      <c r="R11" s="20">
        <f>COUNTIFS(tData[SEHTrajectPeriodeDatumTijdVan],"&lt;="&amp;($A11+14/24),tData[SEHTrajectPeriodeDatumTijdTotEnMet],"&gt;"&amp;($A11+14/24),tData[Langligger01],1)</f>
        <v/>
      </c>
      <c r="S11" s="20">
        <f>COUNTIFS(tData[SEHTrajectPeriodeDatumTijdVan],"&lt;="&amp;($A11+15/24),tData[SEHTrajectPeriodeDatumTijdTotEnMet],"&gt;"&amp;($A11+15/24),tData[Langligger01],1)</f>
        <v/>
      </c>
      <c r="T11" s="20">
        <f>COUNTIFS(tData[SEHTrajectPeriodeDatumTijdVan],"&lt;="&amp;($A11+16/24),tData[SEHTrajectPeriodeDatumTijdTotEnMet],"&gt;"&amp;($A11+16/24),tData[Langligger01],1)</f>
        <v/>
      </c>
      <c r="U11" s="20">
        <f>COUNTIFS(tData[SEHTrajectPeriodeDatumTijdVan],"&lt;="&amp;($A11+17/24),tData[SEHTrajectPeriodeDatumTijdTotEnMet],"&gt;"&amp;($A11+17/24),tData[Langligger01],1)</f>
        <v/>
      </c>
      <c r="V11" s="20">
        <f>COUNTIFS(tData[SEHTrajectPeriodeDatumTijdVan],"&lt;="&amp;($A11+18/24),tData[SEHTrajectPeriodeDatumTijdTotEnMet],"&gt;"&amp;($A11+18/24),tData[Langligger01],1)</f>
        <v/>
      </c>
      <c r="W11" s="20">
        <f>COUNTIFS(tData[SEHTrajectPeriodeDatumTijdVan],"&lt;="&amp;($A11+19/24),tData[SEHTrajectPeriodeDatumTijdTotEnMet],"&gt;"&amp;($A11+19/24),tData[Langligger01],1)</f>
        <v/>
      </c>
      <c r="X11" s="20">
        <f>COUNTIFS(tData[SEHTrajectPeriodeDatumTijdVan],"&lt;="&amp;($A11+20/24),tData[SEHTrajectPeriodeDatumTijdTotEnMet],"&gt;"&amp;($A11+20/24),tData[Langligger01],1)</f>
        <v/>
      </c>
      <c r="Y11" s="20">
        <f>COUNTIFS(tData[SEHTrajectPeriodeDatumTijdVan],"&lt;="&amp;($A11+21/24),tData[SEHTrajectPeriodeDatumTijdTotEnMet],"&gt;"&amp;($A11+21/24),tData[Langligger01],1)</f>
        <v/>
      </c>
      <c r="Z11" s="20">
        <f>COUNTIFS(tData[SEHTrajectPeriodeDatumTijdVan],"&lt;="&amp;($A11+22/24),tData[SEHTrajectPeriodeDatumTijdTotEnMet],"&gt;"&amp;($A11+22/24),tData[Langligger01],1)</f>
        <v/>
      </c>
      <c r="AA11" s="20">
        <f>COUNTIFS(tData[SEHTrajectPeriodeDatumTijdVan],"&lt;="&amp;($A11+23/24),tData[SEHTrajectPeriodeDatumTijdTotEnMet],"&gt;"&amp;($A11+23/24),tData[Langligger01],1)</f>
        <v/>
      </c>
    </row>
    <row r="12">
      <c r="A12" s="19" t="n">
        <v>45300</v>
      </c>
      <c r="B12" s="15">
        <f>WEEKDAY($A12,2)</f>
        <v/>
      </c>
      <c r="C12" s="15">
        <f>IF(AND($A12&gt;=INT(Instellingen!$B$5),$A12&lt;=INT(Instellingen!$B$6)),1,0)</f>
        <v/>
      </c>
      <c r="D12" s="20">
        <f>COUNTIFS(tData[SEHTrajectPeriodeDatumTijdVan],"&lt;="&amp;($A12+0/24),tData[SEHTrajectPeriodeDatumTijdTotEnMet],"&gt;"&amp;($A12+0/24),tData[Langligger01],1)</f>
        <v/>
      </c>
      <c r="E12" s="20">
        <f>COUNTIFS(tData[SEHTrajectPeriodeDatumTijdVan],"&lt;="&amp;($A12+1/24),tData[SEHTrajectPeriodeDatumTijdTotEnMet],"&gt;"&amp;($A12+1/24),tData[Langligger01],1)</f>
        <v/>
      </c>
      <c r="F12" s="20">
        <f>COUNTIFS(tData[SEHTrajectPeriodeDatumTijdVan],"&lt;="&amp;($A12+2/24),tData[SEHTrajectPeriodeDatumTijdTotEnMet],"&gt;"&amp;($A12+2/24),tData[Langligger01],1)</f>
        <v/>
      </c>
      <c r="G12" s="20">
        <f>COUNTIFS(tData[SEHTrajectPeriodeDatumTijdVan],"&lt;="&amp;($A12+3/24),tData[SEHTrajectPeriodeDatumTijdTotEnMet],"&gt;"&amp;($A12+3/24),tData[Langligger01],1)</f>
        <v/>
      </c>
      <c r="H12" s="20">
        <f>COUNTIFS(tData[SEHTrajectPeriodeDatumTijdVan],"&lt;="&amp;($A12+4/24),tData[SEHTrajectPeriodeDatumTijdTotEnMet],"&gt;"&amp;($A12+4/24),tData[Langligger01],1)</f>
        <v/>
      </c>
      <c r="I12" s="20">
        <f>COUNTIFS(tData[SEHTrajectPeriodeDatumTijdVan],"&lt;="&amp;($A12+5/24),tData[SEHTrajectPeriodeDatumTijdTotEnMet],"&gt;"&amp;($A12+5/24),tData[Langligger01],1)</f>
        <v/>
      </c>
      <c r="J12" s="20">
        <f>COUNTIFS(tData[SEHTrajectPeriodeDatumTijdVan],"&lt;="&amp;($A12+6/24),tData[SEHTrajectPeriodeDatumTijdTotEnMet],"&gt;"&amp;($A12+6/24),tData[Langligger01],1)</f>
        <v/>
      </c>
      <c r="K12" s="20">
        <f>COUNTIFS(tData[SEHTrajectPeriodeDatumTijdVan],"&lt;="&amp;($A12+7/24),tData[SEHTrajectPeriodeDatumTijdTotEnMet],"&gt;"&amp;($A12+7/24),tData[Langligger01],1)</f>
        <v/>
      </c>
      <c r="L12" s="20">
        <f>COUNTIFS(tData[SEHTrajectPeriodeDatumTijdVan],"&lt;="&amp;($A12+8/24),tData[SEHTrajectPeriodeDatumTijdTotEnMet],"&gt;"&amp;($A12+8/24),tData[Langligger01],1)</f>
        <v/>
      </c>
      <c r="M12" s="20">
        <f>COUNTIFS(tData[SEHTrajectPeriodeDatumTijdVan],"&lt;="&amp;($A12+9/24),tData[SEHTrajectPeriodeDatumTijdTotEnMet],"&gt;"&amp;($A12+9/24),tData[Langligger01],1)</f>
        <v/>
      </c>
      <c r="N12" s="20">
        <f>COUNTIFS(tData[SEHTrajectPeriodeDatumTijdVan],"&lt;="&amp;($A12+10/24),tData[SEHTrajectPeriodeDatumTijdTotEnMet],"&gt;"&amp;($A12+10/24),tData[Langligger01],1)</f>
        <v/>
      </c>
      <c r="O12" s="20">
        <f>COUNTIFS(tData[SEHTrajectPeriodeDatumTijdVan],"&lt;="&amp;($A12+11/24),tData[SEHTrajectPeriodeDatumTijdTotEnMet],"&gt;"&amp;($A12+11/24),tData[Langligger01],1)</f>
        <v/>
      </c>
      <c r="P12" s="20">
        <f>COUNTIFS(tData[SEHTrajectPeriodeDatumTijdVan],"&lt;="&amp;($A12+12/24),tData[SEHTrajectPeriodeDatumTijdTotEnMet],"&gt;"&amp;($A12+12/24),tData[Langligger01],1)</f>
        <v/>
      </c>
      <c r="Q12" s="20">
        <f>COUNTIFS(tData[SEHTrajectPeriodeDatumTijdVan],"&lt;="&amp;($A12+13/24),tData[SEHTrajectPeriodeDatumTijdTotEnMet],"&gt;"&amp;($A12+13/24),tData[Langligger01],1)</f>
        <v/>
      </c>
      <c r="R12" s="20">
        <f>COUNTIFS(tData[SEHTrajectPeriodeDatumTijdVan],"&lt;="&amp;($A12+14/24),tData[SEHTrajectPeriodeDatumTijdTotEnMet],"&gt;"&amp;($A12+14/24),tData[Langligger01],1)</f>
        <v/>
      </c>
      <c r="S12" s="20">
        <f>COUNTIFS(tData[SEHTrajectPeriodeDatumTijdVan],"&lt;="&amp;($A12+15/24),tData[SEHTrajectPeriodeDatumTijdTotEnMet],"&gt;"&amp;($A12+15/24),tData[Langligger01],1)</f>
        <v/>
      </c>
      <c r="T12" s="20">
        <f>COUNTIFS(tData[SEHTrajectPeriodeDatumTijdVan],"&lt;="&amp;($A12+16/24),tData[SEHTrajectPeriodeDatumTijdTotEnMet],"&gt;"&amp;($A12+16/24),tData[Langligger01],1)</f>
        <v/>
      </c>
      <c r="U12" s="20">
        <f>COUNTIFS(tData[SEHTrajectPeriodeDatumTijdVan],"&lt;="&amp;($A12+17/24),tData[SEHTrajectPeriodeDatumTijdTotEnMet],"&gt;"&amp;($A12+17/24),tData[Langligger01],1)</f>
        <v/>
      </c>
      <c r="V12" s="20">
        <f>COUNTIFS(tData[SEHTrajectPeriodeDatumTijdVan],"&lt;="&amp;($A12+18/24),tData[SEHTrajectPeriodeDatumTijdTotEnMet],"&gt;"&amp;($A12+18/24),tData[Langligger01],1)</f>
        <v/>
      </c>
      <c r="W12" s="20">
        <f>COUNTIFS(tData[SEHTrajectPeriodeDatumTijdVan],"&lt;="&amp;($A12+19/24),tData[SEHTrajectPeriodeDatumTijdTotEnMet],"&gt;"&amp;($A12+19/24),tData[Langligger01],1)</f>
        <v/>
      </c>
      <c r="X12" s="20">
        <f>COUNTIFS(tData[SEHTrajectPeriodeDatumTijdVan],"&lt;="&amp;($A12+20/24),tData[SEHTrajectPeriodeDatumTijdTotEnMet],"&gt;"&amp;($A12+20/24),tData[Langligger01],1)</f>
        <v/>
      </c>
      <c r="Y12" s="20">
        <f>COUNTIFS(tData[SEHTrajectPeriodeDatumTijdVan],"&lt;="&amp;($A12+21/24),tData[SEHTrajectPeriodeDatumTijdTotEnMet],"&gt;"&amp;($A12+21/24),tData[Langligger01],1)</f>
        <v/>
      </c>
      <c r="Z12" s="20">
        <f>COUNTIFS(tData[SEHTrajectPeriodeDatumTijdVan],"&lt;="&amp;($A12+22/24),tData[SEHTrajectPeriodeDatumTijdTotEnMet],"&gt;"&amp;($A12+22/24),tData[Langligger01],1)</f>
        <v/>
      </c>
      <c r="AA12" s="20">
        <f>COUNTIFS(tData[SEHTrajectPeriodeDatumTijdVan],"&lt;="&amp;($A12+23/24),tData[SEHTrajectPeriodeDatumTijdTotEnMet],"&gt;"&amp;($A12+23/24),tData[Langligger01],1)</f>
        <v/>
      </c>
    </row>
    <row r="13">
      <c r="A13" s="19" t="n">
        <v>45301</v>
      </c>
      <c r="B13" s="15">
        <f>WEEKDAY($A13,2)</f>
        <v/>
      </c>
      <c r="C13" s="15">
        <f>IF(AND($A13&gt;=INT(Instellingen!$B$5),$A13&lt;=INT(Instellingen!$B$6)),1,0)</f>
        <v/>
      </c>
      <c r="D13" s="20">
        <f>COUNTIFS(tData[SEHTrajectPeriodeDatumTijdVan],"&lt;="&amp;($A13+0/24),tData[SEHTrajectPeriodeDatumTijdTotEnMet],"&gt;"&amp;($A13+0/24),tData[Langligger01],1)</f>
        <v/>
      </c>
      <c r="E13" s="20">
        <f>COUNTIFS(tData[SEHTrajectPeriodeDatumTijdVan],"&lt;="&amp;($A13+1/24),tData[SEHTrajectPeriodeDatumTijdTotEnMet],"&gt;"&amp;($A13+1/24),tData[Langligger01],1)</f>
        <v/>
      </c>
      <c r="F13" s="20">
        <f>COUNTIFS(tData[SEHTrajectPeriodeDatumTijdVan],"&lt;="&amp;($A13+2/24),tData[SEHTrajectPeriodeDatumTijdTotEnMet],"&gt;"&amp;($A13+2/24),tData[Langligger01],1)</f>
        <v/>
      </c>
      <c r="G13" s="20">
        <f>COUNTIFS(tData[SEHTrajectPeriodeDatumTijdVan],"&lt;="&amp;($A13+3/24),tData[SEHTrajectPeriodeDatumTijdTotEnMet],"&gt;"&amp;($A13+3/24),tData[Langligger01],1)</f>
        <v/>
      </c>
      <c r="H13" s="20">
        <f>COUNTIFS(tData[SEHTrajectPeriodeDatumTijdVan],"&lt;="&amp;($A13+4/24),tData[SEHTrajectPeriodeDatumTijdTotEnMet],"&gt;"&amp;($A13+4/24),tData[Langligger01],1)</f>
        <v/>
      </c>
      <c r="I13" s="20">
        <f>COUNTIFS(tData[SEHTrajectPeriodeDatumTijdVan],"&lt;="&amp;($A13+5/24),tData[SEHTrajectPeriodeDatumTijdTotEnMet],"&gt;"&amp;($A13+5/24),tData[Langligger01],1)</f>
        <v/>
      </c>
      <c r="J13" s="20">
        <f>COUNTIFS(tData[SEHTrajectPeriodeDatumTijdVan],"&lt;="&amp;($A13+6/24),tData[SEHTrajectPeriodeDatumTijdTotEnMet],"&gt;"&amp;($A13+6/24),tData[Langligger01],1)</f>
        <v/>
      </c>
      <c r="K13" s="20">
        <f>COUNTIFS(tData[SEHTrajectPeriodeDatumTijdVan],"&lt;="&amp;($A13+7/24),tData[SEHTrajectPeriodeDatumTijdTotEnMet],"&gt;"&amp;($A13+7/24),tData[Langligger01],1)</f>
        <v/>
      </c>
      <c r="L13" s="20">
        <f>COUNTIFS(tData[SEHTrajectPeriodeDatumTijdVan],"&lt;="&amp;($A13+8/24),tData[SEHTrajectPeriodeDatumTijdTotEnMet],"&gt;"&amp;($A13+8/24),tData[Langligger01],1)</f>
        <v/>
      </c>
      <c r="M13" s="20">
        <f>COUNTIFS(tData[SEHTrajectPeriodeDatumTijdVan],"&lt;="&amp;($A13+9/24),tData[SEHTrajectPeriodeDatumTijdTotEnMet],"&gt;"&amp;($A13+9/24),tData[Langligger01],1)</f>
        <v/>
      </c>
      <c r="N13" s="20">
        <f>COUNTIFS(tData[SEHTrajectPeriodeDatumTijdVan],"&lt;="&amp;($A13+10/24),tData[SEHTrajectPeriodeDatumTijdTotEnMet],"&gt;"&amp;($A13+10/24),tData[Langligger01],1)</f>
        <v/>
      </c>
      <c r="O13" s="20">
        <f>COUNTIFS(tData[SEHTrajectPeriodeDatumTijdVan],"&lt;="&amp;($A13+11/24),tData[SEHTrajectPeriodeDatumTijdTotEnMet],"&gt;"&amp;($A13+11/24),tData[Langligger01],1)</f>
        <v/>
      </c>
      <c r="P13" s="20">
        <f>COUNTIFS(tData[SEHTrajectPeriodeDatumTijdVan],"&lt;="&amp;($A13+12/24),tData[SEHTrajectPeriodeDatumTijdTotEnMet],"&gt;"&amp;($A13+12/24),tData[Langligger01],1)</f>
        <v/>
      </c>
      <c r="Q13" s="20">
        <f>COUNTIFS(tData[SEHTrajectPeriodeDatumTijdVan],"&lt;="&amp;($A13+13/24),tData[SEHTrajectPeriodeDatumTijdTotEnMet],"&gt;"&amp;($A13+13/24),tData[Langligger01],1)</f>
        <v/>
      </c>
      <c r="R13" s="20">
        <f>COUNTIFS(tData[SEHTrajectPeriodeDatumTijdVan],"&lt;="&amp;($A13+14/24),tData[SEHTrajectPeriodeDatumTijdTotEnMet],"&gt;"&amp;($A13+14/24),tData[Langligger01],1)</f>
        <v/>
      </c>
      <c r="S13" s="20">
        <f>COUNTIFS(tData[SEHTrajectPeriodeDatumTijdVan],"&lt;="&amp;($A13+15/24),tData[SEHTrajectPeriodeDatumTijdTotEnMet],"&gt;"&amp;($A13+15/24),tData[Langligger01],1)</f>
        <v/>
      </c>
      <c r="T13" s="20">
        <f>COUNTIFS(tData[SEHTrajectPeriodeDatumTijdVan],"&lt;="&amp;($A13+16/24),tData[SEHTrajectPeriodeDatumTijdTotEnMet],"&gt;"&amp;($A13+16/24),tData[Langligger01],1)</f>
        <v/>
      </c>
      <c r="U13" s="20">
        <f>COUNTIFS(tData[SEHTrajectPeriodeDatumTijdVan],"&lt;="&amp;($A13+17/24),tData[SEHTrajectPeriodeDatumTijdTotEnMet],"&gt;"&amp;($A13+17/24),tData[Langligger01],1)</f>
        <v/>
      </c>
      <c r="V13" s="20">
        <f>COUNTIFS(tData[SEHTrajectPeriodeDatumTijdVan],"&lt;="&amp;($A13+18/24),tData[SEHTrajectPeriodeDatumTijdTotEnMet],"&gt;"&amp;($A13+18/24),tData[Langligger01],1)</f>
        <v/>
      </c>
      <c r="W13" s="20">
        <f>COUNTIFS(tData[SEHTrajectPeriodeDatumTijdVan],"&lt;="&amp;($A13+19/24),tData[SEHTrajectPeriodeDatumTijdTotEnMet],"&gt;"&amp;($A13+19/24),tData[Langligger01],1)</f>
        <v/>
      </c>
      <c r="X13" s="20">
        <f>COUNTIFS(tData[SEHTrajectPeriodeDatumTijdVan],"&lt;="&amp;($A13+20/24),tData[SEHTrajectPeriodeDatumTijdTotEnMet],"&gt;"&amp;($A13+20/24),tData[Langligger01],1)</f>
        <v/>
      </c>
      <c r="Y13" s="20">
        <f>COUNTIFS(tData[SEHTrajectPeriodeDatumTijdVan],"&lt;="&amp;($A13+21/24),tData[SEHTrajectPeriodeDatumTijdTotEnMet],"&gt;"&amp;($A13+21/24),tData[Langligger01],1)</f>
        <v/>
      </c>
      <c r="Z13" s="20">
        <f>COUNTIFS(tData[SEHTrajectPeriodeDatumTijdVan],"&lt;="&amp;($A13+22/24),tData[SEHTrajectPeriodeDatumTijdTotEnMet],"&gt;"&amp;($A13+22/24),tData[Langligger01],1)</f>
        <v/>
      </c>
      <c r="AA13" s="20">
        <f>COUNTIFS(tData[SEHTrajectPeriodeDatumTijdVan],"&lt;="&amp;($A13+23/24),tData[SEHTrajectPeriodeDatumTijdTotEnMet],"&gt;"&amp;($A13+23/24),tData[Langligger01],1)</f>
        <v/>
      </c>
    </row>
    <row r="14">
      <c r="A14" s="19" t="n">
        <v>45302</v>
      </c>
      <c r="B14" s="15">
        <f>WEEKDAY($A14,2)</f>
        <v/>
      </c>
      <c r="C14" s="15">
        <f>IF(AND($A14&gt;=INT(Instellingen!$B$5),$A14&lt;=INT(Instellingen!$B$6)),1,0)</f>
        <v/>
      </c>
      <c r="D14" s="20">
        <f>COUNTIFS(tData[SEHTrajectPeriodeDatumTijdVan],"&lt;="&amp;($A14+0/24),tData[SEHTrajectPeriodeDatumTijdTotEnMet],"&gt;"&amp;($A14+0/24),tData[Langligger01],1)</f>
        <v/>
      </c>
      <c r="E14" s="20">
        <f>COUNTIFS(tData[SEHTrajectPeriodeDatumTijdVan],"&lt;="&amp;($A14+1/24),tData[SEHTrajectPeriodeDatumTijdTotEnMet],"&gt;"&amp;($A14+1/24),tData[Langligger01],1)</f>
        <v/>
      </c>
      <c r="F14" s="20">
        <f>COUNTIFS(tData[SEHTrajectPeriodeDatumTijdVan],"&lt;="&amp;($A14+2/24),tData[SEHTrajectPeriodeDatumTijdTotEnMet],"&gt;"&amp;($A14+2/24),tData[Langligger01],1)</f>
        <v/>
      </c>
      <c r="G14" s="20">
        <f>COUNTIFS(tData[SEHTrajectPeriodeDatumTijdVan],"&lt;="&amp;($A14+3/24),tData[SEHTrajectPeriodeDatumTijdTotEnMet],"&gt;"&amp;($A14+3/24),tData[Langligger01],1)</f>
        <v/>
      </c>
      <c r="H14" s="20">
        <f>COUNTIFS(tData[SEHTrajectPeriodeDatumTijdVan],"&lt;="&amp;($A14+4/24),tData[SEHTrajectPeriodeDatumTijdTotEnMet],"&gt;"&amp;($A14+4/24),tData[Langligger01],1)</f>
        <v/>
      </c>
      <c r="I14" s="20">
        <f>COUNTIFS(tData[SEHTrajectPeriodeDatumTijdVan],"&lt;="&amp;($A14+5/24),tData[SEHTrajectPeriodeDatumTijdTotEnMet],"&gt;"&amp;($A14+5/24),tData[Langligger01],1)</f>
        <v/>
      </c>
      <c r="J14" s="20">
        <f>COUNTIFS(tData[SEHTrajectPeriodeDatumTijdVan],"&lt;="&amp;($A14+6/24),tData[SEHTrajectPeriodeDatumTijdTotEnMet],"&gt;"&amp;($A14+6/24),tData[Langligger01],1)</f>
        <v/>
      </c>
      <c r="K14" s="20">
        <f>COUNTIFS(tData[SEHTrajectPeriodeDatumTijdVan],"&lt;="&amp;($A14+7/24),tData[SEHTrajectPeriodeDatumTijdTotEnMet],"&gt;"&amp;($A14+7/24),tData[Langligger01],1)</f>
        <v/>
      </c>
      <c r="L14" s="20">
        <f>COUNTIFS(tData[SEHTrajectPeriodeDatumTijdVan],"&lt;="&amp;($A14+8/24),tData[SEHTrajectPeriodeDatumTijdTotEnMet],"&gt;"&amp;($A14+8/24),tData[Langligger01],1)</f>
        <v/>
      </c>
      <c r="M14" s="20">
        <f>COUNTIFS(tData[SEHTrajectPeriodeDatumTijdVan],"&lt;="&amp;($A14+9/24),tData[SEHTrajectPeriodeDatumTijdTotEnMet],"&gt;"&amp;($A14+9/24),tData[Langligger01],1)</f>
        <v/>
      </c>
      <c r="N14" s="20">
        <f>COUNTIFS(tData[SEHTrajectPeriodeDatumTijdVan],"&lt;="&amp;($A14+10/24),tData[SEHTrajectPeriodeDatumTijdTotEnMet],"&gt;"&amp;($A14+10/24),tData[Langligger01],1)</f>
        <v/>
      </c>
      <c r="O14" s="20">
        <f>COUNTIFS(tData[SEHTrajectPeriodeDatumTijdVan],"&lt;="&amp;($A14+11/24),tData[SEHTrajectPeriodeDatumTijdTotEnMet],"&gt;"&amp;($A14+11/24),tData[Langligger01],1)</f>
        <v/>
      </c>
      <c r="P14" s="20">
        <f>COUNTIFS(tData[SEHTrajectPeriodeDatumTijdVan],"&lt;="&amp;($A14+12/24),tData[SEHTrajectPeriodeDatumTijdTotEnMet],"&gt;"&amp;($A14+12/24),tData[Langligger01],1)</f>
        <v/>
      </c>
      <c r="Q14" s="20">
        <f>COUNTIFS(tData[SEHTrajectPeriodeDatumTijdVan],"&lt;="&amp;($A14+13/24),tData[SEHTrajectPeriodeDatumTijdTotEnMet],"&gt;"&amp;($A14+13/24),tData[Langligger01],1)</f>
        <v/>
      </c>
      <c r="R14" s="20">
        <f>COUNTIFS(tData[SEHTrajectPeriodeDatumTijdVan],"&lt;="&amp;($A14+14/24),tData[SEHTrajectPeriodeDatumTijdTotEnMet],"&gt;"&amp;($A14+14/24),tData[Langligger01],1)</f>
        <v/>
      </c>
      <c r="S14" s="20">
        <f>COUNTIFS(tData[SEHTrajectPeriodeDatumTijdVan],"&lt;="&amp;($A14+15/24),tData[SEHTrajectPeriodeDatumTijdTotEnMet],"&gt;"&amp;($A14+15/24),tData[Langligger01],1)</f>
        <v/>
      </c>
      <c r="T14" s="20">
        <f>COUNTIFS(tData[SEHTrajectPeriodeDatumTijdVan],"&lt;="&amp;($A14+16/24),tData[SEHTrajectPeriodeDatumTijdTotEnMet],"&gt;"&amp;($A14+16/24),tData[Langligger01],1)</f>
        <v/>
      </c>
      <c r="U14" s="20">
        <f>COUNTIFS(tData[SEHTrajectPeriodeDatumTijdVan],"&lt;="&amp;($A14+17/24),tData[SEHTrajectPeriodeDatumTijdTotEnMet],"&gt;"&amp;($A14+17/24),tData[Langligger01],1)</f>
        <v/>
      </c>
      <c r="V14" s="20">
        <f>COUNTIFS(tData[SEHTrajectPeriodeDatumTijdVan],"&lt;="&amp;($A14+18/24),tData[SEHTrajectPeriodeDatumTijdTotEnMet],"&gt;"&amp;($A14+18/24),tData[Langligger01],1)</f>
        <v/>
      </c>
      <c r="W14" s="20">
        <f>COUNTIFS(tData[SEHTrajectPeriodeDatumTijdVan],"&lt;="&amp;($A14+19/24),tData[SEHTrajectPeriodeDatumTijdTotEnMet],"&gt;"&amp;($A14+19/24),tData[Langligger01],1)</f>
        <v/>
      </c>
      <c r="X14" s="20">
        <f>COUNTIFS(tData[SEHTrajectPeriodeDatumTijdVan],"&lt;="&amp;($A14+20/24),tData[SEHTrajectPeriodeDatumTijdTotEnMet],"&gt;"&amp;($A14+20/24),tData[Langligger01],1)</f>
        <v/>
      </c>
      <c r="Y14" s="20">
        <f>COUNTIFS(tData[SEHTrajectPeriodeDatumTijdVan],"&lt;="&amp;($A14+21/24),tData[SEHTrajectPeriodeDatumTijdTotEnMet],"&gt;"&amp;($A14+21/24),tData[Langligger01],1)</f>
        <v/>
      </c>
      <c r="Z14" s="20">
        <f>COUNTIFS(tData[SEHTrajectPeriodeDatumTijdVan],"&lt;="&amp;($A14+22/24),tData[SEHTrajectPeriodeDatumTijdTotEnMet],"&gt;"&amp;($A14+22/24),tData[Langligger01],1)</f>
        <v/>
      </c>
      <c r="AA14" s="20">
        <f>COUNTIFS(tData[SEHTrajectPeriodeDatumTijdVan],"&lt;="&amp;($A14+23/24),tData[SEHTrajectPeriodeDatumTijdTotEnMet],"&gt;"&amp;($A14+23/24),tData[Langligger01],1)</f>
        <v/>
      </c>
    </row>
    <row r="15">
      <c r="A15" s="19" t="n">
        <v>45303</v>
      </c>
      <c r="B15" s="15">
        <f>WEEKDAY($A15,2)</f>
        <v/>
      </c>
      <c r="C15" s="15">
        <f>IF(AND($A15&gt;=INT(Instellingen!$B$5),$A15&lt;=INT(Instellingen!$B$6)),1,0)</f>
        <v/>
      </c>
      <c r="D15" s="20">
        <f>COUNTIFS(tData[SEHTrajectPeriodeDatumTijdVan],"&lt;="&amp;($A15+0/24),tData[SEHTrajectPeriodeDatumTijdTotEnMet],"&gt;"&amp;($A15+0/24),tData[Langligger01],1)</f>
        <v/>
      </c>
      <c r="E15" s="20">
        <f>COUNTIFS(tData[SEHTrajectPeriodeDatumTijdVan],"&lt;="&amp;($A15+1/24),tData[SEHTrajectPeriodeDatumTijdTotEnMet],"&gt;"&amp;($A15+1/24),tData[Langligger01],1)</f>
        <v/>
      </c>
      <c r="F15" s="20">
        <f>COUNTIFS(tData[SEHTrajectPeriodeDatumTijdVan],"&lt;="&amp;($A15+2/24),tData[SEHTrajectPeriodeDatumTijdTotEnMet],"&gt;"&amp;($A15+2/24),tData[Langligger01],1)</f>
        <v/>
      </c>
      <c r="G15" s="20">
        <f>COUNTIFS(tData[SEHTrajectPeriodeDatumTijdVan],"&lt;="&amp;($A15+3/24),tData[SEHTrajectPeriodeDatumTijdTotEnMet],"&gt;"&amp;($A15+3/24),tData[Langligger01],1)</f>
        <v/>
      </c>
      <c r="H15" s="20">
        <f>COUNTIFS(tData[SEHTrajectPeriodeDatumTijdVan],"&lt;="&amp;($A15+4/24),tData[SEHTrajectPeriodeDatumTijdTotEnMet],"&gt;"&amp;($A15+4/24),tData[Langligger01],1)</f>
        <v/>
      </c>
      <c r="I15" s="20">
        <f>COUNTIFS(tData[SEHTrajectPeriodeDatumTijdVan],"&lt;="&amp;($A15+5/24),tData[SEHTrajectPeriodeDatumTijdTotEnMet],"&gt;"&amp;($A15+5/24),tData[Langligger01],1)</f>
        <v/>
      </c>
      <c r="J15" s="20">
        <f>COUNTIFS(tData[SEHTrajectPeriodeDatumTijdVan],"&lt;="&amp;($A15+6/24),tData[SEHTrajectPeriodeDatumTijdTotEnMet],"&gt;"&amp;($A15+6/24),tData[Langligger01],1)</f>
        <v/>
      </c>
      <c r="K15" s="20">
        <f>COUNTIFS(tData[SEHTrajectPeriodeDatumTijdVan],"&lt;="&amp;($A15+7/24),tData[SEHTrajectPeriodeDatumTijdTotEnMet],"&gt;"&amp;($A15+7/24),tData[Langligger01],1)</f>
        <v/>
      </c>
      <c r="L15" s="20">
        <f>COUNTIFS(tData[SEHTrajectPeriodeDatumTijdVan],"&lt;="&amp;($A15+8/24),tData[SEHTrajectPeriodeDatumTijdTotEnMet],"&gt;"&amp;($A15+8/24),tData[Langligger01],1)</f>
        <v/>
      </c>
      <c r="M15" s="20">
        <f>COUNTIFS(tData[SEHTrajectPeriodeDatumTijdVan],"&lt;="&amp;($A15+9/24),tData[SEHTrajectPeriodeDatumTijdTotEnMet],"&gt;"&amp;($A15+9/24),tData[Langligger01],1)</f>
        <v/>
      </c>
      <c r="N15" s="20">
        <f>COUNTIFS(tData[SEHTrajectPeriodeDatumTijdVan],"&lt;="&amp;($A15+10/24),tData[SEHTrajectPeriodeDatumTijdTotEnMet],"&gt;"&amp;($A15+10/24),tData[Langligger01],1)</f>
        <v/>
      </c>
      <c r="O15" s="20">
        <f>COUNTIFS(tData[SEHTrajectPeriodeDatumTijdVan],"&lt;="&amp;($A15+11/24),tData[SEHTrajectPeriodeDatumTijdTotEnMet],"&gt;"&amp;($A15+11/24),tData[Langligger01],1)</f>
        <v/>
      </c>
      <c r="P15" s="20">
        <f>COUNTIFS(tData[SEHTrajectPeriodeDatumTijdVan],"&lt;="&amp;($A15+12/24),tData[SEHTrajectPeriodeDatumTijdTotEnMet],"&gt;"&amp;($A15+12/24),tData[Langligger01],1)</f>
        <v/>
      </c>
      <c r="Q15" s="20">
        <f>COUNTIFS(tData[SEHTrajectPeriodeDatumTijdVan],"&lt;="&amp;($A15+13/24),tData[SEHTrajectPeriodeDatumTijdTotEnMet],"&gt;"&amp;($A15+13/24),tData[Langligger01],1)</f>
        <v/>
      </c>
      <c r="R15" s="20">
        <f>COUNTIFS(tData[SEHTrajectPeriodeDatumTijdVan],"&lt;="&amp;($A15+14/24),tData[SEHTrajectPeriodeDatumTijdTotEnMet],"&gt;"&amp;($A15+14/24),tData[Langligger01],1)</f>
        <v/>
      </c>
      <c r="S15" s="20">
        <f>COUNTIFS(tData[SEHTrajectPeriodeDatumTijdVan],"&lt;="&amp;($A15+15/24),tData[SEHTrajectPeriodeDatumTijdTotEnMet],"&gt;"&amp;($A15+15/24),tData[Langligger01],1)</f>
        <v/>
      </c>
      <c r="T15" s="20">
        <f>COUNTIFS(tData[SEHTrajectPeriodeDatumTijdVan],"&lt;="&amp;($A15+16/24),tData[SEHTrajectPeriodeDatumTijdTotEnMet],"&gt;"&amp;($A15+16/24),tData[Langligger01],1)</f>
        <v/>
      </c>
      <c r="U15" s="20">
        <f>COUNTIFS(tData[SEHTrajectPeriodeDatumTijdVan],"&lt;="&amp;($A15+17/24),tData[SEHTrajectPeriodeDatumTijdTotEnMet],"&gt;"&amp;($A15+17/24),tData[Langligger01],1)</f>
        <v/>
      </c>
      <c r="V15" s="20">
        <f>COUNTIFS(tData[SEHTrajectPeriodeDatumTijdVan],"&lt;="&amp;($A15+18/24),tData[SEHTrajectPeriodeDatumTijdTotEnMet],"&gt;"&amp;($A15+18/24),tData[Langligger01],1)</f>
        <v/>
      </c>
      <c r="W15" s="20">
        <f>COUNTIFS(tData[SEHTrajectPeriodeDatumTijdVan],"&lt;="&amp;($A15+19/24),tData[SEHTrajectPeriodeDatumTijdTotEnMet],"&gt;"&amp;($A15+19/24),tData[Langligger01],1)</f>
        <v/>
      </c>
      <c r="X15" s="20">
        <f>COUNTIFS(tData[SEHTrajectPeriodeDatumTijdVan],"&lt;="&amp;($A15+20/24),tData[SEHTrajectPeriodeDatumTijdTotEnMet],"&gt;"&amp;($A15+20/24),tData[Langligger01],1)</f>
        <v/>
      </c>
      <c r="Y15" s="20">
        <f>COUNTIFS(tData[SEHTrajectPeriodeDatumTijdVan],"&lt;="&amp;($A15+21/24),tData[SEHTrajectPeriodeDatumTijdTotEnMet],"&gt;"&amp;($A15+21/24),tData[Langligger01],1)</f>
        <v/>
      </c>
      <c r="Z15" s="20">
        <f>COUNTIFS(tData[SEHTrajectPeriodeDatumTijdVan],"&lt;="&amp;($A15+22/24),tData[SEHTrajectPeriodeDatumTijdTotEnMet],"&gt;"&amp;($A15+22/24),tData[Langligger01],1)</f>
        <v/>
      </c>
      <c r="AA15" s="20">
        <f>COUNTIFS(tData[SEHTrajectPeriodeDatumTijdVan],"&lt;="&amp;($A15+23/24),tData[SEHTrajectPeriodeDatumTijdTotEnMet],"&gt;"&amp;($A15+23/24),tData[Langligger01],1)</f>
        <v/>
      </c>
    </row>
    <row r="16">
      <c r="A16" s="19" t="n">
        <v>45304</v>
      </c>
      <c r="B16" s="15">
        <f>WEEKDAY($A16,2)</f>
        <v/>
      </c>
      <c r="C16" s="15">
        <f>IF(AND($A16&gt;=INT(Instellingen!$B$5),$A16&lt;=INT(Instellingen!$B$6)),1,0)</f>
        <v/>
      </c>
      <c r="D16" s="20">
        <f>COUNTIFS(tData[SEHTrajectPeriodeDatumTijdVan],"&lt;="&amp;($A16+0/24),tData[SEHTrajectPeriodeDatumTijdTotEnMet],"&gt;"&amp;($A16+0/24),tData[Langligger01],1)</f>
        <v/>
      </c>
      <c r="E16" s="20">
        <f>COUNTIFS(tData[SEHTrajectPeriodeDatumTijdVan],"&lt;="&amp;($A16+1/24),tData[SEHTrajectPeriodeDatumTijdTotEnMet],"&gt;"&amp;($A16+1/24),tData[Langligger01],1)</f>
        <v/>
      </c>
      <c r="F16" s="20">
        <f>COUNTIFS(tData[SEHTrajectPeriodeDatumTijdVan],"&lt;="&amp;($A16+2/24),tData[SEHTrajectPeriodeDatumTijdTotEnMet],"&gt;"&amp;($A16+2/24),tData[Langligger01],1)</f>
        <v/>
      </c>
      <c r="G16" s="20">
        <f>COUNTIFS(tData[SEHTrajectPeriodeDatumTijdVan],"&lt;="&amp;($A16+3/24),tData[SEHTrajectPeriodeDatumTijdTotEnMet],"&gt;"&amp;($A16+3/24),tData[Langligger01],1)</f>
        <v/>
      </c>
      <c r="H16" s="20">
        <f>COUNTIFS(tData[SEHTrajectPeriodeDatumTijdVan],"&lt;="&amp;($A16+4/24),tData[SEHTrajectPeriodeDatumTijdTotEnMet],"&gt;"&amp;($A16+4/24),tData[Langligger01],1)</f>
        <v/>
      </c>
      <c r="I16" s="20">
        <f>COUNTIFS(tData[SEHTrajectPeriodeDatumTijdVan],"&lt;="&amp;($A16+5/24),tData[SEHTrajectPeriodeDatumTijdTotEnMet],"&gt;"&amp;($A16+5/24),tData[Langligger01],1)</f>
        <v/>
      </c>
      <c r="J16" s="20">
        <f>COUNTIFS(tData[SEHTrajectPeriodeDatumTijdVan],"&lt;="&amp;($A16+6/24),tData[SEHTrajectPeriodeDatumTijdTotEnMet],"&gt;"&amp;($A16+6/24),tData[Langligger01],1)</f>
        <v/>
      </c>
      <c r="K16" s="20">
        <f>COUNTIFS(tData[SEHTrajectPeriodeDatumTijdVan],"&lt;="&amp;($A16+7/24),tData[SEHTrajectPeriodeDatumTijdTotEnMet],"&gt;"&amp;($A16+7/24),tData[Langligger01],1)</f>
        <v/>
      </c>
      <c r="L16" s="20">
        <f>COUNTIFS(tData[SEHTrajectPeriodeDatumTijdVan],"&lt;="&amp;($A16+8/24),tData[SEHTrajectPeriodeDatumTijdTotEnMet],"&gt;"&amp;($A16+8/24),tData[Langligger01],1)</f>
        <v/>
      </c>
      <c r="M16" s="20">
        <f>COUNTIFS(tData[SEHTrajectPeriodeDatumTijdVan],"&lt;="&amp;($A16+9/24),tData[SEHTrajectPeriodeDatumTijdTotEnMet],"&gt;"&amp;($A16+9/24),tData[Langligger01],1)</f>
        <v/>
      </c>
      <c r="N16" s="20">
        <f>COUNTIFS(tData[SEHTrajectPeriodeDatumTijdVan],"&lt;="&amp;($A16+10/24),tData[SEHTrajectPeriodeDatumTijdTotEnMet],"&gt;"&amp;($A16+10/24),tData[Langligger01],1)</f>
        <v/>
      </c>
      <c r="O16" s="20">
        <f>COUNTIFS(tData[SEHTrajectPeriodeDatumTijdVan],"&lt;="&amp;($A16+11/24),tData[SEHTrajectPeriodeDatumTijdTotEnMet],"&gt;"&amp;($A16+11/24),tData[Langligger01],1)</f>
        <v/>
      </c>
      <c r="P16" s="20">
        <f>COUNTIFS(tData[SEHTrajectPeriodeDatumTijdVan],"&lt;="&amp;($A16+12/24),tData[SEHTrajectPeriodeDatumTijdTotEnMet],"&gt;"&amp;($A16+12/24),tData[Langligger01],1)</f>
        <v/>
      </c>
      <c r="Q16" s="20">
        <f>COUNTIFS(tData[SEHTrajectPeriodeDatumTijdVan],"&lt;="&amp;($A16+13/24),tData[SEHTrajectPeriodeDatumTijdTotEnMet],"&gt;"&amp;($A16+13/24),tData[Langligger01],1)</f>
        <v/>
      </c>
      <c r="R16" s="20">
        <f>COUNTIFS(tData[SEHTrajectPeriodeDatumTijdVan],"&lt;="&amp;($A16+14/24),tData[SEHTrajectPeriodeDatumTijdTotEnMet],"&gt;"&amp;($A16+14/24),tData[Langligger01],1)</f>
        <v/>
      </c>
      <c r="S16" s="20">
        <f>COUNTIFS(tData[SEHTrajectPeriodeDatumTijdVan],"&lt;="&amp;($A16+15/24),tData[SEHTrajectPeriodeDatumTijdTotEnMet],"&gt;"&amp;($A16+15/24),tData[Langligger01],1)</f>
        <v/>
      </c>
      <c r="T16" s="20">
        <f>COUNTIFS(tData[SEHTrajectPeriodeDatumTijdVan],"&lt;="&amp;($A16+16/24),tData[SEHTrajectPeriodeDatumTijdTotEnMet],"&gt;"&amp;($A16+16/24),tData[Langligger01],1)</f>
        <v/>
      </c>
      <c r="U16" s="20">
        <f>COUNTIFS(tData[SEHTrajectPeriodeDatumTijdVan],"&lt;="&amp;($A16+17/24),tData[SEHTrajectPeriodeDatumTijdTotEnMet],"&gt;"&amp;($A16+17/24),tData[Langligger01],1)</f>
        <v/>
      </c>
      <c r="V16" s="20">
        <f>COUNTIFS(tData[SEHTrajectPeriodeDatumTijdVan],"&lt;="&amp;($A16+18/24),tData[SEHTrajectPeriodeDatumTijdTotEnMet],"&gt;"&amp;($A16+18/24),tData[Langligger01],1)</f>
        <v/>
      </c>
      <c r="W16" s="20">
        <f>COUNTIFS(tData[SEHTrajectPeriodeDatumTijdVan],"&lt;="&amp;($A16+19/24),tData[SEHTrajectPeriodeDatumTijdTotEnMet],"&gt;"&amp;($A16+19/24),tData[Langligger01],1)</f>
        <v/>
      </c>
      <c r="X16" s="20">
        <f>COUNTIFS(tData[SEHTrajectPeriodeDatumTijdVan],"&lt;="&amp;($A16+20/24),tData[SEHTrajectPeriodeDatumTijdTotEnMet],"&gt;"&amp;($A16+20/24),tData[Langligger01],1)</f>
        <v/>
      </c>
      <c r="Y16" s="20">
        <f>COUNTIFS(tData[SEHTrajectPeriodeDatumTijdVan],"&lt;="&amp;($A16+21/24),tData[SEHTrajectPeriodeDatumTijdTotEnMet],"&gt;"&amp;($A16+21/24),tData[Langligger01],1)</f>
        <v/>
      </c>
      <c r="Z16" s="20">
        <f>COUNTIFS(tData[SEHTrajectPeriodeDatumTijdVan],"&lt;="&amp;($A16+22/24),tData[SEHTrajectPeriodeDatumTijdTotEnMet],"&gt;"&amp;($A16+22/24),tData[Langligger01],1)</f>
        <v/>
      </c>
      <c r="AA16" s="20">
        <f>COUNTIFS(tData[SEHTrajectPeriodeDatumTijdVan],"&lt;="&amp;($A16+23/24),tData[SEHTrajectPeriodeDatumTijdTotEnMet],"&gt;"&amp;($A16+23/24),tData[Langligger01],1)</f>
        <v/>
      </c>
    </row>
    <row r="17">
      <c r="A17" s="19" t="n">
        <v>45305</v>
      </c>
      <c r="B17" s="15">
        <f>WEEKDAY($A17,2)</f>
        <v/>
      </c>
      <c r="C17" s="15">
        <f>IF(AND($A17&gt;=INT(Instellingen!$B$5),$A17&lt;=INT(Instellingen!$B$6)),1,0)</f>
        <v/>
      </c>
      <c r="D17" s="20">
        <f>COUNTIFS(tData[SEHTrajectPeriodeDatumTijdVan],"&lt;="&amp;($A17+0/24),tData[SEHTrajectPeriodeDatumTijdTotEnMet],"&gt;"&amp;($A17+0/24),tData[Langligger01],1)</f>
        <v/>
      </c>
      <c r="E17" s="20">
        <f>COUNTIFS(tData[SEHTrajectPeriodeDatumTijdVan],"&lt;="&amp;($A17+1/24),tData[SEHTrajectPeriodeDatumTijdTotEnMet],"&gt;"&amp;($A17+1/24),tData[Langligger01],1)</f>
        <v/>
      </c>
      <c r="F17" s="20">
        <f>COUNTIFS(tData[SEHTrajectPeriodeDatumTijdVan],"&lt;="&amp;($A17+2/24),tData[SEHTrajectPeriodeDatumTijdTotEnMet],"&gt;"&amp;($A17+2/24),tData[Langligger01],1)</f>
        <v/>
      </c>
      <c r="G17" s="20">
        <f>COUNTIFS(tData[SEHTrajectPeriodeDatumTijdVan],"&lt;="&amp;($A17+3/24),tData[SEHTrajectPeriodeDatumTijdTotEnMet],"&gt;"&amp;($A17+3/24),tData[Langligger01],1)</f>
        <v/>
      </c>
      <c r="H17" s="20">
        <f>COUNTIFS(tData[SEHTrajectPeriodeDatumTijdVan],"&lt;="&amp;($A17+4/24),tData[SEHTrajectPeriodeDatumTijdTotEnMet],"&gt;"&amp;($A17+4/24),tData[Langligger01],1)</f>
        <v/>
      </c>
      <c r="I17" s="20">
        <f>COUNTIFS(tData[SEHTrajectPeriodeDatumTijdVan],"&lt;="&amp;($A17+5/24),tData[SEHTrajectPeriodeDatumTijdTotEnMet],"&gt;"&amp;($A17+5/24),tData[Langligger01],1)</f>
        <v/>
      </c>
      <c r="J17" s="20">
        <f>COUNTIFS(tData[SEHTrajectPeriodeDatumTijdVan],"&lt;="&amp;($A17+6/24),tData[SEHTrajectPeriodeDatumTijdTotEnMet],"&gt;"&amp;($A17+6/24),tData[Langligger01],1)</f>
        <v/>
      </c>
      <c r="K17" s="20">
        <f>COUNTIFS(tData[SEHTrajectPeriodeDatumTijdVan],"&lt;="&amp;($A17+7/24),tData[SEHTrajectPeriodeDatumTijdTotEnMet],"&gt;"&amp;($A17+7/24),tData[Langligger01],1)</f>
        <v/>
      </c>
      <c r="L17" s="20">
        <f>COUNTIFS(tData[SEHTrajectPeriodeDatumTijdVan],"&lt;="&amp;($A17+8/24),tData[SEHTrajectPeriodeDatumTijdTotEnMet],"&gt;"&amp;($A17+8/24),tData[Langligger01],1)</f>
        <v/>
      </c>
      <c r="M17" s="20">
        <f>COUNTIFS(tData[SEHTrajectPeriodeDatumTijdVan],"&lt;="&amp;($A17+9/24),tData[SEHTrajectPeriodeDatumTijdTotEnMet],"&gt;"&amp;($A17+9/24),tData[Langligger01],1)</f>
        <v/>
      </c>
      <c r="N17" s="20">
        <f>COUNTIFS(tData[SEHTrajectPeriodeDatumTijdVan],"&lt;="&amp;($A17+10/24),tData[SEHTrajectPeriodeDatumTijdTotEnMet],"&gt;"&amp;($A17+10/24),tData[Langligger01],1)</f>
        <v/>
      </c>
      <c r="O17" s="20">
        <f>COUNTIFS(tData[SEHTrajectPeriodeDatumTijdVan],"&lt;="&amp;($A17+11/24),tData[SEHTrajectPeriodeDatumTijdTotEnMet],"&gt;"&amp;($A17+11/24),tData[Langligger01],1)</f>
        <v/>
      </c>
      <c r="P17" s="20">
        <f>COUNTIFS(tData[SEHTrajectPeriodeDatumTijdVan],"&lt;="&amp;($A17+12/24),tData[SEHTrajectPeriodeDatumTijdTotEnMet],"&gt;"&amp;($A17+12/24),tData[Langligger01],1)</f>
        <v/>
      </c>
      <c r="Q17" s="20">
        <f>COUNTIFS(tData[SEHTrajectPeriodeDatumTijdVan],"&lt;="&amp;($A17+13/24),tData[SEHTrajectPeriodeDatumTijdTotEnMet],"&gt;"&amp;($A17+13/24),tData[Langligger01],1)</f>
        <v/>
      </c>
      <c r="R17" s="20">
        <f>COUNTIFS(tData[SEHTrajectPeriodeDatumTijdVan],"&lt;="&amp;($A17+14/24),tData[SEHTrajectPeriodeDatumTijdTotEnMet],"&gt;"&amp;($A17+14/24),tData[Langligger01],1)</f>
        <v/>
      </c>
      <c r="S17" s="20">
        <f>COUNTIFS(tData[SEHTrajectPeriodeDatumTijdVan],"&lt;="&amp;($A17+15/24),tData[SEHTrajectPeriodeDatumTijdTotEnMet],"&gt;"&amp;($A17+15/24),tData[Langligger01],1)</f>
        <v/>
      </c>
      <c r="T17" s="20">
        <f>COUNTIFS(tData[SEHTrajectPeriodeDatumTijdVan],"&lt;="&amp;($A17+16/24),tData[SEHTrajectPeriodeDatumTijdTotEnMet],"&gt;"&amp;($A17+16/24),tData[Langligger01],1)</f>
        <v/>
      </c>
      <c r="U17" s="20">
        <f>COUNTIFS(tData[SEHTrajectPeriodeDatumTijdVan],"&lt;="&amp;($A17+17/24),tData[SEHTrajectPeriodeDatumTijdTotEnMet],"&gt;"&amp;($A17+17/24),tData[Langligger01],1)</f>
        <v/>
      </c>
      <c r="V17" s="20">
        <f>COUNTIFS(tData[SEHTrajectPeriodeDatumTijdVan],"&lt;="&amp;($A17+18/24),tData[SEHTrajectPeriodeDatumTijdTotEnMet],"&gt;"&amp;($A17+18/24),tData[Langligger01],1)</f>
        <v/>
      </c>
      <c r="W17" s="20">
        <f>COUNTIFS(tData[SEHTrajectPeriodeDatumTijdVan],"&lt;="&amp;($A17+19/24),tData[SEHTrajectPeriodeDatumTijdTotEnMet],"&gt;"&amp;($A17+19/24),tData[Langligger01],1)</f>
        <v/>
      </c>
      <c r="X17" s="20">
        <f>COUNTIFS(tData[SEHTrajectPeriodeDatumTijdVan],"&lt;="&amp;($A17+20/24),tData[SEHTrajectPeriodeDatumTijdTotEnMet],"&gt;"&amp;($A17+20/24),tData[Langligger01],1)</f>
        <v/>
      </c>
      <c r="Y17" s="20">
        <f>COUNTIFS(tData[SEHTrajectPeriodeDatumTijdVan],"&lt;="&amp;($A17+21/24),tData[SEHTrajectPeriodeDatumTijdTotEnMet],"&gt;"&amp;($A17+21/24),tData[Langligger01],1)</f>
        <v/>
      </c>
      <c r="Z17" s="20">
        <f>COUNTIFS(tData[SEHTrajectPeriodeDatumTijdVan],"&lt;="&amp;($A17+22/24),tData[SEHTrajectPeriodeDatumTijdTotEnMet],"&gt;"&amp;($A17+22/24),tData[Langligger01],1)</f>
        <v/>
      </c>
      <c r="AA17" s="20">
        <f>COUNTIFS(tData[SEHTrajectPeriodeDatumTijdVan],"&lt;="&amp;($A17+23/24),tData[SEHTrajectPeriodeDatumTijdTotEnMet],"&gt;"&amp;($A17+23/24),tData[Langligger01],1)</f>
        <v/>
      </c>
    </row>
    <row r="18">
      <c r="A18" s="19" t="n">
        <v>45306</v>
      </c>
      <c r="B18" s="15">
        <f>WEEKDAY($A18,2)</f>
        <v/>
      </c>
      <c r="C18" s="15">
        <f>IF(AND($A18&gt;=INT(Instellingen!$B$5),$A18&lt;=INT(Instellingen!$B$6)),1,0)</f>
        <v/>
      </c>
      <c r="D18" s="20">
        <f>COUNTIFS(tData[SEHTrajectPeriodeDatumTijdVan],"&lt;="&amp;($A18+0/24),tData[SEHTrajectPeriodeDatumTijdTotEnMet],"&gt;"&amp;($A18+0/24),tData[Langligger01],1)</f>
        <v/>
      </c>
      <c r="E18" s="20">
        <f>COUNTIFS(tData[SEHTrajectPeriodeDatumTijdVan],"&lt;="&amp;($A18+1/24),tData[SEHTrajectPeriodeDatumTijdTotEnMet],"&gt;"&amp;($A18+1/24),tData[Langligger01],1)</f>
        <v/>
      </c>
      <c r="F18" s="20">
        <f>COUNTIFS(tData[SEHTrajectPeriodeDatumTijdVan],"&lt;="&amp;($A18+2/24),tData[SEHTrajectPeriodeDatumTijdTotEnMet],"&gt;"&amp;($A18+2/24),tData[Langligger01],1)</f>
        <v/>
      </c>
      <c r="G18" s="20">
        <f>COUNTIFS(tData[SEHTrajectPeriodeDatumTijdVan],"&lt;="&amp;($A18+3/24),tData[SEHTrajectPeriodeDatumTijdTotEnMet],"&gt;"&amp;($A18+3/24),tData[Langligger01],1)</f>
        <v/>
      </c>
      <c r="H18" s="20">
        <f>COUNTIFS(tData[SEHTrajectPeriodeDatumTijdVan],"&lt;="&amp;($A18+4/24),tData[SEHTrajectPeriodeDatumTijdTotEnMet],"&gt;"&amp;($A18+4/24),tData[Langligger01],1)</f>
        <v/>
      </c>
      <c r="I18" s="20">
        <f>COUNTIFS(tData[SEHTrajectPeriodeDatumTijdVan],"&lt;="&amp;($A18+5/24),tData[SEHTrajectPeriodeDatumTijdTotEnMet],"&gt;"&amp;($A18+5/24),tData[Langligger01],1)</f>
        <v/>
      </c>
      <c r="J18" s="20">
        <f>COUNTIFS(tData[SEHTrajectPeriodeDatumTijdVan],"&lt;="&amp;($A18+6/24),tData[SEHTrajectPeriodeDatumTijdTotEnMet],"&gt;"&amp;($A18+6/24),tData[Langligger01],1)</f>
        <v/>
      </c>
      <c r="K18" s="20">
        <f>COUNTIFS(tData[SEHTrajectPeriodeDatumTijdVan],"&lt;="&amp;($A18+7/24),tData[SEHTrajectPeriodeDatumTijdTotEnMet],"&gt;"&amp;($A18+7/24),tData[Langligger01],1)</f>
        <v/>
      </c>
      <c r="L18" s="20">
        <f>COUNTIFS(tData[SEHTrajectPeriodeDatumTijdVan],"&lt;="&amp;($A18+8/24),tData[SEHTrajectPeriodeDatumTijdTotEnMet],"&gt;"&amp;($A18+8/24),tData[Langligger01],1)</f>
        <v/>
      </c>
      <c r="M18" s="20">
        <f>COUNTIFS(tData[SEHTrajectPeriodeDatumTijdVan],"&lt;="&amp;($A18+9/24),tData[SEHTrajectPeriodeDatumTijdTotEnMet],"&gt;"&amp;($A18+9/24),tData[Langligger01],1)</f>
        <v/>
      </c>
      <c r="N18" s="20">
        <f>COUNTIFS(tData[SEHTrajectPeriodeDatumTijdVan],"&lt;="&amp;($A18+10/24),tData[SEHTrajectPeriodeDatumTijdTotEnMet],"&gt;"&amp;($A18+10/24),tData[Langligger01],1)</f>
        <v/>
      </c>
      <c r="O18" s="20">
        <f>COUNTIFS(tData[SEHTrajectPeriodeDatumTijdVan],"&lt;="&amp;($A18+11/24),tData[SEHTrajectPeriodeDatumTijdTotEnMet],"&gt;"&amp;($A18+11/24),tData[Langligger01],1)</f>
        <v/>
      </c>
      <c r="P18" s="20">
        <f>COUNTIFS(tData[SEHTrajectPeriodeDatumTijdVan],"&lt;="&amp;($A18+12/24),tData[SEHTrajectPeriodeDatumTijdTotEnMet],"&gt;"&amp;($A18+12/24),tData[Langligger01],1)</f>
        <v/>
      </c>
      <c r="Q18" s="20">
        <f>COUNTIFS(tData[SEHTrajectPeriodeDatumTijdVan],"&lt;="&amp;($A18+13/24),tData[SEHTrajectPeriodeDatumTijdTotEnMet],"&gt;"&amp;($A18+13/24),tData[Langligger01],1)</f>
        <v/>
      </c>
      <c r="R18" s="20">
        <f>COUNTIFS(tData[SEHTrajectPeriodeDatumTijdVan],"&lt;="&amp;($A18+14/24),tData[SEHTrajectPeriodeDatumTijdTotEnMet],"&gt;"&amp;($A18+14/24),tData[Langligger01],1)</f>
        <v/>
      </c>
      <c r="S18" s="20">
        <f>COUNTIFS(tData[SEHTrajectPeriodeDatumTijdVan],"&lt;="&amp;($A18+15/24),tData[SEHTrajectPeriodeDatumTijdTotEnMet],"&gt;"&amp;($A18+15/24),tData[Langligger01],1)</f>
        <v/>
      </c>
      <c r="T18" s="20">
        <f>COUNTIFS(tData[SEHTrajectPeriodeDatumTijdVan],"&lt;="&amp;($A18+16/24),tData[SEHTrajectPeriodeDatumTijdTotEnMet],"&gt;"&amp;($A18+16/24),tData[Langligger01],1)</f>
        <v/>
      </c>
      <c r="U18" s="20">
        <f>COUNTIFS(tData[SEHTrajectPeriodeDatumTijdVan],"&lt;="&amp;($A18+17/24),tData[SEHTrajectPeriodeDatumTijdTotEnMet],"&gt;"&amp;($A18+17/24),tData[Langligger01],1)</f>
        <v/>
      </c>
      <c r="V18" s="20">
        <f>COUNTIFS(tData[SEHTrajectPeriodeDatumTijdVan],"&lt;="&amp;($A18+18/24),tData[SEHTrajectPeriodeDatumTijdTotEnMet],"&gt;"&amp;($A18+18/24),tData[Langligger01],1)</f>
        <v/>
      </c>
      <c r="W18" s="20">
        <f>COUNTIFS(tData[SEHTrajectPeriodeDatumTijdVan],"&lt;="&amp;($A18+19/24),tData[SEHTrajectPeriodeDatumTijdTotEnMet],"&gt;"&amp;($A18+19/24),tData[Langligger01],1)</f>
        <v/>
      </c>
      <c r="X18" s="20">
        <f>COUNTIFS(tData[SEHTrajectPeriodeDatumTijdVan],"&lt;="&amp;($A18+20/24),tData[SEHTrajectPeriodeDatumTijdTotEnMet],"&gt;"&amp;($A18+20/24),tData[Langligger01],1)</f>
        <v/>
      </c>
      <c r="Y18" s="20">
        <f>COUNTIFS(tData[SEHTrajectPeriodeDatumTijdVan],"&lt;="&amp;($A18+21/24),tData[SEHTrajectPeriodeDatumTijdTotEnMet],"&gt;"&amp;($A18+21/24),tData[Langligger01],1)</f>
        <v/>
      </c>
      <c r="Z18" s="20">
        <f>COUNTIFS(tData[SEHTrajectPeriodeDatumTijdVan],"&lt;="&amp;($A18+22/24),tData[SEHTrajectPeriodeDatumTijdTotEnMet],"&gt;"&amp;($A18+22/24),tData[Langligger01],1)</f>
        <v/>
      </c>
      <c r="AA18" s="20">
        <f>COUNTIFS(tData[SEHTrajectPeriodeDatumTijdVan],"&lt;="&amp;($A18+23/24),tData[SEHTrajectPeriodeDatumTijdTotEnMet],"&gt;"&amp;($A18+23/24),tData[Langligger01],1)</f>
        <v/>
      </c>
    </row>
    <row r="19">
      <c r="A19" s="19" t="n">
        <v>45307</v>
      </c>
      <c r="B19" s="15">
        <f>WEEKDAY($A19,2)</f>
        <v/>
      </c>
      <c r="C19" s="15">
        <f>IF(AND($A19&gt;=INT(Instellingen!$B$5),$A19&lt;=INT(Instellingen!$B$6)),1,0)</f>
        <v/>
      </c>
      <c r="D19" s="20">
        <f>COUNTIFS(tData[SEHTrajectPeriodeDatumTijdVan],"&lt;="&amp;($A19+0/24),tData[SEHTrajectPeriodeDatumTijdTotEnMet],"&gt;"&amp;($A19+0/24),tData[Langligger01],1)</f>
        <v/>
      </c>
      <c r="E19" s="20">
        <f>COUNTIFS(tData[SEHTrajectPeriodeDatumTijdVan],"&lt;="&amp;($A19+1/24),tData[SEHTrajectPeriodeDatumTijdTotEnMet],"&gt;"&amp;($A19+1/24),tData[Langligger01],1)</f>
        <v/>
      </c>
      <c r="F19" s="20">
        <f>COUNTIFS(tData[SEHTrajectPeriodeDatumTijdVan],"&lt;="&amp;($A19+2/24),tData[SEHTrajectPeriodeDatumTijdTotEnMet],"&gt;"&amp;($A19+2/24),tData[Langligger01],1)</f>
        <v/>
      </c>
      <c r="G19" s="20">
        <f>COUNTIFS(tData[SEHTrajectPeriodeDatumTijdVan],"&lt;="&amp;($A19+3/24),tData[SEHTrajectPeriodeDatumTijdTotEnMet],"&gt;"&amp;($A19+3/24),tData[Langligger01],1)</f>
        <v/>
      </c>
      <c r="H19" s="20">
        <f>COUNTIFS(tData[SEHTrajectPeriodeDatumTijdVan],"&lt;="&amp;($A19+4/24),tData[SEHTrajectPeriodeDatumTijdTotEnMet],"&gt;"&amp;($A19+4/24),tData[Langligger01],1)</f>
        <v/>
      </c>
      <c r="I19" s="20">
        <f>COUNTIFS(tData[SEHTrajectPeriodeDatumTijdVan],"&lt;="&amp;($A19+5/24),tData[SEHTrajectPeriodeDatumTijdTotEnMet],"&gt;"&amp;($A19+5/24),tData[Langligger01],1)</f>
        <v/>
      </c>
      <c r="J19" s="20">
        <f>COUNTIFS(tData[SEHTrajectPeriodeDatumTijdVan],"&lt;="&amp;($A19+6/24),tData[SEHTrajectPeriodeDatumTijdTotEnMet],"&gt;"&amp;($A19+6/24),tData[Langligger01],1)</f>
        <v/>
      </c>
      <c r="K19" s="20">
        <f>COUNTIFS(tData[SEHTrajectPeriodeDatumTijdVan],"&lt;="&amp;($A19+7/24),tData[SEHTrajectPeriodeDatumTijdTotEnMet],"&gt;"&amp;($A19+7/24),tData[Langligger01],1)</f>
        <v/>
      </c>
      <c r="L19" s="20">
        <f>COUNTIFS(tData[SEHTrajectPeriodeDatumTijdVan],"&lt;="&amp;($A19+8/24),tData[SEHTrajectPeriodeDatumTijdTotEnMet],"&gt;"&amp;($A19+8/24),tData[Langligger01],1)</f>
        <v/>
      </c>
      <c r="M19" s="20">
        <f>COUNTIFS(tData[SEHTrajectPeriodeDatumTijdVan],"&lt;="&amp;($A19+9/24),tData[SEHTrajectPeriodeDatumTijdTotEnMet],"&gt;"&amp;($A19+9/24),tData[Langligger01],1)</f>
        <v/>
      </c>
      <c r="N19" s="20">
        <f>COUNTIFS(tData[SEHTrajectPeriodeDatumTijdVan],"&lt;="&amp;($A19+10/24),tData[SEHTrajectPeriodeDatumTijdTotEnMet],"&gt;"&amp;($A19+10/24),tData[Langligger01],1)</f>
        <v/>
      </c>
      <c r="O19" s="20">
        <f>COUNTIFS(tData[SEHTrajectPeriodeDatumTijdVan],"&lt;="&amp;($A19+11/24),tData[SEHTrajectPeriodeDatumTijdTotEnMet],"&gt;"&amp;($A19+11/24),tData[Langligger01],1)</f>
        <v/>
      </c>
      <c r="P19" s="20">
        <f>COUNTIFS(tData[SEHTrajectPeriodeDatumTijdVan],"&lt;="&amp;($A19+12/24),tData[SEHTrajectPeriodeDatumTijdTotEnMet],"&gt;"&amp;($A19+12/24),tData[Langligger01],1)</f>
        <v/>
      </c>
      <c r="Q19" s="20">
        <f>COUNTIFS(tData[SEHTrajectPeriodeDatumTijdVan],"&lt;="&amp;($A19+13/24),tData[SEHTrajectPeriodeDatumTijdTotEnMet],"&gt;"&amp;($A19+13/24),tData[Langligger01],1)</f>
        <v/>
      </c>
      <c r="R19" s="20">
        <f>COUNTIFS(tData[SEHTrajectPeriodeDatumTijdVan],"&lt;="&amp;($A19+14/24),tData[SEHTrajectPeriodeDatumTijdTotEnMet],"&gt;"&amp;($A19+14/24),tData[Langligger01],1)</f>
        <v/>
      </c>
      <c r="S19" s="20">
        <f>COUNTIFS(tData[SEHTrajectPeriodeDatumTijdVan],"&lt;="&amp;($A19+15/24),tData[SEHTrajectPeriodeDatumTijdTotEnMet],"&gt;"&amp;($A19+15/24),tData[Langligger01],1)</f>
        <v/>
      </c>
      <c r="T19" s="20">
        <f>COUNTIFS(tData[SEHTrajectPeriodeDatumTijdVan],"&lt;="&amp;($A19+16/24),tData[SEHTrajectPeriodeDatumTijdTotEnMet],"&gt;"&amp;($A19+16/24),tData[Langligger01],1)</f>
        <v/>
      </c>
      <c r="U19" s="20">
        <f>COUNTIFS(tData[SEHTrajectPeriodeDatumTijdVan],"&lt;="&amp;($A19+17/24),tData[SEHTrajectPeriodeDatumTijdTotEnMet],"&gt;"&amp;($A19+17/24),tData[Langligger01],1)</f>
        <v/>
      </c>
      <c r="V19" s="20">
        <f>COUNTIFS(tData[SEHTrajectPeriodeDatumTijdVan],"&lt;="&amp;($A19+18/24),tData[SEHTrajectPeriodeDatumTijdTotEnMet],"&gt;"&amp;($A19+18/24),tData[Langligger01],1)</f>
        <v/>
      </c>
      <c r="W19" s="20">
        <f>COUNTIFS(tData[SEHTrajectPeriodeDatumTijdVan],"&lt;="&amp;($A19+19/24),tData[SEHTrajectPeriodeDatumTijdTotEnMet],"&gt;"&amp;($A19+19/24),tData[Langligger01],1)</f>
        <v/>
      </c>
      <c r="X19" s="20">
        <f>COUNTIFS(tData[SEHTrajectPeriodeDatumTijdVan],"&lt;="&amp;($A19+20/24),tData[SEHTrajectPeriodeDatumTijdTotEnMet],"&gt;"&amp;($A19+20/24),tData[Langligger01],1)</f>
        <v/>
      </c>
      <c r="Y19" s="20">
        <f>COUNTIFS(tData[SEHTrajectPeriodeDatumTijdVan],"&lt;="&amp;($A19+21/24),tData[SEHTrajectPeriodeDatumTijdTotEnMet],"&gt;"&amp;($A19+21/24),tData[Langligger01],1)</f>
        <v/>
      </c>
      <c r="Z19" s="20">
        <f>COUNTIFS(tData[SEHTrajectPeriodeDatumTijdVan],"&lt;="&amp;($A19+22/24),tData[SEHTrajectPeriodeDatumTijdTotEnMet],"&gt;"&amp;($A19+22/24),tData[Langligger01],1)</f>
        <v/>
      </c>
      <c r="AA19" s="20">
        <f>COUNTIFS(tData[SEHTrajectPeriodeDatumTijdVan],"&lt;="&amp;($A19+23/24),tData[SEHTrajectPeriodeDatumTijdTotEnMet],"&gt;"&amp;($A19+23/24),tData[Langligger01],1)</f>
        <v/>
      </c>
    </row>
    <row r="20">
      <c r="A20" s="19" t="n">
        <v>45308</v>
      </c>
      <c r="B20" s="15">
        <f>WEEKDAY($A20,2)</f>
        <v/>
      </c>
      <c r="C20" s="15">
        <f>IF(AND($A20&gt;=INT(Instellingen!$B$5),$A20&lt;=INT(Instellingen!$B$6)),1,0)</f>
        <v/>
      </c>
      <c r="D20" s="20">
        <f>COUNTIFS(tData[SEHTrajectPeriodeDatumTijdVan],"&lt;="&amp;($A20+0/24),tData[SEHTrajectPeriodeDatumTijdTotEnMet],"&gt;"&amp;($A20+0/24),tData[Langligger01],1)</f>
        <v/>
      </c>
      <c r="E20" s="20">
        <f>COUNTIFS(tData[SEHTrajectPeriodeDatumTijdVan],"&lt;="&amp;($A20+1/24),tData[SEHTrajectPeriodeDatumTijdTotEnMet],"&gt;"&amp;($A20+1/24),tData[Langligger01],1)</f>
        <v/>
      </c>
      <c r="F20" s="20">
        <f>COUNTIFS(tData[SEHTrajectPeriodeDatumTijdVan],"&lt;="&amp;($A20+2/24),tData[SEHTrajectPeriodeDatumTijdTotEnMet],"&gt;"&amp;($A20+2/24),tData[Langligger01],1)</f>
        <v/>
      </c>
      <c r="G20" s="20">
        <f>COUNTIFS(tData[SEHTrajectPeriodeDatumTijdVan],"&lt;="&amp;($A20+3/24),tData[SEHTrajectPeriodeDatumTijdTotEnMet],"&gt;"&amp;($A20+3/24),tData[Langligger01],1)</f>
        <v/>
      </c>
      <c r="H20" s="20">
        <f>COUNTIFS(tData[SEHTrajectPeriodeDatumTijdVan],"&lt;="&amp;($A20+4/24),tData[SEHTrajectPeriodeDatumTijdTotEnMet],"&gt;"&amp;($A20+4/24),tData[Langligger01],1)</f>
        <v/>
      </c>
      <c r="I20" s="20">
        <f>COUNTIFS(tData[SEHTrajectPeriodeDatumTijdVan],"&lt;="&amp;($A20+5/24),tData[SEHTrajectPeriodeDatumTijdTotEnMet],"&gt;"&amp;($A20+5/24),tData[Langligger01],1)</f>
        <v/>
      </c>
      <c r="J20" s="20">
        <f>COUNTIFS(tData[SEHTrajectPeriodeDatumTijdVan],"&lt;="&amp;($A20+6/24),tData[SEHTrajectPeriodeDatumTijdTotEnMet],"&gt;"&amp;($A20+6/24),tData[Langligger01],1)</f>
        <v/>
      </c>
      <c r="K20" s="20">
        <f>COUNTIFS(tData[SEHTrajectPeriodeDatumTijdVan],"&lt;="&amp;($A20+7/24),tData[SEHTrajectPeriodeDatumTijdTotEnMet],"&gt;"&amp;($A20+7/24),tData[Langligger01],1)</f>
        <v/>
      </c>
      <c r="L20" s="20">
        <f>COUNTIFS(tData[SEHTrajectPeriodeDatumTijdVan],"&lt;="&amp;($A20+8/24),tData[SEHTrajectPeriodeDatumTijdTotEnMet],"&gt;"&amp;($A20+8/24),tData[Langligger01],1)</f>
        <v/>
      </c>
      <c r="M20" s="20">
        <f>COUNTIFS(tData[SEHTrajectPeriodeDatumTijdVan],"&lt;="&amp;($A20+9/24),tData[SEHTrajectPeriodeDatumTijdTotEnMet],"&gt;"&amp;($A20+9/24),tData[Langligger01],1)</f>
        <v/>
      </c>
      <c r="N20" s="20">
        <f>COUNTIFS(tData[SEHTrajectPeriodeDatumTijdVan],"&lt;="&amp;($A20+10/24),tData[SEHTrajectPeriodeDatumTijdTotEnMet],"&gt;"&amp;($A20+10/24),tData[Langligger01],1)</f>
        <v/>
      </c>
      <c r="O20" s="20">
        <f>COUNTIFS(tData[SEHTrajectPeriodeDatumTijdVan],"&lt;="&amp;($A20+11/24),tData[SEHTrajectPeriodeDatumTijdTotEnMet],"&gt;"&amp;($A20+11/24),tData[Langligger01],1)</f>
        <v/>
      </c>
      <c r="P20" s="20">
        <f>COUNTIFS(tData[SEHTrajectPeriodeDatumTijdVan],"&lt;="&amp;($A20+12/24),tData[SEHTrajectPeriodeDatumTijdTotEnMet],"&gt;"&amp;($A20+12/24),tData[Langligger01],1)</f>
        <v/>
      </c>
      <c r="Q20" s="20">
        <f>COUNTIFS(tData[SEHTrajectPeriodeDatumTijdVan],"&lt;="&amp;($A20+13/24),tData[SEHTrajectPeriodeDatumTijdTotEnMet],"&gt;"&amp;($A20+13/24),tData[Langligger01],1)</f>
        <v/>
      </c>
      <c r="R20" s="20">
        <f>COUNTIFS(tData[SEHTrajectPeriodeDatumTijdVan],"&lt;="&amp;($A20+14/24),tData[SEHTrajectPeriodeDatumTijdTotEnMet],"&gt;"&amp;($A20+14/24),tData[Langligger01],1)</f>
        <v/>
      </c>
      <c r="S20" s="20">
        <f>COUNTIFS(tData[SEHTrajectPeriodeDatumTijdVan],"&lt;="&amp;($A20+15/24),tData[SEHTrajectPeriodeDatumTijdTotEnMet],"&gt;"&amp;($A20+15/24),tData[Langligger01],1)</f>
        <v/>
      </c>
      <c r="T20" s="20">
        <f>COUNTIFS(tData[SEHTrajectPeriodeDatumTijdVan],"&lt;="&amp;($A20+16/24),tData[SEHTrajectPeriodeDatumTijdTotEnMet],"&gt;"&amp;($A20+16/24),tData[Langligger01],1)</f>
        <v/>
      </c>
      <c r="U20" s="20">
        <f>COUNTIFS(tData[SEHTrajectPeriodeDatumTijdVan],"&lt;="&amp;($A20+17/24),tData[SEHTrajectPeriodeDatumTijdTotEnMet],"&gt;"&amp;($A20+17/24),tData[Langligger01],1)</f>
        <v/>
      </c>
      <c r="V20" s="20">
        <f>COUNTIFS(tData[SEHTrajectPeriodeDatumTijdVan],"&lt;="&amp;($A20+18/24),tData[SEHTrajectPeriodeDatumTijdTotEnMet],"&gt;"&amp;($A20+18/24),tData[Langligger01],1)</f>
        <v/>
      </c>
      <c r="W20" s="20">
        <f>COUNTIFS(tData[SEHTrajectPeriodeDatumTijdVan],"&lt;="&amp;($A20+19/24),tData[SEHTrajectPeriodeDatumTijdTotEnMet],"&gt;"&amp;($A20+19/24),tData[Langligger01],1)</f>
        <v/>
      </c>
      <c r="X20" s="20">
        <f>COUNTIFS(tData[SEHTrajectPeriodeDatumTijdVan],"&lt;="&amp;($A20+20/24),tData[SEHTrajectPeriodeDatumTijdTotEnMet],"&gt;"&amp;($A20+20/24),tData[Langligger01],1)</f>
        <v/>
      </c>
      <c r="Y20" s="20">
        <f>COUNTIFS(tData[SEHTrajectPeriodeDatumTijdVan],"&lt;="&amp;($A20+21/24),tData[SEHTrajectPeriodeDatumTijdTotEnMet],"&gt;"&amp;($A20+21/24),tData[Langligger01],1)</f>
        <v/>
      </c>
      <c r="Z20" s="20">
        <f>COUNTIFS(tData[SEHTrajectPeriodeDatumTijdVan],"&lt;="&amp;($A20+22/24),tData[SEHTrajectPeriodeDatumTijdTotEnMet],"&gt;"&amp;($A20+22/24),tData[Langligger01],1)</f>
        <v/>
      </c>
      <c r="AA20" s="20">
        <f>COUNTIFS(tData[SEHTrajectPeriodeDatumTijdVan],"&lt;="&amp;($A20+23/24),tData[SEHTrajectPeriodeDatumTijdTotEnMet],"&gt;"&amp;($A20+23/24),tData[Langligger01],1)</f>
        <v/>
      </c>
    </row>
    <row r="21">
      <c r="A21" s="19" t="n">
        <v>45309</v>
      </c>
      <c r="B21" s="15">
        <f>WEEKDAY($A21,2)</f>
        <v/>
      </c>
      <c r="C21" s="15">
        <f>IF(AND($A21&gt;=INT(Instellingen!$B$5),$A21&lt;=INT(Instellingen!$B$6)),1,0)</f>
        <v/>
      </c>
      <c r="D21" s="20">
        <f>COUNTIFS(tData[SEHTrajectPeriodeDatumTijdVan],"&lt;="&amp;($A21+0/24),tData[SEHTrajectPeriodeDatumTijdTotEnMet],"&gt;"&amp;($A21+0/24),tData[Langligger01],1)</f>
        <v/>
      </c>
      <c r="E21" s="20">
        <f>COUNTIFS(tData[SEHTrajectPeriodeDatumTijdVan],"&lt;="&amp;($A21+1/24),tData[SEHTrajectPeriodeDatumTijdTotEnMet],"&gt;"&amp;($A21+1/24),tData[Langligger01],1)</f>
        <v/>
      </c>
      <c r="F21" s="20">
        <f>COUNTIFS(tData[SEHTrajectPeriodeDatumTijdVan],"&lt;="&amp;($A21+2/24),tData[SEHTrajectPeriodeDatumTijdTotEnMet],"&gt;"&amp;($A21+2/24),tData[Langligger01],1)</f>
        <v/>
      </c>
      <c r="G21" s="20">
        <f>COUNTIFS(tData[SEHTrajectPeriodeDatumTijdVan],"&lt;="&amp;($A21+3/24),tData[SEHTrajectPeriodeDatumTijdTotEnMet],"&gt;"&amp;($A21+3/24),tData[Langligger01],1)</f>
        <v/>
      </c>
      <c r="H21" s="20">
        <f>COUNTIFS(tData[SEHTrajectPeriodeDatumTijdVan],"&lt;="&amp;($A21+4/24),tData[SEHTrajectPeriodeDatumTijdTotEnMet],"&gt;"&amp;($A21+4/24),tData[Langligger01],1)</f>
        <v/>
      </c>
      <c r="I21" s="20">
        <f>COUNTIFS(tData[SEHTrajectPeriodeDatumTijdVan],"&lt;="&amp;($A21+5/24),tData[SEHTrajectPeriodeDatumTijdTotEnMet],"&gt;"&amp;($A21+5/24),tData[Langligger01],1)</f>
        <v/>
      </c>
      <c r="J21" s="20">
        <f>COUNTIFS(tData[SEHTrajectPeriodeDatumTijdVan],"&lt;="&amp;($A21+6/24),tData[SEHTrajectPeriodeDatumTijdTotEnMet],"&gt;"&amp;($A21+6/24),tData[Langligger01],1)</f>
        <v/>
      </c>
      <c r="K21" s="20">
        <f>COUNTIFS(tData[SEHTrajectPeriodeDatumTijdVan],"&lt;="&amp;($A21+7/24),tData[SEHTrajectPeriodeDatumTijdTotEnMet],"&gt;"&amp;($A21+7/24),tData[Langligger01],1)</f>
        <v/>
      </c>
      <c r="L21" s="20">
        <f>COUNTIFS(tData[SEHTrajectPeriodeDatumTijdVan],"&lt;="&amp;($A21+8/24),tData[SEHTrajectPeriodeDatumTijdTotEnMet],"&gt;"&amp;($A21+8/24),tData[Langligger01],1)</f>
        <v/>
      </c>
      <c r="M21" s="20">
        <f>COUNTIFS(tData[SEHTrajectPeriodeDatumTijdVan],"&lt;="&amp;($A21+9/24),tData[SEHTrajectPeriodeDatumTijdTotEnMet],"&gt;"&amp;($A21+9/24),tData[Langligger01],1)</f>
        <v/>
      </c>
      <c r="N21" s="20">
        <f>COUNTIFS(tData[SEHTrajectPeriodeDatumTijdVan],"&lt;="&amp;($A21+10/24),tData[SEHTrajectPeriodeDatumTijdTotEnMet],"&gt;"&amp;($A21+10/24),tData[Langligger01],1)</f>
        <v/>
      </c>
      <c r="O21" s="20">
        <f>COUNTIFS(tData[SEHTrajectPeriodeDatumTijdVan],"&lt;="&amp;($A21+11/24),tData[SEHTrajectPeriodeDatumTijdTotEnMet],"&gt;"&amp;($A21+11/24),tData[Langligger01],1)</f>
        <v/>
      </c>
      <c r="P21" s="20">
        <f>COUNTIFS(tData[SEHTrajectPeriodeDatumTijdVan],"&lt;="&amp;($A21+12/24),tData[SEHTrajectPeriodeDatumTijdTotEnMet],"&gt;"&amp;($A21+12/24),tData[Langligger01],1)</f>
        <v/>
      </c>
      <c r="Q21" s="20">
        <f>COUNTIFS(tData[SEHTrajectPeriodeDatumTijdVan],"&lt;="&amp;($A21+13/24),tData[SEHTrajectPeriodeDatumTijdTotEnMet],"&gt;"&amp;($A21+13/24),tData[Langligger01],1)</f>
        <v/>
      </c>
      <c r="R21" s="20">
        <f>COUNTIFS(tData[SEHTrajectPeriodeDatumTijdVan],"&lt;="&amp;($A21+14/24),tData[SEHTrajectPeriodeDatumTijdTotEnMet],"&gt;"&amp;($A21+14/24),tData[Langligger01],1)</f>
        <v/>
      </c>
      <c r="S21" s="20">
        <f>COUNTIFS(tData[SEHTrajectPeriodeDatumTijdVan],"&lt;="&amp;($A21+15/24),tData[SEHTrajectPeriodeDatumTijdTotEnMet],"&gt;"&amp;($A21+15/24),tData[Langligger01],1)</f>
        <v/>
      </c>
      <c r="T21" s="20">
        <f>COUNTIFS(tData[SEHTrajectPeriodeDatumTijdVan],"&lt;="&amp;($A21+16/24),tData[SEHTrajectPeriodeDatumTijdTotEnMet],"&gt;"&amp;($A21+16/24),tData[Langligger01],1)</f>
        <v/>
      </c>
      <c r="U21" s="20">
        <f>COUNTIFS(tData[SEHTrajectPeriodeDatumTijdVan],"&lt;="&amp;($A21+17/24),tData[SEHTrajectPeriodeDatumTijdTotEnMet],"&gt;"&amp;($A21+17/24),tData[Langligger01],1)</f>
        <v/>
      </c>
      <c r="V21" s="20">
        <f>COUNTIFS(tData[SEHTrajectPeriodeDatumTijdVan],"&lt;="&amp;($A21+18/24),tData[SEHTrajectPeriodeDatumTijdTotEnMet],"&gt;"&amp;($A21+18/24),tData[Langligger01],1)</f>
        <v/>
      </c>
      <c r="W21" s="20">
        <f>COUNTIFS(tData[SEHTrajectPeriodeDatumTijdVan],"&lt;="&amp;($A21+19/24),tData[SEHTrajectPeriodeDatumTijdTotEnMet],"&gt;"&amp;($A21+19/24),tData[Langligger01],1)</f>
        <v/>
      </c>
      <c r="X21" s="20">
        <f>COUNTIFS(tData[SEHTrajectPeriodeDatumTijdVan],"&lt;="&amp;($A21+20/24),tData[SEHTrajectPeriodeDatumTijdTotEnMet],"&gt;"&amp;($A21+20/24),tData[Langligger01],1)</f>
        <v/>
      </c>
      <c r="Y21" s="20">
        <f>COUNTIFS(tData[SEHTrajectPeriodeDatumTijdVan],"&lt;="&amp;($A21+21/24),tData[SEHTrajectPeriodeDatumTijdTotEnMet],"&gt;"&amp;($A21+21/24),tData[Langligger01],1)</f>
        <v/>
      </c>
      <c r="Z21" s="20">
        <f>COUNTIFS(tData[SEHTrajectPeriodeDatumTijdVan],"&lt;="&amp;($A21+22/24),tData[SEHTrajectPeriodeDatumTijdTotEnMet],"&gt;"&amp;($A21+22/24),tData[Langligger01],1)</f>
        <v/>
      </c>
      <c r="AA21" s="20">
        <f>COUNTIFS(tData[SEHTrajectPeriodeDatumTijdVan],"&lt;="&amp;($A21+23/24),tData[SEHTrajectPeriodeDatumTijdTotEnMet],"&gt;"&amp;($A21+23/24),tData[Langligger01],1)</f>
        <v/>
      </c>
    </row>
    <row r="22">
      <c r="A22" s="19" t="n">
        <v>45310</v>
      </c>
      <c r="B22" s="15">
        <f>WEEKDAY($A22,2)</f>
        <v/>
      </c>
      <c r="C22" s="15">
        <f>IF(AND($A22&gt;=INT(Instellingen!$B$5),$A22&lt;=INT(Instellingen!$B$6)),1,0)</f>
        <v/>
      </c>
      <c r="D22" s="20">
        <f>COUNTIFS(tData[SEHTrajectPeriodeDatumTijdVan],"&lt;="&amp;($A22+0/24),tData[SEHTrajectPeriodeDatumTijdTotEnMet],"&gt;"&amp;($A22+0/24),tData[Langligger01],1)</f>
        <v/>
      </c>
      <c r="E22" s="20">
        <f>COUNTIFS(tData[SEHTrajectPeriodeDatumTijdVan],"&lt;="&amp;($A22+1/24),tData[SEHTrajectPeriodeDatumTijdTotEnMet],"&gt;"&amp;($A22+1/24),tData[Langligger01],1)</f>
        <v/>
      </c>
      <c r="F22" s="20">
        <f>COUNTIFS(tData[SEHTrajectPeriodeDatumTijdVan],"&lt;="&amp;($A22+2/24),tData[SEHTrajectPeriodeDatumTijdTotEnMet],"&gt;"&amp;($A22+2/24),tData[Langligger01],1)</f>
        <v/>
      </c>
      <c r="G22" s="20">
        <f>COUNTIFS(tData[SEHTrajectPeriodeDatumTijdVan],"&lt;="&amp;($A22+3/24),tData[SEHTrajectPeriodeDatumTijdTotEnMet],"&gt;"&amp;($A22+3/24),tData[Langligger01],1)</f>
        <v/>
      </c>
      <c r="H22" s="20">
        <f>COUNTIFS(tData[SEHTrajectPeriodeDatumTijdVan],"&lt;="&amp;($A22+4/24),tData[SEHTrajectPeriodeDatumTijdTotEnMet],"&gt;"&amp;($A22+4/24),tData[Langligger01],1)</f>
        <v/>
      </c>
      <c r="I22" s="20">
        <f>COUNTIFS(tData[SEHTrajectPeriodeDatumTijdVan],"&lt;="&amp;($A22+5/24),tData[SEHTrajectPeriodeDatumTijdTotEnMet],"&gt;"&amp;($A22+5/24),tData[Langligger01],1)</f>
        <v/>
      </c>
      <c r="J22" s="20">
        <f>COUNTIFS(tData[SEHTrajectPeriodeDatumTijdVan],"&lt;="&amp;($A22+6/24),tData[SEHTrajectPeriodeDatumTijdTotEnMet],"&gt;"&amp;($A22+6/24),tData[Langligger01],1)</f>
        <v/>
      </c>
      <c r="K22" s="20">
        <f>COUNTIFS(tData[SEHTrajectPeriodeDatumTijdVan],"&lt;="&amp;($A22+7/24),tData[SEHTrajectPeriodeDatumTijdTotEnMet],"&gt;"&amp;($A22+7/24),tData[Langligger01],1)</f>
        <v/>
      </c>
      <c r="L22" s="20">
        <f>COUNTIFS(tData[SEHTrajectPeriodeDatumTijdVan],"&lt;="&amp;($A22+8/24),tData[SEHTrajectPeriodeDatumTijdTotEnMet],"&gt;"&amp;($A22+8/24),tData[Langligger01],1)</f>
        <v/>
      </c>
      <c r="M22" s="20">
        <f>COUNTIFS(tData[SEHTrajectPeriodeDatumTijdVan],"&lt;="&amp;($A22+9/24),tData[SEHTrajectPeriodeDatumTijdTotEnMet],"&gt;"&amp;($A22+9/24),tData[Langligger01],1)</f>
        <v/>
      </c>
      <c r="N22" s="20">
        <f>COUNTIFS(tData[SEHTrajectPeriodeDatumTijdVan],"&lt;="&amp;($A22+10/24),tData[SEHTrajectPeriodeDatumTijdTotEnMet],"&gt;"&amp;($A22+10/24),tData[Langligger01],1)</f>
        <v/>
      </c>
      <c r="O22" s="20">
        <f>COUNTIFS(tData[SEHTrajectPeriodeDatumTijdVan],"&lt;="&amp;($A22+11/24),tData[SEHTrajectPeriodeDatumTijdTotEnMet],"&gt;"&amp;($A22+11/24),tData[Langligger01],1)</f>
        <v/>
      </c>
      <c r="P22" s="20">
        <f>COUNTIFS(tData[SEHTrajectPeriodeDatumTijdVan],"&lt;="&amp;($A22+12/24),tData[SEHTrajectPeriodeDatumTijdTotEnMet],"&gt;"&amp;($A22+12/24),tData[Langligger01],1)</f>
        <v/>
      </c>
      <c r="Q22" s="20">
        <f>COUNTIFS(tData[SEHTrajectPeriodeDatumTijdVan],"&lt;="&amp;($A22+13/24),tData[SEHTrajectPeriodeDatumTijdTotEnMet],"&gt;"&amp;($A22+13/24),tData[Langligger01],1)</f>
        <v/>
      </c>
      <c r="R22" s="20">
        <f>COUNTIFS(tData[SEHTrajectPeriodeDatumTijdVan],"&lt;="&amp;($A22+14/24),tData[SEHTrajectPeriodeDatumTijdTotEnMet],"&gt;"&amp;($A22+14/24),tData[Langligger01],1)</f>
        <v/>
      </c>
      <c r="S22" s="20">
        <f>COUNTIFS(tData[SEHTrajectPeriodeDatumTijdVan],"&lt;="&amp;($A22+15/24),tData[SEHTrajectPeriodeDatumTijdTotEnMet],"&gt;"&amp;($A22+15/24),tData[Langligger01],1)</f>
        <v/>
      </c>
      <c r="T22" s="20">
        <f>COUNTIFS(tData[SEHTrajectPeriodeDatumTijdVan],"&lt;="&amp;($A22+16/24),tData[SEHTrajectPeriodeDatumTijdTotEnMet],"&gt;"&amp;($A22+16/24),tData[Langligger01],1)</f>
        <v/>
      </c>
      <c r="U22" s="20">
        <f>COUNTIFS(tData[SEHTrajectPeriodeDatumTijdVan],"&lt;="&amp;($A22+17/24),tData[SEHTrajectPeriodeDatumTijdTotEnMet],"&gt;"&amp;($A22+17/24),tData[Langligger01],1)</f>
        <v/>
      </c>
      <c r="V22" s="20">
        <f>COUNTIFS(tData[SEHTrajectPeriodeDatumTijdVan],"&lt;="&amp;($A22+18/24),tData[SEHTrajectPeriodeDatumTijdTotEnMet],"&gt;"&amp;($A22+18/24),tData[Langligger01],1)</f>
        <v/>
      </c>
      <c r="W22" s="20">
        <f>COUNTIFS(tData[SEHTrajectPeriodeDatumTijdVan],"&lt;="&amp;($A22+19/24),tData[SEHTrajectPeriodeDatumTijdTotEnMet],"&gt;"&amp;($A22+19/24),tData[Langligger01],1)</f>
        <v/>
      </c>
      <c r="X22" s="20">
        <f>COUNTIFS(tData[SEHTrajectPeriodeDatumTijdVan],"&lt;="&amp;($A22+20/24),tData[SEHTrajectPeriodeDatumTijdTotEnMet],"&gt;"&amp;($A22+20/24),tData[Langligger01],1)</f>
        <v/>
      </c>
      <c r="Y22" s="20">
        <f>COUNTIFS(tData[SEHTrajectPeriodeDatumTijdVan],"&lt;="&amp;($A22+21/24),tData[SEHTrajectPeriodeDatumTijdTotEnMet],"&gt;"&amp;($A22+21/24),tData[Langligger01],1)</f>
        <v/>
      </c>
      <c r="Z22" s="20">
        <f>COUNTIFS(tData[SEHTrajectPeriodeDatumTijdVan],"&lt;="&amp;($A22+22/24),tData[SEHTrajectPeriodeDatumTijdTotEnMet],"&gt;"&amp;($A22+22/24),tData[Langligger01],1)</f>
        <v/>
      </c>
      <c r="AA22" s="20">
        <f>COUNTIFS(tData[SEHTrajectPeriodeDatumTijdVan],"&lt;="&amp;($A22+23/24),tData[SEHTrajectPeriodeDatumTijdTotEnMet],"&gt;"&amp;($A22+23/24),tData[Langligger01],1)</f>
        <v/>
      </c>
    </row>
    <row r="23">
      <c r="A23" s="19" t="n">
        <v>45311</v>
      </c>
      <c r="B23" s="15">
        <f>WEEKDAY($A23,2)</f>
        <v/>
      </c>
      <c r="C23" s="15">
        <f>IF(AND($A23&gt;=INT(Instellingen!$B$5),$A23&lt;=INT(Instellingen!$B$6)),1,0)</f>
        <v/>
      </c>
      <c r="D23" s="20">
        <f>COUNTIFS(tData[SEHTrajectPeriodeDatumTijdVan],"&lt;="&amp;($A23+0/24),tData[SEHTrajectPeriodeDatumTijdTotEnMet],"&gt;"&amp;($A23+0/24),tData[Langligger01],1)</f>
        <v/>
      </c>
      <c r="E23" s="20">
        <f>COUNTIFS(tData[SEHTrajectPeriodeDatumTijdVan],"&lt;="&amp;($A23+1/24),tData[SEHTrajectPeriodeDatumTijdTotEnMet],"&gt;"&amp;($A23+1/24),tData[Langligger01],1)</f>
        <v/>
      </c>
      <c r="F23" s="20">
        <f>COUNTIFS(tData[SEHTrajectPeriodeDatumTijdVan],"&lt;="&amp;($A23+2/24),tData[SEHTrajectPeriodeDatumTijdTotEnMet],"&gt;"&amp;($A23+2/24),tData[Langligger01],1)</f>
        <v/>
      </c>
      <c r="G23" s="20">
        <f>COUNTIFS(tData[SEHTrajectPeriodeDatumTijdVan],"&lt;="&amp;($A23+3/24),tData[SEHTrajectPeriodeDatumTijdTotEnMet],"&gt;"&amp;($A23+3/24),tData[Langligger01],1)</f>
        <v/>
      </c>
      <c r="H23" s="20">
        <f>COUNTIFS(tData[SEHTrajectPeriodeDatumTijdVan],"&lt;="&amp;($A23+4/24),tData[SEHTrajectPeriodeDatumTijdTotEnMet],"&gt;"&amp;($A23+4/24),tData[Langligger01],1)</f>
        <v/>
      </c>
      <c r="I23" s="20">
        <f>COUNTIFS(tData[SEHTrajectPeriodeDatumTijdVan],"&lt;="&amp;($A23+5/24),tData[SEHTrajectPeriodeDatumTijdTotEnMet],"&gt;"&amp;($A23+5/24),tData[Langligger01],1)</f>
        <v/>
      </c>
      <c r="J23" s="20">
        <f>COUNTIFS(tData[SEHTrajectPeriodeDatumTijdVan],"&lt;="&amp;($A23+6/24),tData[SEHTrajectPeriodeDatumTijdTotEnMet],"&gt;"&amp;($A23+6/24),tData[Langligger01],1)</f>
        <v/>
      </c>
      <c r="K23" s="20">
        <f>COUNTIFS(tData[SEHTrajectPeriodeDatumTijdVan],"&lt;="&amp;($A23+7/24),tData[SEHTrajectPeriodeDatumTijdTotEnMet],"&gt;"&amp;($A23+7/24),tData[Langligger01],1)</f>
        <v/>
      </c>
      <c r="L23" s="20">
        <f>COUNTIFS(tData[SEHTrajectPeriodeDatumTijdVan],"&lt;="&amp;($A23+8/24),tData[SEHTrajectPeriodeDatumTijdTotEnMet],"&gt;"&amp;($A23+8/24),tData[Langligger01],1)</f>
        <v/>
      </c>
      <c r="M23" s="20">
        <f>COUNTIFS(tData[SEHTrajectPeriodeDatumTijdVan],"&lt;="&amp;($A23+9/24),tData[SEHTrajectPeriodeDatumTijdTotEnMet],"&gt;"&amp;($A23+9/24),tData[Langligger01],1)</f>
        <v/>
      </c>
      <c r="N23" s="20">
        <f>COUNTIFS(tData[SEHTrajectPeriodeDatumTijdVan],"&lt;="&amp;($A23+10/24),tData[SEHTrajectPeriodeDatumTijdTotEnMet],"&gt;"&amp;($A23+10/24),tData[Langligger01],1)</f>
        <v/>
      </c>
      <c r="O23" s="20">
        <f>COUNTIFS(tData[SEHTrajectPeriodeDatumTijdVan],"&lt;="&amp;($A23+11/24),tData[SEHTrajectPeriodeDatumTijdTotEnMet],"&gt;"&amp;($A23+11/24),tData[Langligger01],1)</f>
        <v/>
      </c>
      <c r="P23" s="20">
        <f>COUNTIFS(tData[SEHTrajectPeriodeDatumTijdVan],"&lt;="&amp;($A23+12/24),tData[SEHTrajectPeriodeDatumTijdTotEnMet],"&gt;"&amp;($A23+12/24),tData[Langligger01],1)</f>
        <v/>
      </c>
      <c r="Q23" s="20">
        <f>COUNTIFS(tData[SEHTrajectPeriodeDatumTijdVan],"&lt;="&amp;($A23+13/24),tData[SEHTrajectPeriodeDatumTijdTotEnMet],"&gt;"&amp;($A23+13/24),tData[Langligger01],1)</f>
        <v/>
      </c>
      <c r="R23" s="20">
        <f>COUNTIFS(tData[SEHTrajectPeriodeDatumTijdVan],"&lt;="&amp;($A23+14/24),tData[SEHTrajectPeriodeDatumTijdTotEnMet],"&gt;"&amp;($A23+14/24),tData[Langligger01],1)</f>
        <v/>
      </c>
      <c r="S23" s="20">
        <f>COUNTIFS(tData[SEHTrajectPeriodeDatumTijdVan],"&lt;="&amp;($A23+15/24),tData[SEHTrajectPeriodeDatumTijdTotEnMet],"&gt;"&amp;($A23+15/24),tData[Langligger01],1)</f>
        <v/>
      </c>
      <c r="T23" s="20">
        <f>COUNTIFS(tData[SEHTrajectPeriodeDatumTijdVan],"&lt;="&amp;($A23+16/24),tData[SEHTrajectPeriodeDatumTijdTotEnMet],"&gt;"&amp;($A23+16/24),tData[Langligger01],1)</f>
        <v/>
      </c>
      <c r="U23" s="20">
        <f>COUNTIFS(tData[SEHTrajectPeriodeDatumTijdVan],"&lt;="&amp;($A23+17/24),tData[SEHTrajectPeriodeDatumTijdTotEnMet],"&gt;"&amp;($A23+17/24),tData[Langligger01],1)</f>
        <v/>
      </c>
      <c r="V23" s="20">
        <f>COUNTIFS(tData[SEHTrajectPeriodeDatumTijdVan],"&lt;="&amp;($A23+18/24),tData[SEHTrajectPeriodeDatumTijdTotEnMet],"&gt;"&amp;($A23+18/24),tData[Langligger01],1)</f>
        <v/>
      </c>
      <c r="W23" s="20">
        <f>COUNTIFS(tData[SEHTrajectPeriodeDatumTijdVan],"&lt;="&amp;($A23+19/24),tData[SEHTrajectPeriodeDatumTijdTotEnMet],"&gt;"&amp;($A23+19/24),tData[Langligger01],1)</f>
        <v/>
      </c>
      <c r="X23" s="20">
        <f>COUNTIFS(tData[SEHTrajectPeriodeDatumTijdVan],"&lt;="&amp;($A23+20/24),tData[SEHTrajectPeriodeDatumTijdTotEnMet],"&gt;"&amp;($A23+20/24),tData[Langligger01],1)</f>
        <v/>
      </c>
      <c r="Y23" s="20">
        <f>COUNTIFS(tData[SEHTrajectPeriodeDatumTijdVan],"&lt;="&amp;($A23+21/24),tData[SEHTrajectPeriodeDatumTijdTotEnMet],"&gt;"&amp;($A23+21/24),tData[Langligger01],1)</f>
        <v/>
      </c>
      <c r="Z23" s="20">
        <f>COUNTIFS(tData[SEHTrajectPeriodeDatumTijdVan],"&lt;="&amp;($A23+22/24),tData[SEHTrajectPeriodeDatumTijdTotEnMet],"&gt;"&amp;($A23+22/24),tData[Langligger01],1)</f>
        <v/>
      </c>
      <c r="AA23" s="20">
        <f>COUNTIFS(tData[SEHTrajectPeriodeDatumTijdVan],"&lt;="&amp;($A23+23/24),tData[SEHTrajectPeriodeDatumTijdTotEnMet],"&gt;"&amp;($A23+23/24),tData[Langligger01],1)</f>
        <v/>
      </c>
    </row>
    <row r="24">
      <c r="A24" s="19" t="n">
        <v>45312</v>
      </c>
      <c r="B24" s="15">
        <f>WEEKDAY($A24,2)</f>
        <v/>
      </c>
      <c r="C24" s="15">
        <f>IF(AND($A24&gt;=INT(Instellingen!$B$5),$A24&lt;=INT(Instellingen!$B$6)),1,0)</f>
        <v/>
      </c>
      <c r="D24" s="20">
        <f>COUNTIFS(tData[SEHTrajectPeriodeDatumTijdVan],"&lt;="&amp;($A24+0/24),tData[SEHTrajectPeriodeDatumTijdTotEnMet],"&gt;"&amp;($A24+0/24),tData[Langligger01],1)</f>
        <v/>
      </c>
      <c r="E24" s="20">
        <f>COUNTIFS(tData[SEHTrajectPeriodeDatumTijdVan],"&lt;="&amp;($A24+1/24),tData[SEHTrajectPeriodeDatumTijdTotEnMet],"&gt;"&amp;($A24+1/24),tData[Langligger01],1)</f>
        <v/>
      </c>
      <c r="F24" s="20">
        <f>COUNTIFS(tData[SEHTrajectPeriodeDatumTijdVan],"&lt;="&amp;($A24+2/24),tData[SEHTrajectPeriodeDatumTijdTotEnMet],"&gt;"&amp;($A24+2/24),tData[Langligger01],1)</f>
        <v/>
      </c>
      <c r="G24" s="20">
        <f>COUNTIFS(tData[SEHTrajectPeriodeDatumTijdVan],"&lt;="&amp;($A24+3/24),tData[SEHTrajectPeriodeDatumTijdTotEnMet],"&gt;"&amp;($A24+3/24),tData[Langligger01],1)</f>
        <v/>
      </c>
      <c r="H24" s="20">
        <f>COUNTIFS(tData[SEHTrajectPeriodeDatumTijdVan],"&lt;="&amp;($A24+4/24),tData[SEHTrajectPeriodeDatumTijdTotEnMet],"&gt;"&amp;($A24+4/24),tData[Langligger01],1)</f>
        <v/>
      </c>
      <c r="I24" s="20">
        <f>COUNTIFS(tData[SEHTrajectPeriodeDatumTijdVan],"&lt;="&amp;($A24+5/24),tData[SEHTrajectPeriodeDatumTijdTotEnMet],"&gt;"&amp;($A24+5/24),tData[Langligger01],1)</f>
        <v/>
      </c>
      <c r="J24" s="20">
        <f>COUNTIFS(tData[SEHTrajectPeriodeDatumTijdVan],"&lt;="&amp;($A24+6/24),tData[SEHTrajectPeriodeDatumTijdTotEnMet],"&gt;"&amp;($A24+6/24),tData[Langligger01],1)</f>
        <v/>
      </c>
      <c r="K24" s="20">
        <f>COUNTIFS(tData[SEHTrajectPeriodeDatumTijdVan],"&lt;="&amp;($A24+7/24),tData[SEHTrajectPeriodeDatumTijdTotEnMet],"&gt;"&amp;($A24+7/24),tData[Langligger01],1)</f>
        <v/>
      </c>
      <c r="L24" s="20">
        <f>COUNTIFS(tData[SEHTrajectPeriodeDatumTijdVan],"&lt;="&amp;($A24+8/24),tData[SEHTrajectPeriodeDatumTijdTotEnMet],"&gt;"&amp;($A24+8/24),tData[Langligger01],1)</f>
        <v/>
      </c>
      <c r="M24" s="20">
        <f>COUNTIFS(tData[SEHTrajectPeriodeDatumTijdVan],"&lt;="&amp;($A24+9/24),tData[SEHTrajectPeriodeDatumTijdTotEnMet],"&gt;"&amp;($A24+9/24),tData[Langligger01],1)</f>
        <v/>
      </c>
      <c r="N24" s="20">
        <f>COUNTIFS(tData[SEHTrajectPeriodeDatumTijdVan],"&lt;="&amp;($A24+10/24),tData[SEHTrajectPeriodeDatumTijdTotEnMet],"&gt;"&amp;($A24+10/24),tData[Langligger01],1)</f>
        <v/>
      </c>
      <c r="O24" s="20">
        <f>COUNTIFS(tData[SEHTrajectPeriodeDatumTijdVan],"&lt;="&amp;($A24+11/24),tData[SEHTrajectPeriodeDatumTijdTotEnMet],"&gt;"&amp;($A24+11/24),tData[Langligger01],1)</f>
        <v/>
      </c>
      <c r="P24" s="20">
        <f>COUNTIFS(tData[SEHTrajectPeriodeDatumTijdVan],"&lt;="&amp;($A24+12/24),tData[SEHTrajectPeriodeDatumTijdTotEnMet],"&gt;"&amp;($A24+12/24),tData[Langligger01],1)</f>
        <v/>
      </c>
      <c r="Q24" s="20">
        <f>COUNTIFS(tData[SEHTrajectPeriodeDatumTijdVan],"&lt;="&amp;($A24+13/24),tData[SEHTrajectPeriodeDatumTijdTotEnMet],"&gt;"&amp;($A24+13/24),tData[Langligger01],1)</f>
        <v/>
      </c>
      <c r="R24" s="20">
        <f>COUNTIFS(tData[SEHTrajectPeriodeDatumTijdVan],"&lt;="&amp;($A24+14/24),tData[SEHTrajectPeriodeDatumTijdTotEnMet],"&gt;"&amp;($A24+14/24),tData[Langligger01],1)</f>
        <v/>
      </c>
      <c r="S24" s="20">
        <f>COUNTIFS(tData[SEHTrajectPeriodeDatumTijdVan],"&lt;="&amp;($A24+15/24),tData[SEHTrajectPeriodeDatumTijdTotEnMet],"&gt;"&amp;($A24+15/24),tData[Langligger01],1)</f>
        <v/>
      </c>
      <c r="T24" s="20">
        <f>COUNTIFS(tData[SEHTrajectPeriodeDatumTijdVan],"&lt;="&amp;($A24+16/24),tData[SEHTrajectPeriodeDatumTijdTotEnMet],"&gt;"&amp;($A24+16/24),tData[Langligger01],1)</f>
        <v/>
      </c>
      <c r="U24" s="20">
        <f>COUNTIFS(tData[SEHTrajectPeriodeDatumTijdVan],"&lt;="&amp;($A24+17/24),tData[SEHTrajectPeriodeDatumTijdTotEnMet],"&gt;"&amp;($A24+17/24),tData[Langligger01],1)</f>
        <v/>
      </c>
      <c r="V24" s="20">
        <f>COUNTIFS(tData[SEHTrajectPeriodeDatumTijdVan],"&lt;="&amp;($A24+18/24),tData[SEHTrajectPeriodeDatumTijdTotEnMet],"&gt;"&amp;($A24+18/24),tData[Langligger01],1)</f>
        <v/>
      </c>
      <c r="W24" s="20">
        <f>COUNTIFS(tData[SEHTrajectPeriodeDatumTijdVan],"&lt;="&amp;($A24+19/24),tData[SEHTrajectPeriodeDatumTijdTotEnMet],"&gt;"&amp;($A24+19/24),tData[Langligger01],1)</f>
        <v/>
      </c>
      <c r="X24" s="20">
        <f>COUNTIFS(tData[SEHTrajectPeriodeDatumTijdVan],"&lt;="&amp;($A24+20/24),tData[SEHTrajectPeriodeDatumTijdTotEnMet],"&gt;"&amp;($A24+20/24),tData[Langligger01],1)</f>
        <v/>
      </c>
      <c r="Y24" s="20">
        <f>COUNTIFS(tData[SEHTrajectPeriodeDatumTijdVan],"&lt;="&amp;($A24+21/24),tData[SEHTrajectPeriodeDatumTijdTotEnMet],"&gt;"&amp;($A24+21/24),tData[Langligger01],1)</f>
        <v/>
      </c>
      <c r="Z24" s="20">
        <f>COUNTIFS(tData[SEHTrajectPeriodeDatumTijdVan],"&lt;="&amp;($A24+22/24),tData[SEHTrajectPeriodeDatumTijdTotEnMet],"&gt;"&amp;($A24+22/24),tData[Langligger01],1)</f>
        <v/>
      </c>
      <c r="AA24" s="20">
        <f>COUNTIFS(tData[SEHTrajectPeriodeDatumTijdVan],"&lt;="&amp;($A24+23/24),tData[SEHTrajectPeriodeDatumTijdTotEnMet],"&gt;"&amp;($A24+23/24),tData[Langligger01],1)</f>
        <v/>
      </c>
    </row>
    <row r="25">
      <c r="A25" s="19" t="n">
        <v>45313</v>
      </c>
      <c r="B25" s="15">
        <f>WEEKDAY($A25,2)</f>
        <v/>
      </c>
      <c r="C25" s="15">
        <f>IF(AND($A25&gt;=INT(Instellingen!$B$5),$A25&lt;=INT(Instellingen!$B$6)),1,0)</f>
        <v/>
      </c>
      <c r="D25" s="20">
        <f>COUNTIFS(tData[SEHTrajectPeriodeDatumTijdVan],"&lt;="&amp;($A25+0/24),tData[SEHTrajectPeriodeDatumTijdTotEnMet],"&gt;"&amp;($A25+0/24),tData[Langligger01],1)</f>
        <v/>
      </c>
      <c r="E25" s="20">
        <f>COUNTIFS(tData[SEHTrajectPeriodeDatumTijdVan],"&lt;="&amp;($A25+1/24),tData[SEHTrajectPeriodeDatumTijdTotEnMet],"&gt;"&amp;($A25+1/24),tData[Langligger01],1)</f>
        <v/>
      </c>
      <c r="F25" s="20">
        <f>COUNTIFS(tData[SEHTrajectPeriodeDatumTijdVan],"&lt;="&amp;($A25+2/24),tData[SEHTrajectPeriodeDatumTijdTotEnMet],"&gt;"&amp;($A25+2/24),tData[Langligger01],1)</f>
        <v/>
      </c>
      <c r="G25" s="20">
        <f>COUNTIFS(tData[SEHTrajectPeriodeDatumTijdVan],"&lt;="&amp;($A25+3/24),tData[SEHTrajectPeriodeDatumTijdTotEnMet],"&gt;"&amp;($A25+3/24),tData[Langligger01],1)</f>
        <v/>
      </c>
      <c r="H25" s="20">
        <f>COUNTIFS(tData[SEHTrajectPeriodeDatumTijdVan],"&lt;="&amp;($A25+4/24),tData[SEHTrajectPeriodeDatumTijdTotEnMet],"&gt;"&amp;($A25+4/24),tData[Langligger01],1)</f>
        <v/>
      </c>
      <c r="I25" s="20">
        <f>COUNTIFS(tData[SEHTrajectPeriodeDatumTijdVan],"&lt;="&amp;($A25+5/24),tData[SEHTrajectPeriodeDatumTijdTotEnMet],"&gt;"&amp;($A25+5/24),tData[Langligger01],1)</f>
        <v/>
      </c>
      <c r="J25" s="20">
        <f>COUNTIFS(tData[SEHTrajectPeriodeDatumTijdVan],"&lt;="&amp;($A25+6/24),tData[SEHTrajectPeriodeDatumTijdTotEnMet],"&gt;"&amp;($A25+6/24),tData[Langligger01],1)</f>
        <v/>
      </c>
      <c r="K25" s="20">
        <f>COUNTIFS(tData[SEHTrajectPeriodeDatumTijdVan],"&lt;="&amp;($A25+7/24),tData[SEHTrajectPeriodeDatumTijdTotEnMet],"&gt;"&amp;($A25+7/24),tData[Langligger01],1)</f>
        <v/>
      </c>
      <c r="L25" s="20">
        <f>COUNTIFS(tData[SEHTrajectPeriodeDatumTijdVan],"&lt;="&amp;($A25+8/24),tData[SEHTrajectPeriodeDatumTijdTotEnMet],"&gt;"&amp;($A25+8/24),tData[Langligger01],1)</f>
        <v/>
      </c>
      <c r="M25" s="20">
        <f>COUNTIFS(tData[SEHTrajectPeriodeDatumTijdVan],"&lt;="&amp;($A25+9/24),tData[SEHTrajectPeriodeDatumTijdTotEnMet],"&gt;"&amp;($A25+9/24),tData[Langligger01],1)</f>
        <v/>
      </c>
      <c r="N25" s="20">
        <f>COUNTIFS(tData[SEHTrajectPeriodeDatumTijdVan],"&lt;="&amp;($A25+10/24),tData[SEHTrajectPeriodeDatumTijdTotEnMet],"&gt;"&amp;($A25+10/24),tData[Langligger01],1)</f>
        <v/>
      </c>
      <c r="O25" s="20">
        <f>COUNTIFS(tData[SEHTrajectPeriodeDatumTijdVan],"&lt;="&amp;($A25+11/24),tData[SEHTrajectPeriodeDatumTijdTotEnMet],"&gt;"&amp;($A25+11/24),tData[Langligger01],1)</f>
        <v/>
      </c>
      <c r="P25" s="20">
        <f>COUNTIFS(tData[SEHTrajectPeriodeDatumTijdVan],"&lt;="&amp;($A25+12/24),tData[SEHTrajectPeriodeDatumTijdTotEnMet],"&gt;"&amp;($A25+12/24),tData[Langligger01],1)</f>
        <v/>
      </c>
      <c r="Q25" s="20">
        <f>COUNTIFS(tData[SEHTrajectPeriodeDatumTijdVan],"&lt;="&amp;($A25+13/24),tData[SEHTrajectPeriodeDatumTijdTotEnMet],"&gt;"&amp;($A25+13/24),tData[Langligger01],1)</f>
        <v/>
      </c>
      <c r="R25" s="20">
        <f>COUNTIFS(tData[SEHTrajectPeriodeDatumTijdVan],"&lt;="&amp;($A25+14/24),tData[SEHTrajectPeriodeDatumTijdTotEnMet],"&gt;"&amp;($A25+14/24),tData[Langligger01],1)</f>
        <v/>
      </c>
      <c r="S25" s="20">
        <f>COUNTIFS(tData[SEHTrajectPeriodeDatumTijdVan],"&lt;="&amp;($A25+15/24),tData[SEHTrajectPeriodeDatumTijdTotEnMet],"&gt;"&amp;($A25+15/24),tData[Langligger01],1)</f>
        <v/>
      </c>
      <c r="T25" s="20">
        <f>COUNTIFS(tData[SEHTrajectPeriodeDatumTijdVan],"&lt;="&amp;($A25+16/24),tData[SEHTrajectPeriodeDatumTijdTotEnMet],"&gt;"&amp;($A25+16/24),tData[Langligger01],1)</f>
        <v/>
      </c>
      <c r="U25" s="20">
        <f>COUNTIFS(tData[SEHTrajectPeriodeDatumTijdVan],"&lt;="&amp;($A25+17/24),tData[SEHTrajectPeriodeDatumTijdTotEnMet],"&gt;"&amp;($A25+17/24),tData[Langligger01],1)</f>
        <v/>
      </c>
      <c r="V25" s="20">
        <f>COUNTIFS(tData[SEHTrajectPeriodeDatumTijdVan],"&lt;="&amp;($A25+18/24),tData[SEHTrajectPeriodeDatumTijdTotEnMet],"&gt;"&amp;($A25+18/24),tData[Langligger01],1)</f>
        <v/>
      </c>
      <c r="W25" s="20">
        <f>COUNTIFS(tData[SEHTrajectPeriodeDatumTijdVan],"&lt;="&amp;($A25+19/24),tData[SEHTrajectPeriodeDatumTijdTotEnMet],"&gt;"&amp;($A25+19/24),tData[Langligger01],1)</f>
        <v/>
      </c>
      <c r="X25" s="20">
        <f>COUNTIFS(tData[SEHTrajectPeriodeDatumTijdVan],"&lt;="&amp;($A25+20/24),tData[SEHTrajectPeriodeDatumTijdTotEnMet],"&gt;"&amp;($A25+20/24),tData[Langligger01],1)</f>
        <v/>
      </c>
      <c r="Y25" s="20">
        <f>COUNTIFS(tData[SEHTrajectPeriodeDatumTijdVan],"&lt;="&amp;($A25+21/24),tData[SEHTrajectPeriodeDatumTijdTotEnMet],"&gt;"&amp;($A25+21/24),tData[Langligger01],1)</f>
        <v/>
      </c>
      <c r="Z25" s="20">
        <f>COUNTIFS(tData[SEHTrajectPeriodeDatumTijdVan],"&lt;="&amp;($A25+22/24),tData[SEHTrajectPeriodeDatumTijdTotEnMet],"&gt;"&amp;($A25+22/24),tData[Langligger01],1)</f>
        <v/>
      </c>
      <c r="AA25" s="20">
        <f>COUNTIFS(tData[SEHTrajectPeriodeDatumTijdVan],"&lt;="&amp;($A25+23/24),tData[SEHTrajectPeriodeDatumTijdTotEnMet],"&gt;"&amp;($A25+23/24),tData[Langligger01],1)</f>
        <v/>
      </c>
    </row>
    <row r="26">
      <c r="A26" s="19" t="n">
        <v>45314</v>
      </c>
      <c r="B26" s="15">
        <f>WEEKDAY($A26,2)</f>
        <v/>
      </c>
      <c r="C26" s="15">
        <f>IF(AND($A26&gt;=INT(Instellingen!$B$5),$A26&lt;=INT(Instellingen!$B$6)),1,0)</f>
        <v/>
      </c>
      <c r="D26" s="20">
        <f>COUNTIFS(tData[SEHTrajectPeriodeDatumTijdVan],"&lt;="&amp;($A26+0/24),tData[SEHTrajectPeriodeDatumTijdTotEnMet],"&gt;"&amp;($A26+0/24),tData[Langligger01],1)</f>
        <v/>
      </c>
      <c r="E26" s="20">
        <f>COUNTIFS(tData[SEHTrajectPeriodeDatumTijdVan],"&lt;="&amp;($A26+1/24),tData[SEHTrajectPeriodeDatumTijdTotEnMet],"&gt;"&amp;($A26+1/24),tData[Langligger01],1)</f>
        <v/>
      </c>
      <c r="F26" s="20">
        <f>COUNTIFS(tData[SEHTrajectPeriodeDatumTijdVan],"&lt;="&amp;($A26+2/24),tData[SEHTrajectPeriodeDatumTijdTotEnMet],"&gt;"&amp;($A26+2/24),tData[Langligger01],1)</f>
        <v/>
      </c>
      <c r="G26" s="20">
        <f>COUNTIFS(tData[SEHTrajectPeriodeDatumTijdVan],"&lt;="&amp;($A26+3/24),tData[SEHTrajectPeriodeDatumTijdTotEnMet],"&gt;"&amp;($A26+3/24),tData[Langligger01],1)</f>
        <v/>
      </c>
      <c r="H26" s="20">
        <f>COUNTIFS(tData[SEHTrajectPeriodeDatumTijdVan],"&lt;="&amp;($A26+4/24),tData[SEHTrajectPeriodeDatumTijdTotEnMet],"&gt;"&amp;($A26+4/24),tData[Langligger01],1)</f>
        <v/>
      </c>
      <c r="I26" s="20">
        <f>COUNTIFS(tData[SEHTrajectPeriodeDatumTijdVan],"&lt;="&amp;($A26+5/24),tData[SEHTrajectPeriodeDatumTijdTotEnMet],"&gt;"&amp;($A26+5/24),tData[Langligger01],1)</f>
        <v/>
      </c>
      <c r="J26" s="20">
        <f>COUNTIFS(tData[SEHTrajectPeriodeDatumTijdVan],"&lt;="&amp;($A26+6/24),tData[SEHTrajectPeriodeDatumTijdTotEnMet],"&gt;"&amp;($A26+6/24),tData[Langligger01],1)</f>
        <v/>
      </c>
      <c r="K26" s="20">
        <f>COUNTIFS(tData[SEHTrajectPeriodeDatumTijdVan],"&lt;="&amp;($A26+7/24),tData[SEHTrajectPeriodeDatumTijdTotEnMet],"&gt;"&amp;($A26+7/24),tData[Langligger01],1)</f>
        <v/>
      </c>
      <c r="L26" s="20">
        <f>COUNTIFS(tData[SEHTrajectPeriodeDatumTijdVan],"&lt;="&amp;($A26+8/24),tData[SEHTrajectPeriodeDatumTijdTotEnMet],"&gt;"&amp;($A26+8/24),tData[Langligger01],1)</f>
        <v/>
      </c>
      <c r="M26" s="20">
        <f>COUNTIFS(tData[SEHTrajectPeriodeDatumTijdVan],"&lt;="&amp;($A26+9/24),tData[SEHTrajectPeriodeDatumTijdTotEnMet],"&gt;"&amp;($A26+9/24),tData[Langligger01],1)</f>
        <v/>
      </c>
      <c r="N26" s="20">
        <f>COUNTIFS(tData[SEHTrajectPeriodeDatumTijdVan],"&lt;="&amp;($A26+10/24),tData[SEHTrajectPeriodeDatumTijdTotEnMet],"&gt;"&amp;($A26+10/24),tData[Langligger01],1)</f>
        <v/>
      </c>
      <c r="O26" s="20">
        <f>COUNTIFS(tData[SEHTrajectPeriodeDatumTijdVan],"&lt;="&amp;($A26+11/24),tData[SEHTrajectPeriodeDatumTijdTotEnMet],"&gt;"&amp;($A26+11/24),tData[Langligger01],1)</f>
        <v/>
      </c>
      <c r="P26" s="20">
        <f>COUNTIFS(tData[SEHTrajectPeriodeDatumTijdVan],"&lt;="&amp;($A26+12/24),tData[SEHTrajectPeriodeDatumTijdTotEnMet],"&gt;"&amp;($A26+12/24),tData[Langligger01],1)</f>
        <v/>
      </c>
      <c r="Q26" s="20">
        <f>COUNTIFS(tData[SEHTrajectPeriodeDatumTijdVan],"&lt;="&amp;($A26+13/24),tData[SEHTrajectPeriodeDatumTijdTotEnMet],"&gt;"&amp;($A26+13/24),tData[Langligger01],1)</f>
        <v/>
      </c>
      <c r="R26" s="20">
        <f>COUNTIFS(tData[SEHTrajectPeriodeDatumTijdVan],"&lt;="&amp;($A26+14/24),tData[SEHTrajectPeriodeDatumTijdTotEnMet],"&gt;"&amp;($A26+14/24),tData[Langligger01],1)</f>
        <v/>
      </c>
      <c r="S26" s="20">
        <f>COUNTIFS(tData[SEHTrajectPeriodeDatumTijdVan],"&lt;="&amp;($A26+15/24),tData[SEHTrajectPeriodeDatumTijdTotEnMet],"&gt;"&amp;($A26+15/24),tData[Langligger01],1)</f>
        <v/>
      </c>
      <c r="T26" s="20">
        <f>COUNTIFS(tData[SEHTrajectPeriodeDatumTijdVan],"&lt;="&amp;($A26+16/24),tData[SEHTrajectPeriodeDatumTijdTotEnMet],"&gt;"&amp;($A26+16/24),tData[Langligger01],1)</f>
        <v/>
      </c>
      <c r="U26" s="20">
        <f>COUNTIFS(tData[SEHTrajectPeriodeDatumTijdVan],"&lt;="&amp;($A26+17/24),tData[SEHTrajectPeriodeDatumTijdTotEnMet],"&gt;"&amp;($A26+17/24),tData[Langligger01],1)</f>
        <v/>
      </c>
      <c r="V26" s="20">
        <f>COUNTIFS(tData[SEHTrajectPeriodeDatumTijdVan],"&lt;="&amp;($A26+18/24),tData[SEHTrajectPeriodeDatumTijdTotEnMet],"&gt;"&amp;($A26+18/24),tData[Langligger01],1)</f>
        <v/>
      </c>
      <c r="W26" s="20">
        <f>COUNTIFS(tData[SEHTrajectPeriodeDatumTijdVan],"&lt;="&amp;($A26+19/24),tData[SEHTrajectPeriodeDatumTijdTotEnMet],"&gt;"&amp;($A26+19/24),tData[Langligger01],1)</f>
        <v/>
      </c>
      <c r="X26" s="20">
        <f>COUNTIFS(tData[SEHTrajectPeriodeDatumTijdVan],"&lt;="&amp;($A26+20/24),tData[SEHTrajectPeriodeDatumTijdTotEnMet],"&gt;"&amp;($A26+20/24),tData[Langligger01],1)</f>
        <v/>
      </c>
      <c r="Y26" s="20">
        <f>COUNTIFS(tData[SEHTrajectPeriodeDatumTijdVan],"&lt;="&amp;($A26+21/24),tData[SEHTrajectPeriodeDatumTijdTotEnMet],"&gt;"&amp;($A26+21/24),tData[Langligger01],1)</f>
        <v/>
      </c>
      <c r="Z26" s="20">
        <f>COUNTIFS(tData[SEHTrajectPeriodeDatumTijdVan],"&lt;="&amp;($A26+22/24),tData[SEHTrajectPeriodeDatumTijdTotEnMet],"&gt;"&amp;($A26+22/24),tData[Langligger01],1)</f>
        <v/>
      </c>
      <c r="AA26" s="20">
        <f>COUNTIFS(tData[SEHTrajectPeriodeDatumTijdVan],"&lt;="&amp;($A26+23/24),tData[SEHTrajectPeriodeDatumTijdTotEnMet],"&gt;"&amp;($A26+23/24),tData[Langligger01],1)</f>
        <v/>
      </c>
    </row>
    <row r="27">
      <c r="A27" s="19" t="n">
        <v>45315</v>
      </c>
      <c r="B27" s="15">
        <f>WEEKDAY($A27,2)</f>
        <v/>
      </c>
      <c r="C27" s="15">
        <f>IF(AND($A27&gt;=INT(Instellingen!$B$5),$A27&lt;=INT(Instellingen!$B$6)),1,0)</f>
        <v/>
      </c>
      <c r="D27" s="20">
        <f>COUNTIFS(tData[SEHTrajectPeriodeDatumTijdVan],"&lt;="&amp;($A27+0/24),tData[SEHTrajectPeriodeDatumTijdTotEnMet],"&gt;"&amp;($A27+0/24),tData[Langligger01],1)</f>
        <v/>
      </c>
      <c r="E27" s="20">
        <f>COUNTIFS(tData[SEHTrajectPeriodeDatumTijdVan],"&lt;="&amp;($A27+1/24),tData[SEHTrajectPeriodeDatumTijdTotEnMet],"&gt;"&amp;($A27+1/24),tData[Langligger01],1)</f>
        <v/>
      </c>
      <c r="F27" s="20">
        <f>COUNTIFS(tData[SEHTrajectPeriodeDatumTijdVan],"&lt;="&amp;($A27+2/24),tData[SEHTrajectPeriodeDatumTijdTotEnMet],"&gt;"&amp;($A27+2/24),tData[Langligger01],1)</f>
        <v/>
      </c>
      <c r="G27" s="20">
        <f>COUNTIFS(tData[SEHTrajectPeriodeDatumTijdVan],"&lt;="&amp;($A27+3/24),tData[SEHTrajectPeriodeDatumTijdTotEnMet],"&gt;"&amp;($A27+3/24),tData[Langligger01],1)</f>
        <v/>
      </c>
      <c r="H27" s="20">
        <f>COUNTIFS(tData[SEHTrajectPeriodeDatumTijdVan],"&lt;="&amp;($A27+4/24),tData[SEHTrajectPeriodeDatumTijdTotEnMet],"&gt;"&amp;($A27+4/24),tData[Langligger01],1)</f>
        <v/>
      </c>
      <c r="I27" s="20">
        <f>COUNTIFS(tData[SEHTrajectPeriodeDatumTijdVan],"&lt;="&amp;($A27+5/24),tData[SEHTrajectPeriodeDatumTijdTotEnMet],"&gt;"&amp;($A27+5/24),tData[Langligger01],1)</f>
        <v/>
      </c>
      <c r="J27" s="20">
        <f>COUNTIFS(tData[SEHTrajectPeriodeDatumTijdVan],"&lt;="&amp;($A27+6/24),tData[SEHTrajectPeriodeDatumTijdTotEnMet],"&gt;"&amp;($A27+6/24),tData[Langligger01],1)</f>
        <v/>
      </c>
      <c r="K27" s="20">
        <f>COUNTIFS(tData[SEHTrajectPeriodeDatumTijdVan],"&lt;="&amp;($A27+7/24),tData[SEHTrajectPeriodeDatumTijdTotEnMet],"&gt;"&amp;($A27+7/24),tData[Langligger01],1)</f>
        <v/>
      </c>
      <c r="L27" s="20">
        <f>COUNTIFS(tData[SEHTrajectPeriodeDatumTijdVan],"&lt;="&amp;($A27+8/24),tData[SEHTrajectPeriodeDatumTijdTotEnMet],"&gt;"&amp;($A27+8/24),tData[Langligger01],1)</f>
        <v/>
      </c>
      <c r="M27" s="20">
        <f>COUNTIFS(tData[SEHTrajectPeriodeDatumTijdVan],"&lt;="&amp;($A27+9/24),tData[SEHTrajectPeriodeDatumTijdTotEnMet],"&gt;"&amp;($A27+9/24),tData[Langligger01],1)</f>
        <v/>
      </c>
      <c r="N27" s="20">
        <f>COUNTIFS(tData[SEHTrajectPeriodeDatumTijdVan],"&lt;="&amp;($A27+10/24),tData[SEHTrajectPeriodeDatumTijdTotEnMet],"&gt;"&amp;($A27+10/24),tData[Langligger01],1)</f>
        <v/>
      </c>
      <c r="O27" s="20">
        <f>COUNTIFS(tData[SEHTrajectPeriodeDatumTijdVan],"&lt;="&amp;($A27+11/24),tData[SEHTrajectPeriodeDatumTijdTotEnMet],"&gt;"&amp;($A27+11/24),tData[Langligger01],1)</f>
        <v/>
      </c>
      <c r="P27" s="20">
        <f>COUNTIFS(tData[SEHTrajectPeriodeDatumTijdVan],"&lt;="&amp;($A27+12/24),tData[SEHTrajectPeriodeDatumTijdTotEnMet],"&gt;"&amp;($A27+12/24),tData[Langligger01],1)</f>
        <v/>
      </c>
      <c r="Q27" s="20">
        <f>COUNTIFS(tData[SEHTrajectPeriodeDatumTijdVan],"&lt;="&amp;($A27+13/24),tData[SEHTrajectPeriodeDatumTijdTotEnMet],"&gt;"&amp;($A27+13/24),tData[Langligger01],1)</f>
        <v/>
      </c>
      <c r="R27" s="20">
        <f>COUNTIFS(tData[SEHTrajectPeriodeDatumTijdVan],"&lt;="&amp;($A27+14/24),tData[SEHTrajectPeriodeDatumTijdTotEnMet],"&gt;"&amp;($A27+14/24),tData[Langligger01],1)</f>
        <v/>
      </c>
      <c r="S27" s="20">
        <f>COUNTIFS(tData[SEHTrajectPeriodeDatumTijdVan],"&lt;="&amp;($A27+15/24),tData[SEHTrajectPeriodeDatumTijdTotEnMet],"&gt;"&amp;($A27+15/24),tData[Langligger01],1)</f>
        <v/>
      </c>
      <c r="T27" s="20">
        <f>COUNTIFS(tData[SEHTrajectPeriodeDatumTijdVan],"&lt;="&amp;($A27+16/24),tData[SEHTrajectPeriodeDatumTijdTotEnMet],"&gt;"&amp;($A27+16/24),tData[Langligger01],1)</f>
        <v/>
      </c>
      <c r="U27" s="20">
        <f>COUNTIFS(tData[SEHTrajectPeriodeDatumTijdVan],"&lt;="&amp;($A27+17/24),tData[SEHTrajectPeriodeDatumTijdTotEnMet],"&gt;"&amp;($A27+17/24),tData[Langligger01],1)</f>
        <v/>
      </c>
      <c r="V27" s="20">
        <f>COUNTIFS(tData[SEHTrajectPeriodeDatumTijdVan],"&lt;="&amp;($A27+18/24),tData[SEHTrajectPeriodeDatumTijdTotEnMet],"&gt;"&amp;($A27+18/24),tData[Langligger01],1)</f>
        <v/>
      </c>
      <c r="W27" s="20">
        <f>COUNTIFS(tData[SEHTrajectPeriodeDatumTijdVan],"&lt;="&amp;($A27+19/24),tData[SEHTrajectPeriodeDatumTijdTotEnMet],"&gt;"&amp;($A27+19/24),tData[Langligger01],1)</f>
        <v/>
      </c>
      <c r="X27" s="20">
        <f>COUNTIFS(tData[SEHTrajectPeriodeDatumTijdVan],"&lt;="&amp;($A27+20/24),tData[SEHTrajectPeriodeDatumTijdTotEnMet],"&gt;"&amp;($A27+20/24),tData[Langligger01],1)</f>
        <v/>
      </c>
      <c r="Y27" s="20">
        <f>COUNTIFS(tData[SEHTrajectPeriodeDatumTijdVan],"&lt;="&amp;($A27+21/24),tData[SEHTrajectPeriodeDatumTijdTotEnMet],"&gt;"&amp;($A27+21/24),tData[Langligger01],1)</f>
        <v/>
      </c>
      <c r="Z27" s="20">
        <f>COUNTIFS(tData[SEHTrajectPeriodeDatumTijdVan],"&lt;="&amp;($A27+22/24),tData[SEHTrajectPeriodeDatumTijdTotEnMet],"&gt;"&amp;($A27+22/24),tData[Langligger01],1)</f>
        <v/>
      </c>
      <c r="AA27" s="20">
        <f>COUNTIFS(tData[SEHTrajectPeriodeDatumTijdVan],"&lt;="&amp;($A27+23/24),tData[SEHTrajectPeriodeDatumTijdTotEnMet],"&gt;"&amp;($A27+23/24),tData[Langligger01],1)</f>
        <v/>
      </c>
    </row>
    <row r="28">
      <c r="A28" s="19" t="n">
        <v>45316</v>
      </c>
      <c r="B28" s="15">
        <f>WEEKDAY($A28,2)</f>
        <v/>
      </c>
      <c r="C28" s="15">
        <f>IF(AND($A28&gt;=INT(Instellingen!$B$5),$A28&lt;=INT(Instellingen!$B$6)),1,0)</f>
        <v/>
      </c>
      <c r="D28" s="20">
        <f>COUNTIFS(tData[SEHTrajectPeriodeDatumTijdVan],"&lt;="&amp;($A28+0/24),tData[SEHTrajectPeriodeDatumTijdTotEnMet],"&gt;"&amp;($A28+0/24),tData[Langligger01],1)</f>
        <v/>
      </c>
      <c r="E28" s="20">
        <f>COUNTIFS(tData[SEHTrajectPeriodeDatumTijdVan],"&lt;="&amp;($A28+1/24),tData[SEHTrajectPeriodeDatumTijdTotEnMet],"&gt;"&amp;($A28+1/24),tData[Langligger01],1)</f>
        <v/>
      </c>
      <c r="F28" s="20">
        <f>COUNTIFS(tData[SEHTrajectPeriodeDatumTijdVan],"&lt;="&amp;($A28+2/24),tData[SEHTrajectPeriodeDatumTijdTotEnMet],"&gt;"&amp;($A28+2/24),tData[Langligger01],1)</f>
        <v/>
      </c>
      <c r="G28" s="20">
        <f>COUNTIFS(tData[SEHTrajectPeriodeDatumTijdVan],"&lt;="&amp;($A28+3/24),tData[SEHTrajectPeriodeDatumTijdTotEnMet],"&gt;"&amp;($A28+3/24),tData[Langligger01],1)</f>
        <v/>
      </c>
      <c r="H28" s="20">
        <f>COUNTIFS(tData[SEHTrajectPeriodeDatumTijdVan],"&lt;="&amp;($A28+4/24),tData[SEHTrajectPeriodeDatumTijdTotEnMet],"&gt;"&amp;($A28+4/24),tData[Langligger01],1)</f>
        <v/>
      </c>
      <c r="I28" s="20">
        <f>COUNTIFS(tData[SEHTrajectPeriodeDatumTijdVan],"&lt;="&amp;($A28+5/24),tData[SEHTrajectPeriodeDatumTijdTotEnMet],"&gt;"&amp;($A28+5/24),tData[Langligger01],1)</f>
        <v/>
      </c>
      <c r="J28" s="20">
        <f>COUNTIFS(tData[SEHTrajectPeriodeDatumTijdVan],"&lt;="&amp;($A28+6/24),tData[SEHTrajectPeriodeDatumTijdTotEnMet],"&gt;"&amp;($A28+6/24),tData[Langligger01],1)</f>
        <v/>
      </c>
      <c r="K28" s="20">
        <f>COUNTIFS(tData[SEHTrajectPeriodeDatumTijdVan],"&lt;="&amp;($A28+7/24),tData[SEHTrajectPeriodeDatumTijdTotEnMet],"&gt;"&amp;($A28+7/24),tData[Langligger01],1)</f>
        <v/>
      </c>
      <c r="L28" s="20">
        <f>COUNTIFS(tData[SEHTrajectPeriodeDatumTijdVan],"&lt;="&amp;($A28+8/24),tData[SEHTrajectPeriodeDatumTijdTotEnMet],"&gt;"&amp;($A28+8/24),tData[Langligger01],1)</f>
        <v/>
      </c>
      <c r="M28" s="20">
        <f>COUNTIFS(tData[SEHTrajectPeriodeDatumTijdVan],"&lt;="&amp;($A28+9/24),tData[SEHTrajectPeriodeDatumTijdTotEnMet],"&gt;"&amp;($A28+9/24),tData[Langligger01],1)</f>
        <v/>
      </c>
      <c r="N28" s="20">
        <f>COUNTIFS(tData[SEHTrajectPeriodeDatumTijdVan],"&lt;="&amp;($A28+10/24),tData[SEHTrajectPeriodeDatumTijdTotEnMet],"&gt;"&amp;($A28+10/24),tData[Langligger01],1)</f>
        <v/>
      </c>
      <c r="O28" s="20">
        <f>COUNTIFS(tData[SEHTrajectPeriodeDatumTijdVan],"&lt;="&amp;($A28+11/24),tData[SEHTrajectPeriodeDatumTijdTotEnMet],"&gt;"&amp;($A28+11/24),tData[Langligger01],1)</f>
        <v/>
      </c>
      <c r="P28" s="20">
        <f>COUNTIFS(tData[SEHTrajectPeriodeDatumTijdVan],"&lt;="&amp;($A28+12/24),tData[SEHTrajectPeriodeDatumTijdTotEnMet],"&gt;"&amp;($A28+12/24),tData[Langligger01],1)</f>
        <v/>
      </c>
      <c r="Q28" s="20">
        <f>COUNTIFS(tData[SEHTrajectPeriodeDatumTijdVan],"&lt;="&amp;($A28+13/24),tData[SEHTrajectPeriodeDatumTijdTotEnMet],"&gt;"&amp;($A28+13/24),tData[Langligger01],1)</f>
        <v/>
      </c>
      <c r="R28" s="20">
        <f>COUNTIFS(tData[SEHTrajectPeriodeDatumTijdVan],"&lt;="&amp;($A28+14/24),tData[SEHTrajectPeriodeDatumTijdTotEnMet],"&gt;"&amp;($A28+14/24),tData[Langligger01],1)</f>
        <v/>
      </c>
      <c r="S28" s="20">
        <f>COUNTIFS(tData[SEHTrajectPeriodeDatumTijdVan],"&lt;="&amp;($A28+15/24),tData[SEHTrajectPeriodeDatumTijdTotEnMet],"&gt;"&amp;($A28+15/24),tData[Langligger01],1)</f>
        <v/>
      </c>
      <c r="T28" s="20">
        <f>COUNTIFS(tData[SEHTrajectPeriodeDatumTijdVan],"&lt;="&amp;($A28+16/24),tData[SEHTrajectPeriodeDatumTijdTotEnMet],"&gt;"&amp;($A28+16/24),tData[Langligger01],1)</f>
        <v/>
      </c>
      <c r="U28" s="20">
        <f>COUNTIFS(tData[SEHTrajectPeriodeDatumTijdVan],"&lt;="&amp;($A28+17/24),tData[SEHTrajectPeriodeDatumTijdTotEnMet],"&gt;"&amp;($A28+17/24),tData[Langligger01],1)</f>
        <v/>
      </c>
      <c r="V28" s="20">
        <f>COUNTIFS(tData[SEHTrajectPeriodeDatumTijdVan],"&lt;="&amp;($A28+18/24),tData[SEHTrajectPeriodeDatumTijdTotEnMet],"&gt;"&amp;($A28+18/24),tData[Langligger01],1)</f>
        <v/>
      </c>
      <c r="W28" s="20">
        <f>COUNTIFS(tData[SEHTrajectPeriodeDatumTijdVan],"&lt;="&amp;($A28+19/24),tData[SEHTrajectPeriodeDatumTijdTotEnMet],"&gt;"&amp;($A28+19/24),tData[Langligger01],1)</f>
        <v/>
      </c>
      <c r="X28" s="20">
        <f>COUNTIFS(tData[SEHTrajectPeriodeDatumTijdVan],"&lt;="&amp;($A28+20/24),tData[SEHTrajectPeriodeDatumTijdTotEnMet],"&gt;"&amp;($A28+20/24),tData[Langligger01],1)</f>
        <v/>
      </c>
      <c r="Y28" s="20">
        <f>COUNTIFS(tData[SEHTrajectPeriodeDatumTijdVan],"&lt;="&amp;($A28+21/24),tData[SEHTrajectPeriodeDatumTijdTotEnMet],"&gt;"&amp;($A28+21/24),tData[Langligger01],1)</f>
        <v/>
      </c>
      <c r="Z28" s="20">
        <f>COUNTIFS(tData[SEHTrajectPeriodeDatumTijdVan],"&lt;="&amp;($A28+22/24),tData[SEHTrajectPeriodeDatumTijdTotEnMet],"&gt;"&amp;($A28+22/24),tData[Langligger01],1)</f>
        <v/>
      </c>
      <c r="AA28" s="20">
        <f>COUNTIFS(tData[SEHTrajectPeriodeDatumTijdVan],"&lt;="&amp;($A28+23/24),tData[SEHTrajectPeriodeDatumTijdTotEnMet],"&gt;"&amp;($A28+23/24),tData[Langligger01],1)</f>
        <v/>
      </c>
    </row>
    <row r="29">
      <c r="A29" s="19" t="n">
        <v>45317</v>
      </c>
      <c r="B29" s="15">
        <f>WEEKDAY($A29,2)</f>
        <v/>
      </c>
      <c r="C29" s="15">
        <f>IF(AND($A29&gt;=INT(Instellingen!$B$5),$A29&lt;=INT(Instellingen!$B$6)),1,0)</f>
        <v/>
      </c>
      <c r="D29" s="20">
        <f>COUNTIFS(tData[SEHTrajectPeriodeDatumTijdVan],"&lt;="&amp;($A29+0/24),tData[SEHTrajectPeriodeDatumTijdTotEnMet],"&gt;"&amp;($A29+0/24),tData[Langligger01],1)</f>
        <v/>
      </c>
      <c r="E29" s="20">
        <f>COUNTIFS(tData[SEHTrajectPeriodeDatumTijdVan],"&lt;="&amp;($A29+1/24),tData[SEHTrajectPeriodeDatumTijdTotEnMet],"&gt;"&amp;($A29+1/24),tData[Langligger01],1)</f>
        <v/>
      </c>
      <c r="F29" s="20">
        <f>COUNTIFS(tData[SEHTrajectPeriodeDatumTijdVan],"&lt;="&amp;($A29+2/24),tData[SEHTrajectPeriodeDatumTijdTotEnMet],"&gt;"&amp;($A29+2/24),tData[Langligger01],1)</f>
        <v/>
      </c>
      <c r="G29" s="20">
        <f>COUNTIFS(tData[SEHTrajectPeriodeDatumTijdVan],"&lt;="&amp;($A29+3/24),tData[SEHTrajectPeriodeDatumTijdTotEnMet],"&gt;"&amp;($A29+3/24),tData[Langligger01],1)</f>
        <v/>
      </c>
      <c r="H29" s="20">
        <f>COUNTIFS(tData[SEHTrajectPeriodeDatumTijdVan],"&lt;="&amp;($A29+4/24),tData[SEHTrajectPeriodeDatumTijdTotEnMet],"&gt;"&amp;($A29+4/24),tData[Langligger01],1)</f>
        <v/>
      </c>
      <c r="I29" s="20">
        <f>COUNTIFS(tData[SEHTrajectPeriodeDatumTijdVan],"&lt;="&amp;($A29+5/24),tData[SEHTrajectPeriodeDatumTijdTotEnMet],"&gt;"&amp;($A29+5/24),tData[Langligger01],1)</f>
        <v/>
      </c>
      <c r="J29" s="20">
        <f>COUNTIFS(tData[SEHTrajectPeriodeDatumTijdVan],"&lt;="&amp;($A29+6/24),tData[SEHTrajectPeriodeDatumTijdTotEnMet],"&gt;"&amp;($A29+6/24),tData[Langligger01],1)</f>
        <v/>
      </c>
      <c r="K29" s="20">
        <f>COUNTIFS(tData[SEHTrajectPeriodeDatumTijdVan],"&lt;="&amp;($A29+7/24),tData[SEHTrajectPeriodeDatumTijdTotEnMet],"&gt;"&amp;($A29+7/24),tData[Langligger01],1)</f>
        <v/>
      </c>
      <c r="L29" s="20">
        <f>COUNTIFS(tData[SEHTrajectPeriodeDatumTijdVan],"&lt;="&amp;($A29+8/24),tData[SEHTrajectPeriodeDatumTijdTotEnMet],"&gt;"&amp;($A29+8/24),tData[Langligger01],1)</f>
        <v/>
      </c>
      <c r="M29" s="20">
        <f>COUNTIFS(tData[SEHTrajectPeriodeDatumTijdVan],"&lt;="&amp;($A29+9/24),tData[SEHTrajectPeriodeDatumTijdTotEnMet],"&gt;"&amp;($A29+9/24),tData[Langligger01],1)</f>
        <v/>
      </c>
      <c r="N29" s="20">
        <f>COUNTIFS(tData[SEHTrajectPeriodeDatumTijdVan],"&lt;="&amp;($A29+10/24),tData[SEHTrajectPeriodeDatumTijdTotEnMet],"&gt;"&amp;($A29+10/24),tData[Langligger01],1)</f>
        <v/>
      </c>
      <c r="O29" s="20">
        <f>COUNTIFS(tData[SEHTrajectPeriodeDatumTijdVan],"&lt;="&amp;($A29+11/24),tData[SEHTrajectPeriodeDatumTijdTotEnMet],"&gt;"&amp;($A29+11/24),tData[Langligger01],1)</f>
        <v/>
      </c>
      <c r="P29" s="20">
        <f>COUNTIFS(tData[SEHTrajectPeriodeDatumTijdVan],"&lt;="&amp;($A29+12/24),tData[SEHTrajectPeriodeDatumTijdTotEnMet],"&gt;"&amp;($A29+12/24),tData[Langligger01],1)</f>
        <v/>
      </c>
      <c r="Q29" s="20">
        <f>COUNTIFS(tData[SEHTrajectPeriodeDatumTijdVan],"&lt;="&amp;($A29+13/24),tData[SEHTrajectPeriodeDatumTijdTotEnMet],"&gt;"&amp;($A29+13/24),tData[Langligger01],1)</f>
        <v/>
      </c>
      <c r="R29" s="20">
        <f>COUNTIFS(tData[SEHTrajectPeriodeDatumTijdVan],"&lt;="&amp;($A29+14/24),tData[SEHTrajectPeriodeDatumTijdTotEnMet],"&gt;"&amp;($A29+14/24),tData[Langligger01],1)</f>
        <v/>
      </c>
      <c r="S29" s="20">
        <f>COUNTIFS(tData[SEHTrajectPeriodeDatumTijdVan],"&lt;="&amp;($A29+15/24),tData[SEHTrajectPeriodeDatumTijdTotEnMet],"&gt;"&amp;($A29+15/24),tData[Langligger01],1)</f>
        <v/>
      </c>
      <c r="T29" s="20">
        <f>COUNTIFS(tData[SEHTrajectPeriodeDatumTijdVan],"&lt;="&amp;($A29+16/24),tData[SEHTrajectPeriodeDatumTijdTotEnMet],"&gt;"&amp;($A29+16/24),tData[Langligger01],1)</f>
        <v/>
      </c>
      <c r="U29" s="20">
        <f>COUNTIFS(tData[SEHTrajectPeriodeDatumTijdVan],"&lt;="&amp;($A29+17/24),tData[SEHTrajectPeriodeDatumTijdTotEnMet],"&gt;"&amp;($A29+17/24),tData[Langligger01],1)</f>
        <v/>
      </c>
      <c r="V29" s="20">
        <f>COUNTIFS(tData[SEHTrajectPeriodeDatumTijdVan],"&lt;="&amp;($A29+18/24),tData[SEHTrajectPeriodeDatumTijdTotEnMet],"&gt;"&amp;($A29+18/24),tData[Langligger01],1)</f>
        <v/>
      </c>
      <c r="W29" s="20">
        <f>COUNTIFS(tData[SEHTrajectPeriodeDatumTijdVan],"&lt;="&amp;($A29+19/24),tData[SEHTrajectPeriodeDatumTijdTotEnMet],"&gt;"&amp;($A29+19/24),tData[Langligger01],1)</f>
        <v/>
      </c>
      <c r="X29" s="20">
        <f>COUNTIFS(tData[SEHTrajectPeriodeDatumTijdVan],"&lt;="&amp;($A29+20/24),tData[SEHTrajectPeriodeDatumTijdTotEnMet],"&gt;"&amp;($A29+20/24),tData[Langligger01],1)</f>
        <v/>
      </c>
      <c r="Y29" s="20">
        <f>COUNTIFS(tData[SEHTrajectPeriodeDatumTijdVan],"&lt;="&amp;($A29+21/24),tData[SEHTrajectPeriodeDatumTijdTotEnMet],"&gt;"&amp;($A29+21/24),tData[Langligger01],1)</f>
        <v/>
      </c>
      <c r="Z29" s="20">
        <f>COUNTIFS(tData[SEHTrajectPeriodeDatumTijdVan],"&lt;="&amp;($A29+22/24),tData[SEHTrajectPeriodeDatumTijdTotEnMet],"&gt;"&amp;($A29+22/24),tData[Langligger01],1)</f>
        <v/>
      </c>
      <c r="AA29" s="20">
        <f>COUNTIFS(tData[SEHTrajectPeriodeDatumTijdVan],"&lt;="&amp;($A29+23/24),tData[SEHTrajectPeriodeDatumTijdTotEnMet],"&gt;"&amp;($A29+23/24),tData[Langligger01],1)</f>
        <v/>
      </c>
    </row>
    <row r="30">
      <c r="A30" s="19" t="n">
        <v>45318</v>
      </c>
      <c r="B30" s="15">
        <f>WEEKDAY($A30,2)</f>
        <v/>
      </c>
      <c r="C30" s="15">
        <f>IF(AND($A30&gt;=INT(Instellingen!$B$5),$A30&lt;=INT(Instellingen!$B$6)),1,0)</f>
        <v/>
      </c>
      <c r="D30" s="20">
        <f>COUNTIFS(tData[SEHTrajectPeriodeDatumTijdVan],"&lt;="&amp;($A30+0/24),tData[SEHTrajectPeriodeDatumTijdTotEnMet],"&gt;"&amp;($A30+0/24),tData[Langligger01],1)</f>
        <v/>
      </c>
      <c r="E30" s="20">
        <f>COUNTIFS(tData[SEHTrajectPeriodeDatumTijdVan],"&lt;="&amp;($A30+1/24),tData[SEHTrajectPeriodeDatumTijdTotEnMet],"&gt;"&amp;($A30+1/24),tData[Langligger01],1)</f>
        <v/>
      </c>
      <c r="F30" s="20">
        <f>COUNTIFS(tData[SEHTrajectPeriodeDatumTijdVan],"&lt;="&amp;($A30+2/24),tData[SEHTrajectPeriodeDatumTijdTotEnMet],"&gt;"&amp;($A30+2/24),tData[Langligger01],1)</f>
        <v/>
      </c>
      <c r="G30" s="20">
        <f>COUNTIFS(tData[SEHTrajectPeriodeDatumTijdVan],"&lt;="&amp;($A30+3/24),tData[SEHTrajectPeriodeDatumTijdTotEnMet],"&gt;"&amp;($A30+3/24),tData[Langligger01],1)</f>
        <v/>
      </c>
      <c r="H30" s="20">
        <f>COUNTIFS(tData[SEHTrajectPeriodeDatumTijdVan],"&lt;="&amp;($A30+4/24),tData[SEHTrajectPeriodeDatumTijdTotEnMet],"&gt;"&amp;($A30+4/24),tData[Langligger01],1)</f>
        <v/>
      </c>
      <c r="I30" s="20">
        <f>COUNTIFS(tData[SEHTrajectPeriodeDatumTijdVan],"&lt;="&amp;($A30+5/24),tData[SEHTrajectPeriodeDatumTijdTotEnMet],"&gt;"&amp;($A30+5/24),tData[Langligger01],1)</f>
        <v/>
      </c>
      <c r="J30" s="20">
        <f>COUNTIFS(tData[SEHTrajectPeriodeDatumTijdVan],"&lt;="&amp;($A30+6/24),tData[SEHTrajectPeriodeDatumTijdTotEnMet],"&gt;"&amp;($A30+6/24),tData[Langligger01],1)</f>
        <v/>
      </c>
      <c r="K30" s="20">
        <f>COUNTIFS(tData[SEHTrajectPeriodeDatumTijdVan],"&lt;="&amp;($A30+7/24),tData[SEHTrajectPeriodeDatumTijdTotEnMet],"&gt;"&amp;($A30+7/24),tData[Langligger01],1)</f>
        <v/>
      </c>
      <c r="L30" s="20">
        <f>COUNTIFS(tData[SEHTrajectPeriodeDatumTijdVan],"&lt;="&amp;($A30+8/24),tData[SEHTrajectPeriodeDatumTijdTotEnMet],"&gt;"&amp;($A30+8/24),tData[Langligger01],1)</f>
        <v/>
      </c>
      <c r="M30" s="20">
        <f>COUNTIFS(tData[SEHTrajectPeriodeDatumTijdVan],"&lt;="&amp;($A30+9/24),tData[SEHTrajectPeriodeDatumTijdTotEnMet],"&gt;"&amp;($A30+9/24),tData[Langligger01],1)</f>
        <v/>
      </c>
      <c r="N30" s="20">
        <f>COUNTIFS(tData[SEHTrajectPeriodeDatumTijdVan],"&lt;="&amp;($A30+10/24),tData[SEHTrajectPeriodeDatumTijdTotEnMet],"&gt;"&amp;($A30+10/24),tData[Langligger01],1)</f>
        <v/>
      </c>
      <c r="O30" s="20">
        <f>COUNTIFS(tData[SEHTrajectPeriodeDatumTijdVan],"&lt;="&amp;($A30+11/24),tData[SEHTrajectPeriodeDatumTijdTotEnMet],"&gt;"&amp;($A30+11/24),tData[Langligger01],1)</f>
        <v/>
      </c>
      <c r="P30" s="20">
        <f>COUNTIFS(tData[SEHTrajectPeriodeDatumTijdVan],"&lt;="&amp;($A30+12/24),tData[SEHTrajectPeriodeDatumTijdTotEnMet],"&gt;"&amp;($A30+12/24),tData[Langligger01],1)</f>
        <v/>
      </c>
      <c r="Q30" s="20">
        <f>COUNTIFS(tData[SEHTrajectPeriodeDatumTijdVan],"&lt;="&amp;($A30+13/24),tData[SEHTrajectPeriodeDatumTijdTotEnMet],"&gt;"&amp;($A30+13/24),tData[Langligger01],1)</f>
        <v/>
      </c>
      <c r="R30" s="20">
        <f>COUNTIFS(tData[SEHTrajectPeriodeDatumTijdVan],"&lt;="&amp;($A30+14/24),tData[SEHTrajectPeriodeDatumTijdTotEnMet],"&gt;"&amp;($A30+14/24),tData[Langligger01],1)</f>
        <v/>
      </c>
      <c r="S30" s="20">
        <f>COUNTIFS(tData[SEHTrajectPeriodeDatumTijdVan],"&lt;="&amp;($A30+15/24),tData[SEHTrajectPeriodeDatumTijdTotEnMet],"&gt;"&amp;($A30+15/24),tData[Langligger01],1)</f>
        <v/>
      </c>
      <c r="T30" s="20">
        <f>COUNTIFS(tData[SEHTrajectPeriodeDatumTijdVan],"&lt;="&amp;($A30+16/24),tData[SEHTrajectPeriodeDatumTijdTotEnMet],"&gt;"&amp;($A30+16/24),tData[Langligger01],1)</f>
        <v/>
      </c>
      <c r="U30" s="20">
        <f>COUNTIFS(tData[SEHTrajectPeriodeDatumTijdVan],"&lt;="&amp;($A30+17/24),tData[SEHTrajectPeriodeDatumTijdTotEnMet],"&gt;"&amp;($A30+17/24),tData[Langligger01],1)</f>
        <v/>
      </c>
      <c r="V30" s="20">
        <f>COUNTIFS(tData[SEHTrajectPeriodeDatumTijdVan],"&lt;="&amp;($A30+18/24),tData[SEHTrajectPeriodeDatumTijdTotEnMet],"&gt;"&amp;($A30+18/24),tData[Langligger01],1)</f>
        <v/>
      </c>
      <c r="W30" s="20">
        <f>COUNTIFS(tData[SEHTrajectPeriodeDatumTijdVan],"&lt;="&amp;($A30+19/24),tData[SEHTrajectPeriodeDatumTijdTotEnMet],"&gt;"&amp;($A30+19/24),tData[Langligger01],1)</f>
        <v/>
      </c>
      <c r="X30" s="20">
        <f>COUNTIFS(tData[SEHTrajectPeriodeDatumTijdVan],"&lt;="&amp;($A30+20/24),tData[SEHTrajectPeriodeDatumTijdTotEnMet],"&gt;"&amp;($A30+20/24),tData[Langligger01],1)</f>
        <v/>
      </c>
      <c r="Y30" s="20">
        <f>COUNTIFS(tData[SEHTrajectPeriodeDatumTijdVan],"&lt;="&amp;($A30+21/24),tData[SEHTrajectPeriodeDatumTijdTotEnMet],"&gt;"&amp;($A30+21/24),tData[Langligger01],1)</f>
        <v/>
      </c>
      <c r="Z30" s="20">
        <f>COUNTIFS(tData[SEHTrajectPeriodeDatumTijdVan],"&lt;="&amp;($A30+22/24),tData[SEHTrajectPeriodeDatumTijdTotEnMet],"&gt;"&amp;($A30+22/24),tData[Langligger01],1)</f>
        <v/>
      </c>
      <c r="AA30" s="20">
        <f>COUNTIFS(tData[SEHTrajectPeriodeDatumTijdVan],"&lt;="&amp;($A30+23/24),tData[SEHTrajectPeriodeDatumTijdTotEnMet],"&gt;"&amp;($A30+23/24),tData[Langligger01],1)</f>
        <v/>
      </c>
    </row>
    <row r="31">
      <c r="A31" s="19" t="n">
        <v>45319</v>
      </c>
      <c r="B31" s="15">
        <f>WEEKDAY($A31,2)</f>
        <v/>
      </c>
      <c r="C31" s="15">
        <f>IF(AND($A31&gt;=INT(Instellingen!$B$5),$A31&lt;=INT(Instellingen!$B$6)),1,0)</f>
        <v/>
      </c>
      <c r="D31" s="20">
        <f>COUNTIFS(tData[SEHTrajectPeriodeDatumTijdVan],"&lt;="&amp;($A31+0/24),tData[SEHTrajectPeriodeDatumTijdTotEnMet],"&gt;"&amp;($A31+0/24),tData[Langligger01],1)</f>
        <v/>
      </c>
      <c r="E31" s="20">
        <f>COUNTIFS(tData[SEHTrajectPeriodeDatumTijdVan],"&lt;="&amp;($A31+1/24),tData[SEHTrajectPeriodeDatumTijdTotEnMet],"&gt;"&amp;($A31+1/24),tData[Langligger01],1)</f>
        <v/>
      </c>
      <c r="F31" s="20">
        <f>COUNTIFS(tData[SEHTrajectPeriodeDatumTijdVan],"&lt;="&amp;($A31+2/24),tData[SEHTrajectPeriodeDatumTijdTotEnMet],"&gt;"&amp;($A31+2/24),tData[Langligger01],1)</f>
        <v/>
      </c>
      <c r="G31" s="20">
        <f>COUNTIFS(tData[SEHTrajectPeriodeDatumTijdVan],"&lt;="&amp;($A31+3/24),tData[SEHTrajectPeriodeDatumTijdTotEnMet],"&gt;"&amp;($A31+3/24),tData[Langligger01],1)</f>
        <v/>
      </c>
      <c r="H31" s="20">
        <f>COUNTIFS(tData[SEHTrajectPeriodeDatumTijdVan],"&lt;="&amp;($A31+4/24),tData[SEHTrajectPeriodeDatumTijdTotEnMet],"&gt;"&amp;($A31+4/24),tData[Langligger01],1)</f>
        <v/>
      </c>
      <c r="I31" s="20">
        <f>COUNTIFS(tData[SEHTrajectPeriodeDatumTijdVan],"&lt;="&amp;($A31+5/24),tData[SEHTrajectPeriodeDatumTijdTotEnMet],"&gt;"&amp;($A31+5/24),tData[Langligger01],1)</f>
        <v/>
      </c>
      <c r="J31" s="20">
        <f>COUNTIFS(tData[SEHTrajectPeriodeDatumTijdVan],"&lt;="&amp;($A31+6/24),tData[SEHTrajectPeriodeDatumTijdTotEnMet],"&gt;"&amp;($A31+6/24),tData[Langligger01],1)</f>
        <v/>
      </c>
      <c r="K31" s="20">
        <f>COUNTIFS(tData[SEHTrajectPeriodeDatumTijdVan],"&lt;="&amp;($A31+7/24),tData[SEHTrajectPeriodeDatumTijdTotEnMet],"&gt;"&amp;($A31+7/24),tData[Langligger01],1)</f>
        <v/>
      </c>
      <c r="L31" s="20">
        <f>COUNTIFS(tData[SEHTrajectPeriodeDatumTijdVan],"&lt;="&amp;($A31+8/24),tData[SEHTrajectPeriodeDatumTijdTotEnMet],"&gt;"&amp;($A31+8/24),tData[Langligger01],1)</f>
        <v/>
      </c>
      <c r="M31" s="20">
        <f>COUNTIFS(tData[SEHTrajectPeriodeDatumTijdVan],"&lt;="&amp;($A31+9/24),tData[SEHTrajectPeriodeDatumTijdTotEnMet],"&gt;"&amp;($A31+9/24),tData[Langligger01],1)</f>
        <v/>
      </c>
      <c r="N31" s="20">
        <f>COUNTIFS(tData[SEHTrajectPeriodeDatumTijdVan],"&lt;="&amp;($A31+10/24),tData[SEHTrajectPeriodeDatumTijdTotEnMet],"&gt;"&amp;($A31+10/24),tData[Langligger01],1)</f>
        <v/>
      </c>
      <c r="O31" s="20">
        <f>COUNTIFS(tData[SEHTrajectPeriodeDatumTijdVan],"&lt;="&amp;($A31+11/24),tData[SEHTrajectPeriodeDatumTijdTotEnMet],"&gt;"&amp;($A31+11/24),tData[Langligger01],1)</f>
        <v/>
      </c>
      <c r="P31" s="20">
        <f>COUNTIFS(tData[SEHTrajectPeriodeDatumTijdVan],"&lt;="&amp;($A31+12/24),tData[SEHTrajectPeriodeDatumTijdTotEnMet],"&gt;"&amp;($A31+12/24),tData[Langligger01],1)</f>
        <v/>
      </c>
      <c r="Q31" s="20">
        <f>COUNTIFS(tData[SEHTrajectPeriodeDatumTijdVan],"&lt;="&amp;($A31+13/24),tData[SEHTrajectPeriodeDatumTijdTotEnMet],"&gt;"&amp;($A31+13/24),tData[Langligger01],1)</f>
        <v/>
      </c>
      <c r="R31" s="20">
        <f>COUNTIFS(tData[SEHTrajectPeriodeDatumTijdVan],"&lt;="&amp;($A31+14/24),tData[SEHTrajectPeriodeDatumTijdTotEnMet],"&gt;"&amp;($A31+14/24),tData[Langligger01],1)</f>
        <v/>
      </c>
      <c r="S31" s="20">
        <f>COUNTIFS(tData[SEHTrajectPeriodeDatumTijdVan],"&lt;="&amp;($A31+15/24),tData[SEHTrajectPeriodeDatumTijdTotEnMet],"&gt;"&amp;($A31+15/24),tData[Langligger01],1)</f>
        <v/>
      </c>
      <c r="T31" s="20">
        <f>COUNTIFS(tData[SEHTrajectPeriodeDatumTijdVan],"&lt;="&amp;($A31+16/24),tData[SEHTrajectPeriodeDatumTijdTotEnMet],"&gt;"&amp;($A31+16/24),tData[Langligger01],1)</f>
        <v/>
      </c>
      <c r="U31" s="20">
        <f>COUNTIFS(tData[SEHTrajectPeriodeDatumTijdVan],"&lt;="&amp;($A31+17/24),tData[SEHTrajectPeriodeDatumTijdTotEnMet],"&gt;"&amp;($A31+17/24),tData[Langligger01],1)</f>
        <v/>
      </c>
      <c r="V31" s="20">
        <f>COUNTIFS(tData[SEHTrajectPeriodeDatumTijdVan],"&lt;="&amp;($A31+18/24),tData[SEHTrajectPeriodeDatumTijdTotEnMet],"&gt;"&amp;($A31+18/24),tData[Langligger01],1)</f>
        <v/>
      </c>
      <c r="W31" s="20">
        <f>COUNTIFS(tData[SEHTrajectPeriodeDatumTijdVan],"&lt;="&amp;($A31+19/24),tData[SEHTrajectPeriodeDatumTijdTotEnMet],"&gt;"&amp;($A31+19/24),tData[Langligger01],1)</f>
        <v/>
      </c>
      <c r="X31" s="20">
        <f>COUNTIFS(tData[SEHTrajectPeriodeDatumTijdVan],"&lt;="&amp;($A31+20/24),tData[SEHTrajectPeriodeDatumTijdTotEnMet],"&gt;"&amp;($A31+20/24),tData[Langligger01],1)</f>
        <v/>
      </c>
      <c r="Y31" s="20">
        <f>COUNTIFS(tData[SEHTrajectPeriodeDatumTijdVan],"&lt;="&amp;($A31+21/24),tData[SEHTrajectPeriodeDatumTijdTotEnMet],"&gt;"&amp;($A31+21/24),tData[Langligger01],1)</f>
        <v/>
      </c>
      <c r="Z31" s="20">
        <f>COUNTIFS(tData[SEHTrajectPeriodeDatumTijdVan],"&lt;="&amp;($A31+22/24),tData[SEHTrajectPeriodeDatumTijdTotEnMet],"&gt;"&amp;($A31+22/24),tData[Langligger01],1)</f>
        <v/>
      </c>
      <c r="AA31" s="20">
        <f>COUNTIFS(tData[SEHTrajectPeriodeDatumTijdVan],"&lt;="&amp;($A31+23/24),tData[SEHTrajectPeriodeDatumTijdTotEnMet],"&gt;"&amp;($A31+23/24),tData[Langligger01],1)</f>
        <v/>
      </c>
    </row>
    <row r="32">
      <c r="A32" s="19" t="n">
        <v>45320</v>
      </c>
      <c r="B32" s="15">
        <f>WEEKDAY($A32,2)</f>
        <v/>
      </c>
      <c r="C32" s="15">
        <f>IF(AND($A32&gt;=INT(Instellingen!$B$5),$A32&lt;=INT(Instellingen!$B$6)),1,0)</f>
        <v/>
      </c>
      <c r="D32" s="20">
        <f>COUNTIFS(tData[SEHTrajectPeriodeDatumTijdVan],"&lt;="&amp;($A32+0/24),tData[SEHTrajectPeriodeDatumTijdTotEnMet],"&gt;"&amp;($A32+0/24),tData[Langligger01],1)</f>
        <v/>
      </c>
      <c r="E32" s="20">
        <f>COUNTIFS(tData[SEHTrajectPeriodeDatumTijdVan],"&lt;="&amp;($A32+1/24),tData[SEHTrajectPeriodeDatumTijdTotEnMet],"&gt;"&amp;($A32+1/24),tData[Langligger01],1)</f>
        <v/>
      </c>
      <c r="F32" s="20">
        <f>COUNTIFS(tData[SEHTrajectPeriodeDatumTijdVan],"&lt;="&amp;($A32+2/24),tData[SEHTrajectPeriodeDatumTijdTotEnMet],"&gt;"&amp;($A32+2/24),tData[Langligger01],1)</f>
        <v/>
      </c>
      <c r="G32" s="20">
        <f>COUNTIFS(tData[SEHTrajectPeriodeDatumTijdVan],"&lt;="&amp;($A32+3/24),tData[SEHTrajectPeriodeDatumTijdTotEnMet],"&gt;"&amp;($A32+3/24),tData[Langligger01],1)</f>
        <v/>
      </c>
      <c r="H32" s="20">
        <f>COUNTIFS(tData[SEHTrajectPeriodeDatumTijdVan],"&lt;="&amp;($A32+4/24),tData[SEHTrajectPeriodeDatumTijdTotEnMet],"&gt;"&amp;($A32+4/24),tData[Langligger01],1)</f>
        <v/>
      </c>
      <c r="I32" s="20">
        <f>COUNTIFS(tData[SEHTrajectPeriodeDatumTijdVan],"&lt;="&amp;($A32+5/24),tData[SEHTrajectPeriodeDatumTijdTotEnMet],"&gt;"&amp;($A32+5/24),tData[Langligger01],1)</f>
        <v/>
      </c>
      <c r="J32" s="20">
        <f>COUNTIFS(tData[SEHTrajectPeriodeDatumTijdVan],"&lt;="&amp;($A32+6/24),tData[SEHTrajectPeriodeDatumTijdTotEnMet],"&gt;"&amp;($A32+6/24),tData[Langligger01],1)</f>
        <v/>
      </c>
      <c r="K32" s="20">
        <f>COUNTIFS(tData[SEHTrajectPeriodeDatumTijdVan],"&lt;="&amp;($A32+7/24),tData[SEHTrajectPeriodeDatumTijdTotEnMet],"&gt;"&amp;($A32+7/24),tData[Langligger01],1)</f>
        <v/>
      </c>
      <c r="L32" s="20">
        <f>COUNTIFS(tData[SEHTrajectPeriodeDatumTijdVan],"&lt;="&amp;($A32+8/24),tData[SEHTrajectPeriodeDatumTijdTotEnMet],"&gt;"&amp;($A32+8/24),tData[Langligger01],1)</f>
        <v/>
      </c>
      <c r="M32" s="20">
        <f>COUNTIFS(tData[SEHTrajectPeriodeDatumTijdVan],"&lt;="&amp;($A32+9/24),tData[SEHTrajectPeriodeDatumTijdTotEnMet],"&gt;"&amp;($A32+9/24),tData[Langligger01],1)</f>
        <v/>
      </c>
      <c r="N32" s="20">
        <f>COUNTIFS(tData[SEHTrajectPeriodeDatumTijdVan],"&lt;="&amp;($A32+10/24),tData[SEHTrajectPeriodeDatumTijdTotEnMet],"&gt;"&amp;($A32+10/24),tData[Langligger01],1)</f>
        <v/>
      </c>
      <c r="O32" s="20">
        <f>COUNTIFS(tData[SEHTrajectPeriodeDatumTijdVan],"&lt;="&amp;($A32+11/24),tData[SEHTrajectPeriodeDatumTijdTotEnMet],"&gt;"&amp;($A32+11/24),tData[Langligger01],1)</f>
        <v/>
      </c>
      <c r="P32" s="20">
        <f>COUNTIFS(tData[SEHTrajectPeriodeDatumTijdVan],"&lt;="&amp;($A32+12/24),tData[SEHTrajectPeriodeDatumTijdTotEnMet],"&gt;"&amp;($A32+12/24),tData[Langligger01],1)</f>
        <v/>
      </c>
      <c r="Q32" s="20">
        <f>COUNTIFS(tData[SEHTrajectPeriodeDatumTijdVan],"&lt;="&amp;($A32+13/24),tData[SEHTrajectPeriodeDatumTijdTotEnMet],"&gt;"&amp;($A32+13/24),tData[Langligger01],1)</f>
        <v/>
      </c>
      <c r="R32" s="20">
        <f>COUNTIFS(tData[SEHTrajectPeriodeDatumTijdVan],"&lt;="&amp;($A32+14/24),tData[SEHTrajectPeriodeDatumTijdTotEnMet],"&gt;"&amp;($A32+14/24),tData[Langligger01],1)</f>
        <v/>
      </c>
      <c r="S32" s="20">
        <f>COUNTIFS(tData[SEHTrajectPeriodeDatumTijdVan],"&lt;="&amp;($A32+15/24),tData[SEHTrajectPeriodeDatumTijdTotEnMet],"&gt;"&amp;($A32+15/24),tData[Langligger01],1)</f>
        <v/>
      </c>
      <c r="T32" s="20">
        <f>COUNTIFS(tData[SEHTrajectPeriodeDatumTijdVan],"&lt;="&amp;($A32+16/24),tData[SEHTrajectPeriodeDatumTijdTotEnMet],"&gt;"&amp;($A32+16/24),tData[Langligger01],1)</f>
        <v/>
      </c>
      <c r="U32" s="20">
        <f>COUNTIFS(tData[SEHTrajectPeriodeDatumTijdVan],"&lt;="&amp;($A32+17/24),tData[SEHTrajectPeriodeDatumTijdTotEnMet],"&gt;"&amp;($A32+17/24),tData[Langligger01],1)</f>
        <v/>
      </c>
      <c r="V32" s="20">
        <f>COUNTIFS(tData[SEHTrajectPeriodeDatumTijdVan],"&lt;="&amp;($A32+18/24),tData[SEHTrajectPeriodeDatumTijdTotEnMet],"&gt;"&amp;($A32+18/24),tData[Langligger01],1)</f>
        <v/>
      </c>
      <c r="W32" s="20">
        <f>COUNTIFS(tData[SEHTrajectPeriodeDatumTijdVan],"&lt;="&amp;($A32+19/24),tData[SEHTrajectPeriodeDatumTijdTotEnMet],"&gt;"&amp;($A32+19/24),tData[Langligger01],1)</f>
        <v/>
      </c>
      <c r="X32" s="20">
        <f>COUNTIFS(tData[SEHTrajectPeriodeDatumTijdVan],"&lt;="&amp;($A32+20/24),tData[SEHTrajectPeriodeDatumTijdTotEnMet],"&gt;"&amp;($A32+20/24),tData[Langligger01],1)</f>
        <v/>
      </c>
      <c r="Y32" s="20">
        <f>COUNTIFS(tData[SEHTrajectPeriodeDatumTijdVan],"&lt;="&amp;($A32+21/24),tData[SEHTrajectPeriodeDatumTijdTotEnMet],"&gt;"&amp;($A32+21/24),tData[Langligger01],1)</f>
        <v/>
      </c>
      <c r="Z32" s="20">
        <f>COUNTIFS(tData[SEHTrajectPeriodeDatumTijdVan],"&lt;="&amp;($A32+22/24),tData[SEHTrajectPeriodeDatumTijdTotEnMet],"&gt;"&amp;($A32+22/24),tData[Langligger01],1)</f>
        <v/>
      </c>
      <c r="AA32" s="20">
        <f>COUNTIFS(tData[SEHTrajectPeriodeDatumTijdVan],"&lt;="&amp;($A32+23/24),tData[SEHTrajectPeriodeDatumTijdTotEnMet],"&gt;"&amp;($A32+23/24),tData[Langligger01],1)</f>
        <v/>
      </c>
    </row>
    <row r="33">
      <c r="A33" s="19" t="n">
        <v>45321</v>
      </c>
      <c r="B33" s="15">
        <f>WEEKDAY($A33,2)</f>
        <v/>
      </c>
      <c r="C33" s="15">
        <f>IF(AND($A33&gt;=INT(Instellingen!$B$5),$A33&lt;=INT(Instellingen!$B$6)),1,0)</f>
        <v/>
      </c>
      <c r="D33" s="20">
        <f>COUNTIFS(tData[SEHTrajectPeriodeDatumTijdVan],"&lt;="&amp;($A33+0/24),tData[SEHTrajectPeriodeDatumTijdTotEnMet],"&gt;"&amp;($A33+0/24),tData[Langligger01],1)</f>
        <v/>
      </c>
      <c r="E33" s="20">
        <f>COUNTIFS(tData[SEHTrajectPeriodeDatumTijdVan],"&lt;="&amp;($A33+1/24),tData[SEHTrajectPeriodeDatumTijdTotEnMet],"&gt;"&amp;($A33+1/24),tData[Langligger01],1)</f>
        <v/>
      </c>
      <c r="F33" s="20">
        <f>COUNTIFS(tData[SEHTrajectPeriodeDatumTijdVan],"&lt;="&amp;($A33+2/24),tData[SEHTrajectPeriodeDatumTijdTotEnMet],"&gt;"&amp;($A33+2/24),tData[Langligger01],1)</f>
        <v/>
      </c>
      <c r="G33" s="20">
        <f>COUNTIFS(tData[SEHTrajectPeriodeDatumTijdVan],"&lt;="&amp;($A33+3/24),tData[SEHTrajectPeriodeDatumTijdTotEnMet],"&gt;"&amp;($A33+3/24),tData[Langligger01],1)</f>
        <v/>
      </c>
      <c r="H33" s="20">
        <f>COUNTIFS(tData[SEHTrajectPeriodeDatumTijdVan],"&lt;="&amp;($A33+4/24),tData[SEHTrajectPeriodeDatumTijdTotEnMet],"&gt;"&amp;($A33+4/24),tData[Langligger01],1)</f>
        <v/>
      </c>
      <c r="I33" s="20">
        <f>COUNTIFS(tData[SEHTrajectPeriodeDatumTijdVan],"&lt;="&amp;($A33+5/24),tData[SEHTrajectPeriodeDatumTijdTotEnMet],"&gt;"&amp;($A33+5/24),tData[Langligger01],1)</f>
        <v/>
      </c>
      <c r="J33" s="20">
        <f>COUNTIFS(tData[SEHTrajectPeriodeDatumTijdVan],"&lt;="&amp;($A33+6/24),tData[SEHTrajectPeriodeDatumTijdTotEnMet],"&gt;"&amp;($A33+6/24),tData[Langligger01],1)</f>
        <v/>
      </c>
      <c r="K33" s="20">
        <f>COUNTIFS(tData[SEHTrajectPeriodeDatumTijdVan],"&lt;="&amp;($A33+7/24),tData[SEHTrajectPeriodeDatumTijdTotEnMet],"&gt;"&amp;($A33+7/24),tData[Langligger01],1)</f>
        <v/>
      </c>
      <c r="L33" s="20">
        <f>COUNTIFS(tData[SEHTrajectPeriodeDatumTijdVan],"&lt;="&amp;($A33+8/24),tData[SEHTrajectPeriodeDatumTijdTotEnMet],"&gt;"&amp;($A33+8/24),tData[Langligger01],1)</f>
        <v/>
      </c>
      <c r="M33" s="20">
        <f>COUNTIFS(tData[SEHTrajectPeriodeDatumTijdVan],"&lt;="&amp;($A33+9/24),tData[SEHTrajectPeriodeDatumTijdTotEnMet],"&gt;"&amp;($A33+9/24),tData[Langligger01],1)</f>
        <v/>
      </c>
      <c r="N33" s="20">
        <f>COUNTIFS(tData[SEHTrajectPeriodeDatumTijdVan],"&lt;="&amp;($A33+10/24),tData[SEHTrajectPeriodeDatumTijdTotEnMet],"&gt;"&amp;($A33+10/24),tData[Langligger01],1)</f>
        <v/>
      </c>
      <c r="O33" s="20">
        <f>COUNTIFS(tData[SEHTrajectPeriodeDatumTijdVan],"&lt;="&amp;($A33+11/24),tData[SEHTrajectPeriodeDatumTijdTotEnMet],"&gt;"&amp;($A33+11/24),tData[Langligger01],1)</f>
        <v/>
      </c>
      <c r="P33" s="20">
        <f>COUNTIFS(tData[SEHTrajectPeriodeDatumTijdVan],"&lt;="&amp;($A33+12/24),tData[SEHTrajectPeriodeDatumTijdTotEnMet],"&gt;"&amp;($A33+12/24),tData[Langligger01],1)</f>
        <v/>
      </c>
      <c r="Q33" s="20">
        <f>COUNTIFS(tData[SEHTrajectPeriodeDatumTijdVan],"&lt;="&amp;($A33+13/24),tData[SEHTrajectPeriodeDatumTijdTotEnMet],"&gt;"&amp;($A33+13/24),tData[Langligger01],1)</f>
        <v/>
      </c>
      <c r="R33" s="20">
        <f>COUNTIFS(tData[SEHTrajectPeriodeDatumTijdVan],"&lt;="&amp;($A33+14/24),tData[SEHTrajectPeriodeDatumTijdTotEnMet],"&gt;"&amp;($A33+14/24),tData[Langligger01],1)</f>
        <v/>
      </c>
      <c r="S33" s="20">
        <f>COUNTIFS(tData[SEHTrajectPeriodeDatumTijdVan],"&lt;="&amp;($A33+15/24),tData[SEHTrajectPeriodeDatumTijdTotEnMet],"&gt;"&amp;($A33+15/24),tData[Langligger01],1)</f>
        <v/>
      </c>
      <c r="T33" s="20">
        <f>COUNTIFS(tData[SEHTrajectPeriodeDatumTijdVan],"&lt;="&amp;($A33+16/24),tData[SEHTrajectPeriodeDatumTijdTotEnMet],"&gt;"&amp;($A33+16/24),tData[Langligger01],1)</f>
        <v/>
      </c>
      <c r="U33" s="20">
        <f>COUNTIFS(tData[SEHTrajectPeriodeDatumTijdVan],"&lt;="&amp;($A33+17/24),tData[SEHTrajectPeriodeDatumTijdTotEnMet],"&gt;"&amp;($A33+17/24),tData[Langligger01],1)</f>
        <v/>
      </c>
      <c r="V33" s="20">
        <f>COUNTIFS(tData[SEHTrajectPeriodeDatumTijdVan],"&lt;="&amp;($A33+18/24),tData[SEHTrajectPeriodeDatumTijdTotEnMet],"&gt;"&amp;($A33+18/24),tData[Langligger01],1)</f>
        <v/>
      </c>
      <c r="W33" s="20">
        <f>COUNTIFS(tData[SEHTrajectPeriodeDatumTijdVan],"&lt;="&amp;($A33+19/24),tData[SEHTrajectPeriodeDatumTijdTotEnMet],"&gt;"&amp;($A33+19/24),tData[Langligger01],1)</f>
        <v/>
      </c>
      <c r="X33" s="20">
        <f>COUNTIFS(tData[SEHTrajectPeriodeDatumTijdVan],"&lt;="&amp;($A33+20/24),tData[SEHTrajectPeriodeDatumTijdTotEnMet],"&gt;"&amp;($A33+20/24),tData[Langligger01],1)</f>
        <v/>
      </c>
      <c r="Y33" s="20">
        <f>COUNTIFS(tData[SEHTrajectPeriodeDatumTijdVan],"&lt;="&amp;($A33+21/24),tData[SEHTrajectPeriodeDatumTijdTotEnMet],"&gt;"&amp;($A33+21/24),tData[Langligger01],1)</f>
        <v/>
      </c>
      <c r="Z33" s="20">
        <f>COUNTIFS(tData[SEHTrajectPeriodeDatumTijdVan],"&lt;="&amp;($A33+22/24),tData[SEHTrajectPeriodeDatumTijdTotEnMet],"&gt;"&amp;($A33+22/24),tData[Langligger01],1)</f>
        <v/>
      </c>
      <c r="AA33" s="20">
        <f>COUNTIFS(tData[SEHTrajectPeriodeDatumTijdVan],"&lt;="&amp;($A33+23/24),tData[SEHTrajectPeriodeDatumTijdTotEnMet],"&gt;"&amp;($A33+23/24),tData[Langligger01],1)</f>
        <v/>
      </c>
    </row>
    <row r="34">
      <c r="A34" s="19" t="n">
        <v>45322</v>
      </c>
      <c r="B34" s="15">
        <f>WEEKDAY($A34,2)</f>
        <v/>
      </c>
      <c r="C34" s="15">
        <f>IF(AND($A34&gt;=INT(Instellingen!$B$5),$A34&lt;=INT(Instellingen!$B$6)),1,0)</f>
        <v/>
      </c>
      <c r="D34" s="20">
        <f>COUNTIFS(tData[SEHTrajectPeriodeDatumTijdVan],"&lt;="&amp;($A34+0/24),tData[SEHTrajectPeriodeDatumTijdTotEnMet],"&gt;"&amp;($A34+0/24),tData[Langligger01],1)</f>
        <v/>
      </c>
      <c r="E34" s="20">
        <f>COUNTIFS(tData[SEHTrajectPeriodeDatumTijdVan],"&lt;="&amp;($A34+1/24),tData[SEHTrajectPeriodeDatumTijdTotEnMet],"&gt;"&amp;($A34+1/24),tData[Langligger01],1)</f>
        <v/>
      </c>
      <c r="F34" s="20">
        <f>COUNTIFS(tData[SEHTrajectPeriodeDatumTijdVan],"&lt;="&amp;($A34+2/24),tData[SEHTrajectPeriodeDatumTijdTotEnMet],"&gt;"&amp;($A34+2/24),tData[Langligger01],1)</f>
        <v/>
      </c>
      <c r="G34" s="20">
        <f>COUNTIFS(tData[SEHTrajectPeriodeDatumTijdVan],"&lt;="&amp;($A34+3/24),tData[SEHTrajectPeriodeDatumTijdTotEnMet],"&gt;"&amp;($A34+3/24),tData[Langligger01],1)</f>
        <v/>
      </c>
      <c r="H34" s="20">
        <f>COUNTIFS(tData[SEHTrajectPeriodeDatumTijdVan],"&lt;="&amp;($A34+4/24),tData[SEHTrajectPeriodeDatumTijdTotEnMet],"&gt;"&amp;($A34+4/24),tData[Langligger01],1)</f>
        <v/>
      </c>
      <c r="I34" s="20">
        <f>COUNTIFS(tData[SEHTrajectPeriodeDatumTijdVan],"&lt;="&amp;($A34+5/24),tData[SEHTrajectPeriodeDatumTijdTotEnMet],"&gt;"&amp;($A34+5/24),tData[Langligger01],1)</f>
        <v/>
      </c>
      <c r="J34" s="20">
        <f>COUNTIFS(tData[SEHTrajectPeriodeDatumTijdVan],"&lt;="&amp;($A34+6/24),tData[SEHTrajectPeriodeDatumTijdTotEnMet],"&gt;"&amp;($A34+6/24),tData[Langligger01],1)</f>
        <v/>
      </c>
      <c r="K34" s="20">
        <f>COUNTIFS(tData[SEHTrajectPeriodeDatumTijdVan],"&lt;="&amp;($A34+7/24),tData[SEHTrajectPeriodeDatumTijdTotEnMet],"&gt;"&amp;($A34+7/24),tData[Langligger01],1)</f>
        <v/>
      </c>
      <c r="L34" s="20">
        <f>COUNTIFS(tData[SEHTrajectPeriodeDatumTijdVan],"&lt;="&amp;($A34+8/24),tData[SEHTrajectPeriodeDatumTijdTotEnMet],"&gt;"&amp;($A34+8/24),tData[Langligger01],1)</f>
        <v/>
      </c>
      <c r="M34" s="20">
        <f>COUNTIFS(tData[SEHTrajectPeriodeDatumTijdVan],"&lt;="&amp;($A34+9/24),tData[SEHTrajectPeriodeDatumTijdTotEnMet],"&gt;"&amp;($A34+9/24),tData[Langligger01],1)</f>
        <v/>
      </c>
      <c r="N34" s="20">
        <f>COUNTIFS(tData[SEHTrajectPeriodeDatumTijdVan],"&lt;="&amp;($A34+10/24),tData[SEHTrajectPeriodeDatumTijdTotEnMet],"&gt;"&amp;($A34+10/24),tData[Langligger01],1)</f>
        <v/>
      </c>
      <c r="O34" s="20">
        <f>COUNTIFS(tData[SEHTrajectPeriodeDatumTijdVan],"&lt;="&amp;($A34+11/24),tData[SEHTrajectPeriodeDatumTijdTotEnMet],"&gt;"&amp;($A34+11/24),tData[Langligger01],1)</f>
        <v/>
      </c>
      <c r="P34" s="20">
        <f>COUNTIFS(tData[SEHTrajectPeriodeDatumTijdVan],"&lt;="&amp;($A34+12/24),tData[SEHTrajectPeriodeDatumTijdTotEnMet],"&gt;"&amp;($A34+12/24),tData[Langligger01],1)</f>
        <v/>
      </c>
      <c r="Q34" s="20">
        <f>COUNTIFS(tData[SEHTrajectPeriodeDatumTijdVan],"&lt;="&amp;($A34+13/24),tData[SEHTrajectPeriodeDatumTijdTotEnMet],"&gt;"&amp;($A34+13/24),tData[Langligger01],1)</f>
        <v/>
      </c>
      <c r="R34" s="20">
        <f>COUNTIFS(tData[SEHTrajectPeriodeDatumTijdVan],"&lt;="&amp;($A34+14/24),tData[SEHTrajectPeriodeDatumTijdTotEnMet],"&gt;"&amp;($A34+14/24),tData[Langligger01],1)</f>
        <v/>
      </c>
      <c r="S34" s="20">
        <f>COUNTIFS(tData[SEHTrajectPeriodeDatumTijdVan],"&lt;="&amp;($A34+15/24),tData[SEHTrajectPeriodeDatumTijdTotEnMet],"&gt;"&amp;($A34+15/24),tData[Langligger01],1)</f>
        <v/>
      </c>
      <c r="T34" s="20">
        <f>COUNTIFS(tData[SEHTrajectPeriodeDatumTijdVan],"&lt;="&amp;($A34+16/24),tData[SEHTrajectPeriodeDatumTijdTotEnMet],"&gt;"&amp;($A34+16/24),tData[Langligger01],1)</f>
        <v/>
      </c>
      <c r="U34" s="20">
        <f>COUNTIFS(tData[SEHTrajectPeriodeDatumTijdVan],"&lt;="&amp;($A34+17/24),tData[SEHTrajectPeriodeDatumTijdTotEnMet],"&gt;"&amp;($A34+17/24),tData[Langligger01],1)</f>
        <v/>
      </c>
      <c r="V34" s="20">
        <f>COUNTIFS(tData[SEHTrajectPeriodeDatumTijdVan],"&lt;="&amp;($A34+18/24),tData[SEHTrajectPeriodeDatumTijdTotEnMet],"&gt;"&amp;($A34+18/24),tData[Langligger01],1)</f>
        <v/>
      </c>
      <c r="W34" s="20">
        <f>COUNTIFS(tData[SEHTrajectPeriodeDatumTijdVan],"&lt;="&amp;($A34+19/24),tData[SEHTrajectPeriodeDatumTijdTotEnMet],"&gt;"&amp;($A34+19/24),tData[Langligger01],1)</f>
        <v/>
      </c>
      <c r="X34" s="20">
        <f>COUNTIFS(tData[SEHTrajectPeriodeDatumTijdVan],"&lt;="&amp;($A34+20/24),tData[SEHTrajectPeriodeDatumTijdTotEnMet],"&gt;"&amp;($A34+20/24),tData[Langligger01],1)</f>
        <v/>
      </c>
      <c r="Y34" s="20">
        <f>COUNTIFS(tData[SEHTrajectPeriodeDatumTijdVan],"&lt;="&amp;($A34+21/24),tData[SEHTrajectPeriodeDatumTijdTotEnMet],"&gt;"&amp;($A34+21/24),tData[Langligger01],1)</f>
        <v/>
      </c>
      <c r="Z34" s="20">
        <f>COUNTIFS(tData[SEHTrajectPeriodeDatumTijdVan],"&lt;="&amp;($A34+22/24),tData[SEHTrajectPeriodeDatumTijdTotEnMet],"&gt;"&amp;($A34+22/24),tData[Langligger01],1)</f>
        <v/>
      </c>
      <c r="AA34" s="20">
        <f>COUNTIFS(tData[SEHTrajectPeriodeDatumTijdVan],"&lt;="&amp;($A34+23/24),tData[SEHTrajectPeriodeDatumTijdTotEnMet],"&gt;"&amp;($A34+23/24),tData[Langligger01],1)</f>
        <v/>
      </c>
    </row>
    <row r="35">
      <c r="A35" s="19" t="n">
        <v>45323</v>
      </c>
      <c r="B35" s="15">
        <f>WEEKDAY($A35,2)</f>
        <v/>
      </c>
      <c r="C35" s="15">
        <f>IF(AND($A35&gt;=INT(Instellingen!$B$5),$A35&lt;=INT(Instellingen!$B$6)),1,0)</f>
        <v/>
      </c>
      <c r="D35" s="20">
        <f>COUNTIFS(tData[SEHTrajectPeriodeDatumTijdVan],"&lt;="&amp;($A35+0/24),tData[SEHTrajectPeriodeDatumTijdTotEnMet],"&gt;"&amp;($A35+0/24),tData[Langligger01],1)</f>
        <v/>
      </c>
      <c r="E35" s="20">
        <f>COUNTIFS(tData[SEHTrajectPeriodeDatumTijdVan],"&lt;="&amp;($A35+1/24),tData[SEHTrajectPeriodeDatumTijdTotEnMet],"&gt;"&amp;($A35+1/24),tData[Langligger01],1)</f>
        <v/>
      </c>
      <c r="F35" s="20">
        <f>COUNTIFS(tData[SEHTrajectPeriodeDatumTijdVan],"&lt;="&amp;($A35+2/24),tData[SEHTrajectPeriodeDatumTijdTotEnMet],"&gt;"&amp;($A35+2/24),tData[Langligger01],1)</f>
        <v/>
      </c>
      <c r="G35" s="20">
        <f>COUNTIFS(tData[SEHTrajectPeriodeDatumTijdVan],"&lt;="&amp;($A35+3/24),tData[SEHTrajectPeriodeDatumTijdTotEnMet],"&gt;"&amp;($A35+3/24),tData[Langligger01],1)</f>
        <v/>
      </c>
      <c r="H35" s="20">
        <f>COUNTIFS(tData[SEHTrajectPeriodeDatumTijdVan],"&lt;="&amp;($A35+4/24),tData[SEHTrajectPeriodeDatumTijdTotEnMet],"&gt;"&amp;($A35+4/24),tData[Langligger01],1)</f>
        <v/>
      </c>
      <c r="I35" s="20">
        <f>COUNTIFS(tData[SEHTrajectPeriodeDatumTijdVan],"&lt;="&amp;($A35+5/24),tData[SEHTrajectPeriodeDatumTijdTotEnMet],"&gt;"&amp;($A35+5/24),tData[Langligger01],1)</f>
        <v/>
      </c>
      <c r="J35" s="20">
        <f>COUNTIFS(tData[SEHTrajectPeriodeDatumTijdVan],"&lt;="&amp;($A35+6/24),tData[SEHTrajectPeriodeDatumTijdTotEnMet],"&gt;"&amp;($A35+6/24),tData[Langligger01],1)</f>
        <v/>
      </c>
      <c r="K35" s="20">
        <f>COUNTIFS(tData[SEHTrajectPeriodeDatumTijdVan],"&lt;="&amp;($A35+7/24),tData[SEHTrajectPeriodeDatumTijdTotEnMet],"&gt;"&amp;($A35+7/24),tData[Langligger01],1)</f>
        <v/>
      </c>
      <c r="L35" s="20">
        <f>COUNTIFS(tData[SEHTrajectPeriodeDatumTijdVan],"&lt;="&amp;($A35+8/24),tData[SEHTrajectPeriodeDatumTijdTotEnMet],"&gt;"&amp;($A35+8/24),tData[Langligger01],1)</f>
        <v/>
      </c>
      <c r="M35" s="20">
        <f>COUNTIFS(tData[SEHTrajectPeriodeDatumTijdVan],"&lt;="&amp;($A35+9/24),tData[SEHTrajectPeriodeDatumTijdTotEnMet],"&gt;"&amp;($A35+9/24),tData[Langligger01],1)</f>
        <v/>
      </c>
      <c r="N35" s="20">
        <f>COUNTIFS(tData[SEHTrajectPeriodeDatumTijdVan],"&lt;="&amp;($A35+10/24),tData[SEHTrajectPeriodeDatumTijdTotEnMet],"&gt;"&amp;($A35+10/24),tData[Langligger01],1)</f>
        <v/>
      </c>
      <c r="O35" s="20">
        <f>COUNTIFS(tData[SEHTrajectPeriodeDatumTijdVan],"&lt;="&amp;($A35+11/24),tData[SEHTrajectPeriodeDatumTijdTotEnMet],"&gt;"&amp;($A35+11/24),tData[Langligger01],1)</f>
        <v/>
      </c>
      <c r="P35" s="20">
        <f>COUNTIFS(tData[SEHTrajectPeriodeDatumTijdVan],"&lt;="&amp;($A35+12/24),tData[SEHTrajectPeriodeDatumTijdTotEnMet],"&gt;"&amp;($A35+12/24),tData[Langligger01],1)</f>
        <v/>
      </c>
      <c r="Q35" s="20">
        <f>COUNTIFS(tData[SEHTrajectPeriodeDatumTijdVan],"&lt;="&amp;($A35+13/24),tData[SEHTrajectPeriodeDatumTijdTotEnMet],"&gt;"&amp;($A35+13/24),tData[Langligger01],1)</f>
        <v/>
      </c>
      <c r="R35" s="20">
        <f>COUNTIFS(tData[SEHTrajectPeriodeDatumTijdVan],"&lt;="&amp;($A35+14/24),tData[SEHTrajectPeriodeDatumTijdTotEnMet],"&gt;"&amp;($A35+14/24),tData[Langligger01],1)</f>
        <v/>
      </c>
      <c r="S35" s="20">
        <f>COUNTIFS(tData[SEHTrajectPeriodeDatumTijdVan],"&lt;="&amp;($A35+15/24),tData[SEHTrajectPeriodeDatumTijdTotEnMet],"&gt;"&amp;($A35+15/24),tData[Langligger01],1)</f>
        <v/>
      </c>
      <c r="T35" s="20">
        <f>COUNTIFS(tData[SEHTrajectPeriodeDatumTijdVan],"&lt;="&amp;($A35+16/24),tData[SEHTrajectPeriodeDatumTijdTotEnMet],"&gt;"&amp;($A35+16/24),tData[Langligger01],1)</f>
        <v/>
      </c>
      <c r="U35" s="20">
        <f>COUNTIFS(tData[SEHTrajectPeriodeDatumTijdVan],"&lt;="&amp;($A35+17/24),tData[SEHTrajectPeriodeDatumTijdTotEnMet],"&gt;"&amp;($A35+17/24),tData[Langligger01],1)</f>
        <v/>
      </c>
      <c r="V35" s="20">
        <f>COUNTIFS(tData[SEHTrajectPeriodeDatumTijdVan],"&lt;="&amp;($A35+18/24),tData[SEHTrajectPeriodeDatumTijdTotEnMet],"&gt;"&amp;($A35+18/24),tData[Langligger01],1)</f>
        <v/>
      </c>
      <c r="W35" s="20">
        <f>COUNTIFS(tData[SEHTrajectPeriodeDatumTijdVan],"&lt;="&amp;($A35+19/24),tData[SEHTrajectPeriodeDatumTijdTotEnMet],"&gt;"&amp;($A35+19/24),tData[Langligger01],1)</f>
        <v/>
      </c>
      <c r="X35" s="20">
        <f>COUNTIFS(tData[SEHTrajectPeriodeDatumTijdVan],"&lt;="&amp;($A35+20/24),tData[SEHTrajectPeriodeDatumTijdTotEnMet],"&gt;"&amp;($A35+20/24),tData[Langligger01],1)</f>
        <v/>
      </c>
      <c r="Y35" s="20">
        <f>COUNTIFS(tData[SEHTrajectPeriodeDatumTijdVan],"&lt;="&amp;($A35+21/24),tData[SEHTrajectPeriodeDatumTijdTotEnMet],"&gt;"&amp;($A35+21/24),tData[Langligger01],1)</f>
        <v/>
      </c>
      <c r="Z35" s="20">
        <f>COUNTIFS(tData[SEHTrajectPeriodeDatumTijdVan],"&lt;="&amp;($A35+22/24),tData[SEHTrajectPeriodeDatumTijdTotEnMet],"&gt;"&amp;($A35+22/24),tData[Langligger01],1)</f>
        <v/>
      </c>
      <c r="AA35" s="20">
        <f>COUNTIFS(tData[SEHTrajectPeriodeDatumTijdVan],"&lt;="&amp;($A35+23/24),tData[SEHTrajectPeriodeDatumTijdTotEnMet],"&gt;"&amp;($A35+23/24),tData[Langligger01],1)</f>
        <v/>
      </c>
    </row>
    <row r="36">
      <c r="A36" s="19" t="n">
        <v>45324</v>
      </c>
      <c r="B36" s="15">
        <f>WEEKDAY($A36,2)</f>
        <v/>
      </c>
      <c r="C36" s="15">
        <f>IF(AND($A36&gt;=INT(Instellingen!$B$5),$A36&lt;=INT(Instellingen!$B$6)),1,0)</f>
        <v/>
      </c>
      <c r="D36" s="20">
        <f>COUNTIFS(tData[SEHTrajectPeriodeDatumTijdVan],"&lt;="&amp;($A36+0/24),tData[SEHTrajectPeriodeDatumTijdTotEnMet],"&gt;"&amp;($A36+0/24),tData[Langligger01],1)</f>
        <v/>
      </c>
      <c r="E36" s="20">
        <f>COUNTIFS(tData[SEHTrajectPeriodeDatumTijdVan],"&lt;="&amp;($A36+1/24),tData[SEHTrajectPeriodeDatumTijdTotEnMet],"&gt;"&amp;($A36+1/24),tData[Langligger01],1)</f>
        <v/>
      </c>
      <c r="F36" s="20">
        <f>COUNTIFS(tData[SEHTrajectPeriodeDatumTijdVan],"&lt;="&amp;($A36+2/24),tData[SEHTrajectPeriodeDatumTijdTotEnMet],"&gt;"&amp;($A36+2/24),tData[Langligger01],1)</f>
        <v/>
      </c>
      <c r="G36" s="20">
        <f>COUNTIFS(tData[SEHTrajectPeriodeDatumTijdVan],"&lt;="&amp;($A36+3/24),tData[SEHTrajectPeriodeDatumTijdTotEnMet],"&gt;"&amp;($A36+3/24),tData[Langligger01],1)</f>
        <v/>
      </c>
      <c r="H36" s="20">
        <f>COUNTIFS(tData[SEHTrajectPeriodeDatumTijdVan],"&lt;="&amp;($A36+4/24),tData[SEHTrajectPeriodeDatumTijdTotEnMet],"&gt;"&amp;($A36+4/24),tData[Langligger01],1)</f>
        <v/>
      </c>
      <c r="I36" s="20">
        <f>COUNTIFS(tData[SEHTrajectPeriodeDatumTijdVan],"&lt;="&amp;($A36+5/24),tData[SEHTrajectPeriodeDatumTijdTotEnMet],"&gt;"&amp;($A36+5/24),tData[Langligger01],1)</f>
        <v/>
      </c>
      <c r="J36" s="20">
        <f>COUNTIFS(tData[SEHTrajectPeriodeDatumTijdVan],"&lt;="&amp;($A36+6/24),tData[SEHTrajectPeriodeDatumTijdTotEnMet],"&gt;"&amp;($A36+6/24),tData[Langligger01],1)</f>
        <v/>
      </c>
      <c r="K36" s="20">
        <f>COUNTIFS(tData[SEHTrajectPeriodeDatumTijdVan],"&lt;="&amp;($A36+7/24),tData[SEHTrajectPeriodeDatumTijdTotEnMet],"&gt;"&amp;($A36+7/24),tData[Langligger01],1)</f>
        <v/>
      </c>
      <c r="L36" s="20">
        <f>COUNTIFS(tData[SEHTrajectPeriodeDatumTijdVan],"&lt;="&amp;($A36+8/24),tData[SEHTrajectPeriodeDatumTijdTotEnMet],"&gt;"&amp;($A36+8/24),tData[Langligger01],1)</f>
        <v/>
      </c>
      <c r="M36" s="20">
        <f>COUNTIFS(tData[SEHTrajectPeriodeDatumTijdVan],"&lt;="&amp;($A36+9/24),tData[SEHTrajectPeriodeDatumTijdTotEnMet],"&gt;"&amp;($A36+9/24),tData[Langligger01],1)</f>
        <v/>
      </c>
      <c r="N36" s="20">
        <f>COUNTIFS(tData[SEHTrajectPeriodeDatumTijdVan],"&lt;="&amp;($A36+10/24),tData[SEHTrajectPeriodeDatumTijdTotEnMet],"&gt;"&amp;($A36+10/24),tData[Langligger01],1)</f>
        <v/>
      </c>
      <c r="O36" s="20">
        <f>COUNTIFS(tData[SEHTrajectPeriodeDatumTijdVan],"&lt;="&amp;($A36+11/24),tData[SEHTrajectPeriodeDatumTijdTotEnMet],"&gt;"&amp;($A36+11/24),tData[Langligger01],1)</f>
        <v/>
      </c>
      <c r="P36" s="20">
        <f>COUNTIFS(tData[SEHTrajectPeriodeDatumTijdVan],"&lt;="&amp;($A36+12/24),tData[SEHTrajectPeriodeDatumTijdTotEnMet],"&gt;"&amp;($A36+12/24),tData[Langligger01],1)</f>
        <v/>
      </c>
      <c r="Q36" s="20">
        <f>COUNTIFS(tData[SEHTrajectPeriodeDatumTijdVan],"&lt;="&amp;($A36+13/24),tData[SEHTrajectPeriodeDatumTijdTotEnMet],"&gt;"&amp;($A36+13/24),tData[Langligger01],1)</f>
        <v/>
      </c>
      <c r="R36" s="20">
        <f>COUNTIFS(tData[SEHTrajectPeriodeDatumTijdVan],"&lt;="&amp;($A36+14/24),tData[SEHTrajectPeriodeDatumTijdTotEnMet],"&gt;"&amp;($A36+14/24),tData[Langligger01],1)</f>
        <v/>
      </c>
      <c r="S36" s="20">
        <f>COUNTIFS(tData[SEHTrajectPeriodeDatumTijdVan],"&lt;="&amp;($A36+15/24),tData[SEHTrajectPeriodeDatumTijdTotEnMet],"&gt;"&amp;($A36+15/24),tData[Langligger01],1)</f>
        <v/>
      </c>
      <c r="T36" s="20">
        <f>COUNTIFS(tData[SEHTrajectPeriodeDatumTijdVan],"&lt;="&amp;($A36+16/24),tData[SEHTrajectPeriodeDatumTijdTotEnMet],"&gt;"&amp;($A36+16/24),tData[Langligger01],1)</f>
        <v/>
      </c>
      <c r="U36" s="20">
        <f>COUNTIFS(tData[SEHTrajectPeriodeDatumTijdVan],"&lt;="&amp;($A36+17/24),tData[SEHTrajectPeriodeDatumTijdTotEnMet],"&gt;"&amp;($A36+17/24),tData[Langligger01],1)</f>
        <v/>
      </c>
      <c r="V36" s="20">
        <f>COUNTIFS(tData[SEHTrajectPeriodeDatumTijdVan],"&lt;="&amp;($A36+18/24),tData[SEHTrajectPeriodeDatumTijdTotEnMet],"&gt;"&amp;($A36+18/24),tData[Langligger01],1)</f>
        <v/>
      </c>
      <c r="W36" s="20">
        <f>COUNTIFS(tData[SEHTrajectPeriodeDatumTijdVan],"&lt;="&amp;($A36+19/24),tData[SEHTrajectPeriodeDatumTijdTotEnMet],"&gt;"&amp;($A36+19/24),tData[Langligger01],1)</f>
        <v/>
      </c>
      <c r="X36" s="20">
        <f>COUNTIFS(tData[SEHTrajectPeriodeDatumTijdVan],"&lt;="&amp;($A36+20/24),tData[SEHTrajectPeriodeDatumTijdTotEnMet],"&gt;"&amp;($A36+20/24),tData[Langligger01],1)</f>
        <v/>
      </c>
      <c r="Y36" s="20">
        <f>COUNTIFS(tData[SEHTrajectPeriodeDatumTijdVan],"&lt;="&amp;($A36+21/24),tData[SEHTrajectPeriodeDatumTijdTotEnMet],"&gt;"&amp;($A36+21/24),tData[Langligger01],1)</f>
        <v/>
      </c>
      <c r="Z36" s="20">
        <f>COUNTIFS(tData[SEHTrajectPeriodeDatumTijdVan],"&lt;="&amp;($A36+22/24),tData[SEHTrajectPeriodeDatumTijdTotEnMet],"&gt;"&amp;($A36+22/24),tData[Langligger01],1)</f>
        <v/>
      </c>
      <c r="AA36" s="20">
        <f>COUNTIFS(tData[SEHTrajectPeriodeDatumTijdVan],"&lt;="&amp;($A36+23/24),tData[SEHTrajectPeriodeDatumTijdTotEnMet],"&gt;"&amp;($A36+23/24),tData[Langligger01],1)</f>
        <v/>
      </c>
    </row>
    <row r="37">
      <c r="A37" s="19" t="n">
        <v>45325</v>
      </c>
      <c r="B37" s="15">
        <f>WEEKDAY($A37,2)</f>
        <v/>
      </c>
      <c r="C37" s="15">
        <f>IF(AND($A37&gt;=INT(Instellingen!$B$5),$A37&lt;=INT(Instellingen!$B$6)),1,0)</f>
        <v/>
      </c>
      <c r="D37" s="20">
        <f>COUNTIFS(tData[SEHTrajectPeriodeDatumTijdVan],"&lt;="&amp;($A37+0/24),tData[SEHTrajectPeriodeDatumTijdTotEnMet],"&gt;"&amp;($A37+0/24),tData[Langligger01],1)</f>
        <v/>
      </c>
      <c r="E37" s="20">
        <f>COUNTIFS(tData[SEHTrajectPeriodeDatumTijdVan],"&lt;="&amp;($A37+1/24),tData[SEHTrajectPeriodeDatumTijdTotEnMet],"&gt;"&amp;($A37+1/24),tData[Langligger01],1)</f>
        <v/>
      </c>
      <c r="F37" s="20">
        <f>COUNTIFS(tData[SEHTrajectPeriodeDatumTijdVan],"&lt;="&amp;($A37+2/24),tData[SEHTrajectPeriodeDatumTijdTotEnMet],"&gt;"&amp;($A37+2/24),tData[Langligger01],1)</f>
        <v/>
      </c>
      <c r="G37" s="20">
        <f>COUNTIFS(tData[SEHTrajectPeriodeDatumTijdVan],"&lt;="&amp;($A37+3/24),tData[SEHTrajectPeriodeDatumTijdTotEnMet],"&gt;"&amp;($A37+3/24),tData[Langligger01],1)</f>
        <v/>
      </c>
      <c r="H37" s="20">
        <f>COUNTIFS(tData[SEHTrajectPeriodeDatumTijdVan],"&lt;="&amp;($A37+4/24),tData[SEHTrajectPeriodeDatumTijdTotEnMet],"&gt;"&amp;($A37+4/24),tData[Langligger01],1)</f>
        <v/>
      </c>
      <c r="I37" s="20">
        <f>COUNTIFS(tData[SEHTrajectPeriodeDatumTijdVan],"&lt;="&amp;($A37+5/24),tData[SEHTrajectPeriodeDatumTijdTotEnMet],"&gt;"&amp;($A37+5/24),tData[Langligger01],1)</f>
        <v/>
      </c>
      <c r="J37" s="20">
        <f>COUNTIFS(tData[SEHTrajectPeriodeDatumTijdVan],"&lt;="&amp;($A37+6/24),tData[SEHTrajectPeriodeDatumTijdTotEnMet],"&gt;"&amp;($A37+6/24),tData[Langligger01],1)</f>
        <v/>
      </c>
      <c r="K37" s="20">
        <f>COUNTIFS(tData[SEHTrajectPeriodeDatumTijdVan],"&lt;="&amp;($A37+7/24),tData[SEHTrajectPeriodeDatumTijdTotEnMet],"&gt;"&amp;($A37+7/24),tData[Langligger01],1)</f>
        <v/>
      </c>
      <c r="L37" s="20">
        <f>COUNTIFS(tData[SEHTrajectPeriodeDatumTijdVan],"&lt;="&amp;($A37+8/24),tData[SEHTrajectPeriodeDatumTijdTotEnMet],"&gt;"&amp;($A37+8/24),tData[Langligger01],1)</f>
        <v/>
      </c>
      <c r="M37" s="20">
        <f>COUNTIFS(tData[SEHTrajectPeriodeDatumTijdVan],"&lt;="&amp;($A37+9/24),tData[SEHTrajectPeriodeDatumTijdTotEnMet],"&gt;"&amp;($A37+9/24),tData[Langligger01],1)</f>
        <v/>
      </c>
      <c r="N37" s="20">
        <f>COUNTIFS(tData[SEHTrajectPeriodeDatumTijdVan],"&lt;="&amp;($A37+10/24),tData[SEHTrajectPeriodeDatumTijdTotEnMet],"&gt;"&amp;($A37+10/24),tData[Langligger01],1)</f>
        <v/>
      </c>
      <c r="O37" s="20">
        <f>COUNTIFS(tData[SEHTrajectPeriodeDatumTijdVan],"&lt;="&amp;($A37+11/24),tData[SEHTrajectPeriodeDatumTijdTotEnMet],"&gt;"&amp;($A37+11/24),tData[Langligger01],1)</f>
        <v/>
      </c>
      <c r="P37" s="20">
        <f>COUNTIFS(tData[SEHTrajectPeriodeDatumTijdVan],"&lt;="&amp;($A37+12/24),tData[SEHTrajectPeriodeDatumTijdTotEnMet],"&gt;"&amp;($A37+12/24),tData[Langligger01],1)</f>
        <v/>
      </c>
      <c r="Q37" s="20">
        <f>COUNTIFS(tData[SEHTrajectPeriodeDatumTijdVan],"&lt;="&amp;($A37+13/24),tData[SEHTrajectPeriodeDatumTijdTotEnMet],"&gt;"&amp;($A37+13/24),tData[Langligger01],1)</f>
        <v/>
      </c>
      <c r="R37" s="20">
        <f>COUNTIFS(tData[SEHTrajectPeriodeDatumTijdVan],"&lt;="&amp;($A37+14/24),tData[SEHTrajectPeriodeDatumTijdTotEnMet],"&gt;"&amp;($A37+14/24),tData[Langligger01],1)</f>
        <v/>
      </c>
      <c r="S37" s="20">
        <f>COUNTIFS(tData[SEHTrajectPeriodeDatumTijdVan],"&lt;="&amp;($A37+15/24),tData[SEHTrajectPeriodeDatumTijdTotEnMet],"&gt;"&amp;($A37+15/24),tData[Langligger01],1)</f>
        <v/>
      </c>
      <c r="T37" s="20">
        <f>COUNTIFS(tData[SEHTrajectPeriodeDatumTijdVan],"&lt;="&amp;($A37+16/24),tData[SEHTrajectPeriodeDatumTijdTotEnMet],"&gt;"&amp;($A37+16/24),tData[Langligger01],1)</f>
        <v/>
      </c>
      <c r="U37" s="20">
        <f>COUNTIFS(tData[SEHTrajectPeriodeDatumTijdVan],"&lt;="&amp;($A37+17/24),tData[SEHTrajectPeriodeDatumTijdTotEnMet],"&gt;"&amp;($A37+17/24),tData[Langligger01],1)</f>
        <v/>
      </c>
      <c r="V37" s="20">
        <f>COUNTIFS(tData[SEHTrajectPeriodeDatumTijdVan],"&lt;="&amp;($A37+18/24),tData[SEHTrajectPeriodeDatumTijdTotEnMet],"&gt;"&amp;($A37+18/24),tData[Langligger01],1)</f>
        <v/>
      </c>
      <c r="W37" s="20">
        <f>COUNTIFS(tData[SEHTrajectPeriodeDatumTijdVan],"&lt;="&amp;($A37+19/24),tData[SEHTrajectPeriodeDatumTijdTotEnMet],"&gt;"&amp;($A37+19/24),tData[Langligger01],1)</f>
        <v/>
      </c>
      <c r="X37" s="20">
        <f>COUNTIFS(tData[SEHTrajectPeriodeDatumTijdVan],"&lt;="&amp;($A37+20/24),tData[SEHTrajectPeriodeDatumTijdTotEnMet],"&gt;"&amp;($A37+20/24),tData[Langligger01],1)</f>
        <v/>
      </c>
      <c r="Y37" s="20">
        <f>COUNTIFS(tData[SEHTrajectPeriodeDatumTijdVan],"&lt;="&amp;($A37+21/24),tData[SEHTrajectPeriodeDatumTijdTotEnMet],"&gt;"&amp;($A37+21/24),tData[Langligger01],1)</f>
        <v/>
      </c>
      <c r="Z37" s="20">
        <f>COUNTIFS(tData[SEHTrajectPeriodeDatumTijdVan],"&lt;="&amp;($A37+22/24),tData[SEHTrajectPeriodeDatumTijdTotEnMet],"&gt;"&amp;($A37+22/24),tData[Langligger01],1)</f>
        <v/>
      </c>
      <c r="AA37" s="20">
        <f>COUNTIFS(tData[SEHTrajectPeriodeDatumTijdVan],"&lt;="&amp;($A37+23/24),tData[SEHTrajectPeriodeDatumTijdTotEnMet],"&gt;"&amp;($A37+23/24),tData[Langligger01],1)</f>
        <v/>
      </c>
    </row>
    <row r="38">
      <c r="A38" s="19" t="n">
        <v>45326</v>
      </c>
      <c r="B38" s="15">
        <f>WEEKDAY($A38,2)</f>
        <v/>
      </c>
      <c r="C38" s="15">
        <f>IF(AND($A38&gt;=INT(Instellingen!$B$5),$A38&lt;=INT(Instellingen!$B$6)),1,0)</f>
        <v/>
      </c>
      <c r="D38" s="20">
        <f>COUNTIFS(tData[SEHTrajectPeriodeDatumTijdVan],"&lt;="&amp;($A38+0/24),tData[SEHTrajectPeriodeDatumTijdTotEnMet],"&gt;"&amp;($A38+0/24),tData[Langligger01],1)</f>
        <v/>
      </c>
      <c r="E38" s="20">
        <f>COUNTIFS(tData[SEHTrajectPeriodeDatumTijdVan],"&lt;="&amp;($A38+1/24),tData[SEHTrajectPeriodeDatumTijdTotEnMet],"&gt;"&amp;($A38+1/24),tData[Langligger01],1)</f>
        <v/>
      </c>
      <c r="F38" s="20">
        <f>COUNTIFS(tData[SEHTrajectPeriodeDatumTijdVan],"&lt;="&amp;($A38+2/24),tData[SEHTrajectPeriodeDatumTijdTotEnMet],"&gt;"&amp;($A38+2/24),tData[Langligger01],1)</f>
        <v/>
      </c>
      <c r="G38" s="20">
        <f>COUNTIFS(tData[SEHTrajectPeriodeDatumTijdVan],"&lt;="&amp;($A38+3/24),tData[SEHTrajectPeriodeDatumTijdTotEnMet],"&gt;"&amp;($A38+3/24),tData[Langligger01],1)</f>
        <v/>
      </c>
      <c r="H38" s="20">
        <f>COUNTIFS(tData[SEHTrajectPeriodeDatumTijdVan],"&lt;="&amp;($A38+4/24),tData[SEHTrajectPeriodeDatumTijdTotEnMet],"&gt;"&amp;($A38+4/24),tData[Langligger01],1)</f>
        <v/>
      </c>
      <c r="I38" s="20">
        <f>COUNTIFS(tData[SEHTrajectPeriodeDatumTijdVan],"&lt;="&amp;($A38+5/24),tData[SEHTrajectPeriodeDatumTijdTotEnMet],"&gt;"&amp;($A38+5/24),tData[Langligger01],1)</f>
        <v/>
      </c>
      <c r="J38" s="20">
        <f>COUNTIFS(tData[SEHTrajectPeriodeDatumTijdVan],"&lt;="&amp;($A38+6/24),tData[SEHTrajectPeriodeDatumTijdTotEnMet],"&gt;"&amp;($A38+6/24),tData[Langligger01],1)</f>
        <v/>
      </c>
      <c r="K38" s="20">
        <f>COUNTIFS(tData[SEHTrajectPeriodeDatumTijdVan],"&lt;="&amp;($A38+7/24),tData[SEHTrajectPeriodeDatumTijdTotEnMet],"&gt;"&amp;($A38+7/24),tData[Langligger01],1)</f>
        <v/>
      </c>
      <c r="L38" s="20">
        <f>COUNTIFS(tData[SEHTrajectPeriodeDatumTijdVan],"&lt;="&amp;($A38+8/24),tData[SEHTrajectPeriodeDatumTijdTotEnMet],"&gt;"&amp;($A38+8/24),tData[Langligger01],1)</f>
        <v/>
      </c>
      <c r="M38" s="20">
        <f>COUNTIFS(tData[SEHTrajectPeriodeDatumTijdVan],"&lt;="&amp;($A38+9/24),tData[SEHTrajectPeriodeDatumTijdTotEnMet],"&gt;"&amp;($A38+9/24),tData[Langligger01],1)</f>
        <v/>
      </c>
      <c r="N38" s="20">
        <f>COUNTIFS(tData[SEHTrajectPeriodeDatumTijdVan],"&lt;="&amp;($A38+10/24),tData[SEHTrajectPeriodeDatumTijdTotEnMet],"&gt;"&amp;($A38+10/24),tData[Langligger01],1)</f>
        <v/>
      </c>
      <c r="O38" s="20">
        <f>COUNTIFS(tData[SEHTrajectPeriodeDatumTijdVan],"&lt;="&amp;($A38+11/24),tData[SEHTrajectPeriodeDatumTijdTotEnMet],"&gt;"&amp;($A38+11/24),tData[Langligger01],1)</f>
        <v/>
      </c>
      <c r="P38" s="20">
        <f>COUNTIFS(tData[SEHTrajectPeriodeDatumTijdVan],"&lt;="&amp;($A38+12/24),tData[SEHTrajectPeriodeDatumTijdTotEnMet],"&gt;"&amp;($A38+12/24),tData[Langligger01],1)</f>
        <v/>
      </c>
      <c r="Q38" s="20">
        <f>COUNTIFS(tData[SEHTrajectPeriodeDatumTijdVan],"&lt;="&amp;($A38+13/24),tData[SEHTrajectPeriodeDatumTijdTotEnMet],"&gt;"&amp;($A38+13/24),tData[Langligger01],1)</f>
        <v/>
      </c>
      <c r="R38" s="20">
        <f>COUNTIFS(tData[SEHTrajectPeriodeDatumTijdVan],"&lt;="&amp;($A38+14/24),tData[SEHTrajectPeriodeDatumTijdTotEnMet],"&gt;"&amp;($A38+14/24),tData[Langligger01],1)</f>
        <v/>
      </c>
      <c r="S38" s="20">
        <f>COUNTIFS(tData[SEHTrajectPeriodeDatumTijdVan],"&lt;="&amp;($A38+15/24),tData[SEHTrajectPeriodeDatumTijdTotEnMet],"&gt;"&amp;($A38+15/24),tData[Langligger01],1)</f>
        <v/>
      </c>
      <c r="T38" s="20">
        <f>COUNTIFS(tData[SEHTrajectPeriodeDatumTijdVan],"&lt;="&amp;($A38+16/24),tData[SEHTrajectPeriodeDatumTijdTotEnMet],"&gt;"&amp;($A38+16/24),tData[Langligger01],1)</f>
        <v/>
      </c>
      <c r="U38" s="20">
        <f>COUNTIFS(tData[SEHTrajectPeriodeDatumTijdVan],"&lt;="&amp;($A38+17/24),tData[SEHTrajectPeriodeDatumTijdTotEnMet],"&gt;"&amp;($A38+17/24),tData[Langligger01],1)</f>
        <v/>
      </c>
      <c r="V38" s="20">
        <f>COUNTIFS(tData[SEHTrajectPeriodeDatumTijdVan],"&lt;="&amp;($A38+18/24),tData[SEHTrajectPeriodeDatumTijdTotEnMet],"&gt;"&amp;($A38+18/24),tData[Langligger01],1)</f>
        <v/>
      </c>
      <c r="W38" s="20">
        <f>COUNTIFS(tData[SEHTrajectPeriodeDatumTijdVan],"&lt;="&amp;($A38+19/24),tData[SEHTrajectPeriodeDatumTijdTotEnMet],"&gt;"&amp;($A38+19/24),tData[Langligger01],1)</f>
        <v/>
      </c>
      <c r="X38" s="20">
        <f>COUNTIFS(tData[SEHTrajectPeriodeDatumTijdVan],"&lt;="&amp;($A38+20/24),tData[SEHTrajectPeriodeDatumTijdTotEnMet],"&gt;"&amp;($A38+20/24),tData[Langligger01],1)</f>
        <v/>
      </c>
      <c r="Y38" s="20">
        <f>COUNTIFS(tData[SEHTrajectPeriodeDatumTijdVan],"&lt;="&amp;($A38+21/24),tData[SEHTrajectPeriodeDatumTijdTotEnMet],"&gt;"&amp;($A38+21/24),tData[Langligger01],1)</f>
        <v/>
      </c>
      <c r="Z38" s="20">
        <f>COUNTIFS(tData[SEHTrajectPeriodeDatumTijdVan],"&lt;="&amp;($A38+22/24),tData[SEHTrajectPeriodeDatumTijdTotEnMet],"&gt;"&amp;($A38+22/24),tData[Langligger01],1)</f>
        <v/>
      </c>
      <c r="AA38" s="20">
        <f>COUNTIFS(tData[SEHTrajectPeriodeDatumTijdVan],"&lt;="&amp;($A38+23/24),tData[SEHTrajectPeriodeDatumTijdTotEnMet],"&gt;"&amp;($A38+23/24),tData[Langligger01],1)</f>
        <v/>
      </c>
    </row>
    <row r="39">
      <c r="A39" s="19" t="n">
        <v>45327</v>
      </c>
      <c r="B39" s="15">
        <f>WEEKDAY($A39,2)</f>
        <v/>
      </c>
      <c r="C39" s="15">
        <f>IF(AND($A39&gt;=INT(Instellingen!$B$5),$A39&lt;=INT(Instellingen!$B$6)),1,0)</f>
        <v/>
      </c>
      <c r="D39" s="20">
        <f>COUNTIFS(tData[SEHTrajectPeriodeDatumTijdVan],"&lt;="&amp;($A39+0/24),tData[SEHTrajectPeriodeDatumTijdTotEnMet],"&gt;"&amp;($A39+0/24),tData[Langligger01],1)</f>
        <v/>
      </c>
      <c r="E39" s="20">
        <f>COUNTIFS(tData[SEHTrajectPeriodeDatumTijdVan],"&lt;="&amp;($A39+1/24),tData[SEHTrajectPeriodeDatumTijdTotEnMet],"&gt;"&amp;($A39+1/24),tData[Langligger01],1)</f>
        <v/>
      </c>
      <c r="F39" s="20">
        <f>COUNTIFS(tData[SEHTrajectPeriodeDatumTijdVan],"&lt;="&amp;($A39+2/24),tData[SEHTrajectPeriodeDatumTijdTotEnMet],"&gt;"&amp;($A39+2/24),tData[Langligger01],1)</f>
        <v/>
      </c>
      <c r="G39" s="20">
        <f>COUNTIFS(tData[SEHTrajectPeriodeDatumTijdVan],"&lt;="&amp;($A39+3/24),tData[SEHTrajectPeriodeDatumTijdTotEnMet],"&gt;"&amp;($A39+3/24),tData[Langligger01],1)</f>
        <v/>
      </c>
      <c r="H39" s="20">
        <f>COUNTIFS(tData[SEHTrajectPeriodeDatumTijdVan],"&lt;="&amp;($A39+4/24),tData[SEHTrajectPeriodeDatumTijdTotEnMet],"&gt;"&amp;($A39+4/24),tData[Langligger01],1)</f>
        <v/>
      </c>
      <c r="I39" s="20">
        <f>COUNTIFS(tData[SEHTrajectPeriodeDatumTijdVan],"&lt;="&amp;($A39+5/24),tData[SEHTrajectPeriodeDatumTijdTotEnMet],"&gt;"&amp;($A39+5/24),tData[Langligger01],1)</f>
        <v/>
      </c>
      <c r="J39" s="20">
        <f>COUNTIFS(tData[SEHTrajectPeriodeDatumTijdVan],"&lt;="&amp;($A39+6/24),tData[SEHTrajectPeriodeDatumTijdTotEnMet],"&gt;"&amp;($A39+6/24),tData[Langligger01],1)</f>
        <v/>
      </c>
      <c r="K39" s="20">
        <f>COUNTIFS(tData[SEHTrajectPeriodeDatumTijdVan],"&lt;="&amp;($A39+7/24),tData[SEHTrajectPeriodeDatumTijdTotEnMet],"&gt;"&amp;($A39+7/24),tData[Langligger01],1)</f>
        <v/>
      </c>
      <c r="L39" s="20">
        <f>COUNTIFS(tData[SEHTrajectPeriodeDatumTijdVan],"&lt;="&amp;($A39+8/24),tData[SEHTrajectPeriodeDatumTijdTotEnMet],"&gt;"&amp;($A39+8/24),tData[Langligger01],1)</f>
        <v/>
      </c>
      <c r="M39" s="20">
        <f>COUNTIFS(tData[SEHTrajectPeriodeDatumTijdVan],"&lt;="&amp;($A39+9/24),tData[SEHTrajectPeriodeDatumTijdTotEnMet],"&gt;"&amp;($A39+9/24),tData[Langligger01],1)</f>
        <v/>
      </c>
      <c r="N39" s="20">
        <f>COUNTIFS(tData[SEHTrajectPeriodeDatumTijdVan],"&lt;="&amp;($A39+10/24),tData[SEHTrajectPeriodeDatumTijdTotEnMet],"&gt;"&amp;($A39+10/24),tData[Langligger01],1)</f>
        <v/>
      </c>
      <c r="O39" s="20">
        <f>COUNTIFS(tData[SEHTrajectPeriodeDatumTijdVan],"&lt;="&amp;($A39+11/24),tData[SEHTrajectPeriodeDatumTijdTotEnMet],"&gt;"&amp;($A39+11/24),tData[Langligger01],1)</f>
        <v/>
      </c>
      <c r="P39" s="20">
        <f>COUNTIFS(tData[SEHTrajectPeriodeDatumTijdVan],"&lt;="&amp;($A39+12/24),tData[SEHTrajectPeriodeDatumTijdTotEnMet],"&gt;"&amp;($A39+12/24),tData[Langligger01],1)</f>
        <v/>
      </c>
      <c r="Q39" s="20">
        <f>COUNTIFS(tData[SEHTrajectPeriodeDatumTijdVan],"&lt;="&amp;($A39+13/24),tData[SEHTrajectPeriodeDatumTijdTotEnMet],"&gt;"&amp;($A39+13/24),tData[Langligger01],1)</f>
        <v/>
      </c>
      <c r="R39" s="20">
        <f>COUNTIFS(tData[SEHTrajectPeriodeDatumTijdVan],"&lt;="&amp;($A39+14/24),tData[SEHTrajectPeriodeDatumTijdTotEnMet],"&gt;"&amp;($A39+14/24),tData[Langligger01],1)</f>
        <v/>
      </c>
      <c r="S39" s="20">
        <f>COUNTIFS(tData[SEHTrajectPeriodeDatumTijdVan],"&lt;="&amp;($A39+15/24),tData[SEHTrajectPeriodeDatumTijdTotEnMet],"&gt;"&amp;($A39+15/24),tData[Langligger01],1)</f>
        <v/>
      </c>
      <c r="T39" s="20">
        <f>COUNTIFS(tData[SEHTrajectPeriodeDatumTijdVan],"&lt;="&amp;($A39+16/24),tData[SEHTrajectPeriodeDatumTijdTotEnMet],"&gt;"&amp;($A39+16/24),tData[Langligger01],1)</f>
        <v/>
      </c>
      <c r="U39" s="20">
        <f>COUNTIFS(tData[SEHTrajectPeriodeDatumTijdVan],"&lt;="&amp;($A39+17/24),tData[SEHTrajectPeriodeDatumTijdTotEnMet],"&gt;"&amp;($A39+17/24),tData[Langligger01],1)</f>
        <v/>
      </c>
      <c r="V39" s="20">
        <f>COUNTIFS(tData[SEHTrajectPeriodeDatumTijdVan],"&lt;="&amp;($A39+18/24),tData[SEHTrajectPeriodeDatumTijdTotEnMet],"&gt;"&amp;($A39+18/24),tData[Langligger01],1)</f>
        <v/>
      </c>
      <c r="W39" s="20">
        <f>COUNTIFS(tData[SEHTrajectPeriodeDatumTijdVan],"&lt;="&amp;($A39+19/24),tData[SEHTrajectPeriodeDatumTijdTotEnMet],"&gt;"&amp;($A39+19/24),tData[Langligger01],1)</f>
        <v/>
      </c>
      <c r="X39" s="20">
        <f>COUNTIFS(tData[SEHTrajectPeriodeDatumTijdVan],"&lt;="&amp;($A39+20/24),tData[SEHTrajectPeriodeDatumTijdTotEnMet],"&gt;"&amp;($A39+20/24),tData[Langligger01],1)</f>
        <v/>
      </c>
      <c r="Y39" s="20">
        <f>COUNTIFS(tData[SEHTrajectPeriodeDatumTijdVan],"&lt;="&amp;($A39+21/24),tData[SEHTrajectPeriodeDatumTijdTotEnMet],"&gt;"&amp;($A39+21/24),tData[Langligger01],1)</f>
        <v/>
      </c>
      <c r="Z39" s="20">
        <f>COUNTIFS(tData[SEHTrajectPeriodeDatumTijdVan],"&lt;="&amp;($A39+22/24),tData[SEHTrajectPeriodeDatumTijdTotEnMet],"&gt;"&amp;($A39+22/24),tData[Langligger01],1)</f>
        <v/>
      </c>
      <c r="AA39" s="20">
        <f>COUNTIFS(tData[SEHTrajectPeriodeDatumTijdVan],"&lt;="&amp;($A39+23/24),tData[SEHTrajectPeriodeDatumTijdTotEnMet],"&gt;"&amp;($A39+23/24),tData[Langligger01],1)</f>
        <v/>
      </c>
    </row>
    <row r="40">
      <c r="A40" s="19" t="n">
        <v>45328</v>
      </c>
      <c r="B40" s="15">
        <f>WEEKDAY($A40,2)</f>
        <v/>
      </c>
      <c r="C40" s="15">
        <f>IF(AND($A40&gt;=INT(Instellingen!$B$5),$A40&lt;=INT(Instellingen!$B$6)),1,0)</f>
        <v/>
      </c>
      <c r="D40" s="20">
        <f>COUNTIFS(tData[SEHTrajectPeriodeDatumTijdVan],"&lt;="&amp;($A40+0/24),tData[SEHTrajectPeriodeDatumTijdTotEnMet],"&gt;"&amp;($A40+0/24),tData[Langligger01],1)</f>
        <v/>
      </c>
      <c r="E40" s="20">
        <f>COUNTIFS(tData[SEHTrajectPeriodeDatumTijdVan],"&lt;="&amp;($A40+1/24),tData[SEHTrajectPeriodeDatumTijdTotEnMet],"&gt;"&amp;($A40+1/24),tData[Langligger01],1)</f>
        <v/>
      </c>
      <c r="F40" s="20">
        <f>COUNTIFS(tData[SEHTrajectPeriodeDatumTijdVan],"&lt;="&amp;($A40+2/24),tData[SEHTrajectPeriodeDatumTijdTotEnMet],"&gt;"&amp;($A40+2/24),tData[Langligger01],1)</f>
        <v/>
      </c>
      <c r="G40" s="20">
        <f>COUNTIFS(tData[SEHTrajectPeriodeDatumTijdVan],"&lt;="&amp;($A40+3/24),tData[SEHTrajectPeriodeDatumTijdTotEnMet],"&gt;"&amp;($A40+3/24),tData[Langligger01],1)</f>
        <v/>
      </c>
      <c r="H40" s="20">
        <f>COUNTIFS(tData[SEHTrajectPeriodeDatumTijdVan],"&lt;="&amp;($A40+4/24),tData[SEHTrajectPeriodeDatumTijdTotEnMet],"&gt;"&amp;($A40+4/24),tData[Langligger01],1)</f>
        <v/>
      </c>
      <c r="I40" s="20">
        <f>COUNTIFS(tData[SEHTrajectPeriodeDatumTijdVan],"&lt;="&amp;($A40+5/24),tData[SEHTrajectPeriodeDatumTijdTotEnMet],"&gt;"&amp;($A40+5/24),tData[Langligger01],1)</f>
        <v/>
      </c>
      <c r="J40" s="20">
        <f>COUNTIFS(tData[SEHTrajectPeriodeDatumTijdVan],"&lt;="&amp;($A40+6/24),tData[SEHTrajectPeriodeDatumTijdTotEnMet],"&gt;"&amp;($A40+6/24),tData[Langligger01],1)</f>
        <v/>
      </c>
      <c r="K40" s="20">
        <f>COUNTIFS(tData[SEHTrajectPeriodeDatumTijdVan],"&lt;="&amp;($A40+7/24),tData[SEHTrajectPeriodeDatumTijdTotEnMet],"&gt;"&amp;($A40+7/24),tData[Langligger01],1)</f>
        <v/>
      </c>
      <c r="L40" s="20">
        <f>COUNTIFS(tData[SEHTrajectPeriodeDatumTijdVan],"&lt;="&amp;($A40+8/24),tData[SEHTrajectPeriodeDatumTijdTotEnMet],"&gt;"&amp;($A40+8/24),tData[Langligger01],1)</f>
        <v/>
      </c>
      <c r="M40" s="20">
        <f>COUNTIFS(tData[SEHTrajectPeriodeDatumTijdVan],"&lt;="&amp;($A40+9/24),tData[SEHTrajectPeriodeDatumTijdTotEnMet],"&gt;"&amp;($A40+9/24),tData[Langligger01],1)</f>
        <v/>
      </c>
      <c r="N40" s="20">
        <f>COUNTIFS(tData[SEHTrajectPeriodeDatumTijdVan],"&lt;="&amp;($A40+10/24),tData[SEHTrajectPeriodeDatumTijdTotEnMet],"&gt;"&amp;($A40+10/24),tData[Langligger01],1)</f>
        <v/>
      </c>
      <c r="O40" s="20">
        <f>COUNTIFS(tData[SEHTrajectPeriodeDatumTijdVan],"&lt;="&amp;($A40+11/24),tData[SEHTrajectPeriodeDatumTijdTotEnMet],"&gt;"&amp;($A40+11/24),tData[Langligger01],1)</f>
        <v/>
      </c>
      <c r="P40" s="20">
        <f>COUNTIFS(tData[SEHTrajectPeriodeDatumTijdVan],"&lt;="&amp;($A40+12/24),tData[SEHTrajectPeriodeDatumTijdTotEnMet],"&gt;"&amp;($A40+12/24),tData[Langligger01],1)</f>
        <v/>
      </c>
      <c r="Q40" s="20">
        <f>COUNTIFS(tData[SEHTrajectPeriodeDatumTijdVan],"&lt;="&amp;($A40+13/24),tData[SEHTrajectPeriodeDatumTijdTotEnMet],"&gt;"&amp;($A40+13/24),tData[Langligger01],1)</f>
        <v/>
      </c>
      <c r="R40" s="20">
        <f>COUNTIFS(tData[SEHTrajectPeriodeDatumTijdVan],"&lt;="&amp;($A40+14/24),tData[SEHTrajectPeriodeDatumTijdTotEnMet],"&gt;"&amp;($A40+14/24),tData[Langligger01],1)</f>
        <v/>
      </c>
      <c r="S40" s="20">
        <f>COUNTIFS(tData[SEHTrajectPeriodeDatumTijdVan],"&lt;="&amp;($A40+15/24),tData[SEHTrajectPeriodeDatumTijdTotEnMet],"&gt;"&amp;($A40+15/24),tData[Langligger01],1)</f>
        <v/>
      </c>
      <c r="T40" s="20">
        <f>COUNTIFS(tData[SEHTrajectPeriodeDatumTijdVan],"&lt;="&amp;($A40+16/24),tData[SEHTrajectPeriodeDatumTijdTotEnMet],"&gt;"&amp;($A40+16/24),tData[Langligger01],1)</f>
        <v/>
      </c>
      <c r="U40" s="20">
        <f>COUNTIFS(tData[SEHTrajectPeriodeDatumTijdVan],"&lt;="&amp;($A40+17/24),tData[SEHTrajectPeriodeDatumTijdTotEnMet],"&gt;"&amp;($A40+17/24),tData[Langligger01],1)</f>
        <v/>
      </c>
      <c r="V40" s="20">
        <f>COUNTIFS(tData[SEHTrajectPeriodeDatumTijdVan],"&lt;="&amp;($A40+18/24),tData[SEHTrajectPeriodeDatumTijdTotEnMet],"&gt;"&amp;($A40+18/24),tData[Langligger01],1)</f>
        <v/>
      </c>
      <c r="W40" s="20">
        <f>COUNTIFS(tData[SEHTrajectPeriodeDatumTijdVan],"&lt;="&amp;($A40+19/24),tData[SEHTrajectPeriodeDatumTijdTotEnMet],"&gt;"&amp;($A40+19/24),tData[Langligger01],1)</f>
        <v/>
      </c>
      <c r="X40" s="20">
        <f>COUNTIFS(tData[SEHTrajectPeriodeDatumTijdVan],"&lt;="&amp;($A40+20/24),tData[SEHTrajectPeriodeDatumTijdTotEnMet],"&gt;"&amp;($A40+20/24),tData[Langligger01],1)</f>
        <v/>
      </c>
      <c r="Y40" s="20">
        <f>COUNTIFS(tData[SEHTrajectPeriodeDatumTijdVan],"&lt;="&amp;($A40+21/24),tData[SEHTrajectPeriodeDatumTijdTotEnMet],"&gt;"&amp;($A40+21/24),tData[Langligger01],1)</f>
        <v/>
      </c>
      <c r="Z40" s="20">
        <f>COUNTIFS(tData[SEHTrajectPeriodeDatumTijdVan],"&lt;="&amp;($A40+22/24),tData[SEHTrajectPeriodeDatumTijdTotEnMet],"&gt;"&amp;($A40+22/24),tData[Langligger01],1)</f>
        <v/>
      </c>
      <c r="AA40" s="20">
        <f>COUNTIFS(tData[SEHTrajectPeriodeDatumTijdVan],"&lt;="&amp;($A40+23/24),tData[SEHTrajectPeriodeDatumTijdTotEnMet],"&gt;"&amp;($A40+23/24),tData[Langligger01],1)</f>
        <v/>
      </c>
    </row>
    <row r="41">
      <c r="A41" s="19" t="n">
        <v>45329</v>
      </c>
      <c r="B41" s="15">
        <f>WEEKDAY($A41,2)</f>
        <v/>
      </c>
      <c r="C41" s="15">
        <f>IF(AND($A41&gt;=INT(Instellingen!$B$5),$A41&lt;=INT(Instellingen!$B$6)),1,0)</f>
        <v/>
      </c>
      <c r="D41" s="20">
        <f>COUNTIFS(tData[SEHTrajectPeriodeDatumTijdVan],"&lt;="&amp;($A41+0/24),tData[SEHTrajectPeriodeDatumTijdTotEnMet],"&gt;"&amp;($A41+0/24),tData[Langligger01],1)</f>
        <v/>
      </c>
      <c r="E41" s="20">
        <f>COUNTIFS(tData[SEHTrajectPeriodeDatumTijdVan],"&lt;="&amp;($A41+1/24),tData[SEHTrajectPeriodeDatumTijdTotEnMet],"&gt;"&amp;($A41+1/24),tData[Langligger01],1)</f>
        <v/>
      </c>
      <c r="F41" s="20">
        <f>COUNTIFS(tData[SEHTrajectPeriodeDatumTijdVan],"&lt;="&amp;($A41+2/24),tData[SEHTrajectPeriodeDatumTijdTotEnMet],"&gt;"&amp;($A41+2/24),tData[Langligger01],1)</f>
        <v/>
      </c>
      <c r="G41" s="20">
        <f>COUNTIFS(tData[SEHTrajectPeriodeDatumTijdVan],"&lt;="&amp;($A41+3/24),tData[SEHTrajectPeriodeDatumTijdTotEnMet],"&gt;"&amp;($A41+3/24),tData[Langligger01],1)</f>
        <v/>
      </c>
      <c r="H41" s="20">
        <f>COUNTIFS(tData[SEHTrajectPeriodeDatumTijdVan],"&lt;="&amp;($A41+4/24),tData[SEHTrajectPeriodeDatumTijdTotEnMet],"&gt;"&amp;($A41+4/24),tData[Langligger01],1)</f>
        <v/>
      </c>
      <c r="I41" s="20">
        <f>COUNTIFS(tData[SEHTrajectPeriodeDatumTijdVan],"&lt;="&amp;($A41+5/24),tData[SEHTrajectPeriodeDatumTijdTotEnMet],"&gt;"&amp;($A41+5/24),tData[Langligger01],1)</f>
        <v/>
      </c>
      <c r="J41" s="20">
        <f>COUNTIFS(tData[SEHTrajectPeriodeDatumTijdVan],"&lt;="&amp;($A41+6/24),tData[SEHTrajectPeriodeDatumTijdTotEnMet],"&gt;"&amp;($A41+6/24),tData[Langligger01],1)</f>
        <v/>
      </c>
      <c r="K41" s="20">
        <f>COUNTIFS(tData[SEHTrajectPeriodeDatumTijdVan],"&lt;="&amp;($A41+7/24),tData[SEHTrajectPeriodeDatumTijdTotEnMet],"&gt;"&amp;($A41+7/24),tData[Langligger01],1)</f>
        <v/>
      </c>
      <c r="L41" s="20">
        <f>COUNTIFS(tData[SEHTrajectPeriodeDatumTijdVan],"&lt;="&amp;($A41+8/24),tData[SEHTrajectPeriodeDatumTijdTotEnMet],"&gt;"&amp;($A41+8/24),tData[Langligger01],1)</f>
        <v/>
      </c>
      <c r="M41" s="20">
        <f>COUNTIFS(tData[SEHTrajectPeriodeDatumTijdVan],"&lt;="&amp;($A41+9/24),tData[SEHTrajectPeriodeDatumTijdTotEnMet],"&gt;"&amp;($A41+9/24),tData[Langligger01],1)</f>
        <v/>
      </c>
      <c r="N41" s="20">
        <f>COUNTIFS(tData[SEHTrajectPeriodeDatumTijdVan],"&lt;="&amp;($A41+10/24),tData[SEHTrajectPeriodeDatumTijdTotEnMet],"&gt;"&amp;($A41+10/24),tData[Langligger01],1)</f>
        <v/>
      </c>
      <c r="O41" s="20">
        <f>COUNTIFS(tData[SEHTrajectPeriodeDatumTijdVan],"&lt;="&amp;($A41+11/24),tData[SEHTrajectPeriodeDatumTijdTotEnMet],"&gt;"&amp;($A41+11/24),tData[Langligger01],1)</f>
        <v/>
      </c>
      <c r="P41" s="20">
        <f>COUNTIFS(tData[SEHTrajectPeriodeDatumTijdVan],"&lt;="&amp;($A41+12/24),tData[SEHTrajectPeriodeDatumTijdTotEnMet],"&gt;"&amp;($A41+12/24),tData[Langligger01],1)</f>
        <v/>
      </c>
      <c r="Q41" s="20">
        <f>COUNTIFS(tData[SEHTrajectPeriodeDatumTijdVan],"&lt;="&amp;($A41+13/24),tData[SEHTrajectPeriodeDatumTijdTotEnMet],"&gt;"&amp;($A41+13/24),tData[Langligger01],1)</f>
        <v/>
      </c>
      <c r="R41" s="20">
        <f>COUNTIFS(tData[SEHTrajectPeriodeDatumTijdVan],"&lt;="&amp;($A41+14/24),tData[SEHTrajectPeriodeDatumTijdTotEnMet],"&gt;"&amp;($A41+14/24),tData[Langligger01],1)</f>
        <v/>
      </c>
      <c r="S41" s="20">
        <f>COUNTIFS(tData[SEHTrajectPeriodeDatumTijdVan],"&lt;="&amp;($A41+15/24),tData[SEHTrajectPeriodeDatumTijdTotEnMet],"&gt;"&amp;($A41+15/24),tData[Langligger01],1)</f>
        <v/>
      </c>
      <c r="T41" s="20">
        <f>COUNTIFS(tData[SEHTrajectPeriodeDatumTijdVan],"&lt;="&amp;($A41+16/24),tData[SEHTrajectPeriodeDatumTijdTotEnMet],"&gt;"&amp;($A41+16/24),tData[Langligger01],1)</f>
        <v/>
      </c>
      <c r="U41" s="20">
        <f>COUNTIFS(tData[SEHTrajectPeriodeDatumTijdVan],"&lt;="&amp;($A41+17/24),tData[SEHTrajectPeriodeDatumTijdTotEnMet],"&gt;"&amp;($A41+17/24),tData[Langligger01],1)</f>
        <v/>
      </c>
      <c r="V41" s="20">
        <f>COUNTIFS(tData[SEHTrajectPeriodeDatumTijdVan],"&lt;="&amp;($A41+18/24),tData[SEHTrajectPeriodeDatumTijdTotEnMet],"&gt;"&amp;($A41+18/24),tData[Langligger01],1)</f>
        <v/>
      </c>
      <c r="W41" s="20">
        <f>COUNTIFS(tData[SEHTrajectPeriodeDatumTijdVan],"&lt;="&amp;($A41+19/24),tData[SEHTrajectPeriodeDatumTijdTotEnMet],"&gt;"&amp;($A41+19/24),tData[Langligger01],1)</f>
        <v/>
      </c>
      <c r="X41" s="20">
        <f>COUNTIFS(tData[SEHTrajectPeriodeDatumTijdVan],"&lt;="&amp;($A41+20/24),tData[SEHTrajectPeriodeDatumTijdTotEnMet],"&gt;"&amp;($A41+20/24),tData[Langligger01],1)</f>
        <v/>
      </c>
      <c r="Y41" s="20">
        <f>COUNTIFS(tData[SEHTrajectPeriodeDatumTijdVan],"&lt;="&amp;($A41+21/24),tData[SEHTrajectPeriodeDatumTijdTotEnMet],"&gt;"&amp;($A41+21/24),tData[Langligger01],1)</f>
        <v/>
      </c>
      <c r="Z41" s="20">
        <f>COUNTIFS(tData[SEHTrajectPeriodeDatumTijdVan],"&lt;="&amp;($A41+22/24),tData[SEHTrajectPeriodeDatumTijdTotEnMet],"&gt;"&amp;($A41+22/24),tData[Langligger01],1)</f>
        <v/>
      </c>
      <c r="AA41" s="20">
        <f>COUNTIFS(tData[SEHTrajectPeriodeDatumTijdVan],"&lt;="&amp;($A41+23/24),tData[SEHTrajectPeriodeDatumTijdTotEnMet],"&gt;"&amp;($A41+23/24),tData[Langligger01],1)</f>
        <v/>
      </c>
    </row>
    <row r="42">
      <c r="A42" s="19" t="n">
        <v>45330</v>
      </c>
      <c r="B42" s="15">
        <f>WEEKDAY($A42,2)</f>
        <v/>
      </c>
      <c r="C42" s="15">
        <f>IF(AND($A42&gt;=INT(Instellingen!$B$5),$A42&lt;=INT(Instellingen!$B$6)),1,0)</f>
        <v/>
      </c>
      <c r="D42" s="20">
        <f>COUNTIFS(tData[SEHTrajectPeriodeDatumTijdVan],"&lt;="&amp;($A42+0/24),tData[SEHTrajectPeriodeDatumTijdTotEnMet],"&gt;"&amp;($A42+0/24),tData[Langligger01],1)</f>
        <v/>
      </c>
      <c r="E42" s="20">
        <f>COUNTIFS(tData[SEHTrajectPeriodeDatumTijdVan],"&lt;="&amp;($A42+1/24),tData[SEHTrajectPeriodeDatumTijdTotEnMet],"&gt;"&amp;($A42+1/24),tData[Langligger01],1)</f>
        <v/>
      </c>
      <c r="F42" s="20">
        <f>COUNTIFS(tData[SEHTrajectPeriodeDatumTijdVan],"&lt;="&amp;($A42+2/24),tData[SEHTrajectPeriodeDatumTijdTotEnMet],"&gt;"&amp;($A42+2/24),tData[Langligger01],1)</f>
        <v/>
      </c>
      <c r="G42" s="20">
        <f>COUNTIFS(tData[SEHTrajectPeriodeDatumTijdVan],"&lt;="&amp;($A42+3/24),tData[SEHTrajectPeriodeDatumTijdTotEnMet],"&gt;"&amp;($A42+3/24),tData[Langligger01],1)</f>
        <v/>
      </c>
      <c r="H42" s="20">
        <f>COUNTIFS(tData[SEHTrajectPeriodeDatumTijdVan],"&lt;="&amp;($A42+4/24),tData[SEHTrajectPeriodeDatumTijdTotEnMet],"&gt;"&amp;($A42+4/24),tData[Langligger01],1)</f>
        <v/>
      </c>
      <c r="I42" s="20">
        <f>COUNTIFS(tData[SEHTrajectPeriodeDatumTijdVan],"&lt;="&amp;($A42+5/24),tData[SEHTrajectPeriodeDatumTijdTotEnMet],"&gt;"&amp;($A42+5/24),tData[Langligger01],1)</f>
        <v/>
      </c>
      <c r="J42" s="20">
        <f>COUNTIFS(tData[SEHTrajectPeriodeDatumTijdVan],"&lt;="&amp;($A42+6/24),tData[SEHTrajectPeriodeDatumTijdTotEnMet],"&gt;"&amp;($A42+6/24),tData[Langligger01],1)</f>
        <v/>
      </c>
      <c r="K42" s="20">
        <f>COUNTIFS(tData[SEHTrajectPeriodeDatumTijdVan],"&lt;="&amp;($A42+7/24),tData[SEHTrajectPeriodeDatumTijdTotEnMet],"&gt;"&amp;($A42+7/24),tData[Langligger01],1)</f>
        <v/>
      </c>
      <c r="L42" s="20">
        <f>COUNTIFS(tData[SEHTrajectPeriodeDatumTijdVan],"&lt;="&amp;($A42+8/24),tData[SEHTrajectPeriodeDatumTijdTotEnMet],"&gt;"&amp;($A42+8/24),tData[Langligger01],1)</f>
        <v/>
      </c>
      <c r="M42" s="20">
        <f>COUNTIFS(tData[SEHTrajectPeriodeDatumTijdVan],"&lt;="&amp;($A42+9/24),tData[SEHTrajectPeriodeDatumTijdTotEnMet],"&gt;"&amp;($A42+9/24),tData[Langligger01],1)</f>
        <v/>
      </c>
      <c r="N42" s="20">
        <f>COUNTIFS(tData[SEHTrajectPeriodeDatumTijdVan],"&lt;="&amp;($A42+10/24),tData[SEHTrajectPeriodeDatumTijdTotEnMet],"&gt;"&amp;($A42+10/24),tData[Langligger01],1)</f>
        <v/>
      </c>
      <c r="O42" s="20">
        <f>COUNTIFS(tData[SEHTrajectPeriodeDatumTijdVan],"&lt;="&amp;($A42+11/24),tData[SEHTrajectPeriodeDatumTijdTotEnMet],"&gt;"&amp;($A42+11/24),tData[Langligger01],1)</f>
        <v/>
      </c>
      <c r="P42" s="20">
        <f>COUNTIFS(tData[SEHTrajectPeriodeDatumTijdVan],"&lt;="&amp;($A42+12/24),tData[SEHTrajectPeriodeDatumTijdTotEnMet],"&gt;"&amp;($A42+12/24),tData[Langligger01],1)</f>
        <v/>
      </c>
      <c r="Q42" s="20">
        <f>COUNTIFS(tData[SEHTrajectPeriodeDatumTijdVan],"&lt;="&amp;($A42+13/24),tData[SEHTrajectPeriodeDatumTijdTotEnMet],"&gt;"&amp;($A42+13/24),tData[Langligger01],1)</f>
        <v/>
      </c>
      <c r="R42" s="20">
        <f>COUNTIFS(tData[SEHTrajectPeriodeDatumTijdVan],"&lt;="&amp;($A42+14/24),tData[SEHTrajectPeriodeDatumTijdTotEnMet],"&gt;"&amp;($A42+14/24),tData[Langligger01],1)</f>
        <v/>
      </c>
      <c r="S42" s="20">
        <f>COUNTIFS(tData[SEHTrajectPeriodeDatumTijdVan],"&lt;="&amp;($A42+15/24),tData[SEHTrajectPeriodeDatumTijdTotEnMet],"&gt;"&amp;($A42+15/24),tData[Langligger01],1)</f>
        <v/>
      </c>
      <c r="T42" s="20">
        <f>COUNTIFS(tData[SEHTrajectPeriodeDatumTijdVan],"&lt;="&amp;($A42+16/24),tData[SEHTrajectPeriodeDatumTijdTotEnMet],"&gt;"&amp;($A42+16/24),tData[Langligger01],1)</f>
        <v/>
      </c>
      <c r="U42" s="20">
        <f>COUNTIFS(tData[SEHTrajectPeriodeDatumTijdVan],"&lt;="&amp;($A42+17/24),tData[SEHTrajectPeriodeDatumTijdTotEnMet],"&gt;"&amp;($A42+17/24),tData[Langligger01],1)</f>
        <v/>
      </c>
      <c r="V42" s="20">
        <f>COUNTIFS(tData[SEHTrajectPeriodeDatumTijdVan],"&lt;="&amp;($A42+18/24),tData[SEHTrajectPeriodeDatumTijdTotEnMet],"&gt;"&amp;($A42+18/24),tData[Langligger01],1)</f>
        <v/>
      </c>
      <c r="W42" s="20">
        <f>COUNTIFS(tData[SEHTrajectPeriodeDatumTijdVan],"&lt;="&amp;($A42+19/24),tData[SEHTrajectPeriodeDatumTijdTotEnMet],"&gt;"&amp;($A42+19/24),tData[Langligger01],1)</f>
        <v/>
      </c>
      <c r="X42" s="20">
        <f>COUNTIFS(tData[SEHTrajectPeriodeDatumTijdVan],"&lt;="&amp;($A42+20/24),tData[SEHTrajectPeriodeDatumTijdTotEnMet],"&gt;"&amp;($A42+20/24),tData[Langligger01],1)</f>
        <v/>
      </c>
      <c r="Y42" s="20">
        <f>COUNTIFS(tData[SEHTrajectPeriodeDatumTijdVan],"&lt;="&amp;($A42+21/24),tData[SEHTrajectPeriodeDatumTijdTotEnMet],"&gt;"&amp;($A42+21/24),tData[Langligger01],1)</f>
        <v/>
      </c>
      <c r="Z42" s="20">
        <f>COUNTIFS(tData[SEHTrajectPeriodeDatumTijdVan],"&lt;="&amp;($A42+22/24),tData[SEHTrajectPeriodeDatumTijdTotEnMet],"&gt;"&amp;($A42+22/24),tData[Langligger01],1)</f>
        <v/>
      </c>
      <c r="AA42" s="20">
        <f>COUNTIFS(tData[SEHTrajectPeriodeDatumTijdVan],"&lt;="&amp;($A42+23/24),tData[SEHTrajectPeriodeDatumTijdTotEnMet],"&gt;"&amp;($A42+23/24),tData[Langligger01],1)</f>
        <v/>
      </c>
    </row>
    <row r="43">
      <c r="A43" s="19" t="n">
        <v>45331</v>
      </c>
      <c r="B43" s="15">
        <f>WEEKDAY($A43,2)</f>
        <v/>
      </c>
      <c r="C43" s="15">
        <f>IF(AND($A43&gt;=INT(Instellingen!$B$5),$A43&lt;=INT(Instellingen!$B$6)),1,0)</f>
        <v/>
      </c>
      <c r="D43" s="20">
        <f>COUNTIFS(tData[SEHTrajectPeriodeDatumTijdVan],"&lt;="&amp;($A43+0/24),tData[SEHTrajectPeriodeDatumTijdTotEnMet],"&gt;"&amp;($A43+0/24),tData[Langligger01],1)</f>
        <v/>
      </c>
      <c r="E43" s="20">
        <f>COUNTIFS(tData[SEHTrajectPeriodeDatumTijdVan],"&lt;="&amp;($A43+1/24),tData[SEHTrajectPeriodeDatumTijdTotEnMet],"&gt;"&amp;($A43+1/24),tData[Langligger01],1)</f>
        <v/>
      </c>
      <c r="F43" s="20">
        <f>COUNTIFS(tData[SEHTrajectPeriodeDatumTijdVan],"&lt;="&amp;($A43+2/24),tData[SEHTrajectPeriodeDatumTijdTotEnMet],"&gt;"&amp;($A43+2/24),tData[Langligger01],1)</f>
        <v/>
      </c>
      <c r="G43" s="20">
        <f>COUNTIFS(tData[SEHTrajectPeriodeDatumTijdVan],"&lt;="&amp;($A43+3/24),tData[SEHTrajectPeriodeDatumTijdTotEnMet],"&gt;"&amp;($A43+3/24),tData[Langligger01],1)</f>
        <v/>
      </c>
      <c r="H43" s="20">
        <f>COUNTIFS(tData[SEHTrajectPeriodeDatumTijdVan],"&lt;="&amp;($A43+4/24),tData[SEHTrajectPeriodeDatumTijdTotEnMet],"&gt;"&amp;($A43+4/24),tData[Langligger01],1)</f>
        <v/>
      </c>
      <c r="I43" s="20">
        <f>COUNTIFS(tData[SEHTrajectPeriodeDatumTijdVan],"&lt;="&amp;($A43+5/24),tData[SEHTrajectPeriodeDatumTijdTotEnMet],"&gt;"&amp;($A43+5/24),tData[Langligger01],1)</f>
        <v/>
      </c>
      <c r="J43" s="20">
        <f>COUNTIFS(tData[SEHTrajectPeriodeDatumTijdVan],"&lt;="&amp;($A43+6/24),tData[SEHTrajectPeriodeDatumTijdTotEnMet],"&gt;"&amp;($A43+6/24),tData[Langligger01],1)</f>
        <v/>
      </c>
      <c r="K43" s="20">
        <f>COUNTIFS(tData[SEHTrajectPeriodeDatumTijdVan],"&lt;="&amp;($A43+7/24),tData[SEHTrajectPeriodeDatumTijdTotEnMet],"&gt;"&amp;($A43+7/24),tData[Langligger01],1)</f>
        <v/>
      </c>
      <c r="L43" s="20">
        <f>COUNTIFS(tData[SEHTrajectPeriodeDatumTijdVan],"&lt;="&amp;($A43+8/24),tData[SEHTrajectPeriodeDatumTijdTotEnMet],"&gt;"&amp;($A43+8/24),tData[Langligger01],1)</f>
        <v/>
      </c>
      <c r="M43" s="20">
        <f>COUNTIFS(tData[SEHTrajectPeriodeDatumTijdVan],"&lt;="&amp;($A43+9/24),tData[SEHTrajectPeriodeDatumTijdTotEnMet],"&gt;"&amp;($A43+9/24),tData[Langligger01],1)</f>
        <v/>
      </c>
      <c r="N43" s="20">
        <f>COUNTIFS(tData[SEHTrajectPeriodeDatumTijdVan],"&lt;="&amp;($A43+10/24),tData[SEHTrajectPeriodeDatumTijdTotEnMet],"&gt;"&amp;($A43+10/24),tData[Langligger01],1)</f>
        <v/>
      </c>
      <c r="O43" s="20">
        <f>COUNTIFS(tData[SEHTrajectPeriodeDatumTijdVan],"&lt;="&amp;($A43+11/24),tData[SEHTrajectPeriodeDatumTijdTotEnMet],"&gt;"&amp;($A43+11/24),tData[Langligger01],1)</f>
        <v/>
      </c>
      <c r="P43" s="20">
        <f>COUNTIFS(tData[SEHTrajectPeriodeDatumTijdVan],"&lt;="&amp;($A43+12/24),tData[SEHTrajectPeriodeDatumTijdTotEnMet],"&gt;"&amp;($A43+12/24),tData[Langligger01],1)</f>
        <v/>
      </c>
      <c r="Q43" s="20">
        <f>COUNTIFS(tData[SEHTrajectPeriodeDatumTijdVan],"&lt;="&amp;($A43+13/24),tData[SEHTrajectPeriodeDatumTijdTotEnMet],"&gt;"&amp;($A43+13/24),tData[Langligger01],1)</f>
        <v/>
      </c>
      <c r="R43" s="20">
        <f>COUNTIFS(tData[SEHTrajectPeriodeDatumTijdVan],"&lt;="&amp;($A43+14/24),tData[SEHTrajectPeriodeDatumTijdTotEnMet],"&gt;"&amp;($A43+14/24),tData[Langligger01],1)</f>
        <v/>
      </c>
      <c r="S43" s="20">
        <f>COUNTIFS(tData[SEHTrajectPeriodeDatumTijdVan],"&lt;="&amp;($A43+15/24),tData[SEHTrajectPeriodeDatumTijdTotEnMet],"&gt;"&amp;($A43+15/24),tData[Langligger01],1)</f>
        <v/>
      </c>
      <c r="T43" s="20">
        <f>COUNTIFS(tData[SEHTrajectPeriodeDatumTijdVan],"&lt;="&amp;($A43+16/24),tData[SEHTrajectPeriodeDatumTijdTotEnMet],"&gt;"&amp;($A43+16/24),tData[Langligger01],1)</f>
        <v/>
      </c>
      <c r="U43" s="20">
        <f>COUNTIFS(tData[SEHTrajectPeriodeDatumTijdVan],"&lt;="&amp;($A43+17/24),tData[SEHTrajectPeriodeDatumTijdTotEnMet],"&gt;"&amp;($A43+17/24),tData[Langligger01],1)</f>
        <v/>
      </c>
      <c r="V43" s="20">
        <f>COUNTIFS(tData[SEHTrajectPeriodeDatumTijdVan],"&lt;="&amp;($A43+18/24),tData[SEHTrajectPeriodeDatumTijdTotEnMet],"&gt;"&amp;($A43+18/24),tData[Langligger01],1)</f>
        <v/>
      </c>
      <c r="W43" s="20">
        <f>COUNTIFS(tData[SEHTrajectPeriodeDatumTijdVan],"&lt;="&amp;($A43+19/24),tData[SEHTrajectPeriodeDatumTijdTotEnMet],"&gt;"&amp;($A43+19/24),tData[Langligger01],1)</f>
        <v/>
      </c>
      <c r="X43" s="20">
        <f>COUNTIFS(tData[SEHTrajectPeriodeDatumTijdVan],"&lt;="&amp;($A43+20/24),tData[SEHTrajectPeriodeDatumTijdTotEnMet],"&gt;"&amp;($A43+20/24),tData[Langligger01],1)</f>
        <v/>
      </c>
      <c r="Y43" s="20">
        <f>COUNTIFS(tData[SEHTrajectPeriodeDatumTijdVan],"&lt;="&amp;($A43+21/24),tData[SEHTrajectPeriodeDatumTijdTotEnMet],"&gt;"&amp;($A43+21/24),tData[Langligger01],1)</f>
        <v/>
      </c>
      <c r="Z43" s="20">
        <f>COUNTIFS(tData[SEHTrajectPeriodeDatumTijdVan],"&lt;="&amp;($A43+22/24),tData[SEHTrajectPeriodeDatumTijdTotEnMet],"&gt;"&amp;($A43+22/24),tData[Langligger01],1)</f>
        <v/>
      </c>
      <c r="AA43" s="20">
        <f>COUNTIFS(tData[SEHTrajectPeriodeDatumTijdVan],"&lt;="&amp;($A43+23/24),tData[SEHTrajectPeriodeDatumTijdTotEnMet],"&gt;"&amp;($A43+23/24),tData[Langligger01],1)</f>
        <v/>
      </c>
    </row>
    <row r="44">
      <c r="A44" s="19" t="n">
        <v>45332</v>
      </c>
      <c r="B44" s="15">
        <f>WEEKDAY($A44,2)</f>
        <v/>
      </c>
      <c r="C44" s="15">
        <f>IF(AND($A44&gt;=INT(Instellingen!$B$5),$A44&lt;=INT(Instellingen!$B$6)),1,0)</f>
        <v/>
      </c>
      <c r="D44" s="20">
        <f>COUNTIFS(tData[SEHTrajectPeriodeDatumTijdVan],"&lt;="&amp;($A44+0/24),tData[SEHTrajectPeriodeDatumTijdTotEnMet],"&gt;"&amp;($A44+0/24),tData[Langligger01],1)</f>
        <v/>
      </c>
      <c r="E44" s="20">
        <f>COUNTIFS(tData[SEHTrajectPeriodeDatumTijdVan],"&lt;="&amp;($A44+1/24),tData[SEHTrajectPeriodeDatumTijdTotEnMet],"&gt;"&amp;($A44+1/24),tData[Langligger01],1)</f>
        <v/>
      </c>
      <c r="F44" s="20">
        <f>COUNTIFS(tData[SEHTrajectPeriodeDatumTijdVan],"&lt;="&amp;($A44+2/24),tData[SEHTrajectPeriodeDatumTijdTotEnMet],"&gt;"&amp;($A44+2/24),tData[Langligger01],1)</f>
        <v/>
      </c>
      <c r="G44" s="20">
        <f>COUNTIFS(tData[SEHTrajectPeriodeDatumTijdVan],"&lt;="&amp;($A44+3/24),tData[SEHTrajectPeriodeDatumTijdTotEnMet],"&gt;"&amp;($A44+3/24),tData[Langligger01],1)</f>
        <v/>
      </c>
      <c r="H44" s="20">
        <f>COUNTIFS(tData[SEHTrajectPeriodeDatumTijdVan],"&lt;="&amp;($A44+4/24),tData[SEHTrajectPeriodeDatumTijdTotEnMet],"&gt;"&amp;($A44+4/24),tData[Langligger01],1)</f>
        <v/>
      </c>
      <c r="I44" s="20">
        <f>COUNTIFS(tData[SEHTrajectPeriodeDatumTijdVan],"&lt;="&amp;($A44+5/24),tData[SEHTrajectPeriodeDatumTijdTotEnMet],"&gt;"&amp;($A44+5/24),tData[Langligger01],1)</f>
        <v/>
      </c>
      <c r="J44" s="20">
        <f>COUNTIFS(tData[SEHTrajectPeriodeDatumTijdVan],"&lt;="&amp;($A44+6/24),tData[SEHTrajectPeriodeDatumTijdTotEnMet],"&gt;"&amp;($A44+6/24),tData[Langligger01],1)</f>
        <v/>
      </c>
      <c r="K44" s="20">
        <f>COUNTIFS(tData[SEHTrajectPeriodeDatumTijdVan],"&lt;="&amp;($A44+7/24),tData[SEHTrajectPeriodeDatumTijdTotEnMet],"&gt;"&amp;($A44+7/24),tData[Langligger01],1)</f>
        <v/>
      </c>
      <c r="L44" s="20">
        <f>COUNTIFS(tData[SEHTrajectPeriodeDatumTijdVan],"&lt;="&amp;($A44+8/24),tData[SEHTrajectPeriodeDatumTijdTotEnMet],"&gt;"&amp;($A44+8/24),tData[Langligger01],1)</f>
        <v/>
      </c>
      <c r="M44" s="20">
        <f>COUNTIFS(tData[SEHTrajectPeriodeDatumTijdVan],"&lt;="&amp;($A44+9/24),tData[SEHTrajectPeriodeDatumTijdTotEnMet],"&gt;"&amp;($A44+9/24),tData[Langligger01],1)</f>
        <v/>
      </c>
      <c r="N44" s="20">
        <f>COUNTIFS(tData[SEHTrajectPeriodeDatumTijdVan],"&lt;="&amp;($A44+10/24),tData[SEHTrajectPeriodeDatumTijdTotEnMet],"&gt;"&amp;($A44+10/24),tData[Langligger01],1)</f>
        <v/>
      </c>
      <c r="O44" s="20">
        <f>COUNTIFS(tData[SEHTrajectPeriodeDatumTijdVan],"&lt;="&amp;($A44+11/24),tData[SEHTrajectPeriodeDatumTijdTotEnMet],"&gt;"&amp;($A44+11/24),tData[Langligger01],1)</f>
        <v/>
      </c>
      <c r="P44" s="20">
        <f>COUNTIFS(tData[SEHTrajectPeriodeDatumTijdVan],"&lt;="&amp;($A44+12/24),tData[SEHTrajectPeriodeDatumTijdTotEnMet],"&gt;"&amp;($A44+12/24),tData[Langligger01],1)</f>
        <v/>
      </c>
      <c r="Q44" s="20">
        <f>COUNTIFS(tData[SEHTrajectPeriodeDatumTijdVan],"&lt;="&amp;($A44+13/24),tData[SEHTrajectPeriodeDatumTijdTotEnMet],"&gt;"&amp;($A44+13/24),tData[Langligger01],1)</f>
        <v/>
      </c>
      <c r="R44" s="20">
        <f>COUNTIFS(tData[SEHTrajectPeriodeDatumTijdVan],"&lt;="&amp;($A44+14/24),tData[SEHTrajectPeriodeDatumTijdTotEnMet],"&gt;"&amp;($A44+14/24),tData[Langligger01],1)</f>
        <v/>
      </c>
      <c r="S44" s="20">
        <f>COUNTIFS(tData[SEHTrajectPeriodeDatumTijdVan],"&lt;="&amp;($A44+15/24),tData[SEHTrajectPeriodeDatumTijdTotEnMet],"&gt;"&amp;($A44+15/24),tData[Langligger01],1)</f>
        <v/>
      </c>
      <c r="T44" s="20">
        <f>COUNTIFS(tData[SEHTrajectPeriodeDatumTijdVan],"&lt;="&amp;($A44+16/24),tData[SEHTrajectPeriodeDatumTijdTotEnMet],"&gt;"&amp;($A44+16/24),tData[Langligger01],1)</f>
        <v/>
      </c>
      <c r="U44" s="20">
        <f>COUNTIFS(tData[SEHTrajectPeriodeDatumTijdVan],"&lt;="&amp;($A44+17/24),tData[SEHTrajectPeriodeDatumTijdTotEnMet],"&gt;"&amp;($A44+17/24),tData[Langligger01],1)</f>
        <v/>
      </c>
      <c r="V44" s="20">
        <f>COUNTIFS(tData[SEHTrajectPeriodeDatumTijdVan],"&lt;="&amp;($A44+18/24),tData[SEHTrajectPeriodeDatumTijdTotEnMet],"&gt;"&amp;($A44+18/24),tData[Langligger01],1)</f>
        <v/>
      </c>
      <c r="W44" s="20">
        <f>COUNTIFS(tData[SEHTrajectPeriodeDatumTijdVan],"&lt;="&amp;($A44+19/24),tData[SEHTrajectPeriodeDatumTijdTotEnMet],"&gt;"&amp;($A44+19/24),tData[Langligger01],1)</f>
        <v/>
      </c>
      <c r="X44" s="20">
        <f>COUNTIFS(tData[SEHTrajectPeriodeDatumTijdVan],"&lt;="&amp;($A44+20/24),tData[SEHTrajectPeriodeDatumTijdTotEnMet],"&gt;"&amp;($A44+20/24),tData[Langligger01],1)</f>
        <v/>
      </c>
      <c r="Y44" s="20">
        <f>COUNTIFS(tData[SEHTrajectPeriodeDatumTijdVan],"&lt;="&amp;($A44+21/24),tData[SEHTrajectPeriodeDatumTijdTotEnMet],"&gt;"&amp;($A44+21/24),tData[Langligger01],1)</f>
        <v/>
      </c>
      <c r="Z44" s="20">
        <f>COUNTIFS(tData[SEHTrajectPeriodeDatumTijdVan],"&lt;="&amp;($A44+22/24),tData[SEHTrajectPeriodeDatumTijdTotEnMet],"&gt;"&amp;($A44+22/24),tData[Langligger01],1)</f>
        <v/>
      </c>
      <c r="AA44" s="20">
        <f>COUNTIFS(tData[SEHTrajectPeriodeDatumTijdVan],"&lt;="&amp;($A44+23/24),tData[SEHTrajectPeriodeDatumTijdTotEnMet],"&gt;"&amp;($A44+23/24),tData[Langligger01],1)</f>
        <v/>
      </c>
    </row>
    <row r="45">
      <c r="A45" s="19" t="n">
        <v>45333</v>
      </c>
      <c r="B45" s="15">
        <f>WEEKDAY($A45,2)</f>
        <v/>
      </c>
      <c r="C45" s="15">
        <f>IF(AND($A45&gt;=INT(Instellingen!$B$5),$A45&lt;=INT(Instellingen!$B$6)),1,0)</f>
        <v/>
      </c>
      <c r="D45" s="20">
        <f>COUNTIFS(tData[SEHTrajectPeriodeDatumTijdVan],"&lt;="&amp;($A45+0/24),tData[SEHTrajectPeriodeDatumTijdTotEnMet],"&gt;"&amp;($A45+0/24),tData[Langligger01],1)</f>
        <v/>
      </c>
      <c r="E45" s="20">
        <f>COUNTIFS(tData[SEHTrajectPeriodeDatumTijdVan],"&lt;="&amp;($A45+1/24),tData[SEHTrajectPeriodeDatumTijdTotEnMet],"&gt;"&amp;($A45+1/24),tData[Langligger01],1)</f>
        <v/>
      </c>
      <c r="F45" s="20">
        <f>COUNTIFS(tData[SEHTrajectPeriodeDatumTijdVan],"&lt;="&amp;($A45+2/24),tData[SEHTrajectPeriodeDatumTijdTotEnMet],"&gt;"&amp;($A45+2/24),tData[Langligger01],1)</f>
        <v/>
      </c>
      <c r="G45" s="20">
        <f>COUNTIFS(tData[SEHTrajectPeriodeDatumTijdVan],"&lt;="&amp;($A45+3/24),tData[SEHTrajectPeriodeDatumTijdTotEnMet],"&gt;"&amp;($A45+3/24),tData[Langligger01],1)</f>
        <v/>
      </c>
      <c r="H45" s="20">
        <f>COUNTIFS(tData[SEHTrajectPeriodeDatumTijdVan],"&lt;="&amp;($A45+4/24),tData[SEHTrajectPeriodeDatumTijdTotEnMet],"&gt;"&amp;($A45+4/24),tData[Langligger01],1)</f>
        <v/>
      </c>
      <c r="I45" s="20">
        <f>COUNTIFS(tData[SEHTrajectPeriodeDatumTijdVan],"&lt;="&amp;($A45+5/24),tData[SEHTrajectPeriodeDatumTijdTotEnMet],"&gt;"&amp;($A45+5/24),tData[Langligger01],1)</f>
        <v/>
      </c>
      <c r="J45" s="20">
        <f>COUNTIFS(tData[SEHTrajectPeriodeDatumTijdVan],"&lt;="&amp;($A45+6/24),tData[SEHTrajectPeriodeDatumTijdTotEnMet],"&gt;"&amp;($A45+6/24),tData[Langligger01],1)</f>
        <v/>
      </c>
      <c r="K45" s="20">
        <f>COUNTIFS(tData[SEHTrajectPeriodeDatumTijdVan],"&lt;="&amp;($A45+7/24),tData[SEHTrajectPeriodeDatumTijdTotEnMet],"&gt;"&amp;($A45+7/24),tData[Langligger01],1)</f>
        <v/>
      </c>
      <c r="L45" s="20">
        <f>COUNTIFS(tData[SEHTrajectPeriodeDatumTijdVan],"&lt;="&amp;($A45+8/24),tData[SEHTrajectPeriodeDatumTijdTotEnMet],"&gt;"&amp;($A45+8/24),tData[Langligger01],1)</f>
        <v/>
      </c>
      <c r="M45" s="20">
        <f>COUNTIFS(tData[SEHTrajectPeriodeDatumTijdVan],"&lt;="&amp;($A45+9/24),tData[SEHTrajectPeriodeDatumTijdTotEnMet],"&gt;"&amp;($A45+9/24),tData[Langligger01],1)</f>
        <v/>
      </c>
      <c r="N45" s="20">
        <f>COUNTIFS(tData[SEHTrajectPeriodeDatumTijdVan],"&lt;="&amp;($A45+10/24),tData[SEHTrajectPeriodeDatumTijdTotEnMet],"&gt;"&amp;($A45+10/24),tData[Langligger01],1)</f>
        <v/>
      </c>
      <c r="O45" s="20">
        <f>COUNTIFS(tData[SEHTrajectPeriodeDatumTijdVan],"&lt;="&amp;($A45+11/24),tData[SEHTrajectPeriodeDatumTijdTotEnMet],"&gt;"&amp;($A45+11/24),tData[Langligger01],1)</f>
        <v/>
      </c>
      <c r="P45" s="20">
        <f>COUNTIFS(tData[SEHTrajectPeriodeDatumTijdVan],"&lt;="&amp;($A45+12/24),tData[SEHTrajectPeriodeDatumTijdTotEnMet],"&gt;"&amp;($A45+12/24),tData[Langligger01],1)</f>
        <v/>
      </c>
      <c r="Q45" s="20">
        <f>COUNTIFS(tData[SEHTrajectPeriodeDatumTijdVan],"&lt;="&amp;($A45+13/24),tData[SEHTrajectPeriodeDatumTijdTotEnMet],"&gt;"&amp;($A45+13/24),tData[Langligger01],1)</f>
        <v/>
      </c>
      <c r="R45" s="20">
        <f>COUNTIFS(tData[SEHTrajectPeriodeDatumTijdVan],"&lt;="&amp;($A45+14/24),tData[SEHTrajectPeriodeDatumTijdTotEnMet],"&gt;"&amp;($A45+14/24),tData[Langligger01],1)</f>
        <v/>
      </c>
      <c r="S45" s="20">
        <f>COUNTIFS(tData[SEHTrajectPeriodeDatumTijdVan],"&lt;="&amp;($A45+15/24),tData[SEHTrajectPeriodeDatumTijdTotEnMet],"&gt;"&amp;($A45+15/24),tData[Langligger01],1)</f>
        <v/>
      </c>
      <c r="T45" s="20">
        <f>COUNTIFS(tData[SEHTrajectPeriodeDatumTijdVan],"&lt;="&amp;($A45+16/24),tData[SEHTrajectPeriodeDatumTijdTotEnMet],"&gt;"&amp;($A45+16/24),tData[Langligger01],1)</f>
        <v/>
      </c>
      <c r="U45" s="20">
        <f>COUNTIFS(tData[SEHTrajectPeriodeDatumTijdVan],"&lt;="&amp;($A45+17/24),tData[SEHTrajectPeriodeDatumTijdTotEnMet],"&gt;"&amp;($A45+17/24),tData[Langligger01],1)</f>
        <v/>
      </c>
      <c r="V45" s="20">
        <f>COUNTIFS(tData[SEHTrajectPeriodeDatumTijdVan],"&lt;="&amp;($A45+18/24),tData[SEHTrajectPeriodeDatumTijdTotEnMet],"&gt;"&amp;($A45+18/24),tData[Langligger01],1)</f>
        <v/>
      </c>
      <c r="W45" s="20">
        <f>COUNTIFS(tData[SEHTrajectPeriodeDatumTijdVan],"&lt;="&amp;($A45+19/24),tData[SEHTrajectPeriodeDatumTijdTotEnMet],"&gt;"&amp;($A45+19/24),tData[Langligger01],1)</f>
        <v/>
      </c>
      <c r="X45" s="20">
        <f>COUNTIFS(tData[SEHTrajectPeriodeDatumTijdVan],"&lt;="&amp;($A45+20/24),tData[SEHTrajectPeriodeDatumTijdTotEnMet],"&gt;"&amp;($A45+20/24),tData[Langligger01],1)</f>
        <v/>
      </c>
      <c r="Y45" s="20">
        <f>COUNTIFS(tData[SEHTrajectPeriodeDatumTijdVan],"&lt;="&amp;($A45+21/24),tData[SEHTrajectPeriodeDatumTijdTotEnMet],"&gt;"&amp;($A45+21/24),tData[Langligger01],1)</f>
        <v/>
      </c>
      <c r="Z45" s="20">
        <f>COUNTIFS(tData[SEHTrajectPeriodeDatumTijdVan],"&lt;="&amp;($A45+22/24),tData[SEHTrajectPeriodeDatumTijdTotEnMet],"&gt;"&amp;($A45+22/24),tData[Langligger01],1)</f>
        <v/>
      </c>
      <c r="AA45" s="20">
        <f>COUNTIFS(tData[SEHTrajectPeriodeDatumTijdVan],"&lt;="&amp;($A45+23/24),tData[SEHTrajectPeriodeDatumTijdTotEnMet],"&gt;"&amp;($A45+23/24),tData[Langligger01],1)</f>
        <v/>
      </c>
    </row>
    <row r="46">
      <c r="A46" s="19" t="n">
        <v>45334</v>
      </c>
      <c r="B46" s="15">
        <f>WEEKDAY($A46,2)</f>
        <v/>
      </c>
      <c r="C46" s="15">
        <f>IF(AND($A46&gt;=INT(Instellingen!$B$5),$A46&lt;=INT(Instellingen!$B$6)),1,0)</f>
        <v/>
      </c>
      <c r="D46" s="20">
        <f>COUNTIFS(tData[SEHTrajectPeriodeDatumTijdVan],"&lt;="&amp;($A46+0/24),tData[SEHTrajectPeriodeDatumTijdTotEnMet],"&gt;"&amp;($A46+0/24),tData[Langligger01],1)</f>
        <v/>
      </c>
      <c r="E46" s="20">
        <f>COUNTIFS(tData[SEHTrajectPeriodeDatumTijdVan],"&lt;="&amp;($A46+1/24),tData[SEHTrajectPeriodeDatumTijdTotEnMet],"&gt;"&amp;($A46+1/24),tData[Langligger01],1)</f>
        <v/>
      </c>
      <c r="F46" s="20">
        <f>COUNTIFS(tData[SEHTrajectPeriodeDatumTijdVan],"&lt;="&amp;($A46+2/24),tData[SEHTrajectPeriodeDatumTijdTotEnMet],"&gt;"&amp;($A46+2/24),tData[Langligger01],1)</f>
        <v/>
      </c>
      <c r="G46" s="20">
        <f>COUNTIFS(tData[SEHTrajectPeriodeDatumTijdVan],"&lt;="&amp;($A46+3/24),tData[SEHTrajectPeriodeDatumTijdTotEnMet],"&gt;"&amp;($A46+3/24),tData[Langligger01],1)</f>
        <v/>
      </c>
      <c r="H46" s="20">
        <f>COUNTIFS(tData[SEHTrajectPeriodeDatumTijdVan],"&lt;="&amp;($A46+4/24),tData[SEHTrajectPeriodeDatumTijdTotEnMet],"&gt;"&amp;($A46+4/24),tData[Langligger01],1)</f>
        <v/>
      </c>
      <c r="I46" s="20">
        <f>COUNTIFS(tData[SEHTrajectPeriodeDatumTijdVan],"&lt;="&amp;($A46+5/24),tData[SEHTrajectPeriodeDatumTijdTotEnMet],"&gt;"&amp;($A46+5/24),tData[Langligger01],1)</f>
        <v/>
      </c>
      <c r="J46" s="20">
        <f>COUNTIFS(tData[SEHTrajectPeriodeDatumTijdVan],"&lt;="&amp;($A46+6/24),tData[SEHTrajectPeriodeDatumTijdTotEnMet],"&gt;"&amp;($A46+6/24),tData[Langligger01],1)</f>
        <v/>
      </c>
      <c r="K46" s="20">
        <f>COUNTIFS(tData[SEHTrajectPeriodeDatumTijdVan],"&lt;="&amp;($A46+7/24),tData[SEHTrajectPeriodeDatumTijdTotEnMet],"&gt;"&amp;($A46+7/24),tData[Langligger01],1)</f>
        <v/>
      </c>
      <c r="L46" s="20">
        <f>COUNTIFS(tData[SEHTrajectPeriodeDatumTijdVan],"&lt;="&amp;($A46+8/24),tData[SEHTrajectPeriodeDatumTijdTotEnMet],"&gt;"&amp;($A46+8/24),tData[Langligger01],1)</f>
        <v/>
      </c>
      <c r="M46" s="20">
        <f>COUNTIFS(tData[SEHTrajectPeriodeDatumTijdVan],"&lt;="&amp;($A46+9/24),tData[SEHTrajectPeriodeDatumTijdTotEnMet],"&gt;"&amp;($A46+9/24),tData[Langligger01],1)</f>
        <v/>
      </c>
      <c r="N46" s="20">
        <f>COUNTIFS(tData[SEHTrajectPeriodeDatumTijdVan],"&lt;="&amp;($A46+10/24),tData[SEHTrajectPeriodeDatumTijdTotEnMet],"&gt;"&amp;($A46+10/24),tData[Langligger01],1)</f>
        <v/>
      </c>
      <c r="O46" s="20">
        <f>COUNTIFS(tData[SEHTrajectPeriodeDatumTijdVan],"&lt;="&amp;($A46+11/24),tData[SEHTrajectPeriodeDatumTijdTotEnMet],"&gt;"&amp;($A46+11/24),tData[Langligger01],1)</f>
        <v/>
      </c>
      <c r="P46" s="20">
        <f>COUNTIFS(tData[SEHTrajectPeriodeDatumTijdVan],"&lt;="&amp;($A46+12/24),tData[SEHTrajectPeriodeDatumTijdTotEnMet],"&gt;"&amp;($A46+12/24),tData[Langligger01],1)</f>
        <v/>
      </c>
      <c r="Q46" s="20">
        <f>COUNTIFS(tData[SEHTrajectPeriodeDatumTijdVan],"&lt;="&amp;($A46+13/24),tData[SEHTrajectPeriodeDatumTijdTotEnMet],"&gt;"&amp;($A46+13/24),tData[Langligger01],1)</f>
        <v/>
      </c>
      <c r="R46" s="20">
        <f>COUNTIFS(tData[SEHTrajectPeriodeDatumTijdVan],"&lt;="&amp;($A46+14/24),tData[SEHTrajectPeriodeDatumTijdTotEnMet],"&gt;"&amp;($A46+14/24),tData[Langligger01],1)</f>
        <v/>
      </c>
      <c r="S46" s="20">
        <f>COUNTIFS(tData[SEHTrajectPeriodeDatumTijdVan],"&lt;="&amp;($A46+15/24),tData[SEHTrajectPeriodeDatumTijdTotEnMet],"&gt;"&amp;($A46+15/24),tData[Langligger01],1)</f>
        <v/>
      </c>
      <c r="T46" s="20">
        <f>COUNTIFS(tData[SEHTrajectPeriodeDatumTijdVan],"&lt;="&amp;($A46+16/24),tData[SEHTrajectPeriodeDatumTijdTotEnMet],"&gt;"&amp;($A46+16/24),tData[Langligger01],1)</f>
        <v/>
      </c>
      <c r="U46" s="20">
        <f>COUNTIFS(tData[SEHTrajectPeriodeDatumTijdVan],"&lt;="&amp;($A46+17/24),tData[SEHTrajectPeriodeDatumTijdTotEnMet],"&gt;"&amp;($A46+17/24),tData[Langligger01],1)</f>
        <v/>
      </c>
      <c r="V46" s="20">
        <f>COUNTIFS(tData[SEHTrajectPeriodeDatumTijdVan],"&lt;="&amp;($A46+18/24),tData[SEHTrajectPeriodeDatumTijdTotEnMet],"&gt;"&amp;($A46+18/24),tData[Langligger01],1)</f>
        <v/>
      </c>
      <c r="W46" s="20">
        <f>COUNTIFS(tData[SEHTrajectPeriodeDatumTijdVan],"&lt;="&amp;($A46+19/24),tData[SEHTrajectPeriodeDatumTijdTotEnMet],"&gt;"&amp;($A46+19/24),tData[Langligger01],1)</f>
        <v/>
      </c>
      <c r="X46" s="20">
        <f>COUNTIFS(tData[SEHTrajectPeriodeDatumTijdVan],"&lt;="&amp;($A46+20/24),tData[SEHTrajectPeriodeDatumTijdTotEnMet],"&gt;"&amp;($A46+20/24),tData[Langligger01],1)</f>
        <v/>
      </c>
      <c r="Y46" s="20">
        <f>COUNTIFS(tData[SEHTrajectPeriodeDatumTijdVan],"&lt;="&amp;($A46+21/24),tData[SEHTrajectPeriodeDatumTijdTotEnMet],"&gt;"&amp;($A46+21/24),tData[Langligger01],1)</f>
        <v/>
      </c>
      <c r="Z46" s="20">
        <f>COUNTIFS(tData[SEHTrajectPeriodeDatumTijdVan],"&lt;="&amp;($A46+22/24),tData[SEHTrajectPeriodeDatumTijdTotEnMet],"&gt;"&amp;($A46+22/24),tData[Langligger01],1)</f>
        <v/>
      </c>
      <c r="AA46" s="20">
        <f>COUNTIFS(tData[SEHTrajectPeriodeDatumTijdVan],"&lt;="&amp;($A46+23/24),tData[SEHTrajectPeriodeDatumTijdTotEnMet],"&gt;"&amp;($A46+23/24),tData[Langligger01],1)</f>
        <v/>
      </c>
    </row>
    <row r="47">
      <c r="A47" s="19" t="n">
        <v>45335</v>
      </c>
      <c r="B47" s="15">
        <f>WEEKDAY($A47,2)</f>
        <v/>
      </c>
      <c r="C47" s="15">
        <f>IF(AND($A47&gt;=INT(Instellingen!$B$5),$A47&lt;=INT(Instellingen!$B$6)),1,0)</f>
        <v/>
      </c>
      <c r="D47" s="20">
        <f>COUNTIFS(tData[SEHTrajectPeriodeDatumTijdVan],"&lt;="&amp;($A47+0/24),tData[SEHTrajectPeriodeDatumTijdTotEnMet],"&gt;"&amp;($A47+0/24),tData[Langligger01],1)</f>
        <v/>
      </c>
      <c r="E47" s="20">
        <f>COUNTIFS(tData[SEHTrajectPeriodeDatumTijdVan],"&lt;="&amp;($A47+1/24),tData[SEHTrajectPeriodeDatumTijdTotEnMet],"&gt;"&amp;($A47+1/24),tData[Langligger01],1)</f>
        <v/>
      </c>
      <c r="F47" s="20">
        <f>COUNTIFS(tData[SEHTrajectPeriodeDatumTijdVan],"&lt;="&amp;($A47+2/24),tData[SEHTrajectPeriodeDatumTijdTotEnMet],"&gt;"&amp;($A47+2/24),tData[Langligger01],1)</f>
        <v/>
      </c>
      <c r="G47" s="20">
        <f>COUNTIFS(tData[SEHTrajectPeriodeDatumTijdVan],"&lt;="&amp;($A47+3/24),tData[SEHTrajectPeriodeDatumTijdTotEnMet],"&gt;"&amp;($A47+3/24),tData[Langligger01],1)</f>
        <v/>
      </c>
      <c r="H47" s="20">
        <f>COUNTIFS(tData[SEHTrajectPeriodeDatumTijdVan],"&lt;="&amp;($A47+4/24),tData[SEHTrajectPeriodeDatumTijdTotEnMet],"&gt;"&amp;($A47+4/24),tData[Langligger01],1)</f>
        <v/>
      </c>
      <c r="I47" s="20">
        <f>COUNTIFS(tData[SEHTrajectPeriodeDatumTijdVan],"&lt;="&amp;($A47+5/24),tData[SEHTrajectPeriodeDatumTijdTotEnMet],"&gt;"&amp;($A47+5/24),tData[Langligger01],1)</f>
        <v/>
      </c>
      <c r="J47" s="20">
        <f>COUNTIFS(tData[SEHTrajectPeriodeDatumTijdVan],"&lt;="&amp;($A47+6/24),tData[SEHTrajectPeriodeDatumTijdTotEnMet],"&gt;"&amp;($A47+6/24),tData[Langligger01],1)</f>
        <v/>
      </c>
      <c r="K47" s="20">
        <f>COUNTIFS(tData[SEHTrajectPeriodeDatumTijdVan],"&lt;="&amp;($A47+7/24),tData[SEHTrajectPeriodeDatumTijdTotEnMet],"&gt;"&amp;($A47+7/24),tData[Langligger01],1)</f>
        <v/>
      </c>
      <c r="L47" s="20">
        <f>COUNTIFS(tData[SEHTrajectPeriodeDatumTijdVan],"&lt;="&amp;($A47+8/24),tData[SEHTrajectPeriodeDatumTijdTotEnMet],"&gt;"&amp;($A47+8/24),tData[Langligger01],1)</f>
        <v/>
      </c>
      <c r="M47" s="20">
        <f>COUNTIFS(tData[SEHTrajectPeriodeDatumTijdVan],"&lt;="&amp;($A47+9/24),tData[SEHTrajectPeriodeDatumTijdTotEnMet],"&gt;"&amp;($A47+9/24),tData[Langligger01],1)</f>
        <v/>
      </c>
      <c r="N47" s="20">
        <f>COUNTIFS(tData[SEHTrajectPeriodeDatumTijdVan],"&lt;="&amp;($A47+10/24),tData[SEHTrajectPeriodeDatumTijdTotEnMet],"&gt;"&amp;($A47+10/24),tData[Langligger01],1)</f>
        <v/>
      </c>
      <c r="O47" s="20">
        <f>COUNTIFS(tData[SEHTrajectPeriodeDatumTijdVan],"&lt;="&amp;($A47+11/24),tData[SEHTrajectPeriodeDatumTijdTotEnMet],"&gt;"&amp;($A47+11/24),tData[Langligger01],1)</f>
        <v/>
      </c>
      <c r="P47" s="20">
        <f>COUNTIFS(tData[SEHTrajectPeriodeDatumTijdVan],"&lt;="&amp;($A47+12/24),tData[SEHTrajectPeriodeDatumTijdTotEnMet],"&gt;"&amp;($A47+12/24),tData[Langligger01],1)</f>
        <v/>
      </c>
      <c r="Q47" s="20">
        <f>COUNTIFS(tData[SEHTrajectPeriodeDatumTijdVan],"&lt;="&amp;($A47+13/24),tData[SEHTrajectPeriodeDatumTijdTotEnMet],"&gt;"&amp;($A47+13/24),tData[Langligger01],1)</f>
        <v/>
      </c>
      <c r="R47" s="20">
        <f>COUNTIFS(tData[SEHTrajectPeriodeDatumTijdVan],"&lt;="&amp;($A47+14/24),tData[SEHTrajectPeriodeDatumTijdTotEnMet],"&gt;"&amp;($A47+14/24),tData[Langligger01],1)</f>
        <v/>
      </c>
      <c r="S47" s="20">
        <f>COUNTIFS(tData[SEHTrajectPeriodeDatumTijdVan],"&lt;="&amp;($A47+15/24),tData[SEHTrajectPeriodeDatumTijdTotEnMet],"&gt;"&amp;($A47+15/24),tData[Langligger01],1)</f>
        <v/>
      </c>
      <c r="T47" s="20">
        <f>COUNTIFS(tData[SEHTrajectPeriodeDatumTijdVan],"&lt;="&amp;($A47+16/24),tData[SEHTrajectPeriodeDatumTijdTotEnMet],"&gt;"&amp;($A47+16/24),tData[Langligger01],1)</f>
        <v/>
      </c>
      <c r="U47" s="20">
        <f>COUNTIFS(tData[SEHTrajectPeriodeDatumTijdVan],"&lt;="&amp;($A47+17/24),tData[SEHTrajectPeriodeDatumTijdTotEnMet],"&gt;"&amp;($A47+17/24),tData[Langligger01],1)</f>
        <v/>
      </c>
      <c r="V47" s="20">
        <f>COUNTIFS(tData[SEHTrajectPeriodeDatumTijdVan],"&lt;="&amp;($A47+18/24),tData[SEHTrajectPeriodeDatumTijdTotEnMet],"&gt;"&amp;($A47+18/24),tData[Langligger01],1)</f>
        <v/>
      </c>
      <c r="W47" s="20">
        <f>COUNTIFS(tData[SEHTrajectPeriodeDatumTijdVan],"&lt;="&amp;($A47+19/24),tData[SEHTrajectPeriodeDatumTijdTotEnMet],"&gt;"&amp;($A47+19/24),tData[Langligger01],1)</f>
        <v/>
      </c>
      <c r="X47" s="20">
        <f>COUNTIFS(tData[SEHTrajectPeriodeDatumTijdVan],"&lt;="&amp;($A47+20/24),tData[SEHTrajectPeriodeDatumTijdTotEnMet],"&gt;"&amp;($A47+20/24),tData[Langligger01],1)</f>
        <v/>
      </c>
      <c r="Y47" s="20">
        <f>COUNTIFS(tData[SEHTrajectPeriodeDatumTijdVan],"&lt;="&amp;($A47+21/24),tData[SEHTrajectPeriodeDatumTijdTotEnMet],"&gt;"&amp;($A47+21/24),tData[Langligger01],1)</f>
        <v/>
      </c>
      <c r="Z47" s="20">
        <f>COUNTIFS(tData[SEHTrajectPeriodeDatumTijdVan],"&lt;="&amp;($A47+22/24),tData[SEHTrajectPeriodeDatumTijdTotEnMet],"&gt;"&amp;($A47+22/24),tData[Langligger01],1)</f>
        <v/>
      </c>
      <c r="AA47" s="20">
        <f>COUNTIFS(tData[SEHTrajectPeriodeDatumTijdVan],"&lt;="&amp;($A47+23/24),tData[SEHTrajectPeriodeDatumTijdTotEnMet],"&gt;"&amp;($A47+23/24),tData[Langligger01],1)</f>
        <v/>
      </c>
    </row>
    <row r="48">
      <c r="A48" s="19" t="n">
        <v>45336</v>
      </c>
      <c r="B48" s="15">
        <f>WEEKDAY($A48,2)</f>
        <v/>
      </c>
      <c r="C48" s="15">
        <f>IF(AND($A48&gt;=INT(Instellingen!$B$5),$A48&lt;=INT(Instellingen!$B$6)),1,0)</f>
        <v/>
      </c>
      <c r="D48" s="20">
        <f>COUNTIFS(tData[SEHTrajectPeriodeDatumTijdVan],"&lt;="&amp;($A48+0/24),tData[SEHTrajectPeriodeDatumTijdTotEnMet],"&gt;"&amp;($A48+0/24),tData[Langligger01],1)</f>
        <v/>
      </c>
      <c r="E48" s="20">
        <f>COUNTIFS(tData[SEHTrajectPeriodeDatumTijdVan],"&lt;="&amp;($A48+1/24),tData[SEHTrajectPeriodeDatumTijdTotEnMet],"&gt;"&amp;($A48+1/24),tData[Langligger01],1)</f>
        <v/>
      </c>
      <c r="F48" s="20">
        <f>COUNTIFS(tData[SEHTrajectPeriodeDatumTijdVan],"&lt;="&amp;($A48+2/24),tData[SEHTrajectPeriodeDatumTijdTotEnMet],"&gt;"&amp;($A48+2/24),tData[Langligger01],1)</f>
        <v/>
      </c>
      <c r="G48" s="20">
        <f>COUNTIFS(tData[SEHTrajectPeriodeDatumTijdVan],"&lt;="&amp;($A48+3/24),tData[SEHTrajectPeriodeDatumTijdTotEnMet],"&gt;"&amp;($A48+3/24),tData[Langligger01],1)</f>
        <v/>
      </c>
      <c r="H48" s="20">
        <f>COUNTIFS(tData[SEHTrajectPeriodeDatumTijdVan],"&lt;="&amp;($A48+4/24),tData[SEHTrajectPeriodeDatumTijdTotEnMet],"&gt;"&amp;($A48+4/24),tData[Langligger01],1)</f>
        <v/>
      </c>
      <c r="I48" s="20">
        <f>COUNTIFS(tData[SEHTrajectPeriodeDatumTijdVan],"&lt;="&amp;($A48+5/24),tData[SEHTrajectPeriodeDatumTijdTotEnMet],"&gt;"&amp;($A48+5/24),tData[Langligger01],1)</f>
        <v/>
      </c>
      <c r="J48" s="20">
        <f>COUNTIFS(tData[SEHTrajectPeriodeDatumTijdVan],"&lt;="&amp;($A48+6/24),tData[SEHTrajectPeriodeDatumTijdTotEnMet],"&gt;"&amp;($A48+6/24),tData[Langligger01],1)</f>
        <v/>
      </c>
      <c r="K48" s="20">
        <f>COUNTIFS(tData[SEHTrajectPeriodeDatumTijdVan],"&lt;="&amp;($A48+7/24),tData[SEHTrajectPeriodeDatumTijdTotEnMet],"&gt;"&amp;($A48+7/24),tData[Langligger01],1)</f>
        <v/>
      </c>
      <c r="L48" s="20">
        <f>COUNTIFS(tData[SEHTrajectPeriodeDatumTijdVan],"&lt;="&amp;($A48+8/24),tData[SEHTrajectPeriodeDatumTijdTotEnMet],"&gt;"&amp;($A48+8/24),tData[Langligger01],1)</f>
        <v/>
      </c>
      <c r="M48" s="20">
        <f>COUNTIFS(tData[SEHTrajectPeriodeDatumTijdVan],"&lt;="&amp;($A48+9/24),tData[SEHTrajectPeriodeDatumTijdTotEnMet],"&gt;"&amp;($A48+9/24),tData[Langligger01],1)</f>
        <v/>
      </c>
      <c r="N48" s="20">
        <f>COUNTIFS(tData[SEHTrajectPeriodeDatumTijdVan],"&lt;="&amp;($A48+10/24),tData[SEHTrajectPeriodeDatumTijdTotEnMet],"&gt;"&amp;($A48+10/24),tData[Langligger01],1)</f>
        <v/>
      </c>
      <c r="O48" s="20">
        <f>COUNTIFS(tData[SEHTrajectPeriodeDatumTijdVan],"&lt;="&amp;($A48+11/24),tData[SEHTrajectPeriodeDatumTijdTotEnMet],"&gt;"&amp;($A48+11/24),tData[Langligger01],1)</f>
        <v/>
      </c>
      <c r="P48" s="20">
        <f>COUNTIFS(tData[SEHTrajectPeriodeDatumTijdVan],"&lt;="&amp;($A48+12/24),tData[SEHTrajectPeriodeDatumTijdTotEnMet],"&gt;"&amp;($A48+12/24),tData[Langligger01],1)</f>
        <v/>
      </c>
      <c r="Q48" s="20">
        <f>COUNTIFS(tData[SEHTrajectPeriodeDatumTijdVan],"&lt;="&amp;($A48+13/24),tData[SEHTrajectPeriodeDatumTijdTotEnMet],"&gt;"&amp;($A48+13/24),tData[Langligger01],1)</f>
        <v/>
      </c>
      <c r="R48" s="20">
        <f>COUNTIFS(tData[SEHTrajectPeriodeDatumTijdVan],"&lt;="&amp;($A48+14/24),tData[SEHTrajectPeriodeDatumTijdTotEnMet],"&gt;"&amp;($A48+14/24),tData[Langligger01],1)</f>
        <v/>
      </c>
      <c r="S48" s="20">
        <f>COUNTIFS(tData[SEHTrajectPeriodeDatumTijdVan],"&lt;="&amp;($A48+15/24),tData[SEHTrajectPeriodeDatumTijdTotEnMet],"&gt;"&amp;($A48+15/24),tData[Langligger01],1)</f>
        <v/>
      </c>
      <c r="T48" s="20">
        <f>COUNTIFS(tData[SEHTrajectPeriodeDatumTijdVan],"&lt;="&amp;($A48+16/24),tData[SEHTrajectPeriodeDatumTijdTotEnMet],"&gt;"&amp;($A48+16/24),tData[Langligger01],1)</f>
        <v/>
      </c>
      <c r="U48" s="20">
        <f>COUNTIFS(tData[SEHTrajectPeriodeDatumTijdVan],"&lt;="&amp;($A48+17/24),tData[SEHTrajectPeriodeDatumTijdTotEnMet],"&gt;"&amp;($A48+17/24),tData[Langligger01],1)</f>
        <v/>
      </c>
      <c r="V48" s="20">
        <f>COUNTIFS(tData[SEHTrajectPeriodeDatumTijdVan],"&lt;="&amp;($A48+18/24),tData[SEHTrajectPeriodeDatumTijdTotEnMet],"&gt;"&amp;($A48+18/24),tData[Langligger01],1)</f>
        <v/>
      </c>
      <c r="W48" s="20">
        <f>COUNTIFS(tData[SEHTrajectPeriodeDatumTijdVan],"&lt;="&amp;($A48+19/24),tData[SEHTrajectPeriodeDatumTijdTotEnMet],"&gt;"&amp;($A48+19/24),tData[Langligger01],1)</f>
        <v/>
      </c>
      <c r="X48" s="20">
        <f>COUNTIFS(tData[SEHTrajectPeriodeDatumTijdVan],"&lt;="&amp;($A48+20/24),tData[SEHTrajectPeriodeDatumTijdTotEnMet],"&gt;"&amp;($A48+20/24),tData[Langligger01],1)</f>
        <v/>
      </c>
      <c r="Y48" s="20">
        <f>COUNTIFS(tData[SEHTrajectPeriodeDatumTijdVan],"&lt;="&amp;($A48+21/24),tData[SEHTrajectPeriodeDatumTijdTotEnMet],"&gt;"&amp;($A48+21/24),tData[Langligger01],1)</f>
        <v/>
      </c>
      <c r="Z48" s="20">
        <f>COUNTIFS(tData[SEHTrajectPeriodeDatumTijdVan],"&lt;="&amp;($A48+22/24),tData[SEHTrajectPeriodeDatumTijdTotEnMet],"&gt;"&amp;($A48+22/24),tData[Langligger01],1)</f>
        <v/>
      </c>
      <c r="AA48" s="20">
        <f>COUNTIFS(tData[SEHTrajectPeriodeDatumTijdVan],"&lt;="&amp;($A48+23/24),tData[SEHTrajectPeriodeDatumTijdTotEnMet],"&gt;"&amp;($A48+23/24),tData[Langligger01],1)</f>
        <v/>
      </c>
    </row>
    <row r="49">
      <c r="A49" s="19" t="n">
        <v>45337</v>
      </c>
      <c r="B49" s="15">
        <f>WEEKDAY($A49,2)</f>
        <v/>
      </c>
      <c r="C49" s="15">
        <f>IF(AND($A49&gt;=INT(Instellingen!$B$5),$A49&lt;=INT(Instellingen!$B$6)),1,0)</f>
        <v/>
      </c>
      <c r="D49" s="20">
        <f>COUNTIFS(tData[SEHTrajectPeriodeDatumTijdVan],"&lt;="&amp;($A49+0/24),tData[SEHTrajectPeriodeDatumTijdTotEnMet],"&gt;"&amp;($A49+0/24),tData[Langligger01],1)</f>
        <v/>
      </c>
      <c r="E49" s="20">
        <f>COUNTIFS(tData[SEHTrajectPeriodeDatumTijdVan],"&lt;="&amp;($A49+1/24),tData[SEHTrajectPeriodeDatumTijdTotEnMet],"&gt;"&amp;($A49+1/24),tData[Langligger01],1)</f>
        <v/>
      </c>
      <c r="F49" s="20">
        <f>COUNTIFS(tData[SEHTrajectPeriodeDatumTijdVan],"&lt;="&amp;($A49+2/24),tData[SEHTrajectPeriodeDatumTijdTotEnMet],"&gt;"&amp;($A49+2/24),tData[Langligger01],1)</f>
        <v/>
      </c>
      <c r="G49" s="20">
        <f>COUNTIFS(tData[SEHTrajectPeriodeDatumTijdVan],"&lt;="&amp;($A49+3/24),tData[SEHTrajectPeriodeDatumTijdTotEnMet],"&gt;"&amp;($A49+3/24),tData[Langligger01],1)</f>
        <v/>
      </c>
      <c r="H49" s="20">
        <f>COUNTIFS(tData[SEHTrajectPeriodeDatumTijdVan],"&lt;="&amp;($A49+4/24),tData[SEHTrajectPeriodeDatumTijdTotEnMet],"&gt;"&amp;($A49+4/24),tData[Langligger01],1)</f>
        <v/>
      </c>
      <c r="I49" s="20">
        <f>COUNTIFS(tData[SEHTrajectPeriodeDatumTijdVan],"&lt;="&amp;($A49+5/24),tData[SEHTrajectPeriodeDatumTijdTotEnMet],"&gt;"&amp;($A49+5/24),tData[Langligger01],1)</f>
        <v/>
      </c>
      <c r="J49" s="20">
        <f>COUNTIFS(tData[SEHTrajectPeriodeDatumTijdVan],"&lt;="&amp;($A49+6/24),tData[SEHTrajectPeriodeDatumTijdTotEnMet],"&gt;"&amp;($A49+6/24),tData[Langligger01],1)</f>
        <v/>
      </c>
      <c r="K49" s="20">
        <f>COUNTIFS(tData[SEHTrajectPeriodeDatumTijdVan],"&lt;="&amp;($A49+7/24),tData[SEHTrajectPeriodeDatumTijdTotEnMet],"&gt;"&amp;($A49+7/24),tData[Langligger01],1)</f>
        <v/>
      </c>
      <c r="L49" s="20">
        <f>COUNTIFS(tData[SEHTrajectPeriodeDatumTijdVan],"&lt;="&amp;($A49+8/24),tData[SEHTrajectPeriodeDatumTijdTotEnMet],"&gt;"&amp;($A49+8/24),tData[Langligger01],1)</f>
        <v/>
      </c>
      <c r="M49" s="20">
        <f>COUNTIFS(tData[SEHTrajectPeriodeDatumTijdVan],"&lt;="&amp;($A49+9/24),tData[SEHTrajectPeriodeDatumTijdTotEnMet],"&gt;"&amp;($A49+9/24),tData[Langligger01],1)</f>
        <v/>
      </c>
      <c r="N49" s="20">
        <f>COUNTIFS(tData[SEHTrajectPeriodeDatumTijdVan],"&lt;="&amp;($A49+10/24),tData[SEHTrajectPeriodeDatumTijdTotEnMet],"&gt;"&amp;($A49+10/24),tData[Langligger01],1)</f>
        <v/>
      </c>
      <c r="O49" s="20">
        <f>COUNTIFS(tData[SEHTrajectPeriodeDatumTijdVan],"&lt;="&amp;($A49+11/24),tData[SEHTrajectPeriodeDatumTijdTotEnMet],"&gt;"&amp;($A49+11/24),tData[Langligger01],1)</f>
        <v/>
      </c>
      <c r="P49" s="20">
        <f>COUNTIFS(tData[SEHTrajectPeriodeDatumTijdVan],"&lt;="&amp;($A49+12/24),tData[SEHTrajectPeriodeDatumTijdTotEnMet],"&gt;"&amp;($A49+12/24),tData[Langligger01],1)</f>
        <v/>
      </c>
      <c r="Q49" s="20">
        <f>COUNTIFS(tData[SEHTrajectPeriodeDatumTijdVan],"&lt;="&amp;($A49+13/24),tData[SEHTrajectPeriodeDatumTijdTotEnMet],"&gt;"&amp;($A49+13/24),tData[Langligger01],1)</f>
        <v/>
      </c>
      <c r="R49" s="20">
        <f>COUNTIFS(tData[SEHTrajectPeriodeDatumTijdVan],"&lt;="&amp;($A49+14/24),tData[SEHTrajectPeriodeDatumTijdTotEnMet],"&gt;"&amp;($A49+14/24),tData[Langligger01],1)</f>
        <v/>
      </c>
      <c r="S49" s="20">
        <f>COUNTIFS(tData[SEHTrajectPeriodeDatumTijdVan],"&lt;="&amp;($A49+15/24),tData[SEHTrajectPeriodeDatumTijdTotEnMet],"&gt;"&amp;($A49+15/24),tData[Langligger01],1)</f>
        <v/>
      </c>
      <c r="T49" s="20">
        <f>COUNTIFS(tData[SEHTrajectPeriodeDatumTijdVan],"&lt;="&amp;($A49+16/24),tData[SEHTrajectPeriodeDatumTijdTotEnMet],"&gt;"&amp;($A49+16/24),tData[Langligger01],1)</f>
        <v/>
      </c>
      <c r="U49" s="20">
        <f>COUNTIFS(tData[SEHTrajectPeriodeDatumTijdVan],"&lt;="&amp;($A49+17/24),tData[SEHTrajectPeriodeDatumTijdTotEnMet],"&gt;"&amp;($A49+17/24),tData[Langligger01],1)</f>
        <v/>
      </c>
      <c r="V49" s="20">
        <f>COUNTIFS(tData[SEHTrajectPeriodeDatumTijdVan],"&lt;="&amp;($A49+18/24),tData[SEHTrajectPeriodeDatumTijdTotEnMet],"&gt;"&amp;($A49+18/24),tData[Langligger01],1)</f>
        <v/>
      </c>
      <c r="W49" s="20">
        <f>COUNTIFS(tData[SEHTrajectPeriodeDatumTijdVan],"&lt;="&amp;($A49+19/24),tData[SEHTrajectPeriodeDatumTijdTotEnMet],"&gt;"&amp;($A49+19/24),tData[Langligger01],1)</f>
        <v/>
      </c>
      <c r="X49" s="20">
        <f>COUNTIFS(tData[SEHTrajectPeriodeDatumTijdVan],"&lt;="&amp;($A49+20/24),tData[SEHTrajectPeriodeDatumTijdTotEnMet],"&gt;"&amp;($A49+20/24),tData[Langligger01],1)</f>
        <v/>
      </c>
      <c r="Y49" s="20">
        <f>COUNTIFS(tData[SEHTrajectPeriodeDatumTijdVan],"&lt;="&amp;($A49+21/24),tData[SEHTrajectPeriodeDatumTijdTotEnMet],"&gt;"&amp;($A49+21/24),tData[Langligger01],1)</f>
        <v/>
      </c>
      <c r="Z49" s="20">
        <f>COUNTIFS(tData[SEHTrajectPeriodeDatumTijdVan],"&lt;="&amp;($A49+22/24),tData[SEHTrajectPeriodeDatumTijdTotEnMet],"&gt;"&amp;($A49+22/24),tData[Langligger01],1)</f>
        <v/>
      </c>
      <c r="AA49" s="20">
        <f>COUNTIFS(tData[SEHTrajectPeriodeDatumTijdVan],"&lt;="&amp;($A49+23/24),tData[SEHTrajectPeriodeDatumTijdTotEnMet],"&gt;"&amp;($A49+23/24),tData[Langligger01],1)</f>
        <v/>
      </c>
    </row>
    <row r="50">
      <c r="A50" s="19" t="n">
        <v>45338</v>
      </c>
      <c r="B50" s="15">
        <f>WEEKDAY($A50,2)</f>
        <v/>
      </c>
      <c r="C50" s="15">
        <f>IF(AND($A50&gt;=INT(Instellingen!$B$5),$A50&lt;=INT(Instellingen!$B$6)),1,0)</f>
        <v/>
      </c>
      <c r="D50" s="20">
        <f>COUNTIFS(tData[SEHTrajectPeriodeDatumTijdVan],"&lt;="&amp;($A50+0/24),tData[SEHTrajectPeriodeDatumTijdTotEnMet],"&gt;"&amp;($A50+0/24),tData[Langligger01],1)</f>
        <v/>
      </c>
      <c r="E50" s="20">
        <f>COUNTIFS(tData[SEHTrajectPeriodeDatumTijdVan],"&lt;="&amp;($A50+1/24),tData[SEHTrajectPeriodeDatumTijdTotEnMet],"&gt;"&amp;($A50+1/24),tData[Langligger01],1)</f>
        <v/>
      </c>
      <c r="F50" s="20">
        <f>COUNTIFS(tData[SEHTrajectPeriodeDatumTijdVan],"&lt;="&amp;($A50+2/24),tData[SEHTrajectPeriodeDatumTijdTotEnMet],"&gt;"&amp;($A50+2/24),tData[Langligger01],1)</f>
        <v/>
      </c>
      <c r="G50" s="20">
        <f>COUNTIFS(tData[SEHTrajectPeriodeDatumTijdVan],"&lt;="&amp;($A50+3/24),tData[SEHTrajectPeriodeDatumTijdTotEnMet],"&gt;"&amp;($A50+3/24),tData[Langligger01],1)</f>
        <v/>
      </c>
      <c r="H50" s="20">
        <f>COUNTIFS(tData[SEHTrajectPeriodeDatumTijdVan],"&lt;="&amp;($A50+4/24),tData[SEHTrajectPeriodeDatumTijdTotEnMet],"&gt;"&amp;($A50+4/24),tData[Langligger01],1)</f>
        <v/>
      </c>
      <c r="I50" s="20">
        <f>COUNTIFS(tData[SEHTrajectPeriodeDatumTijdVan],"&lt;="&amp;($A50+5/24),tData[SEHTrajectPeriodeDatumTijdTotEnMet],"&gt;"&amp;($A50+5/24),tData[Langligger01],1)</f>
        <v/>
      </c>
      <c r="J50" s="20">
        <f>COUNTIFS(tData[SEHTrajectPeriodeDatumTijdVan],"&lt;="&amp;($A50+6/24),tData[SEHTrajectPeriodeDatumTijdTotEnMet],"&gt;"&amp;($A50+6/24),tData[Langligger01],1)</f>
        <v/>
      </c>
      <c r="K50" s="20">
        <f>COUNTIFS(tData[SEHTrajectPeriodeDatumTijdVan],"&lt;="&amp;($A50+7/24),tData[SEHTrajectPeriodeDatumTijdTotEnMet],"&gt;"&amp;($A50+7/24),tData[Langligger01],1)</f>
        <v/>
      </c>
      <c r="L50" s="20">
        <f>COUNTIFS(tData[SEHTrajectPeriodeDatumTijdVan],"&lt;="&amp;($A50+8/24),tData[SEHTrajectPeriodeDatumTijdTotEnMet],"&gt;"&amp;($A50+8/24),tData[Langligger01],1)</f>
        <v/>
      </c>
      <c r="M50" s="20">
        <f>COUNTIFS(tData[SEHTrajectPeriodeDatumTijdVan],"&lt;="&amp;($A50+9/24),tData[SEHTrajectPeriodeDatumTijdTotEnMet],"&gt;"&amp;($A50+9/24),tData[Langligger01],1)</f>
        <v/>
      </c>
      <c r="N50" s="20">
        <f>COUNTIFS(tData[SEHTrajectPeriodeDatumTijdVan],"&lt;="&amp;($A50+10/24),tData[SEHTrajectPeriodeDatumTijdTotEnMet],"&gt;"&amp;($A50+10/24),tData[Langligger01],1)</f>
        <v/>
      </c>
      <c r="O50" s="20">
        <f>COUNTIFS(tData[SEHTrajectPeriodeDatumTijdVan],"&lt;="&amp;($A50+11/24),tData[SEHTrajectPeriodeDatumTijdTotEnMet],"&gt;"&amp;($A50+11/24),tData[Langligger01],1)</f>
        <v/>
      </c>
      <c r="P50" s="20">
        <f>COUNTIFS(tData[SEHTrajectPeriodeDatumTijdVan],"&lt;="&amp;($A50+12/24),tData[SEHTrajectPeriodeDatumTijdTotEnMet],"&gt;"&amp;($A50+12/24),tData[Langligger01],1)</f>
        <v/>
      </c>
      <c r="Q50" s="20">
        <f>COUNTIFS(tData[SEHTrajectPeriodeDatumTijdVan],"&lt;="&amp;($A50+13/24),tData[SEHTrajectPeriodeDatumTijdTotEnMet],"&gt;"&amp;($A50+13/24),tData[Langligger01],1)</f>
        <v/>
      </c>
      <c r="R50" s="20">
        <f>COUNTIFS(tData[SEHTrajectPeriodeDatumTijdVan],"&lt;="&amp;($A50+14/24),tData[SEHTrajectPeriodeDatumTijdTotEnMet],"&gt;"&amp;($A50+14/24),tData[Langligger01],1)</f>
        <v/>
      </c>
      <c r="S50" s="20">
        <f>COUNTIFS(tData[SEHTrajectPeriodeDatumTijdVan],"&lt;="&amp;($A50+15/24),tData[SEHTrajectPeriodeDatumTijdTotEnMet],"&gt;"&amp;($A50+15/24),tData[Langligger01],1)</f>
        <v/>
      </c>
      <c r="T50" s="20">
        <f>COUNTIFS(tData[SEHTrajectPeriodeDatumTijdVan],"&lt;="&amp;($A50+16/24),tData[SEHTrajectPeriodeDatumTijdTotEnMet],"&gt;"&amp;($A50+16/24),tData[Langligger01],1)</f>
        <v/>
      </c>
      <c r="U50" s="20">
        <f>COUNTIFS(tData[SEHTrajectPeriodeDatumTijdVan],"&lt;="&amp;($A50+17/24),tData[SEHTrajectPeriodeDatumTijdTotEnMet],"&gt;"&amp;($A50+17/24),tData[Langligger01],1)</f>
        <v/>
      </c>
      <c r="V50" s="20">
        <f>COUNTIFS(tData[SEHTrajectPeriodeDatumTijdVan],"&lt;="&amp;($A50+18/24),tData[SEHTrajectPeriodeDatumTijdTotEnMet],"&gt;"&amp;($A50+18/24),tData[Langligger01],1)</f>
        <v/>
      </c>
      <c r="W50" s="20">
        <f>COUNTIFS(tData[SEHTrajectPeriodeDatumTijdVan],"&lt;="&amp;($A50+19/24),tData[SEHTrajectPeriodeDatumTijdTotEnMet],"&gt;"&amp;($A50+19/24),tData[Langligger01],1)</f>
        <v/>
      </c>
      <c r="X50" s="20">
        <f>COUNTIFS(tData[SEHTrajectPeriodeDatumTijdVan],"&lt;="&amp;($A50+20/24),tData[SEHTrajectPeriodeDatumTijdTotEnMet],"&gt;"&amp;($A50+20/24),tData[Langligger01],1)</f>
        <v/>
      </c>
      <c r="Y50" s="20">
        <f>COUNTIFS(tData[SEHTrajectPeriodeDatumTijdVan],"&lt;="&amp;($A50+21/24),tData[SEHTrajectPeriodeDatumTijdTotEnMet],"&gt;"&amp;($A50+21/24),tData[Langligger01],1)</f>
        <v/>
      </c>
      <c r="Z50" s="20">
        <f>COUNTIFS(tData[SEHTrajectPeriodeDatumTijdVan],"&lt;="&amp;($A50+22/24),tData[SEHTrajectPeriodeDatumTijdTotEnMet],"&gt;"&amp;($A50+22/24),tData[Langligger01],1)</f>
        <v/>
      </c>
      <c r="AA50" s="20">
        <f>COUNTIFS(tData[SEHTrajectPeriodeDatumTijdVan],"&lt;="&amp;($A50+23/24),tData[SEHTrajectPeriodeDatumTijdTotEnMet],"&gt;"&amp;($A50+23/24),tData[Langligger01],1)</f>
        <v/>
      </c>
    </row>
    <row r="51">
      <c r="A51" s="19" t="n">
        <v>45339</v>
      </c>
      <c r="B51" s="15">
        <f>WEEKDAY($A51,2)</f>
        <v/>
      </c>
      <c r="C51" s="15">
        <f>IF(AND($A51&gt;=INT(Instellingen!$B$5),$A51&lt;=INT(Instellingen!$B$6)),1,0)</f>
        <v/>
      </c>
      <c r="D51" s="20">
        <f>COUNTIFS(tData[SEHTrajectPeriodeDatumTijdVan],"&lt;="&amp;($A51+0/24),tData[SEHTrajectPeriodeDatumTijdTotEnMet],"&gt;"&amp;($A51+0/24),tData[Langligger01],1)</f>
        <v/>
      </c>
      <c r="E51" s="20">
        <f>COUNTIFS(tData[SEHTrajectPeriodeDatumTijdVan],"&lt;="&amp;($A51+1/24),tData[SEHTrajectPeriodeDatumTijdTotEnMet],"&gt;"&amp;($A51+1/24),tData[Langligger01],1)</f>
        <v/>
      </c>
      <c r="F51" s="20">
        <f>COUNTIFS(tData[SEHTrajectPeriodeDatumTijdVan],"&lt;="&amp;($A51+2/24),tData[SEHTrajectPeriodeDatumTijdTotEnMet],"&gt;"&amp;($A51+2/24),tData[Langligger01],1)</f>
        <v/>
      </c>
      <c r="G51" s="20">
        <f>COUNTIFS(tData[SEHTrajectPeriodeDatumTijdVan],"&lt;="&amp;($A51+3/24),tData[SEHTrajectPeriodeDatumTijdTotEnMet],"&gt;"&amp;($A51+3/24),tData[Langligger01],1)</f>
        <v/>
      </c>
      <c r="H51" s="20">
        <f>COUNTIFS(tData[SEHTrajectPeriodeDatumTijdVan],"&lt;="&amp;($A51+4/24),tData[SEHTrajectPeriodeDatumTijdTotEnMet],"&gt;"&amp;($A51+4/24),tData[Langligger01],1)</f>
        <v/>
      </c>
      <c r="I51" s="20">
        <f>COUNTIFS(tData[SEHTrajectPeriodeDatumTijdVan],"&lt;="&amp;($A51+5/24),tData[SEHTrajectPeriodeDatumTijdTotEnMet],"&gt;"&amp;($A51+5/24),tData[Langligger01],1)</f>
        <v/>
      </c>
      <c r="J51" s="20">
        <f>COUNTIFS(tData[SEHTrajectPeriodeDatumTijdVan],"&lt;="&amp;($A51+6/24),tData[SEHTrajectPeriodeDatumTijdTotEnMet],"&gt;"&amp;($A51+6/24),tData[Langligger01],1)</f>
        <v/>
      </c>
      <c r="K51" s="20">
        <f>COUNTIFS(tData[SEHTrajectPeriodeDatumTijdVan],"&lt;="&amp;($A51+7/24),tData[SEHTrajectPeriodeDatumTijdTotEnMet],"&gt;"&amp;($A51+7/24),tData[Langligger01],1)</f>
        <v/>
      </c>
      <c r="L51" s="20">
        <f>COUNTIFS(tData[SEHTrajectPeriodeDatumTijdVan],"&lt;="&amp;($A51+8/24),tData[SEHTrajectPeriodeDatumTijdTotEnMet],"&gt;"&amp;($A51+8/24),tData[Langligger01],1)</f>
        <v/>
      </c>
      <c r="M51" s="20">
        <f>COUNTIFS(tData[SEHTrajectPeriodeDatumTijdVan],"&lt;="&amp;($A51+9/24),tData[SEHTrajectPeriodeDatumTijdTotEnMet],"&gt;"&amp;($A51+9/24),tData[Langligger01],1)</f>
        <v/>
      </c>
      <c r="N51" s="20">
        <f>COUNTIFS(tData[SEHTrajectPeriodeDatumTijdVan],"&lt;="&amp;($A51+10/24),tData[SEHTrajectPeriodeDatumTijdTotEnMet],"&gt;"&amp;($A51+10/24),tData[Langligger01],1)</f>
        <v/>
      </c>
      <c r="O51" s="20">
        <f>COUNTIFS(tData[SEHTrajectPeriodeDatumTijdVan],"&lt;="&amp;($A51+11/24),tData[SEHTrajectPeriodeDatumTijdTotEnMet],"&gt;"&amp;($A51+11/24),tData[Langligger01],1)</f>
        <v/>
      </c>
      <c r="P51" s="20">
        <f>COUNTIFS(tData[SEHTrajectPeriodeDatumTijdVan],"&lt;="&amp;($A51+12/24),tData[SEHTrajectPeriodeDatumTijdTotEnMet],"&gt;"&amp;($A51+12/24),tData[Langligger01],1)</f>
        <v/>
      </c>
      <c r="Q51" s="20">
        <f>COUNTIFS(tData[SEHTrajectPeriodeDatumTijdVan],"&lt;="&amp;($A51+13/24),tData[SEHTrajectPeriodeDatumTijdTotEnMet],"&gt;"&amp;($A51+13/24),tData[Langligger01],1)</f>
        <v/>
      </c>
      <c r="R51" s="20">
        <f>COUNTIFS(tData[SEHTrajectPeriodeDatumTijdVan],"&lt;="&amp;($A51+14/24),tData[SEHTrajectPeriodeDatumTijdTotEnMet],"&gt;"&amp;($A51+14/24),tData[Langligger01],1)</f>
        <v/>
      </c>
      <c r="S51" s="20">
        <f>COUNTIFS(tData[SEHTrajectPeriodeDatumTijdVan],"&lt;="&amp;($A51+15/24),tData[SEHTrajectPeriodeDatumTijdTotEnMet],"&gt;"&amp;($A51+15/24),tData[Langligger01],1)</f>
        <v/>
      </c>
      <c r="T51" s="20">
        <f>COUNTIFS(tData[SEHTrajectPeriodeDatumTijdVan],"&lt;="&amp;($A51+16/24),tData[SEHTrajectPeriodeDatumTijdTotEnMet],"&gt;"&amp;($A51+16/24),tData[Langligger01],1)</f>
        <v/>
      </c>
      <c r="U51" s="20">
        <f>COUNTIFS(tData[SEHTrajectPeriodeDatumTijdVan],"&lt;="&amp;($A51+17/24),tData[SEHTrajectPeriodeDatumTijdTotEnMet],"&gt;"&amp;($A51+17/24),tData[Langligger01],1)</f>
        <v/>
      </c>
      <c r="V51" s="20">
        <f>COUNTIFS(tData[SEHTrajectPeriodeDatumTijdVan],"&lt;="&amp;($A51+18/24),tData[SEHTrajectPeriodeDatumTijdTotEnMet],"&gt;"&amp;($A51+18/24),tData[Langligger01],1)</f>
        <v/>
      </c>
      <c r="W51" s="20">
        <f>COUNTIFS(tData[SEHTrajectPeriodeDatumTijdVan],"&lt;="&amp;($A51+19/24),tData[SEHTrajectPeriodeDatumTijdTotEnMet],"&gt;"&amp;($A51+19/24),tData[Langligger01],1)</f>
        <v/>
      </c>
      <c r="X51" s="20">
        <f>COUNTIFS(tData[SEHTrajectPeriodeDatumTijdVan],"&lt;="&amp;($A51+20/24),tData[SEHTrajectPeriodeDatumTijdTotEnMet],"&gt;"&amp;($A51+20/24),tData[Langligger01],1)</f>
        <v/>
      </c>
      <c r="Y51" s="20">
        <f>COUNTIFS(tData[SEHTrajectPeriodeDatumTijdVan],"&lt;="&amp;($A51+21/24),tData[SEHTrajectPeriodeDatumTijdTotEnMet],"&gt;"&amp;($A51+21/24),tData[Langligger01],1)</f>
        <v/>
      </c>
      <c r="Z51" s="20">
        <f>COUNTIFS(tData[SEHTrajectPeriodeDatumTijdVan],"&lt;="&amp;($A51+22/24),tData[SEHTrajectPeriodeDatumTijdTotEnMet],"&gt;"&amp;($A51+22/24),tData[Langligger01],1)</f>
        <v/>
      </c>
      <c r="AA51" s="20">
        <f>COUNTIFS(tData[SEHTrajectPeriodeDatumTijdVan],"&lt;="&amp;($A51+23/24),tData[SEHTrajectPeriodeDatumTijdTotEnMet],"&gt;"&amp;($A51+23/24),tData[Langligger01],1)</f>
        <v/>
      </c>
    </row>
    <row r="52">
      <c r="A52" s="19" t="n">
        <v>45340</v>
      </c>
      <c r="B52" s="15">
        <f>WEEKDAY($A52,2)</f>
        <v/>
      </c>
      <c r="C52" s="15">
        <f>IF(AND($A52&gt;=INT(Instellingen!$B$5),$A52&lt;=INT(Instellingen!$B$6)),1,0)</f>
        <v/>
      </c>
      <c r="D52" s="20">
        <f>COUNTIFS(tData[SEHTrajectPeriodeDatumTijdVan],"&lt;="&amp;($A52+0/24),tData[SEHTrajectPeriodeDatumTijdTotEnMet],"&gt;"&amp;($A52+0/24),tData[Langligger01],1)</f>
        <v/>
      </c>
      <c r="E52" s="20">
        <f>COUNTIFS(tData[SEHTrajectPeriodeDatumTijdVan],"&lt;="&amp;($A52+1/24),tData[SEHTrajectPeriodeDatumTijdTotEnMet],"&gt;"&amp;($A52+1/24),tData[Langligger01],1)</f>
        <v/>
      </c>
      <c r="F52" s="20">
        <f>COUNTIFS(tData[SEHTrajectPeriodeDatumTijdVan],"&lt;="&amp;($A52+2/24),tData[SEHTrajectPeriodeDatumTijdTotEnMet],"&gt;"&amp;($A52+2/24),tData[Langligger01],1)</f>
        <v/>
      </c>
      <c r="G52" s="20">
        <f>COUNTIFS(tData[SEHTrajectPeriodeDatumTijdVan],"&lt;="&amp;($A52+3/24),tData[SEHTrajectPeriodeDatumTijdTotEnMet],"&gt;"&amp;($A52+3/24),tData[Langligger01],1)</f>
        <v/>
      </c>
      <c r="H52" s="20">
        <f>COUNTIFS(tData[SEHTrajectPeriodeDatumTijdVan],"&lt;="&amp;($A52+4/24),tData[SEHTrajectPeriodeDatumTijdTotEnMet],"&gt;"&amp;($A52+4/24),tData[Langligger01],1)</f>
        <v/>
      </c>
      <c r="I52" s="20">
        <f>COUNTIFS(tData[SEHTrajectPeriodeDatumTijdVan],"&lt;="&amp;($A52+5/24),tData[SEHTrajectPeriodeDatumTijdTotEnMet],"&gt;"&amp;($A52+5/24),tData[Langligger01],1)</f>
        <v/>
      </c>
      <c r="J52" s="20">
        <f>COUNTIFS(tData[SEHTrajectPeriodeDatumTijdVan],"&lt;="&amp;($A52+6/24),tData[SEHTrajectPeriodeDatumTijdTotEnMet],"&gt;"&amp;($A52+6/24),tData[Langligger01],1)</f>
        <v/>
      </c>
      <c r="K52" s="20">
        <f>COUNTIFS(tData[SEHTrajectPeriodeDatumTijdVan],"&lt;="&amp;($A52+7/24),tData[SEHTrajectPeriodeDatumTijdTotEnMet],"&gt;"&amp;($A52+7/24),tData[Langligger01],1)</f>
        <v/>
      </c>
      <c r="L52" s="20">
        <f>COUNTIFS(tData[SEHTrajectPeriodeDatumTijdVan],"&lt;="&amp;($A52+8/24),tData[SEHTrajectPeriodeDatumTijdTotEnMet],"&gt;"&amp;($A52+8/24),tData[Langligger01],1)</f>
        <v/>
      </c>
      <c r="M52" s="20">
        <f>COUNTIFS(tData[SEHTrajectPeriodeDatumTijdVan],"&lt;="&amp;($A52+9/24),tData[SEHTrajectPeriodeDatumTijdTotEnMet],"&gt;"&amp;($A52+9/24),tData[Langligger01],1)</f>
        <v/>
      </c>
      <c r="N52" s="20">
        <f>COUNTIFS(tData[SEHTrajectPeriodeDatumTijdVan],"&lt;="&amp;($A52+10/24),tData[SEHTrajectPeriodeDatumTijdTotEnMet],"&gt;"&amp;($A52+10/24),tData[Langligger01],1)</f>
        <v/>
      </c>
      <c r="O52" s="20">
        <f>COUNTIFS(tData[SEHTrajectPeriodeDatumTijdVan],"&lt;="&amp;($A52+11/24),tData[SEHTrajectPeriodeDatumTijdTotEnMet],"&gt;"&amp;($A52+11/24),tData[Langligger01],1)</f>
        <v/>
      </c>
      <c r="P52" s="20">
        <f>COUNTIFS(tData[SEHTrajectPeriodeDatumTijdVan],"&lt;="&amp;($A52+12/24),tData[SEHTrajectPeriodeDatumTijdTotEnMet],"&gt;"&amp;($A52+12/24),tData[Langligger01],1)</f>
        <v/>
      </c>
      <c r="Q52" s="20">
        <f>COUNTIFS(tData[SEHTrajectPeriodeDatumTijdVan],"&lt;="&amp;($A52+13/24),tData[SEHTrajectPeriodeDatumTijdTotEnMet],"&gt;"&amp;($A52+13/24),tData[Langligger01],1)</f>
        <v/>
      </c>
      <c r="R52" s="20">
        <f>COUNTIFS(tData[SEHTrajectPeriodeDatumTijdVan],"&lt;="&amp;($A52+14/24),tData[SEHTrajectPeriodeDatumTijdTotEnMet],"&gt;"&amp;($A52+14/24),tData[Langligger01],1)</f>
        <v/>
      </c>
      <c r="S52" s="20">
        <f>COUNTIFS(tData[SEHTrajectPeriodeDatumTijdVan],"&lt;="&amp;($A52+15/24),tData[SEHTrajectPeriodeDatumTijdTotEnMet],"&gt;"&amp;($A52+15/24),tData[Langligger01],1)</f>
        <v/>
      </c>
      <c r="T52" s="20">
        <f>COUNTIFS(tData[SEHTrajectPeriodeDatumTijdVan],"&lt;="&amp;($A52+16/24),tData[SEHTrajectPeriodeDatumTijdTotEnMet],"&gt;"&amp;($A52+16/24),tData[Langligger01],1)</f>
        <v/>
      </c>
      <c r="U52" s="20">
        <f>COUNTIFS(tData[SEHTrajectPeriodeDatumTijdVan],"&lt;="&amp;($A52+17/24),tData[SEHTrajectPeriodeDatumTijdTotEnMet],"&gt;"&amp;($A52+17/24),tData[Langligger01],1)</f>
        <v/>
      </c>
      <c r="V52" s="20">
        <f>COUNTIFS(tData[SEHTrajectPeriodeDatumTijdVan],"&lt;="&amp;($A52+18/24),tData[SEHTrajectPeriodeDatumTijdTotEnMet],"&gt;"&amp;($A52+18/24),tData[Langligger01],1)</f>
        <v/>
      </c>
      <c r="W52" s="20">
        <f>COUNTIFS(tData[SEHTrajectPeriodeDatumTijdVan],"&lt;="&amp;($A52+19/24),tData[SEHTrajectPeriodeDatumTijdTotEnMet],"&gt;"&amp;($A52+19/24),tData[Langligger01],1)</f>
        <v/>
      </c>
      <c r="X52" s="20">
        <f>COUNTIFS(tData[SEHTrajectPeriodeDatumTijdVan],"&lt;="&amp;($A52+20/24),tData[SEHTrajectPeriodeDatumTijdTotEnMet],"&gt;"&amp;($A52+20/24),tData[Langligger01],1)</f>
        <v/>
      </c>
      <c r="Y52" s="20">
        <f>COUNTIFS(tData[SEHTrajectPeriodeDatumTijdVan],"&lt;="&amp;($A52+21/24),tData[SEHTrajectPeriodeDatumTijdTotEnMet],"&gt;"&amp;($A52+21/24),tData[Langligger01],1)</f>
        <v/>
      </c>
      <c r="Z52" s="20">
        <f>COUNTIFS(tData[SEHTrajectPeriodeDatumTijdVan],"&lt;="&amp;($A52+22/24),tData[SEHTrajectPeriodeDatumTijdTotEnMet],"&gt;"&amp;($A52+22/24),tData[Langligger01],1)</f>
        <v/>
      </c>
      <c r="AA52" s="20">
        <f>COUNTIFS(tData[SEHTrajectPeriodeDatumTijdVan],"&lt;="&amp;($A52+23/24),tData[SEHTrajectPeriodeDatumTijdTotEnMet],"&gt;"&amp;($A52+23/24),tData[Langligger01],1)</f>
        <v/>
      </c>
    </row>
    <row r="53">
      <c r="A53" s="19" t="n">
        <v>45341</v>
      </c>
      <c r="B53" s="15">
        <f>WEEKDAY($A53,2)</f>
        <v/>
      </c>
      <c r="C53" s="15">
        <f>IF(AND($A53&gt;=INT(Instellingen!$B$5),$A53&lt;=INT(Instellingen!$B$6)),1,0)</f>
        <v/>
      </c>
      <c r="D53" s="20">
        <f>COUNTIFS(tData[SEHTrajectPeriodeDatumTijdVan],"&lt;="&amp;($A53+0/24),tData[SEHTrajectPeriodeDatumTijdTotEnMet],"&gt;"&amp;($A53+0/24),tData[Langligger01],1)</f>
        <v/>
      </c>
      <c r="E53" s="20">
        <f>COUNTIFS(tData[SEHTrajectPeriodeDatumTijdVan],"&lt;="&amp;($A53+1/24),tData[SEHTrajectPeriodeDatumTijdTotEnMet],"&gt;"&amp;($A53+1/24),tData[Langligger01],1)</f>
        <v/>
      </c>
      <c r="F53" s="20">
        <f>COUNTIFS(tData[SEHTrajectPeriodeDatumTijdVan],"&lt;="&amp;($A53+2/24),tData[SEHTrajectPeriodeDatumTijdTotEnMet],"&gt;"&amp;($A53+2/24),tData[Langligger01],1)</f>
        <v/>
      </c>
      <c r="G53" s="20">
        <f>COUNTIFS(tData[SEHTrajectPeriodeDatumTijdVan],"&lt;="&amp;($A53+3/24),tData[SEHTrajectPeriodeDatumTijdTotEnMet],"&gt;"&amp;($A53+3/24),tData[Langligger01],1)</f>
        <v/>
      </c>
      <c r="H53" s="20">
        <f>COUNTIFS(tData[SEHTrajectPeriodeDatumTijdVan],"&lt;="&amp;($A53+4/24),tData[SEHTrajectPeriodeDatumTijdTotEnMet],"&gt;"&amp;($A53+4/24),tData[Langligger01],1)</f>
        <v/>
      </c>
      <c r="I53" s="20">
        <f>COUNTIFS(tData[SEHTrajectPeriodeDatumTijdVan],"&lt;="&amp;($A53+5/24),tData[SEHTrajectPeriodeDatumTijdTotEnMet],"&gt;"&amp;($A53+5/24),tData[Langligger01],1)</f>
        <v/>
      </c>
      <c r="J53" s="20">
        <f>COUNTIFS(tData[SEHTrajectPeriodeDatumTijdVan],"&lt;="&amp;($A53+6/24),tData[SEHTrajectPeriodeDatumTijdTotEnMet],"&gt;"&amp;($A53+6/24),tData[Langligger01],1)</f>
        <v/>
      </c>
      <c r="K53" s="20">
        <f>COUNTIFS(tData[SEHTrajectPeriodeDatumTijdVan],"&lt;="&amp;($A53+7/24),tData[SEHTrajectPeriodeDatumTijdTotEnMet],"&gt;"&amp;($A53+7/24),tData[Langligger01],1)</f>
        <v/>
      </c>
      <c r="L53" s="20">
        <f>COUNTIFS(tData[SEHTrajectPeriodeDatumTijdVan],"&lt;="&amp;($A53+8/24),tData[SEHTrajectPeriodeDatumTijdTotEnMet],"&gt;"&amp;($A53+8/24),tData[Langligger01],1)</f>
        <v/>
      </c>
      <c r="M53" s="20">
        <f>COUNTIFS(tData[SEHTrajectPeriodeDatumTijdVan],"&lt;="&amp;($A53+9/24),tData[SEHTrajectPeriodeDatumTijdTotEnMet],"&gt;"&amp;($A53+9/24),tData[Langligger01],1)</f>
        <v/>
      </c>
      <c r="N53" s="20">
        <f>COUNTIFS(tData[SEHTrajectPeriodeDatumTijdVan],"&lt;="&amp;($A53+10/24),tData[SEHTrajectPeriodeDatumTijdTotEnMet],"&gt;"&amp;($A53+10/24),tData[Langligger01],1)</f>
        <v/>
      </c>
      <c r="O53" s="20">
        <f>COUNTIFS(tData[SEHTrajectPeriodeDatumTijdVan],"&lt;="&amp;($A53+11/24),tData[SEHTrajectPeriodeDatumTijdTotEnMet],"&gt;"&amp;($A53+11/24),tData[Langligger01],1)</f>
        <v/>
      </c>
      <c r="P53" s="20">
        <f>COUNTIFS(tData[SEHTrajectPeriodeDatumTijdVan],"&lt;="&amp;($A53+12/24),tData[SEHTrajectPeriodeDatumTijdTotEnMet],"&gt;"&amp;($A53+12/24),tData[Langligger01],1)</f>
        <v/>
      </c>
      <c r="Q53" s="20">
        <f>COUNTIFS(tData[SEHTrajectPeriodeDatumTijdVan],"&lt;="&amp;($A53+13/24),tData[SEHTrajectPeriodeDatumTijdTotEnMet],"&gt;"&amp;($A53+13/24),tData[Langligger01],1)</f>
        <v/>
      </c>
      <c r="R53" s="20">
        <f>COUNTIFS(tData[SEHTrajectPeriodeDatumTijdVan],"&lt;="&amp;($A53+14/24),tData[SEHTrajectPeriodeDatumTijdTotEnMet],"&gt;"&amp;($A53+14/24),tData[Langligger01],1)</f>
        <v/>
      </c>
      <c r="S53" s="20">
        <f>COUNTIFS(tData[SEHTrajectPeriodeDatumTijdVan],"&lt;="&amp;($A53+15/24),tData[SEHTrajectPeriodeDatumTijdTotEnMet],"&gt;"&amp;($A53+15/24),tData[Langligger01],1)</f>
        <v/>
      </c>
      <c r="T53" s="20">
        <f>COUNTIFS(tData[SEHTrajectPeriodeDatumTijdVan],"&lt;="&amp;($A53+16/24),tData[SEHTrajectPeriodeDatumTijdTotEnMet],"&gt;"&amp;($A53+16/24),tData[Langligger01],1)</f>
        <v/>
      </c>
      <c r="U53" s="20">
        <f>COUNTIFS(tData[SEHTrajectPeriodeDatumTijdVan],"&lt;="&amp;($A53+17/24),tData[SEHTrajectPeriodeDatumTijdTotEnMet],"&gt;"&amp;($A53+17/24),tData[Langligger01],1)</f>
        <v/>
      </c>
      <c r="V53" s="20">
        <f>COUNTIFS(tData[SEHTrajectPeriodeDatumTijdVan],"&lt;="&amp;($A53+18/24),tData[SEHTrajectPeriodeDatumTijdTotEnMet],"&gt;"&amp;($A53+18/24),tData[Langligger01],1)</f>
        <v/>
      </c>
      <c r="W53" s="20">
        <f>COUNTIFS(tData[SEHTrajectPeriodeDatumTijdVan],"&lt;="&amp;($A53+19/24),tData[SEHTrajectPeriodeDatumTijdTotEnMet],"&gt;"&amp;($A53+19/24),tData[Langligger01],1)</f>
        <v/>
      </c>
      <c r="X53" s="20">
        <f>COUNTIFS(tData[SEHTrajectPeriodeDatumTijdVan],"&lt;="&amp;($A53+20/24),tData[SEHTrajectPeriodeDatumTijdTotEnMet],"&gt;"&amp;($A53+20/24),tData[Langligger01],1)</f>
        <v/>
      </c>
      <c r="Y53" s="20">
        <f>COUNTIFS(tData[SEHTrajectPeriodeDatumTijdVan],"&lt;="&amp;($A53+21/24),tData[SEHTrajectPeriodeDatumTijdTotEnMet],"&gt;"&amp;($A53+21/24),tData[Langligger01],1)</f>
        <v/>
      </c>
      <c r="Z53" s="20">
        <f>COUNTIFS(tData[SEHTrajectPeriodeDatumTijdVan],"&lt;="&amp;($A53+22/24),tData[SEHTrajectPeriodeDatumTijdTotEnMet],"&gt;"&amp;($A53+22/24),tData[Langligger01],1)</f>
        <v/>
      </c>
      <c r="AA53" s="20">
        <f>COUNTIFS(tData[SEHTrajectPeriodeDatumTijdVan],"&lt;="&amp;($A53+23/24),tData[SEHTrajectPeriodeDatumTijdTotEnMet],"&gt;"&amp;($A53+23/24),tData[Langligger01],1)</f>
        <v/>
      </c>
    </row>
    <row r="54">
      <c r="A54" s="19" t="n">
        <v>45342</v>
      </c>
      <c r="B54" s="15">
        <f>WEEKDAY($A54,2)</f>
        <v/>
      </c>
      <c r="C54" s="15">
        <f>IF(AND($A54&gt;=INT(Instellingen!$B$5),$A54&lt;=INT(Instellingen!$B$6)),1,0)</f>
        <v/>
      </c>
      <c r="D54" s="20">
        <f>COUNTIFS(tData[SEHTrajectPeriodeDatumTijdVan],"&lt;="&amp;($A54+0/24),tData[SEHTrajectPeriodeDatumTijdTotEnMet],"&gt;"&amp;($A54+0/24),tData[Langligger01],1)</f>
        <v/>
      </c>
      <c r="E54" s="20">
        <f>COUNTIFS(tData[SEHTrajectPeriodeDatumTijdVan],"&lt;="&amp;($A54+1/24),tData[SEHTrajectPeriodeDatumTijdTotEnMet],"&gt;"&amp;($A54+1/24),tData[Langligger01],1)</f>
        <v/>
      </c>
      <c r="F54" s="20">
        <f>COUNTIFS(tData[SEHTrajectPeriodeDatumTijdVan],"&lt;="&amp;($A54+2/24),tData[SEHTrajectPeriodeDatumTijdTotEnMet],"&gt;"&amp;($A54+2/24),tData[Langligger01],1)</f>
        <v/>
      </c>
      <c r="G54" s="20">
        <f>COUNTIFS(tData[SEHTrajectPeriodeDatumTijdVan],"&lt;="&amp;($A54+3/24),tData[SEHTrajectPeriodeDatumTijdTotEnMet],"&gt;"&amp;($A54+3/24),tData[Langligger01],1)</f>
        <v/>
      </c>
      <c r="H54" s="20">
        <f>COUNTIFS(tData[SEHTrajectPeriodeDatumTijdVan],"&lt;="&amp;($A54+4/24),tData[SEHTrajectPeriodeDatumTijdTotEnMet],"&gt;"&amp;($A54+4/24),tData[Langligger01],1)</f>
        <v/>
      </c>
      <c r="I54" s="20">
        <f>COUNTIFS(tData[SEHTrajectPeriodeDatumTijdVan],"&lt;="&amp;($A54+5/24),tData[SEHTrajectPeriodeDatumTijdTotEnMet],"&gt;"&amp;($A54+5/24),tData[Langligger01],1)</f>
        <v/>
      </c>
      <c r="J54" s="20">
        <f>COUNTIFS(tData[SEHTrajectPeriodeDatumTijdVan],"&lt;="&amp;($A54+6/24),tData[SEHTrajectPeriodeDatumTijdTotEnMet],"&gt;"&amp;($A54+6/24),tData[Langligger01],1)</f>
        <v/>
      </c>
      <c r="K54" s="20">
        <f>COUNTIFS(tData[SEHTrajectPeriodeDatumTijdVan],"&lt;="&amp;($A54+7/24),tData[SEHTrajectPeriodeDatumTijdTotEnMet],"&gt;"&amp;($A54+7/24),tData[Langligger01],1)</f>
        <v/>
      </c>
      <c r="L54" s="20">
        <f>COUNTIFS(tData[SEHTrajectPeriodeDatumTijdVan],"&lt;="&amp;($A54+8/24),tData[SEHTrajectPeriodeDatumTijdTotEnMet],"&gt;"&amp;($A54+8/24),tData[Langligger01],1)</f>
        <v/>
      </c>
      <c r="M54" s="20">
        <f>COUNTIFS(tData[SEHTrajectPeriodeDatumTijdVan],"&lt;="&amp;($A54+9/24),tData[SEHTrajectPeriodeDatumTijdTotEnMet],"&gt;"&amp;($A54+9/24),tData[Langligger01],1)</f>
        <v/>
      </c>
      <c r="N54" s="20">
        <f>COUNTIFS(tData[SEHTrajectPeriodeDatumTijdVan],"&lt;="&amp;($A54+10/24),tData[SEHTrajectPeriodeDatumTijdTotEnMet],"&gt;"&amp;($A54+10/24),tData[Langligger01],1)</f>
        <v/>
      </c>
      <c r="O54" s="20">
        <f>COUNTIFS(tData[SEHTrajectPeriodeDatumTijdVan],"&lt;="&amp;($A54+11/24),tData[SEHTrajectPeriodeDatumTijdTotEnMet],"&gt;"&amp;($A54+11/24),tData[Langligger01],1)</f>
        <v/>
      </c>
      <c r="P54" s="20">
        <f>COUNTIFS(tData[SEHTrajectPeriodeDatumTijdVan],"&lt;="&amp;($A54+12/24),tData[SEHTrajectPeriodeDatumTijdTotEnMet],"&gt;"&amp;($A54+12/24),tData[Langligger01],1)</f>
        <v/>
      </c>
      <c r="Q54" s="20">
        <f>COUNTIFS(tData[SEHTrajectPeriodeDatumTijdVan],"&lt;="&amp;($A54+13/24),tData[SEHTrajectPeriodeDatumTijdTotEnMet],"&gt;"&amp;($A54+13/24),tData[Langligger01],1)</f>
        <v/>
      </c>
      <c r="R54" s="20">
        <f>COUNTIFS(tData[SEHTrajectPeriodeDatumTijdVan],"&lt;="&amp;($A54+14/24),tData[SEHTrajectPeriodeDatumTijdTotEnMet],"&gt;"&amp;($A54+14/24),tData[Langligger01],1)</f>
        <v/>
      </c>
      <c r="S54" s="20">
        <f>COUNTIFS(tData[SEHTrajectPeriodeDatumTijdVan],"&lt;="&amp;($A54+15/24),tData[SEHTrajectPeriodeDatumTijdTotEnMet],"&gt;"&amp;($A54+15/24),tData[Langligger01],1)</f>
        <v/>
      </c>
      <c r="T54" s="20">
        <f>COUNTIFS(tData[SEHTrajectPeriodeDatumTijdVan],"&lt;="&amp;($A54+16/24),tData[SEHTrajectPeriodeDatumTijdTotEnMet],"&gt;"&amp;($A54+16/24),tData[Langligger01],1)</f>
        <v/>
      </c>
      <c r="U54" s="20">
        <f>COUNTIFS(tData[SEHTrajectPeriodeDatumTijdVan],"&lt;="&amp;($A54+17/24),tData[SEHTrajectPeriodeDatumTijdTotEnMet],"&gt;"&amp;($A54+17/24),tData[Langligger01],1)</f>
        <v/>
      </c>
      <c r="V54" s="20">
        <f>COUNTIFS(tData[SEHTrajectPeriodeDatumTijdVan],"&lt;="&amp;($A54+18/24),tData[SEHTrajectPeriodeDatumTijdTotEnMet],"&gt;"&amp;($A54+18/24),tData[Langligger01],1)</f>
        <v/>
      </c>
      <c r="W54" s="20">
        <f>COUNTIFS(tData[SEHTrajectPeriodeDatumTijdVan],"&lt;="&amp;($A54+19/24),tData[SEHTrajectPeriodeDatumTijdTotEnMet],"&gt;"&amp;($A54+19/24),tData[Langligger01],1)</f>
        <v/>
      </c>
      <c r="X54" s="20">
        <f>COUNTIFS(tData[SEHTrajectPeriodeDatumTijdVan],"&lt;="&amp;($A54+20/24),tData[SEHTrajectPeriodeDatumTijdTotEnMet],"&gt;"&amp;($A54+20/24),tData[Langligger01],1)</f>
        <v/>
      </c>
      <c r="Y54" s="20">
        <f>COUNTIFS(tData[SEHTrajectPeriodeDatumTijdVan],"&lt;="&amp;($A54+21/24),tData[SEHTrajectPeriodeDatumTijdTotEnMet],"&gt;"&amp;($A54+21/24),tData[Langligger01],1)</f>
        <v/>
      </c>
      <c r="Z54" s="20">
        <f>COUNTIFS(tData[SEHTrajectPeriodeDatumTijdVan],"&lt;="&amp;($A54+22/24),tData[SEHTrajectPeriodeDatumTijdTotEnMet],"&gt;"&amp;($A54+22/24),tData[Langligger01],1)</f>
        <v/>
      </c>
      <c r="AA54" s="20">
        <f>COUNTIFS(tData[SEHTrajectPeriodeDatumTijdVan],"&lt;="&amp;($A54+23/24),tData[SEHTrajectPeriodeDatumTijdTotEnMet],"&gt;"&amp;($A54+23/24),tData[Langligger01],1)</f>
        <v/>
      </c>
    </row>
    <row r="55">
      <c r="A55" s="19" t="n">
        <v>45343</v>
      </c>
      <c r="B55" s="15">
        <f>WEEKDAY($A55,2)</f>
        <v/>
      </c>
      <c r="C55" s="15">
        <f>IF(AND($A55&gt;=INT(Instellingen!$B$5),$A55&lt;=INT(Instellingen!$B$6)),1,0)</f>
        <v/>
      </c>
      <c r="D55" s="20">
        <f>COUNTIFS(tData[SEHTrajectPeriodeDatumTijdVan],"&lt;="&amp;($A55+0/24),tData[SEHTrajectPeriodeDatumTijdTotEnMet],"&gt;"&amp;($A55+0/24),tData[Langligger01],1)</f>
        <v/>
      </c>
      <c r="E55" s="20">
        <f>COUNTIFS(tData[SEHTrajectPeriodeDatumTijdVan],"&lt;="&amp;($A55+1/24),tData[SEHTrajectPeriodeDatumTijdTotEnMet],"&gt;"&amp;($A55+1/24),tData[Langligger01],1)</f>
        <v/>
      </c>
      <c r="F55" s="20">
        <f>COUNTIFS(tData[SEHTrajectPeriodeDatumTijdVan],"&lt;="&amp;($A55+2/24),tData[SEHTrajectPeriodeDatumTijdTotEnMet],"&gt;"&amp;($A55+2/24),tData[Langligger01],1)</f>
        <v/>
      </c>
      <c r="G55" s="20">
        <f>COUNTIFS(tData[SEHTrajectPeriodeDatumTijdVan],"&lt;="&amp;($A55+3/24),tData[SEHTrajectPeriodeDatumTijdTotEnMet],"&gt;"&amp;($A55+3/24),tData[Langligger01],1)</f>
        <v/>
      </c>
      <c r="H55" s="20">
        <f>COUNTIFS(tData[SEHTrajectPeriodeDatumTijdVan],"&lt;="&amp;($A55+4/24),tData[SEHTrajectPeriodeDatumTijdTotEnMet],"&gt;"&amp;($A55+4/24),tData[Langligger01],1)</f>
        <v/>
      </c>
      <c r="I55" s="20">
        <f>COUNTIFS(tData[SEHTrajectPeriodeDatumTijdVan],"&lt;="&amp;($A55+5/24),tData[SEHTrajectPeriodeDatumTijdTotEnMet],"&gt;"&amp;($A55+5/24),tData[Langligger01],1)</f>
        <v/>
      </c>
      <c r="J55" s="20">
        <f>COUNTIFS(tData[SEHTrajectPeriodeDatumTijdVan],"&lt;="&amp;($A55+6/24),tData[SEHTrajectPeriodeDatumTijdTotEnMet],"&gt;"&amp;($A55+6/24),tData[Langligger01],1)</f>
        <v/>
      </c>
      <c r="K55" s="20">
        <f>COUNTIFS(tData[SEHTrajectPeriodeDatumTijdVan],"&lt;="&amp;($A55+7/24),tData[SEHTrajectPeriodeDatumTijdTotEnMet],"&gt;"&amp;($A55+7/24),tData[Langligger01],1)</f>
        <v/>
      </c>
      <c r="L55" s="20">
        <f>COUNTIFS(tData[SEHTrajectPeriodeDatumTijdVan],"&lt;="&amp;($A55+8/24),tData[SEHTrajectPeriodeDatumTijdTotEnMet],"&gt;"&amp;($A55+8/24),tData[Langligger01],1)</f>
        <v/>
      </c>
      <c r="M55" s="20">
        <f>COUNTIFS(tData[SEHTrajectPeriodeDatumTijdVan],"&lt;="&amp;($A55+9/24),tData[SEHTrajectPeriodeDatumTijdTotEnMet],"&gt;"&amp;($A55+9/24),tData[Langligger01],1)</f>
        <v/>
      </c>
      <c r="N55" s="20">
        <f>COUNTIFS(tData[SEHTrajectPeriodeDatumTijdVan],"&lt;="&amp;($A55+10/24),tData[SEHTrajectPeriodeDatumTijdTotEnMet],"&gt;"&amp;($A55+10/24),tData[Langligger01],1)</f>
        <v/>
      </c>
      <c r="O55" s="20">
        <f>COUNTIFS(tData[SEHTrajectPeriodeDatumTijdVan],"&lt;="&amp;($A55+11/24),tData[SEHTrajectPeriodeDatumTijdTotEnMet],"&gt;"&amp;($A55+11/24),tData[Langligger01],1)</f>
        <v/>
      </c>
      <c r="P55" s="20">
        <f>COUNTIFS(tData[SEHTrajectPeriodeDatumTijdVan],"&lt;="&amp;($A55+12/24),tData[SEHTrajectPeriodeDatumTijdTotEnMet],"&gt;"&amp;($A55+12/24),tData[Langligger01],1)</f>
        <v/>
      </c>
      <c r="Q55" s="20">
        <f>COUNTIFS(tData[SEHTrajectPeriodeDatumTijdVan],"&lt;="&amp;($A55+13/24),tData[SEHTrajectPeriodeDatumTijdTotEnMet],"&gt;"&amp;($A55+13/24),tData[Langligger01],1)</f>
        <v/>
      </c>
      <c r="R55" s="20">
        <f>COUNTIFS(tData[SEHTrajectPeriodeDatumTijdVan],"&lt;="&amp;($A55+14/24),tData[SEHTrajectPeriodeDatumTijdTotEnMet],"&gt;"&amp;($A55+14/24),tData[Langligger01],1)</f>
        <v/>
      </c>
      <c r="S55" s="20">
        <f>COUNTIFS(tData[SEHTrajectPeriodeDatumTijdVan],"&lt;="&amp;($A55+15/24),tData[SEHTrajectPeriodeDatumTijdTotEnMet],"&gt;"&amp;($A55+15/24),tData[Langligger01],1)</f>
        <v/>
      </c>
      <c r="T55" s="20">
        <f>COUNTIFS(tData[SEHTrajectPeriodeDatumTijdVan],"&lt;="&amp;($A55+16/24),tData[SEHTrajectPeriodeDatumTijdTotEnMet],"&gt;"&amp;($A55+16/24),tData[Langligger01],1)</f>
        <v/>
      </c>
      <c r="U55" s="20">
        <f>COUNTIFS(tData[SEHTrajectPeriodeDatumTijdVan],"&lt;="&amp;($A55+17/24),tData[SEHTrajectPeriodeDatumTijdTotEnMet],"&gt;"&amp;($A55+17/24),tData[Langligger01],1)</f>
        <v/>
      </c>
      <c r="V55" s="20">
        <f>COUNTIFS(tData[SEHTrajectPeriodeDatumTijdVan],"&lt;="&amp;($A55+18/24),tData[SEHTrajectPeriodeDatumTijdTotEnMet],"&gt;"&amp;($A55+18/24),tData[Langligger01],1)</f>
        <v/>
      </c>
      <c r="W55" s="20">
        <f>COUNTIFS(tData[SEHTrajectPeriodeDatumTijdVan],"&lt;="&amp;($A55+19/24),tData[SEHTrajectPeriodeDatumTijdTotEnMet],"&gt;"&amp;($A55+19/24),tData[Langligger01],1)</f>
        <v/>
      </c>
      <c r="X55" s="20">
        <f>COUNTIFS(tData[SEHTrajectPeriodeDatumTijdVan],"&lt;="&amp;($A55+20/24),tData[SEHTrajectPeriodeDatumTijdTotEnMet],"&gt;"&amp;($A55+20/24),tData[Langligger01],1)</f>
        <v/>
      </c>
      <c r="Y55" s="20">
        <f>COUNTIFS(tData[SEHTrajectPeriodeDatumTijdVan],"&lt;="&amp;($A55+21/24),tData[SEHTrajectPeriodeDatumTijdTotEnMet],"&gt;"&amp;($A55+21/24),tData[Langligger01],1)</f>
        <v/>
      </c>
      <c r="Z55" s="20">
        <f>COUNTIFS(tData[SEHTrajectPeriodeDatumTijdVan],"&lt;="&amp;($A55+22/24),tData[SEHTrajectPeriodeDatumTijdTotEnMet],"&gt;"&amp;($A55+22/24),tData[Langligger01],1)</f>
        <v/>
      </c>
      <c r="AA55" s="20">
        <f>COUNTIFS(tData[SEHTrajectPeriodeDatumTijdVan],"&lt;="&amp;($A55+23/24),tData[SEHTrajectPeriodeDatumTijdTotEnMet],"&gt;"&amp;($A55+23/24),tData[Langligger01],1)</f>
        <v/>
      </c>
    </row>
    <row r="56">
      <c r="A56" s="19" t="n">
        <v>45344</v>
      </c>
      <c r="B56" s="15">
        <f>WEEKDAY($A56,2)</f>
        <v/>
      </c>
      <c r="C56" s="15">
        <f>IF(AND($A56&gt;=INT(Instellingen!$B$5),$A56&lt;=INT(Instellingen!$B$6)),1,0)</f>
        <v/>
      </c>
      <c r="D56" s="20">
        <f>COUNTIFS(tData[SEHTrajectPeriodeDatumTijdVan],"&lt;="&amp;($A56+0/24),tData[SEHTrajectPeriodeDatumTijdTotEnMet],"&gt;"&amp;($A56+0/24),tData[Langligger01],1)</f>
        <v/>
      </c>
      <c r="E56" s="20">
        <f>COUNTIFS(tData[SEHTrajectPeriodeDatumTijdVan],"&lt;="&amp;($A56+1/24),tData[SEHTrajectPeriodeDatumTijdTotEnMet],"&gt;"&amp;($A56+1/24),tData[Langligger01],1)</f>
        <v/>
      </c>
      <c r="F56" s="20">
        <f>COUNTIFS(tData[SEHTrajectPeriodeDatumTijdVan],"&lt;="&amp;($A56+2/24),tData[SEHTrajectPeriodeDatumTijdTotEnMet],"&gt;"&amp;($A56+2/24),tData[Langligger01],1)</f>
        <v/>
      </c>
      <c r="G56" s="20">
        <f>COUNTIFS(tData[SEHTrajectPeriodeDatumTijdVan],"&lt;="&amp;($A56+3/24),tData[SEHTrajectPeriodeDatumTijdTotEnMet],"&gt;"&amp;($A56+3/24),tData[Langligger01],1)</f>
        <v/>
      </c>
      <c r="H56" s="20">
        <f>COUNTIFS(tData[SEHTrajectPeriodeDatumTijdVan],"&lt;="&amp;($A56+4/24),tData[SEHTrajectPeriodeDatumTijdTotEnMet],"&gt;"&amp;($A56+4/24),tData[Langligger01],1)</f>
        <v/>
      </c>
      <c r="I56" s="20">
        <f>COUNTIFS(tData[SEHTrajectPeriodeDatumTijdVan],"&lt;="&amp;($A56+5/24),tData[SEHTrajectPeriodeDatumTijdTotEnMet],"&gt;"&amp;($A56+5/24),tData[Langligger01],1)</f>
        <v/>
      </c>
      <c r="J56" s="20">
        <f>COUNTIFS(tData[SEHTrajectPeriodeDatumTijdVan],"&lt;="&amp;($A56+6/24),tData[SEHTrajectPeriodeDatumTijdTotEnMet],"&gt;"&amp;($A56+6/24),tData[Langligger01],1)</f>
        <v/>
      </c>
      <c r="K56" s="20">
        <f>COUNTIFS(tData[SEHTrajectPeriodeDatumTijdVan],"&lt;="&amp;($A56+7/24),tData[SEHTrajectPeriodeDatumTijdTotEnMet],"&gt;"&amp;($A56+7/24),tData[Langligger01],1)</f>
        <v/>
      </c>
      <c r="L56" s="20">
        <f>COUNTIFS(tData[SEHTrajectPeriodeDatumTijdVan],"&lt;="&amp;($A56+8/24),tData[SEHTrajectPeriodeDatumTijdTotEnMet],"&gt;"&amp;($A56+8/24),tData[Langligger01],1)</f>
        <v/>
      </c>
      <c r="M56" s="20">
        <f>COUNTIFS(tData[SEHTrajectPeriodeDatumTijdVan],"&lt;="&amp;($A56+9/24),tData[SEHTrajectPeriodeDatumTijdTotEnMet],"&gt;"&amp;($A56+9/24),tData[Langligger01],1)</f>
        <v/>
      </c>
      <c r="N56" s="20">
        <f>COUNTIFS(tData[SEHTrajectPeriodeDatumTijdVan],"&lt;="&amp;($A56+10/24),tData[SEHTrajectPeriodeDatumTijdTotEnMet],"&gt;"&amp;($A56+10/24),tData[Langligger01],1)</f>
        <v/>
      </c>
      <c r="O56" s="20">
        <f>COUNTIFS(tData[SEHTrajectPeriodeDatumTijdVan],"&lt;="&amp;($A56+11/24),tData[SEHTrajectPeriodeDatumTijdTotEnMet],"&gt;"&amp;($A56+11/24),tData[Langligger01],1)</f>
        <v/>
      </c>
      <c r="P56" s="20">
        <f>COUNTIFS(tData[SEHTrajectPeriodeDatumTijdVan],"&lt;="&amp;($A56+12/24),tData[SEHTrajectPeriodeDatumTijdTotEnMet],"&gt;"&amp;($A56+12/24),tData[Langligger01],1)</f>
        <v/>
      </c>
      <c r="Q56" s="20">
        <f>COUNTIFS(tData[SEHTrajectPeriodeDatumTijdVan],"&lt;="&amp;($A56+13/24),tData[SEHTrajectPeriodeDatumTijdTotEnMet],"&gt;"&amp;($A56+13/24),tData[Langligger01],1)</f>
        <v/>
      </c>
      <c r="R56" s="20">
        <f>COUNTIFS(tData[SEHTrajectPeriodeDatumTijdVan],"&lt;="&amp;($A56+14/24),tData[SEHTrajectPeriodeDatumTijdTotEnMet],"&gt;"&amp;($A56+14/24),tData[Langligger01],1)</f>
        <v/>
      </c>
      <c r="S56" s="20">
        <f>COUNTIFS(tData[SEHTrajectPeriodeDatumTijdVan],"&lt;="&amp;($A56+15/24),tData[SEHTrajectPeriodeDatumTijdTotEnMet],"&gt;"&amp;($A56+15/24),tData[Langligger01],1)</f>
        <v/>
      </c>
      <c r="T56" s="20">
        <f>COUNTIFS(tData[SEHTrajectPeriodeDatumTijdVan],"&lt;="&amp;($A56+16/24),tData[SEHTrajectPeriodeDatumTijdTotEnMet],"&gt;"&amp;($A56+16/24),tData[Langligger01],1)</f>
        <v/>
      </c>
      <c r="U56" s="20">
        <f>COUNTIFS(tData[SEHTrajectPeriodeDatumTijdVan],"&lt;="&amp;($A56+17/24),tData[SEHTrajectPeriodeDatumTijdTotEnMet],"&gt;"&amp;($A56+17/24),tData[Langligger01],1)</f>
        <v/>
      </c>
      <c r="V56" s="20">
        <f>COUNTIFS(tData[SEHTrajectPeriodeDatumTijdVan],"&lt;="&amp;($A56+18/24),tData[SEHTrajectPeriodeDatumTijdTotEnMet],"&gt;"&amp;($A56+18/24),tData[Langligger01],1)</f>
        <v/>
      </c>
      <c r="W56" s="20">
        <f>COUNTIFS(tData[SEHTrajectPeriodeDatumTijdVan],"&lt;="&amp;($A56+19/24),tData[SEHTrajectPeriodeDatumTijdTotEnMet],"&gt;"&amp;($A56+19/24),tData[Langligger01],1)</f>
        <v/>
      </c>
      <c r="X56" s="20">
        <f>COUNTIFS(tData[SEHTrajectPeriodeDatumTijdVan],"&lt;="&amp;($A56+20/24),tData[SEHTrajectPeriodeDatumTijdTotEnMet],"&gt;"&amp;($A56+20/24),tData[Langligger01],1)</f>
        <v/>
      </c>
      <c r="Y56" s="20">
        <f>COUNTIFS(tData[SEHTrajectPeriodeDatumTijdVan],"&lt;="&amp;($A56+21/24),tData[SEHTrajectPeriodeDatumTijdTotEnMet],"&gt;"&amp;($A56+21/24),tData[Langligger01],1)</f>
        <v/>
      </c>
      <c r="Z56" s="20">
        <f>COUNTIFS(tData[SEHTrajectPeriodeDatumTijdVan],"&lt;="&amp;($A56+22/24),tData[SEHTrajectPeriodeDatumTijdTotEnMet],"&gt;"&amp;($A56+22/24),tData[Langligger01],1)</f>
        <v/>
      </c>
      <c r="AA56" s="20">
        <f>COUNTIFS(tData[SEHTrajectPeriodeDatumTijdVan],"&lt;="&amp;($A56+23/24),tData[SEHTrajectPeriodeDatumTijdTotEnMet],"&gt;"&amp;($A56+23/24),tData[Langligger01],1)</f>
        <v/>
      </c>
    </row>
    <row r="57">
      <c r="A57" s="19" t="n">
        <v>45345</v>
      </c>
      <c r="B57" s="15">
        <f>WEEKDAY($A57,2)</f>
        <v/>
      </c>
      <c r="C57" s="15">
        <f>IF(AND($A57&gt;=INT(Instellingen!$B$5),$A57&lt;=INT(Instellingen!$B$6)),1,0)</f>
        <v/>
      </c>
      <c r="D57" s="20">
        <f>COUNTIFS(tData[SEHTrajectPeriodeDatumTijdVan],"&lt;="&amp;($A57+0/24),tData[SEHTrajectPeriodeDatumTijdTotEnMet],"&gt;"&amp;($A57+0/24),tData[Langligger01],1)</f>
        <v/>
      </c>
      <c r="E57" s="20">
        <f>COUNTIFS(tData[SEHTrajectPeriodeDatumTijdVan],"&lt;="&amp;($A57+1/24),tData[SEHTrajectPeriodeDatumTijdTotEnMet],"&gt;"&amp;($A57+1/24),tData[Langligger01],1)</f>
        <v/>
      </c>
      <c r="F57" s="20">
        <f>COUNTIFS(tData[SEHTrajectPeriodeDatumTijdVan],"&lt;="&amp;($A57+2/24),tData[SEHTrajectPeriodeDatumTijdTotEnMet],"&gt;"&amp;($A57+2/24),tData[Langligger01],1)</f>
        <v/>
      </c>
      <c r="G57" s="20">
        <f>COUNTIFS(tData[SEHTrajectPeriodeDatumTijdVan],"&lt;="&amp;($A57+3/24),tData[SEHTrajectPeriodeDatumTijdTotEnMet],"&gt;"&amp;($A57+3/24),tData[Langligger01],1)</f>
        <v/>
      </c>
      <c r="H57" s="20">
        <f>COUNTIFS(tData[SEHTrajectPeriodeDatumTijdVan],"&lt;="&amp;($A57+4/24),tData[SEHTrajectPeriodeDatumTijdTotEnMet],"&gt;"&amp;($A57+4/24),tData[Langligger01],1)</f>
        <v/>
      </c>
      <c r="I57" s="20">
        <f>COUNTIFS(tData[SEHTrajectPeriodeDatumTijdVan],"&lt;="&amp;($A57+5/24),tData[SEHTrajectPeriodeDatumTijdTotEnMet],"&gt;"&amp;($A57+5/24),tData[Langligger01],1)</f>
        <v/>
      </c>
      <c r="J57" s="20">
        <f>COUNTIFS(tData[SEHTrajectPeriodeDatumTijdVan],"&lt;="&amp;($A57+6/24),tData[SEHTrajectPeriodeDatumTijdTotEnMet],"&gt;"&amp;($A57+6/24),tData[Langligger01],1)</f>
        <v/>
      </c>
      <c r="K57" s="20">
        <f>COUNTIFS(tData[SEHTrajectPeriodeDatumTijdVan],"&lt;="&amp;($A57+7/24),tData[SEHTrajectPeriodeDatumTijdTotEnMet],"&gt;"&amp;($A57+7/24),tData[Langligger01],1)</f>
        <v/>
      </c>
      <c r="L57" s="20">
        <f>COUNTIFS(tData[SEHTrajectPeriodeDatumTijdVan],"&lt;="&amp;($A57+8/24),tData[SEHTrajectPeriodeDatumTijdTotEnMet],"&gt;"&amp;($A57+8/24),tData[Langligger01],1)</f>
        <v/>
      </c>
      <c r="M57" s="20">
        <f>COUNTIFS(tData[SEHTrajectPeriodeDatumTijdVan],"&lt;="&amp;($A57+9/24),tData[SEHTrajectPeriodeDatumTijdTotEnMet],"&gt;"&amp;($A57+9/24),tData[Langligger01],1)</f>
        <v/>
      </c>
      <c r="N57" s="20">
        <f>COUNTIFS(tData[SEHTrajectPeriodeDatumTijdVan],"&lt;="&amp;($A57+10/24),tData[SEHTrajectPeriodeDatumTijdTotEnMet],"&gt;"&amp;($A57+10/24),tData[Langligger01],1)</f>
        <v/>
      </c>
      <c r="O57" s="20">
        <f>COUNTIFS(tData[SEHTrajectPeriodeDatumTijdVan],"&lt;="&amp;($A57+11/24),tData[SEHTrajectPeriodeDatumTijdTotEnMet],"&gt;"&amp;($A57+11/24),tData[Langligger01],1)</f>
        <v/>
      </c>
      <c r="P57" s="20">
        <f>COUNTIFS(tData[SEHTrajectPeriodeDatumTijdVan],"&lt;="&amp;($A57+12/24),tData[SEHTrajectPeriodeDatumTijdTotEnMet],"&gt;"&amp;($A57+12/24),tData[Langligger01],1)</f>
        <v/>
      </c>
      <c r="Q57" s="20">
        <f>COUNTIFS(tData[SEHTrajectPeriodeDatumTijdVan],"&lt;="&amp;($A57+13/24),tData[SEHTrajectPeriodeDatumTijdTotEnMet],"&gt;"&amp;($A57+13/24),tData[Langligger01],1)</f>
        <v/>
      </c>
      <c r="R57" s="20">
        <f>COUNTIFS(tData[SEHTrajectPeriodeDatumTijdVan],"&lt;="&amp;($A57+14/24),tData[SEHTrajectPeriodeDatumTijdTotEnMet],"&gt;"&amp;($A57+14/24),tData[Langligger01],1)</f>
        <v/>
      </c>
      <c r="S57" s="20">
        <f>COUNTIFS(tData[SEHTrajectPeriodeDatumTijdVan],"&lt;="&amp;($A57+15/24),tData[SEHTrajectPeriodeDatumTijdTotEnMet],"&gt;"&amp;($A57+15/24),tData[Langligger01],1)</f>
        <v/>
      </c>
      <c r="T57" s="20">
        <f>COUNTIFS(tData[SEHTrajectPeriodeDatumTijdVan],"&lt;="&amp;($A57+16/24),tData[SEHTrajectPeriodeDatumTijdTotEnMet],"&gt;"&amp;($A57+16/24),tData[Langligger01],1)</f>
        <v/>
      </c>
      <c r="U57" s="20">
        <f>COUNTIFS(tData[SEHTrajectPeriodeDatumTijdVan],"&lt;="&amp;($A57+17/24),tData[SEHTrajectPeriodeDatumTijdTotEnMet],"&gt;"&amp;($A57+17/24),tData[Langligger01],1)</f>
        <v/>
      </c>
      <c r="V57" s="20">
        <f>COUNTIFS(tData[SEHTrajectPeriodeDatumTijdVan],"&lt;="&amp;($A57+18/24),tData[SEHTrajectPeriodeDatumTijdTotEnMet],"&gt;"&amp;($A57+18/24),tData[Langligger01],1)</f>
        <v/>
      </c>
      <c r="W57" s="20">
        <f>COUNTIFS(tData[SEHTrajectPeriodeDatumTijdVan],"&lt;="&amp;($A57+19/24),tData[SEHTrajectPeriodeDatumTijdTotEnMet],"&gt;"&amp;($A57+19/24),tData[Langligger01],1)</f>
        <v/>
      </c>
      <c r="X57" s="20">
        <f>COUNTIFS(tData[SEHTrajectPeriodeDatumTijdVan],"&lt;="&amp;($A57+20/24),tData[SEHTrajectPeriodeDatumTijdTotEnMet],"&gt;"&amp;($A57+20/24),tData[Langligger01],1)</f>
        <v/>
      </c>
      <c r="Y57" s="20">
        <f>COUNTIFS(tData[SEHTrajectPeriodeDatumTijdVan],"&lt;="&amp;($A57+21/24),tData[SEHTrajectPeriodeDatumTijdTotEnMet],"&gt;"&amp;($A57+21/24),tData[Langligger01],1)</f>
        <v/>
      </c>
      <c r="Z57" s="20">
        <f>COUNTIFS(tData[SEHTrajectPeriodeDatumTijdVan],"&lt;="&amp;($A57+22/24),tData[SEHTrajectPeriodeDatumTijdTotEnMet],"&gt;"&amp;($A57+22/24),tData[Langligger01],1)</f>
        <v/>
      </c>
      <c r="AA57" s="20">
        <f>COUNTIFS(tData[SEHTrajectPeriodeDatumTijdVan],"&lt;="&amp;($A57+23/24),tData[SEHTrajectPeriodeDatumTijdTotEnMet],"&gt;"&amp;($A57+23/24),tData[Langligger01],1)</f>
        <v/>
      </c>
    </row>
    <row r="58">
      <c r="A58" s="19" t="n">
        <v>45346</v>
      </c>
      <c r="B58" s="15">
        <f>WEEKDAY($A58,2)</f>
        <v/>
      </c>
      <c r="C58" s="15">
        <f>IF(AND($A58&gt;=INT(Instellingen!$B$5),$A58&lt;=INT(Instellingen!$B$6)),1,0)</f>
        <v/>
      </c>
      <c r="D58" s="20">
        <f>COUNTIFS(tData[SEHTrajectPeriodeDatumTijdVan],"&lt;="&amp;($A58+0/24),tData[SEHTrajectPeriodeDatumTijdTotEnMet],"&gt;"&amp;($A58+0/24),tData[Langligger01],1)</f>
        <v/>
      </c>
      <c r="E58" s="20">
        <f>COUNTIFS(tData[SEHTrajectPeriodeDatumTijdVan],"&lt;="&amp;($A58+1/24),tData[SEHTrajectPeriodeDatumTijdTotEnMet],"&gt;"&amp;($A58+1/24),tData[Langligger01],1)</f>
        <v/>
      </c>
      <c r="F58" s="20">
        <f>COUNTIFS(tData[SEHTrajectPeriodeDatumTijdVan],"&lt;="&amp;($A58+2/24),tData[SEHTrajectPeriodeDatumTijdTotEnMet],"&gt;"&amp;($A58+2/24),tData[Langligger01],1)</f>
        <v/>
      </c>
      <c r="G58" s="20">
        <f>COUNTIFS(tData[SEHTrajectPeriodeDatumTijdVan],"&lt;="&amp;($A58+3/24),tData[SEHTrajectPeriodeDatumTijdTotEnMet],"&gt;"&amp;($A58+3/24),tData[Langligger01],1)</f>
        <v/>
      </c>
      <c r="H58" s="20">
        <f>COUNTIFS(tData[SEHTrajectPeriodeDatumTijdVan],"&lt;="&amp;($A58+4/24),tData[SEHTrajectPeriodeDatumTijdTotEnMet],"&gt;"&amp;($A58+4/24),tData[Langligger01],1)</f>
        <v/>
      </c>
      <c r="I58" s="20">
        <f>COUNTIFS(tData[SEHTrajectPeriodeDatumTijdVan],"&lt;="&amp;($A58+5/24),tData[SEHTrajectPeriodeDatumTijdTotEnMet],"&gt;"&amp;($A58+5/24),tData[Langligger01],1)</f>
        <v/>
      </c>
      <c r="J58" s="20">
        <f>COUNTIFS(tData[SEHTrajectPeriodeDatumTijdVan],"&lt;="&amp;($A58+6/24),tData[SEHTrajectPeriodeDatumTijdTotEnMet],"&gt;"&amp;($A58+6/24),tData[Langligger01],1)</f>
        <v/>
      </c>
      <c r="K58" s="20">
        <f>COUNTIFS(tData[SEHTrajectPeriodeDatumTijdVan],"&lt;="&amp;($A58+7/24),tData[SEHTrajectPeriodeDatumTijdTotEnMet],"&gt;"&amp;($A58+7/24),tData[Langligger01],1)</f>
        <v/>
      </c>
      <c r="L58" s="20">
        <f>COUNTIFS(tData[SEHTrajectPeriodeDatumTijdVan],"&lt;="&amp;($A58+8/24),tData[SEHTrajectPeriodeDatumTijdTotEnMet],"&gt;"&amp;($A58+8/24),tData[Langligger01],1)</f>
        <v/>
      </c>
      <c r="M58" s="20">
        <f>COUNTIFS(tData[SEHTrajectPeriodeDatumTijdVan],"&lt;="&amp;($A58+9/24),tData[SEHTrajectPeriodeDatumTijdTotEnMet],"&gt;"&amp;($A58+9/24),tData[Langligger01],1)</f>
        <v/>
      </c>
      <c r="N58" s="20">
        <f>COUNTIFS(tData[SEHTrajectPeriodeDatumTijdVan],"&lt;="&amp;($A58+10/24),tData[SEHTrajectPeriodeDatumTijdTotEnMet],"&gt;"&amp;($A58+10/24),tData[Langligger01],1)</f>
        <v/>
      </c>
      <c r="O58" s="20">
        <f>COUNTIFS(tData[SEHTrajectPeriodeDatumTijdVan],"&lt;="&amp;($A58+11/24),tData[SEHTrajectPeriodeDatumTijdTotEnMet],"&gt;"&amp;($A58+11/24),tData[Langligger01],1)</f>
        <v/>
      </c>
      <c r="P58" s="20">
        <f>COUNTIFS(tData[SEHTrajectPeriodeDatumTijdVan],"&lt;="&amp;($A58+12/24),tData[SEHTrajectPeriodeDatumTijdTotEnMet],"&gt;"&amp;($A58+12/24),tData[Langligger01],1)</f>
        <v/>
      </c>
      <c r="Q58" s="20">
        <f>COUNTIFS(tData[SEHTrajectPeriodeDatumTijdVan],"&lt;="&amp;($A58+13/24),tData[SEHTrajectPeriodeDatumTijdTotEnMet],"&gt;"&amp;($A58+13/24),tData[Langligger01],1)</f>
        <v/>
      </c>
      <c r="R58" s="20">
        <f>COUNTIFS(tData[SEHTrajectPeriodeDatumTijdVan],"&lt;="&amp;($A58+14/24),tData[SEHTrajectPeriodeDatumTijdTotEnMet],"&gt;"&amp;($A58+14/24),tData[Langligger01],1)</f>
        <v/>
      </c>
      <c r="S58" s="20">
        <f>COUNTIFS(tData[SEHTrajectPeriodeDatumTijdVan],"&lt;="&amp;($A58+15/24),tData[SEHTrajectPeriodeDatumTijdTotEnMet],"&gt;"&amp;($A58+15/24),tData[Langligger01],1)</f>
        <v/>
      </c>
      <c r="T58" s="20">
        <f>COUNTIFS(tData[SEHTrajectPeriodeDatumTijdVan],"&lt;="&amp;($A58+16/24),tData[SEHTrajectPeriodeDatumTijdTotEnMet],"&gt;"&amp;($A58+16/24),tData[Langligger01],1)</f>
        <v/>
      </c>
      <c r="U58" s="20">
        <f>COUNTIFS(tData[SEHTrajectPeriodeDatumTijdVan],"&lt;="&amp;($A58+17/24),tData[SEHTrajectPeriodeDatumTijdTotEnMet],"&gt;"&amp;($A58+17/24),tData[Langligger01],1)</f>
        <v/>
      </c>
      <c r="V58" s="20">
        <f>COUNTIFS(tData[SEHTrajectPeriodeDatumTijdVan],"&lt;="&amp;($A58+18/24),tData[SEHTrajectPeriodeDatumTijdTotEnMet],"&gt;"&amp;($A58+18/24),tData[Langligger01],1)</f>
        <v/>
      </c>
      <c r="W58" s="20">
        <f>COUNTIFS(tData[SEHTrajectPeriodeDatumTijdVan],"&lt;="&amp;($A58+19/24),tData[SEHTrajectPeriodeDatumTijdTotEnMet],"&gt;"&amp;($A58+19/24),tData[Langligger01],1)</f>
        <v/>
      </c>
      <c r="X58" s="20">
        <f>COUNTIFS(tData[SEHTrajectPeriodeDatumTijdVan],"&lt;="&amp;($A58+20/24),tData[SEHTrajectPeriodeDatumTijdTotEnMet],"&gt;"&amp;($A58+20/24),tData[Langligger01],1)</f>
        <v/>
      </c>
      <c r="Y58" s="20">
        <f>COUNTIFS(tData[SEHTrajectPeriodeDatumTijdVan],"&lt;="&amp;($A58+21/24),tData[SEHTrajectPeriodeDatumTijdTotEnMet],"&gt;"&amp;($A58+21/24),tData[Langligger01],1)</f>
        <v/>
      </c>
      <c r="Z58" s="20">
        <f>COUNTIFS(tData[SEHTrajectPeriodeDatumTijdVan],"&lt;="&amp;($A58+22/24),tData[SEHTrajectPeriodeDatumTijdTotEnMet],"&gt;"&amp;($A58+22/24),tData[Langligger01],1)</f>
        <v/>
      </c>
      <c r="AA58" s="20">
        <f>COUNTIFS(tData[SEHTrajectPeriodeDatumTijdVan],"&lt;="&amp;($A58+23/24),tData[SEHTrajectPeriodeDatumTijdTotEnMet],"&gt;"&amp;($A58+23/24),tData[Langligger01],1)</f>
        <v/>
      </c>
    </row>
    <row r="59">
      <c r="A59" s="19" t="n">
        <v>45347</v>
      </c>
      <c r="B59" s="15">
        <f>WEEKDAY($A59,2)</f>
        <v/>
      </c>
      <c r="C59" s="15">
        <f>IF(AND($A59&gt;=INT(Instellingen!$B$5),$A59&lt;=INT(Instellingen!$B$6)),1,0)</f>
        <v/>
      </c>
      <c r="D59" s="20">
        <f>COUNTIFS(tData[SEHTrajectPeriodeDatumTijdVan],"&lt;="&amp;($A59+0/24),tData[SEHTrajectPeriodeDatumTijdTotEnMet],"&gt;"&amp;($A59+0/24),tData[Langligger01],1)</f>
        <v/>
      </c>
      <c r="E59" s="20">
        <f>COUNTIFS(tData[SEHTrajectPeriodeDatumTijdVan],"&lt;="&amp;($A59+1/24),tData[SEHTrajectPeriodeDatumTijdTotEnMet],"&gt;"&amp;($A59+1/24),tData[Langligger01],1)</f>
        <v/>
      </c>
      <c r="F59" s="20">
        <f>COUNTIFS(tData[SEHTrajectPeriodeDatumTijdVan],"&lt;="&amp;($A59+2/24),tData[SEHTrajectPeriodeDatumTijdTotEnMet],"&gt;"&amp;($A59+2/24),tData[Langligger01],1)</f>
        <v/>
      </c>
      <c r="G59" s="20">
        <f>COUNTIFS(tData[SEHTrajectPeriodeDatumTijdVan],"&lt;="&amp;($A59+3/24),tData[SEHTrajectPeriodeDatumTijdTotEnMet],"&gt;"&amp;($A59+3/24),tData[Langligger01],1)</f>
        <v/>
      </c>
      <c r="H59" s="20">
        <f>COUNTIFS(tData[SEHTrajectPeriodeDatumTijdVan],"&lt;="&amp;($A59+4/24),tData[SEHTrajectPeriodeDatumTijdTotEnMet],"&gt;"&amp;($A59+4/24),tData[Langligger01],1)</f>
        <v/>
      </c>
      <c r="I59" s="20">
        <f>COUNTIFS(tData[SEHTrajectPeriodeDatumTijdVan],"&lt;="&amp;($A59+5/24),tData[SEHTrajectPeriodeDatumTijdTotEnMet],"&gt;"&amp;($A59+5/24),tData[Langligger01],1)</f>
        <v/>
      </c>
      <c r="J59" s="20">
        <f>COUNTIFS(tData[SEHTrajectPeriodeDatumTijdVan],"&lt;="&amp;($A59+6/24),tData[SEHTrajectPeriodeDatumTijdTotEnMet],"&gt;"&amp;($A59+6/24),tData[Langligger01],1)</f>
        <v/>
      </c>
      <c r="K59" s="20">
        <f>COUNTIFS(tData[SEHTrajectPeriodeDatumTijdVan],"&lt;="&amp;($A59+7/24),tData[SEHTrajectPeriodeDatumTijdTotEnMet],"&gt;"&amp;($A59+7/24),tData[Langligger01],1)</f>
        <v/>
      </c>
      <c r="L59" s="20">
        <f>COUNTIFS(tData[SEHTrajectPeriodeDatumTijdVan],"&lt;="&amp;($A59+8/24),tData[SEHTrajectPeriodeDatumTijdTotEnMet],"&gt;"&amp;($A59+8/24),tData[Langligger01],1)</f>
        <v/>
      </c>
      <c r="M59" s="20">
        <f>COUNTIFS(tData[SEHTrajectPeriodeDatumTijdVan],"&lt;="&amp;($A59+9/24),tData[SEHTrajectPeriodeDatumTijdTotEnMet],"&gt;"&amp;($A59+9/24),tData[Langligger01],1)</f>
        <v/>
      </c>
      <c r="N59" s="20">
        <f>COUNTIFS(tData[SEHTrajectPeriodeDatumTijdVan],"&lt;="&amp;($A59+10/24),tData[SEHTrajectPeriodeDatumTijdTotEnMet],"&gt;"&amp;($A59+10/24),tData[Langligger01],1)</f>
        <v/>
      </c>
      <c r="O59" s="20">
        <f>COUNTIFS(tData[SEHTrajectPeriodeDatumTijdVan],"&lt;="&amp;($A59+11/24),tData[SEHTrajectPeriodeDatumTijdTotEnMet],"&gt;"&amp;($A59+11/24),tData[Langligger01],1)</f>
        <v/>
      </c>
      <c r="P59" s="20">
        <f>COUNTIFS(tData[SEHTrajectPeriodeDatumTijdVan],"&lt;="&amp;($A59+12/24),tData[SEHTrajectPeriodeDatumTijdTotEnMet],"&gt;"&amp;($A59+12/24),tData[Langligger01],1)</f>
        <v/>
      </c>
      <c r="Q59" s="20">
        <f>COUNTIFS(tData[SEHTrajectPeriodeDatumTijdVan],"&lt;="&amp;($A59+13/24),tData[SEHTrajectPeriodeDatumTijdTotEnMet],"&gt;"&amp;($A59+13/24),tData[Langligger01],1)</f>
        <v/>
      </c>
      <c r="R59" s="20">
        <f>COUNTIFS(tData[SEHTrajectPeriodeDatumTijdVan],"&lt;="&amp;($A59+14/24),tData[SEHTrajectPeriodeDatumTijdTotEnMet],"&gt;"&amp;($A59+14/24),tData[Langligger01],1)</f>
        <v/>
      </c>
      <c r="S59" s="20">
        <f>COUNTIFS(tData[SEHTrajectPeriodeDatumTijdVan],"&lt;="&amp;($A59+15/24),tData[SEHTrajectPeriodeDatumTijdTotEnMet],"&gt;"&amp;($A59+15/24),tData[Langligger01],1)</f>
        <v/>
      </c>
      <c r="T59" s="20">
        <f>COUNTIFS(tData[SEHTrajectPeriodeDatumTijdVan],"&lt;="&amp;($A59+16/24),tData[SEHTrajectPeriodeDatumTijdTotEnMet],"&gt;"&amp;($A59+16/24),tData[Langligger01],1)</f>
        <v/>
      </c>
      <c r="U59" s="20">
        <f>COUNTIFS(tData[SEHTrajectPeriodeDatumTijdVan],"&lt;="&amp;($A59+17/24),tData[SEHTrajectPeriodeDatumTijdTotEnMet],"&gt;"&amp;($A59+17/24),tData[Langligger01],1)</f>
        <v/>
      </c>
      <c r="V59" s="20">
        <f>COUNTIFS(tData[SEHTrajectPeriodeDatumTijdVan],"&lt;="&amp;($A59+18/24),tData[SEHTrajectPeriodeDatumTijdTotEnMet],"&gt;"&amp;($A59+18/24),tData[Langligger01],1)</f>
        <v/>
      </c>
      <c r="W59" s="20">
        <f>COUNTIFS(tData[SEHTrajectPeriodeDatumTijdVan],"&lt;="&amp;($A59+19/24),tData[SEHTrajectPeriodeDatumTijdTotEnMet],"&gt;"&amp;($A59+19/24),tData[Langligger01],1)</f>
        <v/>
      </c>
      <c r="X59" s="20">
        <f>COUNTIFS(tData[SEHTrajectPeriodeDatumTijdVan],"&lt;="&amp;($A59+20/24),tData[SEHTrajectPeriodeDatumTijdTotEnMet],"&gt;"&amp;($A59+20/24),tData[Langligger01],1)</f>
        <v/>
      </c>
      <c r="Y59" s="20">
        <f>COUNTIFS(tData[SEHTrajectPeriodeDatumTijdVan],"&lt;="&amp;($A59+21/24),tData[SEHTrajectPeriodeDatumTijdTotEnMet],"&gt;"&amp;($A59+21/24),tData[Langligger01],1)</f>
        <v/>
      </c>
      <c r="Z59" s="20">
        <f>COUNTIFS(tData[SEHTrajectPeriodeDatumTijdVan],"&lt;="&amp;($A59+22/24),tData[SEHTrajectPeriodeDatumTijdTotEnMet],"&gt;"&amp;($A59+22/24),tData[Langligger01],1)</f>
        <v/>
      </c>
      <c r="AA59" s="20">
        <f>COUNTIFS(tData[SEHTrajectPeriodeDatumTijdVan],"&lt;="&amp;($A59+23/24),tData[SEHTrajectPeriodeDatumTijdTotEnMet],"&gt;"&amp;($A59+23/24),tData[Langligger01],1)</f>
        <v/>
      </c>
    </row>
    <row r="60">
      <c r="A60" s="19" t="n">
        <v>45348</v>
      </c>
      <c r="B60" s="15">
        <f>WEEKDAY($A60,2)</f>
        <v/>
      </c>
      <c r="C60" s="15">
        <f>IF(AND($A60&gt;=INT(Instellingen!$B$5),$A60&lt;=INT(Instellingen!$B$6)),1,0)</f>
        <v/>
      </c>
      <c r="D60" s="20">
        <f>COUNTIFS(tData[SEHTrajectPeriodeDatumTijdVan],"&lt;="&amp;($A60+0/24),tData[SEHTrajectPeriodeDatumTijdTotEnMet],"&gt;"&amp;($A60+0/24),tData[Langligger01],1)</f>
        <v/>
      </c>
      <c r="E60" s="20">
        <f>COUNTIFS(tData[SEHTrajectPeriodeDatumTijdVan],"&lt;="&amp;($A60+1/24),tData[SEHTrajectPeriodeDatumTijdTotEnMet],"&gt;"&amp;($A60+1/24),tData[Langligger01],1)</f>
        <v/>
      </c>
      <c r="F60" s="20">
        <f>COUNTIFS(tData[SEHTrajectPeriodeDatumTijdVan],"&lt;="&amp;($A60+2/24),tData[SEHTrajectPeriodeDatumTijdTotEnMet],"&gt;"&amp;($A60+2/24),tData[Langligger01],1)</f>
        <v/>
      </c>
      <c r="G60" s="20">
        <f>COUNTIFS(tData[SEHTrajectPeriodeDatumTijdVan],"&lt;="&amp;($A60+3/24),tData[SEHTrajectPeriodeDatumTijdTotEnMet],"&gt;"&amp;($A60+3/24),tData[Langligger01],1)</f>
        <v/>
      </c>
      <c r="H60" s="20">
        <f>COUNTIFS(tData[SEHTrajectPeriodeDatumTijdVan],"&lt;="&amp;($A60+4/24),tData[SEHTrajectPeriodeDatumTijdTotEnMet],"&gt;"&amp;($A60+4/24),tData[Langligger01],1)</f>
        <v/>
      </c>
      <c r="I60" s="20">
        <f>COUNTIFS(tData[SEHTrajectPeriodeDatumTijdVan],"&lt;="&amp;($A60+5/24),tData[SEHTrajectPeriodeDatumTijdTotEnMet],"&gt;"&amp;($A60+5/24),tData[Langligger01],1)</f>
        <v/>
      </c>
      <c r="J60" s="20">
        <f>COUNTIFS(tData[SEHTrajectPeriodeDatumTijdVan],"&lt;="&amp;($A60+6/24),tData[SEHTrajectPeriodeDatumTijdTotEnMet],"&gt;"&amp;($A60+6/24),tData[Langligger01],1)</f>
        <v/>
      </c>
      <c r="K60" s="20">
        <f>COUNTIFS(tData[SEHTrajectPeriodeDatumTijdVan],"&lt;="&amp;($A60+7/24),tData[SEHTrajectPeriodeDatumTijdTotEnMet],"&gt;"&amp;($A60+7/24),tData[Langligger01],1)</f>
        <v/>
      </c>
      <c r="L60" s="20">
        <f>COUNTIFS(tData[SEHTrajectPeriodeDatumTijdVan],"&lt;="&amp;($A60+8/24),tData[SEHTrajectPeriodeDatumTijdTotEnMet],"&gt;"&amp;($A60+8/24),tData[Langligger01],1)</f>
        <v/>
      </c>
      <c r="M60" s="20">
        <f>COUNTIFS(tData[SEHTrajectPeriodeDatumTijdVan],"&lt;="&amp;($A60+9/24),tData[SEHTrajectPeriodeDatumTijdTotEnMet],"&gt;"&amp;($A60+9/24),tData[Langligger01],1)</f>
        <v/>
      </c>
      <c r="N60" s="20">
        <f>COUNTIFS(tData[SEHTrajectPeriodeDatumTijdVan],"&lt;="&amp;($A60+10/24),tData[SEHTrajectPeriodeDatumTijdTotEnMet],"&gt;"&amp;($A60+10/24),tData[Langligger01],1)</f>
        <v/>
      </c>
      <c r="O60" s="20">
        <f>COUNTIFS(tData[SEHTrajectPeriodeDatumTijdVan],"&lt;="&amp;($A60+11/24),tData[SEHTrajectPeriodeDatumTijdTotEnMet],"&gt;"&amp;($A60+11/24),tData[Langligger01],1)</f>
        <v/>
      </c>
      <c r="P60" s="20">
        <f>COUNTIFS(tData[SEHTrajectPeriodeDatumTijdVan],"&lt;="&amp;($A60+12/24),tData[SEHTrajectPeriodeDatumTijdTotEnMet],"&gt;"&amp;($A60+12/24),tData[Langligger01],1)</f>
        <v/>
      </c>
      <c r="Q60" s="20">
        <f>COUNTIFS(tData[SEHTrajectPeriodeDatumTijdVan],"&lt;="&amp;($A60+13/24),tData[SEHTrajectPeriodeDatumTijdTotEnMet],"&gt;"&amp;($A60+13/24),tData[Langligger01],1)</f>
        <v/>
      </c>
      <c r="R60" s="20">
        <f>COUNTIFS(tData[SEHTrajectPeriodeDatumTijdVan],"&lt;="&amp;($A60+14/24),tData[SEHTrajectPeriodeDatumTijdTotEnMet],"&gt;"&amp;($A60+14/24),tData[Langligger01],1)</f>
        <v/>
      </c>
      <c r="S60" s="20">
        <f>COUNTIFS(tData[SEHTrajectPeriodeDatumTijdVan],"&lt;="&amp;($A60+15/24),tData[SEHTrajectPeriodeDatumTijdTotEnMet],"&gt;"&amp;($A60+15/24),tData[Langligger01],1)</f>
        <v/>
      </c>
      <c r="T60" s="20">
        <f>COUNTIFS(tData[SEHTrajectPeriodeDatumTijdVan],"&lt;="&amp;($A60+16/24),tData[SEHTrajectPeriodeDatumTijdTotEnMet],"&gt;"&amp;($A60+16/24),tData[Langligger01],1)</f>
        <v/>
      </c>
      <c r="U60" s="20">
        <f>COUNTIFS(tData[SEHTrajectPeriodeDatumTijdVan],"&lt;="&amp;($A60+17/24),tData[SEHTrajectPeriodeDatumTijdTotEnMet],"&gt;"&amp;($A60+17/24),tData[Langligger01],1)</f>
        <v/>
      </c>
      <c r="V60" s="20">
        <f>COUNTIFS(tData[SEHTrajectPeriodeDatumTijdVan],"&lt;="&amp;($A60+18/24),tData[SEHTrajectPeriodeDatumTijdTotEnMet],"&gt;"&amp;($A60+18/24),tData[Langligger01],1)</f>
        <v/>
      </c>
      <c r="W60" s="20">
        <f>COUNTIFS(tData[SEHTrajectPeriodeDatumTijdVan],"&lt;="&amp;($A60+19/24),tData[SEHTrajectPeriodeDatumTijdTotEnMet],"&gt;"&amp;($A60+19/24),tData[Langligger01],1)</f>
        <v/>
      </c>
      <c r="X60" s="20">
        <f>COUNTIFS(tData[SEHTrajectPeriodeDatumTijdVan],"&lt;="&amp;($A60+20/24),tData[SEHTrajectPeriodeDatumTijdTotEnMet],"&gt;"&amp;($A60+20/24),tData[Langligger01],1)</f>
        <v/>
      </c>
      <c r="Y60" s="20">
        <f>COUNTIFS(tData[SEHTrajectPeriodeDatumTijdVan],"&lt;="&amp;($A60+21/24),tData[SEHTrajectPeriodeDatumTijdTotEnMet],"&gt;"&amp;($A60+21/24),tData[Langligger01],1)</f>
        <v/>
      </c>
      <c r="Z60" s="20">
        <f>COUNTIFS(tData[SEHTrajectPeriodeDatumTijdVan],"&lt;="&amp;($A60+22/24),tData[SEHTrajectPeriodeDatumTijdTotEnMet],"&gt;"&amp;($A60+22/24),tData[Langligger01],1)</f>
        <v/>
      </c>
      <c r="AA60" s="20">
        <f>COUNTIFS(tData[SEHTrajectPeriodeDatumTijdVan],"&lt;="&amp;($A60+23/24),tData[SEHTrajectPeriodeDatumTijdTotEnMet],"&gt;"&amp;($A60+23/24),tData[Langligger01],1)</f>
        <v/>
      </c>
    </row>
    <row r="61">
      <c r="A61" s="19" t="n">
        <v>45349</v>
      </c>
      <c r="B61" s="15">
        <f>WEEKDAY($A61,2)</f>
        <v/>
      </c>
      <c r="C61" s="15">
        <f>IF(AND($A61&gt;=INT(Instellingen!$B$5),$A61&lt;=INT(Instellingen!$B$6)),1,0)</f>
        <v/>
      </c>
      <c r="D61" s="20">
        <f>COUNTIFS(tData[SEHTrajectPeriodeDatumTijdVan],"&lt;="&amp;($A61+0/24),tData[SEHTrajectPeriodeDatumTijdTotEnMet],"&gt;"&amp;($A61+0/24),tData[Langligger01],1)</f>
        <v/>
      </c>
      <c r="E61" s="20">
        <f>COUNTIFS(tData[SEHTrajectPeriodeDatumTijdVan],"&lt;="&amp;($A61+1/24),tData[SEHTrajectPeriodeDatumTijdTotEnMet],"&gt;"&amp;($A61+1/24),tData[Langligger01],1)</f>
        <v/>
      </c>
      <c r="F61" s="20">
        <f>COUNTIFS(tData[SEHTrajectPeriodeDatumTijdVan],"&lt;="&amp;($A61+2/24),tData[SEHTrajectPeriodeDatumTijdTotEnMet],"&gt;"&amp;($A61+2/24),tData[Langligger01],1)</f>
        <v/>
      </c>
      <c r="G61" s="20">
        <f>COUNTIFS(tData[SEHTrajectPeriodeDatumTijdVan],"&lt;="&amp;($A61+3/24),tData[SEHTrajectPeriodeDatumTijdTotEnMet],"&gt;"&amp;($A61+3/24),tData[Langligger01],1)</f>
        <v/>
      </c>
      <c r="H61" s="20">
        <f>COUNTIFS(tData[SEHTrajectPeriodeDatumTijdVan],"&lt;="&amp;($A61+4/24),tData[SEHTrajectPeriodeDatumTijdTotEnMet],"&gt;"&amp;($A61+4/24),tData[Langligger01],1)</f>
        <v/>
      </c>
      <c r="I61" s="20">
        <f>COUNTIFS(tData[SEHTrajectPeriodeDatumTijdVan],"&lt;="&amp;($A61+5/24),tData[SEHTrajectPeriodeDatumTijdTotEnMet],"&gt;"&amp;($A61+5/24),tData[Langligger01],1)</f>
        <v/>
      </c>
      <c r="J61" s="20">
        <f>COUNTIFS(tData[SEHTrajectPeriodeDatumTijdVan],"&lt;="&amp;($A61+6/24),tData[SEHTrajectPeriodeDatumTijdTotEnMet],"&gt;"&amp;($A61+6/24),tData[Langligger01],1)</f>
        <v/>
      </c>
      <c r="K61" s="20">
        <f>COUNTIFS(tData[SEHTrajectPeriodeDatumTijdVan],"&lt;="&amp;($A61+7/24),tData[SEHTrajectPeriodeDatumTijdTotEnMet],"&gt;"&amp;($A61+7/24),tData[Langligger01],1)</f>
        <v/>
      </c>
      <c r="L61" s="20">
        <f>COUNTIFS(tData[SEHTrajectPeriodeDatumTijdVan],"&lt;="&amp;($A61+8/24),tData[SEHTrajectPeriodeDatumTijdTotEnMet],"&gt;"&amp;($A61+8/24),tData[Langligger01],1)</f>
        <v/>
      </c>
      <c r="M61" s="20">
        <f>COUNTIFS(tData[SEHTrajectPeriodeDatumTijdVan],"&lt;="&amp;($A61+9/24),tData[SEHTrajectPeriodeDatumTijdTotEnMet],"&gt;"&amp;($A61+9/24),tData[Langligger01],1)</f>
        <v/>
      </c>
      <c r="N61" s="20">
        <f>COUNTIFS(tData[SEHTrajectPeriodeDatumTijdVan],"&lt;="&amp;($A61+10/24),tData[SEHTrajectPeriodeDatumTijdTotEnMet],"&gt;"&amp;($A61+10/24),tData[Langligger01],1)</f>
        <v/>
      </c>
      <c r="O61" s="20">
        <f>COUNTIFS(tData[SEHTrajectPeriodeDatumTijdVan],"&lt;="&amp;($A61+11/24),tData[SEHTrajectPeriodeDatumTijdTotEnMet],"&gt;"&amp;($A61+11/24),tData[Langligger01],1)</f>
        <v/>
      </c>
      <c r="P61" s="20">
        <f>COUNTIFS(tData[SEHTrajectPeriodeDatumTijdVan],"&lt;="&amp;($A61+12/24),tData[SEHTrajectPeriodeDatumTijdTotEnMet],"&gt;"&amp;($A61+12/24),tData[Langligger01],1)</f>
        <v/>
      </c>
      <c r="Q61" s="20">
        <f>COUNTIFS(tData[SEHTrajectPeriodeDatumTijdVan],"&lt;="&amp;($A61+13/24),tData[SEHTrajectPeriodeDatumTijdTotEnMet],"&gt;"&amp;($A61+13/24),tData[Langligger01],1)</f>
        <v/>
      </c>
      <c r="R61" s="20">
        <f>COUNTIFS(tData[SEHTrajectPeriodeDatumTijdVan],"&lt;="&amp;($A61+14/24),tData[SEHTrajectPeriodeDatumTijdTotEnMet],"&gt;"&amp;($A61+14/24),tData[Langligger01],1)</f>
        <v/>
      </c>
      <c r="S61" s="20">
        <f>COUNTIFS(tData[SEHTrajectPeriodeDatumTijdVan],"&lt;="&amp;($A61+15/24),tData[SEHTrajectPeriodeDatumTijdTotEnMet],"&gt;"&amp;($A61+15/24),tData[Langligger01],1)</f>
        <v/>
      </c>
      <c r="T61" s="20">
        <f>COUNTIFS(tData[SEHTrajectPeriodeDatumTijdVan],"&lt;="&amp;($A61+16/24),tData[SEHTrajectPeriodeDatumTijdTotEnMet],"&gt;"&amp;($A61+16/24),tData[Langligger01],1)</f>
        <v/>
      </c>
      <c r="U61" s="20">
        <f>COUNTIFS(tData[SEHTrajectPeriodeDatumTijdVan],"&lt;="&amp;($A61+17/24),tData[SEHTrajectPeriodeDatumTijdTotEnMet],"&gt;"&amp;($A61+17/24),tData[Langligger01],1)</f>
        <v/>
      </c>
      <c r="V61" s="20">
        <f>COUNTIFS(tData[SEHTrajectPeriodeDatumTijdVan],"&lt;="&amp;($A61+18/24),tData[SEHTrajectPeriodeDatumTijdTotEnMet],"&gt;"&amp;($A61+18/24),tData[Langligger01],1)</f>
        <v/>
      </c>
      <c r="W61" s="20">
        <f>COUNTIFS(tData[SEHTrajectPeriodeDatumTijdVan],"&lt;="&amp;($A61+19/24),tData[SEHTrajectPeriodeDatumTijdTotEnMet],"&gt;"&amp;($A61+19/24),tData[Langligger01],1)</f>
        <v/>
      </c>
      <c r="X61" s="20">
        <f>COUNTIFS(tData[SEHTrajectPeriodeDatumTijdVan],"&lt;="&amp;($A61+20/24),tData[SEHTrajectPeriodeDatumTijdTotEnMet],"&gt;"&amp;($A61+20/24),tData[Langligger01],1)</f>
        <v/>
      </c>
      <c r="Y61" s="20">
        <f>COUNTIFS(tData[SEHTrajectPeriodeDatumTijdVan],"&lt;="&amp;($A61+21/24),tData[SEHTrajectPeriodeDatumTijdTotEnMet],"&gt;"&amp;($A61+21/24),tData[Langligger01],1)</f>
        <v/>
      </c>
      <c r="Z61" s="20">
        <f>COUNTIFS(tData[SEHTrajectPeriodeDatumTijdVan],"&lt;="&amp;($A61+22/24),tData[SEHTrajectPeriodeDatumTijdTotEnMet],"&gt;"&amp;($A61+22/24),tData[Langligger01],1)</f>
        <v/>
      </c>
      <c r="AA61" s="20">
        <f>COUNTIFS(tData[SEHTrajectPeriodeDatumTijdVan],"&lt;="&amp;($A61+23/24),tData[SEHTrajectPeriodeDatumTijdTotEnMet],"&gt;"&amp;($A61+23/24),tData[Langligger01],1)</f>
        <v/>
      </c>
    </row>
    <row r="62">
      <c r="A62" s="19" t="n">
        <v>45350</v>
      </c>
      <c r="B62" s="15">
        <f>WEEKDAY($A62,2)</f>
        <v/>
      </c>
      <c r="C62" s="15">
        <f>IF(AND($A62&gt;=INT(Instellingen!$B$5),$A62&lt;=INT(Instellingen!$B$6)),1,0)</f>
        <v/>
      </c>
      <c r="D62" s="20">
        <f>COUNTIFS(tData[SEHTrajectPeriodeDatumTijdVan],"&lt;="&amp;($A62+0/24),tData[SEHTrajectPeriodeDatumTijdTotEnMet],"&gt;"&amp;($A62+0/24),tData[Langligger01],1)</f>
        <v/>
      </c>
      <c r="E62" s="20">
        <f>COUNTIFS(tData[SEHTrajectPeriodeDatumTijdVan],"&lt;="&amp;($A62+1/24),tData[SEHTrajectPeriodeDatumTijdTotEnMet],"&gt;"&amp;($A62+1/24),tData[Langligger01],1)</f>
        <v/>
      </c>
      <c r="F62" s="20">
        <f>COUNTIFS(tData[SEHTrajectPeriodeDatumTijdVan],"&lt;="&amp;($A62+2/24),tData[SEHTrajectPeriodeDatumTijdTotEnMet],"&gt;"&amp;($A62+2/24),tData[Langligger01],1)</f>
        <v/>
      </c>
      <c r="G62" s="20">
        <f>COUNTIFS(tData[SEHTrajectPeriodeDatumTijdVan],"&lt;="&amp;($A62+3/24),tData[SEHTrajectPeriodeDatumTijdTotEnMet],"&gt;"&amp;($A62+3/24),tData[Langligger01],1)</f>
        <v/>
      </c>
      <c r="H62" s="20">
        <f>COUNTIFS(tData[SEHTrajectPeriodeDatumTijdVan],"&lt;="&amp;($A62+4/24),tData[SEHTrajectPeriodeDatumTijdTotEnMet],"&gt;"&amp;($A62+4/24),tData[Langligger01],1)</f>
        <v/>
      </c>
      <c r="I62" s="20">
        <f>COUNTIFS(tData[SEHTrajectPeriodeDatumTijdVan],"&lt;="&amp;($A62+5/24),tData[SEHTrajectPeriodeDatumTijdTotEnMet],"&gt;"&amp;($A62+5/24),tData[Langligger01],1)</f>
        <v/>
      </c>
      <c r="J62" s="20">
        <f>COUNTIFS(tData[SEHTrajectPeriodeDatumTijdVan],"&lt;="&amp;($A62+6/24),tData[SEHTrajectPeriodeDatumTijdTotEnMet],"&gt;"&amp;($A62+6/24),tData[Langligger01],1)</f>
        <v/>
      </c>
      <c r="K62" s="20">
        <f>COUNTIFS(tData[SEHTrajectPeriodeDatumTijdVan],"&lt;="&amp;($A62+7/24),tData[SEHTrajectPeriodeDatumTijdTotEnMet],"&gt;"&amp;($A62+7/24),tData[Langligger01],1)</f>
        <v/>
      </c>
      <c r="L62" s="20">
        <f>COUNTIFS(tData[SEHTrajectPeriodeDatumTijdVan],"&lt;="&amp;($A62+8/24),tData[SEHTrajectPeriodeDatumTijdTotEnMet],"&gt;"&amp;($A62+8/24),tData[Langligger01],1)</f>
        <v/>
      </c>
      <c r="M62" s="20">
        <f>COUNTIFS(tData[SEHTrajectPeriodeDatumTijdVan],"&lt;="&amp;($A62+9/24),tData[SEHTrajectPeriodeDatumTijdTotEnMet],"&gt;"&amp;($A62+9/24),tData[Langligger01],1)</f>
        <v/>
      </c>
      <c r="N62" s="20">
        <f>COUNTIFS(tData[SEHTrajectPeriodeDatumTijdVan],"&lt;="&amp;($A62+10/24),tData[SEHTrajectPeriodeDatumTijdTotEnMet],"&gt;"&amp;($A62+10/24),tData[Langligger01],1)</f>
        <v/>
      </c>
      <c r="O62" s="20">
        <f>COUNTIFS(tData[SEHTrajectPeriodeDatumTijdVan],"&lt;="&amp;($A62+11/24),tData[SEHTrajectPeriodeDatumTijdTotEnMet],"&gt;"&amp;($A62+11/24),tData[Langligger01],1)</f>
        <v/>
      </c>
      <c r="P62" s="20">
        <f>COUNTIFS(tData[SEHTrajectPeriodeDatumTijdVan],"&lt;="&amp;($A62+12/24),tData[SEHTrajectPeriodeDatumTijdTotEnMet],"&gt;"&amp;($A62+12/24),tData[Langligger01],1)</f>
        <v/>
      </c>
      <c r="Q62" s="20">
        <f>COUNTIFS(tData[SEHTrajectPeriodeDatumTijdVan],"&lt;="&amp;($A62+13/24),tData[SEHTrajectPeriodeDatumTijdTotEnMet],"&gt;"&amp;($A62+13/24),tData[Langligger01],1)</f>
        <v/>
      </c>
      <c r="R62" s="20">
        <f>COUNTIFS(tData[SEHTrajectPeriodeDatumTijdVan],"&lt;="&amp;($A62+14/24),tData[SEHTrajectPeriodeDatumTijdTotEnMet],"&gt;"&amp;($A62+14/24),tData[Langligger01],1)</f>
        <v/>
      </c>
      <c r="S62" s="20">
        <f>COUNTIFS(tData[SEHTrajectPeriodeDatumTijdVan],"&lt;="&amp;($A62+15/24),tData[SEHTrajectPeriodeDatumTijdTotEnMet],"&gt;"&amp;($A62+15/24),tData[Langligger01],1)</f>
        <v/>
      </c>
      <c r="T62" s="20">
        <f>COUNTIFS(tData[SEHTrajectPeriodeDatumTijdVan],"&lt;="&amp;($A62+16/24),tData[SEHTrajectPeriodeDatumTijdTotEnMet],"&gt;"&amp;($A62+16/24),tData[Langligger01],1)</f>
        <v/>
      </c>
      <c r="U62" s="20">
        <f>COUNTIFS(tData[SEHTrajectPeriodeDatumTijdVan],"&lt;="&amp;($A62+17/24),tData[SEHTrajectPeriodeDatumTijdTotEnMet],"&gt;"&amp;($A62+17/24),tData[Langligger01],1)</f>
        <v/>
      </c>
      <c r="V62" s="20">
        <f>COUNTIFS(tData[SEHTrajectPeriodeDatumTijdVan],"&lt;="&amp;($A62+18/24),tData[SEHTrajectPeriodeDatumTijdTotEnMet],"&gt;"&amp;($A62+18/24),tData[Langligger01],1)</f>
        <v/>
      </c>
      <c r="W62" s="20">
        <f>COUNTIFS(tData[SEHTrajectPeriodeDatumTijdVan],"&lt;="&amp;($A62+19/24),tData[SEHTrajectPeriodeDatumTijdTotEnMet],"&gt;"&amp;($A62+19/24),tData[Langligger01],1)</f>
        <v/>
      </c>
      <c r="X62" s="20">
        <f>COUNTIFS(tData[SEHTrajectPeriodeDatumTijdVan],"&lt;="&amp;($A62+20/24),tData[SEHTrajectPeriodeDatumTijdTotEnMet],"&gt;"&amp;($A62+20/24),tData[Langligger01],1)</f>
        <v/>
      </c>
      <c r="Y62" s="20">
        <f>COUNTIFS(tData[SEHTrajectPeriodeDatumTijdVan],"&lt;="&amp;($A62+21/24),tData[SEHTrajectPeriodeDatumTijdTotEnMet],"&gt;"&amp;($A62+21/24),tData[Langligger01],1)</f>
        <v/>
      </c>
      <c r="Z62" s="20">
        <f>COUNTIFS(tData[SEHTrajectPeriodeDatumTijdVan],"&lt;="&amp;($A62+22/24),tData[SEHTrajectPeriodeDatumTijdTotEnMet],"&gt;"&amp;($A62+22/24),tData[Langligger01],1)</f>
        <v/>
      </c>
      <c r="AA62" s="20">
        <f>COUNTIFS(tData[SEHTrajectPeriodeDatumTijdVan],"&lt;="&amp;($A62+23/24),tData[SEHTrajectPeriodeDatumTijdTotEnMet],"&gt;"&amp;($A62+23/24),tData[Langligger01],1)</f>
        <v/>
      </c>
    </row>
    <row r="63">
      <c r="A63" s="19" t="n">
        <v>45351</v>
      </c>
      <c r="B63" s="15">
        <f>WEEKDAY($A63,2)</f>
        <v/>
      </c>
      <c r="C63" s="15">
        <f>IF(AND($A63&gt;=INT(Instellingen!$B$5),$A63&lt;=INT(Instellingen!$B$6)),1,0)</f>
        <v/>
      </c>
      <c r="D63" s="20">
        <f>COUNTIFS(tData[SEHTrajectPeriodeDatumTijdVan],"&lt;="&amp;($A63+0/24),tData[SEHTrajectPeriodeDatumTijdTotEnMet],"&gt;"&amp;($A63+0/24),tData[Langligger01],1)</f>
        <v/>
      </c>
      <c r="E63" s="20">
        <f>COUNTIFS(tData[SEHTrajectPeriodeDatumTijdVan],"&lt;="&amp;($A63+1/24),tData[SEHTrajectPeriodeDatumTijdTotEnMet],"&gt;"&amp;($A63+1/24),tData[Langligger01],1)</f>
        <v/>
      </c>
      <c r="F63" s="20">
        <f>COUNTIFS(tData[SEHTrajectPeriodeDatumTijdVan],"&lt;="&amp;($A63+2/24),tData[SEHTrajectPeriodeDatumTijdTotEnMet],"&gt;"&amp;($A63+2/24),tData[Langligger01],1)</f>
        <v/>
      </c>
      <c r="G63" s="20">
        <f>COUNTIFS(tData[SEHTrajectPeriodeDatumTijdVan],"&lt;="&amp;($A63+3/24),tData[SEHTrajectPeriodeDatumTijdTotEnMet],"&gt;"&amp;($A63+3/24),tData[Langligger01],1)</f>
        <v/>
      </c>
      <c r="H63" s="20">
        <f>COUNTIFS(tData[SEHTrajectPeriodeDatumTijdVan],"&lt;="&amp;($A63+4/24),tData[SEHTrajectPeriodeDatumTijdTotEnMet],"&gt;"&amp;($A63+4/24),tData[Langligger01],1)</f>
        <v/>
      </c>
      <c r="I63" s="20">
        <f>COUNTIFS(tData[SEHTrajectPeriodeDatumTijdVan],"&lt;="&amp;($A63+5/24),tData[SEHTrajectPeriodeDatumTijdTotEnMet],"&gt;"&amp;($A63+5/24),tData[Langligger01],1)</f>
        <v/>
      </c>
      <c r="J63" s="20">
        <f>COUNTIFS(tData[SEHTrajectPeriodeDatumTijdVan],"&lt;="&amp;($A63+6/24),tData[SEHTrajectPeriodeDatumTijdTotEnMet],"&gt;"&amp;($A63+6/24),tData[Langligger01],1)</f>
        <v/>
      </c>
      <c r="K63" s="20">
        <f>COUNTIFS(tData[SEHTrajectPeriodeDatumTijdVan],"&lt;="&amp;($A63+7/24),tData[SEHTrajectPeriodeDatumTijdTotEnMet],"&gt;"&amp;($A63+7/24),tData[Langligger01],1)</f>
        <v/>
      </c>
      <c r="L63" s="20">
        <f>COUNTIFS(tData[SEHTrajectPeriodeDatumTijdVan],"&lt;="&amp;($A63+8/24),tData[SEHTrajectPeriodeDatumTijdTotEnMet],"&gt;"&amp;($A63+8/24),tData[Langligger01],1)</f>
        <v/>
      </c>
      <c r="M63" s="20">
        <f>COUNTIFS(tData[SEHTrajectPeriodeDatumTijdVan],"&lt;="&amp;($A63+9/24),tData[SEHTrajectPeriodeDatumTijdTotEnMet],"&gt;"&amp;($A63+9/24),tData[Langligger01],1)</f>
        <v/>
      </c>
      <c r="N63" s="20">
        <f>COUNTIFS(tData[SEHTrajectPeriodeDatumTijdVan],"&lt;="&amp;($A63+10/24),tData[SEHTrajectPeriodeDatumTijdTotEnMet],"&gt;"&amp;($A63+10/24),tData[Langligger01],1)</f>
        <v/>
      </c>
      <c r="O63" s="20">
        <f>COUNTIFS(tData[SEHTrajectPeriodeDatumTijdVan],"&lt;="&amp;($A63+11/24),tData[SEHTrajectPeriodeDatumTijdTotEnMet],"&gt;"&amp;($A63+11/24),tData[Langligger01],1)</f>
        <v/>
      </c>
      <c r="P63" s="20">
        <f>COUNTIFS(tData[SEHTrajectPeriodeDatumTijdVan],"&lt;="&amp;($A63+12/24),tData[SEHTrajectPeriodeDatumTijdTotEnMet],"&gt;"&amp;($A63+12/24),tData[Langligger01],1)</f>
        <v/>
      </c>
      <c r="Q63" s="20">
        <f>COUNTIFS(tData[SEHTrajectPeriodeDatumTijdVan],"&lt;="&amp;($A63+13/24),tData[SEHTrajectPeriodeDatumTijdTotEnMet],"&gt;"&amp;($A63+13/24),tData[Langligger01],1)</f>
        <v/>
      </c>
      <c r="R63" s="20">
        <f>COUNTIFS(tData[SEHTrajectPeriodeDatumTijdVan],"&lt;="&amp;($A63+14/24),tData[SEHTrajectPeriodeDatumTijdTotEnMet],"&gt;"&amp;($A63+14/24),tData[Langligger01],1)</f>
        <v/>
      </c>
      <c r="S63" s="20">
        <f>COUNTIFS(tData[SEHTrajectPeriodeDatumTijdVan],"&lt;="&amp;($A63+15/24),tData[SEHTrajectPeriodeDatumTijdTotEnMet],"&gt;"&amp;($A63+15/24),tData[Langligger01],1)</f>
        <v/>
      </c>
      <c r="T63" s="20">
        <f>COUNTIFS(tData[SEHTrajectPeriodeDatumTijdVan],"&lt;="&amp;($A63+16/24),tData[SEHTrajectPeriodeDatumTijdTotEnMet],"&gt;"&amp;($A63+16/24),tData[Langligger01],1)</f>
        <v/>
      </c>
      <c r="U63" s="20">
        <f>COUNTIFS(tData[SEHTrajectPeriodeDatumTijdVan],"&lt;="&amp;($A63+17/24),tData[SEHTrajectPeriodeDatumTijdTotEnMet],"&gt;"&amp;($A63+17/24),tData[Langligger01],1)</f>
        <v/>
      </c>
      <c r="V63" s="20">
        <f>COUNTIFS(tData[SEHTrajectPeriodeDatumTijdVan],"&lt;="&amp;($A63+18/24),tData[SEHTrajectPeriodeDatumTijdTotEnMet],"&gt;"&amp;($A63+18/24),tData[Langligger01],1)</f>
        <v/>
      </c>
      <c r="W63" s="20">
        <f>COUNTIFS(tData[SEHTrajectPeriodeDatumTijdVan],"&lt;="&amp;($A63+19/24),tData[SEHTrajectPeriodeDatumTijdTotEnMet],"&gt;"&amp;($A63+19/24),tData[Langligger01],1)</f>
        <v/>
      </c>
      <c r="X63" s="20">
        <f>COUNTIFS(tData[SEHTrajectPeriodeDatumTijdVan],"&lt;="&amp;($A63+20/24),tData[SEHTrajectPeriodeDatumTijdTotEnMet],"&gt;"&amp;($A63+20/24),tData[Langligger01],1)</f>
        <v/>
      </c>
      <c r="Y63" s="20">
        <f>COUNTIFS(tData[SEHTrajectPeriodeDatumTijdVan],"&lt;="&amp;($A63+21/24),tData[SEHTrajectPeriodeDatumTijdTotEnMet],"&gt;"&amp;($A63+21/24),tData[Langligger01],1)</f>
        <v/>
      </c>
      <c r="Z63" s="20">
        <f>COUNTIFS(tData[SEHTrajectPeriodeDatumTijdVan],"&lt;="&amp;($A63+22/24),tData[SEHTrajectPeriodeDatumTijdTotEnMet],"&gt;"&amp;($A63+22/24),tData[Langligger01],1)</f>
        <v/>
      </c>
      <c r="AA63" s="20">
        <f>COUNTIFS(tData[SEHTrajectPeriodeDatumTijdVan],"&lt;="&amp;($A63+23/24),tData[SEHTrajectPeriodeDatumTijdTotEnMet],"&gt;"&amp;($A63+23/24),tData[Langligger01],1)</f>
        <v/>
      </c>
    </row>
    <row r="64">
      <c r="A64" s="19" t="n">
        <v>45352</v>
      </c>
      <c r="B64" s="15">
        <f>WEEKDAY($A64,2)</f>
        <v/>
      </c>
      <c r="C64" s="15">
        <f>IF(AND($A64&gt;=INT(Instellingen!$B$5),$A64&lt;=INT(Instellingen!$B$6)),1,0)</f>
        <v/>
      </c>
      <c r="D64" s="20">
        <f>COUNTIFS(tData[SEHTrajectPeriodeDatumTijdVan],"&lt;="&amp;($A64+0/24),tData[SEHTrajectPeriodeDatumTijdTotEnMet],"&gt;"&amp;($A64+0/24),tData[Langligger01],1)</f>
        <v/>
      </c>
      <c r="E64" s="20">
        <f>COUNTIFS(tData[SEHTrajectPeriodeDatumTijdVan],"&lt;="&amp;($A64+1/24),tData[SEHTrajectPeriodeDatumTijdTotEnMet],"&gt;"&amp;($A64+1/24),tData[Langligger01],1)</f>
        <v/>
      </c>
      <c r="F64" s="20">
        <f>COUNTIFS(tData[SEHTrajectPeriodeDatumTijdVan],"&lt;="&amp;($A64+2/24),tData[SEHTrajectPeriodeDatumTijdTotEnMet],"&gt;"&amp;($A64+2/24),tData[Langligger01],1)</f>
        <v/>
      </c>
      <c r="G64" s="20">
        <f>COUNTIFS(tData[SEHTrajectPeriodeDatumTijdVan],"&lt;="&amp;($A64+3/24),tData[SEHTrajectPeriodeDatumTijdTotEnMet],"&gt;"&amp;($A64+3/24),tData[Langligger01],1)</f>
        <v/>
      </c>
      <c r="H64" s="20">
        <f>COUNTIFS(tData[SEHTrajectPeriodeDatumTijdVan],"&lt;="&amp;($A64+4/24),tData[SEHTrajectPeriodeDatumTijdTotEnMet],"&gt;"&amp;($A64+4/24),tData[Langligger01],1)</f>
        <v/>
      </c>
      <c r="I64" s="20">
        <f>COUNTIFS(tData[SEHTrajectPeriodeDatumTijdVan],"&lt;="&amp;($A64+5/24),tData[SEHTrajectPeriodeDatumTijdTotEnMet],"&gt;"&amp;($A64+5/24),tData[Langligger01],1)</f>
        <v/>
      </c>
      <c r="J64" s="20">
        <f>COUNTIFS(tData[SEHTrajectPeriodeDatumTijdVan],"&lt;="&amp;($A64+6/24),tData[SEHTrajectPeriodeDatumTijdTotEnMet],"&gt;"&amp;($A64+6/24),tData[Langligger01],1)</f>
        <v/>
      </c>
      <c r="K64" s="20">
        <f>COUNTIFS(tData[SEHTrajectPeriodeDatumTijdVan],"&lt;="&amp;($A64+7/24),tData[SEHTrajectPeriodeDatumTijdTotEnMet],"&gt;"&amp;($A64+7/24),tData[Langligger01],1)</f>
        <v/>
      </c>
      <c r="L64" s="20">
        <f>COUNTIFS(tData[SEHTrajectPeriodeDatumTijdVan],"&lt;="&amp;($A64+8/24),tData[SEHTrajectPeriodeDatumTijdTotEnMet],"&gt;"&amp;($A64+8/24),tData[Langligger01],1)</f>
        <v/>
      </c>
      <c r="M64" s="20">
        <f>COUNTIFS(tData[SEHTrajectPeriodeDatumTijdVan],"&lt;="&amp;($A64+9/24),tData[SEHTrajectPeriodeDatumTijdTotEnMet],"&gt;"&amp;($A64+9/24),tData[Langligger01],1)</f>
        <v/>
      </c>
      <c r="N64" s="20">
        <f>COUNTIFS(tData[SEHTrajectPeriodeDatumTijdVan],"&lt;="&amp;($A64+10/24),tData[SEHTrajectPeriodeDatumTijdTotEnMet],"&gt;"&amp;($A64+10/24),tData[Langligger01],1)</f>
        <v/>
      </c>
      <c r="O64" s="20">
        <f>COUNTIFS(tData[SEHTrajectPeriodeDatumTijdVan],"&lt;="&amp;($A64+11/24),tData[SEHTrajectPeriodeDatumTijdTotEnMet],"&gt;"&amp;($A64+11/24),tData[Langligger01],1)</f>
        <v/>
      </c>
      <c r="P64" s="20">
        <f>COUNTIFS(tData[SEHTrajectPeriodeDatumTijdVan],"&lt;="&amp;($A64+12/24),tData[SEHTrajectPeriodeDatumTijdTotEnMet],"&gt;"&amp;($A64+12/24),tData[Langligger01],1)</f>
        <v/>
      </c>
      <c r="Q64" s="20">
        <f>COUNTIFS(tData[SEHTrajectPeriodeDatumTijdVan],"&lt;="&amp;($A64+13/24),tData[SEHTrajectPeriodeDatumTijdTotEnMet],"&gt;"&amp;($A64+13/24),tData[Langligger01],1)</f>
        <v/>
      </c>
      <c r="R64" s="20">
        <f>COUNTIFS(tData[SEHTrajectPeriodeDatumTijdVan],"&lt;="&amp;($A64+14/24),tData[SEHTrajectPeriodeDatumTijdTotEnMet],"&gt;"&amp;($A64+14/24),tData[Langligger01],1)</f>
        <v/>
      </c>
      <c r="S64" s="20">
        <f>COUNTIFS(tData[SEHTrajectPeriodeDatumTijdVan],"&lt;="&amp;($A64+15/24),tData[SEHTrajectPeriodeDatumTijdTotEnMet],"&gt;"&amp;($A64+15/24),tData[Langligger01],1)</f>
        <v/>
      </c>
      <c r="T64" s="20">
        <f>COUNTIFS(tData[SEHTrajectPeriodeDatumTijdVan],"&lt;="&amp;($A64+16/24),tData[SEHTrajectPeriodeDatumTijdTotEnMet],"&gt;"&amp;($A64+16/24),tData[Langligger01],1)</f>
        <v/>
      </c>
      <c r="U64" s="20">
        <f>COUNTIFS(tData[SEHTrajectPeriodeDatumTijdVan],"&lt;="&amp;($A64+17/24),tData[SEHTrajectPeriodeDatumTijdTotEnMet],"&gt;"&amp;($A64+17/24),tData[Langligger01],1)</f>
        <v/>
      </c>
      <c r="V64" s="20">
        <f>COUNTIFS(tData[SEHTrajectPeriodeDatumTijdVan],"&lt;="&amp;($A64+18/24),tData[SEHTrajectPeriodeDatumTijdTotEnMet],"&gt;"&amp;($A64+18/24),tData[Langligger01],1)</f>
        <v/>
      </c>
      <c r="W64" s="20">
        <f>COUNTIFS(tData[SEHTrajectPeriodeDatumTijdVan],"&lt;="&amp;($A64+19/24),tData[SEHTrajectPeriodeDatumTijdTotEnMet],"&gt;"&amp;($A64+19/24),tData[Langligger01],1)</f>
        <v/>
      </c>
      <c r="X64" s="20">
        <f>COUNTIFS(tData[SEHTrajectPeriodeDatumTijdVan],"&lt;="&amp;($A64+20/24),tData[SEHTrajectPeriodeDatumTijdTotEnMet],"&gt;"&amp;($A64+20/24),tData[Langligger01],1)</f>
        <v/>
      </c>
      <c r="Y64" s="20">
        <f>COUNTIFS(tData[SEHTrajectPeriodeDatumTijdVan],"&lt;="&amp;($A64+21/24),tData[SEHTrajectPeriodeDatumTijdTotEnMet],"&gt;"&amp;($A64+21/24),tData[Langligger01],1)</f>
        <v/>
      </c>
      <c r="Z64" s="20">
        <f>COUNTIFS(tData[SEHTrajectPeriodeDatumTijdVan],"&lt;="&amp;($A64+22/24),tData[SEHTrajectPeriodeDatumTijdTotEnMet],"&gt;"&amp;($A64+22/24),tData[Langligger01],1)</f>
        <v/>
      </c>
      <c r="AA64" s="20">
        <f>COUNTIFS(tData[SEHTrajectPeriodeDatumTijdVan],"&lt;="&amp;($A64+23/24),tData[SEHTrajectPeriodeDatumTijdTotEnMet],"&gt;"&amp;($A64+23/24),tData[Langligger01],1)</f>
        <v/>
      </c>
    </row>
    <row r="65">
      <c r="A65" s="19" t="n">
        <v>45353</v>
      </c>
      <c r="B65" s="15">
        <f>WEEKDAY($A65,2)</f>
        <v/>
      </c>
      <c r="C65" s="15">
        <f>IF(AND($A65&gt;=INT(Instellingen!$B$5),$A65&lt;=INT(Instellingen!$B$6)),1,0)</f>
        <v/>
      </c>
      <c r="D65" s="20">
        <f>COUNTIFS(tData[SEHTrajectPeriodeDatumTijdVan],"&lt;="&amp;($A65+0/24),tData[SEHTrajectPeriodeDatumTijdTotEnMet],"&gt;"&amp;($A65+0/24),tData[Langligger01],1)</f>
        <v/>
      </c>
      <c r="E65" s="20">
        <f>COUNTIFS(tData[SEHTrajectPeriodeDatumTijdVan],"&lt;="&amp;($A65+1/24),tData[SEHTrajectPeriodeDatumTijdTotEnMet],"&gt;"&amp;($A65+1/24),tData[Langligger01],1)</f>
        <v/>
      </c>
      <c r="F65" s="20">
        <f>COUNTIFS(tData[SEHTrajectPeriodeDatumTijdVan],"&lt;="&amp;($A65+2/24),tData[SEHTrajectPeriodeDatumTijdTotEnMet],"&gt;"&amp;($A65+2/24),tData[Langligger01],1)</f>
        <v/>
      </c>
      <c r="G65" s="20">
        <f>COUNTIFS(tData[SEHTrajectPeriodeDatumTijdVan],"&lt;="&amp;($A65+3/24),tData[SEHTrajectPeriodeDatumTijdTotEnMet],"&gt;"&amp;($A65+3/24),tData[Langligger01],1)</f>
        <v/>
      </c>
      <c r="H65" s="20">
        <f>COUNTIFS(tData[SEHTrajectPeriodeDatumTijdVan],"&lt;="&amp;($A65+4/24),tData[SEHTrajectPeriodeDatumTijdTotEnMet],"&gt;"&amp;($A65+4/24),tData[Langligger01],1)</f>
        <v/>
      </c>
      <c r="I65" s="20">
        <f>COUNTIFS(tData[SEHTrajectPeriodeDatumTijdVan],"&lt;="&amp;($A65+5/24),tData[SEHTrajectPeriodeDatumTijdTotEnMet],"&gt;"&amp;($A65+5/24),tData[Langligger01],1)</f>
        <v/>
      </c>
      <c r="J65" s="20">
        <f>COUNTIFS(tData[SEHTrajectPeriodeDatumTijdVan],"&lt;="&amp;($A65+6/24),tData[SEHTrajectPeriodeDatumTijdTotEnMet],"&gt;"&amp;($A65+6/24),tData[Langligger01],1)</f>
        <v/>
      </c>
      <c r="K65" s="20">
        <f>COUNTIFS(tData[SEHTrajectPeriodeDatumTijdVan],"&lt;="&amp;($A65+7/24),tData[SEHTrajectPeriodeDatumTijdTotEnMet],"&gt;"&amp;($A65+7/24),tData[Langligger01],1)</f>
        <v/>
      </c>
      <c r="L65" s="20">
        <f>COUNTIFS(tData[SEHTrajectPeriodeDatumTijdVan],"&lt;="&amp;($A65+8/24),tData[SEHTrajectPeriodeDatumTijdTotEnMet],"&gt;"&amp;($A65+8/24),tData[Langligger01],1)</f>
        <v/>
      </c>
      <c r="M65" s="20">
        <f>COUNTIFS(tData[SEHTrajectPeriodeDatumTijdVan],"&lt;="&amp;($A65+9/24),tData[SEHTrajectPeriodeDatumTijdTotEnMet],"&gt;"&amp;($A65+9/24),tData[Langligger01],1)</f>
        <v/>
      </c>
      <c r="N65" s="20">
        <f>COUNTIFS(tData[SEHTrajectPeriodeDatumTijdVan],"&lt;="&amp;($A65+10/24),tData[SEHTrajectPeriodeDatumTijdTotEnMet],"&gt;"&amp;($A65+10/24),tData[Langligger01],1)</f>
        <v/>
      </c>
      <c r="O65" s="20">
        <f>COUNTIFS(tData[SEHTrajectPeriodeDatumTijdVan],"&lt;="&amp;($A65+11/24),tData[SEHTrajectPeriodeDatumTijdTotEnMet],"&gt;"&amp;($A65+11/24),tData[Langligger01],1)</f>
        <v/>
      </c>
      <c r="P65" s="20">
        <f>COUNTIFS(tData[SEHTrajectPeriodeDatumTijdVan],"&lt;="&amp;($A65+12/24),tData[SEHTrajectPeriodeDatumTijdTotEnMet],"&gt;"&amp;($A65+12/24),tData[Langligger01],1)</f>
        <v/>
      </c>
      <c r="Q65" s="20">
        <f>COUNTIFS(tData[SEHTrajectPeriodeDatumTijdVan],"&lt;="&amp;($A65+13/24),tData[SEHTrajectPeriodeDatumTijdTotEnMet],"&gt;"&amp;($A65+13/24),tData[Langligger01],1)</f>
        <v/>
      </c>
      <c r="R65" s="20">
        <f>COUNTIFS(tData[SEHTrajectPeriodeDatumTijdVan],"&lt;="&amp;($A65+14/24),tData[SEHTrajectPeriodeDatumTijdTotEnMet],"&gt;"&amp;($A65+14/24),tData[Langligger01],1)</f>
        <v/>
      </c>
      <c r="S65" s="20">
        <f>COUNTIFS(tData[SEHTrajectPeriodeDatumTijdVan],"&lt;="&amp;($A65+15/24),tData[SEHTrajectPeriodeDatumTijdTotEnMet],"&gt;"&amp;($A65+15/24),tData[Langligger01],1)</f>
        <v/>
      </c>
      <c r="T65" s="20">
        <f>COUNTIFS(tData[SEHTrajectPeriodeDatumTijdVan],"&lt;="&amp;($A65+16/24),tData[SEHTrajectPeriodeDatumTijdTotEnMet],"&gt;"&amp;($A65+16/24),tData[Langligger01],1)</f>
        <v/>
      </c>
      <c r="U65" s="20">
        <f>COUNTIFS(tData[SEHTrajectPeriodeDatumTijdVan],"&lt;="&amp;($A65+17/24),tData[SEHTrajectPeriodeDatumTijdTotEnMet],"&gt;"&amp;($A65+17/24),tData[Langligger01],1)</f>
        <v/>
      </c>
      <c r="V65" s="20">
        <f>COUNTIFS(tData[SEHTrajectPeriodeDatumTijdVan],"&lt;="&amp;($A65+18/24),tData[SEHTrajectPeriodeDatumTijdTotEnMet],"&gt;"&amp;($A65+18/24),tData[Langligger01],1)</f>
        <v/>
      </c>
      <c r="W65" s="20">
        <f>COUNTIFS(tData[SEHTrajectPeriodeDatumTijdVan],"&lt;="&amp;($A65+19/24),tData[SEHTrajectPeriodeDatumTijdTotEnMet],"&gt;"&amp;($A65+19/24),tData[Langligger01],1)</f>
        <v/>
      </c>
      <c r="X65" s="20">
        <f>COUNTIFS(tData[SEHTrajectPeriodeDatumTijdVan],"&lt;="&amp;($A65+20/24),tData[SEHTrajectPeriodeDatumTijdTotEnMet],"&gt;"&amp;($A65+20/24),tData[Langligger01],1)</f>
        <v/>
      </c>
      <c r="Y65" s="20">
        <f>COUNTIFS(tData[SEHTrajectPeriodeDatumTijdVan],"&lt;="&amp;($A65+21/24),tData[SEHTrajectPeriodeDatumTijdTotEnMet],"&gt;"&amp;($A65+21/24),tData[Langligger01],1)</f>
        <v/>
      </c>
      <c r="Z65" s="20">
        <f>COUNTIFS(tData[SEHTrajectPeriodeDatumTijdVan],"&lt;="&amp;($A65+22/24),tData[SEHTrajectPeriodeDatumTijdTotEnMet],"&gt;"&amp;($A65+22/24),tData[Langligger01],1)</f>
        <v/>
      </c>
      <c r="AA65" s="20">
        <f>COUNTIFS(tData[SEHTrajectPeriodeDatumTijdVan],"&lt;="&amp;($A65+23/24),tData[SEHTrajectPeriodeDatumTijdTotEnMet],"&gt;"&amp;($A65+23/24),tData[Langligger01],1)</f>
        <v/>
      </c>
    </row>
    <row r="66">
      <c r="A66" s="19" t="n">
        <v>45354</v>
      </c>
      <c r="B66" s="15">
        <f>WEEKDAY($A66,2)</f>
        <v/>
      </c>
      <c r="C66" s="15">
        <f>IF(AND($A66&gt;=INT(Instellingen!$B$5),$A66&lt;=INT(Instellingen!$B$6)),1,0)</f>
        <v/>
      </c>
      <c r="D66" s="20">
        <f>COUNTIFS(tData[SEHTrajectPeriodeDatumTijdVan],"&lt;="&amp;($A66+0/24),tData[SEHTrajectPeriodeDatumTijdTotEnMet],"&gt;"&amp;($A66+0/24),tData[Langligger01],1)</f>
        <v/>
      </c>
      <c r="E66" s="20">
        <f>COUNTIFS(tData[SEHTrajectPeriodeDatumTijdVan],"&lt;="&amp;($A66+1/24),tData[SEHTrajectPeriodeDatumTijdTotEnMet],"&gt;"&amp;($A66+1/24),tData[Langligger01],1)</f>
        <v/>
      </c>
      <c r="F66" s="20">
        <f>COUNTIFS(tData[SEHTrajectPeriodeDatumTijdVan],"&lt;="&amp;($A66+2/24),tData[SEHTrajectPeriodeDatumTijdTotEnMet],"&gt;"&amp;($A66+2/24),tData[Langligger01],1)</f>
        <v/>
      </c>
      <c r="G66" s="20">
        <f>COUNTIFS(tData[SEHTrajectPeriodeDatumTijdVan],"&lt;="&amp;($A66+3/24),tData[SEHTrajectPeriodeDatumTijdTotEnMet],"&gt;"&amp;($A66+3/24),tData[Langligger01],1)</f>
        <v/>
      </c>
      <c r="H66" s="20">
        <f>COUNTIFS(tData[SEHTrajectPeriodeDatumTijdVan],"&lt;="&amp;($A66+4/24),tData[SEHTrajectPeriodeDatumTijdTotEnMet],"&gt;"&amp;($A66+4/24),tData[Langligger01],1)</f>
        <v/>
      </c>
      <c r="I66" s="20">
        <f>COUNTIFS(tData[SEHTrajectPeriodeDatumTijdVan],"&lt;="&amp;($A66+5/24),tData[SEHTrajectPeriodeDatumTijdTotEnMet],"&gt;"&amp;($A66+5/24),tData[Langligger01],1)</f>
        <v/>
      </c>
      <c r="J66" s="20">
        <f>COUNTIFS(tData[SEHTrajectPeriodeDatumTijdVan],"&lt;="&amp;($A66+6/24),tData[SEHTrajectPeriodeDatumTijdTotEnMet],"&gt;"&amp;($A66+6/24),tData[Langligger01],1)</f>
        <v/>
      </c>
      <c r="K66" s="20">
        <f>COUNTIFS(tData[SEHTrajectPeriodeDatumTijdVan],"&lt;="&amp;($A66+7/24),tData[SEHTrajectPeriodeDatumTijdTotEnMet],"&gt;"&amp;($A66+7/24),tData[Langligger01],1)</f>
        <v/>
      </c>
      <c r="L66" s="20">
        <f>COUNTIFS(tData[SEHTrajectPeriodeDatumTijdVan],"&lt;="&amp;($A66+8/24),tData[SEHTrajectPeriodeDatumTijdTotEnMet],"&gt;"&amp;($A66+8/24),tData[Langligger01],1)</f>
        <v/>
      </c>
      <c r="M66" s="20">
        <f>COUNTIFS(tData[SEHTrajectPeriodeDatumTijdVan],"&lt;="&amp;($A66+9/24),tData[SEHTrajectPeriodeDatumTijdTotEnMet],"&gt;"&amp;($A66+9/24),tData[Langligger01],1)</f>
        <v/>
      </c>
      <c r="N66" s="20">
        <f>COUNTIFS(tData[SEHTrajectPeriodeDatumTijdVan],"&lt;="&amp;($A66+10/24),tData[SEHTrajectPeriodeDatumTijdTotEnMet],"&gt;"&amp;($A66+10/24),tData[Langligger01],1)</f>
        <v/>
      </c>
      <c r="O66" s="20">
        <f>COUNTIFS(tData[SEHTrajectPeriodeDatumTijdVan],"&lt;="&amp;($A66+11/24),tData[SEHTrajectPeriodeDatumTijdTotEnMet],"&gt;"&amp;($A66+11/24),tData[Langligger01],1)</f>
        <v/>
      </c>
      <c r="P66" s="20">
        <f>COUNTIFS(tData[SEHTrajectPeriodeDatumTijdVan],"&lt;="&amp;($A66+12/24),tData[SEHTrajectPeriodeDatumTijdTotEnMet],"&gt;"&amp;($A66+12/24),tData[Langligger01],1)</f>
        <v/>
      </c>
      <c r="Q66" s="20">
        <f>COUNTIFS(tData[SEHTrajectPeriodeDatumTijdVan],"&lt;="&amp;($A66+13/24),tData[SEHTrajectPeriodeDatumTijdTotEnMet],"&gt;"&amp;($A66+13/24),tData[Langligger01],1)</f>
        <v/>
      </c>
      <c r="R66" s="20">
        <f>COUNTIFS(tData[SEHTrajectPeriodeDatumTijdVan],"&lt;="&amp;($A66+14/24),tData[SEHTrajectPeriodeDatumTijdTotEnMet],"&gt;"&amp;($A66+14/24),tData[Langligger01],1)</f>
        <v/>
      </c>
      <c r="S66" s="20">
        <f>COUNTIFS(tData[SEHTrajectPeriodeDatumTijdVan],"&lt;="&amp;($A66+15/24),tData[SEHTrajectPeriodeDatumTijdTotEnMet],"&gt;"&amp;($A66+15/24),tData[Langligger01],1)</f>
        <v/>
      </c>
      <c r="T66" s="20">
        <f>COUNTIFS(tData[SEHTrajectPeriodeDatumTijdVan],"&lt;="&amp;($A66+16/24),tData[SEHTrajectPeriodeDatumTijdTotEnMet],"&gt;"&amp;($A66+16/24),tData[Langligger01],1)</f>
        <v/>
      </c>
      <c r="U66" s="20">
        <f>COUNTIFS(tData[SEHTrajectPeriodeDatumTijdVan],"&lt;="&amp;($A66+17/24),tData[SEHTrajectPeriodeDatumTijdTotEnMet],"&gt;"&amp;($A66+17/24),tData[Langligger01],1)</f>
        <v/>
      </c>
      <c r="V66" s="20">
        <f>COUNTIFS(tData[SEHTrajectPeriodeDatumTijdVan],"&lt;="&amp;($A66+18/24),tData[SEHTrajectPeriodeDatumTijdTotEnMet],"&gt;"&amp;($A66+18/24),tData[Langligger01],1)</f>
        <v/>
      </c>
      <c r="W66" s="20">
        <f>COUNTIFS(tData[SEHTrajectPeriodeDatumTijdVan],"&lt;="&amp;($A66+19/24),tData[SEHTrajectPeriodeDatumTijdTotEnMet],"&gt;"&amp;($A66+19/24),tData[Langligger01],1)</f>
        <v/>
      </c>
      <c r="X66" s="20">
        <f>COUNTIFS(tData[SEHTrajectPeriodeDatumTijdVan],"&lt;="&amp;($A66+20/24),tData[SEHTrajectPeriodeDatumTijdTotEnMet],"&gt;"&amp;($A66+20/24),tData[Langligger01],1)</f>
        <v/>
      </c>
      <c r="Y66" s="20">
        <f>COUNTIFS(tData[SEHTrajectPeriodeDatumTijdVan],"&lt;="&amp;($A66+21/24),tData[SEHTrajectPeriodeDatumTijdTotEnMet],"&gt;"&amp;($A66+21/24),tData[Langligger01],1)</f>
        <v/>
      </c>
      <c r="Z66" s="20">
        <f>COUNTIFS(tData[SEHTrajectPeriodeDatumTijdVan],"&lt;="&amp;($A66+22/24),tData[SEHTrajectPeriodeDatumTijdTotEnMet],"&gt;"&amp;($A66+22/24),tData[Langligger01],1)</f>
        <v/>
      </c>
      <c r="AA66" s="20">
        <f>COUNTIFS(tData[SEHTrajectPeriodeDatumTijdVan],"&lt;="&amp;($A66+23/24),tData[SEHTrajectPeriodeDatumTijdTotEnMet],"&gt;"&amp;($A66+23/24),tData[Langligger01],1)</f>
        <v/>
      </c>
    </row>
    <row r="67">
      <c r="A67" s="19" t="n">
        <v>45355</v>
      </c>
      <c r="B67" s="15">
        <f>WEEKDAY($A67,2)</f>
        <v/>
      </c>
      <c r="C67" s="15">
        <f>IF(AND($A67&gt;=INT(Instellingen!$B$5),$A67&lt;=INT(Instellingen!$B$6)),1,0)</f>
        <v/>
      </c>
      <c r="D67" s="20">
        <f>COUNTIFS(tData[SEHTrajectPeriodeDatumTijdVan],"&lt;="&amp;($A67+0/24),tData[SEHTrajectPeriodeDatumTijdTotEnMet],"&gt;"&amp;($A67+0/24),tData[Langligger01],1)</f>
        <v/>
      </c>
      <c r="E67" s="20">
        <f>COUNTIFS(tData[SEHTrajectPeriodeDatumTijdVan],"&lt;="&amp;($A67+1/24),tData[SEHTrajectPeriodeDatumTijdTotEnMet],"&gt;"&amp;($A67+1/24),tData[Langligger01],1)</f>
        <v/>
      </c>
      <c r="F67" s="20">
        <f>COUNTIFS(tData[SEHTrajectPeriodeDatumTijdVan],"&lt;="&amp;($A67+2/24),tData[SEHTrajectPeriodeDatumTijdTotEnMet],"&gt;"&amp;($A67+2/24),tData[Langligger01],1)</f>
        <v/>
      </c>
      <c r="G67" s="20">
        <f>COUNTIFS(tData[SEHTrajectPeriodeDatumTijdVan],"&lt;="&amp;($A67+3/24),tData[SEHTrajectPeriodeDatumTijdTotEnMet],"&gt;"&amp;($A67+3/24),tData[Langligger01],1)</f>
        <v/>
      </c>
      <c r="H67" s="20">
        <f>COUNTIFS(tData[SEHTrajectPeriodeDatumTijdVan],"&lt;="&amp;($A67+4/24),tData[SEHTrajectPeriodeDatumTijdTotEnMet],"&gt;"&amp;($A67+4/24),tData[Langligger01],1)</f>
        <v/>
      </c>
      <c r="I67" s="20">
        <f>COUNTIFS(tData[SEHTrajectPeriodeDatumTijdVan],"&lt;="&amp;($A67+5/24),tData[SEHTrajectPeriodeDatumTijdTotEnMet],"&gt;"&amp;($A67+5/24),tData[Langligger01],1)</f>
        <v/>
      </c>
      <c r="J67" s="20">
        <f>COUNTIFS(tData[SEHTrajectPeriodeDatumTijdVan],"&lt;="&amp;($A67+6/24),tData[SEHTrajectPeriodeDatumTijdTotEnMet],"&gt;"&amp;($A67+6/24),tData[Langligger01],1)</f>
        <v/>
      </c>
      <c r="K67" s="20">
        <f>COUNTIFS(tData[SEHTrajectPeriodeDatumTijdVan],"&lt;="&amp;($A67+7/24),tData[SEHTrajectPeriodeDatumTijdTotEnMet],"&gt;"&amp;($A67+7/24),tData[Langligger01],1)</f>
        <v/>
      </c>
      <c r="L67" s="20">
        <f>COUNTIFS(tData[SEHTrajectPeriodeDatumTijdVan],"&lt;="&amp;($A67+8/24),tData[SEHTrajectPeriodeDatumTijdTotEnMet],"&gt;"&amp;($A67+8/24),tData[Langligger01],1)</f>
        <v/>
      </c>
      <c r="M67" s="20">
        <f>COUNTIFS(tData[SEHTrajectPeriodeDatumTijdVan],"&lt;="&amp;($A67+9/24),tData[SEHTrajectPeriodeDatumTijdTotEnMet],"&gt;"&amp;($A67+9/24),tData[Langligger01],1)</f>
        <v/>
      </c>
      <c r="N67" s="20">
        <f>COUNTIFS(tData[SEHTrajectPeriodeDatumTijdVan],"&lt;="&amp;($A67+10/24),tData[SEHTrajectPeriodeDatumTijdTotEnMet],"&gt;"&amp;($A67+10/24),tData[Langligger01],1)</f>
        <v/>
      </c>
      <c r="O67" s="20">
        <f>COUNTIFS(tData[SEHTrajectPeriodeDatumTijdVan],"&lt;="&amp;($A67+11/24),tData[SEHTrajectPeriodeDatumTijdTotEnMet],"&gt;"&amp;($A67+11/24),tData[Langligger01],1)</f>
        <v/>
      </c>
      <c r="P67" s="20">
        <f>COUNTIFS(tData[SEHTrajectPeriodeDatumTijdVan],"&lt;="&amp;($A67+12/24),tData[SEHTrajectPeriodeDatumTijdTotEnMet],"&gt;"&amp;($A67+12/24),tData[Langligger01],1)</f>
        <v/>
      </c>
      <c r="Q67" s="20">
        <f>COUNTIFS(tData[SEHTrajectPeriodeDatumTijdVan],"&lt;="&amp;($A67+13/24),tData[SEHTrajectPeriodeDatumTijdTotEnMet],"&gt;"&amp;($A67+13/24),tData[Langligger01],1)</f>
        <v/>
      </c>
      <c r="R67" s="20">
        <f>COUNTIFS(tData[SEHTrajectPeriodeDatumTijdVan],"&lt;="&amp;($A67+14/24),tData[SEHTrajectPeriodeDatumTijdTotEnMet],"&gt;"&amp;($A67+14/24),tData[Langligger01],1)</f>
        <v/>
      </c>
      <c r="S67" s="20">
        <f>COUNTIFS(tData[SEHTrajectPeriodeDatumTijdVan],"&lt;="&amp;($A67+15/24),tData[SEHTrajectPeriodeDatumTijdTotEnMet],"&gt;"&amp;($A67+15/24),tData[Langligger01],1)</f>
        <v/>
      </c>
      <c r="T67" s="20">
        <f>COUNTIFS(tData[SEHTrajectPeriodeDatumTijdVan],"&lt;="&amp;($A67+16/24),tData[SEHTrajectPeriodeDatumTijdTotEnMet],"&gt;"&amp;($A67+16/24),tData[Langligger01],1)</f>
        <v/>
      </c>
      <c r="U67" s="20">
        <f>COUNTIFS(tData[SEHTrajectPeriodeDatumTijdVan],"&lt;="&amp;($A67+17/24),tData[SEHTrajectPeriodeDatumTijdTotEnMet],"&gt;"&amp;($A67+17/24),tData[Langligger01],1)</f>
        <v/>
      </c>
      <c r="V67" s="20">
        <f>COUNTIFS(tData[SEHTrajectPeriodeDatumTijdVan],"&lt;="&amp;($A67+18/24),tData[SEHTrajectPeriodeDatumTijdTotEnMet],"&gt;"&amp;($A67+18/24),tData[Langligger01],1)</f>
        <v/>
      </c>
      <c r="W67" s="20">
        <f>COUNTIFS(tData[SEHTrajectPeriodeDatumTijdVan],"&lt;="&amp;($A67+19/24),tData[SEHTrajectPeriodeDatumTijdTotEnMet],"&gt;"&amp;($A67+19/24),tData[Langligger01],1)</f>
        <v/>
      </c>
      <c r="X67" s="20">
        <f>COUNTIFS(tData[SEHTrajectPeriodeDatumTijdVan],"&lt;="&amp;($A67+20/24),tData[SEHTrajectPeriodeDatumTijdTotEnMet],"&gt;"&amp;($A67+20/24),tData[Langligger01],1)</f>
        <v/>
      </c>
      <c r="Y67" s="20">
        <f>COUNTIFS(tData[SEHTrajectPeriodeDatumTijdVan],"&lt;="&amp;($A67+21/24),tData[SEHTrajectPeriodeDatumTijdTotEnMet],"&gt;"&amp;($A67+21/24),tData[Langligger01],1)</f>
        <v/>
      </c>
      <c r="Z67" s="20">
        <f>COUNTIFS(tData[SEHTrajectPeriodeDatumTijdVan],"&lt;="&amp;($A67+22/24),tData[SEHTrajectPeriodeDatumTijdTotEnMet],"&gt;"&amp;($A67+22/24),tData[Langligger01],1)</f>
        <v/>
      </c>
      <c r="AA67" s="20">
        <f>COUNTIFS(tData[SEHTrajectPeriodeDatumTijdVan],"&lt;="&amp;($A67+23/24),tData[SEHTrajectPeriodeDatumTijdTotEnMet],"&gt;"&amp;($A67+23/24),tData[Langligger01],1)</f>
        <v/>
      </c>
    </row>
    <row r="68">
      <c r="A68" s="19" t="n">
        <v>45356</v>
      </c>
      <c r="B68" s="15">
        <f>WEEKDAY($A68,2)</f>
        <v/>
      </c>
      <c r="C68" s="15">
        <f>IF(AND($A68&gt;=INT(Instellingen!$B$5),$A68&lt;=INT(Instellingen!$B$6)),1,0)</f>
        <v/>
      </c>
      <c r="D68" s="20">
        <f>COUNTIFS(tData[SEHTrajectPeriodeDatumTijdVan],"&lt;="&amp;($A68+0/24),tData[SEHTrajectPeriodeDatumTijdTotEnMet],"&gt;"&amp;($A68+0/24),tData[Langligger01],1)</f>
        <v/>
      </c>
      <c r="E68" s="20">
        <f>COUNTIFS(tData[SEHTrajectPeriodeDatumTijdVan],"&lt;="&amp;($A68+1/24),tData[SEHTrajectPeriodeDatumTijdTotEnMet],"&gt;"&amp;($A68+1/24),tData[Langligger01],1)</f>
        <v/>
      </c>
      <c r="F68" s="20">
        <f>COUNTIFS(tData[SEHTrajectPeriodeDatumTijdVan],"&lt;="&amp;($A68+2/24),tData[SEHTrajectPeriodeDatumTijdTotEnMet],"&gt;"&amp;($A68+2/24),tData[Langligger01],1)</f>
        <v/>
      </c>
      <c r="G68" s="20">
        <f>COUNTIFS(tData[SEHTrajectPeriodeDatumTijdVan],"&lt;="&amp;($A68+3/24),tData[SEHTrajectPeriodeDatumTijdTotEnMet],"&gt;"&amp;($A68+3/24),tData[Langligger01],1)</f>
        <v/>
      </c>
      <c r="H68" s="20">
        <f>COUNTIFS(tData[SEHTrajectPeriodeDatumTijdVan],"&lt;="&amp;($A68+4/24),tData[SEHTrajectPeriodeDatumTijdTotEnMet],"&gt;"&amp;($A68+4/24),tData[Langligger01],1)</f>
        <v/>
      </c>
      <c r="I68" s="20">
        <f>COUNTIFS(tData[SEHTrajectPeriodeDatumTijdVan],"&lt;="&amp;($A68+5/24),tData[SEHTrajectPeriodeDatumTijdTotEnMet],"&gt;"&amp;($A68+5/24),tData[Langligger01],1)</f>
        <v/>
      </c>
      <c r="J68" s="20">
        <f>COUNTIFS(tData[SEHTrajectPeriodeDatumTijdVan],"&lt;="&amp;($A68+6/24),tData[SEHTrajectPeriodeDatumTijdTotEnMet],"&gt;"&amp;($A68+6/24),tData[Langligger01],1)</f>
        <v/>
      </c>
      <c r="K68" s="20">
        <f>COUNTIFS(tData[SEHTrajectPeriodeDatumTijdVan],"&lt;="&amp;($A68+7/24),tData[SEHTrajectPeriodeDatumTijdTotEnMet],"&gt;"&amp;($A68+7/24),tData[Langligger01],1)</f>
        <v/>
      </c>
      <c r="L68" s="20">
        <f>COUNTIFS(tData[SEHTrajectPeriodeDatumTijdVan],"&lt;="&amp;($A68+8/24),tData[SEHTrajectPeriodeDatumTijdTotEnMet],"&gt;"&amp;($A68+8/24),tData[Langligger01],1)</f>
        <v/>
      </c>
      <c r="M68" s="20">
        <f>COUNTIFS(tData[SEHTrajectPeriodeDatumTijdVan],"&lt;="&amp;($A68+9/24),tData[SEHTrajectPeriodeDatumTijdTotEnMet],"&gt;"&amp;($A68+9/24),tData[Langligger01],1)</f>
        <v/>
      </c>
      <c r="N68" s="20">
        <f>COUNTIFS(tData[SEHTrajectPeriodeDatumTijdVan],"&lt;="&amp;($A68+10/24),tData[SEHTrajectPeriodeDatumTijdTotEnMet],"&gt;"&amp;($A68+10/24),tData[Langligger01],1)</f>
        <v/>
      </c>
      <c r="O68" s="20">
        <f>COUNTIFS(tData[SEHTrajectPeriodeDatumTijdVan],"&lt;="&amp;($A68+11/24),tData[SEHTrajectPeriodeDatumTijdTotEnMet],"&gt;"&amp;($A68+11/24),tData[Langligger01],1)</f>
        <v/>
      </c>
      <c r="P68" s="20">
        <f>COUNTIFS(tData[SEHTrajectPeriodeDatumTijdVan],"&lt;="&amp;($A68+12/24),tData[SEHTrajectPeriodeDatumTijdTotEnMet],"&gt;"&amp;($A68+12/24),tData[Langligger01],1)</f>
        <v/>
      </c>
      <c r="Q68" s="20">
        <f>COUNTIFS(tData[SEHTrajectPeriodeDatumTijdVan],"&lt;="&amp;($A68+13/24),tData[SEHTrajectPeriodeDatumTijdTotEnMet],"&gt;"&amp;($A68+13/24),tData[Langligger01],1)</f>
        <v/>
      </c>
      <c r="R68" s="20">
        <f>COUNTIFS(tData[SEHTrajectPeriodeDatumTijdVan],"&lt;="&amp;($A68+14/24),tData[SEHTrajectPeriodeDatumTijdTotEnMet],"&gt;"&amp;($A68+14/24),tData[Langligger01],1)</f>
        <v/>
      </c>
      <c r="S68" s="20">
        <f>COUNTIFS(tData[SEHTrajectPeriodeDatumTijdVan],"&lt;="&amp;($A68+15/24),tData[SEHTrajectPeriodeDatumTijdTotEnMet],"&gt;"&amp;($A68+15/24),tData[Langligger01],1)</f>
        <v/>
      </c>
      <c r="T68" s="20">
        <f>COUNTIFS(tData[SEHTrajectPeriodeDatumTijdVan],"&lt;="&amp;($A68+16/24),tData[SEHTrajectPeriodeDatumTijdTotEnMet],"&gt;"&amp;($A68+16/24),tData[Langligger01],1)</f>
        <v/>
      </c>
      <c r="U68" s="20">
        <f>COUNTIFS(tData[SEHTrajectPeriodeDatumTijdVan],"&lt;="&amp;($A68+17/24),tData[SEHTrajectPeriodeDatumTijdTotEnMet],"&gt;"&amp;($A68+17/24),tData[Langligger01],1)</f>
        <v/>
      </c>
      <c r="V68" s="20">
        <f>COUNTIFS(tData[SEHTrajectPeriodeDatumTijdVan],"&lt;="&amp;($A68+18/24),tData[SEHTrajectPeriodeDatumTijdTotEnMet],"&gt;"&amp;($A68+18/24),tData[Langligger01],1)</f>
        <v/>
      </c>
      <c r="W68" s="20">
        <f>COUNTIFS(tData[SEHTrajectPeriodeDatumTijdVan],"&lt;="&amp;($A68+19/24),tData[SEHTrajectPeriodeDatumTijdTotEnMet],"&gt;"&amp;($A68+19/24),tData[Langligger01],1)</f>
        <v/>
      </c>
      <c r="X68" s="20">
        <f>COUNTIFS(tData[SEHTrajectPeriodeDatumTijdVan],"&lt;="&amp;($A68+20/24),tData[SEHTrajectPeriodeDatumTijdTotEnMet],"&gt;"&amp;($A68+20/24),tData[Langligger01],1)</f>
        <v/>
      </c>
      <c r="Y68" s="20">
        <f>COUNTIFS(tData[SEHTrajectPeriodeDatumTijdVan],"&lt;="&amp;($A68+21/24),tData[SEHTrajectPeriodeDatumTijdTotEnMet],"&gt;"&amp;($A68+21/24),tData[Langligger01],1)</f>
        <v/>
      </c>
      <c r="Z68" s="20">
        <f>COUNTIFS(tData[SEHTrajectPeriodeDatumTijdVan],"&lt;="&amp;($A68+22/24),tData[SEHTrajectPeriodeDatumTijdTotEnMet],"&gt;"&amp;($A68+22/24),tData[Langligger01],1)</f>
        <v/>
      </c>
      <c r="AA68" s="20">
        <f>COUNTIFS(tData[SEHTrajectPeriodeDatumTijdVan],"&lt;="&amp;($A68+23/24),tData[SEHTrajectPeriodeDatumTijdTotEnMet],"&gt;"&amp;($A68+23/24),tData[Langligger01],1)</f>
        <v/>
      </c>
    </row>
    <row r="69">
      <c r="A69" s="19" t="n">
        <v>45357</v>
      </c>
      <c r="B69" s="15">
        <f>WEEKDAY($A69,2)</f>
        <v/>
      </c>
      <c r="C69" s="15">
        <f>IF(AND($A69&gt;=INT(Instellingen!$B$5),$A69&lt;=INT(Instellingen!$B$6)),1,0)</f>
        <v/>
      </c>
      <c r="D69" s="20">
        <f>COUNTIFS(tData[SEHTrajectPeriodeDatumTijdVan],"&lt;="&amp;($A69+0/24),tData[SEHTrajectPeriodeDatumTijdTotEnMet],"&gt;"&amp;($A69+0/24),tData[Langligger01],1)</f>
        <v/>
      </c>
      <c r="E69" s="20">
        <f>COUNTIFS(tData[SEHTrajectPeriodeDatumTijdVan],"&lt;="&amp;($A69+1/24),tData[SEHTrajectPeriodeDatumTijdTotEnMet],"&gt;"&amp;($A69+1/24),tData[Langligger01],1)</f>
        <v/>
      </c>
      <c r="F69" s="20">
        <f>COUNTIFS(tData[SEHTrajectPeriodeDatumTijdVan],"&lt;="&amp;($A69+2/24),tData[SEHTrajectPeriodeDatumTijdTotEnMet],"&gt;"&amp;($A69+2/24),tData[Langligger01],1)</f>
        <v/>
      </c>
      <c r="G69" s="20">
        <f>COUNTIFS(tData[SEHTrajectPeriodeDatumTijdVan],"&lt;="&amp;($A69+3/24),tData[SEHTrajectPeriodeDatumTijdTotEnMet],"&gt;"&amp;($A69+3/24),tData[Langligger01],1)</f>
        <v/>
      </c>
      <c r="H69" s="20">
        <f>COUNTIFS(tData[SEHTrajectPeriodeDatumTijdVan],"&lt;="&amp;($A69+4/24),tData[SEHTrajectPeriodeDatumTijdTotEnMet],"&gt;"&amp;($A69+4/24),tData[Langligger01],1)</f>
        <v/>
      </c>
      <c r="I69" s="20">
        <f>COUNTIFS(tData[SEHTrajectPeriodeDatumTijdVan],"&lt;="&amp;($A69+5/24),tData[SEHTrajectPeriodeDatumTijdTotEnMet],"&gt;"&amp;($A69+5/24),tData[Langligger01],1)</f>
        <v/>
      </c>
      <c r="J69" s="20">
        <f>COUNTIFS(tData[SEHTrajectPeriodeDatumTijdVan],"&lt;="&amp;($A69+6/24),tData[SEHTrajectPeriodeDatumTijdTotEnMet],"&gt;"&amp;($A69+6/24),tData[Langligger01],1)</f>
        <v/>
      </c>
      <c r="K69" s="20">
        <f>COUNTIFS(tData[SEHTrajectPeriodeDatumTijdVan],"&lt;="&amp;($A69+7/24),tData[SEHTrajectPeriodeDatumTijdTotEnMet],"&gt;"&amp;($A69+7/24),tData[Langligger01],1)</f>
        <v/>
      </c>
      <c r="L69" s="20">
        <f>COUNTIFS(tData[SEHTrajectPeriodeDatumTijdVan],"&lt;="&amp;($A69+8/24),tData[SEHTrajectPeriodeDatumTijdTotEnMet],"&gt;"&amp;($A69+8/24),tData[Langligger01],1)</f>
        <v/>
      </c>
      <c r="M69" s="20">
        <f>COUNTIFS(tData[SEHTrajectPeriodeDatumTijdVan],"&lt;="&amp;($A69+9/24),tData[SEHTrajectPeriodeDatumTijdTotEnMet],"&gt;"&amp;($A69+9/24),tData[Langligger01],1)</f>
        <v/>
      </c>
      <c r="N69" s="20">
        <f>COUNTIFS(tData[SEHTrajectPeriodeDatumTijdVan],"&lt;="&amp;($A69+10/24),tData[SEHTrajectPeriodeDatumTijdTotEnMet],"&gt;"&amp;($A69+10/24),tData[Langligger01],1)</f>
        <v/>
      </c>
      <c r="O69" s="20">
        <f>COUNTIFS(tData[SEHTrajectPeriodeDatumTijdVan],"&lt;="&amp;($A69+11/24),tData[SEHTrajectPeriodeDatumTijdTotEnMet],"&gt;"&amp;($A69+11/24),tData[Langligger01],1)</f>
        <v/>
      </c>
      <c r="P69" s="20">
        <f>COUNTIFS(tData[SEHTrajectPeriodeDatumTijdVan],"&lt;="&amp;($A69+12/24),tData[SEHTrajectPeriodeDatumTijdTotEnMet],"&gt;"&amp;($A69+12/24),tData[Langligger01],1)</f>
        <v/>
      </c>
      <c r="Q69" s="20">
        <f>COUNTIFS(tData[SEHTrajectPeriodeDatumTijdVan],"&lt;="&amp;($A69+13/24),tData[SEHTrajectPeriodeDatumTijdTotEnMet],"&gt;"&amp;($A69+13/24),tData[Langligger01],1)</f>
        <v/>
      </c>
      <c r="R69" s="20">
        <f>COUNTIFS(tData[SEHTrajectPeriodeDatumTijdVan],"&lt;="&amp;($A69+14/24),tData[SEHTrajectPeriodeDatumTijdTotEnMet],"&gt;"&amp;($A69+14/24),tData[Langligger01],1)</f>
        <v/>
      </c>
      <c r="S69" s="20">
        <f>COUNTIFS(tData[SEHTrajectPeriodeDatumTijdVan],"&lt;="&amp;($A69+15/24),tData[SEHTrajectPeriodeDatumTijdTotEnMet],"&gt;"&amp;($A69+15/24),tData[Langligger01],1)</f>
        <v/>
      </c>
      <c r="T69" s="20">
        <f>COUNTIFS(tData[SEHTrajectPeriodeDatumTijdVan],"&lt;="&amp;($A69+16/24),tData[SEHTrajectPeriodeDatumTijdTotEnMet],"&gt;"&amp;($A69+16/24),tData[Langligger01],1)</f>
        <v/>
      </c>
      <c r="U69" s="20">
        <f>COUNTIFS(tData[SEHTrajectPeriodeDatumTijdVan],"&lt;="&amp;($A69+17/24),tData[SEHTrajectPeriodeDatumTijdTotEnMet],"&gt;"&amp;($A69+17/24),tData[Langligger01],1)</f>
        <v/>
      </c>
      <c r="V69" s="20">
        <f>COUNTIFS(tData[SEHTrajectPeriodeDatumTijdVan],"&lt;="&amp;($A69+18/24),tData[SEHTrajectPeriodeDatumTijdTotEnMet],"&gt;"&amp;($A69+18/24),tData[Langligger01],1)</f>
        <v/>
      </c>
      <c r="W69" s="20">
        <f>COUNTIFS(tData[SEHTrajectPeriodeDatumTijdVan],"&lt;="&amp;($A69+19/24),tData[SEHTrajectPeriodeDatumTijdTotEnMet],"&gt;"&amp;($A69+19/24),tData[Langligger01],1)</f>
        <v/>
      </c>
      <c r="X69" s="20">
        <f>COUNTIFS(tData[SEHTrajectPeriodeDatumTijdVan],"&lt;="&amp;($A69+20/24),tData[SEHTrajectPeriodeDatumTijdTotEnMet],"&gt;"&amp;($A69+20/24),tData[Langligger01],1)</f>
        <v/>
      </c>
      <c r="Y69" s="20">
        <f>COUNTIFS(tData[SEHTrajectPeriodeDatumTijdVan],"&lt;="&amp;($A69+21/24),tData[SEHTrajectPeriodeDatumTijdTotEnMet],"&gt;"&amp;($A69+21/24),tData[Langligger01],1)</f>
        <v/>
      </c>
      <c r="Z69" s="20">
        <f>COUNTIFS(tData[SEHTrajectPeriodeDatumTijdVan],"&lt;="&amp;($A69+22/24),tData[SEHTrajectPeriodeDatumTijdTotEnMet],"&gt;"&amp;($A69+22/24),tData[Langligger01],1)</f>
        <v/>
      </c>
      <c r="AA69" s="20">
        <f>COUNTIFS(tData[SEHTrajectPeriodeDatumTijdVan],"&lt;="&amp;($A69+23/24),tData[SEHTrajectPeriodeDatumTijdTotEnMet],"&gt;"&amp;($A69+23/24),tData[Langligger01],1)</f>
        <v/>
      </c>
    </row>
    <row r="70">
      <c r="A70" s="19" t="n">
        <v>45358</v>
      </c>
      <c r="B70" s="15">
        <f>WEEKDAY($A70,2)</f>
        <v/>
      </c>
      <c r="C70" s="15">
        <f>IF(AND($A70&gt;=INT(Instellingen!$B$5),$A70&lt;=INT(Instellingen!$B$6)),1,0)</f>
        <v/>
      </c>
      <c r="D70" s="20">
        <f>COUNTIFS(tData[SEHTrajectPeriodeDatumTijdVan],"&lt;="&amp;($A70+0/24),tData[SEHTrajectPeriodeDatumTijdTotEnMet],"&gt;"&amp;($A70+0/24),tData[Langligger01],1)</f>
        <v/>
      </c>
      <c r="E70" s="20">
        <f>COUNTIFS(tData[SEHTrajectPeriodeDatumTijdVan],"&lt;="&amp;($A70+1/24),tData[SEHTrajectPeriodeDatumTijdTotEnMet],"&gt;"&amp;($A70+1/24),tData[Langligger01],1)</f>
        <v/>
      </c>
      <c r="F70" s="20">
        <f>COUNTIFS(tData[SEHTrajectPeriodeDatumTijdVan],"&lt;="&amp;($A70+2/24),tData[SEHTrajectPeriodeDatumTijdTotEnMet],"&gt;"&amp;($A70+2/24),tData[Langligger01],1)</f>
        <v/>
      </c>
      <c r="G70" s="20">
        <f>COUNTIFS(tData[SEHTrajectPeriodeDatumTijdVan],"&lt;="&amp;($A70+3/24),tData[SEHTrajectPeriodeDatumTijdTotEnMet],"&gt;"&amp;($A70+3/24),tData[Langligger01],1)</f>
        <v/>
      </c>
      <c r="H70" s="20">
        <f>COUNTIFS(tData[SEHTrajectPeriodeDatumTijdVan],"&lt;="&amp;($A70+4/24),tData[SEHTrajectPeriodeDatumTijdTotEnMet],"&gt;"&amp;($A70+4/24),tData[Langligger01],1)</f>
        <v/>
      </c>
      <c r="I70" s="20">
        <f>COUNTIFS(tData[SEHTrajectPeriodeDatumTijdVan],"&lt;="&amp;($A70+5/24),tData[SEHTrajectPeriodeDatumTijdTotEnMet],"&gt;"&amp;($A70+5/24),tData[Langligger01],1)</f>
        <v/>
      </c>
      <c r="J70" s="20">
        <f>COUNTIFS(tData[SEHTrajectPeriodeDatumTijdVan],"&lt;="&amp;($A70+6/24),tData[SEHTrajectPeriodeDatumTijdTotEnMet],"&gt;"&amp;($A70+6/24),tData[Langligger01],1)</f>
        <v/>
      </c>
      <c r="K70" s="20">
        <f>COUNTIFS(tData[SEHTrajectPeriodeDatumTijdVan],"&lt;="&amp;($A70+7/24),tData[SEHTrajectPeriodeDatumTijdTotEnMet],"&gt;"&amp;($A70+7/24),tData[Langligger01],1)</f>
        <v/>
      </c>
      <c r="L70" s="20">
        <f>COUNTIFS(tData[SEHTrajectPeriodeDatumTijdVan],"&lt;="&amp;($A70+8/24),tData[SEHTrajectPeriodeDatumTijdTotEnMet],"&gt;"&amp;($A70+8/24),tData[Langligger01],1)</f>
        <v/>
      </c>
      <c r="M70" s="20">
        <f>COUNTIFS(tData[SEHTrajectPeriodeDatumTijdVan],"&lt;="&amp;($A70+9/24),tData[SEHTrajectPeriodeDatumTijdTotEnMet],"&gt;"&amp;($A70+9/24),tData[Langligger01],1)</f>
        <v/>
      </c>
      <c r="N70" s="20">
        <f>COUNTIFS(tData[SEHTrajectPeriodeDatumTijdVan],"&lt;="&amp;($A70+10/24),tData[SEHTrajectPeriodeDatumTijdTotEnMet],"&gt;"&amp;($A70+10/24),tData[Langligger01],1)</f>
        <v/>
      </c>
      <c r="O70" s="20">
        <f>COUNTIFS(tData[SEHTrajectPeriodeDatumTijdVan],"&lt;="&amp;($A70+11/24),tData[SEHTrajectPeriodeDatumTijdTotEnMet],"&gt;"&amp;($A70+11/24),tData[Langligger01],1)</f>
        <v/>
      </c>
      <c r="P70" s="20">
        <f>COUNTIFS(tData[SEHTrajectPeriodeDatumTijdVan],"&lt;="&amp;($A70+12/24),tData[SEHTrajectPeriodeDatumTijdTotEnMet],"&gt;"&amp;($A70+12/24),tData[Langligger01],1)</f>
        <v/>
      </c>
      <c r="Q70" s="20">
        <f>COUNTIFS(tData[SEHTrajectPeriodeDatumTijdVan],"&lt;="&amp;($A70+13/24),tData[SEHTrajectPeriodeDatumTijdTotEnMet],"&gt;"&amp;($A70+13/24),tData[Langligger01],1)</f>
        <v/>
      </c>
      <c r="R70" s="20">
        <f>COUNTIFS(tData[SEHTrajectPeriodeDatumTijdVan],"&lt;="&amp;($A70+14/24),tData[SEHTrajectPeriodeDatumTijdTotEnMet],"&gt;"&amp;($A70+14/24),tData[Langligger01],1)</f>
        <v/>
      </c>
      <c r="S70" s="20">
        <f>COUNTIFS(tData[SEHTrajectPeriodeDatumTijdVan],"&lt;="&amp;($A70+15/24),tData[SEHTrajectPeriodeDatumTijdTotEnMet],"&gt;"&amp;($A70+15/24),tData[Langligger01],1)</f>
        <v/>
      </c>
      <c r="T70" s="20">
        <f>COUNTIFS(tData[SEHTrajectPeriodeDatumTijdVan],"&lt;="&amp;($A70+16/24),tData[SEHTrajectPeriodeDatumTijdTotEnMet],"&gt;"&amp;($A70+16/24),tData[Langligger01],1)</f>
        <v/>
      </c>
      <c r="U70" s="20">
        <f>COUNTIFS(tData[SEHTrajectPeriodeDatumTijdVan],"&lt;="&amp;($A70+17/24),tData[SEHTrajectPeriodeDatumTijdTotEnMet],"&gt;"&amp;($A70+17/24),tData[Langligger01],1)</f>
        <v/>
      </c>
      <c r="V70" s="20">
        <f>COUNTIFS(tData[SEHTrajectPeriodeDatumTijdVan],"&lt;="&amp;($A70+18/24),tData[SEHTrajectPeriodeDatumTijdTotEnMet],"&gt;"&amp;($A70+18/24),tData[Langligger01],1)</f>
        <v/>
      </c>
      <c r="W70" s="20">
        <f>COUNTIFS(tData[SEHTrajectPeriodeDatumTijdVan],"&lt;="&amp;($A70+19/24),tData[SEHTrajectPeriodeDatumTijdTotEnMet],"&gt;"&amp;($A70+19/24),tData[Langligger01],1)</f>
        <v/>
      </c>
      <c r="X70" s="20">
        <f>COUNTIFS(tData[SEHTrajectPeriodeDatumTijdVan],"&lt;="&amp;($A70+20/24),tData[SEHTrajectPeriodeDatumTijdTotEnMet],"&gt;"&amp;($A70+20/24),tData[Langligger01],1)</f>
        <v/>
      </c>
      <c r="Y70" s="20">
        <f>COUNTIFS(tData[SEHTrajectPeriodeDatumTijdVan],"&lt;="&amp;($A70+21/24),tData[SEHTrajectPeriodeDatumTijdTotEnMet],"&gt;"&amp;($A70+21/24),tData[Langligger01],1)</f>
        <v/>
      </c>
      <c r="Z70" s="20">
        <f>COUNTIFS(tData[SEHTrajectPeriodeDatumTijdVan],"&lt;="&amp;($A70+22/24),tData[SEHTrajectPeriodeDatumTijdTotEnMet],"&gt;"&amp;($A70+22/24),tData[Langligger01],1)</f>
        <v/>
      </c>
      <c r="AA70" s="20">
        <f>COUNTIFS(tData[SEHTrajectPeriodeDatumTijdVan],"&lt;="&amp;($A70+23/24),tData[SEHTrajectPeriodeDatumTijdTotEnMet],"&gt;"&amp;($A70+23/24),tData[Langligger01],1)</f>
        <v/>
      </c>
    </row>
    <row r="71">
      <c r="A71" s="19" t="n">
        <v>45359</v>
      </c>
      <c r="B71" s="15">
        <f>WEEKDAY($A71,2)</f>
        <v/>
      </c>
      <c r="C71" s="15">
        <f>IF(AND($A71&gt;=INT(Instellingen!$B$5),$A71&lt;=INT(Instellingen!$B$6)),1,0)</f>
        <v/>
      </c>
      <c r="D71" s="20">
        <f>COUNTIFS(tData[SEHTrajectPeriodeDatumTijdVan],"&lt;="&amp;($A71+0/24),tData[SEHTrajectPeriodeDatumTijdTotEnMet],"&gt;"&amp;($A71+0/24),tData[Langligger01],1)</f>
        <v/>
      </c>
      <c r="E71" s="20">
        <f>COUNTIFS(tData[SEHTrajectPeriodeDatumTijdVan],"&lt;="&amp;($A71+1/24),tData[SEHTrajectPeriodeDatumTijdTotEnMet],"&gt;"&amp;($A71+1/24),tData[Langligger01],1)</f>
        <v/>
      </c>
      <c r="F71" s="20">
        <f>COUNTIFS(tData[SEHTrajectPeriodeDatumTijdVan],"&lt;="&amp;($A71+2/24),tData[SEHTrajectPeriodeDatumTijdTotEnMet],"&gt;"&amp;($A71+2/24),tData[Langligger01],1)</f>
        <v/>
      </c>
      <c r="G71" s="20">
        <f>COUNTIFS(tData[SEHTrajectPeriodeDatumTijdVan],"&lt;="&amp;($A71+3/24),tData[SEHTrajectPeriodeDatumTijdTotEnMet],"&gt;"&amp;($A71+3/24),tData[Langligger01],1)</f>
        <v/>
      </c>
      <c r="H71" s="20">
        <f>COUNTIFS(tData[SEHTrajectPeriodeDatumTijdVan],"&lt;="&amp;($A71+4/24),tData[SEHTrajectPeriodeDatumTijdTotEnMet],"&gt;"&amp;($A71+4/24),tData[Langligger01],1)</f>
        <v/>
      </c>
      <c r="I71" s="20">
        <f>COUNTIFS(tData[SEHTrajectPeriodeDatumTijdVan],"&lt;="&amp;($A71+5/24),tData[SEHTrajectPeriodeDatumTijdTotEnMet],"&gt;"&amp;($A71+5/24),tData[Langligger01],1)</f>
        <v/>
      </c>
      <c r="J71" s="20">
        <f>COUNTIFS(tData[SEHTrajectPeriodeDatumTijdVan],"&lt;="&amp;($A71+6/24),tData[SEHTrajectPeriodeDatumTijdTotEnMet],"&gt;"&amp;($A71+6/24),tData[Langligger01],1)</f>
        <v/>
      </c>
      <c r="K71" s="20">
        <f>COUNTIFS(tData[SEHTrajectPeriodeDatumTijdVan],"&lt;="&amp;($A71+7/24),tData[SEHTrajectPeriodeDatumTijdTotEnMet],"&gt;"&amp;($A71+7/24),tData[Langligger01],1)</f>
        <v/>
      </c>
      <c r="L71" s="20">
        <f>COUNTIFS(tData[SEHTrajectPeriodeDatumTijdVan],"&lt;="&amp;($A71+8/24),tData[SEHTrajectPeriodeDatumTijdTotEnMet],"&gt;"&amp;($A71+8/24),tData[Langligger01],1)</f>
        <v/>
      </c>
      <c r="M71" s="20">
        <f>COUNTIFS(tData[SEHTrajectPeriodeDatumTijdVan],"&lt;="&amp;($A71+9/24),tData[SEHTrajectPeriodeDatumTijdTotEnMet],"&gt;"&amp;($A71+9/24),tData[Langligger01],1)</f>
        <v/>
      </c>
      <c r="N71" s="20">
        <f>COUNTIFS(tData[SEHTrajectPeriodeDatumTijdVan],"&lt;="&amp;($A71+10/24),tData[SEHTrajectPeriodeDatumTijdTotEnMet],"&gt;"&amp;($A71+10/24),tData[Langligger01],1)</f>
        <v/>
      </c>
      <c r="O71" s="20">
        <f>COUNTIFS(tData[SEHTrajectPeriodeDatumTijdVan],"&lt;="&amp;($A71+11/24),tData[SEHTrajectPeriodeDatumTijdTotEnMet],"&gt;"&amp;($A71+11/24),tData[Langligger01],1)</f>
        <v/>
      </c>
      <c r="P71" s="20">
        <f>COUNTIFS(tData[SEHTrajectPeriodeDatumTijdVan],"&lt;="&amp;($A71+12/24),tData[SEHTrajectPeriodeDatumTijdTotEnMet],"&gt;"&amp;($A71+12/24),tData[Langligger01],1)</f>
        <v/>
      </c>
      <c r="Q71" s="20">
        <f>COUNTIFS(tData[SEHTrajectPeriodeDatumTijdVan],"&lt;="&amp;($A71+13/24),tData[SEHTrajectPeriodeDatumTijdTotEnMet],"&gt;"&amp;($A71+13/24),tData[Langligger01],1)</f>
        <v/>
      </c>
      <c r="R71" s="20">
        <f>COUNTIFS(tData[SEHTrajectPeriodeDatumTijdVan],"&lt;="&amp;($A71+14/24),tData[SEHTrajectPeriodeDatumTijdTotEnMet],"&gt;"&amp;($A71+14/24),tData[Langligger01],1)</f>
        <v/>
      </c>
      <c r="S71" s="20">
        <f>COUNTIFS(tData[SEHTrajectPeriodeDatumTijdVan],"&lt;="&amp;($A71+15/24),tData[SEHTrajectPeriodeDatumTijdTotEnMet],"&gt;"&amp;($A71+15/24),tData[Langligger01],1)</f>
        <v/>
      </c>
      <c r="T71" s="20">
        <f>COUNTIFS(tData[SEHTrajectPeriodeDatumTijdVan],"&lt;="&amp;($A71+16/24),tData[SEHTrajectPeriodeDatumTijdTotEnMet],"&gt;"&amp;($A71+16/24),tData[Langligger01],1)</f>
        <v/>
      </c>
      <c r="U71" s="20">
        <f>COUNTIFS(tData[SEHTrajectPeriodeDatumTijdVan],"&lt;="&amp;($A71+17/24),tData[SEHTrajectPeriodeDatumTijdTotEnMet],"&gt;"&amp;($A71+17/24),tData[Langligger01],1)</f>
        <v/>
      </c>
      <c r="V71" s="20">
        <f>COUNTIFS(tData[SEHTrajectPeriodeDatumTijdVan],"&lt;="&amp;($A71+18/24),tData[SEHTrajectPeriodeDatumTijdTotEnMet],"&gt;"&amp;($A71+18/24),tData[Langligger01],1)</f>
        <v/>
      </c>
      <c r="W71" s="20">
        <f>COUNTIFS(tData[SEHTrajectPeriodeDatumTijdVan],"&lt;="&amp;($A71+19/24),tData[SEHTrajectPeriodeDatumTijdTotEnMet],"&gt;"&amp;($A71+19/24),tData[Langligger01],1)</f>
        <v/>
      </c>
      <c r="X71" s="20">
        <f>COUNTIFS(tData[SEHTrajectPeriodeDatumTijdVan],"&lt;="&amp;($A71+20/24),tData[SEHTrajectPeriodeDatumTijdTotEnMet],"&gt;"&amp;($A71+20/24),tData[Langligger01],1)</f>
        <v/>
      </c>
      <c r="Y71" s="20">
        <f>COUNTIFS(tData[SEHTrajectPeriodeDatumTijdVan],"&lt;="&amp;($A71+21/24),tData[SEHTrajectPeriodeDatumTijdTotEnMet],"&gt;"&amp;($A71+21/24),tData[Langligger01],1)</f>
        <v/>
      </c>
      <c r="Z71" s="20">
        <f>COUNTIFS(tData[SEHTrajectPeriodeDatumTijdVan],"&lt;="&amp;($A71+22/24),tData[SEHTrajectPeriodeDatumTijdTotEnMet],"&gt;"&amp;($A71+22/24),tData[Langligger01],1)</f>
        <v/>
      </c>
      <c r="AA71" s="20">
        <f>COUNTIFS(tData[SEHTrajectPeriodeDatumTijdVan],"&lt;="&amp;($A71+23/24),tData[SEHTrajectPeriodeDatumTijdTotEnMet],"&gt;"&amp;($A71+23/24),tData[Langligger01],1)</f>
        <v/>
      </c>
    </row>
    <row r="72">
      <c r="A72" s="19" t="n">
        <v>45360</v>
      </c>
      <c r="B72" s="15">
        <f>WEEKDAY($A72,2)</f>
        <v/>
      </c>
      <c r="C72" s="15">
        <f>IF(AND($A72&gt;=INT(Instellingen!$B$5),$A72&lt;=INT(Instellingen!$B$6)),1,0)</f>
        <v/>
      </c>
      <c r="D72" s="20">
        <f>COUNTIFS(tData[SEHTrajectPeriodeDatumTijdVan],"&lt;="&amp;($A72+0/24),tData[SEHTrajectPeriodeDatumTijdTotEnMet],"&gt;"&amp;($A72+0/24),tData[Langligger01],1)</f>
        <v/>
      </c>
      <c r="E72" s="20">
        <f>COUNTIFS(tData[SEHTrajectPeriodeDatumTijdVan],"&lt;="&amp;($A72+1/24),tData[SEHTrajectPeriodeDatumTijdTotEnMet],"&gt;"&amp;($A72+1/24),tData[Langligger01],1)</f>
        <v/>
      </c>
      <c r="F72" s="20">
        <f>COUNTIFS(tData[SEHTrajectPeriodeDatumTijdVan],"&lt;="&amp;($A72+2/24),tData[SEHTrajectPeriodeDatumTijdTotEnMet],"&gt;"&amp;($A72+2/24),tData[Langligger01],1)</f>
        <v/>
      </c>
      <c r="G72" s="20">
        <f>COUNTIFS(tData[SEHTrajectPeriodeDatumTijdVan],"&lt;="&amp;($A72+3/24),tData[SEHTrajectPeriodeDatumTijdTotEnMet],"&gt;"&amp;($A72+3/24),tData[Langligger01],1)</f>
        <v/>
      </c>
      <c r="H72" s="20">
        <f>COUNTIFS(tData[SEHTrajectPeriodeDatumTijdVan],"&lt;="&amp;($A72+4/24),tData[SEHTrajectPeriodeDatumTijdTotEnMet],"&gt;"&amp;($A72+4/24),tData[Langligger01],1)</f>
        <v/>
      </c>
      <c r="I72" s="20">
        <f>COUNTIFS(tData[SEHTrajectPeriodeDatumTijdVan],"&lt;="&amp;($A72+5/24),tData[SEHTrajectPeriodeDatumTijdTotEnMet],"&gt;"&amp;($A72+5/24),tData[Langligger01],1)</f>
        <v/>
      </c>
      <c r="J72" s="20">
        <f>COUNTIFS(tData[SEHTrajectPeriodeDatumTijdVan],"&lt;="&amp;($A72+6/24),tData[SEHTrajectPeriodeDatumTijdTotEnMet],"&gt;"&amp;($A72+6/24),tData[Langligger01],1)</f>
        <v/>
      </c>
      <c r="K72" s="20">
        <f>COUNTIFS(tData[SEHTrajectPeriodeDatumTijdVan],"&lt;="&amp;($A72+7/24),tData[SEHTrajectPeriodeDatumTijdTotEnMet],"&gt;"&amp;($A72+7/24),tData[Langligger01],1)</f>
        <v/>
      </c>
      <c r="L72" s="20">
        <f>COUNTIFS(tData[SEHTrajectPeriodeDatumTijdVan],"&lt;="&amp;($A72+8/24),tData[SEHTrajectPeriodeDatumTijdTotEnMet],"&gt;"&amp;($A72+8/24),tData[Langligger01],1)</f>
        <v/>
      </c>
      <c r="M72" s="20">
        <f>COUNTIFS(tData[SEHTrajectPeriodeDatumTijdVan],"&lt;="&amp;($A72+9/24),tData[SEHTrajectPeriodeDatumTijdTotEnMet],"&gt;"&amp;($A72+9/24),tData[Langligger01],1)</f>
        <v/>
      </c>
      <c r="N72" s="20">
        <f>COUNTIFS(tData[SEHTrajectPeriodeDatumTijdVan],"&lt;="&amp;($A72+10/24),tData[SEHTrajectPeriodeDatumTijdTotEnMet],"&gt;"&amp;($A72+10/24),tData[Langligger01],1)</f>
        <v/>
      </c>
      <c r="O72" s="20">
        <f>COUNTIFS(tData[SEHTrajectPeriodeDatumTijdVan],"&lt;="&amp;($A72+11/24),tData[SEHTrajectPeriodeDatumTijdTotEnMet],"&gt;"&amp;($A72+11/24),tData[Langligger01],1)</f>
        <v/>
      </c>
      <c r="P72" s="20">
        <f>COUNTIFS(tData[SEHTrajectPeriodeDatumTijdVan],"&lt;="&amp;($A72+12/24),tData[SEHTrajectPeriodeDatumTijdTotEnMet],"&gt;"&amp;($A72+12/24),tData[Langligger01],1)</f>
        <v/>
      </c>
      <c r="Q72" s="20">
        <f>COUNTIFS(tData[SEHTrajectPeriodeDatumTijdVan],"&lt;="&amp;($A72+13/24),tData[SEHTrajectPeriodeDatumTijdTotEnMet],"&gt;"&amp;($A72+13/24),tData[Langligger01],1)</f>
        <v/>
      </c>
      <c r="R72" s="20">
        <f>COUNTIFS(tData[SEHTrajectPeriodeDatumTijdVan],"&lt;="&amp;($A72+14/24),tData[SEHTrajectPeriodeDatumTijdTotEnMet],"&gt;"&amp;($A72+14/24),tData[Langligger01],1)</f>
        <v/>
      </c>
      <c r="S72" s="20">
        <f>COUNTIFS(tData[SEHTrajectPeriodeDatumTijdVan],"&lt;="&amp;($A72+15/24),tData[SEHTrajectPeriodeDatumTijdTotEnMet],"&gt;"&amp;($A72+15/24),tData[Langligger01],1)</f>
        <v/>
      </c>
      <c r="T72" s="20">
        <f>COUNTIFS(tData[SEHTrajectPeriodeDatumTijdVan],"&lt;="&amp;($A72+16/24),tData[SEHTrajectPeriodeDatumTijdTotEnMet],"&gt;"&amp;($A72+16/24),tData[Langligger01],1)</f>
        <v/>
      </c>
      <c r="U72" s="20">
        <f>COUNTIFS(tData[SEHTrajectPeriodeDatumTijdVan],"&lt;="&amp;($A72+17/24),tData[SEHTrajectPeriodeDatumTijdTotEnMet],"&gt;"&amp;($A72+17/24),tData[Langligger01],1)</f>
        <v/>
      </c>
      <c r="V72" s="20">
        <f>COUNTIFS(tData[SEHTrajectPeriodeDatumTijdVan],"&lt;="&amp;($A72+18/24),tData[SEHTrajectPeriodeDatumTijdTotEnMet],"&gt;"&amp;($A72+18/24),tData[Langligger01],1)</f>
        <v/>
      </c>
      <c r="W72" s="20">
        <f>COUNTIFS(tData[SEHTrajectPeriodeDatumTijdVan],"&lt;="&amp;($A72+19/24),tData[SEHTrajectPeriodeDatumTijdTotEnMet],"&gt;"&amp;($A72+19/24),tData[Langligger01],1)</f>
        <v/>
      </c>
      <c r="X72" s="20">
        <f>COUNTIFS(tData[SEHTrajectPeriodeDatumTijdVan],"&lt;="&amp;($A72+20/24),tData[SEHTrajectPeriodeDatumTijdTotEnMet],"&gt;"&amp;($A72+20/24),tData[Langligger01],1)</f>
        <v/>
      </c>
      <c r="Y72" s="20">
        <f>COUNTIFS(tData[SEHTrajectPeriodeDatumTijdVan],"&lt;="&amp;($A72+21/24),tData[SEHTrajectPeriodeDatumTijdTotEnMet],"&gt;"&amp;($A72+21/24),tData[Langligger01],1)</f>
        <v/>
      </c>
      <c r="Z72" s="20">
        <f>COUNTIFS(tData[SEHTrajectPeriodeDatumTijdVan],"&lt;="&amp;($A72+22/24),tData[SEHTrajectPeriodeDatumTijdTotEnMet],"&gt;"&amp;($A72+22/24),tData[Langligger01],1)</f>
        <v/>
      </c>
      <c r="AA72" s="20">
        <f>COUNTIFS(tData[SEHTrajectPeriodeDatumTijdVan],"&lt;="&amp;($A72+23/24),tData[SEHTrajectPeriodeDatumTijdTotEnMet],"&gt;"&amp;($A72+23/24),tData[Langligger01],1)</f>
        <v/>
      </c>
    </row>
    <row r="73">
      <c r="A73" s="19" t="n">
        <v>45361</v>
      </c>
      <c r="B73" s="15">
        <f>WEEKDAY($A73,2)</f>
        <v/>
      </c>
      <c r="C73" s="15">
        <f>IF(AND($A73&gt;=INT(Instellingen!$B$5),$A73&lt;=INT(Instellingen!$B$6)),1,0)</f>
        <v/>
      </c>
      <c r="D73" s="20">
        <f>COUNTIFS(tData[SEHTrajectPeriodeDatumTijdVan],"&lt;="&amp;($A73+0/24),tData[SEHTrajectPeriodeDatumTijdTotEnMet],"&gt;"&amp;($A73+0/24),tData[Langligger01],1)</f>
        <v/>
      </c>
      <c r="E73" s="20">
        <f>COUNTIFS(tData[SEHTrajectPeriodeDatumTijdVan],"&lt;="&amp;($A73+1/24),tData[SEHTrajectPeriodeDatumTijdTotEnMet],"&gt;"&amp;($A73+1/24),tData[Langligger01],1)</f>
        <v/>
      </c>
      <c r="F73" s="20">
        <f>COUNTIFS(tData[SEHTrajectPeriodeDatumTijdVan],"&lt;="&amp;($A73+2/24),tData[SEHTrajectPeriodeDatumTijdTotEnMet],"&gt;"&amp;($A73+2/24),tData[Langligger01],1)</f>
        <v/>
      </c>
      <c r="G73" s="20">
        <f>COUNTIFS(tData[SEHTrajectPeriodeDatumTijdVan],"&lt;="&amp;($A73+3/24),tData[SEHTrajectPeriodeDatumTijdTotEnMet],"&gt;"&amp;($A73+3/24),tData[Langligger01],1)</f>
        <v/>
      </c>
      <c r="H73" s="20">
        <f>COUNTIFS(tData[SEHTrajectPeriodeDatumTijdVan],"&lt;="&amp;($A73+4/24),tData[SEHTrajectPeriodeDatumTijdTotEnMet],"&gt;"&amp;($A73+4/24),tData[Langligger01],1)</f>
        <v/>
      </c>
      <c r="I73" s="20">
        <f>COUNTIFS(tData[SEHTrajectPeriodeDatumTijdVan],"&lt;="&amp;($A73+5/24),tData[SEHTrajectPeriodeDatumTijdTotEnMet],"&gt;"&amp;($A73+5/24),tData[Langligger01],1)</f>
        <v/>
      </c>
      <c r="J73" s="20">
        <f>COUNTIFS(tData[SEHTrajectPeriodeDatumTijdVan],"&lt;="&amp;($A73+6/24),tData[SEHTrajectPeriodeDatumTijdTotEnMet],"&gt;"&amp;($A73+6/24),tData[Langligger01],1)</f>
        <v/>
      </c>
      <c r="K73" s="20">
        <f>COUNTIFS(tData[SEHTrajectPeriodeDatumTijdVan],"&lt;="&amp;($A73+7/24),tData[SEHTrajectPeriodeDatumTijdTotEnMet],"&gt;"&amp;($A73+7/24),tData[Langligger01],1)</f>
        <v/>
      </c>
      <c r="L73" s="20">
        <f>COUNTIFS(tData[SEHTrajectPeriodeDatumTijdVan],"&lt;="&amp;($A73+8/24),tData[SEHTrajectPeriodeDatumTijdTotEnMet],"&gt;"&amp;($A73+8/24),tData[Langligger01],1)</f>
        <v/>
      </c>
      <c r="M73" s="20">
        <f>COUNTIFS(tData[SEHTrajectPeriodeDatumTijdVan],"&lt;="&amp;($A73+9/24),tData[SEHTrajectPeriodeDatumTijdTotEnMet],"&gt;"&amp;($A73+9/24),tData[Langligger01],1)</f>
        <v/>
      </c>
      <c r="N73" s="20">
        <f>COUNTIFS(tData[SEHTrajectPeriodeDatumTijdVan],"&lt;="&amp;($A73+10/24),tData[SEHTrajectPeriodeDatumTijdTotEnMet],"&gt;"&amp;($A73+10/24),tData[Langligger01],1)</f>
        <v/>
      </c>
      <c r="O73" s="20">
        <f>COUNTIFS(tData[SEHTrajectPeriodeDatumTijdVan],"&lt;="&amp;($A73+11/24),tData[SEHTrajectPeriodeDatumTijdTotEnMet],"&gt;"&amp;($A73+11/24),tData[Langligger01],1)</f>
        <v/>
      </c>
      <c r="P73" s="20">
        <f>COUNTIFS(tData[SEHTrajectPeriodeDatumTijdVan],"&lt;="&amp;($A73+12/24),tData[SEHTrajectPeriodeDatumTijdTotEnMet],"&gt;"&amp;($A73+12/24),tData[Langligger01],1)</f>
        <v/>
      </c>
      <c r="Q73" s="20">
        <f>COUNTIFS(tData[SEHTrajectPeriodeDatumTijdVan],"&lt;="&amp;($A73+13/24),tData[SEHTrajectPeriodeDatumTijdTotEnMet],"&gt;"&amp;($A73+13/24),tData[Langligger01],1)</f>
        <v/>
      </c>
      <c r="R73" s="20">
        <f>COUNTIFS(tData[SEHTrajectPeriodeDatumTijdVan],"&lt;="&amp;($A73+14/24),tData[SEHTrajectPeriodeDatumTijdTotEnMet],"&gt;"&amp;($A73+14/24),tData[Langligger01],1)</f>
        <v/>
      </c>
      <c r="S73" s="20">
        <f>COUNTIFS(tData[SEHTrajectPeriodeDatumTijdVan],"&lt;="&amp;($A73+15/24),tData[SEHTrajectPeriodeDatumTijdTotEnMet],"&gt;"&amp;($A73+15/24),tData[Langligger01],1)</f>
        <v/>
      </c>
      <c r="T73" s="20">
        <f>COUNTIFS(tData[SEHTrajectPeriodeDatumTijdVan],"&lt;="&amp;($A73+16/24),tData[SEHTrajectPeriodeDatumTijdTotEnMet],"&gt;"&amp;($A73+16/24),tData[Langligger01],1)</f>
        <v/>
      </c>
      <c r="U73" s="20">
        <f>COUNTIFS(tData[SEHTrajectPeriodeDatumTijdVan],"&lt;="&amp;($A73+17/24),tData[SEHTrajectPeriodeDatumTijdTotEnMet],"&gt;"&amp;($A73+17/24),tData[Langligger01],1)</f>
        <v/>
      </c>
      <c r="V73" s="20">
        <f>COUNTIFS(tData[SEHTrajectPeriodeDatumTijdVan],"&lt;="&amp;($A73+18/24),tData[SEHTrajectPeriodeDatumTijdTotEnMet],"&gt;"&amp;($A73+18/24),tData[Langligger01],1)</f>
        <v/>
      </c>
      <c r="W73" s="20">
        <f>COUNTIFS(tData[SEHTrajectPeriodeDatumTijdVan],"&lt;="&amp;($A73+19/24),tData[SEHTrajectPeriodeDatumTijdTotEnMet],"&gt;"&amp;($A73+19/24),tData[Langligger01],1)</f>
        <v/>
      </c>
      <c r="X73" s="20">
        <f>COUNTIFS(tData[SEHTrajectPeriodeDatumTijdVan],"&lt;="&amp;($A73+20/24),tData[SEHTrajectPeriodeDatumTijdTotEnMet],"&gt;"&amp;($A73+20/24),tData[Langligger01],1)</f>
        <v/>
      </c>
      <c r="Y73" s="20">
        <f>COUNTIFS(tData[SEHTrajectPeriodeDatumTijdVan],"&lt;="&amp;($A73+21/24),tData[SEHTrajectPeriodeDatumTijdTotEnMet],"&gt;"&amp;($A73+21/24),tData[Langligger01],1)</f>
        <v/>
      </c>
      <c r="Z73" s="20">
        <f>COUNTIFS(tData[SEHTrajectPeriodeDatumTijdVan],"&lt;="&amp;($A73+22/24),tData[SEHTrajectPeriodeDatumTijdTotEnMet],"&gt;"&amp;($A73+22/24),tData[Langligger01],1)</f>
        <v/>
      </c>
      <c r="AA73" s="20">
        <f>COUNTIFS(tData[SEHTrajectPeriodeDatumTijdVan],"&lt;="&amp;($A73+23/24),tData[SEHTrajectPeriodeDatumTijdTotEnMet],"&gt;"&amp;($A73+23/24),tData[Langligger01],1)</f>
        <v/>
      </c>
    </row>
    <row r="74">
      <c r="A74" s="19" t="n">
        <v>45362</v>
      </c>
      <c r="B74" s="15">
        <f>WEEKDAY($A74,2)</f>
        <v/>
      </c>
      <c r="C74" s="15">
        <f>IF(AND($A74&gt;=INT(Instellingen!$B$5),$A74&lt;=INT(Instellingen!$B$6)),1,0)</f>
        <v/>
      </c>
      <c r="D74" s="20">
        <f>COUNTIFS(tData[SEHTrajectPeriodeDatumTijdVan],"&lt;="&amp;($A74+0/24),tData[SEHTrajectPeriodeDatumTijdTotEnMet],"&gt;"&amp;($A74+0/24),tData[Langligger01],1)</f>
        <v/>
      </c>
      <c r="E74" s="20">
        <f>COUNTIFS(tData[SEHTrajectPeriodeDatumTijdVan],"&lt;="&amp;($A74+1/24),tData[SEHTrajectPeriodeDatumTijdTotEnMet],"&gt;"&amp;($A74+1/24),tData[Langligger01],1)</f>
        <v/>
      </c>
      <c r="F74" s="20">
        <f>COUNTIFS(tData[SEHTrajectPeriodeDatumTijdVan],"&lt;="&amp;($A74+2/24),tData[SEHTrajectPeriodeDatumTijdTotEnMet],"&gt;"&amp;($A74+2/24),tData[Langligger01],1)</f>
        <v/>
      </c>
      <c r="G74" s="20">
        <f>COUNTIFS(tData[SEHTrajectPeriodeDatumTijdVan],"&lt;="&amp;($A74+3/24),tData[SEHTrajectPeriodeDatumTijdTotEnMet],"&gt;"&amp;($A74+3/24),tData[Langligger01],1)</f>
        <v/>
      </c>
      <c r="H74" s="20">
        <f>COUNTIFS(tData[SEHTrajectPeriodeDatumTijdVan],"&lt;="&amp;($A74+4/24),tData[SEHTrajectPeriodeDatumTijdTotEnMet],"&gt;"&amp;($A74+4/24),tData[Langligger01],1)</f>
        <v/>
      </c>
      <c r="I74" s="20">
        <f>COUNTIFS(tData[SEHTrajectPeriodeDatumTijdVan],"&lt;="&amp;($A74+5/24),tData[SEHTrajectPeriodeDatumTijdTotEnMet],"&gt;"&amp;($A74+5/24),tData[Langligger01],1)</f>
        <v/>
      </c>
      <c r="J74" s="20">
        <f>COUNTIFS(tData[SEHTrajectPeriodeDatumTijdVan],"&lt;="&amp;($A74+6/24),tData[SEHTrajectPeriodeDatumTijdTotEnMet],"&gt;"&amp;($A74+6/24),tData[Langligger01],1)</f>
        <v/>
      </c>
      <c r="K74" s="20">
        <f>COUNTIFS(tData[SEHTrajectPeriodeDatumTijdVan],"&lt;="&amp;($A74+7/24),tData[SEHTrajectPeriodeDatumTijdTotEnMet],"&gt;"&amp;($A74+7/24),tData[Langligger01],1)</f>
        <v/>
      </c>
      <c r="L74" s="20">
        <f>COUNTIFS(tData[SEHTrajectPeriodeDatumTijdVan],"&lt;="&amp;($A74+8/24),tData[SEHTrajectPeriodeDatumTijdTotEnMet],"&gt;"&amp;($A74+8/24),tData[Langligger01],1)</f>
        <v/>
      </c>
      <c r="M74" s="20">
        <f>COUNTIFS(tData[SEHTrajectPeriodeDatumTijdVan],"&lt;="&amp;($A74+9/24),tData[SEHTrajectPeriodeDatumTijdTotEnMet],"&gt;"&amp;($A74+9/24),tData[Langligger01],1)</f>
        <v/>
      </c>
      <c r="N74" s="20">
        <f>COUNTIFS(tData[SEHTrajectPeriodeDatumTijdVan],"&lt;="&amp;($A74+10/24),tData[SEHTrajectPeriodeDatumTijdTotEnMet],"&gt;"&amp;($A74+10/24),tData[Langligger01],1)</f>
        <v/>
      </c>
      <c r="O74" s="20">
        <f>COUNTIFS(tData[SEHTrajectPeriodeDatumTijdVan],"&lt;="&amp;($A74+11/24),tData[SEHTrajectPeriodeDatumTijdTotEnMet],"&gt;"&amp;($A74+11/24),tData[Langligger01],1)</f>
        <v/>
      </c>
      <c r="P74" s="20">
        <f>COUNTIFS(tData[SEHTrajectPeriodeDatumTijdVan],"&lt;="&amp;($A74+12/24),tData[SEHTrajectPeriodeDatumTijdTotEnMet],"&gt;"&amp;($A74+12/24),tData[Langligger01],1)</f>
        <v/>
      </c>
      <c r="Q74" s="20">
        <f>COUNTIFS(tData[SEHTrajectPeriodeDatumTijdVan],"&lt;="&amp;($A74+13/24),tData[SEHTrajectPeriodeDatumTijdTotEnMet],"&gt;"&amp;($A74+13/24),tData[Langligger01],1)</f>
        <v/>
      </c>
      <c r="R74" s="20">
        <f>COUNTIFS(tData[SEHTrajectPeriodeDatumTijdVan],"&lt;="&amp;($A74+14/24),tData[SEHTrajectPeriodeDatumTijdTotEnMet],"&gt;"&amp;($A74+14/24),tData[Langligger01],1)</f>
        <v/>
      </c>
      <c r="S74" s="20">
        <f>COUNTIFS(tData[SEHTrajectPeriodeDatumTijdVan],"&lt;="&amp;($A74+15/24),tData[SEHTrajectPeriodeDatumTijdTotEnMet],"&gt;"&amp;($A74+15/24),tData[Langligger01],1)</f>
        <v/>
      </c>
      <c r="T74" s="20">
        <f>COUNTIFS(tData[SEHTrajectPeriodeDatumTijdVan],"&lt;="&amp;($A74+16/24),tData[SEHTrajectPeriodeDatumTijdTotEnMet],"&gt;"&amp;($A74+16/24),tData[Langligger01],1)</f>
        <v/>
      </c>
      <c r="U74" s="20">
        <f>COUNTIFS(tData[SEHTrajectPeriodeDatumTijdVan],"&lt;="&amp;($A74+17/24),tData[SEHTrajectPeriodeDatumTijdTotEnMet],"&gt;"&amp;($A74+17/24),tData[Langligger01],1)</f>
        <v/>
      </c>
      <c r="V74" s="20">
        <f>COUNTIFS(tData[SEHTrajectPeriodeDatumTijdVan],"&lt;="&amp;($A74+18/24),tData[SEHTrajectPeriodeDatumTijdTotEnMet],"&gt;"&amp;($A74+18/24),tData[Langligger01],1)</f>
        <v/>
      </c>
      <c r="W74" s="20">
        <f>COUNTIFS(tData[SEHTrajectPeriodeDatumTijdVan],"&lt;="&amp;($A74+19/24),tData[SEHTrajectPeriodeDatumTijdTotEnMet],"&gt;"&amp;($A74+19/24),tData[Langligger01],1)</f>
        <v/>
      </c>
      <c r="X74" s="20">
        <f>COUNTIFS(tData[SEHTrajectPeriodeDatumTijdVan],"&lt;="&amp;($A74+20/24),tData[SEHTrajectPeriodeDatumTijdTotEnMet],"&gt;"&amp;($A74+20/24),tData[Langligger01],1)</f>
        <v/>
      </c>
      <c r="Y74" s="20">
        <f>COUNTIFS(tData[SEHTrajectPeriodeDatumTijdVan],"&lt;="&amp;($A74+21/24),tData[SEHTrajectPeriodeDatumTijdTotEnMet],"&gt;"&amp;($A74+21/24),tData[Langligger01],1)</f>
        <v/>
      </c>
      <c r="Z74" s="20">
        <f>COUNTIFS(tData[SEHTrajectPeriodeDatumTijdVan],"&lt;="&amp;($A74+22/24),tData[SEHTrajectPeriodeDatumTijdTotEnMet],"&gt;"&amp;($A74+22/24),tData[Langligger01],1)</f>
        <v/>
      </c>
      <c r="AA74" s="20">
        <f>COUNTIFS(tData[SEHTrajectPeriodeDatumTijdVan],"&lt;="&amp;($A74+23/24),tData[SEHTrajectPeriodeDatumTijdTotEnMet],"&gt;"&amp;($A74+23/24),tData[Langligger01],1)</f>
        <v/>
      </c>
    </row>
    <row r="75">
      <c r="A75" s="19" t="n">
        <v>45363</v>
      </c>
      <c r="B75" s="15">
        <f>WEEKDAY($A75,2)</f>
        <v/>
      </c>
      <c r="C75" s="15">
        <f>IF(AND($A75&gt;=INT(Instellingen!$B$5),$A75&lt;=INT(Instellingen!$B$6)),1,0)</f>
        <v/>
      </c>
      <c r="D75" s="20">
        <f>COUNTIFS(tData[SEHTrajectPeriodeDatumTijdVan],"&lt;="&amp;($A75+0/24),tData[SEHTrajectPeriodeDatumTijdTotEnMet],"&gt;"&amp;($A75+0/24),tData[Langligger01],1)</f>
        <v/>
      </c>
      <c r="E75" s="20">
        <f>COUNTIFS(tData[SEHTrajectPeriodeDatumTijdVan],"&lt;="&amp;($A75+1/24),tData[SEHTrajectPeriodeDatumTijdTotEnMet],"&gt;"&amp;($A75+1/24),tData[Langligger01],1)</f>
        <v/>
      </c>
      <c r="F75" s="20">
        <f>COUNTIFS(tData[SEHTrajectPeriodeDatumTijdVan],"&lt;="&amp;($A75+2/24),tData[SEHTrajectPeriodeDatumTijdTotEnMet],"&gt;"&amp;($A75+2/24),tData[Langligger01],1)</f>
        <v/>
      </c>
      <c r="G75" s="20">
        <f>COUNTIFS(tData[SEHTrajectPeriodeDatumTijdVan],"&lt;="&amp;($A75+3/24),tData[SEHTrajectPeriodeDatumTijdTotEnMet],"&gt;"&amp;($A75+3/24),tData[Langligger01],1)</f>
        <v/>
      </c>
      <c r="H75" s="20">
        <f>COUNTIFS(tData[SEHTrajectPeriodeDatumTijdVan],"&lt;="&amp;($A75+4/24),tData[SEHTrajectPeriodeDatumTijdTotEnMet],"&gt;"&amp;($A75+4/24),tData[Langligger01],1)</f>
        <v/>
      </c>
      <c r="I75" s="20">
        <f>COUNTIFS(tData[SEHTrajectPeriodeDatumTijdVan],"&lt;="&amp;($A75+5/24),tData[SEHTrajectPeriodeDatumTijdTotEnMet],"&gt;"&amp;($A75+5/24),tData[Langligger01],1)</f>
        <v/>
      </c>
      <c r="J75" s="20">
        <f>COUNTIFS(tData[SEHTrajectPeriodeDatumTijdVan],"&lt;="&amp;($A75+6/24),tData[SEHTrajectPeriodeDatumTijdTotEnMet],"&gt;"&amp;($A75+6/24),tData[Langligger01],1)</f>
        <v/>
      </c>
      <c r="K75" s="20">
        <f>COUNTIFS(tData[SEHTrajectPeriodeDatumTijdVan],"&lt;="&amp;($A75+7/24),tData[SEHTrajectPeriodeDatumTijdTotEnMet],"&gt;"&amp;($A75+7/24),tData[Langligger01],1)</f>
        <v/>
      </c>
      <c r="L75" s="20">
        <f>COUNTIFS(tData[SEHTrajectPeriodeDatumTijdVan],"&lt;="&amp;($A75+8/24),tData[SEHTrajectPeriodeDatumTijdTotEnMet],"&gt;"&amp;($A75+8/24),tData[Langligger01],1)</f>
        <v/>
      </c>
      <c r="M75" s="20">
        <f>COUNTIFS(tData[SEHTrajectPeriodeDatumTijdVan],"&lt;="&amp;($A75+9/24),tData[SEHTrajectPeriodeDatumTijdTotEnMet],"&gt;"&amp;($A75+9/24),tData[Langligger01],1)</f>
        <v/>
      </c>
      <c r="N75" s="20">
        <f>COUNTIFS(tData[SEHTrajectPeriodeDatumTijdVan],"&lt;="&amp;($A75+10/24),tData[SEHTrajectPeriodeDatumTijdTotEnMet],"&gt;"&amp;($A75+10/24),tData[Langligger01],1)</f>
        <v/>
      </c>
      <c r="O75" s="20">
        <f>COUNTIFS(tData[SEHTrajectPeriodeDatumTijdVan],"&lt;="&amp;($A75+11/24),tData[SEHTrajectPeriodeDatumTijdTotEnMet],"&gt;"&amp;($A75+11/24),tData[Langligger01],1)</f>
        <v/>
      </c>
      <c r="P75" s="20">
        <f>COUNTIFS(tData[SEHTrajectPeriodeDatumTijdVan],"&lt;="&amp;($A75+12/24),tData[SEHTrajectPeriodeDatumTijdTotEnMet],"&gt;"&amp;($A75+12/24),tData[Langligger01],1)</f>
        <v/>
      </c>
      <c r="Q75" s="20">
        <f>COUNTIFS(tData[SEHTrajectPeriodeDatumTijdVan],"&lt;="&amp;($A75+13/24),tData[SEHTrajectPeriodeDatumTijdTotEnMet],"&gt;"&amp;($A75+13/24),tData[Langligger01],1)</f>
        <v/>
      </c>
      <c r="R75" s="20">
        <f>COUNTIFS(tData[SEHTrajectPeriodeDatumTijdVan],"&lt;="&amp;($A75+14/24),tData[SEHTrajectPeriodeDatumTijdTotEnMet],"&gt;"&amp;($A75+14/24),tData[Langligger01],1)</f>
        <v/>
      </c>
      <c r="S75" s="20">
        <f>COUNTIFS(tData[SEHTrajectPeriodeDatumTijdVan],"&lt;="&amp;($A75+15/24),tData[SEHTrajectPeriodeDatumTijdTotEnMet],"&gt;"&amp;($A75+15/24),tData[Langligger01],1)</f>
        <v/>
      </c>
      <c r="T75" s="20">
        <f>COUNTIFS(tData[SEHTrajectPeriodeDatumTijdVan],"&lt;="&amp;($A75+16/24),tData[SEHTrajectPeriodeDatumTijdTotEnMet],"&gt;"&amp;($A75+16/24),tData[Langligger01],1)</f>
        <v/>
      </c>
      <c r="U75" s="20">
        <f>COUNTIFS(tData[SEHTrajectPeriodeDatumTijdVan],"&lt;="&amp;($A75+17/24),tData[SEHTrajectPeriodeDatumTijdTotEnMet],"&gt;"&amp;($A75+17/24),tData[Langligger01],1)</f>
        <v/>
      </c>
      <c r="V75" s="20">
        <f>COUNTIFS(tData[SEHTrajectPeriodeDatumTijdVan],"&lt;="&amp;($A75+18/24),tData[SEHTrajectPeriodeDatumTijdTotEnMet],"&gt;"&amp;($A75+18/24),tData[Langligger01],1)</f>
        <v/>
      </c>
      <c r="W75" s="20">
        <f>COUNTIFS(tData[SEHTrajectPeriodeDatumTijdVan],"&lt;="&amp;($A75+19/24),tData[SEHTrajectPeriodeDatumTijdTotEnMet],"&gt;"&amp;($A75+19/24),tData[Langligger01],1)</f>
        <v/>
      </c>
      <c r="X75" s="20">
        <f>COUNTIFS(tData[SEHTrajectPeriodeDatumTijdVan],"&lt;="&amp;($A75+20/24),tData[SEHTrajectPeriodeDatumTijdTotEnMet],"&gt;"&amp;($A75+20/24),tData[Langligger01],1)</f>
        <v/>
      </c>
      <c r="Y75" s="20">
        <f>COUNTIFS(tData[SEHTrajectPeriodeDatumTijdVan],"&lt;="&amp;($A75+21/24),tData[SEHTrajectPeriodeDatumTijdTotEnMet],"&gt;"&amp;($A75+21/24),tData[Langligger01],1)</f>
        <v/>
      </c>
      <c r="Z75" s="20">
        <f>COUNTIFS(tData[SEHTrajectPeriodeDatumTijdVan],"&lt;="&amp;($A75+22/24),tData[SEHTrajectPeriodeDatumTijdTotEnMet],"&gt;"&amp;($A75+22/24),tData[Langligger01],1)</f>
        <v/>
      </c>
      <c r="AA75" s="20">
        <f>COUNTIFS(tData[SEHTrajectPeriodeDatumTijdVan],"&lt;="&amp;($A75+23/24),tData[SEHTrajectPeriodeDatumTijdTotEnMet],"&gt;"&amp;($A75+23/24),tData[Langligger01],1)</f>
        <v/>
      </c>
    </row>
    <row r="76">
      <c r="A76" s="19" t="n">
        <v>45364</v>
      </c>
      <c r="B76" s="15">
        <f>WEEKDAY($A76,2)</f>
        <v/>
      </c>
      <c r="C76" s="15">
        <f>IF(AND($A76&gt;=INT(Instellingen!$B$5),$A76&lt;=INT(Instellingen!$B$6)),1,0)</f>
        <v/>
      </c>
      <c r="D76" s="20">
        <f>COUNTIFS(tData[SEHTrajectPeriodeDatumTijdVan],"&lt;="&amp;($A76+0/24),tData[SEHTrajectPeriodeDatumTijdTotEnMet],"&gt;"&amp;($A76+0/24),tData[Langligger01],1)</f>
        <v/>
      </c>
      <c r="E76" s="20">
        <f>COUNTIFS(tData[SEHTrajectPeriodeDatumTijdVan],"&lt;="&amp;($A76+1/24),tData[SEHTrajectPeriodeDatumTijdTotEnMet],"&gt;"&amp;($A76+1/24),tData[Langligger01],1)</f>
        <v/>
      </c>
      <c r="F76" s="20">
        <f>COUNTIFS(tData[SEHTrajectPeriodeDatumTijdVan],"&lt;="&amp;($A76+2/24),tData[SEHTrajectPeriodeDatumTijdTotEnMet],"&gt;"&amp;($A76+2/24),tData[Langligger01],1)</f>
        <v/>
      </c>
      <c r="G76" s="20">
        <f>COUNTIFS(tData[SEHTrajectPeriodeDatumTijdVan],"&lt;="&amp;($A76+3/24),tData[SEHTrajectPeriodeDatumTijdTotEnMet],"&gt;"&amp;($A76+3/24),tData[Langligger01],1)</f>
        <v/>
      </c>
      <c r="H76" s="20">
        <f>COUNTIFS(tData[SEHTrajectPeriodeDatumTijdVan],"&lt;="&amp;($A76+4/24),tData[SEHTrajectPeriodeDatumTijdTotEnMet],"&gt;"&amp;($A76+4/24),tData[Langligger01],1)</f>
        <v/>
      </c>
      <c r="I76" s="20">
        <f>COUNTIFS(tData[SEHTrajectPeriodeDatumTijdVan],"&lt;="&amp;($A76+5/24),tData[SEHTrajectPeriodeDatumTijdTotEnMet],"&gt;"&amp;($A76+5/24),tData[Langligger01],1)</f>
        <v/>
      </c>
      <c r="J76" s="20">
        <f>COUNTIFS(tData[SEHTrajectPeriodeDatumTijdVan],"&lt;="&amp;($A76+6/24),tData[SEHTrajectPeriodeDatumTijdTotEnMet],"&gt;"&amp;($A76+6/24),tData[Langligger01],1)</f>
        <v/>
      </c>
      <c r="K76" s="20">
        <f>COUNTIFS(tData[SEHTrajectPeriodeDatumTijdVan],"&lt;="&amp;($A76+7/24),tData[SEHTrajectPeriodeDatumTijdTotEnMet],"&gt;"&amp;($A76+7/24),tData[Langligger01],1)</f>
        <v/>
      </c>
      <c r="L76" s="20">
        <f>COUNTIFS(tData[SEHTrajectPeriodeDatumTijdVan],"&lt;="&amp;($A76+8/24),tData[SEHTrajectPeriodeDatumTijdTotEnMet],"&gt;"&amp;($A76+8/24),tData[Langligger01],1)</f>
        <v/>
      </c>
      <c r="M76" s="20">
        <f>COUNTIFS(tData[SEHTrajectPeriodeDatumTijdVan],"&lt;="&amp;($A76+9/24),tData[SEHTrajectPeriodeDatumTijdTotEnMet],"&gt;"&amp;($A76+9/24),tData[Langligger01],1)</f>
        <v/>
      </c>
      <c r="N76" s="20">
        <f>COUNTIFS(tData[SEHTrajectPeriodeDatumTijdVan],"&lt;="&amp;($A76+10/24),tData[SEHTrajectPeriodeDatumTijdTotEnMet],"&gt;"&amp;($A76+10/24),tData[Langligger01],1)</f>
        <v/>
      </c>
      <c r="O76" s="20">
        <f>COUNTIFS(tData[SEHTrajectPeriodeDatumTijdVan],"&lt;="&amp;($A76+11/24),tData[SEHTrajectPeriodeDatumTijdTotEnMet],"&gt;"&amp;($A76+11/24),tData[Langligger01],1)</f>
        <v/>
      </c>
      <c r="P76" s="20">
        <f>COUNTIFS(tData[SEHTrajectPeriodeDatumTijdVan],"&lt;="&amp;($A76+12/24),tData[SEHTrajectPeriodeDatumTijdTotEnMet],"&gt;"&amp;($A76+12/24),tData[Langligger01],1)</f>
        <v/>
      </c>
      <c r="Q76" s="20">
        <f>COUNTIFS(tData[SEHTrajectPeriodeDatumTijdVan],"&lt;="&amp;($A76+13/24),tData[SEHTrajectPeriodeDatumTijdTotEnMet],"&gt;"&amp;($A76+13/24),tData[Langligger01],1)</f>
        <v/>
      </c>
      <c r="R76" s="20">
        <f>COUNTIFS(tData[SEHTrajectPeriodeDatumTijdVan],"&lt;="&amp;($A76+14/24),tData[SEHTrajectPeriodeDatumTijdTotEnMet],"&gt;"&amp;($A76+14/24),tData[Langligger01],1)</f>
        <v/>
      </c>
      <c r="S76" s="20">
        <f>COUNTIFS(tData[SEHTrajectPeriodeDatumTijdVan],"&lt;="&amp;($A76+15/24),tData[SEHTrajectPeriodeDatumTijdTotEnMet],"&gt;"&amp;($A76+15/24),tData[Langligger01],1)</f>
        <v/>
      </c>
      <c r="T76" s="20">
        <f>COUNTIFS(tData[SEHTrajectPeriodeDatumTijdVan],"&lt;="&amp;($A76+16/24),tData[SEHTrajectPeriodeDatumTijdTotEnMet],"&gt;"&amp;($A76+16/24),tData[Langligger01],1)</f>
        <v/>
      </c>
      <c r="U76" s="20">
        <f>COUNTIFS(tData[SEHTrajectPeriodeDatumTijdVan],"&lt;="&amp;($A76+17/24),tData[SEHTrajectPeriodeDatumTijdTotEnMet],"&gt;"&amp;($A76+17/24),tData[Langligger01],1)</f>
        <v/>
      </c>
      <c r="V76" s="20">
        <f>COUNTIFS(tData[SEHTrajectPeriodeDatumTijdVan],"&lt;="&amp;($A76+18/24),tData[SEHTrajectPeriodeDatumTijdTotEnMet],"&gt;"&amp;($A76+18/24),tData[Langligger01],1)</f>
        <v/>
      </c>
      <c r="W76" s="20">
        <f>COUNTIFS(tData[SEHTrajectPeriodeDatumTijdVan],"&lt;="&amp;($A76+19/24),tData[SEHTrajectPeriodeDatumTijdTotEnMet],"&gt;"&amp;($A76+19/24),tData[Langligger01],1)</f>
        <v/>
      </c>
      <c r="X76" s="20">
        <f>COUNTIFS(tData[SEHTrajectPeriodeDatumTijdVan],"&lt;="&amp;($A76+20/24),tData[SEHTrajectPeriodeDatumTijdTotEnMet],"&gt;"&amp;($A76+20/24),tData[Langligger01],1)</f>
        <v/>
      </c>
      <c r="Y76" s="20">
        <f>COUNTIFS(tData[SEHTrajectPeriodeDatumTijdVan],"&lt;="&amp;($A76+21/24),tData[SEHTrajectPeriodeDatumTijdTotEnMet],"&gt;"&amp;($A76+21/24),tData[Langligger01],1)</f>
        <v/>
      </c>
      <c r="Z76" s="20">
        <f>COUNTIFS(tData[SEHTrajectPeriodeDatumTijdVan],"&lt;="&amp;($A76+22/24),tData[SEHTrajectPeriodeDatumTijdTotEnMet],"&gt;"&amp;($A76+22/24),tData[Langligger01],1)</f>
        <v/>
      </c>
      <c r="AA76" s="20">
        <f>COUNTIFS(tData[SEHTrajectPeriodeDatumTijdVan],"&lt;="&amp;($A76+23/24),tData[SEHTrajectPeriodeDatumTijdTotEnMet],"&gt;"&amp;($A76+23/24),tData[Langligger01],1)</f>
        <v/>
      </c>
    </row>
    <row r="77">
      <c r="A77" s="19" t="n">
        <v>45365</v>
      </c>
      <c r="B77" s="15">
        <f>WEEKDAY($A77,2)</f>
        <v/>
      </c>
      <c r="C77" s="15">
        <f>IF(AND($A77&gt;=INT(Instellingen!$B$5),$A77&lt;=INT(Instellingen!$B$6)),1,0)</f>
        <v/>
      </c>
      <c r="D77" s="20">
        <f>COUNTIFS(tData[SEHTrajectPeriodeDatumTijdVan],"&lt;="&amp;($A77+0/24),tData[SEHTrajectPeriodeDatumTijdTotEnMet],"&gt;"&amp;($A77+0/24),tData[Langligger01],1)</f>
        <v/>
      </c>
      <c r="E77" s="20">
        <f>COUNTIFS(tData[SEHTrajectPeriodeDatumTijdVan],"&lt;="&amp;($A77+1/24),tData[SEHTrajectPeriodeDatumTijdTotEnMet],"&gt;"&amp;($A77+1/24),tData[Langligger01],1)</f>
        <v/>
      </c>
      <c r="F77" s="20">
        <f>COUNTIFS(tData[SEHTrajectPeriodeDatumTijdVan],"&lt;="&amp;($A77+2/24),tData[SEHTrajectPeriodeDatumTijdTotEnMet],"&gt;"&amp;($A77+2/24),tData[Langligger01],1)</f>
        <v/>
      </c>
      <c r="G77" s="20">
        <f>COUNTIFS(tData[SEHTrajectPeriodeDatumTijdVan],"&lt;="&amp;($A77+3/24),tData[SEHTrajectPeriodeDatumTijdTotEnMet],"&gt;"&amp;($A77+3/24),tData[Langligger01],1)</f>
        <v/>
      </c>
      <c r="H77" s="20">
        <f>COUNTIFS(tData[SEHTrajectPeriodeDatumTijdVan],"&lt;="&amp;($A77+4/24),tData[SEHTrajectPeriodeDatumTijdTotEnMet],"&gt;"&amp;($A77+4/24),tData[Langligger01],1)</f>
        <v/>
      </c>
      <c r="I77" s="20">
        <f>COUNTIFS(tData[SEHTrajectPeriodeDatumTijdVan],"&lt;="&amp;($A77+5/24),tData[SEHTrajectPeriodeDatumTijdTotEnMet],"&gt;"&amp;($A77+5/24),tData[Langligger01],1)</f>
        <v/>
      </c>
      <c r="J77" s="20">
        <f>COUNTIFS(tData[SEHTrajectPeriodeDatumTijdVan],"&lt;="&amp;($A77+6/24),tData[SEHTrajectPeriodeDatumTijdTotEnMet],"&gt;"&amp;($A77+6/24),tData[Langligger01],1)</f>
        <v/>
      </c>
      <c r="K77" s="20">
        <f>COUNTIFS(tData[SEHTrajectPeriodeDatumTijdVan],"&lt;="&amp;($A77+7/24),tData[SEHTrajectPeriodeDatumTijdTotEnMet],"&gt;"&amp;($A77+7/24),tData[Langligger01],1)</f>
        <v/>
      </c>
      <c r="L77" s="20">
        <f>COUNTIFS(tData[SEHTrajectPeriodeDatumTijdVan],"&lt;="&amp;($A77+8/24),tData[SEHTrajectPeriodeDatumTijdTotEnMet],"&gt;"&amp;($A77+8/24),tData[Langligger01],1)</f>
        <v/>
      </c>
      <c r="M77" s="20">
        <f>COUNTIFS(tData[SEHTrajectPeriodeDatumTijdVan],"&lt;="&amp;($A77+9/24),tData[SEHTrajectPeriodeDatumTijdTotEnMet],"&gt;"&amp;($A77+9/24),tData[Langligger01],1)</f>
        <v/>
      </c>
      <c r="N77" s="20">
        <f>COUNTIFS(tData[SEHTrajectPeriodeDatumTijdVan],"&lt;="&amp;($A77+10/24),tData[SEHTrajectPeriodeDatumTijdTotEnMet],"&gt;"&amp;($A77+10/24),tData[Langligger01],1)</f>
        <v/>
      </c>
      <c r="O77" s="20">
        <f>COUNTIFS(tData[SEHTrajectPeriodeDatumTijdVan],"&lt;="&amp;($A77+11/24),tData[SEHTrajectPeriodeDatumTijdTotEnMet],"&gt;"&amp;($A77+11/24),tData[Langligger01],1)</f>
        <v/>
      </c>
      <c r="P77" s="20">
        <f>COUNTIFS(tData[SEHTrajectPeriodeDatumTijdVan],"&lt;="&amp;($A77+12/24),tData[SEHTrajectPeriodeDatumTijdTotEnMet],"&gt;"&amp;($A77+12/24),tData[Langligger01],1)</f>
        <v/>
      </c>
      <c r="Q77" s="20">
        <f>COUNTIFS(tData[SEHTrajectPeriodeDatumTijdVan],"&lt;="&amp;($A77+13/24),tData[SEHTrajectPeriodeDatumTijdTotEnMet],"&gt;"&amp;($A77+13/24),tData[Langligger01],1)</f>
        <v/>
      </c>
      <c r="R77" s="20">
        <f>COUNTIFS(tData[SEHTrajectPeriodeDatumTijdVan],"&lt;="&amp;($A77+14/24),tData[SEHTrajectPeriodeDatumTijdTotEnMet],"&gt;"&amp;($A77+14/24),tData[Langligger01],1)</f>
        <v/>
      </c>
      <c r="S77" s="20">
        <f>COUNTIFS(tData[SEHTrajectPeriodeDatumTijdVan],"&lt;="&amp;($A77+15/24),tData[SEHTrajectPeriodeDatumTijdTotEnMet],"&gt;"&amp;($A77+15/24),tData[Langligger01],1)</f>
        <v/>
      </c>
      <c r="T77" s="20">
        <f>COUNTIFS(tData[SEHTrajectPeriodeDatumTijdVan],"&lt;="&amp;($A77+16/24),tData[SEHTrajectPeriodeDatumTijdTotEnMet],"&gt;"&amp;($A77+16/24),tData[Langligger01],1)</f>
        <v/>
      </c>
      <c r="U77" s="20">
        <f>COUNTIFS(tData[SEHTrajectPeriodeDatumTijdVan],"&lt;="&amp;($A77+17/24),tData[SEHTrajectPeriodeDatumTijdTotEnMet],"&gt;"&amp;($A77+17/24),tData[Langligger01],1)</f>
        <v/>
      </c>
      <c r="V77" s="20">
        <f>COUNTIFS(tData[SEHTrajectPeriodeDatumTijdVan],"&lt;="&amp;($A77+18/24),tData[SEHTrajectPeriodeDatumTijdTotEnMet],"&gt;"&amp;($A77+18/24),tData[Langligger01],1)</f>
        <v/>
      </c>
      <c r="W77" s="20">
        <f>COUNTIFS(tData[SEHTrajectPeriodeDatumTijdVan],"&lt;="&amp;($A77+19/24),tData[SEHTrajectPeriodeDatumTijdTotEnMet],"&gt;"&amp;($A77+19/24),tData[Langligger01],1)</f>
        <v/>
      </c>
      <c r="X77" s="20">
        <f>COUNTIFS(tData[SEHTrajectPeriodeDatumTijdVan],"&lt;="&amp;($A77+20/24),tData[SEHTrajectPeriodeDatumTijdTotEnMet],"&gt;"&amp;($A77+20/24),tData[Langligger01],1)</f>
        <v/>
      </c>
      <c r="Y77" s="20">
        <f>COUNTIFS(tData[SEHTrajectPeriodeDatumTijdVan],"&lt;="&amp;($A77+21/24),tData[SEHTrajectPeriodeDatumTijdTotEnMet],"&gt;"&amp;($A77+21/24),tData[Langligger01],1)</f>
        <v/>
      </c>
      <c r="Z77" s="20">
        <f>COUNTIFS(tData[SEHTrajectPeriodeDatumTijdVan],"&lt;="&amp;($A77+22/24),tData[SEHTrajectPeriodeDatumTijdTotEnMet],"&gt;"&amp;($A77+22/24),tData[Langligger01],1)</f>
        <v/>
      </c>
      <c r="AA77" s="20">
        <f>COUNTIFS(tData[SEHTrajectPeriodeDatumTijdVan],"&lt;="&amp;($A77+23/24),tData[SEHTrajectPeriodeDatumTijdTotEnMet],"&gt;"&amp;($A77+23/24),tData[Langligger01],1)</f>
        <v/>
      </c>
    </row>
    <row r="78">
      <c r="A78" s="19" t="n">
        <v>45366</v>
      </c>
      <c r="B78" s="15">
        <f>WEEKDAY($A78,2)</f>
        <v/>
      </c>
      <c r="C78" s="15">
        <f>IF(AND($A78&gt;=INT(Instellingen!$B$5),$A78&lt;=INT(Instellingen!$B$6)),1,0)</f>
        <v/>
      </c>
      <c r="D78" s="20">
        <f>COUNTIFS(tData[SEHTrajectPeriodeDatumTijdVan],"&lt;="&amp;($A78+0/24),tData[SEHTrajectPeriodeDatumTijdTotEnMet],"&gt;"&amp;($A78+0/24),tData[Langligger01],1)</f>
        <v/>
      </c>
      <c r="E78" s="20">
        <f>COUNTIFS(tData[SEHTrajectPeriodeDatumTijdVan],"&lt;="&amp;($A78+1/24),tData[SEHTrajectPeriodeDatumTijdTotEnMet],"&gt;"&amp;($A78+1/24),tData[Langligger01],1)</f>
        <v/>
      </c>
      <c r="F78" s="20">
        <f>COUNTIFS(tData[SEHTrajectPeriodeDatumTijdVan],"&lt;="&amp;($A78+2/24),tData[SEHTrajectPeriodeDatumTijdTotEnMet],"&gt;"&amp;($A78+2/24),tData[Langligger01],1)</f>
        <v/>
      </c>
      <c r="G78" s="20">
        <f>COUNTIFS(tData[SEHTrajectPeriodeDatumTijdVan],"&lt;="&amp;($A78+3/24),tData[SEHTrajectPeriodeDatumTijdTotEnMet],"&gt;"&amp;($A78+3/24),tData[Langligger01],1)</f>
        <v/>
      </c>
      <c r="H78" s="20">
        <f>COUNTIFS(tData[SEHTrajectPeriodeDatumTijdVan],"&lt;="&amp;($A78+4/24),tData[SEHTrajectPeriodeDatumTijdTotEnMet],"&gt;"&amp;($A78+4/24),tData[Langligger01],1)</f>
        <v/>
      </c>
      <c r="I78" s="20">
        <f>COUNTIFS(tData[SEHTrajectPeriodeDatumTijdVan],"&lt;="&amp;($A78+5/24),tData[SEHTrajectPeriodeDatumTijdTotEnMet],"&gt;"&amp;($A78+5/24),tData[Langligger01],1)</f>
        <v/>
      </c>
      <c r="J78" s="20">
        <f>COUNTIFS(tData[SEHTrajectPeriodeDatumTijdVan],"&lt;="&amp;($A78+6/24),tData[SEHTrajectPeriodeDatumTijdTotEnMet],"&gt;"&amp;($A78+6/24),tData[Langligger01],1)</f>
        <v/>
      </c>
      <c r="K78" s="20">
        <f>COUNTIFS(tData[SEHTrajectPeriodeDatumTijdVan],"&lt;="&amp;($A78+7/24),tData[SEHTrajectPeriodeDatumTijdTotEnMet],"&gt;"&amp;($A78+7/24),tData[Langligger01],1)</f>
        <v/>
      </c>
      <c r="L78" s="20">
        <f>COUNTIFS(tData[SEHTrajectPeriodeDatumTijdVan],"&lt;="&amp;($A78+8/24),tData[SEHTrajectPeriodeDatumTijdTotEnMet],"&gt;"&amp;($A78+8/24),tData[Langligger01],1)</f>
        <v/>
      </c>
      <c r="M78" s="20">
        <f>COUNTIFS(tData[SEHTrajectPeriodeDatumTijdVan],"&lt;="&amp;($A78+9/24),tData[SEHTrajectPeriodeDatumTijdTotEnMet],"&gt;"&amp;($A78+9/24),tData[Langligger01],1)</f>
        <v/>
      </c>
      <c r="N78" s="20">
        <f>COUNTIFS(tData[SEHTrajectPeriodeDatumTijdVan],"&lt;="&amp;($A78+10/24),tData[SEHTrajectPeriodeDatumTijdTotEnMet],"&gt;"&amp;($A78+10/24),tData[Langligger01],1)</f>
        <v/>
      </c>
      <c r="O78" s="20">
        <f>COUNTIFS(tData[SEHTrajectPeriodeDatumTijdVan],"&lt;="&amp;($A78+11/24),tData[SEHTrajectPeriodeDatumTijdTotEnMet],"&gt;"&amp;($A78+11/24),tData[Langligger01],1)</f>
        <v/>
      </c>
      <c r="P78" s="20">
        <f>COUNTIFS(tData[SEHTrajectPeriodeDatumTijdVan],"&lt;="&amp;($A78+12/24),tData[SEHTrajectPeriodeDatumTijdTotEnMet],"&gt;"&amp;($A78+12/24),tData[Langligger01],1)</f>
        <v/>
      </c>
      <c r="Q78" s="20">
        <f>COUNTIFS(tData[SEHTrajectPeriodeDatumTijdVan],"&lt;="&amp;($A78+13/24),tData[SEHTrajectPeriodeDatumTijdTotEnMet],"&gt;"&amp;($A78+13/24),tData[Langligger01],1)</f>
        <v/>
      </c>
      <c r="R78" s="20">
        <f>COUNTIFS(tData[SEHTrajectPeriodeDatumTijdVan],"&lt;="&amp;($A78+14/24),tData[SEHTrajectPeriodeDatumTijdTotEnMet],"&gt;"&amp;($A78+14/24),tData[Langligger01],1)</f>
        <v/>
      </c>
      <c r="S78" s="20">
        <f>COUNTIFS(tData[SEHTrajectPeriodeDatumTijdVan],"&lt;="&amp;($A78+15/24),tData[SEHTrajectPeriodeDatumTijdTotEnMet],"&gt;"&amp;($A78+15/24),tData[Langligger01],1)</f>
        <v/>
      </c>
      <c r="T78" s="20">
        <f>COUNTIFS(tData[SEHTrajectPeriodeDatumTijdVan],"&lt;="&amp;($A78+16/24),tData[SEHTrajectPeriodeDatumTijdTotEnMet],"&gt;"&amp;($A78+16/24),tData[Langligger01],1)</f>
        <v/>
      </c>
      <c r="U78" s="20">
        <f>COUNTIFS(tData[SEHTrajectPeriodeDatumTijdVan],"&lt;="&amp;($A78+17/24),tData[SEHTrajectPeriodeDatumTijdTotEnMet],"&gt;"&amp;($A78+17/24),tData[Langligger01],1)</f>
        <v/>
      </c>
      <c r="V78" s="20">
        <f>COUNTIFS(tData[SEHTrajectPeriodeDatumTijdVan],"&lt;="&amp;($A78+18/24),tData[SEHTrajectPeriodeDatumTijdTotEnMet],"&gt;"&amp;($A78+18/24),tData[Langligger01],1)</f>
        <v/>
      </c>
      <c r="W78" s="20">
        <f>COUNTIFS(tData[SEHTrajectPeriodeDatumTijdVan],"&lt;="&amp;($A78+19/24),tData[SEHTrajectPeriodeDatumTijdTotEnMet],"&gt;"&amp;($A78+19/24),tData[Langligger01],1)</f>
        <v/>
      </c>
      <c r="X78" s="20">
        <f>COUNTIFS(tData[SEHTrajectPeriodeDatumTijdVan],"&lt;="&amp;($A78+20/24),tData[SEHTrajectPeriodeDatumTijdTotEnMet],"&gt;"&amp;($A78+20/24),tData[Langligger01],1)</f>
        <v/>
      </c>
      <c r="Y78" s="20">
        <f>COUNTIFS(tData[SEHTrajectPeriodeDatumTijdVan],"&lt;="&amp;($A78+21/24),tData[SEHTrajectPeriodeDatumTijdTotEnMet],"&gt;"&amp;($A78+21/24),tData[Langligger01],1)</f>
        <v/>
      </c>
      <c r="Z78" s="20">
        <f>COUNTIFS(tData[SEHTrajectPeriodeDatumTijdVan],"&lt;="&amp;($A78+22/24),tData[SEHTrajectPeriodeDatumTijdTotEnMet],"&gt;"&amp;($A78+22/24),tData[Langligger01],1)</f>
        <v/>
      </c>
      <c r="AA78" s="20">
        <f>COUNTIFS(tData[SEHTrajectPeriodeDatumTijdVan],"&lt;="&amp;($A78+23/24),tData[SEHTrajectPeriodeDatumTijdTotEnMet],"&gt;"&amp;($A78+23/24),tData[Langligger01],1)</f>
        <v/>
      </c>
    </row>
    <row r="79">
      <c r="A79" s="19" t="n">
        <v>45367</v>
      </c>
      <c r="B79" s="15">
        <f>WEEKDAY($A79,2)</f>
        <v/>
      </c>
      <c r="C79" s="15">
        <f>IF(AND($A79&gt;=INT(Instellingen!$B$5),$A79&lt;=INT(Instellingen!$B$6)),1,0)</f>
        <v/>
      </c>
      <c r="D79" s="20">
        <f>COUNTIFS(tData[SEHTrajectPeriodeDatumTijdVan],"&lt;="&amp;($A79+0/24),tData[SEHTrajectPeriodeDatumTijdTotEnMet],"&gt;"&amp;($A79+0/24),tData[Langligger01],1)</f>
        <v/>
      </c>
      <c r="E79" s="20">
        <f>COUNTIFS(tData[SEHTrajectPeriodeDatumTijdVan],"&lt;="&amp;($A79+1/24),tData[SEHTrajectPeriodeDatumTijdTotEnMet],"&gt;"&amp;($A79+1/24),tData[Langligger01],1)</f>
        <v/>
      </c>
      <c r="F79" s="20">
        <f>COUNTIFS(tData[SEHTrajectPeriodeDatumTijdVan],"&lt;="&amp;($A79+2/24),tData[SEHTrajectPeriodeDatumTijdTotEnMet],"&gt;"&amp;($A79+2/24),tData[Langligger01],1)</f>
        <v/>
      </c>
      <c r="G79" s="20">
        <f>COUNTIFS(tData[SEHTrajectPeriodeDatumTijdVan],"&lt;="&amp;($A79+3/24),tData[SEHTrajectPeriodeDatumTijdTotEnMet],"&gt;"&amp;($A79+3/24),tData[Langligger01],1)</f>
        <v/>
      </c>
      <c r="H79" s="20">
        <f>COUNTIFS(tData[SEHTrajectPeriodeDatumTijdVan],"&lt;="&amp;($A79+4/24),tData[SEHTrajectPeriodeDatumTijdTotEnMet],"&gt;"&amp;($A79+4/24),tData[Langligger01],1)</f>
        <v/>
      </c>
      <c r="I79" s="20">
        <f>COUNTIFS(tData[SEHTrajectPeriodeDatumTijdVan],"&lt;="&amp;($A79+5/24),tData[SEHTrajectPeriodeDatumTijdTotEnMet],"&gt;"&amp;($A79+5/24),tData[Langligger01],1)</f>
        <v/>
      </c>
      <c r="J79" s="20">
        <f>COUNTIFS(tData[SEHTrajectPeriodeDatumTijdVan],"&lt;="&amp;($A79+6/24),tData[SEHTrajectPeriodeDatumTijdTotEnMet],"&gt;"&amp;($A79+6/24),tData[Langligger01],1)</f>
        <v/>
      </c>
      <c r="K79" s="20">
        <f>COUNTIFS(tData[SEHTrajectPeriodeDatumTijdVan],"&lt;="&amp;($A79+7/24),tData[SEHTrajectPeriodeDatumTijdTotEnMet],"&gt;"&amp;($A79+7/24),tData[Langligger01],1)</f>
        <v/>
      </c>
      <c r="L79" s="20">
        <f>COUNTIFS(tData[SEHTrajectPeriodeDatumTijdVan],"&lt;="&amp;($A79+8/24),tData[SEHTrajectPeriodeDatumTijdTotEnMet],"&gt;"&amp;($A79+8/24),tData[Langligger01],1)</f>
        <v/>
      </c>
      <c r="M79" s="20">
        <f>COUNTIFS(tData[SEHTrajectPeriodeDatumTijdVan],"&lt;="&amp;($A79+9/24),tData[SEHTrajectPeriodeDatumTijdTotEnMet],"&gt;"&amp;($A79+9/24),tData[Langligger01],1)</f>
        <v/>
      </c>
      <c r="N79" s="20">
        <f>COUNTIFS(tData[SEHTrajectPeriodeDatumTijdVan],"&lt;="&amp;($A79+10/24),tData[SEHTrajectPeriodeDatumTijdTotEnMet],"&gt;"&amp;($A79+10/24),tData[Langligger01],1)</f>
        <v/>
      </c>
      <c r="O79" s="20">
        <f>COUNTIFS(tData[SEHTrajectPeriodeDatumTijdVan],"&lt;="&amp;($A79+11/24),tData[SEHTrajectPeriodeDatumTijdTotEnMet],"&gt;"&amp;($A79+11/24),tData[Langligger01],1)</f>
        <v/>
      </c>
      <c r="P79" s="20">
        <f>COUNTIFS(tData[SEHTrajectPeriodeDatumTijdVan],"&lt;="&amp;($A79+12/24),tData[SEHTrajectPeriodeDatumTijdTotEnMet],"&gt;"&amp;($A79+12/24),tData[Langligger01],1)</f>
        <v/>
      </c>
      <c r="Q79" s="20">
        <f>COUNTIFS(tData[SEHTrajectPeriodeDatumTijdVan],"&lt;="&amp;($A79+13/24),tData[SEHTrajectPeriodeDatumTijdTotEnMet],"&gt;"&amp;($A79+13/24),tData[Langligger01],1)</f>
        <v/>
      </c>
      <c r="R79" s="20">
        <f>COUNTIFS(tData[SEHTrajectPeriodeDatumTijdVan],"&lt;="&amp;($A79+14/24),tData[SEHTrajectPeriodeDatumTijdTotEnMet],"&gt;"&amp;($A79+14/24),tData[Langligger01],1)</f>
        <v/>
      </c>
      <c r="S79" s="20">
        <f>COUNTIFS(tData[SEHTrajectPeriodeDatumTijdVan],"&lt;="&amp;($A79+15/24),tData[SEHTrajectPeriodeDatumTijdTotEnMet],"&gt;"&amp;($A79+15/24),tData[Langligger01],1)</f>
        <v/>
      </c>
      <c r="T79" s="20">
        <f>COUNTIFS(tData[SEHTrajectPeriodeDatumTijdVan],"&lt;="&amp;($A79+16/24),tData[SEHTrajectPeriodeDatumTijdTotEnMet],"&gt;"&amp;($A79+16/24),tData[Langligger01],1)</f>
        <v/>
      </c>
      <c r="U79" s="20">
        <f>COUNTIFS(tData[SEHTrajectPeriodeDatumTijdVan],"&lt;="&amp;($A79+17/24),tData[SEHTrajectPeriodeDatumTijdTotEnMet],"&gt;"&amp;($A79+17/24),tData[Langligger01],1)</f>
        <v/>
      </c>
      <c r="V79" s="20">
        <f>COUNTIFS(tData[SEHTrajectPeriodeDatumTijdVan],"&lt;="&amp;($A79+18/24),tData[SEHTrajectPeriodeDatumTijdTotEnMet],"&gt;"&amp;($A79+18/24),tData[Langligger01],1)</f>
        <v/>
      </c>
      <c r="W79" s="20">
        <f>COUNTIFS(tData[SEHTrajectPeriodeDatumTijdVan],"&lt;="&amp;($A79+19/24),tData[SEHTrajectPeriodeDatumTijdTotEnMet],"&gt;"&amp;($A79+19/24),tData[Langligger01],1)</f>
        <v/>
      </c>
      <c r="X79" s="20">
        <f>COUNTIFS(tData[SEHTrajectPeriodeDatumTijdVan],"&lt;="&amp;($A79+20/24),tData[SEHTrajectPeriodeDatumTijdTotEnMet],"&gt;"&amp;($A79+20/24),tData[Langligger01],1)</f>
        <v/>
      </c>
      <c r="Y79" s="20">
        <f>COUNTIFS(tData[SEHTrajectPeriodeDatumTijdVan],"&lt;="&amp;($A79+21/24),tData[SEHTrajectPeriodeDatumTijdTotEnMet],"&gt;"&amp;($A79+21/24),tData[Langligger01],1)</f>
        <v/>
      </c>
      <c r="Z79" s="20">
        <f>COUNTIFS(tData[SEHTrajectPeriodeDatumTijdVan],"&lt;="&amp;($A79+22/24),tData[SEHTrajectPeriodeDatumTijdTotEnMet],"&gt;"&amp;($A79+22/24),tData[Langligger01],1)</f>
        <v/>
      </c>
      <c r="AA79" s="20">
        <f>COUNTIFS(tData[SEHTrajectPeriodeDatumTijdVan],"&lt;="&amp;($A79+23/24),tData[SEHTrajectPeriodeDatumTijdTotEnMet],"&gt;"&amp;($A79+23/24),tData[Langligger01],1)</f>
        <v/>
      </c>
    </row>
    <row r="80">
      <c r="A80" s="19" t="n">
        <v>45368</v>
      </c>
      <c r="B80" s="15">
        <f>WEEKDAY($A80,2)</f>
        <v/>
      </c>
      <c r="C80" s="15">
        <f>IF(AND($A80&gt;=INT(Instellingen!$B$5),$A80&lt;=INT(Instellingen!$B$6)),1,0)</f>
        <v/>
      </c>
      <c r="D80" s="20">
        <f>COUNTIFS(tData[SEHTrajectPeriodeDatumTijdVan],"&lt;="&amp;($A80+0/24),tData[SEHTrajectPeriodeDatumTijdTotEnMet],"&gt;"&amp;($A80+0/24),tData[Langligger01],1)</f>
        <v/>
      </c>
      <c r="E80" s="20">
        <f>COUNTIFS(tData[SEHTrajectPeriodeDatumTijdVan],"&lt;="&amp;($A80+1/24),tData[SEHTrajectPeriodeDatumTijdTotEnMet],"&gt;"&amp;($A80+1/24),tData[Langligger01],1)</f>
        <v/>
      </c>
      <c r="F80" s="20">
        <f>COUNTIFS(tData[SEHTrajectPeriodeDatumTijdVan],"&lt;="&amp;($A80+2/24),tData[SEHTrajectPeriodeDatumTijdTotEnMet],"&gt;"&amp;($A80+2/24),tData[Langligger01],1)</f>
        <v/>
      </c>
      <c r="G80" s="20">
        <f>COUNTIFS(tData[SEHTrajectPeriodeDatumTijdVan],"&lt;="&amp;($A80+3/24),tData[SEHTrajectPeriodeDatumTijdTotEnMet],"&gt;"&amp;($A80+3/24),tData[Langligger01],1)</f>
        <v/>
      </c>
      <c r="H80" s="20">
        <f>COUNTIFS(tData[SEHTrajectPeriodeDatumTijdVan],"&lt;="&amp;($A80+4/24),tData[SEHTrajectPeriodeDatumTijdTotEnMet],"&gt;"&amp;($A80+4/24),tData[Langligger01],1)</f>
        <v/>
      </c>
      <c r="I80" s="20">
        <f>COUNTIFS(tData[SEHTrajectPeriodeDatumTijdVan],"&lt;="&amp;($A80+5/24),tData[SEHTrajectPeriodeDatumTijdTotEnMet],"&gt;"&amp;($A80+5/24),tData[Langligger01],1)</f>
        <v/>
      </c>
      <c r="J80" s="20">
        <f>COUNTIFS(tData[SEHTrajectPeriodeDatumTijdVan],"&lt;="&amp;($A80+6/24),tData[SEHTrajectPeriodeDatumTijdTotEnMet],"&gt;"&amp;($A80+6/24),tData[Langligger01],1)</f>
        <v/>
      </c>
      <c r="K80" s="20">
        <f>COUNTIFS(tData[SEHTrajectPeriodeDatumTijdVan],"&lt;="&amp;($A80+7/24),tData[SEHTrajectPeriodeDatumTijdTotEnMet],"&gt;"&amp;($A80+7/24),tData[Langligger01],1)</f>
        <v/>
      </c>
      <c r="L80" s="20">
        <f>COUNTIFS(tData[SEHTrajectPeriodeDatumTijdVan],"&lt;="&amp;($A80+8/24),tData[SEHTrajectPeriodeDatumTijdTotEnMet],"&gt;"&amp;($A80+8/24),tData[Langligger01],1)</f>
        <v/>
      </c>
      <c r="M80" s="20">
        <f>COUNTIFS(tData[SEHTrajectPeriodeDatumTijdVan],"&lt;="&amp;($A80+9/24),tData[SEHTrajectPeriodeDatumTijdTotEnMet],"&gt;"&amp;($A80+9/24),tData[Langligger01],1)</f>
        <v/>
      </c>
      <c r="N80" s="20">
        <f>COUNTIFS(tData[SEHTrajectPeriodeDatumTijdVan],"&lt;="&amp;($A80+10/24),tData[SEHTrajectPeriodeDatumTijdTotEnMet],"&gt;"&amp;($A80+10/24),tData[Langligger01],1)</f>
        <v/>
      </c>
      <c r="O80" s="20">
        <f>COUNTIFS(tData[SEHTrajectPeriodeDatumTijdVan],"&lt;="&amp;($A80+11/24),tData[SEHTrajectPeriodeDatumTijdTotEnMet],"&gt;"&amp;($A80+11/24),tData[Langligger01],1)</f>
        <v/>
      </c>
      <c r="P80" s="20">
        <f>COUNTIFS(tData[SEHTrajectPeriodeDatumTijdVan],"&lt;="&amp;($A80+12/24),tData[SEHTrajectPeriodeDatumTijdTotEnMet],"&gt;"&amp;($A80+12/24),tData[Langligger01],1)</f>
        <v/>
      </c>
      <c r="Q80" s="20">
        <f>COUNTIFS(tData[SEHTrajectPeriodeDatumTijdVan],"&lt;="&amp;($A80+13/24),tData[SEHTrajectPeriodeDatumTijdTotEnMet],"&gt;"&amp;($A80+13/24),tData[Langligger01],1)</f>
        <v/>
      </c>
      <c r="R80" s="20">
        <f>COUNTIFS(tData[SEHTrajectPeriodeDatumTijdVan],"&lt;="&amp;($A80+14/24),tData[SEHTrajectPeriodeDatumTijdTotEnMet],"&gt;"&amp;($A80+14/24),tData[Langligger01],1)</f>
        <v/>
      </c>
      <c r="S80" s="20">
        <f>COUNTIFS(tData[SEHTrajectPeriodeDatumTijdVan],"&lt;="&amp;($A80+15/24),tData[SEHTrajectPeriodeDatumTijdTotEnMet],"&gt;"&amp;($A80+15/24),tData[Langligger01],1)</f>
        <v/>
      </c>
      <c r="T80" s="20">
        <f>COUNTIFS(tData[SEHTrajectPeriodeDatumTijdVan],"&lt;="&amp;($A80+16/24),tData[SEHTrajectPeriodeDatumTijdTotEnMet],"&gt;"&amp;($A80+16/24),tData[Langligger01],1)</f>
        <v/>
      </c>
      <c r="U80" s="20">
        <f>COUNTIFS(tData[SEHTrajectPeriodeDatumTijdVan],"&lt;="&amp;($A80+17/24),tData[SEHTrajectPeriodeDatumTijdTotEnMet],"&gt;"&amp;($A80+17/24),tData[Langligger01],1)</f>
        <v/>
      </c>
      <c r="V80" s="20">
        <f>COUNTIFS(tData[SEHTrajectPeriodeDatumTijdVan],"&lt;="&amp;($A80+18/24),tData[SEHTrajectPeriodeDatumTijdTotEnMet],"&gt;"&amp;($A80+18/24),tData[Langligger01],1)</f>
        <v/>
      </c>
      <c r="W80" s="20">
        <f>COUNTIFS(tData[SEHTrajectPeriodeDatumTijdVan],"&lt;="&amp;($A80+19/24),tData[SEHTrajectPeriodeDatumTijdTotEnMet],"&gt;"&amp;($A80+19/24),tData[Langligger01],1)</f>
        <v/>
      </c>
      <c r="X80" s="20">
        <f>COUNTIFS(tData[SEHTrajectPeriodeDatumTijdVan],"&lt;="&amp;($A80+20/24),tData[SEHTrajectPeriodeDatumTijdTotEnMet],"&gt;"&amp;($A80+20/24),tData[Langligger01],1)</f>
        <v/>
      </c>
      <c r="Y80" s="20">
        <f>COUNTIFS(tData[SEHTrajectPeriodeDatumTijdVan],"&lt;="&amp;($A80+21/24),tData[SEHTrajectPeriodeDatumTijdTotEnMet],"&gt;"&amp;($A80+21/24),tData[Langligger01],1)</f>
        <v/>
      </c>
      <c r="Z80" s="20">
        <f>COUNTIFS(tData[SEHTrajectPeriodeDatumTijdVan],"&lt;="&amp;($A80+22/24),tData[SEHTrajectPeriodeDatumTijdTotEnMet],"&gt;"&amp;($A80+22/24),tData[Langligger01],1)</f>
        <v/>
      </c>
      <c r="AA80" s="20">
        <f>COUNTIFS(tData[SEHTrajectPeriodeDatumTijdVan],"&lt;="&amp;($A80+23/24),tData[SEHTrajectPeriodeDatumTijdTotEnMet],"&gt;"&amp;($A80+23/24),tData[Langligger01],1)</f>
        <v/>
      </c>
    </row>
    <row r="81">
      <c r="A81" s="19" t="n">
        <v>45369</v>
      </c>
      <c r="B81" s="15">
        <f>WEEKDAY($A81,2)</f>
        <v/>
      </c>
      <c r="C81" s="15">
        <f>IF(AND($A81&gt;=INT(Instellingen!$B$5),$A81&lt;=INT(Instellingen!$B$6)),1,0)</f>
        <v/>
      </c>
      <c r="D81" s="20">
        <f>COUNTIFS(tData[SEHTrajectPeriodeDatumTijdVan],"&lt;="&amp;($A81+0/24),tData[SEHTrajectPeriodeDatumTijdTotEnMet],"&gt;"&amp;($A81+0/24),tData[Langligger01],1)</f>
        <v/>
      </c>
      <c r="E81" s="20">
        <f>COUNTIFS(tData[SEHTrajectPeriodeDatumTijdVan],"&lt;="&amp;($A81+1/24),tData[SEHTrajectPeriodeDatumTijdTotEnMet],"&gt;"&amp;($A81+1/24),tData[Langligger01],1)</f>
        <v/>
      </c>
      <c r="F81" s="20">
        <f>COUNTIFS(tData[SEHTrajectPeriodeDatumTijdVan],"&lt;="&amp;($A81+2/24),tData[SEHTrajectPeriodeDatumTijdTotEnMet],"&gt;"&amp;($A81+2/24),tData[Langligger01],1)</f>
        <v/>
      </c>
      <c r="G81" s="20">
        <f>COUNTIFS(tData[SEHTrajectPeriodeDatumTijdVan],"&lt;="&amp;($A81+3/24),tData[SEHTrajectPeriodeDatumTijdTotEnMet],"&gt;"&amp;($A81+3/24),tData[Langligger01],1)</f>
        <v/>
      </c>
      <c r="H81" s="20">
        <f>COUNTIFS(tData[SEHTrajectPeriodeDatumTijdVan],"&lt;="&amp;($A81+4/24),tData[SEHTrajectPeriodeDatumTijdTotEnMet],"&gt;"&amp;($A81+4/24),tData[Langligger01],1)</f>
        <v/>
      </c>
      <c r="I81" s="20">
        <f>COUNTIFS(tData[SEHTrajectPeriodeDatumTijdVan],"&lt;="&amp;($A81+5/24),tData[SEHTrajectPeriodeDatumTijdTotEnMet],"&gt;"&amp;($A81+5/24),tData[Langligger01],1)</f>
        <v/>
      </c>
      <c r="J81" s="20">
        <f>COUNTIFS(tData[SEHTrajectPeriodeDatumTijdVan],"&lt;="&amp;($A81+6/24),tData[SEHTrajectPeriodeDatumTijdTotEnMet],"&gt;"&amp;($A81+6/24),tData[Langligger01],1)</f>
        <v/>
      </c>
      <c r="K81" s="20">
        <f>COUNTIFS(tData[SEHTrajectPeriodeDatumTijdVan],"&lt;="&amp;($A81+7/24),tData[SEHTrajectPeriodeDatumTijdTotEnMet],"&gt;"&amp;($A81+7/24),tData[Langligger01],1)</f>
        <v/>
      </c>
      <c r="L81" s="20">
        <f>COUNTIFS(tData[SEHTrajectPeriodeDatumTijdVan],"&lt;="&amp;($A81+8/24),tData[SEHTrajectPeriodeDatumTijdTotEnMet],"&gt;"&amp;($A81+8/24),tData[Langligger01],1)</f>
        <v/>
      </c>
      <c r="M81" s="20">
        <f>COUNTIFS(tData[SEHTrajectPeriodeDatumTijdVan],"&lt;="&amp;($A81+9/24),tData[SEHTrajectPeriodeDatumTijdTotEnMet],"&gt;"&amp;($A81+9/24),tData[Langligger01],1)</f>
        <v/>
      </c>
      <c r="N81" s="20">
        <f>COUNTIFS(tData[SEHTrajectPeriodeDatumTijdVan],"&lt;="&amp;($A81+10/24),tData[SEHTrajectPeriodeDatumTijdTotEnMet],"&gt;"&amp;($A81+10/24),tData[Langligger01],1)</f>
        <v/>
      </c>
      <c r="O81" s="20">
        <f>COUNTIFS(tData[SEHTrajectPeriodeDatumTijdVan],"&lt;="&amp;($A81+11/24),tData[SEHTrajectPeriodeDatumTijdTotEnMet],"&gt;"&amp;($A81+11/24),tData[Langligger01],1)</f>
        <v/>
      </c>
      <c r="P81" s="20">
        <f>COUNTIFS(tData[SEHTrajectPeriodeDatumTijdVan],"&lt;="&amp;($A81+12/24),tData[SEHTrajectPeriodeDatumTijdTotEnMet],"&gt;"&amp;($A81+12/24),tData[Langligger01],1)</f>
        <v/>
      </c>
      <c r="Q81" s="20">
        <f>COUNTIFS(tData[SEHTrajectPeriodeDatumTijdVan],"&lt;="&amp;($A81+13/24),tData[SEHTrajectPeriodeDatumTijdTotEnMet],"&gt;"&amp;($A81+13/24),tData[Langligger01],1)</f>
        <v/>
      </c>
      <c r="R81" s="20">
        <f>COUNTIFS(tData[SEHTrajectPeriodeDatumTijdVan],"&lt;="&amp;($A81+14/24),tData[SEHTrajectPeriodeDatumTijdTotEnMet],"&gt;"&amp;($A81+14/24),tData[Langligger01],1)</f>
        <v/>
      </c>
      <c r="S81" s="20">
        <f>COUNTIFS(tData[SEHTrajectPeriodeDatumTijdVan],"&lt;="&amp;($A81+15/24),tData[SEHTrajectPeriodeDatumTijdTotEnMet],"&gt;"&amp;($A81+15/24),tData[Langligger01],1)</f>
        <v/>
      </c>
      <c r="T81" s="20">
        <f>COUNTIFS(tData[SEHTrajectPeriodeDatumTijdVan],"&lt;="&amp;($A81+16/24),tData[SEHTrajectPeriodeDatumTijdTotEnMet],"&gt;"&amp;($A81+16/24),tData[Langligger01],1)</f>
        <v/>
      </c>
      <c r="U81" s="20">
        <f>COUNTIFS(tData[SEHTrajectPeriodeDatumTijdVan],"&lt;="&amp;($A81+17/24),tData[SEHTrajectPeriodeDatumTijdTotEnMet],"&gt;"&amp;($A81+17/24),tData[Langligger01],1)</f>
        <v/>
      </c>
      <c r="V81" s="20">
        <f>COUNTIFS(tData[SEHTrajectPeriodeDatumTijdVan],"&lt;="&amp;($A81+18/24),tData[SEHTrajectPeriodeDatumTijdTotEnMet],"&gt;"&amp;($A81+18/24),tData[Langligger01],1)</f>
        <v/>
      </c>
      <c r="W81" s="20">
        <f>COUNTIFS(tData[SEHTrajectPeriodeDatumTijdVan],"&lt;="&amp;($A81+19/24),tData[SEHTrajectPeriodeDatumTijdTotEnMet],"&gt;"&amp;($A81+19/24),tData[Langligger01],1)</f>
        <v/>
      </c>
      <c r="X81" s="20">
        <f>COUNTIFS(tData[SEHTrajectPeriodeDatumTijdVan],"&lt;="&amp;($A81+20/24),tData[SEHTrajectPeriodeDatumTijdTotEnMet],"&gt;"&amp;($A81+20/24),tData[Langligger01],1)</f>
        <v/>
      </c>
      <c r="Y81" s="20">
        <f>COUNTIFS(tData[SEHTrajectPeriodeDatumTijdVan],"&lt;="&amp;($A81+21/24),tData[SEHTrajectPeriodeDatumTijdTotEnMet],"&gt;"&amp;($A81+21/24),tData[Langligger01],1)</f>
        <v/>
      </c>
      <c r="Z81" s="20">
        <f>COUNTIFS(tData[SEHTrajectPeriodeDatumTijdVan],"&lt;="&amp;($A81+22/24),tData[SEHTrajectPeriodeDatumTijdTotEnMet],"&gt;"&amp;($A81+22/24),tData[Langligger01],1)</f>
        <v/>
      </c>
      <c r="AA81" s="20">
        <f>COUNTIFS(tData[SEHTrajectPeriodeDatumTijdVan],"&lt;="&amp;($A81+23/24),tData[SEHTrajectPeriodeDatumTijdTotEnMet],"&gt;"&amp;($A81+23/24),tData[Langligger01],1)</f>
        <v/>
      </c>
    </row>
    <row r="82">
      <c r="A82" s="19" t="n">
        <v>45370</v>
      </c>
      <c r="B82" s="15">
        <f>WEEKDAY($A82,2)</f>
        <v/>
      </c>
      <c r="C82" s="15">
        <f>IF(AND($A82&gt;=INT(Instellingen!$B$5),$A82&lt;=INT(Instellingen!$B$6)),1,0)</f>
        <v/>
      </c>
      <c r="D82" s="20">
        <f>COUNTIFS(tData[SEHTrajectPeriodeDatumTijdVan],"&lt;="&amp;($A82+0/24),tData[SEHTrajectPeriodeDatumTijdTotEnMet],"&gt;"&amp;($A82+0/24),tData[Langligger01],1)</f>
        <v/>
      </c>
      <c r="E82" s="20">
        <f>COUNTIFS(tData[SEHTrajectPeriodeDatumTijdVan],"&lt;="&amp;($A82+1/24),tData[SEHTrajectPeriodeDatumTijdTotEnMet],"&gt;"&amp;($A82+1/24),tData[Langligger01],1)</f>
        <v/>
      </c>
      <c r="F82" s="20">
        <f>COUNTIFS(tData[SEHTrajectPeriodeDatumTijdVan],"&lt;="&amp;($A82+2/24),tData[SEHTrajectPeriodeDatumTijdTotEnMet],"&gt;"&amp;($A82+2/24),tData[Langligger01],1)</f>
        <v/>
      </c>
      <c r="G82" s="20">
        <f>COUNTIFS(tData[SEHTrajectPeriodeDatumTijdVan],"&lt;="&amp;($A82+3/24),tData[SEHTrajectPeriodeDatumTijdTotEnMet],"&gt;"&amp;($A82+3/24),tData[Langligger01],1)</f>
        <v/>
      </c>
      <c r="H82" s="20">
        <f>COUNTIFS(tData[SEHTrajectPeriodeDatumTijdVan],"&lt;="&amp;($A82+4/24),tData[SEHTrajectPeriodeDatumTijdTotEnMet],"&gt;"&amp;($A82+4/24),tData[Langligger01],1)</f>
        <v/>
      </c>
      <c r="I82" s="20">
        <f>COUNTIFS(tData[SEHTrajectPeriodeDatumTijdVan],"&lt;="&amp;($A82+5/24),tData[SEHTrajectPeriodeDatumTijdTotEnMet],"&gt;"&amp;($A82+5/24),tData[Langligger01],1)</f>
        <v/>
      </c>
      <c r="J82" s="20">
        <f>COUNTIFS(tData[SEHTrajectPeriodeDatumTijdVan],"&lt;="&amp;($A82+6/24),tData[SEHTrajectPeriodeDatumTijdTotEnMet],"&gt;"&amp;($A82+6/24),tData[Langligger01],1)</f>
        <v/>
      </c>
      <c r="K82" s="20">
        <f>COUNTIFS(tData[SEHTrajectPeriodeDatumTijdVan],"&lt;="&amp;($A82+7/24),tData[SEHTrajectPeriodeDatumTijdTotEnMet],"&gt;"&amp;($A82+7/24),tData[Langligger01],1)</f>
        <v/>
      </c>
      <c r="L82" s="20">
        <f>COUNTIFS(tData[SEHTrajectPeriodeDatumTijdVan],"&lt;="&amp;($A82+8/24),tData[SEHTrajectPeriodeDatumTijdTotEnMet],"&gt;"&amp;($A82+8/24),tData[Langligger01],1)</f>
        <v/>
      </c>
      <c r="M82" s="20">
        <f>COUNTIFS(tData[SEHTrajectPeriodeDatumTijdVan],"&lt;="&amp;($A82+9/24),tData[SEHTrajectPeriodeDatumTijdTotEnMet],"&gt;"&amp;($A82+9/24),tData[Langligger01],1)</f>
        <v/>
      </c>
      <c r="N82" s="20">
        <f>COUNTIFS(tData[SEHTrajectPeriodeDatumTijdVan],"&lt;="&amp;($A82+10/24),tData[SEHTrajectPeriodeDatumTijdTotEnMet],"&gt;"&amp;($A82+10/24),tData[Langligger01],1)</f>
        <v/>
      </c>
      <c r="O82" s="20">
        <f>COUNTIFS(tData[SEHTrajectPeriodeDatumTijdVan],"&lt;="&amp;($A82+11/24),tData[SEHTrajectPeriodeDatumTijdTotEnMet],"&gt;"&amp;($A82+11/24),tData[Langligger01],1)</f>
        <v/>
      </c>
      <c r="P82" s="20">
        <f>COUNTIFS(tData[SEHTrajectPeriodeDatumTijdVan],"&lt;="&amp;($A82+12/24),tData[SEHTrajectPeriodeDatumTijdTotEnMet],"&gt;"&amp;($A82+12/24),tData[Langligger01],1)</f>
        <v/>
      </c>
      <c r="Q82" s="20">
        <f>COUNTIFS(tData[SEHTrajectPeriodeDatumTijdVan],"&lt;="&amp;($A82+13/24),tData[SEHTrajectPeriodeDatumTijdTotEnMet],"&gt;"&amp;($A82+13/24),tData[Langligger01],1)</f>
        <v/>
      </c>
      <c r="R82" s="20">
        <f>COUNTIFS(tData[SEHTrajectPeriodeDatumTijdVan],"&lt;="&amp;($A82+14/24),tData[SEHTrajectPeriodeDatumTijdTotEnMet],"&gt;"&amp;($A82+14/24),tData[Langligger01],1)</f>
        <v/>
      </c>
      <c r="S82" s="20">
        <f>COUNTIFS(tData[SEHTrajectPeriodeDatumTijdVan],"&lt;="&amp;($A82+15/24),tData[SEHTrajectPeriodeDatumTijdTotEnMet],"&gt;"&amp;($A82+15/24),tData[Langligger01],1)</f>
        <v/>
      </c>
      <c r="T82" s="20">
        <f>COUNTIFS(tData[SEHTrajectPeriodeDatumTijdVan],"&lt;="&amp;($A82+16/24),tData[SEHTrajectPeriodeDatumTijdTotEnMet],"&gt;"&amp;($A82+16/24),tData[Langligger01],1)</f>
        <v/>
      </c>
      <c r="U82" s="20">
        <f>COUNTIFS(tData[SEHTrajectPeriodeDatumTijdVan],"&lt;="&amp;($A82+17/24),tData[SEHTrajectPeriodeDatumTijdTotEnMet],"&gt;"&amp;($A82+17/24),tData[Langligger01],1)</f>
        <v/>
      </c>
      <c r="V82" s="20">
        <f>COUNTIFS(tData[SEHTrajectPeriodeDatumTijdVan],"&lt;="&amp;($A82+18/24),tData[SEHTrajectPeriodeDatumTijdTotEnMet],"&gt;"&amp;($A82+18/24),tData[Langligger01],1)</f>
        <v/>
      </c>
      <c r="W82" s="20">
        <f>COUNTIFS(tData[SEHTrajectPeriodeDatumTijdVan],"&lt;="&amp;($A82+19/24),tData[SEHTrajectPeriodeDatumTijdTotEnMet],"&gt;"&amp;($A82+19/24),tData[Langligger01],1)</f>
        <v/>
      </c>
      <c r="X82" s="20">
        <f>COUNTIFS(tData[SEHTrajectPeriodeDatumTijdVan],"&lt;="&amp;($A82+20/24),tData[SEHTrajectPeriodeDatumTijdTotEnMet],"&gt;"&amp;($A82+20/24),tData[Langligger01],1)</f>
        <v/>
      </c>
      <c r="Y82" s="20">
        <f>COUNTIFS(tData[SEHTrajectPeriodeDatumTijdVan],"&lt;="&amp;($A82+21/24),tData[SEHTrajectPeriodeDatumTijdTotEnMet],"&gt;"&amp;($A82+21/24),tData[Langligger01],1)</f>
        <v/>
      </c>
      <c r="Z82" s="20">
        <f>COUNTIFS(tData[SEHTrajectPeriodeDatumTijdVan],"&lt;="&amp;($A82+22/24),tData[SEHTrajectPeriodeDatumTijdTotEnMet],"&gt;"&amp;($A82+22/24),tData[Langligger01],1)</f>
        <v/>
      </c>
      <c r="AA82" s="20">
        <f>COUNTIFS(tData[SEHTrajectPeriodeDatumTijdVan],"&lt;="&amp;($A82+23/24),tData[SEHTrajectPeriodeDatumTijdTotEnMet],"&gt;"&amp;($A82+23/24),tData[Langligger01],1)</f>
        <v/>
      </c>
    </row>
    <row r="83">
      <c r="A83" s="19" t="n">
        <v>45371</v>
      </c>
      <c r="B83" s="15">
        <f>WEEKDAY($A83,2)</f>
        <v/>
      </c>
      <c r="C83" s="15">
        <f>IF(AND($A83&gt;=INT(Instellingen!$B$5),$A83&lt;=INT(Instellingen!$B$6)),1,0)</f>
        <v/>
      </c>
      <c r="D83" s="20">
        <f>COUNTIFS(tData[SEHTrajectPeriodeDatumTijdVan],"&lt;="&amp;($A83+0/24),tData[SEHTrajectPeriodeDatumTijdTotEnMet],"&gt;"&amp;($A83+0/24),tData[Langligger01],1)</f>
        <v/>
      </c>
      <c r="E83" s="20">
        <f>COUNTIFS(tData[SEHTrajectPeriodeDatumTijdVan],"&lt;="&amp;($A83+1/24),tData[SEHTrajectPeriodeDatumTijdTotEnMet],"&gt;"&amp;($A83+1/24),tData[Langligger01],1)</f>
        <v/>
      </c>
      <c r="F83" s="20">
        <f>COUNTIFS(tData[SEHTrajectPeriodeDatumTijdVan],"&lt;="&amp;($A83+2/24),tData[SEHTrajectPeriodeDatumTijdTotEnMet],"&gt;"&amp;($A83+2/24),tData[Langligger01],1)</f>
        <v/>
      </c>
      <c r="G83" s="20">
        <f>COUNTIFS(tData[SEHTrajectPeriodeDatumTijdVan],"&lt;="&amp;($A83+3/24),tData[SEHTrajectPeriodeDatumTijdTotEnMet],"&gt;"&amp;($A83+3/24),tData[Langligger01],1)</f>
        <v/>
      </c>
      <c r="H83" s="20">
        <f>COUNTIFS(tData[SEHTrajectPeriodeDatumTijdVan],"&lt;="&amp;($A83+4/24),tData[SEHTrajectPeriodeDatumTijdTotEnMet],"&gt;"&amp;($A83+4/24),tData[Langligger01],1)</f>
        <v/>
      </c>
      <c r="I83" s="20">
        <f>COUNTIFS(tData[SEHTrajectPeriodeDatumTijdVan],"&lt;="&amp;($A83+5/24),tData[SEHTrajectPeriodeDatumTijdTotEnMet],"&gt;"&amp;($A83+5/24),tData[Langligger01],1)</f>
        <v/>
      </c>
      <c r="J83" s="20">
        <f>COUNTIFS(tData[SEHTrajectPeriodeDatumTijdVan],"&lt;="&amp;($A83+6/24),tData[SEHTrajectPeriodeDatumTijdTotEnMet],"&gt;"&amp;($A83+6/24),tData[Langligger01],1)</f>
        <v/>
      </c>
      <c r="K83" s="20">
        <f>COUNTIFS(tData[SEHTrajectPeriodeDatumTijdVan],"&lt;="&amp;($A83+7/24),tData[SEHTrajectPeriodeDatumTijdTotEnMet],"&gt;"&amp;($A83+7/24),tData[Langligger01],1)</f>
        <v/>
      </c>
      <c r="L83" s="20">
        <f>COUNTIFS(tData[SEHTrajectPeriodeDatumTijdVan],"&lt;="&amp;($A83+8/24),tData[SEHTrajectPeriodeDatumTijdTotEnMet],"&gt;"&amp;($A83+8/24),tData[Langligger01],1)</f>
        <v/>
      </c>
      <c r="M83" s="20">
        <f>COUNTIFS(tData[SEHTrajectPeriodeDatumTijdVan],"&lt;="&amp;($A83+9/24),tData[SEHTrajectPeriodeDatumTijdTotEnMet],"&gt;"&amp;($A83+9/24),tData[Langligger01],1)</f>
        <v/>
      </c>
      <c r="N83" s="20">
        <f>COUNTIFS(tData[SEHTrajectPeriodeDatumTijdVan],"&lt;="&amp;($A83+10/24),tData[SEHTrajectPeriodeDatumTijdTotEnMet],"&gt;"&amp;($A83+10/24),tData[Langligger01],1)</f>
        <v/>
      </c>
      <c r="O83" s="20">
        <f>COUNTIFS(tData[SEHTrajectPeriodeDatumTijdVan],"&lt;="&amp;($A83+11/24),tData[SEHTrajectPeriodeDatumTijdTotEnMet],"&gt;"&amp;($A83+11/24),tData[Langligger01],1)</f>
        <v/>
      </c>
      <c r="P83" s="20">
        <f>COUNTIFS(tData[SEHTrajectPeriodeDatumTijdVan],"&lt;="&amp;($A83+12/24),tData[SEHTrajectPeriodeDatumTijdTotEnMet],"&gt;"&amp;($A83+12/24),tData[Langligger01],1)</f>
        <v/>
      </c>
      <c r="Q83" s="20">
        <f>COUNTIFS(tData[SEHTrajectPeriodeDatumTijdVan],"&lt;="&amp;($A83+13/24),tData[SEHTrajectPeriodeDatumTijdTotEnMet],"&gt;"&amp;($A83+13/24),tData[Langligger01],1)</f>
        <v/>
      </c>
      <c r="R83" s="20">
        <f>COUNTIFS(tData[SEHTrajectPeriodeDatumTijdVan],"&lt;="&amp;($A83+14/24),tData[SEHTrajectPeriodeDatumTijdTotEnMet],"&gt;"&amp;($A83+14/24),tData[Langligger01],1)</f>
        <v/>
      </c>
      <c r="S83" s="20">
        <f>COUNTIFS(tData[SEHTrajectPeriodeDatumTijdVan],"&lt;="&amp;($A83+15/24),tData[SEHTrajectPeriodeDatumTijdTotEnMet],"&gt;"&amp;($A83+15/24),tData[Langligger01],1)</f>
        <v/>
      </c>
      <c r="T83" s="20">
        <f>COUNTIFS(tData[SEHTrajectPeriodeDatumTijdVan],"&lt;="&amp;($A83+16/24),tData[SEHTrajectPeriodeDatumTijdTotEnMet],"&gt;"&amp;($A83+16/24),tData[Langligger01],1)</f>
        <v/>
      </c>
      <c r="U83" s="20">
        <f>COUNTIFS(tData[SEHTrajectPeriodeDatumTijdVan],"&lt;="&amp;($A83+17/24),tData[SEHTrajectPeriodeDatumTijdTotEnMet],"&gt;"&amp;($A83+17/24),tData[Langligger01],1)</f>
        <v/>
      </c>
      <c r="V83" s="20">
        <f>COUNTIFS(tData[SEHTrajectPeriodeDatumTijdVan],"&lt;="&amp;($A83+18/24),tData[SEHTrajectPeriodeDatumTijdTotEnMet],"&gt;"&amp;($A83+18/24),tData[Langligger01],1)</f>
        <v/>
      </c>
      <c r="W83" s="20">
        <f>COUNTIFS(tData[SEHTrajectPeriodeDatumTijdVan],"&lt;="&amp;($A83+19/24),tData[SEHTrajectPeriodeDatumTijdTotEnMet],"&gt;"&amp;($A83+19/24),tData[Langligger01],1)</f>
        <v/>
      </c>
      <c r="X83" s="20">
        <f>COUNTIFS(tData[SEHTrajectPeriodeDatumTijdVan],"&lt;="&amp;($A83+20/24),tData[SEHTrajectPeriodeDatumTijdTotEnMet],"&gt;"&amp;($A83+20/24),tData[Langligger01],1)</f>
        <v/>
      </c>
      <c r="Y83" s="20">
        <f>COUNTIFS(tData[SEHTrajectPeriodeDatumTijdVan],"&lt;="&amp;($A83+21/24),tData[SEHTrajectPeriodeDatumTijdTotEnMet],"&gt;"&amp;($A83+21/24),tData[Langligger01],1)</f>
        <v/>
      </c>
      <c r="Z83" s="20">
        <f>COUNTIFS(tData[SEHTrajectPeriodeDatumTijdVan],"&lt;="&amp;($A83+22/24),tData[SEHTrajectPeriodeDatumTijdTotEnMet],"&gt;"&amp;($A83+22/24),tData[Langligger01],1)</f>
        <v/>
      </c>
      <c r="AA83" s="20">
        <f>COUNTIFS(tData[SEHTrajectPeriodeDatumTijdVan],"&lt;="&amp;($A83+23/24),tData[SEHTrajectPeriodeDatumTijdTotEnMet],"&gt;"&amp;($A83+23/24),tData[Langligger01],1)</f>
        <v/>
      </c>
    </row>
    <row r="84">
      <c r="A84" s="19" t="n">
        <v>45372</v>
      </c>
      <c r="B84" s="15">
        <f>WEEKDAY($A84,2)</f>
        <v/>
      </c>
      <c r="C84" s="15">
        <f>IF(AND($A84&gt;=INT(Instellingen!$B$5),$A84&lt;=INT(Instellingen!$B$6)),1,0)</f>
        <v/>
      </c>
      <c r="D84" s="20">
        <f>COUNTIFS(tData[SEHTrajectPeriodeDatumTijdVan],"&lt;="&amp;($A84+0/24),tData[SEHTrajectPeriodeDatumTijdTotEnMet],"&gt;"&amp;($A84+0/24),tData[Langligger01],1)</f>
        <v/>
      </c>
      <c r="E84" s="20">
        <f>COUNTIFS(tData[SEHTrajectPeriodeDatumTijdVan],"&lt;="&amp;($A84+1/24),tData[SEHTrajectPeriodeDatumTijdTotEnMet],"&gt;"&amp;($A84+1/24),tData[Langligger01],1)</f>
        <v/>
      </c>
      <c r="F84" s="20">
        <f>COUNTIFS(tData[SEHTrajectPeriodeDatumTijdVan],"&lt;="&amp;($A84+2/24),tData[SEHTrajectPeriodeDatumTijdTotEnMet],"&gt;"&amp;($A84+2/24),tData[Langligger01],1)</f>
        <v/>
      </c>
      <c r="G84" s="20">
        <f>COUNTIFS(tData[SEHTrajectPeriodeDatumTijdVan],"&lt;="&amp;($A84+3/24),tData[SEHTrajectPeriodeDatumTijdTotEnMet],"&gt;"&amp;($A84+3/24),tData[Langligger01],1)</f>
        <v/>
      </c>
      <c r="H84" s="20">
        <f>COUNTIFS(tData[SEHTrajectPeriodeDatumTijdVan],"&lt;="&amp;($A84+4/24),tData[SEHTrajectPeriodeDatumTijdTotEnMet],"&gt;"&amp;($A84+4/24),tData[Langligger01],1)</f>
        <v/>
      </c>
      <c r="I84" s="20">
        <f>COUNTIFS(tData[SEHTrajectPeriodeDatumTijdVan],"&lt;="&amp;($A84+5/24),tData[SEHTrajectPeriodeDatumTijdTotEnMet],"&gt;"&amp;($A84+5/24),tData[Langligger01],1)</f>
        <v/>
      </c>
      <c r="J84" s="20">
        <f>COUNTIFS(tData[SEHTrajectPeriodeDatumTijdVan],"&lt;="&amp;($A84+6/24),tData[SEHTrajectPeriodeDatumTijdTotEnMet],"&gt;"&amp;($A84+6/24),tData[Langligger01],1)</f>
        <v/>
      </c>
      <c r="K84" s="20">
        <f>COUNTIFS(tData[SEHTrajectPeriodeDatumTijdVan],"&lt;="&amp;($A84+7/24),tData[SEHTrajectPeriodeDatumTijdTotEnMet],"&gt;"&amp;($A84+7/24),tData[Langligger01],1)</f>
        <v/>
      </c>
      <c r="L84" s="20">
        <f>COUNTIFS(tData[SEHTrajectPeriodeDatumTijdVan],"&lt;="&amp;($A84+8/24),tData[SEHTrajectPeriodeDatumTijdTotEnMet],"&gt;"&amp;($A84+8/24),tData[Langligger01],1)</f>
        <v/>
      </c>
      <c r="M84" s="20">
        <f>COUNTIFS(tData[SEHTrajectPeriodeDatumTijdVan],"&lt;="&amp;($A84+9/24),tData[SEHTrajectPeriodeDatumTijdTotEnMet],"&gt;"&amp;($A84+9/24),tData[Langligger01],1)</f>
        <v/>
      </c>
      <c r="N84" s="20">
        <f>COUNTIFS(tData[SEHTrajectPeriodeDatumTijdVan],"&lt;="&amp;($A84+10/24),tData[SEHTrajectPeriodeDatumTijdTotEnMet],"&gt;"&amp;($A84+10/24),tData[Langligger01],1)</f>
        <v/>
      </c>
      <c r="O84" s="20">
        <f>COUNTIFS(tData[SEHTrajectPeriodeDatumTijdVan],"&lt;="&amp;($A84+11/24),tData[SEHTrajectPeriodeDatumTijdTotEnMet],"&gt;"&amp;($A84+11/24),tData[Langligger01],1)</f>
        <v/>
      </c>
      <c r="P84" s="20">
        <f>COUNTIFS(tData[SEHTrajectPeriodeDatumTijdVan],"&lt;="&amp;($A84+12/24),tData[SEHTrajectPeriodeDatumTijdTotEnMet],"&gt;"&amp;($A84+12/24),tData[Langligger01],1)</f>
        <v/>
      </c>
      <c r="Q84" s="20">
        <f>COUNTIFS(tData[SEHTrajectPeriodeDatumTijdVan],"&lt;="&amp;($A84+13/24),tData[SEHTrajectPeriodeDatumTijdTotEnMet],"&gt;"&amp;($A84+13/24),tData[Langligger01],1)</f>
        <v/>
      </c>
      <c r="R84" s="20">
        <f>COUNTIFS(tData[SEHTrajectPeriodeDatumTijdVan],"&lt;="&amp;($A84+14/24),tData[SEHTrajectPeriodeDatumTijdTotEnMet],"&gt;"&amp;($A84+14/24),tData[Langligger01],1)</f>
        <v/>
      </c>
      <c r="S84" s="20">
        <f>COUNTIFS(tData[SEHTrajectPeriodeDatumTijdVan],"&lt;="&amp;($A84+15/24),tData[SEHTrajectPeriodeDatumTijdTotEnMet],"&gt;"&amp;($A84+15/24),tData[Langligger01],1)</f>
        <v/>
      </c>
      <c r="T84" s="20">
        <f>COUNTIFS(tData[SEHTrajectPeriodeDatumTijdVan],"&lt;="&amp;($A84+16/24),tData[SEHTrajectPeriodeDatumTijdTotEnMet],"&gt;"&amp;($A84+16/24),tData[Langligger01],1)</f>
        <v/>
      </c>
      <c r="U84" s="20">
        <f>COUNTIFS(tData[SEHTrajectPeriodeDatumTijdVan],"&lt;="&amp;($A84+17/24),tData[SEHTrajectPeriodeDatumTijdTotEnMet],"&gt;"&amp;($A84+17/24),tData[Langligger01],1)</f>
        <v/>
      </c>
      <c r="V84" s="20">
        <f>COUNTIFS(tData[SEHTrajectPeriodeDatumTijdVan],"&lt;="&amp;($A84+18/24),tData[SEHTrajectPeriodeDatumTijdTotEnMet],"&gt;"&amp;($A84+18/24),tData[Langligger01],1)</f>
        <v/>
      </c>
      <c r="W84" s="20">
        <f>COUNTIFS(tData[SEHTrajectPeriodeDatumTijdVan],"&lt;="&amp;($A84+19/24),tData[SEHTrajectPeriodeDatumTijdTotEnMet],"&gt;"&amp;($A84+19/24),tData[Langligger01],1)</f>
        <v/>
      </c>
      <c r="X84" s="20">
        <f>COUNTIFS(tData[SEHTrajectPeriodeDatumTijdVan],"&lt;="&amp;($A84+20/24),tData[SEHTrajectPeriodeDatumTijdTotEnMet],"&gt;"&amp;($A84+20/24),tData[Langligger01],1)</f>
        <v/>
      </c>
      <c r="Y84" s="20">
        <f>COUNTIFS(tData[SEHTrajectPeriodeDatumTijdVan],"&lt;="&amp;($A84+21/24),tData[SEHTrajectPeriodeDatumTijdTotEnMet],"&gt;"&amp;($A84+21/24),tData[Langligger01],1)</f>
        <v/>
      </c>
      <c r="Z84" s="20">
        <f>COUNTIFS(tData[SEHTrajectPeriodeDatumTijdVan],"&lt;="&amp;($A84+22/24),tData[SEHTrajectPeriodeDatumTijdTotEnMet],"&gt;"&amp;($A84+22/24),tData[Langligger01],1)</f>
        <v/>
      </c>
      <c r="AA84" s="20">
        <f>COUNTIFS(tData[SEHTrajectPeriodeDatumTijdVan],"&lt;="&amp;($A84+23/24),tData[SEHTrajectPeriodeDatumTijdTotEnMet],"&gt;"&amp;($A84+23/24),tData[Langligger01],1)</f>
        <v/>
      </c>
    </row>
    <row r="85">
      <c r="A85" s="19" t="n">
        <v>45373</v>
      </c>
      <c r="B85" s="15">
        <f>WEEKDAY($A85,2)</f>
        <v/>
      </c>
      <c r="C85" s="15">
        <f>IF(AND($A85&gt;=INT(Instellingen!$B$5),$A85&lt;=INT(Instellingen!$B$6)),1,0)</f>
        <v/>
      </c>
      <c r="D85" s="20">
        <f>COUNTIFS(tData[SEHTrajectPeriodeDatumTijdVan],"&lt;="&amp;($A85+0/24),tData[SEHTrajectPeriodeDatumTijdTotEnMet],"&gt;"&amp;($A85+0/24),tData[Langligger01],1)</f>
        <v/>
      </c>
      <c r="E85" s="20">
        <f>COUNTIFS(tData[SEHTrajectPeriodeDatumTijdVan],"&lt;="&amp;($A85+1/24),tData[SEHTrajectPeriodeDatumTijdTotEnMet],"&gt;"&amp;($A85+1/24),tData[Langligger01],1)</f>
        <v/>
      </c>
      <c r="F85" s="20">
        <f>COUNTIFS(tData[SEHTrajectPeriodeDatumTijdVan],"&lt;="&amp;($A85+2/24),tData[SEHTrajectPeriodeDatumTijdTotEnMet],"&gt;"&amp;($A85+2/24),tData[Langligger01],1)</f>
        <v/>
      </c>
      <c r="G85" s="20">
        <f>COUNTIFS(tData[SEHTrajectPeriodeDatumTijdVan],"&lt;="&amp;($A85+3/24),tData[SEHTrajectPeriodeDatumTijdTotEnMet],"&gt;"&amp;($A85+3/24),tData[Langligger01],1)</f>
        <v/>
      </c>
      <c r="H85" s="20">
        <f>COUNTIFS(tData[SEHTrajectPeriodeDatumTijdVan],"&lt;="&amp;($A85+4/24),tData[SEHTrajectPeriodeDatumTijdTotEnMet],"&gt;"&amp;($A85+4/24),tData[Langligger01],1)</f>
        <v/>
      </c>
      <c r="I85" s="20">
        <f>COUNTIFS(tData[SEHTrajectPeriodeDatumTijdVan],"&lt;="&amp;($A85+5/24),tData[SEHTrajectPeriodeDatumTijdTotEnMet],"&gt;"&amp;($A85+5/24),tData[Langligger01],1)</f>
        <v/>
      </c>
      <c r="J85" s="20">
        <f>COUNTIFS(tData[SEHTrajectPeriodeDatumTijdVan],"&lt;="&amp;($A85+6/24),tData[SEHTrajectPeriodeDatumTijdTotEnMet],"&gt;"&amp;($A85+6/24),tData[Langligger01],1)</f>
        <v/>
      </c>
      <c r="K85" s="20">
        <f>COUNTIFS(tData[SEHTrajectPeriodeDatumTijdVan],"&lt;="&amp;($A85+7/24),tData[SEHTrajectPeriodeDatumTijdTotEnMet],"&gt;"&amp;($A85+7/24),tData[Langligger01],1)</f>
        <v/>
      </c>
      <c r="L85" s="20">
        <f>COUNTIFS(tData[SEHTrajectPeriodeDatumTijdVan],"&lt;="&amp;($A85+8/24),tData[SEHTrajectPeriodeDatumTijdTotEnMet],"&gt;"&amp;($A85+8/24),tData[Langligger01],1)</f>
        <v/>
      </c>
      <c r="M85" s="20">
        <f>COUNTIFS(tData[SEHTrajectPeriodeDatumTijdVan],"&lt;="&amp;($A85+9/24),tData[SEHTrajectPeriodeDatumTijdTotEnMet],"&gt;"&amp;($A85+9/24),tData[Langligger01],1)</f>
        <v/>
      </c>
      <c r="N85" s="20">
        <f>COUNTIFS(tData[SEHTrajectPeriodeDatumTijdVan],"&lt;="&amp;($A85+10/24),tData[SEHTrajectPeriodeDatumTijdTotEnMet],"&gt;"&amp;($A85+10/24),tData[Langligger01],1)</f>
        <v/>
      </c>
      <c r="O85" s="20">
        <f>COUNTIFS(tData[SEHTrajectPeriodeDatumTijdVan],"&lt;="&amp;($A85+11/24),tData[SEHTrajectPeriodeDatumTijdTotEnMet],"&gt;"&amp;($A85+11/24),tData[Langligger01],1)</f>
        <v/>
      </c>
      <c r="P85" s="20">
        <f>COUNTIFS(tData[SEHTrajectPeriodeDatumTijdVan],"&lt;="&amp;($A85+12/24),tData[SEHTrajectPeriodeDatumTijdTotEnMet],"&gt;"&amp;($A85+12/24),tData[Langligger01],1)</f>
        <v/>
      </c>
      <c r="Q85" s="20">
        <f>COUNTIFS(tData[SEHTrajectPeriodeDatumTijdVan],"&lt;="&amp;($A85+13/24),tData[SEHTrajectPeriodeDatumTijdTotEnMet],"&gt;"&amp;($A85+13/24),tData[Langligger01],1)</f>
        <v/>
      </c>
      <c r="R85" s="20">
        <f>COUNTIFS(tData[SEHTrajectPeriodeDatumTijdVan],"&lt;="&amp;($A85+14/24),tData[SEHTrajectPeriodeDatumTijdTotEnMet],"&gt;"&amp;($A85+14/24),tData[Langligger01],1)</f>
        <v/>
      </c>
      <c r="S85" s="20">
        <f>COUNTIFS(tData[SEHTrajectPeriodeDatumTijdVan],"&lt;="&amp;($A85+15/24),tData[SEHTrajectPeriodeDatumTijdTotEnMet],"&gt;"&amp;($A85+15/24),tData[Langligger01],1)</f>
        <v/>
      </c>
      <c r="T85" s="20">
        <f>COUNTIFS(tData[SEHTrajectPeriodeDatumTijdVan],"&lt;="&amp;($A85+16/24),tData[SEHTrajectPeriodeDatumTijdTotEnMet],"&gt;"&amp;($A85+16/24),tData[Langligger01],1)</f>
        <v/>
      </c>
      <c r="U85" s="20">
        <f>COUNTIFS(tData[SEHTrajectPeriodeDatumTijdVan],"&lt;="&amp;($A85+17/24),tData[SEHTrajectPeriodeDatumTijdTotEnMet],"&gt;"&amp;($A85+17/24),tData[Langligger01],1)</f>
        <v/>
      </c>
      <c r="V85" s="20">
        <f>COUNTIFS(tData[SEHTrajectPeriodeDatumTijdVan],"&lt;="&amp;($A85+18/24),tData[SEHTrajectPeriodeDatumTijdTotEnMet],"&gt;"&amp;($A85+18/24),tData[Langligger01],1)</f>
        <v/>
      </c>
      <c r="W85" s="20">
        <f>COUNTIFS(tData[SEHTrajectPeriodeDatumTijdVan],"&lt;="&amp;($A85+19/24),tData[SEHTrajectPeriodeDatumTijdTotEnMet],"&gt;"&amp;($A85+19/24),tData[Langligger01],1)</f>
        <v/>
      </c>
      <c r="X85" s="20">
        <f>COUNTIFS(tData[SEHTrajectPeriodeDatumTijdVan],"&lt;="&amp;($A85+20/24),tData[SEHTrajectPeriodeDatumTijdTotEnMet],"&gt;"&amp;($A85+20/24),tData[Langligger01],1)</f>
        <v/>
      </c>
      <c r="Y85" s="20">
        <f>COUNTIFS(tData[SEHTrajectPeriodeDatumTijdVan],"&lt;="&amp;($A85+21/24),tData[SEHTrajectPeriodeDatumTijdTotEnMet],"&gt;"&amp;($A85+21/24),tData[Langligger01],1)</f>
        <v/>
      </c>
      <c r="Z85" s="20">
        <f>COUNTIFS(tData[SEHTrajectPeriodeDatumTijdVan],"&lt;="&amp;($A85+22/24),tData[SEHTrajectPeriodeDatumTijdTotEnMet],"&gt;"&amp;($A85+22/24),tData[Langligger01],1)</f>
        <v/>
      </c>
      <c r="AA85" s="20">
        <f>COUNTIFS(tData[SEHTrajectPeriodeDatumTijdVan],"&lt;="&amp;($A85+23/24),tData[SEHTrajectPeriodeDatumTijdTotEnMet],"&gt;"&amp;($A85+23/24),tData[Langligger01],1)</f>
        <v/>
      </c>
    </row>
    <row r="86">
      <c r="A86" s="19" t="n">
        <v>45374</v>
      </c>
      <c r="B86" s="15">
        <f>WEEKDAY($A86,2)</f>
        <v/>
      </c>
      <c r="C86" s="15">
        <f>IF(AND($A86&gt;=INT(Instellingen!$B$5),$A86&lt;=INT(Instellingen!$B$6)),1,0)</f>
        <v/>
      </c>
      <c r="D86" s="20">
        <f>COUNTIFS(tData[SEHTrajectPeriodeDatumTijdVan],"&lt;="&amp;($A86+0/24),tData[SEHTrajectPeriodeDatumTijdTotEnMet],"&gt;"&amp;($A86+0/24),tData[Langligger01],1)</f>
        <v/>
      </c>
      <c r="E86" s="20">
        <f>COUNTIFS(tData[SEHTrajectPeriodeDatumTijdVan],"&lt;="&amp;($A86+1/24),tData[SEHTrajectPeriodeDatumTijdTotEnMet],"&gt;"&amp;($A86+1/24),tData[Langligger01],1)</f>
        <v/>
      </c>
      <c r="F86" s="20">
        <f>COUNTIFS(tData[SEHTrajectPeriodeDatumTijdVan],"&lt;="&amp;($A86+2/24),tData[SEHTrajectPeriodeDatumTijdTotEnMet],"&gt;"&amp;($A86+2/24),tData[Langligger01],1)</f>
        <v/>
      </c>
      <c r="G86" s="20">
        <f>COUNTIFS(tData[SEHTrajectPeriodeDatumTijdVan],"&lt;="&amp;($A86+3/24),tData[SEHTrajectPeriodeDatumTijdTotEnMet],"&gt;"&amp;($A86+3/24),tData[Langligger01],1)</f>
        <v/>
      </c>
      <c r="H86" s="20">
        <f>COUNTIFS(tData[SEHTrajectPeriodeDatumTijdVan],"&lt;="&amp;($A86+4/24),tData[SEHTrajectPeriodeDatumTijdTotEnMet],"&gt;"&amp;($A86+4/24),tData[Langligger01],1)</f>
        <v/>
      </c>
      <c r="I86" s="20">
        <f>COUNTIFS(tData[SEHTrajectPeriodeDatumTijdVan],"&lt;="&amp;($A86+5/24),tData[SEHTrajectPeriodeDatumTijdTotEnMet],"&gt;"&amp;($A86+5/24),tData[Langligger01],1)</f>
        <v/>
      </c>
      <c r="J86" s="20">
        <f>COUNTIFS(tData[SEHTrajectPeriodeDatumTijdVan],"&lt;="&amp;($A86+6/24),tData[SEHTrajectPeriodeDatumTijdTotEnMet],"&gt;"&amp;($A86+6/24),tData[Langligger01],1)</f>
        <v/>
      </c>
      <c r="K86" s="20">
        <f>COUNTIFS(tData[SEHTrajectPeriodeDatumTijdVan],"&lt;="&amp;($A86+7/24),tData[SEHTrajectPeriodeDatumTijdTotEnMet],"&gt;"&amp;($A86+7/24),tData[Langligger01],1)</f>
        <v/>
      </c>
      <c r="L86" s="20">
        <f>COUNTIFS(tData[SEHTrajectPeriodeDatumTijdVan],"&lt;="&amp;($A86+8/24),tData[SEHTrajectPeriodeDatumTijdTotEnMet],"&gt;"&amp;($A86+8/24),tData[Langligger01],1)</f>
        <v/>
      </c>
      <c r="M86" s="20">
        <f>COUNTIFS(tData[SEHTrajectPeriodeDatumTijdVan],"&lt;="&amp;($A86+9/24),tData[SEHTrajectPeriodeDatumTijdTotEnMet],"&gt;"&amp;($A86+9/24),tData[Langligger01],1)</f>
        <v/>
      </c>
      <c r="N86" s="20">
        <f>COUNTIFS(tData[SEHTrajectPeriodeDatumTijdVan],"&lt;="&amp;($A86+10/24),tData[SEHTrajectPeriodeDatumTijdTotEnMet],"&gt;"&amp;($A86+10/24),tData[Langligger01],1)</f>
        <v/>
      </c>
      <c r="O86" s="20">
        <f>COUNTIFS(tData[SEHTrajectPeriodeDatumTijdVan],"&lt;="&amp;($A86+11/24),tData[SEHTrajectPeriodeDatumTijdTotEnMet],"&gt;"&amp;($A86+11/24),tData[Langligger01],1)</f>
        <v/>
      </c>
      <c r="P86" s="20">
        <f>COUNTIFS(tData[SEHTrajectPeriodeDatumTijdVan],"&lt;="&amp;($A86+12/24),tData[SEHTrajectPeriodeDatumTijdTotEnMet],"&gt;"&amp;($A86+12/24),tData[Langligger01],1)</f>
        <v/>
      </c>
      <c r="Q86" s="20">
        <f>COUNTIFS(tData[SEHTrajectPeriodeDatumTijdVan],"&lt;="&amp;($A86+13/24),tData[SEHTrajectPeriodeDatumTijdTotEnMet],"&gt;"&amp;($A86+13/24),tData[Langligger01],1)</f>
        <v/>
      </c>
      <c r="R86" s="20">
        <f>COUNTIFS(tData[SEHTrajectPeriodeDatumTijdVan],"&lt;="&amp;($A86+14/24),tData[SEHTrajectPeriodeDatumTijdTotEnMet],"&gt;"&amp;($A86+14/24),tData[Langligger01],1)</f>
        <v/>
      </c>
      <c r="S86" s="20">
        <f>COUNTIFS(tData[SEHTrajectPeriodeDatumTijdVan],"&lt;="&amp;($A86+15/24),tData[SEHTrajectPeriodeDatumTijdTotEnMet],"&gt;"&amp;($A86+15/24),tData[Langligger01],1)</f>
        <v/>
      </c>
      <c r="T86" s="20">
        <f>COUNTIFS(tData[SEHTrajectPeriodeDatumTijdVan],"&lt;="&amp;($A86+16/24),tData[SEHTrajectPeriodeDatumTijdTotEnMet],"&gt;"&amp;($A86+16/24),tData[Langligger01],1)</f>
        <v/>
      </c>
      <c r="U86" s="20">
        <f>COUNTIFS(tData[SEHTrajectPeriodeDatumTijdVan],"&lt;="&amp;($A86+17/24),tData[SEHTrajectPeriodeDatumTijdTotEnMet],"&gt;"&amp;($A86+17/24),tData[Langligger01],1)</f>
        <v/>
      </c>
      <c r="V86" s="20">
        <f>COUNTIFS(tData[SEHTrajectPeriodeDatumTijdVan],"&lt;="&amp;($A86+18/24),tData[SEHTrajectPeriodeDatumTijdTotEnMet],"&gt;"&amp;($A86+18/24),tData[Langligger01],1)</f>
        <v/>
      </c>
      <c r="W86" s="20">
        <f>COUNTIFS(tData[SEHTrajectPeriodeDatumTijdVan],"&lt;="&amp;($A86+19/24),tData[SEHTrajectPeriodeDatumTijdTotEnMet],"&gt;"&amp;($A86+19/24),tData[Langligger01],1)</f>
        <v/>
      </c>
      <c r="X86" s="20">
        <f>COUNTIFS(tData[SEHTrajectPeriodeDatumTijdVan],"&lt;="&amp;($A86+20/24),tData[SEHTrajectPeriodeDatumTijdTotEnMet],"&gt;"&amp;($A86+20/24),tData[Langligger01],1)</f>
        <v/>
      </c>
      <c r="Y86" s="20">
        <f>COUNTIFS(tData[SEHTrajectPeriodeDatumTijdVan],"&lt;="&amp;($A86+21/24),tData[SEHTrajectPeriodeDatumTijdTotEnMet],"&gt;"&amp;($A86+21/24),tData[Langligger01],1)</f>
        <v/>
      </c>
      <c r="Z86" s="20">
        <f>COUNTIFS(tData[SEHTrajectPeriodeDatumTijdVan],"&lt;="&amp;($A86+22/24),tData[SEHTrajectPeriodeDatumTijdTotEnMet],"&gt;"&amp;($A86+22/24),tData[Langligger01],1)</f>
        <v/>
      </c>
      <c r="AA86" s="20">
        <f>COUNTIFS(tData[SEHTrajectPeriodeDatumTijdVan],"&lt;="&amp;($A86+23/24),tData[SEHTrajectPeriodeDatumTijdTotEnMet],"&gt;"&amp;($A86+23/24),tData[Langligger01],1)</f>
        <v/>
      </c>
    </row>
    <row r="87">
      <c r="A87" s="19" t="n">
        <v>45375</v>
      </c>
      <c r="B87" s="15">
        <f>WEEKDAY($A87,2)</f>
        <v/>
      </c>
      <c r="C87" s="15">
        <f>IF(AND($A87&gt;=INT(Instellingen!$B$5),$A87&lt;=INT(Instellingen!$B$6)),1,0)</f>
        <v/>
      </c>
      <c r="D87" s="20">
        <f>COUNTIFS(tData[SEHTrajectPeriodeDatumTijdVan],"&lt;="&amp;($A87+0/24),tData[SEHTrajectPeriodeDatumTijdTotEnMet],"&gt;"&amp;($A87+0/24),tData[Langligger01],1)</f>
        <v/>
      </c>
      <c r="E87" s="20">
        <f>COUNTIFS(tData[SEHTrajectPeriodeDatumTijdVan],"&lt;="&amp;($A87+1/24),tData[SEHTrajectPeriodeDatumTijdTotEnMet],"&gt;"&amp;($A87+1/24),tData[Langligger01],1)</f>
        <v/>
      </c>
      <c r="F87" s="20">
        <f>COUNTIFS(tData[SEHTrajectPeriodeDatumTijdVan],"&lt;="&amp;($A87+2/24),tData[SEHTrajectPeriodeDatumTijdTotEnMet],"&gt;"&amp;($A87+2/24),tData[Langligger01],1)</f>
        <v/>
      </c>
      <c r="G87" s="20">
        <f>COUNTIFS(tData[SEHTrajectPeriodeDatumTijdVan],"&lt;="&amp;($A87+3/24),tData[SEHTrajectPeriodeDatumTijdTotEnMet],"&gt;"&amp;($A87+3/24),tData[Langligger01],1)</f>
        <v/>
      </c>
      <c r="H87" s="20">
        <f>COUNTIFS(tData[SEHTrajectPeriodeDatumTijdVan],"&lt;="&amp;($A87+4/24),tData[SEHTrajectPeriodeDatumTijdTotEnMet],"&gt;"&amp;($A87+4/24),tData[Langligger01],1)</f>
        <v/>
      </c>
      <c r="I87" s="20">
        <f>COUNTIFS(tData[SEHTrajectPeriodeDatumTijdVan],"&lt;="&amp;($A87+5/24),tData[SEHTrajectPeriodeDatumTijdTotEnMet],"&gt;"&amp;($A87+5/24),tData[Langligger01],1)</f>
        <v/>
      </c>
      <c r="J87" s="20">
        <f>COUNTIFS(tData[SEHTrajectPeriodeDatumTijdVan],"&lt;="&amp;($A87+6/24),tData[SEHTrajectPeriodeDatumTijdTotEnMet],"&gt;"&amp;($A87+6/24),tData[Langligger01],1)</f>
        <v/>
      </c>
      <c r="K87" s="20">
        <f>COUNTIFS(tData[SEHTrajectPeriodeDatumTijdVan],"&lt;="&amp;($A87+7/24),tData[SEHTrajectPeriodeDatumTijdTotEnMet],"&gt;"&amp;($A87+7/24),tData[Langligger01],1)</f>
        <v/>
      </c>
      <c r="L87" s="20">
        <f>COUNTIFS(tData[SEHTrajectPeriodeDatumTijdVan],"&lt;="&amp;($A87+8/24),tData[SEHTrajectPeriodeDatumTijdTotEnMet],"&gt;"&amp;($A87+8/24),tData[Langligger01],1)</f>
        <v/>
      </c>
      <c r="M87" s="20">
        <f>COUNTIFS(tData[SEHTrajectPeriodeDatumTijdVan],"&lt;="&amp;($A87+9/24),tData[SEHTrajectPeriodeDatumTijdTotEnMet],"&gt;"&amp;($A87+9/24),tData[Langligger01],1)</f>
        <v/>
      </c>
      <c r="N87" s="20">
        <f>COUNTIFS(tData[SEHTrajectPeriodeDatumTijdVan],"&lt;="&amp;($A87+10/24),tData[SEHTrajectPeriodeDatumTijdTotEnMet],"&gt;"&amp;($A87+10/24),tData[Langligger01],1)</f>
        <v/>
      </c>
      <c r="O87" s="20">
        <f>COUNTIFS(tData[SEHTrajectPeriodeDatumTijdVan],"&lt;="&amp;($A87+11/24),tData[SEHTrajectPeriodeDatumTijdTotEnMet],"&gt;"&amp;($A87+11/24),tData[Langligger01],1)</f>
        <v/>
      </c>
      <c r="P87" s="20">
        <f>COUNTIFS(tData[SEHTrajectPeriodeDatumTijdVan],"&lt;="&amp;($A87+12/24),tData[SEHTrajectPeriodeDatumTijdTotEnMet],"&gt;"&amp;($A87+12/24),tData[Langligger01],1)</f>
        <v/>
      </c>
      <c r="Q87" s="20">
        <f>COUNTIFS(tData[SEHTrajectPeriodeDatumTijdVan],"&lt;="&amp;($A87+13/24),tData[SEHTrajectPeriodeDatumTijdTotEnMet],"&gt;"&amp;($A87+13/24),tData[Langligger01],1)</f>
        <v/>
      </c>
      <c r="R87" s="20">
        <f>COUNTIFS(tData[SEHTrajectPeriodeDatumTijdVan],"&lt;="&amp;($A87+14/24),tData[SEHTrajectPeriodeDatumTijdTotEnMet],"&gt;"&amp;($A87+14/24),tData[Langligger01],1)</f>
        <v/>
      </c>
      <c r="S87" s="20">
        <f>COUNTIFS(tData[SEHTrajectPeriodeDatumTijdVan],"&lt;="&amp;($A87+15/24),tData[SEHTrajectPeriodeDatumTijdTotEnMet],"&gt;"&amp;($A87+15/24),tData[Langligger01],1)</f>
        <v/>
      </c>
      <c r="T87" s="20">
        <f>COUNTIFS(tData[SEHTrajectPeriodeDatumTijdVan],"&lt;="&amp;($A87+16/24),tData[SEHTrajectPeriodeDatumTijdTotEnMet],"&gt;"&amp;($A87+16/24),tData[Langligger01],1)</f>
        <v/>
      </c>
      <c r="U87" s="20">
        <f>COUNTIFS(tData[SEHTrajectPeriodeDatumTijdVan],"&lt;="&amp;($A87+17/24),tData[SEHTrajectPeriodeDatumTijdTotEnMet],"&gt;"&amp;($A87+17/24),tData[Langligger01],1)</f>
        <v/>
      </c>
      <c r="V87" s="20">
        <f>COUNTIFS(tData[SEHTrajectPeriodeDatumTijdVan],"&lt;="&amp;($A87+18/24),tData[SEHTrajectPeriodeDatumTijdTotEnMet],"&gt;"&amp;($A87+18/24),tData[Langligger01],1)</f>
        <v/>
      </c>
      <c r="W87" s="20">
        <f>COUNTIFS(tData[SEHTrajectPeriodeDatumTijdVan],"&lt;="&amp;($A87+19/24),tData[SEHTrajectPeriodeDatumTijdTotEnMet],"&gt;"&amp;($A87+19/24),tData[Langligger01],1)</f>
        <v/>
      </c>
      <c r="X87" s="20">
        <f>COUNTIFS(tData[SEHTrajectPeriodeDatumTijdVan],"&lt;="&amp;($A87+20/24),tData[SEHTrajectPeriodeDatumTijdTotEnMet],"&gt;"&amp;($A87+20/24),tData[Langligger01],1)</f>
        <v/>
      </c>
      <c r="Y87" s="20">
        <f>COUNTIFS(tData[SEHTrajectPeriodeDatumTijdVan],"&lt;="&amp;($A87+21/24),tData[SEHTrajectPeriodeDatumTijdTotEnMet],"&gt;"&amp;($A87+21/24),tData[Langligger01],1)</f>
        <v/>
      </c>
      <c r="Z87" s="20">
        <f>COUNTIFS(tData[SEHTrajectPeriodeDatumTijdVan],"&lt;="&amp;($A87+22/24),tData[SEHTrajectPeriodeDatumTijdTotEnMet],"&gt;"&amp;($A87+22/24),tData[Langligger01],1)</f>
        <v/>
      </c>
      <c r="AA87" s="20">
        <f>COUNTIFS(tData[SEHTrajectPeriodeDatumTijdVan],"&lt;="&amp;($A87+23/24),tData[SEHTrajectPeriodeDatumTijdTotEnMet],"&gt;"&amp;($A87+23/24),tData[Langligger01],1)</f>
        <v/>
      </c>
    </row>
    <row r="88">
      <c r="A88" s="19" t="n">
        <v>45376</v>
      </c>
      <c r="B88" s="15">
        <f>WEEKDAY($A88,2)</f>
        <v/>
      </c>
      <c r="C88" s="15">
        <f>IF(AND($A88&gt;=INT(Instellingen!$B$5),$A88&lt;=INT(Instellingen!$B$6)),1,0)</f>
        <v/>
      </c>
      <c r="D88" s="20">
        <f>COUNTIFS(tData[SEHTrajectPeriodeDatumTijdVan],"&lt;="&amp;($A88+0/24),tData[SEHTrajectPeriodeDatumTijdTotEnMet],"&gt;"&amp;($A88+0/24),tData[Langligger01],1)</f>
        <v/>
      </c>
      <c r="E88" s="20">
        <f>COUNTIFS(tData[SEHTrajectPeriodeDatumTijdVan],"&lt;="&amp;($A88+1/24),tData[SEHTrajectPeriodeDatumTijdTotEnMet],"&gt;"&amp;($A88+1/24),tData[Langligger01],1)</f>
        <v/>
      </c>
      <c r="F88" s="20">
        <f>COUNTIFS(tData[SEHTrajectPeriodeDatumTijdVan],"&lt;="&amp;($A88+2/24),tData[SEHTrajectPeriodeDatumTijdTotEnMet],"&gt;"&amp;($A88+2/24),tData[Langligger01],1)</f>
        <v/>
      </c>
      <c r="G88" s="20">
        <f>COUNTIFS(tData[SEHTrajectPeriodeDatumTijdVan],"&lt;="&amp;($A88+3/24),tData[SEHTrajectPeriodeDatumTijdTotEnMet],"&gt;"&amp;($A88+3/24),tData[Langligger01],1)</f>
        <v/>
      </c>
      <c r="H88" s="20">
        <f>COUNTIFS(tData[SEHTrajectPeriodeDatumTijdVan],"&lt;="&amp;($A88+4/24),tData[SEHTrajectPeriodeDatumTijdTotEnMet],"&gt;"&amp;($A88+4/24),tData[Langligger01],1)</f>
        <v/>
      </c>
      <c r="I88" s="20">
        <f>COUNTIFS(tData[SEHTrajectPeriodeDatumTijdVan],"&lt;="&amp;($A88+5/24),tData[SEHTrajectPeriodeDatumTijdTotEnMet],"&gt;"&amp;($A88+5/24),tData[Langligger01],1)</f>
        <v/>
      </c>
      <c r="J88" s="20">
        <f>COUNTIFS(tData[SEHTrajectPeriodeDatumTijdVan],"&lt;="&amp;($A88+6/24),tData[SEHTrajectPeriodeDatumTijdTotEnMet],"&gt;"&amp;($A88+6/24),tData[Langligger01],1)</f>
        <v/>
      </c>
      <c r="K88" s="20">
        <f>COUNTIFS(tData[SEHTrajectPeriodeDatumTijdVan],"&lt;="&amp;($A88+7/24),tData[SEHTrajectPeriodeDatumTijdTotEnMet],"&gt;"&amp;($A88+7/24),tData[Langligger01],1)</f>
        <v/>
      </c>
      <c r="L88" s="20">
        <f>COUNTIFS(tData[SEHTrajectPeriodeDatumTijdVan],"&lt;="&amp;($A88+8/24),tData[SEHTrajectPeriodeDatumTijdTotEnMet],"&gt;"&amp;($A88+8/24),tData[Langligger01],1)</f>
        <v/>
      </c>
      <c r="M88" s="20">
        <f>COUNTIFS(tData[SEHTrajectPeriodeDatumTijdVan],"&lt;="&amp;($A88+9/24),tData[SEHTrajectPeriodeDatumTijdTotEnMet],"&gt;"&amp;($A88+9/24),tData[Langligger01],1)</f>
        <v/>
      </c>
      <c r="N88" s="20">
        <f>COUNTIFS(tData[SEHTrajectPeriodeDatumTijdVan],"&lt;="&amp;($A88+10/24),tData[SEHTrajectPeriodeDatumTijdTotEnMet],"&gt;"&amp;($A88+10/24),tData[Langligger01],1)</f>
        <v/>
      </c>
      <c r="O88" s="20">
        <f>COUNTIFS(tData[SEHTrajectPeriodeDatumTijdVan],"&lt;="&amp;($A88+11/24),tData[SEHTrajectPeriodeDatumTijdTotEnMet],"&gt;"&amp;($A88+11/24),tData[Langligger01],1)</f>
        <v/>
      </c>
      <c r="P88" s="20">
        <f>COUNTIFS(tData[SEHTrajectPeriodeDatumTijdVan],"&lt;="&amp;($A88+12/24),tData[SEHTrajectPeriodeDatumTijdTotEnMet],"&gt;"&amp;($A88+12/24),tData[Langligger01],1)</f>
        <v/>
      </c>
      <c r="Q88" s="20">
        <f>COUNTIFS(tData[SEHTrajectPeriodeDatumTijdVan],"&lt;="&amp;($A88+13/24),tData[SEHTrajectPeriodeDatumTijdTotEnMet],"&gt;"&amp;($A88+13/24),tData[Langligger01],1)</f>
        <v/>
      </c>
      <c r="R88" s="20">
        <f>COUNTIFS(tData[SEHTrajectPeriodeDatumTijdVan],"&lt;="&amp;($A88+14/24),tData[SEHTrajectPeriodeDatumTijdTotEnMet],"&gt;"&amp;($A88+14/24),tData[Langligger01],1)</f>
        <v/>
      </c>
      <c r="S88" s="20">
        <f>COUNTIFS(tData[SEHTrajectPeriodeDatumTijdVan],"&lt;="&amp;($A88+15/24),tData[SEHTrajectPeriodeDatumTijdTotEnMet],"&gt;"&amp;($A88+15/24),tData[Langligger01],1)</f>
        <v/>
      </c>
      <c r="T88" s="20">
        <f>COUNTIFS(tData[SEHTrajectPeriodeDatumTijdVan],"&lt;="&amp;($A88+16/24),tData[SEHTrajectPeriodeDatumTijdTotEnMet],"&gt;"&amp;($A88+16/24),tData[Langligger01],1)</f>
        <v/>
      </c>
      <c r="U88" s="20">
        <f>COUNTIFS(tData[SEHTrajectPeriodeDatumTijdVan],"&lt;="&amp;($A88+17/24),tData[SEHTrajectPeriodeDatumTijdTotEnMet],"&gt;"&amp;($A88+17/24),tData[Langligger01],1)</f>
        <v/>
      </c>
      <c r="V88" s="20">
        <f>COUNTIFS(tData[SEHTrajectPeriodeDatumTijdVan],"&lt;="&amp;($A88+18/24),tData[SEHTrajectPeriodeDatumTijdTotEnMet],"&gt;"&amp;($A88+18/24),tData[Langligger01],1)</f>
        <v/>
      </c>
      <c r="W88" s="20">
        <f>COUNTIFS(tData[SEHTrajectPeriodeDatumTijdVan],"&lt;="&amp;($A88+19/24),tData[SEHTrajectPeriodeDatumTijdTotEnMet],"&gt;"&amp;($A88+19/24),tData[Langligger01],1)</f>
        <v/>
      </c>
      <c r="X88" s="20">
        <f>COUNTIFS(tData[SEHTrajectPeriodeDatumTijdVan],"&lt;="&amp;($A88+20/24),tData[SEHTrajectPeriodeDatumTijdTotEnMet],"&gt;"&amp;($A88+20/24),tData[Langligger01],1)</f>
        <v/>
      </c>
      <c r="Y88" s="20">
        <f>COUNTIFS(tData[SEHTrajectPeriodeDatumTijdVan],"&lt;="&amp;($A88+21/24),tData[SEHTrajectPeriodeDatumTijdTotEnMet],"&gt;"&amp;($A88+21/24),tData[Langligger01],1)</f>
        <v/>
      </c>
      <c r="Z88" s="20">
        <f>COUNTIFS(tData[SEHTrajectPeriodeDatumTijdVan],"&lt;="&amp;($A88+22/24),tData[SEHTrajectPeriodeDatumTijdTotEnMet],"&gt;"&amp;($A88+22/24),tData[Langligger01],1)</f>
        <v/>
      </c>
      <c r="AA88" s="20">
        <f>COUNTIFS(tData[SEHTrajectPeriodeDatumTijdVan],"&lt;="&amp;($A88+23/24),tData[SEHTrajectPeriodeDatumTijdTotEnMet],"&gt;"&amp;($A88+23/24),tData[Langligger01],1)</f>
        <v/>
      </c>
    </row>
    <row r="89">
      <c r="A89" s="19" t="n">
        <v>45377</v>
      </c>
      <c r="B89" s="15">
        <f>WEEKDAY($A89,2)</f>
        <v/>
      </c>
      <c r="C89" s="15">
        <f>IF(AND($A89&gt;=INT(Instellingen!$B$5),$A89&lt;=INT(Instellingen!$B$6)),1,0)</f>
        <v/>
      </c>
      <c r="D89" s="20">
        <f>COUNTIFS(tData[SEHTrajectPeriodeDatumTijdVan],"&lt;="&amp;($A89+0/24),tData[SEHTrajectPeriodeDatumTijdTotEnMet],"&gt;"&amp;($A89+0/24),tData[Langligger01],1)</f>
        <v/>
      </c>
      <c r="E89" s="20">
        <f>COUNTIFS(tData[SEHTrajectPeriodeDatumTijdVan],"&lt;="&amp;($A89+1/24),tData[SEHTrajectPeriodeDatumTijdTotEnMet],"&gt;"&amp;($A89+1/24),tData[Langligger01],1)</f>
        <v/>
      </c>
      <c r="F89" s="20">
        <f>COUNTIFS(tData[SEHTrajectPeriodeDatumTijdVan],"&lt;="&amp;($A89+2/24),tData[SEHTrajectPeriodeDatumTijdTotEnMet],"&gt;"&amp;($A89+2/24),tData[Langligger01],1)</f>
        <v/>
      </c>
      <c r="G89" s="20">
        <f>COUNTIFS(tData[SEHTrajectPeriodeDatumTijdVan],"&lt;="&amp;($A89+3/24),tData[SEHTrajectPeriodeDatumTijdTotEnMet],"&gt;"&amp;($A89+3/24),tData[Langligger01],1)</f>
        <v/>
      </c>
      <c r="H89" s="20">
        <f>COUNTIFS(tData[SEHTrajectPeriodeDatumTijdVan],"&lt;="&amp;($A89+4/24),tData[SEHTrajectPeriodeDatumTijdTotEnMet],"&gt;"&amp;($A89+4/24),tData[Langligger01],1)</f>
        <v/>
      </c>
      <c r="I89" s="20">
        <f>COUNTIFS(tData[SEHTrajectPeriodeDatumTijdVan],"&lt;="&amp;($A89+5/24),tData[SEHTrajectPeriodeDatumTijdTotEnMet],"&gt;"&amp;($A89+5/24),tData[Langligger01],1)</f>
        <v/>
      </c>
      <c r="J89" s="20">
        <f>COUNTIFS(tData[SEHTrajectPeriodeDatumTijdVan],"&lt;="&amp;($A89+6/24),tData[SEHTrajectPeriodeDatumTijdTotEnMet],"&gt;"&amp;($A89+6/24),tData[Langligger01],1)</f>
        <v/>
      </c>
      <c r="K89" s="20">
        <f>COUNTIFS(tData[SEHTrajectPeriodeDatumTijdVan],"&lt;="&amp;($A89+7/24),tData[SEHTrajectPeriodeDatumTijdTotEnMet],"&gt;"&amp;($A89+7/24),tData[Langligger01],1)</f>
        <v/>
      </c>
      <c r="L89" s="20">
        <f>COUNTIFS(tData[SEHTrajectPeriodeDatumTijdVan],"&lt;="&amp;($A89+8/24),tData[SEHTrajectPeriodeDatumTijdTotEnMet],"&gt;"&amp;($A89+8/24),tData[Langligger01],1)</f>
        <v/>
      </c>
      <c r="M89" s="20">
        <f>COUNTIFS(tData[SEHTrajectPeriodeDatumTijdVan],"&lt;="&amp;($A89+9/24),tData[SEHTrajectPeriodeDatumTijdTotEnMet],"&gt;"&amp;($A89+9/24),tData[Langligger01],1)</f>
        <v/>
      </c>
      <c r="N89" s="20">
        <f>COUNTIFS(tData[SEHTrajectPeriodeDatumTijdVan],"&lt;="&amp;($A89+10/24),tData[SEHTrajectPeriodeDatumTijdTotEnMet],"&gt;"&amp;($A89+10/24),tData[Langligger01],1)</f>
        <v/>
      </c>
      <c r="O89" s="20">
        <f>COUNTIFS(tData[SEHTrajectPeriodeDatumTijdVan],"&lt;="&amp;($A89+11/24),tData[SEHTrajectPeriodeDatumTijdTotEnMet],"&gt;"&amp;($A89+11/24),tData[Langligger01],1)</f>
        <v/>
      </c>
      <c r="P89" s="20">
        <f>COUNTIFS(tData[SEHTrajectPeriodeDatumTijdVan],"&lt;="&amp;($A89+12/24),tData[SEHTrajectPeriodeDatumTijdTotEnMet],"&gt;"&amp;($A89+12/24),tData[Langligger01],1)</f>
        <v/>
      </c>
      <c r="Q89" s="20">
        <f>COUNTIFS(tData[SEHTrajectPeriodeDatumTijdVan],"&lt;="&amp;($A89+13/24),tData[SEHTrajectPeriodeDatumTijdTotEnMet],"&gt;"&amp;($A89+13/24),tData[Langligger01],1)</f>
        <v/>
      </c>
      <c r="R89" s="20">
        <f>COUNTIFS(tData[SEHTrajectPeriodeDatumTijdVan],"&lt;="&amp;($A89+14/24),tData[SEHTrajectPeriodeDatumTijdTotEnMet],"&gt;"&amp;($A89+14/24),tData[Langligger01],1)</f>
        <v/>
      </c>
      <c r="S89" s="20">
        <f>COUNTIFS(tData[SEHTrajectPeriodeDatumTijdVan],"&lt;="&amp;($A89+15/24),tData[SEHTrajectPeriodeDatumTijdTotEnMet],"&gt;"&amp;($A89+15/24),tData[Langligger01],1)</f>
        <v/>
      </c>
      <c r="T89" s="20">
        <f>COUNTIFS(tData[SEHTrajectPeriodeDatumTijdVan],"&lt;="&amp;($A89+16/24),tData[SEHTrajectPeriodeDatumTijdTotEnMet],"&gt;"&amp;($A89+16/24),tData[Langligger01],1)</f>
        <v/>
      </c>
      <c r="U89" s="20">
        <f>COUNTIFS(tData[SEHTrajectPeriodeDatumTijdVan],"&lt;="&amp;($A89+17/24),tData[SEHTrajectPeriodeDatumTijdTotEnMet],"&gt;"&amp;($A89+17/24),tData[Langligger01],1)</f>
        <v/>
      </c>
      <c r="V89" s="20">
        <f>COUNTIFS(tData[SEHTrajectPeriodeDatumTijdVan],"&lt;="&amp;($A89+18/24),tData[SEHTrajectPeriodeDatumTijdTotEnMet],"&gt;"&amp;($A89+18/24),tData[Langligger01],1)</f>
        <v/>
      </c>
      <c r="W89" s="20">
        <f>COUNTIFS(tData[SEHTrajectPeriodeDatumTijdVan],"&lt;="&amp;($A89+19/24),tData[SEHTrajectPeriodeDatumTijdTotEnMet],"&gt;"&amp;($A89+19/24),tData[Langligger01],1)</f>
        <v/>
      </c>
      <c r="X89" s="20">
        <f>COUNTIFS(tData[SEHTrajectPeriodeDatumTijdVan],"&lt;="&amp;($A89+20/24),tData[SEHTrajectPeriodeDatumTijdTotEnMet],"&gt;"&amp;($A89+20/24),tData[Langligger01],1)</f>
        <v/>
      </c>
      <c r="Y89" s="20">
        <f>COUNTIFS(tData[SEHTrajectPeriodeDatumTijdVan],"&lt;="&amp;($A89+21/24),tData[SEHTrajectPeriodeDatumTijdTotEnMet],"&gt;"&amp;($A89+21/24),tData[Langligger01],1)</f>
        <v/>
      </c>
      <c r="Z89" s="20">
        <f>COUNTIFS(tData[SEHTrajectPeriodeDatumTijdVan],"&lt;="&amp;($A89+22/24),tData[SEHTrajectPeriodeDatumTijdTotEnMet],"&gt;"&amp;($A89+22/24),tData[Langligger01],1)</f>
        <v/>
      </c>
      <c r="AA89" s="20">
        <f>COUNTIFS(tData[SEHTrajectPeriodeDatumTijdVan],"&lt;="&amp;($A89+23/24),tData[SEHTrajectPeriodeDatumTijdTotEnMet],"&gt;"&amp;($A89+23/24),tData[Langligger01],1)</f>
        <v/>
      </c>
    </row>
    <row r="90">
      <c r="A90" s="19" t="n">
        <v>45378</v>
      </c>
      <c r="B90" s="15">
        <f>WEEKDAY($A90,2)</f>
        <v/>
      </c>
      <c r="C90" s="15">
        <f>IF(AND($A90&gt;=INT(Instellingen!$B$5),$A90&lt;=INT(Instellingen!$B$6)),1,0)</f>
        <v/>
      </c>
      <c r="D90" s="20">
        <f>COUNTIFS(tData[SEHTrajectPeriodeDatumTijdVan],"&lt;="&amp;($A90+0/24),tData[SEHTrajectPeriodeDatumTijdTotEnMet],"&gt;"&amp;($A90+0/24),tData[Langligger01],1)</f>
        <v/>
      </c>
      <c r="E90" s="20">
        <f>COUNTIFS(tData[SEHTrajectPeriodeDatumTijdVan],"&lt;="&amp;($A90+1/24),tData[SEHTrajectPeriodeDatumTijdTotEnMet],"&gt;"&amp;($A90+1/24),tData[Langligger01],1)</f>
        <v/>
      </c>
      <c r="F90" s="20">
        <f>COUNTIFS(tData[SEHTrajectPeriodeDatumTijdVan],"&lt;="&amp;($A90+2/24),tData[SEHTrajectPeriodeDatumTijdTotEnMet],"&gt;"&amp;($A90+2/24),tData[Langligger01],1)</f>
        <v/>
      </c>
      <c r="G90" s="20">
        <f>COUNTIFS(tData[SEHTrajectPeriodeDatumTijdVan],"&lt;="&amp;($A90+3/24),tData[SEHTrajectPeriodeDatumTijdTotEnMet],"&gt;"&amp;($A90+3/24),tData[Langligger01],1)</f>
        <v/>
      </c>
      <c r="H90" s="20">
        <f>COUNTIFS(tData[SEHTrajectPeriodeDatumTijdVan],"&lt;="&amp;($A90+4/24),tData[SEHTrajectPeriodeDatumTijdTotEnMet],"&gt;"&amp;($A90+4/24),tData[Langligger01],1)</f>
        <v/>
      </c>
      <c r="I90" s="20">
        <f>COUNTIFS(tData[SEHTrajectPeriodeDatumTijdVan],"&lt;="&amp;($A90+5/24),tData[SEHTrajectPeriodeDatumTijdTotEnMet],"&gt;"&amp;($A90+5/24),tData[Langligger01],1)</f>
        <v/>
      </c>
      <c r="J90" s="20">
        <f>COUNTIFS(tData[SEHTrajectPeriodeDatumTijdVan],"&lt;="&amp;($A90+6/24),tData[SEHTrajectPeriodeDatumTijdTotEnMet],"&gt;"&amp;($A90+6/24),tData[Langligger01],1)</f>
        <v/>
      </c>
      <c r="K90" s="20">
        <f>COUNTIFS(tData[SEHTrajectPeriodeDatumTijdVan],"&lt;="&amp;($A90+7/24),tData[SEHTrajectPeriodeDatumTijdTotEnMet],"&gt;"&amp;($A90+7/24),tData[Langligger01],1)</f>
        <v/>
      </c>
      <c r="L90" s="20">
        <f>COUNTIFS(tData[SEHTrajectPeriodeDatumTijdVan],"&lt;="&amp;($A90+8/24),tData[SEHTrajectPeriodeDatumTijdTotEnMet],"&gt;"&amp;($A90+8/24),tData[Langligger01],1)</f>
        <v/>
      </c>
      <c r="M90" s="20">
        <f>COUNTIFS(tData[SEHTrajectPeriodeDatumTijdVan],"&lt;="&amp;($A90+9/24),tData[SEHTrajectPeriodeDatumTijdTotEnMet],"&gt;"&amp;($A90+9/24),tData[Langligger01],1)</f>
        <v/>
      </c>
      <c r="N90" s="20">
        <f>COUNTIFS(tData[SEHTrajectPeriodeDatumTijdVan],"&lt;="&amp;($A90+10/24),tData[SEHTrajectPeriodeDatumTijdTotEnMet],"&gt;"&amp;($A90+10/24),tData[Langligger01],1)</f>
        <v/>
      </c>
      <c r="O90" s="20">
        <f>COUNTIFS(tData[SEHTrajectPeriodeDatumTijdVan],"&lt;="&amp;($A90+11/24),tData[SEHTrajectPeriodeDatumTijdTotEnMet],"&gt;"&amp;($A90+11/24),tData[Langligger01],1)</f>
        <v/>
      </c>
      <c r="P90" s="20">
        <f>COUNTIFS(tData[SEHTrajectPeriodeDatumTijdVan],"&lt;="&amp;($A90+12/24),tData[SEHTrajectPeriodeDatumTijdTotEnMet],"&gt;"&amp;($A90+12/24),tData[Langligger01],1)</f>
        <v/>
      </c>
      <c r="Q90" s="20">
        <f>COUNTIFS(tData[SEHTrajectPeriodeDatumTijdVan],"&lt;="&amp;($A90+13/24),tData[SEHTrajectPeriodeDatumTijdTotEnMet],"&gt;"&amp;($A90+13/24),tData[Langligger01],1)</f>
        <v/>
      </c>
      <c r="R90" s="20">
        <f>COUNTIFS(tData[SEHTrajectPeriodeDatumTijdVan],"&lt;="&amp;($A90+14/24),tData[SEHTrajectPeriodeDatumTijdTotEnMet],"&gt;"&amp;($A90+14/24),tData[Langligger01],1)</f>
        <v/>
      </c>
      <c r="S90" s="20">
        <f>COUNTIFS(tData[SEHTrajectPeriodeDatumTijdVan],"&lt;="&amp;($A90+15/24),tData[SEHTrajectPeriodeDatumTijdTotEnMet],"&gt;"&amp;($A90+15/24),tData[Langligger01],1)</f>
        <v/>
      </c>
      <c r="T90" s="20">
        <f>COUNTIFS(tData[SEHTrajectPeriodeDatumTijdVan],"&lt;="&amp;($A90+16/24),tData[SEHTrajectPeriodeDatumTijdTotEnMet],"&gt;"&amp;($A90+16/24),tData[Langligger01],1)</f>
        <v/>
      </c>
      <c r="U90" s="20">
        <f>COUNTIFS(tData[SEHTrajectPeriodeDatumTijdVan],"&lt;="&amp;($A90+17/24),tData[SEHTrajectPeriodeDatumTijdTotEnMet],"&gt;"&amp;($A90+17/24),tData[Langligger01],1)</f>
        <v/>
      </c>
      <c r="V90" s="20">
        <f>COUNTIFS(tData[SEHTrajectPeriodeDatumTijdVan],"&lt;="&amp;($A90+18/24),tData[SEHTrajectPeriodeDatumTijdTotEnMet],"&gt;"&amp;($A90+18/24),tData[Langligger01],1)</f>
        <v/>
      </c>
      <c r="W90" s="20">
        <f>COUNTIFS(tData[SEHTrajectPeriodeDatumTijdVan],"&lt;="&amp;($A90+19/24),tData[SEHTrajectPeriodeDatumTijdTotEnMet],"&gt;"&amp;($A90+19/24),tData[Langligger01],1)</f>
        <v/>
      </c>
      <c r="X90" s="20">
        <f>COUNTIFS(tData[SEHTrajectPeriodeDatumTijdVan],"&lt;="&amp;($A90+20/24),tData[SEHTrajectPeriodeDatumTijdTotEnMet],"&gt;"&amp;($A90+20/24),tData[Langligger01],1)</f>
        <v/>
      </c>
      <c r="Y90" s="20">
        <f>COUNTIFS(tData[SEHTrajectPeriodeDatumTijdVan],"&lt;="&amp;($A90+21/24),tData[SEHTrajectPeriodeDatumTijdTotEnMet],"&gt;"&amp;($A90+21/24),tData[Langligger01],1)</f>
        <v/>
      </c>
      <c r="Z90" s="20">
        <f>COUNTIFS(tData[SEHTrajectPeriodeDatumTijdVan],"&lt;="&amp;($A90+22/24),tData[SEHTrajectPeriodeDatumTijdTotEnMet],"&gt;"&amp;($A90+22/24),tData[Langligger01],1)</f>
        <v/>
      </c>
      <c r="AA90" s="20">
        <f>COUNTIFS(tData[SEHTrajectPeriodeDatumTijdVan],"&lt;="&amp;($A90+23/24),tData[SEHTrajectPeriodeDatumTijdTotEnMet],"&gt;"&amp;($A90+23/24),tData[Langligger01],1)</f>
        <v/>
      </c>
    </row>
    <row r="91">
      <c r="A91" s="19" t="n">
        <v>45379</v>
      </c>
      <c r="B91" s="15">
        <f>WEEKDAY($A91,2)</f>
        <v/>
      </c>
      <c r="C91" s="15">
        <f>IF(AND($A91&gt;=INT(Instellingen!$B$5),$A91&lt;=INT(Instellingen!$B$6)),1,0)</f>
        <v/>
      </c>
      <c r="D91" s="20">
        <f>COUNTIFS(tData[SEHTrajectPeriodeDatumTijdVan],"&lt;="&amp;($A91+0/24),tData[SEHTrajectPeriodeDatumTijdTotEnMet],"&gt;"&amp;($A91+0/24),tData[Langligger01],1)</f>
        <v/>
      </c>
      <c r="E91" s="20">
        <f>COUNTIFS(tData[SEHTrajectPeriodeDatumTijdVan],"&lt;="&amp;($A91+1/24),tData[SEHTrajectPeriodeDatumTijdTotEnMet],"&gt;"&amp;($A91+1/24),tData[Langligger01],1)</f>
        <v/>
      </c>
      <c r="F91" s="20">
        <f>COUNTIFS(tData[SEHTrajectPeriodeDatumTijdVan],"&lt;="&amp;($A91+2/24),tData[SEHTrajectPeriodeDatumTijdTotEnMet],"&gt;"&amp;($A91+2/24),tData[Langligger01],1)</f>
        <v/>
      </c>
      <c r="G91" s="20">
        <f>COUNTIFS(tData[SEHTrajectPeriodeDatumTijdVan],"&lt;="&amp;($A91+3/24),tData[SEHTrajectPeriodeDatumTijdTotEnMet],"&gt;"&amp;($A91+3/24),tData[Langligger01],1)</f>
        <v/>
      </c>
      <c r="H91" s="20">
        <f>COUNTIFS(tData[SEHTrajectPeriodeDatumTijdVan],"&lt;="&amp;($A91+4/24),tData[SEHTrajectPeriodeDatumTijdTotEnMet],"&gt;"&amp;($A91+4/24),tData[Langligger01],1)</f>
        <v/>
      </c>
      <c r="I91" s="20">
        <f>COUNTIFS(tData[SEHTrajectPeriodeDatumTijdVan],"&lt;="&amp;($A91+5/24),tData[SEHTrajectPeriodeDatumTijdTotEnMet],"&gt;"&amp;($A91+5/24),tData[Langligger01],1)</f>
        <v/>
      </c>
      <c r="J91" s="20">
        <f>COUNTIFS(tData[SEHTrajectPeriodeDatumTijdVan],"&lt;="&amp;($A91+6/24),tData[SEHTrajectPeriodeDatumTijdTotEnMet],"&gt;"&amp;($A91+6/24),tData[Langligger01],1)</f>
        <v/>
      </c>
      <c r="K91" s="20">
        <f>COUNTIFS(tData[SEHTrajectPeriodeDatumTijdVan],"&lt;="&amp;($A91+7/24),tData[SEHTrajectPeriodeDatumTijdTotEnMet],"&gt;"&amp;($A91+7/24),tData[Langligger01],1)</f>
        <v/>
      </c>
      <c r="L91" s="20">
        <f>COUNTIFS(tData[SEHTrajectPeriodeDatumTijdVan],"&lt;="&amp;($A91+8/24),tData[SEHTrajectPeriodeDatumTijdTotEnMet],"&gt;"&amp;($A91+8/24),tData[Langligger01],1)</f>
        <v/>
      </c>
      <c r="M91" s="20">
        <f>COUNTIFS(tData[SEHTrajectPeriodeDatumTijdVan],"&lt;="&amp;($A91+9/24),tData[SEHTrajectPeriodeDatumTijdTotEnMet],"&gt;"&amp;($A91+9/24),tData[Langligger01],1)</f>
        <v/>
      </c>
      <c r="N91" s="20">
        <f>COUNTIFS(tData[SEHTrajectPeriodeDatumTijdVan],"&lt;="&amp;($A91+10/24),tData[SEHTrajectPeriodeDatumTijdTotEnMet],"&gt;"&amp;($A91+10/24),tData[Langligger01],1)</f>
        <v/>
      </c>
      <c r="O91" s="20">
        <f>COUNTIFS(tData[SEHTrajectPeriodeDatumTijdVan],"&lt;="&amp;($A91+11/24),tData[SEHTrajectPeriodeDatumTijdTotEnMet],"&gt;"&amp;($A91+11/24),tData[Langligger01],1)</f>
        <v/>
      </c>
      <c r="P91" s="20">
        <f>COUNTIFS(tData[SEHTrajectPeriodeDatumTijdVan],"&lt;="&amp;($A91+12/24),tData[SEHTrajectPeriodeDatumTijdTotEnMet],"&gt;"&amp;($A91+12/24),tData[Langligger01],1)</f>
        <v/>
      </c>
      <c r="Q91" s="20">
        <f>COUNTIFS(tData[SEHTrajectPeriodeDatumTijdVan],"&lt;="&amp;($A91+13/24),tData[SEHTrajectPeriodeDatumTijdTotEnMet],"&gt;"&amp;($A91+13/24),tData[Langligger01],1)</f>
        <v/>
      </c>
      <c r="R91" s="20">
        <f>COUNTIFS(tData[SEHTrajectPeriodeDatumTijdVan],"&lt;="&amp;($A91+14/24),tData[SEHTrajectPeriodeDatumTijdTotEnMet],"&gt;"&amp;($A91+14/24),tData[Langligger01],1)</f>
        <v/>
      </c>
      <c r="S91" s="20">
        <f>COUNTIFS(tData[SEHTrajectPeriodeDatumTijdVan],"&lt;="&amp;($A91+15/24),tData[SEHTrajectPeriodeDatumTijdTotEnMet],"&gt;"&amp;($A91+15/24),tData[Langligger01],1)</f>
        <v/>
      </c>
      <c r="T91" s="20">
        <f>COUNTIFS(tData[SEHTrajectPeriodeDatumTijdVan],"&lt;="&amp;($A91+16/24),tData[SEHTrajectPeriodeDatumTijdTotEnMet],"&gt;"&amp;($A91+16/24),tData[Langligger01],1)</f>
        <v/>
      </c>
      <c r="U91" s="20">
        <f>COUNTIFS(tData[SEHTrajectPeriodeDatumTijdVan],"&lt;="&amp;($A91+17/24),tData[SEHTrajectPeriodeDatumTijdTotEnMet],"&gt;"&amp;($A91+17/24),tData[Langligger01],1)</f>
        <v/>
      </c>
      <c r="V91" s="20">
        <f>COUNTIFS(tData[SEHTrajectPeriodeDatumTijdVan],"&lt;="&amp;($A91+18/24),tData[SEHTrajectPeriodeDatumTijdTotEnMet],"&gt;"&amp;($A91+18/24),tData[Langligger01],1)</f>
        <v/>
      </c>
      <c r="W91" s="20">
        <f>COUNTIFS(tData[SEHTrajectPeriodeDatumTijdVan],"&lt;="&amp;($A91+19/24),tData[SEHTrajectPeriodeDatumTijdTotEnMet],"&gt;"&amp;($A91+19/24),tData[Langligger01],1)</f>
        <v/>
      </c>
      <c r="X91" s="20">
        <f>COUNTIFS(tData[SEHTrajectPeriodeDatumTijdVan],"&lt;="&amp;($A91+20/24),tData[SEHTrajectPeriodeDatumTijdTotEnMet],"&gt;"&amp;($A91+20/24),tData[Langligger01],1)</f>
        <v/>
      </c>
      <c r="Y91" s="20">
        <f>COUNTIFS(tData[SEHTrajectPeriodeDatumTijdVan],"&lt;="&amp;($A91+21/24),tData[SEHTrajectPeriodeDatumTijdTotEnMet],"&gt;"&amp;($A91+21/24),tData[Langligger01],1)</f>
        <v/>
      </c>
      <c r="Z91" s="20">
        <f>COUNTIFS(tData[SEHTrajectPeriodeDatumTijdVan],"&lt;="&amp;($A91+22/24),tData[SEHTrajectPeriodeDatumTijdTotEnMet],"&gt;"&amp;($A91+22/24),tData[Langligger01],1)</f>
        <v/>
      </c>
      <c r="AA91" s="20">
        <f>COUNTIFS(tData[SEHTrajectPeriodeDatumTijdVan],"&lt;="&amp;($A91+23/24),tData[SEHTrajectPeriodeDatumTijdTotEnMet],"&gt;"&amp;($A91+23/24),tData[Langligger01],1)</f>
        <v/>
      </c>
    </row>
    <row r="92">
      <c r="A92" s="19" t="n">
        <v>45380</v>
      </c>
      <c r="B92" s="15">
        <f>WEEKDAY($A92,2)</f>
        <v/>
      </c>
      <c r="C92" s="15">
        <f>IF(AND($A92&gt;=INT(Instellingen!$B$5),$A92&lt;=INT(Instellingen!$B$6)),1,0)</f>
        <v/>
      </c>
      <c r="D92" s="20">
        <f>COUNTIFS(tData[SEHTrajectPeriodeDatumTijdVan],"&lt;="&amp;($A92+0/24),tData[SEHTrajectPeriodeDatumTijdTotEnMet],"&gt;"&amp;($A92+0/24),tData[Langligger01],1)</f>
        <v/>
      </c>
      <c r="E92" s="20">
        <f>COUNTIFS(tData[SEHTrajectPeriodeDatumTijdVan],"&lt;="&amp;($A92+1/24),tData[SEHTrajectPeriodeDatumTijdTotEnMet],"&gt;"&amp;($A92+1/24),tData[Langligger01],1)</f>
        <v/>
      </c>
      <c r="F92" s="20">
        <f>COUNTIFS(tData[SEHTrajectPeriodeDatumTijdVan],"&lt;="&amp;($A92+2/24),tData[SEHTrajectPeriodeDatumTijdTotEnMet],"&gt;"&amp;($A92+2/24),tData[Langligger01],1)</f>
        <v/>
      </c>
      <c r="G92" s="20">
        <f>COUNTIFS(tData[SEHTrajectPeriodeDatumTijdVan],"&lt;="&amp;($A92+3/24),tData[SEHTrajectPeriodeDatumTijdTotEnMet],"&gt;"&amp;($A92+3/24),tData[Langligger01],1)</f>
        <v/>
      </c>
      <c r="H92" s="20">
        <f>COUNTIFS(tData[SEHTrajectPeriodeDatumTijdVan],"&lt;="&amp;($A92+4/24),tData[SEHTrajectPeriodeDatumTijdTotEnMet],"&gt;"&amp;($A92+4/24),tData[Langligger01],1)</f>
        <v/>
      </c>
      <c r="I92" s="20">
        <f>COUNTIFS(tData[SEHTrajectPeriodeDatumTijdVan],"&lt;="&amp;($A92+5/24),tData[SEHTrajectPeriodeDatumTijdTotEnMet],"&gt;"&amp;($A92+5/24),tData[Langligger01],1)</f>
        <v/>
      </c>
      <c r="J92" s="20">
        <f>COUNTIFS(tData[SEHTrajectPeriodeDatumTijdVan],"&lt;="&amp;($A92+6/24),tData[SEHTrajectPeriodeDatumTijdTotEnMet],"&gt;"&amp;($A92+6/24),tData[Langligger01],1)</f>
        <v/>
      </c>
      <c r="K92" s="20">
        <f>COUNTIFS(tData[SEHTrajectPeriodeDatumTijdVan],"&lt;="&amp;($A92+7/24),tData[SEHTrajectPeriodeDatumTijdTotEnMet],"&gt;"&amp;($A92+7/24),tData[Langligger01],1)</f>
        <v/>
      </c>
      <c r="L92" s="20">
        <f>COUNTIFS(tData[SEHTrajectPeriodeDatumTijdVan],"&lt;="&amp;($A92+8/24),tData[SEHTrajectPeriodeDatumTijdTotEnMet],"&gt;"&amp;($A92+8/24),tData[Langligger01],1)</f>
        <v/>
      </c>
      <c r="M92" s="20">
        <f>COUNTIFS(tData[SEHTrajectPeriodeDatumTijdVan],"&lt;="&amp;($A92+9/24),tData[SEHTrajectPeriodeDatumTijdTotEnMet],"&gt;"&amp;($A92+9/24),tData[Langligger01],1)</f>
        <v/>
      </c>
      <c r="N92" s="20">
        <f>COUNTIFS(tData[SEHTrajectPeriodeDatumTijdVan],"&lt;="&amp;($A92+10/24),tData[SEHTrajectPeriodeDatumTijdTotEnMet],"&gt;"&amp;($A92+10/24),tData[Langligger01],1)</f>
        <v/>
      </c>
      <c r="O92" s="20">
        <f>COUNTIFS(tData[SEHTrajectPeriodeDatumTijdVan],"&lt;="&amp;($A92+11/24),tData[SEHTrajectPeriodeDatumTijdTotEnMet],"&gt;"&amp;($A92+11/24),tData[Langligger01],1)</f>
        <v/>
      </c>
      <c r="P92" s="20">
        <f>COUNTIFS(tData[SEHTrajectPeriodeDatumTijdVan],"&lt;="&amp;($A92+12/24),tData[SEHTrajectPeriodeDatumTijdTotEnMet],"&gt;"&amp;($A92+12/24),tData[Langligger01],1)</f>
        <v/>
      </c>
      <c r="Q92" s="20">
        <f>COUNTIFS(tData[SEHTrajectPeriodeDatumTijdVan],"&lt;="&amp;($A92+13/24),tData[SEHTrajectPeriodeDatumTijdTotEnMet],"&gt;"&amp;($A92+13/24),tData[Langligger01],1)</f>
        <v/>
      </c>
      <c r="R92" s="20">
        <f>COUNTIFS(tData[SEHTrajectPeriodeDatumTijdVan],"&lt;="&amp;($A92+14/24),tData[SEHTrajectPeriodeDatumTijdTotEnMet],"&gt;"&amp;($A92+14/24),tData[Langligger01],1)</f>
        <v/>
      </c>
      <c r="S92" s="20">
        <f>COUNTIFS(tData[SEHTrajectPeriodeDatumTijdVan],"&lt;="&amp;($A92+15/24),tData[SEHTrajectPeriodeDatumTijdTotEnMet],"&gt;"&amp;($A92+15/24),tData[Langligger01],1)</f>
        <v/>
      </c>
      <c r="T92" s="20">
        <f>COUNTIFS(tData[SEHTrajectPeriodeDatumTijdVan],"&lt;="&amp;($A92+16/24),tData[SEHTrajectPeriodeDatumTijdTotEnMet],"&gt;"&amp;($A92+16/24),tData[Langligger01],1)</f>
        <v/>
      </c>
      <c r="U92" s="20">
        <f>COUNTIFS(tData[SEHTrajectPeriodeDatumTijdVan],"&lt;="&amp;($A92+17/24),tData[SEHTrajectPeriodeDatumTijdTotEnMet],"&gt;"&amp;($A92+17/24),tData[Langligger01],1)</f>
        <v/>
      </c>
      <c r="V92" s="20">
        <f>COUNTIFS(tData[SEHTrajectPeriodeDatumTijdVan],"&lt;="&amp;($A92+18/24),tData[SEHTrajectPeriodeDatumTijdTotEnMet],"&gt;"&amp;($A92+18/24),tData[Langligger01],1)</f>
        <v/>
      </c>
      <c r="W92" s="20">
        <f>COUNTIFS(tData[SEHTrajectPeriodeDatumTijdVan],"&lt;="&amp;($A92+19/24),tData[SEHTrajectPeriodeDatumTijdTotEnMet],"&gt;"&amp;($A92+19/24),tData[Langligger01],1)</f>
        <v/>
      </c>
      <c r="X92" s="20">
        <f>COUNTIFS(tData[SEHTrajectPeriodeDatumTijdVan],"&lt;="&amp;($A92+20/24),tData[SEHTrajectPeriodeDatumTijdTotEnMet],"&gt;"&amp;($A92+20/24),tData[Langligger01],1)</f>
        <v/>
      </c>
      <c r="Y92" s="20">
        <f>COUNTIFS(tData[SEHTrajectPeriodeDatumTijdVan],"&lt;="&amp;($A92+21/24),tData[SEHTrajectPeriodeDatumTijdTotEnMet],"&gt;"&amp;($A92+21/24),tData[Langligger01],1)</f>
        <v/>
      </c>
      <c r="Z92" s="20">
        <f>COUNTIFS(tData[SEHTrajectPeriodeDatumTijdVan],"&lt;="&amp;($A92+22/24),tData[SEHTrajectPeriodeDatumTijdTotEnMet],"&gt;"&amp;($A92+22/24),tData[Langligger01],1)</f>
        <v/>
      </c>
      <c r="AA92" s="20">
        <f>COUNTIFS(tData[SEHTrajectPeriodeDatumTijdVan],"&lt;="&amp;($A92+23/24),tData[SEHTrajectPeriodeDatumTijdTotEnMet],"&gt;"&amp;($A92+23/24),tData[Langligger01],1)</f>
        <v/>
      </c>
    </row>
    <row r="93">
      <c r="A93" s="19" t="n">
        <v>45381</v>
      </c>
      <c r="B93" s="15">
        <f>WEEKDAY($A93,2)</f>
        <v/>
      </c>
      <c r="C93" s="15">
        <f>IF(AND($A93&gt;=INT(Instellingen!$B$5),$A93&lt;=INT(Instellingen!$B$6)),1,0)</f>
        <v/>
      </c>
      <c r="D93" s="20">
        <f>COUNTIFS(tData[SEHTrajectPeriodeDatumTijdVan],"&lt;="&amp;($A93+0/24),tData[SEHTrajectPeriodeDatumTijdTotEnMet],"&gt;"&amp;($A93+0/24),tData[Langligger01],1)</f>
        <v/>
      </c>
      <c r="E93" s="20">
        <f>COUNTIFS(tData[SEHTrajectPeriodeDatumTijdVan],"&lt;="&amp;($A93+1/24),tData[SEHTrajectPeriodeDatumTijdTotEnMet],"&gt;"&amp;($A93+1/24),tData[Langligger01],1)</f>
        <v/>
      </c>
      <c r="F93" s="20">
        <f>COUNTIFS(tData[SEHTrajectPeriodeDatumTijdVan],"&lt;="&amp;($A93+2/24),tData[SEHTrajectPeriodeDatumTijdTotEnMet],"&gt;"&amp;($A93+2/24),tData[Langligger01],1)</f>
        <v/>
      </c>
      <c r="G93" s="20">
        <f>COUNTIFS(tData[SEHTrajectPeriodeDatumTijdVan],"&lt;="&amp;($A93+3/24),tData[SEHTrajectPeriodeDatumTijdTotEnMet],"&gt;"&amp;($A93+3/24),tData[Langligger01],1)</f>
        <v/>
      </c>
      <c r="H93" s="20">
        <f>COUNTIFS(tData[SEHTrajectPeriodeDatumTijdVan],"&lt;="&amp;($A93+4/24),tData[SEHTrajectPeriodeDatumTijdTotEnMet],"&gt;"&amp;($A93+4/24),tData[Langligger01],1)</f>
        <v/>
      </c>
      <c r="I93" s="20">
        <f>COUNTIFS(tData[SEHTrajectPeriodeDatumTijdVan],"&lt;="&amp;($A93+5/24),tData[SEHTrajectPeriodeDatumTijdTotEnMet],"&gt;"&amp;($A93+5/24),tData[Langligger01],1)</f>
        <v/>
      </c>
      <c r="J93" s="20">
        <f>COUNTIFS(tData[SEHTrajectPeriodeDatumTijdVan],"&lt;="&amp;($A93+6/24),tData[SEHTrajectPeriodeDatumTijdTotEnMet],"&gt;"&amp;($A93+6/24),tData[Langligger01],1)</f>
        <v/>
      </c>
      <c r="K93" s="20">
        <f>COUNTIFS(tData[SEHTrajectPeriodeDatumTijdVan],"&lt;="&amp;($A93+7/24),tData[SEHTrajectPeriodeDatumTijdTotEnMet],"&gt;"&amp;($A93+7/24),tData[Langligger01],1)</f>
        <v/>
      </c>
      <c r="L93" s="20">
        <f>COUNTIFS(tData[SEHTrajectPeriodeDatumTijdVan],"&lt;="&amp;($A93+8/24),tData[SEHTrajectPeriodeDatumTijdTotEnMet],"&gt;"&amp;($A93+8/24),tData[Langligger01],1)</f>
        <v/>
      </c>
      <c r="M93" s="20">
        <f>COUNTIFS(tData[SEHTrajectPeriodeDatumTijdVan],"&lt;="&amp;($A93+9/24),tData[SEHTrajectPeriodeDatumTijdTotEnMet],"&gt;"&amp;($A93+9/24),tData[Langligger01],1)</f>
        <v/>
      </c>
      <c r="N93" s="20">
        <f>COUNTIFS(tData[SEHTrajectPeriodeDatumTijdVan],"&lt;="&amp;($A93+10/24),tData[SEHTrajectPeriodeDatumTijdTotEnMet],"&gt;"&amp;($A93+10/24),tData[Langligger01],1)</f>
        <v/>
      </c>
      <c r="O93" s="20">
        <f>COUNTIFS(tData[SEHTrajectPeriodeDatumTijdVan],"&lt;="&amp;($A93+11/24),tData[SEHTrajectPeriodeDatumTijdTotEnMet],"&gt;"&amp;($A93+11/24),tData[Langligger01],1)</f>
        <v/>
      </c>
      <c r="P93" s="20">
        <f>COUNTIFS(tData[SEHTrajectPeriodeDatumTijdVan],"&lt;="&amp;($A93+12/24),tData[SEHTrajectPeriodeDatumTijdTotEnMet],"&gt;"&amp;($A93+12/24),tData[Langligger01],1)</f>
        <v/>
      </c>
      <c r="Q93" s="20">
        <f>COUNTIFS(tData[SEHTrajectPeriodeDatumTijdVan],"&lt;="&amp;($A93+13/24),tData[SEHTrajectPeriodeDatumTijdTotEnMet],"&gt;"&amp;($A93+13/24),tData[Langligger01],1)</f>
        <v/>
      </c>
      <c r="R93" s="20">
        <f>COUNTIFS(tData[SEHTrajectPeriodeDatumTijdVan],"&lt;="&amp;($A93+14/24),tData[SEHTrajectPeriodeDatumTijdTotEnMet],"&gt;"&amp;($A93+14/24),tData[Langligger01],1)</f>
        <v/>
      </c>
      <c r="S93" s="20">
        <f>COUNTIFS(tData[SEHTrajectPeriodeDatumTijdVan],"&lt;="&amp;($A93+15/24),tData[SEHTrajectPeriodeDatumTijdTotEnMet],"&gt;"&amp;($A93+15/24),tData[Langligger01],1)</f>
        <v/>
      </c>
      <c r="T93" s="20">
        <f>COUNTIFS(tData[SEHTrajectPeriodeDatumTijdVan],"&lt;="&amp;($A93+16/24),tData[SEHTrajectPeriodeDatumTijdTotEnMet],"&gt;"&amp;($A93+16/24),tData[Langligger01],1)</f>
        <v/>
      </c>
      <c r="U93" s="20">
        <f>COUNTIFS(tData[SEHTrajectPeriodeDatumTijdVan],"&lt;="&amp;($A93+17/24),tData[SEHTrajectPeriodeDatumTijdTotEnMet],"&gt;"&amp;($A93+17/24),tData[Langligger01],1)</f>
        <v/>
      </c>
      <c r="V93" s="20">
        <f>COUNTIFS(tData[SEHTrajectPeriodeDatumTijdVan],"&lt;="&amp;($A93+18/24),tData[SEHTrajectPeriodeDatumTijdTotEnMet],"&gt;"&amp;($A93+18/24),tData[Langligger01],1)</f>
        <v/>
      </c>
      <c r="W93" s="20">
        <f>COUNTIFS(tData[SEHTrajectPeriodeDatumTijdVan],"&lt;="&amp;($A93+19/24),tData[SEHTrajectPeriodeDatumTijdTotEnMet],"&gt;"&amp;($A93+19/24),tData[Langligger01],1)</f>
        <v/>
      </c>
      <c r="X93" s="20">
        <f>COUNTIFS(tData[SEHTrajectPeriodeDatumTijdVan],"&lt;="&amp;($A93+20/24),tData[SEHTrajectPeriodeDatumTijdTotEnMet],"&gt;"&amp;($A93+20/24),tData[Langligger01],1)</f>
        <v/>
      </c>
      <c r="Y93" s="20">
        <f>COUNTIFS(tData[SEHTrajectPeriodeDatumTijdVan],"&lt;="&amp;($A93+21/24),tData[SEHTrajectPeriodeDatumTijdTotEnMet],"&gt;"&amp;($A93+21/24),tData[Langligger01],1)</f>
        <v/>
      </c>
      <c r="Z93" s="20">
        <f>COUNTIFS(tData[SEHTrajectPeriodeDatumTijdVan],"&lt;="&amp;($A93+22/24),tData[SEHTrajectPeriodeDatumTijdTotEnMet],"&gt;"&amp;($A93+22/24),tData[Langligger01],1)</f>
        <v/>
      </c>
      <c r="AA93" s="20">
        <f>COUNTIFS(tData[SEHTrajectPeriodeDatumTijdVan],"&lt;="&amp;($A93+23/24),tData[SEHTrajectPeriodeDatumTijdTotEnMet],"&gt;"&amp;($A93+23/24),tData[Langligger01],1)</f>
        <v/>
      </c>
    </row>
    <row r="94">
      <c r="A94" s="19" t="n">
        <v>45382</v>
      </c>
      <c r="B94" s="15">
        <f>WEEKDAY($A94,2)</f>
        <v/>
      </c>
      <c r="C94" s="15">
        <f>IF(AND($A94&gt;=INT(Instellingen!$B$5),$A94&lt;=INT(Instellingen!$B$6)),1,0)</f>
        <v/>
      </c>
      <c r="D94" s="20">
        <f>COUNTIFS(tData[SEHTrajectPeriodeDatumTijdVan],"&lt;="&amp;($A94+0/24),tData[SEHTrajectPeriodeDatumTijdTotEnMet],"&gt;"&amp;($A94+0/24),tData[Langligger01],1)</f>
        <v/>
      </c>
      <c r="E94" s="20">
        <f>COUNTIFS(tData[SEHTrajectPeriodeDatumTijdVan],"&lt;="&amp;($A94+1/24),tData[SEHTrajectPeriodeDatumTijdTotEnMet],"&gt;"&amp;($A94+1/24),tData[Langligger01],1)</f>
        <v/>
      </c>
      <c r="F94" s="20">
        <f>COUNTIFS(tData[SEHTrajectPeriodeDatumTijdVan],"&lt;="&amp;($A94+2/24),tData[SEHTrajectPeriodeDatumTijdTotEnMet],"&gt;"&amp;($A94+2/24),tData[Langligger01],1)</f>
        <v/>
      </c>
      <c r="G94" s="20">
        <f>COUNTIFS(tData[SEHTrajectPeriodeDatumTijdVan],"&lt;="&amp;($A94+3/24),tData[SEHTrajectPeriodeDatumTijdTotEnMet],"&gt;"&amp;($A94+3/24),tData[Langligger01],1)</f>
        <v/>
      </c>
      <c r="H94" s="20">
        <f>COUNTIFS(tData[SEHTrajectPeriodeDatumTijdVan],"&lt;="&amp;($A94+4/24),tData[SEHTrajectPeriodeDatumTijdTotEnMet],"&gt;"&amp;($A94+4/24),tData[Langligger01],1)</f>
        <v/>
      </c>
      <c r="I94" s="20">
        <f>COUNTIFS(tData[SEHTrajectPeriodeDatumTijdVan],"&lt;="&amp;($A94+5/24),tData[SEHTrajectPeriodeDatumTijdTotEnMet],"&gt;"&amp;($A94+5/24),tData[Langligger01],1)</f>
        <v/>
      </c>
      <c r="J94" s="20">
        <f>COUNTIFS(tData[SEHTrajectPeriodeDatumTijdVan],"&lt;="&amp;($A94+6/24),tData[SEHTrajectPeriodeDatumTijdTotEnMet],"&gt;"&amp;($A94+6/24),tData[Langligger01],1)</f>
        <v/>
      </c>
      <c r="K94" s="20">
        <f>COUNTIFS(tData[SEHTrajectPeriodeDatumTijdVan],"&lt;="&amp;($A94+7/24),tData[SEHTrajectPeriodeDatumTijdTotEnMet],"&gt;"&amp;($A94+7/24),tData[Langligger01],1)</f>
        <v/>
      </c>
      <c r="L94" s="20">
        <f>COUNTIFS(tData[SEHTrajectPeriodeDatumTijdVan],"&lt;="&amp;($A94+8/24),tData[SEHTrajectPeriodeDatumTijdTotEnMet],"&gt;"&amp;($A94+8/24),tData[Langligger01],1)</f>
        <v/>
      </c>
      <c r="M94" s="20">
        <f>COUNTIFS(tData[SEHTrajectPeriodeDatumTijdVan],"&lt;="&amp;($A94+9/24),tData[SEHTrajectPeriodeDatumTijdTotEnMet],"&gt;"&amp;($A94+9/24),tData[Langligger01],1)</f>
        <v/>
      </c>
      <c r="N94" s="20">
        <f>COUNTIFS(tData[SEHTrajectPeriodeDatumTijdVan],"&lt;="&amp;($A94+10/24),tData[SEHTrajectPeriodeDatumTijdTotEnMet],"&gt;"&amp;($A94+10/24),tData[Langligger01],1)</f>
        <v/>
      </c>
      <c r="O94" s="20">
        <f>COUNTIFS(tData[SEHTrajectPeriodeDatumTijdVan],"&lt;="&amp;($A94+11/24),tData[SEHTrajectPeriodeDatumTijdTotEnMet],"&gt;"&amp;($A94+11/24),tData[Langligger01],1)</f>
        <v/>
      </c>
      <c r="P94" s="20">
        <f>COUNTIFS(tData[SEHTrajectPeriodeDatumTijdVan],"&lt;="&amp;($A94+12/24),tData[SEHTrajectPeriodeDatumTijdTotEnMet],"&gt;"&amp;($A94+12/24),tData[Langligger01],1)</f>
        <v/>
      </c>
      <c r="Q94" s="20">
        <f>COUNTIFS(tData[SEHTrajectPeriodeDatumTijdVan],"&lt;="&amp;($A94+13/24),tData[SEHTrajectPeriodeDatumTijdTotEnMet],"&gt;"&amp;($A94+13/24),tData[Langligger01],1)</f>
        <v/>
      </c>
      <c r="R94" s="20">
        <f>COUNTIFS(tData[SEHTrajectPeriodeDatumTijdVan],"&lt;="&amp;($A94+14/24),tData[SEHTrajectPeriodeDatumTijdTotEnMet],"&gt;"&amp;($A94+14/24),tData[Langligger01],1)</f>
        <v/>
      </c>
      <c r="S94" s="20">
        <f>COUNTIFS(tData[SEHTrajectPeriodeDatumTijdVan],"&lt;="&amp;($A94+15/24),tData[SEHTrajectPeriodeDatumTijdTotEnMet],"&gt;"&amp;($A94+15/24),tData[Langligger01],1)</f>
        <v/>
      </c>
      <c r="T94" s="20">
        <f>COUNTIFS(tData[SEHTrajectPeriodeDatumTijdVan],"&lt;="&amp;($A94+16/24),tData[SEHTrajectPeriodeDatumTijdTotEnMet],"&gt;"&amp;($A94+16/24),tData[Langligger01],1)</f>
        <v/>
      </c>
      <c r="U94" s="20">
        <f>COUNTIFS(tData[SEHTrajectPeriodeDatumTijdVan],"&lt;="&amp;($A94+17/24),tData[SEHTrajectPeriodeDatumTijdTotEnMet],"&gt;"&amp;($A94+17/24),tData[Langligger01],1)</f>
        <v/>
      </c>
      <c r="V94" s="20">
        <f>COUNTIFS(tData[SEHTrajectPeriodeDatumTijdVan],"&lt;="&amp;($A94+18/24),tData[SEHTrajectPeriodeDatumTijdTotEnMet],"&gt;"&amp;($A94+18/24),tData[Langligger01],1)</f>
        <v/>
      </c>
      <c r="W94" s="20">
        <f>COUNTIFS(tData[SEHTrajectPeriodeDatumTijdVan],"&lt;="&amp;($A94+19/24),tData[SEHTrajectPeriodeDatumTijdTotEnMet],"&gt;"&amp;($A94+19/24),tData[Langligger01],1)</f>
        <v/>
      </c>
      <c r="X94" s="20">
        <f>COUNTIFS(tData[SEHTrajectPeriodeDatumTijdVan],"&lt;="&amp;($A94+20/24),tData[SEHTrajectPeriodeDatumTijdTotEnMet],"&gt;"&amp;($A94+20/24),tData[Langligger01],1)</f>
        <v/>
      </c>
      <c r="Y94" s="20">
        <f>COUNTIFS(tData[SEHTrajectPeriodeDatumTijdVan],"&lt;="&amp;($A94+21/24),tData[SEHTrajectPeriodeDatumTijdTotEnMet],"&gt;"&amp;($A94+21/24),tData[Langligger01],1)</f>
        <v/>
      </c>
      <c r="Z94" s="20">
        <f>COUNTIFS(tData[SEHTrajectPeriodeDatumTijdVan],"&lt;="&amp;($A94+22/24),tData[SEHTrajectPeriodeDatumTijdTotEnMet],"&gt;"&amp;($A94+22/24),tData[Langligger01],1)</f>
        <v/>
      </c>
      <c r="AA94" s="20">
        <f>COUNTIFS(tData[SEHTrajectPeriodeDatumTijdVan],"&lt;="&amp;($A94+23/24),tData[SEHTrajectPeriodeDatumTijdTotEnMet],"&gt;"&amp;($A94+23/24),tData[Langligger01],1)</f>
        <v/>
      </c>
    </row>
    <row r="95">
      <c r="A95" s="19" t="n">
        <v>45383</v>
      </c>
      <c r="B95" s="15">
        <f>WEEKDAY($A95,2)</f>
        <v/>
      </c>
      <c r="C95" s="15">
        <f>IF(AND($A95&gt;=INT(Instellingen!$B$5),$A95&lt;=INT(Instellingen!$B$6)),1,0)</f>
        <v/>
      </c>
      <c r="D95" s="20">
        <f>COUNTIFS(tData[SEHTrajectPeriodeDatumTijdVan],"&lt;="&amp;($A95+0/24),tData[SEHTrajectPeriodeDatumTijdTotEnMet],"&gt;"&amp;($A95+0/24),tData[Langligger01],1)</f>
        <v/>
      </c>
      <c r="E95" s="20">
        <f>COUNTIFS(tData[SEHTrajectPeriodeDatumTijdVan],"&lt;="&amp;($A95+1/24),tData[SEHTrajectPeriodeDatumTijdTotEnMet],"&gt;"&amp;($A95+1/24),tData[Langligger01],1)</f>
        <v/>
      </c>
      <c r="F95" s="20">
        <f>COUNTIFS(tData[SEHTrajectPeriodeDatumTijdVan],"&lt;="&amp;($A95+2/24),tData[SEHTrajectPeriodeDatumTijdTotEnMet],"&gt;"&amp;($A95+2/24),tData[Langligger01],1)</f>
        <v/>
      </c>
      <c r="G95" s="20">
        <f>COUNTIFS(tData[SEHTrajectPeriodeDatumTijdVan],"&lt;="&amp;($A95+3/24),tData[SEHTrajectPeriodeDatumTijdTotEnMet],"&gt;"&amp;($A95+3/24),tData[Langligger01],1)</f>
        <v/>
      </c>
      <c r="H95" s="20">
        <f>COUNTIFS(tData[SEHTrajectPeriodeDatumTijdVan],"&lt;="&amp;($A95+4/24),tData[SEHTrajectPeriodeDatumTijdTotEnMet],"&gt;"&amp;($A95+4/24),tData[Langligger01],1)</f>
        <v/>
      </c>
      <c r="I95" s="20">
        <f>COUNTIFS(tData[SEHTrajectPeriodeDatumTijdVan],"&lt;="&amp;($A95+5/24),tData[SEHTrajectPeriodeDatumTijdTotEnMet],"&gt;"&amp;($A95+5/24),tData[Langligger01],1)</f>
        <v/>
      </c>
      <c r="J95" s="20">
        <f>COUNTIFS(tData[SEHTrajectPeriodeDatumTijdVan],"&lt;="&amp;($A95+6/24),tData[SEHTrajectPeriodeDatumTijdTotEnMet],"&gt;"&amp;($A95+6/24),tData[Langligger01],1)</f>
        <v/>
      </c>
      <c r="K95" s="20">
        <f>COUNTIFS(tData[SEHTrajectPeriodeDatumTijdVan],"&lt;="&amp;($A95+7/24),tData[SEHTrajectPeriodeDatumTijdTotEnMet],"&gt;"&amp;($A95+7/24),tData[Langligger01],1)</f>
        <v/>
      </c>
      <c r="L95" s="20">
        <f>COUNTIFS(tData[SEHTrajectPeriodeDatumTijdVan],"&lt;="&amp;($A95+8/24),tData[SEHTrajectPeriodeDatumTijdTotEnMet],"&gt;"&amp;($A95+8/24),tData[Langligger01],1)</f>
        <v/>
      </c>
      <c r="M95" s="20">
        <f>COUNTIFS(tData[SEHTrajectPeriodeDatumTijdVan],"&lt;="&amp;($A95+9/24),tData[SEHTrajectPeriodeDatumTijdTotEnMet],"&gt;"&amp;($A95+9/24),tData[Langligger01],1)</f>
        <v/>
      </c>
      <c r="N95" s="20">
        <f>COUNTIFS(tData[SEHTrajectPeriodeDatumTijdVan],"&lt;="&amp;($A95+10/24),tData[SEHTrajectPeriodeDatumTijdTotEnMet],"&gt;"&amp;($A95+10/24),tData[Langligger01],1)</f>
        <v/>
      </c>
      <c r="O95" s="20">
        <f>COUNTIFS(tData[SEHTrajectPeriodeDatumTijdVan],"&lt;="&amp;($A95+11/24),tData[SEHTrajectPeriodeDatumTijdTotEnMet],"&gt;"&amp;($A95+11/24),tData[Langligger01],1)</f>
        <v/>
      </c>
      <c r="P95" s="20">
        <f>COUNTIFS(tData[SEHTrajectPeriodeDatumTijdVan],"&lt;="&amp;($A95+12/24),tData[SEHTrajectPeriodeDatumTijdTotEnMet],"&gt;"&amp;($A95+12/24),tData[Langligger01],1)</f>
        <v/>
      </c>
      <c r="Q95" s="20">
        <f>COUNTIFS(tData[SEHTrajectPeriodeDatumTijdVan],"&lt;="&amp;($A95+13/24),tData[SEHTrajectPeriodeDatumTijdTotEnMet],"&gt;"&amp;($A95+13/24),tData[Langligger01],1)</f>
        <v/>
      </c>
      <c r="R95" s="20">
        <f>COUNTIFS(tData[SEHTrajectPeriodeDatumTijdVan],"&lt;="&amp;($A95+14/24),tData[SEHTrajectPeriodeDatumTijdTotEnMet],"&gt;"&amp;($A95+14/24),tData[Langligger01],1)</f>
        <v/>
      </c>
      <c r="S95" s="20">
        <f>COUNTIFS(tData[SEHTrajectPeriodeDatumTijdVan],"&lt;="&amp;($A95+15/24),tData[SEHTrajectPeriodeDatumTijdTotEnMet],"&gt;"&amp;($A95+15/24),tData[Langligger01],1)</f>
        <v/>
      </c>
      <c r="T95" s="20">
        <f>COUNTIFS(tData[SEHTrajectPeriodeDatumTijdVan],"&lt;="&amp;($A95+16/24),tData[SEHTrajectPeriodeDatumTijdTotEnMet],"&gt;"&amp;($A95+16/24),tData[Langligger01],1)</f>
        <v/>
      </c>
      <c r="U95" s="20">
        <f>COUNTIFS(tData[SEHTrajectPeriodeDatumTijdVan],"&lt;="&amp;($A95+17/24),tData[SEHTrajectPeriodeDatumTijdTotEnMet],"&gt;"&amp;($A95+17/24),tData[Langligger01],1)</f>
        <v/>
      </c>
      <c r="V95" s="20">
        <f>COUNTIFS(tData[SEHTrajectPeriodeDatumTijdVan],"&lt;="&amp;($A95+18/24),tData[SEHTrajectPeriodeDatumTijdTotEnMet],"&gt;"&amp;($A95+18/24),tData[Langligger01],1)</f>
        <v/>
      </c>
      <c r="W95" s="20">
        <f>COUNTIFS(tData[SEHTrajectPeriodeDatumTijdVan],"&lt;="&amp;($A95+19/24),tData[SEHTrajectPeriodeDatumTijdTotEnMet],"&gt;"&amp;($A95+19/24),tData[Langligger01],1)</f>
        <v/>
      </c>
      <c r="X95" s="20">
        <f>COUNTIFS(tData[SEHTrajectPeriodeDatumTijdVan],"&lt;="&amp;($A95+20/24),tData[SEHTrajectPeriodeDatumTijdTotEnMet],"&gt;"&amp;($A95+20/24),tData[Langligger01],1)</f>
        <v/>
      </c>
      <c r="Y95" s="20">
        <f>COUNTIFS(tData[SEHTrajectPeriodeDatumTijdVan],"&lt;="&amp;($A95+21/24),tData[SEHTrajectPeriodeDatumTijdTotEnMet],"&gt;"&amp;($A95+21/24),tData[Langligger01],1)</f>
        <v/>
      </c>
      <c r="Z95" s="20">
        <f>COUNTIFS(tData[SEHTrajectPeriodeDatumTijdVan],"&lt;="&amp;($A95+22/24),tData[SEHTrajectPeriodeDatumTijdTotEnMet],"&gt;"&amp;($A95+22/24),tData[Langligger01],1)</f>
        <v/>
      </c>
      <c r="AA95" s="20">
        <f>COUNTIFS(tData[SEHTrajectPeriodeDatumTijdVan],"&lt;="&amp;($A95+23/24),tData[SEHTrajectPeriodeDatumTijdTotEnMet],"&gt;"&amp;($A95+23/24),tData[Langligger01],1)</f>
        <v/>
      </c>
    </row>
    <row r="96">
      <c r="A96" s="19" t="n">
        <v>45384</v>
      </c>
      <c r="B96" s="15">
        <f>WEEKDAY($A96,2)</f>
        <v/>
      </c>
      <c r="C96" s="15">
        <f>IF(AND($A96&gt;=INT(Instellingen!$B$5),$A96&lt;=INT(Instellingen!$B$6)),1,0)</f>
        <v/>
      </c>
      <c r="D96" s="20">
        <f>COUNTIFS(tData[SEHTrajectPeriodeDatumTijdVan],"&lt;="&amp;($A96+0/24),tData[SEHTrajectPeriodeDatumTijdTotEnMet],"&gt;"&amp;($A96+0/24),tData[Langligger01],1)</f>
        <v/>
      </c>
      <c r="E96" s="20">
        <f>COUNTIFS(tData[SEHTrajectPeriodeDatumTijdVan],"&lt;="&amp;($A96+1/24),tData[SEHTrajectPeriodeDatumTijdTotEnMet],"&gt;"&amp;($A96+1/24),tData[Langligger01],1)</f>
        <v/>
      </c>
      <c r="F96" s="20">
        <f>COUNTIFS(tData[SEHTrajectPeriodeDatumTijdVan],"&lt;="&amp;($A96+2/24),tData[SEHTrajectPeriodeDatumTijdTotEnMet],"&gt;"&amp;($A96+2/24),tData[Langligger01],1)</f>
        <v/>
      </c>
      <c r="G96" s="20">
        <f>COUNTIFS(tData[SEHTrajectPeriodeDatumTijdVan],"&lt;="&amp;($A96+3/24),tData[SEHTrajectPeriodeDatumTijdTotEnMet],"&gt;"&amp;($A96+3/24),tData[Langligger01],1)</f>
        <v/>
      </c>
      <c r="H96" s="20">
        <f>COUNTIFS(tData[SEHTrajectPeriodeDatumTijdVan],"&lt;="&amp;($A96+4/24),tData[SEHTrajectPeriodeDatumTijdTotEnMet],"&gt;"&amp;($A96+4/24),tData[Langligger01],1)</f>
        <v/>
      </c>
      <c r="I96" s="20">
        <f>COUNTIFS(tData[SEHTrajectPeriodeDatumTijdVan],"&lt;="&amp;($A96+5/24),tData[SEHTrajectPeriodeDatumTijdTotEnMet],"&gt;"&amp;($A96+5/24),tData[Langligger01],1)</f>
        <v/>
      </c>
      <c r="J96" s="20">
        <f>COUNTIFS(tData[SEHTrajectPeriodeDatumTijdVan],"&lt;="&amp;($A96+6/24),tData[SEHTrajectPeriodeDatumTijdTotEnMet],"&gt;"&amp;($A96+6/24),tData[Langligger01],1)</f>
        <v/>
      </c>
      <c r="K96" s="20">
        <f>COUNTIFS(tData[SEHTrajectPeriodeDatumTijdVan],"&lt;="&amp;($A96+7/24),tData[SEHTrajectPeriodeDatumTijdTotEnMet],"&gt;"&amp;($A96+7/24),tData[Langligger01],1)</f>
        <v/>
      </c>
      <c r="L96" s="20">
        <f>COUNTIFS(tData[SEHTrajectPeriodeDatumTijdVan],"&lt;="&amp;($A96+8/24),tData[SEHTrajectPeriodeDatumTijdTotEnMet],"&gt;"&amp;($A96+8/24),tData[Langligger01],1)</f>
        <v/>
      </c>
      <c r="M96" s="20">
        <f>COUNTIFS(tData[SEHTrajectPeriodeDatumTijdVan],"&lt;="&amp;($A96+9/24),tData[SEHTrajectPeriodeDatumTijdTotEnMet],"&gt;"&amp;($A96+9/24),tData[Langligger01],1)</f>
        <v/>
      </c>
      <c r="N96" s="20">
        <f>COUNTIFS(tData[SEHTrajectPeriodeDatumTijdVan],"&lt;="&amp;($A96+10/24),tData[SEHTrajectPeriodeDatumTijdTotEnMet],"&gt;"&amp;($A96+10/24),tData[Langligger01],1)</f>
        <v/>
      </c>
      <c r="O96" s="20">
        <f>COUNTIFS(tData[SEHTrajectPeriodeDatumTijdVan],"&lt;="&amp;($A96+11/24),tData[SEHTrajectPeriodeDatumTijdTotEnMet],"&gt;"&amp;($A96+11/24),tData[Langligger01],1)</f>
        <v/>
      </c>
      <c r="P96" s="20">
        <f>COUNTIFS(tData[SEHTrajectPeriodeDatumTijdVan],"&lt;="&amp;($A96+12/24),tData[SEHTrajectPeriodeDatumTijdTotEnMet],"&gt;"&amp;($A96+12/24),tData[Langligger01],1)</f>
        <v/>
      </c>
      <c r="Q96" s="20">
        <f>COUNTIFS(tData[SEHTrajectPeriodeDatumTijdVan],"&lt;="&amp;($A96+13/24),tData[SEHTrajectPeriodeDatumTijdTotEnMet],"&gt;"&amp;($A96+13/24),tData[Langligger01],1)</f>
        <v/>
      </c>
      <c r="R96" s="20">
        <f>COUNTIFS(tData[SEHTrajectPeriodeDatumTijdVan],"&lt;="&amp;($A96+14/24),tData[SEHTrajectPeriodeDatumTijdTotEnMet],"&gt;"&amp;($A96+14/24),tData[Langligger01],1)</f>
        <v/>
      </c>
      <c r="S96" s="20">
        <f>COUNTIFS(tData[SEHTrajectPeriodeDatumTijdVan],"&lt;="&amp;($A96+15/24),tData[SEHTrajectPeriodeDatumTijdTotEnMet],"&gt;"&amp;($A96+15/24),tData[Langligger01],1)</f>
        <v/>
      </c>
      <c r="T96" s="20">
        <f>COUNTIFS(tData[SEHTrajectPeriodeDatumTijdVan],"&lt;="&amp;($A96+16/24),tData[SEHTrajectPeriodeDatumTijdTotEnMet],"&gt;"&amp;($A96+16/24),tData[Langligger01],1)</f>
        <v/>
      </c>
      <c r="U96" s="20">
        <f>COUNTIFS(tData[SEHTrajectPeriodeDatumTijdVan],"&lt;="&amp;($A96+17/24),tData[SEHTrajectPeriodeDatumTijdTotEnMet],"&gt;"&amp;($A96+17/24),tData[Langligger01],1)</f>
        <v/>
      </c>
      <c r="V96" s="20">
        <f>COUNTIFS(tData[SEHTrajectPeriodeDatumTijdVan],"&lt;="&amp;($A96+18/24),tData[SEHTrajectPeriodeDatumTijdTotEnMet],"&gt;"&amp;($A96+18/24),tData[Langligger01],1)</f>
        <v/>
      </c>
      <c r="W96" s="20">
        <f>COUNTIFS(tData[SEHTrajectPeriodeDatumTijdVan],"&lt;="&amp;($A96+19/24),tData[SEHTrajectPeriodeDatumTijdTotEnMet],"&gt;"&amp;($A96+19/24),tData[Langligger01],1)</f>
        <v/>
      </c>
      <c r="X96" s="20">
        <f>COUNTIFS(tData[SEHTrajectPeriodeDatumTijdVan],"&lt;="&amp;($A96+20/24),tData[SEHTrajectPeriodeDatumTijdTotEnMet],"&gt;"&amp;($A96+20/24),tData[Langligger01],1)</f>
        <v/>
      </c>
      <c r="Y96" s="20">
        <f>COUNTIFS(tData[SEHTrajectPeriodeDatumTijdVan],"&lt;="&amp;($A96+21/24),tData[SEHTrajectPeriodeDatumTijdTotEnMet],"&gt;"&amp;($A96+21/24),tData[Langligger01],1)</f>
        <v/>
      </c>
      <c r="Z96" s="20">
        <f>COUNTIFS(tData[SEHTrajectPeriodeDatumTijdVan],"&lt;="&amp;($A96+22/24),tData[SEHTrajectPeriodeDatumTijdTotEnMet],"&gt;"&amp;($A96+22/24),tData[Langligger01],1)</f>
        <v/>
      </c>
      <c r="AA96" s="20">
        <f>COUNTIFS(tData[SEHTrajectPeriodeDatumTijdVan],"&lt;="&amp;($A96+23/24),tData[SEHTrajectPeriodeDatumTijdTotEnMet],"&gt;"&amp;($A96+23/24),tData[Langligger01],1)</f>
        <v/>
      </c>
    </row>
    <row r="97">
      <c r="A97" s="19" t="n">
        <v>45385</v>
      </c>
      <c r="B97" s="15">
        <f>WEEKDAY($A97,2)</f>
        <v/>
      </c>
      <c r="C97" s="15">
        <f>IF(AND($A97&gt;=INT(Instellingen!$B$5),$A97&lt;=INT(Instellingen!$B$6)),1,0)</f>
        <v/>
      </c>
      <c r="D97" s="20">
        <f>COUNTIFS(tData[SEHTrajectPeriodeDatumTijdVan],"&lt;="&amp;($A97+0/24),tData[SEHTrajectPeriodeDatumTijdTotEnMet],"&gt;"&amp;($A97+0/24),tData[Langligger01],1)</f>
        <v/>
      </c>
      <c r="E97" s="20">
        <f>COUNTIFS(tData[SEHTrajectPeriodeDatumTijdVan],"&lt;="&amp;($A97+1/24),tData[SEHTrajectPeriodeDatumTijdTotEnMet],"&gt;"&amp;($A97+1/24),tData[Langligger01],1)</f>
        <v/>
      </c>
      <c r="F97" s="20">
        <f>COUNTIFS(tData[SEHTrajectPeriodeDatumTijdVan],"&lt;="&amp;($A97+2/24),tData[SEHTrajectPeriodeDatumTijdTotEnMet],"&gt;"&amp;($A97+2/24),tData[Langligger01],1)</f>
        <v/>
      </c>
      <c r="G97" s="20">
        <f>COUNTIFS(tData[SEHTrajectPeriodeDatumTijdVan],"&lt;="&amp;($A97+3/24),tData[SEHTrajectPeriodeDatumTijdTotEnMet],"&gt;"&amp;($A97+3/24),tData[Langligger01],1)</f>
        <v/>
      </c>
      <c r="H97" s="20">
        <f>COUNTIFS(tData[SEHTrajectPeriodeDatumTijdVan],"&lt;="&amp;($A97+4/24),tData[SEHTrajectPeriodeDatumTijdTotEnMet],"&gt;"&amp;($A97+4/24),tData[Langligger01],1)</f>
        <v/>
      </c>
      <c r="I97" s="20">
        <f>COUNTIFS(tData[SEHTrajectPeriodeDatumTijdVan],"&lt;="&amp;($A97+5/24),tData[SEHTrajectPeriodeDatumTijdTotEnMet],"&gt;"&amp;($A97+5/24),tData[Langligger01],1)</f>
        <v/>
      </c>
      <c r="J97" s="20">
        <f>COUNTIFS(tData[SEHTrajectPeriodeDatumTijdVan],"&lt;="&amp;($A97+6/24),tData[SEHTrajectPeriodeDatumTijdTotEnMet],"&gt;"&amp;($A97+6/24),tData[Langligger01],1)</f>
        <v/>
      </c>
      <c r="K97" s="20">
        <f>COUNTIFS(tData[SEHTrajectPeriodeDatumTijdVan],"&lt;="&amp;($A97+7/24),tData[SEHTrajectPeriodeDatumTijdTotEnMet],"&gt;"&amp;($A97+7/24),tData[Langligger01],1)</f>
        <v/>
      </c>
      <c r="L97" s="20">
        <f>COUNTIFS(tData[SEHTrajectPeriodeDatumTijdVan],"&lt;="&amp;($A97+8/24),tData[SEHTrajectPeriodeDatumTijdTotEnMet],"&gt;"&amp;($A97+8/24),tData[Langligger01],1)</f>
        <v/>
      </c>
      <c r="M97" s="20">
        <f>COUNTIFS(tData[SEHTrajectPeriodeDatumTijdVan],"&lt;="&amp;($A97+9/24),tData[SEHTrajectPeriodeDatumTijdTotEnMet],"&gt;"&amp;($A97+9/24),tData[Langligger01],1)</f>
        <v/>
      </c>
      <c r="N97" s="20">
        <f>COUNTIFS(tData[SEHTrajectPeriodeDatumTijdVan],"&lt;="&amp;($A97+10/24),tData[SEHTrajectPeriodeDatumTijdTotEnMet],"&gt;"&amp;($A97+10/24),tData[Langligger01],1)</f>
        <v/>
      </c>
      <c r="O97" s="20">
        <f>COUNTIFS(tData[SEHTrajectPeriodeDatumTijdVan],"&lt;="&amp;($A97+11/24),tData[SEHTrajectPeriodeDatumTijdTotEnMet],"&gt;"&amp;($A97+11/24),tData[Langligger01],1)</f>
        <v/>
      </c>
      <c r="P97" s="20">
        <f>COUNTIFS(tData[SEHTrajectPeriodeDatumTijdVan],"&lt;="&amp;($A97+12/24),tData[SEHTrajectPeriodeDatumTijdTotEnMet],"&gt;"&amp;($A97+12/24),tData[Langligger01],1)</f>
        <v/>
      </c>
      <c r="Q97" s="20">
        <f>COUNTIFS(tData[SEHTrajectPeriodeDatumTijdVan],"&lt;="&amp;($A97+13/24),tData[SEHTrajectPeriodeDatumTijdTotEnMet],"&gt;"&amp;($A97+13/24),tData[Langligger01],1)</f>
        <v/>
      </c>
      <c r="R97" s="20">
        <f>COUNTIFS(tData[SEHTrajectPeriodeDatumTijdVan],"&lt;="&amp;($A97+14/24),tData[SEHTrajectPeriodeDatumTijdTotEnMet],"&gt;"&amp;($A97+14/24),tData[Langligger01],1)</f>
        <v/>
      </c>
      <c r="S97" s="20">
        <f>COUNTIFS(tData[SEHTrajectPeriodeDatumTijdVan],"&lt;="&amp;($A97+15/24),tData[SEHTrajectPeriodeDatumTijdTotEnMet],"&gt;"&amp;($A97+15/24),tData[Langligger01],1)</f>
        <v/>
      </c>
      <c r="T97" s="20">
        <f>COUNTIFS(tData[SEHTrajectPeriodeDatumTijdVan],"&lt;="&amp;($A97+16/24),tData[SEHTrajectPeriodeDatumTijdTotEnMet],"&gt;"&amp;($A97+16/24),tData[Langligger01],1)</f>
        <v/>
      </c>
      <c r="U97" s="20">
        <f>COUNTIFS(tData[SEHTrajectPeriodeDatumTijdVan],"&lt;="&amp;($A97+17/24),tData[SEHTrajectPeriodeDatumTijdTotEnMet],"&gt;"&amp;($A97+17/24),tData[Langligger01],1)</f>
        <v/>
      </c>
      <c r="V97" s="20">
        <f>COUNTIFS(tData[SEHTrajectPeriodeDatumTijdVan],"&lt;="&amp;($A97+18/24),tData[SEHTrajectPeriodeDatumTijdTotEnMet],"&gt;"&amp;($A97+18/24),tData[Langligger01],1)</f>
        <v/>
      </c>
      <c r="W97" s="20">
        <f>COUNTIFS(tData[SEHTrajectPeriodeDatumTijdVan],"&lt;="&amp;($A97+19/24),tData[SEHTrajectPeriodeDatumTijdTotEnMet],"&gt;"&amp;($A97+19/24),tData[Langligger01],1)</f>
        <v/>
      </c>
      <c r="X97" s="20">
        <f>COUNTIFS(tData[SEHTrajectPeriodeDatumTijdVan],"&lt;="&amp;($A97+20/24),tData[SEHTrajectPeriodeDatumTijdTotEnMet],"&gt;"&amp;($A97+20/24),tData[Langligger01],1)</f>
        <v/>
      </c>
      <c r="Y97" s="20">
        <f>COUNTIFS(tData[SEHTrajectPeriodeDatumTijdVan],"&lt;="&amp;($A97+21/24),tData[SEHTrajectPeriodeDatumTijdTotEnMet],"&gt;"&amp;($A97+21/24),tData[Langligger01],1)</f>
        <v/>
      </c>
      <c r="Z97" s="20">
        <f>COUNTIFS(tData[SEHTrajectPeriodeDatumTijdVan],"&lt;="&amp;($A97+22/24),tData[SEHTrajectPeriodeDatumTijdTotEnMet],"&gt;"&amp;($A97+22/24),tData[Langligger01],1)</f>
        <v/>
      </c>
      <c r="AA97" s="20">
        <f>COUNTIFS(tData[SEHTrajectPeriodeDatumTijdVan],"&lt;="&amp;($A97+23/24),tData[SEHTrajectPeriodeDatumTijdTotEnMet],"&gt;"&amp;($A97+23/24),tData[Langligger01],1)</f>
        <v/>
      </c>
    </row>
    <row r="98">
      <c r="A98" s="19" t="n">
        <v>45386</v>
      </c>
      <c r="B98" s="15">
        <f>WEEKDAY($A98,2)</f>
        <v/>
      </c>
      <c r="C98" s="15">
        <f>IF(AND($A98&gt;=INT(Instellingen!$B$5),$A98&lt;=INT(Instellingen!$B$6)),1,0)</f>
        <v/>
      </c>
      <c r="D98" s="20">
        <f>COUNTIFS(tData[SEHTrajectPeriodeDatumTijdVan],"&lt;="&amp;($A98+0/24),tData[SEHTrajectPeriodeDatumTijdTotEnMet],"&gt;"&amp;($A98+0/24),tData[Langligger01],1)</f>
        <v/>
      </c>
      <c r="E98" s="20">
        <f>COUNTIFS(tData[SEHTrajectPeriodeDatumTijdVan],"&lt;="&amp;($A98+1/24),tData[SEHTrajectPeriodeDatumTijdTotEnMet],"&gt;"&amp;($A98+1/24),tData[Langligger01],1)</f>
        <v/>
      </c>
      <c r="F98" s="20">
        <f>COUNTIFS(tData[SEHTrajectPeriodeDatumTijdVan],"&lt;="&amp;($A98+2/24),tData[SEHTrajectPeriodeDatumTijdTotEnMet],"&gt;"&amp;($A98+2/24),tData[Langligger01],1)</f>
        <v/>
      </c>
      <c r="G98" s="20">
        <f>COUNTIFS(tData[SEHTrajectPeriodeDatumTijdVan],"&lt;="&amp;($A98+3/24),tData[SEHTrajectPeriodeDatumTijdTotEnMet],"&gt;"&amp;($A98+3/24),tData[Langligger01],1)</f>
        <v/>
      </c>
      <c r="H98" s="20">
        <f>COUNTIFS(tData[SEHTrajectPeriodeDatumTijdVan],"&lt;="&amp;($A98+4/24),tData[SEHTrajectPeriodeDatumTijdTotEnMet],"&gt;"&amp;($A98+4/24),tData[Langligger01],1)</f>
        <v/>
      </c>
      <c r="I98" s="20">
        <f>COUNTIFS(tData[SEHTrajectPeriodeDatumTijdVan],"&lt;="&amp;($A98+5/24),tData[SEHTrajectPeriodeDatumTijdTotEnMet],"&gt;"&amp;($A98+5/24),tData[Langligger01],1)</f>
        <v/>
      </c>
      <c r="J98" s="20">
        <f>COUNTIFS(tData[SEHTrajectPeriodeDatumTijdVan],"&lt;="&amp;($A98+6/24),tData[SEHTrajectPeriodeDatumTijdTotEnMet],"&gt;"&amp;($A98+6/24),tData[Langligger01],1)</f>
        <v/>
      </c>
      <c r="K98" s="20">
        <f>COUNTIFS(tData[SEHTrajectPeriodeDatumTijdVan],"&lt;="&amp;($A98+7/24),tData[SEHTrajectPeriodeDatumTijdTotEnMet],"&gt;"&amp;($A98+7/24),tData[Langligger01],1)</f>
        <v/>
      </c>
      <c r="L98" s="20">
        <f>COUNTIFS(tData[SEHTrajectPeriodeDatumTijdVan],"&lt;="&amp;($A98+8/24),tData[SEHTrajectPeriodeDatumTijdTotEnMet],"&gt;"&amp;($A98+8/24),tData[Langligger01],1)</f>
        <v/>
      </c>
      <c r="M98" s="20">
        <f>COUNTIFS(tData[SEHTrajectPeriodeDatumTijdVan],"&lt;="&amp;($A98+9/24),tData[SEHTrajectPeriodeDatumTijdTotEnMet],"&gt;"&amp;($A98+9/24),tData[Langligger01],1)</f>
        <v/>
      </c>
      <c r="N98" s="20">
        <f>COUNTIFS(tData[SEHTrajectPeriodeDatumTijdVan],"&lt;="&amp;($A98+10/24),tData[SEHTrajectPeriodeDatumTijdTotEnMet],"&gt;"&amp;($A98+10/24),tData[Langligger01],1)</f>
        <v/>
      </c>
      <c r="O98" s="20">
        <f>COUNTIFS(tData[SEHTrajectPeriodeDatumTijdVan],"&lt;="&amp;($A98+11/24),tData[SEHTrajectPeriodeDatumTijdTotEnMet],"&gt;"&amp;($A98+11/24),tData[Langligger01],1)</f>
        <v/>
      </c>
      <c r="P98" s="20">
        <f>COUNTIFS(tData[SEHTrajectPeriodeDatumTijdVan],"&lt;="&amp;($A98+12/24),tData[SEHTrajectPeriodeDatumTijdTotEnMet],"&gt;"&amp;($A98+12/24),tData[Langligger01],1)</f>
        <v/>
      </c>
      <c r="Q98" s="20">
        <f>COUNTIFS(tData[SEHTrajectPeriodeDatumTijdVan],"&lt;="&amp;($A98+13/24),tData[SEHTrajectPeriodeDatumTijdTotEnMet],"&gt;"&amp;($A98+13/24),tData[Langligger01],1)</f>
        <v/>
      </c>
      <c r="R98" s="20">
        <f>COUNTIFS(tData[SEHTrajectPeriodeDatumTijdVan],"&lt;="&amp;($A98+14/24),tData[SEHTrajectPeriodeDatumTijdTotEnMet],"&gt;"&amp;($A98+14/24),tData[Langligger01],1)</f>
        <v/>
      </c>
      <c r="S98" s="20">
        <f>COUNTIFS(tData[SEHTrajectPeriodeDatumTijdVan],"&lt;="&amp;($A98+15/24),tData[SEHTrajectPeriodeDatumTijdTotEnMet],"&gt;"&amp;($A98+15/24),tData[Langligger01],1)</f>
        <v/>
      </c>
      <c r="T98" s="20">
        <f>COUNTIFS(tData[SEHTrajectPeriodeDatumTijdVan],"&lt;="&amp;($A98+16/24),tData[SEHTrajectPeriodeDatumTijdTotEnMet],"&gt;"&amp;($A98+16/24),tData[Langligger01],1)</f>
        <v/>
      </c>
      <c r="U98" s="20">
        <f>COUNTIFS(tData[SEHTrajectPeriodeDatumTijdVan],"&lt;="&amp;($A98+17/24),tData[SEHTrajectPeriodeDatumTijdTotEnMet],"&gt;"&amp;($A98+17/24),tData[Langligger01],1)</f>
        <v/>
      </c>
      <c r="V98" s="20">
        <f>COUNTIFS(tData[SEHTrajectPeriodeDatumTijdVan],"&lt;="&amp;($A98+18/24),tData[SEHTrajectPeriodeDatumTijdTotEnMet],"&gt;"&amp;($A98+18/24),tData[Langligger01],1)</f>
        <v/>
      </c>
      <c r="W98" s="20">
        <f>COUNTIFS(tData[SEHTrajectPeriodeDatumTijdVan],"&lt;="&amp;($A98+19/24),tData[SEHTrajectPeriodeDatumTijdTotEnMet],"&gt;"&amp;($A98+19/24),tData[Langligger01],1)</f>
        <v/>
      </c>
      <c r="X98" s="20">
        <f>COUNTIFS(tData[SEHTrajectPeriodeDatumTijdVan],"&lt;="&amp;($A98+20/24),tData[SEHTrajectPeriodeDatumTijdTotEnMet],"&gt;"&amp;($A98+20/24),tData[Langligger01],1)</f>
        <v/>
      </c>
      <c r="Y98" s="20">
        <f>COUNTIFS(tData[SEHTrajectPeriodeDatumTijdVan],"&lt;="&amp;($A98+21/24),tData[SEHTrajectPeriodeDatumTijdTotEnMet],"&gt;"&amp;($A98+21/24),tData[Langligger01],1)</f>
        <v/>
      </c>
      <c r="Z98" s="20">
        <f>COUNTIFS(tData[SEHTrajectPeriodeDatumTijdVan],"&lt;="&amp;($A98+22/24),tData[SEHTrajectPeriodeDatumTijdTotEnMet],"&gt;"&amp;($A98+22/24),tData[Langligger01],1)</f>
        <v/>
      </c>
      <c r="AA98" s="20">
        <f>COUNTIFS(tData[SEHTrajectPeriodeDatumTijdVan],"&lt;="&amp;($A98+23/24),tData[SEHTrajectPeriodeDatumTijdTotEnMet],"&gt;"&amp;($A98+23/24),tData[Langligger01],1)</f>
        <v/>
      </c>
    </row>
    <row r="99">
      <c r="A99" s="19" t="n">
        <v>45387</v>
      </c>
      <c r="B99" s="15">
        <f>WEEKDAY($A99,2)</f>
        <v/>
      </c>
      <c r="C99" s="15">
        <f>IF(AND($A99&gt;=INT(Instellingen!$B$5),$A99&lt;=INT(Instellingen!$B$6)),1,0)</f>
        <v/>
      </c>
      <c r="D99" s="20">
        <f>COUNTIFS(tData[SEHTrajectPeriodeDatumTijdVan],"&lt;="&amp;($A99+0/24),tData[SEHTrajectPeriodeDatumTijdTotEnMet],"&gt;"&amp;($A99+0/24),tData[Langligger01],1)</f>
        <v/>
      </c>
      <c r="E99" s="20">
        <f>COUNTIFS(tData[SEHTrajectPeriodeDatumTijdVan],"&lt;="&amp;($A99+1/24),tData[SEHTrajectPeriodeDatumTijdTotEnMet],"&gt;"&amp;($A99+1/24),tData[Langligger01],1)</f>
        <v/>
      </c>
      <c r="F99" s="20">
        <f>COUNTIFS(tData[SEHTrajectPeriodeDatumTijdVan],"&lt;="&amp;($A99+2/24),tData[SEHTrajectPeriodeDatumTijdTotEnMet],"&gt;"&amp;($A99+2/24),tData[Langligger01],1)</f>
        <v/>
      </c>
      <c r="G99" s="20">
        <f>COUNTIFS(tData[SEHTrajectPeriodeDatumTijdVan],"&lt;="&amp;($A99+3/24),tData[SEHTrajectPeriodeDatumTijdTotEnMet],"&gt;"&amp;($A99+3/24),tData[Langligger01],1)</f>
        <v/>
      </c>
      <c r="H99" s="20">
        <f>COUNTIFS(tData[SEHTrajectPeriodeDatumTijdVan],"&lt;="&amp;($A99+4/24),tData[SEHTrajectPeriodeDatumTijdTotEnMet],"&gt;"&amp;($A99+4/24),tData[Langligger01],1)</f>
        <v/>
      </c>
      <c r="I99" s="20">
        <f>COUNTIFS(tData[SEHTrajectPeriodeDatumTijdVan],"&lt;="&amp;($A99+5/24),tData[SEHTrajectPeriodeDatumTijdTotEnMet],"&gt;"&amp;($A99+5/24),tData[Langligger01],1)</f>
        <v/>
      </c>
      <c r="J99" s="20">
        <f>COUNTIFS(tData[SEHTrajectPeriodeDatumTijdVan],"&lt;="&amp;($A99+6/24),tData[SEHTrajectPeriodeDatumTijdTotEnMet],"&gt;"&amp;($A99+6/24),tData[Langligger01],1)</f>
        <v/>
      </c>
      <c r="K99" s="20">
        <f>COUNTIFS(tData[SEHTrajectPeriodeDatumTijdVan],"&lt;="&amp;($A99+7/24),tData[SEHTrajectPeriodeDatumTijdTotEnMet],"&gt;"&amp;($A99+7/24),tData[Langligger01],1)</f>
        <v/>
      </c>
      <c r="L99" s="20">
        <f>COUNTIFS(tData[SEHTrajectPeriodeDatumTijdVan],"&lt;="&amp;($A99+8/24),tData[SEHTrajectPeriodeDatumTijdTotEnMet],"&gt;"&amp;($A99+8/24),tData[Langligger01],1)</f>
        <v/>
      </c>
      <c r="M99" s="20">
        <f>COUNTIFS(tData[SEHTrajectPeriodeDatumTijdVan],"&lt;="&amp;($A99+9/24),tData[SEHTrajectPeriodeDatumTijdTotEnMet],"&gt;"&amp;($A99+9/24),tData[Langligger01],1)</f>
        <v/>
      </c>
      <c r="N99" s="20">
        <f>COUNTIFS(tData[SEHTrajectPeriodeDatumTijdVan],"&lt;="&amp;($A99+10/24),tData[SEHTrajectPeriodeDatumTijdTotEnMet],"&gt;"&amp;($A99+10/24),tData[Langligger01],1)</f>
        <v/>
      </c>
      <c r="O99" s="20">
        <f>COUNTIFS(tData[SEHTrajectPeriodeDatumTijdVan],"&lt;="&amp;($A99+11/24),tData[SEHTrajectPeriodeDatumTijdTotEnMet],"&gt;"&amp;($A99+11/24),tData[Langligger01],1)</f>
        <v/>
      </c>
      <c r="P99" s="20">
        <f>COUNTIFS(tData[SEHTrajectPeriodeDatumTijdVan],"&lt;="&amp;($A99+12/24),tData[SEHTrajectPeriodeDatumTijdTotEnMet],"&gt;"&amp;($A99+12/24),tData[Langligger01],1)</f>
        <v/>
      </c>
      <c r="Q99" s="20">
        <f>COUNTIFS(tData[SEHTrajectPeriodeDatumTijdVan],"&lt;="&amp;($A99+13/24),tData[SEHTrajectPeriodeDatumTijdTotEnMet],"&gt;"&amp;($A99+13/24),tData[Langligger01],1)</f>
        <v/>
      </c>
      <c r="R99" s="20">
        <f>COUNTIFS(tData[SEHTrajectPeriodeDatumTijdVan],"&lt;="&amp;($A99+14/24),tData[SEHTrajectPeriodeDatumTijdTotEnMet],"&gt;"&amp;($A99+14/24),tData[Langligger01],1)</f>
        <v/>
      </c>
      <c r="S99" s="20">
        <f>COUNTIFS(tData[SEHTrajectPeriodeDatumTijdVan],"&lt;="&amp;($A99+15/24),tData[SEHTrajectPeriodeDatumTijdTotEnMet],"&gt;"&amp;($A99+15/24),tData[Langligger01],1)</f>
        <v/>
      </c>
      <c r="T99" s="20">
        <f>COUNTIFS(tData[SEHTrajectPeriodeDatumTijdVan],"&lt;="&amp;($A99+16/24),tData[SEHTrajectPeriodeDatumTijdTotEnMet],"&gt;"&amp;($A99+16/24),tData[Langligger01],1)</f>
        <v/>
      </c>
      <c r="U99" s="20">
        <f>COUNTIFS(tData[SEHTrajectPeriodeDatumTijdVan],"&lt;="&amp;($A99+17/24),tData[SEHTrajectPeriodeDatumTijdTotEnMet],"&gt;"&amp;($A99+17/24),tData[Langligger01],1)</f>
        <v/>
      </c>
      <c r="V99" s="20">
        <f>COUNTIFS(tData[SEHTrajectPeriodeDatumTijdVan],"&lt;="&amp;($A99+18/24),tData[SEHTrajectPeriodeDatumTijdTotEnMet],"&gt;"&amp;($A99+18/24),tData[Langligger01],1)</f>
        <v/>
      </c>
      <c r="W99" s="20">
        <f>COUNTIFS(tData[SEHTrajectPeriodeDatumTijdVan],"&lt;="&amp;($A99+19/24),tData[SEHTrajectPeriodeDatumTijdTotEnMet],"&gt;"&amp;($A99+19/24),tData[Langligger01],1)</f>
        <v/>
      </c>
      <c r="X99" s="20">
        <f>COUNTIFS(tData[SEHTrajectPeriodeDatumTijdVan],"&lt;="&amp;($A99+20/24),tData[SEHTrajectPeriodeDatumTijdTotEnMet],"&gt;"&amp;($A99+20/24),tData[Langligger01],1)</f>
        <v/>
      </c>
      <c r="Y99" s="20">
        <f>COUNTIFS(tData[SEHTrajectPeriodeDatumTijdVan],"&lt;="&amp;($A99+21/24),tData[SEHTrajectPeriodeDatumTijdTotEnMet],"&gt;"&amp;($A99+21/24),tData[Langligger01],1)</f>
        <v/>
      </c>
      <c r="Z99" s="20">
        <f>COUNTIFS(tData[SEHTrajectPeriodeDatumTijdVan],"&lt;="&amp;($A99+22/24),tData[SEHTrajectPeriodeDatumTijdTotEnMet],"&gt;"&amp;($A99+22/24),tData[Langligger01],1)</f>
        <v/>
      </c>
      <c r="AA99" s="20">
        <f>COUNTIFS(tData[SEHTrajectPeriodeDatumTijdVan],"&lt;="&amp;($A99+23/24),tData[SEHTrajectPeriodeDatumTijdTotEnMet],"&gt;"&amp;($A99+23/24),tData[Langligger01],1)</f>
        <v/>
      </c>
    </row>
    <row r="100">
      <c r="A100" s="19" t="n">
        <v>45388</v>
      </c>
      <c r="B100" s="15">
        <f>WEEKDAY($A100,2)</f>
        <v/>
      </c>
      <c r="C100" s="15">
        <f>IF(AND($A100&gt;=INT(Instellingen!$B$5),$A100&lt;=INT(Instellingen!$B$6)),1,0)</f>
        <v/>
      </c>
      <c r="D100" s="20">
        <f>COUNTIFS(tData[SEHTrajectPeriodeDatumTijdVan],"&lt;="&amp;($A100+0/24),tData[SEHTrajectPeriodeDatumTijdTotEnMet],"&gt;"&amp;($A100+0/24),tData[Langligger01],1)</f>
        <v/>
      </c>
      <c r="E100" s="20">
        <f>COUNTIFS(tData[SEHTrajectPeriodeDatumTijdVan],"&lt;="&amp;($A100+1/24),tData[SEHTrajectPeriodeDatumTijdTotEnMet],"&gt;"&amp;($A100+1/24),tData[Langligger01],1)</f>
        <v/>
      </c>
      <c r="F100" s="20">
        <f>COUNTIFS(tData[SEHTrajectPeriodeDatumTijdVan],"&lt;="&amp;($A100+2/24),tData[SEHTrajectPeriodeDatumTijdTotEnMet],"&gt;"&amp;($A100+2/24),tData[Langligger01],1)</f>
        <v/>
      </c>
      <c r="G100" s="20">
        <f>COUNTIFS(tData[SEHTrajectPeriodeDatumTijdVan],"&lt;="&amp;($A100+3/24),tData[SEHTrajectPeriodeDatumTijdTotEnMet],"&gt;"&amp;($A100+3/24),tData[Langligger01],1)</f>
        <v/>
      </c>
      <c r="H100" s="20">
        <f>COUNTIFS(tData[SEHTrajectPeriodeDatumTijdVan],"&lt;="&amp;($A100+4/24),tData[SEHTrajectPeriodeDatumTijdTotEnMet],"&gt;"&amp;($A100+4/24),tData[Langligger01],1)</f>
        <v/>
      </c>
      <c r="I100" s="20">
        <f>COUNTIFS(tData[SEHTrajectPeriodeDatumTijdVan],"&lt;="&amp;($A100+5/24),tData[SEHTrajectPeriodeDatumTijdTotEnMet],"&gt;"&amp;($A100+5/24),tData[Langligger01],1)</f>
        <v/>
      </c>
      <c r="J100" s="20">
        <f>COUNTIFS(tData[SEHTrajectPeriodeDatumTijdVan],"&lt;="&amp;($A100+6/24),tData[SEHTrajectPeriodeDatumTijdTotEnMet],"&gt;"&amp;($A100+6/24),tData[Langligger01],1)</f>
        <v/>
      </c>
      <c r="K100" s="20">
        <f>COUNTIFS(tData[SEHTrajectPeriodeDatumTijdVan],"&lt;="&amp;($A100+7/24),tData[SEHTrajectPeriodeDatumTijdTotEnMet],"&gt;"&amp;($A100+7/24),tData[Langligger01],1)</f>
        <v/>
      </c>
      <c r="L100" s="20">
        <f>COUNTIFS(tData[SEHTrajectPeriodeDatumTijdVan],"&lt;="&amp;($A100+8/24),tData[SEHTrajectPeriodeDatumTijdTotEnMet],"&gt;"&amp;($A100+8/24),tData[Langligger01],1)</f>
        <v/>
      </c>
      <c r="M100" s="20">
        <f>COUNTIFS(tData[SEHTrajectPeriodeDatumTijdVan],"&lt;="&amp;($A100+9/24),tData[SEHTrajectPeriodeDatumTijdTotEnMet],"&gt;"&amp;($A100+9/24),tData[Langligger01],1)</f>
        <v/>
      </c>
      <c r="N100" s="20">
        <f>COUNTIFS(tData[SEHTrajectPeriodeDatumTijdVan],"&lt;="&amp;($A100+10/24),tData[SEHTrajectPeriodeDatumTijdTotEnMet],"&gt;"&amp;($A100+10/24),tData[Langligger01],1)</f>
        <v/>
      </c>
      <c r="O100" s="20">
        <f>COUNTIFS(tData[SEHTrajectPeriodeDatumTijdVan],"&lt;="&amp;($A100+11/24),tData[SEHTrajectPeriodeDatumTijdTotEnMet],"&gt;"&amp;($A100+11/24),tData[Langligger01],1)</f>
        <v/>
      </c>
      <c r="P100" s="20">
        <f>COUNTIFS(tData[SEHTrajectPeriodeDatumTijdVan],"&lt;="&amp;($A100+12/24),tData[SEHTrajectPeriodeDatumTijdTotEnMet],"&gt;"&amp;($A100+12/24),tData[Langligger01],1)</f>
        <v/>
      </c>
      <c r="Q100" s="20">
        <f>COUNTIFS(tData[SEHTrajectPeriodeDatumTijdVan],"&lt;="&amp;($A100+13/24),tData[SEHTrajectPeriodeDatumTijdTotEnMet],"&gt;"&amp;($A100+13/24),tData[Langligger01],1)</f>
        <v/>
      </c>
      <c r="R100" s="20">
        <f>COUNTIFS(tData[SEHTrajectPeriodeDatumTijdVan],"&lt;="&amp;($A100+14/24),tData[SEHTrajectPeriodeDatumTijdTotEnMet],"&gt;"&amp;($A100+14/24),tData[Langligger01],1)</f>
        <v/>
      </c>
      <c r="S100" s="20">
        <f>COUNTIFS(tData[SEHTrajectPeriodeDatumTijdVan],"&lt;="&amp;($A100+15/24),tData[SEHTrajectPeriodeDatumTijdTotEnMet],"&gt;"&amp;($A100+15/24),tData[Langligger01],1)</f>
        <v/>
      </c>
      <c r="T100" s="20">
        <f>COUNTIFS(tData[SEHTrajectPeriodeDatumTijdVan],"&lt;="&amp;($A100+16/24),tData[SEHTrajectPeriodeDatumTijdTotEnMet],"&gt;"&amp;($A100+16/24),tData[Langligger01],1)</f>
        <v/>
      </c>
      <c r="U100" s="20">
        <f>COUNTIFS(tData[SEHTrajectPeriodeDatumTijdVan],"&lt;="&amp;($A100+17/24),tData[SEHTrajectPeriodeDatumTijdTotEnMet],"&gt;"&amp;($A100+17/24),tData[Langligger01],1)</f>
        <v/>
      </c>
      <c r="V100" s="20">
        <f>COUNTIFS(tData[SEHTrajectPeriodeDatumTijdVan],"&lt;="&amp;($A100+18/24),tData[SEHTrajectPeriodeDatumTijdTotEnMet],"&gt;"&amp;($A100+18/24),tData[Langligger01],1)</f>
        <v/>
      </c>
      <c r="W100" s="20">
        <f>COUNTIFS(tData[SEHTrajectPeriodeDatumTijdVan],"&lt;="&amp;($A100+19/24),tData[SEHTrajectPeriodeDatumTijdTotEnMet],"&gt;"&amp;($A100+19/24),tData[Langligger01],1)</f>
        <v/>
      </c>
      <c r="X100" s="20">
        <f>COUNTIFS(tData[SEHTrajectPeriodeDatumTijdVan],"&lt;="&amp;($A100+20/24),tData[SEHTrajectPeriodeDatumTijdTotEnMet],"&gt;"&amp;($A100+20/24),tData[Langligger01],1)</f>
        <v/>
      </c>
      <c r="Y100" s="20">
        <f>COUNTIFS(tData[SEHTrajectPeriodeDatumTijdVan],"&lt;="&amp;($A100+21/24),tData[SEHTrajectPeriodeDatumTijdTotEnMet],"&gt;"&amp;($A100+21/24),tData[Langligger01],1)</f>
        <v/>
      </c>
      <c r="Z100" s="20">
        <f>COUNTIFS(tData[SEHTrajectPeriodeDatumTijdVan],"&lt;="&amp;($A100+22/24),tData[SEHTrajectPeriodeDatumTijdTotEnMet],"&gt;"&amp;($A100+22/24),tData[Langligger01],1)</f>
        <v/>
      </c>
      <c r="AA100" s="20">
        <f>COUNTIFS(tData[SEHTrajectPeriodeDatumTijdVan],"&lt;="&amp;($A100+23/24),tData[SEHTrajectPeriodeDatumTijdTotEnMet],"&gt;"&amp;($A100+23/24),tData[Langligger01],1)</f>
        <v/>
      </c>
    </row>
    <row r="101">
      <c r="A101" s="19" t="n">
        <v>45389</v>
      </c>
      <c r="B101" s="15">
        <f>WEEKDAY($A101,2)</f>
        <v/>
      </c>
      <c r="C101" s="15">
        <f>IF(AND($A101&gt;=INT(Instellingen!$B$5),$A101&lt;=INT(Instellingen!$B$6)),1,0)</f>
        <v/>
      </c>
      <c r="D101" s="20">
        <f>COUNTIFS(tData[SEHTrajectPeriodeDatumTijdVan],"&lt;="&amp;($A101+0/24),tData[SEHTrajectPeriodeDatumTijdTotEnMet],"&gt;"&amp;($A101+0/24),tData[Langligger01],1)</f>
        <v/>
      </c>
      <c r="E101" s="20">
        <f>COUNTIFS(tData[SEHTrajectPeriodeDatumTijdVan],"&lt;="&amp;($A101+1/24),tData[SEHTrajectPeriodeDatumTijdTotEnMet],"&gt;"&amp;($A101+1/24),tData[Langligger01],1)</f>
        <v/>
      </c>
      <c r="F101" s="20">
        <f>COUNTIFS(tData[SEHTrajectPeriodeDatumTijdVan],"&lt;="&amp;($A101+2/24),tData[SEHTrajectPeriodeDatumTijdTotEnMet],"&gt;"&amp;($A101+2/24),tData[Langligger01],1)</f>
        <v/>
      </c>
      <c r="G101" s="20">
        <f>COUNTIFS(tData[SEHTrajectPeriodeDatumTijdVan],"&lt;="&amp;($A101+3/24),tData[SEHTrajectPeriodeDatumTijdTotEnMet],"&gt;"&amp;($A101+3/24),tData[Langligger01],1)</f>
        <v/>
      </c>
      <c r="H101" s="20">
        <f>COUNTIFS(tData[SEHTrajectPeriodeDatumTijdVan],"&lt;="&amp;($A101+4/24),tData[SEHTrajectPeriodeDatumTijdTotEnMet],"&gt;"&amp;($A101+4/24),tData[Langligger01],1)</f>
        <v/>
      </c>
      <c r="I101" s="20">
        <f>COUNTIFS(tData[SEHTrajectPeriodeDatumTijdVan],"&lt;="&amp;($A101+5/24),tData[SEHTrajectPeriodeDatumTijdTotEnMet],"&gt;"&amp;($A101+5/24),tData[Langligger01],1)</f>
        <v/>
      </c>
      <c r="J101" s="20">
        <f>COUNTIFS(tData[SEHTrajectPeriodeDatumTijdVan],"&lt;="&amp;($A101+6/24),tData[SEHTrajectPeriodeDatumTijdTotEnMet],"&gt;"&amp;($A101+6/24),tData[Langligger01],1)</f>
        <v/>
      </c>
      <c r="K101" s="20">
        <f>COUNTIFS(tData[SEHTrajectPeriodeDatumTijdVan],"&lt;="&amp;($A101+7/24),tData[SEHTrajectPeriodeDatumTijdTotEnMet],"&gt;"&amp;($A101+7/24),tData[Langligger01],1)</f>
        <v/>
      </c>
      <c r="L101" s="20">
        <f>COUNTIFS(tData[SEHTrajectPeriodeDatumTijdVan],"&lt;="&amp;($A101+8/24),tData[SEHTrajectPeriodeDatumTijdTotEnMet],"&gt;"&amp;($A101+8/24),tData[Langligger01],1)</f>
        <v/>
      </c>
      <c r="M101" s="20">
        <f>COUNTIFS(tData[SEHTrajectPeriodeDatumTijdVan],"&lt;="&amp;($A101+9/24),tData[SEHTrajectPeriodeDatumTijdTotEnMet],"&gt;"&amp;($A101+9/24),tData[Langligger01],1)</f>
        <v/>
      </c>
      <c r="N101" s="20">
        <f>COUNTIFS(tData[SEHTrajectPeriodeDatumTijdVan],"&lt;="&amp;($A101+10/24),tData[SEHTrajectPeriodeDatumTijdTotEnMet],"&gt;"&amp;($A101+10/24),tData[Langligger01],1)</f>
        <v/>
      </c>
      <c r="O101" s="20">
        <f>COUNTIFS(tData[SEHTrajectPeriodeDatumTijdVan],"&lt;="&amp;($A101+11/24),tData[SEHTrajectPeriodeDatumTijdTotEnMet],"&gt;"&amp;($A101+11/24),tData[Langligger01],1)</f>
        <v/>
      </c>
      <c r="P101" s="20">
        <f>COUNTIFS(tData[SEHTrajectPeriodeDatumTijdVan],"&lt;="&amp;($A101+12/24),tData[SEHTrajectPeriodeDatumTijdTotEnMet],"&gt;"&amp;($A101+12/24),tData[Langligger01],1)</f>
        <v/>
      </c>
      <c r="Q101" s="20">
        <f>COUNTIFS(tData[SEHTrajectPeriodeDatumTijdVan],"&lt;="&amp;($A101+13/24),tData[SEHTrajectPeriodeDatumTijdTotEnMet],"&gt;"&amp;($A101+13/24),tData[Langligger01],1)</f>
        <v/>
      </c>
      <c r="R101" s="20">
        <f>COUNTIFS(tData[SEHTrajectPeriodeDatumTijdVan],"&lt;="&amp;($A101+14/24),tData[SEHTrajectPeriodeDatumTijdTotEnMet],"&gt;"&amp;($A101+14/24),tData[Langligger01],1)</f>
        <v/>
      </c>
      <c r="S101" s="20">
        <f>COUNTIFS(tData[SEHTrajectPeriodeDatumTijdVan],"&lt;="&amp;($A101+15/24),tData[SEHTrajectPeriodeDatumTijdTotEnMet],"&gt;"&amp;($A101+15/24),tData[Langligger01],1)</f>
        <v/>
      </c>
      <c r="T101" s="20">
        <f>COUNTIFS(tData[SEHTrajectPeriodeDatumTijdVan],"&lt;="&amp;($A101+16/24),tData[SEHTrajectPeriodeDatumTijdTotEnMet],"&gt;"&amp;($A101+16/24),tData[Langligger01],1)</f>
        <v/>
      </c>
      <c r="U101" s="20">
        <f>COUNTIFS(tData[SEHTrajectPeriodeDatumTijdVan],"&lt;="&amp;($A101+17/24),tData[SEHTrajectPeriodeDatumTijdTotEnMet],"&gt;"&amp;($A101+17/24),tData[Langligger01],1)</f>
        <v/>
      </c>
      <c r="V101" s="20">
        <f>COUNTIFS(tData[SEHTrajectPeriodeDatumTijdVan],"&lt;="&amp;($A101+18/24),tData[SEHTrajectPeriodeDatumTijdTotEnMet],"&gt;"&amp;($A101+18/24),tData[Langligger01],1)</f>
        <v/>
      </c>
      <c r="W101" s="20">
        <f>COUNTIFS(tData[SEHTrajectPeriodeDatumTijdVan],"&lt;="&amp;($A101+19/24),tData[SEHTrajectPeriodeDatumTijdTotEnMet],"&gt;"&amp;($A101+19/24),tData[Langligger01],1)</f>
        <v/>
      </c>
      <c r="X101" s="20">
        <f>COUNTIFS(tData[SEHTrajectPeriodeDatumTijdVan],"&lt;="&amp;($A101+20/24),tData[SEHTrajectPeriodeDatumTijdTotEnMet],"&gt;"&amp;($A101+20/24),tData[Langligger01],1)</f>
        <v/>
      </c>
      <c r="Y101" s="20">
        <f>COUNTIFS(tData[SEHTrajectPeriodeDatumTijdVan],"&lt;="&amp;($A101+21/24),tData[SEHTrajectPeriodeDatumTijdTotEnMet],"&gt;"&amp;($A101+21/24),tData[Langligger01],1)</f>
        <v/>
      </c>
      <c r="Z101" s="20">
        <f>COUNTIFS(tData[SEHTrajectPeriodeDatumTijdVan],"&lt;="&amp;($A101+22/24),tData[SEHTrajectPeriodeDatumTijdTotEnMet],"&gt;"&amp;($A101+22/24),tData[Langligger01],1)</f>
        <v/>
      </c>
      <c r="AA101" s="20">
        <f>COUNTIFS(tData[SEHTrajectPeriodeDatumTijdVan],"&lt;="&amp;($A101+23/24),tData[SEHTrajectPeriodeDatumTijdTotEnMet],"&gt;"&amp;($A101+23/24),tData[Langligger01],1)</f>
        <v/>
      </c>
    </row>
    <row r="102">
      <c r="A102" s="19" t="n">
        <v>45390</v>
      </c>
      <c r="B102" s="15">
        <f>WEEKDAY($A102,2)</f>
        <v/>
      </c>
      <c r="C102" s="15">
        <f>IF(AND($A102&gt;=INT(Instellingen!$B$5),$A102&lt;=INT(Instellingen!$B$6)),1,0)</f>
        <v/>
      </c>
      <c r="D102" s="20">
        <f>COUNTIFS(tData[SEHTrajectPeriodeDatumTijdVan],"&lt;="&amp;($A102+0/24),tData[SEHTrajectPeriodeDatumTijdTotEnMet],"&gt;"&amp;($A102+0/24),tData[Langligger01],1)</f>
        <v/>
      </c>
      <c r="E102" s="20">
        <f>COUNTIFS(tData[SEHTrajectPeriodeDatumTijdVan],"&lt;="&amp;($A102+1/24),tData[SEHTrajectPeriodeDatumTijdTotEnMet],"&gt;"&amp;($A102+1/24),tData[Langligger01],1)</f>
        <v/>
      </c>
      <c r="F102" s="20">
        <f>COUNTIFS(tData[SEHTrajectPeriodeDatumTijdVan],"&lt;="&amp;($A102+2/24),tData[SEHTrajectPeriodeDatumTijdTotEnMet],"&gt;"&amp;($A102+2/24),tData[Langligger01],1)</f>
        <v/>
      </c>
      <c r="G102" s="20">
        <f>COUNTIFS(tData[SEHTrajectPeriodeDatumTijdVan],"&lt;="&amp;($A102+3/24),tData[SEHTrajectPeriodeDatumTijdTotEnMet],"&gt;"&amp;($A102+3/24),tData[Langligger01],1)</f>
        <v/>
      </c>
      <c r="H102" s="20">
        <f>COUNTIFS(tData[SEHTrajectPeriodeDatumTijdVan],"&lt;="&amp;($A102+4/24),tData[SEHTrajectPeriodeDatumTijdTotEnMet],"&gt;"&amp;($A102+4/24),tData[Langligger01],1)</f>
        <v/>
      </c>
      <c r="I102" s="20">
        <f>COUNTIFS(tData[SEHTrajectPeriodeDatumTijdVan],"&lt;="&amp;($A102+5/24),tData[SEHTrajectPeriodeDatumTijdTotEnMet],"&gt;"&amp;($A102+5/24),tData[Langligger01],1)</f>
        <v/>
      </c>
      <c r="J102" s="20">
        <f>COUNTIFS(tData[SEHTrajectPeriodeDatumTijdVan],"&lt;="&amp;($A102+6/24),tData[SEHTrajectPeriodeDatumTijdTotEnMet],"&gt;"&amp;($A102+6/24),tData[Langligger01],1)</f>
        <v/>
      </c>
      <c r="K102" s="20">
        <f>COUNTIFS(tData[SEHTrajectPeriodeDatumTijdVan],"&lt;="&amp;($A102+7/24),tData[SEHTrajectPeriodeDatumTijdTotEnMet],"&gt;"&amp;($A102+7/24),tData[Langligger01],1)</f>
        <v/>
      </c>
      <c r="L102" s="20">
        <f>COUNTIFS(tData[SEHTrajectPeriodeDatumTijdVan],"&lt;="&amp;($A102+8/24),tData[SEHTrajectPeriodeDatumTijdTotEnMet],"&gt;"&amp;($A102+8/24),tData[Langligger01],1)</f>
        <v/>
      </c>
      <c r="M102" s="20">
        <f>COUNTIFS(tData[SEHTrajectPeriodeDatumTijdVan],"&lt;="&amp;($A102+9/24),tData[SEHTrajectPeriodeDatumTijdTotEnMet],"&gt;"&amp;($A102+9/24),tData[Langligger01],1)</f>
        <v/>
      </c>
      <c r="N102" s="20">
        <f>COUNTIFS(tData[SEHTrajectPeriodeDatumTijdVan],"&lt;="&amp;($A102+10/24),tData[SEHTrajectPeriodeDatumTijdTotEnMet],"&gt;"&amp;($A102+10/24),tData[Langligger01],1)</f>
        <v/>
      </c>
      <c r="O102" s="20">
        <f>COUNTIFS(tData[SEHTrajectPeriodeDatumTijdVan],"&lt;="&amp;($A102+11/24),tData[SEHTrajectPeriodeDatumTijdTotEnMet],"&gt;"&amp;($A102+11/24),tData[Langligger01],1)</f>
        <v/>
      </c>
      <c r="P102" s="20">
        <f>COUNTIFS(tData[SEHTrajectPeriodeDatumTijdVan],"&lt;="&amp;($A102+12/24),tData[SEHTrajectPeriodeDatumTijdTotEnMet],"&gt;"&amp;($A102+12/24),tData[Langligger01],1)</f>
        <v/>
      </c>
      <c r="Q102" s="20">
        <f>COUNTIFS(tData[SEHTrajectPeriodeDatumTijdVan],"&lt;="&amp;($A102+13/24),tData[SEHTrajectPeriodeDatumTijdTotEnMet],"&gt;"&amp;($A102+13/24),tData[Langligger01],1)</f>
        <v/>
      </c>
      <c r="R102" s="20">
        <f>COUNTIFS(tData[SEHTrajectPeriodeDatumTijdVan],"&lt;="&amp;($A102+14/24),tData[SEHTrajectPeriodeDatumTijdTotEnMet],"&gt;"&amp;($A102+14/24),tData[Langligger01],1)</f>
        <v/>
      </c>
      <c r="S102" s="20">
        <f>COUNTIFS(tData[SEHTrajectPeriodeDatumTijdVan],"&lt;="&amp;($A102+15/24),tData[SEHTrajectPeriodeDatumTijdTotEnMet],"&gt;"&amp;($A102+15/24),tData[Langligger01],1)</f>
        <v/>
      </c>
      <c r="T102" s="20">
        <f>COUNTIFS(tData[SEHTrajectPeriodeDatumTijdVan],"&lt;="&amp;($A102+16/24),tData[SEHTrajectPeriodeDatumTijdTotEnMet],"&gt;"&amp;($A102+16/24),tData[Langligger01],1)</f>
        <v/>
      </c>
      <c r="U102" s="20">
        <f>COUNTIFS(tData[SEHTrajectPeriodeDatumTijdVan],"&lt;="&amp;($A102+17/24),tData[SEHTrajectPeriodeDatumTijdTotEnMet],"&gt;"&amp;($A102+17/24),tData[Langligger01],1)</f>
        <v/>
      </c>
      <c r="V102" s="20">
        <f>COUNTIFS(tData[SEHTrajectPeriodeDatumTijdVan],"&lt;="&amp;($A102+18/24),tData[SEHTrajectPeriodeDatumTijdTotEnMet],"&gt;"&amp;($A102+18/24),tData[Langligger01],1)</f>
        <v/>
      </c>
      <c r="W102" s="20">
        <f>COUNTIFS(tData[SEHTrajectPeriodeDatumTijdVan],"&lt;="&amp;($A102+19/24),tData[SEHTrajectPeriodeDatumTijdTotEnMet],"&gt;"&amp;($A102+19/24),tData[Langligger01],1)</f>
        <v/>
      </c>
      <c r="X102" s="20">
        <f>COUNTIFS(tData[SEHTrajectPeriodeDatumTijdVan],"&lt;="&amp;($A102+20/24),tData[SEHTrajectPeriodeDatumTijdTotEnMet],"&gt;"&amp;($A102+20/24),tData[Langligger01],1)</f>
        <v/>
      </c>
      <c r="Y102" s="20">
        <f>COUNTIFS(tData[SEHTrajectPeriodeDatumTijdVan],"&lt;="&amp;($A102+21/24),tData[SEHTrajectPeriodeDatumTijdTotEnMet],"&gt;"&amp;($A102+21/24),tData[Langligger01],1)</f>
        <v/>
      </c>
      <c r="Z102" s="20">
        <f>COUNTIFS(tData[SEHTrajectPeriodeDatumTijdVan],"&lt;="&amp;($A102+22/24),tData[SEHTrajectPeriodeDatumTijdTotEnMet],"&gt;"&amp;($A102+22/24),tData[Langligger01],1)</f>
        <v/>
      </c>
      <c r="AA102" s="20">
        <f>COUNTIFS(tData[SEHTrajectPeriodeDatumTijdVan],"&lt;="&amp;($A102+23/24),tData[SEHTrajectPeriodeDatumTijdTotEnMet],"&gt;"&amp;($A102+23/24),tData[Langligger01],1)</f>
        <v/>
      </c>
    </row>
    <row r="103">
      <c r="A103" s="19" t="n">
        <v>45391</v>
      </c>
      <c r="B103" s="15">
        <f>WEEKDAY($A103,2)</f>
        <v/>
      </c>
      <c r="C103" s="15">
        <f>IF(AND($A103&gt;=INT(Instellingen!$B$5),$A103&lt;=INT(Instellingen!$B$6)),1,0)</f>
        <v/>
      </c>
      <c r="D103" s="20">
        <f>COUNTIFS(tData[SEHTrajectPeriodeDatumTijdVan],"&lt;="&amp;($A103+0/24),tData[SEHTrajectPeriodeDatumTijdTotEnMet],"&gt;"&amp;($A103+0/24),tData[Langligger01],1)</f>
        <v/>
      </c>
      <c r="E103" s="20">
        <f>COUNTIFS(tData[SEHTrajectPeriodeDatumTijdVan],"&lt;="&amp;($A103+1/24),tData[SEHTrajectPeriodeDatumTijdTotEnMet],"&gt;"&amp;($A103+1/24),tData[Langligger01],1)</f>
        <v/>
      </c>
      <c r="F103" s="20">
        <f>COUNTIFS(tData[SEHTrajectPeriodeDatumTijdVan],"&lt;="&amp;($A103+2/24),tData[SEHTrajectPeriodeDatumTijdTotEnMet],"&gt;"&amp;($A103+2/24),tData[Langligger01],1)</f>
        <v/>
      </c>
      <c r="G103" s="20">
        <f>COUNTIFS(tData[SEHTrajectPeriodeDatumTijdVan],"&lt;="&amp;($A103+3/24),tData[SEHTrajectPeriodeDatumTijdTotEnMet],"&gt;"&amp;($A103+3/24),tData[Langligger01],1)</f>
        <v/>
      </c>
      <c r="H103" s="20">
        <f>COUNTIFS(tData[SEHTrajectPeriodeDatumTijdVan],"&lt;="&amp;($A103+4/24),tData[SEHTrajectPeriodeDatumTijdTotEnMet],"&gt;"&amp;($A103+4/24),tData[Langligger01],1)</f>
        <v/>
      </c>
      <c r="I103" s="20">
        <f>COUNTIFS(tData[SEHTrajectPeriodeDatumTijdVan],"&lt;="&amp;($A103+5/24),tData[SEHTrajectPeriodeDatumTijdTotEnMet],"&gt;"&amp;($A103+5/24),tData[Langligger01],1)</f>
        <v/>
      </c>
      <c r="J103" s="20">
        <f>COUNTIFS(tData[SEHTrajectPeriodeDatumTijdVan],"&lt;="&amp;($A103+6/24),tData[SEHTrajectPeriodeDatumTijdTotEnMet],"&gt;"&amp;($A103+6/24),tData[Langligger01],1)</f>
        <v/>
      </c>
      <c r="K103" s="20">
        <f>COUNTIFS(tData[SEHTrajectPeriodeDatumTijdVan],"&lt;="&amp;($A103+7/24),tData[SEHTrajectPeriodeDatumTijdTotEnMet],"&gt;"&amp;($A103+7/24),tData[Langligger01],1)</f>
        <v/>
      </c>
      <c r="L103" s="20">
        <f>COUNTIFS(tData[SEHTrajectPeriodeDatumTijdVan],"&lt;="&amp;($A103+8/24),tData[SEHTrajectPeriodeDatumTijdTotEnMet],"&gt;"&amp;($A103+8/24),tData[Langligger01],1)</f>
        <v/>
      </c>
      <c r="M103" s="20">
        <f>COUNTIFS(tData[SEHTrajectPeriodeDatumTijdVan],"&lt;="&amp;($A103+9/24),tData[SEHTrajectPeriodeDatumTijdTotEnMet],"&gt;"&amp;($A103+9/24),tData[Langligger01],1)</f>
        <v/>
      </c>
      <c r="N103" s="20">
        <f>COUNTIFS(tData[SEHTrajectPeriodeDatumTijdVan],"&lt;="&amp;($A103+10/24),tData[SEHTrajectPeriodeDatumTijdTotEnMet],"&gt;"&amp;($A103+10/24),tData[Langligger01],1)</f>
        <v/>
      </c>
      <c r="O103" s="20">
        <f>COUNTIFS(tData[SEHTrajectPeriodeDatumTijdVan],"&lt;="&amp;($A103+11/24),tData[SEHTrajectPeriodeDatumTijdTotEnMet],"&gt;"&amp;($A103+11/24),tData[Langligger01],1)</f>
        <v/>
      </c>
      <c r="P103" s="20">
        <f>COUNTIFS(tData[SEHTrajectPeriodeDatumTijdVan],"&lt;="&amp;($A103+12/24),tData[SEHTrajectPeriodeDatumTijdTotEnMet],"&gt;"&amp;($A103+12/24),tData[Langligger01],1)</f>
        <v/>
      </c>
      <c r="Q103" s="20">
        <f>COUNTIFS(tData[SEHTrajectPeriodeDatumTijdVan],"&lt;="&amp;($A103+13/24),tData[SEHTrajectPeriodeDatumTijdTotEnMet],"&gt;"&amp;($A103+13/24),tData[Langligger01],1)</f>
        <v/>
      </c>
      <c r="R103" s="20">
        <f>COUNTIFS(tData[SEHTrajectPeriodeDatumTijdVan],"&lt;="&amp;($A103+14/24),tData[SEHTrajectPeriodeDatumTijdTotEnMet],"&gt;"&amp;($A103+14/24),tData[Langligger01],1)</f>
        <v/>
      </c>
      <c r="S103" s="20">
        <f>COUNTIFS(tData[SEHTrajectPeriodeDatumTijdVan],"&lt;="&amp;($A103+15/24),tData[SEHTrajectPeriodeDatumTijdTotEnMet],"&gt;"&amp;($A103+15/24),tData[Langligger01],1)</f>
        <v/>
      </c>
      <c r="T103" s="20">
        <f>COUNTIFS(tData[SEHTrajectPeriodeDatumTijdVan],"&lt;="&amp;($A103+16/24),tData[SEHTrajectPeriodeDatumTijdTotEnMet],"&gt;"&amp;($A103+16/24),tData[Langligger01],1)</f>
        <v/>
      </c>
      <c r="U103" s="20">
        <f>COUNTIFS(tData[SEHTrajectPeriodeDatumTijdVan],"&lt;="&amp;($A103+17/24),tData[SEHTrajectPeriodeDatumTijdTotEnMet],"&gt;"&amp;($A103+17/24),tData[Langligger01],1)</f>
        <v/>
      </c>
      <c r="V103" s="20">
        <f>COUNTIFS(tData[SEHTrajectPeriodeDatumTijdVan],"&lt;="&amp;($A103+18/24),tData[SEHTrajectPeriodeDatumTijdTotEnMet],"&gt;"&amp;($A103+18/24),tData[Langligger01],1)</f>
        <v/>
      </c>
      <c r="W103" s="20">
        <f>COUNTIFS(tData[SEHTrajectPeriodeDatumTijdVan],"&lt;="&amp;($A103+19/24),tData[SEHTrajectPeriodeDatumTijdTotEnMet],"&gt;"&amp;($A103+19/24),tData[Langligger01],1)</f>
        <v/>
      </c>
      <c r="X103" s="20">
        <f>COUNTIFS(tData[SEHTrajectPeriodeDatumTijdVan],"&lt;="&amp;($A103+20/24),tData[SEHTrajectPeriodeDatumTijdTotEnMet],"&gt;"&amp;($A103+20/24),tData[Langligger01],1)</f>
        <v/>
      </c>
      <c r="Y103" s="20">
        <f>COUNTIFS(tData[SEHTrajectPeriodeDatumTijdVan],"&lt;="&amp;($A103+21/24),tData[SEHTrajectPeriodeDatumTijdTotEnMet],"&gt;"&amp;($A103+21/24),tData[Langligger01],1)</f>
        <v/>
      </c>
      <c r="Z103" s="20">
        <f>COUNTIFS(tData[SEHTrajectPeriodeDatumTijdVan],"&lt;="&amp;($A103+22/24),tData[SEHTrajectPeriodeDatumTijdTotEnMet],"&gt;"&amp;($A103+22/24),tData[Langligger01],1)</f>
        <v/>
      </c>
      <c r="AA103" s="20">
        <f>COUNTIFS(tData[SEHTrajectPeriodeDatumTijdVan],"&lt;="&amp;($A103+23/24),tData[SEHTrajectPeriodeDatumTijdTotEnMet],"&gt;"&amp;($A103+23/24),tData[Langligger01],1)</f>
        <v/>
      </c>
    </row>
    <row r="104">
      <c r="A104" s="19" t="n">
        <v>45392</v>
      </c>
      <c r="B104" s="15">
        <f>WEEKDAY($A104,2)</f>
        <v/>
      </c>
      <c r="C104" s="15">
        <f>IF(AND($A104&gt;=INT(Instellingen!$B$5),$A104&lt;=INT(Instellingen!$B$6)),1,0)</f>
        <v/>
      </c>
      <c r="D104" s="20">
        <f>COUNTIFS(tData[SEHTrajectPeriodeDatumTijdVan],"&lt;="&amp;($A104+0/24),tData[SEHTrajectPeriodeDatumTijdTotEnMet],"&gt;"&amp;($A104+0/24),tData[Langligger01],1)</f>
        <v/>
      </c>
      <c r="E104" s="20">
        <f>COUNTIFS(tData[SEHTrajectPeriodeDatumTijdVan],"&lt;="&amp;($A104+1/24),tData[SEHTrajectPeriodeDatumTijdTotEnMet],"&gt;"&amp;($A104+1/24),tData[Langligger01],1)</f>
        <v/>
      </c>
      <c r="F104" s="20">
        <f>COUNTIFS(tData[SEHTrajectPeriodeDatumTijdVan],"&lt;="&amp;($A104+2/24),tData[SEHTrajectPeriodeDatumTijdTotEnMet],"&gt;"&amp;($A104+2/24),tData[Langligger01],1)</f>
        <v/>
      </c>
      <c r="G104" s="20">
        <f>COUNTIFS(tData[SEHTrajectPeriodeDatumTijdVan],"&lt;="&amp;($A104+3/24),tData[SEHTrajectPeriodeDatumTijdTotEnMet],"&gt;"&amp;($A104+3/24),tData[Langligger01],1)</f>
        <v/>
      </c>
      <c r="H104" s="20">
        <f>COUNTIFS(tData[SEHTrajectPeriodeDatumTijdVan],"&lt;="&amp;($A104+4/24),tData[SEHTrajectPeriodeDatumTijdTotEnMet],"&gt;"&amp;($A104+4/24),tData[Langligger01],1)</f>
        <v/>
      </c>
      <c r="I104" s="20">
        <f>COUNTIFS(tData[SEHTrajectPeriodeDatumTijdVan],"&lt;="&amp;($A104+5/24),tData[SEHTrajectPeriodeDatumTijdTotEnMet],"&gt;"&amp;($A104+5/24),tData[Langligger01],1)</f>
        <v/>
      </c>
      <c r="J104" s="20">
        <f>COUNTIFS(tData[SEHTrajectPeriodeDatumTijdVan],"&lt;="&amp;($A104+6/24),tData[SEHTrajectPeriodeDatumTijdTotEnMet],"&gt;"&amp;($A104+6/24),tData[Langligger01],1)</f>
        <v/>
      </c>
      <c r="K104" s="20">
        <f>COUNTIFS(tData[SEHTrajectPeriodeDatumTijdVan],"&lt;="&amp;($A104+7/24),tData[SEHTrajectPeriodeDatumTijdTotEnMet],"&gt;"&amp;($A104+7/24),tData[Langligger01],1)</f>
        <v/>
      </c>
      <c r="L104" s="20">
        <f>COUNTIFS(tData[SEHTrajectPeriodeDatumTijdVan],"&lt;="&amp;($A104+8/24),tData[SEHTrajectPeriodeDatumTijdTotEnMet],"&gt;"&amp;($A104+8/24),tData[Langligger01],1)</f>
        <v/>
      </c>
      <c r="M104" s="20">
        <f>COUNTIFS(tData[SEHTrajectPeriodeDatumTijdVan],"&lt;="&amp;($A104+9/24),tData[SEHTrajectPeriodeDatumTijdTotEnMet],"&gt;"&amp;($A104+9/24),tData[Langligger01],1)</f>
        <v/>
      </c>
      <c r="N104" s="20">
        <f>COUNTIFS(tData[SEHTrajectPeriodeDatumTijdVan],"&lt;="&amp;($A104+10/24),tData[SEHTrajectPeriodeDatumTijdTotEnMet],"&gt;"&amp;($A104+10/24),tData[Langligger01],1)</f>
        <v/>
      </c>
      <c r="O104" s="20">
        <f>COUNTIFS(tData[SEHTrajectPeriodeDatumTijdVan],"&lt;="&amp;($A104+11/24),tData[SEHTrajectPeriodeDatumTijdTotEnMet],"&gt;"&amp;($A104+11/24),tData[Langligger01],1)</f>
        <v/>
      </c>
      <c r="P104" s="20">
        <f>COUNTIFS(tData[SEHTrajectPeriodeDatumTijdVan],"&lt;="&amp;($A104+12/24),tData[SEHTrajectPeriodeDatumTijdTotEnMet],"&gt;"&amp;($A104+12/24),tData[Langligger01],1)</f>
        <v/>
      </c>
      <c r="Q104" s="20">
        <f>COUNTIFS(tData[SEHTrajectPeriodeDatumTijdVan],"&lt;="&amp;($A104+13/24),tData[SEHTrajectPeriodeDatumTijdTotEnMet],"&gt;"&amp;($A104+13/24),tData[Langligger01],1)</f>
        <v/>
      </c>
      <c r="R104" s="20">
        <f>COUNTIFS(tData[SEHTrajectPeriodeDatumTijdVan],"&lt;="&amp;($A104+14/24),tData[SEHTrajectPeriodeDatumTijdTotEnMet],"&gt;"&amp;($A104+14/24),tData[Langligger01],1)</f>
        <v/>
      </c>
      <c r="S104" s="20">
        <f>COUNTIFS(tData[SEHTrajectPeriodeDatumTijdVan],"&lt;="&amp;($A104+15/24),tData[SEHTrajectPeriodeDatumTijdTotEnMet],"&gt;"&amp;($A104+15/24),tData[Langligger01],1)</f>
        <v/>
      </c>
      <c r="T104" s="20">
        <f>COUNTIFS(tData[SEHTrajectPeriodeDatumTijdVan],"&lt;="&amp;($A104+16/24),tData[SEHTrajectPeriodeDatumTijdTotEnMet],"&gt;"&amp;($A104+16/24),tData[Langligger01],1)</f>
        <v/>
      </c>
      <c r="U104" s="20">
        <f>COUNTIFS(tData[SEHTrajectPeriodeDatumTijdVan],"&lt;="&amp;($A104+17/24),tData[SEHTrajectPeriodeDatumTijdTotEnMet],"&gt;"&amp;($A104+17/24),tData[Langligger01],1)</f>
        <v/>
      </c>
      <c r="V104" s="20">
        <f>COUNTIFS(tData[SEHTrajectPeriodeDatumTijdVan],"&lt;="&amp;($A104+18/24),tData[SEHTrajectPeriodeDatumTijdTotEnMet],"&gt;"&amp;($A104+18/24),tData[Langligger01],1)</f>
        <v/>
      </c>
      <c r="W104" s="20">
        <f>COUNTIFS(tData[SEHTrajectPeriodeDatumTijdVan],"&lt;="&amp;($A104+19/24),tData[SEHTrajectPeriodeDatumTijdTotEnMet],"&gt;"&amp;($A104+19/24),tData[Langligger01],1)</f>
        <v/>
      </c>
      <c r="X104" s="20">
        <f>COUNTIFS(tData[SEHTrajectPeriodeDatumTijdVan],"&lt;="&amp;($A104+20/24),tData[SEHTrajectPeriodeDatumTijdTotEnMet],"&gt;"&amp;($A104+20/24),tData[Langligger01],1)</f>
        <v/>
      </c>
      <c r="Y104" s="20">
        <f>COUNTIFS(tData[SEHTrajectPeriodeDatumTijdVan],"&lt;="&amp;($A104+21/24),tData[SEHTrajectPeriodeDatumTijdTotEnMet],"&gt;"&amp;($A104+21/24),tData[Langligger01],1)</f>
        <v/>
      </c>
      <c r="Z104" s="20">
        <f>COUNTIFS(tData[SEHTrajectPeriodeDatumTijdVan],"&lt;="&amp;($A104+22/24),tData[SEHTrajectPeriodeDatumTijdTotEnMet],"&gt;"&amp;($A104+22/24),tData[Langligger01],1)</f>
        <v/>
      </c>
      <c r="AA104" s="20">
        <f>COUNTIFS(tData[SEHTrajectPeriodeDatumTijdVan],"&lt;="&amp;($A104+23/24),tData[SEHTrajectPeriodeDatumTijdTotEnMet],"&gt;"&amp;($A104+23/24),tData[Langligger01],1)</f>
        <v/>
      </c>
    </row>
    <row r="105">
      <c r="A105" s="19" t="n">
        <v>45393</v>
      </c>
      <c r="B105" s="15">
        <f>WEEKDAY($A105,2)</f>
        <v/>
      </c>
      <c r="C105" s="15">
        <f>IF(AND($A105&gt;=INT(Instellingen!$B$5),$A105&lt;=INT(Instellingen!$B$6)),1,0)</f>
        <v/>
      </c>
      <c r="D105" s="20">
        <f>COUNTIFS(tData[SEHTrajectPeriodeDatumTijdVan],"&lt;="&amp;($A105+0/24),tData[SEHTrajectPeriodeDatumTijdTotEnMet],"&gt;"&amp;($A105+0/24),tData[Langligger01],1)</f>
        <v/>
      </c>
      <c r="E105" s="20">
        <f>COUNTIFS(tData[SEHTrajectPeriodeDatumTijdVan],"&lt;="&amp;($A105+1/24),tData[SEHTrajectPeriodeDatumTijdTotEnMet],"&gt;"&amp;($A105+1/24),tData[Langligger01],1)</f>
        <v/>
      </c>
      <c r="F105" s="20">
        <f>COUNTIFS(tData[SEHTrajectPeriodeDatumTijdVan],"&lt;="&amp;($A105+2/24),tData[SEHTrajectPeriodeDatumTijdTotEnMet],"&gt;"&amp;($A105+2/24),tData[Langligger01],1)</f>
        <v/>
      </c>
      <c r="G105" s="20">
        <f>COUNTIFS(tData[SEHTrajectPeriodeDatumTijdVan],"&lt;="&amp;($A105+3/24),tData[SEHTrajectPeriodeDatumTijdTotEnMet],"&gt;"&amp;($A105+3/24),tData[Langligger01],1)</f>
        <v/>
      </c>
      <c r="H105" s="20">
        <f>COUNTIFS(tData[SEHTrajectPeriodeDatumTijdVan],"&lt;="&amp;($A105+4/24),tData[SEHTrajectPeriodeDatumTijdTotEnMet],"&gt;"&amp;($A105+4/24),tData[Langligger01],1)</f>
        <v/>
      </c>
      <c r="I105" s="20">
        <f>COUNTIFS(tData[SEHTrajectPeriodeDatumTijdVan],"&lt;="&amp;($A105+5/24),tData[SEHTrajectPeriodeDatumTijdTotEnMet],"&gt;"&amp;($A105+5/24),tData[Langligger01],1)</f>
        <v/>
      </c>
      <c r="J105" s="20">
        <f>COUNTIFS(tData[SEHTrajectPeriodeDatumTijdVan],"&lt;="&amp;($A105+6/24),tData[SEHTrajectPeriodeDatumTijdTotEnMet],"&gt;"&amp;($A105+6/24),tData[Langligger01],1)</f>
        <v/>
      </c>
      <c r="K105" s="20">
        <f>COUNTIFS(tData[SEHTrajectPeriodeDatumTijdVan],"&lt;="&amp;($A105+7/24),tData[SEHTrajectPeriodeDatumTijdTotEnMet],"&gt;"&amp;($A105+7/24),tData[Langligger01],1)</f>
        <v/>
      </c>
      <c r="L105" s="20">
        <f>COUNTIFS(tData[SEHTrajectPeriodeDatumTijdVan],"&lt;="&amp;($A105+8/24),tData[SEHTrajectPeriodeDatumTijdTotEnMet],"&gt;"&amp;($A105+8/24),tData[Langligger01],1)</f>
        <v/>
      </c>
      <c r="M105" s="20">
        <f>COUNTIFS(tData[SEHTrajectPeriodeDatumTijdVan],"&lt;="&amp;($A105+9/24),tData[SEHTrajectPeriodeDatumTijdTotEnMet],"&gt;"&amp;($A105+9/24),tData[Langligger01],1)</f>
        <v/>
      </c>
      <c r="N105" s="20">
        <f>COUNTIFS(tData[SEHTrajectPeriodeDatumTijdVan],"&lt;="&amp;($A105+10/24),tData[SEHTrajectPeriodeDatumTijdTotEnMet],"&gt;"&amp;($A105+10/24),tData[Langligger01],1)</f>
        <v/>
      </c>
      <c r="O105" s="20">
        <f>COUNTIFS(tData[SEHTrajectPeriodeDatumTijdVan],"&lt;="&amp;($A105+11/24),tData[SEHTrajectPeriodeDatumTijdTotEnMet],"&gt;"&amp;($A105+11/24),tData[Langligger01],1)</f>
        <v/>
      </c>
      <c r="P105" s="20">
        <f>COUNTIFS(tData[SEHTrajectPeriodeDatumTijdVan],"&lt;="&amp;($A105+12/24),tData[SEHTrajectPeriodeDatumTijdTotEnMet],"&gt;"&amp;($A105+12/24),tData[Langligger01],1)</f>
        <v/>
      </c>
      <c r="Q105" s="20">
        <f>COUNTIFS(tData[SEHTrajectPeriodeDatumTijdVan],"&lt;="&amp;($A105+13/24),tData[SEHTrajectPeriodeDatumTijdTotEnMet],"&gt;"&amp;($A105+13/24),tData[Langligger01],1)</f>
        <v/>
      </c>
      <c r="R105" s="20">
        <f>COUNTIFS(tData[SEHTrajectPeriodeDatumTijdVan],"&lt;="&amp;($A105+14/24),tData[SEHTrajectPeriodeDatumTijdTotEnMet],"&gt;"&amp;($A105+14/24),tData[Langligger01],1)</f>
        <v/>
      </c>
      <c r="S105" s="20">
        <f>COUNTIFS(tData[SEHTrajectPeriodeDatumTijdVan],"&lt;="&amp;($A105+15/24),tData[SEHTrajectPeriodeDatumTijdTotEnMet],"&gt;"&amp;($A105+15/24),tData[Langligger01],1)</f>
        <v/>
      </c>
      <c r="T105" s="20">
        <f>COUNTIFS(tData[SEHTrajectPeriodeDatumTijdVan],"&lt;="&amp;($A105+16/24),tData[SEHTrajectPeriodeDatumTijdTotEnMet],"&gt;"&amp;($A105+16/24),tData[Langligger01],1)</f>
        <v/>
      </c>
      <c r="U105" s="20">
        <f>COUNTIFS(tData[SEHTrajectPeriodeDatumTijdVan],"&lt;="&amp;($A105+17/24),tData[SEHTrajectPeriodeDatumTijdTotEnMet],"&gt;"&amp;($A105+17/24),tData[Langligger01],1)</f>
        <v/>
      </c>
      <c r="V105" s="20">
        <f>COUNTIFS(tData[SEHTrajectPeriodeDatumTijdVan],"&lt;="&amp;($A105+18/24),tData[SEHTrajectPeriodeDatumTijdTotEnMet],"&gt;"&amp;($A105+18/24),tData[Langligger01],1)</f>
        <v/>
      </c>
      <c r="W105" s="20">
        <f>COUNTIFS(tData[SEHTrajectPeriodeDatumTijdVan],"&lt;="&amp;($A105+19/24),tData[SEHTrajectPeriodeDatumTijdTotEnMet],"&gt;"&amp;($A105+19/24),tData[Langligger01],1)</f>
        <v/>
      </c>
      <c r="X105" s="20">
        <f>COUNTIFS(tData[SEHTrajectPeriodeDatumTijdVan],"&lt;="&amp;($A105+20/24),tData[SEHTrajectPeriodeDatumTijdTotEnMet],"&gt;"&amp;($A105+20/24),tData[Langligger01],1)</f>
        <v/>
      </c>
      <c r="Y105" s="20">
        <f>COUNTIFS(tData[SEHTrajectPeriodeDatumTijdVan],"&lt;="&amp;($A105+21/24),tData[SEHTrajectPeriodeDatumTijdTotEnMet],"&gt;"&amp;($A105+21/24),tData[Langligger01],1)</f>
        <v/>
      </c>
      <c r="Z105" s="20">
        <f>COUNTIFS(tData[SEHTrajectPeriodeDatumTijdVan],"&lt;="&amp;($A105+22/24),tData[SEHTrajectPeriodeDatumTijdTotEnMet],"&gt;"&amp;($A105+22/24),tData[Langligger01],1)</f>
        <v/>
      </c>
      <c r="AA105" s="20">
        <f>COUNTIFS(tData[SEHTrajectPeriodeDatumTijdVan],"&lt;="&amp;($A105+23/24),tData[SEHTrajectPeriodeDatumTijdTotEnMet],"&gt;"&amp;($A105+23/24),tData[Langligger01],1)</f>
        <v/>
      </c>
    </row>
    <row r="106">
      <c r="A106" s="19" t="n">
        <v>45394</v>
      </c>
      <c r="B106" s="15">
        <f>WEEKDAY($A106,2)</f>
        <v/>
      </c>
      <c r="C106" s="15">
        <f>IF(AND($A106&gt;=INT(Instellingen!$B$5),$A106&lt;=INT(Instellingen!$B$6)),1,0)</f>
        <v/>
      </c>
      <c r="D106" s="20">
        <f>COUNTIFS(tData[SEHTrajectPeriodeDatumTijdVan],"&lt;="&amp;($A106+0/24),tData[SEHTrajectPeriodeDatumTijdTotEnMet],"&gt;"&amp;($A106+0/24),tData[Langligger01],1)</f>
        <v/>
      </c>
      <c r="E106" s="20">
        <f>COUNTIFS(tData[SEHTrajectPeriodeDatumTijdVan],"&lt;="&amp;($A106+1/24),tData[SEHTrajectPeriodeDatumTijdTotEnMet],"&gt;"&amp;($A106+1/24),tData[Langligger01],1)</f>
        <v/>
      </c>
      <c r="F106" s="20">
        <f>COUNTIFS(tData[SEHTrajectPeriodeDatumTijdVan],"&lt;="&amp;($A106+2/24),tData[SEHTrajectPeriodeDatumTijdTotEnMet],"&gt;"&amp;($A106+2/24),tData[Langligger01],1)</f>
        <v/>
      </c>
      <c r="G106" s="20">
        <f>COUNTIFS(tData[SEHTrajectPeriodeDatumTijdVan],"&lt;="&amp;($A106+3/24),tData[SEHTrajectPeriodeDatumTijdTotEnMet],"&gt;"&amp;($A106+3/24),tData[Langligger01],1)</f>
        <v/>
      </c>
      <c r="H106" s="20">
        <f>COUNTIFS(tData[SEHTrajectPeriodeDatumTijdVan],"&lt;="&amp;($A106+4/24),tData[SEHTrajectPeriodeDatumTijdTotEnMet],"&gt;"&amp;($A106+4/24),tData[Langligger01],1)</f>
        <v/>
      </c>
      <c r="I106" s="20">
        <f>COUNTIFS(tData[SEHTrajectPeriodeDatumTijdVan],"&lt;="&amp;($A106+5/24),tData[SEHTrajectPeriodeDatumTijdTotEnMet],"&gt;"&amp;($A106+5/24),tData[Langligger01],1)</f>
        <v/>
      </c>
      <c r="J106" s="20">
        <f>COUNTIFS(tData[SEHTrajectPeriodeDatumTijdVan],"&lt;="&amp;($A106+6/24),tData[SEHTrajectPeriodeDatumTijdTotEnMet],"&gt;"&amp;($A106+6/24),tData[Langligger01],1)</f>
        <v/>
      </c>
      <c r="K106" s="20">
        <f>COUNTIFS(tData[SEHTrajectPeriodeDatumTijdVan],"&lt;="&amp;($A106+7/24),tData[SEHTrajectPeriodeDatumTijdTotEnMet],"&gt;"&amp;($A106+7/24),tData[Langligger01],1)</f>
        <v/>
      </c>
      <c r="L106" s="20">
        <f>COUNTIFS(tData[SEHTrajectPeriodeDatumTijdVan],"&lt;="&amp;($A106+8/24),tData[SEHTrajectPeriodeDatumTijdTotEnMet],"&gt;"&amp;($A106+8/24),tData[Langligger01],1)</f>
        <v/>
      </c>
      <c r="M106" s="20">
        <f>COUNTIFS(tData[SEHTrajectPeriodeDatumTijdVan],"&lt;="&amp;($A106+9/24),tData[SEHTrajectPeriodeDatumTijdTotEnMet],"&gt;"&amp;($A106+9/24),tData[Langligger01],1)</f>
        <v/>
      </c>
      <c r="N106" s="20">
        <f>COUNTIFS(tData[SEHTrajectPeriodeDatumTijdVan],"&lt;="&amp;($A106+10/24),tData[SEHTrajectPeriodeDatumTijdTotEnMet],"&gt;"&amp;($A106+10/24),tData[Langligger01],1)</f>
        <v/>
      </c>
      <c r="O106" s="20">
        <f>COUNTIFS(tData[SEHTrajectPeriodeDatumTijdVan],"&lt;="&amp;($A106+11/24),tData[SEHTrajectPeriodeDatumTijdTotEnMet],"&gt;"&amp;($A106+11/24),tData[Langligger01],1)</f>
        <v/>
      </c>
      <c r="P106" s="20">
        <f>COUNTIFS(tData[SEHTrajectPeriodeDatumTijdVan],"&lt;="&amp;($A106+12/24),tData[SEHTrajectPeriodeDatumTijdTotEnMet],"&gt;"&amp;($A106+12/24),tData[Langligger01],1)</f>
        <v/>
      </c>
      <c r="Q106" s="20">
        <f>COUNTIFS(tData[SEHTrajectPeriodeDatumTijdVan],"&lt;="&amp;($A106+13/24),tData[SEHTrajectPeriodeDatumTijdTotEnMet],"&gt;"&amp;($A106+13/24),tData[Langligger01],1)</f>
        <v/>
      </c>
      <c r="R106" s="20">
        <f>COUNTIFS(tData[SEHTrajectPeriodeDatumTijdVan],"&lt;="&amp;($A106+14/24),tData[SEHTrajectPeriodeDatumTijdTotEnMet],"&gt;"&amp;($A106+14/24),tData[Langligger01],1)</f>
        <v/>
      </c>
      <c r="S106" s="20">
        <f>COUNTIFS(tData[SEHTrajectPeriodeDatumTijdVan],"&lt;="&amp;($A106+15/24),tData[SEHTrajectPeriodeDatumTijdTotEnMet],"&gt;"&amp;($A106+15/24),tData[Langligger01],1)</f>
        <v/>
      </c>
      <c r="T106" s="20">
        <f>COUNTIFS(tData[SEHTrajectPeriodeDatumTijdVan],"&lt;="&amp;($A106+16/24),tData[SEHTrajectPeriodeDatumTijdTotEnMet],"&gt;"&amp;($A106+16/24),tData[Langligger01],1)</f>
        <v/>
      </c>
      <c r="U106" s="20">
        <f>COUNTIFS(tData[SEHTrajectPeriodeDatumTijdVan],"&lt;="&amp;($A106+17/24),tData[SEHTrajectPeriodeDatumTijdTotEnMet],"&gt;"&amp;($A106+17/24),tData[Langligger01],1)</f>
        <v/>
      </c>
      <c r="V106" s="20">
        <f>COUNTIFS(tData[SEHTrajectPeriodeDatumTijdVan],"&lt;="&amp;($A106+18/24),tData[SEHTrajectPeriodeDatumTijdTotEnMet],"&gt;"&amp;($A106+18/24),tData[Langligger01],1)</f>
        <v/>
      </c>
      <c r="W106" s="20">
        <f>COUNTIFS(tData[SEHTrajectPeriodeDatumTijdVan],"&lt;="&amp;($A106+19/24),tData[SEHTrajectPeriodeDatumTijdTotEnMet],"&gt;"&amp;($A106+19/24),tData[Langligger01],1)</f>
        <v/>
      </c>
      <c r="X106" s="20">
        <f>COUNTIFS(tData[SEHTrajectPeriodeDatumTijdVan],"&lt;="&amp;($A106+20/24),tData[SEHTrajectPeriodeDatumTijdTotEnMet],"&gt;"&amp;($A106+20/24),tData[Langligger01],1)</f>
        <v/>
      </c>
      <c r="Y106" s="20">
        <f>COUNTIFS(tData[SEHTrajectPeriodeDatumTijdVan],"&lt;="&amp;($A106+21/24),tData[SEHTrajectPeriodeDatumTijdTotEnMet],"&gt;"&amp;($A106+21/24),tData[Langligger01],1)</f>
        <v/>
      </c>
      <c r="Z106" s="20">
        <f>COUNTIFS(tData[SEHTrajectPeriodeDatumTijdVan],"&lt;="&amp;($A106+22/24),tData[SEHTrajectPeriodeDatumTijdTotEnMet],"&gt;"&amp;($A106+22/24),tData[Langligger01],1)</f>
        <v/>
      </c>
      <c r="AA106" s="20">
        <f>COUNTIFS(tData[SEHTrajectPeriodeDatumTijdVan],"&lt;="&amp;($A106+23/24),tData[SEHTrajectPeriodeDatumTijdTotEnMet],"&gt;"&amp;($A106+23/24),tData[Langligger01],1)</f>
        <v/>
      </c>
    </row>
    <row r="107">
      <c r="A107" s="19" t="n">
        <v>45395</v>
      </c>
      <c r="B107" s="15">
        <f>WEEKDAY($A107,2)</f>
        <v/>
      </c>
      <c r="C107" s="15">
        <f>IF(AND($A107&gt;=INT(Instellingen!$B$5),$A107&lt;=INT(Instellingen!$B$6)),1,0)</f>
        <v/>
      </c>
      <c r="D107" s="20">
        <f>COUNTIFS(tData[SEHTrajectPeriodeDatumTijdVan],"&lt;="&amp;($A107+0/24),tData[SEHTrajectPeriodeDatumTijdTotEnMet],"&gt;"&amp;($A107+0/24),tData[Langligger01],1)</f>
        <v/>
      </c>
      <c r="E107" s="20">
        <f>COUNTIFS(tData[SEHTrajectPeriodeDatumTijdVan],"&lt;="&amp;($A107+1/24),tData[SEHTrajectPeriodeDatumTijdTotEnMet],"&gt;"&amp;($A107+1/24),tData[Langligger01],1)</f>
        <v/>
      </c>
      <c r="F107" s="20">
        <f>COUNTIFS(tData[SEHTrajectPeriodeDatumTijdVan],"&lt;="&amp;($A107+2/24),tData[SEHTrajectPeriodeDatumTijdTotEnMet],"&gt;"&amp;($A107+2/24),tData[Langligger01],1)</f>
        <v/>
      </c>
      <c r="G107" s="20">
        <f>COUNTIFS(tData[SEHTrajectPeriodeDatumTijdVan],"&lt;="&amp;($A107+3/24),tData[SEHTrajectPeriodeDatumTijdTotEnMet],"&gt;"&amp;($A107+3/24),tData[Langligger01],1)</f>
        <v/>
      </c>
      <c r="H107" s="20">
        <f>COUNTIFS(tData[SEHTrajectPeriodeDatumTijdVan],"&lt;="&amp;($A107+4/24),tData[SEHTrajectPeriodeDatumTijdTotEnMet],"&gt;"&amp;($A107+4/24),tData[Langligger01],1)</f>
        <v/>
      </c>
      <c r="I107" s="20">
        <f>COUNTIFS(tData[SEHTrajectPeriodeDatumTijdVan],"&lt;="&amp;($A107+5/24),tData[SEHTrajectPeriodeDatumTijdTotEnMet],"&gt;"&amp;($A107+5/24),tData[Langligger01],1)</f>
        <v/>
      </c>
      <c r="J107" s="20">
        <f>COUNTIFS(tData[SEHTrajectPeriodeDatumTijdVan],"&lt;="&amp;($A107+6/24),tData[SEHTrajectPeriodeDatumTijdTotEnMet],"&gt;"&amp;($A107+6/24),tData[Langligger01],1)</f>
        <v/>
      </c>
      <c r="K107" s="20">
        <f>COUNTIFS(tData[SEHTrajectPeriodeDatumTijdVan],"&lt;="&amp;($A107+7/24),tData[SEHTrajectPeriodeDatumTijdTotEnMet],"&gt;"&amp;($A107+7/24),tData[Langligger01],1)</f>
        <v/>
      </c>
      <c r="L107" s="20">
        <f>COUNTIFS(tData[SEHTrajectPeriodeDatumTijdVan],"&lt;="&amp;($A107+8/24),tData[SEHTrajectPeriodeDatumTijdTotEnMet],"&gt;"&amp;($A107+8/24),tData[Langligger01],1)</f>
        <v/>
      </c>
      <c r="M107" s="20">
        <f>COUNTIFS(tData[SEHTrajectPeriodeDatumTijdVan],"&lt;="&amp;($A107+9/24),tData[SEHTrajectPeriodeDatumTijdTotEnMet],"&gt;"&amp;($A107+9/24),tData[Langligger01],1)</f>
        <v/>
      </c>
      <c r="N107" s="20">
        <f>COUNTIFS(tData[SEHTrajectPeriodeDatumTijdVan],"&lt;="&amp;($A107+10/24),tData[SEHTrajectPeriodeDatumTijdTotEnMet],"&gt;"&amp;($A107+10/24),tData[Langligger01],1)</f>
        <v/>
      </c>
      <c r="O107" s="20">
        <f>COUNTIFS(tData[SEHTrajectPeriodeDatumTijdVan],"&lt;="&amp;($A107+11/24),tData[SEHTrajectPeriodeDatumTijdTotEnMet],"&gt;"&amp;($A107+11/24),tData[Langligger01],1)</f>
        <v/>
      </c>
      <c r="P107" s="20">
        <f>COUNTIFS(tData[SEHTrajectPeriodeDatumTijdVan],"&lt;="&amp;($A107+12/24),tData[SEHTrajectPeriodeDatumTijdTotEnMet],"&gt;"&amp;($A107+12/24),tData[Langligger01],1)</f>
        <v/>
      </c>
      <c r="Q107" s="20">
        <f>COUNTIFS(tData[SEHTrajectPeriodeDatumTijdVan],"&lt;="&amp;($A107+13/24),tData[SEHTrajectPeriodeDatumTijdTotEnMet],"&gt;"&amp;($A107+13/24),tData[Langligger01],1)</f>
        <v/>
      </c>
      <c r="R107" s="20">
        <f>COUNTIFS(tData[SEHTrajectPeriodeDatumTijdVan],"&lt;="&amp;($A107+14/24),tData[SEHTrajectPeriodeDatumTijdTotEnMet],"&gt;"&amp;($A107+14/24),tData[Langligger01],1)</f>
        <v/>
      </c>
      <c r="S107" s="20">
        <f>COUNTIFS(tData[SEHTrajectPeriodeDatumTijdVan],"&lt;="&amp;($A107+15/24),tData[SEHTrajectPeriodeDatumTijdTotEnMet],"&gt;"&amp;($A107+15/24),tData[Langligger01],1)</f>
        <v/>
      </c>
      <c r="T107" s="20">
        <f>COUNTIFS(tData[SEHTrajectPeriodeDatumTijdVan],"&lt;="&amp;($A107+16/24),tData[SEHTrajectPeriodeDatumTijdTotEnMet],"&gt;"&amp;($A107+16/24),tData[Langligger01],1)</f>
        <v/>
      </c>
      <c r="U107" s="20">
        <f>COUNTIFS(tData[SEHTrajectPeriodeDatumTijdVan],"&lt;="&amp;($A107+17/24),tData[SEHTrajectPeriodeDatumTijdTotEnMet],"&gt;"&amp;($A107+17/24),tData[Langligger01],1)</f>
        <v/>
      </c>
      <c r="V107" s="20">
        <f>COUNTIFS(tData[SEHTrajectPeriodeDatumTijdVan],"&lt;="&amp;($A107+18/24),tData[SEHTrajectPeriodeDatumTijdTotEnMet],"&gt;"&amp;($A107+18/24),tData[Langligger01],1)</f>
        <v/>
      </c>
      <c r="W107" s="20">
        <f>COUNTIFS(tData[SEHTrajectPeriodeDatumTijdVan],"&lt;="&amp;($A107+19/24),tData[SEHTrajectPeriodeDatumTijdTotEnMet],"&gt;"&amp;($A107+19/24),tData[Langligger01],1)</f>
        <v/>
      </c>
      <c r="X107" s="20">
        <f>COUNTIFS(tData[SEHTrajectPeriodeDatumTijdVan],"&lt;="&amp;($A107+20/24),tData[SEHTrajectPeriodeDatumTijdTotEnMet],"&gt;"&amp;($A107+20/24),tData[Langligger01],1)</f>
        <v/>
      </c>
      <c r="Y107" s="20">
        <f>COUNTIFS(tData[SEHTrajectPeriodeDatumTijdVan],"&lt;="&amp;($A107+21/24),tData[SEHTrajectPeriodeDatumTijdTotEnMet],"&gt;"&amp;($A107+21/24),tData[Langligger01],1)</f>
        <v/>
      </c>
      <c r="Z107" s="20">
        <f>COUNTIFS(tData[SEHTrajectPeriodeDatumTijdVan],"&lt;="&amp;($A107+22/24),tData[SEHTrajectPeriodeDatumTijdTotEnMet],"&gt;"&amp;($A107+22/24),tData[Langligger01],1)</f>
        <v/>
      </c>
      <c r="AA107" s="20">
        <f>COUNTIFS(tData[SEHTrajectPeriodeDatumTijdVan],"&lt;="&amp;($A107+23/24),tData[SEHTrajectPeriodeDatumTijdTotEnMet],"&gt;"&amp;($A107+23/24),tData[Langligger01],1)</f>
        <v/>
      </c>
    </row>
    <row r="108">
      <c r="A108" s="19" t="n">
        <v>45396</v>
      </c>
      <c r="B108" s="15">
        <f>WEEKDAY($A108,2)</f>
        <v/>
      </c>
      <c r="C108" s="15">
        <f>IF(AND($A108&gt;=INT(Instellingen!$B$5),$A108&lt;=INT(Instellingen!$B$6)),1,0)</f>
        <v/>
      </c>
      <c r="D108" s="20">
        <f>COUNTIFS(tData[SEHTrajectPeriodeDatumTijdVan],"&lt;="&amp;($A108+0/24),tData[SEHTrajectPeriodeDatumTijdTotEnMet],"&gt;"&amp;($A108+0/24),tData[Langligger01],1)</f>
        <v/>
      </c>
      <c r="E108" s="20">
        <f>COUNTIFS(tData[SEHTrajectPeriodeDatumTijdVan],"&lt;="&amp;($A108+1/24),tData[SEHTrajectPeriodeDatumTijdTotEnMet],"&gt;"&amp;($A108+1/24),tData[Langligger01],1)</f>
        <v/>
      </c>
      <c r="F108" s="20">
        <f>COUNTIFS(tData[SEHTrajectPeriodeDatumTijdVan],"&lt;="&amp;($A108+2/24),tData[SEHTrajectPeriodeDatumTijdTotEnMet],"&gt;"&amp;($A108+2/24),tData[Langligger01],1)</f>
        <v/>
      </c>
      <c r="G108" s="20">
        <f>COUNTIFS(tData[SEHTrajectPeriodeDatumTijdVan],"&lt;="&amp;($A108+3/24),tData[SEHTrajectPeriodeDatumTijdTotEnMet],"&gt;"&amp;($A108+3/24),tData[Langligger01],1)</f>
        <v/>
      </c>
      <c r="H108" s="20">
        <f>COUNTIFS(tData[SEHTrajectPeriodeDatumTijdVan],"&lt;="&amp;($A108+4/24),tData[SEHTrajectPeriodeDatumTijdTotEnMet],"&gt;"&amp;($A108+4/24),tData[Langligger01],1)</f>
        <v/>
      </c>
      <c r="I108" s="20">
        <f>COUNTIFS(tData[SEHTrajectPeriodeDatumTijdVan],"&lt;="&amp;($A108+5/24),tData[SEHTrajectPeriodeDatumTijdTotEnMet],"&gt;"&amp;($A108+5/24),tData[Langligger01],1)</f>
        <v/>
      </c>
      <c r="J108" s="20">
        <f>COUNTIFS(tData[SEHTrajectPeriodeDatumTijdVan],"&lt;="&amp;($A108+6/24),tData[SEHTrajectPeriodeDatumTijdTotEnMet],"&gt;"&amp;($A108+6/24),tData[Langligger01],1)</f>
        <v/>
      </c>
      <c r="K108" s="20">
        <f>COUNTIFS(tData[SEHTrajectPeriodeDatumTijdVan],"&lt;="&amp;($A108+7/24),tData[SEHTrajectPeriodeDatumTijdTotEnMet],"&gt;"&amp;($A108+7/24),tData[Langligger01],1)</f>
        <v/>
      </c>
      <c r="L108" s="20">
        <f>COUNTIFS(tData[SEHTrajectPeriodeDatumTijdVan],"&lt;="&amp;($A108+8/24),tData[SEHTrajectPeriodeDatumTijdTotEnMet],"&gt;"&amp;($A108+8/24),tData[Langligger01],1)</f>
        <v/>
      </c>
      <c r="M108" s="20">
        <f>COUNTIFS(tData[SEHTrajectPeriodeDatumTijdVan],"&lt;="&amp;($A108+9/24),tData[SEHTrajectPeriodeDatumTijdTotEnMet],"&gt;"&amp;($A108+9/24),tData[Langligger01],1)</f>
        <v/>
      </c>
      <c r="N108" s="20">
        <f>COUNTIFS(tData[SEHTrajectPeriodeDatumTijdVan],"&lt;="&amp;($A108+10/24),tData[SEHTrajectPeriodeDatumTijdTotEnMet],"&gt;"&amp;($A108+10/24),tData[Langligger01],1)</f>
        <v/>
      </c>
      <c r="O108" s="20">
        <f>COUNTIFS(tData[SEHTrajectPeriodeDatumTijdVan],"&lt;="&amp;($A108+11/24),tData[SEHTrajectPeriodeDatumTijdTotEnMet],"&gt;"&amp;($A108+11/24),tData[Langligger01],1)</f>
        <v/>
      </c>
      <c r="P108" s="20">
        <f>COUNTIFS(tData[SEHTrajectPeriodeDatumTijdVan],"&lt;="&amp;($A108+12/24),tData[SEHTrajectPeriodeDatumTijdTotEnMet],"&gt;"&amp;($A108+12/24),tData[Langligger01],1)</f>
        <v/>
      </c>
      <c r="Q108" s="20">
        <f>COUNTIFS(tData[SEHTrajectPeriodeDatumTijdVan],"&lt;="&amp;($A108+13/24),tData[SEHTrajectPeriodeDatumTijdTotEnMet],"&gt;"&amp;($A108+13/24),tData[Langligger01],1)</f>
        <v/>
      </c>
      <c r="R108" s="20">
        <f>COUNTIFS(tData[SEHTrajectPeriodeDatumTijdVan],"&lt;="&amp;($A108+14/24),tData[SEHTrajectPeriodeDatumTijdTotEnMet],"&gt;"&amp;($A108+14/24),tData[Langligger01],1)</f>
        <v/>
      </c>
      <c r="S108" s="20">
        <f>COUNTIFS(tData[SEHTrajectPeriodeDatumTijdVan],"&lt;="&amp;($A108+15/24),tData[SEHTrajectPeriodeDatumTijdTotEnMet],"&gt;"&amp;($A108+15/24),tData[Langligger01],1)</f>
        <v/>
      </c>
      <c r="T108" s="20">
        <f>COUNTIFS(tData[SEHTrajectPeriodeDatumTijdVan],"&lt;="&amp;($A108+16/24),tData[SEHTrajectPeriodeDatumTijdTotEnMet],"&gt;"&amp;($A108+16/24),tData[Langligger01],1)</f>
        <v/>
      </c>
      <c r="U108" s="20">
        <f>COUNTIFS(tData[SEHTrajectPeriodeDatumTijdVan],"&lt;="&amp;($A108+17/24),tData[SEHTrajectPeriodeDatumTijdTotEnMet],"&gt;"&amp;($A108+17/24),tData[Langligger01],1)</f>
        <v/>
      </c>
      <c r="V108" s="20">
        <f>COUNTIFS(tData[SEHTrajectPeriodeDatumTijdVan],"&lt;="&amp;($A108+18/24),tData[SEHTrajectPeriodeDatumTijdTotEnMet],"&gt;"&amp;($A108+18/24),tData[Langligger01],1)</f>
        <v/>
      </c>
      <c r="W108" s="20">
        <f>COUNTIFS(tData[SEHTrajectPeriodeDatumTijdVan],"&lt;="&amp;($A108+19/24),tData[SEHTrajectPeriodeDatumTijdTotEnMet],"&gt;"&amp;($A108+19/24),tData[Langligger01],1)</f>
        <v/>
      </c>
      <c r="X108" s="20">
        <f>COUNTIFS(tData[SEHTrajectPeriodeDatumTijdVan],"&lt;="&amp;($A108+20/24),tData[SEHTrajectPeriodeDatumTijdTotEnMet],"&gt;"&amp;($A108+20/24),tData[Langligger01],1)</f>
        <v/>
      </c>
      <c r="Y108" s="20">
        <f>COUNTIFS(tData[SEHTrajectPeriodeDatumTijdVan],"&lt;="&amp;($A108+21/24),tData[SEHTrajectPeriodeDatumTijdTotEnMet],"&gt;"&amp;($A108+21/24),tData[Langligger01],1)</f>
        <v/>
      </c>
      <c r="Z108" s="20">
        <f>COUNTIFS(tData[SEHTrajectPeriodeDatumTijdVan],"&lt;="&amp;($A108+22/24),tData[SEHTrajectPeriodeDatumTijdTotEnMet],"&gt;"&amp;($A108+22/24),tData[Langligger01],1)</f>
        <v/>
      </c>
      <c r="AA108" s="20">
        <f>COUNTIFS(tData[SEHTrajectPeriodeDatumTijdVan],"&lt;="&amp;($A108+23/24),tData[SEHTrajectPeriodeDatumTijdTotEnMet],"&gt;"&amp;($A108+23/24),tData[Langligger01],1)</f>
        <v/>
      </c>
    </row>
    <row r="109">
      <c r="A109" s="19" t="n">
        <v>45397</v>
      </c>
      <c r="B109" s="15">
        <f>WEEKDAY($A109,2)</f>
        <v/>
      </c>
      <c r="C109" s="15">
        <f>IF(AND($A109&gt;=INT(Instellingen!$B$5),$A109&lt;=INT(Instellingen!$B$6)),1,0)</f>
        <v/>
      </c>
      <c r="D109" s="20">
        <f>COUNTIFS(tData[SEHTrajectPeriodeDatumTijdVan],"&lt;="&amp;($A109+0/24),tData[SEHTrajectPeriodeDatumTijdTotEnMet],"&gt;"&amp;($A109+0/24),tData[Langligger01],1)</f>
        <v/>
      </c>
      <c r="E109" s="20">
        <f>COUNTIFS(tData[SEHTrajectPeriodeDatumTijdVan],"&lt;="&amp;($A109+1/24),tData[SEHTrajectPeriodeDatumTijdTotEnMet],"&gt;"&amp;($A109+1/24),tData[Langligger01],1)</f>
        <v/>
      </c>
      <c r="F109" s="20">
        <f>COUNTIFS(tData[SEHTrajectPeriodeDatumTijdVan],"&lt;="&amp;($A109+2/24),tData[SEHTrajectPeriodeDatumTijdTotEnMet],"&gt;"&amp;($A109+2/24),tData[Langligger01],1)</f>
        <v/>
      </c>
      <c r="G109" s="20">
        <f>COUNTIFS(tData[SEHTrajectPeriodeDatumTijdVan],"&lt;="&amp;($A109+3/24),tData[SEHTrajectPeriodeDatumTijdTotEnMet],"&gt;"&amp;($A109+3/24),tData[Langligger01],1)</f>
        <v/>
      </c>
      <c r="H109" s="20">
        <f>COUNTIFS(tData[SEHTrajectPeriodeDatumTijdVan],"&lt;="&amp;($A109+4/24),tData[SEHTrajectPeriodeDatumTijdTotEnMet],"&gt;"&amp;($A109+4/24),tData[Langligger01],1)</f>
        <v/>
      </c>
      <c r="I109" s="20">
        <f>COUNTIFS(tData[SEHTrajectPeriodeDatumTijdVan],"&lt;="&amp;($A109+5/24),tData[SEHTrajectPeriodeDatumTijdTotEnMet],"&gt;"&amp;($A109+5/24),tData[Langligger01],1)</f>
        <v/>
      </c>
      <c r="J109" s="20">
        <f>COUNTIFS(tData[SEHTrajectPeriodeDatumTijdVan],"&lt;="&amp;($A109+6/24),tData[SEHTrajectPeriodeDatumTijdTotEnMet],"&gt;"&amp;($A109+6/24),tData[Langligger01],1)</f>
        <v/>
      </c>
      <c r="K109" s="20">
        <f>COUNTIFS(tData[SEHTrajectPeriodeDatumTijdVan],"&lt;="&amp;($A109+7/24),tData[SEHTrajectPeriodeDatumTijdTotEnMet],"&gt;"&amp;($A109+7/24),tData[Langligger01],1)</f>
        <v/>
      </c>
      <c r="L109" s="20">
        <f>COUNTIFS(tData[SEHTrajectPeriodeDatumTijdVan],"&lt;="&amp;($A109+8/24),tData[SEHTrajectPeriodeDatumTijdTotEnMet],"&gt;"&amp;($A109+8/24),tData[Langligger01],1)</f>
        <v/>
      </c>
      <c r="M109" s="20">
        <f>COUNTIFS(tData[SEHTrajectPeriodeDatumTijdVan],"&lt;="&amp;($A109+9/24),tData[SEHTrajectPeriodeDatumTijdTotEnMet],"&gt;"&amp;($A109+9/24),tData[Langligger01],1)</f>
        <v/>
      </c>
      <c r="N109" s="20">
        <f>COUNTIFS(tData[SEHTrajectPeriodeDatumTijdVan],"&lt;="&amp;($A109+10/24),tData[SEHTrajectPeriodeDatumTijdTotEnMet],"&gt;"&amp;($A109+10/24),tData[Langligger01],1)</f>
        <v/>
      </c>
      <c r="O109" s="20">
        <f>COUNTIFS(tData[SEHTrajectPeriodeDatumTijdVan],"&lt;="&amp;($A109+11/24),tData[SEHTrajectPeriodeDatumTijdTotEnMet],"&gt;"&amp;($A109+11/24),tData[Langligger01],1)</f>
        <v/>
      </c>
      <c r="P109" s="20">
        <f>COUNTIFS(tData[SEHTrajectPeriodeDatumTijdVan],"&lt;="&amp;($A109+12/24),tData[SEHTrajectPeriodeDatumTijdTotEnMet],"&gt;"&amp;($A109+12/24),tData[Langligger01],1)</f>
        <v/>
      </c>
      <c r="Q109" s="20">
        <f>COUNTIFS(tData[SEHTrajectPeriodeDatumTijdVan],"&lt;="&amp;($A109+13/24),tData[SEHTrajectPeriodeDatumTijdTotEnMet],"&gt;"&amp;($A109+13/24),tData[Langligger01],1)</f>
        <v/>
      </c>
      <c r="R109" s="20">
        <f>COUNTIFS(tData[SEHTrajectPeriodeDatumTijdVan],"&lt;="&amp;($A109+14/24),tData[SEHTrajectPeriodeDatumTijdTotEnMet],"&gt;"&amp;($A109+14/24),tData[Langligger01],1)</f>
        <v/>
      </c>
      <c r="S109" s="20">
        <f>COUNTIFS(tData[SEHTrajectPeriodeDatumTijdVan],"&lt;="&amp;($A109+15/24),tData[SEHTrajectPeriodeDatumTijdTotEnMet],"&gt;"&amp;($A109+15/24),tData[Langligger01],1)</f>
        <v/>
      </c>
      <c r="T109" s="20">
        <f>COUNTIFS(tData[SEHTrajectPeriodeDatumTijdVan],"&lt;="&amp;($A109+16/24),tData[SEHTrajectPeriodeDatumTijdTotEnMet],"&gt;"&amp;($A109+16/24),tData[Langligger01],1)</f>
        <v/>
      </c>
      <c r="U109" s="20">
        <f>COUNTIFS(tData[SEHTrajectPeriodeDatumTijdVan],"&lt;="&amp;($A109+17/24),tData[SEHTrajectPeriodeDatumTijdTotEnMet],"&gt;"&amp;($A109+17/24),tData[Langligger01],1)</f>
        <v/>
      </c>
      <c r="V109" s="20">
        <f>COUNTIFS(tData[SEHTrajectPeriodeDatumTijdVan],"&lt;="&amp;($A109+18/24),tData[SEHTrajectPeriodeDatumTijdTotEnMet],"&gt;"&amp;($A109+18/24),tData[Langligger01],1)</f>
        <v/>
      </c>
      <c r="W109" s="20">
        <f>COUNTIFS(tData[SEHTrajectPeriodeDatumTijdVan],"&lt;="&amp;($A109+19/24),tData[SEHTrajectPeriodeDatumTijdTotEnMet],"&gt;"&amp;($A109+19/24),tData[Langligger01],1)</f>
        <v/>
      </c>
      <c r="X109" s="20">
        <f>COUNTIFS(tData[SEHTrajectPeriodeDatumTijdVan],"&lt;="&amp;($A109+20/24),tData[SEHTrajectPeriodeDatumTijdTotEnMet],"&gt;"&amp;($A109+20/24),tData[Langligger01],1)</f>
        <v/>
      </c>
      <c r="Y109" s="20">
        <f>COUNTIFS(tData[SEHTrajectPeriodeDatumTijdVan],"&lt;="&amp;($A109+21/24),tData[SEHTrajectPeriodeDatumTijdTotEnMet],"&gt;"&amp;($A109+21/24),tData[Langligger01],1)</f>
        <v/>
      </c>
      <c r="Z109" s="20">
        <f>COUNTIFS(tData[SEHTrajectPeriodeDatumTijdVan],"&lt;="&amp;($A109+22/24),tData[SEHTrajectPeriodeDatumTijdTotEnMet],"&gt;"&amp;($A109+22/24),tData[Langligger01],1)</f>
        <v/>
      </c>
      <c r="AA109" s="20">
        <f>COUNTIFS(tData[SEHTrajectPeriodeDatumTijdVan],"&lt;="&amp;($A109+23/24),tData[SEHTrajectPeriodeDatumTijdTotEnMet],"&gt;"&amp;($A109+23/24),tData[Langligger01],1)</f>
        <v/>
      </c>
    </row>
    <row r="110">
      <c r="A110" s="19" t="n">
        <v>45398</v>
      </c>
      <c r="B110" s="15">
        <f>WEEKDAY($A110,2)</f>
        <v/>
      </c>
      <c r="C110" s="15">
        <f>IF(AND($A110&gt;=INT(Instellingen!$B$5),$A110&lt;=INT(Instellingen!$B$6)),1,0)</f>
        <v/>
      </c>
      <c r="D110" s="20">
        <f>COUNTIFS(tData[SEHTrajectPeriodeDatumTijdVan],"&lt;="&amp;($A110+0/24),tData[SEHTrajectPeriodeDatumTijdTotEnMet],"&gt;"&amp;($A110+0/24),tData[Langligger01],1)</f>
        <v/>
      </c>
      <c r="E110" s="20">
        <f>COUNTIFS(tData[SEHTrajectPeriodeDatumTijdVan],"&lt;="&amp;($A110+1/24),tData[SEHTrajectPeriodeDatumTijdTotEnMet],"&gt;"&amp;($A110+1/24),tData[Langligger01],1)</f>
        <v/>
      </c>
      <c r="F110" s="20">
        <f>COUNTIFS(tData[SEHTrajectPeriodeDatumTijdVan],"&lt;="&amp;($A110+2/24),tData[SEHTrajectPeriodeDatumTijdTotEnMet],"&gt;"&amp;($A110+2/24),tData[Langligger01],1)</f>
        <v/>
      </c>
      <c r="G110" s="20">
        <f>COUNTIFS(tData[SEHTrajectPeriodeDatumTijdVan],"&lt;="&amp;($A110+3/24),tData[SEHTrajectPeriodeDatumTijdTotEnMet],"&gt;"&amp;($A110+3/24),tData[Langligger01],1)</f>
        <v/>
      </c>
      <c r="H110" s="20">
        <f>COUNTIFS(tData[SEHTrajectPeriodeDatumTijdVan],"&lt;="&amp;($A110+4/24),tData[SEHTrajectPeriodeDatumTijdTotEnMet],"&gt;"&amp;($A110+4/24),tData[Langligger01],1)</f>
        <v/>
      </c>
      <c r="I110" s="20">
        <f>COUNTIFS(tData[SEHTrajectPeriodeDatumTijdVan],"&lt;="&amp;($A110+5/24),tData[SEHTrajectPeriodeDatumTijdTotEnMet],"&gt;"&amp;($A110+5/24),tData[Langligger01],1)</f>
        <v/>
      </c>
      <c r="J110" s="20">
        <f>COUNTIFS(tData[SEHTrajectPeriodeDatumTijdVan],"&lt;="&amp;($A110+6/24),tData[SEHTrajectPeriodeDatumTijdTotEnMet],"&gt;"&amp;($A110+6/24),tData[Langligger01],1)</f>
        <v/>
      </c>
      <c r="K110" s="20">
        <f>COUNTIFS(tData[SEHTrajectPeriodeDatumTijdVan],"&lt;="&amp;($A110+7/24),tData[SEHTrajectPeriodeDatumTijdTotEnMet],"&gt;"&amp;($A110+7/24),tData[Langligger01],1)</f>
        <v/>
      </c>
      <c r="L110" s="20">
        <f>COUNTIFS(tData[SEHTrajectPeriodeDatumTijdVan],"&lt;="&amp;($A110+8/24),tData[SEHTrajectPeriodeDatumTijdTotEnMet],"&gt;"&amp;($A110+8/24),tData[Langligger01],1)</f>
        <v/>
      </c>
      <c r="M110" s="20">
        <f>COUNTIFS(tData[SEHTrajectPeriodeDatumTijdVan],"&lt;="&amp;($A110+9/24),tData[SEHTrajectPeriodeDatumTijdTotEnMet],"&gt;"&amp;($A110+9/24),tData[Langligger01],1)</f>
        <v/>
      </c>
      <c r="N110" s="20">
        <f>COUNTIFS(tData[SEHTrajectPeriodeDatumTijdVan],"&lt;="&amp;($A110+10/24),tData[SEHTrajectPeriodeDatumTijdTotEnMet],"&gt;"&amp;($A110+10/24),tData[Langligger01],1)</f>
        <v/>
      </c>
      <c r="O110" s="20">
        <f>COUNTIFS(tData[SEHTrajectPeriodeDatumTijdVan],"&lt;="&amp;($A110+11/24),tData[SEHTrajectPeriodeDatumTijdTotEnMet],"&gt;"&amp;($A110+11/24),tData[Langligger01],1)</f>
        <v/>
      </c>
      <c r="P110" s="20">
        <f>COUNTIFS(tData[SEHTrajectPeriodeDatumTijdVan],"&lt;="&amp;($A110+12/24),tData[SEHTrajectPeriodeDatumTijdTotEnMet],"&gt;"&amp;($A110+12/24),tData[Langligger01],1)</f>
        <v/>
      </c>
      <c r="Q110" s="20">
        <f>COUNTIFS(tData[SEHTrajectPeriodeDatumTijdVan],"&lt;="&amp;($A110+13/24),tData[SEHTrajectPeriodeDatumTijdTotEnMet],"&gt;"&amp;($A110+13/24),tData[Langligger01],1)</f>
        <v/>
      </c>
      <c r="R110" s="20">
        <f>COUNTIFS(tData[SEHTrajectPeriodeDatumTijdVan],"&lt;="&amp;($A110+14/24),tData[SEHTrajectPeriodeDatumTijdTotEnMet],"&gt;"&amp;($A110+14/24),tData[Langligger01],1)</f>
        <v/>
      </c>
      <c r="S110" s="20">
        <f>COUNTIFS(tData[SEHTrajectPeriodeDatumTijdVan],"&lt;="&amp;($A110+15/24),tData[SEHTrajectPeriodeDatumTijdTotEnMet],"&gt;"&amp;($A110+15/24),tData[Langligger01],1)</f>
        <v/>
      </c>
      <c r="T110" s="20">
        <f>COUNTIFS(tData[SEHTrajectPeriodeDatumTijdVan],"&lt;="&amp;($A110+16/24),tData[SEHTrajectPeriodeDatumTijdTotEnMet],"&gt;"&amp;($A110+16/24),tData[Langligger01],1)</f>
        <v/>
      </c>
      <c r="U110" s="20">
        <f>COUNTIFS(tData[SEHTrajectPeriodeDatumTijdVan],"&lt;="&amp;($A110+17/24),tData[SEHTrajectPeriodeDatumTijdTotEnMet],"&gt;"&amp;($A110+17/24),tData[Langligger01],1)</f>
        <v/>
      </c>
      <c r="V110" s="20">
        <f>COUNTIFS(tData[SEHTrajectPeriodeDatumTijdVan],"&lt;="&amp;($A110+18/24),tData[SEHTrajectPeriodeDatumTijdTotEnMet],"&gt;"&amp;($A110+18/24),tData[Langligger01],1)</f>
        <v/>
      </c>
      <c r="W110" s="20">
        <f>COUNTIFS(tData[SEHTrajectPeriodeDatumTijdVan],"&lt;="&amp;($A110+19/24),tData[SEHTrajectPeriodeDatumTijdTotEnMet],"&gt;"&amp;($A110+19/24),tData[Langligger01],1)</f>
        <v/>
      </c>
      <c r="X110" s="20">
        <f>COUNTIFS(tData[SEHTrajectPeriodeDatumTijdVan],"&lt;="&amp;($A110+20/24),tData[SEHTrajectPeriodeDatumTijdTotEnMet],"&gt;"&amp;($A110+20/24),tData[Langligger01],1)</f>
        <v/>
      </c>
      <c r="Y110" s="20">
        <f>COUNTIFS(tData[SEHTrajectPeriodeDatumTijdVan],"&lt;="&amp;($A110+21/24),tData[SEHTrajectPeriodeDatumTijdTotEnMet],"&gt;"&amp;($A110+21/24),tData[Langligger01],1)</f>
        <v/>
      </c>
      <c r="Z110" s="20">
        <f>COUNTIFS(tData[SEHTrajectPeriodeDatumTijdVan],"&lt;="&amp;($A110+22/24),tData[SEHTrajectPeriodeDatumTijdTotEnMet],"&gt;"&amp;($A110+22/24),tData[Langligger01],1)</f>
        <v/>
      </c>
      <c r="AA110" s="20">
        <f>COUNTIFS(tData[SEHTrajectPeriodeDatumTijdVan],"&lt;="&amp;($A110+23/24),tData[SEHTrajectPeriodeDatumTijdTotEnMet],"&gt;"&amp;($A110+23/24),tData[Langligger01],1)</f>
        <v/>
      </c>
    </row>
    <row r="111">
      <c r="A111" s="19" t="n">
        <v>45399</v>
      </c>
      <c r="B111" s="15">
        <f>WEEKDAY($A111,2)</f>
        <v/>
      </c>
      <c r="C111" s="15">
        <f>IF(AND($A111&gt;=INT(Instellingen!$B$5),$A111&lt;=INT(Instellingen!$B$6)),1,0)</f>
        <v/>
      </c>
      <c r="D111" s="20">
        <f>COUNTIFS(tData[SEHTrajectPeriodeDatumTijdVan],"&lt;="&amp;($A111+0/24),tData[SEHTrajectPeriodeDatumTijdTotEnMet],"&gt;"&amp;($A111+0/24),tData[Langligger01],1)</f>
        <v/>
      </c>
      <c r="E111" s="20">
        <f>COUNTIFS(tData[SEHTrajectPeriodeDatumTijdVan],"&lt;="&amp;($A111+1/24),tData[SEHTrajectPeriodeDatumTijdTotEnMet],"&gt;"&amp;($A111+1/24),tData[Langligger01],1)</f>
        <v/>
      </c>
      <c r="F111" s="20">
        <f>COUNTIFS(tData[SEHTrajectPeriodeDatumTijdVan],"&lt;="&amp;($A111+2/24),tData[SEHTrajectPeriodeDatumTijdTotEnMet],"&gt;"&amp;($A111+2/24),tData[Langligger01],1)</f>
        <v/>
      </c>
      <c r="G111" s="20">
        <f>COUNTIFS(tData[SEHTrajectPeriodeDatumTijdVan],"&lt;="&amp;($A111+3/24),tData[SEHTrajectPeriodeDatumTijdTotEnMet],"&gt;"&amp;($A111+3/24),tData[Langligger01],1)</f>
        <v/>
      </c>
      <c r="H111" s="20">
        <f>COUNTIFS(tData[SEHTrajectPeriodeDatumTijdVan],"&lt;="&amp;($A111+4/24),tData[SEHTrajectPeriodeDatumTijdTotEnMet],"&gt;"&amp;($A111+4/24),tData[Langligger01],1)</f>
        <v/>
      </c>
      <c r="I111" s="20">
        <f>COUNTIFS(tData[SEHTrajectPeriodeDatumTijdVan],"&lt;="&amp;($A111+5/24),tData[SEHTrajectPeriodeDatumTijdTotEnMet],"&gt;"&amp;($A111+5/24),tData[Langligger01],1)</f>
        <v/>
      </c>
      <c r="J111" s="20">
        <f>COUNTIFS(tData[SEHTrajectPeriodeDatumTijdVan],"&lt;="&amp;($A111+6/24),tData[SEHTrajectPeriodeDatumTijdTotEnMet],"&gt;"&amp;($A111+6/24),tData[Langligger01],1)</f>
        <v/>
      </c>
      <c r="K111" s="20">
        <f>COUNTIFS(tData[SEHTrajectPeriodeDatumTijdVan],"&lt;="&amp;($A111+7/24),tData[SEHTrajectPeriodeDatumTijdTotEnMet],"&gt;"&amp;($A111+7/24),tData[Langligger01],1)</f>
        <v/>
      </c>
      <c r="L111" s="20">
        <f>COUNTIFS(tData[SEHTrajectPeriodeDatumTijdVan],"&lt;="&amp;($A111+8/24),tData[SEHTrajectPeriodeDatumTijdTotEnMet],"&gt;"&amp;($A111+8/24),tData[Langligger01],1)</f>
        <v/>
      </c>
      <c r="M111" s="20">
        <f>COUNTIFS(tData[SEHTrajectPeriodeDatumTijdVan],"&lt;="&amp;($A111+9/24),tData[SEHTrajectPeriodeDatumTijdTotEnMet],"&gt;"&amp;($A111+9/24),tData[Langligger01],1)</f>
        <v/>
      </c>
      <c r="N111" s="20">
        <f>COUNTIFS(tData[SEHTrajectPeriodeDatumTijdVan],"&lt;="&amp;($A111+10/24),tData[SEHTrajectPeriodeDatumTijdTotEnMet],"&gt;"&amp;($A111+10/24),tData[Langligger01],1)</f>
        <v/>
      </c>
      <c r="O111" s="20">
        <f>COUNTIFS(tData[SEHTrajectPeriodeDatumTijdVan],"&lt;="&amp;($A111+11/24),tData[SEHTrajectPeriodeDatumTijdTotEnMet],"&gt;"&amp;($A111+11/24),tData[Langligger01],1)</f>
        <v/>
      </c>
      <c r="P111" s="20">
        <f>COUNTIFS(tData[SEHTrajectPeriodeDatumTijdVan],"&lt;="&amp;($A111+12/24),tData[SEHTrajectPeriodeDatumTijdTotEnMet],"&gt;"&amp;($A111+12/24),tData[Langligger01],1)</f>
        <v/>
      </c>
      <c r="Q111" s="20">
        <f>COUNTIFS(tData[SEHTrajectPeriodeDatumTijdVan],"&lt;="&amp;($A111+13/24),tData[SEHTrajectPeriodeDatumTijdTotEnMet],"&gt;"&amp;($A111+13/24),tData[Langligger01],1)</f>
        <v/>
      </c>
      <c r="R111" s="20">
        <f>COUNTIFS(tData[SEHTrajectPeriodeDatumTijdVan],"&lt;="&amp;($A111+14/24),tData[SEHTrajectPeriodeDatumTijdTotEnMet],"&gt;"&amp;($A111+14/24),tData[Langligger01],1)</f>
        <v/>
      </c>
      <c r="S111" s="20">
        <f>COUNTIFS(tData[SEHTrajectPeriodeDatumTijdVan],"&lt;="&amp;($A111+15/24),tData[SEHTrajectPeriodeDatumTijdTotEnMet],"&gt;"&amp;($A111+15/24),tData[Langligger01],1)</f>
        <v/>
      </c>
      <c r="T111" s="20">
        <f>COUNTIFS(tData[SEHTrajectPeriodeDatumTijdVan],"&lt;="&amp;($A111+16/24),tData[SEHTrajectPeriodeDatumTijdTotEnMet],"&gt;"&amp;($A111+16/24),tData[Langligger01],1)</f>
        <v/>
      </c>
      <c r="U111" s="20">
        <f>COUNTIFS(tData[SEHTrajectPeriodeDatumTijdVan],"&lt;="&amp;($A111+17/24),tData[SEHTrajectPeriodeDatumTijdTotEnMet],"&gt;"&amp;($A111+17/24),tData[Langligger01],1)</f>
        <v/>
      </c>
      <c r="V111" s="20">
        <f>COUNTIFS(tData[SEHTrajectPeriodeDatumTijdVan],"&lt;="&amp;($A111+18/24),tData[SEHTrajectPeriodeDatumTijdTotEnMet],"&gt;"&amp;($A111+18/24),tData[Langligger01],1)</f>
        <v/>
      </c>
      <c r="W111" s="20">
        <f>COUNTIFS(tData[SEHTrajectPeriodeDatumTijdVan],"&lt;="&amp;($A111+19/24),tData[SEHTrajectPeriodeDatumTijdTotEnMet],"&gt;"&amp;($A111+19/24),tData[Langligger01],1)</f>
        <v/>
      </c>
      <c r="X111" s="20">
        <f>COUNTIFS(tData[SEHTrajectPeriodeDatumTijdVan],"&lt;="&amp;($A111+20/24),tData[SEHTrajectPeriodeDatumTijdTotEnMet],"&gt;"&amp;($A111+20/24),tData[Langligger01],1)</f>
        <v/>
      </c>
      <c r="Y111" s="20">
        <f>COUNTIFS(tData[SEHTrajectPeriodeDatumTijdVan],"&lt;="&amp;($A111+21/24),tData[SEHTrajectPeriodeDatumTijdTotEnMet],"&gt;"&amp;($A111+21/24),tData[Langligger01],1)</f>
        <v/>
      </c>
      <c r="Z111" s="20">
        <f>COUNTIFS(tData[SEHTrajectPeriodeDatumTijdVan],"&lt;="&amp;($A111+22/24),tData[SEHTrajectPeriodeDatumTijdTotEnMet],"&gt;"&amp;($A111+22/24),tData[Langligger01],1)</f>
        <v/>
      </c>
      <c r="AA111" s="20">
        <f>COUNTIFS(tData[SEHTrajectPeriodeDatumTijdVan],"&lt;="&amp;($A111+23/24),tData[SEHTrajectPeriodeDatumTijdTotEnMet],"&gt;"&amp;($A111+23/24),tData[Langligger01],1)</f>
        <v/>
      </c>
    </row>
    <row r="112">
      <c r="A112" s="19" t="n">
        <v>45400</v>
      </c>
      <c r="B112" s="15">
        <f>WEEKDAY($A112,2)</f>
        <v/>
      </c>
      <c r="C112" s="15">
        <f>IF(AND($A112&gt;=INT(Instellingen!$B$5),$A112&lt;=INT(Instellingen!$B$6)),1,0)</f>
        <v/>
      </c>
      <c r="D112" s="20">
        <f>COUNTIFS(tData[SEHTrajectPeriodeDatumTijdVan],"&lt;="&amp;($A112+0/24),tData[SEHTrajectPeriodeDatumTijdTotEnMet],"&gt;"&amp;($A112+0/24),tData[Langligger01],1)</f>
        <v/>
      </c>
      <c r="E112" s="20">
        <f>COUNTIFS(tData[SEHTrajectPeriodeDatumTijdVan],"&lt;="&amp;($A112+1/24),tData[SEHTrajectPeriodeDatumTijdTotEnMet],"&gt;"&amp;($A112+1/24),tData[Langligger01],1)</f>
        <v/>
      </c>
      <c r="F112" s="20">
        <f>COUNTIFS(tData[SEHTrajectPeriodeDatumTijdVan],"&lt;="&amp;($A112+2/24),tData[SEHTrajectPeriodeDatumTijdTotEnMet],"&gt;"&amp;($A112+2/24),tData[Langligger01],1)</f>
        <v/>
      </c>
      <c r="G112" s="20">
        <f>COUNTIFS(tData[SEHTrajectPeriodeDatumTijdVan],"&lt;="&amp;($A112+3/24),tData[SEHTrajectPeriodeDatumTijdTotEnMet],"&gt;"&amp;($A112+3/24),tData[Langligger01],1)</f>
        <v/>
      </c>
      <c r="H112" s="20">
        <f>COUNTIFS(tData[SEHTrajectPeriodeDatumTijdVan],"&lt;="&amp;($A112+4/24),tData[SEHTrajectPeriodeDatumTijdTotEnMet],"&gt;"&amp;($A112+4/24),tData[Langligger01],1)</f>
        <v/>
      </c>
      <c r="I112" s="20">
        <f>COUNTIFS(tData[SEHTrajectPeriodeDatumTijdVan],"&lt;="&amp;($A112+5/24),tData[SEHTrajectPeriodeDatumTijdTotEnMet],"&gt;"&amp;($A112+5/24),tData[Langligger01],1)</f>
        <v/>
      </c>
      <c r="J112" s="20">
        <f>COUNTIFS(tData[SEHTrajectPeriodeDatumTijdVan],"&lt;="&amp;($A112+6/24),tData[SEHTrajectPeriodeDatumTijdTotEnMet],"&gt;"&amp;($A112+6/24),tData[Langligger01],1)</f>
        <v/>
      </c>
      <c r="K112" s="20">
        <f>COUNTIFS(tData[SEHTrajectPeriodeDatumTijdVan],"&lt;="&amp;($A112+7/24),tData[SEHTrajectPeriodeDatumTijdTotEnMet],"&gt;"&amp;($A112+7/24),tData[Langligger01],1)</f>
        <v/>
      </c>
      <c r="L112" s="20">
        <f>COUNTIFS(tData[SEHTrajectPeriodeDatumTijdVan],"&lt;="&amp;($A112+8/24),tData[SEHTrajectPeriodeDatumTijdTotEnMet],"&gt;"&amp;($A112+8/24),tData[Langligger01],1)</f>
        <v/>
      </c>
      <c r="M112" s="20">
        <f>COUNTIFS(tData[SEHTrajectPeriodeDatumTijdVan],"&lt;="&amp;($A112+9/24),tData[SEHTrajectPeriodeDatumTijdTotEnMet],"&gt;"&amp;($A112+9/24),tData[Langligger01],1)</f>
        <v/>
      </c>
      <c r="N112" s="20">
        <f>COUNTIFS(tData[SEHTrajectPeriodeDatumTijdVan],"&lt;="&amp;($A112+10/24),tData[SEHTrajectPeriodeDatumTijdTotEnMet],"&gt;"&amp;($A112+10/24),tData[Langligger01],1)</f>
        <v/>
      </c>
      <c r="O112" s="20">
        <f>COUNTIFS(tData[SEHTrajectPeriodeDatumTijdVan],"&lt;="&amp;($A112+11/24),tData[SEHTrajectPeriodeDatumTijdTotEnMet],"&gt;"&amp;($A112+11/24),tData[Langligger01],1)</f>
        <v/>
      </c>
      <c r="P112" s="20">
        <f>COUNTIFS(tData[SEHTrajectPeriodeDatumTijdVan],"&lt;="&amp;($A112+12/24),tData[SEHTrajectPeriodeDatumTijdTotEnMet],"&gt;"&amp;($A112+12/24),tData[Langligger01],1)</f>
        <v/>
      </c>
      <c r="Q112" s="20">
        <f>COUNTIFS(tData[SEHTrajectPeriodeDatumTijdVan],"&lt;="&amp;($A112+13/24),tData[SEHTrajectPeriodeDatumTijdTotEnMet],"&gt;"&amp;($A112+13/24),tData[Langligger01],1)</f>
        <v/>
      </c>
      <c r="R112" s="20">
        <f>COUNTIFS(tData[SEHTrajectPeriodeDatumTijdVan],"&lt;="&amp;($A112+14/24),tData[SEHTrajectPeriodeDatumTijdTotEnMet],"&gt;"&amp;($A112+14/24),tData[Langligger01],1)</f>
        <v/>
      </c>
      <c r="S112" s="20">
        <f>COUNTIFS(tData[SEHTrajectPeriodeDatumTijdVan],"&lt;="&amp;($A112+15/24),tData[SEHTrajectPeriodeDatumTijdTotEnMet],"&gt;"&amp;($A112+15/24),tData[Langligger01],1)</f>
        <v/>
      </c>
      <c r="T112" s="20">
        <f>COUNTIFS(tData[SEHTrajectPeriodeDatumTijdVan],"&lt;="&amp;($A112+16/24),tData[SEHTrajectPeriodeDatumTijdTotEnMet],"&gt;"&amp;($A112+16/24),tData[Langligger01],1)</f>
        <v/>
      </c>
      <c r="U112" s="20">
        <f>COUNTIFS(tData[SEHTrajectPeriodeDatumTijdVan],"&lt;="&amp;($A112+17/24),tData[SEHTrajectPeriodeDatumTijdTotEnMet],"&gt;"&amp;($A112+17/24),tData[Langligger01],1)</f>
        <v/>
      </c>
      <c r="V112" s="20">
        <f>COUNTIFS(tData[SEHTrajectPeriodeDatumTijdVan],"&lt;="&amp;($A112+18/24),tData[SEHTrajectPeriodeDatumTijdTotEnMet],"&gt;"&amp;($A112+18/24),tData[Langligger01],1)</f>
        <v/>
      </c>
      <c r="W112" s="20">
        <f>COUNTIFS(tData[SEHTrajectPeriodeDatumTijdVan],"&lt;="&amp;($A112+19/24),tData[SEHTrajectPeriodeDatumTijdTotEnMet],"&gt;"&amp;($A112+19/24),tData[Langligger01],1)</f>
        <v/>
      </c>
      <c r="X112" s="20">
        <f>COUNTIFS(tData[SEHTrajectPeriodeDatumTijdVan],"&lt;="&amp;($A112+20/24),tData[SEHTrajectPeriodeDatumTijdTotEnMet],"&gt;"&amp;($A112+20/24),tData[Langligger01],1)</f>
        <v/>
      </c>
      <c r="Y112" s="20">
        <f>COUNTIFS(tData[SEHTrajectPeriodeDatumTijdVan],"&lt;="&amp;($A112+21/24),tData[SEHTrajectPeriodeDatumTijdTotEnMet],"&gt;"&amp;($A112+21/24),tData[Langligger01],1)</f>
        <v/>
      </c>
      <c r="Z112" s="20">
        <f>COUNTIFS(tData[SEHTrajectPeriodeDatumTijdVan],"&lt;="&amp;($A112+22/24),tData[SEHTrajectPeriodeDatumTijdTotEnMet],"&gt;"&amp;($A112+22/24),tData[Langligger01],1)</f>
        <v/>
      </c>
      <c r="AA112" s="20">
        <f>COUNTIFS(tData[SEHTrajectPeriodeDatumTijdVan],"&lt;="&amp;($A112+23/24),tData[SEHTrajectPeriodeDatumTijdTotEnMet],"&gt;"&amp;($A112+23/24),tData[Langligger01],1)</f>
        <v/>
      </c>
    </row>
    <row r="113">
      <c r="A113" s="19" t="n">
        <v>45401</v>
      </c>
      <c r="B113" s="15">
        <f>WEEKDAY($A113,2)</f>
        <v/>
      </c>
      <c r="C113" s="15">
        <f>IF(AND($A113&gt;=INT(Instellingen!$B$5),$A113&lt;=INT(Instellingen!$B$6)),1,0)</f>
        <v/>
      </c>
      <c r="D113" s="20">
        <f>COUNTIFS(tData[SEHTrajectPeriodeDatumTijdVan],"&lt;="&amp;($A113+0/24),tData[SEHTrajectPeriodeDatumTijdTotEnMet],"&gt;"&amp;($A113+0/24),tData[Langligger01],1)</f>
        <v/>
      </c>
      <c r="E113" s="20">
        <f>COUNTIFS(tData[SEHTrajectPeriodeDatumTijdVan],"&lt;="&amp;($A113+1/24),tData[SEHTrajectPeriodeDatumTijdTotEnMet],"&gt;"&amp;($A113+1/24),tData[Langligger01],1)</f>
        <v/>
      </c>
      <c r="F113" s="20">
        <f>COUNTIFS(tData[SEHTrajectPeriodeDatumTijdVan],"&lt;="&amp;($A113+2/24),tData[SEHTrajectPeriodeDatumTijdTotEnMet],"&gt;"&amp;($A113+2/24),tData[Langligger01],1)</f>
        <v/>
      </c>
      <c r="G113" s="20">
        <f>COUNTIFS(tData[SEHTrajectPeriodeDatumTijdVan],"&lt;="&amp;($A113+3/24),tData[SEHTrajectPeriodeDatumTijdTotEnMet],"&gt;"&amp;($A113+3/24),tData[Langligger01],1)</f>
        <v/>
      </c>
      <c r="H113" s="20">
        <f>COUNTIFS(tData[SEHTrajectPeriodeDatumTijdVan],"&lt;="&amp;($A113+4/24),tData[SEHTrajectPeriodeDatumTijdTotEnMet],"&gt;"&amp;($A113+4/24),tData[Langligger01],1)</f>
        <v/>
      </c>
      <c r="I113" s="20">
        <f>COUNTIFS(tData[SEHTrajectPeriodeDatumTijdVan],"&lt;="&amp;($A113+5/24),tData[SEHTrajectPeriodeDatumTijdTotEnMet],"&gt;"&amp;($A113+5/24),tData[Langligger01],1)</f>
        <v/>
      </c>
      <c r="J113" s="20">
        <f>COUNTIFS(tData[SEHTrajectPeriodeDatumTijdVan],"&lt;="&amp;($A113+6/24),tData[SEHTrajectPeriodeDatumTijdTotEnMet],"&gt;"&amp;($A113+6/24),tData[Langligger01],1)</f>
        <v/>
      </c>
      <c r="K113" s="20">
        <f>COUNTIFS(tData[SEHTrajectPeriodeDatumTijdVan],"&lt;="&amp;($A113+7/24),tData[SEHTrajectPeriodeDatumTijdTotEnMet],"&gt;"&amp;($A113+7/24),tData[Langligger01],1)</f>
        <v/>
      </c>
      <c r="L113" s="20">
        <f>COUNTIFS(tData[SEHTrajectPeriodeDatumTijdVan],"&lt;="&amp;($A113+8/24),tData[SEHTrajectPeriodeDatumTijdTotEnMet],"&gt;"&amp;($A113+8/24),tData[Langligger01],1)</f>
        <v/>
      </c>
      <c r="M113" s="20">
        <f>COUNTIFS(tData[SEHTrajectPeriodeDatumTijdVan],"&lt;="&amp;($A113+9/24),tData[SEHTrajectPeriodeDatumTijdTotEnMet],"&gt;"&amp;($A113+9/24),tData[Langligger01],1)</f>
        <v/>
      </c>
      <c r="N113" s="20">
        <f>COUNTIFS(tData[SEHTrajectPeriodeDatumTijdVan],"&lt;="&amp;($A113+10/24),tData[SEHTrajectPeriodeDatumTijdTotEnMet],"&gt;"&amp;($A113+10/24),tData[Langligger01],1)</f>
        <v/>
      </c>
      <c r="O113" s="20">
        <f>COUNTIFS(tData[SEHTrajectPeriodeDatumTijdVan],"&lt;="&amp;($A113+11/24),tData[SEHTrajectPeriodeDatumTijdTotEnMet],"&gt;"&amp;($A113+11/24),tData[Langligger01],1)</f>
        <v/>
      </c>
      <c r="P113" s="20">
        <f>COUNTIFS(tData[SEHTrajectPeriodeDatumTijdVan],"&lt;="&amp;($A113+12/24),tData[SEHTrajectPeriodeDatumTijdTotEnMet],"&gt;"&amp;($A113+12/24),tData[Langligger01],1)</f>
        <v/>
      </c>
      <c r="Q113" s="20">
        <f>COUNTIFS(tData[SEHTrajectPeriodeDatumTijdVan],"&lt;="&amp;($A113+13/24),tData[SEHTrajectPeriodeDatumTijdTotEnMet],"&gt;"&amp;($A113+13/24),tData[Langligger01],1)</f>
        <v/>
      </c>
      <c r="R113" s="20">
        <f>COUNTIFS(tData[SEHTrajectPeriodeDatumTijdVan],"&lt;="&amp;($A113+14/24),tData[SEHTrajectPeriodeDatumTijdTotEnMet],"&gt;"&amp;($A113+14/24),tData[Langligger01],1)</f>
        <v/>
      </c>
      <c r="S113" s="20">
        <f>COUNTIFS(tData[SEHTrajectPeriodeDatumTijdVan],"&lt;="&amp;($A113+15/24),tData[SEHTrajectPeriodeDatumTijdTotEnMet],"&gt;"&amp;($A113+15/24),tData[Langligger01],1)</f>
        <v/>
      </c>
      <c r="T113" s="20">
        <f>COUNTIFS(tData[SEHTrajectPeriodeDatumTijdVan],"&lt;="&amp;($A113+16/24),tData[SEHTrajectPeriodeDatumTijdTotEnMet],"&gt;"&amp;($A113+16/24),tData[Langligger01],1)</f>
        <v/>
      </c>
      <c r="U113" s="20">
        <f>COUNTIFS(tData[SEHTrajectPeriodeDatumTijdVan],"&lt;="&amp;($A113+17/24),tData[SEHTrajectPeriodeDatumTijdTotEnMet],"&gt;"&amp;($A113+17/24),tData[Langligger01],1)</f>
        <v/>
      </c>
      <c r="V113" s="20">
        <f>COUNTIFS(tData[SEHTrajectPeriodeDatumTijdVan],"&lt;="&amp;($A113+18/24),tData[SEHTrajectPeriodeDatumTijdTotEnMet],"&gt;"&amp;($A113+18/24),tData[Langligger01],1)</f>
        <v/>
      </c>
      <c r="W113" s="20">
        <f>COUNTIFS(tData[SEHTrajectPeriodeDatumTijdVan],"&lt;="&amp;($A113+19/24),tData[SEHTrajectPeriodeDatumTijdTotEnMet],"&gt;"&amp;($A113+19/24),tData[Langligger01],1)</f>
        <v/>
      </c>
      <c r="X113" s="20">
        <f>COUNTIFS(tData[SEHTrajectPeriodeDatumTijdVan],"&lt;="&amp;($A113+20/24),tData[SEHTrajectPeriodeDatumTijdTotEnMet],"&gt;"&amp;($A113+20/24),tData[Langligger01],1)</f>
        <v/>
      </c>
      <c r="Y113" s="20">
        <f>COUNTIFS(tData[SEHTrajectPeriodeDatumTijdVan],"&lt;="&amp;($A113+21/24),tData[SEHTrajectPeriodeDatumTijdTotEnMet],"&gt;"&amp;($A113+21/24),tData[Langligger01],1)</f>
        <v/>
      </c>
      <c r="Z113" s="20">
        <f>COUNTIFS(tData[SEHTrajectPeriodeDatumTijdVan],"&lt;="&amp;($A113+22/24),tData[SEHTrajectPeriodeDatumTijdTotEnMet],"&gt;"&amp;($A113+22/24),tData[Langligger01],1)</f>
        <v/>
      </c>
      <c r="AA113" s="20">
        <f>COUNTIFS(tData[SEHTrajectPeriodeDatumTijdVan],"&lt;="&amp;($A113+23/24),tData[SEHTrajectPeriodeDatumTijdTotEnMet],"&gt;"&amp;($A113+23/24),tData[Langligger01],1)</f>
        <v/>
      </c>
    </row>
    <row r="114">
      <c r="A114" s="19" t="n">
        <v>45402</v>
      </c>
      <c r="B114" s="15">
        <f>WEEKDAY($A114,2)</f>
        <v/>
      </c>
      <c r="C114" s="15">
        <f>IF(AND($A114&gt;=INT(Instellingen!$B$5),$A114&lt;=INT(Instellingen!$B$6)),1,0)</f>
        <v/>
      </c>
      <c r="D114" s="20">
        <f>COUNTIFS(tData[SEHTrajectPeriodeDatumTijdVan],"&lt;="&amp;($A114+0/24),tData[SEHTrajectPeriodeDatumTijdTotEnMet],"&gt;"&amp;($A114+0/24),tData[Langligger01],1)</f>
        <v/>
      </c>
      <c r="E114" s="20">
        <f>COUNTIFS(tData[SEHTrajectPeriodeDatumTijdVan],"&lt;="&amp;($A114+1/24),tData[SEHTrajectPeriodeDatumTijdTotEnMet],"&gt;"&amp;($A114+1/24),tData[Langligger01],1)</f>
        <v/>
      </c>
      <c r="F114" s="20">
        <f>COUNTIFS(tData[SEHTrajectPeriodeDatumTijdVan],"&lt;="&amp;($A114+2/24),tData[SEHTrajectPeriodeDatumTijdTotEnMet],"&gt;"&amp;($A114+2/24),tData[Langligger01],1)</f>
        <v/>
      </c>
      <c r="G114" s="20">
        <f>COUNTIFS(tData[SEHTrajectPeriodeDatumTijdVan],"&lt;="&amp;($A114+3/24),tData[SEHTrajectPeriodeDatumTijdTotEnMet],"&gt;"&amp;($A114+3/24),tData[Langligger01],1)</f>
        <v/>
      </c>
      <c r="H114" s="20">
        <f>COUNTIFS(tData[SEHTrajectPeriodeDatumTijdVan],"&lt;="&amp;($A114+4/24),tData[SEHTrajectPeriodeDatumTijdTotEnMet],"&gt;"&amp;($A114+4/24),tData[Langligger01],1)</f>
        <v/>
      </c>
      <c r="I114" s="20">
        <f>COUNTIFS(tData[SEHTrajectPeriodeDatumTijdVan],"&lt;="&amp;($A114+5/24),tData[SEHTrajectPeriodeDatumTijdTotEnMet],"&gt;"&amp;($A114+5/24),tData[Langligger01],1)</f>
        <v/>
      </c>
      <c r="J114" s="20">
        <f>COUNTIFS(tData[SEHTrajectPeriodeDatumTijdVan],"&lt;="&amp;($A114+6/24),tData[SEHTrajectPeriodeDatumTijdTotEnMet],"&gt;"&amp;($A114+6/24),tData[Langligger01],1)</f>
        <v/>
      </c>
      <c r="K114" s="20">
        <f>COUNTIFS(tData[SEHTrajectPeriodeDatumTijdVan],"&lt;="&amp;($A114+7/24),tData[SEHTrajectPeriodeDatumTijdTotEnMet],"&gt;"&amp;($A114+7/24),tData[Langligger01],1)</f>
        <v/>
      </c>
      <c r="L114" s="20">
        <f>COUNTIFS(tData[SEHTrajectPeriodeDatumTijdVan],"&lt;="&amp;($A114+8/24),tData[SEHTrajectPeriodeDatumTijdTotEnMet],"&gt;"&amp;($A114+8/24),tData[Langligger01],1)</f>
        <v/>
      </c>
      <c r="M114" s="20">
        <f>COUNTIFS(tData[SEHTrajectPeriodeDatumTijdVan],"&lt;="&amp;($A114+9/24),tData[SEHTrajectPeriodeDatumTijdTotEnMet],"&gt;"&amp;($A114+9/24),tData[Langligger01],1)</f>
        <v/>
      </c>
      <c r="N114" s="20">
        <f>COUNTIFS(tData[SEHTrajectPeriodeDatumTijdVan],"&lt;="&amp;($A114+10/24),tData[SEHTrajectPeriodeDatumTijdTotEnMet],"&gt;"&amp;($A114+10/24),tData[Langligger01],1)</f>
        <v/>
      </c>
      <c r="O114" s="20">
        <f>COUNTIFS(tData[SEHTrajectPeriodeDatumTijdVan],"&lt;="&amp;($A114+11/24),tData[SEHTrajectPeriodeDatumTijdTotEnMet],"&gt;"&amp;($A114+11/24),tData[Langligger01],1)</f>
        <v/>
      </c>
      <c r="P114" s="20">
        <f>COUNTIFS(tData[SEHTrajectPeriodeDatumTijdVan],"&lt;="&amp;($A114+12/24),tData[SEHTrajectPeriodeDatumTijdTotEnMet],"&gt;"&amp;($A114+12/24),tData[Langligger01],1)</f>
        <v/>
      </c>
      <c r="Q114" s="20">
        <f>COUNTIFS(tData[SEHTrajectPeriodeDatumTijdVan],"&lt;="&amp;($A114+13/24),tData[SEHTrajectPeriodeDatumTijdTotEnMet],"&gt;"&amp;($A114+13/24),tData[Langligger01],1)</f>
        <v/>
      </c>
      <c r="R114" s="20">
        <f>COUNTIFS(tData[SEHTrajectPeriodeDatumTijdVan],"&lt;="&amp;($A114+14/24),tData[SEHTrajectPeriodeDatumTijdTotEnMet],"&gt;"&amp;($A114+14/24),tData[Langligger01],1)</f>
        <v/>
      </c>
      <c r="S114" s="20">
        <f>COUNTIFS(tData[SEHTrajectPeriodeDatumTijdVan],"&lt;="&amp;($A114+15/24),tData[SEHTrajectPeriodeDatumTijdTotEnMet],"&gt;"&amp;($A114+15/24),tData[Langligger01],1)</f>
        <v/>
      </c>
      <c r="T114" s="20">
        <f>COUNTIFS(tData[SEHTrajectPeriodeDatumTijdVan],"&lt;="&amp;($A114+16/24),tData[SEHTrajectPeriodeDatumTijdTotEnMet],"&gt;"&amp;($A114+16/24),tData[Langligger01],1)</f>
        <v/>
      </c>
      <c r="U114" s="20">
        <f>COUNTIFS(tData[SEHTrajectPeriodeDatumTijdVan],"&lt;="&amp;($A114+17/24),tData[SEHTrajectPeriodeDatumTijdTotEnMet],"&gt;"&amp;($A114+17/24),tData[Langligger01],1)</f>
        <v/>
      </c>
      <c r="V114" s="20">
        <f>COUNTIFS(tData[SEHTrajectPeriodeDatumTijdVan],"&lt;="&amp;($A114+18/24),tData[SEHTrajectPeriodeDatumTijdTotEnMet],"&gt;"&amp;($A114+18/24),tData[Langligger01],1)</f>
        <v/>
      </c>
      <c r="W114" s="20">
        <f>COUNTIFS(tData[SEHTrajectPeriodeDatumTijdVan],"&lt;="&amp;($A114+19/24),tData[SEHTrajectPeriodeDatumTijdTotEnMet],"&gt;"&amp;($A114+19/24),tData[Langligger01],1)</f>
        <v/>
      </c>
      <c r="X114" s="20">
        <f>COUNTIFS(tData[SEHTrajectPeriodeDatumTijdVan],"&lt;="&amp;($A114+20/24),tData[SEHTrajectPeriodeDatumTijdTotEnMet],"&gt;"&amp;($A114+20/24),tData[Langligger01],1)</f>
        <v/>
      </c>
      <c r="Y114" s="20">
        <f>COUNTIFS(tData[SEHTrajectPeriodeDatumTijdVan],"&lt;="&amp;($A114+21/24),tData[SEHTrajectPeriodeDatumTijdTotEnMet],"&gt;"&amp;($A114+21/24),tData[Langligger01],1)</f>
        <v/>
      </c>
      <c r="Z114" s="20">
        <f>COUNTIFS(tData[SEHTrajectPeriodeDatumTijdVan],"&lt;="&amp;($A114+22/24),tData[SEHTrajectPeriodeDatumTijdTotEnMet],"&gt;"&amp;($A114+22/24),tData[Langligger01],1)</f>
        <v/>
      </c>
      <c r="AA114" s="20">
        <f>COUNTIFS(tData[SEHTrajectPeriodeDatumTijdVan],"&lt;="&amp;($A114+23/24),tData[SEHTrajectPeriodeDatumTijdTotEnMet],"&gt;"&amp;($A114+23/24),tData[Langligger01],1)</f>
        <v/>
      </c>
    </row>
    <row r="115">
      <c r="A115" s="19" t="n">
        <v>45403</v>
      </c>
      <c r="B115" s="15">
        <f>WEEKDAY($A115,2)</f>
        <v/>
      </c>
      <c r="C115" s="15">
        <f>IF(AND($A115&gt;=INT(Instellingen!$B$5),$A115&lt;=INT(Instellingen!$B$6)),1,0)</f>
        <v/>
      </c>
      <c r="D115" s="20">
        <f>COUNTIFS(tData[SEHTrajectPeriodeDatumTijdVan],"&lt;="&amp;($A115+0/24),tData[SEHTrajectPeriodeDatumTijdTotEnMet],"&gt;"&amp;($A115+0/24),tData[Langligger01],1)</f>
        <v/>
      </c>
      <c r="E115" s="20">
        <f>COUNTIFS(tData[SEHTrajectPeriodeDatumTijdVan],"&lt;="&amp;($A115+1/24),tData[SEHTrajectPeriodeDatumTijdTotEnMet],"&gt;"&amp;($A115+1/24),tData[Langligger01],1)</f>
        <v/>
      </c>
      <c r="F115" s="20">
        <f>COUNTIFS(tData[SEHTrajectPeriodeDatumTijdVan],"&lt;="&amp;($A115+2/24),tData[SEHTrajectPeriodeDatumTijdTotEnMet],"&gt;"&amp;($A115+2/24),tData[Langligger01],1)</f>
        <v/>
      </c>
      <c r="G115" s="20">
        <f>COUNTIFS(tData[SEHTrajectPeriodeDatumTijdVan],"&lt;="&amp;($A115+3/24),tData[SEHTrajectPeriodeDatumTijdTotEnMet],"&gt;"&amp;($A115+3/24),tData[Langligger01],1)</f>
        <v/>
      </c>
      <c r="H115" s="20">
        <f>COUNTIFS(tData[SEHTrajectPeriodeDatumTijdVan],"&lt;="&amp;($A115+4/24),tData[SEHTrajectPeriodeDatumTijdTotEnMet],"&gt;"&amp;($A115+4/24),tData[Langligger01],1)</f>
        <v/>
      </c>
      <c r="I115" s="20">
        <f>COUNTIFS(tData[SEHTrajectPeriodeDatumTijdVan],"&lt;="&amp;($A115+5/24),tData[SEHTrajectPeriodeDatumTijdTotEnMet],"&gt;"&amp;($A115+5/24),tData[Langligger01],1)</f>
        <v/>
      </c>
      <c r="J115" s="20">
        <f>COUNTIFS(tData[SEHTrajectPeriodeDatumTijdVan],"&lt;="&amp;($A115+6/24),tData[SEHTrajectPeriodeDatumTijdTotEnMet],"&gt;"&amp;($A115+6/24),tData[Langligger01],1)</f>
        <v/>
      </c>
      <c r="K115" s="20">
        <f>COUNTIFS(tData[SEHTrajectPeriodeDatumTijdVan],"&lt;="&amp;($A115+7/24),tData[SEHTrajectPeriodeDatumTijdTotEnMet],"&gt;"&amp;($A115+7/24),tData[Langligger01],1)</f>
        <v/>
      </c>
      <c r="L115" s="20">
        <f>COUNTIFS(tData[SEHTrajectPeriodeDatumTijdVan],"&lt;="&amp;($A115+8/24),tData[SEHTrajectPeriodeDatumTijdTotEnMet],"&gt;"&amp;($A115+8/24),tData[Langligger01],1)</f>
        <v/>
      </c>
      <c r="M115" s="20">
        <f>COUNTIFS(tData[SEHTrajectPeriodeDatumTijdVan],"&lt;="&amp;($A115+9/24),tData[SEHTrajectPeriodeDatumTijdTotEnMet],"&gt;"&amp;($A115+9/24),tData[Langligger01],1)</f>
        <v/>
      </c>
      <c r="N115" s="20">
        <f>COUNTIFS(tData[SEHTrajectPeriodeDatumTijdVan],"&lt;="&amp;($A115+10/24),tData[SEHTrajectPeriodeDatumTijdTotEnMet],"&gt;"&amp;($A115+10/24),tData[Langligger01],1)</f>
        <v/>
      </c>
      <c r="O115" s="20">
        <f>COUNTIFS(tData[SEHTrajectPeriodeDatumTijdVan],"&lt;="&amp;($A115+11/24),tData[SEHTrajectPeriodeDatumTijdTotEnMet],"&gt;"&amp;($A115+11/24),tData[Langligger01],1)</f>
        <v/>
      </c>
      <c r="P115" s="20">
        <f>COUNTIFS(tData[SEHTrajectPeriodeDatumTijdVan],"&lt;="&amp;($A115+12/24),tData[SEHTrajectPeriodeDatumTijdTotEnMet],"&gt;"&amp;($A115+12/24),tData[Langligger01],1)</f>
        <v/>
      </c>
      <c r="Q115" s="20">
        <f>COUNTIFS(tData[SEHTrajectPeriodeDatumTijdVan],"&lt;="&amp;($A115+13/24),tData[SEHTrajectPeriodeDatumTijdTotEnMet],"&gt;"&amp;($A115+13/24),tData[Langligger01],1)</f>
        <v/>
      </c>
      <c r="R115" s="20">
        <f>COUNTIFS(tData[SEHTrajectPeriodeDatumTijdVan],"&lt;="&amp;($A115+14/24),tData[SEHTrajectPeriodeDatumTijdTotEnMet],"&gt;"&amp;($A115+14/24),tData[Langligger01],1)</f>
        <v/>
      </c>
      <c r="S115" s="20">
        <f>COUNTIFS(tData[SEHTrajectPeriodeDatumTijdVan],"&lt;="&amp;($A115+15/24),tData[SEHTrajectPeriodeDatumTijdTotEnMet],"&gt;"&amp;($A115+15/24),tData[Langligger01],1)</f>
        <v/>
      </c>
      <c r="T115" s="20">
        <f>COUNTIFS(tData[SEHTrajectPeriodeDatumTijdVan],"&lt;="&amp;($A115+16/24),tData[SEHTrajectPeriodeDatumTijdTotEnMet],"&gt;"&amp;($A115+16/24),tData[Langligger01],1)</f>
        <v/>
      </c>
      <c r="U115" s="20">
        <f>COUNTIFS(tData[SEHTrajectPeriodeDatumTijdVan],"&lt;="&amp;($A115+17/24),tData[SEHTrajectPeriodeDatumTijdTotEnMet],"&gt;"&amp;($A115+17/24),tData[Langligger01],1)</f>
        <v/>
      </c>
      <c r="V115" s="20">
        <f>COUNTIFS(tData[SEHTrajectPeriodeDatumTijdVan],"&lt;="&amp;($A115+18/24),tData[SEHTrajectPeriodeDatumTijdTotEnMet],"&gt;"&amp;($A115+18/24),tData[Langligger01],1)</f>
        <v/>
      </c>
      <c r="W115" s="20">
        <f>COUNTIFS(tData[SEHTrajectPeriodeDatumTijdVan],"&lt;="&amp;($A115+19/24),tData[SEHTrajectPeriodeDatumTijdTotEnMet],"&gt;"&amp;($A115+19/24),tData[Langligger01],1)</f>
        <v/>
      </c>
      <c r="X115" s="20">
        <f>COUNTIFS(tData[SEHTrajectPeriodeDatumTijdVan],"&lt;="&amp;($A115+20/24),tData[SEHTrajectPeriodeDatumTijdTotEnMet],"&gt;"&amp;($A115+20/24),tData[Langligger01],1)</f>
        <v/>
      </c>
      <c r="Y115" s="20">
        <f>COUNTIFS(tData[SEHTrajectPeriodeDatumTijdVan],"&lt;="&amp;($A115+21/24),tData[SEHTrajectPeriodeDatumTijdTotEnMet],"&gt;"&amp;($A115+21/24),tData[Langligger01],1)</f>
        <v/>
      </c>
      <c r="Z115" s="20">
        <f>COUNTIFS(tData[SEHTrajectPeriodeDatumTijdVan],"&lt;="&amp;($A115+22/24),tData[SEHTrajectPeriodeDatumTijdTotEnMet],"&gt;"&amp;($A115+22/24),tData[Langligger01],1)</f>
        <v/>
      </c>
      <c r="AA115" s="20">
        <f>COUNTIFS(tData[SEHTrajectPeriodeDatumTijdVan],"&lt;="&amp;($A115+23/24),tData[SEHTrajectPeriodeDatumTijdTotEnMet],"&gt;"&amp;($A115+23/24),tData[Langligger01],1)</f>
        <v/>
      </c>
    </row>
    <row r="116">
      <c r="A116" s="19" t="n">
        <v>45404</v>
      </c>
      <c r="B116" s="15">
        <f>WEEKDAY($A116,2)</f>
        <v/>
      </c>
      <c r="C116" s="15">
        <f>IF(AND($A116&gt;=INT(Instellingen!$B$5),$A116&lt;=INT(Instellingen!$B$6)),1,0)</f>
        <v/>
      </c>
      <c r="D116" s="20">
        <f>COUNTIFS(tData[SEHTrajectPeriodeDatumTijdVan],"&lt;="&amp;($A116+0/24),tData[SEHTrajectPeriodeDatumTijdTotEnMet],"&gt;"&amp;($A116+0/24),tData[Langligger01],1)</f>
        <v/>
      </c>
      <c r="E116" s="20">
        <f>COUNTIFS(tData[SEHTrajectPeriodeDatumTijdVan],"&lt;="&amp;($A116+1/24),tData[SEHTrajectPeriodeDatumTijdTotEnMet],"&gt;"&amp;($A116+1/24),tData[Langligger01],1)</f>
        <v/>
      </c>
      <c r="F116" s="20">
        <f>COUNTIFS(tData[SEHTrajectPeriodeDatumTijdVan],"&lt;="&amp;($A116+2/24),tData[SEHTrajectPeriodeDatumTijdTotEnMet],"&gt;"&amp;($A116+2/24),tData[Langligger01],1)</f>
        <v/>
      </c>
      <c r="G116" s="20">
        <f>COUNTIFS(tData[SEHTrajectPeriodeDatumTijdVan],"&lt;="&amp;($A116+3/24),tData[SEHTrajectPeriodeDatumTijdTotEnMet],"&gt;"&amp;($A116+3/24),tData[Langligger01],1)</f>
        <v/>
      </c>
      <c r="H116" s="20">
        <f>COUNTIFS(tData[SEHTrajectPeriodeDatumTijdVan],"&lt;="&amp;($A116+4/24),tData[SEHTrajectPeriodeDatumTijdTotEnMet],"&gt;"&amp;($A116+4/24),tData[Langligger01],1)</f>
        <v/>
      </c>
      <c r="I116" s="20">
        <f>COUNTIFS(tData[SEHTrajectPeriodeDatumTijdVan],"&lt;="&amp;($A116+5/24),tData[SEHTrajectPeriodeDatumTijdTotEnMet],"&gt;"&amp;($A116+5/24),tData[Langligger01],1)</f>
        <v/>
      </c>
      <c r="J116" s="20">
        <f>COUNTIFS(tData[SEHTrajectPeriodeDatumTijdVan],"&lt;="&amp;($A116+6/24),tData[SEHTrajectPeriodeDatumTijdTotEnMet],"&gt;"&amp;($A116+6/24),tData[Langligger01],1)</f>
        <v/>
      </c>
      <c r="K116" s="20">
        <f>COUNTIFS(tData[SEHTrajectPeriodeDatumTijdVan],"&lt;="&amp;($A116+7/24),tData[SEHTrajectPeriodeDatumTijdTotEnMet],"&gt;"&amp;($A116+7/24),tData[Langligger01],1)</f>
        <v/>
      </c>
      <c r="L116" s="20">
        <f>COUNTIFS(tData[SEHTrajectPeriodeDatumTijdVan],"&lt;="&amp;($A116+8/24),tData[SEHTrajectPeriodeDatumTijdTotEnMet],"&gt;"&amp;($A116+8/24),tData[Langligger01],1)</f>
        <v/>
      </c>
      <c r="M116" s="20">
        <f>COUNTIFS(tData[SEHTrajectPeriodeDatumTijdVan],"&lt;="&amp;($A116+9/24),tData[SEHTrajectPeriodeDatumTijdTotEnMet],"&gt;"&amp;($A116+9/24),tData[Langligger01],1)</f>
        <v/>
      </c>
      <c r="N116" s="20">
        <f>COUNTIFS(tData[SEHTrajectPeriodeDatumTijdVan],"&lt;="&amp;($A116+10/24),tData[SEHTrajectPeriodeDatumTijdTotEnMet],"&gt;"&amp;($A116+10/24),tData[Langligger01],1)</f>
        <v/>
      </c>
      <c r="O116" s="20">
        <f>COUNTIFS(tData[SEHTrajectPeriodeDatumTijdVan],"&lt;="&amp;($A116+11/24),tData[SEHTrajectPeriodeDatumTijdTotEnMet],"&gt;"&amp;($A116+11/24),tData[Langligger01],1)</f>
        <v/>
      </c>
      <c r="P116" s="20">
        <f>COUNTIFS(tData[SEHTrajectPeriodeDatumTijdVan],"&lt;="&amp;($A116+12/24),tData[SEHTrajectPeriodeDatumTijdTotEnMet],"&gt;"&amp;($A116+12/24),tData[Langligger01],1)</f>
        <v/>
      </c>
      <c r="Q116" s="20">
        <f>COUNTIFS(tData[SEHTrajectPeriodeDatumTijdVan],"&lt;="&amp;($A116+13/24),tData[SEHTrajectPeriodeDatumTijdTotEnMet],"&gt;"&amp;($A116+13/24),tData[Langligger01],1)</f>
        <v/>
      </c>
      <c r="R116" s="20">
        <f>COUNTIFS(tData[SEHTrajectPeriodeDatumTijdVan],"&lt;="&amp;($A116+14/24),tData[SEHTrajectPeriodeDatumTijdTotEnMet],"&gt;"&amp;($A116+14/24),tData[Langligger01],1)</f>
        <v/>
      </c>
      <c r="S116" s="20">
        <f>COUNTIFS(tData[SEHTrajectPeriodeDatumTijdVan],"&lt;="&amp;($A116+15/24),tData[SEHTrajectPeriodeDatumTijdTotEnMet],"&gt;"&amp;($A116+15/24),tData[Langligger01],1)</f>
        <v/>
      </c>
      <c r="T116" s="20">
        <f>COUNTIFS(tData[SEHTrajectPeriodeDatumTijdVan],"&lt;="&amp;($A116+16/24),tData[SEHTrajectPeriodeDatumTijdTotEnMet],"&gt;"&amp;($A116+16/24),tData[Langligger01],1)</f>
        <v/>
      </c>
      <c r="U116" s="20">
        <f>COUNTIFS(tData[SEHTrajectPeriodeDatumTijdVan],"&lt;="&amp;($A116+17/24),tData[SEHTrajectPeriodeDatumTijdTotEnMet],"&gt;"&amp;($A116+17/24),tData[Langligger01],1)</f>
        <v/>
      </c>
      <c r="V116" s="20">
        <f>COUNTIFS(tData[SEHTrajectPeriodeDatumTijdVan],"&lt;="&amp;($A116+18/24),tData[SEHTrajectPeriodeDatumTijdTotEnMet],"&gt;"&amp;($A116+18/24),tData[Langligger01],1)</f>
        <v/>
      </c>
      <c r="W116" s="20">
        <f>COUNTIFS(tData[SEHTrajectPeriodeDatumTijdVan],"&lt;="&amp;($A116+19/24),tData[SEHTrajectPeriodeDatumTijdTotEnMet],"&gt;"&amp;($A116+19/24),tData[Langligger01],1)</f>
        <v/>
      </c>
      <c r="X116" s="20">
        <f>COUNTIFS(tData[SEHTrajectPeriodeDatumTijdVan],"&lt;="&amp;($A116+20/24),tData[SEHTrajectPeriodeDatumTijdTotEnMet],"&gt;"&amp;($A116+20/24),tData[Langligger01],1)</f>
        <v/>
      </c>
      <c r="Y116" s="20">
        <f>COUNTIFS(tData[SEHTrajectPeriodeDatumTijdVan],"&lt;="&amp;($A116+21/24),tData[SEHTrajectPeriodeDatumTijdTotEnMet],"&gt;"&amp;($A116+21/24),tData[Langligger01],1)</f>
        <v/>
      </c>
      <c r="Z116" s="20">
        <f>COUNTIFS(tData[SEHTrajectPeriodeDatumTijdVan],"&lt;="&amp;($A116+22/24),tData[SEHTrajectPeriodeDatumTijdTotEnMet],"&gt;"&amp;($A116+22/24),tData[Langligger01],1)</f>
        <v/>
      </c>
      <c r="AA116" s="20">
        <f>COUNTIFS(tData[SEHTrajectPeriodeDatumTijdVan],"&lt;="&amp;($A116+23/24),tData[SEHTrajectPeriodeDatumTijdTotEnMet],"&gt;"&amp;($A116+23/24),tData[Langligger01],1)</f>
        <v/>
      </c>
    </row>
    <row r="117">
      <c r="A117" s="19" t="n">
        <v>45405</v>
      </c>
      <c r="B117" s="15">
        <f>WEEKDAY($A117,2)</f>
        <v/>
      </c>
      <c r="C117" s="15">
        <f>IF(AND($A117&gt;=INT(Instellingen!$B$5),$A117&lt;=INT(Instellingen!$B$6)),1,0)</f>
        <v/>
      </c>
      <c r="D117" s="20">
        <f>COUNTIFS(tData[SEHTrajectPeriodeDatumTijdVan],"&lt;="&amp;($A117+0/24),tData[SEHTrajectPeriodeDatumTijdTotEnMet],"&gt;"&amp;($A117+0/24),tData[Langligger01],1)</f>
        <v/>
      </c>
      <c r="E117" s="20">
        <f>COUNTIFS(tData[SEHTrajectPeriodeDatumTijdVan],"&lt;="&amp;($A117+1/24),tData[SEHTrajectPeriodeDatumTijdTotEnMet],"&gt;"&amp;($A117+1/24),tData[Langligger01],1)</f>
        <v/>
      </c>
      <c r="F117" s="20">
        <f>COUNTIFS(tData[SEHTrajectPeriodeDatumTijdVan],"&lt;="&amp;($A117+2/24),tData[SEHTrajectPeriodeDatumTijdTotEnMet],"&gt;"&amp;($A117+2/24),tData[Langligger01],1)</f>
        <v/>
      </c>
      <c r="G117" s="20">
        <f>COUNTIFS(tData[SEHTrajectPeriodeDatumTijdVan],"&lt;="&amp;($A117+3/24),tData[SEHTrajectPeriodeDatumTijdTotEnMet],"&gt;"&amp;($A117+3/24),tData[Langligger01],1)</f>
        <v/>
      </c>
      <c r="H117" s="20">
        <f>COUNTIFS(tData[SEHTrajectPeriodeDatumTijdVan],"&lt;="&amp;($A117+4/24),tData[SEHTrajectPeriodeDatumTijdTotEnMet],"&gt;"&amp;($A117+4/24),tData[Langligger01],1)</f>
        <v/>
      </c>
      <c r="I117" s="20">
        <f>COUNTIFS(tData[SEHTrajectPeriodeDatumTijdVan],"&lt;="&amp;($A117+5/24),tData[SEHTrajectPeriodeDatumTijdTotEnMet],"&gt;"&amp;($A117+5/24),tData[Langligger01],1)</f>
        <v/>
      </c>
      <c r="J117" s="20">
        <f>COUNTIFS(tData[SEHTrajectPeriodeDatumTijdVan],"&lt;="&amp;($A117+6/24),tData[SEHTrajectPeriodeDatumTijdTotEnMet],"&gt;"&amp;($A117+6/24),tData[Langligger01],1)</f>
        <v/>
      </c>
      <c r="K117" s="20">
        <f>COUNTIFS(tData[SEHTrajectPeriodeDatumTijdVan],"&lt;="&amp;($A117+7/24),tData[SEHTrajectPeriodeDatumTijdTotEnMet],"&gt;"&amp;($A117+7/24),tData[Langligger01],1)</f>
        <v/>
      </c>
      <c r="L117" s="20">
        <f>COUNTIFS(tData[SEHTrajectPeriodeDatumTijdVan],"&lt;="&amp;($A117+8/24),tData[SEHTrajectPeriodeDatumTijdTotEnMet],"&gt;"&amp;($A117+8/24),tData[Langligger01],1)</f>
        <v/>
      </c>
      <c r="M117" s="20">
        <f>COUNTIFS(tData[SEHTrajectPeriodeDatumTijdVan],"&lt;="&amp;($A117+9/24),tData[SEHTrajectPeriodeDatumTijdTotEnMet],"&gt;"&amp;($A117+9/24),tData[Langligger01],1)</f>
        <v/>
      </c>
      <c r="N117" s="20">
        <f>COUNTIFS(tData[SEHTrajectPeriodeDatumTijdVan],"&lt;="&amp;($A117+10/24),tData[SEHTrajectPeriodeDatumTijdTotEnMet],"&gt;"&amp;($A117+10/24),tData[Langligger01],1)</f>
        <v/>
      </c>
      <c r="O117" s="20">
        <f>COUNTIFS(tData[SEHTrajectPeriodeDatumTijdVan],"&lt;="&amp;($A117+11/24),tData[SEHTrajectPeriodeDatumTijdTotEnMet],"&gt;"&amp;($A117+11/24),tData[Langligger01],1)</f>
        <v/>
      </c>
      <c r="P117" s="20">
        <f>COUNTIFS(tData[SEHTrajectPeriodeDatumTijdVan],"&lt;="&amp;($A117+12/24),tData[SEHTrajectPeriodeDatumTijdTotEnMet],"&gt;"&amp;($A117+12/24),tData[Langligger01],1)</f>
        <v/>
      </c>
      <c r="Q117" s="20">
        <f>COUNTIFS(tData[SEHTrajectPeriodeDatumTijdVan],"&lt;="&amp;($A117+13/24),tData[SEHTrajectPeriodeDatumTijdTotEnMet],"&gt;"&amp;($A117+13/24),tData[Langligger01],1)</f>
        <v/>
      </c>
      <c r="R117" s="20">
        <f>COUNTIFS(tData[SEHTrajectPeriodeDatumTijdVan],"&lt;="&amp;($A117+14/24),tData[SEHTrajectPeriodeDatumTijdTotEnMet],"&gt;"&amp;($A117+14/24),tData[Langligger01],1)</f>
        <v/>
      </c>
      <c r="S117" s="20">
        <f>COUNTIFS(tData[SEHTrajectPeriodeDatumTijdVan],"&lt;="&amp;($A117+15/24),tData[SEHTrajectPeriodeDatumTijdTotEnMet],"&gt;"&amp;($A117+15/24),tData[Langligger01],1)</f>
        <v/>
      </c>
      <c r="T117" s="20">
        <f>COUNTIFS(tData[SEHTrajectPeriodeDatumTijdVan],"&lt;="&amp;($A117+16/24),tData[SEHTrajectPeriodeDatumTijdTotEnMet],"&gt;"&amp;($A117+16/24),tData[Langligger01],1)</f>
        <v/>
      </c>
      <c r="U117" s="20">
        <f>COUNTIFS(tData[SEHTrajectPeriodeDatumTijdVan],"&lt;="&amp;($A117+17/24),tData[SEHTrajectPeriodeDatumTijdTotEnMet],"&gt;"&amp;($A117+17/24),tData[Langligger01],1)</f>
        <v/>
      </c>
      <c r="V117" s="20">
        <f>COUNTIFS(tData[SEHTrajectPeriodeDatumTijdVan],"&lt;="&amp;($A117+18/24),tData[SEHTrajectPeriodeDatumTijdTotEnMet],"&gt;"&amp;($A117+18/24),tData[Langligger01],1)</f>
        <v/>
      </c>
      <c r="W117" s="20">
        <f>COUNTIFS(tData[SEHTrajectPeriodeDatumTijdVan],"&lt;="&amp;($A117+19/24),tData[SEHTrajectPeriodeDatumTijdTotEnMet],"&gt;"&amp;($A117+19/24),tData[Langligger01],1)</f>
        <v/>
      </c>
      <c r="X117" s="20">
        <f>COUNTIFS(tData[SEHTrajectPeriodeDatumTijdVan],"&lt;="&amp;($A117+20/24),tData[SEHTrajectPeriodeDatumTijdTotEnMet],"&gt;"&amp;($A117+20/24),tData[Langligger01],1)</f>
        <v/>
      </c>
      <c r="Y117" s="20">
        <f>COUNTIFS(tData[SEHTrajectPeriodeDatumTijdVan],"&lt;="&amp;($A117+21/24),tData[SEHTrajectPeriodeDatumTijdTotEnMet],"&gt;"&amp;($A117+21/24),tData[Langligger01],1)</f>
        <v/>
      </c>
      <c r="Z117" s="20">
        <f>COUNTIFS(tData[SEHTrajectPeriodeDatumTijdVan],"&lt;="&amp;($A117+22/24),tData[SEHTrajectPeriodeDatumTijdTotEnMet],"&gt;"&amp;($A117+22/24),tData[Langligger01],1)</f>
        <v/>
      </c>
      <c r="AA117" s="20">
        <f>COUNTIFS(tData[SEHTrajectPeriodeDatumTijdVan],"&lt;="&amp;($A117+23/24),tData[SEHTrajectPeriodeDatumTijdTotEnMet],"&gt;"&amp;($A117+23/24),tData[Langligger01],1)</f>
        <v/>
      </c>
    </row>
    <row r="118">
      <c r="A118" s="19" t="n">
        <v>45406</v>
      </c>
      <c r="B118" s="15">
        <f>WEEKDAY($A118,2)</f>
        <v/>
      </c>
      <c r="C118" s="15">
        <f>IF(AND($A118&gt;=INT(Instellingen!$B$5),$A118&lt;=INT(Instellingen!$B$6)),1,0)</f>
        <v/>
      </c>
      <c r="D118" s="20">
        <f>COUNTIFS(tData[SEHTrajectPeriodeDatumTijdVan],"&lt;="&amp;($A118+0/24),tData[SEHTrajectPeriodeDatumTijdTotEnMet],"&gt;"&amp;($A118+0/24),tData[Langligger01],1)</f>
        <v/>
      </c>
      <c r="E118" s="20">
        <f>COUNTIFS(tData[SEHTrajectPeriodeDatumTijdVan],"&lt;="&amp;($A118+1/24),tData[SEHTrajectPeriodeDatumTijdTotEnMet],"&gt;"&amp;($A118+1/24),tData[Langligger01],1)</f>
        <v/>
      </c>
      <c r="F118" s="20">
        <f>COUNTIFS(tData[SEHTrajectPeriodeDatumTijdVan],"&lt;="&amp;($A118+2/24),tData[SEHTrajectPeriodeDatumTijdTotEnMet],"&gt;"&amp;($A118+2/24),tData[Langligger01],1)</f>
        <v/>
      </c>
      <c r="G118" s="20">
        <f>COUNTIFS(tData[SEHTrajectPeriodeDatumTijdVan],"&lt;="&amp;($A118+3/24),tData[SEHTrajectPeriodeDatumTijdTotEnMet],"&gt;"&amp;($A118+3/24),tData[Langligger01],1)</f>
        <v/>
      </c>
      <c r="H118" s="20">
        <f>COUNTIFS(tData[SEHTrajectPeriodeDatumTijdVan],"&lt;="&amp;($A118+4/24),tData[SEHTrajectPeriodeDatumTijdTotEnMet],"&gt;"&amp;($A118+4/24),tData[Langligger01],1)</f>
        <v/>
      </c>
      <c r="I118" s="20">
        <f>COUNTIFS(tData[SEHTrajectPeriodeDatumTijdVan],"&lt;="&amp;($A118+5/24),tData[SEHTrajectPeriodeDatumTijdTotEnMet],"&gt;"&amp;($A118+5/24),tData[Langligger01],1)</f>
        <v/>
      </c>
      <c r="J118" s="20">
        <f>COUNTIFS(tData[SEHTrajectPeriodeDatumTijdVan],"&lt;="&amp;($A118+6/24),tData[SEHTrajectPeriodeDatumTijdTotEnMet],"&gt;"&amp;($A118+6/24),tData[Langligger01],1)</f>
        <v/>
      </c>
      <c r="K118" s="20">
        <f>COUNTIFS(tData[SEHTrajectPeriodeDatumTijdVan],"&lt;="&amp;($A118+7/24),tData[SEHTrajectPeriodeDatumTijdTotEnMet],"&gt;"&amp;($A118+7/24),tData[Langligger01],1)</f>
        <v/>
      </c>
      <c r="L118" s="20">
        <f>COUNTIFS(tData[SEHTrajectPeriodeDatumTijdVan],"&lt;="&amp;($A118+8/24),tData[SEHTrajectPeriodeDatumTijdTotEnMet],"&gt;"&amp;($A118+8/24),tData[Langligger01],1)</f>
        <v/>
      </c>
      <c r="M118" s="20">
        <f>COUNTIFS(tData[SEHTrajectPeriodeDatumTijdVan],"&lt;="&amp;($A118+9/24),tData[SEHTrajectPeriodeDatumTijdTotEnMet],"&gt;"&amp;($A118+9/24),tData[Langligger01],1)</f>
        <v/>
      </c>
      <c r="N118" s="20">
        <f>COUNTIFS(tData[SEHTrajectPeriodeDatumTijdVan],"&lt;="&amp;($A118+10/24),tData[SEHTrajectPeriodeDatumTijdTotEnMet],"&gt;"&amp;($A118+10/24),tData[Langligger01],1)</f>
        <v/>
      </c>
      <c r="O118" s="20">
        <f>COUNTIFS(tData[SEHTrajectPeriodeDatumTijdVan],"&lt;="&amp;($A118+11/24),tData[SEHTrajectPeriodeDatumTijdTotEnMet],"&gt;"&amp;($A118+11/24),tData[Langligger01],1)</f>
        <v/>
      </c>
      <c r="P118" s="20">
        <f>COUNTIFS(tData[SEHTrajectPeriodeDatumTijdVan],"&lt;="&amp;($A118+12/24),tData[SEHTrajectPeriodeDatumTijdTotEnMet],"&gt;"&amp;($A118+12/24),tData[Langligger01],1)</f>
        <v/>
      </c>
      <c r="Q118" s="20">
        <f>COUNTIFS(tData[SEHTrajectPeriodeDatumTijdVan],"&lt;="&amp;($A118+13/24),tData[SEHTrajectPeriodeDatumTijdTotEnMet],"&gt;"&amp;($A118+13/24),tData[Langligger01],1)</f>
        <v/>
      </c>
      <c r="R118" s="20">
        <f>COUNTIFS(tData[SEHTrajectPeriodeDatumTijdVan],"&lt;="&amp;($A118+14/24),tData[SEHTrajectPeriodeDatumTijdTotEnMet],"&gt;"&amp;($A118+14/24),tData[Langligger01],1)</f>
        <v/>
      </c>
      <c r="S118" s="20">
        <f>COUNTIFS(tData[SEHTrajectPeriodeDatumTijdVan],"&lt;="&amp;($A118+15/24),tData[SEHTrajectPeriodeDatumTijdTotEnMet],"&gt;"&amp;($A118+15/24),tData[Langligger01],1)</f>
        <v/>
      </c>
      <c r="T118" s="20">
        <f>COUNTIFS(tData[SEHTrajectPeriodeDatumTijdVan],"&lt;="&amp;($A118+16/24),tData[SEHTrajectPeriodeDatumTijdTotEnMet],"&gt;"&amp;($A118+16/24),tData[Langligger01],1)</f>
        <v/>
      </c>
      <c r="U118" s="20">
        <f>COUNTIFS(tData[SEHTrajectPeriodeDatumTijdVan],"&lt;="&amp;($A118+17/24),tData[SEHTrajectPeriodeDatumTijdTotEnMet],"&gt;"&amp;($A118+17/24),tData[Langligger01],1)</f>
        <v/>
      </c>
      <c r="V118" s="20">
        <f>COUNTIFS(tData[SEHTrajectPeriodeDatumTijdVan],"&lt;="&amp;($A118+18/24),tData[SEHTrajectPeriodeDatumTijdTotEnMet],"&gt;"&amp;($A118+18/24),tData[Langligger01],1)</f>
        <v/>
      </c>
      <c r="W118" s="20">
        <f>COUNTIFS(tData[SEHTrajectPeriodeDatumTijdVan],"&lt;="&amp;($A118+19/24),tData[SEHTrajectPeriodeDatumTijdTotEnMet],"&gt;"&amp;($A118+19/24),tData[Langligger01],1)</f>
        <v/>
      </c>
      <c r="X118" s="20">
        <f>COUNTIFS(tData[SEHTrajectPeriodeDatumTijdVan],"&lt;="&amp;($A118+20/24),tData[SEHTrajectPeriodeDatumTijdTotEnMet],"&gt;"&amp;($A118+20/24),tData[Langligger01],1)</f>
        <v/>
      </c>
      <c r="Y118" s="20">
        <f>COUNTIFS(tData[SEHTrajectPeriodeDatumTijdVan],"&lt;="&amp;($A118+21/24),tData[SEHTrajectPeriodeDatumTijdTotEnMet],"&gt;"&amp;($A118+21/24),tData[Langligger01],1)</f>
        <v/>
      </c>
      <c r="Z118" s="20">
        <f>COUNTIFS(tData[SEHTrajectPeriodeDatumTijdVan],"&lt;="&amp;($A118+22/24),tData[SEHTrajectPeriodeDatumTijdTotEnMet],"&gt;"&amp;($A118+22/24),tData[Langligger01],1)</f>
        <v/>
      </c>
      <c r="AA118" s="20">
        <f>COUNTIFS(tData[SEHTrajectPeriodeDatumTijdVan],"&lt;="&amp;($A118+23/24),tData[SEHTrajectPeriodeDatumTijdTotEnMet],"&gt;"&amp;($A118+23/24),tData[Langligger01],1)</f>
        <v/>
      </c>
    </row>
    <row r="119">
      <c r="A119" s="19" t="n">
        <v>45407</v>
      </c>
      <c r="B119" s="15">
        <f>WEEKDAY($A119,2)</f>
        <v/>
      </c>
      <c r="C119" s="15">
        <f>IF(AND($A119&gt;=INT(Instellingen!$B$5),$A119&lt;=INT(Instellingen!$B$6)),1,0)</f>
        <v/>
      </c>
      <c r="D119" s="20">
        <f>COUNTIFS(tData[SEHTrajectPeriodeDatumTijdVan],"&lt;="&amp;($A119+0/24),tData[SEHTrajectPeriodeDatumTijdTotEnMet],"&gt;"&amp;($A119+0/24),tData[Langligger01],1)</f>
        <v/>
      </c>
      <c r="E119" s="20">
        <f>COUNTIFS(tData[SEHTrajectPeriodeDatumTijdVan],"&lt;="&amp;($A119+1/24),tData[SEHTrajectPeriodeDatumTijdTotEnMet],"&gt;"&amp;($A119+1/24),tData[Langligger01],1)</f>
        <v/>
      </c>
      <c r="F119" s="20">
        <f>COUNTIFS(tData[SEHTrajectPeriodeDatumTijdVan],"&lt;="&amp;($A119+2/24),tData[SEHTrajectPeriodeDatumTijdTotEnMet],"&gt;"&amp;($A119+2/24),tData[Langligger01],1)</f>
        <v/>
      </c>
      <c r="G119" s="20">
        <f>COUNTIFS(tData[SEHTrajectPeriodeDatumTijdVan],"&lt;="&amp;($A119+3/24),tData[SEHTrajectPeriodeDatumTijdTotEnMet],"&gt;"&amp;($A119+3/24),tData[Langligger01],1)</f>
        <v/>
      </c>
      <c r="H119" s="20">
        <f>COUNTIFS(tData[SEHTrajectPeriodeDatumTijdVan],"&lt;="&amp;($A119+4/24),tData[SEHTrajectPeriodeDatumTijdTotEnMet],"&gt;"&amp;($A119+4/24),tData[Langligger01],1)</f>
        <v/>
      </c>
      <c r="I119" s="20">
        <f>COUNTIFS(tData[SEHTrajectPeriodeDatumTijdVan],"&lt;="&amp;($A119+5/24),tData[SEHTrajectPeriodeDatumTijdTotEnMet],"&gt;"&amp;($A119+5/24),tData[Langligger01],1)</f>
        <v/>
      </c>
      <c r="J119" s="20">
        <f>COUNTIFS(tData[SEHTrajectPeriodeDatumTijdVan],"&lt;="&amp;($A119+6/24),tData[SEHTrajectPeriodeDatumTijdTotEnMet],"&gt;"&amp;($A119+6/24),tData[Langligger01],1)</f>
        <v/>
      </c>
      <c r="K119" s="20">
        <f>COUNTIFS(tData[SEHTrajectPeriodeDatumTijdVan],"&lt;="&amp;($A119+7/24),tData[SEHTrajectPeriodeDatumTijdTotEnMet],"&gt;"&amp;($A119+7/24),tData[Langligger01],1)</f>
        <v/>
      </c>
      <c r="L119" s="20">
        <f>COUNTIFS(tData[SEHTrajectPeriodeDatumTijdVan],"&lt;="&amp;($A119+8/24),tData[SEHTrajectPeriodeDatumTijdTotEnMet],"&gt;"&amp;($A119+8/24),tData[Langligger01],1)</f>
        <v/>
      </c>
      <c r="M119" s="20">
        <f>COUNTIFS(tData[SEHTrajectPeriodeDatumTijdVan],"&lt;="&amp;($A119+9/24),tData[SEHTrajectPeriodeDatumTijdTotEnMet],"&gt;"&amp;($A119+9/24),tData[Langligger01],1)</f>
        <v/>
      </c>
      <c r="N119" s="20">
        <f>COUNTIFS(tData[SEHTrajectPeriodeDatumTijdVan],"&lt;="&amp;($A119+10/24),tData[SEHTrajectPeriodeDatumTijdTotEnMet],"&gt;"&amp;($A119+10/24),tData[Langligger01],1)</f>
        <v/>
      </c>
      <c r="O119" s="20">
        <f>COUNTIFS(tData[SEHTrajectPeriodeDatumTijdVan],"&lt;="&amp;($A119+11/24),tData[SEHTrajectPeriodeDatumTijdTotEnMet],"&gt;"&amp;($A119+11/24),tData[Langligger01],1)</f>
        <v/>
      </c>
      <c r="P119" s="20">
        <f>COUNTIFS(tData[SEHTrajectPeriodeDatumTijdVan],"&lt;="&amp;($A119+12/24),tData[SEHTrajectPeriodeDatumTijdTotEnMet],"&gt;"&amp;($A119+12/24),tData[Langligger01],1)</f>
        <v/>
      </c>
      <c r="Q119" s="20">
        <f>COUNTIFS(tData[SEHTrajectPeriodeDatumTijdVan],"&lt;="&amp;($A119+13/24),tData[SEHTrajectPeriodeDatumTijdTotEnMet],"&gt;"&amp;($A119+13/24),tData[Langligger01],1)</f>
        <v/>
      </c>
      <c r="R119" s="20">
        <f>COUNTIFS(tData[SEHTrajectPeriodeDatumTijdVan],"&lt;="&amp;($A119+14/24),tData[SEHTrajectPeriodeDatumTijdTotEnMet],"&gt;"&amp;($A119+14/24),tData[Langligger01],1)</f>
        <v/>
      </c>
      <c r="S119" s="20">
        <f>COUNTIFS(tData[SEHTrajectPeriodeDatumTijdVan],"&lt;="&amp;($A119+15/24),tData[SEHTrajectPeriodeDatumTijdTotEnMet],"&gt;"&amp;($A119+15/24),tData[Langligger01],1)</f>
        <v/>
      </c>
      <c r="T119" s="20">
        <f>COUNTIFS(tData[SEHTrajectPeriodeDatumTijdVan],"&lt;="&amp;($A119+16/24),tData[SEHTrajectPeriodeDatumTijdTotEnMet],"&gt;"&amp;($A119+16/24),tData[Langligger01],1)</f>
        <v/>
      </c>
      <c r="U119" s="20">
        <f>COUNTIFS(tData[SEHTrajectPeriodeDatumTijdVan],"&lt;="&amp;($A119+17/24),tData[SEHTrajectPeriodeDatumTijdTotEnMet],"&gt;"&amp;($A119+17/24),tData[Langligger01],1)</f>
        <v/>
      </c>
      <c r="V119" s="20">
        <f>COUNTIFS(tData[SEHTrajectPeriodeDatumTijdVan],"&lt;="&amp;($A119+18/24),tData[SEHTrajectPeriodeDatumTijdTotEnMet],"&gt;"&amp;($A119+18/24),tData[Langligger01],1)</f>
        <v/>
      </c>
      <c r="W119" s="20">
        <f>COUNTIFS(tData[SEHTrajectPeriodeDatumTijdVan],"&lt;="&amp;($A119+19/24),tData[SEHTrajectPeriodeDatumTijdTotEnMet],"&gt;"&amp;($A119+19/24),tData[Langligger01],1)</f>
        <v/>
      </c>
      <c r="X119" s="20">
        <f>COUNTIFS(tData[SEHTrajectPeriodeDatumTijdVan],"&lt;="&amp;($A119+20/24),tData[SEHTrajectPeriodeDatumTijdTotEnMet],"&gt;"&amp;($A119+20/24),tData[Langligger01],1)</f>
        <v/>
      </c>
      <c r="Y119" s="20">
        <f>COUNTIFS(tData[SEHTrajectPeriodeDatumTijdVan],"&lt;="&amp;($A119+21/24),tData[SEHTrajectPeriodeDatumTijdTotEnMet],"&gt;"&amp;($A119+21/24),tData[Langligger01],1)</f>
        <v/>
      </c>
      <c r="Z119" s="20">
        <f>COUNTIFS(tData[SEHTrajectPeriodeDatumTijdVan],"&lt;="&amp;($A119+22/24),tData[SEHTrajectPeriodeDatumTijdTotEnMet],"&gt;"&amp;($A119+22/24),tData[Langligger01],1)</f>
        <v/>
      </c>
      <c r="AA119" s="20">
        <f>COUNTIFS(tData[SEHTrajectPeriodeDatumTijdVan],"&lt;="&amp;($A119+23/24),tData[SEHTrajectPeriodeDatumTijdTotEnMet],"&gt;"&amp;($A119+23/24),tData[Langligger01],1)</f>
        <v/>
      </c>
    </row>
    <row r="120">
      <c r="A120" s="19" t="n">
        <v>45408</v>
      </c>
      <c r="B120" s="15">
        <f>WEEKDAY($A120,2)</f>
        <v/>
      </c>
      <c r="C120" s="15">
        <f>IF(AND($A120&gt;=INT(Instellingen!$B$5),$A120&lt;=INT(Instellingen!$B$6)),1,0)</f>
        <v/>
      </c>
      <c r="D120" s="20">
        <f>COUNTIFS(tData[SEHTrajectPeriodeDatumTijdVan],"&lt;="&amp;($A120+0/24),tData[SEHTrajectPeriodeDatumTijdTotEnMet],"&gt;"&amp;($A120+0/24),tData[Langligger01],1)</f>
        <v/>
      </c>
      <c r="E120" s="20">
        <f>COUNTIFS(tData[SEHTrajectPeriodeDatumTijdVan],"&lt;="&amp;($A120+1/24),tData[SEHTrajectPeriodeDatumTijdTotEnMet],"&gt;"&amp;($A120+1/24),tData[Langligger01],1)</f>
        <v/>
      </c>
      <c r="F120" s="20">
        <f>COUNTIFS(tData[SEHTrajectPeriodeDatumTijdVan],"&lt;="&amp;($A120+2/24),tData[SEHTrajectPeriodeDatumTijdTotEnMet],"&gt;"&amp;($A120+2/24),tData[Langligger01],1)</f>
        <v/>
      </c>
      <c r="G120" s="20">
        <f>COUNTIFS(tData[SEHTrajectPeriodeDatumTijdVan],"&lt;="&amp;($A120+3/24),tData[SEHTrajectPeriodeDatumTijdTotEnMet],"&gt;"&amp;($A120+3/24),tData[Langligger01],1)</f>
        <v/>
      </c>
      <c r="H120" s="20">
        <f>COUNTIFS(tData[SEHTrajectPeriodeDatumTijdVan],"&lt;="&amp;($A120+4/24),tData[SEHTrajectPeriodeDatumTijdTotEnMet],"&gt;"&amp;($A120+4/24),tData[Langligger01],1)</f>
        <v/>
      </c>
      <c r="I120" s="20">
        <f>COUNTIFS(tData[SEHTrajectPeriodeDatumTijdVan],"&lt;="&amp;($A120+5/24),tData[SEHTrajectPeriodeDatumTijdTotEnMet],"&gt;"&amp;($A120+5/24),tData[Langligger01],1)</f>
        <v/>
      </c>
      <c r="J120" s="20">
        <f>COUNTIFS(tData[SEHTrajectPeriodeDatumTijdVan],"&lt;="&amp;($A120+6/24),tData[SEHTrajectPeriodeDatumTijdTotEnMet],"&gt;"&amp;($A120+6/24),tData[Langligger01],1)</f>
        <v/>
      </c>
      <c r="K120" s="20">
        <f>COUNTIFS(tData[SEHTrajectPeriodeDatumTijdVan],"&lt;="&amp;($A120+7/24),tData[SEHTrajectPeriodeDatumTijdTotEnMet],"&gt;"&amp;($A120+7/24),tData[Langligger01],1)</f>
        <v/>
      </c>
      <c r="L120" s="20">
        <f>COUNTIFS(tData[SEHTrajectPeriodeDatumTijdVan],"&lt;="&amp;($A120+8/24),tData[SEHTrajectPeriodeDatumTijdTotEnMet],"&gt;"&amp;($A120+8/24),tData[Langligger01],1)</f>
        <v/>
      </c>
      <c r="M120" s="20">
        <f>COUNTIFS(tData[SEHTrajectPeriodeDatumTijdVan],"&lt;="&amp;($A120+9/24),tData[SEHTrajectPeriodeDatumTijdTotEnMet],"&gt;"&amp;($A120+9/24),tData[Langligger01],1)</f>
        <v/>
      </c>
      <c r="N120" s="20">
        <f>COUNTIFS(tData[SEHTrajectPeriodeDatumTijdVan],"&lt;="&amp;($A120+10/24),tData[SEHTrajectPeriodeDatumTijdTotEnMet],"&gt;"&amp;($A120+10/24),tData[Langligger01],1)</f>
        <v/>
      </c>
      <c r="O120" s="20">
        <f>COUNTIFS(tData[SEHTrajectPeriodeDatumTijdVan],"&lt;="&amp;($A120+11/24),tData[SEHTrajectPeriodeDatumTijdTotEnMet],"&gt;"&amp;($A120+11/24),tData[Langligger01],1)</f>
        <v/>
      </c>
      <c r="P120" s="20">
        <f>COUNTIFS(tData[SEHTrajectPeriodeDatumTijdVan],"&lt;="&amp;($A120+12/24),tData[SEHTrajectPeriodeDatumTijdTotEnMet],"&gt;"&amp;($A120+12/24),tData[Langligger01],1)</f>
        <v/>
      </c>
      <c r="Q120" s="20">
        <f>COUNTIFS(tData[SEHTrajectPeriodeDatumTijdVan],"&lt;="&amp;($A120+13/24),tData[SEHTrajectPeriodeDatumTijdTotEnMet],"&gt;"&amp;($A120+13/24),tData[Langligger01],1)</f>
        <v/>
      </c>
      <c r="R120" s="20">
        <f>COUNTIFS(tData[SEHTrajectPeriodeDatumTijdVan],"&lt;="&amp;($A120+14/24),tData[SEHTrajectPeriodeDatumTijdTotEnMet],"&gt;"&amp;($A120+14/24),tData[Langligger01],1)</f>
        <v/>
      </c>
      <c r="S120" s="20">
        <f>COUNTIFS(tData[SEHTrajectPeriodeDatumTijdVan],"&lt;="&amp;($A120+15/24),tData[SEHTrajectPeriodeDatumTijdTotEnMet],"&gt;"&amp;($A120+15/24),tData[Langligger01],1)</f>
        <v/>
      </c>
      <c r="T120" s="20">
        <f>COUNTIFS(tData[SEHTrajectPeriodeDatumTijdVan],"&lt;="&amp;($A120+16/24),tData[SEHTrajectPeriodeDatumTijdTotEnMet],"&gt;"&amp;($A120+16/24),tData[Langligger01],1)</f>
        <v/>
      </c>
      <c r="U120" s="20">
        <f>COUNTIFS(tData[SEHTrajectPeriodeDatumTijdVan],"&lt;="&amp;($A120+17/24),tData[SEHTrajectPeriodeDatumTijdTotEnMet],"&gt;"&amp;($A120+17/24),tData[Langligger01],1)</f>
        <v/>
      </c>
      <c r="V120" s="20">
        <f>COUNTIFS(tData[SEHTrajectPeriodeDatumTijdVan],"&lt;="&amp;($A120+18/24),tData[SEHTrajectPeriodeDatumTijdTotEnMet],"&gt;"&amp;($A120+18/24),tData[Langligger01],1)</f>
        <v/>
      </c>
      <c r="W120" s="20">
        <f>COUNTIFS(tData[SEHTrajectPeriodeDatumTijdVan],"&lt;="&amp;($A120+19/24),tData[SEHTrajectPeriodeDatumTijdTotEnMet],"&gt;"&amp;($A120+19/24),tData[Langligger01],1)</f>
        <v/>
      </c>
      <c r="X120" s="20">
        <f>COUNTIFS(tData[SEHTrajectPeriodeDatumTijdVan],"&lt;="&amp;($A120+20/24),tData[SEHTrajectPeriodeDatumTijdTotEnMet],"&gt;"&amp;($A120+20/24),tData[Langligger01],1)</f>
        <v/>
      </c>
      <c r="Y120" s="20">
        <f>COUNTIFS(tData[SEHTrajectPeriodeDatumTijdVan],"&lt;="&amp;($A120+21/24),tData[SEHTrajectPeriodeDatumTijdTotEnMet],"&gt;"&amp;($A120+21/24),tData[Langligger01],1)</f>
        <v/>
      </c>
      <c r="Z120" s="20">
        <f>COUNTIFS(tData[SEHTrajectPeriodeDatumTijdVan],"&lt;="&amp;($A120+22/24),tData[SEHTrajectPeriodeDatumTijdTotEnMet],"&gt;"&amp;($A120+22/24),tData[Langligger01],1)</f>
        <v/>
      </c>
      <c r="AA120" s="20">
        <f>COUNTIFS(tData[SEHTrajectPeriodeDatumTijdVan],"&lt;="&amp;($A120+23/24),tData[SEHTrajectPeriodeDatumTijdTotEnMet],"&gt;"&amp;($A120+23/24),tData[Langligger01],1)</f>
        <v/>
      </c>
    </row>
    <row r="121">
      <c r="A121" s="19" t="n">
        <v>45409</v>
      </c>
      <c r="B121" s="15">
        <f>WEEKDAY($A121,2)</f>
        <v/>
      </c>
      <c r="C121" s="15">
        <f>IF(AND($A121&gt;=INT(Instellingen!$B$5),$A121&lt;=INT(Instellingen!$B$6)),1,0)</f>
        <v/>
      </c>
      <c r="D121" s="20">
        <f>COUNTIFS(tData[SEHTrajectPeriodeDatumTijdVan],"&lt;="&amp;($A121+0/24),tData[SEHTrajectPeriodeDatumTijdTotEnMet],"&gt;"&amp;($A121+0/24),tData[Langligger01],1)</f>
        <v/>
      </c>
      <c r="E121" s="20">
        <f>COUNTIFS(tData[SEHTrajectPeriodeDatumTijdVan],"&lt;="&amp;($A121+1/24),tData[SEHTrajectPeriodeDatumTijdTotEnMet],"&gt;"&amp;($A121+1/24),tData[Langligger01],1)</f>
        <v/>
      </c>
      <c r="F121" s="20">
        <f>COUNTIFS(tData[SEHTrajectPeriodeDatumTijdVan],"&lt;="&amp;($A121+2/24),tData[SEHTrajectPeriodeDatumTijdTotEnMet],"&gt;"&amp;($A121+2/24),tData[Langligger01],1)</f>
        <v/>
      </c>
      <c r="G121" s="20">
        <f>COUNTIFS(tData[SEHTrajectPeriodeDatumTijdVan],"&lt;="&amp;($A121+3/24),tData[SEHTrajectPeriodeDatumTijdTotEnMet],"&gt;"&amp;($A121+3/24),tData[Langligger01],1)</f>
        <v/>
      </c>
      <c r="H121" s="20">
        <f>COUNTIFS(tData[SEHTrajectPeriodeDatumTijdVan],"&lt;="&amp;($A121+4/24),tData[SEHTrajectPeriodeDatumTijdTotEnMet],"&gt;"&amp;($A121+4/24),tData[Langligger01],1)</f>
        <v/>
      </c>
      <c r="I121" s="20">
        <f>COUNTIFS(tData[SEHTrajectPeriodeDatumTijdVan],"&lt;="&amp;($A121+5/24),tData[SEHTrajectPeriodeDatumTijdTotEnMet],"&gt;"&amp;($A121+5/24),tData[Langligger01],1)</f>
        <v/>
      </c>
      <c r="J121" s="20">
        <f>COUNTIFS(tData[SEHTrajectPeriodeDatumTijdVan],"&lt;="&amp;($A121+6/24),tData[SEHTrajectPeriodeDatumTijdTotEnMet],"&gt;"&amp;($A121+6/24),tData[Langligger01],1)</f>
        <v/>
      </c>
      <c r="K121" s="20">
        <f>COUNTIFS(tData[SEHTrajectPeriodeDatumTijdVan],"&lt;="&amp;($A121+7/24),tData[SEHTrajectPeriodeDatumTijdTotEnMet],"&gt;"&amp;($A121+7/24),tData[Langligger01],1)</f>
        <v/>
      </c>
      <c r="L121" s="20">
        <f>COUNTIFS(tData[SEHTrajectPeriodeDatumTijdVan],"&lt;="&amp;($A121+8/24),tData[SEHTrajectPeriodeDatumTijdTotEnMet],"&gt;"&amp;($A121+8/24),tData[Langligger01],1)</f>
        <v/>
      </c>
      <c r="M121" s="20">
        <f>COUNTIFS(tData[SEHTrajectPeriodeDatumTijdVan],"&lt;="&amp;($A121+9/24),tData[SEHTrajectPeriodeDatumTijdTotEnMet],"&gt;"&amp;($A121+9/24),tData[Langligger01],1)</f>
        <v/>
      </c>
      <c r="N121" s="20">
        <f>COUNTIFS(tData[SEHTrajectPeriodeDatumTijdVan],"&lt;="&amp;($A121+10/24),tData[SEHTrajectPeriodeDatumTijdTotEnMet],"&gt;"&amp;($A121+10/24),tData[Langligger01],1)</f>
        <v/>
      </c>
      <c r="O121" s="20">
        <f>COUNTIFS(tData[SEHTrajectPeriodeDatumTijdVan],"&lt;="&amp;($A121+11/24),tData[SEHTrajectPeriodeDatumTijdTotEnMet],"&gt;"&amp;($A121+11/24),tData[Langligger01],1)</f>
        <v/>
      </c>
      <c r="P121" s="20">
        <f>COUNTIFS(tData[SEHTrajectPeriodeDatumTijdVan],"&lt;="&amp;($A121+12/24),tData[SEHTrajectPeriodeDatumTijdTotEnMet],"&gt;"&amp;($A121+12/24),tData[Langligger01],1)</f>
        <v/>
      </c>
      <c r="Q121" s="20">
        <f>COUNTIFS(tData[SEHTrajectPeriodeDatumTijdVan],"&lt;="&amp;($A121+13/24),tData[SEHTrajectPeriodeDatumTijdTotEnMet],"&gt;"&amp;($A121+13/24),tData[Langligger01],1)</f>
        <v/>
      </c>
      <c r="R121" s="20">
        <f>COUNTIFS(tData[SEHTrajectPeriodeDatumTijdVan],"&lt;="&amp;($A121+14/24),tData[SEHTrajectPeriodeDatumTijdTotEnMet],"&gt;"&amp;($A121+14/24),tData[Langligger01],1)</f>
        <v/>
      </c>
      <c r="S121" s="20">
        <f>COUNTIFS(tData[SEHTrajectPeriodeDatumTijdVan],"&lt;="&amp;($A121+15/24),tData[SEHTrajectPeriodeDatumTijdTotEnMet],"&gt;"&amp;($A121+15/24),tData[Langligger01],1)</f>
        <v/>
      </c>
      <c r="T121" s="20">
        <f>COUNTIFS(tData[SEHTrajectPeriodeDatumTijdVan],"&lt;="&amp;($A121+16/24),tData[SEHTrajectPeriodeDatumTijdTotEnMet],"&gt;"&amp;($A121+16/24),tData[Langligger01],1)</f>
        <v/>
      </c>
      <c r="U121" s="20">
        <f>COUNTIFS(tData[SEHTrajectPeriodeDatumTijdVan],"&lt;="&amp;($A121+17/24),tData[SEHTrajectPeriodeDatumTijdTotEnMet],"&gt;"&amp;($A121+17/24),tData[Langligger01],1)</f>
        <v/>
      </c>
      <c r="V121" s="20">
        <f>COUNTIFS(tData[SEHTrajectPeriodeDatumTijdVan],"&lt;="&amp;($A121+18/24),tData[SEHTrajectPeriodeDatumTijdTotEnMet],"&gt;"&amp;($A121+18/24),tData[Langligger01],1)</f>
        <v/>
      </c>
      <c r="W121" s="20">
        <f>COUNTIFS(tData[SEHTrajectPeriodeDatumTijdVan],"&lt;="&amp;($A121+19/24),tData[SEHTrajectPeriodeDatumTijdTotEnMet],"&gt;"&amp;($A121+19/24),tData[Langligger01],1)</f>
        <v/>
      </c>
      <c r="X121" s="20">
        <f>COUNTIFS(tData[SEHTrajectPeriodeDatumTijdVan],"&lt;="&amp;($A121+20/24),tData[SEHTrajectPeriodeDatumTijdTotEnMet],"&gt;"&amp;($A121+20/24),tData[Langligger01],1)</f>
        <v/>
      </c>
      <c r="Y121" s="20">
        <f>COUNTIFS(tData[SEHTrajectPeriodeDatumTijdVan],"&lt;="&amp;($A121+21/24),tData[SEHTrajectPeriodeDatumTijdTotEnMet],"&gt;"&amp;($A121+21/24),tData[Langligger01],1)</f>
        <v/>
      </c>
      <c r="Z121" s="20">
        <f>COUNTIFS(tData[SEHTrajectPeriodeDatumTijdVan],"&lt;="&amp;($A121+22/24),tData[SEHTrajectPeriodeDatumTijdTotEnMet],"&gt;"&amp;($A121+22/24),tData[Langligger01],1)</f>
        <v/>
      </c>
      <c r="AA121" s="20">
        <f>COUNTIFS(tData[SEHTrajectPeriodeDatumTijdVan],"&lt;="&amp;($A121+23/24),tData[SEHTrajectPeriodeDatumTijdTotEnMet],"&gt;"&amp;($A121+23/24),tData[Langligger01],1)</f>
        <v/>
      </c>
    </row>
    <row r="122">
      <c r="A122" s="19" t="n">
        <v>45410</v>
      </c>
      <c r="B122" s="15">
        <f>WEEKDAY($A122,2)</f>
        <v/>
      </c>
      <c r="C122" s="15">
        <f>IF(AND($A122&gt;=INT(Instellingen!$B$5),$A122&lt;=INT(Instellingen!$B$6)),1,0)</f>
        <v/>
      </c>
      <c r="D122" s="20">
        <f>COUNTIFS(tData[SEHTrajectPeriodeDatumTijdVan],"&lt;="&amp;($A122+0/24),tData[SEHTrajectPeriodeDatumTijdTotEnMet],"&gt;"&amp;($A122+0/24),tData[Langligger01],1)</f>
        <v/>
      </c>
      <c r="E122" s="20">
        <f>COUNTIFS(tData[SEHTrajectPeriodeDatumTijdVan],"&lt;="&amp;($A122+1/24),tData[SEHTrajectPeriodeDatumTijdTotEnMet],"&gt;"&amp;($A122+1/24),tData[Langligger01],1)</f>
        <v/>
      </c>
      <c r="F122" s="20">
        <f>COUNTIFS(tData[SEHTrajectPeriodeDatumTijdVan],"&lt;="&amp;($A122+2/24),tData[SEHTrajectPeriodeDatumTijdTotEnMet],"&gt;"&amp;($A122+2/24),tData[Langligger01],1)</f>
        <v/>
      </c>
      <c r="G122" s="20">
        <f>COUNTIFS(tData[SEHTrajectPeriodeDatumTijdVan],"&lt;="&amp;($A122+3/24),tData[SEHTrajectPeriodeDatumTijdTotEnMet],"&gt;"&amp;($A122+3/24),tData[Langligger01],1)</f>
        <v/>
      </c>
      <c r="H122" s="20">
        <f>COUNTIFS(tData[SEHTrajectPeriodeDatumTijdVan],"&lt;="&amp;($A122+4/24),tData[SEHTrajectPeriodeDatumTijdTotEnMet],"&gt;"&amp;($A122+4/24),tData[Langligger01],1)</f>
        <v/>
      </c>
      <c r="I122" s="20">
        <f>COUNTIFS(tData[SEHTrajectPeriodeDatumTijdVan],"&lt;="&amp;($A122+5/24),tData[SEHTrajectPeriodeDatumTijdTotEnMet],"&gt;"&amp;($A122+5/24),tData[Langligger01],1)</f>
        <v/>
      </c>
      <c r="J122" s="20">
        <f>COUNTIFS(tData[SEHTrajectPeriodeDatumTijdVan],"&lt;="&amp;($A122+6/24),tData[SEHTrajectPeriodeDatumTijdTotEnMet],"&gt;"&amp;($A122+6/24),tData[Langligger01],1)</f>
        <v/>
      </c>
      <c r="K122" s="20">
        <f>COUNTIFS(tData[SEHTrajectPeriodeDatumTijdVan],"&lt;="&amp;($A122+7/24),tData[SEHTrajectPeriodeDatumTijdTotEnMet],"&gt;"&amp;($A122+7/24),tData[Langligger01],1)</f>
        <v/>
      </c>
      <c r="L122" s="20">
        <f>COUNTIFS(tData[SEHTrajectPeriodeDatumTijdVan],"&lt;="&amp;($A122+8/24),tData[SEHTrajectPeriodeDatumTijdTotEnMet],"&gt;"&amp;($A122+8/24),tData[Langligger01],1)</f>
        <v/>
      </c>
      <c r="M122" s="20">
        <f>COUNTIFS(tData[SEHTrajectPeriodeDatumTijdVan],"&lt;="&amp;($A122+9/24),tData[SEHTrajectPeriodeDatumTijdTotEnMet],"&gt;"&amp;($A122+9/24),tData[Langligger01],1)</f>
        <v/>
      </c>
      <c r="N122" s="20">
        <f>COUNTIFS(tData[SEHTrajectPeriodeDatumTijdVan],"&lt;="&amp;($A122+10/24),tData[SEHTrajectPeriodeDatumTijdTotEnMet],"&gt;"&amp;($A122+10/24),tData[Langligger01],1)</f>
        <v/>
      </c>
      <c r="O122" s="20">
        <f>COUNTIFS(tData[SEHTrajectPeriodeDatumTijdVan],"&lt;="&amp;($A122+11/24),tData[SEHTrajectPeriodeDatumTijdTotEnMet],"&gt;"&amp;($A122+11/24),tData[Langligger01],1)</f>
        <v/>
      </c>
      <c r="P122" s="20">
        <f>COUNTIFS(tData[SEHTrajectPeriodeDatumTijdVan],"&lt;="&amp;($A122+12/24),tData[SEHTrajectPeriodeDatumTijdTotEnMet],"&gt;"&amp;($A122+12/24),tData[Langligger01],1)</f>
        <v/>
      </c>
      <c r="Q122" s="20">
        <f>COUNTIFS(tData[SEHTrajectPeriodeDatumTijdVan],"&lt;="&amp;($A122+13/24),tData[SEHTrajectPeriodeDatumTijdTotEnMet],"&gt;"&amp;($A122+13/24),tData[Langligger01],1)</f>
        <v/>
      </c>
      <c r="R122" s="20">
        <f>COUNTIFS(tData[SEHTrajectPeriodeDatumTijdVan],"&lt;="&amp;($A122+14/24),tData[SEHTrajectPeriodeDatumTijdTotEnMet],"&gt;"&amp;($A122+14/24),tData[Langligger01],1)</f>
        <v/>
      </c>
      <c r="S122" s="20">
        <f>COUNTIFS(tData[SEHTrajectPeriodeDatumTijdVan],"&lt;="&amp;($A122+15/24),tData[SEHTrajectPeriodeDatumTijdTotEnMet],"&gt;"&amp;($A122+15/24),tData[Langligger01],1)</f>
        <v/>
      </c>
      <c r="T122" s="20">
        <f>COUNTIFS(tData[SEHTrajectPeriodeDatumTijdVan],"&lt;="&amp;($A122+16/24),tData[SEHTrajectPeriodeDatumTijdTotEnMet],"&gt;"&amp;($A122+16/24),tData[Langligger01],1)</f>
        <v/>
      </c>
      <c r="U122" s="20">
        <f>COUNTIFS(tData[SEHTrajectPeriodeDatumTijdVan],"&lt;="&amp;($A122+17/24),tData[SEHTrajectPeriodeDatumTijdTotEnMet],"&gt;"&amp;($A122+17/24),tData[Langligger01],1)</f>
        <v/>
      </c>
      <c r="V122" s="20">
        <f>COUNTIFS(tData[SEHTrajectPeriodeDatumTijdVan],"&lt;="&amp;($A122+18/24),tData[SEHTrajectPeriodeDatumTijdTotEnMet],"&gt;"&amp;($A122+18/24),tData[Langligger01],1)</f>
        <v/>
      </c>
      <c r="W122" s="20">
        <f>COUNTIFS(tData[SEHTrajectPeriodeDatumTijdVan],"&lt;="&amp;($A122+19/24),tData[SEHTrajectPeriodeDatumTijdTotEnMet],"&gt;"&amp;($A122+19/24),tData[Langligger01],1)</f>
        <v/>
      </c>
      <c r="X122" s="20">
        <f>COUNTIFS(tData[SEHTrajectPeriodeDatumTijdVan],"&lt;="&amp;($A122+20/24),tData[SEHTrajectPeriodeDatumTijdTotEnMet],"&gt;"&amp;($A122+20/24),tData[Langligger01],1)</f>
        <v/>
      </c>
      <c r="Y122" s="20">
        <f>COUNTIFS(tData[SEHTrajectPeriodeDatumTijdVan],"&lt;="&amp;($A122+21/24),tData[SEHTrajectPeriodeDatumTijdTotEnMet],"&gt;"&amp;($A122+21/24),tData[Langligger01],1)</f>
        <v/>
      </c>
      <c r="Z122" s="20">
        <f>COUNTIFS(tData[SEHTrajectPeriodeDatumTijdVan],"&lt;="&amp;($A122+22/24),tData[SEHTrajectPeriodeDatumTijdTotEnMet],"&gt;"&amp;($A122+22/24),tData[Langligger01],1)</f>
        <v/>
      </c>
      <c r="AA122" s="20">
        <f>COUNTIFS(tData[SEHTrajectPeriodeDatumTijdVan],"&lt;="&amp;($A122+23/24),tData[SEHTrajectPeriodeDatumTijdTotEnMet],"&gt;"&amp;($A122+23/24),tData[Langligger01],1)</f>
        <v/>
      </c>
    </row>
    <row r="123">
      <c r="A123" s="19" t="n">
        <v>45411</v>
      </c>
      <c r="B123" s="15">
        <f>WEEKDAY($A123,2)</f>
        <v/>
      </c>
      <c r="C123" s="15">
        <f>IF(AND($A123&gt;=INT(Instellingen!$B$5),$A123&lt;=INT(Instellingen!$B$6)),1,0)</f>
        <v/>
      </c>
      <c r="D123" s="20">
        <f>COUNTIFS(tData[SEHTrajectPeriodeDatumTijdVan],"&lt;="&amp;($A123+0/24),tData[SEHTrajectPeriodeDatumTijdTotEnMet],"&gt;"&amp;($A123+0/24),tData[Langligger01],1)</f>
        <v/>
      </c>
      <c r="E123" s="20">
        <f>COUNTIFS(tData[SEHTrajectPeriodeDatumTijdVan],"&lt;="&amp;($A123+1/24),tData[SEHTrajectPeriodeDatumTijdTotEnMet],"&gt;"&amp;($A123+1/24),tData[Langligger01],1)</f>
        <v/>
      </c>
      <c r="F123" s="20">
        <f>COUNTIFS(tData[SEHTrajectPeriodeDatumTijdVan],"&lt;="&amp;($A123+2/24),tData[SEHTrajectPeriodeDatumTijdTotEnMet],"&gt;"&amp;($A123+2/24),tData[Langligger01],1)</f>
        <v/>
      </c>
      <c r="G123" s="20">
        <f>COUNTIFS(tData[SEHTrajectPeriodeDatumTijdVan],"&lt;="&amp;($A123+3/24),tData[SEHTrajectPeriodeDatumTijdTotEnMet],"&gt;"&amp;($A123+3/24),tData[Langligger01],1)</f>
        <v/>
      </c>
      <c r="H123" s="20">
        <f>COUNTIFS(tData[SEHTrajectPeriodeDatumTijdVan],"&lt;="&amp;($A123+4/24),tData[SEHTrajectPeriodeDatumTijdTotEnMet],"&gt;"&amp;($A123+4/24),tData[Langligger01],1)</f>
        <v/>
      </c>
      <c r="I123" s="20">
        <f>COUNTIFS(tData[SEHTrajectPeriodeDatumTijdVan],"&lt;="&amp;($A123+5/24),tData[SEHTrajectPeriodeDatumTijdTotEnMet],"&gt;"&amp;($A123+5/24),tData[Langligger01],1)</f>
        <v/>
      </c>
      <c r="J123" s="20">
        <f>COUNTIFS(tData[SEHTrajectPeriodeDatumTijdVan],"&lt;="&amp;($A123+6/24),tData[SEHTrajectPeriodeDatumTijdTotEnMet],"&gt;"&amp;($A123+6/24),tData[Langligger01],1)</f>
        <v/>
      </c>
      <c r="K123" s="20">
        <f>COUNTIFS(tData[SEHTrajectPeriodeDatumTijdVan],"&lt;="&amp;($A123+7/24),tData[SEHTrajectPeriodeDatumTijdTotEnMet],"&gt;"&amp;($A123+7/24),tData[Langligger01],1)</f>
        <v/>
      </c>
      <c r="L123" s="20">
        <f>COUNTIFS(tData[SEHTrajectPeriodeDatumTijdVan],"&lt;="&amp;($A123+8/24),tData[SEHTrajectPeriodeDatumTijdTotEnMet],"&gt;"&amp;($A123+8/24),tData[Langligger01],1)</f>
        <v/>
      </c>
      <c r="M123" s="20">
        <f>COUNTIFS(tData[SEHTrajectPeriodeDatumTijdVan],"&lt;="&amp;($A123+9/24),tData[SEHTrajectPeriodeDatumTijdTotEnMet],"&gt;"&amp;($A123+9/24),tData[Langligger01],1)</f>
        <v/>
      </c>
      <c r="N123" s="20">
        <f>COUNTIFS(tData[SEHTrajectPeriodeDatumTijdVan],"&lt;="&amp;($A123+10/24),tData[SEHTrajectPeriodeDatumTijdTotEnMet],"&gt;"&amp;($A123+10/24),tData[Langligger01],1)</f>
        <v/>
      </c>
      <c r="O123" s="20">
        <f>COUNTIFS(tData[SEHTrajectPeriodeDatumTijdVan],"&lt;="&amp;($A123+11/24),tData[SEHTrajectPeriodeDatumTijdTotEnMet],"&gt;"&amp;($A123+11/24),tData[Langligger01],1)</f>
        <v/>
      </c>
      <c r="P123" s="20">
        <f>COUNTIFS(tData[SEHTrajectPeriodeDatumTijdVan],"&lt;="&amp;($A123+12/24),tData[SEHTrajectPeriodeDatumTijdTotEnMet],"&gt;"&amp;($A123+12/24),tData[Langligger01],1)</f>
        <v/>
      </c>
      <c r="Q123" s="20">
        <f>COUNTIFS(tData[SEHTrajectPeriodeDatumTijdVan],"&lt;="&amp;($A123+13/24),tData[SEHTrajectPeriodeDatumTijdTotEnMet],"&gt;"&amp;($A123+13/24),tData[Langligger01],1)</f>
        <v/>
      </c>
      <c r="R123" s="20">
        <f>COUNTIFS(tData[SEHTrajectPeriodeDatumTijdVan],"&lt;="&amp;($A123+14/24),tData[SEHTrajectPeriodeDatumTijdTotEnMet],"&gt;"&amp;($A123+14/24),tData[Langligger01],1)</f>
        <v/>
      </c>
      <c r="S123" s="20">
        <f>COUNTIFS(tData[SEHTrajectPeriodeDatumTijdVan],"&lt;="&amp;($A123+15/24),tData[SEHTrajectPeriodeDatumTijdTotEnMet],"&gt;"&amp;($A123+15/24),tData[Langligger01],1)</f>
        <v/>
      </c>
      <c r="T123" s="20">
        <f>COUNTIFS(tData[SEHTrajectPeriodeDatumTijdVan],"&lt;="&amp;($A123+16/24),tData[SEHTrajectPeriodeDatumTijdTotEnMet],"&gt;"&amp;($A123+16/24),tData[Langligger01],1)</f>
        <v/>
      </c>
      <c r="U123" s="20">
        <f>COUNTIFS(tData[SEHTrajectPeriodeDatumTijdVan],"&lt;="&amp;($A123+17/24),tData[SEHTrajectPeriodeDatumTijdTotEnMet],"&gt;"&amp;($A123+17/24),tData[Langligger01],1)</f>
        <v/>
      </c>
      <c r="V123" s="20">
        <f>COUNTIFS(tData[SEHTrajectPeriodeDatumTijdVan],"&lt;="&amp;($A123+18/24),tData[SEHTrajectPeriodeDatumTijdTotEnMet],"&gt;"&amp;($A123+18/24),tData[Langligger01],1)</f>
        <v/>
      </c>
      <c r="W123" s="20">
        <f>COUNTIFS(tData[SEHTrajectPeriodeDatumTijdVan],"&lt;="&amp;($A123+19/24),tData[SEHTrajectPeriodeDatumTijdTotEnMet],"&gt;"&amp;($A123+19/24),tData[Langligger01],1)</f>
        <v/>
      </c>
      <c r="X123" s="20">
        <f>COUNTIFS(tData[SEHTrajectPeriodeDatumTijdVan],"&lt;="&amp;($A123+20/24),tData[SEHTrajectPeriodeDatumTijdTotEnMet],"&gt;"&amp;($A123+20/24),tData[Langligger01],1)</f>
        <v/>
      </c>
      <c r="Y123" s="20">
        <f>COUNTIFS(tData[SEHTrajectPeriodeDatumTijdVan],"&lt;="&amp;($A123+21/24),tData[SEHTrajectPeriodeDatumTijdTotEnMet],"&gt;"&amp;($A123+21/24),tData[Langligger01],1)</f>
        <v/>
      </c>
      <c r="Z123" s="20">
        <f>COUNTIFS(tData[SEHTrajectPeriodeDatumTijdVan],"&lt;="&amp;($A123+22/24),tData[SEHTrajectPeriodeDatumTijdTotEnMet],"&gt;"&amp;($A123+22/24),tData[Langligger01],1)</f>
        <v/>
      </c>
      <c r="AA123" s="20">
        <f>COUNTIFS(tData[SEHTrajectPeriodeDatumTijdVan],"&lt;="&amp;($A123+23/24),tData[SEHTrajectPeriodeDatumTijdTotEnMet],"&gt;"&amp;($A123+23/24),tData[Langligger01],1)</f>
        <v/>
      </c>
    </row>
    <row r="124">
      <c r="A124" s="19" t="n">
        <v>45412</v>
      </c>
      <c r="B124" s="15">
        <f>WEEKDAY($A124,2)</f>
        <v/>
      </c>
      <c r="C124" s="15">
        <f>IF(AND($A124&gt;=INT(Instellingen!$B$5),$A124&lt;=INT(Instellingen!$B$6)),1,0)</f>
        <v/>
      </c>
      <c r="D124" s="20">
        <f>COUNTIFS(tData[SEHTrajectPeriodeDatumTijdVan],"&lt;="&amp;($A124+0/24),tData[SEHTrajectPeriodeDatumTijdTotEnMet],"&gt;"&amp;($A124+0/24),tData[Langligger01],1)</f>
        <v/>
      </c>
      <c r="E124" s="20">
        <f>COUNTIFS(tData[SEHTrajectPeriodeDatumTijdVan],"&lt;="&amp;($A124+1/24),tData[SEHTrajectPeriodeDatumTijdTotEnMet],"&gt;"&amp;($A124+1/24),tData[Langligger01],1)</f>
        <v/>
      </c>
      <c r="F124" s="20">
        <f>COUNTIFS(tData[SEHTrajectPeriodeDatumTijdVan],"&lt;="&amp;($A124+2/24),tData[SEHTrajectPeriodeDatumTijdTotEnMet],"&gt;"&amp;($A124+2/24),tData[Langligger01],1)</f>
        <v/>
      </c>
      <c r="G124" s="20">
        <f>COUNTIFS(tData[SEHTrajectPeriodeDatumTijdVan],"&lt;="&amp;($A124+3/24),tData[SEHTrajectPeriodeDatumTijdTotEnMet],"&gt;"&amp;($A124+3/24),tData[Langligger01],1)</f>
        <v/>
      </c>
      <c r="H124" s="20">
        <f>COUNTIFS(tData[SEHTrajectPeriodeDatumTijdVan],"&lt;="&amp;($A124+4/24),tData[SEHTrajectPeriodeDatumTijdTotEnMet],"&gt;"&amp;($A124+4/24),tData[Langligger01],1)</f>
        <v/>
      </c>
      <c r="I124" s="20">
        <f>COUNTIFS(tData[SEHTrajectPeriodeDatumTijdVan],"&lt;="&amp;($A124+5/24),tData[SEHTrajectPeriodeDatumTijdTotEnMet],"&gt;"&amp;($A124+5/24),tData[Langligger01],1)</f>
        <v/>
      </c>
      <c r="J124" s="20">
        <f>COUNTIFS(tData[SEHTrajectPeriodeDatumTijdVan],"&lt;="&amp;($A124+6/24),tData[SEHTrajectPeriodeDatumTijdTotEnMet],"&gt;"&amp;($A124+6/24),tData[Langligger01],1)</f>
        <v/>
      </c>
      <c r="K124" s="20">
        <f>COUNTIFS(tData[SEHTrajectPeriodeDatumTijdVan],"&lt;="&amp;($A124+7/24),tData[SEHTrajectPeriodeDatumTijdTotEnMet],"&gt;"&amp;($A124+7/24),tData[Langligger01],1)</f>
        <v/>
      </c>
      <c r="L124" s="20">
        <f>COUNTIFS(tData[SEHTrajectPeriodeDatumTijdVan],"&lt;="&amp;($A124+8/24),tData[SEHTrajectPeriodeDatumTijdTotEnMet],"&gt;"&amp;($A124+8/24),tData[Langligger01],1)</f>
        <v/>
      </c>
      <c r="M124" s="20">
        <f>COUNTIFS(tData[SEHTrajectPeriodeDatumTijdVan],"&lt;="&amp;($A124+9/24),tData[SEHTrajectPeriodeDatumTijdTotEnMet],"&gt;"&amp;($A124+9/24),tData[Langligger01],1)</f>
        <v/>
      </c>
      <c r="N124" s="20">
        <f>COUNTIFS(tData[SEHTrajectPeriodeDatumTijdVan],"&lt;="&amp;($A124+10/24),tData[SEHTrajectPeriodeDatumTijdTotEnMet],"&gt;"&amp;($A124+10/24),tData[Langligger01],1)</f>
        <v/>
      </c>
      <c r="O124" s="20">
        <f>COUNTIFS(tData[SEHTrajectPeriodeDatumTijdVan],"&lt;="&amp;($A124+11/24),tData[SEHTrajectPeriodeDatumTijdTotEnMet],"&gt;"&amp;($A124+11/24),tData[Langligger01],1)</f>
        <v/>
      </c>
      <c r="P124" s="20">
        <f>COUNTIFS(tData[SEHTrajectPeriodeDatumTijdVan],"&lt;="&amp;($A124+12/24),tData[SEHTrajectPeriodeDatumTijdTotEnMet],"&gt;"&amp;($A124+12/24),tData[Langligger01],1)</f>
        <v/>
      </c>
      <c r="Q124" s="20">
        <f>COUNTIFS(tData[SEHTrajectPeriodeDatumTijdVan],"&lt;="&amp;($A124+13/24),tData[SEHTrajectPeriodeDatumTijdTotEnMet],"&gt;"&amp;($A124+13/24),tData[Langligger01],1)</f>
        <v/>
      </c>
      <c r="R124" s="20">
        <f>COUNTIFS(tData[SEHTrajectPeriodeDatumTijdVan],"&lt;="&amp;($A124+14/24),tData[SEHTrajectPeriodeDatumTijdTotEnMet],"&gt;"&amp;($A124+14/24),tData[Langligger01],1)</f>
        <v/>
      </c>
      <c r="S124" s="20">
        <f>COUNTIFS(tData[SEHTrajectPeriodeDatumTijdVan],"&lt;="&amp;($A124+15/24),tData[SEHTrajectPeriodeDatumTijdTotEnMet],"&gt;"&amp;($A124+15/24),tData[Langligger01],1)</f>
        <v/>
      </c>
      <c r="T124" s="20">
        <f>COUNTIFS(tData[SEHTrajectPeriodeDatumTijdVan],"&lt;="&amp;($A124+16/24),tData[SEHTrajectPeriodeDatumTijdTotEnMet],"&gt;"&amp;($A124+16/24),tData[Langligger01],1)</f>
        <v/>
      </c>
      <c r="U124" s="20">
        <f>COUNTIFS(tData[SEHTrajectPeriodeDatumTijdVan],"&lt;="&amp;($A124+17/24),tData[SEHTrajectPeriodeDatumTijdTotEnMet],"&gt;"&amp;($A124+17/24),tData[Langligger01],1)</f>
        <v/>
      </c>
      <c r="V124" s="20">
        <f>COUNTIFS(tData[SEHTrajectPeriodeDatumTijdVan],"&lt;="&amp;($A124+18/24),tData[SEHTrajectPeriodeDatumTijdTotEnMet],"&gt;"&amp;($A124+18/24),tData[Langligger01],1)</f>
        <v/>
      </c>
      <c r="W124" s="20">
        <f>COUNTIFS(tData[SEHTrajectPeriodeDatumTijdVan],"&lt;="&amp;($A124+19/24),tData[SEHTrajectPeriodeDatumTijdTotEnMet],"&gt;"&amp;($A124+19/24),tData[Langligger01],1)</f>
        <v/>
      </c>
      <c r="X124" s="20">
        <f>COUNTIFS(tData[SEHTrajectPeriodeDatumTijdVan],"&lt;="&amp;($A124+20/24),tData[SEHTrajectPeriodeDatumTijdTotEnMet],"&gt;"&amp;($A124+20/24),tData[Langligger01],1)</f>
        <v/>
      </c>
      <c r="Y124" s="20">
        <f>COUNTIFS(tData[SEHTrajectPeriodeDatumTijdVan],"&lt;="&amp;($A124+21/24),tData[SEHTrajectPeriodeDatumTijdTotEnMet],"&gt;"&amp;($A124+21/24),tData[Langligger01],1)</f>
        <v/>
      </c>
      <c r="Z124" s="20">
        <f>COUNTIFS(tData[SEHTrajectPeriodeDatumTijdVan],"&lt;="&amp;($A124+22/24),tData[SEHTrajectPeriodeDatumTijdTotEnMet],"&gt;"&amp;($A124+22/24),tData[Langligger01],1)</f>
        <v/>
      </c>
      <c r="AA124" s="20">
        <f>COUNTIFS(tData[SEHTrajectPeriodeDatumTijdVan],"&lt;="&amp;($A124+23/24),tData[SEHTrajectPeriodeDatumTijdTotEnMet],"&gt;"&amp;($A124+23/24),tData[Langligger01],1)</f>
        <v/>
      </c>
    </row>
    <row r="125">
      <c r="A125" s="19" t="n">
        <v>45413</v>
      </c>
      <c r="B125" s="15">
        <f>WEEKDAY($A125,2)</f>
        <v/>
      </c>
      <c r="C125" s="15">
        <f>IF(AND($A125&gt;=INT(Instellingen!$B$5),$A125&lt;=INT(Instellingen!$B$6)),1,0)</f>
        <v/>
      </c>
      <c r="D125" s="20">
        <f>COUNTIFS(tData[SEHTrajectPeriodeDatumTijdVan],"&lt;="&amp;($A125+0/24),tData[SEHTrajectPeriodeDatumTijdTotEnMet],"&gt;"&amp;($A125+0/24),tData[Langligger01],1)</f>
        <v/>
      </c>
      <c r="E125" s="20">
        <f>COUNTIFS(tData[SEHTrajectPeriodeDatumTijdVan],"&lt;="&amp;($A125+1/24),tData[SEHTrajectPeriodeDatumTijdTotEnMet],"&gt;"&amp;($A125+1/24),tData[Langligger01],1)</f>
        <v/>
      </c>
      <c r="F125" s="20">
        <f>COUNTIFS(tData[SEHTrajectPeriodeDatumTijdVan],"&lt;="&amp;($A125+2/24),tData[SEHTrajectPeriodeDatumTijdTotEnMet],"&gt;"&amp;($A125+2/24),tData[Langligger01],1)</f>
        <v/>
      </c>
      <c r="G125" s="20">
        <f>COUNTIFS(tData[SEHTrajectPeriodeDatumTijdVan],"&lt;="&amp;($A125+3/24),tData[SEHTrajectPeriodeDatumTijdTotEnMet],"&gt;"&amp;($A125+3/24),tData[Langligger01],1)</f>
        <v/>
      </c>
      <c r="H125" s="20">
        <f>COUNTIFS(tData[SEHTrajectPeriodeDatumTijdVan],"&lt;="&amp;($A125+4/24),tData[SEHTrajectPeriodeDatumTijdTotEnMet],"&gt;"&amp;($A125+4/24),tData[Langligger01],1)</f>
        <v/>
      </c>
      <c r="I125" s="20">
        <f>COUNTIFS(tData[SEHTrajectPeriodeDatumTijdVan],"&lt;="&amp;($A125+5/24),tData[SEHTrajectPeriodeDatumTijdTotEnMet],"&gt;"&amp;($A125+5/24),tData[Langligger01],1)</f>
        <v/>
      </c>
      <c r="J125" s="20">
        <f>COUNTIFS(tData[SEHTrajectPeriodeDatumTijdVan],"&lt;="&amp;($A125+6/24),tData[SEHTrajectPeriodeDatumTijdTotEnMet],"&gt;"&amp;($A125+6/24),tData[Langligger01],1)</f>
        <v/>
      </c>
      <c r="K125" s="20">
        <f>COUNTIFS(tData[SEHTrajectPeriodeDatumTijdVan],"&lt;="&amp;($A125+7/24),tData[SEHTrajectPeriodeDatumTijdTotEnMet],"&gt;"&amp;($A125+7/24),tData[Langligger01],1)</f>
        <v/>
      </c>
      <c r="L125" s="20">
        <f>COUNTIFS(tData[SEHTrajectPeriodeDatumTijdVan],"&lt;="&amp;($A125+8/24),tData[SEHTrajectPeriodeDatumTijdTotEnMet],"&gt;"&amp;($A125+8/24),tData[Langligger01],1)</f>
        <v/>
      </c>
      <c r="M125" s="20">
        <f>COUNTIFS(tData[SEHTrajectPeriodeDatumTijdVan],"&lt;="&amp;($A125+9/24),tData[SEHTrajectPeriodeDatumTijdTotEnMet],"&gt;"&amp;($A125+9/24),tData[Langligger01],1)</f>
        <v/>
      </c>
      <c r="N125" s="20">
        <f>COUNTIFS(tData[SEHTrajectPeriodeDatumTijdVan],"&lt;="&amp;($A125+10/24),tData[SEHTrajectPeriodeDatumTijdTotEnMet],"&gt;"&amp;($A125+10/24),tData[Langligger01],1)</f>
        <v/>
      </c>
      <c r="O125" s="20">
        <f>COUNTIFS(tData[SEHTrajectPeriodeDatumTijdVan],"&lt;="&amp;($A125+11/24),tData[SEHTrajectPeriodeDatumTijdTotEnMet],"&gt;"&amp;($A125+11/24),tData[Langligger01],1)</f>
        <v/>
      </c>
      <c r="P125" s="20">
        <f>COUNTIFS(tData[SEHTrajectPeriodeDatumTijdVan],"&lt;="&amp;($A125+12/24),tData[SEHTrajectPeriodeDatumTijdTotEnMet],"&gt;"&amp;($A125+12/24),tData[Langligger01],1)</f>
        <v/>
      </c>
      <c r="Q125" s="20">
        <f>COUNTIFS(tData[SEHTrajectPeriodeDatumTijdVan],"&lt;="&amp;($A125+13/24),tData[SEHTrajectPeriodeDatumTijdTotEnMet],"&gt;"&amp;($A125+13/24),tData[Langligger01],1)</f>
        <v/>
      </c>
      <c r="R125" s="20">
        <f>COUNTIFS(tData[SEHTrajectPeriodeDatumTijdVan],"&lt;="&amp;($A125+14/24),tData[SEHTrajectPeriodeDatumTijdTotEnMet],"&gt;"&amp;($A125+14/24),tData[Langligger01],1)</f>
        <v/>
      </c>
      <c r="S125" s="20">
        <f>COUNTIFS(tData[SEHTrajectPeriodeDatumTijdVan],"&lt;="&amp;($A125+15/24),tData[SEHTrajectPeriodeDatumTijdTotEnMet],"&gt;"&amp;($A125+15/24),tData[Langligger01],1)</f>
        <v/>
      </c>
      <c r="T125" s="20">
        <f>COUNTIFS(tData[SEHTrajectPeriodeDatumTijdVan],"&lt;="&amp;($A125+16/24),tData[SEHTrajectPeriodeDatumTijdTotEnMet],"&gt;"&amp;($A125+16/24),tData[Langligger01],1)</f>
        <v/>
      </c>
      <c r="U125" s="20">
        <f>COUNTIFS(tData[SEHTrajectPeriodeDatumTijdVan],"&lt;="&amp;($A125+17/24),tData[SEHTrajectPeriodeDatumTijdTotEnMet],"&gt;"&amp;($A125+17/24),tData[Langligger01],1)</f>
        <v/>
      </c>
      <c r="V125" s="20">
        <f>COUNTIFS(tData[SEHTrajectPeriodeDatumTijdVan],"&lt;="&amp;($A125+18/24),tData[SEHTrajectPeriodeDatumTijdTotEnMet],"&gt;"&amp;($A125+18/24),tData[Langligger01],1)</f>
        <v/>
      </c>
      <c r="W125" s="20">
        <f>COUNTIFS(tData[SEHTrajectPeriodeDatumTijdVan],"&lt;="&amp;($A125+19/24),tData[SEHTrajectPeriodeDatumTijdTotEnMet],"&gt;"&amp;($A125+19/24),tData[Langligger01],1)</f>
        <v/>
      </c>
      <c r="X125" s="20">
        <f>COUNTIFS(tData[SEHTrajectPeriodeDatumTijdVan],"&lt;="&amp;($A125+20/24),tData[SEHTrajectPeriodeDatumTijdTotEnMet],"&gt;"&amp;($A125+20/24),tData[Langligger01],1)</f>
        <v/>
      </c>
      <c r="Y125" s="20">
        <f>COUNTIFS(tData[SEHTrajectPeriodeDatumTijdVan],"&lt;="&amp;($A125+21/24),tData[SEHTrajectPeriodeDatumTijdTotEnMet],"&gt;"&amp;($A125+21/24),tData[Langligger01],1)</f>
        <v/>
      </c>
      <c r="Z125" s="20">
        <f>COUNTIFS(tData[SEHTrajectPeriodeDatumTijdVan],"&lt;="&amp;($A125+22/24),tData[SEHTrajectPeriodeDatumTijdTotEnMet],"&gt;"&amp;($A125+22/24),tData[Langligger01],1)</f>
        <v/>
      </c>
      <c r="AA125" s="20">
        <f>COUNTIFS(tData[SEHTrajectPeriodeDatumTijdVan],"&lt;="&amp;($A125+23/24),tData[SEHTrajectPeriodeDatumTijdTotEnMet],"&gt;"&amp;($A125+23/24),tData[Langligger01],1)</f>
        <v/>
      </c>
    </row>
    <row r="126">
      <c r="A126" s="19" t="n">
        <v>45414</v>
      </c>
      <c r="B126" s="15">
        <f>WEEKDAY($A126,2)</f>
        <v/>
      </c>
      <c r="C126" s="15">
        <f>IF(AND($A126&gt;=INT(Instellingen!$B$5),$A126&lt;=INT(Instellingen!$B$6)),1,0)</f>
        <v/>
      </c>
      <c r="D126" s="20">
        <f>COUNTIFS(tData[SEHTrajectPeriodeDatumTijdVan],"&lt;="&amp;($A126+0/24),tData[SEHTrajectPeriodeDatumTijdTotEnMet],"&gt;"&amp;($A126+0/24),tData[Langligger01],1)</f>
        <v/>
      </c>
      <c r="E126" s="20">
        <f>COUNTIFS(tData[SEHTrajectPeriodeDatumTijdVan],"&lt;="&amp;($A126+1/24),tData[SEHTrajectPeriodeDatumTijdTotEnMet],"&gt;"&amp;($A126+1/24),tData[Langligger01],1)</f>
        <v/>
      </c>
      <c r="F126" s="20">
        <f>COUNTIFS(tData[SEHTrajectPeriodeDatumTijdVan],"&lt;="&amp;($A126+2/24),tData[SEHTrajectPeriodeDatumTijdTotEnMet],"&gt;"&amp;($A126+2/24),tData[Langligger01],1)</f>
        <v/>
      </c>
      <c r="G126" s="20">
        <f>COUNTIFS(tData[SEHTrajectPeriodeDatumTijdVan],"&lt;="&amp;($A126+3/24),tData[SEHTrajectPeriodeDatumTijdTotEnMet],"&gt;"&amp;($A126+3/24),tData[Langligger01],1)</f>
        <v/>
      </c>
      <c r="H126" s="20">
        <f>COUNTIFS(tData[SEHTrajectPeriodeDatumTijdVan],"&lt;="&amp;($A126+4/24),tData[SEHTrajectPeriodeDatumTijdTotEnMet],"&gt;"&amp;($A126+4/24),tData[Langligger01],1)</f>
        <v/>
      </c>
      <c r="I126" s="20">
        <f>COUNTIFS(tData[SEHTrajectPeriodeDatumTijdVan],"&lt;="&amp;($A126+5/24),tData[SEHTrajectPeriodeDatumTijdTotEnMet],"&gt;"&amp;($A126+5/24),tData[Langligger01],1)</f>
        <v/>
      </c>
      <c r="J126" s="20">
        <f>COUNTIFS(tData[SEHTrajectPeriodeDatumTijdVan],"&lt;="&amp;($A126+6/24),tData[SEHTrajectPeriodeDatumTijdTotEnMet],"&gt;"&amp;($A126+6/24),tData[Langligger01],1)</f>
        <v/>
      </c>
      <c r="K126" s="20">
        <f>COUNTIFS(tData[SEHTrajectPeriodeDatumTijdVan],"&lt;="&amp;($A126+7/24),tData[SEHTrajectPeriodeDatumTijdTotEnMet],"&gt;"&amp;($A126+7/24),tData[Langligger01],1)</f>
        <v/>
      </c>
      <c r="L126" s="20">
        <f>COUNTIFS(tData[SEHTrajectPeriodeDatumTijdVan],"&lt;="&amp;($A126+8/24),tData[SEHTrajectPeriodeDatumTijdTotEnMet],"&gt;"&amp;($A126+8/24),tData[Langligger01],1)</f>
        <v/>
      </c>
      <c r="M126" s="20">
        <f>COUNTIFS(tData[SEHTrajectPeriodeDatumTijdVan],"&lt;="&amp;($A126+9/24),tData[SEHTrajectPeriodeDatumTijdTotEnMet],"&gt;"&amp;($A126+9/24),tData[Langligger01],1)</f>
        <v/>
      </c>
      <c r="N126" s="20">
        <f>COUNTIFS(tData[SEHTrajectPeriodeDatumTijdVan],"&lt;="&amp;($A126+10/24),tData[SEHTrajectPeriodeDatumTijdTotEnMet],"&gt;"&amp;($A126+10/24),tData[Langligger01],1)</f>
        <v/>
      </c>
      <c r="O126" s="20">
        <f>COUNTIFS(tData[SEHTrajectPeriodeDatumTijdVan],"&lt;="&amp;($A126+11/24),tData[SEHTrajectPeriodeDatumTijdTotEnMet],"&gt;"&amp;($A126+11/24),tData[Langligger01],1)</f>
        <v/>
      </c>
      <c r="P126" s="20">
        <f>COUNTIFS(tData[SEHTrajectPeriodeDatumTijdVan],"&lt;="&amp;($A126+12/24),tData[SEHTrajectPeriodeDatumTijdTotEnMet],"&gt;"&amp;($A126+12/24),tData[Langligger01],1)</f>
        <v/>
      </c>
      <c r="Q126" s="20">
        <f>COUNTIFS(tData[SEHTrajectPeriodeDatumTijdVan],"&lt;="&amp;($A126+13/24),tData[SEHTrajectPeriodeDatumTijdTotEnMet],"&gt;"&amp;($A126+13/24),tData[Langligger01],1)</f>
        <v/>
      </c>
      <c r="R126" s="20">
        <f>COUNTIFS(tData[SEHTrajectPeriodeDatumTijdVan],"&lt;="&amp;($A126+14/24),tData[SEHTrajectPeriodeDatumTijdTotEnMet],"&gt;"&amp;($A126+14/24),tData[Langligger01],1)</f>
        <v/>
      </c>
      <c r="S126" s="20">
        <f>COUNTIFS(tData[SEHTrajectPeriodeDatumTijdVan],"&lt;="&amp;($A126+15/24),tData[SEHTrajectPeriodeDatumTijdTotEnMet],"&gt;"&amp;($A126+15/24),tData[Langligger01],1)</f>
        <v/>
      </c>
      <c r="T126" s="20">
        <f>COUNTIFS(tData[SEHTrajectPeriodeDatumTijdVan],"&lt;="&amp;($A126+16/24),tData[SEHTrajectPeriodeDatumTijdTotEnMet],"&gt;"&amp;($A126+16/24),tData[Langligger01],1)</f>
        <v/>
      </c>
      <c r="U126" s="20">
        <f>COUNTIFS(tData[SEHTrajectPeriodeDatumTijdVan],"&lt;="&amp;($A126+17/24),tData[SEHTrajectPeriodeDatumTijdTotEnMet],"&gt;"&amp;($A126+17/24),tData[Langligger01],1)</f>
        <v/>
      </c>
      <c r="V126" s="20">
        <f>COUNTIFS(tData[SEHTrajectPeriodeDatumTijdVan],"&lt;="&amp;($A126+18/24),tData[SEHTrajectPeriodeDatumTijdTotEnMet],"&gt;"&amp;($A126+18/24),tData[Langligger01],1)</f>
        <v/>
      </c>
      <c r="W126" s="20">
        <f>COUNTIFS(tData[SEHTrajectPeriodeDatumTijdVan],"&lt;="&amp;($A126+19/24),tData[SEHTrajectPeriodeDatumTijdTotEnMet],"&gt;"&amp;($A126+19/24),tData[Langligger01],1)</f>
        <v/>
      </c>
      <c r="X126" s="20">
        <f>COUNTIFS(tData[SEHTrajectPeriodeDatumTijdVan],"&lt;="&amp;($A126+20/24),tData[SEHTrajectPeriodeDatumTijdTotEnMet],"&gt;"&amp;($A126+20/24),tData[Langligger01],1)</f>
        <v/>
      </c>
      <c r="Y126" s="20">
        <f>COUNTIFS(tData[SEHTrajectPeriodeDatumTijdVan],"&lt;="&amp;($A126+21/24),tData[SEHTrajectPeriodeDatumTijdTotEnMet],"&gt;"&amp;($A126+21/24),tData[Langligger01],1)</f>
        <v/>
      </c>
      <c r="Z126" s="20">
        <f>COUNTIFS(tData[SEHTrajectPeriodeDatumTijdVan],"&lt;="&amp;($A126+22/24),tData[SEHTrajectPeriodeDatumTijdTotEnMet],"&gt;"&amp;($A126+22/24),tData[Langligger01],1)</f>
        <v/>
      </c>
      <c r="AA126" s="20">
        <f>COUNTIFS(tData[SEHTrajectPeriodeDatumTijdVan],"&lt;="&amp;($A126+23/24),tData[SEHTrajectPeriodeDatumTijdTotEnMet],"&gt;"&amp;($A126+23/24),tData[Langligger01],1)</f>
        <v/>
      </c>
    </row>
    <row r="127">
      <c r="A127" s="19" t="n">
        <v>45415</v>
      </c>
      <c r="B127" s="15">
        <f>WEEKDAY($A127,2)</f>
        <v/>
      </c>
      <c r="C127" s="15">
        <f>IF(AND($A127&gt;=INT(Instellingen!$B$5),$A127&lt;=INT(Instellingen!$B$6)),1,0)</f>
        <v/>
      </c>
      <c r="D127" s="20">
        <f>COUNTIFS(tData[SEHTrajectPeriodeDatumTijdVan],"&lt;="&amp;($A127+0/24),tData[SEHTrajectPeriodeDatumTijdTotEnMet],"&gt;"&amp;($A127+0/24),tData[Langligger01],1)</f>
        <v/>
      </c>
      <c r="E127" s="20">
        <f>COUNTIFS(tData[SEHTrajectPeriodeDatumTijdVan],"&lt;="&amp;($A127+1/24),tData[SEHTrajectPeriodeDatumTijdTotEnMet],"&gt;"&amp;($A127+1/24),tData[Langligger01],1)</f>
        <v/>
      </c>
      <c r="F127" s="20">
        <f>COUNTIFS(tData[SEHTrajectPeriodeDatumTijdVan],"&lt;="&amp;($A127+2/24),tData[SEHTrajectPeriodeDatumTijdTotEnMet],"&gt;"&amp;($A127+2/24),tData[Langligger01],1)</f>
        <v/>
      </c>
      <c r="G127" s="20">
        <f>COUNTIFS(tData[SEHTrajectPeriodeDatumTijdVan],"&lt;="&amp;($A127+3/24),tData[SEHTrajectPeriodeDatumTijdTotEnMet],"&gt;"&amp;($A127+3/24),tData[Langligger01],1)</f>
        <v/>
      </c>
      <c r="H127" s="20">
        <f>COUNTIFS(tData[SEHTrajectPeriodeDatumTijdVan],"&lt;="&amp;($A127+4/24),tData[SEHTrajectPeriodeDatumTijdTotEnMet],"&gt;"&amp;($A127+4/24),tData[Langligger01],1)</f>
        <v/>
      </c>
      <c r="I127" s="20">
        <f>COUNTIFS(tData[SEHTrajectPeriodeDatumTijdVan],"&lt;="&amp;($A127+5/24),tData[SEHTrajectPeriodeDatumTijdTotEnMet],"&gt;"&amp;($A127+5/24),tData[Langligger01],1)</f>
        <v/>
      </c>
      <c r="J127" s="20">
        <f>COUNTIFS(tData[SEHTrajectPeriodeDatumTijdVan],"&lt;="&amp;($A127+6/24),tData[SEHTrajectPeriodeDatumTijdTotEnMet],"&gt;"&amp;($A127+6/24),tData[Langligger01],1)</f>
        <v/>
      </c>
      <c r="K127" s="20">
        <f>COUNTIFS(tData[SEHTrajectPeriodeDatumTijdVan],"&lt;="&amp;($A127+7/24),tData[SEHTrajectPeriodeDatumTijdTotEnMet],"&gt;"&amp;($A127+7/24),tData[Langligger01],1)</f>
        <v/>
      </c>
      <c r="L127" s="20">
        <f>COUNTIFS(tData[SEHTrajectPeriodeDatumTijdVan],"&lt;="&amp;($A127+8/24),tData[SEHTrajectPeriodeDatumTijdTotEnMet],"&gt;"&amp;($A127+8/24),tData[Langligger01],1)</f>
        <v/>
      </c>
      <c r="M127" s="20">
        <f>COUNTIFS(tData[SEHTrajectPeriodeDatumTijdVan],"&lt;="&amp;($A127+9/24),tData[SEHTrajectPeriodeDatumTijdTotEnMet],"&gt;"&amp;($A127+9/24),tData[Langligger01],1)</f>
        <v/>
      </c>
      <c r="N127" s="20">
        <f>COUNTIFS(tData[SEHTrajectPeriodeDatumTijdVan],"&lt;="&amp;($A127+10/24),tData[SEHTrajectPeriodeDatumTijdTotEnMet],"&gt;"&amp;($A127+10/24),tData[Langligger01],1)</f>
        <v/>
      </c>
      <c r="O127" s="20">
        <f>COUNTIFS(tData[SEHTrajectPeriodeDatumTijdVan],"&lt;="&amp;($A127+11/24),tData[SEHTrajectPeriodeDatumTijdTotEnMet],"&gt;"&amp;($A127+11/24),tData[Langligger01],1)</f>
        <v/>
      </c>
      <c r="P127" s="20">
        <f>COUNTIFS(tData[SEHTrajectPeriodeDatumTijdVan],"&lt;="&amp;($A127+12/24),tData[SEHTrajectPeriodeDatumTijdTotEnMet],"&gt;"&amp;($A127+12/24),tData[Langligger01],1)</f>
        <v/>
      </c>
      <c r="Q127" s="20">
        <f>COUNTIFS(tData[SEHTrajectPeriodeDatumTijdVan],"&lt;="&amp;($A127+13/24),tData[SEHTrajectPeriodeDatumTijdTotEnMet],"&gt;"&amp;($A127+13/24),tData[Langligger01],1)</f>
        <v/>
      </c>
      <c r="R127" s="20">
        <f>COUNTIFS(tData[SEHTrajectPeriodeDatumTijdVan],"&lt;="&amp;($A127+14/24),tData[SEHTrajectPeriodeDatumTijdTotEnMet],"&gt;"&amp;($A127+14/24),tData[Langligger01],1)</f>
        <v/>
      </c>
      <c r="S127" s="20">
        <f>COUNTIFS(tData[SEHTrajectPeriodeDatumTijdVan],"&lt;="&amp;($A127+15/24),tData[SEHTrajectPeriodeDatumTijdTotEnMet],"&gt;"&amp;($A127+15/24),tData[Langligger01],1)</f>
        <v/>
      </c>
      <c r="T127" s="20">
        <f>COUNTIFS(tData[SEHTrajectPeriodeDatumTijdVan],"&lt;="&amp;($A127+16/24),tData[SEHTrajectPeriodeDatumTijdTotEnMet],"&gt;"&amp;($A127+16/24),tData[Langligger01],1)</f>
        <v/>
      </c>
      <c r="U127" s="20">
        <f>COUNTIFS(tData[SEHTrajectPeriodeDatumTijdVan],"&lt;="&amp;($A127+17/24),tData[SEHTrajectPeriodeDatumTijdTotEnMet],"&gt;"&amp;($A127+17/24),tData[Langligger01],1)</f>
        <v/>
      </c>
      <c r="V127" s="20">
        <f>COUNTIFS(tData[SEHTrajectPeriodeDatumTijdVan],"&lt;="&amp;($A127+18/24),tData[SEHTrajectPeriodeDatumTijdTotEnMet],"&gt;"&amp;($A127+18/24),tData[Langligger01],1)</f>
        <v/>
      </c>
      <c r="W127" s="20">
        <f>COUNTIFS(tData[SEHTrajectPeriodeDatumTijdVan],"&lt;="&amp;($A127+19/24),tData[SEHTrajectPeriodeDatumTijdTotEnMet],"&gt;"&amp;($A127+19/24),tData[Langligger01],1)</f>
        <v/>
      </c>
      <c r="X127" s="20">
        <f>COUNTIFS(tData[SEHTrajectPeriodeDatumTijdVan],"&lt;="&amp;($A127+20/24),tData[SEHTrajectPeriodeDatumTijdTotEnMet],"&gt;"&amp;($A127+20/24),tData[Langligger01],1)</f>
        <v/>
      </c>
      <c r="Y127" s="20">
        <f>COUNTIFS(tData[SEHTrajectPeriodeDatumTijdVan],"&lt;="&amp;($A127+21/24),tData[SEHTrajectPeriodeDatumTijdTotEnMet],"&gt;"&amp;($A127+21/24),tData[Langligger01],1)</f>
        <v/>
      </c>
      <c r="Z127" s="20">
        <f>COUNTIFS(tData[SEHTrajectPeriodeDatumTijdVan],"&lt;="&amp;($A127+22/24),tData[SEHTrajectPeriodeDatumTijdTotEnMet],"&gt;"&amp;($A127+22/24),tData[Langligger01],1)</f>
        <v/>
      </c>
      <c r="AA127" s="20">
        <f>COUNTIFS(tData[SEHTrajectPeriodeDatumTijdVan],"&lt;="&amp;($A127+23/24),tData[SEHTrajectPeriodeDatumTijdTotEnMet],"&gt;"&amp;($A127+23/24),tData[Langligger01],1)</f>
        <v/>
      </c>
    </row>
    <row r="128">
      <c r="A128" s="19" t="n">
        <v>45416</v>
      </c>
      <c r="B128" s="15">
        <f>WEEKDAY($A128,2)</f>
        <v/>
      </c>
      <c r="C128" s="15">
        <f>IF(AND($A128&gt;=INT(Instellingen!$B$5),$A128&lt;=INT(Instellingen!$B$6)),1,0)</f>
        <v/>
      </c>
      <c r="D128" s="20">
        <f>COUNTIFS(tData[SEHTrajectPeriodeDatumTijdVan],"&lt;="&amp;($A128+0/24),tData[SEHTrajectPeriodeDatumTijdTotEnMet],"&gt;"&amp;($A128+0/24),tData[Langligger01],1)</f>
        <v/>
      </c>
      <c r="E128" s="20">
        <f>COUNTIFS(tData[SEHTrajectPeriodeDatumTijdVan],"&lt;="&amp;($A128+1/24),tData[SEHTrajectPeriodeDatumTijdTotEnMet],"&gt;"&amp;($A128+1/24),tData[Langligger01],1)</f>
        <v/>
      </c>
      <c r="F128" s="20">
        <f>COUNTIFS(tData[SEHTrajectPeriodeDatumTijdVan],"&lt;="&amp;($A128+2/24),tData[SEHTrajectPeriodeDatumTijdTotEnMet],"&gt;"&amp;($A128+2/24),tData[Langligger01],1)</f>
        <v/>
      </c>
      <c r="G128" s="20">
        <f>COUNTIFS(tData[SEHTrajectPeriodeDatumTijdVan],"&lt;="&amp;($A128+3/24),tData[SEHTrajectPeriodeDatumTijdTotEnMet],"&gt;"&amp;($A128+3/24),tData[Langligger01],1)</f>
        <v/>
      </c>
      <c r="H128" s="20">
        <f>COUNTIFS(tData[SEHTrajectPeriodeDatumTijdVan],"&lt;="&amp;($A128+4/24),tData[SEHTrajectPeriodeDatumTijdTotEnMet],"&gt;"&amp;($A128+4/24),tData[Langligger01],1)</f>
        <v/>
      </c>
      <c r="I128" s="20">
        <f>COUNTIFS(tData[SEHTrajectPeriodeDatumTijdVan],"&lt;="&amp;($A128+5/24),tData[SEHTrajectPeriodeDatumTijdTotEnMet],"&gt;"&amp;($A128+5/24),tData[Langligger01],1)</f>
        <v/>
      </c>
      <c r="J128" s="20">
        <f>COUNTIFS(tData[SEHTrajectPeriodeDatumTijdVan],"&lt;="&amp;($A128+6/24),tData[SEHTrajectPeriodeDatumTijdTotEnMet],"&gt;"&amp;($A128+6/24),tData[Langligger01],1)</f>
        <v/>
      </c>
      <c r="K128" s="20">
        <f>COUNTIFS(tData[SEHTrajectPeriodeDatumTijdVan],"&lt;="&amp;($A128+7/24),tData[SEHTrajectPeriodeDatumTijdTotEnMet],"&gt;"&amp;($A128+7/24),tData[Langligger01],1)</f>
        <v/>
      </c>
      <c r="L128" s="20">
        <f>COUNTIFS(tData[SEHTrajectPeriodeDatumTijdVan],"&lt;="&amp;($A128+8/24),tData[SEHTrajectPeriodeDatumTijdTotEnMet],"&gt;"&amp;($A128+8/24),tData[Langligger01],1)</f>
        <v/>
      </c>
      <c r="M128" s="20">
        <f>COUNTIFS(tData[SEHTrajectPeriodeDatumTijdVan],"&lt;="&amp;($A128+9/24),tData[SEHTrajectPeriodeDatumTijdTotEnMet],"&gt;"&amp;($A128+9/24),tData[Langligger01],1)</f>
        <v/>
      </c>
      <c r="N128" s="20">
        <f>COUNTIFS(tData[SEHTrajectPeriodeDatumTijdVan],"&lt;="&amp;($A128+10/24),tData[SEHTrajectPeriodeDatumTijdTotEnMet],"&gt;"&amp;($A128+10/24),tData[Langligger01],1)</f>
        <v/>
      </c>
      <c r="O128" s="20">
        <f>COUNTIFS(tData[SEHTrajectPeriodeDatumTijdVan],"&lt;="&amp;($A128+11/24),tData[SEHTrajectPeriodeDatumTijdTotEnMet],"&gt;"&amp;($A128+11/24),tData[Langligger01],1)</f>
        <v/>
      </c>
      <c r="P128" s="20">
        <f>COUNTIFS(tData[SEHTrajectPeriodeDatumTijdVan],"&lt;="&amp;($A128+12/24),tData[SEHTrajectPeriodeDatumTijdTotEnMet],"&gt;"&amp;($A128+12/24),tData[Langligger01],1)</f>
        <v/>
      </c>
      <c r="Q128" s="20">
        <f>COUNTIFS(tData[SEHTrajectPeriodeDatumTijdVan],"&lt;="&amp;($A128+13/24),tData[SEHTrajectPeriodeDatumTijdTotEnMet],"&gt;"&amp;($A128+13/24),tData[Langligger01],1)</f>
        <v/>
      </c>
      <c r="R128" s="20">
        <f>COUNTIFS(tData[SEHTrajectPeriodeDatumTijdVan],"&lt;="&amp;($A128+14/24),tData[SEHTrajectPeriodeDatumTijdTotEnMet],"&gt;"&amp;($A128+14/24),tData[Langligger01],1)</f>
        <v/>
      </c>
      <c r="S128" s="20">
        <f>COUNTIFS(tData[SEHTrajectPeriodeDatumTijdVan],"&lt;="&amp;($A128+15/24),tData[SEHTrajectPeriodeDatumTijdTotEnMet],"&gt;"&amp;($A128+15/24),tData[Langligger01],1)</f>
        <v/>
      </c>
      <c r="T128" s="20">
        <f>COUNTIFS(tData[SEHTrajectPeriodeDatumTijdVan],"&lt;="&amp;($A128+16/24),tData[SEHTrajectPeriodeDatumTijdTotEnMet],"&gt;"&amp;($A128+16/24),tData[Langligger01],1)</f>
        <v/>
      </c>
      <c r="U128" s="20">
        <f>COUNTIFS(tData[SEHTrajectPeriodeDatumTijdVan],"&lt;="&amp;($A128+17/24),tData[SEHTrajectPeriodeDatumTijdTotEnMet],"&gt;"&amp;($A128+17/24),tData[Langligger01],1)</f>
        <v/>
      </c>
      <c r="V128" s="20">
        <f>COUNTIFS(tData[SEHTrajectPeriodeDatumTijdVan],"&lt;="&amp;($A128+18/24),tData[SEHTrajectPeriodeDatumTijdTotEnMet],"&gt;"&amp;($A128+18/24),tData[Langligger01],1)</f>
        <v/>
      </c>
      <c r="W128" s="20">
        <f>COUNTIFS(tData[SEHTrajectPeriodeDatumTijdVan],"&lt;="&amp;($A128+19/24),tData[SEHTrajectPeriodeDatumTijdTotEnMet],"&gt;"&amp;($A128+19/24),tData[Langligger01],1)</f>
        <v/>
      </c>
      <c r="X128" s="20">
        <f>COUNTIFS(tData[SEHTrajectPeriodeDatumTijdVan],"&lt;="&amp;($A128+20/24),tData[SEHTrajectPeriodeDatumTijdTotEnMet],"&gt;"&amp;($A128+20/24),tData[Langligger01],1)</f>
        <v/>
      </c>
      <c r="Y128" s="20">
        <f>COUNTIFS(tData[SEHTrajectPeriodeDatumTijdVan],"&lt;="&amp;($A128+21/24),tData[SEHTrajectPeriodeDatumTijdTotEnMet],"&gt;"&amp;($A128+21/24),tData[Langligger01],1)</f>
        <v/>
      </c>
      <c r="Z128" s="20">
        <f>COUNTIFS(tData[SEHTrajectPeriodeDatumTijdVan],"&lt;="&amp;($A128+22/24),tData[SEHTrajectPeriodeDatumTijdTotEnMet],"&gt;"&amp;($A128+22/24),tData[Langligger01],1)</f>
        <v/>
      </c>
      <c r="AA128" s="20">
        <f>COUNTIFS(tData[SEHTrajectPeriodeDatumTijdVan],"&lt;="&amp;($A128+23/24),tData[SEHTrajectPeriodeDatumTijdTotEnMet],"&gt;"&amp;($A128+23/24),tData[Langligger01],1)</f>
        <v/>
      </c>
    </row>
    <row r="129">
      <c r="A129" s="19" t="n">
        <v>45417</v>
      </c>
      <c r="B129" s="15">
        <f>WEEKDAY($A129,2)</f>
        <v/>
      </c>
      <c r="C129" s="15">
        <f>IF(AND($A129&gt;=INT(Instellingen!$B$5),$A129&lt;=INT(Instellingen!$B$6)),1,0)</f>
        <v/>
      </c>
      <c r="D129" s="20">
        <f>COUNTIFS(tData[SEHTrajectPeriodeDatumTijdVan],"&lt;="&amp;($A129+0/24),tData[SEHTrajectPeriodeDatumTijdTotEnMet],"&gt;"&amp;($A129+0/24),tData[Langligger01],1)</f>
        <v/>
      </c>
      <c r="E129" s="20">
        <f>COUNTIFS(tData[SEHTrajectPeriodeDatumTijdVan],"&lt;="&amp;($A129+1/24),tData[SEHTrajectPeriodeDatumTijdTotEnMet],"&gt;"&amp;($A129+1/24),tData[Langligger01],1)</f>
        <v/>
      </c>
      <c r="F129" s="20">
        <f>COUNTIFS(tData[SEHTrajectPeriodeDatumTijdVan],"&lt;="&amp;($A129+2/24),tData[SEHTrajectPeriodeDatumTijdTotEnMet],"&gt;"&amp;($A129+2/24),tData[Langligger01],1)</f>
        <v/>
      </c>
      <c r="G129" s="20">
        <f>COUNTIFS(tData[SEHTrajectPeriodeDatumTijdVan],"&lt;="&amp;($A129+3/24),tData[SEHTrajectPeriodeDatumTijdTotEnMet],"&gt;"&amp;($A129+3/24),tData[Langligger01],1)</f>
        <v/>
      </c>
      <c r="H129" s="20">
        <f>COUNTIFS(tData[SEHTrajectPeriodeDatumTijdVan],"&lt;="&amp;($A129+4/24),tData[SEHTrajectPeriodeDatumTijdTotEnMet],"&gt;"&amp;($A129+4/24),tData[Langligger01],1)</f>
        <v/>
      </c>
      <c r="I129" s="20">
        <f>COUNTIFS(tData[SEHTrajectPeriodeDatumTijdVan],"&lt;="&amp;($A129+5/24),tData[SEHTrajectPeriodeDatumTijdTotEnMet],"&gt;"&amp;($A129+5/24),tData[Langligger01],1)</f>
        <v/>
      </c>
      <c r="J129" s="20">
        <f>COUNTIFS(tData[SEHTrajectPeriodeDatumTijdVan],"&lt;="&amp;($A129+6/24),tData[SEHTrajectPeriodeDatumTijdTotEnMet],"&gt;"&amp;($A129+6/24),tData[Langligger01],1)</f>
        <v/>
      </c>
      <c r="K129" s="20">
        <f>COUNTIFS(tData[SEHTrajectPeriodeDatumTijdVan],"&lt;="&amp;($A129+7/24),tData[SEHTrajectPeriodeDatumTijdTotEnMet],"&gt;"&amp;($A129+7/24),tData[Langligger01],1)</f>
        <v/>
      </c>
      <c r="L129" s="20">
        <f>COUNTIFS(tData[SEHTrajectPeriodeDatumTijdVan],"&lt;="&amp;($A129+8/24),tData[SEHTrajectPeriodeDatumTijdTotEnMet],"&gt;"&amp;($A129+8/24),tData[Langligger01],1)</f>
        <v/>
      </c>
      <c r="M129" s="20">
        <f>COUNTIFS(tData[SEHTrajectPeriodeDatumTijdVan],"&lt;="&amp;($A129+9/24),tData[SEHTrajectPeriodeDatumTijdTotEnMet],"&gt;"&amp;($A129+9/24),tData[Langligger01],1)</f>
        <v/>
      </c>
      <c r="N129" s="20">
        <f>COUNTIFS(tData[SEHTrajectPeriodeDatumTijdVan],"&lt;="&amp;($A129+10/24),tData[SEHTrajectPeriodeDatumTijdTotEnMet],"&gt;"&amp;($A129+10/24),tData[Langligger01],1)</f>
        <v/>
      </c>
      <c r="O129" s="20">
        <f>COUNTIFS(tData[SEHTrajectPeriodeDatumTijdVan],"&lt;="&amp;($A129+11/24),tData[SEHTrajectPeriodeDatumTijdTotEnMet],"&gt;"&amp;($A129+11/24),tData[Langligger01],1)</f>
        <v/>
      </c>
      <c r="P129" s="20">
        <f>COUNTIFS(tData[SEHTrajectPeriodeDatumTijdVan],"&lt;="&amp;($A129+12/24),tData[SEHTrajectPeriodeDatumTijdTotEnMet],"&gt;"&amp;($A129+12/24),tData[Langligger01],1)</f>
        <v/>
      </c>
      <c r="Q129" s="20">
        <f>COUNTIFS(tData[SEHTrajectPeriodeDatumTijdVan],"&lt;="&amp;($A129+13/24),tData[SEHTrajectPeriodeDatumTijdTotEnMet],"&gt;"&amp;($A129+13/24),tData[Langligger01],1)</f>
        <v/>
      </c>
      <c r="R129" s="20">
        <f>COUNTIFS(tData[SEHTrajectPeriodeDatumTijdVan],"&lt;="&amp;($A129+14/24),tData[SEHTrajectPeriodeDatumTijdTotEnMet],"&gt;"&amp;($A129+14/24),tData[Langligger01],1)</f>
        <v/>
      </c>
      <c r="S129" s="20">
        <f>COUNTIFS(tData[SEHTrajectPeriodeDatumTijdVan],"&lt;="&amp;($A129+15/24),tData[SEHTrajectPeriodeDatumTijdTotEnMet],"&gt;"&amp;($A129+15/24),tData[Langligger01],1)</f>
        <v/>
      </c>
      <c r="T129" s="20">
        <f>COUNTIFS(tData[SEHTrajectPeriodeDatumTijdVan],"&lt;="&amp;($A129+16/24),tData[SEHTrajectPeriodeDatumTijdTotEnMet],"&gt;"&amp;($A129+16/24),tData[Langligger01],1)</f>
        <v/>
      </c>
      <c r="U129" s="20">
        <f>COUNTIFS(tData[SEHTrajectPeriodeDatumTijdVan],"&lt;="&amp;($A129+17/24),tData[SEHTrajectPeriodeDatumTijdTotEnMet],"&gt;"&amp;($A129+17/24),tData[Langligger01],1)</f>
        <v/>
      </c>
      <c r="V129" s="20">
        <f>COUNTIFS(tData[SEHTrajectPeriodeDatumTijdVan],"&lt;="&amp;($A129+18/24),tData[SEHTrajectPeriodeDatumTijdTotEnMet],"&gt;"&amp;($A129+18/24),tData[Langligger01],1)</f>
        <v/>
      </c>
      <c r="W129" s="20">
        <f>COUNTIFS(tData[SEHTrajectPeriodeDatumTijdVan],"&lt;="&amp;($A129+19/24),tData[SEHTrajectPeriodeDatumTijdTotEnMet],"&gt;"&amp;($A129+19/24),tData[Langligger01],1)</f>
        <v/>
      </c>
      <c r="X129" s="20">
        <f>COUNTIFS(tData[SEHTrajectPeriodeDatumTijdVan],"&lt;="&amp;($A129+20/24),tData[SEHTrajectPeriodeDatumTijdTotEnMet],"&gt;"&amp;($A129+20/24),tData[Langligger01],1)</f>
        <v/>
      </c>
      <c r="Y129" s="20">
        <f>COUNTIFS(tData[SEHTrajectPeriodeDatumTijdVan],"&lt;="&amp;($A129+21/24),tData[SEHTrajectPeriodeDatumTijdTotEnMet],"&gt;"&amp;($A129+21/24),tData[Langligger01],1)</f>
        <v/>
      </c>
      <c r="Z129" s="20">
        <f>COUNTIFS(tData[SEHTrajectPeriodeDatumTijdVan],"&lt;="&amp;($A129+22/24),tData[SEHTrajectPeriodeDatumTijdTotEnMet],"&gt;"&amp;($A129+22/24),tData[Langligger01],1)</f>
        <v/>
      </c>
      <c r="AA129" s="20">
        <f>COUNTIFS(tData[SEHTrajectPeriodeDatumTijdVan],"&lt;="&amp;($A129+23/24),tData[SEHTrajectPeriodeDatumTijdTotEnMet],"&gt;"&amp;($A129+23/24),tData[Langligger01],1)</f>
        <v/>
      </c>
    </row>
    <row r="130">
      <c r="A130" s="19" t="n">
        <v>45418</v>
      </c>
      <c r="B130" s="15">
        <f>WEEKDAY($A130,2)</f>
        <v/>
      </c>
      <c r="C130" s="15">
        <f>IF(AND($A130&gt;=INT(Instellingen!$B$5),$A130&lt;=INT(Instellingen!$B$6)),1,0)</f>
        <v/>
      </c>
      <c r="D130" s="20">
        <f>COUNTIFS(tData[SEHTrajectPeriodeDatumTijdVan],"&lt;="&amp;($A130+0/24),tData[SEHTrajectPeriodeDatumTijdTotEnMet],"&gt;"&amp;($A130+0/24),tData[Langligger01],1)</f>
        <v/>
      </c>
      <c r="E130" s="20">
        <f>COUNTIFS(tData[SEHTrajectPeriodeDatumTijdVan],"&lt;="&amp;($A130+1/24),tData[SEHTrajectPeriodeDatumTijdTotEnMet],"&gt;"&amp;($A130+1/24),tData[Langligger01],1)</f>
        <v/>
      </c>
      <c r="F130" s="20">
        <f>COUNTIFS(tData[SEHTrajectPeriodeDatumTijdVan],"&lt;="&amp;($A130+2/24),tData[SEHTrajectPeriodeDatumTijdTotEnMet],"&gt;"&amp;($A130+2/24),tData[Langligger01],1)</f>
        <v/>
      </c>
      <c r="G130" s="20">
        <f>COUNTIFS(tData[SEHTrajectPeriodeDatumTijdVan],"&lt;="&amp;($A130+3/24),tData[SEHTrajectPeriodeDatumTijdTotEnMet],"&gt;"&amp;($A130+3/24),tData[Langligger01],1)</f>
        <v/>
      </c>
      <c r="H130" s="20">
        <f>COUNTIFS(tData[SEHTrajectPeriodeDatumTijdVan],"&lt;="&amp;($A130+4/24),tData[SEHTrajectPeriodeDatumTijdTotEnMet],"&gt;"&amp;($A130+4/24),tData[Langligger01],1)</f>
        <v/>
      </c>
      <c r="I130" s="20">
        <f>COUNTIFS(tData[SEHTrajectPeriodeDatumTijdVan],"&lt;="&amp;($A130+5/24),tData[SEHTrajectPeriodeDatumTijdTotEnMet],"&gt;"&amp;($A130+5/24),tData[Langligger01],1)</f>
        <v/>
      </c>
      <c r="J130" s="20">
        <f>COUNTIFS(tData[SEHTrajectPeriodeDatumTijdVan],"&lt;="&amp;($A130+6/24),tData[SEHTrajectPeriodeDatumTijdTotEnMet],"&gt;"&amp;($A130+6/24),tData[Langligger01],1)</f>
        <v/>
      </c>
      <c r="K130" s="20">
        <f>COUNTIFS(tData[SEHTrajectPeriodeDatumTijdVan],"&lt;="&amp;($A130+7/24),tData[SEHTrajectPeriodeDatumTijdTotEnMet],"&gt;"&amp;($A130+7/24),tData[Langligger01],1)</f>
        <v/>
      </c>
      <c r="L130" s="20">
        <f>COUNTIFS(tData[SEHTrajectPeriodeDatumTijdVan],"&lt;="&amp;($A130+8/24),tData[SEHTrajectPeriodeDatumTijdTotEnMet],"&gt;"&amp;($A130+8/24),tData[Langligger01],1)</f>
        <v/>
      </c>
      <c r="M130" s="20">
        <f>COUNTIFS(tData[SEHTrajectPeriodeDatumTijdVan],"&lt;="&amp;($A130+9/24),tData[SEHTrajectPeriodeDatumTijdTotEnMet],"&gt;"&amp;($A130+9/24),tData[Langligger01],1)</f>
        <v/>
      </c>
      <c r="N130" s="20">
        <f>COUNTIFS(tData[SEHTrajectPeriodeDatumTijdVan],"&lt;="&amp;($A130+10/24),tData[SEHTrajectPeriodeDatumTijdTotEnMet],"&gt;"&amp;($A130+10/24),tData[Langligger01],1)</f>
        <v/>
      </c>
      <c r="O130" s="20">
        <f>COUNTIFS(tData[SEHTrajectPeriodeDatumTijdVan],"&lt;="&amp;($A130+11/24),tData[SEHTrajectPeriodeDatumTijdTotEnMet],"&gt;"&amp;($A130+11/24),tData[Langligger01],1)</f>
        <v/>
      </c>
      <c r="P130" s="20">
        <f>COUNTIFS(tData[SEHTrajectPeriodeDatumTijdVan],"&lt;="&amp;($A130+12/24),tData[SEHTrajectPeriodeDatumTijdTotEnMet],"&gt;"&amp;($A130+12/24),tData[Langligger01],1)</f>
        <v/>
      </c>
      <c r="Q130" s="20">
        <f>COUNTIFS(tData[SEHTrajectPeriodeDatumTijdVan],"&lt;="&amp;($A130+13/24),tData[SEHTrajectPeriodeDatumTijdTotEnMet],"&gt;"&amp;($A130+13/24),tData[Langligger01],1)</f>
        <v/>
      </c>
      <c r="R130" s="20">
        <f>COUNTIFS(tData[SEHTrajectPeriodeDatumTijdVan],"&lt;="&amp;($A130+14/24),tData[SEHTrajectPeriodeDatumTijdTotEnMet],"&gt;"&amp;($A130+14/24),tData[Langligger01],1)</f>
        <v/>
      </c>
      <c r="S130" s="20">
        <f>COUNTIFS(tData[SEHTrajectPeriodeDatumTijdVan],"&lt;="&amp;($A130+15/24),tData[SEHTrajectPeriodeDatumTijdTotEnMet],"&gt;"&amp;($A130+15/24),tData[Langligger01],1)</f>
        <v/>
      </c>
      <c r="T130" s="20">
        <f>COUNTIFS(tData[SEHTrajectPeriodeDatumTijdVan],"&lt;="&amp;($A130+16/24),tData[SEHTrajectPeriodeDatumTijdTotEnMet],"&gt;"&amp;($A130+16/24),tData[Langligger01],1)</f>
        <v/>
      </c>
      <c r="U130" s="20">
        <f>COUNTIFS(tData[SEHTrajectPeriodeDatumTijdVan],"&lt;="&amp;($A130+17/24),tData[SEHTrajectPeriodeDatumTijdTotEnMet],"&gt;"&amp;($A130+17/24),tData[Langligger01],1)</f>
        <v/>
      </c>
      <c r="V130" s="20">
        <f>COUNTIFS(tData[SEHTrajectPeriodeDatumTijdVan],"&lt;="&amp;($A130+18/24),tData[SEHTrajectPeriodeDatumTijdTotEnMet],"&gt;"&amp;($A130+18/24),tData[Langligger01],1)</f>
        <v/>
      </c>
      <c r="W130" s="20">
        <f>COUNTIFS(tData[SEHTrajectPeriodeDatumTijdVan],"&lt;="&amp;($A130+19/24),tData[SEHTrajectPeriodeDatumTijdTotEnMet],"&gt;"&amp;($A130+19/24),tData[Langligger01],1)</f>
        <v/>
      </c>
      <c r="X130" s="20">
        <f>COUNTIFS(tData[SEHTrajectPeriodeDatumTijdVan],"&lt;="&amp;($A130+20/24),tData[SEHTrajectPeriodeDatumTijdTotEnMet],"&gt;"&amp;($A130+20/24),tData[Langligger01],1)</f>
        <v/>
      </c>
      <c r="Y130" s="20">
        <f>COUNTIFS(tData[SEHTrajectPeriodeDatumTijdVan],"&lt;="&amp;($A130+21/24),tData[SEHTrajectPeriodeDatumTijdTotEnMet],"&gt;"&amp;($A130+21/24),tData[Langligger01],1)</f>
        <v/>
      </c>
      <c r="Z130" s="20">
        <f>COUNTIFS(tData[SEHTrajectPeriodeDatumTijdVan],"&lt;="&amp;($A130+22/24),tData[SEHTrajectPeriodeDatumTijdTotEnMet],"&gt;"&amp;($A130+22/24),tData[Langligger01],1)</f>
        <v/>
      </c>
      <c r="AA130" s="20">
        <f>COUNTIFS(tData[SEHTrajectPeriodeDatumTijdVan],"&lt;="&amp;($A130+23/24),tData[SEHTrajectPeriodeDatumTijdTotEnMet],"&gt;"&amp;($A130+23/24),tData[Langligger01],1)</f>
        <v/>
      </c>
    </row>
    <row r="131">
      <c r="A131" s="19" t="n">
        <v>45419</v>
      </c>
      <c r="B131" s="15">
        <f>WEEKDAY($A131,2)</f>
        <v/>
      </c>
      <c r="C131" s="15">
        <f>IF(AND($A131&gt;=INT(Instellingen!$B$5),$A131&lt;=INT(Instellingen!$B$6)),1,0)</f>
        <v/>
      </c>
      <c r="D131" s="20">
        <f>COUNTIFS(tData[SEHTrajectPeriodeDatumTijdVan],"&lt;="&amp;($A131+0/24),tData[SEHTrajectPeriodeDatumTijdTotEnMet],"&gt;"&amp;($A131+0/24),tData[Langligger01],1)</f>
        <v/>
      </c>
      <c r="E131" s="20">
        <f>COUNTIFS(tData[SEHTrajectPeriodeDatumTijdVan],"&lt;="&amp;($A131+1/24),tData[SEHTrajectPeriodeDatumTijdTotEnMet],"&gt;"&amp;($A131+1/24),tData[Langligger01],1)</f>
        <v/>
      </c>
      <c r="F131" s="20">
        <f>COUNTIFS(tData[SEHTrajectPeriodeDatumTijdVan],"&lt;="&amp;($A131+2/24),tData[SEHTrajectPeriodeDatumTijdTotEnMet],"&gt;"&amp;($A131+2/24),tData[Langligger01],1)</f>
        <v/>
      </c>
      <c r="G131" s="20">
        <f>COUNTIFS(tData[SEHTrajectPeriodeDatumTijdVan],"&lt;="&amp;($A131+3/24),tData[SEHTrajectPeriodeDatumTijdTotEnMet],"&gt;"&amp;($A131+3/24),tData[Langligger01],1)</f>
        <v/>
      </c>
      <c r="H131" s="20">
        <f>COUNTIFS(tData[SEHTrajectPeriodeDatumTijdVan],"&lt;="&amp;($A131+4/24),tData[SEHTrajectPeriodeDatumTijdTotEnMet],"&gt;"&amp;($A131+4/24),tData[Langligger01],1)</f>
        <v/>
      </c>
      <c r="I131" s="20">
        <f>COUNTIFS(tData[SEHTrajectPeriodeDatumTijdVan],"&lt;="&amp;($A131+5/24),tData[SEHTrajectPeriodeDatumTijdTotEnMet],"&gt;"&amp;($A131+5/24),tData[Langligger01],1)</f>
        <v/>
      </c>
      <c r="J131" s="20">
        <f>COUNTIFS(tData[SEHTrajectPeriodeDatumTijdVan],"&lt;="&amp;($A131+6/24),tData[SEHTrajectPeriodeDatumTijdTotEnMet],"&gt;"&amp;($A131+6/24),tData[Langligger01],1)</f>
        <v/>
      </c>
      <c r="K131" s="20">
        <f>COUNTIFS(tData[SEHTrajectPeriodeDatumTijdVan],"&lt;="&amp;($A131+7/24),tData[SEHTrajectPeriodeDatumTijdTotEnMet],"&gt;"&amp;($A131+7/24),tData[Langligger01],1)</f>
        <v/>
      </c>
      <c r="L131" s="20">
        <f>COUNTIFS(tData[SEHTrajectPeriodeDatumTijdVan],"&lt;="&amp;($A131+8/24),tData[SEHTrajectPeriodeDatumTijdTotEnMet],"&gt;"&amp;($A131+8/24),tData[Langligger01],1)</f>
        <v/>
      </c>
      <c r="M131" s="20">
        <f>COUNTIFS(tData[SEHTrajectPeriodeDatumTijdVan],"&lt;="&amp;($A131+9/24),tData[SEHTrajectPeriodeDatumTijdTotEnMet],"&gt;"&amp;($A131+9/24),tData[Langligger01],1)</f>
        <v/>
      </c>
      <c r="N131" s="20">
        <f>COUNTIFS(tData[SEHTrajectPeriodeDatumTijdVan],"&lt;="&amp;($A131+10/24),tData[SEHTrajectPeriodeDatumTijdTotEnMet],"&gt;"&amp;($A131+10/24),tData[Langligger01],1)</f>
        <v/>
      </c>
      <c r="O131" s="20">
        <f>COUNTIFS(tData[SEHTrajectPeriodeDatumTijdVan],"&lt;="&amp;($A131+11/24),tData[SEHTrajectPeriodeDatumTijdTotEnMet],"&gt;"&amp;($A131+11/24),tData[Langligger01],1)</f>
        <v/>
      </c>
      <c r="P131" s="20">
        <f>COUNTIFS(tData[SEHTrajectPeriodeDatumTijdVan],"&lt;="&amp;($A131+12/24),tData[SEHTrajectPeriodeDatumTijdTotEnMet],"&gt;"&amp;($A131+12/24),tData[Langligger01],1)</f>
        <v/>
      </c>
      <c r="Q131" s="20">
        <f>COUNTIFS(tData[SEHTrajectPeriodeDatumTijdVan],"&lt;="&amp;($A131+13/24),tData[SEHTrajectPeriodeDatumTijdTotEnMet],"&gt;"&amp;($A131+13/24),tData[Langligger01],1)</f>
        <v/>
      </c>
      <c r="R131" s="20">
        <f>COUNTIFS(tData[SEHTrajectPeriodeDatumTijdVan],"&lt;="&amp;($A131+14/24),tData[SEHTrajectPeriodeDatumTijdTotEnMet],"&gt;"&amp;($A131+14/24),tData[Langligger01],1)</f>
        <v/>
      </c>
      <c r="S131" s="20">
        <f>COUNTIFS(tData[SEHTrajectPeriodeDatumTijdVan],"&lt;="&amp;($A131+15/24),tData[SEHTrajectPeriodeDatumTijdTotEnMet],"&gt;"&amp;($A131+15/24),tData[Langligger01],1)</f>
        <v/>
      </c>
      <c r="T131" s="20">
        <f>COUNTIFS(tData[SEHTrajectPeriodeDatumTijdVan],"&lt;="&amp;($A131+16/24),tData[SEHTrajectPeriodeDatumTijdTotEnMet],"&gt;"&amp;($A131+16/24),tData[Langligger01],1)</f>
        <v/>
      </c>
      <c r="U131" s="20">
        <f>COUNTIFS(tData[SEHTrajectPeriodeDatumTijdVan],"&lt;="&amp;($A131+17/24),tData[SEHTrajectPeriodeDatumTijdTotEnMet],"&gt;"&amp;($A131+17/24),tData[Langligger01],1)</f>
        <v/>
      </c>
      <c r="V131" s="20">
        <f>COUNTIFS(tData[SEHTrajectPeriodeDatumTijdVan],"&lt;="&amp;($A131+18/24),tData[SEHTrajectPeriodeDatumTijdTotEnMet],"&gt;"&amp;($A131+18/24),tData[Langligger01],1)</f>
        <v/>
      </c>
      <c r="W131" s="20">
        <f>COUNTIFS(tData[SEHTrajectPeriodeDatumTijdVan],"&lt;="&amp;($A131+19/24),tData[SEHTrajectPeriodeDatumTijdTotEnMet],"&gt;"&amp;($A131+19/24),tData[Langligger01],1)</f>
        <v/>
      </c>
      <c r="X131" s="20">
        <f>COUNTIFS(tData[SEHTrajectPeriodeDatumTijdVan],"&lt;="&amp;($A131+20/24),tData[SEHTrajectPeriodeDatumTijdTotEnMet],"&gt;"&amp;($A131+20/24),tData[Langligger01],1)</f>
        <v/>
      </c>
      <c r="Y131" s="20">
        <f>COUNTIFS(tData[SEHTrajectPeriodeDatumTijdVan],"&lt;="&amp;($A131+21/24),tData[SEHTrajectPeriodeDatumTijdTotEnMet],"&gt;"&amp;($A131+21/24),tData[Langligger01],1)</f>
        <v/>
      </c>
      <c r="Z131" s="20">
        <f>COUNTIFS(tData[SEHTrajectPeriodeDatumTijdVan],"&lt;="&amp;($A131+22/24),tData[SEHTrajectPeriodeDatumTijdTotEnMet],"&gt;"&amp;($A131+22/24),tData[Langligger01],1)</f>
        <v/>
      </c>
      <c r="AA131" s="20">
        <f>COUNTIFS(tData[SEHTrajectPeriodeDatumTijdVan],"&lt;="&amp;($A131+23/24),tData[SEHTrajectPeriodeDatumTijdTotEnMet],"&gt;"&amp;($A131+23/24),tData[Langligger01],1)</f>
        <v/>
      </c>
    </row>
    <row r="132">
      <c r="A132" s="19" t="n">
        <v>45420</v>
      </c>
      <c r="B132" s="15">
        <f>WEEKDAY($A132,2)</f>
        <v/>
      </c>
      <c r="C132" s="15">
        <f>IF(AND($A132&gt;=INT(Instellingen!$B$5),$A132&lt;=INT(Instellingen!$B$6)),1,0)</f>
        <v/>
      </c>
      <c r="D132" s="20">
        <f>COUNTIFS(tData[SEHTrajectPeriodeDatumTijdVan],"&lt;="&amp;($A132+0/24),tData[SEHTrajectPeriodeDatumTijdTotEnMet],"&gt;"&amp;($A132+0/24),tData[Langligger01],1)</f>
        <v/>
      </c>
      <c r="E132" s="20">
        <f>COUNTIFS(tData[SEHTrajectPeriodeDatumTijdVan],"&lt;="&amp;($A132+1/24),tData[SEHTrajectPeriodeDatumTijdTotEnMet],"&gt;"&amp;($A132+1/24),tData[Langligger01],1)</f>
        <v/>
      </c>
      <c r="F132" s="20">
        <f>COUNTIFS(tData[SEHTrajectPeriodeDatumTijdVan],"&lt;="&amp;($A132+2/24),tData[SEHTrajectPeriodeDatumTijdTotEnMet],"&gt;"&amp;($A132+2/24),tData[Langligger01],1)</f>
        <v/>
      </c>
      <c r="G132" s="20">
        <f>COUNTIFS(tData[SEHTrajectPeriodeDatumTijdVan],"&lt;="&amp;($A132+3/24),tData[SEHTrajectPeriodeDatumTijdTotEnMet],"&gt;"&amp;($A132+3/24),tData[Langligger01],1)</f>
        <v/>
      </c>
      <c r="H132" s="20">
        <f>COUNTIFS(tData[SEHTrajectPeriodeDatumTijdVan],"&lt;="&amp;($A132+4/24),tData[SEHTrajectPeriodeDatumTijdTotEnMet],"&gt;"&amp;($A132+4/24),tData[Langligger01],1)</f>
        <v/>
      </c>
      <c r="I132" s="20">
        <f>COUNTIFS(tData[SEHTrajectPeriodeDatumTijdVan],"&lt;="&amp;($A132+5/24),tData[SEHTrajectPeriodeDatumTijdTotEnMet],"&gt;"&amp;($A132+5/24),tData[Langligger01],1)</f>
        <v/>
      </c>
      <c r="J132" s="20">
        <f>COUNTIFS(tData[SEHTrajectPeriodeDatumTijdVan],"&lt;="&amp;($A132+6/24),tData[SEHTrajectPeriodeDatumTijdTotEnMet],"&gt;"&amp;($A132+6/24),tData[Langligger01],1)</f>
        <v/>
      </c>
      <c r="K132" s="20">
        <f>COUNTIFS(tData[SEHTrajectPeriodeDatumTijdVan],"&lt;="&amp;($A132+7/24),tData[SEHTrajectPeriodeDatumTijdTotEnMet],"&gt;"&amp;($A132+7/24),tData[Langligger01],1)</f>
        <v/>
      </c>
      <c r="L132" s="20">
        <f>COUNTIFS(tData[SEHTrajectPeriodeDatumTijdVan],"&lt;="&amp;($A132+8/24),tData[SEHTrajectPeriodeDatumTijdTotEnMet],"&gt;"&amp;($A132+8/24),tData[Langligger01],1)</f>
        <v/>
      </c>
      <c r="M132" s="20">
        <f>COUNTIFS(tData[SEHTrajectPeriodeDatumTijdVan],"&lt;="&amp;($A132+9/24),tData[SEHTrajectPeriodeDatumTijdTotEnMet],"&gt;"&amp;($A132+9/24),tData[Langligger01],1)</f>
        <v/>
      </c>
      <c r="N132" s="20">
        <f>COUNTIFS(tData[SEHTrajectPeriodeDatumTijdVan],"&lt;="&amp;($A132+10/24),tData[SEHTrajectPeriodeDatumTijdTotEnMet],"&gt;"&amp;($A132+10/24),tData[Langligger01],1)</f>
        <v/>
      </c>
      <c r="O132" s="20">
        <f>COUNTIFS(tData[SEHTrajectPeriodeDatumTijdVan],"&lt;="&amp;($A132+11/24),tData[SEHTrajectPeriodeDatumTijdTotEnMet],"&gt;"&amp;($A132+11/24),tData[Langligger01],1)</f>
        <v/>
      </c>
      <c r="P132" s="20">
        <f>COUNTIFS(tData[SEHTrajectPeriodeDatumTijdVan],"&lt;="&amp;($A132+12/24),tData[SEHTrajectPeriodeDatumTijdTotEnMet],"&gt;"&amp;($A132+12/24),tData[Langligger01],1)</f>
        <v/>
      </c>
      <c r="Q132" s="20">
        <f>COUNTIFS(tData[SEHTrajectPeriodeDatumTijdVan],"&lt;="&amp;($A132+13/24),tData[SEHTrajectPeriodeDatumTijdTotEnMet],"&gt;"&amp;($A132+13/24),tData[Langligger01],1)</f>
        <v/>
      </c>
      <c r="R132" s="20">
        <f>COUNTIFS(tData[SEHTrajectPeriodeDatumTijdVan],"&lt;="&amp;($A132+14/24),tData[SEHTrajectPeriodeDatumTijdTotEnMet],"&gt;"&amp;($A132+14/24),tData[Langligger01],1)</f>
        <v/>
      </c>
      <c r="S132" s="20">
        <f>COUNTIFS(tData[SEHTrajectPeriodeDatumTijdVan],"&lt;="&amp;($A132+15/24),tData[SEHTrajectPeriodeDatumTijdTotEnMet],"&gt;"&amp;($A132+15/24),tData[Langligger01],1)</f>
        <v/>
      </c>
      <c r="T132" s="20">
        <f>COUNTIFS(tData[SEHTrajectPeriodeDatumTijdVan],"&lt;="&amp;($A132+16/24),tData[SEHTrajectPeriodeDatumTijdTotEnMet],"&gt;"&amp;($A132+16/24),tData[Langligger01],1)</f>
        <v/>
      </c>
      <c r="U132" s="20">
        <f>COUNTIFS(tData[SEHTrajectPeriodeDatumTijdVan],"&lt;="&amp;($A132+17/24),tData[SEHTrajectPeriodeDatumTijdTotEnMet],"&gt;"&amp;($A132+17/24),tData[Langligger01],1)</f>
        <v/>
      </c>
      <c r="V132" s="20">
        <f>COUNTIFS(tData[SEHTrajectPeriodeDatumTijdVan],"&lt;="&amp;($A132+18/24),tData[SEHTrajectPeriodeDatumTijdTotEnMet],"&gt;"&amp;($A132+18/24),tData[Langligger01],1)</f>
        <v/>
      </c>
      <c r="W132" s="20">
        <f>COUNTIFS(tData[SEHTrajectPeriodeDatumTijdVan],"&lt;="&amp;($A132+19/24),tData[SEHTrajectPeriodeDatumTijdTotEnMet],"&gt;"&amp;($A132+19/24),tData[Langligger01],1)</f>
        <v/>
      </c>
      <c r="X132" s="20">
        <f>COUNTIFS(tData[SEHTrajectPeriodeDatumTijdVan],"&lt;="&amp;($A132+20/24),tData[SEHTrajectPeriodeDatumTijdTotEnMet],"&gt;"&amp;($A132+20/24),tData[Langligger01],1)</f>
        <v/>
      </c>
      <c r="Y132" s="20">
        <f>COUNTIFS(tData[SEHTrajectPeriodeDatumTijdVan],"&lt;="&amp;($A132+21/24),tData[SEHTrajectPeriodeDatumTijdTotEnMet],"&gt;"&amp;($A132+21/24),tData[Langligger01],1)</f>
        <v/>
      </c>
      <c r="Z132" s="20">
        <f>COUNTIFS(tData[SEHTrajectPeriodeDatumTijdVan],"&lt;="&amp;($A132+22/24),tData[SEHTrajectPeriodeDatumTijdTotEnMet],"&gt;"&amp;($A132+22/24),tData[Langligger01],1)</f>
        <v/>
      </c>
      <c r="AA132" s="20">
        <f>COUNTIFS(tData[SEHTrajectPeriodeDatumTijdVan],"&lt;="&amp;($A132+23/24),tData[SEHTrajectPeriodeDatumTijdTotEnMet],"&gt;"&amp;($A132+23/24),tData[Langligger01],1)</f>
        <v/>
      </c>
    </row>
    <row r="133">
      <c r="A133" s="19" t="n">
        <v>45421</v>
      </c>
      <c r="B133" s="15">
        <f>WEEKDAY($A133,2)</f>
        <v/>
      </c>
      <c r="C133" s="15">
        <f>IF(AND($A133&gt;=INT(Instellingen!$B$5),$A133&lt;=INT(Instellingen!$B$6)),1,0)</f>
        <v/>
      </c>
      <c r="D133" s="20">
        <f>COUNTIFS(tData[SEHTrajectPeriodeDatumTijdVan],"&lt;="&amp;($A133+0/24),tData[SEHTrajectPeriodeDatumTijdTotEnMet],"&gt;"&amp;($A133+0/24),tData[Langligger01],1)</f>
        <v/>
      </c>
      <c r="E133" s="20">
        <f>COUNTIFS(tData[SEHTrajectPeriodeDatumTijdVan],"&lt;="&amp;($A133+1/24),tData[SEHTrajectPeriodeDatumTijdTotEnMet],"&gt;"&amp;($A133+1/24),tData[Langligger01],1)</f>
        <v/>
      </c>
      <c r="F133" s="20">
        <f>COUNTIFS(tData[SEHTrajectPeriodeDatumTijdVan],"&lt;="&amp;($A133+2/24),tData[SEHTrajectPeriodeDatumTijdTotEnMet],"&gt;"&amp;($A133+2/24),tData[Langligger01],1)</f>
        <v/>
      </c>
      <c r="G133" s="20">
        <f>COUNTIFS(tData[SEHTrajectPeriodeDatumTijdVan],"&lt;="&amp;($A133+3/24),tData[SEHTrajectPeriodeDatumTijdTotEnMet],"&gt;"&amp;($A133+3/24),tData[Langligger01],1)</f>
        <v/>
      </c>
      <c r="H133" s="20">
        <f>COUNTIFS(tData[SEHTrajectPeriodeDatumTijdVan],"&lt;="&amp;($A133+4/24),tData[SEHTrajectPeriodeDatumTijdTotEnMet],"&gt;"&amp;($A133+4/24),tData[Langligger01],1)</f>
        <v/>
      </c>
      <c r="I133" s="20">
        <f>COUNTIFS(tData[SEHTrajectPeriodeDatumTijdVan],"&lt;="&amp;($A133+5/24),tData[SEHTrajectPeriodeDatumTijdTotEnMet],"&gt;"&amp;($A133+5/24),tData[Langligger01],1)</f>
        <v/>
      </c>
      <c r="J133" s="20">
        <f>COUNTIFS(tData[SEHTrajectPeriodeDatumTijdVan],"&lt;="&amp;($A133+6/24),tData[SEHTrajectPeriodeDatumTijdTotEnMet],"&gt;"&amp;($A133+6/24),tData[Langligger01],1)</f>
        <v/>
      </c>
      <c r="K133" s="20">
        <f>COUNTIFS(tData[SEHTrajectPeriodeDatumTijdVan],"&lt;="&amp;($A133+7/24),tData[SEHTrajectPeriodeDatumTijdTotEnMet],"&gt;"&amp;($A133+7/24),tData[Langligger01],1)</f>
        <v/>
      </c>
      <c r="L133" s="20">
        <f>COUNTIFS(tData[SEHTrajectPeriodeDatumTijdVan],"&lt;="&amp;($A133+8/24),tData[SEHTrajectPeriodeDatumTijdTotEnMet],"&gt;"&amp;($A133+8/24),tData[Langligger01],1)</f>
        <v/>
      </c>
      <c r="M133" s="20">
        <f>COUNTIFS(tData[SEHTrajectPeriodeDatumTijdVan],"&lt;="&amp;($A133+9/24),tData[SEHTrajectPeriodeDatumTijdTotEnMet],"&gt;"&amp;($A133+9/24),tData[Langligger01],1)</f>
        <v/>
      </c>
      <c r="N133" s="20">
        <f>COUNTIFS(tData[SEHTrajectPeriodeDatumTijdVan],"&lt;="&amp;($A133+10/24),tData[SEHTrajectPeriodeDatumTijdTotEnMet],"&gt;"&amp;($A133+10/24),tData[Langligger01],1)</f>
        <v/>
      </c>
      <c r="O133" s="20">
        <f>COUNTIFS(tData[SEHTrajectPeriodeDatumTijdVan],"&lt;="&amp;($A133+11/24),tData[SEHTrajectPeriodeDatumTijdTotEnMet],"&gt;"&amp;($A133+11/24),tData[Langligger01],1)</f>
        <v/>
      </c>
      <c r="P133" s="20">
        <f>COUNTIFS(tData[SEHTrajectPeriodeDatumTijdVan],"&lt;="&amp;($A133+12/24),tData[SEHTrajectPeriodeDatumTijdTotEnMet],"&gt;"&amp;($A133+12/24),tData[Langligger01],1)</f>
        <v/>
      </c>
      <c r="Q133" s="20">
        <f>COUNTIFS(tData[SEHTrajectPeriodeDatumTijdVan],"&lt;="&amp;($A133+13/24),tData[SEHTrajectPeriodeDatumTijdTotEnMet],"&gt;"&amp;($A133+13/24),tData[Langligger01],1)</f>
        <v/>
      </c>
      <c r="R133" s="20">
        <f>COUNTIFS(tData[SEHTrajectPeriodeDatumTijdVan],"&lt;="&amp;($A133+14/24),tData[SEHTrajectPeriodeDatumTijdTotEnMet],"&gt;"&amp;($A133+14/24),tData[Langligger01],1)</f>
        <v/>
      </c>
      <c r="S133" s="20">
        <f>COUNTIFS(tData[SEHTrajectPeriodeDatumTijdVan],"&lt;="&amp;($A133+15/24),tData[SEHTrajectPeriodeDatumTijdTotEnMet],"&gt;"&amp;($A133+15/24),tData[Langligger01],1)</f>
        <v/>
      </c>
      <c r="T133" s="20">
        <f>COUNTIFS(tData[SEHTrajectPeriodeDatumTijdVan],"&lt;="&amp;($A133+16/24),tData[SEHTrajectPeriodeDatumTijdTotEnMet],"&gt;"&amp;($A133+16/24),tData[Langligger01],1)</f>
        <v/>
      </c>
      <c r="U133" s="20">
        <f>COUNTIFS(tData[SEHTrajectPeriodeDatumTijdVan],"&lt;="&amp;($A133+17/24),tData[SEHTrajectPeriodeDatumTijdTotEnMet],"&gt;"&amp;($A133+17/24),tData[Langligger01],1)</f>
        <v/>
      </c>
      <c r="V133" s="20">
        <f>COUNTIFS(tData[SEHTrajectPeriodeDatumTijdVan],"&lt;="&amp;($A133+18/24),tData[SEHTrajectPeriodeDatumTijdTotEnMet],"&gt;"&amp;($A133+18/24),tData[Langligger01],1)</f>
        <v/>
      </c>
      <c r="W133" s="20">
        <f>COUNTIFS(tData[SEHTrajectPeriodeDatumTijdVan],"&lt;="&amp;($A133+19/24),tData[SEHTrajectPeriodeDatumTijdTotEnMet],"&gt;"&amp;($A133+19/24),tData[Langligger01],1)</f>
        <v/>
      </c>
      <c r="X133" s="20">
        <f>COUNTIFS(tData[SEHTrajectPeriodeDatumTijdVan],"&lt;="&amp;($A133+20/24),tData[SEHTrajectPeriodeDatumTijdTotEnMet],"&gt;"&amp;($A133+20/24),tData[Langligger01],1)</f>
        <v/>
      </c>
      <c r="Y133" s="20">
        <f>COUNTIFS(tData[SEHTrajectPeriodeDatumTijdVan],"&lt;="&amp;($A133+21/24),tData[SEHTrajectPeriodeDatumTijdTotEnMet],"&gt;"&amp;($A133+21/24),tData[Langligger01],1)</f>
        <v/>
      </c>
      <c r="Z133" s="20">
        <f>COUNTIFS(tData[SEHTrajectPeriodeDatumTijdVan],"&lt;="&amp;($A133+22/24),tData[SEHTrajectPeriodeDatumTijdTotEnMet],"&gt;"&amp;($A133+22/24),tData[Langligger01],1)</f>
        <v/>
      </c>
      <c r="AA133" s="20">
        <f>COUNTIFS(tData[SEHTrajectPeriodeDatumTijdVan],"&lt;="&amp;($A133+23/24),tData[SEHTrajectPeriodeDatumTijdTotEnMet],"&gt;"&amp;($A133+23/24),tData[Langligger01],1)</f>
        <v/>
      </c>
    </row>
    <row r="134">
      <c r="A134" s="19" t="n">
        <v>45422</v>
      </c>
      <c r="B134" s="15">
        <f>WEEKDAY($A134,2)</f>
        <v/>
      </c>
      <c r="C134" s="15">
        <f>IF(AND($A134&gt;=INT(Instellingen!$B$5),$A134&lt;=INT(Instellingen!$B$6)),1,0)</f>
        <v/>
      </c>
      <c r="D134" s="20">
        <f>COUNTIFS(tData[SEHTrajectPeriodeDatumTijdVan],"&lt;="&amp;($A134+0/24),tData[SEHTrajectPeriodeDatumTijdTotEnMet],"&gt;"&amp;($A134+0/24),tData[Langligger01],1)</f>
        <v/>
      </c>
      <c r="E134" s="20">
        <f>COUNTIFS(tData[SEHTrajectPeriodeDatumTijdVan],"&lt;="&amp;($A134+1/24),tData[SEHTrajectPeriodeDatumTijdTotEnMet],"&gt;"&amp;($A134+1/24),tData[Langligger01],1)</f>
        <v/>
      </c>
      <c r="F134" s="20">
        <f>COUNTIFS(tData[SEHTrajectPeriodeDatumTijdVan],"&lt;="&amp;($A134+2/24),tData[SEHTrajectPeriodeDatumTijdTotEnMet],"&gt;"&amp;($A134+2/24),tData[Langligger01],1)</f>
        <v/>
      </c>
      <c r="G134" s="20">
        <f>COUNTIFS(tData[SEHTrajectPeriodeDatumTijdVan],"&lt;="&amp;($A134+3/24),tData[SEHTrajectPeriodeDatumTijdTotEnMet],"&gt;"&amp;($A134+3/24),tData[Langligger01],1)</f>
        <v/>
      </c>
      <c r="H134" s="20">
        <f>COUNTIFS(tData[SEHTrajectPeriodeDatumTijdVan],"&lt;="&amp;($A134+4/24),tData[SEHTrajectPeriodeDatumTijdTotEnMet],"&gt;"&amp;($A134+4/24),tData[Langligger01],1)</f>
        <v/>
      </c>
      <c r="I134" s="20">
        <f>COUNTIFS(tData[SEHTrajectPeriodeDatumTijdVan],"&lt;="&amp;($A134+5/24),tData[SEHTrajectPeriodeDatumTijdTotEnMet],"&gt;"&amp;($A134+5/24),tData[Langligger01],1)</f>
        <v/>
      </c>
      <c r="J134" s="20">
        <f>COUNTIFS(tData[SEHTrajectPeriodeDatumTijdVan],"&lt;="&amp;($A134+6/24),tData[SEHTrajectPeriodeDatumTijdTotEnMet],"&gt;"&amp;($A134+6/24),tData[Langligger01],1)</f>
        <v/>
      </c>
      <c r="K134" s="20">
        <f>COUNTIFS(tData[SEHTrajectPeriodeDatumTijdVan],"&lt;="&amp;($A134+7/24),tData[SEHTrajectPeriodeDatumTijdTotEnMet],"&gt;"&amp;($A134+7/24),tData[Langligger01],1)</f>
        <v/>
      </c>
      <c r="L134" s="20">
        <f>COUNTIFS(tData[SEHTrajectPeriodeDatumTijdVan],"&lt;="&amp;($A134+8/24),tData[SEHTrajectPeriodeDatumTijdTotEnMet],"&gt;"&amp;($A134+8/24),tData[Langligger01],1)</f>
        <v/>
      </c>
      <c r="M134" s="20">
        <f>COUNTIFS(tData[SEHTrajectPeriodeDatumTijdVan],"&lt;="&amp;($A134+9/24),tData[SEHTrajectPeriodeDatumTijdTotEnMet],"&gt;"&amp;($A134+9/24),tData[Langligger01],1)</f>
        <v/>
      </c>
      <c r="N134" s="20">
        <f>COUNTIFS(tData[SEHTrajectPeriodeDatumTijdVan],"&lt;="&amp;($A134+10/24),tData[SEHTrajectPeriodeDatumTijdTotEnMet],"&gt;"&amp;($A134+10/24),tData[Langligger01],1)</f>
        <v/>
      </c>
      <c r="O134" s="20">
        <f>COUNTIFS(tData[SEHTrajectPeriodeDatumTijdVan],"&lt;="&amp;($A134+11/24),tData[SEHTrajectPeriodeDatumTijdTotEnMet],"&gt;"&amp;($A134+11/24),tData[Langligger01],1)</f>
        <v/>
      </c>
      <c r="P134" s="20">
        <f>COUNTIFS(tData[SEHTrajectPeriodeDatumTijdVan],"&lt;="&amp;($A134+12/24),tData[SEHTrajectPeriodeDatumTijdTotEnMet],"&gt;"&amp;($A134+12/24),tData[Langligger01],1)</f>
        <v/>
      </c>
      <c r="Q134" s="20">
        <f>COUNTIFS(tData[SEHTrajectPeriodeDatumTijdVan],"&lt;="&amp;($A134+13/24),tData[SEHTrajectPeriodeDatumTijdTotEnMet],"&gt;"&amp;($A134+13/24),tData[Langligger01],1)</f>
        <v/>
      </c>
      <c r="R134" s="20">
        <f>COUNTIFS(tData[SEHTrajectPeriodeDatumTijdVan],"&lt;="&amp;($A134+14/24),tData[SEHTrajectPeriodeDatumTijdTotEnMet],"&gt;"&amp;($A134+14/24),tData[Langligger01],1)</f>
        <v/>
      </c>
      <c r="S134" s="20">
        <f>COUNTIFS(tData[SEHTrajectPeriodeDatumTijdVan],"&lt;="&amp;($A134+15/24),tData[SEHTrajectPeriodeDatumTijdTotEnMet],"&gt;"&amp;($A134+15/24),tData[Langligger01],1)</f>
        <v/>
      </c>
      <c r="T134" s="20">
        <f>COUNTIFS(tData[SEHTrajectPeriodeDatumTijdVan],"&lt;="&amp;($A134+16/24),tData[SEHTrajectPeriodeDatumTijdTotEnMet],"&gt;"&amp;($A134+16/24),tData[Langligger01],1)</f>
        <v/>
      </c>
      <c r="U134" s="20">
        <f>COUNTIFS(tData[SEHTrajectPeriodeDatumTijdVan],"&lt;="&amp;($A134+17/24),tData[SEHTrajectPeriodeDatumTijdTotEnMet],"&gt;"&amp;($A134+17/24),tData[Langligger01],1)</f>
        <v/>
      </c>
      <c r="V134" s="20">
        <f>COUNTIFS(tData[SEHTrajectPeriodeDatumTijdVan],"&lt;="&amp;($A134+18/24),tData[SEHTrajectPeriodeDatumTijdTotEnMet],"&gt;"&amp;($A134+18/24),tData[Langligger01],1)</f>
        <v/>
      </c>
      <c r="W134" s="20">
        <f>COUNTIFS(tData[SEHTrajectPeriodeDatumTijdVan],"&lt;="&amp;($A134+19/24),tData[SEHTrajectPeriodeDatumTijdTotEnMet],"&gt;"&amp;($A134+19/24),tData[Langligger01],1)</f>
        <v/>
      </c>
      <c r="X134" s="20">
        <f>COUNTIFS(tData[SEHTrajectPeriodeDatumTijdVan],"&lt;="&amp;($A134+20/24),tData[SEHTrajectPeriodeDatumTijdTotEnMet],"&gt;"&amp;($A134+20/24),tData[Langligger01],1)</f>
        <v/>
      </c>
      <c r="Y134" s="20">
        <f>COUNTIFS(tData[SEHTrajectPeriodeDatumTijdVan],"&lt;="&amp;($A134+21/24),tData[SEHTrajectPeriodeDatumTijdTotEnMet],"&gt;"&amp;($A134+21/24),tData[Langligger01],1)</f>
        <v/>
      </c>
      <c r="Z134" s="20">
        <f>COUNTIFS(tData[SEHTrajectPeriodeDatumTijdVan],"&lt;="&amp;($A134+22/24),tData[SEHTrajectPeriodeDatumTijdTotEnMet],"&gt;"&amp;($A134+22/24),tData[Langligger01],1)</f>
        <v/>
      </c>
      <c r="AA134" s="20">
        <f>COUNTIFS(tData[SEHTrajectPeriodeDatumTijdVan],"&lt;="&amp;($A134+23/24),tData[SEHTrajectPeriodeDatumTijdTotEnMet],"&gt;"&amp;($A134+23/24),tData[Langligger01],1)</f>
        <v/>
      </c>
    </row>
    <row r="135">
      <c r="A135" s="19" t="n">
        <v>45423</v>
      </c>
      <c r="B135" s="15">
        <f>WEEKDAY($A135,2)</f>
        <v/>
      </c>
      <c r="C135" s="15">
        <f>IF(AND($A135&gt;=INT(Instellingen!$B$5),$A135&lt;=INT(Instellingen!$B$6)),1,0)</f>
        <v/>
      </c>
      <c r="D135" s="20">
        <f>COUNTIFS(tData[SEHTrajectPeriodeDatumTijdVan],"&lt;="&amp;($A135+0/24),tData[SEHTrajectPeriodeDatumTijdTotEnMet],"&gt;"&amp;($A135+0/24),tData[Langligger01],1)</f>
        <v/>
      </c>
      <c r="E135" s="20">
        <f>COUNTIFS(tData[SEHTrajectPeriodeDatumTijdVan],"&lt;="&amp;($A135+1/24),tData[SEHTrajectPeriodeDatumTijdTotEnMet],"&gt;"&amp;($A135+1/24),tData[Langligger01],1)</f>
        <v/>
      </c>
      <c r="F135" s="20">
        <f>COUNTIFS(tData[SEHTrajectPeriodeDatumTijdVan],"&lt;="&amp;($A135+2/24),tData[SEHTrajectPeriodeDatumTijdTotEnMet],"&gt;"&amp;($A135+2/24),tData[Langligger01],1)</f>
        <v/>
      </c>
      <c r="G135" s="20">
        <f>COUNTIFS(tData[SEHTrajectPeriodeDatumTijdVan],"&lt;="&amp;($A135+3/24),tData[SEHTrajectPeriodeDatumTijdTotEnMet],"&gt;"&amp;($A135+3/24),tData[Langligger01],1)</f>
        <v/>
      </c>
      <c r="H135" s="20">
        <f>COUNTIFS(tData[SEHTrajectPeriodeDatumTijdVan],"&lt;="&amp;($A135+4/24),tData[SEHTrajectPeriodeDatumTijdTotEnMet],"&gt;"&amp;($A135+4/24),tData[Langligger01],1)</f>
        <v/>
      </c>
      <c r="I135" s="20">
        <f>COUNTIFS(tData[SEHTrajectPeriodeDatumTijdVan],"&lt;="&amp;($A135+5/24),tData[SEHTrajectPeriodeDatumTijdTotEnMet],"&gt;"&amp;($A135+5/24),tData[Langligger01],1)</f>
        <v/>
      </c>
      <c r="J135" s="20">
        <f>COUNTIFS(tData[SEHTrajectPeriodeDatumTijdVan],"&lt;="&amp;($A135+6/24),tData[SEHTrajectPeriodeDatumTijdTotEnMet],"&gt;"&amp;($A135+6/24),tData[Langligger01],1)</f>
        <v/>
      </c>
      <c r="K135" s="20">
        <f>COUNTIFS(tData[SEHTrajectPeriodeDatumTijdVan],"&lt;="&amp;($A135+7/24),tData[SEHTrajectPeriodeDatumTijdTotEnMet],"&gt;"&amp;($A135+7/24),tData[Langligger01],1)</f>
        <v/>
      </c>
      <c r="L135" s="20">
        <f>COUNTIFS(tData[SEHTrajectPeriodeDatumTijdVan],"&lt;="&amp;($A135+8/24),tData[SEHTrajectPeriodeDatumTijdTotEnMet],"&gt;"&amp;($A135+8/24),tData[Langligger01],1)</f>
        <v/>
      </c>
      <c r="M135" s="20">
        <f>COUNTIFS(tData[SEHTrajectPeriodeDatumTijdVan],"&lt;="&amp;($A135+9/24),tData[SEHTrajectPeriodeDatumTijdTotEnMet],"&gt;"&amp;($A135+9/24),tData[Langligger01],1)</f>
        <v/>
      </c>
      <c r="N135" s="20">
        <f>COUNTIFS(tData[SEHTrajectPeriodeDatumTijdVan],"&lt;="&amp;($A135+10/24),tData[SEHTrajectPeriodeDatumTijdTotEnMet],"&gt;"&amp;($A135+10/24),tData[Langligger01],1)</f>
        <v/>
      </c>
      <c r="O135" s="20">
        <f>COUNTIFS(tData[SEHTrajectPeriodeDatumTijdVan],"&lt;="&amp;($A135+11/24),tData[SEHTrajectPeriodeDatumTijdTotEnMet],"&gt;"&amp;($A135+11/24),tData[Langligger01],1)</f>
        <v/>
      </c>
      <c r="P135" s="20">
        <f>COUNTIFS(tData[SEHTrajectPeriodeDatumTijdVan],"&lt;="&amp;($A135+12/24),tData[SEHTrajectPeriodeDatumTijdTotEnMet],"&gt;"&amp;($A135+12/24),tData[Langligger01],1)</f>
        <v/>
      </c>
      <c r="Q135" s="20">
        <f>COUNTIFS(tData[SEHTrajectPeriodeDatumTijdVan],"&lt;="&amp;($A135+13/24),tData[SEHTrajectPeriodeDatumTijdTotEnMet],"&gt;"&amp;($A135+13/24),tData[Langligger01],1)</f>
        <v/>
      </c>
      <c r="R135" s="20">
        <f>COUNTIFS(tData[SEHTrajectPeriodeDatumTijdVan],"&lt;="&amp;($A135+14/24),tData[SEHTrajectPeriodeDatumTijdTotEnMet],"&gt;"&amp;($A135+14/24),tData[Langligger01],1)</f>
        <v/>
      </c>
      <c r="S135" s="20">
        <f>COUNTIFS(tData[SEHTrajectPeriodeDatumTijdVan],"&lt;="&amp;($A135+15/24),tData[SEHTrajectPeriodeDatumTijdTotEnMet],"&gt;"&amp;($A135+15/24),tData[Langligger01],1)</f>
        <v/>
      </c>
      <c r="T135" s="20">
        <f>COUNTIFS(tData[SEHTrajectPeriodeDatumTijdVan],"&lt;="&amp;($A135+16/24),tData[SEHTrajectPeriodeDatumTijdTotEnMet],"&gt;"&amp;($A135+16/24),tData[Langligger01],1)</f>
        <v/>
      </c>
      <c r="U135" s="20">
        <f>COUNTIFS(tData[SEHTrajectPeriodeDatumTijdVan],"&lt;="&amp;($A135+17/24),tData[SEHTrajectPeriodeDatumTijdTotEnMet],"&gt;"&amp;($A135+17/24),tData[Langligger01],1)</f>
        <v/>
      </c>
      <c r="V135" s="20">
        <f>COUNTIFS(tData[SEHTrajectPeriodeDatumTijdVan],"&lt;="&amp;($A135+18/24),tData[SEHTrajectPeriodeDatumTijdTotEnMet],"&gt;"&amp;($A135+18/24),tData[Langligger01],1)</f>
        <v/>
      </c>
      <c r="W135" s="20">
        <f>COUNTIFS(tData[SEHTrajectPeriodeDatumTijdVan],"&lt;="&amp;($A135+19/24),tData[SEHTrajectPeriodeDatumTijdTotEnMet],"&gt;"&amp;($A135+19/24),tData[Langligger01],1)</f>
        <v/>
      </c>
      <c r="X135" s="20">
        <f>COUNTIFS(tData[SEHTrajectPeriodeDatumTijdVan],"&lt;="&amp;($A135+20/24),tData[SEHTrajectPeriodeDatumTijdTotEnMet],"&gt;"&amp;($A135+20/24),tData[Langligger01],1)</f>
        <v/>
      </c>
      <c r="Y135" s="20">
        <f>COUNTIFS(tData[SEHTrajectPeriodeDatumTijdVan],"&lt;="&amp;($A135+21/24),tData[SEHTrajectPeriodeDatumTijdTotEnMet],"&gt;"&amp;($A135+21/24),tData[Langligger01],1)</f>
        <v/>
      </c>
      <c r="Z135" s="20">
        <f>COUNTIFS(tData[SEHTrajectPeriodeDatumTijdVan],"&lt;="&amp;($A135+22/24),tData[SEHTrajectPeriodeDatumTijdTotEnMet],"&gt;"&amp;($A135+22/24),tData[Langligger01],1)</f>
        <v/>
      </c>
      <c r="AA135" s="20">
        <f>COUNTIFS(tData[SEHTrajectPeriodeDatumTijdVan],"&lt;="&amp;($A135+23/24),tData[SEHTrajectPeriodeDatumTijdTotEnMet],"&gt;"&amp;($A135+23/24),tData[Langligger01],1)</f>
        <v/>
      </c>
    </row>
    <row r="136">
      <c r="A136" s="19" t="n">
        <v>45424</v>
      </c>
      <c r="B136" s="15">
        <f>WEEKDAY($A136,2)</f>
        <v/>
      </c>
      <c r="C136" s="15">
        <f>IF(AND($A136&gt;=INT(Instellingen!$B$5),$A136&lt;=INT(Instellingen!$B$6)),1,0)</f>
        <v/>
      </c>
      <c r="D136" s="20">
        <f>COUNTIFS(tData[SEHTrajectPeriodeDatumTijdVan],"&lt;="&amp;($A136+0/24),tData[SEHTrajectPeriodeDatumTijdTotEnMet],"&gt;"&amp;($A136+0/24),tData[Langligger01],1)</f>
        <v/>
      </c>
      <c r="E136" s="20">
        <f>COUNTIFS(tData[SEHTrajectPeriodeDatumTijdVan],"&lt;="&amp;($A136+1/24),tData[SEHTrajectPeriodeDatumTijdTotEnMet],"&gt;"&amp;($A136+1/24),tData[Langligger01],1)</f>
        <v/>
      </c>
      <c r="F136" s="20">
        <f>COUNTIFS(tData[SEHTrajectPeriodeDatumTijdVan],"&lt;="&amp;($A136+2/24),tData[SEHTrajectPeriodeDatumTijdTotEnMet],"&gt;"&amp;($A136+2/24),tData[Langligger01],1)</f>
        <v/>
      </c>
      <c r="G136" s="20">
        <f>COUNTIFS(tData[SEHTrajectPeriodeDatumTijdVan],"&lt;="&amp;($A136+3/24),tData[SEHTrajectPeriodeDatumTijdTotEnMet],"&gt;"&amp;($A136+3/24),tData[Langligger01],1)</f>
        <v/>
      </c>
      <c r="H136" s="20">
        <f>COUNTIFS(tData[SEHTrajectPeriodeDatumTijdVan],"&lt;="&amp;($A136+4/24),tData[SEHTrajectPeriodeDatumTijdTotEnMet],"&gt;"&amp;($A136+4/24),tData[Langligger01],1)</f>
        <v/>
      </c>
      <c r="I136" s="20">
        <f>COUNTIFS(tData[SEHTrajectPeriodeDatumTijdVan],"&lt;="&amp;($A136+5/24),tData[SEHTrajectPeriodeDatumTijdTotEnMet],"&gt;"&amp;($A136+5/24),tData[Langligger01],1)</f>
        <v/>
      </c>
      <c r="J136" s="20">
        <f>COUNTIFS(tData[SEHTrajectPeriodeDatumTijdVan],"&lt;="&amp;($A136+6/24),tData[SEHTrajectPeriodeDatumTijdTotEnMet],"&gt;"&amp;($A136+6/24),tData[Langligger01],1)</f>
        <v/>
      </c>
      <c r="K136" s="20">
        <f>COUNTIFS(tData[SEHTrajectPeriodeDatumTijdVan],"&lt;="&amp;($A136+7/24),tData[SEHTrajectPeriodeDatumTijdTotEnMet],"&gt;"&amp;($A136+7/24),tData[Langligger01],1)</f>
        <v/>
      </c>
      <c r="L136" s="20">
        <f>COUNTIFS(tData[SEHTrajectPeriodeDatumTijdVan],"&lt;="&amp;($A136+8/24),tData[SEHTrajectPeriodeDatumTijdTotEnMet],"&gt;"&amp;($A136+8/24),tData[Langligger01],1)</f>
        <v/>
      </c>
      <c r="M136" s="20">
        <f>COUNTIFS(tData[SEHTrajectPeriodeDatumTijdVan],"&lt;="&amp;($A136+9/24),tData[SEHTrajectPeriodeDatumTijdTotEnMet],"&gt;"&amp;($A136+9/24),tData[Langligger01],1)</f>
        <v/>
      </c>
      <c r="N136" s="20">
        <f>COUNTIFS(tData[SEHTrajectPeriodeDatumTijdVan],"&lt;="&amp;($A136+10/24),tData[SEHTrajectPeriodeDatumTijdTotEnMet],"&gt;"&amp;($A136+10/24),tData[Langligger01],1)</f>
        <v/>
      </c>
      <c r="O136" s="20">
        <f>COUNTIFS(tData[SEHTrajectPeriodeDatumTijdVan],"&lt;="&amp;($A136+11/24),tData[SEHTrajectPeriodeDatumTijdTotEnMet],"&gt;"&amp;($A136+11/24),tData[Langligger01],1)</f>
        <v/>
      </c>
      <c r="P136" s="20">
        <f>COUNTIFS(tData[SEHTrajectPeriodeDatumTijdVan],"&lt;="&amp;($A136+12/24),tData[SEHTrajectPeriodeDatumTijdTotEnMet],"&gt;"&amp;($A136+12/24),tData[Langligger01],1)</f>
        <v/>
      </c>
      <c r="Q136" s="20">
        <f>COUNTIFS(tData[SEHTrajectPeriodeDatumTijdVan],"&lt;="&amp;($A136+13/24),tData[SEHTrajectPeriodeDatumTijdTotEnMet],"&gt;"&amp;($A136+13/24),tData[Langligger01],1)</f>
        <v/>
      </c>
      <c r="R136" s="20">
        <f>COUNTIFS(tData[SEHTrajectPeriodeDatumTijdVan],"&lt;="&amp;($A136+14/24),tData[SEHTrajectPeriodeDatumTijdTotEnMet],"&gt;"&amp;($A136+14/24),tData[Langligger01],1)</f>
        <v/>
      </c>
      <c r="S136" s="20">
        <f>COUNTIFS(tData[SEHTrajectPeriodeDatumTijdVan],"&lt;="&amp;($A136+15/24),tData[SEHTrajectPeriodeDatumTijdTotEnMet],"&gt;"&amp;($A136+15/24),tData[Langligger01],1)</f>
        <v/>
      </c>
      <c r="T136" s="20">
        <f>COUNTIFS(tData[SEHTrajectPeriodeDatumTijdVan],"&lt;="&amp;($A136+16/24),tData[SEHTrajectPeriodeDatumTijdTotEnMet],"&gt;"&amp;($A136+16/24),tData[Langligger01],1)</f>
        <v/>
      </c>
      <c r="U136" s="20">
        <f>COUNTIFS(tData[SEHTrajectPeriodeDatumTijdVan],"&lt;="&amp;($A136+17/24),tData[SEHTrajectPeriodeDatumTijdTotEnMet],"&gt;"&amp;($A136+17/24),tData[Langligger01],1)</f>
        <v/>
      </c>
      <c r="V136" s="20">
        <f>COUNTIFS(tData[SEHTrajectPeriodeDatumTijdVan],"&lt;="&amp;($A136+18/24),tData[SEHTrajectPeriodeDatumTijdTotEnMet],"&gt;"&amp;($A136+18/24),tData[Langligger01],1)</f>
        <v/>
      </c>
      <c r="W136" s="20">
        <f>COUNTIFS(tData[SEHTrajectPeriodeDatumTijdVan],"&lt;="&amp;($A136+19/24),tData[SEHTrajectPeriodeDatumTijdTotEnMet],"&gt;"&amp;($A136+19/24),tData[Langligger01],1)</f>
        <v/>
      </c>
      <c r="X136" s="20">
        <f>COUNTIFS(tData[SEHTrajectPeriodeDatumTijdVan],"&lt;="&amp;($A136+20/24),tData[SEHTrajectPeriodeDatumTijdTotEnMet],"&gt;"&amp;($A136+20/24),tData[Langligger01],1)</f>
        <v/>
      </c>
      <c r="Y136" s="20">
        <f>COUNTIFS(tData[SEHTrajectPeriodeDatumTijdVan],"&lt;="&amp;($A136+21/24),tData[SEHTrajectPeriodeDatumTijdTotEnMet],"&gt;"&amp;($A136+21/24),tData[Langligger01],1)</f>
        <v/>
      </c>
      <c r="Z136" s="20">
        <f>COUNTIFS(tData[SEHTrajectPeriodeDatumTijdVan],"&lt;="&amp;($A136+22/24),tData[SEHTrajectPeriodeDatumTijdTotEnMet],"&gt;"&amp;($A136+22/24),tData[Langligger01],1)</f>
        <v/>
      </c>
      <c r="AA136" s="20">
        <f>COUNTIFS(tData[SEHTrajectPeriodeDatumTijdVan],"&lt;="&amp;($A136+23/24),tData[SEHTrajectPeriodeDatumTijdTotEnMet],"&gt;"&amp;($A136+23/24),tData[Langligger01],1)</f>
        <v/>
      </c>
    </row>
    <row r="137">
      <c r="A137" s="19" t="n">
        <v>45425</v>
      </c>
      <c r="B137" s="15">
        <f>WEEKDAY($A137,2)</f>
        <v/>
      </c>
      <c r="C137" s="15">
        <f>IF(AND($A137&gt;=INT(Instellingen!$B$5),$A137&lt;=INT(Instellingen!$B$6)),1,0)</f>
        <v/>
      </c>
      <c r="D137" s="20">
        <f>COUNTIFS(tData[SEHTrajectPeriodeDatumTijdVan],"&lt;="&amp;($A137+0/24),tData[SEHTrajectPeriodeDatumTijdTotEnMet],"&gt;"&amp;($A137+0/24),tData[Langligger01],1)</f>
        <v/>
      </c>
      <c r="E137" s="20">
        <f>COUNTIFS(tData[SEHTrajectPeriodeDatumTijdVan],"&lt;="&amp;($A137+1/24),tData[SEHTrajectPeriodeDatumTijdTotEnMet],"&gt;"&amp;($A137+1/24),tData[Langligger01],1)</f>
        <v/>
      </c>
      <c r="F137" s="20">
        <f>COUNTIFS(tData[SEHTrajectPeriodeDatumTijdVan],"&lt;="&amp;($A137+2/24),tData[SEHTrajectPeriodeDatumTijdTotEnMet],"&gt;"&amp;($A137+2/24),tData[Langligger01],1)</f>
        <v/>
      </c>
      <c r="G137" s="20">
        <f>COUNTIFS(tData[SEHTrajectPeriodeDatumTijdVan],"&lt;="&amp;($A137+3/24),tData[SEHTrajectPeriodeDatumTijdTotEnMet],"&gt;"&amp;($A137+3/24),tData[Langligger01],1)</f>
        <v/>
      </c>
      <c r="H137" s="20">
        <f>COUNTIFS(tData[SEHTrajectPeriodeDatumTijdVan],"&lt;="&amp;($A137+4/24),tData[SEHTrajectPeriodeDatumTijdTotEnMet],"&gt;"&amp;($A137+4/24),tData[Langligger01],1)</f>
        <v/>
      </c>
      <c r="I137" s="20">
        <f>COUNTIFS(tData[SEHTrajectPeriodeDatumTijdVan],"&lt;="&amp;($A137+5/24),tData[SEHTrajectPeriodeDatumTijdTotEnMet],"&gt;"&amp;($A137+5/24),tData[Langligger01],1)</f>
        <v/>
      </c>
      <c r="J137" s="20">
        <f>COUNTIFS(tData[SEHTrajectPeriodeDatumTijdVan],"&lt;="&amp;($A137+6/24),tData[SEHTrajectPeriodeDatumTijdTotEnMet],"&gt;"&amp;($A137+6/24),tData[Langligger01],1)</f>
        <v/>
      </c>
      <c r="K137" s="20">
        <f>COUNTIFS(tData[SEHTrajectPeriodeDatumTijdVan],"&lt;="&amp;($A137+7/24),tData[SEHTrajectPeriodeDatumTijdTotEnMet],"&gt;"&amp;($A137+7/24),tData[Langligger01],1)</f>
        <v/>
      </c>
      <c r="L137" s="20">
        <f>COUNTIFS(tData[SEHTrajectPeriodeDatumTijdVan],"&lt;="&amp;($A137+8/24),tData[SEHTrajectPeriodeDatumTijdTotEnMet],"&gt;"&amp;($A137+8/24),tData[Langligger01],1)</f>
        <v/>
      </c>
      <c r="M137" s="20">
        <f>COUNTIFS(tData[SEHTrajectPeriodeDatumTijdVan],"&lt;="&amp;($A137+9/24),tData[SEHTrajectPeriodeDatumTijdTotEnMet],"&gt;"&amp;($A137+9/24),tData[Langligger01],1)</f>
        <v/>
      </c>
      <c r="N137" s="20">
        <f>COUNTIFS(tData[SEHTrajectPeriodeDatumTijdVan],"&lt;="&amp;($A137+10/24),tData[SEHTrajectPeriodeDatumTijdTotEnMet],"&gt;"&amp;($A137+10/24),tData[Langligger01],1)</f>
        <v/>
      </c>
      <c r="O137" s="20">
        <f>COUNTIFS(tData[SEHTrajectPeriodeDatumTijdVan],"&lt;="&amp;($A137+11/24),tData[SEHTrajectPeriodeDatumTijdTotEnMet],"&gt;"&amp;($A137+11/24),tData[Langligger01],1)</f>
        <v/>
      </c>
      <c r="P137" s="20">
        <f>COUNTIFS(tData[SEHTrajectPeriodeDatumTijdVan],"&lt;="&amp;($A137+12/24),tData[SEHTrajectPeriodeDatumTijdTotEnMet],"&gt;"&amp;($A137+12/24),tData[Langligger01],1)</f>
        <v/>
      </c>
      <c r="Q137" s="20">
        <f>COUNTIFS(tData[SEHTrajectPeriodeDatumTijdVan],"&lt;="&amp;($A137+13/24),tData[SEHTrajectPeriodeDatumTijdTotEnMet],"&gt;"&amp;($A137+13/24),tData[Langligger01],1)</f>
        <v/>
      </c>
      <c r="R137" s="20">
        <f>COUNTIFS(tData[SEHTrajectPeriodeDatumTijdVan],"&lt;="&amp;($A137+14/24),tData[SEHTrajectPeriodeDatumTijdTotEnMet],"&gt;"&amp;($A137+14/24),tData[Langligger01],1)</f>
        <v/>
      </c>
      <c r="S137" s="20">
        <f>COUNTIFS(tData[SEHTrajectPeriodeDatumTijdVan],"&lt;="&amp;($A137+15/24),tData[SEHTrajectPeriodeDatumTijdTotEnMet],"&gt;"&amp;($A137+15/24),tData[Langligger01],1)</f>
        <v/>
      </c>
      <c r="T137" s="20">
        <f>COUNTIFS(tData[SEHTrajectPeriodeDatumTijdVan],"&lt;="&amp;($A137+16/24),tData[SEHTrajectPeriodeDatumTijdTotEnMet],"&gt;"&amp;($A137+16/24),tData[Langligger01],1)</f>
        <v/>
      </c>
      <c r="U137" s="20">
        <f>COUNTIFS(tData[SEHTrajectPeriodeDatumTijdVan],"&lt;="&amp;($A137+17/24),tData[SEHTrajectPeriodeDatumTijdTotEnMet],"&gt;"&amp;($A137+17/24),tData[Langligger01],1)</f>
        <v/>
      </c>
      <c r="V137" s="20">
        <f>COUNTIFS(tData[SEHTrajectPeriodeDatumTijdVan],"&lt;="&amp;($A137+18/24),tData[SEHTrajectPeriodeDatumTijdTotEnMet],"&gt;"&amp;($A137+18/24),tData[Langligger01],1)</f>
        <v/>
      </c>
      <c r="W137" s="20">
        <f>COUNTIFS(tData[SEHTrajectPeriodeDatumTijdVan],"&lt;="&amp;($A137+19/24),tData[SEHTrajectPeriodeDatumTijdTotEnMet],"&gt;"&amp;($A137+19/24),tData[Langligger01],1)</f>
        <v/>
      </c>
      <c r="X137" s="20">
        <f>COUNTIFS(tData[SEHTrajectPeriodeDatumTijdVan],"&lt;="&amp;($A137+20/24),tData[SEHTrajectPeriodeDatumTijdTotEnMet],"&gt;"&amp;($A137+20/24),tData[Langligger01],1)</f>
        <v/>
      </c>
      <c r="Y137" s="20">
        <f>COUNTIFS(tData[SEHTrajectPeriodeDatumTijdVan],"&lt;="&amp;($A137+21/24),tData[SEHTrajectPeriodeDatumTijdTotEnMet],"&gt;"&amp;($A137+21/24),tData[Langligger01],1)</f>
        <v/>
      </c>
      <c r="Z137" s="20">
        <f>COUNTIFS(tData[SEHTrajectPeriodeDatumTijdVan],"&lt;="&amp;($A137+22/24),tData[SEHTrajectPeriodeDatumTijdTotEnMet],"&gt;"&amp;($A137+22/24),tData[Langligger01],1)</f>
        <v/>
      </c>
      <c r="AA137" s="20">
        <f>COUNTIFS(tData[SEHTrajectPeriodeDatumTijdVan],"&lt;="&amp;($A137+23/24),tData[SEHTrajectPeriodeDatumTijdTotEnMet],"&gt;"&amp;($A137+23/24),tData[Langligger01],1)</f>
        <v/>
      </c>
    </row>
    <row r="138">
      <c r="A138" s="19" t="n">
        <v>45426</v>
      </c>
      <c r="B138" s="15">
        <f>WEEKDAY($A138,2)</f>
        <v/>
      </c>
      <c r="C138" s="15">
        <f>IF(AND($A138&gt;=INT(Instellingen!$B$5),$A138&lt;=INT(Instellingen!$B$6)),1,0)</f>
        <v/>
      </c>
      <c r="D138" s="20">
        <f>COUNTIFS(tData[SEHTrajectPeriodeDatumTijdVan],"&lt;="&amp;($A138+0/24),tData[SEHTrajectPeriodeDatumTijdTotEnMet],"&gt;"&amp;($A138+0/24),tData[Langligger01],1)</f>
        <v/>
      </c>
      <c r="E138" s="20">
        <f>COUNTIFS(tData[SEHTrajectPeriodeDatumTijdVan],"&lt;="&amp;($A138+1/24),tData[SEHTrajectPeriodeDatumTijdTotEnMet],"&gt;"&amp;($A138+1/24),tData[Langligger01],1)</f>
        <v/>
      </c>
      <c r="F138" s="20">
        <f>COUNTIFS(tData[SEHTrajectPeriodeDatumTijdVan],"&lt;="&amp;($A138+2/24),tData[SEHTrajectPeriodeDatumTijdTotEnMet],"&gt;"&amp;($A138+2/24),tData[Langligger01],1)</f>
        <v/>
      </c>
      <c r="G138" s="20">
        <f>COUNTIFS(tData[SEHTrajectPeriodeDatumTijdVan],"&lt;="&amp;($A138+3/24),tData[SEHTrajectPeriodeDatumTijdTotEnMet],"&gt;"&amp;($A138+3/24),tData[Langligger01],1)</f>
        <v/>
      </c>
      <c r="H138" s="20">
        <f>COUNTIFS(tData[SEHTrajectPeriodeDatumTijdVan],"&lt;="&amp;($A138+4/24),tData[SEHTrajectPeriodeDatumTijdTotEnMet],"&gt;"&amp;($A138+4/24),tData[Langligger01],1)</f>
        <v/>
      </c>
      <c r="I138" s="20">
        <f>COUNTIFS(tData[SEHTrajectPeriodeDatumTijdVan],"&lt;="&amp;($A138+5/24),tData[SEHTrajectPeriodeDatumTijdTotEnMet],"&gt;"&amp;($A138+5/24),tData[Langligger01],1)</f>
        <v/>
      </c>
      <c r="J138" s="20">
        <f>COUNTIFS(tData[SEHTrajectPeriodeDatumTijdVan],"&lt;="&amp;($A138+6/24),tData[SEHTrajectPeriodeDatumTijdTotEnMet],"&gt;"&amp;($A138+6/24),tData[Langligger01],1)</f>
        <v/>
      </c>
      <c r="K138" s="20">
        <f>COUNTIFS(tData[SEHTrajectPeriodeDatumTijdVan],"&lt;="&amp;($A138+7/24),tData[SEHTrajectPeriodeDatumTijdTotEnMet],"&gt;"&amp;($A138+7/24),tData[Langligger01],1)</f>
        <v/>
      </c>
      <c r="L138" s="20">
        <f>COUNTIFS(tData[SEHTrajectPeriodeDatumTijdVan],"&lt;="&amp;($A138+8/24),tData[SEHTrajectPeriodeDatumTijdTotEnMet],"&gt;"&amp;($A138+8/24),tData[Langligger01],1)</f>
        <v/>
      </c>
      <c r="M138" s="20">
        <f>COUNTIFS(tData[SEHTrajectPeriodeDatumTijdVan],"&lt;="&amp;($A138+9/24),tData[SEHTrajectPeriodeDatumTijdTotEnMet],"&gt;"&amp;($A138+9/24),tData[Langligger01],1)</f>
        <v/>
      </c>
      <c r="N138" s="20">
        <f>COUNTIFS(tData[SEHTrajectPeriodeDatumTijdVan],"&lt;="&amp;($A138+10/24),tData[SEHTrajectPeriodeDatumTijdTotEnMet],"&gt;"&amp;($A138+10/24),tData[Langligger01],1)</f>
        <v/>
      </c>
      <c r="O138" s="20">
        <f>COUNTIFS(tData[SEHTrajectPeriodeDatumTijdVan],"&lt;="&amp;($A138+11/24),tData[SEHTrajectPeriodeDatumTijdTotEnMet],"&gt;"&amp;($A138+11/24),tData[Langligger01],1)</f>
        <v/>
      </c>
      <c r="P138" s="20">
        <f>COUNTIFS(tData[SEHTrajectPeriodeDatumTijdVan],"&lt;="&amp;($A138+12/24),tData[SEHTrajectPeriodeDatumTijdTotEnMet],"&gt;"&amp;($A138+12/24),tData[Langligger01],1)</f>
        <v/>
      </c>
      <c r="Q138" s="20">
        <f>COUNTIFS(tData[SEHTrajectPeriodeDatumTijdVan],"&lt;="&amp;($A138+13/24),tData[SEHTrajectPeriodeDatumTijdTotEnMet],"&gt;"&amp;($A138+13/24),tData[Langligger01],1)</f>
        <v/>
      </c>
      <c r="R138" s="20">
        <f>COUNTIFS(tData[SEHTrajectPeriodeDatumTijdVan],"&lt;="&amp;($A138+14/24),tData[SEHTrajectPeriodeDatumTijdTotEnMet],"&gt;"&amp;($A138+14/24),tData[Langligger01],1)</f>
        <v/>
      </c>
      <c r="S138" s="20">
        <f>COUNTIFS(tData[SEHTrajectPeriodeDatumTijdVan],"&lt;="&amp;($A138+15/24),tData[SEHTrajectPeriodeDatumTijdTotEnMet],"&gt;"&amp;($A138+15/24),tData[Langligger01],1)</f>
        <v/>
      </c>
      <c r="T138" s="20">
        <f>COUNTIFS(tData[SEHTrajectPeriodeDatumTijdVan],"&lt;="&amp;($A138+16/24),tData[SEHTrajectPeriodeDatumTijdTotEnMet],"&gt;"&amp;($A138+16/24),tData[Langligger01],1)</f>
        <v/>
      </c>
      <c r="U138" s="20">
        <f>COUNTIFS(tData[SEHTrajectPeriodeDatumTijdVan],"&lt;="&amp;($A138+17/24),tData[SEHTrajectPeriodeDatumTijdTotEnMet],"&gt;"&amp;($A138+17/24),tData[Langligger01],1)</f>
        <v/>
      </c>
      <c r="V138" s="20">
        <f>COUNTIFS(tData[SEHTrajectPeriodeDatumTijdVan],"&lt;="&amp;($A138+18/24),tData[SEHTrajectPeriodeDatumTijdTotEnMet],"&gt;"&amp;($A138+18/24),tData[Langligger01],1)</f>
        <v/>
      </c>
      <c r="W138" s="20">
        <f>COUNTIFS(tData[SEHTrajectPeriodeDatumTijdVan],"&lt;="&amp;($A138+19/24),tData[SEHTrajectPeriodeDatumTijdTotEnMet],"&gt;"&amp;($A138+19/24),tData[Langligger01],1)</f>
        <v/>
      </c>
      <c r="X138" s="20">
        <f>COUNTIFS(tData[SEHTrajectPeriodeDatumTijdVan],"&lt;="&amp;($A138+20/24),tData[SEHTrajectPeriodeDatumTijdTotEnMet],"&gt;"&amp;($A138+20/24),tData[Langligger01],1)</f>
        <v/>
      </c>
      <c r="Y138" s="20">
        <f>COUNTIFS(tData[SEHTrajectPeriodeDatumTijdVan],"&lt;="&amp;($A138+21/24),tData[SEHTrajectPeriodeDatumTijdTotEnMet],"&gt;"&amp;($A138+21/24),tData[Langligger01],1)</f>
        <v/>
      </c>
      <c r="Z138" s="20">
        <f>COUNTIFS(tData[SEHTrajectPeriodeDatumTijdVan],"&lt;="&amp;($A138+22/24),tData[SEHTrajectPeriodeDatumTijdTotEnMet],"&gt;"&amp;($A138+22/24),tData[Langligger01],1)</f>
        <v/>
      </c>
      <c r="AA138" s="20">
        <f>COUNTIFS(tData[SEHTrajectPeriodeDatumTijdVan],"&lt;="&amp;($A138+23/24),tData[SEHTrajectPeriodeDatumTijdTotEnMet],"&gt;"&amp;($A138+23/24),tData[Langligger01],1)</f>
        <v/>
      </c>
    </row>
    <row r="139">
      <c r="A139" s="19" t="n">
        <v>45427</v>
      </c>
      <c r="B139" s="15">
        <f>WEEKDAY($A139,2)</f>
        <v/>
      </c>
      <c r="C139" s="15">
        <f>IF(AND($A139&gt;=INT(Instellingen!$B$5),$A139&lt;=INT(Instellingen!$B$6)),1,0)</f>
        <v/>
      </c>
      <c r="D139" s="20">
        <f>COUNTIFS(tData[SEHTrajectPeriodeDatumTijdVan],"&lt;="&amp;($A139+0/24),tData[SEHTrajectPeriodeDatumTijdTotEnMet],"&gt;"&amp;($A139+0/24),tData[Langligger01],1)</f>
        <v/>
      </c>
      <c r="E139" s="20">
        <f>COUNTIFS(tData[SEHTrajectPeriodeDatumTijdVan],"&lt;="&amp;($A139+1/24),tData[SEHTrajectPeriodeDatumTijdTotEnMet],"&gt;"&amp;($A139+1/24),tData[Langligger01],1)</f>
        <v/>
      </c>
      <c r="F139" s="20">
        <f>COUNTIFS(tData[SEHTrajectPeriodeDatumTijdVan],"&lt;="&amp;($A139+2/24),tData[SEHTrajectPeriodeDatumTijdTotEnMet],"&gt;"&amp;($A139+2/24),tData[Langligger01],1)</f>
        <v/>
      </c>
      <c r="G139" s="20">
        <f>COUNTIFS(tData[SEHTrajectPeriodeDatumTijdVan],"&lt;="&amp;($A139+3/24),tData[SEHTrajectPeriodeDatumTijdTotEnMet],"&gt;"&amp;($A139+3/24),tData[Langligger01],1)</f>
        <v/>
      </c>
      <c r="H139" s="20">
        <f>COUNTIFS(tData[SEHTrajectPeriodeDatumTijdVan],"&lt;="&amp;($A139+4/24),tData[SEHTrajectPeriodeDatumTijdTotEnMet],"&gt;"&amp;($A139+4/24),tData[Langligger01],1)</f>
        <v/>
      </c>
      <c r="I139" s="20">
        <f>COUNTIFS(tData[SEHTrajectPeriodeDatumTijdVan],"&lt;="&amp;($A139+5/24),tData[SEHTrajectPeriodeDatumTijdTotEnMet],"&gt;"&amp;($A139+5/24),tData[Langligger01],1)</f>
        <v/>
      </c>
      <c r="J139" s="20">
        <f>COUNTIFS(tData[SEHTrajectPeriodeDatumTijdVan],"&lt;="&amp;($A139+6/24),tData[SEHTrajectPeriodeDatumTijdTotEnMet],"&gt;"&amp;($A139+6/24),tData[Langligger01],1)</f>
        <v/>
      </c>
      <c r="K139" s="20">
        <f>COUNTIFS(tData[SEHTrajectPeriodeDatumTijdVan],"&lt;="&amp;($A139+7/24),tData[SEHTrajectPeriodeDatumTijdTotEnMet],"&gt;"&amp;($A139+7/24),tData[Langligger01],1)</f>
        <v/>
      </c>
      <c r="L139" s="20">
        <f>COUNTIFS(tData[SEHTrajectPeriodeDatumTijdVan],"&lt;="&amp;($A139+8/24),tData[SEHTrajectPeriodeDatumTijdTotEnMet],"&gt;"&amp;($A139+8/24),tData[Langligger01],1)</f>
        <v/>
      </c>
      <c r="M139" s="20">
        <f>COUNTIFS(tData[SEHTrajectPeriodeDatumTijdVan],"&lt;="&amp;($A139+9/24),tData[SEHTrajectPeriodeDatumTijdTotEnMet],"&gt;"&amp;($A139+9/24),tData[Langligger01],1)</f>
        <v/>
      </c>
      <c r="N139" s="20">
        <f>COUNTIFS(tData[SEHTrajectPeriodeDatumTijdVan],"&lt;="&amp;($A139+10/24),tData[SEHTrajectPeriodeDatumTijdTotEnMet],"&gt;"&amp;($A139+10/24),tData[Langligger01],1)</f>
        <v/>
      </c>
      <c r="O139" s="20">
        <f>COUNTIFS(tData[SEHTrajectPeriodeDatumTijdVan],"&lt;="&amp;($A139+11/24),tData[SEHTrajectPeriodeDatumTijdTotEnMet],"&gt;"&amp;($A139+11/24),tData[Langligger01],1)</f>
        <v/>
      </c>
      <c r="P139" s="20">
        <f>COUNTIFS(tData[SEHTrajectPeriodeDatumTijdVan],"&lt;="&amp;($A139+12/24),tData[SEHTrajectPeriodeDatumTijdTotEnMet],"&gt;"&amp;($A139+12/24),tData[Langligger01],1)</f>
        <v/>
      </c>
      <c r="Q139" s="20">
        <f>COUNTIFS(tData[SEHTrajectPeriodeDatumTijdVan],"&lt;="&amp;($A139+13/24),tData[SEHTrajectPeriodeDatumTijdTotEnMet],"&gt;"&amp;($A139+13/24),tData[Langligger01],1)</f>
        <v/>
      </c>
      <c r="R139" s="20">
        <f>COUNTIFS(tData[SEHTrajectPeriodeDatumTijdVan],"&lt;="&amp;($A139+14/24),tData[SEHTrajectPeriodeDatumTijdTotEnMet],"&gt;"&amp;($A139+14/24),tData[Langligger01],1)</f>
        <v/>
      </c>
      <c r="S139" s="20">
        <f>COUNTIFS(tData[SEHTrajectPeriodeDatumTijdVan],"&lt;="&amp;($A139+15/24),tData[SEHTrajectPeriodeDatumTijdTotEnMet],"&gt;"&amp;($A139+15/24),tData[Langligger01],1)</f>
        <v/>
      </c>
      <c r="T139" s="20">
        <f>COUNTIFS(tData[SEHTrajectPeriodeDatumTijdVan],"&lt;="&amp;($A139+16/24),tData[SEHTrajectPeriodeDatumTijdTotEnMet],"&gt;"&amp;($A139+16/24),tData[Langligger01],1)</f>
        <v/>
      </c>
      <c r="U139" s="20">
        <f>COUNTIFS(tData[SEHTrajectPeriodeDatumTijdVan],"&lt;="&amp;($A139+17/24),tData[SEHTrajectPeriodeDatumTijdTotEnMet],"&gt;"&amp;($A139+17/24),tData[Langligger01],1)</f>
        <v/>
      </c>
      <c r="V139" s="20">
        <f>COUNTIFS(tData[SEHTrajectPeriodeDatumTijdVan],"&lt;="&amp;($A139+18/24),tData[SEHTrajectPeriodeDatumTijdTotEnMet],"&gt;"&amp;($A139+18/24),tData[Langligger01],1)</f>
        <v/>
      </c>
      <c r="W139" s="20">
        <f>COUNTIFS(tData[SEHTrajectPeriodeDatumTijdVan],"&lt;="&amp;($A139+19/24),tData[SEHTrajectPeriodeDatumTijdTotEnMet],"&gt;"&amp;($A139+19/24),tData[Langligger01],1)</f>
        <v/>
      </c>
      <c r="X139" s="20">
        <f>COUNTIFS(tData[SEHTrajectPeriodeDatumTijdVan],"&lt;="&amp;($A139+20/24),tData[SEHTrajectPeriodeDatumTijdTotEnMet],"&gt;"&amp;($A139+20/24),tData[Langligger01],1)</f>
        <v/>
      </c>
      <c r="Y139" s="20">
        <f>COUNTIFS(tData[SEHTrajectPeriodeDatumTijdVan],"&lt;="&amp;($A139+21/24),tData[SEHTrajectPeriodeDatumTijdTotEnMet],"&gt;"&amp;($A139+21/24),tData[Langligger01],1)</f>
        <v/>
      </c>
      <c r="Z139" s="20">
        <f>COUNTIFS(tData[SEHTrajectPeriodeDatumTijdVan],"&lt;="&amp;($A139+22/24),tData[SEHTrajectPeriodeDatumTijdTotEnMet],"&gt;"&amp;($A139+22/24),tData[Langligger01],1)</f>
        <v/>
      </c>
      <c r="AA139" s="20">
        <f>COUNTIFS(tData[SEHTrajectPeriodeDatumTijdVan],"&lt;="&amp;($A139+23/24),tData[SEHTrajectPeriodeDatumTijdTotEnMet],"&gt;"&amp;($A139+23/24),tData[Langligger01],1)</f>
        <v/>
      </c>
    </row>
    <row r="140">
      <c r="A140" s="19" t="n">
        <v>45428</v>
      </c>
      <c r="B140" s="15">
        <f>WEEKDAY($A140,2)</f>
        <v/>
      </c>
      <c r="C140" s="15">
        <f>IF(AND($A140&gt;=INT(Instellingen!$B$5),$A140&lt;=INT(Instellingen!$B$6)),1,0)</f>
        <v/>
      </c>
      <c r="D140" s="20">
        <f>COUNTIFS(tData[SEHTrajectPeriodeDatumTijdVan],"&lt;="&amp;($A140+0/24),tData[SEHTrajectPeriodeDatumTijdTotEnMet],"&gt;"&amp;($A140+0/24),tData[Langligger01],1)</f>
        <v/>
      </c>
      <c r="E140" s="20">
        <f>COUNTIFS(tData[SEHTrajectPeriodeDatumTijdVan],"&lt;="&amp;($A140+1/24),tData[SEHTrajectPeriodeDatumTijdTotEnMet],"&gt;"&amp;($A140+1/24),tData[Langligger01],1)</f>
        <v/>
      </c>
      <c r="F140" s="20">
        <f>COUNTIFS(tData[SEHTrajectPeriodeDatumTijdVan],"&lt;="&amp;($A140+2/24),tData[SEHTrajectPeriodeDatumTijdTotEnMet],"&gt;"&amp;($A140+2/24),tData[Langligger01],1)</f>
        <v/>
      </c>
      <c r="G140" s="20">
        <f>COUNTIFS(tData[SEHTrajectPeriodeDatumTijdVan],"&lt;="&amp;($A140+3/24),tData[SEHTrajectPeriodeDatumTijdTotEnMet],"&gt;"&amp;($A140+3/24),tData[Langligger01],1)</f>
        <v/>
      </c>
      <c r="H140" s="20">
        <f>COUNTIFS(tData[SEHTrajectPeriodeDatumTijdVan],"&lt;="&amp;($A140+4/24),tData[SEHTrajectPeriodeDatumTijdTotEnMet],"&gt;"&amp;($A140+4/24),tData[Langligger01],1)</f>
        <v/>
      </c>
      <c r="I140" s="20">
        <f>COUNTIFS(tData[SEHTrajectPeriodeDatumTijdVan],"&lt;="&amp;($A140+5/24),tData[SEHTrajectPeriodeDatumTijdTotEnMet],"&gt;"&amp;($A140+5/24),tData[Langligger01],1)</f>
        <v/>
      </c>
      <c r="J140" s="20">
        <f>COUNTIFS(tData[SEHTrajectPeriodeDatumTijdVan],"&lt;="&amp;($A140+6/24),tData[SEHTrajectPeriodeDatumTijdTotEnMet],"&gt;"&amp;($A140+6/24),tData[Langligger01],1)</f>
        <v/>
      </c>
      <c r="K140" s="20">
        <f>COUNTIFS(tData[SEHTrajectPeriodeDatumTijdVan],"&lt;="&amp;($A140+7/24),tData[SEHTrajectPeriodeDatumTijdTotEnMet],"&gt;"&amp;($A140+7/24),tData[Langligger01],1)</f>
        <v/>
      </c>
      <c r="L140" s="20">
        <f>COUNTIFS(tData[SEHTrajectPeriodeDatumTijdVan],"&lt;="&amp;($A140+8/24),tData[SEHTrajectPeriodeDatumTijdTotEnMet],"&gt;"&amp;($A140+8/24),tData[Langligger01],1)</f>
        <v/>
      </c>
      <c r="M140" s="20">
        <f>COUNTIFS(tData[SEHTrajectPeriodeDatumTijdVan],"&lt;="&amp;($A140+9/24),tData[SEHTrajectPeriodeDatumTijdTotEnMet],"&gt;"&amp;($A140+9/24),tData[Langligger01],1)</f>
        <v/>
      </c>
      <c r="N140" s="20">
        <f>COUNTIFS(tData[SEHTrajectPeriodeDatumTijdVan],"&lt;="&amp;($A140+10/24),tData[SEHTrajectPeriodeDatumTijdTotEnMet],"&gt;"&amp;($A140+10/24),tData[Langligger01],1)</f>
        <v/>
      </c>
      <c r="O140" s="20">
        <f>COUNTIFS(tData[SEHTrajectPeriodeDatumTijdVan],"&lt;="&amp;($A140+11/24),tData[SEHTrajectPeriodeDatumTijdTotEnMet],"&gt;"&amp;($A140+11/24),tData[Langligger01],1)</f>
        <v/>
      </c>
      <c r="P140" s="20">
        <f>COUNTIFS(tData[SEHTrajectPeriodeDatumTijdVan],"&lt;="&amp;($A140+12/24),tData[SEHTrajectPeriodeDatumTijdTotEnMet],"&gt;"&amp;($A140+12/24),tData[Langligger01],1)</f>
        <v/>
      </c>
      <c r="Q140" s="20">
        <f>COUNTIFS(tData[SEHTrajectPeriodeDatumTijdVan],"&lt;="&amp;($A140+13/24),tData[SEHTrajectPeriodeDatumTijdTotEnMet],"&gt;"&amp;($A140+13/24),tData[Langligger01],1)</f>
        <v/>
      </c>
      <c r="R140" s="20">
        <f>COUNTIFS(tData[SEHTrajectPeriodeDatumTijdVan],"&lt;="&amp;($A140+14/24),tData[SEHTrajectPeriodeDatumTijdTotEnMet],"&gt;"&amp;($A140+14/24),tData[Langligger01],1)</f>
        <v/>
      </c>
      <c r="S140" s="20">
        <f>COUNTIFS(tData[SEHTrajectPeriodeDatumTijdVan],"&lt;="&amp;($A140+15/24),tData[SEHTrajectPeriodeDatumTijdTotEnMet],"&gt;"&amp;($A140+15/24),tData[Langligger01],1)</f>
        <v/>
      </c>
      <c r="T140" s="20">
        <f>COUNTIFS(tData[SEHTrajectPeriodeDatumTijdVan],"&lt;="&amp;($A140+16/24),tData[SEHTrajectPeriodeDatumTijdTotEnMet],"&gt;"&amp;($A140+16/24),tData[Langligger01],1)</f>
        <v/>
      </c>
      <c r="U140" s="20">
        <f>COUNTIFS(tData[SEHTrajectPeriodeDatumTijdVan],"&lt;="&amp;($A140+17/24),tData[SEHTrajectPeriodeDatumTijdTotEnMet],"&gt;"&amp;($A140+17/24),tData[Langligger01],1)</f>
        <v/>
      </c>
      <c r="V140" s="20">
        <f>COUNTIFS(tData[SEHTrajectPeriodeDatumTijdVan],"&lt;="&amp;($A140+18/24),tData[SEHTrajectPeriodeDatumTijdTotEnMet],"&gt;"&amp;($A140+18/24),tData[Langligger01],1)</f>
        <v/>
      </c>
      <c r="W140" s="20">
        <f>COUNTIFS(tData[SEHTrajectPeriodeDatumTijdVan],"&lt;="&amp;($A140+19/24),tData[SEHTrajectPeriodeDatumTijdTotEnMet],"&gt;"&amp;($A140+19/24),tData[Langligger01],1)</f>
        <v/>
      </c>
      <c r="X140" s="20">
        <f>COUNTIFS(tData[SEHTrajectPeriodeDatumTijdVan],"&lt;="&amp;($A140+20/24),tData[SEHTrajectPeriodeDatumTijdTotEnMet],"&gt;"&amp;($A140+20/24),tData[Langligger01],1)</f>
        <v/>
      </c>
      <c r="Y140" s="20">
        <f>COUNTIFS(tData[SEHTrajectPeriodeDatumTijdVan],"&lt;="&amp;($A140+21/24),tData[SEHTrajectPeriodeDatumTijdTotEnMet],"&gt;"&amp;($A140+21/24),tData[Langligger01],1)</f>
        <v/>
      </c>
      <c r="Z140" s="20">
        <f>COUNTIFS(tData[SEHTrajectPeriodeDatumTijdVan],"&lt;="&amp;($A140+22/24),tData[SEHTrajectPeriodeDatumTijdTotEnMet],"&gt;"&amp;($A140+22/24),tData[Langligger01],1)</f>
        <v/>
      </c>
      <c r="AA140" s="20">
        <f>COUNTIFS(tData[SEHTrajectPeriodeDatumTijdVan],"&lt;="&amp;($A140+23/24),tData[SEHTrajectPeriodeDatumTijdTotEnMet],"&gt;"&amp;($A140+23/24),tData[Langligger01],1)</f>
        <v/>
      </c>
    </row>
    <row r="141">
      <c r="A141" s="19" t="n">
        <v>45429</v>
      </c>
      <c r="B141" s="15">
        <f>WEEKDAY($A141,2)</f>
        <v/>
      </c>
      <c r="C141" s="15">
        <f>IF(AND($A141&gt;=INT(Instellingen!$B$5),$A141&lt;=INT(Instellingen!$B$6)),1,0)</f>
        <v/>
      </c>
      <c r="D141" s="20">
        <f>COUNTIFS(tData[SEHTrajectPeriodeDatumTijdVan],"&lt;="&amp;($A141+0/24),tData[SEHTrajectPeriodeDatumTijdTotEnMet],"&gt;"&amp;($A141+0/24),tData[Langligger01],1)</f>
        <v/>
      </c>
      <c r="E141" s="20">
        <f>COUNTIFS(tData[SEHTrajectPeriodeDatumTijdVan],"&lt;="&amp;($A141+1/24),tData[SEHTrajectPeriodeDatumTijdTotEnMet],"&gt;"&amp;($A141+1/24),tData[Langligger01],1)</f>
        <v/>
      </c>
      <c r="F141" s="20">
        <f>COUNTIFS(tData[SEHTrajectPeriodeDatumTijdVan],"&lt;="&amp;($A141+2/24),tData[SEHTrajectPeriodeDatumTijdTotEnMet],"&gt;"&amp;($A141+2/24),tData[Langligger01],1)</f>
        <v/>
      </c>
      <c r="G141" s="20">
        <f>COUNTIFS(tData[SEHTrajectPeriodeDatumTijdVan],"&lt;="&amp;($A141+3/24),tData[SEHTrajectPeriodeDatumTijdTotEnMet],"&gt;"&amp;($A141+3/24),tData[Langligger01],1)</f>
        <v/>
      </c>
      <c r="H141" s="20">
        <f>COUNTIFS(tData[SEHTrajectPeriodeDatumTijdVan],"&lt;="&amp;($A141+4/24),tData[SEHTrajectPeriodeDatumTijdTotEnMet],"&gt;"&amp;($A141+4/24),tData[Langligger01],1)</f>
        <v/>
      </c>
      <c r="I141" s="20">
        <f>COUNTIFS(tData[SEHTrajectPeriodeDatumTijdVan],"&lt;="&amp;($A141+5/24),tData[SEHTrajectPeriodeDatumTijdTotEnMet],"&gt;"&amp;($A141+5/24),tData[Langligger01],1)</f>
        <v/>
      </c>
      <c r="J141" s="20">
        <f>COUNTIFS(tData[SEHTrajectPeriodeDatumTijdVan],"&lt;="&amp;($A141+6/24),tData[SEHTrajectPeriodeDatumTijdTotEnMet],"&gt;"&amp;($A141+6/24),tData[Langligger01],1)</f>
        <v/>
      </c>
      <c r="K141" s="20">
        <f>COUNTIFS(tData[SEHTrajectPeriodeDatumTijdVan],"&lt;="&amp;($A141+7/24),tData[SEHTrajectPeriodeDatumTijdTotEnMet],"&gt;"&amp;($A141+7/24),tData[Langligger01],1)</f>
        <v/>
      </c>
      <c r="L141" s="20">
        <f>COUNTIFS(tData[SEHTrajectPeriodeDatumTijdVan],"&lt;="&amp;($A141+8/24),tData[SEHTrajectPeriodeDatumTijdTotEnMet],"&gt;"&amp;($A141+8/24),tData[Langligger01],1)</f>
        <v/>
      </c>
      <c r="M141" s="20">
        <f>COUNTIFS(tData[SEHTrajectPeriodeDatumTijdVan],"&lt;="&amp;($A141+9/24),tData[SEHTrajectPeriodeDatumTijdTotEnMet],"&gt;"&amp;($A141+9/24),tData[Langligger01],1)</f>
        <v/>
      </c>
      <c r="N141" s="20">
        <f>COUNTIFS(tData[SEHTrajectPeriodeDatumTijdVan],"&lt;="&amp;($A141+10/24),tData[SEHTrajectPeriodeDatumTijdTotEnMet],"&gt;"&amp;($A141+10/24),tData[Langligger01],1)</f>
        <v/>
      </c>
      <c r="O141" s="20">
        <f>COUNTIFS(tData[SEHTrajectPeriodeDatumTijdVan],"&lt;="&amp;($A141+11/24),tData[SEHTrajectPeriodeDatumTijdTotEnMet],"&gt;"&amp;($A141+11/24),tData[Langligger01],1)</f>
        <v/>
      </c>
      <c r="P141" s="20">
        <f>COUNTIFS(tData[SEHTrajectPeriodeDatumTijdVan],"&lt;="&amp;($A141+12/24),tData[SEHTrajectPeriodeDatumTijdTotEnMet],"&gt;"&amp;($A141+12/24),tData[Langligger01],1)</f>
        <v/>
      </c>
      <c r="Q141" s="20">
        <f>COUNTIFS(tData[SEHTrajectPeriodeDatumTijdVan],"&lt;="&amp;($A141+13/24),tData[SEHTrajectPeriodeDatumTijdTotEnMet],"&gt;"&amp;($A141+13/24),tData[Langligger01],1)</f>
        <v/>
      </c>
      <c r="R141" s="20">
        <f>COUNTIFS(tData[SEHTrajectPeriodeDatumTijdVan],"&lt;="&amp;($A141+14/24),tData[SEHTrajectPeriodeDatumTijdTotEnMet],"&gt;"&amp;($A141+14/24),tData[Langligger01],1)</f>
        <v/>
      </c>
      <c r="S141" s="20">
        <f>COUNTIFS(tData[SEHTrajectPeriodeDatumTijdVan],"&lt;="&amp;($A141+15/24),tData[SEHTrajectPeriodeDatumTijdTotEnMet],"&gt;"&amp;($A141+15/24),tData[Langligger01],1)</f>
        <v/>
      </c>
      <c r="T141" s="20">
        <f>COUNTIFS(tData[SEHTrajectPeriodeDatumTijdVan],"&lt;="&amp;($A141+16/24),tData[SEHTrajectPeriodeDatumTijdTotEnMet],"&gt;"&amp;($A141+16/24),tData[Langligger01],1)</f>
        <v/>
      </c>
      <c r="U141" s="20">
        <f>COUNTIFS(tData[SEHTrajectPeriodeDatumTijdVan],"&lt;="&amp;($A141+17/24),tData[SEHTrajectPeriodeDatumTijdTotEnMet],"&gt;"&amp;($A141+17/24),tData[Langligger01],1)</f>
        <v/>
      </c>
      <c r="V141" s="20">
        <f>COUNTIFS(tData[SEHTrajectPeriodeDatumTijdVan],"&lt;="&amp;($A141+18/24),tData[SEHTrajectPeriodeDatumTijdTotEnMet],"&gt;"&amp;($A141+18/24),tData[Langligger01],1)</f>
        <v/>
      </c>
      <c r="W141" s="20">
        <f>COUNTIFS(tData[SEHTrajectPeriodeDatumTijdVan],"&lt;="&amp;($A141+19/24),tData[SEHTrajectPeriodeDatumTijdTotEnMet],"&gt;"&amp;($A141+19/24),tData[Langligger01],1)</f>
        <v/>
      </c>
      <c r="X141" s="20">
        <f>COUNTIFS(tData[SEHTrajectPeriodeDatumTijdVan],"&lt;="&amp;($A141+20/24),tData[SEHTrajectPeriodeDatumTijdTotEnMet],"&gt;"&amp;($A141+20/24),tData[Langligger01],1)</f>
        <v/>
      </c>
      <c r="Y141" s="20">
        <f>COUNTIFS(tData[SEHTrajectPeriodeDatumTijdVan],"&lt;="&amp;($A141+21/24),tData[SEHTrajectPeriodeDatumTijdTotEnMet],"&gt;"&amp;($A141+21/24),tData[Langligger01],1)</f>
        <v/>
      </c>
      <c r="Z141" s="20">
        <f>COUNTIFS(tData[SEHTrajectPeriodeDatumTijdVan],"&lt;="&amp;($A141+22/24),tData[SEHTrajectPeriodeDatumTijdTotEnMet],"&gt;"&amp;($A141+22/24),tData[Langligger01],1)</f>
        <v/>
      </c>
      <c r="AA141" s="20">
        <f>COUNTIFS(tData[SEHTrajectPeriodeDatumTijdVan],"&lt;="&amp;($A141+23/24),tData[SEHTrajectPeriodeDatumTijdTotEnMet],"&gt;"&amp;($A141+23/24),tData[Langligger01],1)</f>
        <v/>
      </c>
    </row>
    <row r="142">
      <c r="A142" s="19" t="n">
        <v>45430</v>
      </c>
      <c r="B142" s="15">
        <f>WEEKDAY($A142,2)</f>
        <v/>
      </c>
      <c r="C142" s="15">
        <f>IF(AND($A142&gt;=INT(Instellingen!$B$5),$A142&lt;=INT(Instellingen!$B$6)),1,0)</f>
        <v/>
      </c>
      <c r="D142" s="20">
        <f>COUNTIFS(tData[SEHTrajectPeriodeDatumTijdVan],"&lt;="&amp;($A142+0/24),tData[SEHTrajectPeriodeDatumTijdTotEnMet],"&gt;"&amp;($A142+0/24),tData[Langligger01],1)</f>
        <v/>
      </c>
      <c r="E142" s="20">
        <f>COUNTIFS(tData[SEHTrajectPeriodeDatumTijdVan],"&lt;="&amp;($A142+1/24),tData[SEHTrajectPeriodeDatumTijdTotEnMet],"&gt;"&amp;($A142+1/24),tData[Langligger01],1)</f>
        <v/>
      </c>
      <c r="F142" s="20">
        <f>COUNTIFS(tData[SEHTrajectPeriodeDatumTijdVan],"&lt;="&amp;($A142+2/24),tData[SEHTrajectPeriodeDatumTijdTotEnMet],"&gt;"&amp;($A142+2/24),tData[Langligger01],1)</f>
        <v/>
      </c>
      <c r="G142" s="20">
        <f>COUNTIFS(tData[SEHTrajectPeriodeDatumTijdVan],"&lt;="&amp;($A142+3/24),tData[SEHTrajectPeriodeDatumTijdTotEnMet],"&gt;"&amp;($A142+3/24),tData[Langligger01],1)</f>
        <v/>
      </c>
      <c r="H142" s="20">
        <f>COUNTIFS(tData[SEHTrajectPeriodeDatumTijdVan],"&lt;="&amp;($A142+4/24),tData[SEHTrajectPeriodeDatumTijdTotEnMet],"&gt;"&amp;($A142+4/24),tData[Langligger01],1)</f>
        <v/>
      </c>
      <c r="I142" s="20">
        <f>COUNTIFS(tData[SEHTrajectPeriodeDatumTijdVan],"&lt;="&amp;($A142+5/24),tData[SEHTrajectPeriodeDatumTijdTotEnMet],"&gt;"&amp;($A142+5/24),tData[Langligger01],1)</f>
        <v/>
      </c>
      <c r="J142" s="20">
        <f>COUNTIFS(tData[SEHTrajectPeriodeDatumTijdVan],"&lt;="&amp;($A142+6/24),tData[SEHTrajectPeriodeDatumTijdTotEnMet],"&gt;"&amp;($A142+6/24),tData[Langligger01],1)</f>
        <v/>
      </c>
      <c r="K142" s="20">
        <f>COUNTIFS(tData[SEHTrajectPeriodeDatumTijdVan],"&lt;="&amp;($A142+7/24),tData[SEHTrajectPeriodeDatumTijdTotEnMet],"&gt;"&amp;($A142+7/24),tData[Langligger01],1)</f>
        <v/>
      </c>
      <c r="L142" s="20">
        <f>COUNTIFS(tData[SEHTrajectPeriodeDatumTijdVan],"&lt;="&amp;($A142+8/24),tData[SEHTrajectPeriodeDatumTijdTotEnMet],"&gt;"&amp;($A142+8/24),tData[Langligger01],1)</f>
        <v/>
      </c>
      <c r="M142" s="20">
        <f>COUNTIFS(tData[SEHTrajectPeriodeDatumTijdVan],"&lt;="&amp;($A142+9/24),tData[SEHTrajectPeriodeDatumTijdTotEnMet],"&gt;"&amp;($A142+9/24),tData[Langligger01],1)</f>
        <v/>
      </c>
      <c r="N142" s="20">
        <f>COUNTIFS(tData[SEHTrajectPeriodeDatumTijdVan],"&lt;="&amp;($A142+10/24),tData[SEHTrajectPeriodeDatumTijdTotEnMet],"&gt;"&amp;($A142+10/24),tData[Langligger01],1)</f>
        <v/>
      </c>
      <c r="O142" s="20">
        <f>COUNTIFS(tData[SEHTrajectPeriodeDatumTijdVan],"&lt;="&amp;($A142+11/24),tData[SEHTrajectPeriodeDatumTijdTotEnMet],"&gt;"&amp;($A142+11/24),tData[Langligger01],1)</f>
        <v/>
      </c>
      <c r="P142" s="20">
        <f>COUNTIFS(tData[SEHTrajectPeriodeDatumTijdVan],"&lt;="&amp;($A142+12/24),tData[SEHTrajectPeriodeDatumTijdTotEnMet],"&gt;"&amp;($A142+12/24),tData[Langligger01],1)</f>
        <v/>
      </c>
      <c r="Q142" s="20">
        <f>COUNTIFS(tData[SEHTrajectPeriodeDatumTijdVan],"&lt;="&amp;($A142+13/24),tData[SEHTrajectPeriodeDatumTijdTotEnMet],"&gt;"&amp;($A142+13/24),tData[Langligger01],1)</f>
        <v/>
      </c>
      <c r="R142" s="20">
        <f>COUNTIFS(tData[SEHTrajectPeriodeDatumTijdVan],"&lt;="&amp;($A142+14/24),tData[SEHTrajectPeriodeDatumTijdTotEnMet],"&gt;"&amp;($A142+14/24),tData[Langligger01],1)</f>
        <v/>
      </c>
      <c r="S142" s="20">
        <f>COUNTIFS(tData[SEHTrajectPeriodeDatumTijdVan],"&lt;="&amp;($A142+15/24),tData[SEHTrajectPeriodeDatumTijdTotEnMet],"&gt;"&amp;($A142+15/24),tData[Langligger01],1)</f>
        <v/>
      </c>
      <c r="T142" s="20">
        <f>COUNTIFS(tData[SEHTrajectPeriodeDatumTijdVan],"&lt;="&amp;($A142+16/24),tData[SEHTrajectPeriodeDatumTijdTotEnMet],"&gt;"&amp;($A142+16/24),tData[Langligger01],1)</f>
        <v/>
      </c>
      <c r="U142" s="20">
        <f>COUNTIFS(tData[SEHTrajectPeriodeDatumTijdVan],"&lt;="&amp;($A142+17/24),tData[SEHTrajectPeriodeDatumTijdTotEnMet],"&gt;"&amp;($A142+17/24),tData[Langligger01],1)</f>
        <v/>
      </c>
      <c r="V142" s="20">
        <f>COUNTIFS(tData[SEHTrajectPeriodeDatumTijdVan],"&lt;="&amp;($A142+18/24),tData[SEHTrajectPeriodeDatumTijdTotEnMet],"&gt;"&amp;($A142+18/24),tData[Langligger01],1)</f>
        <v/>
      </c>
      <c r="W142" s="20">
        <f>COUNTIFS(tData[SEHTrajectPeriodeDatumTijdVan],"&lt;="&amp;($A142+19/24),tData[SEHTrajectPeriodeDatumTijdTotEnMet],"&gt;"&amp;($A142+19/24),tData[Langligger01],1)</f>
        <v/>
      </c>
      <c r="X142" s="20">
        <f>COUNTIFS(tData[SEHTrajectPeriodeDatumTijdVan],"&lt;="&amp;($A142+20/24),tData[SEHTrajectPeriodeDatumTijdTotEnMet],"&gt;"&amp;($A142+20/24),tData[Langligger01],1)</f>
        <v/>
      </c>
      <c r="Y142" s="20">
        <f>COUNTIFS(tData[SEHTrajectPeriodeDatumTijdVan],"&lt;="&amp;($A142+21/24),tData[SEHTrajectPeriodeDatumTijdTotEnMet],"&gt;"&amp;($A142+21/24),tData[Langligger01],1)</f>
        <v/>
      </c>
      <c r="Z142" s="20">
        <f>COUNTIFS(tData[SEHTrajectPeriodeDatumTijdVan],"&lt;="&amp;($A142+22/24),tData[SEHTrajectPeriodeDatumTijdTotEnMet],"&gt;"&amp;($A142+22/24),tData[Langligger01],1)</f>
        <v/>
      </c>
      <c r="AA142" s="20">
        <f>COUNTIFS(tData[SEHTrajectPeriodeDatumTijdVan],"&lt;="&amp;($A142+23/24),tData[SEHTrajectPeriodeDatumTijdTotEnMet],"&gt;"&amp;($A142+23/24),tData[Langligger01],1)</f>
        <v/>
      </c>
    </row>
    <row r="143">
      <c r="A143" s="19" t="n">
        <v>45431</v>
      </c>
      <c r="B143" s="15">
        <f>WEEKDAY($A143,2)</f>
        <v/>
      </c>
      <c r="C143" s="15">
        <f>IF(AND($A143&gt;=INT(Instellingen!$B$5),$A143&lt;=INT(Instellingen!$B$6)),1,0)</f>
        <v/>
      </c>
      <c r="D143" s="20">
        <f>COUNTIFS(tData[SEHTrajectPeriodeDatumTijdVan],"&lt;="&amp;($A143+0/24),tData[SEHTrajectPeriodeDatumTijdTotEnMet],"&gt;"&amp;($A143+0/24),tData[Langligger01],1)</f>
        <v/>
      </c>
      <c r="E143" s="20">
        <f>COUNTIFS(tData[SEHTrajectPeriodeDatumTijdVan],"&lt;="&amp;($A143+1/24),tData[SEHTrajectPeriodeDatumTijdTotEnMet],"&gt;"&amp;($A143+1/24),tData[Langligger01],1)</f>
        <v/>
      </c>
      <c r="F143" s="20">
        <f>COUNTIFS(tData[SEHTrajectPeriodeDatumTijdVan],"&lt;="&amp;($A143+2/24),tData[SEHTrajectPeriodeDatumTijdTotEnMet],"&gt;"&amp;($A143+2/24),tData[Langligger01],1)</f>
        <v/>
      </c>
      <c r="G143" s="20">
        <f>COUNTIFS(tData[SEHTrajectPeriodeDatumTijdVan],"&lt;="&amp;($A143+3/24),tData[SEHTrajectPeriodeDatumTijdTotEnMet],"&gt;"&amp;($A143+3/24),tData[Langligger01],1)</f>
        <v/>
      </c>
      <c r="H143" s="20">
        <f>COUNTIFS(tData[SEHTrajectPeriodeDatumTijdVan],"&lt;="&amp;($A143+4/24),tData[SEHTrajectPeriodeDatumTijdTotEnMet],"&gt;"&amp;($A143+4/24),tData[Langligger01],1)</f>
        <v/>
      </c>
      <c r="I143" s="20">
        <f>COUNTIFS(tData[SEHTrajectPeriodeDatumTijdVan],"&lt;="&amp;($A143+5/24),tData[SEHTrajectPeriodeDatumTijdTotEnMet],"&gt;"&amp;($A143+5/24),tData[Langligger01],1)</f>
        <v/>
      </c>
      <c r="J143" s="20">
        <f>COUNTIFS(tData[SEHTrajectPeriodeDatumTijdVan],"&lt;="&amp;($A143+6/24),tData[SEHTrajectPeriodeDatumTijdTotEnMet],"&gt;"&amp;($A143+6/24),tData[Langligger01],1)</f>
        <v/>
      </c>
      <c r="K143" s="20">
        <f>COUNTIFS(tData[SEHTrajectPeriodeDatumTijdVan],"&lt;="&amp;($A143+7/24),tData[SEHTrajectPeriodeDatumTijdTotEnMet],"&gt;"&amp;($A143+7/24),tData[Langligger01],1)</f>
        <v/>
      </c>
      <c r="L143" s="20">
        <f>COUNTIFS(tData[SEHTrajectPeriodeDatumTijdVan],"&lt;="&amp;($A143+8/24),tData[SEHTrajectPeriodeDatumTijdTotEnMet],"&gt;"&amp;($A143+8/24),tData[Langligger01],1)</f>
        <v/>
      </c>
      <c r="M143" s="20">
        <f>COUNTIFS(tData[SEHTrajectPeriodeDatumTijdVan],"&lt;="&amp;($A143+9/24),tData[SEHTrajectPeriodeDatumTijdTotEnMet],"&gt;"&amp;($A143+9/24),tData[Langligger01],1)</f>
        <v/>
      </c>
      <c r="N143" s="20">
        <f>COUNTIFS(tData[SEHTrajectPeriodeDatumTijdVan],"&lt;="&amp;($A143+10/24),tData[SEHTrajectPeriodeDatumTijdTotEnMet],"&gt;"&amp;($A143+10/24),tData[Langligger01],1)</f>
        <v/>
      </c>
      <c r="O143" s="20">
        <f>COUNTIFS(tData[SEHTrajectPeriodeDatumTijdVan],"&lt;="&amp;($A143+11/24),tData[SEHTrajectPeriodeDatumTijdTotEnMet],"&gt;"&amp;($A143+11/24),tData[Langligger01],1)</f>
        <v/>
      </c>
      <c r="P143" s="20">
        <f>COUNTIFS(tData[SEHTrajectPeriodeDatumTijdVan],"&lt;="&amp;($A143+12/24),tData[SEHTrajectPeriodeDatumTijdTotEnMet],"&gt;"&amp;($A143+12/24),tData[Langligger01],1)</f>
        <v/>
      </c>
      <c r="Q143" s="20">
        <f>COUNTIFS(tData[SEHTrajectPeriodeDatumTijdVan],"&lt;="&amp;($A143+13/24),tData[SEHTrajectPeriodeDatumTijdTotEnMet],"&gt;"&amp;($A143+13/24),tData[Langligger01],1)</f>
        <v/>
      </c>
      <c r="R143" s="20">
        <f>COUNTIFS(tData[SEHTrajectPeriodeDatumTijdVan],"&lt;="&amp;($A143+14/24),tData[SEHTrajectPeriodeDatumTijdTotEnMet],"&gt;"&amp;($A143+14/24),tData[Langligger01],1)</f>
        <v/>
      </c>
      <c r="S143" s="20">
        <f>COUNTIFS(tData[SEHTrajectPeriodeDatumTijdVan],"&lt;="&amp;($A143+15/24),tData[SEHTrajectPeriodeDatumTijdTotEnMet],"&gt;"&amp;($A143+15/24),tData[Langligger01],1)</f>
        <v/>
      </c>
      <c r="T143" s="20">
        <f>COUNTIFS(tData[SEHTrajectPeriodeDatumTijdVan],"&lt;="&amp;($A143+16/24),tData[SEHTrajectPeriodeDatumTijdTotEnMet],"&gt;"&amp;($A143+16/24),tData[Langligger01],1)</f>
        <v/>
      </c>
      <c r="U143" s="20">
        <f>COUNTIFS(tData[SEHTrajectPeriodeDatumTijdVan],"&lt;="&amp;($A143+17/24),tData[SEHTrajectPeriodeDatumTijdTotEnMet],"&gt;"&amp;($A143+17/24),tData[Langligger01],1)</f>
        <v/>
      </c>
      <c r="V143" s="20">
        <f>COUNTIFS(tData[SEHTrajectPeriodeDatumTijdVan],"&lt;="&amp;($A143+18/24),tData[SEHTrajectPeriodeDatumTijdTotEnMet],"&gt;"&amp;($A143+18/24),tData[Langligger01],1)</f>
        <v/>
      </c>
      <c r="W143" s="20">
        <f>COUNTIFS(tData[SEHTrajectPeriodeDatumTijdVan],"&lt;="&amp;($A143+19/24),tData[SEHTrajectPeriodeDatumTijdTotEnMet],"&gt;"&amp;($A143+19/24),tData[Langligger01],1)</f>
        <v/>
      </c>
      <c r="X143" s="20">
        <f>COUNTIFS(tData[SEHTrajectPeriodeDatumTijdVan],"&lt;="&amp;($A143+20/24),tData[SEHTrajectPeriodeDatumTijdTotEnMet],"&gt;"&amp;($A143+20/24),tData[Langligger01],1)</f>
        <v/>
      </c>
      <c r="Y143" s="20">
        <f>COUNTIFS(tData[SEHTrajectPeriodeDatumTijdVan],"&lt;="&amp;($A143+21/24),tData[SEHTrajectPeriodeDatumTijdTotEnMet],"&gt;"&amp;($A143+21/24),tData[Langligger01],1)</f>
        <v/>
      </c>
      <c r="Z143" s="20">
        <f>COUNTIFS(tData[SEHTrajectPeriodeDatumTijdVan],"&lt;="&amp;($A143+22/24),tData[SEHTrajectPeriodeDatumTijdTotEnMet],"&gt;"&amp;($A143+22/24),tData[Langligger01],1)</f>
        <v/>
      </c>
      <c r="AA143" s="20">
        <f>COUNTIFS(tData[SEHTrajectPeriodeDatumTijdVan],"&lt;="&amp;($A143+23/24),tData[SEHTrajectPeriodeDatumTijdTotEnMet],"&gt;"&amp;($A143+23/24),tData[Langligger01],1)</f>
        <v/>
      </c>
    </row>
    <row r="144">
      <c r="A144" s="19" t="n">
        <v>45432</v>
      </c>
      <c r="B144" s="15">
        <f>WEEKDAY($A144,2)</f>
        <v/>
      </c>
      <c r="C144" s="15">
        <f>IF(AND($A144&gt;=INT(Instellingen!$B$5),$A144&lt;=INT(Instellingen!$B$6)),1,0)</f>
        <v/>
      </c>
      <c r="D144" s="20">
        <f>COUNTIFS(tData[SEHTrajectPeriodeDatumTijdVan],"&lt;="&amp;($A144+0/24),tData[SEHTrajectPeriodeDatumTijdTotEnMet],"&gt;"&amp;($A144+0/24),tData[Langligger01],1)</f>
        <v/>
      </c>
      <c r="E144" s="20">
        <f>COUNTIFS(tData[SEHTrajectPeriodeDatumTijdVan],"&lt;="&amp;($A144+1/24),tData[SEHTrajectPeriodeDatumTijdTotEnMet],"&gt;"&amp;($A144+1/24),tData[Langligger01],1)</f>
        <v/>
      </c>
      <c r="F144" s="20">
        <f>COUNTIFS(tData[SEHTrajectPeriodeDatumTijdVan],"&lt;="&amp;($A144+2/24),tData[SEHTrajectPeriodeDatumTijdTotEnMet],"&gt;"&amp;($A144+2/24),tData[Langligger01],1)</f>
        <v/>
      </c>
      <c r="G144" s="20">
        <f>COUNTIFS(tData[SEHTrajectPeriodeDatumTijdVan],"&lt;="&amp;($A144+3/24),tData[SEHTrajectPeriodeDatumTijdTotEnMet],"&gt;"&amp;($A144+3/24),tData[Langligger01],1)</f>
        <v/>
      </c>
      <c r="H144" s="20">
        <f>COUNTIFS(tData[SEHTrajectPeriodeDatumTijdVan],"&lt;="&amp;($A144+4/24),tData[SEHTrajectPeriodeDatumTijdTotEnMet],"&gt;"&amp;($A144+4/24),tData[Langligger01],1)</f>
        <v/>
      </c>
      <c r="I144" s="20">
        <f>COUNTIFS(tData[SEHTrajectPeriodeDatumTijdVan],"&lt;="&amp;($A144+5/24),tData[SEHTrajectPeriodeDatumTijdTotEnMet],"&gt;"&amp;($A144+5/24),tData[Langligger01],1)</f>
        <v/>
      </c>
      <c r="J144" s="20">
        <f>COUNTIFS(tData[SEHTrajectPeriodeDatumTijdVan],"&lt;="&amp;($A144+6/24),tData[SEHTrajectPeriodeDatumTijdTotEnMet],"&gt;"&amp;($A144+6/24),tData[Langligger01],1)</f>
        <v/>
      </c>
      <c r="K144" s="20">
        <f>COUNTIFS(tData[SEHTrajectPeriodeDatumTijdVan],"&lt;="&amp;($A144+7/24),tData[SEHTrajectPeriodeDatumTijdTotEnMet],"&gt;"&amp;($A144+7/24),tData[Langligger01],1)</f>
        <v/>
      </c>
      <c r="L144" s="20">
        <f>COUNTIFS(tData[SEHTrajectPeriodeDatumTijdVan],"&lt;="&amp;($A144+8/24),tData[SEHTrajectPeriodeDatumTijdTotEnMet],"&gt;"&amp;($A144+8/24),tData[Langligger01],1)</f>
        <v/>
      </c>
      <c r="M144" s="20">
        <f>COUNTIFS(tData[SEHTrajectPeriodeDatumTijdVan],"&lt;="&amp;($A144+9/24),tData[SEHTrajectPeriodeDatumTijdTotEnMet],"&gt;"&amp;($A144+9/24),tData[Langligger01],1)</f>
        <v/>
      </c>
      <c r="N144" s="20">
        <f>COUNTIFS(tData[SEHTrajectPeriodeDatumTijdVan],"&lt;="&amp;($A144+10/24),tData[SEHTrajectPeriodeDatumTijdTotEnMet],"&gt;"&amp;($A144+10/24),tData[Langligger01],1)</f>
        <v/>
      </c>
      <c r="O144" s="20">
        <f>COUNTIFS(tData[SEHTrajectPeriodeDatumTijdVan],"&lt;="&amp;($A144+11/24),tData[SEHTrajectPeriodeDatumTijdTotEnMet],"&gt;"&amp;($A144+11/24),tData[Langligger01],1)</f>
        <v/>
      </c>
      <c r="P144" s="20">
        <f>COUNTIFS(tData[SEHTrajectPeriodeDatumTijdVan],"&lt;="&amp;($A144+12/24),tData[SEHTrajectPeriodeDatumTijdTotEnMet],"&gt;"&amp;($A144+12/24),tData[Langligger01],1)</f>
        <v/>
      </c>
      <c r="Q144" s="20">
        <f>COUNTIFS(tData[SEHTrajectPeriodeDatumTijdVan],"&lt;="&amp;($A144+13/24),tData[SEHTrajectPeriodeDatumTijdTotEnMet],"&gt;"&amp;($A144+13/24),tData[Langligger01],1)</f>
        <v/>
      </c>
      <c r="R144" s="20">
        <f>COUNTIFS(tData[SEHTrajectPeriodeDatumTijdVan],"&lt;="&amp;($A144+14/24),tData[SEHTrajectPeriodeDatumTijdTotEnMet],"&gt;"&amp;($A144+14/24),tData[Langligger01],1)</f>
        <v/>
      </c>
      <c r="S144" s="20">
        <f>COUNTIFS(tData[SEHTrajectPeriodeDatumTijdVan],"&lt;="&amp;($A144+15/24),tData[SEHTrajectPeriodeDatumTijdTotEnMet],"&gt;"&amp;($A144+15/24),tData[Langligger01],1)</f>
        <v/>
      </c>
      <c r="T144" s="20">
        <f>COUNTIFS(tData[SEHTrajectPeriodeDatumTijdVan],"&lt;="&amp;($A144+16/24),tData[SEHTrajectPeriodeDatumTijdTotEnMet],"&gt;"&amp;($A144+16/24),tData[Langligger01],1)</f>
        <v/>
      </c>
      <c r="U144" s="20">
        <f>COUNTIFS(tData[SEHTrajectPeriodeDatumTijdVan],"&lt;="&amp;($A144+17/24),tData[SEHTrajectPeriodeDatumTijdTotEnMet],"&gt;"&amp;($A144+17/24),tData[Langligger01],1)</f>
        <v/>
      </c>
      <c r="V144" s="20">
        <f>COUNTIFS(tData[SEHTrajectPeriodeDatumTijdVan],"&lt;="&amp;($A144+18/24),tData[SEHTrajectPeriodeDatumTijdTotEnMet],"&gt;"&amp;($A144+18/24),tData[Langligger01],1)</f>
        <v/>
      </c>
      <c r="W144" s="20">
        <f>COUNTIFS(tData[SEHTrajectPeriodeDatumTijdVan],"&lt;="&amp;($A144+19/24),tData[SEHTrajectPeriodeDatumTijdTotEnMet],"&gt;"&amp;($A144+19/24),tData[Langligger01],1)</f>
        <v/>
      </c>
      <c r="X144" s="20">
        <f>COUNTIFS(tData[SEHTrajectPeriodeDatumTijdVan],"&lt;="&amp;($A144+20/24),tData[SEHTrajectPeriodeDatumTijdTotEnMet],"&gt;"&amp;($A144+20/24),tData[Langligger01],1)</f>
        <v/>
      </c>
      <c r="Y144" s="20">
        <f>COUNTIFS(tData[SEHTrajectPeriodeDatumTijdVan],"&lt;="&amp;($A144+21/24),tData[SEHTrajectPeriodeDatumTijdTotEnMet],"&gt;"&amp;($A144+21/24),tData[Langligger01],1)</f>
        <v/>
      </c>
      <c r="Z144" s="20">
        <f>COUNTIFS(tData[SEHTrajectPeriodeDatumTijdVan],"&lt;="&amp;($A144+22/24),tData[SEHTrajectPeriodeDatumTijdTotEnMet],"&gt;"&amp;($A144+22/24),tData[Langligger01],1)</f>
        <v/>
      </c>
      <c r="AA144" s="20">
        <f>COUNTIFS(tData[SEHTrajectPeriodeDatumTijdVan],"&lt;="&amp;($A144+23/24),tData[SEHTrajectPeriodeDatumTijdTotEnMet],"&gt;"&amp;($A144+23/24),tData[Langligger01],1)</f>
        <v/>
      </c>
    </row>
    <row r="145">
      <c r="A145" s="19" t="n">
        <v>45433</v>
      </c>
      <c r="B145" s="15">
        <f>WEEKDAY($A145,2)</f>
        <v/>
      </c>
      <c r="C145" s="15">
        <f>IF(AND($A145&gt;=INT(Instellingen!$B$5),$A145&lt;=INT(Instellingen!$B$6)),1,0)</f>
        <v/>
      </c>
      <c r="D145" s="20">
        <f>COUNTIFS(tData[SEHTrajectPeriodeDatumTijdVan],"&lt;="&amp;($A145+0/24),tData[SEHTrajectPeriodeDatumTijdTotEnMet],"&gt;"&amp;($A145+0/24),tData[Langligger01],1)</f>
        <v/>
      </c>
      <c r="E145" s="20">
        <f>COUNTIFS(tData[SEHTrajectPeriodeDatumTijdVan],"&lt;="&amp;($A145+1/24),tData[SEHTrajectPeriodeDatumTijdTotEnMet],"&gt;"&amp;($A145+1/24),tData[Langligger01],1)</f>
        <v/>
      </c>
      <c r="F145" s="20">
        <f>COUNTIFS(tData[SEHTrajectPeriodeDatumTijdVan],"&lt;="&amp;($A145+2/24),tData[SEHTrajectPeriodeDatumTijdTotEnMet],"&gt;"&amp;($A145+2/24),tData[Langligger01],1)</f>
        <v/>
      </c>
      <c r="G145" s="20">
        <f>COUNTIFS(tData[SEHTrajectPeriodeDatumTijdVan],"&lt;="&amp;($A145+3/24),tData[SEHTrajectPeriodeDatumTijdTotEnMet],"&gt;"&amp;($A145+3/24),tData[Langligger01],1)</f>
        <v/>
      </c>
      <c r="H145" s="20">
        <f>COUNTIFS(tData[SEHTrajectPeriodeDatumTijdVan],"&lt;="&amp;($A145+4/24),tData[SEHTrajectPeriodeDatumTijdTotEnMet],"&gt;"&amp;($A145+4/24),tData[Langligger01],1)</f>
        <v/>
      </c>
      <c r="I145" s="20">
        <f>COUNTIFS(tData[SEHTrajectPeriodeDatumTijdVan],"&lt;="&amp;($A145+5/24),tData[SEHTrajectPeriodeDatumTijdTotEnMet],"&gt;"&amp;($A145+5/24),tData[Langligger01],1)</f>
        <v/>
      </c>
      <c r="J145" s="20">
        <f>COUNTIFS(tData[SEHTrajectPeriodeDatumTijdVan],"&lt;="&amp;($A145+6/24),tData[SEHTrajectPeriodeDatumTijdTotEnMet],"&gt;"&amp;($A145+6/24),tData[Langligger01],1)</f>
        <v/>
      </c>
      <c r="K145" s="20">
        <f>COUNTIFS(tData[SEHTrajectPeriodeDatumTijdVan],"&lt;="&amp;($A145+7/24),tData[SEHTrajectPeriodeDatumTijdTotEnMet],"&gt;"&amp;($A145+7/24),tData[Langligger01],1)</f>
        <v/>
      </c>
      <c r="L145" s="20">
        <f>COUNTIFS(tData[SEHTrajectPeriodeDatumTijdVan],"&lt;="&amp;($A145+8/24),tData[SEHTrajectPeriodeDatumTijdTotEnMet],"&gt;"&amp;($A145+8/24),tData[Langligger01],1)</f>
        <v/>
      </c>
      <c r="M145" s="20">
        <f>COUNTIFS(tData[SEHTrajectPeriodeDatumTijdVan],"&lt;="&amp;($A145+9/24),tData[SEHTrajectPeriodeDatumTijdTotEnMet],"&gt;"&amp;($A145+9/24),tData[Langligger01],1)</f>
        <v/>
      </c>
      <c r="N145" s="20">
        <f>COUNTIFS(tData[SEHTrajectPeriodeDatumTijdVan],"&lt;="&amp;($A145+10/24),tData[SEHTrajectPeriodeDatumTijdTotEnMet],"&gt;"&amp;($A145+10/24),tData[Langligger01],1)</f>
        <v/>
      </c>
      <c r="O145" s="20">
        <f>COUNTIFS(tData[SEHTrajectPeriodeDatumTijdVan],"&lt;="&amp;($A145+11/24),tData[SEHTrajectPeriodeDatumTijdTotEnMet],"&gt;"&amp;($A145+11/24),tData[Langligger01],1)</f>
        <v/>
      </c>
      <c r="P145" s="20">
        <f>COUNTIFS(tData[SEHTrajectPeriodeDatumTijdVan],"&lt;="&amp;($A145+12/24),tData[SEHTrajectPeriodeDatumTijdTotEnMet],"&gt;"&amp;($A145+12/24),tData[Langligger01],1)</f>
        <v/>
      </c>
      <c r="Q145" s="20">
        <f>COUNTIFS(tData[SEHTrajectPeriodeDatumTijdVan],"&lt;="&amp;($A145+13/24),tData[SEHTrajectPeriodeDatumTijdTotEnMet],"&gt;"&amp;($A145+13/24),tData[Langligger01],1)</f>
        <v/>
      </c>
      <c r="R145" s="20">
        <f>COUNTIFS(tData[SEHTrajectPeriodeDatumTijdVan],"&lt;="&amp;($A145+14/24),tData[SEHTrajectPeriodeDatumTijdTotEnMet],"&gt;"&amp;($A145+14/24),tData[Langligger01],1)</f>
        <v/>
      </c>
      <c r="S145" s="20">
        <f>COUNTIFS(tData[SEHTrajectPeriodeDatumTijdVan],"&lt;="&amp;($A145+15/24),tData[SEHTrajectPeriodeDatumTijdTotEnMet],"&gt;"&amp;($A145+15/24),tData[Langligger01],1)</f>
        <v/>
      </c>
      <c r="T145" s="20">
        <f>COUNTIFS(tData[SEHTrajectPeriodeDatumTijdVan],"&lt;="&amp;($A145+16/24),tData[SEHTrajectPeriodeDatumTijdTotEnMet],"&gt;"&amp;($A145+16/24),tData[Langligger01],1)</f>
        <v/>
      </c>
      <c r="U145" s="20">
        <f>COUNTIFS(tData[SEHTrajectPeriodeDatumTijdVan],"&lt;="&amp;($A145+17/24),tData[SEHTrajectPeriodeDatumTijdTotEnMet],"&gt;"&amp;($A145+17/24),tData[Langligger01],1)</f>
        <v/>
      </c>
      <c r="V145" s="20">
        <f>COUNTIFS(tData[SEHTrajectPeriodeDatumTijdVan],"&lt;="&amp;($A145+18/24),tData[SEHTrajectPeriodeDatumTijdTotEnMet],"&gt;"&amp;($A145+18/24),tData[Langligger01],1)</f>
        <v/>
      </c>
      <c r="W145" s="20">
        <f>COUNTIFS(tData[SEHTrajectPeriodeDatumTijdVan],"&lt;="&amp;($A145+19/24),tData[SEHTrajectPeriodeDatumTijdTotEnMet],"&gt;"&amp;($A145+19/24),tData[Langligger01],1)</f>
        <v/>
      </c>
      <c r="X145" s="20">
        <f>COUNTIFS(tData[SEHTrajectPeriodeDatumTijdVan],"&lt;="&amp;($A145+20/24),tData[SEHTrajectPeriodeDatumTijdTotEnMet],"&gt;"&amp;($A145+20/24),tData[Langligger01],1)</f>
        <v/>
      </c>
      <c r="Y145" s="20">
        <f>COUNTIFS(tData[SEHTrajectPeriodeDatumTijdVan],"&lt;="&amp;($A145+21/24),tData[SEHTrajectPeriodeDatumTijdTotEnMet],"&gt;"&amp;($A145+21/24),tData[Langligger01],1)</f>
        <v/>
      </c>
      <c r="Z145" s="20">
        <f>COUNTIFS(tData[SEHTrajectPeriodeDatumTijdVan],"&lt;="&amp;($A145+22/24),tData[SEHTrajectPeriodeDatumTijdTotEnMet],"&gt;"&amp;($A145+22/24),tData[Langligger01],1)</f>
        <v/>
      </c>
      <c r="AA145" s="20">
        <f>COUNTIFS(tData[SEHTrajectPeriodeDatumTijdVan],"&lt;="&amp;($A145+23/24),tData[SEHTrajectPeriodeDatumTijdTotEnMet],"&gt;"&amp;($A145+23/24),tData[Langligger01],1)</f>
        <v/>
      </c>
    </row>
    <row r="146">
      <c r="A146" s="19" t="n">
        <v>45434</v>
      </c>
      <c r="B146" s="15">
        <f>WEEKDAY($A146,2)</f>
        <v/>
      </c>
      <c r="C146" s="15">
        <f>IF(AND($A146&gt;=INT(Instellingen!$B$5),$A146&lt;=INT(Instellingen!$B$6)),1,0)</f>
        <v/>
      </c>
      <c r="D146" s="20">
        <f>COUNTIFS(tData[SEHTrajectPeriodeDatumTijdVan],"&lt;="&amp;($A146+0/24),tData[SEHTrajectPeriodeDatumTijdTotEnMet],"&gt;"&amp;($A146+0/24),tData[Langligger01],1)</f>
        <v/>
      </c>
      <c r="E146" s="20">
        <f>COUNTIFS(tData[SEHTrajectPeriodeDatumTijdVan],"&lt;="&amp;($A146+1/24),tData[SEHTrajectPeriodeDatumTijdTotEnMet],"&gt;"&amp;($A146+1/24),tData[Langligger01],1)</f>
        <v/>
      </c>
      <c r="F146" s="20">
        <f>COUNTIFS(tData[SEHTrajectPeriodeDatumTijdVan],"&lt;="&amp;($A146+2/24),tData[SEHTrajectPeriodeDatumTijdTotEnMet],"&gt;"&amp;($A146+2/24),tData[Langligger01],1)</f>
        <v/>
      </c>
      <c r="G146" s="20">
        <f>COUNTIFS(tData[SEHTrajectPeriodeDatumTijdVan],"&lt;="&amp;($A146+3/24),tData[SEHTrajectPeriodeDatumTijdTotEnMet],"&gt;"&amp;($A146+3/24),tData[Langligger01],1)</f>
        <v/>
      </c>
      <c r="H146" s="20">
        <f>COUNTIFS(tData[SEHTrajectPeriodeDatumTijdVan],"&lt;="&amp;($A146+4/24),tData[SEHTrajectPeriodeDatumTijdTotEnMet],"&gt;"&amp;($A146+4/24),tData[Langligger01],1)</f>
        <v/>
      </c>
      <c r="I146" s="20">
        <f>COUNTIFS(tData[SEHTrajectPeriodeDatumTijdVan],"&lt;="&amp;($A146+5/24),tData[SEHTrajectPeriodeDatumTijdTotEnMet],"&gt;"&amp;($A146+5/24),tData[Langligger01],1)</f>
        <v/>
      </c>
      <c r="J146" s="20">
        <f>COUNTIFS(tData[SEHTrajectPeriodeDatumTijdVan],"&lt;="&amp;($A146+6/24),tData[SEHTrajectPeriodeDatumTijdTotEnMet],"&gt;"&amp;($A146+6/24),tData[Langligger01],1)</f>
        <v/>
      </c>
      <c r="K146" s="20">
        <f>COUNTIFS(tData[SEHTrajectPeriodeDatumTijdVan],"&lt;="&amp;($A146+7/24),tData[SEHTrajectPeriodeDatumTijdTotEnMet],"&gt;"&amp;($A146+7/24),tData[Langligger01],1)</f>
        <v/>
      </c>
      <c r="L146" s="20">
        <f>COUNTIFS(tData[SEHTrajectPeriodeDatumTijdVan],"&lt;="&amp;($A146+8/24),tData[SEHTrajectPeriodeDatumTijdTotEnMet],"&gt;"&amp;($A146+8/24),tData[Langligger01],1)</f>
        <v/>
      </c>
      <c r="M146" s="20">
        <f>COUNTIFS(tData[SEHTrajectPeriodeDatumTijdVan],"&lt;="&amp;($A146+9/24),tData[SEHTrajectPeriodeDatumTijdTotEnMet],"&gt;"&amp;($A146+9/24),tData[Langligger01],1)</f>
        <v/>
      </c>
      <c r="N146" s="20">
        <f>COUNTIFS(tData[SEHTrajectPeriodeDatumTijdVan],"&lt;="&amp;($A146+10/24),tData[SEHTrajectPeriodeDatumTijdTotEnMet],"&gt;"&amp;($A146+10/24),tData[Langligger01],1)</f>
        <v/>
      </c>
      <c r="O146" s="20">
        <f>COUNTIFS(tData[SEHTrajectPeriodeDatumTijdVan],"&lt;="&amp;($A146+11/24),tData[SEHTrajectPeriodeDatumTijdTotEnMet],"&gt;"&amp;($A146+11/24),tData[Langligger01],1)</f>
        <v/>
      </c>
      <c r="P146" s="20">
        <f>COUNTIFS(tData[SEHTrajectPeriodeDatumTijdVan],"&lt;="&amp;($A146+12/24),tData[SEHTrajectPeriodeDatumTijdTotEnMet],"&gt;"&amp;($A146+12/24),tData[Langligger01],1)</f>
        <v/>
      </c>
      <c r="Q146" s="20">
        <f>COUNTIFS(tData[SEHTrajectPeriodeDatumTijdVan],"&lt;="&amp;($A146+13/24),tData[SEHTrajectPeriodeDatumTijdTotEnMet],"&gt;"&amp;($A146+13/24),tData[Langligger01],1)</f>
        <v/>
      </c>
      <c r="R146" s="20">
        <f>COUNTIFS(tData[SEHTrajectPeriodeDatumTijdVan],"&lt;="&amp;($A146+14/24),tData[SEHTrajectPeriodeDatumTijdTotEnMet],"&gt;"&amp;($A146+14/24),tData[Langligger01],1)</f>
        <v/>
      </c>
      <c r="S146" s="20">
        <f>COUNTIFS(tData[SEHTrajectPeriodeDatumTijdVan],"&lt;="&amp;($A146+15/24),tData[SEHTrajectPeriodeDatumTijdTotEnMet],"&gt;"&amp;($A146+15/24),tData[Langligger01],1)</f>
        <v/>
      </c>
      <c r="T146" s="20">
        <f>COUNTIFS(tData[SEHTrajectPeriodeDatumTijdVan],"&lt;="&amp;($A146+16/24),tData[SEHTrajectPeriodeDatumTijdTotEnMet],"&gt;"&amp;($A146+16/24),tData[Langligger01],1)</f>
        <v/>
      </c>
      <c r="U146" s="20">
        <f>COUNTIFS(tData[SEHTrajectPeriodeDatumTijdVan],"&lt;="&amp;($A146+17/24),tData[SEHTrajectPeriodeDatumTijdTotEnMet],"&gt;"&amp;($A146+17/24),tData[Langligger01],1)</f>
        <v/>
      </c>
      <c r="V146" s="20">
        <f>COUNTIFS(tData[SEHTrajectPeriodeDatumTijdVan],"&lt;="&amp;($A146+18/24),tData[SEHTrajectPeriodeDatumTijdTotEnMet],"&gt;"&amp;($A146+18/24),tData[Langligger01],1)</f>
        <v/>
      </c>
      <c r="W146" s="20">
        <f>COUNTIFS(tData[SEHTrajectPeriodeDatumTijdVan],"&lt;="&amp;($A146+19/24),tData[SEHTrajectPeriodeDatumTijdTotEnMet],"&gt;"&amp;($A146+19/24),tData[Langligger01],1)</f>
        <v/>
      </c>
      <c r="X146" s="20">
        <f>COUNTIFS(tData[SEHTrajectPeriodeDatumTijdVan],"&lt;="&amp;($A146+20/24),tData[SEHTrajectPeriodeDatumTijdTotEnMet],"&gt;"&amp;($A146+20/24),tData[Langligger01],1)</f>
        <v/>
      </c>
      <c r="Y146" s="20">
        <f>COUNTIFS(tData[SEHTrajectPeriodeDatumTijdVan],"&lt;="&amp;($A146+21/24),tData[SEHTrajectPeriodeDatumTijdTotEnMet],"&gt;"&amp;($A146+21/24),tData[Langligger01],1)</f>
        <v/>
      </c>
      <c r="Z146" s="20">
        <f>COUNTIFS(tData[SEHTrajectPeriodeDatumTijdVan],"&lt;="&amp;($A146+22/24),tData[SEHTrajectPeriodeDatumTijdTotEnMet],"&gt;"&amp;($A146+22/24),tData[Langligger01],1)</f>
        <v/>
      </c>
      <c r="AA146" s="20">
        <f>COUNTIFS(tData[SEHTrajectPeriodeDatumTijdVan],"&lt;="&amp;($A146+23/24),tData[SEHTrajectPeriodeDatumTijdTotEnMet],"&gt;"&amp;($A146+23/24),tData[Langligger01],1)</f>
        <v/>
      </c>
    </row>
    <row r="147">
      <c r="A147" s="19" t="n">
        <v>45435</v>
      </c>
      <c r="B147" s="15">
        <f>WEEKDAY($A147,2)</f>
        <v/>
      </c>
      <c r="C147" s="15">
        <f>IF(AND($A147&gt;=INT(Instellingen!$B$5),$A147&lt;=INT(Instellingen!$B$6)),1,0)</f>
        <v/>
      </c>
      <c r="D147" s="20">
        <f>COUNTIFS(tData[SEHTrajectPeriodeDatumTijdVan],"&lt;="&amp;($A147+0/24),tData[SEHTrajectPeriodeDatumTijdTotEnMet],"&gt;"&amp;($A147+0/24),tData[Langligger01],1)</f>
        <v/>
      </c>
      <c r="E147" s="20">
        <f>COUNTIFS(tData[SEHTrajectPeriodeDatumTijdVan],"&lt;="&amp;($A147+1/24),tData[SEHTrajectPeriodeDatumTijdTotEnMet],"&gt;"&amp;($A147+1/24),tData[Langligger01],1)</f>
        <v/>
      </c>
      <c r="F147" s="20">
        <f>COUNTIFS(tData[SEHTrajectPeriodeDatumTijdVan],"&lt;="&amp;($A147+2/24),tData[SEHTrajectPeriodeDatumTijdTotEnMet],"&gt;"&amp;($A147+2/24),tData[Langligger01],1)</f>
        <v/>
      </c>
      <c r="G147" s="20">
        <f>COUNTIFS(tData[SEHTrajectPeriodeDatumTijdVan],"&lt;="&amp;($A147+3/24),tData[SEHTrajectPeriodeDatumTijdTotEnMet],"&gt;"&amp;($A147+3/24),tData[Langligger01],1)</f>
        <v/>
      </c>
      <c r="H147" s="20">
        <f>COUNTIFS(tData[SEHTrajectPeriodeDatumTijdVan],"&lt;="&amp;($A147+4/24),tData[SEHTrajectPeriodeDatumTijdTotEnMet],"&gt;"&amp;($A147+4/24),tData[Langligger01],1)</f>
        <v/>
      </c>
      <c r="I147" s="20">
        <f>COUNTIFS(tData[SEHTrajectPeriodeDatumTijdVan],"&lt;="&amp;($A147+5/24),tData[SEHTrajectPeriodeDatumTijdTotEnMet],"&gt;"&amp;($A147+5/24),tData[Langligger01],1)</f>
        <v/>
      </c>
      <c r="J147" s="20">
        <f>COUNTIFS(tData[SEHTrajectPeriodeDatumTijdVan],"&lt;="&amp;($A147+6/24),tData[SEHTrajectPeriodeDatumTijdTotEnMet],"&gt;"&amp;($A147+6/24),tData[Langligger01],1)</f>
        <v/>
      </c>
      <c r="K147" s="20">
        <f>COUNTIFS(tData[SEHTrajectPeriodeDatumTijdVan],"&lt;="&amp;($A147+7/24),tData[SEHTrajectPeriodeDatumTijdTotEnMet],"&gt;"&amp;($A147+7/24),tData[Langligger01],1)</f>
        <v/>
      </c>
      <c r="L147" s="20">
        <f>COUNTIFS(tData[SEHTrajectPeriodeDatumTijdVan],"&lt;="&amp;($A147+8/24),tData[SEHTrajectPeriodeDatumTijdTotEnMet],"&gt;"&amp;($A147+8/24),tData[Langligger01],1)</f>
        <v/>
      </c>
      <c r="M147" s="20">
        <f>COUNTIFS(tData[SEHTrajectPeriodeDatumTijdVan],"&lt;="&amp;($A147+9/24),tData[SEHTrajectPeriodeDatumTijdTotEnMet],"&gt;"&amp;($A147+9/24),tData[Langligger01],1)</f>
        <v/>
      </c>
      <c r="N147" s="20">
        <f>COUNTIFS(tData[SEHTrajectPeriodeDatumTijdVan],"&lt;="&amp;($A147+10/24),tData[SEHTrajectPeriodeDatumTijdTotEnMet],"&gt;"&amp;($A147+10/24),tData[Langligger01],1)</f>
        <v/>
      </c>
      <c r="O147" s="20">
        <f>COUNTIFS(tData[SEHTrajectPeriodeDatumTijdVan],"&lt;="&amp;($A147+11/24),tData[SEHTrajectPeriodeDatumTijdTotEnMet],"&gt;"&amp;($A147+11/24),tData[Langligger01],1)</f>
        <v/>
      </c>
      <c r="P147" s="20">
        <f>COUNTIFS(tData[SEHTrajectPeriodeDatumTijdVan],"&lt;="&amp;($A147+12/24),tData[SEHTrajectPeriodeDatumTijdTotEnMet],"&gt;"&amp;($A147+12/24),tData[Langligger01],1)</f>
        <v/>
      </c>
      <c r="Q147" s="20">
        <f>COUNTIFS(tData[SEHTrajectPeriodeDatumTijdVan],"&lt;="&amp;($A147+13/24),tData[SEHTrajectPeriodeDatumTijdTotEnMet],"&gt;"&amp;($A147+13/24),tData[Langligger01],1)</f>
        <v/>
      </c>
      <c r="R147" s="20">
        <f>COUNTIFS(tData[SEHTrajectPeriodeDatumTijdVan],"&lt;="&amp;($A147+14/24),tData[SEHTrajectPeriodeDatumTijdTotEnMet],"&gt;"&amp;($A147+14/24),tData[Langligger01],1)</f>
        <v/>
      </c>
      <c r="S147" s="20">
        <f>COUNTIFS(tData[SEHTrajectPeriodeDatumTijdVan],"&lt;="&amp;($A147+15/24),tData[SEHTrajectPeriodeDatumTijdTotEnMet],"&gt;"&amp;($A147+15/24),tData[Langligger01],1)</f>
        <v/>
      </c>
      <c r="T147" s="20">
        <f>COUNTIFS(tData[SEHTrajectPeriodeDatumTijdVan],"&lt;="&amp;($A147+16/24),tData[SEHTrajectPeriodeDatumTijdTotEnMet],"&gt;"&amp;($A147+16/24),tData[Langligger01],1)</f>
        <v/>
      </c>
      <c r="U147" s="20">
        <f>COUNTIFS(tData[SEHTrajectPeriodeDatumTijdVan],"&lt;="&amp;($A147+17/24),tData[SEHTrajectPeriodeDatumTijdTotEnMet],"&gt;"&amp;($A147+17/24),tData[Langligger01],1)</f>
        <v/>
      </c>
      <c r="V147" s="20">
        <f>COUNTIFS(tData[SEHTrajectPeriodeDatumTijdVan],"&lt;="&amp;($A147+18/24),tData[SEHTrajectPeriodeDatumTijdTotEnMet],"&gt;"&amp;($A147+18/24),tData[Langligger01],1)</f>
        <v/>
      </c>
      <c r="W147" s="20">
        <f>COUNTIFS(tData[SEHTrajectPeriodeDatumTijdVan],"&lt;="&amp;($A147+19/24),tData[SEHTrajectPeriodeDatumTijdTotEnMet],"&gt;"&amp;($A147+19/24),tData[Langligger01],1)</f>
        <v/>
      </c>
      <c r="X147" s="20">
        <f>COUNTIFS(tData[SEHTrajectPeriodeDatumTijdVan],"&lt;="&amp;($A147+20/24),tData[SEHTrajectPeriodeDatumTijdTotEnMet],"&gt;"&amp;($A147+20/24),tData[Langligger01],1)</f>
        <v/>
      </c>
      <c r="Y147" s="20">
        <f>COUNTIFS(tData[SEHTrajectPeriodeDatumTijdVan],"&lt;="&amp;($A147+21/24),tData[SEHTrajectPeriodeDatumTijdTotEnMet],"&gt;"&amp;($A147+21/24),tData[Langligger01],1)</f>
        <v/>
      </c>
      <c r="Z147" s="20">
        <f>COUNTIFS(tData[SEHTrajectPeriodeDatumTijdVan],"&lt;="&amp;($A147+22/24),tData[SEHTrajectPeriodeDatumTijdTotEnMet],"&gt;"&amp;($A147+22/24),tData[Langligger01],1)</f>
        <v/>
      </c>
      <c r="AA147" s="20">
        <f>COUNTIFS(tData[SEHTrajectPeriodeDatumTijdVan],"&lt;="&amp;($A147+23/24),tData[SEHTrajectPeriodeDatumTijdTotEnMet],"&gt;"&amp;($A147+23/24),tData[Langligger01],1)</f>
        <v/>
      </c>
    </row>
    <row r="148">
      <c r="A148" s="19" t="n">
        <v>45436</v>
      </c>
      <c r="B148" s="15">
        <f>WEEKDAY($A148,2)</f>
        <v/>
      </c>
      <c r="C148" s="15">
        <f>IF(AND($A148&gt;=INT(Instellingen!$B$5),$A148&lt;=INT(Instellingen!$B$6)),1,0)</f>
        <v/>
      </c>
      <c r="D148" s="20">
        <f>COUNTIFS(tData[SEHTrajectPeriodeDatumTijdVan],"&lt;="&amp;($A148+0/24),tData[SEHTrajectPeriodeDatumTijdTotEnMet],"&gt;"&amp;($A148+0/24),tData[Langligger01],1)</f>
        <v/>
      </c>
      <c r="E148" s="20">
        <f>COUNTIFS(tData[SEHTrajectPeriodeDatumTijdVan],"&lt;="&amp;($A148+1/24),tData[SEHTrajectPeriodeDatumTijdTotEnMet],"&gt;"&amp;($A148+1/24),tData[Langligger01],1)</f>
        <v/>
      </c>
      <c r="F148" s="20">
        <f>COUNTIFS(tData[SEHTrajectPeriodeDatumTijdVan],"&lt;="&amp;($A148+2/24),tData[SEHTrajectPeriodeDatumTijdTotEnMet],"&gt;"&amp;($A148+2/24),tData[Langligger01],1)</f>
        <v/>
      </c>
      <c r="G148" s="20">
        <f>COUNTIFS(tData[SEHTrajectPeriodeDatumTijdVan],"&lt;="&amp;($A148+3/24),tData[SEHTrajectPeriodeDatumTijdTotEnMet],"&gt;"&amp;($A148+3/24),tData[Langligger01],1)</f>
        <v/>
      </c>
      <c r="H148" s="20">
        <f>COUNTIFS(tData[SEHTrajectPeriodeDatumTijdVan],"&lt;="&amp;($A148+4/24),tData[SEHTrajectPeriodeDatumTijdTotEnMet],"&gt;"&amp;($A148+4/24),tData[Langligger01],1)</f>
        <v/>
      </c>
      <c r="I148" s="20">
        <f>COUNTIFS(tData[SEHTrajectPeriodeDatumTijdVan],"&lt;="&amp;($A148+5/24),tData[SEHTrajectPeriodeDatumTijdTotEnMet],"&gt;"&amp;($A148+5/24),tData[Langligger01],1)</f>
        <v/>
      </c>
      <c r="J148" s="20">
        <f>COUNTIFS(tData[SEHTrajectPeriodeDatumTijdVan],"&lt;="&amp;($A148+6/24),tData[SEHTrajectPeriodeDatumTijdTotEnMet],"&gt;"&amp;($A148+6/24),tData[Langligger01],1)</f>
        <v/>
      </c>
      <c r="K148" s="20">
        <f>COUNTIFS(tData[SEHTrajectPeriodeDatumTijdVan],"&lt;="&amp;($A148+7/24),tData[SEHTrajectPeriodeDatumTijdTotEnMet],"&gt;"&amp;($A148+7/24),tData[Langligger01],1)</f>
        <v/>
      </c>
      <c r="L148" s="20">
        <f>COUNTIFS(tData[SEHTrajectPeriodeDatumTijdVan],"&lt;="&amp;($A148+8/24),tData[SEHTrajectPeriodeDatumTijdTotEnMet],"&gt;"&amp;($A148+8/24),tData[Langligger01],1)</f>
        <v/>
      </c>
      <c r="M148" s="20">
        <f>COUNTIFS(tData[SEHTrajectPeriodeDatumTijdVan],"&lt;="&amp;($A148+9/24),tData[SEHTrajectPeriodeDatumTijdTotEnMet],"&gt;"&amp;($A148+9/24),tData[Langligger01],1)</f>
        <v/>
      </c>
      <c r="N148" s="20">
        <f>COUNTIFS(tData[SEHTrajectPeriodeDatumTijdVan],"&lt;="&amp;($A148+10/24),tData[SEHTrajectPeriodeDatumTijdTotEnMet],"&gt;"&amp;($A148+10/24),tData[Langligger01],1)</f>
        <v/>
      </c>
      <c r="O148" s="20">
        <f>COUNTIFS(tData[SEHTrajectPeriodeDatumTijdVan],"&lt;="&amp;($A148+11/24),tData[SEHTrajectPeriodeDatumTijdTotEnMet],"&gt;"&amp;($A148+11/24),tData[Langligger01],1)</f>
        <v/>
      </c>
      <c r="P148" s="20">
        <f>COUNTIFS(tData[SEHTrajectPeriodeDatumTijdVan],"&lt;="&amp;($A148+12/24),tData[SEHTrajectPeriodeDatumTijdTotEnMet],"&gt;"&amp;($A148+12/24),tData[Langligger01],1)</f>
        <v/>
      </c>
      <c r="Q148" s="20">
        <f>COUNTIFS(tData[SEHTrajectPeriodeDatumTijdVan],"&lt;="&amp;($A148+13/24),tData[SEHTrajectPeriodeDatumTijdTotEnMet],"&gt;"&amp;($A148+13/24),tData[Langligger01],1)</f>
        <v/>
      </c>
      <c r="R148" s="20">
        <f>COUNTIFS(tData[SEHTrajectPeriodeDatumTijdVan],"&lt;="&amp;($A148+14/24),tData[SEHTrajectPeriodeDatumTijdTotEnMet],"&gt;"&amp;($A148+14/24),tData[Langligger01],1)</f>
        <v/>
      </c>
      <c r="S148" s="20">
        <f>COUNTIFS(tData[SEHTrajectPeriodeDatumTijdVan],"&lt;="&amp;($A148+15/24),tData[SEHTrajectPeriodeDatumTijdTotEnMet],"&gt;"&amp;($A148+15/24),tData[Langligger01],1)</f>
        <v/>
      </c>
      <c r="T148" s="20">
        <f>COUNTIFS(tData[SEHTrajectPeriodeDatumTijdVan],"&lt;="&amp;($A148+16/24),tData[SEHTrajectPeriodeDatumTijdTotEnMet],"&gt;"&amp;($A148+16/24),tData[Langligger01],1)</f>
        <v/>
      </c>
      <c r="U148" s="20">
        <f>COUNTIFS(tData[SEHTrajectPeriodeDatumTijdVan],"&lt;="&amp;($A148+17/24),tData[SEHTrajectPeriodeDatumTijdTotEnMet],"&gt;"&amp;($A148+17/24),tData[Langligger01],1)</f>
        <v/>
      </c>
      <c r="V148" s="20">
        <f>COUNTIFS(tData[SEHTrajectPeriodeDatumTijdVan],"&lt;="&amp;($A148+18/24),tData[SEHTrajectPeriodeDatumTijdTotEnMet],"&gt;"&amp;($A148+18/24),tData[Langligger01],1)</f>
        <v/>
      </c>
      <c r="W148" s="20">
        <f>COUNTIFS(tData[SEHTrajectPeriodeDatumTijdVan],"&lt;="&amp;($A148+19/24),tData[SEHTrajectPeriodeDatumTijdTotEnMet],"&gt;"&amp;($A148+19/24),tData[Langligger01],1)</f>
        <v/>
      </c>
      <c r="X148" s="20">
        <f>COUNTIFS(tData[SEHTrajectPeriodeDatumTijdVan],"&lt;="&amp;($A148+20/24),tData[SEHTrajectPeriodeDatumTijdTotEnMet],"&gt;"&amp;($A148+20/24),tData[Langligger01],1)</f>
        <v/>
      </c>
      <c r="Y148" s="20">
        <f>COUNTIFS(tData[SEHTrajectPeriodeDatumTijdVan],"&lt;="&amp;($A148+21/24),tData[SEHTrajectPeriodeDatumTijdTotEnMet],"&gt;"&amp;($A148+21/24),tData[Langligger01],1)</f>
        <v/>
      </c>
      <c r="Z148" s="20">
        <f>COUNTIFS(tData[SEHTrajectPeriodeDatumTijdVan],"&lt;="&amp;($A148+22/24),tData[SEHTrajectPeriodeDatumTijdTotEnMet],"&gt;"&amp;($A148+22/24),tData[Langligger01],1)</f>
        <v/>
      </c>
      <c r="AA148" s="20">
        <f>COUNTIFS(tData[SEHTrajectPeriodeDatumTijdVan],"&lt;="&amp;($A148+23/24),tData[SEHTrajectPeriodeDatumTijdTotEnMet],"&gt;"&amp;($A148+23/24),tData[Langligger01],1)</f>
        <v/>
      </c>
    </row>
    <row r="149">
      <c r="A149" s="19" t="n">
        <v>45437</v>
      </c>
      <c r="B149" s="15">
        <f>WEEKDAY($A149,2)</f>
        <v/>
      </c>
      <c r="C149" s="15">
        <f>IF(AND($A149&gt;=INT(Instellingen!$B$5),$A149&lt;=INT(Instellingen!$B$6)),1,0)</f>
        <v/>
      </c>
      <c r="D149" s="20">
        <f>COUNTIFS(tData[SEHTrajectPeriodeDatumTijdVan],"&lt;="&amp;($A149+0/24),tData[SEHTrajectPeriodeDatumTijdTotEnMet],"&gt;"&amp;($A149+0/24),tData[Langligger01],1)</f>
        <v/>
      </c>
      <c r="E149" s="20">
        <f>COUNTIFS(tData[SEHTrajectPeriodeDatumTijdVan],"&lt;="&amp;($A149+1/24),tData[SEHTrajectPeriodeDatumTijdTotEnMet],"&gt;"&amp;($A149+1/24),tData[Langligger01],1)</f>
        <v/>
      </c>
      <c r="F149" s="20">
        <f>COUNTIFS(tData[SEHTrajectPeriodeDatumTijdVan],"&lt;="&amp;($A149+2/24),tData[SEHTrajectPeriodeDatumTijdTotEnMet],"&gt;"&amp;($A149+2/24),tData[Langligger01],1)</f>
        <v/>
      </c>
      <c r="G149" s="20">
        <f>COUNTIFS(tData[SEHTrajectPeriodeDatumTijdVan],"&lt;="&amp;($A149+3/24),tData[SEHTrajectPeriodeDatumTijdTotEnMet],"&gt;"&amp;($A149+3/24),tData[Langligger01],1)</f>
        <v/>
      </c>
      <c r="H149" s="20">
        <f>COUNTIFS(tData[SEHTrajectPeriodeDatumTijdVan],"&lt;="&amp;($A149+4/24),tData[SEHTrajectPeriodeDatumTijdTotEnMet],"&gt;"&amp;($A149+4/24),tData[Langligger01],1)</f>
        <v/>
      </c>
      <c r="I149" s="20">
        <f>COUNTIFS(tData[SEHTrajectPeriodeDatumTijdVan],"&lt;="&amp;($A149+5/24),tData[SEHTrajectPeriodeDatumTijdTotEnMet],"&gt;"&amp;($A149+5/24),tData[Langligger01],1)</f>
        <v/>
      </c>
      <c r="J149" s="20">
        <f>COUNTIFS(tData[SEHTrajectPeriodeDatumTijdVan],"&lt;="&amp;($A149+6/24),tData[SEHTrajectPeriodeDatumTijdTotEnMet],"&gt;"&amp;($A149+6/24),tData[Langligger01],1)</f>
        <v/>
      </c>
      <c r="K149" s="20">
        <f>COUNTIFS(tData[SEHTrajectPeriodeDatumTijdVan],"&lt;="&amp;($A149+7/24),tData[SEHTrajectPeriodeDatumTijdTotEnMet],"&gt;"&amp;($A149+7/24),tData[Langligger01],1)</f>
        <v/>
      </c>
      <c r="L149" s="20">
        <f>COUNTIFS(tData[SEHTrajectPeriodeDatumTijdVan],"&lt;="&amp;($A149+8/24),tData[SEHTrajectPeriodeDatumTijdTotEnMet],"&gt;"&amp;($A149+8/24),tData[Langligger01],1)</f>
        <v/>
      </c>
      <c r="M149" s="20">
        <f>COUNTIFS(tData[SEHTrajectPeriodeDatumTijdVan],"&lt;="&amp;($A149+9/24),tData[SEHTrajectPeriodeDatumTijdTotEnMet],"&gt;"&amp;($A149+9/24),tData[Langligger01],1)</f>
        <v/>
      </c>
      <c r="N149" s="20">
        <f>COUNTIFS(tData[SEHTrajectPeriodeDatumTijdVan],"&lt;="&amp;($A149+10/24),tData[SEHTrajectPeriodeDatumTijdTotEnMet],"&gt;"&amp;($A149+10/24),tData[Langligger01],1)</f>
        <v/>
      </c>
      <c r="O149" s="20">
        <f>COUNTIFS(tData[SEHTrajectPeriodeDatumTijdVan],"&lt;="&amp;($A149+11/24),tData[SEHTrajectPeriodeDatumTijdTotEnMet],"&gt;"&amp;($A149+11/24),tData[Langligger01],1)</f>
        <v/>
      </c>
      <c r="P149" s="20">
        <f>COUNTIFS(tData[SEHTrajectPeriodeDatumTijdVan],"&lt;="&amp;($A149+12/24),tData[SEHTrajectPeriodeDatumTijdTotEnMet],"&gt;"&amp;($A149+12/24),tData[Langligger01],1)</f>
        <v/>
      </c>
      <c r="Q149" s="20">
        <f>COUNTIFS(tData[SEHTrajectPeriodeDatumTijdVan],"&lt;="&amp;($A149+13/24),tData[SEHTrajectPeriodeDatumTijdTotEnMet],"&gt;"&amp;($A149+13/24),tData[Langligger01],1)</f>
        <v/>
      </c>
      <c r="R149" s="20">
        <f>COUNTIFS(tData[SEHTrajectPeriodeDatumTijdVan],"&lt;="&amp;($A149+14/24),tData[SEHTrajectPeriodeDatumTijdTotEnMet],"&gt;"&amp;($A149+14/24),tData[Langligger01],1)</f>
        <v/>
      </c>
      <c r="S149" s="20">
        <f>COUNTIFS(tData[SEHTrajectPeriodeDatumTijdVan],"&lt;="&amp;($A149+15/24),tData[SEHTrajectPeriodeDatumTijdTotEnMet],"&gt;"&amp;($A149+15/24),tData[Langligger01],1)</f>
        <v/>
      </c>
      <c r="T149" s="20">
        <f>COUNTIFS(tData[SEHTrajectPeriodeDatumTijdVan],"&lt;="&amp;($A149+16/24),tData[SEHTrajectPeriodeDatumTijdTotEnMet],"&gt;"&amp;($A149+16/24),tData[Langligger01],1)</f>
        <v/>
      </c>
      <c r="U149" s="20">
        <f>COUNTIFS(tData[SEHTrajectPeriodeDatumTijdVan],"&lt;="&amp;($A149+17/24),tData[SEHTrajectPeriodeDatumTijdTotEnMet],"&gt;"&amp;($A149+17/24),tData[Langligger01],1)</f>
        <v/>
      </c>
      <c r="V149" s="20">
        <f>COUNTIFS(tData[SEHTrajectPeriodeDatumTijdVan],"&lt;="&amp;($A149+18/24),tData[SEHTrajectPeriodeDatumTijdTotEnMet],"&gt;"&amp;($A149+18/24),tData[Langligger01],1)</f>
        <v/>
      </c>
      <c r="W149" s="20">
        <f>COUNTIFS(tData[SEHTrajectPeriodeDatumTijdVan],"&lt;="&amp;($A149+19/24),tData[SEHTrajectPeriodeDatumTijdTotEnMet],"&gt;"&amp;($A149+19/24),tData[Langligger01],1)</f>
        <v/>
      </c>
      <c r="X149" s="20">
        <f>COUNTIFS(tData[SEHTrajectPeriodeDatumTijdVan],"&lt;="&amp;($A149+20/24),tData[SEHTrajectPeriodeDatumTijdTotEnMet],"&gt;"&amp;($A149+20/24),tData[Langligger01],1)</f>
        <v/>
      </c>
      <c r="Y149" s="20">
        <f>COUNTIFS(tData[SEHTrajectPeriodeDatumTijdVan],"&lt;="&amp;($A149+21/24),tData[SEHTrajectPeriodeDatumTijdTotEnMet],"&gt;"&amp;($A149+21/24),tData[Langligger01],1)</f>
        <v/>
      </c>
      <c r="Z149" s="20">
        <f>COUNTIFS(tData[SEHTrajectPeriodeDatumTijdVan],"&lt;="&amp;($A149+22/24),tData[SEHTrajectPeriodeDatumTijdTotEnMet],"&gt;"&amp;($A149+22/24),tData[Langligger01],1)</f>
        <v/>
      </c>
      <c r="AA149" s="20">
        <f>COUNTIFS(tData[SEHTrajectPeriodeDatumTijdVan],"&lt;="&amp;($A149+23/24),tData[SEHTrajectPeriodeDatumTijdTotEnMet],"&gt;"&amp;($A149+23/24),tData[Langligger01],1)</f>
        <v/>
      </c>
    </row>
    <row r="150">
      <c r="A150" s="19" t="n">
        <v>45438</v>
      </c>
      <c r="B150" s="15">
        <f>WEEKDAY($A150,2)</f>
        <v/>
      </c>
      <c r="C150" s="15">
        <f>IF(AND($A150&gt;=INT(Instellingen!$B$5),$A150&lt;=INT(Instellingen!$B$6)),1,0)</f>
        <v/>
      </c>
      <c r="D150" s="20">
        <f>COUNTIFS(tData[SEHTrajectPeriodeDatumTijdVan],"&lt;="&amp;($A150+0/24),tData[SEHTrajectPeriodeDatumTijdTotEnMet],"&gt;"&amp;($A150+0/24),tData[Langligger01],1)</f>
        <v/>
      </c>
      <c r="E150" s="20">
        <f>COUNTIFS(tData[SEHTrajectPeriodeDatumTijdVan],"&lt;="&amp;($A150+1/24),tData[SEHTrajectPeriodeDatumTijdTotEnMet],"&gt;"&amp;($A150+1/24),tData[Langligger01],1)</f>
        <v/>
      </c>
      <c r="F150" s="20">
        <f>COUNTIFS(tData[SEHTrajectPeriodeDatumTijdVan],"&lt;="&amp;($A150+2/24),tData[SEHTrajectPeriodeDatumTijdTotEnMet],"&gt;"&amp;($A150+2/24),tData[Langligger01],1)</f>
        <v/>
      </c>
      <c r="G150" s="20">
        <f>COUNTIFS(tData[SEHTrajectPeriodeDatumTijdVan],"&lt;="&amp;($A150+3/24),tData[SEHTrajectPeriodeDatumTijdTotEnMet],"&gt;"&amp;($A150+3/24),tData[Langligger01],1)</f>
        <v/>
      </c>
      <c r="H150" s="20">
        <f>COUNTIFS(tData[SEHTrajectPeriodeDatumTijdVan],"&lt;="&amp;($A150+4/24),tData[SEHTrajectPeriodeDatumTijdTotEnMet],"&gt;"&amp;($A150+4/24),tData[Langligger01],1)</f>
        <v/>
      </c>
      <c r="I150" s="20">
        <f>COUNTIFS(tData[SEHTrajectPeriodeDatumTijdVan],"&lt;="&amp;($A150+5/24),tData[SEHTrajectPeriodeDatumTijdTotEnMet],"&gt;"&amp;($A150+5/24),tData[Langligger01],1)</f>
        <v/>
      </c>
      <c r="J150" s="20">
        <f>COUNTIFS(tData[SEHTrajectPeriodeDatumTijdVan],"&lt;="&amp;($A150+6/24),tData[SEHTrajectPeriodeDatumTijdTotEnMet],"&gt;"&amp;($A150+6/24),tData[Langligger01],1)</f>
        <v/>
      </c>
      <c r="K150" s="20">
        <f>COUNTIFS(tData[SEHTrajectPeriodeDatumTijdVan],"&lt;="&amp;($A150+7/24),tData[SEHTrajectPeriodeDatumTijdTotEnMet],"&gt;"&amp;($A150+7/24),tData[Langligger01],1)</f>
        <v/>
      </c>
      <c r="L150" s="20">
        <f>COUNTIFS(tData[SEHTrajectPeriodeDatumTijdVan],"&lt;="&amp;($A150+8/24),tData[SEHTrajectPeriodeDatumTijdTotEnMet],"&gt;"&amp;($A150+8/24),tData[Langligger01],1)</f>
        <v/>
      </c>
      <c r="M150" s="20">
        <f>COUNTIFS(tData[SEHTrajectPeriodeDatumTijdVan],"&lt;="&amp;($A150+9/24),tData[SEHTrajectPeriodeDatumTijdTotEnMet],"&gt;"&amp;($A150+9/24),tData[Langligger01],1)</f>
        <v/>
      </c>
      <c r="N150" s="20">
        <f>COUNTIFS(tData[SEHTrajectPeriodeDatumTijdVan],"&lt;="&amp;($A150+10/24),tData[SEHTrajectPeriodeDatumTijdTotEnMet],"&gt;"&amp;($A150+10/24),tData[Langligger01],1)</f>
        <v/>
      </c>
      <c r="O150" s="20">
        <f>COUNTIFS(tData[SEHTrajectPeriodeDatumTijdVan],"&lt;="&amp;($A150+11/24),tData[SEHTrajectPeriodeDatumTijdTotEnMet],"&gt;"&amp;($A150+11/24),tData[Langligger01],1)</f>
        <v/>
      </c>
      <c r="P150" s="20">
        <f>COUNTIFS(tData[SEHTrajectPeriodeDatumTijdVan],"&lt;="&amp;($A150+12/24),tData[SEHTrajectPeriodeDatumTijdTotEnMet],"&gt;"&amp;($A150+12/24),tData[Langligger01],1)</f>
        <v/>
      </c>
      <c r="Q150" s="20">
        <f>COUNTIFS(tData[SEHTrajectPeriodeDatumTijdVan],"&lt;="&amp;($A150+13/24),tData[SEHTrajectPeriodeDatumTijdTotEnMet],"&gt;"&amp;($A150+13/24),tData[Langligger01],1)</f>
        <v/>
      </c>
      <c r="R150" s="20">
        <f>COUNTIFS(tData[SEHTrajectPeriodeDatumTijdVan],"&lt;="&amp;($A150+14/24),tData[SEHTrajectPeriodeDatumTijdTotEnMet],"&gt;"&amp;($A150+14/24),tData[Langligger01],1)</f>
        <v/>
      </c>
      <c r="S150" s="20">
        <f>COUNTIFS(tData[SEHTrajectPeriodeDatumTijdVan],"&lt;="&amp;($A150+15/24),tData[SEHTrajectPeriodeDatumTijdTotEnMet],"&gt;"&amp;($A150+15/24),tData[Langligger01],1)</f>
        <v/>
      </c>
      <c r="T150" s="20">
        <f>COUNTIFS(tData[SEHTrajectPeriodeDatumTijdVan],"&lt;="&amp;($A150+16/24),tData[SEHTrajectPeriodeDatumTijdTotEnMet],"&gt;"&amp;($A150+16/24),tData[Langligger01],1)</f>
        <v/>
      </c>
      <c r="U150" s="20">
        <f>COUNTIFS(tData[SEHTrajectPeriodeDatumTijdVan],"&lt;="&amp;($A150+17/24),tData[SEHTrajectPeriodeDatumTijdTotEnMet],"&gt;"&amp;($A150+17/24),tData[Langligger01],1)</f>
        <v/>
      </c>
      <c r="V150" s="20">
        <f>COUNTIFS(tData[SEHTrajectPeriodeDatumTijdVan],"&lt;="&amp;($A150+18/24),tData[SEHTrajectPeriodeDatumTijdTotEnMet],"&gt;"&amp;($A150+18/24),tData[Langligger01],1)</f>
        <v/>
      </c>
      <c r="W150" s="20">
        <f>COUNTIFS(tData[SEHTrajectPeriodeDatumTijdVan],"&lt;="&amp;($A150+19/24),tData[SEHTrajectPeriodeDatumTijdTotEnMet],"&gt;"&amp;($A150+19/24),tData[Langligger01],1)</f>
        <v/>
      </c>
      <c r="X150" s="20">
        <f>COUNTIFS(tData[SEHTrajectPeriodeDatumTijdVan],"&lt;="&amp;($A150+20/24),tData[SEHTrajectPeriodeDatumTijdTotEnMet],"&gt;"&amp;($A150+20/24),tData[Langligger01],1)</f>
        <v/>
      </c>
      <c r="Y150" s="20">
        <f>COUNTIFS(tData[SEHTrajectPeriodeDatumTijdVan],"&lt;="&amp;($A150+21/24),tData[SEHTrajectPeriodeDatumTijdTotEnMet],"&gt;"&amp;($A150+21/24),tData[Langligger01],1)</f>
        <v/>
      </c>
      <c r="Z150" s="20">
        <f>COUNTIFS(tData[SEHTrajectPeriodeDatumTijdVan],"&lt;="&amp;($A150+22/24),tData[SEHTrajectPeriodeDatumTijdTotEnMet],"&gt;"&amp;($A150+22/24),tData[Langligger01],1)</f>
        <v/>
      </c>
      <c r="AA150" s="20">
        <f>COUNTIFS(tData[SEHTrajectPeriodeDatumTijdVan],"&lt;="&amp;($A150+23/24),tData[SEHTrajectPeriodeDatumTijdTotEnMet],"&gt;"&amp;($A150+23/24),tData[Langligger01],1)</f>
        <v/>
      </c>
    </row>
    <row r="151">
      <c r="A151" s="19" t="n">
        <v>45439</v>
      </c>
      <c r="B151" s="15">
        <f>WEEKDAY($A151,2)</f>
        <v/>
      </c>
      <c r="C151" s="15">
        <f>IF(AND($A151&gt;=INT(Instellingen!$B$5),$A151&lt;=INT(Instellingen!$B$6)),1,0)</f>
        <v/>
      </c>
      <c r="D151" s="20">
        <f>COUNTIFS(tData[SEHTrajectPeriodeDatumTijdVan],"&lt;="&amp;($A151+0/24),tData[SEHTrajectPeriodeDatumTijdTotEnMet],"&gt;"&amp;($A151+0/24),tData[Langligger01],1)</f>
        <v/>
      </c>
      <c r="E151" s="20">
        <f>COUNTIFS(tData[SEHTrajectPeriodeDatumTijdVan],"&lt;="&amp;($A151+1/24),tData[SEHTrajectPeriodeDatumTijdTotEnMet],"&gt;"&amp;($A151+1/24),tData[Langligger01],1)</f>
        <v/>
      </c>
      <c r="F151" s="20">
        <f>COUNTIFS(tData[SEHTrajectPeriodeDatumTijdVan],"&lt;="&amp;($A151+2/24),tData[SEHTrajectPeriodeDatumTijdTotEnMet],"&gt;"&amp;($A151+2/24),tData[Langligger01],1)</f>
        <v/>
      </c>
      <c r="G151" s="20">
        <f>COUNTIFS(tData[SEHTrajectPeriodeDatumTijdVan],"&lt;="&amp;($A151+3/24),tData[SEHTrajectPeriodeDatumTijdTotEnMet],"&gt;"&amp;($A151+3/24),tData[Langligger01],1)</f>
        <v/>
      </c>
      <c r="H151" s="20">
        <f>COUNTIFS(tData[SEHTrajectPeriodeDatumTijdVan],"&lt;="&amp;($A151+4/24),tData[SEHTrajectPeriodeDatumTijdTotEnMet],"&gt;"&amp;($A151+4/24),tData[Langligger01],1)</f>
        <v/>
      </c>
      <c r="I151" s="20">
        <f>COUNTIFS(tData[SEHTrajectPeriodeDatumTijdVan],"&lt;="&amp;($A151+5/24),tData[SEHTrajectPeriodeDatumTijdTotEnMet],"&gt;"&amp;($A151+5/24),tData[Langligger01],1)</f>
        <v/>
      </c>
      <c r="J151" s="20">
        <f>COUNTIFS(tData[SEHTrajectPeriodeDatumTijdVan],"&lt;="&amp;($A151+6/24),tData[SEHTrajectPeriodeDatumTijdTotEnMet],"&gt;"&amp;($A151+6/24),tData[Langligger01],1)</f>
        <v/>
      </c>
      <c r="K151" s="20">
        <f>COUNTIFS(tData[SEHTrajectPeriodeDatumTijdVan],"&lt;="&amp;($A151+7/24),tData[SEHTrajectPeriodeDatumTijdTotEnMet],"&gt;"&amp;($A151+7/24),tData[Langligger01],1)</f>
        <v/>
      </c>
      <c r="L151" s="20">
        <f>COUNTIFS(tData[SEHTrajectPeriodeDatumTijdVan],"&lt;="&amp;($A151+8/24),tData[SEHTrajectPeriodeDatumTijdTotEnMet],"&gt;"&amp;($A151+8/24),tData[Langligger01],1)</f>
        <v/>
      </c>
      <c r="M151" s="20">
        <f>COUNTIFS(tData[SEHTrajectPeriodeDatumTijdVan],"&lt;="&amp;($A151+9/24),tData[SEHTrajectPeriodeDatumTijdTotEnMet],"&gt;"&amp;($A151+9/24),tData[Langligger01],1)</f>
        <v/>
      </c>
      <c r="N151" s="20">
        <f>COUNTIFS(tData[SEHTrajectPeriodeDatumTijdVan],"&lt;="&amp;($A151+10/24),tData[SEHTrajectPeriodeDatumTijdTotEnMet],"&gt;"&amp;($A151+10/24),tData[Langligger01],1)</f>
        <v/>
      </c>
      <c r="O151" s="20">
        <f>COUNTIFS(tData[SEHTrajectPeriodeDatumTijdVan],"&lt;="&amp;($A151+11/24),tData[SEHTrajectPeriodeDatumTijdTotEnMet],"&gt;"&amp;($A151+11/24),tData[Langligger01],1)</f>
        <v/>
      </c>
      <c r="P151" s="20">
        <f>COUNTIFS(tData[SEHTrajectPeriodeDatumTijdVan],"&lt;="&amp;($A151+12/24),tData[SEHTrajectPeriodeDatumTijdTotEnMet],"&gt;"&amp;($A151+12/24),tData[Langligger01],1)</f>
        <v/>
      </c>
      <c r="Q151" s="20">
        <f>COUNTIFS(tData[SEHTrajectPeriodeDatumTijdVan],"&lt;="&amp;($A151+13/24),tData[SEHTrajectPeriodeDatumTijdTotEnMet],"&gt;"&amp;($A151+13/24),tData[Langligger01],1)</f>
        <v/>
      </c>
      <c r="R151" s="20">
        <f>COUNTIFS(tData[SEHTrajectPeriodeDatumTijdVan],"&lt;="&amp;($A151+14/24),tData[SEHTrajectPeriodeDatumTijdTotEnMet],"&gt;"&amp;($A151+14/24),tData[Langligger01],1)</f>
        <v/>
      </c>
      <c r="S151" s="20">
        <f>COUNTIFS(tData[SEHTrajectPeriodeDatumTijdVan],"&lt;="&amp;($A151+15/24),tData[SEHTrajectPeriodeDatumTijdTotEnMet],"&gt;"&amp;($A151+15/24),tData[Langligger01],1)</f>
        <v/>
      </c>
      <c r="T151" s="20">
        <f>COUNTIFS(tData[SEHTrajectPeriodeDatumTijdVan],"&lt;="&amp;($A151+16/24),tData[SEHTrajectPeriodeDatumTijdTotEnMet],"&gt;"&amp;($A151+16/24),tData[Langligger01],1)</f>
        <v/>
      </c>
      <c r="U151" s="20">
        <f>COUNTIFS(tData[SEHTrajectPeriodeDatumTijdVan],"&lt;="&amp;($A151+17/24),tData[SEHTrajectPeriodeDatumTijdTotEnMet],"&gt;"&amp;($A151+17/24),tData[Langligger01],1)</f>
        <v/>
      </c>
      <c r="V151" s="20">
        <f>COUNTIFS(tData[SEHTrajectPeriodeDatumTijdVan],"&lt;="&amp;($A151+18/24),tData[SEHTrajectPeriodeDatumTijdTotEnMet],"&gt;"&amp;($A151+18/24),tData[Langligger01],1)</f>
        <v/>
      </c>
      <c r="W151" s="20">
        <f>COUNTIFS(tData[SEHTrajectPeriodeDatumTijdVan],"&lt;="&amp;($A151+19/24),tData[SEHTrajectPeriodeDatumTijdTotEnMet],"&gt;"&amp;($A151+19/24),tData[Langligger01],1)</f>
        <v/>
      </c>
      <c r="X151" s="20">
        <f>COUNTIFS(tData[SEHTrajectPeriodeDatumTijdVan],"&lt;="&amp;($A151+20/24),tData[SEHTrajectPeriodeDatumTijdTotEnMet],"&gt;"&amp;($A151+20/24),tData[Langligger01],1)</f>
        <v/>
      </c>
      <c r="Y151" s="20">
        <f>COUNTIFS(tData[SEHTrajectPeriodeDatumTijdVan],"&lt;="&amp;($A151+21/24),tData[SEHTrajectPeriodeDatumTijdTotEnMet],"&gt;"&amp;($A151+21/24),tData[Langligger01],1)</f>
        <v/>
      </c>
      <c r="Z151" s="20">
        <f>COUNTIFS(tData[SEHTrajectPeriodeDatumTijdVan],"&lt;="&amp;($A151+22/24),tData[SEHTrajectPeriodeDatumTijdTotEnMet],"&gt;"&amp;($A151+22/24),tData[Langligger01],1)</f>
        <v/>
      </c>
      <c r="AA151" s="20">
        <f>COUNTIFS(tData[SEHTrajectPeriodeDatumTijdVan],"&lt;="&amp;($A151+23/24),tData[SEHTrajectPeriodeDatumTijdTotEnMet],"&gt;"&amp;($A151+23/24),tData[Langligger01],1)</f>
        <v/>
      </c>
    </row>
    <row r="152">
      <c r="A152" s="19" t="n">
        <v>45440</v>
      </c>
      <c r="B152" s="15">
        <f>WEEKDAY($A152,2)</f>
        <v/>
      </c>
      <c r="C152" s="15">
        <f>IF(AND($A152&gt;=INT(Instellingen!$B$5),$A152&lt;=INT(Instellingen!$B$6)),1,0)</f>
        <v/>
      </c>
      <c r="D152" s="20">
        <f>COUNTIFS(tData[SEHTrajectPeriodeDatumTijdVan],"&lt;="&amp;($A152+0/24),tData[SEHTrajectPeriodeDatumTijdTotEnMet],"&gt;"&amp;($A152+0/24),tData[Langligger01],1)</f>
        <v/>
      </c>
      <c r="E152" s="20">
        <f>COUNTIFS(tData[SEHTrajectPeriodeDatumTijdVan],"&lt;="&amp;($A152+1/24),tData[SEHTrajectPeriodeDatumTijdTotEnMet],"&gt;"&amp;($A152+1/24),tData[Langligger01],1)</f>
        <v/>
      </c>
      <c r="F152" s="20">
        <f>COUNTIFS(tData[SEHTrajectPeriodeDatumTijdVan],"&lt;="&amp;($A152+2/24),tData[SEHTrajectPeriodeDatumTijdTotEnMet],"&gt;"&amp;($A152+2/24),tData[Langligger01],1)</f>
        <v/>
      </c>
      <c r="G152" s="20">
        <f>COUNTIFS(tData[SEHTrajectPeriodeDatumTijdVan],"&lt;="&amp;($A152+3/24),tData[SEHTrajectPeriodeDatumTijdTotEnMet],"&gt;"&amp;($A152+3/24),tData[Langligger01],1)</f>
        <v/>
      </c>
      <c r="H152" s="20">
        <f>COUNTIFS(tData[SEHTrajectPeriodeDatumTijdVan],"&lt;="&amp;($A152+4/24),tData[SEHTrajectPeriodeDatumTijdTotEnMet],"&gt;"&amp;($A152+4/24),tData[Langligger01],1)</f>
        <v/>
      </c>
      <c r="I152" s="20">
        <f>COUNTIFS(tData[SEHTrajectPeriodeDatumTijdVan],"&lt;="&amp;($A152+5/24),tData[SEHTrajectPeriodeDatumTijdTotEnMet],"&gt;"&amp;($A152+5/24),tData[Langligger01],1)</f>
        <v/>
      </c>
      <c r="J152" s="20">
        <f>COUNTIFS(tData[SEHTrajectPeriodeDatumTijdVan],"&lt;="&amp;($A152+6/24),tData[SEHTrajectPeriodeDatumTijdTotEnMet],"&gt;"&amp;($A152+6/24),tData[Langligger01],1)</f>
        <v/>
      </c>
      <c r="K152" s="20">
        <f>COUNTIFS(tData[SEHTrajectPeriodeDatumTijdVan],"&lt;="&amp;($A152+7/24),tData[SEHTrajectPeriodeDatumTijdTotEnMet],"&gt;"&amp;($A152+7/24),tData[Langligger01],1)</f>
        <v/>
      </c>
      <c r="L152" s="20">
        <f>COUNTIFS(tData[SEHTrajectPeriodeDatumTijdVan],"&lt;="&amp;($A152+8/24),tData[SEHTrajectPeriodeDatumTijdTotEnMet],"&gt;"&amp;($A152+8/24),tData[Langligger01],1)</f>
        <v/>
      </c>
      <c r="M152" s="20">
        <f>COUNTIFS(tData[SEHTrajectPeriodeDatumTijdVan],"&lt;="&amp;($A152+9/24),tData[SEHTrajectPeriodeDatumTijdTotEnMet],"&gt;"&amp;($A152+9/24),tData[Langligger01],1)</f>
        <v/>
      </c>
      <c r="N152" s="20">
        <f>COUNTIFS(tData[SEHTrajectPeriodeDatumTijdVan],"&lt;="&amp;($A152+10/24),tData[SEHTrajectPeriodeDatumTijdTotEnMet],"&gt;"&amp;($A152+10/24),tData[Langligger01],1)</f>
        <v/>
      </c>
      <c r="O152" s="20">
        <f>COUNTIFS(tData[SEHTrajectPeriodeDatumTijdVan],"&lt;="&amp;($A152+11/24),tData[SEHTrajectPeriodeDatumTijdTotEnMet],"&gt;"&amp;($A152+11/24),tData[Langligger01],1)</f>
        <v/>
      </c>
      <c r="P152" s="20">
        <f>COUNTIFS(tData[SEHTrajectPeriodeDatumTijdVan],"&lt;="&amp;($A152+12/24),tData[SEHTrajectPeriodeDatumTijdTotEnMet],"&gt;"&amp;($A152+12/24),tData[Langligger01],1)</f>
        <v/>
      </c>
      <c r="Q152" s="20">
        <f>COUNTIFS(tData[SEHTrajectPeriodeDatumTijdVan],"&lt;="&amp;($A152+13/24),tData[SEHTrajectPeriodeDatumTijdTotEnMet],"&gt;"&amp;($A152+13/24),tData[Langligger01],1)</f>
        <v/>
      </c>
      <c r="R152" s="20">
        <f>COUNTIFS(tData[SEHTrajectPeriodeDatumTijdVan],"&lt;="&amp;($A152+14/24),tData[SEHTrajectPeriodeDatumTijdTotEnMet],"&gt;"&amp;($A152+14/24),tData[Langligger01],1)</f>
        <v/>
      </c>
      <c r="S152" s="20">
        <f>COUNTIFS(tData[SEHTrajectPeriodeDatumTijdVan],"&lt;="&amp;($A152+15/24),tData[SEHTrajectPeriodeDatumTijdTotEnMet],"&gt;"&amp;($A152+15/24),tData[Langligger01],1)</f>
        <v/>
      </c>
      <c r="T152" s="20">
        <f>COUNTIFS(tData[SEHTrajectPeriodeDatumTijdVan],"&lt;="&amp;($A152+16/24),tData[SEHTrajectPeriodeDatumTijdTotEnMet],"&gt;"&amp;($A152+16/24),tData[Langligger01],1)</f>
        <v/>
      </c>
      <c r="U152" s="20">
        <f>COUNTIFS(tData[SEHTrajectPeriodeDatumTijdVan],"&lt;="&amp;($A152+17/24),tData[SEHTrajectPeriodeDatumTijdTotEnMet],"&gt;"&amp;($A152+17/24),tData[Langligger01],1)</f>
        <v/>
      </c>
      <c r="V152" s="20">
        <f>COUNTIFS(tData[SEHTrajectPeriodeDatumTijdVan],"&lt;="&amp;($A152+18/24),tData[SEHTrajectPeriodeDatumTijdTotEnMet],"&gt;"&amp;($A152+18/24),tData[Langligger01],1)</f>
        <v/>
      </c>
      <c r="W152" s="20">
        <f>COUNTIFS(tData[SEHTrajectPeriodeDatumTijdVan],"&lt;="&amp;($A152+19/24),tData[SEHTrajectPeriodeDatumTijdTotEnMet],"&gt;"&amp;($A152+19/24),tData[Langligger01],1)</f>
        <v/>
      </c>
      <c r="X152" s="20">
        <f>COUNTIFS(tData[SEHTrajectPeriodeDatumTijdVan],"&lt;="&amp;($A152+20/24),tData[SEHTrajectPeriodeDatumTijdTotEnMet],"&gt;"&amp;($A152+20/24),tData[Langligger01],1)</f>
        <v/>
      </c>
      <c r="Y152" s="20">
        <f>COUNTIFS(tData[SEHTrajectPeriodeDatumTijdVan],"&lt;="&amp;($A152+21/24),tData[SEHTrajectPeriodeDatumTijdTotEnMet],"&gt;"&amp;($A152+21/24),tData[Langligger01],1)</f>
        <v/>
      </c>
      <c r="Z152" s="20">
        <f>COUNTIFS(tData[SEHTrajectPeriodeDatumTijdVan],"&lt;="&amp;($A152+22/24),tData[SEHTrajectPeriodeDatumTijdTotEnMet],"&gt;"&amp;($A152+22/24),tData[Langligger01],1)</f>
        <v/>
      </c>
      <c r="AA152" s="20">
        <f>COUNTIFS(tData[SEHTrajectPeriodeDatumTijdVan],"&lt;="&amp;($A152+23/24),tData[SEHTrajectPeriodeDatumTijdTotEnMet],"&gt;"&amp;($A152+23/24),tData[Langligger01],1)</f>
        <v/>
      </c>
    </row>
    <row r="153">
      <c r="A153" s="19" t="n">
        <v>45441</v>
      </c>
      <c r="B153" s="15">
        <f>WEEKDAY($A153,2)</f>
        <v/>
      </c>
      <c r="C153" s="15">
        <f>IF(AND($A153&gt;=INT(Instellingen!$B$5),$A153&lt;=INT(Instellingen!$B$6)),1,0)</f>
        <v/>
      </c>
      <c r="D153" s="20">
        <f>COUNTIFS(tData[SEHTrajectPeriodeDatumTijdVan],"&lt;="&amp;($A153+0/24),tData[SEHTrajectPeriodeDatumTijdTotEnMet],"&gt;"&amp;($A153+0/24),tData[Langligger01],1)</f>
        <v/>
      </c>
      <c r="E153" s="20">
        <f>COUNTIFS(tData[SEHTrajectPeriodeDatumTijdVan],"&lt;="&amp;($A153+1/24),tData[SEHTrajectPeriodeDatumTijdTotEnMet],"&gt;"&amp;($A153+1/24),tData[Langligger01],1)</f>
        <v/>
      </c>
      <c r="F153" s="20">
        <f>COUNTIFS(tData[SEHTrajectPeriodeDatumTijdVan],"&lt;="&amp;($A153+2/24),tData[SEHTrajectPeriodeDatumTijdTotEnMet],"&gt;"&amp;($A153+2/24),tData[Langligger01],1)</f>
        <v/>
      </c>
      <c r="G153" s="20">
        <f>COUNTIFS(tData[SEHTrajectPeriodeDatumTijdVan],"&lt;="&amp;($A153+3/24),tData[SEHTrajectPeriodeDatumTijdTotEnMet],"&gt;"&amp;($A153+3/24),tData[Langligger01],1)</f>
        <v/>
      </c>
      <c r="H153" s="20">
        <f>COUNTIFS(tData[SEHTrajectPeriodeDatumTijdVan],"&lt;="&amp;($A153+4/24),tData[SEHTrajectPeriodeDatumTijdTotEnMet],"&gt;"&amp;($A153+4/24),tData[Langligger01],1)</f>
        <v/>
      </c>
      <c r="I153" s="20">
        <f>COUNTIFS(tData[SEHTrajectPeriodeDatumTijdVan],"&lt;="&amp;($A153+5/24),tData[SEHTrajectPeriodeDatumTijdTotEnMet],"&gt;"&amp;($A153+5/24),tData[Langligger01],1)</f>
        <v/>
      </c>
      <c r="J153" s="20">
        <f>COUNTIFS(tData[SEHTrajectPeriodeDatumTijdVan],"&lt;="&amp;($A153+6/24),tData[SEHTrajectPeriodeDatumTijdTotEnMet],"&gt;"&amp;($A153+6/24),tData[Langligger01],1)</f>
        <v/>
      </c>
      <c r="K153" s="20">
        <f>COUNTIFS(tData[SEHTrajectPeriodeDatumTijdVan],"&lt;="&amp;($A153+7/24),tData[SEHTrajectPeriodeDatumTijdTotEnMet],"&gt;"&amp;($A153+7/24),tData[Langligger01],1)</f>
        <v/>
      </c>
      <c r="L153" s="20">
        <f>COUNTIFS(tData[SEHTrajectPeriodeDatumTijdVan],"&lt;="&amp;($A153+8/24),tData[SEHTrajectPeriodeDatumTijdTotEnMet],"&gt;"&amp;($A153+8/24),tData[Langligger01],1)</f>
        <v/>
      </c>
      <c r="M153" s="20">
        <f>COUNTIFS(tData[SEHTrajectPeriodeDatumTijdVan],"&lt;="&amp;($A153+9/24),tData[SEHTrajectPeriodeDatumTijdTotEnMet],"&gt;"&amp;($A153+9/24),tData[Langligger01],1)</f>
        <v/>
      </c>
      <c r="N153" s="20">
        <f>COUNTIFS(tData[SEHTrajectPeriodeDatumTijdVan],"&lt;="&amp;($A153+10/24),tData[SEHTrajectPeriodeDatumTijdTotEnMet],"&gt;"&amp;($A153+10/24),tData[Langligger01],1)</f>
        <v/>
      </c>
      <c r="O153" s="20">
        <f>COUNTIFS(tData[SEHTrajectPeriodeDatumTijdVan],"&lt;="&amp;($A153+11/24),tData[SEHTrajectPeriodeDatumTijdTotEnMet],"&gt;"&amp;($A153+11/24),tData[Langligger01],1)</f>
        <v/>
      </c>
      <c r="P153" s="20">
        <f>COUNTIFS(tData[SEHTrajectPeriodeDatumTijdVan],"&lt;="&amp;($A153+12/24),tData[SEHTrajectPeriodeDatumTijdTotEnMet],"&gt;"&amp;($A153+12/24),tData[Langligger01],1)</f>
        <v/>
      </c>
      <c r="Q153" s="20">
        <f>COUNTIFS(tData[SEHTrajectPeriodeDatumTijdVan],"&lt;="&amp;($A153+13/24),tData[SEHTrajectPeriodeDatumTijdTotEnMet],"&gt;"&amp;($A153+13/24),tData[Langligger01],1)</f>
        <v/>
      </c>
      <c r="R153" s="20">
        <f>COUNTIFS(tData[SEHTrajectPeriodeDatumTijdVan],"&lt;="&amp;($A153+14/24),tData[SEHTrajectPeriodeDatumTijdTotEnMet],"&gt;"&amp;($A153+14/24),tData[Langligger01],1)</f>
        <v/>
      </c>
      <c r="S153" s="20">
        <f>COUNTIFS(tData[SEHTrajectPeriodeDatumTijdVan],"&lt;="&amp;($A153+15/24),tData[SEHTrajectPeriodeDatumTijdTotEnMet],"&gt;"&amp;($A153+15/24),tData[Langligger01],1)</f>
        <v/>
      </c>
      <c r="T153" s="20">
        <f>COUNTIFS(tData[SEHTrajectPeriodeDatumTijdVan],"&lt;="&amp;($A153+16/24),tData[SEHTrajectPeriodeDatumTijdTotEnMet],"&gt;"&amp;($A153+16/24),tData[Langligger01],1)</f>
        <v/>
      </c>
      <c r="U153" s="20">
        <f>COUNTIFS(tData[SEHTrajectPeriodeDatumTijdVan],"&lt;="&amp;($A153+17/24),tData[SEHTrajectPeriodeDatumTijdTotEnMet],"&gt;"&amp;($A153+17/24),tData[Langligger01],1)</f>
        <v/>
      </c>
      <c r="V153" s="20">
        <f>COUNTIFS(tData[SEHTrajectPeriodeDatumTijdVan],"&lt;="&amp;($A153+18/24),tData[SEHTrajectPeriodeDatumTijdTotEnMet],"&gt;"&amp;($A153+18/24),tData[Langligger01],1)</f>
        <v/>
      </c>
      <c r="W153" s="20">
        <f>COUNTIFS(tData[SEHTrajectPeriodeDatumTijdVan],"&lt;="&amp;($A153+19/24),tData[SEHTrajectPeriodeDatumTijdTotEnMet],"&gt;"&amp;($A153+19/24),tData[Langligger01],1)</f>
        <v/>
      </c>
      <c r="X153" s="20">
        <f>COUNTIFS(tData[SEHTrajectPeriodeDatumTijdVan],"&lt;="&amp;($A153+20/24),tData[SEHTrajectPeriodeDatumTijdTotEnMet],"&gt;"&amp;($A153+20/24),tData[Langligger01],1)</f>
        <v/>
      </c>
      <c r="Y153" s="20">
        <f>COUNTIFS(tData[SEHTrajectPeriodeDatumTijdVan],"&lt;="&amp;($A153+21/24),tData[SEHTrajectPeriodeDatumTijdTotEnMet],"&gt;"&amp;($A153+21/24),tData[Langligger01],1)</f>
        <v/>
      </c>
      <c r="Z153" s="20">
        <f>COUNTIFS(tData[SEHTrajectPeriodeDatumTijdVan],"&lt;="&amp;($A153+22/24),tData[SEHTrajectPeriodeDatumTijdTotEnMet],"&gt;"&amp;($A153+22/24),tData[Langligger01],1)</f>
        <v/>
      </c>
      <c r="AA153" s="20">
        <f>COUNTIFS(tData[SEHTrajectPeriodeDatumTijdVan],"&lt;="&amp;($A153+23/24),tData[SEHTrajectPeriodeDatumTijdTotEnMet],"&gt;"&amp;($A153+23/24),tData[Langligger01],1)</f>
        <v/>
      </c>
    </row>
    <row r="154">
      <c r="A154" s="19" t="n">
        <v>45442</v>
      </c>
      <c r="B154" s="15">
        <f>WEEKDAY($A154,2)</f>
        <v/>
      </c>
      <c r="C154" s="15">
        <f>IF(AND($A154&gt;=INT(Instellingen!$B$5),$A154&lt;=INT(Instellingen!$B$6)),1,0)</f>
        <v/>
      </c>
      <c r="D154" s="20">
        <f>COUNTIFS(tData[SEHTrajectPeriodeDatumTijdVan],"&lt;="&amp;($A154+0/24),tData[SEHTrajectPeriodeDatumTijdTotEnMet],"&gt;"&amp;($A154+0/24),tData[Langligger01],1)</f>
        <v/>
      </c>
      <c r="E154" s="20">
        <f>COUNTIFS(tData[SEHTrajectPeriodeDatumTijdVan],"&lt;="&amp;($A154+1/24),tData[SEHTrajectPeriodeDatumTijdTotEnMet],"&gt;"&amp;($A154+1/24),tData[Langligger01],1)</f>
        <v/>
      </c>
      <c r="F154" s="20">
        <f>COUNTIFS(tData[SEHTrajectPeriodeDatumTijdVan],"&lt;="&amp;($A154+2/24),tData[SEHTrajectPeriodeDatumTijdTotEnMet],"&gt;"&amp;($A154+2/24),tData[Langligger01],1)</f>
        <v/>
      </c>
      <c r="G154" s="20">
        <f>COUNTIFS(tData[SEHTrajectPeriodeDatumTijdVan],"&lt;="&amp;($A154+3/24),tData[SEHTrajectPeriodeDatumTijdTotEnMet],"&gt;"&amp;($A154+3/24),tData[Langligger01],1)</f>
        <v/>
      </c>
      <c r="H154" s="20">
        <f>COUNTIFS(tData[SEHTrajectPeriodeDatumTijdVan],"&lt;="&amp;($A154+4/24),tData[SEHTrajectPeriodeDatumTijdTotEnMet],"&gt;"&amp;($A154+4/24),tData[Langligger01],1)</f>
        <v/>
      </c>
      <c r="I154" s="20">
        <f>COUNTIFS(tData[SEHTrajectPeriodeDatumTijdVan],"&lt;="&amp;($A154+5/24),tData[SEHTrajectPeriodeDatumTijdTotEnMet],"&gt;"&amp;($A154+5/24),tData[Langligger01],1)</f>
        <v/>
      </c>
      <c r="J154" s="20">
        <f>COUNTIFS(tData[SEHTrajectPeriodeDatumTijdVan],"&lt;="&amp;($A154+6/24),tData[SEHTrajectPeriodeDatumTijdTotEnMet],"&gt;"&amp;($A154+6/24),tData[Langligger01],1)</f>
        <v/>
      </c>
      <c r="K154" s="20">
        <f>COUNTIFS(tData[SEHTrajectPeriodeDatumTijdVan],"&lt;="&amp;($A154+7/24),tData[SEHTrajectPeriodeDatumTijdTotEnMet],"&gt;"&amp;($A154+7/24),tData[Langligger01],1)</f>
        <v/>
      </c>
      <c r="L154" s="20">
        <f>COUNTIFS(tData[SEHTrajectPeriodeDatumTijdVan],"&lt;="&amp;($A154+8/24),tData[SEHTrajectPeriodeDatumTijdTotEnMet],"&gt;"&amp;($A154+8/24),tData[Langligger01],1)</f>
        <v/>
      </c>
      <c r="M154" s="20">
        <f>COUNTIFS(tData[SEHTrajectPeriodeDatumTijdVan],"&lt;="&amp;($A154+9/24),tData[SEHTrajectPeriodeDatumTijdTotEnMet],"&gt;"&amp;($A154+9/24),tData[Langligger01],1)</f>
        <v/>
      </c>
      <c r="N154" s="20">
        <f>COUNTIFS(tData[SEHTrajectPeriodeDatumTijdVan],"&lt;="&amp;($A154+10/24),tData[SEHTrajectPeriodeDatumTijdTotEnMet],"&gt;"&amp;($A154+10/24),tData[Langligger01],1)</f>
        <v/>
      </c>
      <c r="O154" s="20">
        <f>COUNTIFS(tData[SEHTrajectPeriodeDatumTijdVan],"&lt;="&amp;($A154+11/24),tData[SEHTrajectPeriodeDatumTijdTotEnMet],"&gt;"&amp;($A154+11/24),tData[Langligger01],1)</f>
        <v/>
      </c>
      <c r="P154" s="20">
        <f>COUNTIFS(tData[SEHTrajectPeriodeDatumTijdVan],"&lt;="&amp;($A154+12/24),tData[SEHTrajectPeriodeDatumTijdTotEnMet],"&gt;"&amp;($A154+12/24),tData[Langligger01],1)</f>
        <v/>
      </c>
      <c r="Q154" s="20">
        <f>COUNTIFS(tData[SEHTrajectPeriodeDatumTijdVan],"&lt;="&amp;($A154+13/24),tData[SEHTrajectPeriodeDatumTijdTotEnMet],"&gt;"&amp;($A154+13/24),tData[Langligger01],1)</f>
        <v/>
      </c>
      <c r="R154" s="20">
        <f>COUNTIFS(tData[SEHTrajectPeriodeDatumTijdVan],"&lt;="&amp;($A154+14/24),tData[SEHTrajectPeriodeDatumTijdTotEnMet],"&gt;"&amp;($A154+14/24),tData[Langligger01],1)</f>
        <v/>
      </c>
      <c r="S154" s="20">
        <f>COUNTIFS(tData[SEHTrajectPeriodeDatumTijdVan],"&lt;="&amp;($A154+15/24),tData[SEHTrajectPeriodeDatumTijdTotEnMet],"&gt;"&amp;($A154+15/24),tData[Langligger01],1)</f>
        <v/>
      </c>
      <c r="T154" s="20">
        <f>COUNTIFS(tData[SEHTrajectPeriodeDatumTijdVan],"&lt;="&amp;($A154+16/24),tData[SEHTrajectPeriodeDatumTijdTotEnMet],"&gt;"&amp;($A154+16/24),tData[Langligger01],1)</f>
        <v/>
      </c>
      <c r="U154" s="20">
        <f>COUNTIFS(tData[SEHTrajectPeriodeDatumTijdVan],"&lt;="&amp;($A154+17/24),tData[SEHTrajectPeriodeDatumTijdTotEnMet],"&gt;"&amp;($A154+17/24),tData[Langligger01],1)</f>
        <v/>
      </c>
      <c r="V154" s="20">
        <f>COUNTIFS(tData[SEHTrajectPeriodeDatumTijdVan],"&lt;="&amp;($A154+18/24),tData[SEHTrajectPeriodeDatumTijdTotEnMet],"&gt;"&amp;($A154+18/24),tData[Langligger01],1)</f>
        <v/>
      </c>
      <c r="W154" s="20">
        <f>COUNTIFS(tData[SEHTrajectPeriodeDatumTijdVan],"&lt;="&amp;($A154+19/24),tData[SEHTrajectPeriodeDatumTijdTotEnMet],"&gt;"&amp;($A154+19/24),tData[Langligger01],1)</f>
        <v/>
      </c>
      <c r="X154" s="20">
        <f>COUNTIFS(tData[SEHTrajectPeriodeDatumTijdVan],"&lt;="&amp;($A154+20/24),tData[SEHTrajectPeriodeDatumTijdTotEnMet],"&gt;"&amp;($A154+20/24),tData[Langligger01],1)</f>
        <v/>
      </c>
      <c r="Y154" s="20">
        <f>COUNTIFS(tData[SEHTrajectPeriodeDatumTijdVan],"&lt;="&amp;($A154+21/24),tData[SEHTrajectPeriodeDatumTijdTotEnMet],"&gt;"&amp;($A154+21/24),tData[Langligger01],1)</f>
        <v/>
      </c>
      <c r="Z154" s="20">
        <f>COUNTIFS(tData[SEHTrajectPeriodeDatumTijdVan],"&lt;="&amp;($A154+22/24),tData[SEHTrajectPeriodeDatumTijdTotEnMet],"&gt;"&amp;($A154+22/24),tData[Langligger01],1)</f>
        <v/>
      </c>
      <c r="AA154" s="20">
        <f>COUNTIFS(tData[SEHTrajectPeriodeDatumTijdVan],"&lt;="&amp;($A154+23/24),tData[SEHTrajectPeriodeDatumTijdTotEnMet],"&gt;"&amp;($A154+23/24),tData[Langligger01],1)</f>
        <v/>
      </c>
    </row>
    <row r="155">
      <c r="A155" s="19" t="n">
        <v>45443</v>
      </c>
      <c r="B155" s="15">
        <f>WEEKDAY($A155,2)</f>
        <v/>
      </c>
      <c r="C155" s="15">
        <f>IF(AND($A155&gt;=INT(Instellingen!$B$5),$A155&lt;=INT(Instellingen!$B$6)),1,0)</f>
        <v/>
      </c>
      <c r="D155" s="20">
        <f>COUNTIFS(tData[SEHTrajectPeriodeDatumTijdVan],"&lt;="&amp;($A155+0/24),tData[SEHTrajectPeriodeDatumTijdTotEnMet],"&gt;"&amp;($A155+0/24),tData[Langligger01],1)</f>
        <v/>
      </c>
      <c r="E155" s="20">
        <f>COUNTIFS(tData[SEHTrajectPeriodeDatumTijdVan],"&lt;="&amp;($A155+1/24),tData[SEHTrajectPeriodeDatumTijdTotEnMet],"&gt;"&amp;($A155+1/24),tData[Langligger01],1)</f>
        <v/>
      </c>
      <c r="F155" s="20">
        <f>COUNTIFS(tData[SEHTrajectPeriodeDatumTijdVan],"&lt;="&amp;($A155+2/24),tData[SEHTrajectPeriodeDatumTijdTotEnMet],"&gt;"&amp;($A155+2/24),tData[Langligger01],1)</f>
        <v/>
      </c>
      <c r="G155" s="20">
        <f>COUNTIFS(tData[SEHTrajectPeriodeDatumTijdVan],"&lt;="&amp;($A155+3/24),tData[SEHTrajectPeriodeDatumTijdTotEnMet],"&gt;"&amp;($A155+3/24),tData[Langligger01],1)</f>
        <v/>
      </c>
      <c r="H155" s="20">
        <f>COUNTIFS(tData[SEHTrajectPeriodeDatumTijdVan],"&lt;="&amp;($A155+4/24),tData[SEHTrajectPeriodeDatumTijdTotEnMet],"&gt;"&amp;($A155+4/24),tData[Langligger01],1)</f>
        <v/>
      </c>
      <c r="I155" s="20">
        <f>COUNTIFS(tData[SEHTrajectPeriodeDatumTijdVan],"&lt;="&amp;($A155+5/24),tData[SEHTrajectPeriodeDatumTijdTotEnMet],"&gt;"&amp;($A155+5/24),tData[Langligger01],1)</f>
        <v/>
      </c>
      <c r="J155" s="20">
        <f>COUNTIFS(tData[SEHTrajectPeriodeDatumTijdVan],"&lt;="&amp;($A155+6/24),tData[SEHTrajectPeriodeDatumTijdTotEnMet],"&gt;"&amp;($A155+6/24),tData[Langligger01],1)</f>
        <v/>
      </c>
      <c r="K155" s="20">
        <f>COUNTIFS(tData[SEHTrajectPeriodeDatumTijdVan],"&lt;="&amp;($A155+7/24),tData[SEHTrajectPeriodeDatumTijdTotEnMet],"&gt;"&amp;($A155+7/24),tData[Langligger01],1)</f>
        <v/>
      </c>
      <c r="L155" s="20">
        <f>COUNTIFS(tData[SEHTrajectPeriodeDatumTijdVan],"&lt;="&amp;($A155+8/24),tData[SEHTrajectPeriodeDatumTijdTotEnMet],"&gt;"&amp;($A155+8/24),tData[Langligger01],1)</f>
        <v/>
      </c>
      <c r="M155" s="20">
        <f>COUNTIFS(tData[SEHTrajectPeriodeDatumTijdVan],"&lt;="&amp;($A155+9/24),tData[SEHTrajectPeriodeDatumTijdTotEnMet],"&gt;"&amp;($A155+9/24),tData[Langligger01],1)</f>
        <v/>
      </c>
      <c r="N155" s="20">
        <f>COUNTIFS(tData[SEHTrajectPeriodeDatumTijdVan],"&lt;="&amp;($A155+10/24),tData[SEHTrajectPeriodeDatumTijdTotEnMet],"&gt;"&amp;($A155+10/24),tData[Langligger01],1)</f>
        <v/>
      </c>
      <c r="O155" s="20">
        <f>COUNTIFS(tData[SEHTrajectPeriodeDatumTijdVan],"&lt;="&amp;($A155+11/24),tData[SEHTrajectPeriodeDatumTijdTotEnMet],"&gt;"&amp;($A155+11/24),tData[Langligger01],1)</f>
        <v/>
      </c>
      <c r="P155" s="20">
        <f>COUNTIFS(tData[SEHTrajectPeriodeDatumTijdVan],"&lt;="&amp;($A155+12/24),tData[SEHTrajectPeriodeDatumTijdTotEnMet],"&gt;"&amp;($A155+12/24),tData[Langligger01],1)</f>
        <v/>
      </c>
      <c r="Q155" s="20">
        <f>COUNTIFS(tData[SEHTrajectPeriodeDatumTijdVan],"&lt;="&amp;($A155+13/24),tData[SEHTrajectPeriodeDatumTijdTotEnMet],"&gt;"&amp;($A155+13/24),tData[Langligger01],1)</f>
        <v/>
      </c>
      <c r="R155" s="20">
        <f>COUNTIFS(tData[SEHTrajectPeriodeDatumTijdVan],"&lt;="&amp;($A155+14/24),tData[SEHTrajectPeriodeDatumTijdTotEnMet],"&gt;"&amp;($A155+14/24),tData[Langligger01],1)</f>
        <v/>
      </c>
      <c r="S155" s="20">
        <f>COUNTIFS(tData[SEHTrajectPeriodeDatumTijdVan],"&lt;="&amp;($A155+15/24),tData[SEHTrajectPeriodeDatumTijdTotEnMet],"&gt;"&amp;($A155+15/24),tData[Langligger01],1)</f>
        <v/>
      </c>
      <c r="T155" s="20">
        <f>COUNTIFS(tData[SEHTrajectPeriodeDatumTijdVan],"&lt;="&amp;($A155+16/24),tData[SEHTrajectPeriodeDatumTijdTotEnMet],"&gt;"&amp;($A155+16/24),tData[Langligger01],1)</f>
        <v/>
      </c>
      <c r="U155" s="20">
        <f>COUNTIFS(tData[SEHTrajectPeriodeDatumTijdVan],"&lt;="&amp;($A155+17/24),tData[SEHTrajectPeriodeDatumTijdTotEnMet],"&gt;"&amp;($A155+17/24),tData[Langligger01],1)</f>
        <v/>
      </c>
      <c r="V155" s="20">
        <f>COUNTIFS(tData[SEHTrajectPeriodeDatumTijdVan],"&lt;="&amp;($A155+18/24),tData[SEHTrajectPeriodeDatumTijdTotEnMet],"&gt;"&amp;($A155+18/24),tData[Langligger01],1)</f>
        <v/>
      </c>
      <c r="W155" s="20">
        <f>COUNTIFS(tData[SEHTrajectPeriodeDatumTijdVan],"&lt;="&amp;($A155+19/24),tData[SEHTrajectPeriodeDatumTijdTotEnMet],"&gt;"&amp;($A155+19/24),tData[Langligger01],1)</f>
        <v/>
      </c>
      <c r="X155" s="20">
        <f>COUNTIFS(tData[SEHTrajectPeriodeDatumTijdVan],"&lt;="&amp;($A155+20/24),tData[SEHTrajectPeriodeDatumTijdTotEnMet],"&gt;"&amp;($A155+20/24),tData[Langligger01],1)</f>
        <v/>
      </c>
      <c r="Y155" s="20">
        <f>COUNTIFS(tData[SEHTrajectPeriodeDatumTijdVan],"&lt;="&amp;($A155+21/24),tData[SEHTrajectPeriodeDatumTijdTotEnMet],"&gt;"&amp;($A155+21/24),tData[Langligger01],1)</f>
        <v/>
      </c>
      <c r="Z155" s="20">
        <f>COUNTIFS(tData[SEHTrajectPeriodeDatumTijdVan],"&lt;="&amp;($A155+22/24),tData[SEHTrajectPeriodeDatumTijdTotEnMet],"&gt;"&amp;($A155+22/24),tData[Langligger01],1)</f>
        <v/>
      </c>
      <c r="AA155" s="20">
        <f>COUNTIFS(tData[SEHTrajectPeriodeDatumTijdVan],"&lt;="&amp;($A155+23/24),tData[SEHTrajectPeriodeDatumTijdTotEnMet],"&gt;"&amp;($A155+23/24),tData[Langligger01],1)</f>
        <v/>
      </c>
    </row>
    <row r="156">
      <c r="A156" s="19" t="n">
        <v>45444</v>
      </c>
      <c r="B156" s="15">
        <f>WEEKDAY($A156,2)</f>
        <v/>
      </c>
      <c r="C156" s="15">
        <f>IF(AND($A156&gt;=INT(Instellingen!$B$5),$A156&lt;=INT(Instellingen!$B$6)),1,0)</f>
        <v/>
      </c>
      <c r="D156" s="20">
        <f>COUNTIFS(tData[SEHTrajectPeriodeDatumTijdVan],"&lt;="&amp;($A156+0/24),tData[SEHTrajectPeriodeDatumTijdTotEnMet],"&gt;"&amp;($A156+0/24),tData[Langligger01],1)</f>
        <v/>
      </c>
      <c r="E156" s="20">
        <f>COUNTIFS(tData[SEHTrajectPeriodeDatumTijdVan],"&lt;="&amp;($A156+1/24),tData[SEHTrajectPeriodeDatumTijdTotEnMet],"&gt;"&amp;($A156+1/24),tData[Langligger01],1)</f>
        <v/>
      </c>
      <c r="F156" s="20">
        <f>COUNTIFS(tData[SEHTrajectPeriodeDatumTijdVan],"&lt;="&amp;($A156+2/24),tData[SEHTrajectPeriodeDatumTijdTotEnMet],"&gt;"&amp;($A156+2/24),tData[Langligger01],1)</f>
        <v/>
      </c>
      <c r="G156" s="20">
        <f>COUNTIFS(tData[SEHTrajectPeriodeDatumTijdVan],"&lt;="&amp;($A156+3/24),tData[SEHTrajectPeriodeDatumTijdTotEnMet],"&gt;"&amp;($A156+3/24),tData[Langligger01],1)</f>
        <v/>
      </c>
      <c r="H156" s="20">
        <f>COUNTIFS(tData[SEHTrajectPeriodeDatumTijdVan],"&lt;="&amp;($A156+4/24),tData[SEHTrajectPeriodeDatumTijdTotEnMet],"&gt;"&amp;($A156+4/24),tData[Langligger01],1)</f>
        <v/>
      </c>
      <c r="I156" s="20">
        <f>COUNTIFS(tData[SEHTrajectPeriodeDatumTijdVan],"&lt;="&amp;($A156+5/24),tData[SEHTrajectPeriodeDatumTijdTotEnMet],"&gt;"&amp;($A156+5/24),tData[Langligger01],1)</f>
        <v/>
      </c>
      <c r="J156" s="20">
        <f>COUNTIFS(tData[SEHTrajectPeriodeDatumTijdVan],"&lt;="&amp;($A156+6/24),tData[SEHTrajectPeriodeDatumTijdTotEnMet],"&gt;"&amp;($A156+6/24),tData[Langligger01],1)</f>
        <v/>
      </c>
      <c r="K156" s="20">
        <f>COUNTIFS(tData[SEHTrajectPeriodeDatumTijdVan],"&lt;="&amp;($A156+7/24),tData[SEHTrajectPeriodeDatumTijdTotEnMet],"&gt;"&amp;($A156+7/24),tData[Langligger01],1)</f>
        <v/>
      </c>
      <c r="L156" s="20">
        <f>COUNTIFS(tData[SEHTrajectPeriodeDatumTijdVan],"&lt;="&amp;($A156+8/24),tData[SEHTrajectPeriodeDatumTijdTotEnMet],"&gt;"&amp;($A156+8/24),tData[Langligger01],1)</f>
        <v/>
      </c>
      <c r="M156" s="20">
        <f>COUNTIFS(tData[SEHTrajectPeriodeDatumTijdVan],"&lt;="&amp;($A156+9/24),tData[SEHTrajectPeriodeDatumTijdTotEnMet],"&gt;"&amp;($A156+9/24),tData[Langligger01],1)</f>
        <v/>
      </c>
      <c r="N156" s="20">
        <f>COUNTIFS(tData[SEHTrajectPeriodeDatumTijdVan],"&lt;="&amp;($A156+10/24),tData[SEHTrajectPeriodeDatumTijdTotEnMet],"&gt;"&amp;($A156+10/24),tData[Langligger01],1)</f>
        <v/>
      </c>
      <c r="O156" s="20">
        <f>COUNTIFS(tData[SEHTrajectPeriodeDatumTijdVan],"&lt;="&amp;($A156+11/24),tData[SEHTrajectPeriodeDatumTijdTotEnMet],"&gt;"&amp;($A156+11/24),tData[Langligger01],1)</f>
        <v/>
      </c>
      <c r="P156" s="20">
        <f>COUNTIFS(tData[SEHTrajectPeriodeDatumTijdVan],"&lt;="&amp;($A156+12/24),tData[SEHTrajectPeriodeDatumTijdTotEnMet],"&gt;"&amp;($A156+12/24),tData[Langligger01],1)</f>
        <v/>
      </c>
      <c r="Q156" s="20">
        <f>COUNTIFS(tData[SEHTrajectPeriodeDatumTijdVan],"&lt;="&amp;($A156+13/24),tData[SEHTrajectPeriodeDatumTijdTotEnMet],"&gt;"&amp;($A156+13/24),tData[Langligger01],1)</f>
        <v/>
      </c>
      <c r="R156" s="20">
        <f>COUNTIFS(tData[SEHTrajectPeriodeDatumTijdVan],"&lt;="&amp;($A156+14/24),tData[SEHTrajectPeriodeDatumTijdTotEnMet],"&gt;"&amp;($A156+14/24),tData[Langligger01],1)</f>
        <v/>
      </c>
      <c r="S156" s="20">
        <f>COUNTIFS(tData[SEHTrajectPeriodeDatumTijdVan],"&lt;="&amp;($A156+15/24),tData[SEHTrajectPeriodeDatumTijdTotEnMet],"&gt;"&amp;($A156+15/24),tData[Langligger01],1)</f>
        <v/>
      </c>
      <c r="T156" s="20">
        <f>COUNTIFS(tData[SEHTrajectPeriodeDatumTijdVan],"&lt;="&amp;($A156+16/24),tData[SEHTrajectPeriodeDatumTijdTotEnMet],"&gt;"&amp;($A156+16/24),tData[Langligger01],1)</f>
        <v/>
      </c>
      <c r="U156" s="20">
        <f>COUNTIFS(tData[SEHTrajectPeriodeDatumTijdVan],"&lt;="&amp;($A156+17/24),tData[SEHTrajectPeriodeDatumTijdTotEnMet],"&gt;"&amp;($A156+17/24),tData[Langligger01],1)</f>
        <v/>
      </c>
      <c r="V156" s="20">
        <f>COUNTIFS(tData[SEHTrajectPeriodeDatumTijdVan],"&lt;="&amp;($A156+18/24),tData[SEHTrajectPeriodeDatumTijdTotEnMet],"&gt;"&amp;($A156+18/24),tData[Langligger01],1)</f>
        <v/>
      </c>
      <c r="W156" s="20">
        <f>COUNTIFS(tData[SEHTrajectPeriodeDatumTijdVan],"&lt;="&amp;($A156+19/24),tData[SEHTrajectPeriodeDatumTijdTotEnMet],"&gt;"&amp;($A156+19/24),tData[Langligger01],1)</f>
        <v/>
      </c>
      <c r="X156" s="20">
        <f>COUNTIFS(tData[SEHTrajectPeriodeDatumTijdVan],"&lt;="&amp;($A156+20/24),tData[SEHTrajectPeriodeDatumTijdTotEnMet],"&gt;"&amp;($A156+20/24),tData[Langligger01],1)</f>
        <v/>
      </c>
      <c r="Y156" s="20">
        <f>COUNTIFS(tData[SEHTrajectPeriodeDatumTijdVan],"&lt;="&amp;($A156+21/24),tData[SEHTrajectPeriodeDatumTijdTotEnMet],"&gt;"&amp;($A156+21/24),tData[Langligger01],1)</f>
        <v/>
      </c>
      <c r="Z156" s="20">
        <f>COUNTIFS(tData[SEHTrajectPeriodeDatumTijdVan],"&lt;="&amp;($A156+22/24),tData[SEHTrajectPeriodeDatumTijdTotEnMet],"&gt;"&amp;($A156+22/24),tData[Langligger01],1)</f>
        <v/>
      </c>
      <c r="AA156" s="20">
        <f>COUNTIFS(tData[SEHTrajectPeriodeDatumTijdVan],"&lt;="&amp;($A156+23/24),tData[SEHTrajectPeriodeDatumTijdTotEnMet],"&gt;"&amp;($A156+23/24),tData[Langligger01],1)</f>
        <v/>
      </c>
    </row>
    <row r="157">
      <c r="A157" s="19" t="n">
        <v>45445</v>
      </c>
      <c r="B157" s="15">
        <f>WEEKDAY($A157,2)</f>
        <v/>
      </c>
      <c r="C157" s="15">
        <f>IF(AND($A157&gt;=INT(Instellingen!$B$5),$A157&lt;=INT(Instellingen!$B$6)),1,0)</f>
        <v/>
      </c>
      <c r="D157" s="20">
        <f>COUNTIFS(tData[SEHTrajectPeriodeDatumTijdVan],"&lt;="&amp;($A157+0/24),tData[SEHTrajectPeriodeDatumTijdTotEnMet],"&gt;"&amp;($A157+0/24),tData[Langligger01],1)</f>
        <v/>
      </c>
      <c r="E157" s="20">
        <f>COUNTIFS(tData[SEHTrajectPeriodeDatumTijdVan],"&lt;="&amp;($A157+1/24),tData[SEHTrajectPeriodeDatumTijdTotEnMet],"&gt;"&amp;($A157+1/24),tData[Langligger01],1)</f>
        <v/>
      </c>
      <c r="F157" s="20">
        <f>COUNTIFS(tData[SEHTrajectPeriodeDatumTijdVan],"&lt;="&amp;($A157+2/24),tData[SEHTrajectPeriodeDatumTijdTotEnMet],"&gt;"&amp;($A157+2/24),tData[Langligger01],1)</f>
        <v/>
      </c>
      <c r="G157" s="20">
        <f>COUNTIFS(tData[SEHTrajectPeriodeDatumTijdVan],"&lt;="&amp;($A157+3/24),tData[SEHTrajectPeriodeDatumTijdTotEnMet],"&gt;"&amp;($A157+3/24),tData[Langligger01],1)</f>
        <v/>
      </c>
      <c r="H157" s="20">
        <f>COUNTIFS(tData[SEHTrajectPeriodeDatumTijdVan],"&lt;="&amp;($A157+4/24),tData[SEHTrajectPeriodeDatumTijdTotEnMet],"&gt;"&amp;($A157+4/24),tData[Langligger01],1)</f>
        <v/>
      </c>
      <c r="I157" s="20">
        <f>COUNTIFS(tData[SEHTrajectPeriodeDatumTijdVan],"&lt;="&amp;($A157+5/24),tData[SEHTrajectPeriodeDatumTijdTotEnMet],"&gt;"&amp;($A157+5/24),tData[Langligger01],1)</f>
        <v/>
      </c>
      <c r="J157" s="20">
        <f>COUNTIFS(tData[SEHTrajectPeriodeDatumTijdVan],"&lt;="&amp;($A157+6/24),tData[SEHTrajectPeriodeDatumTijdTotEnMet],"&gt;"&amp;($A157+6/24),tData[Langligger01],1)</f>
        <v/>
      </c>
      <c r="K157" s="20">
        <f>COUNTIFS(tData[SEHTrajectPeriodeDatumTijdVan],"&lt;="&amp;($A157+7/24),tData[SEHTrajectPeriodeDatumTijdTotEnMet],"&gt;"&amp;($A157+7/24),tData[Langligger01],1)</f>
        <v/>
      </c>
      <c r="L157" s="20">
        <f>COUNTIFS(tData[SEHTrajectPeriodeDatumTijdVan],"&lt;="&amp;($A157+8/24),tData[SEHTrajectPeriodeDatumTijdTotEnMet],"&gt;"&amp;($A157+8/24),tData[Langligger01],1)</f>
        <v/>
      </c>
      <c r="M157" s="20">
        <f>COUNTIFS(tData[SEHTrajectPeriodeDatumTijdVan],"&lt;="&amp;($A157+9/24),tData[SEHTrajectPeriodeDatumTijdTotEnMet],"&gt;"&amp;($A157+9/24),tData[Langligger01],1)</f>
        <v/>
      </c>
      <c r="N157" s="20">
        <f>COUNTIFS(tData[SEHTrajectPeriodeDatumTijdVan],"&lt;="&amp;($A157+10/24),tData[SEHTrajectPeriodeDatumTijdTotEnMet],"&gt;"&amp;($A157+10/24),tData[Langligger01],1)</f>
        <v/>
      </c>
      <c r="O157" s="20">
        <f>COUNTIFS(tData[SEHTrajectPeriodeDatumTijdVan],"&lt;="&amp;($A157+11/24),tData[SEHTrajectPeriodeDatumTijdTotEnMet],"&gt;"&amp;($A157+11/24),tData[Langligger01],1)</f>
        <v/>
      </c>
      <c r="P157" s="20">
        <f>COUNTIFS(tData[SEHTrajectPeriodeDatumTijdVan],"&lt;="&amp;($A157+12/24),tData[SEHTrajectPeriodeDatumTijdTotEnMet],"&gt;"&amp;($A157+12/24),tData[Langligger01],1)</f>
        <v/>
      </c>
      <c r="Q157" s="20">
        <f>COUNTIFS(tData[SEHTrajectPeriodeDatumTijdVan],"&lt;="&amp;($A157+13/24),tData[SEHTrajectPeriodeDatumTijdTotEnMet],"&gt;"&amp;($A157+13/24),tData[Langligger01],1)</f>
        <v/>
      </c>
      <c r="R157" s="20">
        <f>COUNTIFS(tData[SEHTrajectPeriodeDatumTijdVan],"&lt;="&amp;($A157+14/24),tData[SEHTrajectPeriodeDatumTijdTotEnMet],"&gt;"&amp;($A157+14/24),tData[Langligger01],1)</f>
        <v/>
      </c>
      <c r="S157" s="20">
        <f>COUNTIFS(tData[SEHTrajectPeriodeDatumTijdVan],"&lt;="&amp;($A157+15/24),tData[SEHTrajectPeriodeDatumTijdTotEnMet],"&gt;"&amp;($A157+15/24),tData[Langligger01],1)</f>
        <v/>
      </c>
      <c r="T157" s="20">
        <f>COUNTIFS(tData[SEHTrajectPeriodeDatumTijdVan],"&lt;="&amp;($A157+16/24),tData[SEHTrajectPeriodeDatumTijdTotEnMet],"&gt;"&amp;($A157+16/24),tData[Langligger01],1)</f>
        <v/>
      </c>
      <c r="U157" s="20">
        <f>COUNTIFS(tData[SEHTrajectPeriodeDatumTijdVan],"&lt;="&amp;($A157+17/24),tData[SEHTrajectPeriodeDatumTijdTotEnMet],"&gt;"&amp;($A157+17/24),tData[Langligger01],1)</f>
        <v/>
      </c>
      <c r="V157" s="20">
        <f>COUNTIFS(tData[SEHTrajectPeriodeDatumTijdVan],"&lt;="&amp;($A157+18/24),tData[SEHTrajectPeriodeDatumTijdTotEnMet],"&gt;"&amp;($A157+18/24),tData[Langligger01],1)</f>
        <v/>
      </c>
      <c r="W157" s="20">
        <f>COUNTIFS(tData[SEHTrajectPeriodeDatumTijdVan],"&lt;="&amp;($A157+19/24),tData[SEHTrajectPeriodeDatumTijdTotEnMet],"&gt;"&amp;($A157+19/24),tData[Langligger01],1)</f>
        <v/>
      </c>
      <c r="X157" s="20">
        <f>COUNTIFS(tData[SEHTrajectPeriodeDatumTijdVan],"&lt;="&amp;($A157+20/24),tData[SEHTrajectPeriodeDatumTijdTotEnMet],"&gt;"&amp;($A157+20/24),tData[Langligger01],1)</f>
        <v/>
      </c>
      <c r="Y157" s="20">
        <f>COUNTIFS(tData[SEHTrajectPeriodeDatumTijdVan],"&lt;="&amp;($A157+21/24),tData[SEHTrajectPeriodeDatumTijdTotEnMet],"&gt;"&amp;($A157+21/24),tData[Langligger01],1)</f>
        <v/>
      </c>
      <c r="Z157" s="20">
        <f>COUNTIFS(tData[SEHTrajectPeriodeDatumTijdVan],"&lt;="&amp;($A157+22/24),tData[SEHTrajectPeriodeDatumTijdTotEnMet],"&gt;"&amp;($A157+22/24),tData[Langligger01],1)</f>
        <v/>
      </c>
      <c r="AA157" s="20">
        <f>COUNTIFS(tData[SEHTrajectPeriodeDatumTijdVan],"&lt;="&amp;($A157+23/24),tData[SEHTrajectPeriodeDatumTijdTotEnMet],"&gt;"&amp;($A157+23/24),tData[Langligger01],1)</f>
        <v/>
      </c>
    </row>
    <row r="158">
      <c r="A158" s="19" t="n">
        <v>45446</v>
      </c>
      <c r="B158" s="15">
        <f>WEEKDAY($A158,2)</f>
        <v/>
      </c>
      <c r="C158" s="15">
        <f>IF(AND($A158&gt;=INT(Instellingen!$B$5),$A158&lt;=INT(Instellingen!$B$6)),1,0)</f>
        <v/>
      </c>
      <c r="D158" s="20">
        <f>COUNTIFS(tData[SEHTrajectPeriodeDatumTijdVan],"&lt;="&amp;($A158+0/24),tData[SEHTrajectPeriodeDatumTijdTotEnMet],"&gt;"&amp;($A158+0/24),tData[Langligger01],1)</f>
        <v/>
      </c>
      <c r="E158" s="20">
        <f>COUNTIFS(tData[SEHTrajectPeriodeDatumTijdVan],"&lt;="&amp;($A158+1/24),tData[SEHTrajectPeriodeDatumTijdTotEnMet],"&gt;"&amp;($A158+1/24),tData[Langligger01],1)</f>
        <v/>
      </c>
      <c r="F158" s="20">
        <f>COUNTIFS(tData[SEHTrajectPeriodeDatumTijdVan],"&lt;="&amp;($A158+2/24),tData[SEHTrajectPeriodeDatumTijdTotEnMet],"&gt;"&amp;($A158+2/24),tData[Langligger01],1)</f>
        <v/>
      </c>
      <c r="G158" s="20">
        <f>COUNTIFS(tData[SEHTrajectPeriodeDatumTijdVan],"&lt;="&amp;($A158+3/24),tData[SEHTrajectPeriodeDatumTijdTotEnMet],"&gt;"&amp;($A158+3/24),tData[Langligger01],1)</f>
        <v/>
      </c>
      <c r="H158" s="20">
        <f>COUNTIFS(tData[SEHTrajectPeriodeDatumTijdVan],"&lt;="&amp;($A158+4/24),tData[SEHTrajectPeriodeDatumTijdTotEnMet],"&gt;"&amp;($A158+4/24),tData[Langligger01],1)</f>
        <v/>
      </c>
      <c r="I158" s="20">
        <f>COUNTIFS(tData[SEHTrajectPeriodeDatumTijdVan],"&lt;="&amp;($A158+5/24),tData[SEHTrajectPeriodeDatumTijdTotEnMet],"&gt;"&amp;($A158+5/24),tData[Langligger01],1)</f>
        <v/>
      </c>
      <c r="J158" s="20">
        <f>COUNTIFS(tData[SEHTrajectPeriodeDatumTijdVan],"&lt;="&amp;($A158+6/24),tData[SEHTrajectPeriodeDatumTijdTotEnMet],"&gt;"&amp;($A158+6/24),tData[Langligger01],1)</f>
        <v/>
      </c>
      <c r="K158" s="20">
        <f>COUNTIFS(tData[SEHTrajectPeriodeDatumTijdVan],"&lt;="&amp;($A158+7/24),tData[SEHTrajectPeriodeDatumTijdTotEnMet],"&gt;"&amp;($A158+7/24),tData[Langligger01],1)</f>
        <v/>
      </c>
      <c r="L158" s="20">
        <f>COUNTIFS(tData[SEHTrajectPeriodeDatumTijdVan],"&lt;="&amp;($A158+8/24),tData[SEHTrajectPeriodeDatumTijdTotEnMet],"&gt;"&amp;($A158+8/24),tData[Langligger01],1)</f>
        <v/>
      </c>
      <c r="M158" s="20">
        <f>COUNTIFS(tData[SEHTrajectPeriodeDatumTijdVan],"&lt;="&amp;($A158+9/24),tData[SEHTrajectPeriodeDatumTijdTotEnMet],"&gt;"&amp;($A158+9/24),tData[Langligger01],1)</f>
        <v/>
      </c>
      <c r="N158" s="20">
        <f>COUNTIFS(tData[SEHTrajectPeriodeDatumTijdVan],"&lt;="&amp;($A158+10/24),tData[SEHTrajectPeriodeDatumTijdTotEnMet],"&gt;"&amp;($A158+10/24),tData[Langligger01],1)</f>
        <v/>
      </c>
      <c r="O158" s="20">
        <f>COUNTIFS(tData[SEHTrajectPeriodeDatumTijdVan],"&lt;="&amp;($A158+11/24),tData[SEHTrajectPeriodeDatumTijdTotEnMet],"&gt;"&amp;($A158+11/24),tData[Langligger01],1)</f>
        <v/>
      </c>
      <c r="P158" s="20">
        <f>COUNTIFS(tData[SEHTrajectPeriodeDatumTijdVan],"&lt;="&amp;($A158+12/24),tData[SEHTrajectPeriodeDatumTijdTotEnMet],"&gt;"&amp;($A158+12/24),tData[Langligger01],1)</f>
        <v/>
      </c>
      <c r="Q158" s="20">
        <f>COUNTIFS(tData[SEHTrajectPeriodeDatumTijdVan],"&lt;="&amp;($A158+13/24),tData[SEHTrajectPeriodeDatumTijdTotEnMet],"&gt;"&amp;($A158+13/24),tData[Langligger01],1)</f>
        <v/>
      </c>
      <c r="R158" s="20">
        <f>COUNTIFS(tData[SEHTrajectPeriodeDatumTijdVan],"&lt;="&amp;($A158+14/24),tData[SEHTrajectPeriodeDatumTijdTotEnMet],"&gt;"&amp;($A158+14/24),tData[Langligger01],1)</f>
        <v/>
      </c>
      <c r="S158" s="20">
        <f>COUNTIFS(tData[SEHTrajectPeriodeDatumTijdVan],"&lt;="&amp;($A158+15/24),tData[SEHTrajectPeriodeDatumTijdTotEnMet],"&gt;"&amp;($A158+15/24),tData[Langligger01],1)</f>
        <v/>
      </c>
      <c r="T158" s="20">
        <f>COUNTIFS(tData[SEHTrajectPeriodeDatumTijdVan],"&lt;="&amp;($A158+16/24),tData[SEHTrajectPeriodeDatumTijdTotEnMet],"&gt;"&amp;($A158+16/24),tData[Langligger01],1)</f>
        <v/>
      </c>
      <c r="U158" s="20">
        <f>COUNTIFS(tData[SEHTrajectPeriodeDatumTijdVan],"&lt;="&amp;($A158+17/24),tData[SEHTrajectPeriodeDatumTijdTotEnMet],"&gt;"&amp;($A158+17/24),tData[Langligger01],1)</f>
        <v/>
      </c>
      <c r="V158" s="20">
        <f>COUNTIFS(tData[SEHTrajectPeriodeDatumTijdVan],"&lt;="&amp;($A158+18/24),tData[SEHTrajectPeriodeDatumTijdTotEnMet],"&gt;"&amp;($A158+18/24),tData[Langligger01],1)</f>
        <v/>
      </c>
      <c r="W158" s="20">
        <f>COUNTIFS(tData[SEHTrajectPeriodeDatumTijdVan],"&lt;="&amp;($A158+19/24),tData[SEHTrajectPeriodeDatumTijdTotEnMet],"&gt;"&amp;($A158+19/24),tData[Langligger01],1)</f>
        <v/>
      </c>
      <c r="X158" s="20">
        <f>COUNTIFS(tData[SEHTrajectPeriodeDatumTijdVan],"&lt;="&amp;($A158+20/24),tData[SEHTrajectPeriodeDatumTijdTotEnMet],"&gt;"&amp;($A158+20/24),tData[Langligger01],1)</f>
        <v/>
      </c>
      <c r="Y158" s="20">
        <f>COUNTIFS(tData[SEHTrajectPeriodeDatumTijdVan],"&lt;="&amp;($A158+21/24),tData[SEHTrajectPeriodeDatumTijdTotEnMet],"&gt;"&amp;($A158+21/24),tData[Langligger01],1)</f>
        <v/>
      </c>
      <c r="Z158" s="20">
        <f>COUNTIFS(tData[SEHTrajectPeriodeDatumTijdVan],"&lt;="&amp;($A158+22/24),tData[SEHTrajectPeriodeDatumTijdTotEnMet],"&gt;"&amp;($A158+22/24),tData[Langligger01],1)</f>
        <v/>
      </c>
      <c r="AA158" s="20">
        <f>COUNTIFS(tData[SEHTrajectPeriodeDatumTijdVan],"&lt;="&amp;($A158+23/24),tData[SEHTrajectPeriodeDatumTijdTotEnMet],"&gt;"&amp;($A158+23/24),tData[Langligger01],1)</f>
        <v/>
      </c>
    </row>
    <row r="159">
      <c r="A159" s="19" t="n">
        <v>45447</v>
      </c>
      <c r="B159" s="15">
        <f>WEEKDAY($A159,2)</f>
        <v/>
      </c>
      <c r="C159" s="15">
        <f>IF(AND($A159&gt;=INT(Instellingen!$B$5),$A159&lt;=INT(Instellingen!$B$6)),1,0)</f>
        <v/>
      </c>
      <c r="D159" s="20">
        <f>COUNTIFS(tData[SEHTrajectPeriodeDatumTijdVan],"&lt;="&amp;($A159+0/24),tData[SEHTrajectPeriodeDatumTijdTotEnMet],"&gt;"&amp;($A159+0/24),tData[Langligger01],1)</f>
        <v/>
      </c>
      <c r="E159" s="20">
        <f>COUNTIFS(tData[SEHTrajectPeriodeDatumTijdVan],"&lt;="&amp;($A159+1/24),tData[SEHTrajectPeriodeDatumTijdTotEnMet],"&gt;"&amp;($A159+1/24),tData[Langligger01],1)</f>
        <v/>
      </c>
      <c r="F159" s="20">
        <f>COUNTIFS(tData[SEHTrajectPeriodeDatumTijdVan],"&lt;="&amp;($A159+2/24),tData[SEHTrajectPeriodeDatumTijdTotEnMet],"&gt;"&amp;($A159+2/24),tData[Langligger01],1)</f>
        <v/>
      </c>
      <c r="G159" s="20">
        <f>COUNTIFS(tData[SEHTrajectPeriodeDatumTijdVan],"&lt;="&amp;($A159+3/24),tData[SEHTrajectPeriodeDatumTijdTotEnMet],"&gt;"&amp;($A159+3/24),tData[Langligger01],1)</f>
        <v/>
      </c>
      <c r="H159" s="20">
        <f>COUNTIFS(tData[SEHTrajectPeriodeDatumTijdVan],"&lt;="&amp;($A159+4/24),tData[SEHTrajectPeriodeDatumTijdTotEnMet],"&gt;"&amp;($A159+4/24),tData[Langligger01],1)</f>
        <v/>
      </c>
      <c r="I159" s="20">
        <f>COUNTIFS(tData[SEHTrajectPeriodeDatumTijdVan],"&lt;="&amp;($A159+5/24),tData[SEHTrajectPeriodeDatumTijdTotEnMet],"&gt;"&amp;($A159+5/24),tData[Langligger01],1)</f>
        <v/>
      </c>
      <c r="J159" s="20">
        <f>COUNTIFS(tData[SEHTrajectPeriodeDatumTijdVan],"&lt;="&amp;($A159+6/24),tData[SEHTrajectPeriodeDatumTijdTotEnMet],"&gt;"&amp;($A159+6/24),tData[Langligger01],1)</f>
        <v/>
      </c>
      <c r="K159" s="20">
        <f>COUNTIFS(tData[SEHTrajectPeriodeDatumTijdVan],"&lt;="&amp;($A159+7/24),tData[SEHTrajectPeriodeDatumTijdTotEnMet],"&gt;"&amp;($A159+7/24),tData[Langligger01],1)</f>
        <v/>
      </c>
      <c r="L159" s="20">
        <f>COUNTIFS(tData[SEHTrajectPeriodeDatumTijdVan],"&lt;="&amp;($A159+8/24),tData[SEHTrajectPeriodeDatumTijdTotEnMet],"&gt;"&amp;($A159+8/24),tData[Langligger01],1)</f>
        <v/>
      </c>
      <c r="M159" s="20">
        <f>COUNTIFS(tData[SEHTrajectPeriodeDatumTijdVan],"&lt;="&amp;($A159+9/24),tData[SEHTrajectPeriodeDatumTijdTotEnMet],"&gt;"&amp;($A159+9/24),tData[Langligger01],1)</f>
        <v/>
      </c>
      <c r="N159" s="20">
        <f>COUNTIFS(tData[SEHTrajectPeriodeDatumTijdVan],"&lt;="&amp;($A159+10/24),tData[SEHTrajectPeriodeDatumTijdTotEnMet],"&gt;"&amp;($A159+10/24),tData[Langligger01],1)</f>
        <v/>
      </c>
      <c r="O159" s="20">
        <f>COUNTIFS(tData[SEHTrajectPeriodeDatumTijdVan],"&lt;="&amp;($A159+11/24),tData[SEHTrajectPeriodeDatumTijdTotEnMet],"&gt;"&amp;($A159+11/24),tData[Langligger01],1)</f>
        <v/>
      </c>
      <c r="P159" s="20">
        <f>COUNTIFS(tData[SEHTrajectPeriodeDatumTijdVan],"&lt;="&amp;($A159+12/24),tData[SEHTrajectPeriodeDatumTijdTotEnMet],"&gt;"&amp;($A159+12/24),tData[Langligger01],1)</f>
        <v/>
      </c>
      <c r="Q159" s="20">
        <f>COUNTIFS(tData[SEHTrajectPeriodeDatumTijdVan],"&lt;="&amp;($A159+13/24),tData[SEHTrajectPeriodeDatumTijdTotEnMet],"&gt;"&amp;($A159+13/24),tData[Langligger01],1)</f>
        <v/>
      </c>
      <c r="R159" s="20">
        <f>COUNTIFS(tData[SEHTrajectPeriodeDatumTijdVan],"&lt;="&amp;($A159+14/24),tData[SEHTrajectPeriodeDatumTijdTotEnMet],"&gt;"&amp;($A159+14/24),tData[Langligger01],1)</f>
        <v/>
      </c>
      <c r="S159" s="20">
        <f>COUNTIFS(tData[SEHTrajectPeriodeDatumTijdVan],"&lt;="&amp;($A159+15/24),tData[SEHTrajectPeriodeDatumTijdTotEnMet],"&gt;"&amp;($A159+15/24),tData[Langligger01],1)</f>
        <v/>
      </c>
      <c r="T159" s="20">
        <f>COUNTIFS(tData[SEHTrajectPeriodeDatumTijdVan],"&lt;="&amp;($A159+16/24),tData[SEHTrajectPeriodeDatumTijdTotEnMet],"&gt;"&amp;($A159+16/24),tData[Langligger01],1)</f>
        <v/>
      </c>
      <c r="U159" s="20">
        <f>COUNTIFS(tData[SEHTrajectPeriodeDatumTijdVan],"&lt;="&amp;($A159+17/24),tData[SEHTrajectPeriodeDatumTijdTotEnMet],"&gt;"&amp;($A159+17/24),tData[Langligger01],1)</f>
        <v/>
      </c>
      <c r="V159" s="20">
        <f>COUNTIFS(tData[SEHTrajectPeriodeDatumTijdVan],"&lt;="&amp;($A159+18/24),tData[SEHTrajectPeriodeDatumTijdTotEnMet],"&gt;"&amp;($A159+18/24),tData[Langligger01],1)</f>
        <v/>
      </c>
      <c r="W159" s="20">
        <f>COUNTIFS(tData[SEHTrajectPeriodeDatumTijdVan],"&lt;="&amp;($A159+19/24),tData[SEHTrajectPeriodeDatumTijdTotEnMet],"&gt;"&amp;($A159+19/24),tData[Langligger01],1)</f>
        <v/>
      </c>
      <c r="X159" s="20">
        <f>COUNTIFS(tData[SEHTrajectPeriodeDatumTijdVan],"&lt;="&amp;($A159+20/24),tData[SEHTrajectPeriodeDatumTijdTotEnMet],"&gt;"&amp;($A159+20/24),tData[Langligger01],1)</f>
        <v/>
      </c>
      <c r="Y159" s="20">
        <f>COUNTIFS(tData[SEHTrajectPeriodeDatumTijdVan],"&lt;="&amp;($A159+21/24),tData[SEHTrajectPeriodeDatumTijdTotEnMet],"&gt;"&amp;($A159+21/24),tData[Langligger01],1)</f>
        <v/>
      </c>
      <c r="Z159" s="20">
        <f>COUNTIFS(tData[SEHTrajectPeriodeDatumTijdVan],"&lt;="&amp;($A159+22/24),tData[SEHTrajectPeriodeDatumTijdTotEnMet],"&gt;"&amp;($A159+22/24),tData[Langligger01],1)</f>
        <v/>
      </c>
      <c r="AA159" s="20">
        <f>COUNTIFS(tData[SEHTrajectPeriodeDatumTijdVan],"&lt;="&amp;($A159+23/24),tData[SEHTrajectPeriodeDatumTijdTotEnMet],"&gt;"&amp;($A159+23/24),tData[Langligger01],1)</f>
        <v/>
      </c>
    </row>
    <row r="160">
      <c r="A160" s="19" t="n">
        <v>45448</v>
      </c>
      <c r="B160" s="15">
        <f>WEEKDAY($A160,2)</f>
        <v/>
      </c>
      <c r="C160" s="15">
        <f>IF(AND($A160&gt;=INT(Instellingen!$B$5),$A160&lt;=INT(Instellingen!$B$6)),1,0)</f>
        <v/>
      </c>
      <c r="D160" s="20">
        <f>COUNTIFS(tData[SEHTrajectPeriodeDatumTijdVan],"&lt;="&amp;($A160+0/24),tData[SEHTrajectPeriodeDatumTijdTotEnMet],"&gt;"&amp;($A160+0/24),tData[Langligger01],1)</f>
        <v/>
      </c>
      <c r="E160" s="20">
        <f>COUNTIFS(tData[SEHTrajectPeriodeDatumTijdVan],"&lt;="&amp;($A160+1/24),tData[SEHTrajectPeriodeDatumTijdTotEnMet],"&gt;"&amp;($A160+1/24),tData[Langligger01],1)</f>
        <v/>
      </c>
      <c r="F160" s="20">
        <f>COUNTIFS(tData[SEHTrajectPeriodeDatumTijdVan],"&lt;="&amp;($A160+2/24),tData[SEHTrajectPeriodeDatumTijdTotEnMet],"&gt;"&amp;($A160+2/24),tData[Langligger01],1)</f>
        <v/>
      </c>
      <c r="G160" s="20">
        <f>COUNTIFS(tData[SEHTrajectPeriodeDatumTijdVan],"&lt;="&amp;($A160+3/24),tData[SEHTrajectPeriodeDatumTijdTotEnMet],"&gt;"&amp;($A160+3/24),tData[Langligger01],1)</f>
        <v/>
      </c>
      <c r="H160" s="20">
        <f>COUNTIFS(tData[SEHTrajectPeriodeDatumTijdVan],"&lt;="&amp;($A160+4/24),tData[SEHTrajectPeriodeDatumTijdTotEnMet],"&gt;"&amp;($A160+4/24),tData[Langligger01],1)</f>
        <v/>
      </c>
      <c r="I160" s="20">
        <f>COUNTIFS(tData[SEHTrajectPeriodeDatumTijdVan],"&lt;="&amp;($A160+5/24),tData[SEHTrajectPeriodeDatumTijdTotEnMet],"&gt;"&amp;($A160+5/24),tData[Langligger01],1)</f>
        <v/>
      </c>
      <c r="J160" s="20">
        <f>COUNTIFS(tData[SEHTrajectPeriodeDatumTijdVan],"&lt;="&amp;($A160+6/24),tData[SEHTrajectPeriodeDatumTijdTotEnMet],"&gt;"&amp;($A160+6/24),tData[Langligger01],1)</f>
        <v/>
      </c>
      <c r="K160" s="20">
        <f>COUNTIFS(tData[SEHTrajectPeriodeDatumTijdVan],"&lt;="&amp;($A160+7/24),tData[SEHTrajectPeriodeDatumTijdTotEnMet],"&gt;"&amp;($A160+7/24),tData[Langligger01],1)</f>
        <v/>
      </c>
      <c r="L160" s="20">
        <f>COUNTIFS(tData[SEHTrajectPeriodeDatumTijdVan],"&lt;="&amp;($A160+8/24),tData[SEHTrajectPeriodeDatumTijdTotEnMet],"&gt;"&amp;($A160+8/24),tData[Langligger01],1)</f>
        <v/>
      </c>
      <c r="M160" s="20">
        <f>COUNTIFS(tData[SEHTrajectPeriodeDatumTijdVan],"&lt;="&amp;($A160+9/24),tData[SEHTrajectPeriodeDatumTijdTotEnMet],"&gt;"&amp;($A160+9/24),tData[Langligger01],1)</f>
        <v/>
      </c>
      <c r="N160" s="20">
        <f>COUNTIFS(tData[SEHTrajectPeriodeDatumTijdVan],"&lt;="&amp;($A160+10/24),tData[SEHTrajectPeriodeDatumTijdTotEnMet],"&gt;"&amp;($A160+10/24),tData[Langligger01],1)</f>
        <v/>
      </c>
      <c r="O160" s="20">
        <f>COUNTIFS(tData[SEHTrajectPeriodeDatumTijdVan],"&lt;="&amp;($A160+11/24),tData[SEHTrajectPeriodeDatumTijdTotEnMet],"&gt;"&amp;($A160+11/24),tData[Langligger01],1)</f>
        <v/>
      </c>
      <c r="P160" s="20">
        <f>COUNTIFS(tData[SEHTrajectPeriodeDatumTijdVan],"&lt;="&amp;($A160+12/24),tData[SEHTrajectPeriodeDatumTijdTotEnMet],"&gt;"&amp;($A160+12/24),tData[Langligger01],1)</f>
        <v/>
      </c>
      <c r="Q160" s="20">
        <f>COUNTIFS(tData[SEHTrajectPeriodeDatumTijdVan],"&lt;="&amp;($A160+13/24),tData[SEHTrajectPeriodeDatumTijdTotEnMet],"&gt;"&amp;($A160+13/24),tData[Langligger01],1)</f>
        <v/>
      </c>
      <c r="R160" s="20">
        <f>COUNTIFS(tData[SEHTrajectPeriodeDatumTijdVan],"&lt;="&amp;($A160+14/24),tData[SEHTrajectPeriodeDatumTijdTotEnMet],"&gt;"&amp;($A160+14/24),tData[Langligger01],1)</f>
        <v/>
      </c>
      <c r="S160" s="20">
        <f>COUNTIFS(tData[SEHTrajectPeriodeDatumTijdVan],"&lt;="&amp;($A160+15/24),tData[SEHTrajectPeriodeDatumTijdTotEnMet],"&gt;"&amp;($A160+15/24),tData[Langligger01],1)</f>
        <v/>
      </c>
      <c r="T160" s="20">
        <f>COUNTIFS(tData[SEHTrajectPeriodeDatumTijdVan],"&lt;="&amp;($A160+16/24),tData[SEHTrajectPeriodeDatumTijdTotEnMet],"&gt;"&amp;($A160+16/24),tData[Langligger01],1)</f>
        <v/>
      </c>
      <c r="U160" s="20">
        <f>COUNTIFS(tData[SEHTrajectPeriodeDatumTijdVan],"&lt;="&amp;($A160+17/24),tData[SEHTrajectPeriodeDatumTijdTotEnMet],"&gt;"&amp;($A160+17/24),tData[Langligger01],1)</f>
        <v/>
      </c>
      <c r="V160" s="20">
        <f>COUNTIFS(tData[SEHTrajectPeriodeDatumTijdVan],"&lt;="&amp;($A160+18/24),tData[SEHTrajectPeriodeDatumTijdTotEnMet],"&gt;"&amp;($A160+18/24),tData[Langligger01],1)</f>
        <v/>
      </c>
      <c r="W160" s="20">
        <f>COUNTIFS(tData[SEHTrajectPeriodeDatumTijdVan],"&lt;="&amp;($A160+19/24),tData[SEHTrajectPeriodeDatumTijdTotEnMet],"&gt;"&amp;($A160+19/24),tData[Langligger01],1)</f>
        <v/>
      </c>
      <c r="X160" s="20">
        <f>COUNTIFS(tData[SEHTrajectPeriodeDatumTijdVan],"&lt;="&amp;($A160+20/24),tData[SEHTrajectPeriodeDatumTijdTotEnMet],"&gt;"&amp;($A160+20/24),tData[Langligger01],1)</f>
        <v/>
      </c>
      <c r="Y160" s="20">
        <f>COUNTIFS(tData[SEHTrajectPeriodeDatumTijdVan],"&lt;="&amp;($A160+21/24),tData[SEHTrajectPeriodeDatumTijdTotEnMet],"&gt;"&amp;($A160+21/24),tData[Langligger01],1)</f>
        <v/>
      </c>
      <c r="Z160" s="20">
        <f>COUNTIFS(tData[SEHTrajectPeriodeDatumTijdVan],"&lt;="&amp;($A160+22/24),tData[SEHTrajectPeriodeDatumTijdTotEnMet],"&gt;"&amp;($A160+22/24),tData[Langligger01],1)</f>
        <v/>
      </c>
      <c r="AA160" s="20">
        <f>COUNTIFS(tData[SEHTrajectPeriodeDatumTijdVan],"&lt;="&amp;($A160+23/24),tData[SEHTrajectPeriodeDatumTijdTotEnMet],"&gt;"&amp;($A160+23/24),tData[Langligger01],1)</f>
        <v/>
      </c>
    </row>
    <row r="161">
      <c r="A161" s="19" t="n">
        <v>45449</v>
      </c>
      <c r="B161" s="15">
        <f>WEEKDAY($A161,2)</f>
        <v/>
      </c>
      <c r="C161" s="15">
        <f>IF(AND($A161&gt;=INT(Instellingen!$B$5),$A161&lt;=INT(Instellingen!$B$6)),1,0)</f>
        <v/>
      </c>
      <c r="D161" s="20">
        <f>COUNTIFS(tData[SEHTrajectPeriodeDatumTijdVan],"&lt;="&amp;($A161+0/24),tData[SEHTrajectPeriodeDatumTijdTotEnMet],"&gt;"&amp;($A161+0/24),tData[Langligger01],1)</f>
        <v/>
      </c>
      <c r="E161" s="20">
        <f>COUNTIFS(tData[SEHTrajectPeriodeDatumTijdVan],"&lt;="&amp;($A161+1/24),tData[SEHTrajectPeriodeDatumTijdTotEnMet],"&gt;"&amp;($A161+1/24),tData[Langligger01],1)</f>
        <v/>
      </c>
      <c r="F161" s="20">
        <f>COUNTIFS(tData[SEHTrajectPeriodeDatumTijdVan],"&lt;="&amp;($A161+2/24),tData[SEHTrajectPeriodeDatumTijdTotEnMet],"&gt;"&amp;($A161+2/24),tData[Langligger01],1)</f>
        <v/>
      </c>
      <c r="G161" s="20">
        <f>COUNTIFS(tData[SEHTrajectPeriodeDatumTijdVan],"&lt;="&amp;($A161+3/24),tData[SEHTrajectPeriodeDatumTijdTotEnMet],"&gt;"&amp;($A161+3/24),tData[Langligger01],1)</f>
        <v/>
      </c>
      <c r="H161" s="20">
        <f>COUNTIFS(tData[SEHTrajectPeriodeDatumTijdVan],"&lt;="&amp;($A161+4/24),tData[SEHTrajectPeriodeDatumTijdTotEnMet],"&gt;"&amp;($A161+4/24),tData[Langligger01],1)</f>
        <v/>
      </c>
      <c r="I161" s="20">
        <f>COUNTIFS(tData[SEHTrajectPeriodeDatumTijdVan],"&lt;="&amp;($A161+5/24),tData[SEHTrajectPeriodeDatumTijdTotEnMet],"&gt;"&amp;($A161+5/24),tData[Langligger01],1)</f>
        <v/>
      </c>
      <c r="J161" s="20">
        <f>COUNTIFS(tData[SEHTrajectPeriodeDatumTijdVan],"&lt;="&amp;($A161+6/24),tData[SEHTrajectPeriodeDatumTijdTotEnMet],"&gt;"&amp;($A161+6/24),tData[Langligger01],1)</f>
        <v/>
      </c>
      <c r="K161" s="20">
        <f>COUNTIFS(tData[SEHTrajectPeriodeDatumTijdVan],"&lt;="&amp;($A161+7/24),tData[SEHTrajectPeriodeDatumTijdTotEnMet],"&gt;"&amp;($A161+7/24),tData[Langligger01],1)</f>
        <v/>
      </c>
      <c r="L161" s="20">
        <f>COUNTIFS(tData[SEHTrajectPeriodeDatumTijdVan],"&lt;="&amp;($A161+8/24),tData[SEHTrajectPeriodeDatumTijdTotEnMet],"&gt;"&amp;($A161+8/24),tData[Langligger01],1)</f>
        <v/>
      </c>
      <c r="M161" s="20">
        <f>COUNTIFS(tData[SEHTrajectPeriodeDatumTijdVan],"&lt;="&amp;($A161+9/24),tData[SEHTrajectPeriodeDatumTijdTotEnMet],"&gt;"&amp;($A161+9/24),tData[Langligger01],1)</f>
        <v/>
      </c>
      <c r="N161" s="20">
        <f>COUNTIFS(tData[SEHTrajectPeriodeDatumTijdVan],"&lt;="&amp;($A161+10/24),tData[SEHTrajectPeriodeDatumTijdTotEnMet],"&gt;"&amp;($A161+10/24),tData[Langligger01],1)</f>
        <v/>
      </c>
      <c r="O161" s="20">
        <f>COUNTIFS(tData[SEHTrajectPeriodeDatumTijdVan],"&lt;="&amp;($A161+11/24),tData[SEHTrajectPeriodeDatumTijdTotEnMet],"&gt;"&amp;($A161+11/24),tData[Langligger01],1)</f>
        <v/>
      </c>
      <c r="P161" s="20">
        <f>COUNTIFS(tData[SEHTrajectPeriodeDatumTijdVan],"&lt;="&amp;($A161+12/24),tData[SEHTrajectPeriodeDatumTijdTotEnMet],"&gt;"&amp;($A161+12/24),tData[Langligger01],1)</f>
        <v/>
      </c>
      <c r="Q161" s="20">
        <f>COUNTIFS(tData[SEHTrajectPeriodeDatumTijdVan],"&lt;="&amp;($A161+13/24),tData[SEHTrajectPeriodeDatumTijdTotEnMet],"&gt;"&amp;($A161+13/24),tData[Langligger01],1)</f>
        <v/>
      </c>
      <c r="R161" s="20">
        <f>COUNTIFS(tData[SEHTrajectPeriodeDatumTijdVan],"&lt;="&amp;($A161+14/24),tData[SEHTrajectPeriodeDatumTijdTotEnMet],"&gt;"&amp;($A161+14/24),tData[Langligger01],1)</f>
        <v/>
      </c>
      <c r="S161" s="20">
        <f>COUNTIFS(tData[SEHTrajectPeriodeDatumTijdVan],"&lt;="&amp;($A161+15/24),tData[SEHTrajectPeriodeDatumTijdTotEnMet],"&gt;"&amp;($A161+15/24),tData[Langligger01],1)</f>
        <v/>
      </c>
      <c r="T161" s="20">
        <f>COUNTIFS(tData[SEHTrajectPeriodeDatumTijdVan],"&lt;="&amp;($A161+16/24),tData[SEHTrajectPeriodeDatumTijdTotEnMet],"&gt;"&amp;($A161+16/24),tData[Langligger01],1)</f>
        <v/>
      </c>
      <c r="U161" s="20">
        <f>COUNTIFS(tData[SEHTrajectPeriodeDatumTijdVan],"&lt;="&amp;($A161+17/24),tData[SEHTrajectPeriodeDatumTijdTotEnMet],"&gt;"&amp;($A161+17/24),tData[Langligger01],1)</f>
        <v/>
      </c>
      <c r="V161" s="20">
        <f>COUNTIFS(tData[SEHTrajectPeriodeDatumTijdVan],"&lt;="&amp;($A161+18/24),tData[SEHTrajectPeriodeDatumTijdTotEnMet],"&gt;"&amp;($A161+18/24),tData[Langligger01],1)</f>
        <v/>
      </c>
      <c r="W161" s="20">
        <f>COUNTIFS(tData[SEHTrajectPeriodeDatumTijdVan],"&lt;="&amp;($A161+19/24),tData[SEHTrajectPeriodeDatumTijdTotEnMet],"&gt;"&amp;($A161+19/24),tData[Langligger01],1)</f>
        <v/>
      </c>
      <c r="X161" s="20">
        <f>COUNTIFS(tData[SEHTrajectPeriodeDatumTijdVan],"&lt;="&amp;($A161+20/24),tData[SEHTrajectPeriodeDatumTijdTotEnMet],"&gt;"&amp;($A161+20/24),tData[Langligger01],1)</f>
        <v/>
      </c>
      <c r="Y161" s="20">
        <f>COUNTIFS(tData[SEHTrajectPeriodeDatumTijdVan],"&lt;="&amp;($A161+21/24),tData[SEHTrajectPeriodeDatumTijdTotEnMet],"&gt;"&amp;($A161+21/24),tData[Langligger01],1)</f>
        <v/>
      </c>
      <c r="Z161" s="20">
        <f>COUNTIFS(tData[SEHTrajectPeriodeDatumTijdVan],"&lt;="&amp;($A161+22/24),tData[SEHTrajectPeriodeDatumTijdTotEnMet],"&gt;"&amp;($A161+22/24),tData[Langligger01],1)</f>
        <v/>
      </c>
      <c r="AA161" s="20">
        <f>COUNTIFS(tData[SEHTrajectPeriodeDatumTijdVan],"&lt;="&amp;($A161+23/24),tData[SEHTrajectPeriodeDatumTijdTotEnMet],"&gt;"&amp;($A161+23/24),tData[Langligger01],1)</f>
        <v/>
      </c>
    </row>
    <row r="162">
      <c r="A162" s="19" t="n">
        <v>45450</v>
      </c>
      <c r="B162" s="15">
        <f>WEEKDAY($A162,2)</f>
        <v/>
      </c>
      <c r="C162" s="15">
        <f>IF(AND($A162&gt;=INT(Instellingen!$B$5),$A162&lt;=INT(Instellingen!$B$6)),1,0)</f>
        <v/>
      </c>
      <c r="D162" s="20">
        <f>COUNTIFS(tData[SEHTrajectPeriodeDatumTijdVan],"&lt;="&amp;($A162+0/24),tData[SEHTrajectPeriodeDatumTijdTotEnMet],"&gt;"&amp;($A162+0/24),tData[Langligger01],1)</f>
        <v/>
      </c>
      <c r="E162" s="20">
        <f>COUNTIFS(tData[SEHTrajectPeriodeDatumTijdVan],"&lt;="&amp;($A162+1/24),tData[SEHTrajectPeriodeDatumTijdTotEnMet],"&gt;"&amp;($A162+1/24),tData[Langligger01],1)</f>
        <v/>
      </c>
      <c r="F162" s="20">
        <f>COUNTIFS(tData[SEHTrajectPeriodeDatumTijdVan],"&lt;="&amp;($A162+2/24),tData[SEHTrajectPeriodeDatumTijdTotEnMet],"&gt;"&amp;($A162+2/24),tData[Langligger01],1)</f>
        <v/>
      </c>
      <c r="G162" s="20">
        <f>COUNTIFS(tData[SEHTrajectPeriodeDatumTijdVan],"&lt;="&amp;($A162+3/24),tData[SEHTrajectPeriodeDatumTijdTotEnMet],"&gt;"&amp;($A162+3/24),tData[Langligger01],1)</f>
        <v/>
      </c>
      <c r="H162" s="20">
        <f>COUNTIFS(tData[SEHTrajectPeriodeDatumTijdVan],"&lt;="&amp;($A162+4/24),tData[SEHTrajectPeriodeDatumTijdTotEnMet],"&gt;"&amp;($A162+4/24),tData[Langligger01],1)</f>
        <v/>
      </c>
      <c r="I162" s="20">
        <f>COUNTIFS(tData[SEHTrajectPeriodeDatumTijdVan],"&lt;="&amp;($A162+5/24),tData[SEHTrajectPeriodeDatumTijdTotEnMet],"&gt;"&amp;($A162+5/24),tData[Langligger01],1)</f>
        <v/>
      </c>
      <c r="J162" s="20">
        <f>COUNTIFS(tData[SEHTrajectPeriodeDatumTijdVan],"&lt;="&amp;($A162+6/24),tData[SEHTrajectPeriodeDatumTijdTotEnMet],"&gt;"&amp;($A162+6/24),tData[Langligger01],1)</f>
        <v/>
      </c>
      <c r="K162" s="20">
        <f>COUNTIFS(tData[SEHTrajectPeriodeDatumTijdVan],"&lt;="&amp;($A162+7/24),tData[SEHTrajectPeriodeDatumTijdTotEnMet],"&gt;"&amp;($A162+7/24),tData[Langligger01],1)</f>
        <v/>
      </c>
      <c r="L162" s="20">
        <f>COUNTIFS(tData[SEHTrajectPeriodeDatumTijdVan],"&lt;="&amp;($A162+8/24),tData[SEHTrajectPeriodeDatumTijdTotEnMet],"&gt;"&amp;($A162+8/24),tData[Langligger01],1)</f>
        <v/>
      </c>
      <c r="M162" s="20">
        <f>COUNTIFS(tData[SEHTrajectPeriodeDatumTijdVan],"&lt;="&amp;($A162+9/24),tData[SEHTrajectPeriodeDatumTijdTotEnMet],"&gt;"&amp;($A162+9/24),tData[Langligger01],1)</f>
        <v/>
      </c>
      <c r="N162" s="20">
        <f>COUNTIFS(tData[SEHTrajectPeriodeDatumTijdVan],"&lt;="&amp;($A162+10/24),tData[SEHTrajectPeriodeDatumTijdTotEnMet],"&gt;"&amp;($A162+10/24),tData[Langligger01],1)</f>
        <v/>
      </c>
      <c r="O162" s="20">
        <f>COUNTIFS(tData[SEHTrajectPeriodeDatumTijdVan],"&lt;="&amp;($A162+11/24),tData[SEHTrajectPeriodeDatumTijdTotEnMet],"&gt;"&amp;($A162+11/24),tData[Langligger01],1)</f>
        <v/>
      </c>
      <c r="P162" s="20">
        <f>COUNTIFS(tData[SEHTrajectPeriodeDatumTijdVan],"&lt;="&amp;($A162+12/24),tData[SEHTrajectPeriodeDatumTijdTotEnMet],"&gt;"&amp;($A162+12/24),tData[Langligger01],1)</f>
        <v/>
      </c>
      <c r="Q162" s="20">
        <f>COUNTIFS(tData[SEHTrajectPeriodeDatumTijdVan],"&lt;="&amp;($A162+13/24),tData[SEHTrajectPeriodeDatumTijdTotEnMet],"&gt;"&amp;($A162+13/24),tData[Langligger01],1)</f>
        <v/>
      </c>
      <c r="R162" s="20">
        <f>COUNTIFS(tData[SEHTrajectPeriodeDatumTijdVan],"&lt;="&amp;($A162+14/24),tData[SEHTrajectPeriodeDatumTijdTotEnMet],"&gt;"&amp;($A162+14/24),tData[Langligger01],1)</f>
        <v/>
      </c>
      <c r="S162" s="20">
        <f>COUNTIFS(tData[SEHTrajectPeriodeDatumTijdVan],"&lt;="&amp;($A162+15/24),tData[SEHTrajectPeriodeDatumTijdTotEnMet],"&gt;"&amp;($A162+15/24),tData[Langligger01],1)</f>
        <v/>
      </c>
      <c r="T162" s="20">
        <f>COUNTIFS(tData[SEHTrajectPeriodeDatumTijdVan],"&lt;="&amp;($A162+16/24),tData[SEHTrajectPeriodeDatumTijdTotEnMet],"&gt;"&amp;($A162+16/24),tData[Langligger01],1)</f>
        <v/>
      </c>
      <c r="U162" s="20">
        <f>COUNTIFS(tData[SEHTrajectPeriodeDatumTijdVan],"&lt;="&amp;($A162+17/24),tData[SEHTrajectPeriodeDatumTijdTotEnMet],"&gt;"&amp;($A162+17/24),tData[Langligger01],1)</f>
        <v/>
      </c>
      <c r="V162" s="20">
        <f>COUNTIFS(tData[SEHTrajectPeriodeDatumTijdVan],"&lt;="&amp;($A162+18/24),tData[SEHTrajectPeriodeDatumTijdTotEnMet],"&gt;"&amp;($A162+18/24),tData[Langligger01],1)</f>
        <v/>
      </c>
      <c r="W162" s="20">
        <f>COUNTIFS(tData[SEHTrajectPeriodeDatumTijdVan],"&lt;="&amp;($A162+19/24),tData[SEHTrajectPeriodeDatumTijdTotEnMet],"&gt;"&amp;($A162+19/24),tData[Langligger01],1)</f>
        <v/>
      </c>
      <c r="X162" s="20">
        <f>COUNTIFS(tData[SEHTrajectPeriodeDatumTijdVan],"&lt;="&amp;($A162+20/24),tData[SEHTrajectPeriodeDatumTijdTotEnMet],"&gt;"&amp;($A162+20/24),tData[Langligger01],1)</f>
        <v/>
      </c>
      <c r="Y162" s="20">
        <f>COUNTIFS(tData[SEHTrajectPeriodeDatumTijdVan],"&lt;="&amp;($A162+21/24),tData[SEHTrajectPeriodeDatumTijdTotEnMet],"&gt;"&amp;($A162+21/24),tData[Langligger01],1)</f>
        <v/>
      </c>
      <c r="Z162" s="20">
        <f>COUNTIFS(tData[SEHTrajectPeriodeDatumTijdVan],"&lt;="&amp;($A162+22/24),tData[SEHTrajectPeriodeDatumTijdTotEnMet],"&gt;"&amp;($A162+22/24),tData[Langligger01],1)</f>
        <v/>
      </c>
      <c r="AA162" s="20">
        <f>COUNTIFS(tData[SEHTrajectPeriodeDatumTijdVan],"&lt;="&amp;($A162+23/24),tData[SEHTrajectPeriodeDatumTijdTotEnMet],"&gt;"&amp;($A162+23/24),tData[Langligger01],1)</f>
        <v/>
      </c>
    </row>
    <row r="163">
      <c r="A163" s="19" t="n">
        <v>45451</v>
      </c>
      <c r="B163" s="15">
        <f>WEEKDAY($A163,2)</f>
        <v/>
      </c>
      <c r="C163" s="15">
        <f>IF(AND($A163&gt;=INT(Instellingen!$B$5),$A163&lt;=INT(Instellingen!$B$6)),1,0)</f>
        <v/>
      </c>
      <c r="D163" s="20">
        <f>COUNTIFS(tData[SEHTrajectPeriodeDatumTijdVan],"&lt;="&amp;($A163+0/24),tData[SEHTrajectPeriodeDatumTijdTotEnMet],"&gt;"&amp;($A163+0/24),tData[Langligger01],1)</f>
        <v/>
      </c>
      <c r="E163" s="20">
        <f>COUNTIFS(tData[SEHTrajectPeriodeDatumTijdVan],"&lt;="&amp;($A163+1/24),tData[SEHTrajectPeriodeDatumTijdTotEnMet],"&gt;"&amp;($A163+1/24),tData[Langligger01],1)</f>
        <v/>
      </c>
      <c r="F163" s="20">
        <f>COUNTIFS(tData[SEHTrajectPeriodeDatumTijdVan],"&lt;="&amp;($A163+2/24),tData[SEHTrajectPeriodeDatumTijdTotEnMet],"&gt;"&amp;($A163+2/24),tData[Langligger01],1)</f>
        <v/>
      </c>
      <c r="G163" s="20">
        <f>COUNTIFS(tData[SEHTrajectPeriodeDatumTijdVan],"&lt;="&amp;($A163+3/24),tData[SEHTrajectPeriodeDatumTijdTotEnMet],"&gt;"&amp;($A163+3/24),tData[Langligger01],1)</f>
        <v/>
      </c>
      <c r="H163" s="20">
        <f>COUNTIFS(tData[SEHTrajectPeriodeDatumTijdVan],"&lt;="&amp;($A163+4/24),tData[SEHTrajectPeriodeDatumTijdTotEnMet],"&gt;"&amp;($A163+4/24),tData[Langligger01],1)</f>
        <v/>
      </c>
      <c r="I163" s="20">
        <f>COUNTIFS(tData[SEHTrajectPeriodeDatumTijdVan],"&lt;="&amp;($A163+5/24),tData[SEHTrajectPeriodeDatumTijdTotEnMet],"&gt;"&amp;($A163+5/24),tData[Langligger01],1)</f>
        <v/>
      </c>
      <c r="J163" s="20">
        <f>COUNTIFS(tData[SEHTrajectPeriodeDatumTijdVan],"&lt;="&amp;($A163+6/24),tData[SEHTrajectPeriodeDatumTijdTotEnMet],"&gt;"&amp;($A163+6/24),tData[Langligger01],1)</f>
        <v/>
      </c>
      <c r="K163" s="20">
        <f>COUNTIFS(tData[SEHTrajectPeriodeDatumTijdVan],"&lt;="&amp;($A163+7/24),tData[SEHTrajectPeriodeDatumTijdTotEnMet],"&gt;"&amp;($A163+7/24),tData[Langligger01],1)</f>
        <v/>
      </c>
      <c r="L163" s="20">
        <f>COUNTIFS(tData[SEHTrajectPeriodeDatumTijdVan],"&lt;="&amp;($A163+8/24),tData[SEHTrajectPeriodeDatumTijdTotEnMet],"&gt;"&amp;($A163+8/24),tData[Langligger01],1)</f>
        <v/>
      </c>
      <c r="M163" s="20">
        <f>COUNTIFS(tData[SEHTrajectPeriodeDatumTijdVan],"&lt;="&amp;($A163+9/24),tData[SEHTrajectPeriodeDatumTijdTotEnMet],"&gt;"&amp;($A163+9/24),tData[Langligger01],1)</f>
        <v/>
      </c>
      <c r="N163" s="20">
        <f>COUNTIFS(tData[SEHTrajectPeriodeDatumTijdVan],"&lt;="&amp;($A163+10/24),tData[SEHTrajectPeriodeDatumTijdTotEnMet],"&gt;"&amp;($A163+10/24),tData[Langligger01],1)</f>
        <v/>
      </c>
      <c r="O163" s="20">
        <f>COUNTIFS(tData[SEHTrajectPeriodeDatumTijdVan],"&lt;="&amp;($A163+11/24),tData[SEHTrajectPeriodeDatumTijdTotEnMet],"&gt;"&amp;($A163+11/24),tData[Langligger01],1)</f>
        <v/>
      </c>
      <c r="P163" s="20">
        <f>COUNTIFS(tData[SEHTrajectPeriodeDatumTijdVan],"&lt;="&amp;($A163+12/24),tData[SEHTrajectPeriodeDatumTijdTotEnMet],"&gt;"&amp;($A163+12/24),tData[Langligger01],1)</f>
        <v/>
      </c>
      <c r="Q163" s="20">
        <f>COUNTIFS(tData[SEHTrajectPeriodeDatumTijdVan],"&lt;="&amp;($A163+13/24),tData[SEHTrajectPeriodeDatumTijdTotEnMet],"&gt;"&amp;($A163+13/24),tData[Langligger01],1)</f>
        <v/>
      </c>
      <c r="R163" s="20">
        <f>COUNTIFS(tData[SEHTrajectPeriodeDatumTijdVan],"&lt;="&amp;($A163+14/24),tData[SEHTrajectPeriodeDatumTijdTotEnMet],"&gt;"&amp;($A163+14/24),tData[Langligger01],1)</f>
        <v/>
      </c>
      <c r="S163" s="20">
        <f>COUNTIFS(tData[SEHTrajectPeriodeDatumTijdVan],"&lt;="&amp;($A163+15/24),tData[SEHTrajectPeriodeDatumTijdTotEnMet],"&gt;"&amp;($A163+15/24),tData[Langligger01],1)</f>
        <v/>
      </c>
      <c r="T163" s="20">
        <f>COUNTIFS(tData[SEHTrajectPeriodeDatumTijdVan],"&lt;="&amp;($A163+16/24),tData[SEHTrajectPeriodeDatumTijdTotEnMet],"&gt;"&amp;($A163+16/24),tData[Langligger01],1)</f>
        <v/>
      </c>
      <c r="U163" s="20">
        <f>COUNTIFS(tData[SEHTrajectPeriodeDatumTijdVan],"&lt;="&amp;($A163+17/24),tData[SEHTrajectPeriodeDatumTijdTotEnMet],"&gt;"&amp;($A163+17/24),tData[Langligger01],1)</f>
        <v/>
      </c>
      <c r="V163" s="20">
        <f>COUNTIFS(tData[SEHTrajectPeriodeDatumTijdVan],"&lt;="&amp;($A163+18/24),tData[SEHTrajectPeriodeDatumTijdTotEnMet],"&gt;"&amp;($A163+18/24),tData[Langligger01],1)</f>
        <v/>
      </c>
      <c r="W163" s="20">
        <f>COUNTIFS(tData[SEHTrajectPeriodeDatumTijdVan],"&lt;="&amp;($A163+19/24),tData[SEHTrajectPeriodeDatumTijdTotEnMet],"&gt;"&amp;($A163+19/24),tData[Langligger01],1)</f>
        <v/>
      </c>
      <c r="X163" s="20">
        <f>COUNTIFS(tData[SEHTrajectPeriodeDatumTijdVan],"&lt;="&amp;($A163+20/24),tData[SEHTrajectPeriodeDatumTijdTotEnMet],"&gt;"&amp;($A163+20/24),tData[Langligger01],1)</f>
        <v/>
      </c>
      <c r="Y163" s="20">
        <f>COUNTIFS(tData[SEHTrajectPeriodeDatumTijdVan],"&lt;="&amp;($A163+21/24),tData[SEHTrajectPeriodeDatumTijdTotEnMet],"&gt;"&amp;($A163+21/24),tData[Langligger01],1)</f>
        <v/>
      </c>
      <c r="Z163" s="20">
        <f>COUNTIFS(tData[SEHTrajectPeriodeDatumTijdVan],"&lt;="&amp;($A163+22/24),tData[SEHTrajectPeriodeDatumTijdTotEnMet],"&gt;"&amp;($A163+22/24),tData[Langligger01],1)</f>
        <v/>
      </c>
      <c r="AA163" s="20">
        <f>COUNTIFS(tData[SEHTrajectPeriodeDatumTijdVan],"&lt;="&amp;($A163+23/24),tData[SEHTrajectPeriodeDatumTijdTotEnMet],"&gt;"&amp;($A163+23/24),tData[Langligger01],1)</f>
        <v/>
      </c>
    </row>
    <row r="164">
      <c r="A164" s="19" t="n">
        <v>45452</v>
      </c>
      <c r="B164" s="15">
        <f>WEEKDAY($A164,2)</f>
        <v/>
      </c>
      <c r="C164" s="15">
        <f>IF(AND($A164&gt;=INT(Instellingen!$B$5),$A164&lt;=INT(Instellingen!$B$6)),1,0)</f>
        <v/>
      </c>
      <c r="D164" s="20">
        <f>COUNTIFS(tData[SEHTrajectPeriodeDatumTijdVan],"&lt;="&amp;($A164+0/24),tData[SEHTrajectPeriodeDatumTijdTotEnMet],"&gt;"&amp;($A164+0/24),tData[Langligger01],1)</f>
        <v/>
      </c>
      <c r="E164" s="20">
        <f>COUNTIFS(tData[SEHTrajectPeriodeDatumTijdVan],"&lt;="&amp;($A164+1/24),tData[SEHTrajectPeriodeDatumTijdTotEnMet],"&gt;"&amp;($A164+1/24),tData[Langligger01],1)</f>
        <v/>
      </c>
      <c r="F164" s="20">
        <f>COUNTIFS(tData[SEHTrajectPeriodeDatumTijdVan],"&lt;="&amp;($A164+2/24),tData[SEHTrajectPeriodeDatumTijdTotEnMet],"&gt;"&amp;($A164+2/24),tData[Langligger01],1)</f>
        <v/>
      </c>
      <c r="G164" s="20">
        <f>COUNTIFS(tData[SEHTrajectPeriodeDatumTijdVan],"&lt;="&amp;($A164+3/24),tData[SEHTrajectPeriodeDatumTijdTotEnMet],"&gt;"&amp;($A164+3/24),tData[Langligger01],1)</f>
        <v/>
      </c>
      <c r="H164" s="20">
        <f>COUNTIFS(tData[SEHTrajectPeriodeDatumTijdVan],"&lt;="&amp;($A164+4/24),tData[SEHTrajectPeriodeDatumTijdTotEnMet],"&gt;"&amp;($A164+4/24),tData[Langligger01],1)</f>
        <v/>
      </c>
      <c r="I164" s="20">
        <f>COUNTIFS(tData[SEHTrajectPeriodeDatumTijdVan],"&lt;="&amp;($A164+5/24),tData[SEHTrajectPeriodeDatumTijdTotEnMet],"&gt;"&amp;($A164+5/24),tData[Langligger01],1)</f>
        <v/>
      </c>
      <c r="J164" s="20">
        <f>COUNTIFS(tData[SEHTrajectPeriodeDatumTijdVan],"&lt;="&amp;($A164+6/24),tData[SEHTrajectPeriodeDatumTijdTotEnMet],"&gt;"&amp;($A164+6/24),tData[Langligger01],1)</f>
        <v/>
      </c>
      <c r="K164" s="20">
        <f>COUNTIFS(tData[SEHTrajectPeriodeDatumTijdVan],"&lt;="&amp;($A164+7/24),tData[SEHTrajectPeriodeDatumTijdTotEnMet],"&gt;"&amp;($A164+7/24),tData[Langligger01],1)</f>
        <v/>
      </c>
      <c r="L164" s="20">
        <f>COUNTIFS(tData[SEHTrajectPeriodeDatumTijdVan],"&lt;="&amp;($A164+8/24),tData[SEHTrajectPeriodeDatumTijdTotEnMet],"&gt;"&amp;($A164+8/24),tData[Langligger01],1)</f>
        <v/>
      </c>
      <c r="M164" s="20">
        <f>COUNTIFS(tData[SEHTrajectPeriodeDatumTijdVan],"&lt;="&amp;($A164+9/24),tData[SEHTrajectPeriodeDatumTijdTotEnMet],"&gt;"&amp;($A164+9/24),tData[Langligger01],1)</f>
        <v/>
      </c>
      <c r="N164" s="20">
        <f>COUNTIFS(tData[SEHTrajectPeriodeDatumTijdVan],"&lt;="&amp;($A164+10/24),tData[SEHTrajectPeriodeDatumTijdTotEnMet],"&gt;"&amp;($A164+10/24),tData[Langligger01],1)</f>
        <v/>
      </c>
      <c r="O164" s="20">
        <f>COUNTIFS(tData[SEHTrajectPeriodeDatumTijdVan],"&lt;="&amp;($A164+11/24),tData[SEHTrajectPeriodeDatumTijdTotEnMet],"&gt;"&amp;($A164+11/24),tData[Langligger01],1)</f>
        <v/>
      </c>
      <c r="P164" s="20">
        <f>COUNTIFS(tData[SEHTrajectPeriodeDatumTijdVan],"&lt;="&amp;($A164+12/24),tData[SEHTrajectPeriodeDatumTijdTotEnMet],"&gt;"&amp;($A164+12/24),tData[Langligger01],1)</f>
        <v/>
      </c>
      <c r="Q164" s="20">
        <f>COUNTIFS(tData[SEHTrajectPeriodeDatumTijdVan],"&lt;="&amp;($A164+13/24),tData[SEHTrajectPeriodeDatumTijdTotEnMet],"&gt;"&amp;($A164+13/24),tData[Langligger01],1)</f>
        <v/>
      </c>
      <c r="R164" s="20">
        <f>COUNTIFS(tData[SEHTrajectPeriodeDatumTijdVan],"&lt;="&amp;($A164+14/24),tData[SEHTrajectPeriodeDatumTijdTotEnMet],"&gt;"&amp;($A164+14/24),tData[Langligger01],1)</f>
        <v/>
      </c>
      <c r="S164" s="20">
        <f>COUNTIFS(tData[SEHTrajectPeriodeDatumTijdVan],"&lt;="&amp;($A164+15/24),tData[SEHTrajectPeriodeDatumTijdTotEnMet],"&gt;"&amp;($A164+15/24),tData[Langligger01],1)</f>
        <v/>
      </c>
      <c r="T164" s="20">
        <f>COUNTIFS(tData[SEHTrajectPeriodeDatumTijdVan],"&lt;="&amp;($A164+16/24),tData[SEHTrajectPeriodeDatumTijdTotEnMet],"&gt;"&amp;($A164+16/24),tData[Langligger01],1)</f>
        <v/>
      </c>
      <c r="U164" s="20">
        <f>COUNTIFS(tData[SEHTrajectPeriodeDatumTijdVan],"&lt;="&amp;($A164+17/24),tData[SEHTrajectPeriodeDatumTijdTotEnMet],"&gt;"&amp;($A164+17/24),tData[Langligger01],1)</f>
        <v/>
      </c>
      <c r="V164" s="20">
        <f>COUNTIFS(tData[SEHTrajectPeriodeDatumTijdVan],"&lt;="&amp;($A164+18/24),tData[SEHTrajectPeriodeDatumTijdTotEnMet],"&gt;"&amp;($A164+18/24),tData[Langligger01],1)</f>
        <v/>
      </c>
      <c r="W164" s="20">
        <f>COUNTIFS(tData[SEHTrajectPeriodeDatumTijdVan],"&lt;="&amp;($A164+19/24),tData[SEHTrajectPeriodeDatumTijdTotEnMet],"&gt;"&amp;($A164+19/24),tData[Langligger01],1)</f>
        <v/>
      </c>
      <c r="X164" s="20">
        <f>COUNTIFS(tData[SEHTrajectPeriodeDatumTijdVan],"&lt;="&amp;($A164+20/24),tData[SEHTrajectPeriodeDatumTijdTotEnMet],"&gt;"&amp;($A164+20/24),tData[Langligger01],1)</f>
        <v/>
      </c>
      <c r="Y164" s="20">
        <f>COUNTIFS(tData[SEHTrajectPeriodeDatumTijdVan],"&lt;="&amp;($A164+21/24),tData[SEHTrajectPeriodeDatumTijdTotEnMet],"&gt;"&amp;($A164+21/24),tData[Langligger01],1)</f>
        <v/>
      </c>
      <c r="Z164" s="20">
        <f>COUNTIFS(tData[SEHTrajectPeriodeDatumTijdVan],"&lt;="&amp;($A164+22/24),tData[SEHTrajectPeriodeDatumTijdTotEnMet],"&gt;"&amp;($A164+22/24),tData[Langligger01],1)</f>
        <v/>
      </c>
      <c r="AA164" s="20">
        <f>COUNTIFS(tData[SEHTrajectPeriodeDatumTijdVan],"&lt;="&amp;($A164+23/24),tData[SEHTrajectPeriodeDatumTijdTotEnMet],"&gt;"&amp;($A164+23/24),tData[Langligger01],1)</f>
        <v/>
      </c>
    </row>
    <row r="165">
      <c r="A165" s="19" t="n">
        <v>45453</v>
      </c>
      <c r="B165" s="15">
        <f>WEEKDAY($A165,2)</f>
        <v/>
      </c>
      <c r="C165" s="15">
        <f>IF(AND($A165&gt;=INT(Instellingen!$B$5),$A165&lt;=INT(Instellingen!$B$6)),1,0)</f>
        <v/>
      </c>
      <c r="D165" s="20">
        <f>COUNTIFS(tData[SEHTrajectPeriodeDatumTijdVan],"&lt;="&amp;($A165+0/24),tData[SEHTrajectPeriodeDatumTijdTotEnMet],"&gt;"&amp;($A165+0/24),tData[Langligger01],1)</f>
        <v/>
      </c>
      <c r="E165" s="20">
        <f>COUNTIFS(tData[SEHTrajectPeriodeDatumTijdVan],"&lt;="&amp;($A165+1/24),tData[SEHTrajectPeriodeDatumTijdTotEnMet],"&gt;"&amp;($A165+1/24),tData[Langligger01],1)</f>
        <v/>
      </c>
      <c r="F165" s="20">
        <f>COUNTIFS(tData[SEHTrajectPeriodeDatumTijdVan],"&lt;="&amp;($A165+2/24),tData[SEHTrajectPeriodeDatumTijdTotEnMet],"&gt;"&amp;($A165+2/24),tData[Langligger01],1)</f>
        <v/>
      </c>
      <c r="G165" s="20">
        <f>COUNTIFS(tData[SEHTrajectPeriodeDatumTijdVan],"&lt;="&amp;($A165+3/24),tData[SEHTrajectPeriodeDatumTijdTotEnMet],"&gt;"&amp;($A165+3/24),tData[Langligger01],1)</f>
        <v/>
      </c>
      <c r="H165" s="20">
        <f>COUNTIFS(tData[SEHTrajectPeriodeDatumTijdVan],"&lt;="&amp;($A165+4/24),tData[SEHTrajectPeriodeDatumTijdTotEnMet],"&gt;"&amp;($A165+4/24),tData[Langligger01],1)</f>
        <v/>
      </c>
      <c r="I165" s="20">
        <f>COUNTIFS(tData[SEHTrajectPeriodeDatumTijdVan],"&lt;="&amp;($A165+5/24),tData[SEHTrajectPeriodeDatumTijdTotEnMet],"&gt;"&amp;($A165+5/24),tData[Langligger01],1)</f>
        <v/>
      </c>
      <c r="J165" s="20">
        <f>COUNTIFS(tData[SEHTrajectPeriodeDatumTijdVan],"&lt;="&amp;($A165+6/24),tData[SEHTrajectPeriodeDatumTijdTotEnMet],"&gt;"&amp;($A165+6/24),tData[Langligger01],1)</f>
        <v/>
      </c>
      <c r="K165" s="20">
        <f>COUNTIFS(tData[SEHTrajectPeriodeDatumTijdVan],"&lt;="&amp;($A165+7/24),tData[SEHTrajectPeriodeDatumTijdTotEnMet],"&gt;"&amp;($A165+7/24),tData[Langligger01],1)</f>
        <v/>
      </c>
      <c r="L165" s="20">
        <f>COUNTIFS(tData[SEHTrajectPeriodeDatumTijdVan],"&lt;="&amp;($A165+8/24),tData[SEHTrajectPeriodeDatumTijdTotEnMet],"&gt;"&amp;($A165+8/24),tData[Langligger01],1)</f>
        <v/>
      </c>
      <c r="M165" s="20">
        <f>COUNTIFS(tData[SEHTrajectPeriodeDatumTijdVan],"&lt;="&amp;($A165+9/24),tData[SEHTrajectPeriodeDatumTijdTotEnMet],"&gt;"&amp;($A165+9/24),tData[Langligger01],1)</f>
        <v/>
      </c>
      <c r="N165" s="20">
        <f>COUNTIFS(tData[SEHTrajectPeriodeDatumTijdVan],"&lt;="&amp;($A165+10/24),tData[SEHTrajectPeriodeDatumTijdTotEnMet],"&gt;"&amp;($A165+10/24),tData[Langligger01],1)</f>
        <v/>
      </c>
      <c r="O165" s="20">
        <f>COUNTIFS(tData[SEHTrajectPeriodeDatumTijdVan],"&lt;="&amp;($A165+11/24),tData[SEHTrajectPeriodeDatumTijdTotEnMet],"&gt;"&amp;($A165+11/24),tData[Langligger01],1)</f>
        <v/>
      </c>
      <c r="P165" s="20">
        <f>COUNTIFS(tData[SEHTrajectPeriodeDatumTijdVan],"&lt;="&amp;($A165+12/24),tData[SEHTrajectPeriodeDatumTijdTotEnMet],"&gt;"&amp;($A165+12/24),tData[Langligger01],1)</f>
        <v/>
      </c>
      <c r="Q165" s="20">
        <f>COUNTIFS(tData[SEHTrajectPeriodeDatumTijdVan],"&lt;="&amp;($A165+13/24),tData[SEHTrajectPeriodeDatumTijdTotEnMet],"&gt;"&amp;($A165+13/24),tData[Langligger01],1)</f>
        <v/>
      </c>
      <c r="R165" s="20">
        <f>COUNTIFS(tData[SEHTrajectPeriodeDatumTijdVan],"&lt;="&amp;($A165+14/24),tData[SEHTrajectPeriodeDatumTijdTotEnMet],"&gt;"&amp;($A165+14/24),tData[Langligger01],1)</f>
        <v/>
      </c>
      <c r="S165" s="20">
        <f>COUNTIFS(tData[SEHTrajectPeriodeDatumTijdVan],"&lt;="&amp;($A165+15/24),tData[SEHTrajectPeriodeDatumTijdTotEnMet],"&gt;"&amp;($A165+15/24),tData[Langligger01],1)</f>
        <v/>
      </c>
      <c r="T165" s="20">
        <f>COUNTIFS(tData[SEHTrajectPeriodeDatumTijdVan],"&lt;="&amp;($A165+16/24),tData[SEHTrajectPeriodeDatumTijdTotEnMet],"&gt;"&amp;($A165+16/24),tData[Langligger01],1)</f>
        <v/>
      </c>
      <c r="U165" s="20">
        <f>COUNTIFS(tData[SEHTrajectPeriodeDatumTijdVan],"&lt;="&amp;($A165+17/24),tData[SEHTrajectPeriodeDatumTijdTotEnMet],"&gt;"&amp;($A165+17/24),tData[Langligger01],1)</f>
        <v/>
      </c>
      <c r="V165" s="20">
        <f>COUNTIFS(tData[SEHTrajectPeriodeDatumTijdVan],"&lt;="&amp;($A165+18/24),tData[SEHTrajectPeriodeDatumTijdTotEnMet],"&gt;"&amp;($A165+18/24),tData[Langligger01],1)</f>
        <v/>
      </c>
      <c r="W165" s="20">
        <f>COUNTIFS(tData[SEHTrajectPeriodeDatumTijdVan],"&lt;="&amp;($A165+19/24),tData[SEHTrajectPeriodeDatumTijdTotEnMet],"&gt;"&amp;($A165+19/24),tData[Langligger01],1)</f>
        <v/>
      </c>
      <c r="X165" s="20">
        <f>COUNTIFS(tData[SEHTrajectPeriodeDatumTijdVan],"&lt;="&amp;($A165+20/24),tData[SEHTrajectPeriodeDatumTijdTotEnMet],"&gt;"&amp;($A165+20/24),tData[Langligger01],1)</f>
        <v/>
      </c>
      <c r="Y165" s="20">
        <f>COUNTIFS(tData[SEHTrajectPeriodeDatumTijdVan],"&lt;="&amp;($A165+21/24),tData[SEHTrajectPeriodeDatumTijdTotEnMet],"&gt;"&amp;($A165+21/24),tData[Langligger01],1)</f>
        <v/>
      </c>
      <c r="Z165" s="20">
        <f>COUNTIFS(tData[SEHTrajectPeriodeDatumTijdVan],"&lt;="&amp;($A165+22/24),tData[SEHTrajectPeriodeDatumTijdTotEnMet],"&gt;"&amp;($A165+22/24),tData[Langligger01],1)</f>
        <v/>
      </c>
      <c r="AA165" s="20">
        <f>COUNTIFS(tData[SEHTrajectPeriodeDatumTijdVan],"&lt;="&amp;($A165+23/24),tData[SEHTrajectPeriodeDatumTijdTotEnMet],"&gt;"&amp;($A165+23/24),tData[Langligger01],1)</f>
        <v/>
      </c>
    </row>
    <row r="166">
      <c r="A166" s="19" t="n">
        <v>45454</v>
      </c>
      <c r="B166" s="15">
        <f>WEEKDAY($A166,2)</f>
        <v/>
      </c>
      <c r="C166" s="15">
        <f>IF(AND($A166&gt;=INT(Instellingen!$B$5),$A166&lt;=INT(Instellingen!$B$6)),1,0)</f>
        <v/>
      </c>
      <c r="D166" s="20">
        <f>COUNTIFS(tData[SEHTrajectPeriodeDatumTijdVan],"&lt;="&amp;($A166+0/24),tData[SEHTrajectPeriodeDatumTijdTotEnMet],"&gt;"&amp;($A166+0/24),tData[Langligger01],1)</f>
        <v/>
      </c>
      <c r="E166" s="20">
        <f>COUNTIFS(tData[SEHTrajectPeriodeDatumTijdVan],"&lt;="&amp;($A166+1/24),tData[SEHTrajectPeriodeDatumTijdTotEnMet],"&gt;"&amp;($A166+1/24),tData[Langligger01],1)</f>
        <v/>
      </c>
      <c r="F166" s="20">
        <f>COUNTIFS(tData[SEHTrajectPeriodeDatumTijdVan],"&lt;="&amp;($A166+2/24),tData[SEHTrajectPeriodeDatumTijdTotEnMet],"&gt;"&amp;($A166+2/24),tData[Langligger01],1)</f>
        <v/>
      </c>
      <c r="G166" s="20">
        <f>COUNTIFS(tData[SEHTrajectPeriodeDatumTijdVan],"&lt;="&amp;($A166+3/24),tData[SEHTrajectPeriodeDatumTijdTotEnMet],"&gt;"&amp;($A166+3/24),tData[Langligger01],1)</f>
        <v/>
      </c>
      <c r="H166" s="20">
        <f>COUNTIFS(tData[SEHTrajectPeriodeDatumTijdVan],"&lt;="&amp;($A166+4/24),tData[SEHTrajectPeriodeDatumTijdTotEnMet],"&gt;"&amp;($A166+4/24),tData[Langligger01],1)</f>
        <v/>
      </c>
      <c r="I166" s="20">
        <f>COUNTIFS(tData[SEHTrajectPeriodeDatumTijdVan],"&lt;="&amp;($A166+5/24),tData[SEHTrajectPeriodeDatumTijdTotEnMet],"&gt;"&amp;($A166+5/24),tData[Langligger01],1)</f>
        <v/>
      </c>
      <c r="J166" s="20">
        <f>COUNTIFS(tData[SEHTrajectPeriodeDatumTijdVan],"&lt;="&amp;($A166+6/24),tData[SEHTrajectPeriodeDatumTijdTotEnMet],"&gt;"&amp;($A166+6/24),tData[Langligger01],1)</f>
        <v/>
      </c>
      <c r="K166" s="20">
        <f>COUNTIFS(tData[SEHTrajectPeriodeDatumTijdVan],"&lt;="&amp;($A166+7/24),tData[SEHTrajectPeriodeDatumTijdTotEnMet],"&gt;"&amp;($A166+7/24),tData[Langligger01],1)</f>
        <v/>
      </c>
      <c r="L166" s="20">
        <f>COUNTIFS(tData[SEHTrajectPeriodeDatumTijdVan],"&lt;="&amp;($A166+8/24),tData[SEHTrajectPeriodeDatumTijdTotEnMet],"&gt;"&amp;($A166+8/24),tData[Langligger01],1)</f>
        <v/>
      </c>
      <c r="M166" s="20">
        <f>COUNTIFS(tData[SEHTrajectPeriodeDatumTijdVan],"&lt;="&amp;($A166+9/24),tData[SEHTrajectPeriodeDatumTijdTotEnMet],"&gt;"&amp;($A166+9/24),tData[Langligger01],1)</f>
        <v/>
      </c>
      <c r="N166" s="20">
        <f>COUNTIFS(tData[SEHTrajectPeriodeDatumTijdVan],"&lt;="&amp;($A166+10/24),tData[SEHTrajectPeriodeDatumTijdTotEnMet],"&gt;"&amp;($A166+10/24),tData[Langligger01],1)</f>
        <v/>
      </c>
      <c r="O166" s="20">
        <f>COUNTIFS(tData[SEHTrajectPeriodeDatumTijdVan],"&lt;="&amp;($A166+11/24),tData[SEHTrajectPeriodeDatumTijdTotEnMet],"&gt;"&amp;($A166+11/24),tData[Langligger01],1)</f>
        <v/>
      </c>
      <c r="P166" s="20">
        <f>COUNTIFS(tData[SEHTrajectPeriodeDatumTijdVan],"&lt;="&amp;($A166+12/24),tData[SEHTrajectPeriodeDatumTijdTotEnMet],"&gt;"&amp;($A166+12/24),tData[Langligger01],1)</f>
        <v/>
      </c>
      <c r="Q166" s="20">
        <f>COUNTIFS(tData[SEHTrajectPeriodeDatumTijdVan],"&lt;="&amp;($A166+13/24),tData[SEHTrajectPeriodeDatumTijdTotEnMet],"&gt;"&amp;($A166+13/24),tData[Langligger01],1)</f>
        <v/>
      </c>
      <c r="R166" s="20">
        <f>COUNTIFS(tData[SEHTrajectPeriodeDatumTijdVan],"&lt;="&amp;($A166+14/24),tData[SEHTrajectPeriodeDatumTijdTotEnMet],"&gt;"&amp;($A166+14/24),tData[Langligger01],1)</f>
        <v/>
      </c>
      <c r="S166" s="20">
        <f>COUNTIFS(tData[SEHTrajectPeriodeDatumTijdVan],"&lt;="&amp;($A166+15/24),tData[SEHTrajectPeriodeDatumTijdTotEnMet],"&gt;"&amp;($A166+15/24),tData[Langligger01],1)</f>
        <v/>
      </c>
      <c r="T166" s="20">
        <f>COUNTIFS(tData[SEHTrajectPeriodeDatumTijdVan],"&lt;="&amp;($A166+16/24),tData[SEHTrajectPeriodeDatumTijdTotEnMet],"&gt;"&amp;($A166+16/24),tData[Langligger01],1)</f>
        <v/>
      </c>
      <c r="U166" s="20">
        <f>COUNTIFS(tData[SEHTrajectPeriodeDatumTijdVan],"&lt;="&amp;($A166+17/24),tData[SEHTrajectPeriodeDatumTijdTotEnMet],"&gt;"&amp;($A166+17/24),tData[Langligger01],1)</f>
        <v/>
      </c>
      <c r="V166" s="20">
        <f>COUNTIFS(tData[SEHTrajectPeriodeDatumTijdVan],"&lt;="&amp;($A166+18/24),tData[SEHTrajectPeriodeDatumTijdTotEnMet],"&gt;"&amp;($A166+18/24),tData[Langligger01],1)</f>
        <v/>
      </c>
      <c r="W166" s="20">
        <f>COUNTIFS(tData[SEHTrajectPeriodeDatumTijdVan],"&lt;="&amp;($A166+19/24),tData[SEHTrajectPeriodeDatumTijdTotEnMet],"&gt;"&amp;($A166+19/24),tData[Langligger01],1)</f>
        <v/>
      </c>
      <c r="X166" s="20">
        <f>COUNTIFS(tData[SEHTrajectPeriodeDatumTijdVan],"&lt;="&amp;($A166+20/24),tData[SEHTrajectPeriodeDatumTijdTotEnMet],"&gt;"&amp;($A166+20/24),tData[Langligger01],1)</f>
        <v/>
      </c>
      <c r="Y166" s="20">
        <f>COUNTIFS(tData[SEHTrajectPeriodeDatumTijdVan],"&lt;="&amp;($A166+21/24),tData[SEHTrajectPeriodeDatumTijdTotEnMet],"&gt;"&amp;($A166+21/24),tData[Langligger01],1)</f>
        <v/>
      </c>
      <c r="Z166" s="20">
        <f>COUNTIFS(tData[SEHTrajectPeriodeDatumTijdVan],"&lt;="&amp;($A166+22/24),tData[SEHTrajectPeriodeDatumTijdTotEnMet],"&gt;"&amp;($A166+22/24),tData[Langligger01],1)</f>
        <v/>
      </c>
      <c r="AA166" s="20">
        <f>COUNTIFS(tData[SEHTrajectPeriodeDatumTijdVan],"&lt;="&amp;($A166+23/24),tData[SEHTrajectPeriodeDatumTijdTotEnMet],"&gt;"&amp;($A166+23/24),tData[Langligger01],1)</f>
        <v/>
      </c>
    </row>
    <row r="167">
      <c r="A167" s="19" t="n">
        <v>45455</v>
      </c>
      <c r="B167" s="15">
        <f>WEEKDAY($A167,2)</f>
        <v/>
      </c>
      <c r="C167" s="15">
        <f>IF(AND($A167&gt;=INT(Instellingen!$B$5),$A167&lt;=INT(Instellingen!$B$6)),1,0)</f>
        <v/>
      </c>
      <c r="D167" s="20">
        <f>COUNTIFS(tData[SEHTrajectPeriodeDatumTijdVan],"&lt;="&amp;($A167+0/24),tData[SEHTrajectPeriodeDatumTijdTotEnMet],"&gt;"&amp;($A167+0/24),tData[Langligger01],1)</f>
        <v/>
      </c>
      <c r="E167" s="20">
        <f>COUNTIFS(tData[SEHTrajectPeriodeDatumTijdVan],"&lt;="&amp;($A167+1/24),tData[SEHTrajectPeriodeDatumTijdTotEnMet],"&gt;"&amp;($A167+1/24),tData[Langligger01],1)</f>
        <v/>
      </c>
      <c r="F167" s="20">
        <f>COUNTIFS(tData[SEHTrajectPeriodeDatumTijdVan],"&lt;="&amp;($A167+2/24),tData[SEHTrajectPeriodeDatumTijdTotEnMet],"&gt;"&amp;($A167+2/24),tData[Langligger01],1)</f>
        <v/>
      </c>
      <c r="G167" s="20">
        <f>COUNTIFS(tData[SEHTrajectPeriodeDatumTijdVan],"&lt;="&amp;($A167+3/24),tData[SEHTrajectPeriodeDatumTijdTotEnMet],"&gt;"&amp;($A167+3/24),tData[Langligger01],1)</f>
        <v/>
      </c>
      <c r="H167" s="20">
        <f>COUNTIFS(tData[SEHTrajectPeriodeDatumTijdVan],"&lt;="&amp;($A167+4/24),tData[SEHTrajectPeriodeDatumTijdTotEnMet],"&gt;"&amp;($A167+4/24),tData[Langligger01],1)</f>
        <v/>
      </c>
      <c r="I167" s="20">
        <f>COUNTIFS(tData[SEHTrajectPeriodeDatumTijdVan],"&lt;="&amp;($A167+5/24),tData[SEHTrajectPeriodeDatumTijdTotEnMet],"&gt;"&amp;($A167+5/24),tData[Langligger01],1)</f>
        <v/>
      </c>
      <c r="J167" s="20">
        <f>COUNTIFS(tData[SEHTrajectPeriodeDatumTijdVan],"&lt;="&amp;($A167+6/24),tData[SEHTrajectPeriodeDatumTijdTotEnMet],"&gt;"&amp;($A167+6/24),tData[Langligger01],1)</f>
        <v/>
      </c>
      <c r="K167" s="20">
        <f>COUNTIFS(tData[SEHTrajectPeriodeDatumTijdVan],"&lt;="&amp;($A167+7/24),tData[SEHTrajectPeriodeDatumTijdTotEnMet],"&gt;"&amp;($A167+7/24),tData[Langligger01],1)</f>
        <v/>
      </c>
      <c r="L167" s="20">
        <f>COUNTIFS(tData[SEHTrajectPeriodeDatumTijdVan],"&lt;="&amp;($A167+8/24),tData[SEHTrajectPeriodeDatumTijdTotEnMet],"&gt;"&amp;($A167+8/24),tData[Langligger01],1)</f>
        <v/>
      </c>
      <c r="M167" s="20">
        <f>COUNTIFS(tData[SEHTrajectPeriodeDatumTijdVan],"&lt;="&amp;($A167+9/24),tData[SEHTrajectPeriodeDatumTijdTotEnMet],"&gt;"&amp;($A167+9/24),tData[Langligger01],1)</f>
        <v/>
      </c>
      <c r="N167" s="20">
        <f>COUNTIFS(tData[SEHTrajectPeriodeDatumTijdVan],"&lt;="&amp;($A167+10/24),tData[SEHTrajectPeriodeDatumTijdTotEnMet],"&gt;"&amp;($A167+10/24),tData[Langligger01],1)</f>
        <v/>
      </c>
      <c r="O167" s="20">
        <f>COUNTIFS(tData[SEHTrajectPeriodeDatumTijdVan],"&lt;="&amp;($A167+11/24),tData[SEHTrajectPeriodeDatumTijdTotEnMet],"&gt;"&amp;($A167+11/24),tData[Langligger01],1)</f>
        <v/>
      </c>
      <c r="P167" s="20">
        <f>COUNTIFS(tData[SEHTrajectPeriodeDatumTijdVan],"&lt;="&amp;($A167+12/24),tData[SEHTrajectPeriodeDatumTijdTotEnMet],"&gt;"&amp;($A167+12/24),tData[Langligger01],1)</f>
        <v/>
      </c>
      <c r="Q167" s="20">
        <f>COUNTIFS(tData[SEHTrajectPeriodeDatumTijdVan],"&lt;="&amp;($A167+13/24),tData[SEHTrajectPeriodeDatumTijdTotEnMet],"&gt;"&amp;($A167+13/24),tData[Langligger01],1)</f>
        <v/>
      </c>
      <c r="R167" s="20">
        <f>COUNTIFS(tData[SEHTrajectPeriodeDatumTijdVan],"&lt;="&amp;($A167+14/24),tData[SEHTrajectPeriodeDatumTijdTotEnMet],"&gt;"&amp;($A167+14/24),tData[Langligger01],1)</f>
        <v/>
      </c>
      <c r="S167" s="20">
        <f>COUNTIFS(tData[SEHTrajectPeriodeDatumTijdVan],"&lt;="&amp;($A167+15/24),tData[SEHTrajectPeriodeDatumTijdTotEnMet],"&gt;"&amp;($A167+15/24),tData[Langligger01],1)</f>
        <v/>
      </c>
      <c r="T167" s="20">
        <f>COUNTIFS(tData[SEHTrajectPeriodeDatumTijdVan],"&lt;="&amp;($A167+16/24),tData[SEHTrajectPeriodeDatumTijdTotEnMet],"&gt;"&amp;($A167+16/24),tData[Langligger01],1)</f>
        <v/>
      </c>
      <c r="U167" s="20">
        <f>COUNTIFS(tData[SEHTrajectPeriodeDatumTijdVan],"&lt;="&amp;($A167+17/24),tData[SEHTrajectPeriodeDatumTijdTotEnMet],"&gt;"&amp;($A167+17/24),tData[Langligger01],1)</f>
        <v/>
      </c>
      <c r="V167" s="20">
        <f>COUNTIFS(tData[SEHTrajectPeriodeDatumTijdVan],"&lt;="&amp;($A167+18/24),tData[SEHTrajectPeriodeDatumTijdTotEnMet],"&gt;"&amp;($A167+18/24),tData[Langligger01],1)</f>
        <v/>
      </c>
      <c r="W167" s="20">
        <f>COUNTIFS(tData[SEHTrajectPeriodeDatumTijdVan],"&lt;="&amp;($A167+19/24),tData[SEHTrajectPeriodeDatumTijdTotEnMet],"&gt;"&amp;($A167+19/24),tData[Langligger01],1)</f>
        <v/>
      </c>
      <c r="X167" s="20">
        <f>COUNTIFS(tData[SEHTrajectPeriodeDatumTijdVan],"&lt;="&amp;($A167+20/24),tData[SEHTrajectPeriodeDatumTijdTotEnMet],"&gt;"&amp;($A167+20/24),tData[Langligger01],1)</f>
        <v/>
      </c>
      <c r="Y167" s="20">
        <f>COUNTIFS(tData[SEHTrajectPeriodeDatumTijdVan],"&lt;="&amp;($A167+21/24),tData[SEHTrajectPeriodeDatumTijdTotEnMet],"&gt;"&amp;($A167+21/24),tData[Langligger01],1)</f>
        <v/>
      </c>
      <c r="Z167" s="20">
        <f>COUNTIFS(tData[SEHTrajectPeriodeDatumTijdVan],"&lt;="&amp;($A167+22/24),tData[SEHTrajectPeriodeDatumTijdTotEnMet],"&gt;"&amp;($A167+22/24),tData[Langligger01],1)</f>
        <v/>
      </c>
      <c r="AA167" s="20">
        <f>COUNTIFS(tData[SEHTrajectPeriodeDatumTijdVan],"&lt;="&amp;($A167+23/24),tData[SEHTrajectPeriodeDatumTijdTotEnMet],"&gt;"&amp;($A167+23/24),tData[Langligger01],1)</f>
        <v/>
      </c>
    </row>
    <row r="168">
      <c r="A168" s="19" t="n">
        <v>45456</v>
      </c>
      <c r="B168" s="15">
        <f>WEEKDAY($A168,2)</f>
        <v/>
      </c>
      <c r="C168" s="15">
        <f>IF(AND($A168&gt;=INT(Instellingen!$B$5),$A168&lt;=INT(Instellingen!$B$6)),1,0)</f>
        <v/>
      </c>
      <c r="D168" s="20">
        <f>COUNTIFS(tData[SEHTrajectPeriodeDatumTijdVan],"&lt;="&amp;($A168+0/24),tData[SEHTrajectPeriodeDatumTijdTotEnMet],"&gt;"&amp;($A168+0/24),tData[Langligger01],1)</f>
        <v/>
      </c>
      <c r="E168" s="20">
        <f>COUNTIFS(tData[SEHTrajectPeriodeDatumTijdVan],"&lt;="&amp;($A168+1/24),tData[SEHTrajectPeriodeDatumTijdTotEnMet],"&gt;"&amp;($A168+1/24),tData[Langligger01],1)</f>
        <v/>
      </c>
      <c r="F168" s="20">
        <f>COUNTIFS(tData[SEHTrajectPeriodeDatumTijdVan],"&lt;="&amp;($A168+2/24),tData[SEHTrajectPeriodeDatumTijdTotEnMet],"&gt;"&amp;($A168+2/24),tData[Langligger01],1)</f>
        <v/>
      </c>
      <c r="G168" s="20">
        <f>COUNTIFS(tData[SEHTrajectPeriodeDatumTijdVan],"&lt;="&amp;($A168+3/24),tData[SEHTrajectPeriodeDatumTijdTotEnMet],"&gt;"&amp;($A168+3/24),tData[Langligger01],1)</f>
        <v/>
      </c>
      <c r="H168" s="20">
        <f>COUNTIFS(tData[SEHTrajectPeriodeDatumTijdVan],"&lt;="&amp;($A168+4/24),tData[SEHTrajectPeriodeDatumTijdTotEnMet],"&gt;"&amp;($A168+4/24),tData[Langligger01],1)</f>
        <v/>
      </c>
      <c r="I168" s="20">
        <f>COUNTIFS(tData[SEHTrajectPeriodeDatumTijdVan],"&lt;="&amp;($A168+5/24),tData[SEHTrajectPeriodeDatumTijdTotEnMet],"&gt;"&amp;($A168+5/24),tData[Langligger01],1)</f>
        <v/>
      </c>
      <c r="J168" s="20">
        <f>COUNTIFS(tData[SEHTrajectPeriodeDatumTijdVan],"&lt;="&amp;($A168+6/24),tData[SEHTrajectPeriodeDatumTijdTotEnMet],"&gt;"&amp;($A168+6/24),tData[Langligger01],1)</f>
        <v/>
      </c>
      <c r="K168" s="20">
        <f>COUNTIFS(tData[SEHTrajectPeriodeDatumTijdVan],"&lt;="&amp;($A168+7/24),tData[SEHTrajectPeriodeDatumTijdTotEnMet],"&gt;"&amp;($A168+7/24),tData[Langligger01],1)</f>
        <v/>
      </c>
      <c r="L168" s="20">
        <f>COUNTIFS(tData[SEHTrajectPeriodeDatumTijdVan],"&lt;="&amp;($A168+8/24),tData[SEHTrajectPeriodeDatumTijdTotEnMet],"&gt;"&amp;($A168+8/24),tData[Langligger01],1)</f>
        <v/>
      </c>
      <c r="M168" s="20">
        <f>COUNTIFS(tData[SEHTrajectPeriodeDatumTijdVan],"&lt;="&amp;($A168+9/24),tData[SEHTrajectPeriodeDatumTijdTotEnMet],"&gt;"&amp;($A168+9/24),tData[Langligger01],1)</f>
        <v/>
      </c>
      <c r="N168" s="20">
        <f>COUNTIFS(tData[SEHTrajectPeriodeDatumTijdVan],"&lt;="&amp;($A168+10/24),tData[SEHTrajectPeriodeDatumTijdTotEnMet],"&gt;"&amp;($A168+10/24),tData[Langligger01],1)</f>
        <v/>
      </c>
      <c r="O168" s="20">
        <f>COUNTIFS(tData[SEHTrajectPeriodeDatumTijdVan],"&lt;="&amp;($A168+11/24),tData[SEHTrajectPeriodeDatumTijdTotEnMet],"&gt;"&amp;($A168+11/24),tData[Langligger01],1)</f>
        <v/>
      </c>
      <c r="P168" s="20">
        <f>COUNTIFS(tData[SEHTrajectPeriodeDatumTijdVan],"&lt;="&amp;($A168+12/24),tData[SEHTrajectPeriodeDatumTijdTotEnMet],"&gt;"&amp;($A168+12/24),tData[Langligger01],1)</f>
        <v/>
      </c>
      <c r="Q168" s="20">
        <f>COUNTIFS(tData[SEHTrajectPeriodeDatumTijdVan],"&lt;="&amp;($A168+13/24),tData[SEHTrajectPeriodeDatumTijdTotEnMet],"&gt;"&amp;($A168+13/24),tData[Langligger01],1)</f>
        <v/>
      </c>
      <c r="R168" s="20">
        <f>COUNTIFS(tData[SEHTrajectPeriodeDatumTijdVan],"&lt;="&amp;($A168+14/24),tData[SEHTrajectPeriodeDatumTijdTotEnMet],"&gt;"&amp;($A168+14/24),tData[Langligger01],1)</f>
        <v/>
      </c>
      <c r="S168" s="20">
        <f>COUNTIFS(tData[SEHTrajectPeriodeDatumTijdVan],"&lt;="&amp;($A168+15/24),tData[SEHTrajectPeriodeDatumTijdTotEnMet],"&gt;"&amp;($A168+15/24),tData[Langligger01],1)</f>
        <v/>
      </c>
      <c r="T168" s="20">
        <f>COUNTIFS(tData[SEHTrajectPeriodeDatumTijdVan],"&lt;="&amp;($A168+16/24),tData[SEHTrajectPeriodeDatumTijdTotEnMet],"&gt;"&amp;($A168+16/24),tData[Langligger01],1)</f>
        <v/>
      </c>
      <c r="U168" s="20">
        <f>COUNTIFS(tData[SEHTrajectPeriodeDatumTijdVan],"&lt;="&amp;($A168+17/24),tData[SEHTrajectPeriodeDatumTijdTotEnMet],"&gt;"&amp;($A168+17/24),tData[Langligger01],1)</f>
        <v/>
      </c>
      <c r="V168" s="20">
        <f>COUNTIFS(tData[SEHTrajectPeriodeDatumTijdVan],"&lt;="&amp;($A168+18/24),tData[SEHTrajectPeriodeDatumTijdTotEnMet],"&gt;"&amp;($A168+18/24),tData[Langligger01],1)</f>
        <v/>
      </c>
      <c r="W168" s="20">
        <f>COUNTIFS(tData[SEHTrajectPeriodeDatumTijdVan],"&lt;="&amp;($A168+19/24),tData[SEHTrajectPeriodeDatumTijdTotEnMet],"&gt;"&amp;($A168+19/24),tData[Langligger01],1)</f>
        <v/>
      </c>
      <c r="X168" s="20">
        <f>COUNTIFS(tData[SEHTrajectPeriodeDatumTijdVan],"&lt;="&amp;($A168+20/24),tData[SEHTrajectPeriodeDatumTijdTotEnMet],"&gt;"&amp;($A168+20/24),tData[Langligger01],1)</f>
        <v/>
      </c>
      <c r="Y168" s="20">
        <f>COUNTIFS(tData[SEHTrajectPeriodeDatumTijdVan],"&lt;="&amp;($A168+21/24),tData[SEHTrajectPeriodeDatumTijdTotEnMet],"&gt;"&amp;($A168+21/24),tData[Langligger01],1)</f>
        <v/>
      </c>
      <c r="Z168" s="20">
        <f>COUNTIFS(tData[SEHTrajectPeriodeDatumTijdVan],"&lt;="&amp;($A168+22/24),tData[SEHTrajectPeriodeDatumTijdTotEnMet],"&gt;"&amp;($A168+22/24),tData[Langligger01],1)</f>
        <v/>
      </c>
      <c r="AA168" s="20">
        <f>COUNTIFS(tData[SEHTrajectPeriodeDatumTijdVan],"&lt;="&amp;($A168+23/24),tData[SEHTrajectPeriodeDatumTijdTotEnMet],"&gt;"&amp;($A168+23/24),tData[Langligger01],1)</f>
        <v/>
      </c>
    </row>
    <row r="169">
      <c r="A169" s="19" t="n">
        <v>45457</v>
      </c>
      <c r="B169" s="15">
        <f>WEEKDAY($A169,2)</f>
        <v/>
      </c>
      <c r="C169" s="15">
        <f>IF(AND($A169&gt;=INT(Instellingen!$B$5),$A169&lt;=INT(Instellingen!$B$6)),1,0)</f>
        <v/>
      </c>
      <c r="D169" s="20">
        <f>COUNTIFS(tData[SEHTrajectPeriodeDatumTijdVan],"&lt;="&amp;($A169+0/24),tData[SEHTrajectPeriodeDatumTijdTotEnMet],"&gt;"&amp;($A169+0/24),tData[Langligger01],1)</f>
        <v/>
      </c>
      <c r="E169" s="20">
        <f>COUNTIFS(tData[SEHTrajectPeriodeDatumTijdVan],"&lt;="&amp;($A169+1/24),tData[SEHTrajectPeriodeDatumTijdTotEnMet],"&gt;"&amp;($A169+1/24),tData[Langligger01],1)</f>
        <v/>
      </c>
      <c r="F169" s="20">
        <f>COUNTIFS(tData[SEHTrajectPeriodeDatumTijdVan],"&lt;="&amp;($A169+2/24),tData[SEHTrajectPeriodeDatumTijdTotEnMet],"&gt;"&amp;($A169+2/24),tData[Langligger01],1)</f>
        <v/>
      </c>
      <c r="G169" s="20">
        <f>COUNTIFS(tData[SEHTrajectPeriodeDatumTijdVan],"&lt;="&amp;($A169+3/24),tData[SEHTrajectPeriodeDatumTijdTotEnMet],"&gt;"&amp;($A169+3/24),tData[Langligger01],1)</f>
        <v/>
      </c>
      <c r="H169" s="20">
        <f>COUNTIFS(tData[SEHTrajectPeriodeDatumTijdVan],"&lt;="&amp;($A169+4/24),tData[SEHTrajectPeriodeDatumTijdTotEnMet],"&gt;"&amp;($A169+4/24),tData[Langligger01],1)</f>
        <v/>
      </c>
      <c r="I169" s="20">
        <f>COUNTIFS(tData[SEHTrajectPeriodeDatumTijdVan],"&lt;="&amp;($A169+5/24),tData[SEHTrajectPeriodeDatumTijdTotEnMet],"&gt;"&amp;($A169+5/24),tData[Langligger01],1)</f>
        <v/>
      </c>
      <c r="J169" s="20">
        <f>COUNTIFS(tData[SEHTrajectPeriodeDatumTijdVan],"&lt;="&amp;($A169+6/24),tData[SEHTrajectPeriodeDatumTijdTotEnMet],"&gt;"&amp;($A169+6/24),tData[Langligger01],1)</f>
        <v/>
      </c>
      <c r="K169" s="20">
        <f>COUNTIFS(tData[SEHTrajectPeriodeDatumTijdVan],"&lt;="&amp;($A169+7/24),tData[SEHTrajectPeriodeDatumTijdTotEnMet],"&gt;"&amp;($A169+7/24),tData[Langligger01],1)</f>
        <v/>
      </c>
      <c r="L169" s="20">
        <f>COUNTIFS(tData[SEHTrajectPeriodeDatumTijdVan],"&lt;="&amp;($A169+8/24),tData[SEHTrajectPeriodeDatumTijdTotEnMet],"&gt;"&amp;($A169+8/24),tData[Langligger01],1)</f>
        <v/>
      </c>
      <c r="M169" s="20">
        <f>COUNTIFS(tData[SEHTrajectPeriodeDatumTijdVan],"&lt;="&amp;($A169+9/24),tData[SEHTrajectPeriodeDatumTijdTotEnMet],"&gt;"&amp;($A169+9/24),tData[Langligger01],1)</f>
        <v/>
      </c>
      <c r="N169" s="20">
        <f>COUNTIFS(tData[SEHTrajectPeriodeDatumTijdVan],"&lt;="&amp;($A169+10/24),tData[SEHTrajectPeriodeDatumTijdTotEnMet],"&gt;"&amp;($A169+10/24),tData[Langligger01],1)</f>
        <v/>
      </c>
      <c r="O169" s="20">
        <f>COUNTIFS(tData[SEHTrajectPeriodeDatumTijdVan],"&lt;="&amp;($A169+11/24),tData[SEHTrajectPeriodeDatumTijdTotEnMet],"&gt;"&amp;($A169+11/24),tData[Langligger01],1)</f>
        <v/>
      </c>
      <c r="P169" s="20">
        <f>COUNTIFS(tData[SEHTrajectPeriodeDatumTijdVan],"&lt;="&amp;($A169+12/24),tData[SEHTrajectPeriodeDatumTijdTotEnMet],"&gt;"&amp;($A169+12/24),tData[Langligger01],1)</f>
        <v/>
      </c>
      <c r="Q169" s="20">
        <f>COUNTIFS(tData[SEHTrajectPeriodeDatumTijdVan],"&lt;="&amp;($A169+13/24),tData[SEHTrajectPeriodeDatumTijdTotEnMet],"&gt;"&amp;($A169+13/24),tData[Langligger01],1)</f>
        <v/>
      </c>
      <c r="R169" s="20">
        <f>COUNTIFS(tData[SEHTrajectPeriodeDatumTijdVan],"&lt;="&amp;($A169+14/24),tData[SEHTrajectPeriodeDatumTijdTotEnMet],"&gt;"&amp;($A169+14/24),tData[Langligger01],1)</f>
        <v/>
      </c>
      <c r="S169" s="20">
        <f>COUNTIFS(tData[SEHTrajectPeriodeDatumTijdVan],"&lt;="&amp;($A169+15/24),tData[SEHTrajectPeriodeDatumTijdTotEnMet],"&gt;"&amp;($A169+15/24),tData[Langligger01],1)</f>
        <v/>
      </c>
      <c r="T169" s="20">
        <f>COUNTIFS(tData[SEHTrajectPeriodeDatumTijdVan],"&lt;="&amp;($A169+16/24),tData[SEHTrajectPeriodeDatumTijdTotEnMet],"&gt;"&amp;($A169+16/24),tData[Langligger01],1)</f>
        <v/>
      </c>
      <c r="U169" s="20">
        <f>COUNTIFS(tData[SEHTrajectPeriodeDatumTijdVan],"&lt;="&amp;($A169+17/24),tData[SEHTrajectPeriodeDatumTijdTotEnMet],"&gt;"&amp;($A169+17/24),tData[Langligger01],1)</f>
        <v/>
      </c>
      <c r="V169" s="20">
        <f>COUNTIFS(tData[SEHTrajectPeriodeDatumTijdVan],"&lt;="&amp;($A169+18/24),tData[SEHTrajectPeriodeDatumTijdTotEnMet],"&gt;"&amp;($A169+18/24),tData[Langligger01],1)</f>
        <v/>
      </c>
      <c r="W169" s="20">
        <f>COUNTIFS(tData[SEHTrajectPeriodeDatumTijdVan],"&lt;="&amp;($A169+19/24),tData[SEHTrajectPeriodeDatumTijdTotEnMet],"&gt;"&amp;($A169+19/24),tData[Langligger01],1)</f>
        <v/>
      </c>
      <c r="X169" s="20">
        <f>COUNTIFS(tData[SEHTrajectPeriodeDatumTijdVan],"&lt;="&amp;($A169+20/24),tData[SEHTrajectPeriodeDatumTijdTotEnMet],"&gt;"&amp;($A169+20/24),tData[Langligger01],1)</f>
        <v/>
      </c>
      <c r="Y169" s="20">
        <f>COUNTIFS(tData[SEHTrajectPeriodeDatumTijdVan],"&lt;="&amp;($A169+21/24),tData[SEHTrajectPeriodeDatumTijdTotEnMet],"&gt;"&amp;($A169+21/24),tData[Langligger01],1)</f>
        <v/>
      </c>
      <c r="Z169" s="20">
        <f>COUNTIFS(tData[SEHTrajectPeriodeDatumTijdVan],"&lt;="&amp;($A169+22/24),tData[SEHTrajectPeriodeDatumTijdTotEnMet],"&gt;"&amp;($A169+22/24),tData[Langligger01],1)</f>
        <v/>
      </c>
      <c r="AA169" s="20">
        <f>COUNTIFS(tData[SEHTrajectPeriodeDatumTijdVan],"&lt;="&amp;($A169+23/24),tData[SEHTrajectPeriodeDatumTijdTotEnMet],"&gt;"&amp;($A169+23/24),tData[Langligger01],1)</f>
        <v/>
      </c>
    </row>
    <row r="170">
      <c r="A170" s="19" t="n">
        <v>45458</v>
      </c>
      <c r="B170" s="15">
        <f>WEEKDAY($A170,2)</f>
        <v/>
      </c>
      <c r="C170" s="15">
        <f>IF(AND($A170&gt;=INT(Instellingen!$B$5),$A170&lt;=INT(Instellingen!$B$6)),1,0)</f>
        <v/>
      </c>
      <c r="D170" s="20">
        <f>COUNTIFS(tData[SEHTrajectPeriodeDatumTijdVan],"&lt;="&amp;($A170+0/24),tData[SEHTrajectPeriodeDatumTijdTotEnMet],"&gt;"&amp;($A170+0/24),tData[Langligger01],1)</f>
        <v/>
      </c>
      <c r="E170" s="20">
        <f>COUNTIFS(tData[SEHTrajectPeriodeDatumTijdVan],"&lt;="&amp;($A170+1/24),tData[SEHTrajectPeriodeDatumTijdTotEnMet],"&gt;"&amp;($A170+1/24),tData[Langligger01],1)</f>
        <v/>
      </c>
      <c r="F170" s="20">
        <f>COUNTIFS(tData[SEHTrajectPeriodeDatumTijdVan],"&lt;="&amp;($A170+2/24),tData[SEHTrajectPeriodeDatumTijdTotEnMet],"&gt;"&amp;($A170+2/24),tData[Langligger01],1)</f>
        <v/>
      </c>
      <c r="G170" s="20">
        <f>COUNTIFS(tData[SEHTrajectPeriodeDatumTijdVan],"&lt;="&amp;($A170+3/24),tData[SEHTrajectPeriodeDatumTijdTotEnMet],"&gt;"&amp;($A170+3/24),tData[Langligger01],1)</f>
        <v/>
      </c>
      <c r="H170" s="20">
        <f>COUNTIFS(tData[SEHTrajectPeriodeDatumTijdVan],"&lt;="&amp;($A170+4/24),tData[SEHTrajectPeriodeDatumTijdTotEnMet],"&gt;"&amp;($A170+4/24),tData[Langligger01],1)</f>
        <v/>
      </c>
      <c r="I170" s="20">
        <f>COUNTIFS(tData[SEHTrajectPeriodeDatumTijdVan],"&lt;="&amp;($A170+5/24),tData[SEHTrajectPeriodeDatumTijdTotEnMet],"&gt;"&amp;($A170+5/24),tData[Langligger01],1)</f>
        <v/>
      </c>
      <c r="J170" s="20">
        <f>COUNTIFS(tData[SEHTrajectPeriodeDatumTijdVan],"&lt;="&amp;($A170+6/24),tData[SEHTrajectPeriodeDatumTijdTotEnMet],"&gt;"&amp;($A170+6/24),tData[Langligger01],1)</f>
        <v/>
      </c>
      <c r="K170" s="20">
        <f>COUNTIFS(tData[SEHTrajectPeriodeDatumTijdVan],"&lt;="&amp;($A170+7/24),tData[SEHTrajectPeriodeDatumTijdTotEnMet],"&gt;"&amp;($A170+7/24),tData[Langligger01],1)</f>
        <v/>
      </c>
      <c r="L170" s="20">
        <f>COUNTIFS(tData[SEHTrajectPeriodeDatumTijdVan],"&lt;="&amp;($A170+8/24),tData[SEHTrajectPeriodeDatumTijdTotEnMet],"&gt;"&amp;($A170+8/24),tData[Langligger01],1)</f>
        <v/>
      </c>
      <c r="M170" s="20">
        <f>COUNTIFS(tData[SEHTrajectPeriodeDatumTijdVan],"&lt;="&amp;($A170+9/24),tData[SEHTrajectPeriodeDatumTijdTotEnMet],"&gt;"&amp;($A170+9/24),tData[Langligger01],1)</f>
        <v/>
      </c>
      <c r="N170" s="20">
        <f>COUNTIFS(tData[SEHTrajectPeriodeDatumTijdVan],"&lt;="&amp;($A170+10/24),tData[SEHTrajectPeriodeDatumTijdTotEnMet],"&gt;"&amp;($A170+10/24),tData[Langligger01],1)</f>
        <v/>
      </c>
      <c r="O170" s="20">
        <f>COUNTIFS(tData[SEHTrajectPeriodeDatumTijdVan],"&lt;="&amp;($A170+11/24),tData[SEHTrajectPeriodeDatumTijdTotEnMet],"&gt;"&amp;($A170+11/24),tData[Langligger01],1)</f>
        <v/>
      </c>
      <c r="P170" s="20">
        <f>COUNTIFS(tData[SEHTrajectPeriodeDatumTijdVan],"&lt;="&amp;($A170+12/24),tData[SEHTrajectPeriodeDatumTijdTotEnMet],"&gt;"&amp;($A170+12/24),tData[Langligger01],1)</f>
        <v/>
      </c>
      <c r="Q170" s="20">
        <f>COUNTIFS(tData[SEHTrajectPeriodeDatumTijdVan],"&lt;="&amp;($A170+13/24),tData[SEHTrajectPeriodeDatumTijdTotEnMet],"&gt;"&amp;($A170+13/24),tData[Langligger01],1)</f>
        <v/>
      </c>
      <c r="R170" s="20">
        <f>COUNTIFS(tData[SEHTrajectPeriodeDatumTijdVan],"&lt;="&amp;($A170+14/24),tData[SEHTrajectPeriodeDatumTijdTotEnMet],"&gt;"&amp;($A170+14/24),tData[Langligger01],1)</f>
        <v/>
      </c>
      <c r="S170" s="20">
        <f>COUNTIFS(tData[SEHTrajectPeriodeDatumTijdVan],"&lt;="&amp;($A170+15/24),tData[SEHTrajectPeriodeDatumTijdTotEnMet],"&gt;"&amp;($A170+15/24),tData[Langligger01],1)</f>
        <v/>
      </c>
      <c r="T170" s="20">
        <f>COUNTIFS(tData[SEHTrajectPeriodeDatumTijdVan],"&lt;="&amp;($A170+16/24),tData[SEHTrajectPeriodeDatumTijdTotEnMet],"&gt;"&amp;($A170+16/24),tData[Langligger01],1)</f>
        <v/>
      </c>
      <c r="U170" s="20">
        <f>COUNTIFS(tData[SEHTrajectPeriodeDatumTijdVan],"&lt;="&amp;($A170+17/24),tData[SEHTrajectPeriodeDatumTijdTotEnMet],"&gt;"&amp;($A170+17/24),tData[Langligger01],1)</f>
        <v/>
      </c>
      <c r="V170" s="20">
        <f>COUNTIFS(tData[SEHTrajectPeriodeDatumTijdVan],"&lt;="&amp;($A170+18/24),tData[SEHTrajectPeriodeDatumTijdTotEnMet],"&gt;"&amp;($A170+18/24),tData[Langligger01],1)</f>
        <v/>
      </c>
      <c r="W170" s="20">
        <f>COUNTIFS(tData[SEHTrajectPeriodeDatumTijdVan],"&lt;="&amp;($A170+19/24),tData[SEHTrajectPeriodeDatumTijdTotEnMet],"&gt;"&amp;($A170+19/24),tData[Langligger01],1)</f>
        <v/>
      </c>
      <c r="X170" s="20">
        <f>COUNTIFS(tData[SEHTrajectPeriodeDatumTijdVan],"&lt;="&amp;($A170+20/24),tData[SEHTrajectPeriodeDatumTijdTotEnMet],"&gt;"&amp;($A170+20/24),tData[Langligger01],1)</f>
        <v/>
      </c>
      <c r="Y170" s="20">
        <f>COUNTIFS(tData[SEHTrajectPeriodeDatumTijdVan],"&lt;="&amp;($A170+21/24),tData[SEHTrajectPeriodeDatumTijdTotEnMet],"&gt;"&amp;($A170+21/24),tData[Langligger01],1)</f>
        <v/>
      </c>
      <c r="Z170" s="20">
        <f>COUNTIFS(tData[SEHTrajectPeriodeDatumTijdVan],"&lt;="&amp;($A170+22/24),tData[SEHTrajectPeriodeDatumTijdTotEnMet],"&gt;"&amp;($A170+22/24),tData[Langligger01],1)</f>
        <v/>
      </c>
      <c r="AA170" s="20">
        <f>COUNTIFS(tData[SEHTrajectPeriodeDatumTijdVan],"&lt;="&amp;($A170+23/24),tData[SEHTrajectPeriodeDatumTijdTotEnMet],"&gt;"&amp;($A170+23/24),tData[Langligger01],1)</f>
        <v/>
      </c>
    </row>
    <row r="171">
      <c r="A171" s="19" t="n">
        <v>45459</v>
      </c>
      <c r="B171" s="15">
        <f>WEEKDAY($A171,2)</f>
        <v/>
      </c>
      <c r="C171" s="15">
        <f>IF(AND($A171&gt;=INT(Instellingen!$B$5),$A171&lt;=INT(Instellingen!$B$6)),1,0)</f>
        <v/>
      </c>
      <c r="D171" s="20">
        <f>COUNTIFS(tData[SEHTrajectPeriodeDatumTijdVan],"&lt;="&amp;($A171+0/24),tData[SEHTrajectPeriodeDatumTijdTotEnMet],"&gt;"&amp;($A171+0/24),tData[Langligger01],1)</f>
        <v/>
      </c>
      <c r="E171" s="20">
        <f>COUNTIFS(tData[SEHTrajectPeriodeDatumTijdVan],"&lt;="&amp;($A171+1/24),tData[SEHTrajectPeriodeDatumTijdTotEnMet],"&gt;"&amp;($A171+1/24),tData[Langligger01],1)</f>
        <v/>
      </c>
      <c r="F171" s="20">
        <f>COUNTIFS(tData[SEHTrajectPeriodeDatumTijdVan],"&lt;="&amp;($A171+2/24),tData[SEHTrajectPeriodeDatumTijdTotEnMet],"&gt;"&amp;($A171+2/24),tData[Langligger01],1)</f>
        <v/>
      </c>
      <c r="G171" s="20">
        <f>COUNTIFS(tData[SEHTrajectPeriodeDatumTijdVan],"&lt;="&amp;($A171+3/24),tData[SEHTrajectPeriodeDatumTijdTotEnMet],"&gt;"&amp;($A171+3/24),tData[Langligger01],1)</f>
        <v/>
      </c>
      <c r="H171" s="20">
        <f>COUNTIFS(tData[SEHTrajectPeriodeDatumTijdVan],"&lt;="&amp;($A171+4/24),tData[SEHTrajectPeriodeDatumTijdTotEnMet],"&gt;"&amp;($A171+4/24),tData[Langligger01],1)</f>
        <v/>
      </c>
      <c r="I171" s="20">
        <f>COUNTIFS(tData[SEHTrajectPeriodeDatumTijdVan],"&lt;="&amp;($A171+5/24),tData[SEHTrajectPeriodeDatumTijdTotEnMet],"&gt;"&amp;($A171+5/24),tData[Langligger01],1)</f>
        <v/>
      </c>
      <c r="J171" s="20">
        <f>COUNTIFS(tData[SEHTrajectPeriodeDatumTijdVan],"&lt;="&amp;($A171+6/24),tData[SEHTrajectPeriodeDatumTijdTotEnMet],"&gt;"&amp;($A171+6/24),tData[Langligger01],1)</f>
        <v/>
      </c>
      <c r="K171" s="20">
        <f>COUNTIFS(tData[SEHTrajectPeriodeDatumTijdVan],"&lt;="&amp;($A171+7/24),tData[SEHTrajectPeriodeDatumTijdTotEnMet],"&gt;"&amp;($A171+7/24),tData[Langligger01],1)</f>
        <v/>
      </c>
      <c r="L171" s="20">
        <f>COUNTIFS(tData[SEHTrajectPeriodeDatumTijdVan],"&lt;="&amp;($A171+8/24),tData[SEHTrajectPeriodeDatumTijdTotEnMet],"&gt;"&amp;($A171+8/24),tData[Langligger01],1)</f>
        <v/>
      </c>
      <c r="M171" s="20">
        <f>COUNTIFS(tData[SEHTrajectPeriodeDatumTijdVan],"&lt;="&amp;($A171+9/24),tData[SEHTrajectPeriodeDatumTijdTotEnMet],"&gt;"&amp;($A171+9/24),tData[Langligger01],1)</f>
        <v/>
      </c>
      <c r="N171" s="20">
        <f>COUNTIFS(tData[SEHTrajectPeriodeDatumTijdVan],"&lt;="&amp;($A171+10/24),tData[SEHTrajectPeriodeDatumTijdTotEnMet],"&gt;"&amp;($A171+10/24),tData[Langligger01],1)</f>
        <v/>
      </c>
      <c r="O171" s="20">
        <f>COUNTIFS(tData[SEHTrajectPeriodeDatumTijdVan],"&lt;="&amp;($A171+11/24),tData[SEHTrajectPeriodeDatumTijdTotEnMet],"&gt;"&amp;($A171+11/24),tData[Langligger01],1)</f>
        <v/>
      </c>
      <c r="P171" s="20">
        <f>COUNTIFS(tData[SEHTrajectPeriodeDatumTijdVan],"&lt;="&amp;($A171+12/24),tData[SEHTrajectPeriodeDatumTijdTotEnMet],"&gt;"&amp;($A171+12/24),tData[Langligger01],1)</f>
        <v/>
      </c>
      <c r="Q171" s="20">
        <f>COUNTIFS(tData[SEHTrajectPeriodeDatumTijdVan],"&lt;="&amp;($A171+13/24),tData[SEHTrajectPeriodeDatumTijdTotEnMet],"&gt;"&amp;($A171+13/24),tData[Langligger01],1)</f>
        <v/>
      </c>
      <c r="R171" s="20">
        <f>COUNTIFS(tData[SEHTrajectPeriodeDatumTijdVan],"&lt;="&amp;($A171+14/24),tData[SEHTrajectPeriodeDatumTijdTotEnMet],"&gt;"&amp;($A171+14/24),tData[Langligger01],1)</f>
        <v/>
      </c>
      <c r="S171" s="20">
        <f>COUNTIFS(tData[SEHTrajectPeriodeDatumTijdVan],"&lt;="&amp;($A171+15/24),tData[SEHTrajectPeriodeDatumTijdTotEnMet],"&gt;"&amp;($A171+15/24),tData[Langligger01],1)</f>
        <v/>
      </c>
      <c r="T171" s="20">
        <f>COUNTIFS(tData[SEHTrajectPeriodeDatumTijdVan],"&lt;="&amp;($A171+16/24),tData[SEHTrajectPeriodeDatumTijdTotEnMet],"&gt;"&amp;($A171+16/24),tData[Langligger01],1)</f>
        <v/>
      </c>
      <c r="U171" s="20">
        <f>COUNTIFS(tData[SEHTrajectPeriodeDatumTijdVan],"&lt;="&amp;($A171+17/24),tData[SEHTrajectPeriodeDatumTijdTotEnMet],"&gt;"&amp;($A171+17/24),tData[Langligger01],1)</f>
        <v/>
      </c>
      <c r="V171" s="20">
        <f>COUNTIFS(tData[SEHTrajectPeriodeDatumTijdVan],"&lt;="&amp;($A171+18/24),tData[SEHTrajectPeriodeDatumTijdTotEnMet],"&gt;"&amp;($A171+18/24),tData[Langligger01],1)</f>
        <v/>
      </c>
      <c r="W171" s="20">
        <f>COUNTIFS(tData[SEHTrajectPeriodeDatumTijdVan],"&lt;="&amp;($A171+19/24),tData[SEHTrajectPeriodeDatumTijdTotEnMet],"&gt;"&amp;($A171+19/24),tData[Langligger01],1)</f>
        <v/>
      </c>
      <c r="X171" s="20">
        <f>COUNTIFS(tData[SEHTrajectPeriodeDatumTijdVan],"&lt;="&amp;($A171+20/24),tData[SEHTrajectPeriodeDatumTijdTotEnMet],"&gt;"&amp;($A171+20/24),tData[Langligger01],1)</f>
        <v/>
      </c>
      <c r="Y171" s="20">
        <f>COUNTIFS(tData[SEHTrajectPeriodeDatumTijdVan],"&lt;="&amp;($A171+21/24),tData[SEHTrajectPeriodeDatumTijdTotEnMet],"&gt;"&amp;($A171+21/24),tData[Langligger01],1)</f>
        <v/>
      </c>
      <c r="Z171" s="20">
        <f>COUNTIFS(tData[SEHTrajectPeriodeDatumTijdVan],"&lt;="&amp;($A171+22/24),tData[SEHTrajectPeriodeDatumTijdTotEnMet],"&gt;"&amp;($A171+22/24),tData[Langligger01],1)</f>
        <v/>
      </c>
      <c r="AA171" s="20">
        <f>COUNTIFS(tData[SEHTrajectPeriodeDatumTijdVan],"&lt;="&amp;($A171+23/24),tData[SEHTrajectPeriodeDatumTijdTotEnMet],"&gt;"&amp;($A171+23/24),tData[Langligger01],1)</f>
        <v/>
      </c>
    </row>
    <row r="172">
      <c r="A172" s="19" t="n">
        <v>45460</v>
      </c>
      <c r="B172" s="15">
        <f>WEEKDAY($A172,2)</f>
        <v/>
      </c>
      <c r="C172" s="15">
        <f>IF(AND($A172&gt;=INT(Instellingen!$B$5),$A172&lt;=INT(Instellingen!$B$6)),1,0)</f>
        <v/>
      </c>
      <c r="D172" s="20">
        <f>COUNTIFS(tData[SEHTrajectPeriodeDatumTijdVan],"&lt;="&amp;($A172+0/24),tData[SEHTrajectPeriodeDatumTijdTotEnMet],"&gt;"&amp;($A172+0/24),tData[Langligger01],1)</f>
        <v/>
      </c>
      <c r="E172" s="20">
        <f>COUNTIFS(tData[SEHTrajectPeriodeDatumTijdVan],"&lt;="&amp;($A172+1/24),tData[SEHTrajectPeriodeDatumTijdTotEnMet],"&gt;"&amp;($A172+1/24),tData[Langligger01],1)</f>
        <v/>
      </c>
      <c r="F172" s="20">
        <f>COUNTIFS(tData[SEHTrajectPeriodeDatumTijdVan],"&lt;="&amp;($A172+2/24),tData[SEHTrajectPeriodeDatumTijdTotEnMet],"&gt;"&amp;($A172+2/24),tData[Langligger01],1)</f>
        <v/>
      </c>
      <c r="G172" s="20">
        <f>COUNTIFS(tData[SEHTrajectPeriodeDatumTijdVan],"&lt;="&amp;($A172+3/24),tData[SEHTrajectPeriodeDatumTijdTotEnMet],"&gt;"&amp;($A172+3/24),tData[Langligger01],1)</f>
        <v/>
      </c>
      <c r="H172" s="20">
        <f>COUNTIFS(tData[SEHTrajectPeriodeDatumTijdVan],"&lt;="&amp;($A172+4/24),tData[SEHTrajectPeriodeDatumTijdTotEnMet],"&gt;"&amp;($A172+4/24),tData[Langligger01],1)</f>
        <v/>
      </c>
      <c r="I172" s="20">
        <f>COUNTIFS(tData[SEHTrajectPeriodeDatumTijdVan],"&lt;="&amp;($A172+5/24),tData[SEHTrajectPeriodeDatumTijdTotEnMet],"&gt;"&amp;($A172+5/24),tData[Langligger01],1)</f>
        <v/>
      </c>
      <c r="J172" s="20">
        <f>COUNTIFS(tData[SEHTrajectPeriodeDatumTijdVan],"&lt;="&amp;($A172+6/24),tData[SEHTrajectPeriodeDatumTijdTotEnMet],"&gt;"&amp;($A172+6/24),tData[Langligger01],1)</f>
        <v/>
      </c>
      <c r="K172" s="20">
        <f>COUNTIFS(tData[SEHTrajectPeriodeDatumTijdVan],"&lt;="&amp;($A172+7/24),tData[SEHTrajectPeriodeDatumTijdTotEnMet],"&gt;"&amp;($A172+7/24),tData[Langligger01],1)</f>
        <v/>
      </c>
      <c r="L172" s="20">
        <f>COUNTIFS(tData[SEHTrajectPeriodeDatumTijdVan],"&lt;="&amp;($A172+8/24),tData[SEHTrajectPeriodeDatumTijdTotEnMet],"&gt;"&amp;($A172+8/24),tData[Langligger01],1)</f>
        <v/>
      </c>
      <c r="M172" s="20">
        <f>COUNTIFS(tData[SEHTrajectPeriodeDatumTijdVan],"&lt;="&amp;($A172+9/24),tData[SEHTrajectPeriodeDatumTijdTotEnMet],"&gt;"&amp;($A172+9/24),tData[Langligger01],1)</f>
        <v/>
      </c>
      <c r="N172" s="20">
        <f>COUNTIFS(tData[SEHTrajectPeriodeDatumTijdVan],"&lt;="&amp;($A172+10/24),tData[SEHTrajectPeriodeDatumTijdTotEnMet],"&gt;"&amp;($A172+10/24),tData[Langligger01],1)</f>
        <v/>
      </c>
      <c r="O172" s="20">
        <f>COUNTIFS(tData[SEHTrajectPeriodeDatumTijdVan],"&lt;="&amp;($A172+11/24),tData[SEHTrajectPeriodeDatumTijdTotEnMet],"&gt;"&amp;($A172+11/24),tData[Langligger01],1)</f>
        <v/>
      </c>
      <c r="P172" s="20">
        <f>COUNTIFS(tData[SEHTrajectPeriodeDatumTijdVan],"&lt;="&amp;($A172+12/24),tData[SEHTrajectPeriodeDatumTijdTotEnMet],"&gt;"&amp;($A172+12/24),tData[Langligger01],1)</f>
        <v/>
      </c>
      <c r="Q172" s="20">
        <f>COUNTIFS(tData[SEHTrajectPeriodeDatumTijdVan],"&lt;="&amp;($A172+13/24),tData[SEHTrajectPeriodeDatumTijdTotEnMet],"&gt;"&amp;($A172+13/24),tData[Langligger01],1)</f>
        <v/>
      </c>
      <c r="R172" s="20">
        <f>COUNTIFS(tData[SEHTrajectPeriodeDatumTijdVan],"&lt;="&amp;($A172+14/24),tData[SEHTrajectPeriodeDatumTijdTotEnMet],"&gt;"&amp;($A172+14/24),tData[Langligger01],1)</f>
        <v/>
      </c>
      <c r="S172" s="20">
        <f>COUNTIFS(tData[SEHTrajectPeriodeDatumTijdVan],"&lt;="&amp;($A172+15/24),tData[SEHTrajectPeriodeDatumTijdTotEnMet],"&gt;"&amp;($A172+15/24),tData[Langligger01],1)</f>
        <v/>
      </c>
      <c r="T172" s="20">
        <f>COUNTIFS(tData[SEHTrajectPeriodeDatumTijdVan],"&lt;="&amp;($A172+16/24),tData[SEHTrajectPeriodeDatumTijdTotEnMet],"&gt;"&amp;($A172+16/24),tData[Langligger01],1)</f>
        <v/>
      </c>
      <c r="U172" s="20">
        <f>COUNTIFS(tData[SEHTrajectPeriodeDatumTijdVan],"&lt;="&amp;($A172+17/24),tData[SEHTrajectPeriodeDatumTijdTotEnMet],"&gt;"&amp;($A172+17/24),tData[Langligger01],1)</f>
        <v/>
      </c>
      <c r="V172" s="20">
        <f>COUNTIFS(tData[SEHTrajectPeriodeDatumTijdVan],"&lt;="&amp;($A172+18/24),tData[SEHTrajectPeriodeDatumTijdTotEnMet],"&gt;"&amp;($A172+18/24),tData[Langligger01],1)</f>
        <v/>
      </c>
      <c r="W172" s="20">
        <f>COUNTIFS(tData[SEHTrajectPeriodeDatumTijdVan],"&lt;="&amp;($A172+19/24),tData[SEHTrajectPeriodeDatumTijdTotEnMet],"&gt;"&amp;($A172+19/24),tData[Langligger01],1)</f>
        <v/>
      </c>
      <c r="X172" s="20">
        <f>COUNTIFS(tData[SEHTrajectPeriodeDatumTijdVan],"&lt;="&amp;($A172+20/24),tData[SEHTrajectPeriodeDatumTijdTotEnMet],"&gt;"&amp;($A172+20/24),tData[Langligger01],1)</f>
        <v/>
      </c>
      <c r="Y172" s="20">
        <f>COUNTIFS(tData[SEHTrajectPeriodeDatumTijdVan],"&lt;="&amp;($A172+21/24),tData[SEHTrajectPeriodeDatumTijdTotEnMet],"&gt;"&amp;($A172+21/24),tData[Langligger01],1)</f>
        <v/>
      </c>
      <c r="Z172" s="20">
        <f>COUNTIFS(tData[SEHTrajectPeriodeDatumTijdVan],"&lt;="&amp;($A172+22/24),tData[SEHTrajectPeriodeDatumTijdTotEnMet],"&gt;"&amp;($A172+22/24),tData[Langligger01],1)</f>
        <v/>
      </c>
      <c r="AA172" s="20">
        <f>COUNTIFS(tData[SEHTrajectPeriodeDatumTijdVan],"&lt;="&amp;($A172+23/24),tData[SEHTrajectPeriodeDatumTijdTotEnMet],"&gt;"&amp;($A172+23/24),tData[Langligger01],1)</f>
        <v/>
      </c>
    </row>
    <row r="173">
      <c r="A173" s="19" t="n">
        <v>45461</v>
      </c>
      <c r="B173" s="15">
        <f>WEEKDAY($A173,2)</f>
        <v/>
      </c>
      <c r="C173" s="15">
        <f>IF(AND($A173&gt;=INT(Instellingen!$B$5),$A173&lt;=INT(Instellingen!$B$6)),1,0)</f>
        <v/>
      </c>
      <c r="D173" s="20">
        <f>COUNTIFS(tData[SEHTrajectPeriodeDatumTijdVan],"&lt;="&amp;($A173+0/24),tData[SEHTrajectPeriodeDatumTijdTotEnMet],"&gt;"&amp;($A173+0/24),tData[Langligger01],1)</f>
        <v/>
      </c>
      <c r="E173" s="20">
        <f>COUNTIFS(tData[SEHTrajectPeriodeDatumTijdVan],"&lt;="&amp;($A173+1/24),tData[SEHTrajectPeriodeDatumTijdTotEnMet],"&gt;"&amp;($A173+1/24),tData[Langligger01],1)</f>
        <v/>
      </c>
      <c r="F173" s="20">
        <f>COUNTIFS(tData[SEHTrajectPeriodeDatumTijdVan],"&lt;="&amp;($A173+2/24),tData[SEHTrajectPeriodeDatumTijdTotEnMet],"&gt;"&amp;($A173+2/24),tData[Langligger01],1)</f>
        <v/>
      </c>
      <c r="G173" s="20">
        <f>COUNTIFS(tData[SEHTrajectPeriodeDatumTijdVan],"&lt;="&amp;($A173+3/24),tData[SEHTrajectPeriodeDatumTijdTotEnMet],"&gt;"&amp;($A173+3/24),tData[Langligger01],1)</f>
        <v/>
      </c>
      <c r="H173" s="20">
        <f>COUNTIFS(tData[SEHTrajectPeriodeDatumTijdVan],"&lt;="&amp;($A173+4/24),tData[SEHTrajectPeriodeDatumTijdTotEnMet],"&gt;"&amp;($A173+4/24),tData[Langligger01],1)</f>
        <v/>
      </c>
      <c r="I173" s="20">
        <f>COUNTIFS(tData[SEHTrajectPeriodeDatumTijdVan],"&lt;="&amp;($A173+5/24),tData[SEHTrajectPeriodeDatumTijdTotEnMet],"&gt;"&amp;($A173+5/24),tData[Langligger01],1)</f>
        <v/>
      </c>
      <c r="J173" s="20">
        <f>COUNTIFS(tData[SEHTrajectPeriodeDatumTijdVan],"&lt;="&amp;($A173+6/24),tData[SEHTrajectPeriodeDatumTijdTotEnMet],"&gt;"&amp;($A173+6/24),tData[Langligger01],1)</f>
        <v/>
      </c>
      <c r="K173" s="20">
        <f>COUNTIFS(tData[SEHTrajectPeriodeDatumTijdVan],"&lt;="&amp;($A173+7/24),tData[SEHTrajectPeriodeDatumTijdTotEnMet],"&gt;"&amp;($A173+7/24),tData[Langligger01],1)</f>
        <v/>
      </c>
      <c r="L173" s="20">
        <f>COUNTIFS(tData[SEHTrajectPeriodeDatumTijdVan],"&lt;="&amp;($A173+8/24),tData[SEHTrajectPeriodeDatumTijdTotEnMet],"&gt;"&amp;($A173+8/24),tData[Langligger01],1)</f>
        <v/>
      </c>
      <c r="M173" s="20">
        <f>COUNTIFS(tData[SEHTrajectPeriodeDatumTijdVan],"&lt;="&amp;($A173+9/24),tData[SEHTrajectPeriodeDatumTijdTotEnMet],"&gt;"&amp;($A173+9/24),tData[Langligger01],1)</f>
        <v/>
      </c>
      <c r="N173" s="20">
        <f>COUNTIFS(tData[SEHTrajectPeriodeDatumTijdVan],"&lt;="&amp;($A173+10/24),tData[SEHTrajectPeriodeDatumTijdTotEnMet],"&gt;"&amp;($A173+10/24),tData[Langligger01],1)</f>
        <v/>
      </c>
      <c r="O173" s="20">
        <f>COUNTIFS(tData[SEHTrajectPeriodeDatumTijdVan],"&lt;="&amp;($A173+11/24),tData[SEHTrajectPeriodeDatumTijdTotEnMet],"&gt;"&amp;($A173+11/24),tData[Langligger01],1)</f>
        <v/>
      </c>
      <c r="P173" s="20">
        <f>COUNTIFS(tData[SEHTrajectPeriodeDatumTijdVan],"&lt;="&amp;($A173+12/24),tData[SEHTrajectPeriodeDatumTijdTotEnMet],"&gt;"&amp;($A173+12/24),tData[Langligger01],1)</f>
        <v/>
      </c>
      <c r="Q173" s="20">
        <f>COUNTIFS(tData[SEHTrajectPeriodeDatumTijdVan],"&lt;="&amp;($A173+13/24),tData[SEHTrajectPeriodeDatumTijdTotEnMet],"&gt;"&amp;($A173+13/24),tData[Langligger01],1)</f>
        <v/>
      </c>
      <c r="R173" s="20">
        <f>COUNTIFS(tData[SEHTrajectPeriodeDatumTijdVan],"&lt;="&amp;($A173+14/24),tData[SEHTrajectPeriodeDatumTijdTotEnMet],"&gt;"&amp;($A173+14/24),tData[Langligger01],1)</f>
        <v/>
      </c>
      <c r="S173" s="20">
        <f>COUNTIFS(tData[SEHTrajectPeriodeDatumTijdVan],"&lt;="&amp;($A173+15/24),tData[SEHTrajectPeriodeDatumTijdTotEnMet],"&gt;"&amp;($A173+15/24),tData[Langligger01],1)</f>
        <v/>
      </c>
      <c r="T173" s="20">
        <f>COUNTIFS(tData[SEHTrajectPeriodeDatumTijdVan],"&lt;="&amp;($A173+16/24),tData[SEHTrajectPeriodeDatumTijdTotEnMet],"&gt;"&amp;($A173+16/24),tData[Langligger01],1)</f>
        <v/>
      </c>
      <c r="U173" s="20">
        <f>COUNTIFS(tData[SEHTrajectPeriodeDatumTijdVan],"&lt;="&amp;($A173+17/24),tData[SEHTrajectPeriodeDatumTijdTotEnMet],"&gt;"&amp;($A173+17/24),tData[Langligger01],1)</f>
        <v/>
      </c>
      <c r="V173" s="20">
        <f>COUNTIFS(tData[SEHTrajectPeriodeDatumTijdVan],"&lt;="&amp;($A173+18/24),tData[SEHTrajectPeriodeDatumTijdTotEnMet],"&gt;"&amp;($A173+18/24),tData[Langligger01],1)</f>
        <v/>
      </c>
      <c r="W173" s="20">
        <f>COUNTIFS(tData[SEHTrajectPeriodeDatumTijdVan],"&lt;="&amp;($A173+19/24),tData[SEHTrajectPeriodeDatumTijdTotEnMet],"&gt;"&amp;($A173+19/24),tData[Langligger01],1)</f>
        <v/>
      </c>
      <c r="X173" s="20">
        <f>COUNTIFS(tData[SEHTrajectPeriodeDatumTijdVan],"&lt;="&amp;($A173+20/24),tData[SEHTrajectPeriodeDatumTijdTotEnMet],"&gt;"&amp;($A173+20/24),tData[Langligger01],1)</f>
        <v/>
      </c>
      <c r="Y173" s="20">
        <f>COUNTIFS(tData[SEHTrajectPeriodeDatumTijdVan],"&lt;="&amp;($A173+21/24),tData[SEHTrajectPeriodeDatumTijdTotEnMet],"&gt;"&amp;($A173+21/24),tData[Langligger01],1)</f>
        <v/>
      </c>
      <c r="Z173" s="20">
        <f>COUNTIFS(tData[SEHTrajectPeriodeDatumTijdVan],"&lt;="&amp;($A173+22/24),tData[SEHTrajectPeriodeDatumTijdTotEnMet],"&gt;"&amp;($A173+22/24),tData[Langligger01],1)</f>
        <v/>
      </c>
      <c r="AA173" s="20">
        <f>COUNTIFS(tData[SEHTrajectPeriodeDatumTijdVan],"&lt;="&amp;($A173+23/24),tData[SEHTrajectPeriodeDatumTijdTotEnMet],"&gt;"&amp;($A173+23/24),tData[Langligger01],1)</f>
        <v/>
      </c>
    </row>
    <row r="174">
      <c r="A174" s="19" t="n">
        <v>45462</v>
      </c>
      <c r="B174" s="15">
        <f>WEEKDAY($A174,2)</f>
        <v/>
      </c>
      <c r="C174" s="15">
        <f>IF(AND($A174&gt;=INT(Instellingen!$B$5),$A174&lt;=INT(Instellingen!$B$6)),1,0)</f>
        <v/>
      </c>
      <c r="D174" s="20">
        <f>COUNTIFS(tData[SEHTrajectPeriodeDatumTijdVan],"&lt;="&amp;($A174+0/24),tData[SEHTrajectPeriodeDatumTijdTotEnMet],"&gt;"&amp;($A174+0/24),tData[Langligger01],1)</f>
        <v/>
      </c>
      <c r="E174" s="20">
        <f>COUNTIFS(tData[SEHTrajectPeriodeDatumTijdVan],"&lt;="&amp;($A174+1/24),tData[SEHTrajectPeriodeDatumTijdTotEnMet],"&gt;"&amp;($A174+1/24),tData[Langligger01],1)</f>
        <v/>
      </c>
      <c r="F174" s="20">
        <f>COUNTIFS(tData[SEHTrajectPeriodeDatumTijdVan],"&lt;="&amp;($A174+2/24),tData[SEHTrajectPeriodeDatumTijdTotEnMet],"&gt;"&amp;($A174+2/24),tData[Langligger01],1)</f>
        <v/>
      </c>
      <c r="G174" s="20">
        <f>COUNTIFS(tData[SEHTrajectPeriodeDatumTijdVan],"&lt;="&amp;($A174+3/24),tData[SEHTrajectPeriodeDatumTijdTotEnMet],"&gt;"&amp;($A174+3/24),tData[Langligger01],1)</f>
        <v/>
      </c>
      <c r="H174" s="20">
        <f>COUNTIFS(tData[SEHTrajectPeriodeDatumTijdVan],"&lt;="&amp;($A174+4/24),tData[SEHTrajectPeriodeDatumTijdTotEnMet],"&gt;"&amp;($A174+4/24),tData[Langligger01],1)</f>
        <v/>
      </c>
      <c r="I174" s="20">
        <f>COUNTIFS(tData[SEHTrajectPeriodeDatumTijdVan],"&lt;="&amp;($A174+5/24),tData[SEHTrajectPeriodeDatumTijdTotEnMet],"&gt;"&amp;($A174+5/24),tData[Langligger01],1)</f>
        <v/>
      </c>
      <c r="J174" s="20">
        <f>COUNTIFS(tData[SEHTrajectPeriodeDatumTijdVan],"&lt;="&amp;($A174+6/24),tData[SEHTrajectPeriodeDatumTijdTotEnMet],"&gt;"&amp;($A174+6/24),tData[Langligger01],1)</f>
        <v/>
      </c>
      <c r="K174" s="20">
        <f>COUNTIFS(tData[SEHTrajectPeriodeDatumTijdVan],"&lt;="&amp;($A174+7/24),tData[SEHTrajectPeriodeDatumTijdTotEnMet],"&gt;"&amp;($A174+7/24),tData[Langligger01],1)</f>
        <v/>
      </c>
      <c r="L174" s="20">
        <f>COUNTIFS(tData[SEHTrajectPeriodeDatumTijdVan],"&lt;="&amp;($A174+8/24),tData[SEHTrajectPeriodeDatumTijdTotEnMet],"&gt;"&amp;($A174+8/24),tData[Langligger01],1)</f>
        <v/>
      </c>
      <c r="M174" s="20">
        <f>COUNTIFS(tData[SEHTrajectPeriodeDatumTijdVan],"&lt;="&amp;($A174+9/24),tData[SEHTrajectPeriodeDatumTijdTotEnMet],"&gt;"&amp;($A174+9/24),tData[Langligger01],1)</f>
        <v/>
      </c>
      <c r="N174" s="20">
        <f>COUNTIFS(tData[SEHTrajectPeriodeDatumTijdVan],"&lt;="&amp;($A174+10/24),tData[SEHTrajectPeriodeDatumTijdTotEnMet],"&gt;"&amp;($A174+10/24),tData[Langligger01],1)</f>
        <v/>
      </c>
      <c r="O174" s="20">
        <f>COUNTIFS(tData[SEHTrajectPeriodeDatumTijdVan],"&lt;="&amp;($A174+11/24),tData[SEHTrajectPeriodeDatumTijdTotEnMet],"&gt;"&amp;($A174+11/24),tData[Langligger01],1)</f>
        <v/>
      </c>
      <c r="P174" s="20">
        <f>COUNTIFS(tData[SEHTrajectPeriodeDatumTijdVan],"&lt;="&amp;($A174+12/24),tData[SEHTrajectPeriodeDatumTijdTotEnMet],"&gt;"&amp;($A174+12/24),tData[Langligger01],1)</f>
        <v/>
      </c>
      <c r="Q174" s="20">
        <f>COUNTIFS(tData[SEHTrajectPeriodeDatumTijdVan],"&lt;="&amp;($A174+13/24),tData[SEHTrajectPeriodeDatumTijdTotEnMet],"&gt;"&amp;($A174+13/24),tData[Langligger01],1)</f>
        <v/>
      </c>
      <c r="R174" s="20">
        <f>COUNTIFS(tData[SEHTrajectPeriodeDatumTijdVan],"&lt;="&amp;($A174+14/24),tData[SEHTrajectPeriodeDatumTijdTotEnMet],"&gt;"&amp;($A174+14/24),tData[Langligger01],1)</f>
        <v/>
      </c>
      <c r="S174" s="20">
        <f>COUNTIFS(tData[SEHTrajectPeriodeDatumTijdVan],"&lt;="&amp;($A174+15/24),tData[SEHTrajectPeriodeDatumTijdTotEnMet],"&gt;"&amp;($A174+15/24),tData[Langligger01],1)</f>
        <v/>
      </c>
      <c r="T174" s="20">
        <f>COUNTIFS(tData[SEHTrajectPeriodeDatumTijdVan],"&lt;="&amp;($A174+16/24),tData[SEHTrajectPeriodeDatumTijdTotEnMet],"&gt;"&amp;($A174+16/24),tData[Langligger01],1)</f>
        <v/>
      </c>
      <c r="U174" s="20">
        <f>COUNTIFS(tData[SEHTrajectPeriodeDatumTijdVan],"&lt;="&amp;($A174+17/24),tData[SEHTrajectPeriodeDatumTijdTotEnMet],"&gt;"&amp;($A174+17/24),tData[Langligger01],1)</f>
        <v/>
      </c>
      <c r="V174" s="20">
        <f>COUNTIFS(tData[SEHTrajectPeriodeDatumTijdVan],"&lt;="&amp;($A174+18/24),tData[SEHTrajectPeriodeDatumTijdTotEnMet],"&gt;"&amp;($A174+18/24),tData[Langligger01],1)</f>
        <v/>
      </c>
      <c r="W174" s="20">
        <f>COUNTIFS(tData[SEHTrajectPeriodeDatumTijdVan],"&lt;="&amp;($A174+19/24),tData[SEHTrajectPeriodeDatumTijdTotEnMet],"&gt;"&amp;($A174+19/24),tData[Langligger01],1)</f>
        <v/>
      </c>
      <c r="X174" s="20">
        <f>COUNTIFS(tData[SEHTrajectPeriodeDatumTijdVan],"&lt;="&amp;($A174+20/24),tData[SEHTrajectPeriodeDatumTijdTotEnMet],"&gt;"&amp;($A174+20/24),tData[Langligger01],1)</f>
        <v/>
      </c>
      <c r="Y174" s="20">
        <f>COUNTIFS(tData[SEHTrajectPeriodeDatumTijdVan],"&lt;="&amp;($A174+21/24),tData[SEHTrajectPeriodeDatumTijdTotEnMet],"&gt;"&amp;($A174+21/24),tData[Langligger01],1)</f>
        <v/>
      </c>
      <c r="Z174" s="20">
        <f>COUNTIFS(tData[SEHTrajectPeriodeDatumTijdVan],"&lt;="&amp;($A174+22/24),tData[SEHTrajectPeriodeDatumTijdTotEnMet],"&gt;"&amp;($A174+22/24),tData[Langligger01],1)</f>
        <v/>
      </c>
      <c r="AA174" s="20">
        <f>COUNTIFS(tData[SEHTrajectPeriodeDatumTijdVan],"&lt;="&amp;($A174+23/24),tData[SEHTrajectPeriodeDatumTijdTotEnMet],"&gt;"&amp;($A174+23/24),tData[Langligger01],1)</f>
        <v/>
      </c>
    </row>
    <row r="175">
      <c r="A175" s="19" t="n">
        <v>45463</v>
      </c>
      <c r="B175" s="15">
        <f>WEEKDAY($A175,2)</f>
        <v/>
      </c>
      <c r="C175" s="15">
        <f>IF(AND($A175&gt;=INT(Instellingen!$B$5),$A175&lt;=INT(Instellingen!$B$6)),1,0)</f>
        <v/>
      </c>
      <c r="D175" s="20">
        <f>COUNTIFS(tData[SEHTrajectPeriodeDatumTijdVan],"&lt;="&amp;($A175+0/24),tData[SEHTrajectPeriodeDatumTijdTotEnMet],"&gt;"&amp;($A175+0/24),tData[Langligger01],1)</f>
        <v/>
      </c>
      <c r="E175" s="20">
        <f>COUNTIFS(tData[SEHTrajectPeriodeDatumTijdVan],"&lt;="&amp;($A175+1/24),tData[SEHTrajectPeriodeDatumTijdTotEnMet],"&gt;"&amp;($A175+1/24),tData[Langligger01],1)</f>
        <v/>
      </c>
      <c r="F175" s="20">
        <f>COUNTIFS(tData[SEHTrajectPeriodeDatumTijdVan],"&lt;="&amp;($A175+2/24),tData[SEHTrajectPeriodeDatumTijdTotEnMet],"&gt;"&amp;($A175+2/24),tData[Langligger01],1)</f>
        <v/>
      </c>
      <c r="G175" s="20">
        <f>COUNTIFS(tData[SEHTrajectPeriodeDatumTijdVan],"&lt;="&amp;($A175+3/24),tData[SEHTrajectPeriodeDatumTijdTotEnMet],"&gt;"&amp;($A175+3/24),tData[Langligger01],1)</f>
        <v/>
      </c>
      <c r="H175" s="20">
        <f>COUNTIFS(tData[SEHTrajectPeriodeDatumTijdVan],"&lt;="&amp;($A175+4/24),tData[SEHTrajectPeriodeDatumTijdTotEnMet],"&gt;"&amp;($A175+4/24),tData[Langligger01],1)</f>
        <v/>
      </c>
      <c r="I175" s="20">
        <f>COUNTIFS(tData[SEHTrajectPeriodeDatumTijdVan],"&lt;="&amp;($A175+5/24),tData[SEHTrajectPeriodeDatumTijdTotEnMet],"&gt;"&amp;($A175+5/24),tData[Langligger01],1)</f>
        <v/>
      </c>
      <c r="J175" s="20">
        <f>COUNTIFS(tData[SEHTrajectPeriodeDatumTijdVan],"&lt;="&amp;($A175+6/24),tData[SEHTrajectPeriodeDatumTijdTotEnMet],"&gt;"&amp;($A175+6/24),tData[Langligger01],1)</f>
        <v/>
      </c>
      <c r="K175" s="20">
        <f>COUNTIFS(tData[SEHTrajectPeriodeDatumTijdVan],"&lt;="&amp;($A175+7/24),tData[SEHTrajectPeriodeDatumTijdTotEnMet],"&gt;"&amp;($A175+7/24),tData[Langligger01],1)</f>
        <v/>
      </c>
      <c r="L175" s="20">
        <f>COUNTIFS(tData[SEHTrajectPeriodeDatumTijdVan],"&lt;="&amp;($A175+8/24),tData[SEHTrajectPeriodeDatumTijdTotEnMet],"&gt;"&amp;($A175+8/24),tData[Langligger01],1)</f>
        <v/>
      </c>
      <c r="M175" s="20">
        <f>COUNTIFS(tData[SEHTrajectPeriodeDatumTijdVan],"&lt;="&amp;($A175+9/24),tData[SEHTrajectPeriodeDatumTijdTotEnMet],"&gt;"&amp;($A175+9/24),tData[Langligger01],1)</f>
        <v/>
      </c>
      <c r="N175" s="20">
        <f>COUNTIFS(tData[SEHTrajectPeriodeDatumTijdVan],"&lt;="&amp;($A175+10/24),tData[SEHTrajectPeriodeDatumTijdTotEnMet],"&gt;"&amp;($A175+10/24),tData[Langligger01],1)</f>
        <v/>
      </c>
      <c r="O175" s="20">
        <f>COUNTIFS(tData[SEHTrajectPeriodeDatumTijdVan],"&lt;="&amp;($A175+11/24),tData[SEHTrajectPeriodeDatumTijdTotEnMet],"&gt;"&amp;($A175+11/24),tData[Langligger01],1)</f>
        <v/>
      </c>
      <c r="P175" s="20">
        <f>COUNTIFS(tData[SEHTrajectPeriodeDatumTijdVan],"&lt;="&amp;($A175+12/24),tData[SEHTrajectPeriodeDatumTijdTotEnMet],"&gt;"&amp;($A175+12/24),tData[Langligger01],1)</f>
        <v/>
      </c>
      <c r="Q175" s="20">
        <f>COUNTIFS(tData[SEHTrajectPeriodeDatumTijdVan],"&lt;="&amp;($A175+13/24),tData[SEHTrajectPeriodeDatumTijdTotEnMet],"&gt;"&amp;($A175+13/24),tData[Langligger01],1)</f>
        <v/>
      </c>
      <c r="R175" s="20">
        <f>COUNTIFS(tData[SEHTrajectPeriodeDatumTijdVan],"&lt;="&amp;($A175+14/24),tData[SEHTrajectPeriodeDatumTijdTotEnMet],"&gt;"&amp;($A175+14/24),tData[Langligger01],1)</f>
        <v/>
      </c>
      <c r="S175" s="20">
        <f>COUNTIFS(tData[SEHTrajectPeriodeDatumTijdVan],"&lt;="&amp;($A175+15/24),tData[SEHTrajectPeriodeDatumTijdTotEnMet],"&gt;"&amp;($A175+15/24),tData[Langligger01],1)</f>
        <v/>
      </c>
      <c r="T175" s="20">
        <f>COUNTIFS(tData[SEHTrajectPeriodeDatumTijdVan],"&lt;="&amp;($A175+16/24),tData[SEHTrajectPeriodeDatumTijdTotEnMet],"&gt;"&amp;($A175+16/24),tData[Langligger01],1)</f>
        <v/>
      </c>
      <c r="U175" s="20">
        <f>COUNTIFS(tData[SEHTrajectPeriodeDatumTijdVan],"&lt;="&amp;($A175+17/24),tData[SEHTrajectPeriodeDatumTijdTotEnMet],"&gt;"&amp;($A175+17/24),tData[Langligger01],1)</f>
        <v/>
      </c>
      <c r="V175" s="20">
        <f>COUNTIFS(tData[SEHTrajectPeriodeDatumTijdVan],"&lt;="&amp;($A175+18/24),tData[SEHTrajectPeriodeDatumTijdTotEnMet],"&gt;"&amp;($A175+18/24),tData[Langligger01],1)</f>
        <v/>
      </c>
      <c r="W175" s="20">
        <f>COUNTIFS(tData[SEHTrajectPeriodeDatumTijdVan],"&lt;="&amp;($A175+19/24),tData[SEHTrajectPeriodeDatumTijdTotEnMet],"&gt;"&amp;($A175+19/24),tData[Langligger01],1)</f>
        <v/>
      </c>
      <c r="X175" s="20">
        <f>COUNTIFS(tData[SEHTrajectPeriodeDatumTijdVan],"&lt;="&amp;($A175+20/24),tData[SEHTrajectPeriodeDatumTijdTotEnMet],"&gt;"&amp;($A175+20/24),tData[Langligger01],1)</f>
        <v/>
      </c>
      <c r="Y175" s="20">
        <f>COUNTIFS(tData[SEHTrajectPeriodeDatumTijdVan],"&lt;="&amp;($A175+21/24),tData[SEHTrajectPeriodeDatumTijdTotEnMet],"&gt;"&amp;($A175+21/24),tData[Langligger01],1)</f>
        <v/>
      </c>
      <c r="Z175" s="20">
        <f>COUNTIFS(tData[SEHTrajectPeriodeDatumTijdVan],"&lt;="&amp;($A175+22/24),tData[SEHTrajectPeriodeDatumTijdTotEnMet],"&gt;"&amp;($A175+22/24),tData[Langligger01],1)</f>
        <v/>
      </c>
      <c r="AA175" s="20">
        <f>COUNTIFS(tData[SEHTrajectPeriodeDatumTijdVan],"&lt;="&amp;($A175+23/24),tData[SEHTrajectPeriodeDatumTijdTotEnMet],"&gt;"&amp;($A175+23/24),tData[Langligger01],1)</f>
        <v/>
      </c>
    </row>
    <row r="176">
      <c r="A176" s="19" t="n">
        <v>45464</v>
      </c>
      <c r="B176" s="15">
        <f>WEEKDAY($A176,2)</f>
        <v/>
      </c>
      <c r="C176" s="15">
        <f>IF(AND($A176&gt;=INT(Instellingen!$B$5),$A176&lt;=INT(Instellingen!$B$6)),1,0)</f>
        <v/>
      </c>
      <c r="D176" s="20">
        <f>COUNTIFS(tData[SEHTrajectPeriodeDatumTijdVan],"&lt;="&amp;($A176+0/24),tData[SEHTrajectPeriodeDatumTijdTotEnMet],"&gt;"&amp;($A176+0/24),tData[Langligger01],1)</f>
        <v/>
      </c>
      <c r="E176" s="20">
        <f>COUNTIFS(tData[SEHTrajectPeriodeDatumTijdVan],"&lt;="&amp;($A176+1/24),tData[SEHTrajectPeriodeDatumTijdTotEnMet],"&gt;"&amp;($A176+1/24),tData[Langligger01],1)</f>
        <v/>
      </c>
      <c r="F176" s="20">
        <f>COUNTIFS(tData[SEHTrajectPeriodeDatumTijdVan],"&lt;="&amp;($A176+2/24),tData[SEHTrajectPeriodeDatumTijdTotEnMet],"&gt;"&amp;($A176+2/24),tData[Langligger01],1)</f>
        <v/>
      </c>
      <c r="G176" s="20">
        <f>COUNTIFS(tData[SEHTrajectPeriodeDatumTijdVan],"&lt;="&amp;($A176+3/24),tData[SEHTrajectPeriodeDatumTijdTotEnMet],"&gt;"&amp;($A176+3/24),tData[Langligger01],1)</f>
        <v/>
      </c>
      <c r="H176" s="20">
        <f>COUNTIFS(tData[SEHTrajectPeriodeDatumTijdVan],"&lt;="&amp;($A176+4/24),tData[SEHTrajectPeriodeDatumTijdTotEnMet],"&gt;"&amp;($A176+4/24),tData[Langligger01],1)</f>
        <v/>
      </c>
      <c r="I176" s="20">
        <f>COUNTIFS(tData[SEHTrajectPeriodeDatumTijdVan],"&lt;="&amp;($A176+5/24),tData[SEHTrajectPeriodeDatumTijdTotEnMet],"&gt;"&amp;($A176+5/24),tData[Langligger01],1)</f>
        <v/>
      </c>
      <c r="J176" s="20">
        <f>COUNTIFS(tData[SEHTrajectPeriodeDatumTijdVan],"&lt;="&amp;($A176+6/24),tData[SEHTrajectPeriodeDatumTijdTotEnMet],"&gt;"&amp;($A176+6/24),tData[Langligger01],1)</f>
        <v/>
      </c>
      <c r="K176" s="20">
        <f>COUNTIFS(tData[SEHTrajectPeriodeDatumTijdVan],"&lt;="&amp;($A176+7/24),tData[SEHTrajectPeriodeDatumTijdTotEnMet],"&gt;"&amp;($A176+7/24),tData[Langligger01],1)</f>
        <v/>
      </c>
      <c r="L176" s="20">
        <f>COUNTIFS(tData[SEHTrajectPeriodeDatumTijdVan],"&lt;="&amp;($A176+8/24),tData[SEHTrajectPeriodeDatumTijdTotEnMet],"&gt;"&amp;($A176+8/24),tData[Langligger01],1)</f>
        <v/>
      </c>
      <c r="M176" s="20">
        <f>COUNTIFS(tData[SEHTrajectPeriodeDatumTijdVan],"&lt;="&amp;($A176+9/24),tData[SEHTrajectPeriodeDatumTijdTotEnMet],"&gt;"&amp;($A176+9/24),tData[Langligger01],1)</f>
        <v/>
      </c>
      <c r="N176" s="20">
        <f>COUNTIFS(tData[SEHTrajectPeriodeDatumTijdVan],"&lt;="&amp;($A176+10/24),tData[SEHTrajectPeriodeDatumTijdTotEnMet],"&gt;"&amp;($A176+10/24),tData[Langligger01],1)</f>
        <v/>
      </c>
      <c r="O176" s="20">
        <f>COUNTIFS(tData[SEHTrajectPeriodeDatumTijdVan],"&lt;="&amp;($A176+11/24),tData[SEHTrajectPeriodeDatumTijdTotEnMet],"&gt;"&amp;($A176+11/24),tData[Langligger01],1)</f>
        <v/>
      </c>
      <c r="P176" s="20">
        <f>COUNTIFS(tData[SEHTrajectPeriodeDatumTijdVan],"&lt;="&amp;($A176+12/24),tData[SEHTrajectPeriodeDatumTijdTotEnMet],"&gt;"&amp;($A176+12/24),tData[Langligger01],1)</f>
        <v/>
      </c>
      <c r="Q176" s="20">
        <f>COUNTIFS(tData[SEHTrajectPeriodeDatumTijdVan],"&lt;="&amp;($A176+13/24),tData[SEHTrajectPeriodeDatumTijdTotEnMet],"&gt;"&amp;($A176+13/24),tData[Langligger01],1)</f>
        <v/>
      </c>
      <c r="R176" s="20">
        <f>COUNTIFS(tData[SEHTrajectPeriodeDatumTijdVan],"&lt;="&amp;($A176+14/24),tData[SEHTrajectPeriodeDatumTijdTotEnMet],"&gt;"&amp;($A176+14/24),tData[Langligger01],1)</f>
        <v/>
      </c>
      <c r="S176" s="20">
        <f>COUNTIFS(tData[SEHTrajectPeriodeDatumTijdVan],"&lt;="&amp;($A176+15/24),tData[SEHTrajectPeriodeDatumTijdTotEnMet],"&gt;"&amp;($A176+15/24),tData[Langligger01],1)</f>
        <v/>
      </c>
      <c r="T176" s="20">
        <f>COUNTIFS(tData[SEHTrajectPeriodeDatumTijdVan],"&lt;="&amp;($A176+16/24),tData[SEHTrajectPeriodeDatumTijdTotEnMet],"&gt;"&amp;($A176+16/24),tData[Langligger01],1)</f>
        <v/>
      </c>
      <c r="U176" s="20">
        <f>COUNTIFS(tData[SEHTrajectPeriodeDatumTijdVan],"&lt;="&amp;($A176+17/24),tData[SEHTrajectPeriodeDatumTijdTotEnMet],"&gt;"&amp;($A176+17/24),tData[Langligger01],1)</f>
        <v/>
      </c>
      <c r="V176" s="20">
        <f>COUNTIFS(tData[SEHTrajectPeriodeDatumTijdVan],"&lt;="&amp;($A176+18/24),tData[SEHTrajectPeriodeDatumTijdTotEnMet],"&gt;"&amp;($A176+18/24),tData[Langligger01],1)</f>
        <v/>
      </c>
      <c r="W176" s="20">
        <f>COUNTIFS(tData[SEHTrajectPeriodeDatumTijdVan],"&lt;="&amp;($A176+19/24),tData[SEHTrajectPeriodeDatumTijdTotEnMet],"&gt;"&amp;($A176+19/24),tData[Langligger01],1)</f>
        <v/>
      </c>
      <c r="X176" s="20">
        <f>COUNTIFS(tData[SEHTrajectPeriodeDatumTijdVan],"&lt;="&amp;($A176+20/24),tData[SEHTrajectPeriodeDatumTijdTotEnMet],"&gt;"&amp;($A176+20/24),tData[Langligger01],1)</f>
        <v/>
      </c>
      <c r="Y176" s="20">
        <f>COUNTIFS(tData[SEHTrajectPeriodeDatumTijdVan],"&lt;="&amp;($A176+21/24),tData[SEHTrajectPeriodeDatumTijdTotEnMet],"&gt;"&amp;($A176+21/24),tData[Langligger01],1)</f>
        <v/>
      </c>
      <c r="Z176" s="20">
        <f>COUNTIFS(tData[SEHTrajectPeriodeDatumTijdVan],"&lt;="&amp;($A176+22/24),tData[SEHTrajectPeriodeDatumTijdTotEnMet],"&gt;"&amp;($A176+22/24),tData[Langligger01],1)</f>
        <v/>
      </c>
      <c r="AA176" s="20">
        <f>COUNTIFS(tData[SEHTrajectPeriodeDatumTijdVan],"&lt;="&amp;($A176+23/24),tData[SEHTrajectPeriodeDatumTijdTotEnMet],"&gt;"&amp;($A176+23/24),tData[Langligger01],1)</f>
        <v/>
      </c>
    </row>
    <row r="177">
      <c r="A177" s="19" t="n">
        <v>45465</v>
      </c>
      <c r="B177" s="15">
        <f>WEEKDAY($A177,2)</f>
        <v/>
      </c>
      <c r="C177" s="15">
        <f>IF(AND($A177&gt;=INT(Instellingen!$B$5),$A177&lt;=INT(Instellingen!$B$6)),1,0)</f>
        <v/>
      </c>
      <c r="D177" s="20">
        <f>COUNTIFS(tData[SEHTrajectPeriodeDatumTijdVan],"&lt;="&amp;($A177+0/24),tData[SEHTrajectPeriodeDatumTijdTotEnMet],"&gt;"&amp;($A177+0/24),tData[Langligger01],1)</f>
        <v/>
      </c>
      <c r="E177" s="20">
        <f>COUNTIFS(tData[SEHTrajectPeriodeDatumTijdVan],"&lt;="&amp;($A177+1/24),tData[SEHTrajectPeriodeDatumTijdTotEnMet],"&gt;"&amp;($A177+1/24),tData[Langligger01],1)</f>
        <v/>
      </c>
      <c r="F177" s="20">
        <f>COUNTIFS(tData[SEHTrajectPeriodeDatumTijdVan],"&lt;="&amp;($A177+2/24),tData[SEHTrajectPeriodeDatumTijdTotEnMet],"&gt;"&amp;($A177+2/24),tData[Langligger01],1)</f>
        <v/>
      </c>
      <c r="G177" s="20">
        <f>COUNTIFS(tData[SEHTrajectPeriodeDatumTijdVan],"&lt;="&amp;($A177+3/24),tData[SEHTrajectPeriodeDatumTijdTotEnMet],"&gt;"&amp;($A177+3/24),tData[Langligger01],1)</f>
        <v/>
      </c>
      <c r="H177" s="20">
        <f>COUNTIFS(tData[SEHTrajectPeriodeDatumTijdVan],"&lt;="&amp;($A177+4/24),tData[SEHTrajectPeriodeDatumTijdTotEnMet],"&gt;"&amp;($A177+4/24),tData[Langligger01],1)</f>
        <v/>
      </c>
      <c r="I177" s="20">
        <f>COUNTIFS(tData[SEHTrajectPeriodeDatumTijdVan],"&lt;="&amp;($A177+5/24),tData[SEHTrajectPeriodeDatumTijdTotEnMet],"&gt;"&amp;($A177+5/24),tData[Langligger01],1)</f>
        <v/>
      </c>
      <c r="J177" s="20">
        <f>COUNTIFS(tData[SEHTrajectPeriodeDatumTijdVan],"&lt;="&amp;($A177+6/24),tData[SEHTrajectPeriodeDatumTijdTotEnMet],"&gt;"&amp;($A177+6/24),tData[Langligger01],1)</f>
        <v/>
      </c>
      <c r="K177" s="20">
        <f>COUNTIFS(tData[SEHTrajectPeriodeDatumTijdVan],"&lt;="&amp;($A177+7/24),tData[SEHTrajectPeriodeDatumTijdTotEnMet],"&gt;"&amp;($A177+7/24),tData[Langligger01],1)</f>
        <v/>
      </c>
      <c r="L177" s="20">
        <f>COUNTIFS(tData[SEHTrajectPeriodeDatumTijdVan],"&lt;="&amp;($A177+8/24),tData[SEHTrajectPeriodeDatumTijdTotEnMet],"&gt;"&amp;($A177+8/24),tData[Langligger01],1)</f>
        <v/>
      </c>
      <c r="M177" s="20">
        <f>COUNTIFS(tData[SEHTrajectPeriodeDatumTijdVan],"&lt;="&amp;($A177+9/24),tData[SEHTrajectPeriodeDatumTijdTotEnMet],"&gt;"&amp;($A177+9/24),tData[Langligger01],1)</f>
        <v/>
      </c>
      <c r="N177" s="20">
        <f>COUNTIFS(tData[SEHTrajectPeriodeDatumTijdVan],"&lt;="&amp;($A177+10/24),tData[SEHTrajectPeriodeDatumTijdTotEnMet],"&gt;"&amp;($A177+10/24),tData[Langligger01],1)</f>
        <v/>
      </c>
      <c r="O177" s="20">
        <f>COUNTIFS(tData[SEHTrajectPeriodeDatumTijdVan],"&lt;="&amp;($A177+11/24),tData[SEHTrajectPeriodeDatumTijdTotEnMet],"&gt;"&amp;($A177+11/24),tData[Langligger01],1)</f>
        <v/>
      </c>
      <c r="P177" s="20">
        <f>COUNTIFS(tData[SEHTrajectPeriodeDatumTijdVan],"&lt;="&amp;($A177+12/24),tData[SEHTrajectPeriodeDatumTijdTotEnMet],"&gt;"&amp;($A177+12/24),tData[Langligger01],1)</f>
        <v/>
      </c>
      <c r="Q177" s="20">
        <f>COUNTIFS(tData[SEHTrajectPeriodeDatumTijdVan],"&lt;="&amp;($A177+13/24),tData[SEHTrajectPeriodeDatumTijdTotEnMet],"&gt;"&amp;($A177+13/24),tData[Langligger01],1)</f>
        <v/>
      </c>
      <c r="R177" s="20">
        <f>COUNTIFS(tData[SEHTrajectPeriodeDatumTijdVan],"&lt;="&amp;($A177+14/24),tData[SEHTrajectPeriodeDatumTijdTotEnMet],"&gt;"&amp;($A177+14/24),tData[Langligger01],1)</f>
        <v/>
      </c>
      <c r="S177" s="20">
        <f>COUNTIFS(tData[SEHTrajectPeriodeDatumTijdVan],"&lt;="&amp;($A177+15/24),tData[SEHTrajectPeriodeDatumTijdTotEnMet],"&gt;"&amp;($A177+15/24),tData[Langligger01],1)</f>
        <v/>
      </c>
      <c r="T177" s="20">
        <f>COUNTIFS(tData[SEHTrajectPeriodeDatumTijdVan],"&lt;="&amp;($A177+16/24),tData[SEHTrajectPeriodeDatumTijdTotEnMet],"&gt;"&amp;($A177+16/24),tData[Langligger01],1)</f>
        <v/>
      </c>
      <c r="U177" s="20">
        <f>COUNTIFS(tData[SEHTrajectPeriodeDatumTijdVan],"&lt;="&amp;($A177+17/24),tData[SEHTrajectPeriodeDatumTijdTotEnMet],"&gt;"&amp;($A177+17/24),tData[Langligger01],1)</f>
        <v/>
      </c>
      <c r="V177" s="20">
        <f>COUNTIFS(tData[SEHTrajectPeriodeDatumTijdVan],"&lt;="&amp;($A177+18/24),tData[SEHTrajectPeriodeDatumTijdTotEnMet],"&gt;"&amp;($A177+18/24),tData[Langligger01],1)</f>
        <v/>
      </c>
      <c r="W177" s="20">
        <f>COUNTIFS(tData[SEHTrajectPeriodeDatumTijdVan],"&lt;="&amp;($A177+19/24),tData[SEHTrajectPeriodeDatumTijdTotEnMet],"&gt;"&amp;($A177+19/24),tData[Langligger01],1)</f>
        <v/>
      </c>
      <c r="X177" s="20">
        <f>COUNTIFS(tData[SEHTrajectPeriodeDatumTijdVan],"&lt;="&amp;($A177+20/24),tData[SEHTrajectPeriodeDatumTijdTotEnMet],"&gt;"&amp;($A177+20/24),tData[Langligger01],1)</f>
        <v/>
      </c>
      <c r="Y177" s="20">
        <f>COUNTIFS(tData[SEHTrajectPeriodeDatumTijdVan],"&lt;="&amp;($A177+21/24),tData[SEHTrajectPeriodeDatumTijdTotEnMet],"&gt;"&amp;($A177+21/24),tData[Langligger01],1)</f>
        <v/>
      </c>
      <c r="Z177" s="20">
        <f>COUNTIFS(tData[SEHTrajectPeriodeDatumTijdVan],"&lt;="&amp;($A177+22/24),tData[SEHTrajectPeriodeDatumTijdTotEnMet],"&gt;"&amp;($A177+22/24),tData[Langligger01],1)</f>
        <v/>
      </c>
      <c r="AA177" s="20">
        <f>COUNTIFS(tData[SEHTrajectPeriodeDatumTijdVan],"&lt;="&amp;($A177+23/24),tData[SEHTrajectPeriodeDatumTijdTotEnMet],"&gt;"&amp;($A177+23/24),tData[Langligger01],1)</f>
        <v/>
      </c>
    </row>
    <row r="178">
      <c r="A178" s="19" t="n">
        <v>45466</v>
      </c>
      <c r="B178" s="15">
        <f>WEEKDAY($A178,2)</f>
        <v/>
      </c>
      <c r="C178" s="15">
        <f>IF(AND($A178&gt;=INT(Instellingen!$B$5),$A178&lt;=INT(Instellingen!$B$6)),1,0)</f>
        <v/>
      </c>
      <c r="D178" s="20">
        <f>COUNTIFS(tData[SEHTrajectPeriodeDatumTijdVan],"&lt;="&amp;($A178+0/24),tData[SEHTrajectPeriodeDatumTijdTotEnMet],"&gt;"&amp;($A178+0/24),tData[Langligger01],1)</f>
        <v/>
      </c>
      <c r="E178" s="20">
        <f>COUNTIFS(tData[SEHTrajectPeriodeDatumTijdVan],"&lt;="&amp;($A178+1/24),tData[SEHTrajectPeriodeDatumTijdTotEnMet],"&gt;"&amp;($A178+1/24),tData[Langligger01],1)</f>
        <v/>
      </c>
      <c r="F178" s="20">
        <f>COUNTIFS(tData[SEHTrajectPeriodeDatumTijdVan],"&lt;="&amp;($A178+2/24),tData[SEHTrajectPeriodeDatumTijdTotEnMet],"&gt;"&amp;($A178+2/24),tData[Langligger01],1)</f>
        <v/>
      </c>
      <c r="G178" s="20">
        <f>COUNTIFS(tData[SEHTrajectPeriodeDatumTijdVan],"&lt;="&amp;($A178+3/24),tData[SEHTrajectPeriodeDatumTijdTotEnMet],"&gt;"&amp;($A178+3/24),tData[Langligger01],1)</f>
        <v/>
      </c>
      <c r="H178" s="20">
        <f>COUNTIFS(tData[SEHTrajectPeriodeDatumTijdVan],"&lt;="&amp;($A178+4/24),tData[SEHTrajectPeriodeDatumTijdTotEnMet],"&gt;"&amp;($A178+4/24),tData[Langligger01],1)</f>
        <v/>
      </c>
      <c r="I178" s="20">
        <f>COUNTIFS(tData[SEHTrajectPeriodeDatumTijdVan],"&lt;="&amp;($A178+5/24),tData[SEHTrajectPeriodeDatumTijdTotEnMet],"&gt;"&amp;($A178+5/24),tData[Langligger01],1)</f>
        <v/>
      </c>
      <c r="J178" s="20">
        <f>COUNTIFS(tData[SEHTrajectPeriodeDatumTijdVan],"&lt;="&amp;($A178+6/24),tData[SEHTrajectPeriodeDatumTijdTotEnMet],"&gt;"&amp;($A178+6/24),tData[Langligger01],1)</f>
        <v/>
      </c>
      <c r="K178" s="20">
        <f>COUNTIFS(tData[SEHTrajectPeriodeDatumTijdVan],"&lt;="&amp;($A178+7/24),tData[SEHTrajectPeriodeDatumTijdTotEnMet],"&gt;"&amp;($A178+7/24),tData[Langligger01],1)</f>
        <v/>
      </c>
      <c r="L178" s="20">
        <f>COUNTIFS(tData[SEHTrajectPeriodeDatumTijdVan],"&lt;="&amp;($A178+8/24),tData[SEHTrajectPeriodeDatumTijdTotEnMet],"&gt;"&amp;($A178+8/24),tData[Langligger01],1)</f>
        <v/>
      </c>
      <c r="M178" s="20">
        <f>COUNTIFS(tData[SEHTrajectPeriodeDatumTijdVan],"&lt;="&amp;($A178+9/24),tData[SEHTrajectPeriodeDatumTijdTotEnMet],"&gt;"&amp;($A178+9/24),tData[Langligger01],1)</f>
        <v/>
      </c>
      <c r="N178" s="20">
        <f>COUNTIFS(tData[SEHTrajectPeriodeDatumTijdVan],"&lt;="&amp;($A178+10/24),tData[SEHTrajectPeriodeDatumTijdTotEnMet],"&gt;"&amp;($A178+10/24),tData[Langligger01],1)</f>
        <v/>
      </c>
      <c r="O178" s="20">
        <f>COUNTIFS(tData[SEHTrajectPeriodeDatumTijdVan],"&lt;="&amp;($A178+11/24),tData[SEHTrajectPeriodeDatumTijdTotEnMet],"&gt;"&amp;($A178+11/24),tData[Langligger01],1)</f>
        <v/>
      </c>
      <c r="P178" s="20">
        <f>COUNTIFS(tData[SEHTrajectPeriodeDatumTijdVan],"&lt;="&amp;($A178+12/24),tData[SEHTrajectPeriodeDatumTijdTotEnMet],"&gt;"&amp;($A178+12/24),tData[Langligger01],1)</f>
        <v/>
      </c>
      <c r="Q178" s="20">
        <f>COUNTIFS(tData[SEHTrajectPeriodeDatumTijdVan],"&lt;="&amp;($A178+13/24),tData[SEHTrajectPeriodeDatumTijdTotEnMet],"&gt;"&amp;($A178+13/24),tData[Langligger01],1)</f>
        <v/>
      </c>
      <c r="R178" s="20">
        <f>COUNTIFS(tData[SEHTrajectPeriodeDatumTijdVan],"&lt;="&amp;($A178+14/24),tData[SEHTrajectPeriodeDatumTijdTotEnMet],"&gt;"&amp;($A178+14/24),tData[Langligger01],1)</f>
        <v/>
      </c>
      <c r="S178" s="20">
        <f>COUNTIFS(tData[SEHTrajectPeriodeDatumTijdVan],"&lt;="&amp;($A178+15/24),tData[SEHTrajectPeriodeDatumTijdTotEnMet],"&gt;"&amp;($A178+15/24),tData[Langligger01],1)</f>
        <v/>
      </c>
      <c r="T178" s="20">
        <f>COUNTIFS(tData[SEHTrajectPeriodeDatumTijdVan],"&lt;="&amp;($A178+16/24),tData[SEHTrajectPeriodeDatumTijdTotEnMet],"&gt;"&amp;($A178+16/24),tData[Langligger01],1)</f>
        <v/>
      </c>
      <c r="U178" s="20">
        <f>COUNTIFS(tData[SEHTrajectPeriodeDatumTijdVan],"&lt;="&amp;($A178+17/24),tData[SEHTrajectPeriodeDatumTijdTotEnMet],"&gt;"&amp;($A178+17/24),tData[Langligger01],1)</f>
        <v/>
      </c>
      <c r="V178" s="20">
        <f>COUNTIFS(tData[SEHTrajectPeriodeDatumTijdVan],"&lt;="&amp;($A178+18/24),tData[SEHTrajectPeriodeDatumTijdTotEnMet],"&gt;"&amp;($A178+18/24),tData[Langligger01],1)</f>
        <v/>
      </c>
      <c r="W178" s="20">
        <f>COUNTIFS(tData[SEHTrajectPeriodeDatumTijdVan],"&lt;="&amp;($A178+19/24),tData[SEHTrajectPeriodeDatumTijdTotEnMet],"&gt;"&amp;($A178+19/24),tData[Langligger01],1)</f>
        <v/>
      </c>
      <c r="X178" s="20">
        <f>COUNTIFS(tData[SEHTrajectPeriodeDatumTijdVan],"&lt;="&amp;($A178+20/24),tData[SEHTrajectPeriodeDatumTijdTotEnMet],"&gt;"&amp;($A178+20/24),tData[Langligger01],1)</f>
        <v/>
      </c>
      <c r="Y178" s="20">
        <f>COUNTIFS(tData[SEHTrajectPeriodeDatumTijdVan],"&lt;="&amp;($A178+21/24),tData[SEHTrajectPeriodeDatumTijdTotEnMet],"&gt;"&amp;($A178+21/24),tData[Langligger01],1)</f>
        <v/>
      </c>
      <c r="Z178" s="20">
        <f>COUNTIFS(tData[SEHTrajectPeriodeDatumTijdVan],"&lt;="&amp;($A178+22/24),tData[SEHTrajectPeriodeDatumTijdTotEnMet],"&gt;"&amp;($A178+22/24),tData[Langligger01],1)</f>
        <v/>
      </c>
      <c r="AA178" s="20">
        <f>COUNTIFS(tData[SEHTrajectPeriodeDatumTijdVan],"&lt;="&amp;($A178+23/24),tData[SEHTrajectPeriodeDatumTijdTotEnMet],"&gt;"&amp;($A178+23/24),tData[Langligger01],1)</f>
        <v/>
      </c>
    </row>
    <row r="179">
      <c r="A179" s="19" t="n">
        <v>45467</v>
      </c>
      <c r="B179" s="15">
        <f>WEEKDAY($A179,2)</f>
        <v/>
      </c>
      <c r="C179" s="15">
        <f>IF(AND($A179&gt;=INT(Instellingen!$B$5),$A179&lt;=INT(Instellingen!$B$6)),1,0)</f>
        <v/>
      </c>
      <c r="D179" s="20">
        <f>COUNTIFS(tData[SEHTrajectPeriodeDatumTijdVan],"&lt;="&amp;($A179+0/24),tData[SEHTrajectPeriodeDatumTijdTotEnMet],"&gt;"&amp;($A179+0/24),tData[Langligger01],1)</f>
        <v/>
      </c>
      <c r="E179" s="20">
        <f>COUNTIFS(tData[SEHTrajectPeriodeDatumTijdVan],"&lt;="&amp;($A179+1/24),tData[SEHTrajectPeriodeDatumTijdTotEnMet],"&gt;"&amp;($A179+1/24),tData[Langligger01],1)</f>
        <v/>
      </c>
      <c r="F179" s="20">
        <f>COUNTIFS(tData[SEHTrajectPeriodeDatumTijdVan],"&lt;="&amp;($A179+2/24),tData[SEHTrajectPeriodeDatumTijdTotEnMet],"&gt;"&amp;($A179+2/24),tData[Langligger01],1)</f>
        <v/>
      </c>
      <c r="G179" s="20">
        <f>COUNTIFS(tData[SEHTrajectPeriodeDatumTijdVan],"&lt;="&amp;($A179+3/24),tData[SEHTrajectPeriodeDatumTijdTotEnMet],"&gt;"&amp;($A179+3/24),tData[Langligger01],1)</f>
        <v/>
      </c>
      <c r="H179" s="20">
        <f>COUNTIFS(tData[SEHTrajectPeriodeDatumTijdVan],"&lt;="&amp;($A179+4/24),tData[SEHTrajectPeriodeDatumTijdTotEnMet],"&gt;"&amp;($A179+4/24),tData[Langligger01],1)</f>
        <v/>
      </c>
      <c r="I179" s="20">
        <f>COUNTIFS(tData[SEHTrajectPeriodeDatumTijdVan],"&lt;="&amp;($A179+5/24),tData[SEHTrajectPeriodeDatumTijdTotEnMet],"&gt;"&amp;($A179+5/24),tData[Langligger01],1)</f>
        <v/>
      </c>
      <c r="J179" s="20">
        <f>COUNTIFS(tData[SEHTrajectPeriodeDatumTijdVan],"&lt;="&amp;($A179+6/24),tData[SEHTrajectPeriodeDatumTijdTotEnMet],"&gt;"&amp;($A179+6/24),tData[Langligger01],1)</f>
        <v/>
      </c>
      <c r="K179" s="20">
        <f>COUNTIFS(tData[SEHTrajectPeriodeDatumTijdVan],"&lt;="&amp;($A179+7/24),tData[SEHTrajectPeriodeDatumTijdTotEnMet],"&gt;"&amp;($A179+7/24),tData[Langligger01],1)</f>
        <v/>
      </c>
      <c r="L179" s="20">
        <f>COUNTIFS(tData[SEHTrajectPeriodeDatumTijdVan],"&lt;="&amp;($A179+8/24),tData[SEHTrajectPeriodeDatumTijdTotEnMet],"&gt;"&amp;($A179+8/24),tData[Langligger01],1)</f>
        <v/>
      </c>
      <c r="M179" s="20">
        <f>COUNTIFS(tData[SEHTrajectPeriodeDatumTijdVan],"&lt;="&amp;($A179+9/24),tData[SEHTrajectPeriodeDatumTijdTotEnMet],"&gt;"&amp;($A179+9/24),tData[Langligger01],1)</f>
        <v/>
      </c>
      <c r="N179" s="20">
        <f>COUNTIFS(tData[SEHTrajectPeriodeDatumTijdVan],"&lt;="&amp;($A179+10/24),tData[SEHTrajectPeriodeDatumTijdTotEnMet],"&gt;"&amp;($A179+10/24),tData[Langligger01],1)</f>
        <v/>
      </c>
      <c r="O179" s="20">
        <f>COUNTIFS(tData[SEHTrajectPeriodeDatumTijdVan],"&lt;="&amp;($A179+11/24),tData[SEHTrajectPeriodeDatumTijdTotEnMet],"&gt;"&amp;($A179+11/24),tData[Langligger01],1)</f>
        <v/>
      </c>
      <c r="P179" s="20">
        <f>COUNTIFS(tData[SEHTrajectPeriodeDatumTijdVan],"&lt;="&amp;($A179+12/24),tData[SEHTrajectPeriodeDatumTijdTotEnMet],"&gt;"&amp;($A179+12/24),tData[Langligger01],1)</f>
        <v/>
      </c>
      <c r="Q179" s="20">
        <f>COUNTIFS(tData[SEHTrajectPeriodeDatumTijdVan],"&lt;="&amp;($A179+13/24),tData[SEHTrajectPeriodeDatumTijdTotEnMet],"&gt;"&amp;($A179+13/24),tData[Langligger01],1)</f>
        <v/>
      </c>
      <c r="R179" s="20">
        <f>COUNTIFS(tData[SEHTrajectPeriodeDatumTijdVan],"&lt;="&amp;($A179+14/24),tData[SEHTrajectPeriodeDatumTijdTotEnMet],"&gt;"&amp;($A179+14/24),tData[Langligger01],1)</f>
        <v/>
      </c>
      <c r="S179" s="20">
        <f>COUNTIFS(tData[SEHTrajectPeriodeDatumTijdVan],"&lt;="&amp;($A179+15/24),tData[SEHTrajectPeriodeDatumTijdTotEnMet],"&gt;"&amp;($A179+15/24),tData[Langligger01],1)</f>
        <v/>
      </c>
      <c r="T179" s="20">
        <f>COUNTIFS(tData[SEHTrajectPeriodeDatumTijdVan],"&lt;="&amp;($A179+16/24),tData[SEHTrajectPeriodeDatumTijdTotEnMet],"&gt;"&amp;($A179+16/24),tData[Langligger01],1)</f>
        <v/>
      </c>
      <c r="U179" s="20">
        <f>COUNTIFS(tData[SEHTrajectPeriodeDatumTijdVan],"&lt;="&amp;($A179+17/24),tData[SEHTrajectPeriodeDatumTijdTotEnMet],"&gt;"&amp;($A179+17/24),tData[Langligger01],1)</f>
        <v/>
      </c>
      <c r="V179" s="20">
        <f>COUNTIFS(tData[SEHTrajectPeriodeDatumTijdVan],"&lt;="&amp;($A179+18/24),tData[SEHTrajectPeriodeDatumTijdTotEnMet],"&gt;"&amp;($A179+18/24),tData[Langligger01],1)</f>
        <v/>
      </c>
      <c r="W179" s="20">
        <f>COUNTIFS(tData[SEHTrajectPeriodeDatumTijdVan],"&lt;="&amp;($A179+19/24),tData[SEHTrajectPeriodeDatumTijdTotEnMet],"&gt;"&amp;($A179+19/24),tData[Langligger01],1)</f>
        <v/>
      </c>
      <c r="X179" s="20">
        <f>COUNTIFS(tData[SEHTrajectPeriodeDatumTijdVan],"&lt;="&amp;($A179+20/24),tData[SEHTrajectPeriodeDatumTijdTotEnMet],"&gt;"&amp;($A179+20/24),tData[Langligger01],1)</f>
        <v/>
      </c>
      <c r="Y179" s="20">
        <f>COUNTIFS(tData[SEHTrajectPeriodeDatumTijdVan],"&lt;="&amp;($A179+21/24),tData[SEHTrajectPeriodeDatumTijdTotEnMet],"&gt;"&amp;($A179+21/24),tData[Langligger01],1)</f>
        <v/>
      </c>
      <c r="Z179" s="20">
        <f>COUNTIFS(tData[SEHTrajectPeriodeDatumTijdVan],"&lt;="&amp;($A179+22/24),tData[SEHTrajectPeriodeDatumTijdTotEnMet],"&gt;"&amp;($A179+22/24),tData[Langligger01],1)</f>
        <v/>
      </c>
      <c r="AA179" s="20">
        <f>COUNTIFS(tData[SEHTrajectPeriodeDatumTijdVan],"&lt;="&amp;($A179+23/24),tData[SEHTrajectPeriodeDatumTijdTotEnMet],"&gt;"&amp;($A179+23/24),tData[Langligger01],1)</f>
        <v/>
      </c>
    </row>
    <row r="180">
      <c r="A180" s="19" t="n">
        <v>45468</v>
      </c>
      <c r="B180" s="15">
        <f>WEEKDAY($A180,2)</f>
        <v/>
      </c>
      <c r="C180" s="15">
        <f>IF(AND($A180&gt;=INT(Instellingen!$B$5),$A180&lt;=INT(Instellingen!$B$6)),1,0)</f>
        <v/>
      </c>
      <c r="D180" s="20">
        <f>COUNTIFS(tData[SEHTrajectPeriodeDatumTijdVan],"&lt;="&amp;($A180+0/24),tData[SEHTrajectPeriodeDatumTijdTotEnMet],"&gt;"&amp;($A180+0/24),tData[Langligger01],1)</f>
        <v/>
      </c>
      <c r="E180" s="20">
        <f>COUNTIFS(tData[SEHTrajectPeriodeDatumTijdVan],"&lt;="&amp;($A180+1/24),tData[SEHTrajectPeriodeDatumTijdTotEnMet],"&gt;"&amp;($A180+1/24),tData[Langligger01],1)</f>
        <v/>
      </c>
      <c r="F180" s="20">
        <f>COUNTIFS(tData[SEHTrajectPeriodeDatumTijdVan],"&lt;="&amp;($A180+2/24),tData[SEHTrajectPeriodeDatumTijdTotEnMet],"&gt;"&amp;($A180+2/24),tData[Langligger01],1)</f>
        <v/>
      </c>
      <c r="G180" s="20">
        <f>COUNTIFS(tData[SEHTrajectPeriodeDatumTijdVan],"&lt;="&amp;($A180+3/24),tData[SEHTrajectPeriodeDatumTijdTotEnMet],"&gt;"&amp;($A180+3/24),tData[Langligger01],1)</f>
        <v/>
      </c>
      <c r="H180" s="20">
        <f>COUNTIFS(tData[SEHTrajectPeriodeDatumTijdVan],"&lt;="&amp;($A180+4/24),tData[SEHTrajectPeriodeDatumTijdTotEnMet],"&gt;"&amp;($A180+4/24),tData[Langligger01],1)</f>
        <v/>
      </c>
      <c r="I180" s="20">
        <f>COUNTIFS(tData[SEHTrajectPeriodeDatumTijdVan],"&lt;="&amp;($A180+5/24),tData[SEHTrajectPeriodeDatumTijdTotEnMet],"&gt;"&amp;($A180+5/24),tData[Langligger01],1)</f>
        <v/>
      </c>
      <c r="J180" s="20">
        <f>COUNTIFS(tData[SEHTrajectPeriodeDatumTijdVan],"&lt;="&amp;($A180+6/24),tData[SEHTrajectPeriodeDatumTijdTotEnMet],"&gt;"&amp;($A180+6/24),tData[Langligger01],1)</f>
        <v/>
      </c>
      <c r="K180" s="20">
        <f>COUNTIFS(tData[SEHTrajectPeriodeDatumTijdVan],"&lt;="&amp;($A180+7/24),tData[SEHTrajectPeriodeDatumTijdTotEnMet],"&gt;"&amp;($A180+7/24),tData[Langligger01],1)</f>
        <v/>
      </c>
      <c r="L180" s="20">
        <f>COUNTIFS(tData[SEHTrajectPeriodeDatumTijdVan],"&lt;="&amp;($A180+8/24),tData[SEHTrajectPeriodeDatumTijdTotEnMet],"&gt;"&amp;($A180+8/24),tData[Langligger01],1)</f>
        <v/>
      </c>
      <c r="M180" s="20">
        <f>COUNTIFS(tData[SEHTrajectPeriodeDatumTijdVan],"&lt;="&amp;($A180+9/24),tData[SEHTrajectPeriodeDatumTijdTotEnMet],"&gt;"&amp;($A180+9/24),tData[Langligger01],1)</f>
        <v/>
      </c>
      <c r="N180" s="20">
        <f>COUNTIFS(tData[SEHTrajectPeriodeDatumTijdVan],"&lt;="&amp;($A180+10/24),tData[SEHTrajectPeriodeDatumTijdTotEnMet],"&gt;"&amp;($A180+10/24),tData[Langligger01],1)</f>
        <v/>
      </c>
      <c r="O180" s="20">
        <f>COUNTIFS(tData[SEHTrajectPeriodeDatumTijdVan],"&lt;="&amp;($A180+11/24),tData[SEHTrajectPeriodeDatumTijdTotEnMet],"&gt;"&amp;($A180+11/24),tData[Langligger01],1)</f>
        <v/>
      </c>
      <c r="P180" s="20">
        <f>COUNTIFS(tData[SEHTrajectPeriodeDatumTijdVan],"&lt;="&amp;($A180+12/24),tData[SEHTrajectPeriodeDatumTijdTotEnMet],"&gt;"&amp;($A180+12/24),tData[Langligger01],1)</f>
        <v/>
      </c>
      <c r="Q180" s="20">
        <f>COUNTIFS(tData[SEHTrajectPeriodeDatumTijdVan],"&lt;="&amp;($A180+13/24),tData[SEHTrajectPeriodeDatumTijdTotEnMet],"&gt;"&amp;($A180+13/24),tData[Langligger01],1)</f>
        <v/>
      </c>
      <c r="R180" s="20">
        <f>COUNTIFS(tData[SEHTrajectPeriodeDatumTijdVan],"&lt;="&amp;($A180+14/24),tData[SEHTrajectPeriodeDatumTijdTotEnMet],"&gt;"&amp;($A180+14/24),tData[Langligger01],1)</f>
        <v/>
      </c>
      <c r="S180" s="20">
        <f>COUNTIFS(tData[SEHTrajectPeriodeDatumTijdVan],"&lt;="&amp;($A180+15/24),tData[SEHTrajectPeriodeDatumTijdTotEnMet],"&gt;"&amp;($A180+15/24),tData[Langligger01],1)</f>
        <v/>
      </c>
      <c r="T180" s="20">
        <f>COUNTIFS(tData[SEHTrajectPeriodeDatumTijdVan],"&lt;="&amp;($A180+16/24),tData[SEHTrajectPeriodeDatumTijdTotEnMet],"&gt;"&amp;($A180+16/24),tData[Langligger01],1)</f>
        <v/>
      </c>
      <c r="U180" s="20">
        <f>COUNTIFS(tData[SEHTrajectPeriodeDatumTijdVan],"&lt;="&amp;($A180+17/24),tData[SEHTrajectPeriodeDatumTijdTotEnMet],"&gt;"&amp;($A180+17/24),tData[Langligger01],1)</f>
        <v/>
      </c>
      <c r="V180" s="20">
        <f>COUNTIFS(tData[SEHTrajectPeriodeDatumTijdVan],"&lt;="&amp;($A180+18/24),tData[SEHTrajectPeriodeDatumTijdTotEnMet],"&gt;"&amp;($A180+18/24),tData[Langligger01],1)</f>
        <v/>
      </c>
      <c r="W180" s="20">
        <f>COUNTIFS(tData[SEHTrajectPeriodeDatumTijdVan],"&lt;="&amp;($A180+19/24),tData[SEHTrajectPeriodeDatumTijdTotEnMet],"&gt;"&amp;($A180+19/24),tData[Langligger01],1)</f>
        <v/>
      </c>
      <c r="X180" s="20">
        <f>COUNTIFS(tData[SEHTrajectPeriodeDatumTijdVan],"&lt;="&amp;($A180+20/24),tData[SEHTrajectPeriodeDatumTijdTotEnMet],"&gt;"&amp;($A180+20/24),tData[Langligger01],1)</f>
        <v/>
      </c>
      <c r="Y180" s="20">
        <f>COUNTIFS(tData[SEHTrajectPeriodeDatumTijdVan],"&lt;="&amp;($A180+21/24),tData[SEHTrajectPeriodeDatumTijdTotEnMet],"&gt;"&amp;($A180+21/24),tData[Langligger01],1)</f>
        <v/>
      </c>
      <c r="Z180" s="20">
        <f>COUNTIFS(tData[SEHTrajectPeriodeDatumTijdVan],"&lt;="&amp;($A180+22/24),tData[SEHTrajectPeriodeDatumTijdTotEnMet],"&gt;"&amp;($A180+22/24),tData[Langligger01],1)</f>
        <v/>
      </c>
      <c r="AA180" s="20">
        <f>COUNTIFS(tData[SEHTrajectPeriodeDatumTijdVan],"&lt;="&amp;($A180+23/24),tData[SEHTrajectPeriodeDatumTijdTotEnMet],"&gt;"&amp;($A180+23/24),tData[Langligger01],1)</f>
        <v/>
      </c>
    </row>
    <row r="181">
      <c r="A181" s="19" t="n">
        <v>45469</v>
      </c>
      <c r="B181" s="15">
        <f>WEEKDAY($A181,2)</f>
        <v/>
      </c>
      <c r="C181" s="15">
        <f>IF(AND($A181&gt;=INT(Instellingen!$B$5),$A181&lt;=INT(Instellingen!$B$6)),1,0)</f>
        <v/>
      </c>
      <c r="D181" s="20">
        <f>COUNTIFS(tData[SEHTrajectPeriodeDatumTijdVan],"&lt;="&amp;($A181+0/24),tData[SEHTrajectPeriodeDatumTijdTotEnMet],"&gt;"&amp;($A181+0/24),tData[Langligger01],1)</f>
        <v/>
      </c>
      <c r="E181" s="20">
        <f>COUNTIFS(tData[SEHTrajectPeriodeDatumTijdVan],"&lt;="&amp;($A181+1/24),tData[SEHTrajectPeriodeDatumTijdTotEnMet],"&gt;"&amp;($A181+1/24),tData[Langligger01],1)</f>
        <v/>
      </c>
      <c r="F181" s="20">
        <f>COUNTIFS(tData[SEHTrajectPeriodeDatumTijdVan],"&lt;="&amp;($A181+2/24),tData[SEHTrajectPeriodeDatumTijdTotEnMet],"&gt;"&amp;($A181+2/24),tData[Langligger01],1)</f>
        <v/>
      </c>
      <c r="G181" s="20">
        <f>COUNTIFS(tData[SEHTrajectPeriodeDatumTijdVan],"&lt;="&amp;($A181+3/24),tData[SEHTrajectPeriodeDatumTijdTotEnMet],"&gt;"&amp;($A181+3/24),tData[Langligger01],1)</f>
        <v/>
      </c>
      <c r="H181" s="20">
        <f>COUNTIFS(tData[SEHTrajectPeriodeDatumTijdVan],"&lt;="&amp;($A181+4/24),tData[SEHTrajectPeriodeDatumTijdTotEnMet],"&gt;"&amp;($A181+4/24),tData[Langligger01],1)</f>
        <v/>
      </c>
      <c r="I181" s="20">
        <f>COUNTIFS(tData[SEHTrajectPeriodeDatumTijdVan],"&lt;="&amp;($A181+5/24),tData[SEHTrajectPeriodeDatumTijdTotEnMet],"&gt;"&amp;($A181+5/24),tData[Langligger01],1)</f>
        <v/>
      </c>
      <c r="J181" s="20">
        <f>COUNTIFS(tData[SEHTrajectPeriodeDatumTijdVan],"&lt;="&amp;($A181+6/24),tData[SEHTrajectPeriodeDatumTijdTotEnMet],"&gt;"&amp;($A181+6/24),tData[Langligger01],1)</f>
        <v/>
      </c>
      <c r="K181" s="20">
        <f>COUNTIFS(tData[SEHTrajectPeriodeDatumTijdVan],"&lt;="&amp;($A181+7/24),tData[SEHTrajectPeriodeDatumTijdTotEnMet],"&gt;"&amp;($A181+7/24),tData[Langligger01],1)</f>
        <v/>
      </c>
      <c r="L181" s="20">
        <f>COUNTIFS(tData[SEHTrajectPeriodeDatumTijdVan],"&lt;="&amp;($A181+8/24),tData[SEHTrajectPeriodeDatumTijdTotEnMet],"&gt;"&amp;($A181+8/24),tData[Langligger01],1)</f>
        <v/>
      </c>
      <c r="M181" s="20">
        <f>COUNTIFS(tData[SEHTrajectPeriodeDatumTijdVan],"&lt;="&amp;($A181+9/24),tData[SEHTrajectPeriodeDatumTijdTotEnMet],"&gt;"&amp;($A181+9/24),tData[Langligger01],1)</f>
        <v/>
      </c>
      <c r="N181" s="20">
        <f>COUNTIFS(tData[SEHTrajectPeriodeDatumTijdVan],"&lt;="&amp;($A181+10/24),tData[SEHTrajectPeriodeDatumTijdTotEnMet],"&gt;"&amp;($A181+10/24),tData[Langligger01],1)</f>
        <v/>
      </c>
      <c r="O181" s="20">
        <f>COUNTIFS(tData[SEHTrajectPeriodeDatumTijdVan],"&lt;="&amp;($A181+11/24),tData[SEHTrajectPeriodeDatumTijdTotEnMet],"&gt;"&amp;($A181+11/24),tData[Langligger01],1)</f>
        <v/>
      </c>
      <c r="P181" s="20">
        <f>COUNTIFS(tData[SEHTrajectPeriodeDatumTijdVan],"&lt;="&amp;($A181+12/24),tData[SEHTrajectPeriodeDatumTijdTotEnMet],"&gt;"&amp;($A181+12/24),tData[Langligger01],1)</f>
        <v/>
      </c>
      <c r="Q181" s="20">
        <f>COUNTIFS(tData[SEHTrajectPeriodeDatumTijdVan],"&lt;="&amp;($A181+13/24),tData[SEHTrajectPeriodeDatumTijdTotEnMet],"&gt;"&amp;($A181+13/24),tData[Langligger01],1)</f>
        <v/>
      </c>
      <c r="R181" s="20">
        <f>COUNTIFS(tData[SEHTrajectPeriodeDatumTijdVan],"&lt;="&amp;($A181+14/24),tData[SEHTrajectPeriodeDatumTijdTotEnMet],"&gt;"&amp;($A181+14/24),tData[Langligger01],1)</f>
        <v/>
      </c>
      <c r="S181" s="20">
        <f>COUNTIFS(tData[SEHTrajectPeriodeDatumTijdVan],"&lt;="&amp;($A181+15/24),tData[SEHTrajectPeriodeDatumTijdTotEnMet],"&gt;"&amp;($A181+15/24),tData[Langligger01],1)</f>
        <v/>
      </c>
      <c r="T181" s="20">
        <f>COUNTIFS(tData[SEHTrajectPeriodeDatumTijdVan],"&lt;="&amp;($A181+16/24),tData[SEHTrajectPeriodeDatumTijdTotEnMet],"&gt;"&amp;($A181+16/24),tData[Langligger01],1)</f>
        <v/>
      </c>
      <c r="U181" s="20">
        <f>COUNTIFS(tData[SEHTrajectPeriodeDatumTijdVan],"&lt;="&amp;($A181+17/24),tData[SEHTrajectPeriodeDatumTijdTotEnMet],"&gt;"&amp;($A181+17/24),tData[Langligger01],1)</f>
        <v/>
      </c>
      <c r="V181" s="20">
        <f>COUNTIFS(tData[SEHTrajectPeriodeDatumTijdVan],"&lt;="&amp;($A181+18/24),tData[SEHTrajectPeriodeDatumTijdTotEnMet],"&gt;"&amp;($A181+18/24),tData[Langligger01],1)</f>
        <v/>
      </c>
      <c r="W181" s="20">
        <f>COUNTIFS(tData[SEHTrajectPeriodeDatumTijdVan],"&lt;="&amp;($A181+19/24),tData[SEHTrajectPeriodeDatumTijdTotEnMet],"&gt;"&amp;($A181+19/24),tData[Langligger01],1)</f>
        <v/>
      </c>
      <c r="X181" s="20">
        <f>COUNTIFS(tData[SEHTrajectPeriodeDatumTijdVan],"&lt;="&amp;($A181+20/24),tData[SEHTrajectPeriodeDatumTijdTotEnMet],"&gt;"&amp;($A181+20/24),tData[Langligger01],1)</f>
        <v/>
      </c>
      <c r="Y181" s="20">
        <f>COUNTIFS(tData[SEHTrajectPeriodeDatumTijdVan],"&lt;="&amp;($A181+21/24),tData[SEHTrajectPeriodeDatumTijdTotEnMet],"&gt;"&amp;($A181+21/24),tData[Langligger01],1)</f>
        <v/>
      </c>
      <c r="Z181" s="20">
        <f>COUNTIFS(tData[SEHTrajectPeriodeDatumTijdVan],"&lt;="&amp;($A181+22/24),tData[SEHTrajectPeriodeDatumTijdTotEnMet],"&gt;"&amp;($A181+22/24),tData[Langligger01],1)</f>
        <v/>
      </c>
      <c r="AA181" s="20">
        <f>COUNTIFS(tData[SEHTrajectPeriodeDatumTijdVan],"&lt;="&amp;($A181+23/24),tData[SEHTrajectPeriodeDatumTijdTotEnMet],"&gt;"&amp;($A181+23/24),tData[Langligger01],1)</f>
        <v/>
      </c>
    </row>
    <row r="182">
      <c r="A182" s="19" t="n">
        <v>45470</v>
      </c>
      <c r="B182" s="15">
        <f>WEEKDAY($A182,2)</f>
        <v/>
      </c>
      <c r="C182" s="15">
        <f>IF(AND($A182&gt;=INT(Instellingen!$B$5),$A182&lt;=INT(Instellingen!$B$6)),1,0)</f>
        <v/>
      </c>
      <c r="D182" s="20">
        <f>COUNTIFS(tData[SEHTrajectPeriodeDatumTijdVan],"&lt;="&amp;($A182+0/24),tData[SEHTrajectPeriodeDatumTijdTotEnMet],"&gt;"&amp;($A182+0/24),tData[Langligger01],1)</f>
        <v/>
      </c>
      <c r="E182" s="20">
        <f>COUNTIFS(tData[SEHTrajectPeriodeDatumTijdVan],"&lt;="&amp;($A182+1/24),tData[SEHTrajectPeriodeDatumTijdTotEnMet],"&gt;"&amp;($A182+1/24),tData[Langligger01],1)</f>
        <v/>
      </c>
      <c r="F182" s="20">
        <f>COUNTIFS(tData[SEHTrajectPeriodeDatumTijdVan],"&lt;="&amp;($A182+2/24),tData[SEHTrajectPeriodeDatumTijdTotEnMet],"&gt;"&amp;($A182+2/24),tData[Langligger01],1)</f>
        <v/>
      </c>
      <c r="G182" s="20">
        <f>COUNTIFS(tData[SEHTrajectPeriodeDatumTijdVan],"&lt;="&amp;($A182+3/24),tData[SEHTrajectPeriodeDatumTijdTotEnMet],"&gt;"&amp;($A182+3/24),tData[Langligger01],1)</f>
        <v/>
      </c>
      <c r="H182" s="20">
        <f>COUNTIFS(tData[SEHTrajectPeriodeDatumTijdVan],"&lt;="&amp;($A182+4/24),tData[SEHTrajectPeriodeDatumTijdTotEnMet],"&gt;"&amp;($A182+4/24),tData[Langligger01],1)</f>
        <v/>
      </c>
      <c r="I182" s="20">
        <f>COUNTIFS(tData[SEHTrajectPeriodeDatumTijdVan],"&lt;="&amp;($A182+5/24),tData[SEHTrajectPeriodeDatumTijdTotEnMet],"&gt;"&amp;($A182+5/24),tData[Langligger01],1)</f>
        <v/>
      </c>
      <c r="J182" s="20">
        <f>COUNTIFS(tData[SEHTrajectPeriodeDatumTijdVan],"&lt;="&amp;($A182+6/24),tData[SEHTrajectPeriodeDatumTijdTotEnMet],"&gt;"&amp;($A182+6/24),tData[Langligger01],1)</f>
        <v/>
      </c>
      <c r="K182" s="20">
        <f>COUNTIFS(tData[SEHTrajectPeriodeDatumTijdVan],"&lt;="&amp;($A182+7/24),tData[SEHTrajectPeriodeDatumTijdTotEnMet],"&gt;"&amp;($A182+7/24),tData[Langligger01],1)</f>
        <v/>
      </c>
      <c r="L182" s="20">
        <f>COUNTIFS(tData[SEHTrajectPeriodeDatumTijdVan],"&lt;="&amp;($A182+8/24),tData[SEHTrajectPeriodeDatumTijdTotEnMet],"&gt;"&amp;($A182+8/24),tData[Langligger01],1)</f>
        <v/>
      </c>
      <c r="M182" s="20">
        <f>COUNTIFS(tData[SEHTrajectPeriodeDatumTijdVan],"&lt;="&amp;($A182+9/24),tData[SEHTrajectPeriodeDatumTijdTotEnMet],"&gt;"&amp;($A182+9/24),tData[Langligger01],1)</f>
        <v/>
      </c>
      <c r="N182" s="20">
        <f>COUNTIFS(tData[SEHTrajectPeriodeDatumTijdVan],"&lt;="&amp;($A182+10/24),tData[SEHTrajectPeriodeDatumTijdTotEnMet],"&gt;"&amp;($A182+10/24),tData[Langligger01],1)</f>
        <v/>
      </c>
      <c r="O182" s="20">
        <f>COUNTIFS(tData[SEHTrajectPeriodeDatumTijdVan],"&lt;="&amp;($A182+11/24),tData[SEHTrajectPeriodeDatumTijdTotEnMet],"&gt;"&amp;($A182+11/24),tData[Langligger01],1)</f>
        <v/>
      </c>
      <c r="P182" s="20">
        <f>COUNTIFS(tData[SEHTrajectPeriodeDatumTijdVan],"&lt;="&amp;($A182+12/24),tData[SEHTrajectPeriodeDatumTijdTotEnMet],"&gt;"&amp;($A182+12/24),tData[Langligger01],1)</f>
        <v/>
      </c>
      <c r="Q182" s="20">
        <f>COUNTIFS(tData[SEHTrajectPeriodeDatumTijdVan],"&lt;="&amp;($A182+13/24),tData[SEHTrajectPeriodeDatumTijdTotEnMet],"&gt;"&amp;($A182+13/24),tData[Langligger01],1)</f>
        <v/>
      </c>
      <c r="R182" s="20">
        <f>COUNTIFS(tData[SEHTrajectPeriodeDatumTijdVan],"&lt;="&amp;($A182+14/24),tData[SEHTrajectPeriodeDatumTijdTotEnMet],"&gt;"&amp;($A182+14/24),tData[Langligger01],1)</f>
        <v/>
      </c>
      <c r="S182" s="20">
        <f>COUNTIFS(tData[SEHTrajectPeriodeDatumTijdVan],"&lt;="&amp;($A182+15/24),tData[SEHTrajectPeriodeDatumTijdTotEnMet],"&gt;"&amp;($A182+15/24),tData[Langligger01],1)</f>
        <v/>
      </c>
      <c r="T182" s="20">
        <f>COUNTIFS(tData[SEHTrajectPeriodeDatumTijdVan],"&lt;="&amp;($A182+16/24),tData[SEHTrajectPeriodeDatumTijdTotEnMet],"&gt;"&amp;($A182+16/24),tData[Langligger01],1)</f>
        <v/>
      </c>
      <c r="U182" s="20">
        <f>COUNTIFS(tData[SEHTrajectPeriodeDatumTijdVan],"&lt;="&amp;($A182+17/24),tData[SEHTrajectPeriodeDatumTijdTotEnMet],"&gt;"&amp;($A182+17/24),tData[Langligger01],1)</f>
        <v/>
      </c>
      <c r="V182" s="20">
        <f>COUNTIFS(tData[SEHTrajectPeriodeDatumTijdVan],"&lt;="&amp;($A182+18/24),tData[SEHTrajectPeriodeDatumTijdTotEnMet],"&gt;"&amp;($A182+18/24),tData[Langligger01],1)</f>
        <v/>
      </c>
      <c r="W182" s="20">
        <f>COUNTIFS(tData[SEHTrajectPeriodeDatumTijdVan],"&lt;="&amp;($A182+19/24),tData[SEHTrajectPeriodeDatumTijdTotEnMet],"&gt;"&amp;($A182+19/24),tData[Langligger01],1)</f>
        <v/>
      </c>
      <c r="X182" s="20">
        <f>COUNTIFS(tData[SEHTrajectPeriodeDatumTijdVan],"&lt;="&amp;($A182+20/24),tData[SEHTrajectPeriodeDatumTijdTotEnMet],"&gt;"&amp;($A182+20/24),tData[Langligger01],1)</f>
        <v/>
      </c>
      <c r="Y182" s="20">
        <f>COUNTIFS(tData[SEHTrajectPeriodeDatumTijdVan],"&lt;="&amp;($A182+21/24),tData[SEHTrajectPeriodeDatumTijdTotEnMet],"&gt;"&amp;($A182+21/24),tData[Langligger01],1)</f>
        <v/>
      </c>
      <c r="Z182" s="20">
        <f>COUNTIFS(tData[SEHTrajectPeriodeDatumTijdVan],"&lt;="&amp;($A182+22/24),tData[SEHTrajectPeriodeDatumTijdTotEnMet],"&gt;"&amp;($A182+22/24),tData[Langligger01],1)</f>
        <v/>
      </c>
      <c r="AA182" s="20">
        <f>COUNTIFS(tData[SEHTrajectPeriodeDatumTijdVan],"&lt;="&amp;($A182+23/24),tData[SEHTrajectPeriodeDatumTijdTotEnMet],"&gt;"&amp;($A182+23/24),tData[Langligger01],1)</f>
        <v/>
      </c>
    </row>
    <row r="183">
      <c r="A183" s="19" t="n">
        <v>45471</v>
      </c>
      <c r="B183" s="15">
        <f>WEEKDAY($A183,2)</f>
        <v/>
      </c>
      <c r="C183" s="15">
        <f>IF(AND($A183&gt;=INT(Instellingen!$B$5),$A183&lt;=INT(Instellingen!$B$6)),1,0)</f>
        <v/>
      </c>
      <c r="D183" s="20">
        <f>COUNTIFS(tData[SEHTrajectPeriodeDatumTijdVan],"&lt;="&amp;($A183+0/24),tData[SEHTrajectPeriodeDatumTijdTotEnMet],"&gt;"&amp;($A183+0/24),tData[Langligger01],1)</f>
        <v/>
      </c>
      <c r="E183" s="20">
        <f>COUNTIFS(tData[SEHTrajectPeriodeDatumTijdVan],"&lt;="&amp;($A183+1/24),tData[SEHTrajectPeriodeDatumTijdTotEnMet],"&gt;"&amp;($A183+1/24),tData[Langligger01],1)</f>
        <v/>
      </c>
      <c r="F183" s="20">
        <f>COUNTIFS(tData[SEHTrajectPeriodeDatumTijdVan],"&lt;="&amp;($A183+2/24),tData[SEHTrajectPeriodeDatumTijdTotEnMet],"&gt;"&amp;($A183+2/24),tData[Langligger01],1)</f>
        <v/>
      </c>
      <c r="G183" s="20">
        <f>COUNTIFS(tData[SEHTrajectPeriodeDatumTijdVan],"&lt;="&amp;($A183+3/24),tData[SEHTrajectPeriodeDatumTijdTotEnMet],"&gt;"&amp;($A183+3/24),tData[Langligger01],1)</f>
        <v/>
      </c>
      <c r="H183" s="20">
        <f>COUNTIFS(tData[SEHTrajectPeriodeDatumTijdVan],"&lt;="&amp;($A183+4/24),tData[SEHTrajectPeriodeDatumTijdTotEnMet],"&gt;"&amp;($A183+4/24),tData[Langligger01],1)</f>
        <v/>
      </c>
      <c r="I183" s="20">
        <f>COUNTIFS(tData[SEHTrajectPeriodeDatumTijdVan],"&lt;="&amp;($A183+5/24),tData[SEHTrajectPeriodeDatumTijdTotEnMet],"&gt;"&amp;($A183+5/24),tData[Langligger01],1)</f>
        <v/>
      </c>
      <c r="J183" s="20">
        <f>COUNTIFS(tData[SEHTrajectPeriodeDatumTijdVan],"&lt;="&amp;($A183+6/24),tData[SEHTrajectPeriodeDatumTijdTotEnMet],"&gt;"&amp;($A183+6/24),tData[Langligger01],1)</f>
        <v/>
      </c>
      <c r="K183" s="20">
        <f>COUNTIFS(tData[SEHTrajectPeriodeDatumTijdVan],"&lt;="&amp;($A183+7/24),tData[SEHTrajectPeriodeDatumTijdTotEnMet],"&gt;"&amp;($A183+7/24),tData[Langligger01],1)</f>
        <v/>
      </c>
      <c r="L183" s="20">
        <f>COUNTIFS(tData[SEHTrajectPeriodeDatumTijdVan],"&lt;="&amp;($A183+8/24),tData[SEHTrajectPeriodeDatumTijdTotEnMet],"&gt;"&amp;($A183+8/24),tData[Langligger01],1)</f>
        <v/>
      </c>
      <c r="M183" s="20">
        <f>COUNTIFS(tData[SEHTrajectPeriodeDatumTijdVan],"&lt;="&amp;($A183+9/24),tData[SEHTrajectPeriodeDatumTijdTotEnMet],"&gt;"&amp;($A183+9/24),tData[Langligger01],1)</f>
        <v/>
      </c>
      <c r="N183" s="20">
        <f>COUNTIFS(tData[SEHTrajectPeriodeDatumTijdVan],"&lt;="&amp;($A183+10/24),tData[SEHTrajectPeriodeDatumTijdTotEnMet],"&gt;"&amp;($A183+10/24),tData[Langligger01],1)</f>
        <v/>
      </c>
      <c r="O183" s="20">
        <f>COUNTIFS(tData[SEHTrajectPeriodeDatumTijdVan],"&lt;="&amp;($A183+11/24),tData[SEHTrajectPeriodeDatumTijdTotEnMet],"&gt;"&amp;($A183+11/24),tData[Langligger01],1)</f>
        <v/>
      </c>
      <c r="P183" s="20">
        <f>COUNTIFS(tData[SEHTrajectPeriodeDatumTijdVan],"&lt;="&amp;($A183+12/24),tData[SEHTrajectPeriodeDatumTijdTotEnMet],"&gt;"&amp;($A183+12/24),tData[Langligger01],1)</f>
        <v/>
      </c>
      <c r="Q183" s="20">
        <f>COUNTIFS(tData[SEHTrajectPeriodeDatumTijdVan],"&lt;="&amp;($A183+13/24),tData[SEHTrajectPeriodeDatumTijdTotEnMet],"&gt;"&amp;($A183+13/24),tData[Langligger01],1)</f>
        <v/>
      </c>
      <c r="R183" s="20">
        <f>COUNTIFS(tData[SEHTrajectPeriodeDatumTijdVan],"&lt;="&amp;($A183+14/24),tData[SEHTrajectPeriodeDatumTijdTotEnMet],"&gt;"&amp;($A183+14/24),tData[Langligger01],1)</f>
        <v/>
      </c>
      <c r="S183" s="20">
        <f>COUNTIFS(tData[SEHTrajectPeriodeDatumTijdVan],"&lt;="&amp;($A183+15/24),tData[SEHTrajectPeriodeDatumTijdTotEnMet],"&gt;"&amp;($A183+15/24),tData[Langligger01],1)</f>
        <v/>
      </c>
      <c r="T183" s="20">
        <f>COUNTIFS(tData[SEHTrajectPeriodeDatumTijdVan],"&lt;="&amp;($A183+16/24),tData[SEHTrajectPeriodeDatumTijdTotEnMet],"&gt;"&amp;($A183+16/24),tData[Langligger01],1)</f>
        <v/>
      </c>
      <c r="U183" s="20">
        <f>COUNTIFS(tData[SEHTrajectPeriodeDatumTijdVan],"&lt;="&amp;($A183+17/24),tData[SEHTrajectPeriodeDatumTijdTotEnMet],"&gt;"&amp;($A183+17/24),tData[Langligger01],1)</f>
        <v/>
      </c>
      <c r="V183" s="20">
        <f>COUNTIFS(tData[SEHTrajectPeriodeDatumTijdVan],"&lt;="&amp;($A183+18/24),tData[SEHTrajectPeriodeDatumTijdTotEnMet],"&gt;"&amp;($A183+18/24),tData[Langligger01],1)</f>
        <v/>
      </c>
      <c r="W183" s="20">
        <f>COUNTIFS(tData[SEHTrajectPeriodeDatumTijdVan],"&lt;="&amp;($A183+19/24),tData[SEHTrajectPeriodeDatumTijdTotEnMet],"&gt;"&amp;($A183+19/24),tData[Langligger01],1)</f>
        <v/>
      </c>
      <c r="X183" s="20">
        <f>COUNTIFS(tData[SEHTrajectPeriodeDatumTijdVan],"&lt;="&amp;($A183+20/24),tData[SEHTrajectPeriodeDatumTijdTotEnMet],"&gt;"&amp;($A183+20/24),tData[Langligger01],1)</f>
        <v/>
      </c>
      <c r="Y183" s="20">
        <f>COUNTIFS(tData[SEHTrajectPeriodeDatumTijdVan],"&lt;="&amp;($A183+21/24),tData[SEHTrajectPeriodeDatumTijdTotEnMet],"&gt;"&amp;($A183+21/24),tData[Langligger01],1)</f>
        <v/>
      </c>
      <c r="Z183" s="20">
        <f>COUNTIFS(tData[SEHTrajectPeriodeDatumTijdVan],"&lt;="&amp;($A183+22/24),tData[SEHTrajectPeriodeDatumTijdTotEnMet],"&gt;"&amp;($A183+22/24),tData[Langligger01],1)</f>
        <v/>
      </c>
      <c r="AA183" s="20">
        <f>COUNTIFS(tData[SEHTrajectPeriodeDatumTijdVan],"&lt;="&amp;($A183+23/24),tData[SEHTrajectPeriodeDatumTijdTotEnMet],"&gt;"&amp;($A183+23/24),tData[Langligger01],1)</f>
        <v/>
      </c>
    </row>
    <row r="184">
      <c r="A184" s="19" t="n">
        <v>45472</v>
      </c>
      <c r="B184" s="15">
        <f>WEEKDAY($A184,2)</f>
        <v/>
      </c>
      <c r="C184" s="15">
        <f>IF(AND($A184&gt;=INT(Instellingen!$B$5),$A184&lt;=INT(Instellingen!$B$6)),1,0)</f>
        <v/>
      </c>
      <c r="D184" s="20">
        <f>COUNTIFS(tData[SEHTrajectPeriodeDatumTijdVan],"&lt;="&amp;($A184+0/24),tData[SEHTrajectPeriodeDatumTijdTotEnMet],"&gt;"&amp;($A184+0/24),tData[Langligger01],1)</f>
        <v/>
      </c>
      <c r="E184" s="20">
        <f>COUNTIFS(tData[SEHTrajectPeriodeDatumTijdVan],"&lt;="&amp;($A184+1/24),tData[SEHTrajectPeriodeDatumTijdTotEnMet],"&gt;"&amp;($A184+1/24),tData[Langligger01],1)</f>
        <v/>
      </c>
      <c r="F184" s="20">
        <f>COUNTIFS(tData[SEHTrajectPeriodeDatumTijdVan],"&lt;="&amp;($A184+2/24),tData[SEHTrajectPeriodeDatumTijdTotEnMet],"&gt;"&amp;($A184+2/24),tData[Langligger01],1)</f>
        <v/>
      </c>
      <c r="G184" s="20">
        <f>COUNTIFS(tData[SEHTrajectPeriodeDatumTijdVan],"&lt;="&amp;($A184+3/24),tData[SEHTrajectPeriodeDatumTijdTotEnMet],"&gt;"&amp;($A184+3/24),tData[Langligger01],1)</f>
        <v/>
      </c>
      <c r="H184" s="20">
        <f>COUNTIFS(tData[SEHTrajectPeriodeDatumTijdVan],"&lt;="&amp;($A184+4/24),tData[SEHTrajectPeriodeDatumTijdTotEnMet],"&gt;"&amp;($A184+4/24),tData[Langligger01],1)</f>
        <v/>
      </c>
      <c r="I184" s="20">
        <f>COUNTIFS(tData[SEHTrajectPeriodeDatumTijdVan],"&lt;="&amp;($A184+5/24),tData[SEHTrajectPeriodeDatumTijdTotEnMet],"&gt;"&amp;($A184+5/24),tData[Langligger01],1)</f>
        <v/>
      </c>
      <c r="J184" s="20">
        <f>COUNTIFS(tData[SEHTrajectPeriodeDatumTijdVan],"&lt;="&amp;($A184+6/24),tData[SEHTrajectPeriodeDatumTijdTotEnMet],"&gt;"&amp;($A184+6/24),tData[Langligger01],1)</f>
        <v/>
      </c>
      <c r="K184" s="20">
        <f>COUNTIFS(tData[SEHTrajectPeriodeDatumTijdVan],"&lt;="&amp;($A184+7/24),tData[SEHTrajectPeriodeDatumTijdTotEnMet],"&gt;"&amp;($A184+7/24),tData[Langligger01],1)</f>
        <v/>
      </c>
      <c r="L184" s="20">
        <f>COUNTIFS(tData[SEHTrajectPeriodeDatumTijdVan],"&lt;="&amp;($A184+8/24),tData[SEHTrajectPeriodeDatumTijdTotEnMet],"&gt;"&amp;($A184+8/24),tData[Langligger01],1)</f>
        <v/>
      </c>
      <c r="M184" s="20">
        <f>COUNTIFS(tData[SEHTrajectPeriodeDatumTijdVan],"&lt;="&amp;($A184+9/24),tData[SEHTrajectPeriodeDatumTijdTotEnMet],"&gt;"&amp;($A184+9/24),tData[Langligger01],1)</f>
        <v/>
      </c>
      <c r="N184" s="20">
        <f>COUNTIFS(tData[SEHTrajectPeriodeDatumTijdVan],"&lt;="&amp;($A184+10/24),tData[SEHTrajectPeriodeDatumTijdTotEnMet],"&gt;"&amp;($A184+10/24),tData[Langligger01],1)</f>
        <v/>
      </c>
      <c r="O184" s="20">
        <f>COUNTIFS(tData[SEHTrajectPeriodeDatumTijdVan],"&lt;="&amp;($A184+11/24),tData[SEHTrajectPeriodeDatumTijdTotEnMet],"&gt;"&amp;($A184+11/24),tData[Langligger01],1)</f>
        <v/>
      </c>
      <c r="P184" s="20">
        <f>COUNTIFS(tData[SEHTrajectPeriodeDatumTijdVan],"&lt;="&amp;($A184+12/24),tData[SEHTrajectPeriodeDatumTijdTotEnMet],"&gt;"&amp;($A184+12/24),tData[Langligger01],1)</f>
        <v/>
      </c>
      <c r="Q184" s="20">
        <f>COUNTIFS(tData[SEHTrajectPeriodeDatumTijdVan],"&lt;="&amp;($A184+13/24),tData[SEHTrajectPeriodeDatumTijdTotEnMet],"&gt;"&amp;($A184+13/24),tData[Langligger01],1)</f>
        <v/>
      </c>
      <c r="R184" s="20">
        <f>COUNTIFS(tData[SEHTrajectPeriodeDatumTijdVan],"&lt;="&amp;($A184+14/24),tData[SEHTrajectPeriodeDatumTijdTotEnMet],"&gt;"&amp;($A184+14/24),tData[Langligger01],1)</f>
        <v/>
      </c>
      <c r="S184" s="20">
        <f>COUNTIFS(tData[SEHTrajectPeriodeDatumTijdVan],"&lt;="&amp;($A184+15/24),tData[SEHTrajectPeriodeDatumTijdTotEnMet],"&gt;"&amp;($A184+15/24),tData[Langligger01],1)</f>
        <v/>
      </c>
      <c r="T184" s="20">
        <f>COUNTIFS(tData[SEHTrajectPeriodeDatumTijdVan],"&lt;="&amp;($A184+16/24),tData[SEHTrajectPeriodeDatumTijdTotEnMet],"&gt;"&amp;($A184+16/24),tData[Langligger01],1)</f>
        <v/>
      </c>
      <c r="U184" s="20">
        <f>COUNTIFS(tData[SEHTrajectPeriodeDatumTijdVan],"&lt;="&amp;($A184+17/24),tData[SEHTrajectPeriodeDatumTijdTotEnMet],"&gt;"&amp;($A184+17/24),tData[Langligger01],1)</f>
        <v/>
      </c>
      <c r="V184" s="20">
        <f>COUNTIFS(tData[SEHTrajectPeriodeDatumTijdVan],"&lt;="&amp;($A184+18/24),tData[SEHTrajectPeriodeDatumTijdTotEnMet],"&gt;"&amp;($A184+18/24),tData[Langligger01],1)</f>
        <v/>
      </c>
      <c r="W184" s="20">
        <f>COUNTIFS(tData[SEHTrajectPeriodeDatumTijdVan],"&lt;="&amp;($A184+19/24),tData[SEHTrajectPeriodeDatumTijdTotEnMet],"&gt;"&amp;($A184+19/24),tData[Langligger01],1)</f>
        <v/>
      </c>
      <c r="X184" s="20">
        <f>COUNTIFS(tData[SEHTrajectPeriodeDatumTijdVan],"&lt;="&amp;($A184+20/24),tData[SEHTrajectPeriodeDatumTijdTotEnMet],"&gt;"&amp;($A184+20/24),tData[Langligger01],1)</f>
        <v/>
      </c>
      <c r="Y184" s="20">
        <f>COUNTIFS(tData[SEHTrajectPeriodeDatumTijdVan],"&lt;="&amp;($A184+21/24),tData[SEHTrajectPeriodeDatumTijdTotEnMet],"&gt;"&amp;($A184+21/24),tData[Langligger01],1)</f>
        <v/>
      </c>
      <c r="Z184" s="20">
        <f>COUNTIFS(tData[SEHTrajectPeriodeDatumTijdVan],"&lt;="&amp;($A184+22/24),tData[SEHTrajectPeriodeDatumTijdTotEnMet],"&gt;"&amp;($A184+22/24),tData[Langligger01],1)</f>
        <v/>
      </c>
      <c r="AA184" s="20">
        <f>COUNTIFS(tData[SEHTrajectPeriodeDatumTijdVan],"&lt;="&amp;($A184+23/24),tData[SEHTrajectPeriodeDatumTijdTotEnMet],"&gt;"&amp;($A184+23/24),tData[Langligger01],1)</f>
        <v/>
      </c>
    </row>
    <row r="185">
      <c r="A185" s="19" t="n">
        <v>45473</v>
      </c>
      <c r="B185" s="15">
        <f>WEEKDAY($A185,2)</f>
        <v/>
      </c>
      <c r="C185" s="15">
        <f>IF(AND($A185&gt;=INT(Instellingen!$B$5),$A185&lt;=INT(Instellingen!$B$6)),1,0)</f>
        <v/>
      </c>
      <c r="D185" s="20">
        <f>COUNTIFS(tData[SEHTrajectPeriodeDatumTijdVan],"&lt;="&amp;($A185+0/24),tData[SEHTrajectPeriodeDatumTijdTotEnMet],"&gt;"&amp;($A185+0/24),tData[Langligger01],1)</f>
        <v/>
      </c>
      <c r="E185" s="20">
        <f>COUNTIFS(tData[SEHTrajectPeriodeDatumTijdVan],"&lt;="&amp;($A185+1/24),tData[SEHTrajectPeriodeDatumTijdTotEnMet],"&gt;"&amp;($A185+1/24),tData[Langligger01],1)</f>
        <v/>
      </c>
      <c r="F185" s="20">
        <f>COUNTIFS(tData[SEHTrajectPeriodeDatumTijdVan],"&lt;="&amp;($A185+2/24),tData[SEHTrajectPeriodeDatumTijdTotEnMet],"&gt;"&amp;($A185+2/24),tData[Langligger01],1)</f>
        <v/>
      </c>
      <c r="G185" s="20">
        <f>COUNTIFS(tData[SEHTrajectPeriodeDatumTijdVan],"&lt;="&amp;($A185+3/24),tData[SEHTrajectPeriodeDatumTijdTotEnMet],"&gt;"&amp;($A185+3/24),tData[Langligger01],1)</f>
        <v/>
      </c>
      <c r="H185" s="20">
        <f>COUNTIFS(tData[SEHTrajectPeriodeDatumTijdVan],"&lt;="&amp;($A185+4/24),tData[SEHTrajectPeriodeDatumTijdTotEnMet],"&gt;"&amp;($A185+4/24),tData[Langligger01],1)</f>
        <v/>
      </c>
      <c r="I185" s="20">
        <f>COUNTIFS(tData[SEHTrajectPeriodeDatumTijdVan],"&lt;="&amp;($A185+5/24),tData[SEHTrajectPeriodeDatumTijdTotEnMet],"&gt;"&amp;($A185+5/24),tData[Langligger01],1)</f>
        <v/>
      </c>
      <c r="J185" s="20">
        <f>COUNTIFS(tData[SEHTrajectPeriodeDatumTijdVan],"&lt;="&amp;($A185+6/24),tData[SEHTrajectPeriodeDatumTijdTotEnMet],"&gt;"&amp;($A185+6/24),tData[Langligger01],1)</f>
        <v/>
      </c>
      <c r="K185" s="20">
        <f>COUNTIFS(tData[SEHTrajectPeriodeDatumTijdVan],"&lt;="&amp;($A185+7/24),tData[SEHTrajectPeriodeDatumTijdTotEnMet],"&gt;"&amp;($A185+7/24),tData[Langligger01],1)</f>
        <v/>
      </c>
      <c r="L185" s="20">
        <f>COUNTIFS(tData[SEHTrajectPeriodeDatumTijdVan],"&lt;="&amp;($A185+8/24),tData[SEHTrajectPeriodeDatumTijdTotEnMet],"&gt;"&amp;($A185+8/24),tData[Langligger01],1)</f>
        <v/>
      </c>
      <c r="M185" s="20">
        <f>COUNTIFS(tData[SEHTrajectPeriodeDatumTijdVan],"&lt;="&amp;($A185+9/24),tData[SEHTrajectPeriodeDatumTijdTotEnMet],"&gt;"&amp;($A185+9/24),tData[Langligger01],1)</f>
        <v/>
      </c>
      <c r="N185" s="20">
        <f>COUNTIFS(tData[SEHTrajectPeriodeDatumTijdVan],"&lt;="&amp;($A185+10/24),tData[SEHTrajectPeriodeDatumTijdTotEnMet],"&gt;"&amp;($A185+10/24),tData[Langligger01],1)</f>
        <v/>
      </c>
      <c r="O185" s="20">
        <f>COUNTIFS(tData[SEHTrajectPeriodeDatumTijdVan],"&lt;="&amp;($A185+11/24),tData[SEHTrajectPeriodeDatumTijdTotEnMet],"&gt;"&amp;($A185+11/24),tData[Langligger01],1)</f>
        <v/>
      </c>
      <c r="P185" s="20">
        <f>COUNTIFS(tData[SEHTrajectPeriodeDatumTijdVan],"&lt;="&amp;($A185+12/24),tData[SEHTrajectPeriodeDatumTijdTotEnMet],"&gt;"&amp;($A185+12/24),tData[Langligger01],1)</f>
        <v/>
      </c>
      <c r="Q185" s="20">
        <f>COUNTIFS(tData[SEHTrajectPeriodeDatumTijdVan],"&lt;="&amp;($A185+13/24),tData[SEHTrajectPeriodeDatumTijdTotEnMet],"&gt;"&amp;($A185+13/24),tData[Langligger01],1)</f>
        <v/>
      </c>
      <c r="R185" s="20">
        <f>COUNTIFS(tData[SEHTrajectPeriodeDatumTijdVan],"&lt;="&amp;($A185+14/24),tData[SEHTrajectPeriodeDatumTijdTotEnMet],"&gt;"&amp;($A185+14/24),tData[Langligger01],1)</f>
        <v/>
      </c>
      <c r="S185" s="20">
        <f>COUNTIFS(tData[SEHTrajectPeriodeDatumTijdVan],"&lt;="&amp;($A185+15/24),tData[SEHTrajectPeriodeDatumTijdTotEnMet],"&gt;"&amp;($A185+15/24),tData[Langligger01],1)</f>
        <v/>
      </c>
      <c r="T185" s="20">
        <f>COUNTIFS(tData[SEHTrajectPeriodeDatumTijdVan],"&lt;="&amp;($A185+16/24),tData[SEHTrajectPeriodeDatumTijdTotEnMet],"&gt;"&amp;($A185+16/24),tData[Langligger01],1)</f>
        <v/>
      </c>
      <c r="U185" s="20">
        <f>COUNTIFS(tData[SEHTrajectPeriodeDatumTijdVan],"&lt;="&amp;($A185+17/24),tData[SEHTrajectPeriodeDatumTijdTotEnMet],"&gt;"&amp;($A185+17/24),tData[Langligger01],1)</f>
        <v/>
      </c>
      <c r="V185" s="20">
        <f>COUNTIFS(tData[SEHTrajectPeriodeDatumTijdVan],"&lt;="&amp;($A185+18/24),tData[SEHTrajectPeriodeDatumTijdTotEnMet],"&gt;"&amp;($A185+18/24),tData[Langligger01],1)</f>
        <v/>
      </c>
      <c r="W185" s="20">
        <f>COUNTIFS(tData[SEHTrajectPeriodeDatumTijdVan],"&lt;="&amp;($A185+19/24),tData[SEHTrajectPeriodeDatumTijdTotEnMet],"&gt;"&amp;($A185+19/24),tData[Langligger01],1)</f>
        <v/>
      </c>
      <c r="X185" s="20">
        <f>COUNTIFS(tData[SEHTrajectPeriodeDatumTijdVan],"&lt;="&amp;($A185+20/24),tData[SEHTrajectPeriodeDatumTijdTotEnMet],"&gt;"&amp;($A185+20/24),tData[Langligger01],1)</f>
        <v/>
      </c>
      <c r="Y185" s="20">
        <f>COUNTIFS(tData[SEHTrajectPeriodeDatumTijdVan],"&lt;="&amp;($A185+21/24),tData[SEHTrajectPeriodeDatumTijdTotEnMet],"&gt;"&amp;($A185+21/24),tData[Langligger01],1)</f>
        <v/>
      </c>
      <c r="Z185" s="20">
        <f>COUNTIFS(tData[SEHTrajectPeriodeDatumTijdVan],"&lt;="&amp;($A185+22/24),tData[SEHTrajectPeriodeDatumTijdTotEnMet],"&gt;"&amp;($A185+22/24),tData[Langligger01],1)</f>
        <v/>
      </c>
      <c r="AA185" s="20">
        <f>COUNTIFS(tData[SEHTrajectPeriodeDatumTijdVan],"&lt;="&amp;($A185+23/24),tData[SEHTrajectPeriodeDatumTijdTotEnMet],"&gt;"&amp;($A185+23/24),tData[Langligger01],1)</f>
        <v/>
      </c>
    </row>
    <row r="186">
      <c r="A186" s="19" t="n">
        <v>45474</v>
      </c>
      <c r="B186" s="15">
        <f>WEEKDAY($A186,2)</f>
        <v/>
      </c>
      <c r="C186" s="15">
        <f>IF(AND($A186&gt;=INT(Instellingen!$B$5),$A186&lt;=INT(Instellingen!$B$6)),1,0)</f>
        <v/>
      </c>
      <c r="D186" s="20">
        <f>COUNTIFS(tData[SEHTrajectPeriodeDatumTijdVan],"&lt;="&amp;($A186+0/24),tData[SEHTrajectPeriodeDatumTijdTotEnMet],"&gt;"&amp;($A186+0/24),tData[Langligger01],1)</f>
        <v/>
      </c>
      <c r="E186" s="20">
        <f>COUNTIFS(tData[SEHTrajectPeriodeDatumTijdVan],"&lt;="&amp;($A186+1/24),tData[SEHTrajectPeriodeDatumTijdTotEnMet],"&gt;"&amp;($A186+1/24),tData[Langligger01],1)</f>
        <v/>
      </c>
      <c r="F186" s="20">
        <f>COUNTIFS(tData[SEHTrajectPeriodeDatumTijdVan],"&lt;="&amp;($A186+2/24),tData[SEHTrajectPeriodeDatumTijdTotEnMet],"&gt;"&amp;($A186+2/24),tData[Langligger01],1)</f>
        <v/>
      </c>
      <c r="G186" s="20">
        <f>COUNTIFS(tData[SEHTrajectPeriodeDatumTijdVan],"&lt;="&amp;($A186+3/24),tData[SEHTrajectPeriodeDatumTijdTotEnMet],"&gt;"&amp;($A186+3/24),tData[Langligger01],1)</f>
        <v/>
      </c>
      <c r="H186" s="20">
        <f>COUNTIFS(tData[SEHTrajectPeriodeDatumTijdVan],"&lt;="&amp;($A186+4/24),tData[SEHTrajectPeriodeDatumTijdTotEnMet],"&gt;"&amp;($A186+4/24),tData[Langligger01],1)</f>
        <v/>
      </c>
      <c r="I186" s="20">
        <f>COUNTIFS(tData[SEHTrajectPeriodeDatumTijdVan],"&lt;="&amp;($A186+5/24),tData[SEHTrajectPeriodeDatumTijdTotEnMet],"&gt;"&amp;($A186+5/24),tData[Langligger01],1)</f>
        <v/>
      </c>
      <c r="J186" s="20">
        <f>COUNTIFS(tData[SEHTrajectPeriodeDatumTijdVan],"&lt;="&amp;($A186+6/24),tData[SEHTrajectPeriodeDatumTijdTotEnMet],"&gt;"&amp;($A186+6/24),tData[Langligger01],1)</f>
        <v/>
      </c>
      <c r="K186" s="20">
        <f>COUNTIFS(tData[SEHTrajectPeriodeDatumTijdVan],"&lt;="&amp;($A186+7/24),tData[SEHTrajectPeriodeDatumTijdTotEnMet],"&gt;"&amp;($A186+7/24),tData[Langligger01],1)</f>
        <v/>
      </c>
      <c r="L186" s="20">
        <f>COUNTIFS(tData[SEHTrajectPeriodeDatumTijdVan],"&lt;="&amp;($A186+8/24),tData[SEHTrajectPeriodeDatumTijdTotEnMet],"&gt;"&amp;($A186+8/24),tData[Langligger01],1)</f>
        <v/>
      </c>
      <c r="M186" s="20">
        <f>COUNTIFS(tData[SEHTrajectPeriodeDatumTijdVan],"&lt;="&amp;($A186+9/24),tData[SEHTrajectPeriodeDatumTijdTotEnMet],"&gt;"&amp;($A186+9/24),tData[Langligger01],1)</f>
        <v/>
      </c>
      <c r="N186" s="20">
        <f>COUNTIFS(tData[SEHTrajectPeriodeDatumTijdVan],"&lt;="&amp;($A186+10/24),tData[SEHTrajectPeriodeDatumTijdTotEnMet],"&gt;"&amp;($A186+10/24),tData[Langligger01],1)</f>
        <v/>
      </c>
      <c r="O186" s="20">
        <f>COUNTIFS(tData[SEHTrajectPeriodeDatumTijdVan],"&lt;="&amp;($A186+11/24),tData[SEHTrajectPeriodeDatumTijdTotEnMet],"&gt;"&amp;($A186+11/24),tData[Langligger01],1)</f>
        <v/>
      </c>
      <c r="P186" s="20">
        <f>COUNTIFS(tData[SEHTrajectPeriodeDatumTijdVan],"&lt;="&amp;($A186+12/24),tData[SEHTrajectPeriodeDatumTijdTotEnMet],"&gt;"&amp;($A186+12/24),tData[Langligger01],1)</f>
        <v/>
      </c>
      <c r="Q186" s="20">
        <f>COUNTIFS(tData[SEHTrajectPeriodeDatumTijdVan],"&lt;="&amp;($A186+13/24),tData[SEHTrajectPeriodeDatumTijdTotEnMet],"&gt;"&amp;($A186+13/24),tData[Langligger01],1)</f>
        <v/>
      </c>
      <c r="R186" s="20">
        <f>COUNTIFS(tData[SEHTrajectPeriodeDatumTijdVan],"&lt;="&amp;($A186+14/24),tData[SEHTrajectPeriodeDatumTijdTotEnMet],"&gt;"&amp;($A186+14/24),tData[Langligger01],1)</f>
        <v/>
      </c>
      <c r="S186" s="20">
        <f>COUNTIFS(tData[SEHTrajectPeriodeDatumTijdVan],"&lt;="&amp;($A186+15/24),tData[SEHTrajectPeriodeDatumTijdTotEnMet],"&gt;"&amp;($A186+15/24),tData[Langligger01],1)</f>
        <v/>
      </c>
      <c r="T186" s="20">
        <f>COUNTIFS(tData[SEHTrajectPeriodeDatumTijdVan],"&lt;="&amp;($A186+16/24),tData[SEHTrajectPeriodeDatumTijdTotEnMet],"&gt;"&amp;($A186+16/24),tData[Langligger01],1)</f>
        <v/>
      </c>
      <c r="U186" s="20">
        <f>COUNTIFS(tData[SEHTrajectPeriodeDatumTijdVan],"&lt;="&amp;($A186+17/24),tData[SEHTrajectPeriodeDatumTijdTotEnMet],"&gt;"&amp;($A186+17/24),tData[Langligger01],1)</f>
        <v/>
      </c>
      <c r="V186" s="20">
        <f>COUNTIFS(tData[SEHTrajectPeriodeDatumTijdVan],"&lt;="&amp;($A186+18/24),tData[SEHTrajectPeriodeDatumTijdTotEnMet],"&gt;"&amp;($A186+18/24),tData[Langligger01],1)</f>
        <v/>
      </c>
      <c r="W186" s="20">
        <f>COUNTIFS(tData[SEHTrajectPeriodeDatumTijdVan],"&lt;="&amp;($A186+19/24),tData[SEHTrajectPeriodeDatumTijdTotEnMet],"&gt;"&amp;($A186+19/24),tData[Langligger01],1)</f>
        <v/>
      </c>
      <c r="X186" s="20">
        <f>COUNTIFS(tData[SEHTrajectPeriodeDatumTijdVan],"&lt;="&amp;($A186+20/24),tData[SEHTrajectPeriodeDatumTijdTotEnMet],"&gt;"&amp;($A186+20/24),tData[Langligger01],1)</f>
        <v/>
      </c>
      <c r="Y186" s="20">
        <f>COUNTIFS(tData[SEHTrajectPeriodeDatumTijdVan],"&lt;="&amp;($A186+21/24),tData[SEHTrajectPeriodeDatumTijdTotEnMet],"&gt;"&amp;($A186+21/24),tData[Langligger01],1)</f>
        <v/>
      </c>
      <c r="Z186" s="20">
        <f>COUNTIFS(tData[SEHTrajectPeriodeDatumTijdVan],"&lt;="&amp;($A186+22/24),tData[SEHTrajectPeriodeDatumTijdTotEnMet],"&gt;"&amp;($A186+22/24),tData[Langligger01],1)</f>
        <v/>
      </c>
      <c r="AA186" s="20">
        <f>COUNTIFS(tData[SEHTrajectPeriodeDatumTijdVan],"&lt;="&amp;($A186+23/24),tData[SEHTrajectPeriodeDatumTijdTotEnMet],"&gt;"&amp;($A186+23/24),tData[Langligger01],1)</f>
        <v/>
      </c>
    </row>
    <row r="187">
      <c r="A187" s="19" t="n">
        <v>45475</v>
      </c>
      <c r="B187" s="15">
        <f>WEEKDAY($A187,2)</f>
        <v/>
      </c>
      <c r="C187" s="15">
        <f>IF(AND($A187&gt;=INT(Instellingen!$B$5),$A187&lt;=INT(Instellingen!$B$6)),1,0)</f>
        <v/>
      </c>
      <c r="D187" s="20">
        <f>COUNTIFS(tData[SEHTrajectPeriodeDatumTijdVan],"&lt;="&amp;($A187+0/24),tData[SEHTrajectPeriodeDatumTijdTotEnMet],"&gt;"&amp;($A187+0/24),tData[Langligger01],1)</f>
        <v/>
      </c>
      <c r="E187" s="20">
        <f>COUNTIFS(tData[SEHTrajectPeriodeDatumTijdVan],"&lt;="&amp;($A187+1/24),tData[SEHTrajectPeriodeDatumTijdTotEnMet],"&gt;"&amp;($A187+1/24),tData[Langligger01],1)</f>
        <v/>
      </c>
      <c r="F187" s="20">
        <f>COUNTIFS(tData[SEHTrajectPeriodeDatumTijdVan],"&lt;="&amp;($A187+2/24),tData[SEHTrajectPeriodeDatumTijdTotEnMet],"&gt;"&amp;($A187+2/24),tData[Langligger01],1)</f>
        <v/>
      </c>
      <c r="G187" s="20">
        <f>COUNTIFS(tData[SEHTrajectPeriodeDatumTijdVan],"&lt;="&amp;($A187+3/24),tData[SEHTrajectPeriodeDatumTijdTotEnMet],"&gt;"&amp;($A187+3/24),tData[Langligger01],1)</f>
        <v/>
      </c>
      <c r="H187" s="20">
        <f>COUNTIFS(tData[SEHTrajectPeriodeDatumTijdVan],"&lt;="&amp;($A187+4/24),tData[SEHTrajectPeriodeDatumTijdTotEnMet],"&gt;"&amp;($A187+4/24),tData[Langligger01],1)</f>
        <v/>
      </c>
      <c r="I187" s="20">
        <f>COUNTIFS(tData[SEHTrajectPeriodeDatumTijdVan],"&lt;="&amp;($A187+5/24),tData[SEHTrajectPeriodeDatumTijdTotEnMet],"&gt;"&amp;($A187+5/24),tData[Langligger01],1)</f>
        <v/>
      </c>
      <c r="J187" s="20">
        <f>COUNTIFS(tData[SEHTrajectPeriodeDatumTijdVan],"&lt;="&amp;($A187+6/24),tData[SEHTrajectPeriodeDatumTijdTotEnMet],"&gt;"&amp;($A187+6/24),tData[Langligger01],1)</f>
        <v/>
      </c>
      <c r="K187" s="20">
        <f>COUNTIFS(tData[SEHTrajectPeriodeDatumTijdVan],"&lt;="&amp;($A187+7/24),tData[SEHTrajectPeriodeDatumTijdTotEnMet],"&gt;"&amp;($A187+7/24),tData[Langligger01],1)</f>
        <v/>
      </c>
      <c r="L187" s="20">
        <f>COUNTIFS(tData[SEHTrajectPeriodeDatumTijdVan],"&lt;="&amp;($A187+8/24),tData[SEHTrajectPeriodeDatumTijdTotEnMet],"&gt;"&amp;($A187+8/24),tData[Langligger01],1)</f>
        <v/>
      </c>
      <c r="M187" s="20">
        <f>COUNTIFS(tData[SEHTrajectPeriodeDatumTijdVan],"&lt;="&amp;($A187+9/24),tData[SEHTrajectPeriodeDatumTijdTotEnMet],"&gt;"&amp;($A187+9/24),tData[Langligger01],1)</f>
        <v/>
      </c>
      <c r="N187" s="20">
        <f>COUNTIFS(tData[SEHTrajectPeriodeDatumTijdVan],"&lt;="&amp;($A187+10/24),tData[SEHTrajectPeriodeDatumTijdTotEnMet],"&gt;"&amp;($A187+10/24),tData[Langligger01],1)</f>
        <v/>
      </c>
      <c r="O187" s="20">
        <f>COUNTIFS(tData[SEHTrajectPeriodeDatumTijdVan],"&lt;="&amp;($A187+11/24),tData[SEHTrajectPeriodeDatumTijdTotEnMet],"&gt;"&amp;($A187+11/24),tData[Langligger01],1)</f>
        <v/>
      </c>
      <c r="P187" s="20">
        <f>COUNTIFS(tData[SEHTrajectPeriodeDatumTijdVan],"&lt;="&amp;($A187+12/24),tData[SEHTrajectPeriodeDatumTijdTotEnMet],"&gt;"&amp;($A187+12/24),tData[Langligger01],1)</f>
        <v/>
      </c>
      <c r="Q187" s="20">
        <f>COUNTIFS(tData[SEHTrajectPeriodeDatumTijdVan],"&lt;="&amp;($A187+13/24),tData[SEHTrajectPeriodeDatumTijdTotEnMet],"&gt;"&amp;($A187+13/24),tData[Langligger01],1)</f>
        <v/>
      </c>
      <c r="R187" s="20">
        <f>COUNTIFS(tData[SEHTrajectPeriodeDatumTijdVan],"&lt;="&amp;($A187+14/24),tData[SEHTrajectPeriodeDatumTijdTotEnMet],"&gt;"&amp;($A187+14/24),tData[Langligger01],1)</f>
        <v/>
      </c>
      <c r="S187" s="20">
        <f>COUNTIFS(tData[SEHTrajectPeriodeDatumTijdVan],"&lt;="&amp;($A187+15/24),tData[SEHTrajectPeriodeDatumTijdTotEnMet],"&gt;"&amp;($A187+15/24),tData[Langligger01],1)</f>
        <v/>
      </c>
      <c r="T187" s="20">
        <f>COUNTIFS(tData[SEHTrajectPeriodeDatumTijdVan],"&lt;="&amp;($A187+16/24),tData[SEHTrajectPeriodeDatumTijdTotEnMet],"&gt;"&amp;($A187+16/24),tData[Langligger01],1)</f>
        <v/>
      </c>
      <c r="U187" s="20">
        <f>COUNTIFS(tData[SEHTrajectPeriodeDatumTijdVan],"&lt;="&amp;($A187+17/24),tData[SEHTrajectPeriodeDatumTijdTotEnMet],"&gt;"&amp;($A187+17/24),tData[Langligger01],1)</f>
        <v/>
      </c>
      <c r="V187" s="20">
        <f>COUNTIFS(tData[SEHTrajectPeriodeDatumTijdVan],"&lt;="&amp;($A187+18/24),tData[SEHTrajectPeriodeDatumTijdTotEnMet],"&gt;"&amp;($A187+18/24),tData[Langligger01],1)</f>
        <v/>
      </c>
      <c r="W187" s="20">
        <f>COUNTIFS(tData[SEHTrajectPeriodeDatumTijdVan],"&lt;="&amp;($A187+19/24),tData[SEHTrajectPeriodeDatumTijdTotEnMet],"&gt;"&amp;($A187+19/24),tData[Langligger01],1)</f>
        <v/>
      </c>
      <c r="X187" s="20">
        <f>COUNTIFS(tData[SEHTrajectPeriodeDatumTijdVan],"&lt;="&amp;($A187+20/24),tData[SEHTrajectPeriodeDatumTijdTotEnMet],"&gt;"&amp;($A187+20/24),tData[Langligger01],1)</f>
        <v/>
      </c>
      <c r="Y187" s="20">
        <f>COUNTIFS(tData[SEHTrajectPeriodeDatumTijdVan],"&lt;="&amp;($A187+21/24),tData[SEHTrajectPeriodeDatumTijdTotEnMet],"&gt;"&amp;($A187+21/24),tData[Langligger01],1)</f>
        <v/>
      </c>
      <c r="Z187" s="20">
        <f>COUNTIFS(tData[SEHTrajectPeriodeDatumTijdVan],"&lt;="&amp;($A187+22/24),tData[SEHTrajectPeriodeDatumTijdTotEnMet],"&gt;"&amp;($A187+22/24),tData[Langligger01],1)</f>
        <v/>
      </c>
      <c r="AA187" s="20">
        <f>COUNTIFS(tData[SEHTrajectPeriodeDatumTijdVan],"&lt;="&amp;($A187+23/24),tData[SEHTrajectPeriodeDatumTijdTotEnMet],"&gt;"&amp;($A187+23/24),tData[Langligger01],1)</f>
        <v/>
      </c>
    </row>
    <row r="188">
      <c r="A188" s="19" t="n">
        <v>45476</v>
      </c>
      <c r="B188" s="15">
        <f>WEEKDAY($A188,2)</f>
        <v/>
      </c>
      <c r="C188" s="15">
        <f>IF(AND($A188&gt;=INT(Instellingen!$B$5),$A188&lt;=INT(Instellingen!$B$6)),1,0)</f>
        <v/>
      </c>
      <c r="D188" s="20">
        <f>COUNTIFS(tData[SEHTrajectPeriodeDatumTijdVan],"&lt;="&amp;($A188+0/24),tData[SEHTrajectPeriodeDatumTijdTotEnMet],"&gt;"&amp;($A188+0/24),tData[Langligger01],1)</f>
        <v/>
      </c>
      <c r="E188" s="20">
        <f>COUNTIFS(tData[SEHTrajectPeriodeDatumTijdVan],"&lt;="&amp;($A188+1/24),tData[SEHTrajectPeriodeDatumTijdTotEnMet],"&gt;"&amp;($A188+1/24),tData[Langligger01],1)</f>
        <v/>
      </c>
      <c r="F188" s="20">
        <f>COUNTIFS(tData[SEHTrajectPeriodeDatumTijdVan],"&lt;="&amp;($A188+2/24),tData[SEHTrajectPeriodeDatumTijdTotEnMet],"&gt;"&amp;($A188+2/24),tData[Langligger01],1)</f>
        <v/>
      </c>
      <c r="G188" s="20">
        <f>COUNTIFS(tData[SEHTrajectPeriodeDatumTijdVan],"&lt;="&amp;($A188+3/24),tData[SEHTrajectPeriodeDatumTijdTotEnMet],"&gt;"&amp;($A188+3/24),tData[Langligger01],1)</f>
        <v/>
      </c>
      <c r="H188" s="20">
        <f>COUNTIFS(tData[SEHTrajectPeriodeDatumTijdVan],"&lt;="&amp;($A188+4/24),tData[SEHTrajectPeriodeDatumTijdTotEnMet],"&gt;"&amp;($A188+4/24),tData[Langligger01],1)</f>
        <v/>
      </c>
      <c r="I188" s="20">
        <f>COUNTIFS(tData[SEHTrajectPeriodeDatumTijdVan],"&lt;="&amp;($A188+5/24),tData[SEHTrajectPeriodeDatumTijdTotEnMet],"&gt;"&amp;($A188+5/24),tData[Langligger01],1)</f>
        <v/>
      </c>
      <c r="J188" s="20">
        <f>COUNTIFS(tData[SEHTrajectPeriodeDatumTijdVan],"&lt;="&amp;($A188+6/24),tData[SEHTrajectPeriodeDatumTijdTotEnMet],"&gt;"&amp;($A188+6/24),tData[Langligger01],1)</f>
        <v/>
      </c>
      <c r="K188" s="20">
        <f>COUNTIFS(tData[SEHTrajectPeriodeDatumTijdVan],"&lt;="&amp;($A188+7/24),tData[SEHTrajectPeriodeDatumTijdTotEnMet],"&gt;"&amp;($A188+7/24),tData[Langligger01],1)</f>
        <v/>
      </c>
      <c r="L188" s="20">
        <f>COUNTIFS(tData[SEHTrajectPeriodeDatumTijdVan],"&lt;="&amp;($A188+8/24),tData[SEHTrajectPeriodeDatumTijdTotEnMet],"&gt;"&amp;($A188+8/24),tData[Langligger01],1)</f>
        <v/>
      </c>
      <c r="M188" s="20">
        <f>COUNTIFS(tData[SEHTrajectPeriodeDatumTijdVan],"&lt;="&amp;($A188+9/24),tData[SEHTrajectPeriodeDatumTijdTotEnMet],"&gt;"&amp;($A188+9/24),tData[Langligger01],1)</f>
        <v/>
      </c>
      <c r="N188" s="20">
        <f>COUNTIFS(tData[SEHTrajectPeriodeDatumTijdVan],"&lt;="&amp;($A188+10/24),tData[SEHTrajectPeriodeDatumTijdTotEnMet],"&gt;"&amp;($A188+10/24),tData[Langligger01],1)</f>
        <v/>
      </c>
      <c r="O188" s="20">
        <f>COUNTIFS(tData[SEHTrajectPeriodeDatumTijdVan],"&lt;="&amp;($A188+11/24),tData[SEHTrajectPeriodeDatumTijdTotEnMet],"&gt;"&amp;($A188+11/24),tData[Langligger01],1)</f>
        <v/>
      </c>
      <c r="P188" s="20">
        <f>COUNTIFS(tData[SEHTrajectPeriodeDatumTijdVan],"&lt;="&amp;($A188+12/24),tData[SEHTrajectPeriodeDatumTijdTotEnMet],"&gt;"&amp;($A188+12/24),tData[Langligger01],1)</f>
        <v/>
      </c>
      <c r="Q188" s="20">
        <f>COUNTIFS(tData[SEHTrajectPeriodeDatumTijdVan],"&lt;="&amp;($A188+13/24),tData[SEHTrajectPeriodeDatumTijdTotEnMet],"&gt;"&amp;($A188+13/24),tData[Langligger01],1)</f>
        <v/>
      </c>
      <c r="R188" s="20">
        <f>COUNTIFS(tData[SEHTrajectPeriodeDatumTijdVan],"&lt;="&amp;($A188+14/24),tData[SEHTrajectPeriodeDatumTijdTotEnMet],"&gt;"&amp;($A188+14/24),tData[Langligger01],1)</f>
        <v/>
      </c>
      <c r="S188" s="20">
        <f>COUNTIFS(tData[SEHTrajectPeriodeDatumTijdVan],"&lt;="&amp;($A188+15/24),tData[SEHTrajectPeriodeDatumTijdTotEnMet],"&gt;"&amp;($A188+15/24),tData[Langligger01],1)</f>
        <v/>
      </c>
      <c r="T188" s="20">
        <f>COUNTIFS(tData[SEHTrajectPeriodeDatumTijdVan],"&lt;="&amp;($A188+16/24),tData[SEHTrajectPeriodeDatumTijdTotEnMet],"&gt;"&amp;($A188+16/24),tData[Langligger01],1)</f>
        <v/>
      </c>
      <c r="U188" s="20">
        <f>COUNTIFS(tData[SEHTrajectPeriodeDatumTijdVan],"&lt;="&amp;($A188+17/24),tData[SEHTrajectPeriodeDatumTijdTotEnMet],"&gt;"&amp;($A188+17/24),tData[Langligger01],1)</f>
        <v/>
      </c>
      <c r="V188" s="20">
        <f>COUNTIFS(tData[SEHTrajectPeriodeDatumTijdVan],"&lt;="&amp;($A188+18/24),tData[SEHTrajectPeriodeDatumTijdTotEnMet],"&gt;"&amp;($A188+18/24),tData[Langligger01],1)</f>
        <v/>
      </c>
      <c r="W188" s="20">
        <f>COUNTIFS(tData[SEHTrajectPeriodeDatumTijdVan],"&lt;="&amp;($A188+19/24),tData[SEHTrajectPeriodeDatumTijdTotEnMet],"&gt;"&amp;($A188+19/24),tData[Langligger01],1)</f>
        <v/>
      </c>
      <c r="X188" s="20">
        <f>COUNTIFS(tData[SEHTrajectPeriodeDatumTijdVan],"&lt;="&amp;($A188+20/24),tData[SEHTrajectPeriodeDatumTijdTotEnMet],"&gt;"&amp;($A188+20/24),tData[Langligger01],1)</f>
        <v/>
      </c>
      <c r="Y188" s="20">
        <f>COUNTIFS(tData[SEHTrajectPeriodeDatumTijdVan],"&lt;="&amp;($A188+21/24),tData[SEHTrajectPeriodeDatumTijdTotEnMet],"&gt;"&amp;($A188+21/24),tData[Langligger01],1)</f>
        <v/>
      </c>
      <c r="Z188" s="20">
        <f>COUNTIFS(tData[SEHTrajectPeriodeDatumTijdVan],"&lt;="&amp;($A188+22/24),tData[SEHTrajectPeriodeDatumTijdTotEnMet],"&gt;"&amp;($A188+22/24),tData[Langligger01],1)</f>
        <v/>
      </c>
      <c r="AA188" s="20">
        <f>COUNTIFS(tData[SEHTrajectPeriodeDatumTijdVan],"&lt;="&amp;($A188+23/24),tData[SEHTrajectPeriodeDatumTijdTotEnMet],"&gt;"&amp;($A188+23/24),tData[Langligger01],1)</f>
        <v/>
      </c>
    </row>
    <row r="189">
      <c r="A189" s="19" t="n">
        <v>45477</v>
      </c>
      <c r="B189" s="15">
        <f>WEEKDAY($A189,2)</f>
        <v/>
      </c>
      <c r="C189" s="15">
        <f>IF(AND($A189&gt;=INT(Instellingen!$B$5),$A189&lt;=INT(Instellingen!$B$6)),1,0)</f>
        <v/>
      </c>
      <c r="D189" s="20">
        <f>COUNTIFS(tData[SEHTrajectPeriodeDatumTijdVan],"&lt;="&amp;($A189+0/24),tData[SEHTrajectPeriodeDatumTijdTotEnMet],"&gt;"&amp;($A189+0/24),tData[Langligger01],1)</f>
        <v/>
      </c>
      <c r="E189" s="20">
        <f>COUNTIFS(tData[SEHTrajectPeriodeDatumTijdVan],"&lt;="&amp;($A189+1/24),tData[SEHTrajectPeriodeDatumTijdTotEnMet],"&gt;"&amp;($A189+1/24),tData[Langligger01],1)</f>
        <v/>
      </c>
      <c r="F189" s="20">
        <f>COUNTIFS(tData[SEHTrajectPeriodeDatumTijdVan],"&lt;="&amp;($A189+2/24),tData[SEHTrajectPeriodeDatumTijdTotEnMet],"&gt;"&amp;($A189+2/24),tData[Langligger01],1)</f>
        <v/>
      </c>
      <c r="G189" s="20">
        <f>COUNTIFS(tData[SEHTrajectPeriodeDatumTijdVan],"&lt;="&amp;($A189+3/24),tData[SEHTrajectPeriodeDatumTijdTotEnMet],"&gt;"&amp;($A189+3/24),tData[Langligger01],1)</f>
        <v/>
      </c>
      <c r="H189" s="20">
        <f>COUNTIFS(tData[SEHTrajectPeriodeDatumTijdVan],"&lt;="&amp;($A189+4/24),tData[SEHTrajectPeriodeDatumTijdTotEnMet],"&gt;"&amp;($A189+4/24),tData[Langligger01],1)</f>
        <v/>
      </c>
      <c r="I189" s="20">
        <f>COUNTIFS(tData[SEHTrajectPeriodeDatumTijdVan],"&lt;="&amp;($A189+5/24),tData[SEHTrajectPeriodeDatumTijdTotEnMet],"&gt;"&amp;($A189+5/24),tData[Langligger01],1)</f>
        <v/>
      </c>
      <c r="J189" s="20">
        <f>COUNTIFS(tData[SEHTrajectPeriodeDatumTijdVan],"&lt;="&amp;($A189+6/24),tData[SEHTrajectPeriodeDatumTijdTotEnMet],"&gt;"&amp;($A189+6/24),tData[Langligger01],1)</f>
        <v/>
      </c>
      <c r="K189" s="20">
        <f>COUNTIFS(tData[SEHTrajectPeriodeDatumTijdVan],"&lt;="&amp;($A189+7/24),tData[SEHTrajectPeriodeDatumTijdTotEnMet],"&gt;"&amp;($A189+7/24),tData[Langligger01],1)</f>
        <v/>
      </c>
      <c r="L189" s="20">
        <f>COUNTIFS(tData[SEHTrajectPeriodeDatumTijdVan],"&lt;="&amp;($A189+8/24),tData[SEHTrajectPeriodeDatumTijdTotEnMet],"&gt;"&amp;($A189+8/24),tData[Langligger01],1)</f>
        <v/>
      </c>
      <c r="M189" s="20">
        <f>COUNTIFS(tData[SEHTrajectPeriodeDatumTijdVan],"&lt;="&amp;($A189+9/24),tData[SEHTrajectPeriodeDatumTijdTotEnMet],"&gt;"&amp;($A189+9/24),tData[Langligger01],1)</f>
        <v/>
      </c>
      <c r="N189" s="20">
        <f>COUNTIFS(tData[SEHTrajectPeriodeDatumTijdVan],"&lt;="&amp;($A189+10/24),tData[SEHTrajectPeriodeDatumTijdTotEnMet],"&gt;"&amp;($A189+10/24),tData[Langligger01],1)</f>
        <v/>
      </c>
      <c r="O189" s="20">
        <f>COUNTIFS(tData[SEHTrajectPeriodeDatumTijdVan],"&lt;="&amp;($A189+11/24),tData[SEHTrajectPeriodeDatumTijdTotEnMet],"&gt;"&amp;($A189+11/24),tData[Langligger01],1)</f>
        <v/>
      </c>
      <c r="P189" s="20">
        <f>COUNTIFS(tData[SEHTrajectPeriodeDatumTijdVan],"&lt;="&amp;($A189+12/24),tData[SEHTrajectPeriodeDatumTijdTotEnMet],"&gt;"&amp;($A189+12/24),tData[Langligger01],1)</f>
        <v/>
      </c>
      <c r="Q189" s="20">
        <f>COUNTIFS(tData[SEHTrajectPeriodeDatumTijdVan],"&lt;="&amp;($A189+13/24),tData[SEHTrajectPeriodeDatumTijdTotEnMet],"&gt;"&amp;($A189+13/24),tData[Langligger01],1)</f>
        <v/>
      </c>
      <c r="R189" s="20">
        <f>COUNTIFS(tData[SEHTrajectPeriodeDatumTijdVan],"&lt;="&amp;($A189+14/24),tData[SEHTrajectPeriodeDatumTijdTotEnMet],"&gt;"&amp;($A189+14/24),tData[Langligger01],1)</f>
        <v/>
      </c>
      <c r="S189" s="20">
        <f>COUNTIFS(tData[SEHTrajectPeriodeDatumTijdVan],"&lt;="&amp;($A189+15/24),tData[SEHTrajectPeriodeDatumTijdTotEnMet],"&gt;"&amp;($A189+15/24),tData[Langligger01],1)</f>
        <v/>
      </c>
      <c r="T189" s="20">
        <f>COUNTIFS(tData[SEHTrajectPeriodeDatumTijdVan],"&lt;="&amp;($A189+16/24),tData[SEHTrajectPeriodeDatumTijdTotEnMet],"&gt;"&amp;($A189+16/24),tData[Langligger01],1)</f>
        <v/>
      </c>
      <c r="U189" s="20">
        <f>COUNTIFS(tData[SEHTrajectPeriodeDatumTijdVan],"&lt;="&amp;($A189+17/24),tData[SEHTrajectPeriodeDatumTijdTotEnMet],"&gt;"&amp;($A189+17/24),tData[Langligger01],1)</f>
        <v/>
      </c>
      <c r="V189" s="20">
        <f>COUNTIFS(tData[SEHTrajectPeriodeDatumTijdVan],"&lt;="&amp;($A189+18/24),tData[SEHTrajectPeriodeDatumTijdTotEnMet],"&gt;"&amp;($A189+18/24),tData[Langligger01],1)</f>
        <v/>
      </c>
      <c r="W189" s="20">
        <f>COUNTIFS(tData[SEHTrajectPeriodeDatumTijdVan],"&lt;="&amp;($A189+19/24),tData[SEHTrajectPeriodeDatumTijdTotEnMet],"&gt;"&amp;($A189+19/24),tData[Langligger01],1)</f>
        <v/>
      </c>
      <c r="X189" s="20">
        <f>COUNTIFS(tData[SEHTrajectPeriodeDatumTijdVan],"&lt;="&amp;($A189+20/24),tData[SEHTrajectPeriodeDatumTijdTotEnMet],"&gt;"&amp;($A189+20/24),tData[Langligger01],1)</f>
        <v/>
      </c>
      <c r="Y189" s="20">
        <f>COUNTIFS(tData[SEHTrajectPeriodeDatumTijdVan],"&lt;="&amp;($A189+21/24),tData[SEHTrajectPeriodeDatumTijdTotEnMet],"&gt;"&amp;($A189+21/24),tData[Langligger01],1)</f>
        <v/>
      </c>
      <c r="Z189" s="20">
        <f>COUNTIFS(tData[SEHTrajectPeriodeDatumTijdVan],"&lt;="&amp;($A189+22/24),tData[SEHTrajectPeriodeDatumTijdTotEnMet],"&gt;"&amp;($A189+22/24),tData[Langligger01],1)</f>
        <v/>
      </c>
      <c r="AA189" s="20">
        <f>COUNTIFS(tData[SEHTrajectPeriodeDatumTijdVan],"&lt;="&amp;($A189+23/24),tData[SEHTrajectPeriodeDatumTijdTotEnMet],"&gt;"&amp;($A189+23/24),tData[Langligger01],1)</f>
        <v/>
      </c>
    </row>
    <row r="190">
      <c r="A190" s="19" t="n">
        <v>45478</v>
      </c>
      <c r="B190" s="15">
        <f>WEEKDAY($A190,2)</f>
        <v/>
      </c>
      <c r="C190" s="15">
        <f>IF(AND($A190&gt;=INT(Instellingen!$B$5),$A190&lt;=INT(Instellingen!$B$6)),1,0)</f>
        <v/>
      </c>
      <c r="D190" s="20">
        <f>COUNTIFS(tData[SEHTrajectPeriodeDatumTijdVan],"&lt;="&amp;($A190+0/24),tData[SEHTrajectPeriodeDatumTijdTotEnMet],"&gt;"&amp;($A190+0/24),tData[Langligger01],1)</f>
        <v/>
      </c>
      <c r="E190" s="20">
        <f>COUNTIFS(tData[SEHTrajectPeriodeDatumTijdVan],"&lt;="&amp;($A190+1/24),tData[SEHTrajectPeriodeDatumTijdTotEnMet],"&gt;"&amp;($A190+1/24),tData[Langligger01],1)</f>
        <v/>
      </c>
      <c r="F190" s="20">
        <f>COUNTIFS(tData[SEHTrajectPeriodeDatumTijdVan],"&lt;="&amp;($A190+2/24),tData[SEHTrajectPeriodeDatumTijdTotEnMet],"&gt;"&amp;($A190+2/24),tData[Langligger01],1)</f>
        <v/>
      </c>
      <c r="G190" s="20">
        <f>COUNTIFS(tData[SEHTrajectPeriodeDatumTijdVan],"&lt;="&amp;($A190+3/24),tData[SEHTrajectPeriodeDatumTijdTotEnMet],"&gt;"&amp;($A190+3/24),tData[Langligger01],1)</f>
        <v/>
      </c>
      <c r="H190" s="20">
        <f>COUNTIFS(tData[SEHTrajectPeriodeDatumTijdVan],"&lt;="&amp;($A190+4/24),tData[SEHTrajectPeriodeDatumTijdTotEnMet],"&gt;"&amp;($A190+4/24),tData[Langligger01],1)</f>
        <v/>
      </c>
      <c r="I190" s="20">
        <f>COUNTIFS(tData[SEHTrajectPeriodeDatumTijdVan],"&lt;="&amp;($A190+5/24),tData[SEHTrajectPeriodeDatumTijdTotEnMet],"&gt;"&amp;($A190+5/24),tData[Langligger01],1)</f>
        <v/>
      </c>
      <c r="J190" s="20">
        <f>COUNTIFS(tData[SEHTrajectPeriodeDatumTijdVan],"&lt;="&amp;($A190+6/24),tData[SEHTrajectPeriodeDatumTijdTotEnMet],"&gt;"&amp;($A190+6/24),tData[Langligger01],1)</f>
        <v/>
      </c>
      <c r="K190" s="20">
        <f>COUNTIFS(tData[SEHTrajectPeriodeDatumTijdVan],"&lt;="&amp;($A190+7/24),tData[SEHTrajectPeriodeDatumTijdTotEnMet],"&gt;"&amp;($A190+7/24),tData[Langligger01],1)</f>
        <v/>
      </c>
      <c r="L190" s="20">
        <f>COUNTIFS(tData[SEHTrajectPeriodeDatumTijdVan],"&lt;="&amp;($A190+8/24),tData[SEHTrajectPeriodeDatumTijdTotEnMet],"&gt;"&amp;($A190+8/24),tData[Langligger01],1)</f>
        <v/>
      </c>
      <c r="M190" s="20">
        <f>COUNTIFS(tData[SEHTrajectPeriodeDatumTijdVan],"&lt;="&amp;($A190+9/24),tData[SEHTrajectPeriodeDatumTijdTotEnMet],"&gt;"&amp;($A190+9/24),tData[Langligger01],1)</f>
        <v/>
      </c>
      <c r="N190" s="20">
        <f>COUNTIFS(tData[SEHTrajectPeriodeDatumTijdVan],"&lt;="&amp;($A190+10/24),tData[SEHTrajectPeriodeDatumTijdTotEnMet],"&gt;"&amp;($A190+10/24),tData[Langligger01],1)</f>
        <v/>
      </c>
      <c r="O190" s="20">
        <f>COUNTIFS(tData[SEHTrajectPeriodeDatumTijdVan],"&lt;="&amp;($A190+11/24),tData[SEHTrajectPeriodeDatumTijdTotEnMet],"&gt;"&amp;($A190+11/24),tData[Langligger01],1)</f>
        <v/>
      </c>
      <c r="P190" s="20">
        <f>COUNTIFS(tData[SEHTrajectPeriodeDatumTijdVan],"&lt;="&amp;($A190+12/24),tData[SEHTrajectPeriodeDatumTijdTotEnMet],"&gt;"&amp;($A190+12/24),tData[Langligger01],1)</f>
        <v/>
      </c>
      <c r="Q190" s="20">
        <f>COUNTIFS(tData[SEHTrajectPeriodeDatumTijdVan],"&lt;="&amp;($A190+13/24),tData[SEHTrajectPeriodeDatumTijdTotEnMet],"&gt;"&amp;($A190+13/24),tData[Langligger01],1)</f>
        <v/>
      </c>
      <c r="R190" s="20">
        <f>COUNTIFS(tData[SEHTrajectPeriodeDatumTijdVan],"&lt;="&amp;($A190+14/24),tData[SEHTrajectPeriodeDatumTijdTotEnMet],"&gt;"&amp;($A190+14/24),tData[Langligger01],1)</f>
        <v/>
      </c>
      <c r="S190" s="20">
        <f>COUNTIFS(tData[SEHTrajectPeriodeDatumTijdVan],"&lt;="&amp;($A190+15/24),tData[SEHTrajectPeriodeDatumTijdTotEnMet],"&gt;"&amp;($A190+15/24),tData[Langligger01],1)</f>
        <v/>
      </c>
      <c r="T190" s="20">
        <f>COUNTIFS(tData[SEHTrajectPeriodeDatumTijdVan],"&lt;="&amp;($A190+16/24),tData[SEHTrajectPeriodeDatumTijdTotEnMet],"&gt;"&amp;($A190+16/24),tData[Langligger01],1)</f>
        <v/>
      </c>
      <c r="U190" s="20">
        <f>COUNTIFS(tData[SEHTrajectPeriodeDatumTijdVan],"&lt;="&amp;($A190+17/24),tData[SEHTrajectPeriodeDatumTijdTotEnMet],"&gt;"&amp;($A190+17/24),tData[Langligger01],1)</f>
        <v/>
      </c>
      <c r="V190" s="20">
        <f>COUNTIFS(tData[SEHTrajectPeriodeDatumTijdVan],"&lt;="&amp;($A190+18/24),tData[SEHTrajectPeriodeDatumTijdTotEnMet],"&gt;"&amp;($A190+18/24),tData[Langligger01],1)</f>
        <v/>
      </c>
      <c r="W190" s="20">
        <f>COUNTIFS(tData[SEHTrajectPeriodeDatumTijdVan],"&lt;="&amp;($A190+19/24),tData[SEHTrajectPeriodeDatumTijdTotEnMet],"&gt;"&amp;($A190+19/24),tData[Langligger01],1)</f>
        <v/>
      </c>
      <c r="X190" s="20">
        <f>COUNTIFS(tData[SEHTrajectPeriodeDatumTijdVan],"&lt;="&amp;($A190+20/24),tData[SEHTrajectPeriodeDatumTijdTotEnMet],"&gt;"&amp;($A190+20/24),tData[Langligger01],1)</f>
        <v/>
      </c>
      <c r="Y190" s="20">
        <f>COUNTIFS(tData[SEHTrajectPeriodeDatumTijdVan],"&lt;="&amp;($A190+21/24),tData[SEHTrajectPeriodeDatumTijdTotEnMet],"&gt;"&amp;($A190+21/24),tData[Langligger01],1)</f>
        <v/>
      </c>
      <c r="Z190" s="20">
        <f>COUNTIFS(tData[SEHTrajectPeriodeDatumTijdVan],"&lt;="&amp;($A190+22/24),tData[SEHTrajectPeriodeDatumTijdTotEnMet],"&gt;"&amp;($A190+22/24),tData[Langligger01],1)</f>
        <v/>
      </c>
      <c r="AA190" s="20">
        <f>COUNTIFS(tData[SEHTrajectPeriodeDatumTijdVan],"&lt;="&amp;($A190+23/24),tData[SEHTrajectPeriodeDatumTijdTotEnMet],"&gt;"&amp;($A190+23/24),tData[Langligger01],1)</f>
        <v/>
      </c>
    </row>
    <row r="191">
      <c r="A191" s="19" t="n">
        <v>45479</v>
      </c>
      <c r="B191" s="15">
        <f>WEEKDAY($A191,2)</f>
        <v/>
      </c>
      <c r="C191" s="15">
        <f>IF(AND($A191&gt;=INT(Instellingen!$B$5),$A191&lt;=INT(Instellingen!$B$6)),1,0)</f>
        <v/>
      </c>
      <c r="D191" s="20">
        <f>COUNTIFS(tData[SEHTrajectPeriodeDatumTijdVan],"&lt;="&amp;($A191+0/24),tData[SEHTrajectPeriodeDatumTijdTotEnMet],"&gt;"&amp;($A191+0/24),tData[Langligger01],1)</f>
        <v/>
      </c>
      <c r="E191" s="20">
        <f>COUNTIFS(tData[SEHTrajectPeriodeDatumTijdVan],"&lt;="&amp;($A191+1/24),tData[SEHTrajectPeriodeDatumTijdTotEnMet],"&gt;"&amp;($A191+1/24),tData[Langligger01],1)</f>
        <v/>
      </c>
      <c r="F191" s="20">
        <f>COUNTIFS(tData[SEHTrajectPeriodeDatumTijdVan],"&lt;="&amp;($A191+2/24),tData[SEHTrajectPeriodeDatumTijdTotEnMet],"&gt;"&amp;($A191+2/24),tData[Langligger01],1)</f>
        <v/>
      </c>
      <c r="G191" s="20">
        <f>COUNTIFS(tData[SEHTrajectPeriodeDatumTijdVan],"&lt;="&amp;($A191+3/24),tData[SEHTrajectPeriodeDatumTijdTotEnMet],"&gt;"&amp;($A191+3/24),tData[Langligger01],1)</f>
        <v/>
      </c>
      <c r="H191" s="20">
        <f>COUNTIFS(tData[SEHTrajectPeriodeDatumTijdVan],"&lt;="&amp;($A191+4/24),tData[SEHTrajectPeriodeDatumTijdTotEnMet],"&gt;"&amp;($A191+4/24),tData[Langligger01],1)</f>
        <v/>
      </c>
      <c r="I191" s="20">
        <f>COUNTIFS(tData[SEHTrajectPeriodeDatumTijdVan],"&lt;="&amp;($A191+5/24),tData[SEHTrajectPeriodeDatumTijdTotEnMet],"&gt;"&amp;($A191+5/24),tData[Langligger01],1)</f>
        <v/>
      </c>
      <c r="J191" s="20">
        <f>COUNTIFS(tData[SEHTrajectPeriodeDatumTijdVan],"&lt;="&amp;($A191+6/24),tData[SEHTrajectPeriodeDatumTijdTotEnMet],"&gt;"&amp;($A191+6/24),tData[Langligger01],1)</f>
        <v/>
      </c>
      <c r="K191" s="20">
        <f>COUNTIFS(tData[SEHTrajectPeriodeDatumTijdVan],"&lt;="&amp;($A191+7/24),tData[SEHTrajectPeriodeDatumTijdTotEnMet],"&gt;"&amp;($A191+7/24),tData[Langligger01],1)</f>
        <v/>
      </c>
      <c r="L191" s="20">
        <f>COUNTIFS(tData[SEHTrajectPeriodeDatumTijdVan],"&lt;="&amp;($A191+8/24),tData[SEHTrajectPeriodeDatumTijdTotEnMet],"&gt;"&amp;($A191+8/24),tData[Langligger01],1)</f>
        <v/>
      </c>
      <c r="M191" s="20">
        <f>COUNTIFS(tData[SEHTrajectPeriodeDatumTijdVan],"&lt;="&amp;($A191+9/24),tData[SEHTrajectPeriodeDatumTijdTotEnMet],"&gt;"&amp;($A191+9/24),tData[Langligger01],1)</f>
        <v/>
      </c>
      <c r="N191" s="20">
        <f>COUNTIFS(tData[SEHTrajectPeriodeDatumTijdVan],"&lt;="&amp;($A191+10/24),tData[SEHTrajectPeriodeDatumTijdTotEnMet],"&gt;"&amp;($A191+10/24),tData[Langligger01],1)</f>
        <v/>
      </c>
      <c r="O191" s="20">
        <f>COUNTIFS(tData[SEHTrajectPeriodeDatumTijdVan],"&lt;="&amp;($A191+11/24),tData[SEHTrajectPeriodeDatumTijdTotEnMet],"&gt;"&amp;($A191+11/24),tData[Langligger01],1)</f>
        <v/>
      </c>
      <c r="P191" s="20">
        <f>COUNTIFS(tData[SEHTrajectPeriodeDatumTijdVan],"&lt;="&amp;($A191+12/24),tData[SEHTrajectPeriodeDatumTijdTotEnMet],"&gt;"&amp;($A191+12/24),tData[Langligger01],1)</f>
        <v/>
      </c>
      <c r="Q191" s="20">
        <f>COUNTIFS(tData[SEHTrajectPeriodeDatumTijdVan],"&lt;="&amp;($A191+13/24),tData[SEHTrajectPeriodeDatumTijdTotEnMet],"&gt;"&amp;($A191+13/24),tData[Langligger01],1)</f>
        <v/>
      </c>
      <c r="R191" s="20">
        <f>COUNTIFS(tData[SEHTrajectPeriodeDatumTijdVan],"&lt;="&amp;($A191+14/24),tData[SEHTrajectPeriodeDatumTijdTotEnMet],"&gt;"&amp;($A191+14/24),tData[Langligger01],1)</f>
        <v/>
      </c>
      <c r="S191" s="20">
        <f>COUNTIFS(tData[SEHTrajectPeriodeDatumTijdVan],"&lt;="&amp;($A191+15/24),tData[SEHTrajectPeriodeDatumTijdTotEnMet],"&gt;"&amp;($A191+15/24),tData[Langligger01],1)</f>
        <v/>
      </c>
      <c r="T191" s="20">
        <f>COUNTIFS(tData[SEHTrajectPeriodeDatumTijdVan],"&lt;="&amp;($A191+16/24),tData[SEHTrajectPeriodeDatumTijdTotEnMet],"&gt;"&amp;($A191+16/24),tData[Langligger01],1)</f>
        <v/>
      </c>
      <c r="U191" s="20">
        <f>COUNTIFS(tData[SEHTrajectPeriodeDatumTijdVan],"&lt;="&amp;($A191+17/24),tData[SEHTrajectPeriodeDatumTijdTotEnMet],"&gt;"&amp;($A191+17/24),tData[Langligger01],1)</f>
        <v/>
      </c>
      <c r="V191" s="20">
        <f>COUNTIFS(tData[SEHTrajectPeriodeDatumTijdVan],"&lt;="&amp;($A191+18/24),tData[SEHTrajectPeriodeDatumTijdTotEnMet],"&gt;"&amp;($A191+18/24),tData[Langligger01],1)</f>
        <v/>
      </c>
      <c r="W191" s="20">
        <f>COUNTIFS(tData[SEHTrajectPeriodeDatumTijdVan],"&lt;="&amp;($A191+19/24),tData[SEHTrajectPeriodeDatumTijdTotEnMet],"&gt;"&amp;($A191+19/24),tData[Langligger01],1)</f>
        <v/>
      </c>
      <c r="X191" s="20">
        <f>COUNTIFS(tData[SEHTrajectPeriodeDatumTijdVan],"&lt;="&amp;($A191+20/24),tData[SEHTrajectPeriodeDatumTijdTotEnMet],"&gt;"&amp;($A191+20/24),tData[Langligger01],1)</f>
        <v/>
      </c>
      <c r="Y191" s="20">
        <f>COUNTIFS(tData[SEHTrajectPeriodeDatumTijdVan],"&lt;="&amp;($A191+21/24),tData[SEHTrajectPeriodeDatumTijdTotEnMet],"&gt;"&amp;($A191+21/24),tData[Langligger01],1)</f>
        <v/>
      </c>
      <c r="Z191" s="20">
        <f>COUNTIFS(tData[SEHTrajectPeriodeDatumTijdVan],"&lt;="&amp;($A191+22/24),tData[SEHTrajectPeriodeDatumTijdTotEnMet],"&gt;"&amp;($A191+22/24),tData[Langligger01],1)</f>
        <v/>
      </c>
      <c r="AA191" s="20">
        <f>COUNTIFS(tData[SEHTrajectPeriodeDatumTijdVan],"&lt;="&amp;($A191+23/24),tData[SEHTrajectPeriodeDatumTijdTotEnMet],"&gt;"&amp;($A191+23/24),tData[Langligger01],1)</f>
        <v/>
      </c>
    </row>
    <row r="192">
      <c r="A192" s="19" t="n">
        <v>45480</v>
      </c>
      <c r="B192" s="15">
        <f>WEEKDAY($A192,2)</f>
        <v/>
      </c>
      <c r="C192" s="15">
        <f>IF(AND($A192&gt;=INT(Instellingen!$B$5),$A192&lt;=INT(Instellingen!$B$6)),1,0)</f>
        <v/>
      </c>
      <c r="D192" s="20">
        <f>COUNTIFS(tData[SEHTrajectPeriodeDatumTijdVan],"&lt;="&amp;($A192+0/24),tData[SEHTrajectPeriodeDatumTijdTotEnMet],"&gt;"&amp;($A192+0/24),tData[Langligger01],1)</f>
        <v/>
      </c>
      <c r="E192" s="20">
        <f>COUNTIFS(tData[SEHTrajectPeriodeDatumTijdVan],"&lt;="&amp;($A192+1/24),tData[SEHTrajectPeriodeDatumTijdTotEnMet],"&gt;"&amp;($A192+1/24),tData[Langligger01],1)</f>
        <v/>
      </c>
      <c r="F192" s="20">
        <f>COUNTIFS(tData[SEHTrajectPeriodeDatumTijdVan],"&lt;="&amp;($A192+2/24),tData[SEHTrajectPeriodeDatumTijdTotEnMet],"&gt;"&amp;($A192+2/24),tData[Langligger01],1)</f>
        <v/>
      </c>
      <c r="G192" s="20">
        <f>COUNTIFS(tData[SEHTrajectPeriodeDatumTijdVan],"&lt;="&amp;($A192+3/24),tData[SEHTrajectPeriodeDatumTijdTotEnMet],"&gt;"&amp;($A192+3/24),tData[Langligger01],1)</f>
        <v/>
      </c>
      <c r="H192" s="20">
        <f>COUNTIFS(tData[SEHTrajectPeriodeDatumTijdVan],"&lt;="&amp;($A192+4/24),tData[SEHTrajectPeriodeDatumTijdTotEnMet],"&gt;"&amp;($A192+4/24),tData[Langligger01],1)</f>
        <v/>
      </c>
      <c r="I192" s="20">
        <f>COUNTIFS(tData[SEHTrajectPeriodeDatumTijdVan],"&lt;="&amp;($A192+5/24),tData[SEHTrajectPeriodeDatumTijdTotEnMet],"&gt;"&amp;($A192+5/24),tData[Langligger01],1)</f>
        <v/>
      </c>
      <c r="J192" s="20">
        <f>COUNTIFS(tData[SEHTrajectPeriodeDatumTijdVan],"&lt;="&amp;($A192+6/24),tData[SEHTrajectPeriodeDatumTijdTotEnMet],"&gt;"&amp;($A192+6/24),tData[Langligger01],1)</f>
        <v/>
      </c>
      <c r="K192" s="20">
        <f>COUNTIFS(tData[SEHTrajectPeriodeDatumTijdVan],"&lt;="&amp;($A192+7/24),tData[SEHTrajectPeriodeDatumTijdTotEnMet],"&gt;"&amp;($A192+7/24),tData[Langligger01],1)</f>
        <v/>
      </c>
      <c r="L192" s="20">
        <f>COUNTIFS(tData[SEHTrajectPeriodeDatumTijdVan],"&lt;="&amp;($A192+8/24),tData[SEHTrajectPeriodeDatumTijdTotEnMet],"&gt;"&amp;($A192+8/24),tData[Langligger01],1)</f>
        <v/>
      </c>
      <c r="M192" s="20">
        <f>COUNTIFS(tData[SEHTrajectPeriodeDatumTijdVan],"&lt;="&amp;($A192+9/24),tData[SEHTrajectPeriodeDatumTijdTotEnMet],"&gt;"&amp;($A192+9/24),tData[Langligger01],1)</f>
        <v/>
      </c>
      <c r="N192" s="20">
        <f>COUNTIFS(tData[SEHTrajectPeriodeDatumTijdVan],"&lt;="&amp;($A192+10/24),tData[SEHTrajectPeriodeDatumTijdTotEnMet],"&gt;"&amp;($A192+10/24),tData[Langligger01],1)</f>
        <v/>
      </c>
      <c r="O192" s="20">
        <f>COUNTIFS(tData[SEHTrajectPeriodeDatumTijdVan],"&lt;="&amp;($A192+11/24),tData[SEHTrajectPeriodeDatumTijdTotEnMet],"&gt;"&amp;($A192+11/24),tData[Langligger01],1)</f>
        <v/>
      </c>
      <c r="P192" s="20">
        <f>COUNTIFS(tData[SEHTrajectPeriodeDatumTijdVan],"&lt;="&amp;($A192+12/24),tData[SEHTrajectPeriodeDatumTijdTotEnMet],"&gt;"&amp;($A192+12/24),tData[Langligger01],1)</f>
        <v/>
      </c>
      <c r="Q192" s="20">
        <f>COUNTIFS(tData[SEHTrajectPeriodeDatumTijdVan],"&lt;="&amp;($A192+13/24),tData[SEHTrajectPeriodeDatumTijdTotEnMet],"&gt;"&amp;($A192+13/24),tData[Langligger01],1)</f>
        <v/>
      </c>
      <c r="R192" s="20">
        <f>COUNTIFS(tData[SEHTrajectPeriodeDatumTijdVan],"&lt;="&amp;($A192+14/24),tData[SEHTrajectPeriodeDatumTijdTotEnMet],"&gt;"&amp;($A192+14/24),tData[Langligger01],1)</f>
        <v/>
      </c>
      <c r="S192" s="20">
        <f>COUNTIFS(tData[SEHTrajectPeriodeDatumTijdVan],"&lt;="&amp;($A192+15/24),tData[SEHTrajectPeriodeDatumTijdTotEnMet],"&gt;"&amp;($A192+15/24),tData[Langligger01],1)</f>
        <v/>
      </c>
      <c r="T192" s="20">
        <f>COUNTIFS(tData[SEHTrajectPeriodeDatumTijdVan],"&lt;="&amp;($A192+16/24),tData[SEHTrajectPeriodeDatumTijdTotEnMet],"&gt;"&amp;($A192+16/24),tData[Langligger01],1)</f>
        <v/>
      </c>
      <c r="U192" s="20">
        <f>COUNTIFS(tData[SEHTrajectPeriodeDatumTijdVan],"&lt;="&amp;($A192+17/24),tData[SEHTrajectPeriodeDatumTijdTotEnMet],"&gt;"&amp;($A192+17/24),tData[Langligger01],1)</f>
        <v/>
      </c>
      <c r="V192" s="20">
        <f>COUNTIFS(tData[SEHTrajectPeriodeDatumTijdVan],"&lt;="&amp;($A192+18/24),tData[SEHTrajectPeriodeDatumTijdTotEnMet],"&gt;"&amp;($A192+18/24),tData[Langligger01],1)</f>
        <v/>
      </c>
      <c r="W192" s="20">
        <f>COUNTIFS(tData[SEHTrajectPeriodeDatumTijdVan],"&lt;="&amp;($A192+19/24),tData[SEHTrajectPeriodeDatumTijdTotEnMet],"&gt;"&amp;($A192+19/24),tData[Langligger01],1)</f>
        <v/>
      </c>
      <c r="X192" s="20">
        <f>COUNTIFS(tData[SEHTrajectPeriodeDatumTijdVan],"&lt;="&amp;($A192+20/24),tData[SEHTrajectPeriodeDatumTijdTotEnMet],"&gt;"&amp;($A192+20/24),tData[Langligger01],1)</f>
        <v/>
      </c>
      <c r="Y192" s="20">
        <f>COUNTIFS(tData[SEHTrajectPeriodeDatumTijdVan],"&lt;="&amp;($A192+21/24),tData[SEHTrajectPeriodeDatumTijdTotEnMet],"&gt;"&amp;($A192+21/24),tData[Langligger01],1)</f>
        <v/>
      </c>
      <c r="Z192" s="20">
        <f>COUNTIFS(tData[SEHTrajectPeriodeDatumTijdVan],"&lt;="&amp;($A192+22/24),tData[SEHTrajectPeriodeDatumTijdTotEnMet],"&gt;"&amp;($A192+22/24),tData[Langligger01],1)</f>
        <v/>
      </c>
      <c r="AA192" s="20">
        <f>COUNTIFS(tData[SEHTrajectPeriodeDatumTijdVan],"&lt;="&amp;($A192+23/24),tData[SEHTrajectPeriodeDatumTijdTotEnMet],"&gt;"&amp;($A192+23/24),tData[Langligger01],1)</f>
        <v/>
      </c>
    </row>
    <row r="193">
      <c r="A193" s="19" t="n">
        <v>45481</v>
      </c>
      <c r="B193" s="15">
        <f>WEEKDAY($A193,2)</f>
        <v/>
      </c>
      <c r="C193" s="15">
        <f>IF(AND($A193&gt;=INT(Instellingen!$B$5),$A193&lt;=INT(Instellingen!$B$6)),1,0)</f>
        <v/>
      </c>
      <c r="D193" s="20">
        <f>COUNTIFS(tData[SEHTrajectPeriodeDatumTijdVan],"&lt;="&amp;($A193+0/24),tData[SEHTrajectPeriodeDatumTijdTotEnMet],"&gt;"&amp;($A193+0/24),tData[Langligger01],1)</f>
        <v/>
      </c>
      <c r="E193" s="20">
        <f>COUNTIFS(tData[SEHTrajectPeriodeDatumTijdVan],"&lt;="&amp;($A193+1/24),tData[SEHTrajectPeriodeDatumTijdTotEnMet],"&gt;"&amp;($A193+1/24),tData[Langligger01],1)</f>
        <v/>
      </c>
      <c r="F193" s="20">
        <f>COUNTIFS(tData[SEHTrajectPeriodeDatumTijdVan],"&lt;="&amp;($A193+2/24),tData[SEHTrajectPeriodeDatumTijdTotEnMet],"&gt;"&amp;($A193+2/24),tData[Langligger01],1)</f>
        <v/>
      </c>
      <c r="G193" s="20">
        <f>COUNTIFS(tData[SEHTrajectPeriodeDatumTijdVan],"&lt;="&amp;($A193+3/24),tData[SEHTrajectPeriodeDatumTijdTotEnMet],"&gt;"&amp;($A193+3/24),tData[Langligger01],1)</f>
        <v/>
      </c>
      <c r="H193" s="20">
        <f>COUNTIFS(tData[SEHTrajectPeriodeDatumTijdVan],"&lt;="&amp;($A193+4/24),tData[SEHTrajectPeriodeDatumTijdTotEnMet],"&gt;"&amp;($A193+4/24),tData[Langligger01],1)</f>
        <v/>
      </c>
      <c r="I193" s="20">
        <f>COUNTIFS(tData[SEHTrajectPeriodeDatumTijdVan],"&lt;="&amp;($A193+5/24),tData[SEHTrajectPeriodeDatumTijdTotEnMet],"&gt;"&amp;($A193+5/24),tData[Langligger01],1)</f>
        <v/>
      </c>
      <c r="J193" s="20">
        <f>COUNTIFS(tData[SEHTrajectPeriodeDatumTijdVan],"&lt;="&amp;($A193+6/24),tData[SEHTrajectPeriodeDatumTijdTotEnMet],"&gt;"&amp;($A193+6/24),tData[Langligger01],1)</f>
        <v/>
      </c>
      <c r="K193" s="20">
        <f>COUNTIFS(tData[SEHTrajectPeriodeDatumTijdVan],"&lt;="&amp;($A193+7/24),tData[SEHTrajectPeriodeDatumTijdTotEnMet],"&gt;"&amp;($A193+7/24),tData[Langligger01],1)</f>
        <v/>
      </c>
      <c r="L193" s="20">
        <f>COUNTIFS(tData[SEHTrajectPeriodeDatumTijdVan],"&lt;="&amp;($A193+8/24),tData[SEHTrajectPeriodeDatumTijdTotEnMet],"&gt;"&amp;($A193+8/24),tData[Langligger01],1)</f>
        <v/>
      </c>
      <c r="M193" s="20">
        <f>COUNTIFS(tData[SEHTrajectPeriodeDatumTijdVan],"&lt;="&amp;($A193+9/24),tData[SEHTrajectPeriodeDatumTijdTotEnMet],"&gt;"&amp;($A193+9/24),tData[Langligger01],1)</f>
        <v/>
      </c>
      <c r="N193" s="20">
        <f>COUNTIFS(tData[SEHTrajectPeriodeDatumTijdVan],"&lt;="&amp;($A193+10/24),tData[SEHTrajectPeriodeDatumTijdTotEnMet],"&gt;"&amp;($A193+10/24),tData[Langligger01],1)</f>
        <v/>
      </c>
      <c r="O193" s="20">
        <f>COUNTIFS(tData[SEHTrajectPeriodeDatumTijdVan],"&lt;="&amp;($A193+11/24),tData[SEHTrajectPeriodeDatumTijdTotEnMet],"&gt;"&amp;($A193+11/24),tData[Langligger01],1)</f>
        <v/>
      </c>
      <c r="P193" s="20">
        <f>COUNTIFS(tData[SEHTrajectPeriodeDatumTijdVan],"&lt;="&amp;($A193+12/24),tData[SEHTrajectPeriodeDatumTijdTotEnMet],"&gt;"&amp;($A193+12/24),tData[Langligger01],1)</f>
        <v/>
      </c>
      <c r="Q193" s="20">
        <f>COUNTIFS(tData[SEHTrajectPeriodeDatumTijdVan],"&lt;="&amp;($A193+13/24),tData[SEHTrajectPeriodeDatumTijdTotEnMet],"&gt;"&amp;($A193+13/24),tData[Langligger01],1)</f>
        <v/>
      </c>
      <c r="R193" s="20">
        <f>COUNTIFS(tData[SEHTrajectPeriodeDatumTijdVan],"&lt;="&amp;($A193+14/24),tData[SEHTrajectPeriodeDatumTijdTotEnMet],"&gt;"&amp;($A193+14/24),tData[Langligger01],1)</f>
        <v/>
      </c>
      <c r="S193" s="20">
        <f>COUNTIFS(tData[SEHTrajectPeriodeDatumTijdVan],"&lt;="&amp;($A193+15/24),tData[SEHTrajectPeriodeDatumTijdTotEnMet],"&gt;"&amp;($A193+15/24),tData[Langligger01],1)</f>
        <v/>
      </c>
      <c r="T193" s="20">
        <f>COUNTIFS(tData[SEHTrajectPeriodeDatumTijdVan],"&lt;="&amp;($A193+16/24),tData[SEHTrajectPeriodeDatumTijdTotEnMet],"&gt;"&amp;($A193+16/24),tData[Langligger01],1)</f>
        <v/>
      </c>
      <c r="U193" s="20">
        <f>COUNTIFS(tData[SEHTrajectPeriodeDatumTijdVan],"&lt;="&amp;($A193+17/24),tData[SEHTrajectPeriodeDatumTijdTotEnMet],"&gt;"&amp;($A193+17/24),tData[Langligger01],1)</f>
        <v/>
      </c>
      <c r="V193" s="20">
        <f>COUNTIFS(tData[SEHTrajectPeriodeDatumTijdVan],"&lt;="&amp;($A193+18/24),tData[SEHTrajectPeriodeDatumTijdTotEnMet],"&gt;"&amp;($A193+18/24),tData[Langligger01],1)</f>
        <v/>
      </c>
      <c r="W193" s="20">
        <f>COUNTIFS(tData[SEHTrajectPeriodeDatumTijdVan],"&lt;="&amp;($A193+19/24),tData[SEHTrajectPeriodeDatumTijdTotEnMet],"&gt;"&amp;($A193+19/24),tData[Langligger01],1)</f>
        <v/>
      </c>
      <c r="X193" s="20">
        <f>COUNTIFS(tData[SEHTrajectPeriodeDatumTijdVan],"&lt;="&amp;($A193+20/24),tData[SEHTrajectPeriodeDatumTijdTotEnMet],"&gt;"&amp;($A193+20/24),tData[Langligger01],1)</f>
        <v/>
      </c>
      <c r="Y193" s="20">
        <f>COUNTIFS(tData[SEHTrajectPeriodeDatumTijdVan],"&lt;="&amp;($A193+21/24),tData[SEHTrajectPeriodeDatumTijdTotEnMet],"&gt;"&amp;($A193+21/24),tData[Langligger01],1)</f>
        <v/>
      </c>
      <c r="Z193" s="20">
        <f>COUNTIFS(tData[SEHTrajectPeriodeDatumTijdVan],"&lt;="&amp;($A193+22/24),tData[SEHTrajectPeriodeDatumTijdTotEnMet],"&gt;"&amp;($A193+22/24),tData[Langligger01],1)</f>
        <v/>
      </c>
      <c r="AA193" s="20">
        <f>COUNTIFS(tData[SEHTrajectPeriodeDatumTijdVan],"&lt;="&amp;($A193+23/24),tData[SEHTrajectPeriodeDatumTijdTotEnMet],"&gt;"&amp;($A193+23/24),tData[Langligger01],1)</f>
        <v/>
      </c>
    </row>
    <row r="194">
      <c r="A194" s="19" t="n">
        <v>45482</v>
      </c>
      <c r="B194" s="15">
        <f>WEEKDAY($A194,2)</f>
        <v/>
      </c>
      <c r="C194" s="15">
        <f>IF(AND($A194&gt;=INT(Instellingen!$B$5),$A194&lt;=INT(Instellingen!$B$6)),1,0)</f>
        <v/>
      </c>
      <c r="D194" s="20">
        <f>COUNTIFS(tData[SEHTrajectPeriodeDatumTijdVan],"&lt;="&amp;($A194+0/24),tData[SEHTrajectPeriodeDatumTijdTotEnMet],"&gt;"&amp;($A194+0/24),tData[Langligger01],1)</f>
        <v/>
      </c>
      <c r="E194" s="20">
        <f>COUNTIFS(tData[SEHTrajectPeriodeDatumTijdVan],"&lt;="&amp;($A194+1/24),tData[SEHTrajectPeriodeDatumTijdTotEnMet],"&gt;"&amp;($A194+1/24),tData[Langligger01],1)</f>
        <v/>
      </c>
      <c r="F194" s="20">
        <f>COUNTIFS(tData[SEHTrajectPeriodeDatumTijdVan],"&lt;="&amp;($A194+2/24),tData[SEHTrajectPeriodeDatumTijdTotEnMet],"&gt;"&amp;($A194+2/24),tData[Langligger01],1)</f>
        <v/>
      </c>
      <c r="G194" s="20">
        <f>COUNTIFS(tData[SEHTrajectPeriodeDatumTijdVan],"&lt;="&amp;($A194+3/24),tData[SEHTrajectPeriodeDatumTijdTotEnMet],"&gt;"&amp;($A194+3/24),tData[Langligger01],1)</f>
        <v/>
      </c>
      <c r="H194" s="20">
        <f>COUNTIFS(tData[SEHTrajectPeriodeDatumTijdVan],"&lt;="&amp;($A194+4/24),tData[SEHTrajectPeriodeDatumTijdTotEnMet],"&gt;"&amp;($A194+4/24),tData[Langligger01],1)</f>
        <v/>
      </c>
      <c r="I194" s="20">
        <f>COUNTIFS(tData[SEHTrajectPeriodeDatumTijdVan],"&lt;="&amp;($A194+5/24),tData[SEHTrajectPeriodeDatumTijdTotEnMet],"&gt;"&amp;($A194+5/24),tData[Langligger01],1)</f>
        <v/>
      </c>
      <c r="J194" s="20">
        <f>COUNTIFS(tData[SEHTrajectPeriodeDatumTijdVan],"&lt;="&amp;($A194+6/24),tData[SEHTrajectPeriodeDatumTijdTotEnMet],"&gt;"&amp;($A194+6/24),tData[Langligger01],1)</f>
        <v/>
      </c>
      <c r="K194" s="20">
        <f>COUNTIFS(tData[SEHTrajectPeriodeDatumTijdVan],"&lt;="&amp;($A194+7/24),tData[SEHTrajectPeriodeDatumTijdTotEnMet],"&gt;"&amp;($A194+7/24),tData[Langligger01],1)</f>
        <v/>
      </c>
      <c r="L194" s="20">
        <f>COUNTIFS(tData[SEHTrajectPeriodeDatumTijdVan],"&lt;="&amp;($A194+8/24),tData[SEHTrajectPeriodeDatumTijdTotEnMet],"&gt;"&amp;($A194+8/24),tData[Langligger01],1)</f>
        <v/>
      </c>
      <c r="M194" s="20">
        <f>COUNTIFS(tData[SEHTrajectPeriodeDatumTijdVan],"&lt;="&amp;($A194+9/24),tData[SEHTrajectPeriodeDatumTijdTotEnMet],"&gt;"&amp;($A194+9/24),tData[Langligger01],1)</f>
        <v/>
      </c>
      <c r="N194" s="20">
        <f>COUNTIFS(tData[SEHTrajectPeriodeDatumTijdVan],"&lt;="&amp;($A194+10/24),tData[SEHTrajectPeriodeDatumTijdTotEnMet],"&gt;"&amp;($A194+10/24),tData[Langligger01],1)</f>
        <v/>
      </c>
      <c r="O194" s="20">
        <f>COUNTIFS(tData[SEHTrajectPeriodeDatumTijdVan],"&lt;="&amp;($A194+11/24),tData[SEHTrajectPeriodeDatumTijdTotEnMet],"&gt;"&amp;($A194+11/24),tData[Langligger01],1)</f>
        <v/>
      </c>
      <c r="P194" s="20">
        <f>COUNTIFS(tData[SEHTrajectPeriodeDatumTijdVan],"&lt;="&amp;($A194+12/24),tData[SEHTrajectPeriodeDatumTijdTotEnMet],"&gt;"&amp;($A194+12/24),tData[Langligger01],1)</f>
        <v/>
      </c>
      <c r="Q194" s="20">
        <f>COUNTIFS(tData[SEHTrajectPeriodeDatumTijdVan],"&lt;="&amp;($A194+13/24),tData[SEHTrajectPeriodeDatumTijdTotEnMet],"&gt;"&amp;($A194+13/24),tData[Langligger01],1)</f>
        <v/>
      </c>
      <c r="R194" s="20">
        <f>COUNTIFS(tData[SEHTrajectPeriodeDatumTijdVan],"&lt;="&amp;($A194+14/24),tData[SEHTrajectPeriodeDatumTijdTotEnMet],"&gt;"&amp;($A194+14/24),tData[Langligger01],1)</f>
        <v/>
      </c>
      <c r="S194" s="20">
        <f>COUNTIFS(tData[SEHTrajectPeriodeDatumTijdVan],"&lt;="&amp;($A194+15/24),tData[SEHTrajectPeriodeDatumTijdTotEnMet],"&gt;"&amp;($A194+15/24),tData[Langligger01],1)</f>
        <v/>
      </c>
      <c r="T194" s="20">
        <f>COUNTIFS(tData[SEHTrajectPeriodeDatumTijdVan],"&lt;="&amp;($A194+16/24),tData[SEHTrajectPeriodeDatumTijdTotEnMet],"&gt;"&amp;($A194+16/24),tData[Langligger01],1)</f>
        <v/>
      </c>
      <c r="U194" s="20">
        <f>COUNTIFS(tData[SEHTrajectPeriodeDatumTijdVan],"&lt;="&amp;($A194+17/24),tData[SEHTrajectPeriodeDatumTijdTotEnMet],"&gt;"&amp;($A194+17/24),tData[Langligger01],1)</f>
        <v/>
      </c>
      <c r="V194" s="20">
        <f>COUNTIFS(tData[SEHTrajectPeriodeDatumTijdVan],"&lt;="&amp;($A194+18/24),tData[SEHTrajectPeriodeDatumTijdTotEnMet],"&gt;"&amp;($A194+18/24),tData[Langligger01],1)</f>
        <v/>
      </c>
      <c r="W194" s="20">
        <f>COUNTIFS(tData[SEHTrajectPeriodeDatumTijdVan],"&lt;="&amp;($A194+19/24),tData[SEHTrajectPeriodeDatumTijdTotEnMet],"&gt;"&amp;($A194+19/24),tData[Langligger01],1)</f>
        <v/>
      </c>
      <c r="X194" s="20">
        <f>COUNTIFS(tData[SEHTrajectPeriodeDatumTijdVan],"&lt;="&amp;($A194+20/24),tData[SEHTrajectPeriodeDatumTijdTotEnMet],"&gt;"&amp;($A194+20/24),tData[Langligger01],1)</f>
        <v/>
      </c>
      <c r="Y194" s="20">
        <f>COUNTIFS(tData[SEHTrajectPeriodeDatumTijdVan],"&lt;="&amp;($A194+21/24),tData[SEHTrajectPeriodeDatumTijdTotEnMet],"&gt;"&amp;($A194+21/24),tData[Langligger01],1)</f>
        <v/>
      </c>
      <c r="Z194" s="20">
        <f>COUNTIFS(tData[SEHTrajectPeriodeDatumTijdVan],"&lt;="&amp;($A194+22/24),tData[SEHTrajectPeriodeDatumTijdTotEnMet],"&gt;"&amp;($A194+22/24),tData[Langligger01],1)</f>
        <v/>
      </c>
      <c r="AA194" s="20">
        <f>COUNTIFS(tData[SEHTrajectPeriodeDatumTijdVan],"&lt;="&amp;($A194+23/24),tData[SEHTrajectPeriodeDatumTijdTotEnMet],"&gt;"&amp;($A194+23/24),tData[Langligger01],1)</f>
        <v/>
      </c>
    </row>
    <row r="195">
      <c r="A195" s="19" t="n">
        <v>45483</v>
      </c>
      <c r="B195" s="15">
        <f>WEEKDAY($A195,2)</f>
        <v/>
      </c>
      <c r="C195" s="15">
        <f>IF(AND($A195&gt;=INT(Instellingen!$B$5),$A195&lt;=INT(Instellingen!$B$6)),1,0)</f>
        <v/>
      </c>
      <c r="D195" s="20">
        <f>COUNTIFS(tData[SEHTrajectPeriodeDatumTijdVan],"&lt;="&amp;($A195+0/24),tData[SEHTrajectPeriodeDatumTijdTotEnMet],"&gt;"&amp;($A195+0/24),tData[Langligger01],1)</f>
        <v/>
      </c>
      <c r="E195" s="20">
        <f>COUNTIFS(tData[SEHTrajectPeriodeDatumTijdVan],"&lt;="&amp;($A195+1/24),tData[SEHTrajectPeriodeDatumTijdTotEnMet],"&gt;"&amp;($A195+1/24),tData[Langligger01],1)</f>
        <v/>
      </c>
      <c r="F195" s="20">
        <f>COUNTIFS(tData[SEHTrajectPeriodeDatumTijdVan],"&lt;="&amp;($A195+2/24),tData[SEHTrajectPeriodeDatumTijdTotEnMet],"&gt;"&amp;($A195+2/24),tData[Langligger01],1)</f>
        <v/>
      </c>
      <c r="G195" s="20">
        <f>COUNTIFS(tData[SEHTrajectPeriodeDatumTijdVan],"&lt;="&amp;($A195+3/24),tData[SEHTrajectPeriodeDatumTijdTotEnMet],"&gt;"&amp;($A195+3/24),tData[Langligger01],1)</f>
        <v/>
      </c>
      <c r="H195" s="20">
        <f>COUNTIFS(tData[SEHTrajectPeriodeDatumTijdVan],"&lt;="&amp;($A195+4/24),tData[SEHTrajectPeriodeDatumTijdTotEnMet],"&gt;"&amp;($A195+4/24),tData[Langligger01],1)</f>
        <v/>
      </c>
      <c r="I195" s="20">
        <f>COUNTIFS(tData[SEHTrajectPeriodeDatumTijdVan],"&lt;="&amp;($A195+5/24),tData[SEHTrajectPeriodeDatumTijdTotEnMet],"&gt;"&amp;($A195+5/24),tData[Langligger01],1)</f>
        <v/>
      </c>
      <c r="J195" s="20">
        <f>COUNTIFS(tData[SEHTrajectPeriodeDatumTijdVan],"&lt;="&amp;($A195+6/24),tData[SEHTrajectPeriodeDatumTijdTotEnMet],"&gt;"&amp;($A195+6/24),tData[Langligger01],1)</f>
        <v/>
      </c>
      <c r="K195" s="20">
        <f>COUNTIFS(tData[SEHTrajectPeriodeDatumTijdVan],"&lt;="&amp;($A195+7/24),tData[SEHTrajectPeriodeDatumTijdTotEnMet],"&gt;"&amp;($A195+7/24),tData[Langligger01],1)</f>
        <v/>
      </c>
      <c r="L195" s="20">
        <f>COUNTIFS(tData[SEHTrajectPeriodeDatumTijdVan],"&lt;="&amp;($A195+8/24),tData[SEHTrajectPeriodeDatumTijdTotEnMet],"&gt;"&amp;($A195+8/24),tData[Langligger01],1)</f>
        <v/>
      </c>
      <c r="M195" s="20">
        <f>COUNTIFS(tData[SEHTrajectPeriodeDatumTijdVan],"&lt;="&amp;($A195+9/24),tData[SEHTrajectPeriodeDatumTijdTotEnMet],"&gt;"&amp;($A195+9/24),tData[Langligger01],1)</f>
        <v/>
      </c>
      <c r="N195" s="20">
        <f>COUNTIFS(tData[SEHTrajectPeriodeDatumTijdVan],"&lt;="&amp;($A195+10/24),tData[SEHTrajectPeriodeDatumTijdTotEnMet],"&gt;"&amp;($A195+10/24),tData[Langligger01],1)</f>
        <v/>
      </c>
      <c r="O195" s="20">
        <f>COUNTIFS(tData[SEHTrajectPeriodeDatumTijdVan],"&lt;="&amp;($A195+11/24),tData[SEHTrajectPeriodeDatumTijdTotEnMet],"&gt;"&amp;($A195+11/24),tData[Langligger01],1)</f>
        <v/>
      </c>
      <c r="P195" s="20">
        <f>COUNTIFS(tData[SEHTrajectPeriodeDatumTijdVan],"&lt;="&amp;($A195+12/24),tData[SEHTrajectPeriodeDatumTijdTotEnMet],"&gt;"&amp;($A195+12/24),tData[Langligger01],1)</f>
        <v/>
      </c>
      <c r="Q195" s="20">
        <f>COUNTIFS(tData[SEHTrajectPeriodeDatumTijdVan],"&lt;="&amp;($A195+13/24),tData[SEHTrajectPeriodeDatumTijdTotEnMet],"&gt;"&amp;($A195+13/24),tData[Langligger01],1)</f>
        <v/>
      </c>
      <c r="R195" s="20">
        <f>COUNTIFS(tData[SEHTrajectPeriodeDatumTijdVan],"&lt;="&amp;($A195+14/24),tData[SEHTrajectPeriodeDatumTijdTotEnMet],"&gt;"&amp;($A195+14/24),tData[Langligger01],1)</f>
        <v/>
      </c>
      <c r="S195" s="20">
        <f>COUNTIFS(tData[SEHTrajectPeriodeDatumTijdVan],"&lt;="&amp;($A195+15/24),tData[SEHTrajectPeriodeDatumTijdTotEnMet],"&gt;"&amp;($A195+15/24),tData[Langligger01],1)</f>
        <v/>
      </c>
      <c r="T195" s="20">
        <f>COUNTIFS(tData[SEHTrajectPeriodeDatumTijdVan],"&lt;="&amp;($A195+16/24),tData[SEHTrajectPeriodeDatumTijdTotEnMet],"&gt;"&amp;($A195+16/24),tData[Langligger01],1)</f>
        <v/>
      </c>
      <c r="U195" s="20">
        <f>COUNTIFS(tData[SEHTrajectPeriodeDatumTijdVan],"&lt;="&amp;($A195+17/24),tData[SEHTrajectPeriodeDatumTijdTotEnMet],"&gt;"&amp;($A195+17/24),tData[Langligger01],1)</f>
        <v/>
      </c>
      <c r="V195" s="20">
        <f>COUNTIFS(tData[SEHTrajectPeriodeDatumTijdVan],"&lt;="&amp;($A195+18/24),tData[SEHTrajectPeriodeDatumTijdTotEnMet],"&gt;"&amp;($A195+18/24),tData[Langligger01],1)</f>
        <v/>
      </c>
      <c r="W195" s="20">
        <f>COUNTIFS(tData[SEHTrajectPeriodeDatumTijdVan],"&lt;="&amp;($A195+19/24),tData[SEHTrajectPeriodeDatumTijdTotEnMet],"&gt;"&amp;($A195+19/24),tData[Langligger01],1)</f>
        <v/>
      </c>
      <c r="X195" s="20">
        <f>COUNTIFS(tData[SEHTrajectPeriodeDatumTijdVan],"&lt;="&amp;($A195+20/24),tData[SEHTrajectPeriodeDatumTijdTotEnMet],"&gt;"&amp;($A195+20/24),tData[Langligger01],1)</f>
        <v/>
      </c>
      <c r="Y195" s="20">
        <f>COUNTIFS(tData[SEHTrajectPeriodeDatumTijdVan],"&lt;="&amp;($A195+21/24),tData[SEHTrajectPeriodeDatumTijdTotEnMet],"&gt;"&amp;($A195+21/24),tData[Langligger01],1)</f>
        <v/>
      </c>
      <c r="Z195" s="20">
        <f>COUNTIFS(tData[SEHTrajectPeriodeDatumTijdVan],"&lt;="&amp;($A195+22/24),tData[SEHTrajectPeriodeDatumTijdTotEnMet],"&gt;"&amp;($A195+22/24),tData[Langligger01],1)</f>
        <v/>
      </c>
      <c r="AA195" s="20">
        <f>COUNTIFS(tData[SEHTrajectPeriodeDatumTijdVan],"&lt;="&amp;($A195+23/24),tData[SEHTrajectPeriodeDatumTijdTotEnMet],"&gt;"&amp;($A195+23/24),tData[Langligger01],1)</f>
        <v/>
      </c>
    </row>
    <row r="196">
      <c r="A196" s="19" t="n">
        <v>45484</v>
      </c>
      <c r="B196" s="15">
        <f>WEEKDAY($A196,2)</f>
        <v/>
      </c>
      <c r="C196" s="15">
        <f>IF(AND($A196&gt;=INT(Instellingen!$B$5),$A196&lt;=INT(Instellingen!$B$6)),1,0)</f>
        <v/>
      </c>
      <c r="D196" s="20">
        <f>COUNTIFS(tData[SEHTrajectPeriodeDatumTijdVan],"&lt;="&amp;($A196+0/24),tData[SEHTrajectPeriodeDatumTijdTotEnMet],"&gt;"&amp;($A196+0/24),tData[Langligger01],1)</f>
        <v/>
      </c>
      <c r="E196" s="20">
        <f>COUNTIFS(tData[SEHTrajectPeriodeDatumTijdVan],"&lt;="&amp;($A196+1/24),tData[SEHTrajectPeriodeDatumTijdTotEnMet],"&gt;"&amp;($A196+1/24),tData[Langligger01],1)</f>
        <v/>
      </c>
      <c r="F196" s="20">
        <f>COUNTIFS(tData[SEHTrajectPeriodeDatumTijdVan],"&lt;="&amp;($A196+2/24),tData[SEHTrajectPeriodeDatumTijdTotEnMet],"&gt;"&amp;($A196+2/24),tData[Langligger01],1)</f>
        <v/>
      </c>
      <c r="G196" s="20">
        <f>COUNTIFS(tData[SEHTrajectPeriodeDatumTijdVan],"&lt;="&amp;($A196+3/24),tData[SEHTrajectPeriodeDatumTijdTotEnMet],"&gt;"&amp;($A196+3/24),tData[Langligger01],1)</f>
        <v/>
      </c>
      <c r="H196" s="20">
        <f>COUNTIFS(tData[SEHTrajectPeriodeDatumTijdVan],"&lt;="&amp;($A196+4/24),tData[SEHTrajectPeriodeDatumTijdTotEnMet],"&gt;"&amp;($A196+4/24),tData[Langligger01],1)</f>
        <v/>
      </c>
      <c r="I196" s="20">
        <f>COUNTIFS(tData[SEHTrajectPeriodeDatumTijdVan],"&lt;="&amp;($A196+5/24),tData[SEHTrajectPeriodeDatumTijdTotEnMet],"&gt;"&amp;($A196+5/24),tData[Langligger01],1)</f>
        <v/>
      </c>
      <c r="J196" s="20">
        <f>COUNTIFS(tData[SEHTrajectPeriodeDatumTijdVan],"&lt;="&amp;($A196+6/24),tData[SEHTrajectPeriodeDatumTijdTotEnMet],"&gt;"&amp;($A196+6/24),tData[Langligger01],1)</f>
        <v/>
      </c>
      <c r="K196" s="20">
        <f>COUNTIFS(tData[SEHTrajectPeriodeDatumTijdVan],"&lt;="&amp;($A196+7/24),tData[SEHTrajectPeriodeDatumTijdTotEnMet],"&gt;"&amp;($A196+7/24),tData[Langligger01],1)</f>
        <v/>
      </c>
      <c r="L196" s="20">
        <f>COUNTIFS(tData[SEHTrajectPeriodeDatumTijdVan],"&lt;="&amp;($A196+8/24),tData[SEHTrajectPeriodeDatumTijdTotEnMet],"&gt;"&amp;($A196+8/24),tData[Langligger01],1)</f>
        <v/>
      </c>
      <c r="M196" s="20">
        <f>COUNTIFS(tData[SEHTrajectPeriodeDatumTijdVan],"&lt;="&amp;($A196+9/24),tData[SEHTrajectPeriodeDatumTijdTotEnMet],"&gt;"&amp;($A196+9/24),tData[Langligger01],1)</f>
        <v/>
      </c>
      <c r="N196" s="20">
        <f>COUNTIFS(tData[SEHTrajectPeriodeDatumTijdVan],"&lt;="&amp;($A196+10/24),tData[SEHTrajectPeriodeDatumTijdTotEnMet],"&gt;"&amp;($A196+10/24),tData[Langligger01],1)</f>
        <v/>
      </c>
      <c r="O196" s="20">
        <f>COUNTIFS(tData[SEHTrajectPeriodeDatumTijdVan],"&lt;="&amp;($A196+11/24),tData[SEHTrajectPeriodeDatumTijdTotEnMet],"&gt;"&amp;($A196+11/24),tData[Langligger01],1)</f>
        <v/>
      </c>
      <c r="P196" s="20">
        <f>COUNTIFS(tData[SEHTrajectPeriodeDatumTijdVan],"&lt;="&amp;($A196+12/24),tData[SEHTrajectPeriodeDatumTijdTotEnMet],"&gt;"&amp;($A196+12/24),tData[Langligger01],1)</f>
        <v/>
      </c>
      <c r="Q196" s="20">
        <f>COUNTIFS(tData[SEHTrajectPeriodeDatumTijdVan],"&lt;="&amp;($A196+13/24),tData[SEHTrajectPeriodeDatumTijdTotEnMet],"&gt;"&amp;($A196+13/24),tData[Langligger01],1)</f>
        <v/>
      </c>
      <c r="R196" s="20">
        <f>COUNTIFS(tData[SEHTrajectPeriodeDatumTijdVan],"&lt;="&amp;($A196+14/24),tData[SEHTrajectPeriodeDatumTijdTotEnMet],"&gt;"&amp;($A196+14/24),tData[Langligger01],1)</f>
        <v/>
      </c>
      <c r="S196" s="20">
        <f>COUNTIFS(tData[SEHTrajectPeriodeDatumTijdVan],"&lt;="&amp;($A196+15/24),tData[SEHTrajectPeriodeDatumTijdTotEnMet],"&gt;"&amp;($A196+15/24),tData[Langligger01],1)</f>
        <v/>
      </c>
      <c r="T196" s="20">
        <f>COUNTIFS(tData[SEHTrajectPeriodeDatumTijdVan],"&lt;="&amp;($A196+16/24),tData[SEHTrajectPeriodeDatumTijdTotEnMet],"&gt;"&amp;($A196+16/24),tData[Langligger01],1)</f>
        <v/>
      </c>
      <c r="U196" s="20">
        <f>COUNTIFS(tData[SEHTrajectPeriodeDatumTijdVan],"&lt;="&amp;($A196+17/24),tData[SEHTrajectPeriodeDatumTijdTotEnMet],"&gt;"&amp;($A196+17/24),tData[Langligger01],1)</f>
        <v/>
      </c>
      <c r="V196" s="20">
        <f>COUNTIFS(tData[SEHTrajectPeriodeDatumTijdVan],"&lt;="&amp;($A196+18/24),tData[SEHTrajectPeriodeDatumTijdTotEnMet],"&gt;"&amp;($A196+18/24),tData[Langligger01],1)</f>
        <v/>
      </c>
      <c r="W196" s="20">
        <f>COUNTIFS(tData[SEHTrajectPeriodeDatumTijdVan],"&lt;="&amp;($A196+19/24),tData[SEHTrajectPeriodeDatumTijdTotEnMet],"&gt;"&amp;($A196+19/24),tData[Langligger01],1)</f>
        <v/>
      </c>
      <c r="X196" s="20">
        <f>COUNTIFS(tData[SEHTrajectPeriodeDatumTijdVan],"&lt;="&amp;($A196+20/24),tData[SEHTrajectPeriodeDatumTijdTotEnMet],"&gt;"&amp;($A196+20/24),tData[Langligger01],1)</f>
        <v/>
      </c>
      <c r="Y196" s="20">
        <f>COUNTIFS(tData[SEHTrajectPeriodeDatumTijdVan],"&lt;="&amp;($A196+21/24),tData[SEHTrajectPeriodeDatumTijdTotEnMet],"&gt;"&amp;($A196+21/24),tData[Langligger01],1)</f>
        <v/>
      </c>
      <c r="Z196" s="20">
        <f>COUNTIFS(tData[SEHTrajectPeriodeDatumTijdVan],"&lt;="&amp;($A196+22/24),tData[SEHTrajectPeriodeDatumTijdTotEnMet],"&gt;"&amp;($A196+22/24),tData[Langligger01],1)</f>
        <v/>
      </c>
      <c r="AA196" s="20">
        <f>COUNTIFS(tData[SEHTrajectPeriodeDatumTijdVan],"&lt;="&amp;($A196+23/24),tData[SEHTrajectPeriodeDatumTijdTotEnMet],"&gt;"&amp;($A196+23/24),tData[Langligger01],1)</f>
        <v/>
      </c>
    </row>
    <row r="197">
      <c r="A197" s="19" t="n">
        <v>45485</v>
      </c>
      <c r="B197" s="15">
        <f>WEEKDAY($A197,2)</f>
        <v/>
      </c>
      <c r="C197" s="15">
        <f>IF(AND($A197&gt;=INT(Instellingen!$B$5),$A197&lt;=INT(Instellingen!$B$6)),1,0)</f>
        <v/>
      </c>
      <c r="D197" s="20">
        <f>COUNTIFS(tData[SEHTrajectPeriodeDatumTijdVan],"&lt;="&amp;($A197+0/24),tData[SEHTrajectPeriodeDatumTijdTotEnMet],"&gt;"&amp;($A197+0/24),tData[Langligger01],1)</f>
        <v/>
      </c>
      <c r="E197" s="20">
        <f>COUNTIFS(tData[SEHTrajectPeriodeDatumTijdVan],"&lt;="&amp;($A197+1/24),tData[SEHTrajectPeriodeDatumTijdTotEnMet],"&gt;"&amp;($A197+1/24),tData[Langligger01],1)</f>
        <v/>
      </c>
      <c r="F197" s="20">
        <f>COUNTIFS(tData[SEHTrajectPeriodeDatumTijdVan],"&lt;="&amp;($A197+2/24),tData[SEHTrajectPeriodeDatumTijdTotEnMet],"&gt;"&amp;($A197+2/24),tData[Langligger01],1)</f>
        <v/>
      </c>
      <c r="G197" s="20">
        <f>COUNTIFS(tData[SEHTrajectPeriodeDatumTijdVan],"&lt;="&amp;($A197+3/24),tData[SEHTrajectPeriodeDatumTijdTotEnMet],"&gt;"&amp;($A197+3/24),tData[Langligger01],1)</f>
        <v/>
      </c>
      <c r="H197" s="20">
        <f>COUNTIFS(tData[SEHTrajectPeriodeDatumTijdVan],"&lt;="&amp;($A197+4/24),tData[SEHTrajectPeriodeDatumTijdTotEnMet],"&gt;"&amp;($A197+4/24),tData[Langligger01],1)</f>
        <v/>
      </c>
      <c r="I197" s="20">
        <f>COUNTIFS(tData[SEHTrajectPeriodeDatumTijdVan],"&lt;="&amp;($A197+5/24),tData[SEHTrajectPeriodeDatumTijdTotEnMet],"&gt;"&amp;($A197+5/24),tData[Langligger01],1)</f>
        <v/>
      </c>
      <c r="J197" s="20">
        <f>COUNTIFS(tData[SEHTrajectPeriodeDatumTijdVan],"&lt;="&amp;($A197+6/24),tData[SEHTrajectPeriodeDatumTijdTotEnMet],"&gt;"&amp;($A197+6/24),tData[Langligger01],1)</f>
        <v/>
      </c>
      <c r="K197" s="20">
        <f>COUNTIFS(tData[SEHTrajectPeriodeDatumTijdVan],"&lt;="&amp;($A197+7/24),tData[SEHTrajectPeriodeDatumTijdTotEnMet],"&gt;"&amp;($A197+7/24),tData[Langligger01],1)</f>
        <v/>
      </c>
      <c r="L197" s="20">
        <f>COUNTIFS(tData[SEHTrajectPeriodeDatumTijdVan],"&lt;="&amp;($A197+8/24),tData[SEHTrajectPeriodeDatumTijdTotEnMet],"&gt;"&amp;($A197+8/24),tData[Langligger01],1)</f>
        <v/>
      </c>
      <c r="M197" s="20">
        <f>COUNTIFS(tData[SEHTrajectPeriodeDatumTijdVan],"&lt;="&amp;($A197+9/24),tData[SEHTrajectPeriodeDatumTijdTotEnMet],"&gt;"&amp;($A197+9/24),tData[Langligger01],1)</f>
        <v/>
      </c>
      <c r="N197" s="20">
        <f>COUNTIFS(tData[SEHTrajectPeriodeDatumTijdVan],"&lt;="&amp;($A197+10/24),tData[SEHTrajectPeriodeDatumTijdTotEnMet],"&gt;"&amp;($A197+10/24),tData[Langligger01],1)</f>
        <v/>
      </c>
      <c r="O197" s="20">
        <f>COUNTIFS(tData[SEHTrajectPeriodeDatumTijdVan],"&lt;="&amp;($A197+11/24),tData[SEHTrajectPeriodeDatumTijdTotEnMet],"&gt;"&amp;($A197+11/24),tData[Langligger01],1)</f>
        <v/>
      </c>
      <c r="P197" s="20">
        <f>COUNTIFS(tData[SEHTrajectPeriodeDatumTijdVan],"&lt;="&amp;($A197+12/24),tData[SEHTrajectPeriodeDatumTijdTotEnMet],"&gt;"&amp;($A197+12/24),tData[Langligger01],1)</f>
        <v/>
      </c>
      <c r="Q197" s="20">
        <f>COUNTIFS(tData[SEHTrajectPeriodeDatumTijdVan],"&lt;="&amp;($A197+13/24),tData[SEHTrajectPeriodeDatumTijdTotEnMet],"&gt;"&amp;($A197+13/24),tData[Langligger01],1)</f>
        <v/>
      </c>
      <c r="R197" s="20">
        <f>COUNTIFS(tData[SEHTrajectPeriodeDatumTijdVan],"&lt;="&amp;($A197+14/24),tData[SEHTrajectPeriodeDatumTijdTotEnMet],"&gt;"&amp;($A197+14/24),tData[Langligger01],1)</f>
        <v/>
      </c>
      <c r="S197" s="20">
        <f>COUNTIFS(tData[SEHTrajectPeriodeDatumTijdVan],"&lt;="&amp;($A197+15/24),tData[SEHTrajectPeriodeDatumTijdTotEnMet],"&gt;"&amp;($A197+15/24),tData[Langligger01],1)</f>
        <v/>
      </c>
      <c r="T197" s="20">
        <f>COUNTIFS(tData[SEHTrajectPeriodeDatumTijdVan],"&lt;="&amp;($A197+16/24),tData[SEHTrajectPeriodeDatumTijdTotEnMet],"&gt;"&amp;($A197+16/24),tData[Langligger01],1)</f>
        <v/>
      </c>
      <c r="U197" s="20">
        <f>COUNTIFS(tData[SEHTrajectPeriodeDatumTijdVan],"&lt;="&amp;($A197+17/24),tData[SEHTrajectPeriodeDatumTijdTotEnMet],"&gt;"&amp;($A197+17/24),tData[Langligger01],1)</f>
        <v/>
      </c>
      <c r="V197" s="20">
        <f>COUNTIFS(tData[SEHTrajectPeriodeDatumTijdVan],"&lt;="&amp;($A197+18/24),tData[SEHTrajectPeriodeDatumTijdTotEnMet],"&gt;"&amp;($A197+18/24),tData[Langligger01],1)</f>
        <v/>
      </c>
      <c r="W197" s="20">
        <f>COUNTIFS(tData[SEHTrajectPeriodeDatumTijdVan],"&lt;="&amp;($A197+19/24),tData[SEHTrajectPeriodeDatumTijdTotEnMet],"&gt;"&amp;($A197+19/24),tData[Langligger01],1)</f>
        <v/>
      </c>
      <c r="X197" s="20">
        <f>COUNTIFS(tData[SEHTrajectPeriodeDatumTijdVan],"&lt;="&amp;($A197+20/24),tData[SEHTrajectPeriodeDatumTijdTotEnMet],"&gt;"&amp;($A197+20/24),tData[Langligger01],1)</f>
        <v/>
      </c>
      <c r="Y197" s="20">
        <f>COUNTIFS(tData[SEHTrajectPeriodeDatumTijdVan],"&lt;="&amp;($A197+21/24),tData[SEHTrajectPeriodeDatumTijdTotEnMet],"&gt;"&amp;($A197+21/24),tData[Langligger01],1)</f>
        <v/>
      </c>
      <c r="Z197" s="20">
        <f>COUNTIFS(tData[SEHTrajectPeriodeDatumTijdVan],"&lt;="&amp;($A197+22/24),tData[SEHTrajectPeriodeDatumTijdTotEnMet],"&gt;"&amp;($A197+22/24),tData[Langligger01],1)</f>
        <v/>
      </c>
      <c r="AA197" s="20">
        <f>COUNTIFS(tData[SEHTrajectPeriodeDatumTijdVan],"&lt;="&amp;($A197+23/24),tData[SEHTrajectPeriodeDatumTijdTotEnMet],"&gt;"&amp;($A197+23/24),tData[Langligger01],1)</f>
        <v/>
      </c>
    </row>
    <row r="198">
      <c r="A198" s="19" t="n">
        <v>45486</v>
      </c>
      <c r="B198" s="15">
        <f>WEEKDAY($A198,2)</f>
        <v/>
      </c>
      <c r="C198" s="15">
        <f>IF(AND($A198&gt;=INT(Instellingen!$B$5),$A198&lt;=INT(Instellingen!$B$6)),1,0)</f>
        <v/>
      </c>
      <c r="D198" s="20">
        <f>COUNTIFS(tData[SEHTrajectPeriodeDatumTijdVan],"&lt;="&amp;($A198+0/24),tData[SEHTrajectPeriodeDatumTijdTotEnMet],"&gt;"&amp;($A198+0/24),tData[Langligger01],1)</f>
        <v/>
      </c>
      <c r="E198" s="20">
        <f>COUNTIFS(tData[SEHTrajectPeriodeDatumTijdVan],"&lt;="&amp;($A198+1/24),tData[SEHTrajectPeriodeDatumTijdTotEnMet],"&gt;"&amp;($A198+1/24),tData[Langligger01],1)</f>
        <v/>
      </c>
      <c r="F198" s="20">
        <f>COUNTIFS(tData[SEHTrajectPeriodeDatumTijdVan],"&lt;="&amp;($A198+2/24),tData[SEHTrajectPeriodeDatumTijdTotEnMet],"&gt;"&amp;($A198+2/24),tData[Langligger01],1)</f>
        <v/>
      </c>
      <c r="G198" s="20">
        <f>COUNTIFS(tData[SEHTrajectPeriodeDatumTijdVan],"&lt;="&amp;($A198+3/24),tData[SEHTrajectPeriodeDatumTijdTotEnMet],"&gt;"&amp;($A198+3/24),tData[Langligger01],1)</f>
        <v/>
      </c>
      <c r="H198" s="20">
        <f>COUNTIFS(tData[SEHTrajectPeriodeDatumTijdVan],"&lt;="&amp;($A198+4/24),tData[SEHTrajectPeriodeDatumTijdTotEnMet],"&gt;"&amp;($A198+4/24),tData[Langligger01],1)</f>
        <v/>
      </c>
      <c r="I198" s="20">
        <f>COUNTIFS(tData[SEHTrajectPeriodeDatumTijdVan],"&lt;="&amp;($A198+5/24),tData[SEHTrajectPeriodeDatumTijdTotEnMet],"&gt;"&amp;($A198+5/24),tData[Langligger01],1)</f>
        <v/>
      </c>
      <c r="J198" s="20">
        <f>COUNTIFS(tData[SEHTrajectPeriodeDatumTijdVan],"&lt;="&amp;($A198+6/24),tData[SEHTrajectPeriodeDatumTijdTotEnMet],"&gt;"&amp;($A198+6/24),tData[Langligger01],1)</f>
        <v/>
      </c>
      <c r="K198" s="20">
        <f>COUNTIFS(tData[SEHTrajectPeriodeDatumTijdVan],"&lt;="&amp;($A198+7/24),tData[SEHTrajectPeriodeDatumTijdTotEnMet],"&gt;"&amp;($A198+7/24),tData[Langligger01],1)</f>
        <v/>
      </c>
      <c r="L198" s="20">
        <f>COUNTIFS(tData[SEHTrajectPeriodeDatumTijdVan],"&lt;="&amp;($A198+8/24),tData[SEHTrajectPeriodeDatumTijdTotEnMet],"&gt;"&amp;($A198+8/24),tData[Langligger01],1)</f>
        <v/>
      </c>
      <c r="M198" s="20">
        <f>COUNTIFS(tData[SEHTrajectPeriodeDatumTijdVan],"&lt;="&amp;($A198+9/24),tData[SEHTrajectPeriodeDatumTijdTotEnMet],"&gt;"&amp;($A198+9/24),tData[Langligger01],1)</f>
        <v/>
      </c>
      <c r="N198" s="20">
        <f>COUNTIFS(tData[SEHTrajectPeriodeDatumTijdVan],"&lt;="&amp;($A198+10/24),tData[SEHTrajectPeriodeDatumTijdTotEnMet],"&gt;"&amp;($A198+10/24),tData[Langligger01],1)</f>
        <v/>
      </c>
      <c r="O198" s="20">
        <f>COUNTIFS(tData[SEHTrajectPeriodeDatumTijdVan],"&lt;="&amp;($A198+11/24),tData[SEHTrajectPeriodeDatumTijdTotEnMet],"&gt;"&amp;($A198+11/24),tData[Langligger01],1)</f>
        <v/>
      </c>
      <c r="P198" s="20">
        <f>COUNTIFS(tData[SEHTrajectPeriodeDatumTijdVan],"&lt;="&amp;($A198+12/24),tData[SEHTrajectPeriodeDatumTijdTotEnMet],"&gt;"&amp;($A198+12/24),tData[Langligger01],1)</f>
        <v/>
      </c>
      <c r="Q198" s="20">
        <f>COUNTIFS(tData[SEHTrajectPeriodeDatumTijdVan],"&lt;="&amp;($A198+13/24),tData[SEHTrajectPeriodeDatumTijdTotEnMet],"&gt;"&amp;($A198+13/24),tData[Langligger01],1)</f>
        <v/>
      </c>
      <c r="R198" s="20">
        <f>COUNTIFS(tData[SEHTrajectPeriodeDatumTijdVan],"&lt;="&amp;($A198+14/24),tData[SEHTrajectPeriodeDatumTijdTotEnMet],"&gt;"&amp;($A198+14/24),tData[Langligger01],1)</f>
        <v/>
      </c>
      <c r="S198" s="20">
        <f>COUNTIFS(tData[SEHTrajectPeriodeDatumTijdVan],"&lt;="&amp;($A198+15/24),tData[SEHTrajectPeriodeDatumTijdTotEnMet],"&gt;"&amp;($A198+15/24),tData[Langligger01],1)</f>
        <v/>
      </c>
      <c r="T198" s="20">
        <f>COUNTIFS(tData[SEHTrajectPeriodeDatumTijdVan],"&lt;="&amp;($A198+16/24),tData[SEHTrajectPeriodeDatumTijdTotEnMet],"&gt;"&amp;($A198+16/24),tData[Langligger01],1)</f>
        <v/>
      </c>
      <c r="U198" s="20">
        <f>COUNTIFS(tData[SEHTrajectPeriodeDatumTijdVan],"&lt;="&amp;($A198+17/24),tData[SEHTrajectPeriodeDatumTijdTotEnMet],"&gt;"&amp;($A198+17/24),tData[Langligger01],1)</f>
        <v/>
      </c>
      <c r="V198" s="20">
        <f>COUNTIFS(tData[SEHTrajectPeriodeDatumTijdVan],"&lt;="&amp;($A198+18/24),tData[SEHTrajectPeriodeDatumTijdTotEnMet],"&gt;"&amp;($A198+18/24),tData[Langligger01],1)</f>
        <v/>
      </c>
      <c r="W198" s="20">
        <f>COUNTIFS(tData[SEHTrajectPeriodeDatumTijdVan],"&lt;="&amp;($A198+19/24),tData[SEHTrajectPeriodeDatumTijdTotEnMet],"&gt;"&amp;($A198+19/24),tData[Langligger01],1)</f>
        <v/>
      </c>
      <c r="X198" s="20">
        <f>COUNTIFS(tData[SEHTrajectPeriodeDatumTijdVan],"&lt;="&amp;($A198+20/24),tData[SEHTrajectPeriodeDatumTijdTotEnMet],"&gt;"&amp;($A198+20/24),tData[Langligger01],1)</f>
        <v/>
      </c>
      <c r="Y198" s="20">
        <f>COUNTIFS(tData[SEHTrajectPeriodeDatumTijdVan],"&lt;="&amp;($A198+21/24),tData[SEHTrajectPeriodeDatumTijdTotEnMet],"&gt;"&amp;($A198+21/24),tData[Langligger01],1)</f>
        <v/>
      </c>
      <c r="Z198" s="20">
        <f>COUNTIFS(tData[SEHTrajectPeriodeDatumTijdVan],"&lt;="&amp;($A198+22/24),tData[SEHTrajectPeriodeDatumTijdTotEnMet],"&gt;"&amp;($A198+22/24),tData[Langligger01],1)</f>
        <v/>
      </c>
      <c r="AA198" s="20">
        <f>COUNTIFS(tData[SEHTrajectPeriodeDatumTijdVan],"&lt;="&amp;($A198+23/24),tData[SEHTrajectPeriodeDatumTijdTotEnMet],"&gt;"&amp;($A198+23/24),tData[Langligger01],1)</f>
        <v/>
      </c>
    </row>
    <row r="199">
      <c r="A199" s="19" t="n">
        <v>45487</v>
      </c>
      <c r="B199" s="15">
        <f>WEEKDAY($A199,2)</f>
        <v/>
      </c>
      <c r="C199" s="15">
        <f>IF(AND($A199&gt;=INT(Instellingen!$B$5),$A199&lt;=INT(Instellingen!$B$6)),1,0)</f>
        <v/>
      </c>
      <c r="D199" s="20">
        <f>COUNTIFS(tData[SEHTrajectPeriodeDatumTijdVan],"&lt;="&amp;($A199+0/24),tData[SEHTrajectPeriodeDatumTijdTotEnMet],"&gt;"&amp;($A199+0/24),tData[Langligger01],1)</f>
        <v/>
      </c>
      <c r="E199" s="20">
        <f>COUNTIFS(tData[SEHTrajectPeriodeDatumTijdVan],"&lt;="&amp;($A199+1/24),tData[SEHTrajectPeriodeDatumTijdTotEnMet],"&gt;"&amp;($A199+1/24),tData[Langligger01],1)</f>
        <v/>
      </c>
      <c r="F199" s="20">
        <f>COUNTIFS(tData[SEHTrajectPeriodeDatumTijdVan],"&lt;="&amp;($A199+2/24),tData[SEHTrajectPeriodeDatumTijdTotEnMet],"&gt;"&amp;($A199+2/24),tData[Langligger01],1)</f>
        <v/>
      </c>
      <c r="G199" s="20">
        <f>COUNTIFS(tData[SEHTrajectPeriodeDatumTijdVan],"&lt;="&amp;($A199+3/24),tData[SEHTrajectPeriodeDatumTijdTotEnMet],"&gt;"&amp;($A199+3/24),tData[Langligger01],1)</f>
        <v/>
      </c>
      <c r="H199" s="20">
        <f>COUNTIFS(tData[SEHTrajectPeriodeDatumTijdVan],"&lt;="&amp;($A199+4/24),tData[SEHTrajectPeriodeDatumTijdTotEnMet],"&gt;"&amp;($A199+4/24),tData[Langligger01],1)</f>
        <v/>
      </c>
      <c r="I199" s="20">
        <f>COUNTIFS(tData[SEHTrajectPeriodeDatumTijdVan],"&lt;="&amp;($A199+5/24),tData[SEHTrajectPeriodeDatumTijdTotEnMet],"&gt;"&amp;($A199+5/24),tData[Langligger01],1)</f>
        <v/>
      </c>
      <c r="J199" s="20">
        <f>COUNTIFS(tData[SEHTrajectPeriodeDatumTijdVan],"&lt;="&amp;($A199+6/24),tData[SEHTrajectPeriodeDatumTijdTotEnMet],"&gt;"&amp;($A199+6/24),tData[Langligger01],1)</f>
        <v/>
      </c>
      <c r="K199" s="20">
        <f>COUNTIFS(tData[SEHTrajectPeriodeDatumTijdVan],"&lt;="&amp;($A199+7/24),tData[SEHTrajectPeriodeDatumTijdTotEnMet],"&gt;"&amp;($A199+7/24),tData[Langligger01],1)</f>
        <v/>
      </c>
      <c r="L199" s="20">
        <f>COUNTIFS(tData[SEHTrajectPeriodeDatumTijdVan],"&lt;="&amp;($A199+8/24),tData[SEHTrajectPeriodeDatumTijdTotEnMet],"&gt;"&amp;($A199+8/24),tData[Langligger01],1)</f>
        <v/>
      </c>
      <c r="M199" s="20">
        <f>COUNTIFS(tData[SEHTrajectPeriodeDatumTijdVan],"&lt;="&amp;($A199+9/24),tData[SEHTrajectPeriodeDatumTijdTotEnMet],"&gt;"&amp;($A199+9/24),tData[Langligger01],1)</f>
        <v/>
      </c>
      <c r="N199" s="20">
        <f>COUNTIFS(tData[SEHTrajectPeriodeDatumTijdVan],"&lt;="&amp;($A199+10/24),tData[SEHTrajectPeriodeDatumTijdTotEnMet],"&gt;"&amp;($A199+10/24),tData[Langligger01],1)</f>
        <v/>
      </c>
      <c r="O199" s="20">
        <f>COUNTIFS(tData[SEHTrajectPeriodeDatumTijdVan],"&lt;="&amp;($A199+11/24),tData[SEHTrajectPeriodeDatumTijdTotEnMet],"&gt;"&amp;($A199+11/24),tData[Langligger01],1)</f>
        <v/>
      </c>
      <c r="P199" s="20">
        <f>COUNTIFS(tData[SEHTrajectPeriodeDatumTijdVan],"&lt;="&amp;($A199+12/24),tData[SEHTrajectPeriodeDatumTijdTotEnMet],"&gt;"&amp;($A199+12/24),tData[Langligger01],1)</f>
        <v/>
      </c>
      <c r="Q199" s="20">
        <f>COUNTIFS(tData[SEHTrajectPeriodeDatumTijdVan],"&lt;="&amp;($A199+13/24),tData[SEHTrajectPeriodeDatumTijdTotEnMet],"&gt;"&amp;($A199+13/24),tData[Langligger01],1)</f>
        <v/>
      </c>
      <c r="R199" s="20">
        <f>COUNTIFS(tData[SEHTrajectPeriodeDatumTijdVan],"&lt;="&amp;($A199+14/24),tData[SEHTrajectPeriodeDatumTijdTotEnMet],"&gt;"&amp;($A199+14/24),tData[Langligger01],1)</f>
        <v/>
      </c>
      <c r="S199" s="20">
        <f>COUNTIFS(tData[SEHTrajectPeriodeDatumTijdVan],"&lt;="&amp;($A199+15/24),tData[SEHTrajectPeriodeDatumTijdTotEnMet],"&gt;"&amp;($A199+15/24),tData[Langligger01],1)</f>
        <v/>
      </c>
      <c r="T199" s="20">
        <f>COUNTIFS(tData[SEHTrajectPeriodeDatumTijdVan],"&lt;="&amp;($A199+16/24),tData[SEHTrajectPeriodeDatumTijdTotEnMet],"&gt;"&amp;($A199+16/24),tData[Langligger01],1)</f>
        <v/>
      </c>
      <c r="U199" s="20">
        <f>COUNTIFS(tData[SEHTrajectPeriodeDatumTijdVan],"&lt;="&amp;($A199+17/24),tData[SEHTrajectPeriodeDatumTijdTotEnMet],"&gt;"&amp;($A199+17/24),tData[Langligger01],1)</f>
        <v/>
      </c>
      <c r="V199" s="20">
        <f>COUNTIFS(tData[SEHTrajectPeriodeDatumTijdVan],"&lt;="&amp;($A199+18/24),tData[SEHTrajectPeriodeDatumTijdTotEnMet],"&gt;"&amp;($A199+18/24),tData[Langligger01],1)</f>
        <v/>
      </c>
      <c r="W199" s="20">
        <f>COUNTIFS(tData[SEHTrajectPeriodeDatumTijdVan],"&lt;="&amp;($A199+19/24),tData[SEHTrajectPeriodeDatumTijdTotEnMet],"&gt;"&amp;($A199+19/24),tData[Langligger01],1)</f>
        <v/>
      </c>
      <c r="X199" s="20">
        <f>COUNTIFS(tData[SEHTrajectPeriodeDatumTijdVan],"&lt;="&amp;($A199+20/24),tData[SEHTrajectPeriodeDatumTijdTotEnMet],"&gt;"&amp;($A199+20/24),tData[Langligger01],1)</f>
        <v/>
      </c>
      <c r="Y199" s="20">
        <f>COUNTIFS(tData[SEHTrajectPeriodeDatumTijdVan],"&lt;="&amp;($A199+21/24),tData[SEHTrajectPeriodeDatumTijdTotEnMet],"&gt;"&amp;($A199+21/24),tData[Langligger01],1)</f>
        <v/>
      </c>
      <c r="Z199" s="20">
        <f>COUNTIFS(tData[SEHTrajectPeriodeDatumTijdVan],"&lt;="&amp;($A199+22/24),tData[SEHTrajectPeriodeDatumTijdTotEnMet],"&gt;"&amp;($A199+22/24),tData[Langligger01],1)</f>
        <v/>
      </c>
      <c r="AA199" s="20">
        <f>COUNTIFS(tData[SEHTrajectPeriodeDatumTijdVan],"&lt;="&amp;($A199+23/24),tData[SEHTrajectPeriodeDatumTijdTotEnMet],"&gt;"&amp;($A199+23/24),tData[Langligger01],1)</f>
        <v/>
      </c>
    </row>
    <row r="200">
      <c r="A200" s="19" t="n">
        <v>45488</v>
      </c>
      <c r="B200" s="15">
        <f>WEEKDAY($A200,2)</f>
        <v/>
      </c>
      <c r="C200" s="15">
        <f>IF(AND($A200&gt;=INT(Instellingen!$B$5),$A200&lt;=INT(Instellingen!$B$6)),1,0)</f>
        <v/>
      </c>
      <c r="D200" s="20">
        <f>COUNTIFS(tData[SEHTrajectPeriodeDatumTijdVan],"&lt;="&amp;($A200+0/24),tData[SEHTrajectPeriodeDatumTijdTotEnMet],"&gt;"&amp;($A200+0/24),tData[Langligger01],1)</f>
        <v/>
      </c>
      <c r="E200" s="20">
        <f>COUNTIFS(tData[SEHTrajectPeriodeDatumTijdVan],"&lt;="&amp;($A200+1/24),tData[SEHTrajectPeriodeDatumTijdTotEnMet],"&gt;"&amp;($A200+1/24),tData[Langligger01],1)</f>
        <v/>
      </c>
      <c r="F200" s="20">
        <f>COUNTIFS(tData[SEHTrajectPeriodeDatumTijdVan],"&lt;="&amp;($A200+2/24),tData[SEHTrajectPeriodeDatumTijdTotEnMet],"&gt;"&amp;($A200+2/24),tData[Langligger01],1)</f>
        <v/>
      </c>
      <c r="G200" s="20">
        <f>COUNTIFS(tData[SEHTrajectPeriodeDatumTijdVan],"&lt;="&amp;($A200+3/24),tData[SEHTrajectPeriodeDatumTijdTotEnMet],"&gt;"&amp;($A200+3/24),tData[Langligger01],1)</f>
        <v/>
      </c>
      <c r="H200" s="20">
        <f>COUNTIFS(tData[SEHTrajectPeriodeDatumTijdVan],"&lt;="&amp;($A200+4/24),tData[SEHTrajectPeriodeDatumTijdTotEnMet],"&gt;"&amp;($A200+4/24),tData[Langligger01],1)</f>
        <v/>
      </c>
      <c r="I200" s="20">
        <f>COUNTIFS(tData[SEHTrajectPeriodeDatumTijdVan],"&lt;="&amp;($A200+5/24),tData[SEHTrajectPeriodeDatumTijdTotEnMet],"&gt;"&amp;($A200+5/24),tData[Langligger01],1)</f>
        <v/>
      </c>
      <c r="J200" s="20">
        <f>COUNTIFS(tData[SEHTrajectPeriodeDatumTijdVan],"&lt;="&amp;($A200+6/24),tData[SEHTrajectPeriodeDatumTijdTotEnMet],"&gt;"&amp;($A200+6/24),tData[Langligger01],1)</f>
        <v/>
      </c>
      <c r="K200" s="20">
        <f>COUNTIFS(tData[SEHTrajectPeriodeDatumTijdVan],"&lt;="&amp;($A200+7/24),tData[SEHTrajectPeriodeDatumTijdTotEnMet],"&gt;"&amp;($A200+7/24),tData[Langligger01],1)</f>
        <v/>
      </c>
      <c r="L200" s="20">
        <f>COUNTIFS(tData[SEHTrajectPeriodeDatumTijdVan],"&lt;="&amp;($A200+8/24),tData[SEHTrajectPeriodeDatumTijdTotEnMet],"&gt;"&amp;($A200+8/24),tData[Langligger01],1)</f>
        <v/>
      </c>
      <c r="M200" s="20">
        <f>COUNTIFS(tData[SEHTrajectPeriodeDatumTijdVan],"&lt;="&amp;($A200+9/24),tData[SEHTrajectPeriodeDatumTijdTotEnMet],"&gt;"&amp;($A200+9/24),tData[Langligger01],1)</f>
        <v/>
      </c>
      <c r="N200" s="20">
        <f>COUNTIFS(tData[SEHTrajectPeriodeDatumTijdVan],"&lt;="&amp;($A200+10/24),tData[SEHTrajectPeriodeDatumTijdTotEnMet],"&gt;"&amp;($A200+10/24),tData[Langligger01],1)</f>
        <v/>
      </c>
      <c r="O200" s="20">
        <f>COUNTIFS(tData[SEHTrajectPeriodeDatumTijdVan],"&lt;="&amp;($A200+11/24),tData[SEHTrajectPeriodeDatumTijdTotEnMet],"&gt;"&amp;($A200+11/24),tData[Langligger01],1)</f>
        <v/>
      </c>
      <c r="P200" s="20">
        <f>COUNTIFS(tData[SEHTrajectPeriodeDatumTijdVan],"&lt;="&amp;($A200+12/24),tData[SEHTrajectPeriodeDatumTijdTotEnMet],"&gt;"&amp;($A200+12/24),tData[Langligger01],1)</f>
        <v/>
      </c>
      <c r="Q200" s="20">
        <f>COUNTIFS(tData[SEHTrajectPeriodeDatumTijdVan],"&lt;="&amp;($A200+13/24),tData[SEHTrajectPeriodeDatumTijdTotEnMet],"&gt;"&amp;($A200+13/24),tData[Langligger01],1)</f>
        <v/>
      </c>
      <c r="R200" s="20">
        <f>COUNTIFS(tData[SEHTrajectPeriodeDatumTijdVan],"&lt;="&amp;($A200+14/24),tData[SEHTrajectPeriodeDatumTijdTotEnMet],"&gt;"&amp;($A200+14/24),tData[Langligger01],1)</f>
        <v/>
      </c>
      <c r="S200" s="20">
        <f>COUNTIFS(tData[SEHTrajectPeriodeDatumTijdVan],"&lt;="&amp;($A200+15/24),tData[SEHTrajectPeriodeDatumTijdTotEnMet],"&gt;"&amp;($A200+15/24),tData[Langligger01],1)</f>
        <v/>
      </c>
      <c r="T200" s="20">
        <f>COUNTIFS(tData[SEHTrajectPeriodeDatumTijdVan],"&lt;="&amp;($A200+16/24),tData[SEHTrajectPeriodeDatumTijdTotEnMet],"&gt;"&amp;($A200+16/24),tData[Langligger01],1)</f>
        <v/>
      </c>
      <c r="U200" s="20">
        <f>COUNTIFS(tData[SEHTrajectPeriodeDatumTijdVan],"&lt;="&amp;($A200+17/24),tData[SEHTrajectPeriodeDatumTijdTotEnMet],"&gt;"&amp;($A200+17/24),tData[Langligger01],1)</f>
        <v/>
      </c>
      <c r="V200" s="20">
        <f>COUNTIFS(tData[SEHTrajectPeriodeDatumTijdVan],"&lt;="&amp;($A200+18/24),tData[SEHTrajectPeriodeDatumTijdTotEnMet],"&gt;"&amp;($A200+18/24),tData[Langligger01],1)</f>
        <v/>
      </c>
      <c r="W200" s="20">
        <f>COUNTIFS(tData[SEHTrajectPeriodeDatumTijdVan],"&lt;="&amp;($A200+19/24),tData[SEHTrajectPeriodeDatumTijdTotEnMet],"&gt;"&amp;($A200+19/24),tData[Langligger01],1)</f>
        <v/>
      </c>
      <c r="X200" s="20">
        <f>COUNTIFS(tData[SEHTrajectPeriodeDatumTijdVan],"&lt;="&amp;($A200+20/24),tData[SEHTrajectPeriodeDatumTijdTotEnMet],"&gt;"&amp;($A200+20/24),tData[Langligger01],1)</f>
        <v/>
      </c>
      <c r="Y200" s="20">
        <f>COUNTIFS(tData[SEHTrajectPeriodeDatumTijdVan],"&lt;="&amp;($A200+21/24),tData[SEHTrajectPeriodeDatumTijdTotEnMet],"&gt;"&amp;($A200+21/24),tData[Langligger01],1)</f>
        <v/>
      </c>
      <c r="Z200" s="20">
        <f>COUNTIFS(tData[SEHTrajectPeriodeDatumTijdVan],"&lt;="&amp;($A200+22/24),tData[SEHTrajectPeriodeDatumTijdTotEnMet],"&gt;"&amp;($A200+22/24),tData[Langligger01],1)</f>
        <v/>
      </c>
      <c r="AA200" s="20">
        <f>COUNTIFS(tData[SEHTrajectPeriodeDatumTijdVan],"&lt;="&amp;($A200+23/24),tData[SEHTrajectPeriodeDatumTijdTotEnMet],"&gt;"&amp;($A200+23/24),tData[Langligger01],1)</f>
        <v/>
      </c>
    </row>
    <row r="201">
      <c r="A201" s="19" t="n">
        <v>45489</v>
      </c>
      <c r="B201" s="15">
        <f>WEEKDAY($A201,2)</f>
        <v/>
      </c>
      <c r="C201" s="15">
        <f>IF(AND($A201&gt;=INT(Instellingen!$B$5),$A201&lt;=INT(Instellingen!$B$6)),1,0)</f>
        <v/>
      </c>
      <c r="D201" s="20">
        <f>COUNTIFS(tData[SEHTrajectPeriodeDatumTijdVan],"&lt;="&amp;($A201+0/24),tData[SEHTrajectPeriodeDatumTijdTotEnMet],"&gt;"&amp;($A201+0/24),tData[Langligger01],1)</f>
        <v/>
      </c>
      <c r="E201" s="20">
        <f>COUNTIFS(tData[SEHTrajectPeriodeDatumTijdVan],"&lt;="&amp;($A201+1/24),tData[SEHTrajectPeriodeDatumTijdTotEnMet],"&gt;"&amp;($A201+1/24),tData[Langligger01],1)</f>
        <v/>
      </c>
      <c r="F201" s="20">
        <f>COUNTIFS(tData[SEHTrajectPeriodeDatumTijdVan],"&lt;="&amp;($A201+2/24),tData[SEHTrajectPeriodeDatumTijdTotEnMet],"&gt;"&amp;($A201+2/24),tData[Langligger01],1)</f>
        <v/>
      </c>
      <c r="G201" s="20">
        <f>COUNTIFS(tData[SEHTrajectPeriodeDatumTijdVan],"&lt;="&amp;($A201+3/24),tData[SEHTrajectPeriodeDatumTijdTotEnMet],"&gt;"&amp;($A201+3/24),tData[Langligger01],1)</f>
        <v/>
      </c>
      <c r="H201" s="20">
        <f>COUNTIFS(tData[SEHTrajectPeriodeDatumTijdVan],"&lt;="&amp;($A201+4/24),tData[SEHTrajectPeriodeDatumTijdTotEnMet],"&gt;"&amp;($A201+4/24),tData[Langligger01],1)</f>
        <v/>
      </c>
      <c r="I201" s="20">
        <f>COUNTIFS(tData[SEHTrajectPeriodeDatumTijdVan],"&lt;="&amp;($A201+5/24),tData[SEHTrajectPeriodeDatumTijdTotEnMet],"&gt;"&amp;($A201+5/24),tData[Langligger01],1)</f>
        <v/>
      </c>
      <c r="J201" s="20">
        <f>COUNTIFS(tData[SEHTrajectPeriodeDatumTijdVan],"&lt;="&amp;($A201+6/24),tData[SEHTrajectPeriodeDatumTijdTotEnMet],"&gt;"&amp;($A201+6/24),tData[Langligger01],1)</f>
        <v/>
      </c>
      <c r="K201" s="20">
        <f>COUNTIFS(tData[SEHTrajectPeriodeDatumTijdVan],"&lt;="&amp;($A201+7/24),tData[SEHTrajectPeriodeDatumTijdTotEnMet],"&gt;"&amp;($A201+7/24),tData[Langligger01],1)</f>
        <v/>
      </c>
      <c r="L201" s="20">
        <f>COUNTIFS(tData[SEHTrajectPeriodeDatumTijdVan],"&lt;="&amp;($A201+8/24),tData[SEHTrajectPeriodeDatumTijdTotEnMet],"&gt;"&amp;($A201+8/24),tData[Langligger01],1)</f>
        <v/>
      </c>
      <c r="M201" s="20">
        <f>COUNTIFS(tData[SEHTrajectPeriodeDatumTijdVan],"&lt;="&amp;($A201+9/24),tData[SEHTrajectPeriodeDatumTijdTotEnMet],"&gt;"&amp;($A201+9/24),tData[Langligger01],1)</f>
        <v/>
      </c>
      <c r="N201" s="20">
        <f>COUNTIFS(tData[SEHTrajectPeriodeDatumTijdVan],"&lt;="&amp;($A201+10/24),tData[SEHTrajectPeriodeDatumTijdTotEnMet],"&gt;"&amp;($A201+10/24),tData[Langligger01],1)</f>
        <v/>
      </c>
      <c r="O201" s="20">
        <f>COUNTIFS(tData[SEHTrajectPeriodeDatumTijdVan],"&lt;="&amp;($A201+11/24),tData[SEHTrajectPeriodeDatumTijdTotEnMet],"&gt;"&amp;($A201+11/24),tData[Langligger01],1)</f>
        <v/>
      </c>
      <c r="P201" s="20">
        <f>COUNTIFS(tData[SEHTrajectPeriodeDatumTijdVan],"&lt;="&amp;($A201+12/24),tData[SEHTrajectPeriodeDatumTijdTotEnMet],"&gt;"&amp;($A201+12/24),tData[Langligger01],1)</f>
        <v/>
      </c>
      <c r="Q201" s="20">
        <f>COUNTIFS(tData[SEHTrajectPeriodeDatumTijdVan],"&lt;="&amp;($A201+13/24),tData[SEHTrajectPeriodeDatumTijdTotEnMet],"&gt;"&amp;($A201+13/24),tData[Langligger01],1)</f>
        <v/>
      </c>
      <c r="R201" s="20">
        <f>COUNTIFS(tData[SEHTrajectPeriodeDatumTijdVan],"&lt;="&amp;($A201+14/24),tData[SEHTrajectPeriodeDatumTijdTotEnMet],"&gt;"&amp;($A201+14/24),tData[Langligger01],1)</f>
        <v/>
      </c>
      <c r="S201" s="20">
        <f>COUNTIFS(tData[SEHTrajectPeriodeDatumTijdVan],"&lt;="&amp;($A201+15/24),tData[SEHTrajectPeriodeDatumTijdTotEnMet],"&gt;"&amp;($A201+15/24),tData[Langligger01],1)</f>
        <v/>
      </c>
      <c r="T201" s="20">
        <f>COUNTIFS(tData[SEHTrajectPeriodeDatumTijdVan],"&lt;="&amp;($A201+16/24),tData[SEHTrajectPeriodeDatumTijdTotEnMet],"&gt;"&amp;($A201+16/24),tData[Langligger01],1)</f>
        <v/>
      </c>
      <c r="U201" s="20">
        <f>COUNTIFS(tData[SEHTrajectPeriodeDatumTijdVan],"&lt;="&amp;($A201+17/24),tData[SEHTrajectPeriodeDatumTijdTotEnMet],"&gt;"&amp;($A201+17/24),tData[Langligger01],1)</f>
        <v/>
      </c>
      <c r="V201" s="20">
        <f>COUNTIFS(tData[SEHTrajectPeriodeDatumTijdVan],"&lt;="&amp;($A201+18/24),tData[SEHTrajectPeriodeDatumTijdTotEnMet],"&gt;"&amp;($A201+18/24),tData[Langligger01],1)</f>
        <v/>
      </c>
      <c r="W201" s="20">
        <f>COUNTIFS(tData[SEHTrajectPeriodeDatumTijdVan],"&lt;="&amp;($A201+19/24),tData[SEHTrajectPeriodeDatumTijdTotEnMet],"&gt;"&amp;($A201+19/24),tData[Langligger01],1)</f>
        <v/>
      </c>
      <c r="X201" s="20">
        <f>COUNTIFS(tData[SEHTrajectPeriodeDatumTijdVan],"&lt;="&amp;($A201+20/24),tData[SEHTrajectPeriodeDatumTijdTotEnMet],"&gt;"&amp;($A201+20/24),tData[Langligger01],1)</f>
        <v/>
      </c>
      <c r="Y201" s="20">
        <f>COUNTIFS(tData[SEHTrajectPeriodeDatumTijdVan],"&lt;="&amp;($A201+21/24),tData[SEHTrajectPeriodeDatumTijdTotEnMet],"&gt;"&amp;($A201+21/24),tData[Langligger01],1)</f>
        <v/>
      </c>
      <c r="Z201" s="20">
        <f>COUNTIFS(tData[SEHTrajectPeriodeDatumTijdVan],"&lt;="&amp;($A201+22/24),tData[SEHTrajectPeriodeDatumTijdTotEnMet],"&gt;"&amp;($A201+22/24),tData[Langligger01],1)</f>
        <v/>
      </c>
      <c r="AA201" s="20">
        <f>COUNTIFS(tData[SEHTrajectPeriodeDatumTijdVan],"&lt;="&amp;($A201+23/24),tData[SEHTrajectPeriodeDatumTijdTotEnMet],"&gt;"&amp;($A201+23/24),tData[Langligger01],1)</f>
        <v/>
      </c>
    </row>
    <row r="202">
      <c r="A202" s="19" t="n">
        <v>45490</v>
      </c>
      <c r="B202" s="15">
        <f>WEEKDAY($A202,2)</f>
        <v/>
      </c>
      <c r="C202" s="15">
        <f>IF(AND($A202&gt;=INT(Instellingen!$B$5),$A202&lt;=INT(Instellingen!$B$6)),1,0)</f>
        <v/>
      </c>
      <c r="D202" s="20">
        <f>COUNTIFS(tData[SEHTrajectPeriodeDatumTijdVan],"&lt;="&amp;($A202+0/24),tData[SEHTrajectPeriodeDatumTijdTotEnMet],"&gt;"&amp;($A202+0/24),tData[Langligger01],1)</f>
        <v/>
      </c>
      <c r="E202" s="20">
        <f>COUNTIFS(tData[SEHTrajectPeriodeDatumTijdVan],"&lt;="&amp;($A202+1/24),tData[SEHTrajectPeriodeDatumTijdTotEnMet],"&gt;"&amp;($A202+1/24),tData[Langligger01],1)</f>
        <v/>
      </c>
      <c r="F202" s="20">
        <f>COUNTIFS(tData[SEHTrajectPeriodeDatumTijdVan],"&lt;="&amp;($A202+2/24),tData[SEHTrajectPeriodeDatumTijdTotEnMet],"&gt;"&amp;($A202+2/24),tData[Langligger01],1)</f>
        <v/>
      </c>
      <c r="G202" s="20">
        <f>COUNTIFS(tData[SEHTrajectPeriodeDatumTijdVan],"&lt;="&amp;($A202+3/24),tData[SEHTrajectPeriodeDatumTijdTotEnMet],"&gt;"&amp;($A202+3/24),tData[Langligger01],1)</f>
        <v/>
      </c>
      <c r="H202" s="20">
        <f>COUNTIFS(tData[SEHTrajectPeriodeDatumTijdVan],"&lt;="&amp;($A202+4/24),tData[SEHTrajectPeriodeDatumTijdTotEnMet],"&gt;"&amp;($A202+4/24),tData[Langligger01],1)</f>
        <v/>
      </c>
      <c r="I202" s="20">
        <f>COUNTIFS(tData[SEHTrajectPeriodeDatumTijdVan],"&lt;="&amp;($A202+5/24),tData[SEHTrajectPeriodeDatumTijdTotEnMet],"&gt;"&amp;($A202+5/24),tData[Langligger01],1)</f>
        <v/>
      </c>
      <c r="J202" s="20">
        <f>COUNTIFS(tData[SEHTrajectPeriodeDatumTijdVan],"&lt;="&amp;($A202+6/24),tData[SEHTrajectPeriodeDatumTijdTotEnMet],"&gt;"&amp;($A202+6/24),tData[Langligger01],1)</f>
        <v/>
      </c>
      <c r="K202" s="20">
        <f>COUNTIFS(tData[SEHTrajectPeriodeDatumTijdVan],"&lt;="&amp;($A202+7/24),tData[SEHTrajectPeriodeDatumTijdTotEnMet],"&gt;"&amp;($A202+7/24),tData[Langligger01],1)</f>
        <v/>
      </c>
      <c r="L202" s="20">
        <f>COUNTIFS(tData[SEHTrajectPeriodeDatumTijdVan],"&lt;="&amp;($A202+8/24),tData[SEHTrajectPeriodeDatumTijdTotEnMet],"&gt;"&amp;($A202+8/24),tData[Langligger01],1)</f>
        <v/>
      </c>
      <c r="M202" s="20">
        <f>COUNTIFS(tData[SEHTrajectPeriodeDatumTijdVan],"&lt;="&amp;($A202+9/24),tData[SEHTrajectPeriodeDatumTijdTotEnMet],"&gt;"&amp;($A202+9/24),tData[Langligger01],1)</f>
        <v/>
      </c>
      <c r="N202" s="20">
        <f>COUNTIFS(tData[SEHTrajectPeriodeDatumTijdVan],"&lt;="&amp;($A202+10/24),tData[SEHTrajectPeriodeDatumTijdTotEnMet],"&gt;"&amp;($A202+10/24),tData[Langligger01],1)</f>
        <v/>
      </c>
      <c r="O202" s="20">
        <f>COUNTIFS(tData[SEHTrajectPeriodeDatumTijdVan],"&lt;="&amp;($A202+11/24),tData[SEHTrajectPeriodeDatumTijdTotEnMet],"&gt;"&amp;($A202+11/24),tData[Langligger01],1)</f>
        <v/>
      </c>
      <c r="P202" s="20">
        <f>COUNTIFS(tData[SEHTrajectPeriodeDatumTijdVan],"&lt;="&amp;($A202+12/24),tData[SEHTrajectPeriodeDatumTijdTotEnMet],"&gt;"&amp;($A202+12/24),tData[Langligger01],1)</f>
        <v/>
      </c>
      <c r="Q202" s="20">
        <f>COUNTIFS(tData[SEHTrajectPeriodeDatumTijdVan],"&lt;="&amp;($A202+13/24),tData[SEHTrajectPeriodeDatumTijdTotEnMet],"&gt;"&amp;($A202+13/24),tData[Langligger01],1)</f>
        <v/>
      </c>
      <c r="R202" s="20">
        <f>COUNTIFS(tData[SEHTrajectPeriodeDatumTijdVan],"&lt;="&amp;($A202+14/24),tData[SEHTrajectPeriodeDatumTijdTotEnMet],"&gt;"&amp;($A202+14/24),tData[Langligger01],1)</f>
        <v/>
      </c>
      <c r="S202" s="20">
        <f>COUNTIFS(tData[SEHTrajectPeriodeDatumTijdVan],"&lt;="&amp;($A202+15/24),tData[SEHTrajectPeriodeDatumTijdTotEnMet],"&gt;"&amp;($A202+15/24),tData[Langligger01],1)</f>
        <v/>
      </c>
      <c r="T202" s="20">
        <f>COUNTIFS(tData[SEHTrajectPeriodeDatumTijdVan],"&lt;="&amp;($A202+16/24),tData[SEHTrajectPeriodeDatumTijdTotEnMet],"&gt;"&amp;($A202+16/24),tData[Langligger01],1)</f>
        <v/>
      </c>
      <c r="U202" s="20">
        <f>COUNTIFS(tData[SEHTrajectPeriodeDatumTijdVan],"&lt;="&amp;($A202+17/24),tData[SEHTrajectPeriodeDatumTijdTotEnMet],"&gt;"&amp;($A202+17/24),tData[Langligger01],1)</f>
        <v/>
      </c>
      <c r="V202" s="20">
        <f>COUNTIFS(tData[SEHTrajectPeriodeDatumTijdVan],"&lt;="&amp;($A202+18/24),tData[SEHTrajectPeriodeDatumTijdTotEnMet],"&gt;"&amp;($A202+18/24),tData[Langligger01],1)</f>
        <v/>
      </c>
      <c r="W202" s="20">
        <f>COUNTIFS(tData[SEHTrajectPeriodeDatumTijdVan],"&lt;="&amp;($A202+19/24),tData[SEHTrajectPeriodeDatumTijdTotEnMet],"&gt;"&amp;($A202+19/24),tData[Langligger01],1)</f>
        <v/>
      </c>
      <c r="X202" s="20">
        <f>COUNTIFS(tData[SEHTrajectPeriodeDatumTijdVan],"&lt;="&amp;($A202+20/24),tData[SEHTrajectPeriodeDatumTijdTotEnMet],"&gt;"&amp;($A202+20/24),tData[Langligger01],1)</f>
        <v/>
      </c>
      <c r="Y202" s="20">
        <f>COUNTIFS(tData[SEHTrajectPeriodeDatumTijdVan],"&lt;="&amp;($A202+21/24),tData[SEHTrajectPeriodeDatumTijdTotEnMet],"&gt;"&amp;($A202+21/24),tData[Langligger01],1)</f>
        <v/>
      </c>
      <c r="Z202" s="20">
        <f>COUNTIFS(tData[SEHTrajectPeriodeDatumTijdVan],"&lt;="&amp;($A202+22/24),tData[SEHTrajectPeriodeDatumTijdTotEnMet],"&gt;"&amp;($A202+22/24),tData[Langligger01],1)</f>
        <v/>
      </c>
      <c r="AA202" s="20">
        <f>COUNTIFS(tData[SEHTrajectPeriodeDatumTijdVan],"&lt;="&amp;($A202+23/24),tData[SEHTrajectPeriodeDatumTijdTotEnMet],"&gt;"&amp;($A202+23/24),tData[Langligger01],1)</f>
        <v/>
      </c>
    </row>
    <row r="203">
      <c r="A203" s="19" t="n">
        <v>45491</v>
      </c>
      <c r="B203" s="15">
        <f>WEEKDAY($A203,2)</f>
        <v/>
      </c>
      <c r="C203" s="15">
        <f>IF(AND($A203&gt;=INT(Instellingen!$B$5),$A203&lt;=INT(Instellingen!$B$6)),1,0)</f>
        <v/>
      </c>
      <c r="D203" s="20">
        <f>COUNTIFS(tData[SEHTrajectPeriodeDatumTijdVan],"&lt;="&amp;($A203+0/24),tData[SEHTrajectPeriodeDatumTijdTotEnMet],"&gt;"&amp;($A203+0/24),tData[Langligger01],1)</f>
        <v/>
      </c>
      <c r="E203" s="20">
        <f>COUNTIFS(tData[SEHTrajectPeriodeDatumTijdVan],"&lt;="&amp;($A203+1/24),tData[SEHTrajectPeriodeDatumTijdTotEnMet],"&gt;"&amp;($A203+1/24),tData[Langligger01],1)</f>
        <v/>
      </c>
      <c r="F203" s="20">
        <f>COUNTIFS(tData[SEHTrajectPeriodeDatumTijdVan],"&lt;="&amp;($A203+2/24),tData[SEHTrajectPeriodeDatumTijdTotEnMet],"&gt;"&amp;($A203+2/24),tData[Langligger01],1)</f>
        <v/>
      </c>
      <c r="G203" s="20">
        <f>COUNTIFS(tData[SEHTrajectPeriodeDatumTijdVan],"&lt;="&amp;($A203+3/24),tData[SEHTrajectPeriodeDatumTijdTotEnMet],"&gt;"&amp;($A203+3/24),tData[Langligger01],1)</f>
        <v/>
      </c>
      <c r="H203" s="20">
        <f>COUNTIFS(tData[SEHTrajectPeriodeDatumTijdVan],"&lt;="&amp;($A203+4/24),tData[SEHTrajectPeriodeDatumTijdTotEnMet],"&gt;"&amp;($A203+4/24),tData[Langligger01],1)</f>
        <v/>
      </c>
      <c r="I203" s="20">
        <f>COUNTIFS(tData[SEHTrajectPeriodeDatumTijdVan],"&lt;="&amp;($A203+5/24),tData[SEHTrajectPeriodeDatumTijdTotEnMet],"&gt;"&amp;($A203+5/24),tData[Langligger01],1)</f>
        <v/>
      </c>
      <c r="J203" s="20">
        <f>COUNTIFS(tData[SEHTrajectPeriodeDatumTijdVan],"&lt;="&amp;($A203+6/24),tData[SEHTrajectPeriodeDatumTijdTotEnMet],"&gt;"&amp;($A203+6/24),tData[Langligger01],1)</f>
        <v/>
      </c>
      <c r="K203" s="20">
        <f>COUNTIFS(tData[SEHTrajectPeriodeDatumTijdVan],"&lt;="&amp;($A203+7/24),tData[SEHTrajectPeriodeDatumTijdTotEnMet],"&gt;"&amp;($A203+7/24),tData[Langligger01],1)</f>
        <v/>
      </c>
      <c r="L203" s="20">
        <f>COUNTIFS(tData[SEHTrajectPeriodeDatumTijdVan],"&lt;="&amp;($A203+8/24),tData[SEHTrajectPeriodeDatumTijdTotEnMet],"&gt;"&amp;($A203+8/24),tData[Langligger01],1)</f>
        <v/>
      </c>
      <c r="M203" s="20">
        <f>COUNTIFS(tData[SEHTrajectPeriodeDatumTijdVan],"&lt;="&amp;($A203+9/24),tData[SEHTrajectPeriodeDatumTijdTotEnMet],"&gt;"&amp;($A203+9/24),tData[Langligger01],1)</f>
        <v/>
      </c>
      <c r="N203" s="20">
        <f>COUNTIFS(tData[SEHTrajectPeriodeDatumTijdVan],"&lt;="&amp;($A203+10/24),tData[SEHTrajectPeriodeDatumTijdTotEnMet],"&gt;"&amp;($A203+10/24),tData[Langligger01],1)</f>
        <v/>
      </c>
      <c r="O203" s="20">
        <f>COUNTIFS(tData[SEHTrajectPeriodeDatumTijdVan],"&lt;="&amp;($A203+11/24),tData[SEHTrajectPeriodeDatumTijdTotEnMet],"&gt;"&amp;($A203+11/24),tData[Langligger01],1)</f>
        <v/>
      </c>
      <c r="P203" s="20">
        <f>COUNTIFS(tData[SEHTrajectPeriodeDatumTijdVan],"&lt;="&amp;($A203+12/24),tData[SEHTrajectPeriodeDatumTijdTotEnMet],"&gt;"&amp;($A203+12/24),tData[Langligger01],1)</f>
        <v/>
      </c>
      <c r="Q203" s="20">
        <f>COUNTIFS(tData[SEHTrajectPeriodeDatumTijdVan],"&lt;="&amp;($A203+13/24),tData[SEHTrajectPeriodeDatumTijdTotEnMet],"&gt;"&amp;($A203+13/24),tData[Langligger01],1)</f>
        <v/>
      </c>
      <c r="R203" s="20">
        <f>COUNTIFS(tData[SEHTrajectPeriodeDatumTijdVan],"&lt;="&amp;($A203+14/24),tData[SEHTrajectPeriodeDatumTijdTotEnMet],"&gt;"&amp;($A203+14/24),tData[Langligger01],1)</f>
        <v/>
      </c>
      <c r="S203" s="20">
        <f>COUNTIFS(tData[SEHTrajectPeriodeDatumTijdVan],"&lt;="&amp;($A203+15/24),tData[SEHTrajectPeriodeDatumTijdTotEnMet],"&gt;"&amp;($A203+15/24),tData[Langligger01],1)</f>
        <v/>
      </c>
      <c r="T203" s="20">
        <f>COUNTIFS(tData[SEHTrajectPeriodeDatumTijdVan],"&lt;="&amp;($A203+16/24),tData[SEHTrajectPeriodeDatumTijdTotEnMet],"&gt;"&amp;($A203+16/24),tData[Langligger01],1)</f>
        <v/>
      </c>
      <c r="U203" s="20">
        <f>COUNTIFS(tData[SEHTrajectPeriodeDatumTijdVan],"&lt;="&amp;($A203+17/24),tData[SEHTrajectPeriodeDatumTijdTotEnMet],"&gt;"&amp;($A203+17/24),tData[Langligger01],1)</f>
        <v/>
      </c>
      <c r="V203" s="20">
        <f>COUNTIFS(tData[SEHTrajectPeriodeDatumTijdVan],"&lt;="&amp;($A203+18/24),tData[SEHTrajectPeriodeDatumTijdTotEnMet],"&gt;"&amp;($A203+18/24),tData[Langligger01],1)</f>
        <v/>
      </c>
      <c r="W203" s="20">
        <f>COUNTIFS(tData[SEHTrajectPeriodeDatumTijdVan],"&lt;="&amp;($A203+19/24),tData[SEHTrajectPeriodeDatumTijdTotEnMet],"&gt;"&amp;($A203+19/24),tData[Langligger01],1)</f>
        <v/>
      </c>
      <c r="X203" s="20">
        <f>COUNTIFS(tData[SEHTrajectPeriodeDatumTijdVan],"&lt;="&amp;($A203+20/24),tData[SEHTrajectPeriodeDatumTijdTotEnMet],"&gt;"&amp;($A203+20/24),tData[Langligger01],1)</f>
        <v/>
      </c>
      <c r="Y203" s="20">
        <f>COUNTIFS(tData[SEHTrajectPeriodeDatumTijdVan],"&lt;="&amp;($A203+21/24),tData[SEHTrajectPeriodeDatumTijdTotEnMet],"&gt;"&amp;($A203+21/24),tData[Langligger01],1)</f>
        <v/>
      </c>
      <c r="Z203" s="20">
        <f>COUNTIFS(tData[SEHTrajectPeriodeDatumTijdVan],"&lt;="&amp;($A203+22/24),tData[SEHTrajectPeriodeDatumTijdTotEnMet],"&gt;"&amp;($A203+22/24),tData[Langligger01],1)</f>
        <v/>
      </c>
      <c r="AA203" s="20">
        <f>COUNTIFS(tData[SEHTrajectPeriodeDatumTijdVan],"&lt;="&amp;($A203+23/24),tData[SEHTrajectPeriodeDatumTijdTotEnMet],"&gt;"&amp;($A203+23/24),tData[Langligger01],1)</f>
        <v/>
      </c>
    </row>
    <row r="204">
      <c r="A204" s="19" t="n">
        <v>45492</v>
      </c>
      <c r="B204" s="15">
        <f>WEEKDAY($A204,2)</f>
        <v/>
      </c>
      <c r="C204" s="15">
        <f>IF(AND($A204&gt;=INT(Instellingen!$B$5),$A204&lt;=INT(Instellingen!$B$6)),1,0)</f>
        <v/>
      </c>
      <c r="D204" s="20">
        <f>COUNTIFS(tData[SEHTrajectPeriodeDatumTijdVan],"&lt;="&amp;($A204+0/24),tData[SEHTrajectPeriodeDatumTijdTotEnMet],"&gt;"&amp;($A204+0/24),tData[Langligger01],1)</f>
        <v/>
      </c>
      <c r="E204" s="20">
        <f>COUNTIFS(tData[SEHTrajectPeriodeDatumTijdVan],"&lt;="&amp;($A204+1/24),tData[SEHTrajectPeriodeDatumTijdTotEnMet],"&gt;"&amp;($A204+1/24),tData[Langligger01],1)</f>
        <v/>
      </c>
      <c r="F204" s="20">
        <f>COUNTIFS(tData[SEHTrajectPeriodeDatumTijdVan],"&lt;="&amp;($A204+2/24),tData[SEHTrajectPeriodeDatumTijdTotEnMet],"&gt;"&amp;($A204+2/24),tData[Langligger01],1)</f>
        <v/>
      </c>
      <c r="G204" s="20">
        <f>COUNTIFS(tData[SEHTrajectPeriodeDatumTijdVan],"&lt;="&amp;($A204+3/24),tData[SEHTrajectPeriodeDatumTijdTotEnMet],"&gt;"&amp;($A204+3/24),tData[Langligger01],1)</f>
        <v/>
      </c>
      <c r="H204" s="20">
        <f>COUNTIFS(tData[SEHTrajectPeriodeDatumTijdVan],"&lt;="&amp;($A204+4/24),tData[SEHTrajectPeriodeDatumTijdTotEnMet],"&gt;"&amp;($A204+4/24),tData[Langligger01],1)</f>
        <v/>
      </c>
      <c r="I204" s="20">
        <f>COUNTIFS(tData[SEHTrajectPeriodeDatumTijdVan],"&lt;="&amp;($A204+5/24),tData[SEHTrajectPeriodeDatumTijdTotEnMet],"&gt;"&amp;($A204+5/24),tData[Langligger01],1)</f>
        <v/>
      </c>
      <c r="J204" s="20">
        <f>COUNTIFS(tData[SEHTrajectPeriodeDatumTijdVan],"&lt;="&amp;($A204+6/24),tData[SEHTrajectPeriodeDatumTijdTotEnMet],"&gt;"&amp;($A204+6/24),tData[Langligger01],1)</f>
        <v/>
      </c>
      <c r="K204" s="20">
        <f>COUNTIFS(tData[SEHTrajectPeriodeDatumTijdVan],"&lt;="&amp;($A204+7/24),tData[SEHTrajectPeriodeDatumTijdTotEnMet],"&gt;"&amp;($A204+7/24),tData[Langligger01],1)</f>
        <v/>
      </c>
      <c r="L204" s="20">
        <f>COUNTIFS(tData[SEHTrajectPeriodeDatumTijdVan],"&lt;="&amp;($A204+8/24),tData[SEHTrajectPeriodeDatumTijdTotEnMet],"&gt;"&amp;($A204+8/24),tData[Langligger01],1)</f>
        <v/>
      </c>
      <c r="M204" s="20">
        <f>COUNTIFS(tData[SEHTrajectPeriodeDatumTijdVan],"&lt;="&amp;($A204+9/24),tData[SEHTrajectPeriodeDatumTijdTotEnMet],"&gt;"&amp;($A204+9/24),tData[Langligger01],1)</f>
        <v/>
      </c>
      <c r="N204" s="20">
        <f>COUNTIFS(tData[SEHTrajectPeriodeDatumTijdVan],"&lt;="&amp;($A204+10/24),tData[SEHTrajectPeriodeDatumTijdTotEnMet],"&gt;"&amp;($A204+10/24),tData[Langligger01],1)</f>
        <v/>
      </c>
      <c r="O204" s="20">
        <f>COUNTIFS(tData[SEHTrajectPeriodeDatumTijdVan],"&lt;="&amp;($A204+11/24),tData[SEHTrajectPeriodeDatumTijdTotEnMet],"&gt;"&amp;($A204+11/24),tData[Langligger01],1)</f>
        <v/>
      </c>
      <c r="P204" s="20">
        <f>COUNTIFS(tData[SEHTrajectPeriodeDatumTijdVan],"&lt;="&amp;($A204+12/24),tData[SEHTrajectPeriodeDatumTijdTotEnMet],"&gt;"&amp;($A204+12/24),tData[Langligger01],1)</f>
        <v/>
      </c>
      <c r="Q204" s="20">
        <f>COUNTIFS(tData[SEHTrajectPeriodeDatumTijdVan],"&lt;="&amp;($A204+13/24),tData[SEHTrajectPeriodeDatumTijdTotEnMet],"&gt;"&amp;($A204+13/24),tData[Langligger01],1)</f>
        <v/>
      </c>
      <c r="R204" s="20">
        <f>COUNTIFS(tData[SEHTrajectPeriodeDatumTijdVan],"&lt;="&amp;($A204+14/24),tData[SEHTrajectPeriodeDatumTijdTotEnMet],"&gt;"&amp;($A204+14/24),tData[Langligger01],1)</f>
        <v/>
      </c>
      <c r="S204" s="20">
        <f>COUNTIFS(tData[SEHTrajectPeriodeDatumTijdVan],"&lt;="&amp;($A204+15/24),tData[SEHTrajectPeriodeDatumTijdTotEnMet],"&gt;"&amp;($A204+15/24),tData[Langligger01],1)</f>
        <v/>
      </c>
      <c r="T204" s="20">
        <f>COUNTIFS(tData[SEHTrajectPeriodeDatumTijdVan],"&lt;="&amp;($A204+16/24),tData[SEHTrajectPeriodeDatumTijdTotEnMet],"&gt;"&amp;($A204+16/24),tData[Langligger01],1)</f>
        <v/>
      </c>
      <c r="U204" s="20">
        <f>COUNTIFS(tData[SEHTrajectPeriodeDatumTijdVan],"&lt;="&amp;($A204+17/24),tData[SEHTrajectPeriodeDatumTijdTotEnMet],"&gt;"&amp;($A204+17/24),tData[Langligger01],1)</f>
        <v/>
      </c>
      <c r="V204" s="20">
        <f>COUNTIFS(tData[SEHTrajectPeriodeDatumTijdVan],"&lt;="&amp;($A204+18/24),tData[SEHTrajectPeriodeDatumTijdTotEnMet],"&gt;"&amp;($A204+18/24),tData[Langligger01],1)</f>
        <v/>
      </c>
      <c r="W204" s="20">
        <f>COUNTIFS(tData[SEHTrajectPeriodeDatumTijdVan],"&lt;="&amp;($A204+19/24),tData[SEHTrajectPeriodeDatumTijdTotEnMet],"&gt;"&amp;($A204+19/24),tData[Langligger01],1)</f>
        <v/>
      </c>
      <c r="X204" s="20">
        <f>COUNTIFS(tData[SEHTrajectPeriodeDatumTijdVan],"&lt;="&amp;($A204+20/24),tData[SEHTrajectPeriodeDatumTijdTotEnMet],"&gt;"&amp;($A204+20/24),tData[Langligger01],1)</f>
        <v/>
      </c>
      <c r="Y204" s="20">
        <f>COUNTIFS(tData[SEHTrajectPeriodeDatumTijdVan],"&lt;="&amp;($A204+21/24),tData[SEHTrajectPeriodeDatumTijdTotEnMet],"&gt;"&amp;($A204+21/24),tData[Langligger01],1)</f>
        <v/>
      </c>
      <c r="Z204" s="20">
        <f>COUNTIFS(tData[SEHTrajectPeriodeDatumTijdVan],"&lt;="&amp;($A204+22/24),tData[SEHTrajectPeriodeDatumTijdTotEnMet],"&gt;"&amp;($A204+22/24),tData[Langligger01],1)</f>
        <v/>
      </c>
      <c r="AA204" s="20">
        <f>COUNTIFS(tData[SEHTrajectPeriodeDatumTijdVan],"&lt;="&amp;($A204+23/24),tData[SEHTrajectPeriodeDatumTijdTotEnMet],"&gt;"&amp;($A204+23/24),tData[Langligger01],1)</f>
        <v/>
      </c>
    </row>
    <row r="205">
      <c r="A205" s="19" t="n">
        <v>45493</v>
      </c>
      <c r="B205" s="15">
        <f>WEEKDAY($A205,2)</f>
        <v/>
      </c>
      <c r="C205" s="15">
        <f>IF(AND($A205&gt;=INT(Instellingen!$B$5),$A205&lt;=INT(Instellingen!$B$6)),1,0)</f>
        <v/>
      </c>
      <c r="D205" s="20">
        <f>COUNTIFS(tData[SEHTrajectPeriodeDatumTijdVan],"&lt;="&amp;($A205+0/24),tData[SEHTrajectPeriodeDatumTijdTotEnMet],"&gt;"&amp;($A205+0/24),tData[Langligger01],1)</f>
        <v/>
      </c>
      <c r="E205" s="20">
        <f>COUNTIFS(tData[SEHTrajectPeriodeDatumTijdVan],"&lt;="&amp;($A205+1/24),tData[SEHTrajectPeriodeDatumTijdTotEnMet],"&gt;"&amp;($A205+1/24),tData[Langligger01],1)</f>
        <v/>
      </c>
      <c r="F205" s="20">
        <f>COUNTIFS(tData[SEHTrajectPeriodeDatumTijdVan],"&lt;="&amp;($A205+2/24),tData[SEHTrajectPeriodeDatumTijdTotEnMet],"&gt;"&amp;($A205+2/24),tData[Langligger01],1)</f>
        <v/>
      </c>
      <c r="G205" s="20">
        <f>COUNTIFS(tData[SEHTrajectPeriodeDatumTijdVan],"&lt;="&amp;($A205+3/24),tData[SEHTrajectPeriodeDatumTijdTotEnMet],"&gt;"&amp;($A205+3/24),tData[Langligger01],1)</f>
        <v/>
      </c>
      <c r="H205" s="20">
        <f>COUNTIFS(tData[SEHTrajectPeriodeDatumTijdVan],"&lt;="&amp;($A205+4/24),tData[SEHTrajectPeriodeDatumTijdTotEnMet],"&gt;"&amp;($A205+4/24),tData[Langligger01],1)</f>
        <v/>
      </c>
      <c r="I205" s="20">
        <f>COUNTIFS(tData[SEHTrajectPeriodeDatumTijdVan],"&lt;="&amp;($A205+5/24),tData[SEHTrajectPeriodeDatumTijdTotEnMet],"&gt;"&amp;($A205+5/24),tData[Langligger01],1)</f>
        <v/>
      </c>
      <c r="J205" s="20">
        <f>COUNTIFS(tData[SEHTrajectPeriodeDatumTijdVan],"&lt;="&amp;($A205+6/24),tData[SEHTrajectPeriodeDatumTijdTotEnMet],"&gt;"&amp;($A205+6/24),tData[Langligger01],1)</f>
        <v/>
      </c>
      <c r="K205" s="20">
        <f>COUNTIFS(tData[SEHTrajectPeriodeDatumTijdVan],"&lt;="&amp;($A205+7/24),tData[SEHTrajectPeriodeDatumTijdTotEnMet],"&gt;"&amp;($A205+7/24),tData[Langligger01],1)</f>
        <v/>
      </c>
      <c r="L205" s="20">
        <f>COUNTIFS(tData[SEHTrajectPeriodeDatumTijdVan],"&lt;="&amp;($A205+8/24),tData[SEHTrajectPeriodeDatumTijdTotEnMet],"&gt;"&amp;($A205+8/24),tData[Langligger01],1)</f>
        <v/>
      </c>
      <c r="M205" s="20">
        <f>COUNTIFS(tData[SEHTrajectPeriodeDatumTijdVan],"&lt;="&amp;($A205+9/24),tData[SEHTrajectPeriodeDatumTijdTotEnMet],"&gt;"&amp;($A205+9/24),tData[Langligger01],1)</f>
        <v/>
      </c>
      <c r="N205" s="20">
        <f>COUNTIFS(tData[SEHTrajectPeriodeDatumTijdVan],"&lt;="&amp;($A205+10/24),tData[SEHTrajectPeriodeDatumTijdTotEnMet],"&gt;"&amp;($A205+10/24),tData[Langligger01],1)</f>
        <v/>
      </c>
      <c r="O205" s="20">
        <f>COUNTIFS(tData[SEHTrajectPeriodeDatumTijdVan],"&lt;="&amp;($A205+11/24),tData[SEHTrajectPeriodeDatumTijdTotEnMet],"&gt;"&amp;($A205+11/24),tData[Langligger01],1)</f>
        <v/>
      </c>
      <c r="P205" s="20">
        <f>COUNTIFS(tData[SEHTrajectPeriodeDatumTijdVan],"&lt;="&amp;($A205+12/24),tData[SEHTrajectPeriodeDatumTijdTotEnMet],"&gt;"&amp;($A205+12/24),tData[Langligger01],1)</f>
        <v/>
      </c>
      <c r="Q205" s="20">
        <f>COUNTIFS(tData[SEHTrajectPeriodeDatumTijdVan],"&lt;="&amp;($A205+13/24),tData[SEHTrajectPeriodeDatumTijdTotEnMet],"&gt;"&amp;($A205+13/24),tData[Langligger01],1)</f>
        <v/>
      </c>
      <c r="R205" s="20">
        <f>COUNTIFS(tData[SEHTrajectPeriodeDatumTijdVan],"&lt;="&amp;($A205+14/24),tData[SEHTrajectPeriodeDatumTijdTotEnMet],"&gt;"&amp;($A205+14/24),tData[Langligger01],1)</f>
        <v/>
      </c>
      <c r="S205" s="20">
        <f>COUNTIFS(tData[SEHTrajectPeriodeDatumTijdVan],"&lt;="&amp;($A205+15/24),tData[SEHTrajectPeriodeDatumTijdTotEnMet],"&gt;"&amp;($A205+15/24),tData[Langligger01],1)</f>
        <v/>
      </c>
      <c r="T205" s="20">
        <f>COUNTIFS(tData[SEHTrajectPeriodeDatumTijdVan],"&lt;="&amp;($A205+16/24),tData[SEHTrajectPeriodeDatumTijdTotEnMet],"&gt;"&amp;($A205+16/24),tData[Langligger01],1)</f>
        <v/>
      </c>
      <c r="U205" s="20">
        <f>COUNTIFS(tData[SEHTrajectPeriodeDatumTijdVan],"&lt;="&amp;($A205+17/24),tData[SEHTrajectPeriodeDatumTijdTotEnMet],"&gt;"&amp;($A205+17/24),tData[Langligger01],1)</f>
        <v/>
      </c>
      <c r="V205" s="20">
        <f>COUNTIFS(tData[SEHTrajectPeriodeDatumTijdVan],"&lt;="&amp;($A205+18/24),tData[SEHTrajectPeriodeDatumTijdTotEnMet],"&gt;"&amp;($A205+18/24),tData[Langligger01],1)</f>
        <v/>
      </c>
      <c r="W205" s="20">
        <f>COUNTIFS(tData[SEHTrajectPeriodeDatumTijdVan],"&lt;="&amp;($A205+19/24),tData[SEHTrajectPeriodeDatumTijdTotEnMet],"&gt;"&amp;($A205+19/24),tData[Langligger01],1)</f>
        <v/>
      </c>
      <c r="X205" s="20">
        <f>COUNTIFS(tData[SEHTrajectPeriodeDatumTijdVan],"&lt;="&amp;($A205+20/24),tData[SEHTrajectPeriodeDatumTijdTotEnMet],"&gt;"&amp;($A205+20/24),tData[Langligger01],1)</f>
        <v/>
      </c>
      <c r="Y205" s="20">
        <f>COUNTIFS(tData[SEHTrajectPeriodeDatumTijdVan],"&lt;="&amp;($A205+21/24),tData[SEHTrajectPeriodeDatumTijdTotEnMet],"&gt;"&amp;($A205+21/24),tData[Langligger01],1)</f>
        <v/>
      </c>
      <c r="Z205" s="20">
        <f>COUNTIFS(tData[SEHTrajectPeriodeDatumTijdVan],"&lt;="&amp;($A205+22/24),tData[SEHTrajectPeriodeDatumTijdTotEnMet],"&gt;"&amp;($A205+22/24),tData[Langligger01],1)</f>
        <v/>
      </c>
      <c r="AA205" s="20">
        <f>COUNTIFS(tData[SEHTrajectPeriodeDatumTijdVan],"&lt;="&amp;($A205+23/24),tData[SEHTrajectPeriodeDatumTijdTotEnMet],"&gt;"&amp;($A205+23/24),tData[Langligger01],1)</f>
        <v/>
      </c>
    </row>
    <row r="206">
      <c r="A206" s="19" t="n">
        <v>45494</v>
      </c>
      <c r="B206" s="15">
        <f>WEEKDAY($A206,2)</f>
        <v/>
      </c>
      <c r="C206" s="15">
        <f>IF(AND($A206&gt;=INT(Instellingen!$B$5),$A206&lt;=INT(Instellingen!$B$6)),1,0)</f>
        <v/>
      </c>
      <c r="D206" s="20">
        <f>COUNTIFS(tData[SEHTrajectPeriodeDatumTijdVan],"&lt;="&amp;($A206+0/24),tData[SEHTrajectPeriodeDatumTijdTotEnMet],"&gt;"&amp;($A206+0/24),tData[Langligger01],1)</f>
        <v/>
      </c>
      <c r="E206" s="20">
        <f>COUNTIFS(tData[SEHTrajectPeriodeDatumTijdVan],"&lt;="&amp;($A206+1/24),tData[SEHTrajectPeriodeDatumTijdTotEnMet],"&gt;"&amp;($A206+1/24),tData[Langligger01],1)</f>
        <v/>
      </c>
      <c r="F206" s="20">
        <f>COUNTIFS(tData[SEHTrajectPeriodeDatumTijdVan],"&lt;="&amp;($A206+2/24),tData[SEHTrajectPeriodeDatumTijdTotEnMet],"&gt;"&amp;($A206+2/24),tData[Langligger01],1)</f>
        <v/>
      </c>
      <c r="G206" s="20">
        <f>COUNTIFS(tData[SEHTrajectPeriodeDatumTijdVan],"&lt;="&amp;($A206+3/24),tData[SEHTrajectPeriodeDatumTijdTotEnMet],"&gt;"&amp;($A206+3/24),tData[Langligger01],1)</f>
        <v/>
      </c>
      <c r="H206" s="20">
        <f>COUNTIFS(tData[SEHTrajectPeriodeDatumTijdVan],"&lt;="&amp;($A206+4/24),tData[SEHTrajectPeriodeDatumTijdTotEnMet],"&gt;"&amp;($A206+4/24),tData[Langligger01],1)</f>
        <v/>
      </c>
      <c r="I206" s="20">
        <f>COUNTIFS(tData[SEHTrajectPeriodeDatumTijdVan],"&lt;="&amp;($A206+5/24),tData[SEHTrajectPeriodeDatumTijdTotEnMet],"&gt;"&amp;($A206+5/24),tData[Langligger01],1)</f>
        <v/>
      </c>
      <c r="J206" s="20">
        <f>COUNTIFS(tData[SEHTrajectPeriodeDatumTijdVan],"&lt;="&amp;($A206+6/24),tData[SEHTrajectPeriodeDatumTijdTotEnMet],"&gt;"&amp;($A206+6/24),tData[Langligger01],1)</f>
        <v/>
      </c>
      <c r="K206" s="20">
        <f>COUNTIFS(tData[SEHTrajectPeriodeDatumTijdVan],"&lt;="&amp;($A206+7/24),tData[SEHTrajectPeriodeDatumTijdTotEnMet],"&gt;"&amp;($A206+7/24),tData[Langligger01],1)</f>
        <v/>
      </c>
      <c r="L206" s="20">
        <f>COUNTIFS(tData[SEHTrajectPeriodeDatumTijdVan],"&lt;="&amp;($A206+8/24),tData[SEHTrajectPeriodeDatumTijdTotEnMet],"&gt;"&amp;($A206+8/24),tData[Langligger01],1)</f>
        <v/>
      </c>
      <c r="M206" s="20">
        <f>COUNTIFS(tData[SEHTrajectPeriodeDatumTijdVan],"&lt;="&amp;($A206+9/24),tData[SEHTrajectPeriodeDatumTijdTotEnMet],"&gt;"&amp;($A206+9/24),tData[Langligger01],1)</f>
        <v/>
      </c>
      <c r="N206" s="20">
        <f>COUNTIFS(tData[SEHTrajectPeriodeDatumTijdVan],"&lt;="&amp;($A206+10/24),tData[SEHTrajectPeriodeDatumTijdTotEnMet],"&gt;"&amp;($A206+10/24),tData[Langligger01],1)</f>
        <v/>
      </c>
      <c r="O206" s="20">
        <f>COUNTIFS(tData[SEHTrajectPeriodeDatumTijdVan],"&lt;="&amp;($A206+11/24),tData[SEHTrajectPeriodeDatumTijdTotEnMet],"&gt;"&amp;($A206+11/24),tData[Langligger01],1)</f>
        <v/>
      </c>
      <c r="P206" s="20">
        <f>COUNTIFS(tData[SEHTrajectPeriodeDatumTijdVan],"&lt;="&amp;($A206+12/24),tData[SEHTrajectPeriodeDatumTijdTotEnMet],"&gt;"&amp;($A206+12/24),tData[Langligger01],1)</f>
        <v/>
      </c>
      <c r="Q206" s="20">
        <f>COUNTIFS(tData[SEHTrajectPeriodeDatumTijdVan],"&lt;="&amp;($A206+13/24),tData[SEHTrajectPeriodeDatumTijdTotEnMet],"&gt;"&amp;($A206+13/24),tData[Langligger01],1)</f>
        <v/>
      </c>
      <c r="R206" s="20">
        <f>COUNTIFS(tData[SEHTrajectPeriodeDatumTijdVan],"&lt;="&amp;($A206+14/24),tData[SEHTrajectPeriodeDatumTijdTotEnMet],"&gt;"&amp;($A206+14/24),tData[Langligger01],1)</f>
        <v/>
      </c>
      <c r="S206" s="20">
        <f>COUNTIFS(tData[SEHTrajectPeriodeDatumTijdVan],"&lt;="&amp;($A206+15/24),tData[SEHTrajectPeriodeDatumTijdTotEnMet],"&gt;"&amp;($A206+15/24),tData[Langligger01],1)</f>
        <v/>
      </c>
      <c r="T206" s="20">
        <f>COUNTIFS(tData[SEHTrajectPeriodeDatumTijdVan],"&lt;="&amp;($A206+16/24),tData[SEHTrajectPeriodeDatumTijdTotEnMet],"&gt;"&amp;($A206+16/24),tData[Langligger01],1)</f>
        <v/>
      </c>
      <c r="U206" s="20">
        <f>COUNTIFS(tData[SEHTrajectPeriodeDatumTijdVan],"&lt;="&amp;($A206+17/24),tData[SEHTrajectPeriodeDatumTijdTotEnMet],"&gt;"&amp;($A206+17/24),tData[Langligger01],1)</f>
        <v/>
      </c>
      <c r="V206" s="20">
        <f>COUNTIFS(tData[SEHTrajectPeriodeDatumTijdVan],"&lt;="&amp;($A206+18/24),tData[SEHTrajectPeriodeDatumTijdTotEnMet],"&gt;"&amp;($A206+18/24),tData[Langligger01],1)</f>
        <v/>
      </c>
      <c r="W206" s="20">
        <f>COUNTIFS(tData[SEHTrajectPeriodeDatumTijdVan],"&lt;="&amp;($A206+19/24),tData[SEHTrajectPeriodeDatumTijdTotEnMet],"&gt;"&amp;($A206+19/24),tData[Langligger01],1)</f>
        <v/>
      </c>
      <c r="X206" s="20">
        <f>COUNTIFS(tData[SEHTrajectPeriodeDatumTijdVan],"&lt;="&amp;($A206+20/24),tData[SEHTrajectPeriodeDatumTijdTotEnMet],"&gt;"&amp;($A206+20/24),tData[Langligger01],1)</f>
        <v/>
      </c>
      <c r="Y206" s="20">
        <f>COUNTIFS(tData[SEHTrajectPeriodeDatumTijdVan],"&lt;="&amp;($A206+21/24),tData[SEHTrajectPeriodeDatumTijdTotEnMet],"&gt;"&amp;($A206+21/24),tData[Langligger01],1)</f>
        <v/>
      </c>
      <c r="Z206" s="20">
        <f>COUNTIFS(tData[SEHTrajectPeriodeDatumTijdVan],"&lt;="&amp;($A206+22/24),tData[SEHTrajectPeriodeDatumTijdTotEnMet],"&gt;"&amp;($A206+22/24),tData[Langligger01],1)</f>
        <v/>
      </c>
      <c r="AA206" s="20">
        <f>COUNTIFS(tData[SEHTrajectPeriodeDatumTijdVan],"&lt;="&amp;($A206+23/24),tData[SEHTrajectPeriodeDatumTijdTotEnMet],"&gt;"&amp;($A206+23/24),tData[Langligger01],1)</f>
        <v/>
      </c>
    </row>
    <row r="207">
      <c r="A207" s="19" t="n">
        <v>45495</v>
      </c>
      <c r="B207" s="15">
        <f>WEEKDAY($A207,2)</f>
        <v/>
      </c>
      <c r="C207" s="15">
        <f>IF(AND($A207&gt;=INT(Instellingen!$B$5),$A207&lt;=INT(Instellingen!$B$6)),1,0)</f>
        <v/>
      </c>
      <c r="D207" s="20">
        <f>COUNTIFS(tData[SEHTrajectPeriodeDatumTijdVan],"&lt;="&amp;($A207+0/24),tData[SEHTrajectPeriodeDatumTijdTotEnMet],"&gt;"&amp;($A207+0/24),tData[Langligger01],1)</f>
        <v/>
      </c>
      <c r="E207" s="20">
        <f>COUNTIFS(tData[SEHTrajectPeriodeDatumTijdVan],"&lt;="&amp;($A207+1/24),tData[SEHTrajectPeriodeDatumTijdTotEnMet],"&gt;"&amp;($A207+1/24),tData[Langligger01],1)</f>
        <v/>
      </c>
      <c r="F207" s="20">
        <f>COUNTIFS(tData[SEHTrajectPeriodeDatumTijdVan],"&lt;="&amp;($A207+2/24),tData[SEHTrajectPeriodeDatumTijdTotEnMet],"&gt;"&amp;($A207+2/24),tData[Langligger01],1)</f>
        <v/>
      </c>
      <c r="G207" s="20">
        <f>COUNTIFS(tData[SEHTrajectPeriodeDatumTijdVan],"&lt;="&amp;($A207+3/24),tData[SEHTrajectPeriodeDatumTijdTotEnMet],"&gt;"&amp;($A207+3/24),tData[Langligger01],1)</f>
        <v/>
      </c>
      <c r="H207" s="20">
        <f>COUNTIFS(tData[SEHTrajectPeriodeDatumTijdVan],"&lt;="&amp;($A207+4/24),tData[SEHTrajectPeriodeDatumTijdTotEnMet],"&gt;"&amp;($A207+4/24),tData[Langligger01],1)</f>
        <v/>
      </c>
      <c r="I207" s="20">
        <f>COUNTIFS(tData[SEHTrajectPeriodeDatumTijdVan],"&lt;="&amp;($A207+5/24),tData[SEHTrajectPeriodeDatumTijdTotEnMet],"&gt;"&amp;($A207+5/24),tData[Langligger01],1)</f>
        <v/>
      </c>
      <c r="J207" s="20">
        <f>COUNTIFS(tData[SEHTrajectPeriodeDatumTijdVan],"&lt;="&amp;($A207+6/24),tData[SEHTrajectPeriodeDatumTijdTotEnMet],"&gt;"&amp;($A207+6/24),tData[Langligger01],1)</f>
        <v/>
      </c>
      <c r="K207" s="20">
        <f>COUNTIFS(tData[SEHTrajectPeriodeDatumTijdVan],"&lt;="&amp;($A207+7/24),tData[SEHTrajectPeriodeDatumTijdTotEnMet],"&gt;"&amp;($A207+7/24),tData[Langligger01],1)</f>
        <v/>
      </c>
      <c r="L207" s="20">
        <f>COUNTIFS(tData[SEHTrajectPeriodeDatumTijdVan],"&lt;="&amp;($A207+8/24),tData[SEHTrajectPeriodeDatumTijdTotEnMet],"&gt;"&amp;($A207+8/24),tData[Langligger01],1)</f>
        <v/>
      </c>
      <c r="M207" s="20">
        <f>COUNTIFS(tData[SEHTrajectPeriodeDatumTijdVan],"&lt;="&amp;($A207+9/24),tData[SEHTrajectPeriodeDatumTijdTotEnMet],"&gt;"&amp;($A207+9/24),tData[Langligger01],1)</f>
        <v/>
      </c>
      <c r="N207" s="20">
        <f>COUNTIFS(tData[SEHTrajectPeriodeDatumTijdVan],"&lt;="&amp;($A207+10/24),tData[SEHTrajectPeriodeDatumTijdTotEnMet],"&gt;"&amp;($A207+10/24),tData[Langligger01],1)</f>
        <v/>
      </c>
      <c r="O207" s="20">
        <f>COUNTIFS(tData[SEHTrajectPeriodeDatumTijdVan],"&lt;="&amp;($A207+11/24),tData[SEHTrajectPeriodeDatumTijdTotEnMet],"&gt;"&amp;($A207+11/24),tData[Langligger01],1)</f>
        <v/>
      </c>
      <c r="P207" s="20">
        <f>COUNTIFS(tData[SEHTrajectPeriodeDatumTijdVan],"&lt;="&amp;($A207+12/24),tData[SEHTrajectPeriodeDatumTijdTotEnMet],"&gt;"&amp;($A207+12/24),tData[Langligger01],1)</f>
        <v/>
      </c>
      <c r="Q207" s="20">
        <f>COUNTIFS(tData[SEHTrajectPeriodeDatumTijdVan],"&lt;="&amp;($A207+13/24),tData[SEHTrajectPeriodeDatumTijdTotEnMet],"&gt;"&amp;($A207+13/24),tData[Langligger01],1)</f>
        <v/>
      </c>
      <c r="R207" s="20">
        <f>COUNTIFS(tData[SEHTrajectPeriodeDatumTijdVan],"&lt;="&amp;($A207+14/24),tData[SEHTrajectPeriodeDatumTijdTotEnMet],"&gt;"&amp;($A207+14/24),tData[Langligger01],1)</f>
        <v/>
      </c>
      <c r="S207" s="20">
        <f>COUNTIFS(tData[SEHTrajectPeriodeDatumTijdVan],"&lt;="&amp;($A207+15/24),tData[SEHTrajectPeriodeDatumTijdTotEnMet],"&gt;"&amp;($A207+15/24),tData[Langligger01],1)</f>
        <v/>
      </c>
      <c r="T207" s="20">
        <f>COUNTIFS(tData[SEHTrajectPeriodeDatumTijdVan],"&lt;="&amp;($A207+16/24),tData[SEHTrajectPeriodeDatumTijdTotEnMet],"&gt;"&amp;($A207+16/24),tData[Langligger01],1)</f>
        <v/>
      </c>
      <c r="U207" s="20">
        <f>COUNTIFS(tData[SEHTrajectPeriodeDatumTijdVan],"&lt;="&amp;($A207+17/24),tData[SEHTrajectPeriodeDatumTijdTotEnMet],"&gt;"&amp;($A207+17/24),tData[Langligger01],1)</f>
        <v/>
      </c>
      <c r="V207" s="20">
        <f>COUNTIFS(tData[SEHTrajectPeriodeDatumTijdVan],"&lt;="&amp;($A207+18/24),tData[SEHTrajectPeriodeDatumTijdTotEnMet],"&gt;"&amp;($A207+18/24),tData[Langligger01],1)</f>
        <v/>
      </c>
      <c r="W207" s="20">
        <f>COUNTIFS(tData[SEHTrajectPeriodeDatumTijdVan],"&lt;="&amp;($A207+19/24),tData[SEHTrajectPeriodeDatumTijdTotEnMet],"&gt;"&amp;($A207+19/24),tData[Langligger01],1)</f>
        <v/>
      </c>
      <c r="X207" s="20">
        <f>COUNTIFS(tData[SEHTrajectPeriodeDatumTijdVan],"&lt;="&amp;($A207+20/24),tData[SEHTrajectPeriodeDatumTijdTotEnMet],"&gt;"&amp;($A207+20/24),tData[Langligger01],1)</f>
        <v/>
      </c>
      <c r="Y207" s="20">
        <f>COUNTIFS(tData[SEHTrajectPeriodeDatumTijdVan],"&lt;="&amp;($A207+21/24),tData[SEHTrajectPeriodeDatumTijdTotEnMet],"&gt;"&amp;($A207+21/24),tData[Langligger01],1)</f>
        <v/>
      </c>
      <c r="Z207" s="20">
        <f>COUNTIFS(tData[SEHTrajectPeriodeDatumTijdVan],"&lt;="&amp;($A207+22/24),tData[SEHTrajectPeriodeDatumTijdTotEnMet],"&gt;"&amp;($A207+22/24),tData[Langligger01],1)</f>
        <v/>
      </c>
      <c r="AA207" s="20">
        <f>COUNTIFS(tData[SEHTrajectPeriodeDatumTijdVan],"&lt;="&amp;($A207+23/24),tData[SEHTrajectPeriodeDatumTijdTotEnMet],"&gt;"&amp;($A207+23/24),tData[Langligger01],1)</f>
        <v/>
      </c>
    </row>
    <row r="208">
      <c r="A208" s="19" t="n">
        <v>45496</v>
      </c>
      <c r="B208" s="15">
        <f>WEEKDAY($A208,2)</f>
        <v/>
      </c>
      <c r="C208" s="15">
        <f>IF(AND($A208&gt;=INT(Instellingen!$B$5),$A208&lt;=INT(Instellingen!$B$6)),1,0)</f>
        <v/>
      </c>
      <c r="D208" s="20">
        <f>COUNTIFS(tData[SEHTrajectPeriodeDatumTijdVan],"&lt;="&amp;($A208+0/24),tData[SEHTrajectPeriodeDatumTijdTotEnMet],"&gt;"&amp;($A208+0/24),tData[Langligger01],1)</f>
        <v/>
      </c>
      <c r="E208" s="20">
        <f>COUNTIFS(tData[SEHTrajectPeriodeDatumTijdVan],"&lt;="&amp;($A208+1/24),tData[SEHTrajectPeriodeDatumTijdTotEnMet],"&gt;"&amp;($A208+1/24),tData[Langligger01],1)</f>
        <v/>
      </c>
      <c r="F208" s="20">
        <f>COUNTIFS(tData[SEHTrajectPeriodeDatumTijdVan],"&lt;="&amp;($A208+2/24),tData[SEHTrajectPeriodeDatumTijdTotEnMet],"&gt;"&amp;($A208+2/24),tData[Langligger01],1)</f>
        <v/>
      </c>
      <c r="G208" s="20">
        <f>COUNTIFS(tData[SEHTrajectPeriodeDatumTijdVan],"&lt;="&amp;($A208+3/24),tData[SEHTrajectPeriodeDatumTijdTotEnMet],"&gt;"&amp;($A208+3/24),tData[Langligger01],1)</f>
        <v/>
      </c>
      <c r="H208" s="20">
        <f>COUNTIFS(tData[SEHTrajectPeriodeDatumTijdVan],"&lt;="&amp;($A208+4/24),tData[SEHTrajectPeriodeDatumTijdTotEnMet],"&gt;"&amp;($A208+4/24),tData[Langligger01],1)</f>
        <v/>
      </c>
      <c r="I208" s="20">
        <f>COUNTIFS(tData[SEHTrajectPeriodeDatumTijdVan],"&lt;="&amp;($A208+5/24),tData[SEHTrajectPeriodeDatumTijdTotEnMet],"&gt;"&amp;($A208+5/24),tData[Langligger01],1)</f>
        <v/>
      </c>
      <c r="J208" s="20">
        <f>COUNTIFS(tData[SEHTrajectPeriodeDatumTijdVan],"&lt;="&amp;($A208+6/24),tData[SEHTrajectPeriodeDatumTijdTotEnMet],"&gt;"&amp;($A208+6/24),tData[Langligger01],1)</f>
        <v/>
      </c>
      <c r="K208" s="20">
        <f>COUNTIFS(tData[SEHTrajectPeriodeDatumTijdVan],"&lt;="&amp;($A208+7/24),tData[SEHTrajectPeriodeDatumTijdTotEnMet],"&gt;"&amp;($A208+7/24),tData[Langligger01],1)</f>
        <v/>
      </c>
      <c r="L208" s="20">
        <f>COUNTIFS(tData[SEHTrajectPeriodeDatumTijdVan],"&lt;="&amp;($A208+8/24),tData[SEHTrajectPeriodeDatumTijdTotEnMet],"&gt;"&amp;($A208+8/24),tData[Langligger01],1)</f>
        <v/>
      </c>
      <c r="M208" s="20">
        <f>COUNTIFS(tData[SEHTrajectPeriodeDatumTijdVan],"&lt;="&amp;($A208+9/24),tData[SEHTrajectPeriodeDatumTijdTotEnMet],"&gt;"&amp;($A208+9/24),tData[Langligger01],1)</f>
        <v/>
      </c>
      <c r="N208" s="20">
        <f>COUNTIFS(tData[SEHTrajectPeriodeDatumTijdVan],"&lt;="&amp;($A208+10/24),tData[SEHTrajectPeriodeDatumTijdTotEnMet],"&gt;"&amp;($A208+10/24),tData[Langligger01],1)</f>
        <v/>
      </c>
      <c r="O208" s="20">
        <f>COUNTIFS(tData[SEHTrajectPeriodeDatumTijdVan],"&lt;="&amp;($A208+11/24),tData[SEHTrajectPeriodeDatumTijdTotEnMet],"&gt;"&amp;($A208+11/24),tData[Langligger01],1)</f>
        <v/>
      </c>
      <c r="P208" s="20">
        <f>COUNTIFS(tData[SEHTrajectPeriodeDatumTijdVan],"&lt;="&amp;($A208+12/24),tData[SEHTrajectPeriodeDatumTijdTotEnMet],"&gt;"&amp;($A208+12/24),tData[Langligger01],1)</f>
        <v/>
      </c>
      <c r="Q208" s="20">
        <f>COUNTIFS(tData[SEHTrajectPeriodeDatumTijdVan],"&lt;="&amp;($A208+13/24),tData[SEHTrajectPeriodeDatumTijdTotEnMet],"&gt;"&amp;($A208+13/24),tData[Langligger01],1)</f>
        <v/>
      </c>
      <c r="R208" s="20">
        <f>COUNTIFS(tData[SEHTrajectPeriodeDatumTijdVan],"&lt;="&amp;($A208+14/24),tData[SEHTrajectPeriodeDatumTijdTotEnMet],"&gt;"&amp;($A208+14/24),tData[Langligger01],1)</f>
        <v/>
      </c>
      <c r="S208" s="20">
        <f>COUNTIFS(tData[SEHTrajectPeriodeDatumTijdVan],"&lt;="&amp;($A208+15/24),tData[SEHTrajectPeriodeDatumTijdTotEnMet],"&gt;"&amp;($A208+15/24),tData[Langligger01],1)</f>
        <v/>
      </c>
      <c r="T208" s="20">
        <f>COUNTIFS(tData[SEHTrajectPeriodeDatumTijdVan],"&lt;="&amp;($A208+16/24),tData[SEHTrajectPeriodeDatumTijdTotEnMet],"&gt;"&amp;($A208+16/24),tData[Langligger01],1)</f>
        <v/>
      </c>
      <c r="U208" s="20">
        <f>COUNTIFS(tData[SEHTrajectPeriodeDatumTijdVan],"&lt;="&amp;($A208+17/24),tData[SEHTrajectPeriodeDatumTijdTotEnMet],"&gt;"&amp;($A208+17/24),tData[Langligger01],1)</f>
        <v/>
      </c>
      <c r="V208" s="20">
        <f>COUNTIFS(tData[SEHTrajectPeriodeDatumTijdVan],"&lt;="&amp;($A208+18/24),tData[SEHTrajectPeriodeDatumTijdTotEnMet],"&gt;"&amp;($A208+18/24),tData[Langligger01],1)</f>
        <v/>
      </c>
      <c r="W208" s="20">
        <f>COUNTIFS(tData[SEHTrajectPeriodeDatumTijdVan],"&lt;="&amp;($A208+19/24),tData[SEHTrajectPeriodeDatumTijdTotEnMet],"&gt;"&amp;($A208+19/24),tData[Langligger01],1)</f>
        <v/>
      </c>
      <c r="X208" s="20">
        <f>COUNTIFS(tData[SEHTrajectPeriodeDatumTijdVan],"&lt;="&amp;($A208+20/24),tData[SEHTrajectPeriodeDatumTijdTotEnMet],"&gt;"&amp;($A208+20/24),tData[Langligger01],1)</f>
        <v/>
      </c>
      <c r="Y208" s="20">
        <f>COUNTIFS(tData[SEHTrajectPeriodeDatumTijdVan],"&lt;="&amp;($A208+21/24),tData[SEHTrajectPeriodeDatumTijdTotEnMet],"&gt;"&amp;($A208+21/24),tData[Langligger01],1)</f>
        <v/>
      </c>
      <c r="Z208" s="20">
        <f>COUNTIFS(tData[SEHTrajectPeriodeDatumTijdVan],"&lt;="&amp;($A208+22/24),tData[SEHTrajectPeriodeDatumTijdTotEnMet],"&gt;"&amp;($A208+22/24),tData[Langligger01],1)</f>
        <v/>
      </c>
      <c r="AA208" s="20">
        <f>COUNTIFS(tData[SEHTrajectPeriodeDatumTijdVan],"&lt;="&amp;($A208+23/24),tData[SEHTrajectPeriodeDatumTijdTotEnMet],"&gt;"&amp;($A208+23/24),tData[Langligger01],1)</f>
        <v/>
      </c>
    </row>
    <row r="209">
      <c r="A209" s="19" t="n">
        <v>45497</v>
      </c>
      <c r="B209" s="15">
        <f>WEEKDAY($A209,2)</f>
        <v/>
      </c>
      <c r="C209" s="15">
        <f>IF(AND($A209&gt;=INT(Instellingen!$B$5),$A209&lt;=INT(Instellingen!$B$6)),1,0)</f>
        <v/>
      </c>
      <c r="D209" s="20">
        <f>COUNTIFS(tData[SEHTrajectPeriodeDatumTijdVan],"&lt;="&amp;($A209+0/24),tData[SEHTrajectPeriodeDatumTijdTotEnMet],"&gt;"&amp;($A209+0/24),tData[Langligger01],1)</f>
        <v/>
      </c>
      <c r="E209" s="20">
        <f>COUNTIFS(tData[SEHTrajectPeriodeDatumTijdVan],"&lt;="&amp;($A209+1/24),tData[SEHTrajectPeriodeDatumTijdTotEnMet],"&gt;"&amp;($A209+1/24),tData[Langligger01],1)</f>
        <v/>
      </c>
      <c r="F209" s="20">
        <f>COUNTIFS(tData[SEHTrajectPeriodeDatumTijdVan],"&lt;="&amp;($A209+2/24),tData[SEHTrajectPeriodeDatumTijdTotEnMet],"&gt;"&amp;($A209+2/24),tData[Langligger01],1)</f>
        <v/>
      </c>
      <c r="G209" s="20">
        <f>COUNTIFS(tData[SEHTrajectPeriodeDatumTijdVan],"&lt;="&amp;($A209+3/24),tData[SEHTrajectPeriodeDatumTijdTotEnMet],"&gt;"&amp;($A209+3/24),tData[Langligger01],1)</f>
        <v/>
      </c>
      <c r="H209" s="20">
        <f>COUNTIFS(tData[SEHTrajectPeriodeDatumTijdVan],"&lt;="&amp;($A209+4/24),tData[SEHTrajectPeriodeDatumTijdTotEnMet],"&gt;"&amp;($A209+4/24),tData[Langligger01],1)</f>
        <v/>
      </c>
      <c r="I209" s="20">
        <f>COUNTIFS(tData[SEHTrajectPeriodeDatumTijdVan],"&lt;="&amp;($A209+5/24),tData[SEHTrajectPeriodeDatumTijdTotEnMet],"&gt;"&amp;($A209+5/24),tData[Langligger01],1)</f>
        <v/>
      </c>
      <c r="J209" s="20">
        <f>COUNTIFS(tData[SEHTrajectPeriodeDatumTijdVan],"&lt;="&amp;($A209+6/24),tData[SEHTrajectPeriodeDatumTijdTotEnMet],"&gt;"&amp;($A209+6/24),tData[Langligger01],1)</f>
        <v/>
      </c>
      <c r="K209" s="20">
        <f>COUNTIFS(tData[SEHTrajectPeriodeDatumTijdVan],"&lt;="&amp;($A209+7/24),tData[SEHTrajectPeriodeDatumTijdTotEnMet],"&gt;"&amp;($A209+7/24),tData[Langligger01],1)</f>
        <v/>
      </c>
      <c r="L209" s="20">
        <f>COUNTIFS(tData[SEHTrajectPeriodeDatumTijdVan],"&lt;="&amp;($A209+8/24),tData[SEHTrajectPeriodeDatumTijdTotEnMet],"&gt;"&amp;($A209+8/24),tData[Langligger01],1)</f>
        <v/>
      </c>
      <c r="M209" s="20">
        <f>COUNTIFS(tData[SEHTrajectPeriodeDatumTijdVan],"&lt;="&amp;($A209+9/24),tData[SEHTrajectPeriodeDatumTijdTotEnMet],"&gt;"&amp;($A209+9/24),tData[Langligger01],1)</f>
        <v/>
      </c>
      <c r="N209" s="20">
        <f>COUNTIFS(tData[SEHTrajectPeriodeDatumTijdVan],"&lt;="&amp;($A209+10/24),tData[SEHTrajectPeriodeDatumTijdTotEnMet],"&gt;"&amp;($A209+10/24),tData[Langligger01],1)</f>
        <v/>
      </c>
      <c r="O209" s="20">
        <f>COUNTIFS(tData[SEHTrajectPeriodeDatumTijdVan],"&lt;="&amp;($A209+11/24),tData[SEHTrajectPeriodeDatumTijdTotEnMet],"&gt;"&amp;($A209+11/24),tData[Langligger01],1)</f>
        <v/>
      </c>
      <c r="P209" s="20">
        <f>COUNTIFS(tData[SEHTrajectPeriodeDatumTijdVan],"&lt;="&amp;($A209+12/24),tData[SEHTrajectPeriodeDatumTijdTotEnMet],"&gt;"&amp;($A209+12/24),tData[Langligger01],1)</f>
        <v/>
      </c>
      <c r="Q209" s="20">
        <f>COUNTIFS(tData[SEHTrajectPeriodeDatumTijdVan],"&lt;="&amp;($A209+13/24),tData[SEHTrajectPeriodeDatumTijdTotEnMet],"&gt;"&amp;($A209+13/24),tData[Langligger01],1)</f>
        <v/>
      </c>
      <c r="R209" s="20">
        <f>COUNTIFS(tData[SEHTrajectPeriodeDatumTijdVan],"&lt;="&amp;($A209+14/24),tData[SEHTrajectPeriodeDatumTijdTotEnMet],"&gt;"&amp;($A209+14/24),tData[Langligger01],1)</f>
        <v/>
      </c>
      <c r="S209" s="20">
        <f>COUNTIFS(tData[SEHTrajectPeriodeDatumTijdVan],"&lt;="&amp;($A209+15/24),tData[SEHTrajectPeriodeDatumTijdTotEnMet],"&gt;"&amp;($A209+15/24),tData[Langligger01],1)</f>
        <v/>
      </c>
      <c r="T209" s="20">
        <f>COUNTIFS(tData[SEHTrajectPeriodeDatumTijdVan],"&lt;="&amp;($A209+16/24),tData[SEHTrajectPeriodeDatumTijdTotEnMet],"&gt;"&amp;($A209+16/24),tData[Langligger01],1)</f>
        <v/>
      </c>
      <c r="U209" s="20">
        <f>COUNTIFS(tData[SEHTrajectPeriodeDatumTijdVan],"&lt;="&amp;($A209+17/24),tData[SEHTrajectPeriodeDatumTijdTotEnMet],"&gt;"&amp;($A209+17/24),tData[Langligger01],1)</f>
        <v/>
      </c>
      <c r="V209" s="20">
        <f>COUNTIFS(tData[SEHTrajectPeriodeDatumTijdVan],"&lt;="&amp;($A209+18/24),tData[SEHTrajectPeriodeDatumTijdTotEnMet],"&gt;"&amp;($A209+18/24),tData[Langligger01],1)</f>
        <v/>
      </c>
      <c r="W209" s="20">
        <f>COUNTIFS(tData[SEHTrajectPeriodeDatumTijdVan],"&lt;="&amp;($A209+19/24),tData[SEHTrajectPeriodeDatumTijdTotEnMet],"&gt;"&amp;($A209+19/24),tData[Langligger01],1)</f>
        <v/>
      </c>
      <c r="X209" s="20">
        <f>COUNTIFS(tData[SEHTrajectPeriodeDatumTijdVan],"&lt;="&amp;($A209+20/24),tData[SEHTrajectPeriodeDatumTijdTotEnMet],"&gt;"&amp;($A209+20/24),tData[Langligger01],1)</f>
        <v/>
      </c>
      <c r="Y209" s="20">
        <f>COUNTIFS(tData[SEHTrajectPeriodeDatumTijdVan],"&lt;="&amp;($A209+21/24),tData[SEHTrajectPeriodeDatumTijdTotEnMet],"&gt;"&amp;($A209+21/24),tData[Langligger01],1)</f>
        <v/>
      </c>
      <c r="Z209" s="20">
        <f>COUNTIFS(tData[SEHTrajectPeriodeDatumTijdVan],"&lt;="&amp;($A209+22/24),tData[SEHTrajectPeriodeDatumTijdTotEnMet],"&gt;"&amp;($A209+22/24),tData[Langligger01],1)</f>
        <v/>
      </c>
      <c r="AA209" s="20">
        <f>COUNTIFS(tData[SEHTrajectPeriodeDatumTijdVan],"&lt;="&amp;($A209+23/24),tData[SEHTrajectPeriodeDatumTijdTotEnMet],"&gt;"&amp;($A209+23/24),tData[Langligger01],1)</f>
        <v/>
      </c>
    </row>
    <row r="210">
      <c r="A210" s="19" t="n">
        <v>45498</v>
      </c>
      <c r="B210" s="15">
        <f>WEEKDAY($A210,2)</f>
        <v/>
      </c>
      <c r="C210" s="15">
        <f>IF(AND($A210&gt;=INT(Instellingen!$B$5),$A210&lt;=INT(Instellingen!$B$6)),1,0)</f>
        <v/>
      </c>
      <c r="D210" s="20">
        <f>COUNTIFS(tData[SEHTrajectPeriodeDatumTijdVan],"&lt;="&amp;($A210+0/24),tData[SEHTrajectPeriodeDatumTijdTotEnMet],"&gt;"&amp;($A210+0/24),tData[Langligger01],1)</f>
        <v/>
      </c>
      <c r="E210" s="20">
        <f>COUNTIFS(tData[SEHTrajectPeriodeDatumTijdVan],"&lt;="&amp;($A210+1/24),tData[SEHTrajectPeriodeDatumTijdTotEnMet],"&gt;"&amp;($A210+1/24),tData[Langligger01],1)</f>
        <v/>
      </c>
      <c r="F210" s="20">
        <f>COUNTIFS(tData[SEHTrajectPeriodeDatumTijdVan],"&lt;="&amp;($A210+2/24),tData[SEHTrajectPeriodeDatumTijdTotEnMet],"&gt;"&amp;($A210+2/24),tData[Langligger01],1)</f>
        <v/>
      </c>
      <c r="G210" s="20">
        <f>COUNTIFS(tData[SEHTrajectPeriodeDatumTijdVan],"&lt;="&amp;($A210+3/24),tData[SEHTrajectPeriodeDatumTijdTotEnMet],"&gt;"&amp;($A210+3/24),tData[Langligger01],1)</f>
        <v/>
      </c>
      <c r="H210" s="20">
        <f>COUNTIFS(tData[SEHTrajectPeriodeDatumTijdVan],"&lt;="&amp;($A210+4/24),tData[SEHTrajectPeriodeDatumTijdTotEnMet],"&gt;"&amp;($A210+4/24),tData[Langligger01],1)</f>
        <v/>
      </c>
      <c r="I210" s="20">
        <f>COUNTIFS(tData[SEHTrajectPeriodeDatumTijdVan],"&lt;="&amp;($A210+5/24),tData[SEHTrajectPeriodeDatumTijdTotEnMet],"&gt;"&amp;($A210+5/24),tData[Langligger01],1)</f>
        <v/>
      </c>
      <c r="J210" s="20">
        <f>COUNTIFS(tData[SEHTrajectPeriodeDatumTijdVan],"&lt;="&amp;($A210+6/24),tData[SEHTrajectPeriodeDatumTijdTotEnMet],"&gt;"&amp;($A210+6/24),tData[Langligger01],1)</f>
        <v/>
      </c>
      <c r="K210" s="20">
        <f>COUNTIFS(tData[SEHTrajectPeriodeDatumTijdVan],"&lt;="&amp;($A210+7/24),tData[SEHTrajectPeriodeDatumTijdTotEnMet],"&gt;"&amp;($A210+7/24),tData[Langligger01],1)</f>
        <v/>
      </c>
      <c r="L210" s="20">
        <f>COUNTIFS(tData[SEHTrajectPeriodeDatumTijdVan],"&lt;="&amp;($A210+8/24),tData[SEHTrajectPeriodeDatumTijdTotEnMet],"&gt;"&amp;($A210+8/24),tData[Langligger01],1)</f>
        <v/>
      </c>
      <c r="M210" s="20">
        <f>COUNTIFS(tData[SEHTrajectPeriodeDatumTijdVan],"&lt;="&amp;($A210+9/24),tData[SEHTrajectPeriodeDatumTijdTotEnMet],"&gt;"&amp;($A210+9/24),tData[Langligger01],1)</f>
        <v/>
      </c>
      <c r="N210" s="20">
        <f>COUNTIFS(tData[SEHTrajectPeriodeDatumTijdVan],"&lt;="&amp;($A210+10/24),tData[SEHTrajectPeriodeDatumTijdTotEnMet],"&gt;"&amp;($A210+10/24),tData[Langligger01],1)</f>
        <v/>
      </c>
      <c r="O210" s="20">
        <f>COUNTIFS(tData[SEHTrajectPeriodeDatumTijdVan],"&lt;="&amp;($A210+11/24),tData[SEHTrajectPeriodeDatumTijdTotEnMet],"&gt;"&amp;($A210+11/24),tData[Langligger01],1)</f>
        <v/>
      </c>
      <c r="P210" s="20">
        <f>COUNTIFS(tData[SEHTrajectPeriodeDatumTijdVan],"&lt;="&amp;($A210+12/24),tData[SEHTrajectPeriodeDatumTijdTotEnMet],"&gt;"&amp;($A210+12/24),tData[Langligger01],1)</f>
        <v/>
      </c>
      <c r="Q210" s="20">
        <f>COUNTIFS(tData[SEHTrajectPeriodeDatumTijdVan],"&lt;="&amp;($A210+13/24),tData[SEHTrajectPeriodeDatumTijdTotEnMet],"&gt;"&amp;($A210+13/24),tData[Langligger01],1)</f>
        <v/>
      </c>
      <c r="R210" s="20">
        <f>COUNTIFS(tData[SEHTrajectPeriodeDatumTijdVan],"&lt;="&amp;($A210+14/24),tData[SEHTrajectPeriodeDatumTijdTotEnMet],"&gt;"&amp;($A210+14/24),tData[Langligger01],1)</f>
        <v/>
      </c>
      <c r="S210" s="20">
        <f>COUNTIFS(tData[SEHTrajectPeriodeDatumTijdVan],"&lt;="&amp;($A210+15/24),tData[SEHTrajectPeriodeDatumTijdTotEnMet],"&gt;"&amp;($A210+15/24),tData[Langligger01],1)</f>
        <v/>
      </c>
      <c r="T210" s="20">
        <f>COUNTIFS(tData[SEHTrajectPeriodeDatumTijdVan],"&lt;="&amp;($A210+16/24),tData[SEHTrajectPeriodeDatumTijdTotEnMet],"&gt;"&amp;($A210+16/24),tData[Langligger01],1)</f>
        <v/>
      </c>
      <c r="U210" s="20">
        <f>COUNTIFS(tData[SEHTrajectPeriodeDatumTijdVan],"&lt;="&amp;($A210+17/24),tData[SEHTrajectPeriodeDatumTijdTotEnMet],"&gt;"&amp;($A210+17/24),tData[Langligger01],1)</f>
        <v/>
      </c>
      <c r="V210" s="20">
        <f>COUNTIFS(tData[SEHTrajectPeriodeDatumTijdVan],"&lt;="&amp;($A210+18/24),tData[SEHTrajectPeriodeDatumTijdTotEnMet],"&gt;"&amp;($A210+18/24),tData[Langligger01],1)</f>
        <v/>
      </c>
      <c r="W210" s="20">
        <f>COUNTIFS(tData[SEHTrajectPeriodeDatumTijdVan],"&lt;="&amp;($A210+19/24),tData[SEHTrajectPeriodeDatumTijdTotEnMet],"&gt;"&amp;($A210+19/24),tData[Langligger01],1)</f>
        <v/>
      </c>
      <c r="X210" s="20">
        <f>COUNTIFS(tData[SEHTrajectPeriodeDatumTijdVan],"&lt;="&amp;($A210+20/24),tData[SEHTrajectPeriodeDatumTijdTotEnMet],"&gt;"&amp;($A210+20/24),tData[Langligger01],1)</f>
        <v/>
      </c>
      <c r="Y210" s="20">
        <f>COUNTIFS(tData[SEHTrajectPeriodeDatumTijdVan],"&lt;="&amp;($A210+21/24),tData[SEHTrajectPeriodeDatumTijdTotEnMet],"&gt;"&amp;($A210+21/24),tData[Langligger01],1)</f>
        <v/>
      </c>
      <c r="Z210" s="20">
        <f>COUNTIFS(tData[SEHTrajectPeriodeDatumTijdVan],"&lt;="&amp;($A210+22/24),tData[SEHTrajectPeriodeDatumTijdTotEnMet],"&gt;"&amp;($A210+22/24),tData[Langligger01],1)</f>
        <v/>
      </c>
      <c r="AA210" s="20">
        <f>COUNTIFS(tData[SEHTrajectPeriodeDatumTijdVan],"&lt;="&amp;($A210+23/24),tData[SEHTrajectPeriodeDatumTijdTotEnMet],"&gt;"&amp;($A210+23/24),tData[Langligger01],1)</f>
        <v/>
      </c>
    </row>
    <row r="211">
      <c r="A211" s="19" t="n">
        <v>45499</v>
      </c>
      <c r="B211" s="15">
        <f>WEEKDAY($A211,2)</f>
        <v/>
      </c>
      <c r="C211" s="15">
        <f>IF(AND($A211&gt;=INT(Instellingen!$B$5),$A211&lt;=INT(Instellingen!$B$6)),1,0)</f>
        <v/>
      </c>
      <c r="D211" s="20">
        <f>COUNTIFS(tData[SEHTrajectPeriodeDatumTijdVan],"&lt;="&amp;($A211+0/24),tData[SEHTrajectPeriodeDatumTijdTotEnMet],"&gt;"&amp;($A211+0/24),tData[Langligger01],1)</f>
        <v/>
      </c>
      <c r="E211" s="20">
        <f>COUNTIFS(tData[SEHTrajectPeriodeDatumTijdVan],"&lt;="&amp;($A211+1/24),tData[SEHTrajectPeriodeDatumTijdTotEnMet],"&gt;"&amp;($A211+1/24),tData[Langligger01],1)</f>
        <v/>
      </c>
      <c r="F211" s="20">
        <f>COUNTIFS(tData[SEHTrajectPeriodeDatumTijdVan],"&lt;="&amp;($A211+2/24),tData[SEHTrajectPeriodeDatumTijdTotEnMet],"&gt;"&amp;($A211+2/24),tData[Langligger01],1)</f>
        <v/>
      </c>
      <c r="G211" s="20">
        <f>COUNTIFS(tData[SEHTrajectPeriodeDatumTijdVan],"&lt;="&amp;($A211+3/24),tData[SEHTrajectPeriodeDatumTijdTotEnMet],"&gt;"&amp;($A211+3/24),tData[Langligger01],1)</f>
        <v/>
      </c>
      <c r="H211" s="20">
        <f>COUNTIFS(tData[SEHTrajectPeriodeDatumTijdVan],"&lt;="&amp;($A211+4/24),tData[SEHTrajectPeriodeDatumTijdTotEnMet],"&gt;"&amp;($A211+4/24),tData[Langligger01],1)</f>
        <v/>
      </c>
      <c r="I211" s="20">
        <f>COUNTIFS(tData[SEHTrajectPeriodeDatumTijdVan],"&lt;="&amp;($A211+5/24),tData[SEHTrajectPeriodeDatumTijdTotEnMet],"&gt;"&amp;($A211+5/24),tData[Langligger01],1)</f>
        <v/>
      </c>
      <c r="J211" s="20">
        <f>COUNTIFS(tData[SEHTrajectPeriodeDatumTijdVan],"&lt;="&amp;($A211+6/24),tData[SEHTrajectPeriodeDatumTijdTotEnMet],"&gt;"&amp;($A211+6/24),tData[Langligger01],1)</f>
        <v/>
      </c>
      <c r="K211" s="20">
        <f>COUNTIFS(tData[SEHTrajectPeriodeDatumTijdVan],"&lt;="&amp;($A211+7/24),tData[SEHTrajectPeriodeDatumTijdTotEnMet],"&gt;"&amp;($A211+7/24),tData[Langligger01],1)</f>
        <v/>
      </c>
      <c r="L211" s="20">
        <f>COUNTIFS(tData[SEHTrajectPeriodeDatumTijdVan],"&lt;="&amp;($A211+8/24),tData[SEHTrajectPeriodeDatumTijdTotEnMet],"&gt;"&amp;($A211+8/24),tData[Langligger01],1)</f>
        <v/>
      </c>
      <c r="M211" s="20">
        <f>COUNTIFS(tData[SEHTrajectPeriodeDatumTijdVan],"&lt;="&amp;($A211+9/24),tData[SEHTrajectPeriodeDatumTijdTotEnMet],"&gt;"&amp;($A211+9/24),tData[Langligger01],1)</f>
        <v/>
      </c>
      <c r="N211" s="20">
        <f>COUNTIFS(tData[SEHTrajectPeriodeDatumTijdVan],"&lt;="&amp;($A211+10/24),tData[SEHTrajectPeriodeDatumTijdTotEnMet],"&gt;"&amp;($A211+10/24),tData[Langligger01],1)</f>
        <v/>
      </c>
      <c r="O211" s="20">
        <f>COUNTIFS(tData[SEHTrajectPeriodeDatumTijdVan],"&lt;="&amp;($A211+11/24),tData[SEHTrajectPeriodeDatumTijdTotEnMet],"&gt;"&amp;($A211+11/24),tData[Langligger01],1)</f>
        <v/>
      </c>
      <c r="P211" s="20">
        <f>COUNTIFS(tData[SEHTrajectPeriodeDatumTijdVan],"&lt;="&amp;($A211+12/24),tData[SEHTrajectPeriodeDatumTijdTotEnMet],"&gt;"&amp;($A211+12/24),tData[Langligger01],1)</f>
        <v/>
      </c>
      <c r="Q211" s="20">
        <f>COUNTIFS(tData[SEHTrajectPeriodeDatumTijdVan],"&lt;="&amp;($A211+13/24),tData[SEHTrajectPeriodeDatumTijdTotEnMet],"&gt;"&amp;($A211+13/24),tData[Langligger01],1)</f>
        <v/>
      </c>
      <c r="R211" s="20">
        <f>COUNTIFS(tData[SEHTrajectPeriodeDatumTijdVan],"&lt;="&amp;($A211+14/24),tData[SEHTrajectPeriodeDatumTijdTotEnMet],"&gt;"&amp;($A211+14/24),tData[Langligger01],1)</f>
        <v/>
      </c>
      <c r="S211" s="20">
        <f>COUNTIFS(tData[SEHTrajectPeriodeDatumTijdVan],"&lt;="&amp;($A211+15/24),tData[SEHTrajectPeriodeDatumTijdTotEnMet],"&gt;"&amp;($A211+15/24),tData[Langligger01],1)</f>
        <v/>
      </c>
      <c r="T211" s="20">
        <f>COUNTIFS(tData[SEHTrajectPeriodeDatumTijdVan],"&lt;="&amp;($A211+16/24),tData[SEHTrajectPeriodeDatumTijdTotEnMet],"&gt;"&amp;($A211+16/24),tData[Langligger01],1)</f>
        <v/>
      </c>
      <c r="U211" s="20">
        <f>COUNTIFS(tData[SEHTrajectPeriodeDatumTijdVan],"&lt;="&amp;($A211+17/24),tData[SEHTrajectPeriodeDatumTijdTotEnMet],"&gt;"&amp;($A211+17/24),tData[Langligger01],1)</f>
        <v/>
      </c>
      <c r="V211" s="20">
        <f>COUNTIFS(tData[SEHTrajectPeriodeDatumTijdVan],"&lt;="&amp;($A211+18/24),tData[SEHTrajectPeriodeDatumTijdTotEnMet],"&gt;"&amp;($A211+18/24),tData[Langligger01],1)</f>
        <v/>
      </c>
      <c r="W211" s="20">
        <f>COUNTIFS(tData[SEHTrajectPeriodeDatumTijdVan],"&lt;="&amp;($A211+19/24),tData[SEHTrajectPeriodeDatumTijdTotEnMet],"&gt;"&amp;($A211+19/24),tData[Langligger01],1)</f>
        <v/>
      </c>
      <c r="X211" s="20">
        <f>COUNTIFS(tData[SEHTrajectPeriodeDatumTijdVan],"&lt;="&amp;($A211+20/24),tData[SEHTrajectPeriodeDatumTijdTotEnMet],"&gt;"&amp;($A211+20/24),tData[Langligger01],1)</f>
        <v/>
      </c>
      <c r="Y211" s="20">
        <f>COUNTIFS(tData[SEHTrajectPeriodeDatumTijdVan],"&lt;="&amp;($A211+21/24),tData[SEHTrajectPeriodeDatumTijdTotEnMet],"&gt;"&amp;($A211+21/24),tData[Langligger01],1)</f>
        <v/>
      </c>
      <c r="Z211" s="20">
        <f>COUNTIFS(tData[SEHTrajectPeriodeDatumTijdVan],"&lt;="&amp;($A211+22/24),tData[SEHTrajectPeriodeDatumTijdTotEnMet],"&gt;"&amp;($A211+22/24),tData[Langligger01],1)</f>
        <v/>
      </c>
      <c r="AA211" s="20">
        <f>COUNTIFS(tData[SEHTrajectPeriodeDatumTijdVan],"&lt;="&amp;($A211+23/24),tData[SEHTrajectPeriodeDatumTijdTotEnMet],"&gt;"&amp;($A211+23/24),tData[Langligger01],1)</f>
        <v/>
      </c>
    </row>
    <row r="212">
      <c r="A212" s="19" t="n">
        <v>45500</v>
      </c>
      <c r="B212" s="15">
        <f>WEEKDAY($A212,2)</f>
        <v/>
      </c>
      <c r="C212" s="15">
        <f>IF(AND($A212&gt;=INT(Instellingen!$B$5),$A212&lt;=INT(Instellingen!$B$6)),1,0)</f>
        <v/>
      </c>
      <c r="D212" s="20">
        <f>COUNTIFS(tData[SEHTrajectPeriodeDatumTijdVan],"&lt;="&amp;($A212+0/24),tData[SEHTrajectPeriodeDatumTijdTotEnMet],"&gt;"&amp;($A212+0/24),tData[Langligger01],1)</f>
        <v/>
      </c>
      <c r="E212" s="20">
        <f>COUNTIFS(tData[SEHTrajectPeriodeDatumTijdVan],"&lt;="&amp;($A212+1/24),tData[SEHTrajectPeriodeDatumTijdTotEnMet],"&gt;"&amp;($A212+1/24),tData[Langligger01],1)</f>
        <v/>
      </c>
      <c r="F212" s="20">
        <f>COUNTIFS(tData[SEHTrajectPeriodeDatumTijdVan],"&lt;="&amp;($A212+2/24),tData[SEHTrajectPeriodeDatumTijdTotEnMet],"&gt;"&amp;($A212+2/24),tData[Langligger01],1)</f>
        <v/>
      </c>
      <c r="G212" s="20">
        <f>COUNTIFS(tData[SEHTrajectPeriodeDatumTijdVan],"&lt;="&amp;($A212+3/24),tData[SEHTrajectPeriodeDatumTijdTotEnMet],"&gt;"&amp;($A212+3/24),tData[Langligger01],1)</f>
        <v/>
      </c>
      <c r="H212" s="20">
        <f>COUNTIFS(tData[SEHTrajectPeriodeDatumTijdVan],"&lt;="&amp;($A212+4/24),tData[SEHTrajectPeriodeDatumTijdTotEnMet],"&gt;"&amp;($A212+4/24),tData[Langligger01],1)</f>
        <v/>
      </c>
      <c r="I212" s="20">
        <f>COUNTIFS(tData[SEHTrajectPeriodeDatumTijdVan],"&lt;="&amp;($A212+5/24),tData[SEHTrajectPeriodeDatumTijdTotEnMet],"&gt;"&amp;($A212+5/24),tData[Langligger01],1)</f>
        <v/>
      </c>
      <c r="J212" s="20">
        <f>COUNTIFS(tData[SEHTrajectPeriodeDatumTijdVan],"&lt;="&amp;($A212+6/24),tData[SEHTrajectPeriodeDatumTijdTotEnMet],"&gt;"&amp;($A212+6/24),tData[Langligger01],1)</f>
        <v/>
      </c>
      <c r="K212" s="20">
        <f>COUNTIFS(tData[SEHTrajectPeriodeDatumTijdVan],"&lt;="&amp;($A212+7/24),tData[SEHTrajectPeriodeDatumTijdTotEnMet],"&gt;"&amp;($A212+7/24),tData[Langligger01],1)</f>
        <v/>
      </c>
      <c r="L212" s="20">
        <f>COUNTIFS(tData[SEHTrajectPeriodeDatumTijdVan],"&lt;="&amp;($A212+8/24),tData[SEHTrajectPeriodeDatumTijdTotEnMet],"&gt;"&amp;($A212+8/24),tData[Langligger01],1)</f>
        <v/>
      </c>
      <c r="M212" s="20">
        <f>COUNTIFS(tData[SEHTrajectPeriodeDatumTijdVan],"&lt;="&amp;($A212+9/24),tData[SEHTrajectPeriodeDatumTijdTotEnMet],"&gt;"&amp;($A212+9/24),tData[Langligger01],1)</f>
        <v/>
      </c>
      <c r="N212" s="20">
        <f>COUNTIFS(tData[SEHTrajectPeriodeDatumTijdVan],"&lt;="&amp;($A212+10/24),tData[SEHTrajectPeriodeDatumTijdTotEnMet],"&gt;"&amp;($A212+10/24),tData[Langligger01],1)</f>
        <v/>
      </c>
      <c r="O212" s="20">
        <f>COUNTIFS(tData[SEHTrajectPeriodeDatumTijdVan],"&lt;="&amp;($A212+11/24),tData[SEHTrajectPeriodeDatumTijdTotEnMet],"&gt;"&amp;($A212+11/24),tData[Langligger01],1)</f>
        <v/>
      </c>
      <c r="P212" s="20">
        <f>COUNTIFS(tData[SEHTrajectPeriodeDatumTijdVan],"&lt;="&amp;($A212+12/24),tData[SEHTrajectPeriodeDatumTijdTotEnMet],"&gt;"&amp;($A212+12/24),tData[Langligger01],1)</f>
        <v/>
      </c>
      <c r="Q212" s="20">
        <f>COUNTIFS(tData[SEHTrajectPeriodeDatumTijdVan],"&lt;="&amp;($A212+13/24),tData[SEHTrajectPeriodeDatumTijdTotEnMet],"&gt;"&amp;($A212+13/24),tData[Langligger01],1)</f>
        <v/>
      </c>
      <c r="R212" s="20">
        <f>COUNTIFS(tData[SEHTrajectPeriodeDatumTijdVan],"&lt;="&amp;($A212+14/24),tData[SEHTrajectPeriodeDatumTijdTotEnMet],"&gt;"&amp;($A212+14/24),tData[Langligger01],1)</f>
        <v/>
      </c>
      <c r="S212" s="20">
        <f>COUNTIFS(tData[SEHTrajectPeriodeDatumTijdVan],"&lt;="&amp;($A212+15/24),tData[SEHTrajectPeriodeDatumTijdTotEnMet],"&gt;"&amp;($A212+15/24),tData[Langligger01],1)</f>
        <v/>
      </c>
      <c r="T212" s="20">
        <f>COUNTIFS(tData[SEHTrajectPeriodeDatumTijdVan],"&lt;="&amp;($A212+16/24),tData[SEHTrajectPeriodeDatumTijdTotEnMet],"&gt;"&amp;($A212+16/24),tData[Langligger01],1)</f>
        <v/>
      </c>
      <c r="U212" s="20">
        <f>COUNTIFS(tData[SEHTrajectPeriodeDatumTijdVan],"&lt;="&amp;($A212+17/24),tData[SEHTrajectPeriodeDatumTijdTotEnMet],"&gt;"&amp;($A212+17/24),tData[Langligger01],1)</f>
        <v/>
      </c>
      <c r="V212" s="20">
        <f>COUNTIFS(tData[SEHTrajectPeriodeDatumTijdVan],"&lt;="&amp;($A212+18/24),tData[SEHTrajectPeriodeDatumTijdTotEnMet],"&gt;"&amp;($A212+18/24),tData[Langligger01],1)</f>
        <v/>
      </c>
      <c r="W212" s="20">
        <f>COUNTIFS(tData[SEHTrajectPeriodeDatumTijdVan],"&lt;="&amp;($A212+19/24),tData[SEHTrajectPeriodeDatumTijdTotEnMet],"&gt;"&amp;($A212+19/24),tData[Langligger01],1)</f>
        <v/>
      </c>
      <c r="X212" s="20">
        <f>COUNTIFS(tData[SEHTrajectPeriodeDatumTijdVan],"&lt;="&amp;($A212+20/24),tData[SEHTrajectPeriodeDatumTijdTotEnMet],"&gt;"&amp;($A212+20/24),tData[Langligger01],1)</f>
        <v/>
      </c>
      <c r="Y212" s="20">
        <f>COUNTIFS(tData[SEHTrajectPeriodeDatumTijdVan],"&lt;="&amp;($A212+21/24),tData[SEHTrajectPeriodeDatumTijdTotEnMet],"&gt;"&amp;($A212+21/24),tData[Langligger01],1)</f>
        <v/>
      </c>
      <c r="Z212" s="20">
        <f>COUNTIFS(tData[SEHTrajectPeriodeDatumTijdVan],"&lt;="&amp;($A212+22/24),tData[SEHTrajectPeriodeDatumTijdTotEnMet],"&gt;"&amp;($A212+22/24),tData[Langligger01],1)</f>
        <v/>
      </c>
      <c r="AA212" s="20">
        <f>COUNTIFS(tData[SEHTrajectPeriodeDatumTijdVan],"&lt;="&amp;($A212+23/24),tData[SEHTrajectPeriodeDatumTijdTotEnMet],"&gt;"&amp;($A212+23/24),tData[Langligger01],1)</f>
        <v/>
      </c>
    </row>
    <row r="213">
      <c r="A213" s="19" t="n">
        <v>45501</v>
      </c>
      <c r="B213" s="15">
        <f>WEEKDAY($A213,2)</f>
        <v/>
      </c>
      <c r="C213" s="15">
        <f>IF(AND($A213&gt;=INT(Instellingen!$B$5),$A213&lt;=INT(Instellingen!$B$6)),1,0)</f>
        <v/>
      </c>
      <c r="D213" s="20">
        <f>COUNTIFS(tData[SEHTrajectPeriodeDatumTijdVan],"&lt;="&amp;($A213+0/24),tData[SEHTrajectPeriodeDatumTijdTotEnMet],"&gt;"&amp;($A213+0/24),tData[Langligger01],1)</f>
        <v/>
      </c>
      <c r="E213" s="20">
        <f>COUNTIFS(tData[SEHTrajectPeriodeDatumTijdVan],"&lt;="&amp;($A213+1/24),tData[SEHTrajectPeriodeDatumTijdTotEnMet],"&gt;"&amp;($A213+1/24),tData[Langligger01],1)</f>
        <v/>
      </c>
      <c r="F213" s="20">
        <f>COUNTIFS(tData[SEHTrajectPeriodeDatumTijdVan],"&lt;="&amp;($A213+2/24),tData[SEHTrajectPeriodeDatumTijdTotEnMet],"&gt;"&amp;($A213+2/24),tData[Langligger01],1)</f>
        <v/>
      </c>
      <c r="G213" s="20">
        <f>COUNTIFS(tData[SEHTrajectPeriodeDatumTijdVan],"&lt;="&amp;($A213+3/24),tData[SEHTrajectPeriodeDatumTijdTotEnMet],"&gt;"&amp;($A213+3/24),tData[Langligger01],1)</f>
        <v/>
      </c>
      <c r="H213" s="20">
        <f>COUNTIFS(tData[SEHTrajectPeriodeDatumTijdVan],"&lt;="&amp;($A213+4/24),tData[SEHTrajectPeriodeDatumTijdTotEnMet],"&gt;"&amp;($A213+4/24),tData[Langligger01],1)</f>
        <v/>
      </c>
      <c r="I213" s="20">
        <f>COUNTIFS(tData[SEHTrajectPeriodeDatumTijdVan],"&lt;="&amp;($A213+5/24),tData[SEHTrajectPeriodeDatumTijdTotEnMet],"&gt;"&amp;($A213+5/24),tData[Langligger01],1)</f>
        <v/>
      </c>
      <c r="J213" s="20">
        <f>COUNTIFS(tData[SEHTrajectPeriodeDatumTijdVan],"&lt;="&amp;($A213+6/24),tData[SEHTrajectPeriodeDatumTijdTotEnMet],"&gt;"&amp;($A213+6/24),tData[Langligger01],1)</f>
        <v/>
      </c>
      <c r="K213" s="20">
        <f>COUNTIFS(tData[SEHTrajectPeriodeDatumTijdVan],"&lt;="&amp;($A213+7/24),tData[SEHTrajectPeriodeDatumTijdTotEnMet],"&gt;"&amp;($A213+7/24),tData[Langligger01],1)</f>
        <v/>
      </c>
      <c r="L213" s="20">
        <f>COUNTIFS(tData[SEHTrajectPeriodeDatumTijdVan],"&lt;="&amp;($A213+8/24),tData[SEHTrajectPeriodeDatumTijdTotEnMet],"&gt;"&amp;($A213+8/24),tData[Langligger01],1)</f>
        <v/>
      </c>
      <c r="M213" s="20">
        <f>COUNTIFS(tData[SEHTrajectPeriodeDatumTijdVan],"&lt;="&amp;($A213+9/24),tData[SEHTrajectPeriodeDatumTijdTotEnMet],"&gt;"&amp;($A213+9/24),tData[Langligger01],1)</f>
        <v/>
      </c>
      <c r="N213" s="20">
        <f>COUNTIFS(tData[SEHTrajectPeriodeDatumTijdVan],"&lt;="&amp;($A213+10/24),tData[SEHTrajectPeriodeDatumTijdTotEnMet],"&gt;"&amp;($A213+10/24),tData[Langligger01],1)</f>
        <v/>
      </c>
      <c r="O213" s="20">
        <f>COUNTIFS(tData[SEHTrajectPeriodeDatumTijdVan],"&lt;="&amp;($A213+11/24),tData[SEHTrajectPeriodeDatumTijdTotEnMet],"&gt;"&amp;($A213+11/24),tData[Langligger01],1)</f>
        <v/>
      </c>
      <c r="P213" s="20">
        <f>COUNTIFS(tData[SEHTrajectPeriodeDatumTijdVan],"&lt;="&amp;($A213+12/24),tData[SEHTrajectPeriodeDatumTijdTotEnMet],"&gt;"&amp;($A213+12/24),tData[Langligger01],1)</f>
        <v/>
      </c>
      <c r="Q213" s="20">
        <f>COUNTIFS(tData[SEHTrajectPeriodeDatumTijdVan],"&lt;="&amp;($A213+13/24),tData[SEHTrajectPeriodeDatumTijdTotEnMet],"&gt;"&amp;($A213+13/24),tData[Langligger01],1)</f>
        <v/>
      </c>
      <c r="R213" s="20">
        <f>COUNTIFS(tData[SEHTrajectPeriodeDatumTijdVan],"&lt;="&amp;($A213+14/24),tData[SEHTrajectPeriodeDatumTijdTotEnMet],"&gt;"&amp;($A213+14/24),tData[Langligger01],1)</f>
        <v/>
      </c>
      <c r="S213" s="20">
        <f>COUNTIFS(tData[SEHTrajectPeriodeDatumTijdVan],"&lt;="&amp;($A213+15/24),tData[SEHTrajectPeriodeDatumTijdTotEnMet],"&gt;"&amp;($A213+15/24),tData[Langligger01],1)</f>
        <v/>
      </c>
      <c r="T213" s="20">
        <f>COUNTIFS(tData[SEHTrajectPeriodeDatumTijdVan],"&lt;="&amp;($A213+16/24),tData[SEHTrajectPeriodeDatumTijdTotEnMet],"&gt;"&amp;($A213+16/24),tData[Langligger01],1)</f>
        <v/>
      </c>
      <c r="U213" s="20">
        <f>COUNTIFS(tData[SEHTrajectPeriodeDatumTijdVan],"&lt;="&amp;($A213+17/24),tData[SEHTrajectPeriodeDatumTijdTotEnMet],"&gt;"&amp;($A213+17/24),tData[Langligger01],1)</f>
        <v/>
      </c>
      <c r="V213" s="20">
        <f>COUNTIFS(tData[SEHTrajectPeriodeDatumTijdVan],"&lt;="&amp;($A213+18/24),tData[SEHTrajectPeriodeDatumTijdTotEnMet],"&gt;"&amp;($A213+18/24),tData[Langligger01],1)</f>
        <v/>
      </c>
      <c r="W213" s="20">
        <f>COUNTIFS(tData[SEHTrajectPeriodeDatumTijdVan],"&lt;="&amp;($A213+19/24),tData[SEHTrajectPeriodeDatumTijdTotEnMet],"&gt;"&amp;($A213+19/24),tData[Langligger01],1)</f>
        <v/>
      </c>
      <c r="X213" s="20">
        <f>COUNTIFS(tData[SEHTrajectPeriodeDatumTijdVan],"&lt;="&amp;($A213+20/24),tData[SEHTrajectPeriodeDatumTijdTotEnMet],"&gt;"&amp;($A213+20/24),tData[Langligger01],1)</f>
        <v/>
      </c>
      <c r="Y213" s="20">
        <f>COUNTIFS(tData[SEHTrajectPeriodeDatumTijdVan],"&lt;="&amp;($A213+21/24),tData[SEHTrajectPeriodeDatumTijdTotEnMet],"&gt;"&amp;($A213+21/24),tData[Langligger01],1)</f>
        <v/>
      </c>
      <c r="Z213" s="20">
        <f>COUNTIFS(tData[SEHTrajectPeriodeDatumTijdVan],"&lt;="&amp;($A213+22/24),tData[SEHTrajectPeriodeDatumTijdTotEnMet],"&gt;"&amp;($A213+22/24),tData[Langligger01],1)</f>
        <v/>
      </c>
      <c r="AA213" s="20">
        <f>COUNTIFS(tData[SEHTrajectPeriodeDatumTijdVan],"&lt;="&amp;($A213+23/24),tData[SEHTrajectPeriodeDatumTijdTotEnMet],"&gt;"&amp;($A213+23/24),tData[Langligger01],1)</f>
        <v/>
      </c>
    </row>
    <row r="214">
      <c r="A214" s="19" t="n">
        <v>45502</v>
      </c>
      <c r="B214" s="15">
        <f>WEEKDAY($A214,2)</f>
        <v/>
      </c>
      <c r="C214" s="15">
        <f>IF(AND($A214&gt;=INT(Instellingen!$B$5),$A214&lt;=INT(Instellingen!$B$6)),1,0)</f>
        <v/>
      </c>
      <c r="D214" s="20">
        <f>COUNTIFS(tData[SEHTrajectPeriodeDatumTijdVan],"&lt;="&amp;($A214+0/24),tData[SEHTrajectPeriodeDatumTijdTotEnMet],"&gt;"&amp;($A214+0/24),tData[Langligger01],1)</f>
        <v/>
      </c>
      <c r="E214" s="20">
        <f>COUNTIFS(tData[SEHTrajectPeriodeDatumTijdVan],"&lt;="&amp;($A214+1/24),tData[SEHTrajectPeriodeDatumTijdTotEnMet],"&gt;"&amp;($A214+1/24),tData[Langligger01],1)</f>
        <v/>
      </c>
      <c r="F214" s="20">
        <f>COUNTIFS(tData[SEHTrajectPeriodeDatumTijdVan],"&lt;="&amp;($A214+2/24),tData[SEHTrajectPeriodeDatumTijdTotEnMet],"&gt;"&amp;($A214+2/24),tData[Langligger01],1)</f>
        <v/>
      </c>
      <c r="G214" s="20">
        <f>COUNTIFS(tData[SEHTrajectPeriodeDatumTijdVan],"&lt;="&amp;($A214+3/24),tData[SEHTrajectPeriodeDatumTijdTotEnMet],"&gt;"&amp;($A214+3/24),tData[Langligger01],1)</f>
        <v/>
      </c>
      <c r="H214" s="20">
        <f>COUNTIFS(tData[SEHTrajectPeriodeDatumTijdVan],"&lt;="&amp;($A214+4/24),tData[SEHTrajectPeriodeDatumTijdTotEnMet],"&gt;"&amp;($A214+4/24),tData[Langligger01],1)</f>
        <v/>
      </c>
      <c r="I214" s="20">
        <f>COUNTIFS(tData[SEHTrajectPeriodeDatumTijdVan],"&lt;="&amp;($A214+5/24),tData[SEHTrajectPeriodeDatumTijdTotEnMet],"&gt;"&amp;($A214+5/24),tData[Langligger01],1)</f>
        <v/>
      </c>
      <c r="J214" s="20">
        <f>COUNTIFS(tData[SEHTrajectPeriodeDatumTijdVan],"&lt;="&amp;($A214+6/24),tData[SEHTrajectPeriodeDatumTijdTotEnMet],"&gt;"&amp;($A214+6/24),tData[Langligger01],1)</f>
        <v/>
      </c>
      <c r="K214" s="20">
        <f>COUNTIFS(tData[SEHTrajectPeriodeDatumTijdVan],"&lt;="&amp;($A214+7/24),tData[SEHTrajectPeriodeDatumTijdTotEnMet],"&gt;"&amp;($A214+7/24),tData[Langligger01],1)</f>
        <v/>
      </c>
      <c r="L214" s="20">
        <f>COUNTIFS(tData[SEHTrajectPeriodeDatumTijdVan],"&lt;="&amp;($A214+8/24),tData[SEHTrajectPeriodeDatumTijdTotEnMet],"&gt;"&amp;($A214+8/24),tData[Langligger01],1)</f>
        <v/>
      </c>
      <c r="M214" s="20">
        <f>COUNTIFS(tData[SEHTrajectPeriodeDatumTijdVan],"&lt;="&amp;($A214+9/24),tData[SEHTrajectPeriodeDatumTijdTotEnMet],"&gt;"&amp;($A214+9/24),tData[Langligger01],1)</f>
        <v/>
      </c>
      <c r="N214" s="20">
        <f>COUNTIFS(tData[SEHTrajectPeriodeDatumTijdVan],"&lt;="&amp;($A214+10/24),tData[SEHTrajectPeriodeDatumTijdTotEnMet],"&gt;"&amp;($A214+10/24),tData[Langligger01],1)</f>
        <v/>
      </c>
      <c r="O214" s="20">
        <f>COUNTIFS(tData[SEHTrajectPeriodeDatumTijdVan],"&lt;="&amp;($A214+11/24),tData[SEHTrajectPeriodeDatumTijdTotEnMet],"&gt;"&amp;($A214+11/24),tData[Langligger01],1)</f>
        <v/>
      </c>
      <c r="P214" s="20">
        <f>COUNTIFS(tData[SEHTrajectPeriodeDatumTijdVan],"&lt;="&amp;($A214+12/24),tData[SEHTrajectPeriodeDatumTijdTotEnMet],"&gt;"&amp;($A214+12/24),tData[Langligger01],1)</f>
        <v/>
      </c>
      <c r="Q214" s="20">
        <f>COUNTIFS(tData[SEHTrajectPeriodeDatumTijdVan],"&lt;="&amp;($A214+13/24),tData[SEHTrajectPeriodeDatumTijdTotEnMet],"&gt;"&amp;($A214+13/24),tData[Langligger01],1)</f>
        <v/>
      </c>
      <c r="R214" s="20">
        <f>COUNTIFS(tData[SEHTrajectPeriodeDatumTijdVan],"&lt;="&amp;($A214+14/24),tData[SEHTrajectPeriodeDatumTijdTotEnMet],"&gt;"&amp;($A214+14/24),tData[Langligger01],1)</f>
        <v/>
      </c>
      <c r="S214" s="20">
        <f>COUNTIFS(tData[SEHTrajectPeriodeDatumTijdVan],"&lt;="&amp;($A214+15/24),tData[SEHTrajectPeriodeDatumTijdTotEnMet],"&gt;"&amp;($A214+15/24),tData[Langligger01],1)</f>
        <v/>
      </c>
      <c r="T214" s="20">
        <f>COUNTIFS(tData[SEHTrajectPeriodeDatumTijdVan],"&lt;="&amp;($A214+16/24),tData[SEHTrajectPeriodeDatumTijdTotEnMet],"&gt;"&amp;($A214+16/24),tData[Langligger01],1)</f>
        <v/>
      </c>
      <c r="U214" s="20">
        <f>COUNTIFS(tData[SEHTrajectPeriodeDatumTijdVan],"&lt;="&amp;($A214+17/24),tData[SEHTrajectPeriodeDatumTijdTotEnMet],"&gt;"&amp;($A214+17/24),tData[Langligger01],1)</f>
        <v/>
      </c>
      <c r="V214" s="20">
        <f>COUNTIFS(tData[SEHTrajectPeriodeDatumTijdVan],"&lt;="&amp;($A214+18/24),tData[SEHTrajectPeriodeDatumTijdTotEnMet],"&gt;"&amp;($A214+18/24),tData[Langligger01],1)</f>
        <v/>
      </c>
      <c r="W214" s="20">
        <f>COUNTIFS(tData[SEHTrajectPeriodeDatumTijdVan],"&lt;="&amp;($A214+19/24),tData[SEHTrajectPeriodeDatumTijdTotEnMet],"&gt;"&amp;($A214+19/24),tData[Langligger01],1)</f>
        <v/>
      </c>
      <c r="X214" s="20">
        <f>COUNTIFS(tData[SEHTrajectPeriodeDatumTijdVan],"&lt;="&amp;($A214+20/24),tData[SEHTrajectPeriodeDatumTijdTotEnMet],"&gt;"&amp;($A214+20/24),tData[Langligger01],1)</f>
        <v/>
      </c>
      <c r="Y214" s="20">
        <f>COUNTIFS(tData[SEHTrajectPeriodeDatumTijdVan],"&lt;="&amp;($A214+21/24),tData[SEHTrajectPeriodeDatumTijdTotEnMet],"&gt;"&amp;($A214+21/24),tData[Langligger01],1)</f>
        <v/>
      </c>
      <c r="Z214" s="20">
        <f>COUNTIFS(tData[SEHTrajectPeriodeDatumTijdVan],"&lt;="&amp;($A214+22/24),tData[SEHTrajectPeriodeDatumTijdTotEnMet],"&gt;"&amp;($A214+22/24),tData[Langligger01],1)</f>
        <v/>
      </c>
      <c r="AA214" s="20">
        <f>COUNTIFS(tData[SEHTrajectPeriodeDatumTijdVan],"&lt;="&amp;($A214+23/24),tData[SEHTrajectPeriodeDatumTijdTotEnMet],"&gt;"&amp;($A214+23/24),tData[Langligger01],1)</f>
        <v/>
      </c>
    </row>
    <row r="215">
      <c r="A215" s="19" t="n">
        <v>45503</v>
      </c>
      <c r="B215" s="15">
        <f>WEEKDAY($A215,2)</f>
        <v/>
      </c>
      <c r="C215" s="15">
        <f>IF(AND($A215&gt;=INT(Instellingen!$B$5),$A215&lt;=INT(Instellingen!$B$6)),1,0)</f>
        <v/>
      </c>
      <c r="D215" s="20">
        <f>COUNTIFS(tData[SEHTrajectPeriodeDatumTijdVan],"&lt;="&amp;($A215+0/24),tData[SEHTrajectPeriodeDatumTijdTotEnMet],"&gt;"&amp;($A215+0/24),tData[Langligger01],1)</f>
        <v/>
      </c>
      <c r="E215" s="20">
        <f>COUNTIFS(tData[SEHTrajectPeriodeDatumTijdVan],"&lt;="&amp;($A215+1/24),tData[SEHTrajectPeriodeDatumTijdTotEnMet],"&gt;"&amp;($A215+1/24),tData[Langligger01],1)</f>
        <v/>
      </c>
      <c r="F215" s="20">
        <f>COUNTIFS(tData[SEHTrajectPeriodeDatumTijdVan],"&lt;="&amp;($A215+2/24),tData[SEHTrajectPeriodeDatumTijdTotEnMet],"&gt;"&amp;($A215+2/24),tData[Langligger01],1)</f>
        <v/>
      </c>
      <c r="G215" s="20">
        <f>COUNTIFS(tData[SEHTrajectPeriodeDatumTijdVan],"&lt;="&amp;($A215+3/24),tData[SEHTrajectPeriodeDatumTijdTotEnMet],"&gt;"&amp;($A215+3/24),tData[Langligger01],1)</f>
        <v/>
      </c>
      <c r="H215" s="20">
        <f>COUNTIFS(tData[SEHTrajectPeriodeDatumTijdVan],"&lt;="&amp;($A215+4/24),tData[SEHTrajectPeriodeDatumTijdTotEnMet],"&gt;"&amp;($A215+4/24),tData[Langligger01],1)</f>
        <v/>
      </c>
      <c r="I215" s="20">
        <f>COUNTIFS(tData[SEHTrajectPeriodeDatumTijdVan],"&lt;="&amp;($A215+5/24),tData[SEHTrajectPeriodeDatumTijdTotEnMet],"&gt;"&amp;($A215+5/24),tData[Langligger01],1)</f>
        <v/>
      </c>
      <c r="J215" s="20">
        <f>COUNTIFS(tData[SEHTrajectPeriodeDatumTijdVan],"&lt;="&amp;($A215+6/24),tData[SEHTrajectPeriodeDatumTijdTotEnMet],"&gt;"&amp;($A215+6/24),tData[Langligger01],1)</f>
        <v/>
      </c>
      <c r="K215" s="20">
        <f>COUNTIFS(tData[SEHTrajectPeriodeDatumTijdVan],"&lt;="&amp;($A215+7/24),tData[SEHTrajectPeriodeDatumTijdTotEnMet],"&gt;"&amp;($A215+7/24),tData[Langligger01],1)</f>
        <v/>
      </c>
      <c r="L215" s="20">
        <f>COUNTIFS(tData[SEHTrajectPeriodeDatumTijdVan],"&lt;="&amp;($A215+8/24),tData[SEHTrajectPeriodeDatumTijdTotEnMet],"&gt;"&amp;($A215+8/24),tData[Langligger01],1)</f>
        <v/>
      </c>
      <c r="M215" s="20">
        <f>COUNTIFS(tData[SEHTrajectPeriodeDatumTijdVan],"&lt;="&amp;($A215+9/24),tData[SEHTrajectPeriodeDatumTijdTotEnMet],"&gt;"&amp;($A215+9/24),tData[Langligger01],1)</f>
        <v/>
      </c>
      <c r="N215" s="20">
        <f>COUNTIFS(tData[SEHTrajectPeriodeDatumTijdVan],"&lt;="&amp;($A215+10/24),tData[SEHTrajectPeriodeDatumTijdTotEnMet],"&gt;"&amp;($A215+10/24),tData[Langligger01],1)</f>
        <v/>
      </c>
      <c r="O215" s="20">
        <f>COUNTIFS(tData[SEHTrajectPeriodeDatumTijdVan],"&lt;="&amp;($A215+11/24),tData[SEHTrajectPeriodeDatumTijdTotEnMet],"&gt;"&amp;($A215+11/24),tData[Langligger01],1)</f>
        <v/>
      </c>
      <c r="P215" s="20">
        <f>COUNTIFS(tData[SEHTrajectPeriodeDatumTijdVan],"&lt;="&amp;($A215+12/24),tData[SEHTrajectPeriodeDatumTijdTotEnMet],"&gt;"&amp;($A215+12/24),tData[Langligger01],1)</f>
        <v/>
      </c>
      <c r="Q215" s="20">
        <f>COUNTIFS(tData[SEHTrajectPeriodeDatumTijdVan],"&lt;="&amp;($A215+13/24),tData[SEHTrajectPeriodeDatumTijdTotEnMet],"&gt;"&amp;($A215+13/24),tData[Langligger01],1)</f>
        <v/>
      </c>
      <c r="R215" s="20">
        <f>COUNTIFS(tData[SEHTrajectPeriodeDatumTijdVan],"&lt;="&amp;($A215+14/24),tData[SEHTrajectPeriodeDatumTijdTotEnMet],"&gt;"&amp;($A215+14/24),tData[Langligger01],1)</f>
        <v/>
      </c>
      <c r="S215" s="20">
        <f>COUNTIFS(tData[SEHTrajectPeriodeDatumTijdVan],"&lt;="&amp;($A215+15/24),tData[SEHTrajectPeriodeDatumTijdTotEnMet],"&gt;"&amp;($A215+15/24),tData[Langligger01],1)</f>
        <v/>
      </c>
      <c r="T215" s="20">
        <f>COUNTIFS(tData[SEHTrajectPeriodeDatumTijdVan],"&lt;="&amp;($A215+16/24),tData[SEHTrajectPeriodeDatumTijdTotEnMet],"&gt;"&amp;($A215+16/24),tData[Langligger01],1)</f>
        <v/>
      </c>
      <c r="U215" s="20">
        <f>COUNTIFS(tData[SEHTrajectPeriodeDatumTijdVan],"&lt;="&amp;($A215+17/24),tData[SEHTrajectPeriodeDatumTijdTotEnMet],"&gt;"&amp;($A215+17/24),tData[Langligger01],1)</f>
        <v/>
      </c>
      <c r="V215" s="20">
        <f>COUNTIFS(tData[SEHTrajectPeriodeDatumTijdVan],"&lt;="&amp;($A215+18/24),tData[SEHTrajectPeriodeDatumTijdTotEnMet],"&gt;"&amp;($A215+18/24),tData[Langligger01],1)</f>
        <v/>
      </c>
      <c r="W215" s="20">
        <f>COUNTIFS(tData[SEHTrajectPeriodeDatumTijdVan],"&lt;="&amp;($A215+19/24),tData[SEHTrajectPeriodeDatumTijdTotEnMet],"&gt;"&amp;($A215+19/24),tData[Langligger01],1)</f>
        <v/>
      </c>
      <c r="X215" s="20">
        <f>COUNTIFS(tData[SEHTrajectPeriodeDatumTijdVan],"&lt;="&amp;($A215+20/24),tData[SEHTrajectPeriodeDatumTijdTotEnMet],"&gt;"&amp;($A215+20/24),tData[Langligger01],1)</f>
        <v/>
      </c>
      <c r="Y215" s="20">
        <f>COUNTIFS(tData[SEHTrajectPeriodeDatumTijdVan],"&lt;="&amp;($A215+21/24),tData[SEHTrajectPeriodeDatumTijdTotEnMet],"&gt;"&amp;($A215+21/24),tData[Langligger01],1)</f>
        <v/>
      </c>
      <c r="Z215" s="20">
        <f>COUNTIFS(tData[SEHTrajectPeriodeDatumTijdVan],"&lt;="&amp;($A215+22/24),tData[SEHTrajectPeriodeDatumTijdTotEnMet],"&gt;"&amp;($A215+22/24),tData[Langligger01],1)</f>
        <v/>
      </c>
      <c r="AA215" s="20">
        <f>COUNTIFS(tData[SEHTrajectPeriodeDatumTijdVan],"&lt;="&amp;($A215+23/24),tData[SEHTrajectPeriodeDatumTijdTotEnMet],"&gt;"&amp;($A215+23/24),tData[Langligger01],1)</f>
        <v/>
      </c>
    </row>
    <row r="216">
      <c r="A216" s="19" t="n">
        <v>45504</v>
      </c>
      <c r="B216" s="15">
        <f>WEEKDAY($A216,2)</f>
        <v/>
      </c>
      <c r="C216" s="15">
        <f>IF(AND($A216&gt;=INT(Instellingen!$B$5),$A216&lt;=INT(Instellingen!$B$6)),1,0)</f>
        <v/>
      </c>
      <c r="D216" s="20">
        <f>COUNTIFS(tData[SEHTrajectPeriodeDatumTijdVan],"&lt;="&amp;($A216+0/24),tData[SEHTrajectPeriodeDatumTijdTotEnMet],"&gt;"&amp;($A216+0/24),tData[Langligger01],1)</f>
        <v/>
      </c>
      <c r="E216" s="20">
        <f>COUNTIFS(tData[SEHTrajectPeriodeDatumTijdVan],"&lt;="&amp;($A216+1/24),tData[SEHTrajectPeriodeDatumTijdTotEnMet],"&gt;"&amp;($A216+1/24),tData[Langligger01],1)</f>
        <v/>
      </c>
      <c r="F216" s="20">
        <f>COUNTIFS(tData[SEHTrajectPeriodeDatumTijdVan],"&lt;="&amp;($A216+2/24),tData[SEHTrajectPeriodeDatumTijdTotEnMet],"&gt;"&amp;($A216+2/24),tData[Langligger01],1)</f>
        <v/>
      </c>
      <c r="G216" s="20">
        <f>COUNTIFS(tData[SEHTrajectPeriodeDatumTijdVan],"&lt;="&amp;($A216+3/24),tData[SEHTrajectPeriodeDatumTijdTotEnMet],"&gt;"&amp;($A216+3/24),tData[Langligger01],1)</f>
        <v/>
      </c>
      <c r="H216" s="20">
        <f>COUNTIFS(tData[SEHTrajectPeriodeDatumTijdVan],"&lt;="&amp;($A216+4/24),tData[SEHTrajectPeriodeDatumTijdTotEnMet],"&gt;"&amp;($A216+4/24),tData[Langligger01],1)</f>
        <v/>
      </c>
      <c r="I216" s="20">
        <f>COUNTIFS(tData[SEHTrajectPeriodeDatumTijdVan],"&lt;="&amp;($A216+5/24),tData[SEHTrajectPeriodeDatumTijdTotEnMet],"&gt;"&amp;($A216+5/24),tData[Langligger01],1)</f>
        <v/>
      </c>
      <c r="J216" s="20">
        <f>COUNTIFS(tData[SEHTrajectPeriodeDatumTijdVan],"&lt;="&amp;($A216+6/24),tData[SEHTrajectPeriodeDatumTijdTotEnMet],"&gt;"&amp;($A216+6/24),tData[Langligger01],1)</f>
        <v/>
      </c>
      <c r="K216" s="20">
        <f>COUNTIFS(tData[SEHTrajectPeriodeDatumTijdVan],"&lt;="&amp;($A216+7/24),tData[SEHTrajectPeriodeDatumTijdTotEnMet],"&gt;"&amp;($A216+7/24),tData[Langligger01],1)</f>
        <v/>
      </c>
      <c r="L216" s="20">
        <f>COUNTIFS(tData[SEHTrajectPeriodeDatumTijdVan],"&lt;="&amp;($A216+8/24),tData[SEHTrajectPeriodeDatumTijdTotEnMet],"&gt;"&amp;($A216+8/24),tData[Langligger01],1)</f>
        <v/>
      </c>
      <c r="M216" s="20">
        <f>COUNTIFS(tData[SEHTrajectPeriodeDatumTijdVan],"&lt;="&amp;($A216+9/24),tData[SEHTrajectPeriodeDatumTijdTotEnMet],"&gt;"&amp;($A216+9/24),tData[Langligger01],1)</f>
        <v/>
      </c>
      <c r="N216" s="20">
        <f>COUNTIFS(tData[SEHTrajectPeriodeDatumTijdVan],"&lt;="&amp;($A216+10/24),tData[SEHTrajectPeriodeDatumTijdTotEnMet],"&gt;"&amp;($A216+10/24),tData[Langligger01],1)</f>
        <v/>
      </c>
      <c r="O216" s="20">
        <f>COUNTIFS(tData[SEHTrajectPeriodeDatumTijdVan],"&lt;="&amp;($A216+11/24),tData[SEHTrajectPeriodeDatumTijdTotEnMet],"&gt;"&amp;($A216+11/24),tData[Langligger01],1)</f>
        <v/>
      </c>
      <c r="P216" s="20">
        <f>COUNTIFS(tData[SEHTrajectPeriodeDatumTijdVan],"&lt;="&amp;($A216+12/24),tData[SEHTrajectPeriodeDatumTijdTotEnMet],"&gt;"&amp;($A216+12/24),tData[Langligger01],1)</f>
        <v/>
      </c>
      <c r="Q216" s="20">
        <f>COUNTIFS(tData[SEHTrajectPeriodeDatumTijdVan],"&lt;="&amp;($A216+13/24),tData[SEHTrajectPeriodeDatumTijdTotEnMet],"&gt;"&amp;($A216+13/24),tData[Langligger01],1)</f>
        <v/>
      </c>
      <c r="R216" s="20">
        <f>COUNTIFS(tData[SEHTrajectPeriodeDatumTijdVan],"&lt;="&amp;($A216+14/24),tData[SEHTrajectPeriodeDatumTijdTotEnMet],"&gt;"&amp;($A216+14/24),tData[Langligger01],1)</f>
        <v/>
      </c>
      <c r="S216" s="20">
        <f>COUNTIFS(tData[SEHTrajectPeriodeDatumTijdVan],"&lt;="&amp;($A216+15/24),tData[SEHTrajectPeriodeDatumTijdTotEnMet],"&gt;"&amp;($A216+15/24),tData[Langligger01],1)</f>
        <v/>
      </c>
      <c r="T216" s="20">
        <f>COUNTIFS(tData[SEHTrajectPeriodeDatumTijdVan],"&lt;="&amp;($A216+16/24),tData[SEHTrajectPeriodeDatumTijdTotEnMet],"&gt;"&amp;($A216+16/24),tData[Langligger01],1)</f>
        <v/>
      </c>
      <c r="U216" s="20">
        <f>COUNTIFS(tData[SEHTrajectPeriodeDatumTijdVan],"&lt;="&amp;($A216+17/24),tData[SEHTrajectPeriodeDatumTijdTotEnMet],"&gt;"&amp;($A216+17/24),tData[Langligger01],1)</f>
        <v/>
      </c>
      <c r="V216" s="20">
        <f>COUNTIFS(tData[SEHTrajectPeriodeDatumTijdVan],"&lt;="&amp;($A216+18/24),tData[SEHTrajectPeriodeDatumTijdTotEnMet],"&gt;"&amp;($A216+18/24),tData[Langligger01],1)</f>
        <v/>
      </c>
      <c r="W216" s="20">
        <f>COUNTIFS(tData[SEHTrajectPeriodeDatumTijdVan],"&lt;="&amp;($A216+19/24),tData[SEHTrajectPeriodeDatumTijdTotEnMet],"&gt;"&amp;($A216+19/24),tData[Langligger01],1)</f>
        <v/>
      </c>
      <c r="X216" s="20">
        <f>COUNTIFS(tData[SEHTrajectPeriodeDatumTijdVan],"&lt;="&amp;($A216+20/24),tData[SEHTrajectPeriodeDatumTijdTotEnMet],"&gt;"&amp;($A216+20/24),tData[Langligger01],1)</f>
        <v/>
      </c>
      <c r="Y216" s="20">
        <f>COUNTIFS(tData[SEHTrajectPeriodeDatumTijdVan],"&lt;="&amp;($A216+21/24),tData[SEHTrajectPeriodeDatumTijdTotEnMet],"&gt;"&amp;($A216+21/24),tData[Langligger01],1)</f>
        <v/>
      </c>
      <c r="Z216" s="20">
        <f>COUNTIFS(tData[SEHTrajectPeriodeDatumTijdVan],"&lt;="&amp;($A216+22/24),tData[SEHTrajectPeriodeDatumTijdTotEnMet],"&gt;"&amp;($A216+22/24),tData[Langligger01],1)</f>
        <v/>
      </c>
      <c r="AA216" s="20">
        <f>COUNTIFS(tData[SEHTrajectPeriodeDatumTijdVan],"&lt;="&amp;($A216+23/24),tData[SEHTrajectPeriodeDatumTijdTotEnMet],"&gt;"&amp;($A216+23/24),tData[Langligger01],1)</f>
        <v/>
      </c>
    </row>
    <row r="217">
      <c r="A217" s="19" t="n">
        <v>45505</v>
      </c>
      <c r="B217" s="15">
        <f>WEEKDAY($A217,2)</f>
        <v/>
      </c>
      <c r="C217" s="15">
        <f>IF(AND($A217&gt;=INT(Instellingen!$B$5),$A217&lt;=INT(Instellingen!$B$6)),1,0)</f>
        <v/>
      </c>
      <c r="D217" s="20">
        <f>COUNTIFS(tData[SEHTrajectPeriodeDatumTijdVan],"&lt;="&amp;($A217+0/24),tData[SEHTrajectPeriodeDatumTijdTotEnMet],"&gt;"&amp;($A217+0/24),tData[Langligger01],1)</f>
        <v/>
      </c>
      <c r="E217" s="20">
        <f>COUNTIFS(tData[SEHTrajectPeriodeDatumTijdVan],"&lt;="&amp;($A217+1/24),tData[SEHTrajectPeriodeDatumTijdTotEnMet],"&gt;"&amp;($A217+1/24),tData[Langligger01],1)</f>
        <v/>
      </c>
      <c r="F217" s="20">
        <f>COUNTIFS(tData[SEHTrajectPeriodeDatumTijdVan],"&lt;="&amp;($A217+2/24),tData[SEHTrajectPeriodeDatumTijdTotEnMet],"&gt;"&amp;($A217+2/24),tData[Langligger01],1)</f>
        <v/>
      </c>
      <c r="G217" s="20">
        <f>COUNTIFS(tData[SEHTrajectPeriodeDatumTijdVan],"&lt;="&amp;($A217+3/24),tData[SEHTrajectPeriodeDatumTijdTotEnMet],"&gt;"&amp;($A217+3/24),tData[Langligger01],1)</f>
        <v/>
      </c>
      <c r="H217" s="20">
        <f>COUNTIFS(tData[SEHTrajectPeriodeDatumTijdVan],"&lt;="&amp;($A217+4/24),tData[SEHTrajectPeriodeDatumTijdTotEnMet],"&gt;"&amp;($A217+4/24),tData[Langligger01],1)</f>
        <v/>
      </c>
      <c r="I217" s="20">
        <f>COUNTIFS(tData[SEHTrajectPeriodeDatumTijdVan],"&lt;="&amp;($A217+5/24),tData[SEHTrajectPeriodeDatumTijdTotEnMet],"&gt;"&amp;($A217+5/24),tData[Langligger01],1)</f>
        <v/>
      </c>
      <c r="J217" s="20">
        <f>COUNTIFS(tData[SEHTrajectPeriodeDatumTijdVan],"&lt;="&amp;($A217+6/24),tData[SEHTrajectPeriodeDatumTijdTotEnMet],"&gt;"&amp;($A217+6/24),tData[Langligger01],1)</f>
        <v/>
      </c>
      <c r="K217" s="20">
        <f>COUNTIFS(tData[SEHTrajectPeriodeDatumTijdVan],"&lt;="&amp;($A217+7/24),tData[SEHTrajectPeriodeDatumTijdTotEnMet],"&gt;"&amp;($A217+7/24),tData[Langligger01],1)</f>
        <v/>
      </c>
      <c r="L217" s="20">
        <f>COUNTIFS(tData[SEHTrajectPeriodeDatumTijdVan],"&lt;="&amp;($A217+8/24),tData[SEHTrajectPeriodeDatumTijdTotEnMet],"&gt;"&amp;($A217+8/24),tData[Langligger01],1)</f>
        <v/>
      </c>
      <c r="M217" s="20">
        <f>COUNTIFS(tData[SEHTrajectPeriodeDatumTijdVan],"&lt;="&amp;($A217+9/24),tData[SEHTrajectPeriodeDatumTijdTotEnMet],"&gt;"&amp;($A217+9/24),tData[Langligger01],1)</f>
        <v/>
      </c>
      <c r="N217" s="20">
        <f>COUNTIFS(tData[SEHTrajectPeriodeDatumTijdVan],"&lt;="&amp;($A217+10/24),tData[SEHTrajectPeriodeDatumTijdTotEnMet],"&gt;"&amp;($A217+10/24),tData[Langligger01],1)</f>
        <v/>
      </c>
      <c r="O217" s="20">
        <f>COUNTIFS(tData[SEHTrajectPeriodeDatumTijdVan],"&lt;="&amp;($A217+11/24),tData[SEHTrajectPeriodeDatumTijdTotEnMet],"&gt;"&amp;($A217+11/24),tData[Langligger01],1)</f>
        <v/>
      </c>
      <c r="P217" s="20">
        <f>COUNTIFS(tData[SEHTrajectPeriodeDatumTijdVan],"&lt;="&amp;($A217+12/24),tData[SEHTrajectPeriodeDatumTijdTotEnMet],"&gt;"&amp;($A217+12/24),tData[Langligger01],1)</f>
        <v/>
      </c>
      <c r="Q217" s="20">
        <f>COUNTIFS(tData[SEHTrajectPeriodeDatumTijdVan],"&lt;="&amp;($A217+13/24),tData[SEHTrajectPeriodeDatumTijdTotEnMet],"&gt;"&amp;($A217+13/24),tData[Langligger01],1)</f>
        <v/>
      </c>
      <c r="R217" s="20">
        <f>COUNTIFS(tData[SEHTrajectPeriodeDatumTijdVan],"&lt;="&amp;($A217+14/24),tData[SEHTrajectPeriodeDatumTijdTotEnMet],"&gt;"&amp;($A217+14/24),tData[Langligger01],1)</f>
        <v/>
      </c>
      <c r="S217" s="20">
        <f>COUNTIFS(tData[SEHTrajectPeriodeDatumTijdVan],"&lt;="&amp;($A217+15/24),tData[SEHTrajectPeriodeDatumTijdTotEnMet],"&gt;"&amp;($A217+15/24),tData[Langligger01],1)</f>
        <v/>
      </c>
      <c r="T217" s="20">
        <f>COUNTIFS(tData[SEHTrajectPeriodeDatumTijdVan],"&lt;="&amp;($A217+16/24),tData[SEHTrajectPeriodeDatumTijdTotEnMet],"&gt;"&amp;($A217+16/24),tData[Langligger01],1)</f>
        <v/>
      </c>
      <c r="U217" s="20">
        <f>COUNTIFS(tData[SEHTrajectPeriodeDatumTijdVan],"&lt;="&amp;($A217+17/24),tData[SEHTrajectPeriodeDatumTijdTotEnMet],"&gt;"&amp;($A217+17/24),tData[Langligger01],1)</f>
        <v/>
      </c>
      <c r="V217" s="20">
        <f>COUNTIFS(tData[SEHTrajectPeriodeDatumTijdVan],"&lt;="&amp;($A217+18/24),tData[SEHTrajectPeriodeDatumTijdTotEnMet],"&gt;"&amp;($A217+18/24),tData[Langligger01],1)</f>
        <v/>
      </c>
      <c r="W217" s="20">
        <f>COUNTIFS(tData[SEHTrajectPeriodeDatumTijdVan],"&lt;="&amp;($A217+19/24),tData[SEHTrajectPeriodeDatumTijdTotEnMet],"&gt;"&amp;($A217+19/24),tData[Langligger01],1)</f>
        <v/>
      </c>
      <c r="X217" s="20">
        <f>COUNTIFS(tData[SEHTrajectPeriodeDatumTijdVan],"&lt;="&amp;($A217+20/24),tData[SEHTrajectPeriodeDatumTijdTotEnMet],"&gt;"&amp;($A217+20/24),tData[Langligger01],1)</f>
        <v/>
      </c>
      <c r="Y217" s="20">
        <f>COUNTIFS(tData[SEHTrajectPeriodeDatumTijdVan],"&lt;="&amp;($A217+21/24),tData[SEHTrajectPeriodeDatumTijdTotEnMet],"&gt;"&amp;($A217+21/24),tData[Langligger01],1)</f>
        <v/>
      </c>
      <c r="Z217" s="20">
        <f>COUNTIFS(tData[SEHTrajectPeriodeDatumTijdVan],"&lt;="&amp;($A217+22/24),tData[SEHTrajectPeriodeDatumTijdTotEnMet],"&gt;"&amp;($A217+22/24),tData[Langligger01],1)</f>
        <v/>
      </c>
      <c r="AA217" s="20">
        <f>COUNTIFS(tData[SEHTrajectPeriodeDatumTijdVan],"&lt;="&amp;($A217+23/24),tData[SEHTrajectPeriodeDatumTijdTotEnMet],"&gt;"&amp;($A217+23/24),tData[Langligger01],1)</f>
        <v/>
      </c>
    </row>
    <row r="218">
      <c r="A218" s="19" t="n">
        <v>45506</v>
      </c>
      <c r="B218" s="15">
        <f>WEEKDAY($A218,2)</f>
        <v/>
      </c>
      <c r="C218" s="15">
        <f>IF(AND($A218&gt;=INT(Instellingen!$B$5),$A218&lt;=INT(Instellingen!$B$6)),1,0)</f>
        <v/>
      </c>
      <c r="D218" s="20">
        <f>COUNTIFS(tData[SEHTrajectPeriodeDatumTijdVan],"&lt;="&amp;($A218+0/24),tData[SEHTrajectPeriodeDatumTijdTotEnMet],"&gt;"&amp;($A218+0/24),tData[Langligger01],1)</f>
        <v/>
      </c>
      <c r="E218" s="20">
        <f>COUNTIFS(tData[SEHTrajectPeriodeDatumTijdVan],"&lt;="&amp;($A218+1/24),tData[SEHTrajectPeriodeDatumTijdTotEnMet],"&gt;"&amp;($A218+1/24),tData[Langligger01],1)</f>
        <v/>
      </c>
      <c r="F218" s="20">
        <f>COUNTIFS(tData[SEHTrajectPeriodeDatumTijdVan],"&lt;="&amp;($A218+2/24),tData[SEHTrajectPeriodeDatumTijdTotEnMet],"&gt;"&amp;($A218+2/24),tData[Langligger01],1)</f>
        <v/>
      </c>
      <c r="G218" s="20">
        <f>COUNTIFS(tData[SEHTrajectPeriodeDatumTijdVan],"&lt;="&amp;($A218+3/24),tData[SEHTrajectPeriodeDatumTijdTotEnMet],"&gt;"&amp;($A218+3/24),tData[Langligger01],1)</f>
        <v/>
      </c>
      <c r="H218" s="20">
        <f>COUNTIFS(tData[SEHTrajectPeriodeDatumTijdVan],"&lt;="&amp;($A218+4/24),tData[SEHTrajectPeriodeDatumTijdTotEnMet],"&gt;"&amp;($A218+4/24),tData[Langligger01],1)</f>
        <v/>
      </c>
      <c r="I218" s="20">
        <f>COUNTIFS(tData[SEHTrajectPeriodeDatumTijdVan],"&lt;="&amp;($A218+5/24),tData[SEHTrajectPeriodeDatumTijdTotEnMet],"&gt;"&amp;($A218+5/24),tData[Langligger01],1)</f>
        <v/>
      </c>
      <c r="J218" s="20">
        <f>COUNTIFS(tData[SEHTrajectPeriodeDatumTijdVan],"&lt;="&amp;($A218+6/24),tData[SEHTrajectPeriodeDatumTijdTotEnMet],"&gt;"&amp;($A218+6/24),tData[Langligger01],1)</f>
        <v/>
      </c>
      <c r="K218" s="20">
        <f>COUNTIFS(tData[SEHTrajectPeriodeDatumTijdVan],"&lt;="&amp;($A218+7/24),tData[SEHTrajectPeriodeDatumTijdTotEnMet],"&gt;"&amp;($A218+7/24),tData[Langligger01],1)</f>
        <v/>
      </c>
      <c r="L218" s="20">
        <f>COUNTIFS(tData[SEHTrajectPeriodeDatumTijdVan],"&lt;="&amp;($A218+8/24),tData[SEHTrajectPeriodeDatumTijdTotEnMet],"&gt;"&amp;($A218+8/24),tData[Langligger01],1)</f>
        <v/>
      </c>
      <c r="M218" s="20">
        <f>COUNTIFS(tData[SEHTrajectPeriodeDatumTijdVan],"&lt;="&amp;($A218+9/24),tData[SEHTrajectPeriodeDatumTijdTotEnMet],"&gt;"&amp;($A218+9/24),tData[Langligger01],1)</f>
        <v/>
      </c>
      <c r="N218" s="20">
        <f>COUNTIFS(tData[SEHTrajectPeriodeDatumTijdVan],"&lt;="&amp;($A218+10/24),tData[SEHTrajectPeriodeDatumTijdTotEnMet],"&gt;"&amp;($A218+10/24),tData[Langligger01],1)</f>
        <v/>
      </c>
      <c r="O218" s="20">
        <f>COUNTIFS(tData[SEHTrajectPeriodeDatumTijdVan],"&lt;="&amp;($A218+11/24),tData[SEHTrajectPeriodeDatumTijdTotEnMet],"&gt;"&amp;($A218+11/24),tData[Langligger01],1)</f>
        <v/>
      </c>
      <c r="P218" s="20">
        <f>COUNTIFS(tData[SEHTrajectPeriodeDatumTijdVan],"&lt;="&amp;($A218+12/24),tData[SEHTrajectPeriodeDatumTijdTotEnMet],"&gt;"&amp;($A218+12/24),tData[Langligger01],1)</f>
        <v/>
      </c>
      <c r="Q218" s="20">
        <f>COUNTIFS(tData[SEHTrajectPeriodeDatumTijdVan],"&lt;="&amp;($A218+13/24),tData[SEHTrajectPeriodeDatumTijdTotEnMet],"&gt;"&amp;($A218+13/24),tData[Langligger01],1)</f>
        <v/>
      </c>
      <c r="R218" s="20">
        <f>COUNTIFS(tData[SEHTrajectPeriodeDatumTijdVan],"&lt;="&amp;($A218+14/24),tData[SEHTrajectPeriodeDatumTijdTotEnMet],"&gt;"&amp;($A218+14/24),tData[Langligger01],1)</f>
        <v/>
      </c>
      <c r="S218" s="20">
        <f>COUNTIFS(tData[SEHTrajectPeriodeDatumTijdVan],"&lt;="&amp;($A218+15/24),tData[SEHTrajectPeriodeDatumTijdTotEnMet],"&gt;"&amp;($A218+15/24),tData[Langligger01],1)</f>
        <v/>
      </c>
      <c r="T218" s="20">
        <f>COUNTIFS(tData[SEHTrajectPeriodeDatumTijdVan],"&lt;="&amp;($A218+16/24),tData[SEHTrajectPeriodeDatumTijdTotEnMet],"&gt;"&amp;($A218+16/24),tData[Langligger01],1)</f>
        <v/>
      </c>
      <c r="U218" s="20">
        <f>COUNTIFS(tData[SEHTrajectPeriodeDatumTijdVan],"&lt;="&amp;($A218+17/24),tData[SEHTrajectPeriodeDatumTijdTotEnMet],"&gt;"&amp;($A218+17/24),tData[Langligger01],1)</f>
        <v/>
      </c>
      <c r="V218" s="20">
        <f>COUNTIFS(tData[SEHTrajectPeriodeDatumTijdVan],"&lt;="&amp;($A218+18/24),tData[SEHTrajectPeriodeDatumTijdTotEnMet],"&gt;"&amp;($A218+18/24),tData[Langligger01],1)</f>
        <v/>
      </c>
      <c r="W218" s="20">
        <f>COUNTIFS(tData[SEHTrajectPeriodeDatumTijdVan],"&lt;="&amp;($A218+19/24),tData[SEHTrajectPeriodeDatumTijdTotEnMet],"&gt;"&amp;($A218+19/24),tData[Langligger01],1)</f>
        <v/>
      </c>
      <c r="X218" s="20">
        <f>COUNTIFS(tData[SEHTrajectPeriodeDatumTijdVan],"&lt;="&amp;($A218+20/24),tData[SEHTrajectPeriodeDatumTijdTotEnMet],"&gt;"&amp;($A218+20/24),tData[Langligger01],1)</f>
        <v/>
      </c>
      <c r="Y218" s="20">
        <f>COUNTIFS(tData[SEHTrajectPeriodeDatumTijdVan],"&lt;="&amp;($A218+21/24),tData[SEHTrajectPeriodeDatumTijdTotEnMet],"&gt;"&amp;($A218+21/24),tData[Langligger01],1)</f>
        <v/>
      </c>
      <c r="Z218" s="20">
        <f>COUNTIFS(tData[SEHTrajectPeriodeDatumTijdVan],"&lt;="&amp;($A218+22/24),tData[SEHTrajectPeriodeDatumTijdTotEnMet],"&gt;"&amp;($A218+22/24),tData[Langligger01],1)</f>
        <v/>
      </c>
      <c r="AA218" s="20">
        <f>COUNTIFS(tData[SEHTrajectPeriodeDatumTijdVan],"&lt;="&amp;($A218+23/24),tData[SEHTrajectPeriodeDatumTijdTotEnMet],"&gt;"&amp;($A218+23/24),tData[Langligger01],1)</f>
        <v/>
      </c>
    </row>
    <row r="219">
      <c r="A219" s="19" t="n">
        <v>45507</v>
      </c>
      <c r="B219" s="15">
        <f>WEEKDAY($A219,2)</f>
        <v/>
      </c>
      <c r="C219" s="15">
        <f>IF(AND($A219&gt;=INT(Instellingen!$B$5),$A219&lt;=INT(Instellingen!$B$6)),1,0)</f>
        <v/>
      </c>
      <c r="D219" s="20">
        <f>COUNTIFS(tData[SEHTrajectPeriodeDatumTijdVan],"&lt;="&amp;($A219+0/24),tData[SEHTrajectPeriodeDatumTijdTotEnMet],"&gt;"&amp;($A219+0/24),tData[Langligger01],1)</f>
        <v/>
      </c>
      <c r="E219" s="20">
        <f>COUNTIFS(tData[SEHTrajectPeriodeDatumTijdVan],"&lt;="&amp;($A219+1/24),tData[SEHTrajectPeriodeDatumTijdTotEnMet],"&gt;"&amp;($A219+1/24),tData[Langligger01],1)</f>
        <v/>
      </c>
      <c r="F219" s="20">
        <f>COUNTIFS(tData[SEHTrajectPeriodeDatumTijdVan],"&lt;="&amp;($A219+2/24),tData[SEHTrajectPeriodeDatumTijdTotEnMet],"&gt;"&amp;($A219+2/24),tData[Langligger01],1)</f>
        <v/>
      </c>
      <c r="G219" s="20">
        <f>COUNTIFS(tData[SEHTrajectPeriodeDatumTijdVan],"&lt;="&amp;($A219+3/24),tData[SEHTrajectPeriodeDatumTijdTotEnMet],"&gt;"&amp;($A219+3/24),tData[Langligger01],1)</f>
        <v/>
      </c>
      <c r="H219" s="20">
        <f>COUNTIFS(tData[SEHTrajectPeriodeDatumTijdVan],"&lt;="&amp;($A219+4/24),tData[SEHTrajectPeriodeDatumTijdTotEnMet],"&gt;"&amp;($A219+4/24),tData[Langligger01],1)</f>
        <v/>
      </c>
      <c r="I219" s="20">
        <f>COUNTIFS(tData[SEHTrajectPeriodeDatumTijdVan],"&lt;="&amp;($A219+5/24),tData[SEHTrajectPeriodeDatumTijdTotEnMet],"&gt;"&amp;($A219+5/24),tData[Langligger01],1)</f>
        <v/>
      </c>
      <c r="J219" s="20">
        <f>COUNTIFS(tData[SEHTrajectPeriodeDatumTijdVan],"&lt;="&amp;($A219+6/24),tData[SEHTrajectPeriodeDatumTijdTotEnMet],"&gt;"&amp;($A219+6/24),tData[Langligger01],1)</f>
        <v/>
      </c>
      <c r="K219" s="20">
        <f>COUNTIFS(tData[SEHTrajectPeriodeDatumTijdVan],"&lt;="&amp;($A219+7/24),tData[SEHTrajectPeriodeDatumTijdTotEnMet],"&gt;"&amp;($A219+7/24),tData[Langligger01],1)</f>
        <v/>
      </c>
      <c r="L219" s="20">
        <f>COUNTIFS(tData[SEHTrajectPeriodeDatumTijdVan],"&lt;="&amp;($A219+8/24),tData[SEHTrajectPeriodeDatumTijdTotEnMet],"&gt;"&amp;($A219+8/24),tData[Langligger01],1)</f>
        <v/>
      </c>
      <c r="M219" s="20">
        <f>COUNTIFS(tData[SEHTrajectPeriodeDatumTijdVan],"&lt;="&amp;($A219+9/24),tData[SEHTrajectPeriodeDatumTijdTotEnMet],"&gt;"&amp;($A219+9/24),tData[Langligger01],1)</f>
        <v/>
      </c>
      <c r="N219" s="20">
        <f>COUNTIFS(tData[SEHTrajectPeriodeDatumTijdVan],"&lt;="&amp;($A219+10/24),tData[SEHTrajectPeriodeDatumTijdTotEnMet],"&gt;"&amp;($A219+10/24),tData[Langligger01],1)</f>
        <v/>
      </c>
      <c r="O219" s="20">
        <f>COUNTIFS(tData[SEHTrajectPeriodeDatumTijdVan],"&lt;="&amp;($A219+11/24),tData[SEHTrajectPeriodeDatumTijdTotEnMet],"&gt;"&amp;($A219+11/24),tData[Langligger01],1)</f>
        <v/>
      </c>
      <c r="P219" s="20">
        <f>COUNTIFS(tData[SEHTrajectPeriodeDatumTijdVan],"&lt;="&amp;($A219+12/24),tData[SEHTrajectPeriodeDatumTijdTotEnMet],"&gt;"&amp;($A219+12/24),tData[Langligger01],1)</f>
        <v/>
      </c>
      <c r="Q219" s="20">
        <f>COUNTIFS(tData[SEHTrajectPeriodeDatumTijdVan],"&lt;="&amp;($A219+13/24),tData[SEHTrajectPeriodeDatumTijdTotEnMet],"&gt;"&amp;($A219+13/24),tData[Langligger01],1)</f>
        <v/>
      </c>
      <c r="R219" s="20">
        <f>COUNTIFS(tData[SEHTrajectPeriodeDatumTijdVan],"&lt;="&amp;($A219+14/24),tData[SEHTrajectPeriodeDatumTijdTotEnMet],"&gt;"&amp;($A219+14/24),tData[Langligger01],1)</f>
        <v/>
      </c>
      <c r="S219" s="20">
        <f>COUNTIFS(tData[SEHTrajectPeriodeDatumTijdVan],"&lt;="&amp;($A219+15/24),tData[SEHTrajectPeriodeDatumTijdTotEnMet],"&gt;"&amp;($A219+15/24),tData[Langligger01],1)</f>
        <v/>
      </c>
      <c r="T219" s="20">
        <f>COUNTIFS(tData[SEHTrajectPeriodeDatumTijdVan],"&lt;="&amp;($A219+16/24),tData[SEHTrajectPeriodeDatumTijdTotEnMet],"&gt;"&amp;($A219+16/24),tData[Langligger01],1)</f>
        <v/>
      </c>
      <c r="U219" s="20">
        <f>COUNTIFS(tData[SEHTrajectPeriodeDatumTijdVan],"&lt;="&amp;($A219+17/24),tData[SEHTrajectPeriodeDatumTijdTotEnMet],"&gt;"&amp;($A219+17/24),tData[Langligger01],1)</f>
        <v/>
      </c>
      <c r="V219" s="20">
        <f>COUNTIFS(tData[SEHTrajectPeriodeDatumTijdVan],"&lt;="&amp;($A219+18/24),tData[SEHTrajectPeriodeDatumTijdTotEnMet],"&gt;"&amp;($A219+18/24),tData[Langligger01],1)</f>
        <v/>
      </c>
      <c r="W219" s="20">
        <f>COUNTIFS(tData[SEHTrajectPeriodeDatumTijdVan],"&lt;="&amp;($A219+19/24),tData[SEHTrajectPeriodeDatumTijdTotEnMet],"&gt;"&amp;($A219+19/24),tData[Langligger01],1)</f>
        <v/>
      </c>
      <c r="X219" s="20">
        <f>COUNTIFS(tData[SEHTrajectPeriodeDatumTijdVan],"&lt;="&amp;($A219+20/24),tData[SEHTrajectPeriodeDatumTijdTotEnMet],"&gt;"&amp;($A219+20/24),tData[Langligger01],1)</f>
        <v/>
      </c>
      <c r="Y219" s="20">
        <f>COUNTIFS(tData[SEHTrajectPeriodeDatumTijdVan],"&lt;="&amp;($A219+21/24),tData[SEHTrajectPeriodeDatumTijdTotEnMet],"&gt;"&amp;($A219+21/24),tData[Langligger01],1)</f>
        <v/>
      </c>
      <c r="Z219" s="20">
        <f>COUNTIFS(tData[SEHTrajectPeriodeDatumTijdVan],"&lt;="&amp;($A219+22/24),tData[SEHTrajectPeriodeDatumTijdTotEnMet],"&gt;"&amp;($A219+22/24),tData[Langligger01],1)</f>
        <v/>
      </c>
      <c r="AA219" s="20">
        <f>COUNTIFS(tData[SEHTrajectPeriodeDatumTijdVan],"&lt;="&amp;($A219+23/24),tData[SEHTrajectPeriodeDatumTijdTotEnMet],"&gt;"&amp;($A219+23/24),tData[Langligger01],1)</f>
        <v/>
      </c>
    </row>
    <row r="220">
      <c r="A220" s="19" t="n">
        <v>45508</v>
      </c>
      <c r="B220" s="15">
        <f>WEEKDAY($A220,2)</f>
        <v/>
      </c>
      <c r="C220" s="15">
        <f>IF(AND($A220&gt;=INT(Instellingen!$B$5),$A220&lt;=INT(Instellingen!$B$6)),1,0)</f>
        <v/>
      </c>
      <c r="D220" s="20">
        <f>COUNTIFS(tData[SEHTrajectPeriodeDatumTijdVan],"&lt;="&amp;($A220+0/24),tData[SEHTrajectPeriodeDatumTijdTotEnMet],"&gt;"&amp;($A220+0/24),tData[Langligger01],1)</f>
        <v/>
      </c>
      <c r="E220" s="20">
        <f>COUNTIFS(tData[SEHTrajectPeriodeDatumTijdVan],"&lt;="&amp;($A220+1/24),tData[SEHTrajectPeriodeDatumTijdTotEnMet],"&gt;"&amp;($A220+1/24),tData[Langligger01],1)</f>
        <v/>
      </c>
      <c r="F220" s="20">
        <f>COUNTIFS(tData[SEHTrajectPeriodeDatumTijdVan],"&lt;="&amp;($A220+2/24),tData[SEHTrajectPeriodeDatumTijdTotEnMet],"&gt;"&amp;($A220+2/24),tData[Langligger01],1)</f>
        <v/>
      </c>
      <c r="G220" s="20">
        <f>COUNTIFS(tData[SEHTrajectPeriodeDatumTijdVan],"&lt;="&amp;($A220+3/24),tData[SEHTrajectPeriodeDatumTijdTotEnMet],"&gt;"&amp;($A220+3/24),tData[Langligger01],1)</f>
        <v/>
      </c>
      <c r="H220" s="20">
        <f>COUNTIFS(tData[SEHTrajectPeriodeDatumTijdVan],"&lt;="&amp;($A220+4/24),tData[SEHTrajectPeriodeDatumTijdTotEnMet],"&gt;"&amp;($A220+4/24),tData[Langligger01],1)</f>
        <v/>
      </c>
      <c r="I220" s="20">
        <f>COUNTIFS(tData[SEHTrajectPeriodeDatumTijdVan],"&lt;="&amp;($A220+5/24),tData[SEHTrajectPeriodeDatumTijdTotEnMet],"&gt;"&amp;($A220+5/24),tData[Langligger01],1)</f>
        <v/>
      </c>
      <c r="J220" s="20">
        <f>COUNTIFS(tData[SEHTrajectPeriodeDatumTijdVan],"&lt;="&amp;($A220+6/24),tData[SEHTrajectPeriodeDatumTijdTotEnMet],"&gt;"&amp;($A220+6/24),tData[Langligger01],1)</f>
        <v/>
      </c>
      <c r="K220" s="20">
        <f>COUNTIFS(tData[SEHTrajectPeriodeDatumTijdVan],"&lt;="&amp;($A220+7/24),tData[SEHTrajectPeriodeDatumTijdTotEnMet],"&gt;"&amp;($A220+7/24),tData[Langligger01],1)</f>
        <v/>
      </c>
      <c r="L220" s="20">
        <f>COUNTIFS(tData[SEHTrajectPeriodeDatumTijdVan],"&lt;="&amp;($A220+8/24),tData[SEHTrajectPeriodeDatumTijdTotEnMet],"&gt;"&amp;($A220+8/24),tData[Langligger01],1)</f>
        <v/>
      </c>
      <c r="M220" s="20">
        <f>COUNTIFS(tData[SEHTrajectPeriodeDatumTijdVan],"&lt;="&amp;($A220+9/24),tData[SEHTrajectPeriodeDatumTijdTotEnMet],"&gt;"&amp;($A220+9/24),tData[Langligger01],1)</f>
        <v/>
      </c>
      <c r="N220" s="20">
        <f>COUNTIFS(tData[SEHTrajectPeriodeDatumTijdVan],"&lt;="&amp;($A220+10/24),tData[SEHTrajectPeriodeDatumTijdTotEnMet],"&gt;"&amp;($A220+10/24),tData[Langligger01],1)</f>
        <v/>
      </c>
      <c r="O220" s="20">
        <f>COUNTIFS(tData[SEHTrajectPeriodeDatumTijdVan],"&lt;="&amp;($A220+11/24),tData[SEHTrajectPeriodeDatumTijdTotEnMet],"&gt;"&amp;($A220+11/24),tData[Langligger01],1)</f>
        <v/>
      </c>
      <c r="P220" s="20">
        <f>COUNTIFS(tData[SEHTrajectPeriodeDatumTijdVan],"&lt;="&amp;($A220+12/24),tData[SEHTrajectPeriodeDatumTijdTotEnMet],"&gt;"&amp;($A220+12/24),tData[Langligger01],1)</f>
        <v/>
      </c>
      <c r="Q220" s="20">
        <f>COUNTIFS(tData[SEHTrajectPeriodeDatumTijdVan],"&lt;="&amp;($A220+13/24),tData[SEHTrajectPeriodeDatumTijdTotEnMet],"&gt;"&amp;($A220+13/24),tData[Langligger01],1)</f>
        <v/>
      </c>
      <c r="R220" s="20">
        <f>COUNTIFS(tData[SEHTrajectPeriodeDatumTijdVan],"&lt;="&amp;($A220+14/24),tData[SEHTrajectPeriodeDatumTijdTotEnMet],"&gt;"&amp;($A220+14/24),tData[Langligger01],1)</f>
        <v/>
      </c>
      <c r="S220" s="20">
        <f>COUNTIFS(tData[SEHTrajectPeriodeDatumTijdVan],"&lt;="&amp;($A220+15/24),tData[SEHTrajectPeriodeDatumTijdTotEnMet],"&gt;"&amp;($A220+15/24),tData[Langligger01],1)</f>
        <v/>
      </c>
      <c r="T220" s="20">
        <f>COUNTIFS(tData[SEHTrajectPeriodeDatumTijdVan],"&lt;="&amp;($A220+16/24),tData[SEHTrajectPeriodeDatumTijdTotEnMet],"&gt;"&amp;($A220+16/24),tData[Langligger01],1)</f>
        <v/>
      </c>
      <c r="U220" s="20">
        <f>COUNTIFS(tData[SEHTrajectPeriodeDatumTijdVan],"&lt;="&amp;($A220+17/24),tData[SEHTrajectPeriodeDatumTijdTotEnMet],"&gt;"&amp;($A220+17/24),tData[Langligger01],1)</f>
        <v/>
      </c>
      <c r="V220" s="20">
        <f>COUNTIFS(tData[SEHTrajectPeriodeDatumTijdVan],"&lt;="&amp;($A220+18/24),tData[SEHTrajectPeriodeDatumTijdTotEnMet],"&gt;"&amp;($A220+18/24),tData[Langligger01],1)</f>
        <v/>
      </c>
      <c r="W220" s="20">
        <f>COUNTIFS(tData[SEHTrajectPeriodeDatumTijdVan],"&lt;="&amp;($A220+19/24),tData[SEHTrajectPeriodeDatumTijdTotEnMet],"&gt;"&amp;($A220+19/24),tData[Langligger01],1)</f>
        <v/>
      </c>
      <c r="X220" s="20">
        <f>COUNTIFS(tData[SEHTrajectPeriodeDatumTijdVan],"&lt;="&amp;($A220+20/24),tData[SEHTrajectPeriodeDatumTijdTotEnMet],"&gt;"&amp;($A220+20/24),tData[Langligger01],1)</f>
        <v/>
      </c>
      <c r="Y220" s="20">
        <f>COUNTIFS(tData[SEHTrajectPeriodeDatumTijdVan],"&lt;="&amp;($A220+21/24),tData[SEHTrajectPeriodeDatumTijdTotEnMet],"&gt;"&amp;($A220+21/24),tData[Langligger01],1)</f>
        <v/>
      </c>
      <c r="Z220" s="20">
        <f>COUNTIFS(tData[SEHTrajectPeriodeDatumTijdVan],"&lt;="&amp;($A220+22/24),tData[SEHTrajectPeriodeDatumTijdTotEnMet],"&gt;"&amp;($A220+22/24),tData[Langligger01],1)</f>
        <v/>
      </c>
      <c r="AA220" s="20">
        <f>COUNTIFS(tData[SEHTrajectPeriodeDatumTijdVan],"&lt;="&amp;($A220+23/24),tData[SEHTrajectPeriodeDatumTijdTotEnMet],"&gt;"&amp;($A220+23/24),tData[Langligger01],1)</f>
        <v/>
      </c>
    </row>
    <row r="221">
      <c r="A221" s="19" t="n">
        <v>45509</v>
      </c>
      <c r="B221" s="15">
        <f>WEEKDAY($A221,2)</f>
        <v/>
      </c>
      <c r="C221" s="15">
        <f>IF(AND($A221&gt;=INT(Instellingen!$B$5),$A221&lt;=INT(Instellingen!$B$6)),1,0)</f>
        <v/>
      </c>
      <c r="D221" s="20">
        <f>COUNTIFS(tData[SEHTrajectPeriodeDatumTijdVan],"&lt;="&amp;($A221+0/24),tData[SEHTrajectPeriodeDatumTijdTotEnMet],"&gt;"&amp;($A221+0/24),tData[Langligger01],1)</f>
        <v/>
      </c>
      <c r="E221" s="20">
        <f>COUNTIFS(tData[SEHTrajectPeriodeDatumTijdVan],"&lt;="&amp;($A221+1/24),tData[SEHTrajectPeriodeDatumTijdTotEnMet],"&gt;"&amp;($A221+1/24),tData[Langligger01],1)</f>
        <v/>
      </c>
      <c r="F221" s="20">
        <f>COUNTIFS(tData[SEHTrajectPeriodeDatumTijdVan],"&lt;="&amp;($A221+2/24),tData[SEHTrajectPeriodeDatumTijdTotEnMet],"&gt;"&amp;($A221+2/24),tData[Langligger01],1)</f>
        <v/>
      </c>
      <c r="G221" s="20">
        <f>COUNTIFS(tData[SEHTrajectPeriodeDatumTijdVan],"&lt;="&amp;($A221+3/24),tData[SEHTrajectPeriodeDatumTijdTotEnMet],"&gt;"&amp;($A221+3/24),tData[Langligger01],1)</f>
        <v/>
      </c>
      <c r="H221" s="20">
        <f>COUNTIFS(tData[SEHTrajectPeriodeDatumTijdVan],"&lt;="&amp;($A221+4/24),tData[SEHTrajectPeriodeDatumTijdTotEnMet],"&gt;"&amp;($A221+4/24),tData[Langligger01],1)</f>
        <v/>
      </c>
      <c r="I221" s="20">
        <f>COUNTIFS(tData[SEHTrajectPeriodeDatumTijdVan],"&lt;="&amp;($A221+5/24),tData[SEHTrajectPeriodeDatumTijdTotEnMet],"&gt;"&amp;($A221+5/24),tData[Langligger01],1)</f>
        <v/>
      </c>
      <c r="J221" s="20">
        <f>COUNTIFS(tData[SEHTrajectPeriodeDatumTijdVan],"&lt;="&amp;($A221+6/24),tData[SEHTrajectPeriodeDatumTijdTotEnMet],"&gt;"&amp;($A221+6/24),tData[Langligger01],1)</f>
        <v/>
      </c>
      <c r="K221" s="20">
        <f>COUNTIFS(tData[SEHTrajectPeriodeDatumTijdVan],"&lt;="&amp;($A221+7/24),tData[SEHTrajectPeriodeDatumTijdTotEnMet],"&gt;"&amp;($A221+7/24),tData[Langligger01],1)</f>
        <v/>
      </c>
      <c r="L221" s="20">
        <f>COUNTIFS(tData[SEHTrajectPeriodeDatumTijdVan],"&lt;="&amp;($A221+8/24),tData[SEHTrajectPeriodeDatumTijdTotEnMet],"&gt;"&amp;($A221+8/24),tData[Langligger01],1)</f>
        <v/>
      </c>
      <c r="M221" s="20">
        <f>COUNTIFS(tData[SEHTrajectPeriodeDatumTijdVan],"&lt;="&amp;($A221+9/24),tData[SEHTrajectPeriodeDatumTijdTotEnMet],"&gt;"&amp;($A221+9/24),tData[Langligger01],1)</f>
        <v/>
      </c>
      <c r="N221" s="20">
        <f>COUNTIFS(tData[SEHTrajectPeriodeDatumTijdVan],"&lt;="&amp;($A221+10/24),tData[SEHTrajectPeriodeDatumTijdTotEnMet],"&gt;"&amp;($A221+10/24),tData[Langligger01],1)</f>
        <v/>
      </c>
      <c r="O221" s="20">
        <f>COUNTIFS(tData[SEHTrajectPeriodeDatumTijdVan],"&lt;="&amp;($A221+11/24),tData[SEHTrajectPeriodeDatumTijdTotEnMet],"&gt;"&amp;($A221+11/24),tData[Langligger01],1)</f>
        <v/>
      </c>
      <c r="P221" s="20">
        <f>COUNTIFS(tData[SEHTrajectPeriodeDatumTijdVan],"&lt;="&amp;($A221+12/24),tData[SEHTrajectPeriodeDatumTijdTotEnMet],"&gt;"&amp;($A221+12/24),tData[Langligger01],1)</f>
        <v/>
      </c>
      <c r="Q221" s="20">
        <f>COUNTIFS(tData[SEHTrajectPeriodeDatumTijdVan],"&lt;="&amp;($A221+13/24),tData[SEHTrajectPeriodeDatumTijdTotEnMet],"&gt;"&amp;($A221+13/24),tData[Langligger01],1)</f>
        <v/>
      </c>
      <c r="R221" s="20">
        <f>COUNTIFS(tData[SEHTrajectPeriodeDatumTijdVan],"&lt;="&amp;($A221+14/24),tData[SEHTrajectPeriodeDatumTijdTotEnMet],"&gt;"&amp;($A221+14/24),tData[Langligger01],1)</f>
        <v/>
      </c>
      <c r="S221" s="20">
        <f>COUNTIFS(tData[SEHTrajectPeriodeDatumTijdVan],"&lt;="&amp;($A221+15/24),tData[SEHTrajectPeriodeDatumTijdTotEnMet],"&gt;"&amp;($A221+15/24),tData[Langligger01],1)</f>
        <v/>
      </c>
      <c r="T221" s="20">
        <f>COUNTIFS(tData[SEHTrajectPeriodeDatumTijdVan],"&lt;="&amp;($A221+16/24),tData[SEHTrajectPeriodeDatumTijdTotEnMet],"&gt;"&amp;($A221+16/24),tData[Langligger01],1)</f>
        <v/>
      </c>
      <c r="U221" s="20">
        <f>COUNTIFS(tData[SEHTrajectPeriodeDatumTijdVan],"&lt;="&amp;($A221+17/24),tData[SEHTrajectPeriodeDatumTijdTotEnMet],"&gt;"&amp;($A221+17/24),tData[Langligger01],1)</f>
        <v/>
      </c>
      <c r="V221" s="20">
        <f>COUNTIFS(tData[SEHTrajectPeriodeDatumTijdVan],"&lt;="&amp;($A221+18/24),tData[SEHTrajectPeriodeDatumTijdTotEnMet],"&gt;"&amp;($A221+18/24),tData[Langligger01],1)</f>
        <v/>
      </c>
      <c r="W221" s="20">
        <f>COUNTIFS(tData[SEHTrajectPeriodeDatumTijdVan],"&lt;="&amp;($A221+19/24),tData[SEHTrajectPeriodeDatumTijdTotEnMet],"&gt;"&amp;($A221+19/24),tData[Langligger01],1)</f>
        <v/>
      </c>
      <c r="X221" s="20">
        <f>COUNTIFS(tData[SEHTrajectPeriodeDatumTijdVan],"&lt;="&amp;($A221+20/24),tData[SEHTrajectPeriodeDatumTijdTotEnMet],"&gt;"&amp;($A221+20/24),tData[Langligger01],1)</f>
        <v/>
      </c>
      <c r="Y221" s="20">
        <f>COUNTIFS(tData[SEHTrajectPeriodeDatumTijdVan],"&lt;="&amp;($A221+21/24),tData[SEHTrajectPeriodeDatumTijdTotEnMet],"&gt;"&amp;($A221+21/24),tData[Langligger01],1)</f>
        <v/>
      </c>
      <c r="Z221" s="20">
        <f>COUNTIFS(tData[SEHTrajectPeriodeDatumTijdVan],"&lt;="&amp;($A221+22/24),tData[SEHTrajectPeriodeDatumTijdTotEnMet],"&gt;"&amp;($A221+22/24),tData[Langligger01],1)</f>
        <v/>
      </c>
      <c r="AA221" s="20">
        <f>COUNTIFS(tData[SEHTrajectPeriodeDatumTijdVan],"&lt;="&amp;($A221+23/24),tData[SEHTrajectPeriodeDatumTijdTotEnMet],"&gt;"&amp;($A221+23/24),tData[Langligger01],1)</f>
        <v/>
      </c>
    </row>
    <row r="222">
      <c r="A222" s="19" t="n">
        <v>45510</v>
      </c>
      <c r="B222" s="15">
        <f>WEEKDAY($A222,2)</f>
        <v/>
      </c>
      <c r="C222" s="15">
        <f>IF(AND($A222&gt;=INT(Instellingen!$B$5),$A222&lt;=INT(Instellingen!$B$6)),1,0)</f>
        <v/>
      </c>
      <c r="D222" s="20">
        <f>COUNTIFS(tData[SEHTrajectPeriodeDatumTijdVan],"&lt;="&amp;($A222+0/24),tData[SEHTrajectPeriodeDatumTijdTotEnMet],"&gt;"&amp;($A222+0/24),tData[Langligger01],1)</f>
        <v/>
      </c>
      <c r="E222" s="20">
        <f>COUNTIFS(tData[SEHTrajectPeriodeDatumTijdVan],"&lt;="&amp;($A222+1/24),tData[SEHTrajectPeriodeDatumTijdTotEnMet],"&gt;"&amp;($A222+1/24),tData[Langligger01],1)</f>
        <v/>
      </c>
      <c r="F222" s="20">
        <f>COUNTIFS(tData[SEHTrajectPeriodeDatumTijdVan],"&lt;="&amp;($A222+2/24),tData[SEHTrajectPeriodeDatumTijdTotEnMet],"&gt;"&amp;($A222+2/24),tData[Langligger01],1)</f>
        <v/>
      </c>
      <c r="G222" s="20">
        <f>COUNTIFS(tData[SEHTrajectPeriodeDatumTijdVan],"&lt;="&amp;($A222+3/24),tData[SEHTrajectPeriodeDatumTijdTotEnMet],"&gt;"&amp;($A222+3/24),tData[Langligger01],1)</f>
        <v/>
      </c>
      <c r="H222" s="20">
        <f>COUNTIFS(tData[SEHTrajectPeriodeDatumTijdVan],"&lt;="&amp;($A222+4/24),tData[SEHTrajectPeriodeDatumTijdTotEnMet],"&gt;"&amp;($A222+4/24),tData[Langligger01],1)</f>
        <v/>
      </c>
      <c r="I222" s="20">
        <f>COUNTIFS(tData[SEHTrajectPeriodeDatumTijdVan],"&lt;="&amp;($A222+5/24),tData[SEHTrajectPeriodeDatumTijdTotEnMet],"&gt;"&amp;($A222+5/24),tData[Langligger01],1)</f>
        <v/>
      </c>
      <c r="J222" s="20">
        <f>COUNTIFS(tData[SEHTrajectPeriodeDatumTijdVan],"&lt;="&amp;($A222+6/24),tData[SEHTrajectPeriodeDatumTijdTotEnMet],"&gt;"&amp;($A222+6/24),tData[Langligger01],1)</f>
        <v/>
      </c>
      <c r="K222" s="20">
        <f>COUNTIFS(tData[SEHTrajectPeriodeDatumTijdVan],"&lt;="&amp;($A222+7/24),tData[SEHTrajectPeriodeDatumTijdTotEnMet],"&gt;"&amp;($A222+7/24),tData[Langligger01],1)</f>
        <v/>
      </c>
      <c r="L222" s="20">
        <f>COUNTIFS(tData[SEHTrajectPeriodeDatumTijdVan],"&lt;="&amp;($A222+8/24),tData[SEHTrajectPeriodeDatumTijdTotEnMet],"&gt;"&amp;($A222+8/24),tData[Langligger01],1)</f>
        <v/>
      </c>
      <c r="M222" s="20">
        <f>COUNTIFS(tData[SEHTrajectPeriodeDatumTijdVan],"&lt;="&amp;($A222+9/24),tData[SEHTrajectPeriodeDatumTijdTotEnMet],"&gt;"&amp;($A222+9/24),tData[Langligger01],1)</f>
        <v/>
      </c>
      <c r="N222" s="20">
        <f>COUNTIFS(tData[SEHTrajectPeriodeDatumTijdVan],"&lt;="&amp;($A222+10/24),tData[SEHTrajectPeriodeDatumTijdTotEnMet],"&gt;"&amp;($A222+10/24),tData[Langligger01],1)</f>
        <v/>
      </c>
      <c r="O222" s="20">
        <f>COUNTIFS(tData[SEHTrajectPeriodeDatumTijdVan],"&lt;="&amp;($A222+11/24),tData[SEHTrajectPeriodeDatumTijdTotEnMet],"&gt;"&amp;($A222+11/24),tData[Langligger01],1)</f>
        <v/>
      </c>
      <c r="P222" s="20">
        <f>COUNTIFS(tData[SEHTrajectPeriodeDatumTijdVan],"&lt;="&amp;($A222+12/24),tData[SEHTrajectPeriodeDatumTijdTotEnMet],"&gt;"&amp;($A222+12/24),tData[Langligger01],1)</f>
        <v/>
      </c>
      <c r="Q222" s="20">
        <f>COUNTIFS(tData[SEHTrajectPeriodeDatumTijdVan],"&lt;="&amp;($A222+13/24),tData[SEHTrajectPeriodeDatumTijdTotEnMet],"&gt;"&amp;($A222+13/24),tData[Langligger01],1)</f>
        <v/>
      </c>
      <c r="R222" s="20">
        <f>COUNTIFS(tData[SEHTrajectPeriodeDatumTijdVan],"&lt;="&amp;($A222+14/24),tData[SEHTrajectPeriodeDatumTijdTotEnMet],"&gt;"&amp;($A222+14/24),tData[Langligger01],1)</f>
        <v/>
      </c>
      <c r="S222" s="20">
        <f>COUNTIFS(tData[SEHTrajectPeriodeDatumTijdVan],"&lt;="&amp;($A222+15/24),tData[SEHTrajectPeriodeDatumTijdTotEnMet],"&gt;"&amp;($A222+15/24),tData[Langligger01],1)</f>
        <v/>
      </c>
      <c r="T222" s="20">
        <f>COUNTIFS(tData[SEHTrajectPeriodeDatumTijdVan],"&lt;="&amp;($A222+16/24),tData[SEHTrajectPeriodeDatumTijdTotEnMet],"&gt;"&amp;($A222+16/24),tData[Langligger01],1)</f>
        <v/>
      </c>
      <c r="U222" s="20">
        <f>COUNTIFS(tData[SEHTrajectPeriodeDatumTijdVan],"&lt;="&amp;($A222+17/24),tData[SEHTrajectPeriodeDatumTijdTotEnMet],"&gt;"&amp;($A222+17/24),tData[Langligger01],1)</f>
        <v/>
      </c>
      <c r="V222" s="20">
        <f>COUNTIFS(tData[SEHTrajectPeriodeDatumTijdVan],"&lt;="&amp;($A222+18/24),tData[SEHTrajectPeriodeDatumTijdTotEnMet],"&gt;"&amp;($A222+18/24),tData[Langligger01],1)</f>
        <v/>
      </c>
      <c r="W222" s="20">
        <f>COUNTIFS(tData[SEHTrajectPeriodeDatumTijdVan],"&lt;="&amp;($A222+19/24),tData[SEHTrajectPeriodeDatumTijdTotEnMet],"&gt;"&amp;($A222+19/24),tData[Langligger01],1)</f>
        <v/>
      </c>
      <c r="X222" s="20">
        <f>COUNTIFS(tData[SEHTrajectPeriodeDatumTijdVan],"&lt;="&amp;($A222+20/24),tData[SEHTrajectPeriodeDatumTijdTotEnMet],"&gt;"&amp;($A222+20/24),tData[Langligger01],1)</f>
        <v/>
      </c>
      <c r="Y222" s="20">
        <f>COUNTIFS(tData[SEHTrajectPeriodeDatumTijdVan],"&lt;="&amp;($A222+21/24),tData[SEHTrajectPeriodeDatumTijdTotEnMet],"&gt;"&amp;($A222+21/24),tData[Langligger01],1)</f>
        <v/>
      </c>
      <c r="Z222" s="20">
        <f>COUNTIFS(tData[SEHTrajectPeriodeDatumTijdVan],"&lt;="&amp;($A222+22/24),tData[SEHTrajectPeriodeDatumTijdTotEnMet],"&gt;"&amp;($A222+22/24),tData[Langligger01],1)</f>
        <v/>
      </c>
      <c r="AA222" s="20">
        <f>COUNTIFS(tData[SEHTrajectPeriodeDatumTijdVan],"&lt;="&amp;($A222+23/24),tData[SEHTrajectPeriodeDatumTijdTotEnMet],"&gt;"&amp;($A222+23/24),tData[Langligger01],1)</f>
        <v/>
      </c>
    </row>
    <row r="223">
      <c r="A223" s="19" t="n">
        <v>45511</v>
      </c>
      <c r="B223" s="15">
        <f>WEEKDAY($A223,2)</f>
        <v/>
      </c>
      <c r="C223" s="15">
        <f>IF(AND($A223&gt;=INT(Instellingen!$B$5),$A223&lt;=INT(Instellingen!$B$6)),1,0)</f>
        <v/>
      </c>
      <c r="D223" s="20">
        <f>COUNTIFS(tData[SEHTrajectPeriodeDatumTijdVan],"&lt;="&amp;($A223+0/24),tData[SEHTrajectPeriodeDatumTijdTotEnMet],"&gt;"&amp;($A223+0/24),tData[Langligger01],1)</f>
        <v/>
      </c>
      <c r="E223" s="20">
        <f>COUNTIFS(tData[SEHTrajectPeriodeDatumTijdVan],"&lt;="&amp;($A223+1/24),tData[SEHTrajectPeriodeDatumTijdTotEnMet],"&gt;"&amp;($A223+1/24),tData[Langligger01],1)</f>
        <v/>
      </c>
      <c r="F223" s="20">
        <f>COUNTIFS(tData[SEHTrajectPeriodeDatumTijdVan],"&lt;="&amp;($A223+2/24),tData[SEHTrajectPeriodeDatumTijdTotEnMet],"&gt;"&amp;($A223+2/24),tData[Langligger01],1)</f>
        <v/>
      </c>
      <c r="G223" s="20">
        <f>COUNTIFS(tData[SEHTrajectPeriodeDatumTijdVan],"&lt;="&amp;($A223+3/24),tData[SEHTrajectPeriodeDatumTijdTotEnMet],"&gt;"&amp;($A223+3/24),tData[Langligger01],1)</f>
        <v/>
      </c>
      <c r="H223" s="20">
        <f>COUNTIFS(tData[SEHTrajectPeriodeDatumTijdVan],"&lt;="&amp;($A223+4/24),tData[SEHTrajectPeriodeDatumTijdTotEnMet],"&gt;"&amp;($A223+4/24),tData[Langligger01],1)</f>
        <v/>
      </c>
      <c r="I223" s="20">
        <f>COUNTIFS(tData[SEHTrajectPeriodeDatumTijdVan],"&lt;="&amp;($A223+5/24),tData[SEHTrajectPeriodeDatumTijdTotEnMet],"&gt;"&amp;($A223+5/24),tData[Langligger01],1)</f>
        <v/>
      </c>
      <c r="J223" s="20">
        <f>COUNTIFS(tData[SEHTrajectPeriodeDatumTijdVan],"&lt;="&amp;($A223+6/24),tData[SEHTrajectPeriodeDatumTijdTotEnMet],"&gt;"&amp;($A223+6/24),tData[Langligger01],1)</f>
        <v/>
      </c>
      <c r="K223" s="20">
        <f>COUNTIFS(tData[SEHTrajectPeriodeDatumTijdVan],"&lt;="&amp;($A223+7/24),tData[SEHTrajectPeriodeDatumTijdTotEnMet],"&gt;"&amp;($A223+7/24),tData[Langligger01],1)</f>
        <v/>
      </c>
      <c r="L223" s="20">
        <f>COUNTIFS(tData[SEHTrajectPeriodeDatumTijdVan],"&lt;="&amp;($A223+8/24),tData[SEHTrajectPeriodeDatumTijdTotEnMet],"&gt;"&amp;($A223+8/24),tData[Langligger01],1)</f>
        <v/>
      </c>
      <c r="M223" s="20">
        <f>COUNTIFS(tData[SEHTrajectPeriodeDatumTijdVan],"&lt;="&amp;($A223+9/24),tData[SEHTrajectPeriodeDatumTijdTotEnMet],"&gt;"&amp;($A223+9/24),tData[Langligger01],1)</f>
        <v/>
      </c>
      <c r="N223" s="20">
        <f>COUNTIFS(tData[SEHTrajectPeriodeDatumTijdVan],"&lt;="&amp;($A223+10/24),tData[SEHTrajectPeriodeDatumTijdTotEnMet],"&gt;"&amp;($A223+10/24),tData[Langligger01],1)</f>
        <v/>
      </c>
      <c r="O223" s="20">
        <f>COUNTIFS(tData[SEHTrajectPeriodeDatumTijdVan],"&lt;="&amp;($A223+11/24),tData[SEHTrajectPeriodeDatumTijdTotEnMet],"&gt;"&amp;($A223+11/24),tData[Langligger01],1)</f>
        <v/>
      </c>
      <c r="P223" s="20">
        <f>COUNTIFS(tData[SEHTrajectPeriodeDatumTijdVan],"&lt;="&amp;($A223+12/24),tData[SEHTrajectPeriodeDatumTijdTotEnMet],"&gt;"&amp;($A223+12/24),tData[Langligger01],1)</f>
        <v/>
      </c>
      <c r="Q223" s="20">
        <f>COUNTIFS(tData[SEHTrajectPeriodeDatumTijdVan],"&lt;="&amp;($A223+13/24),tData[SEHTrajectPeriodeDatumTijdTotEnMet],"&gt;"&amp;($A223+13/24),tData[Langligger01],1)</f>
        <v/>
      </c>
      <c r="R223" s="20">
        <f>COUNTIFS(tData[SEHTrajectPeriodeDatumTijdVan],"&lt;="&amp;($A223+14/24),tData[SEHTrajectPeriodeDatumTijdTotEnMet],"&gt;"&amp;($A223+14/24),tData[Langligger01],1)</f>
        <v/>
      </c>
      <c r="S223" s="20">
        <f>COUNTIFS(tData[SEHTrajectPeriodeDatumTijdVan],"&lt;="&amp;($A223+15/24),tData[SEHTrajectPeriodeDatumTijdTotEnMet],"&gt;"&amp;($A223+15/24),tData[Langligger01],1)</f>
        <v/>
      </c>
      <c r="T223" s="20">
        <f>COUNTIFS(tData[SEHTrajectPeriodeDatumTijdVan],"&lt;="&amp;($A223+16/24),tData[SEHTrajectPeriodeDatumTijdTotEnMet],"&gt;"&amp;($A223+16/24),tData[Langligger01],1)</f>
        <v/>
      </c>
      <c r="U223" s="20">
        <f>COUNTIFS(tData[SEHTrajectPeriodeDatumTijdVan],"&lt;="&amp;($A223+17/24),tData[SEHTrajectPeriodeDatumTijdTotEnMet],"&gt;"&amp;($A223+17/24),tData[Langligger01],1)</f>
        <v/>
      </c>
      <c r="V223" s="20">
        <f>COUNTIFS(tData[SEHTrajectPeriodeDatumTijdVan],"&lt;="&amp;($A223+18/24),tData[SEHTrajectPeriodeDatumTijdTotEnMet],"&gt;"&amp;($A223+18/24),tData[Langligger01],1)</f>
        <v/>
      </c>
      <c r="W223" s="20">
        <f>COUNTIFS(tData[SEHTrajectPeriodeDatumTijdVan],"&lt;="&amp;($A223+19/24),tData[SEHTrajectPeriodeDatumTijdTotEnMet],"&gt;"&amp;($A223+19/24),tData[Langligger01],1)</f>
        <v/>
      </c>
      <c r="X223" s="20">
        <f>COUNTIFS(tData[SEHTrajectPeriodeDatumTijdVan],"&lt;="&amp;($A223+20/24),tData[SEHTrajectPeriodeDatumTijdTotEnMet],"&gt;"&amp;($A223+20/24),tData[Langligger01],1)</f>
        <v/>
      </c>
      <c r="Y223" s="20">
        <f>COUNTIFS(tData[SEHTrajectPeriodeDatumTijdVan],"&lt;="&amp;($A223+21/24),tData[SEHTrajectPeriodeDatumTijdTotEnMet],"&gt;"&amp;($A223+21/24),tData[Langligger01],1)</f>
        <v/>
      </c>
      <c r="Z223" s="20">
        <f>COUNTIFS(tData[SEHTrajectPeriodeDatumTijdVan],"&lt;="&amp;($A223+22/24),tData[SEHTrajectPeriodeDatumTijdTotEnMet],"&gt;"&amp;($A223+22/24),tData[Langligger01],1)</f>
        <v/>
      </c>
      <c r="AA223" s="20">
        <f>COUNTIFS(tData[SEHTrajectPeriodeDatumTijdVan],"&lt;="&amp;($A223+23/24),tData[SEHTrajectPeriodeDatumTijdTotEnMet],"&gt;"&amp;($A223+23/24),tData[Langligger01],1)</f>
        <v/>
      </c>
    </row>
    <row r="224">
      <c r="A224" s="19" t="n">
        <v>45512</v>
      </c>
      <c r="B224" s="15">
        <f>WEEKDAY($A224,2)</f>
        <v/>
      </c>
      <c r="C224" s="15">
        <f>IF(AND($A224&gt;=INT(Instellingen!$B$5),$A224&lt;=INT(Instellingen!$B$6)),1,0)</f>
        <v/>
      </c>
      <c r="D224" s="20">
        <f>COUNTIFS(tData[SEHTrajectPeriodeDatumTijdVan],"&lt;="&amp;($A224+0/24),tData[SEHTrajectPeriodeDatumTijdTotEnMet],"&gt;"&amp;($A224+0/24),tData[Langligger01],1)</f>
        <v/>
      </c>
      <c r="E224" s="20">
        <f>COUNTIFS(tData[SEHTrajectPeriodeDatumTijdVan],"&lt;="&amp;($A224+1/24),tData[SEHTrajectPeriodeDatumTijdTotEnMet],"&gt;"&amp;($A224+1/24),tData[Langligger01],1)</f>
        <v/>
      </c>
      <c r="F224" s="20">
        <f>COUNTIFS(tData[SEHTrajectPeriodeDatumTijdVan],"&lt;="&amp;($A224+2/24),tData[SEHTrajectPeriodeDatumTijdTotEnMet],"&gt;"&amp;($A224+2/24),tData[Langligger01],1)</f>
        <v/>
      </c>
      <c r="G224" s="20">
        <f>COUNTIFS(tData[SEHTrajectPeriodeDatumTijdVan],"&lt;="&amp;($A224+3/24),tData[SEHTrajectPeriodeDatumTijdTotEnMet],"&gt;"&amp;($A224+3/24),tData[Langligger01],1)</f>
        <v/>
      </c>
      <c r="H224" s="20">
        <f>COUNTIFS(tData[SEHTrajectPeriodeDatumTijdVan],"&lt;="&amp;($A224+4/24),tData[SEHTrajectPeriodeDatumTijdTotEnMet],"&gt;"&amp;($A224+4/24),tData[Langligger01],1)</f>
        <v/>
      </c>
      <c r="I224" s="20">
        <f>COUNTIFS(tData[SEHTrajectPeriodeDatumTijdVan],"&lt;="&amp;($A224+5/24),tData[SEHTrajectPeriodeDatumTijdTotEnMet],"&gt;"&amp;($A224+5/24),tData[Langligger01],1)</f>
        <v/>
      </c>
      <c r="J224" s="20">
        <f>COUNTIFS(tData[SEHTrajectPeriodeDatumTijdVan],"&lt;="&amp;($A224+6/24),tData[SEHTrajectPeriodeDatumTijdTotEnMet],"&gt;"&amp;($A224+6/24),tData[Langligger01],1)</f>
        <v/>
      </c>
      <c r="K224" s="20">
        <f>COUNTIFS(tData[SEHTrajectPeriodeDatumTijdVan],"&lt;="&amp;($A224+7/24),tData[SEHTrajectPeriodeDatumTijdTotEnMet],"&gt;"&amp;($A224+7/24),tData[Langligger01],1)</f>
        <v/>
      </c>
      <c r="L224" s="20">
        <f>COUNTIFS(tData[SEHTrajectPeriodeDatumTijdVan],"&lt;="&amp;($A224+8/24),tData[SEHTrajectPeriodeDatumTijdTotEnMet],"&gt;"&amp;($A224+8/24),tData[Langligger01],1)</f>
        <v/>
      </c>
      <c r="M224" s="20">
        <f>COUNTIFS(tData[SEHTrajectPeriodeDatumTijdVan],"&lt;="&amp;($A224+9/24),tData[SEHTrajectPeriodeDatumTijdTotEnMet],"&gt;"&amp;($A224+9/24),tData[Langligger01],1)</f>
        <v/>
      </c>
      <c r="N224" s="20">
        <f>COUNTIFS(tData[SEHTrajectPeriodeDatumTijdVan],"&lt;="&amp;($A224+10/24),tData[SEHTrajectPeriodeDatumTijdTotEnMet],"&gt;"&amp;($A224+10/24),tData[Langligger01],1)</f>
        <v/>
      </c>
      <c r="O224" s="20">
        <f>COUNTIFS(tData[SEHTrajectPeriodeDatumTijdVan],"&lt;="&amp;($A224+11/24),tData[SEHTrajectPeriodeDatumTijdTotEnMet],"&gt;"&amp;($A224+11/24),tData[Langligger01],1)</f>
        <v/>
      </c>
      <c r="P224" s="20">
        <f>COUNTIFS(tData[SEHTrajectPeriodeDatumTijdVan],"&lt;="&amp;($A224+12/24),tData[SEHTrajectPeriodeDatumTijdTotEnMet],"&gt;"&amp;($A224+12/24),tData[Langligger01],1)</f>
        <v/>
      </c>
      <c r="Q224" s="20">
        <f>COUNTIFS(tData[SEHTrajectPeriodeDatumTijdVan],"&lt;="&amp;($A224+13/24),tData[SEHTrajectPeriodeDatumTijdTotEnMet],"&gt;"&amp;($A224+13/24),tData[Langligger01],1)</f>
        <v/>
      </c>
      <c r="R224" s="20">
        <f>COUNTIFS(tData[SEHTrajectPeriodeDatumTijdVan],"&lt;="&amp;($A224+14/24),tData[SEHTrajectPeriodeDatumTijdTotEnMet],"&gt;"&amp;($A224+14/24),tData[Langligger01],1)</f>
        <v/>
      </c>
      <c r="S224" s="20">
        <f>COUNTIFS(tData[SEHTrajectPeriodeDatumTijdVan],"&lt;="&amp;($A224+15/24),tData[SEHTrajectPeriodeDatumTijdTotEnMet],"&gt;"&amp;($A224+15/24),tData[Langligger01],1)</f>
        <v/>
      </c>
      <c r="T224" s="20">
        <f>COUNTIFS(tData[SEHTrajectPeriodeDatumTijdVan],"&lt;="&amp;($A224+16/24),tData[SEHTrajectPeriodeDatumTijdTotEnMet],"&gt;"&amp;($A224+16/24),tData[Langligger01],1)</f>
        <v/>
      </c>
      <c r="U224" s="20">
        <f>COUNTIFS(tData[SEHTrajectPeriodeDatumTijdVan],"&lt;="&amp;($A224+17/24),tData[SEHTrajectPeriodeDatumTijdTotEnMet],"&gt;"&amp;($A224+17/24),tData[Langligger01],1)</f>
        <v/>
      </c>
      <c r="V224" s="20">
        <f>COUNTIFS(tData[SEHTrajectPeriodeDatumTijdVan],"&lt;="&amp;($A224+18/24),tData[SEHTrajectPeriodeDatumTijdTotEnMet],"&gt;"&amp;($A224+18/24),tData[Langligger01],1)</f>
        <v/>
      </c>
      <c r="W224" s="20">
        <f>COUNTIFS(tData[SEHTrajectPeriodeDatumTijdVan],"&lt;="&amp;($A224+19/24),tData[SEHTrajectPeriodeDatumTijdTotEnMet],"&gt;"&amp;($A224+19/24),tData[Langligger01],1)</f>
        <v/>
      </c>
      <c r="X224" s="20">
        <f>COUNTIFS(tData[SEHTrajectPeriodeDatumTijdVan],"&lt;="&amp;($A224+20/24),tData[SEHTrajectPeriodeDatumTijdTotEnMet],"&gt;"&amp;($A224+20/24),tData[Langligger01],1)</f>
        <v/>
      </c>
      <c r="Y224" s="20">
        <f>COUNTIFS(tData[SEHTrajectPeriodeDatumTijdVan],"&lt;="&amp;($A224+21/24),tData[SEHTrajectPeriodeDatumTijdTotEnMet],"&gt;"&amp;($A224+21/24),tData[Langligger01],1)</f>
        <v/>
      </c>
      <c r="Z224" s="20">
        <f>COUNTIFS(tData[SEHTrajectPeriodeDatumTijdVan],"&lt;="&amp;($A224+22/24),tData[SEHTrajectPeriodeDatumTijdTotEnMet],"&gt;"&amp;($A224+22/24),tData[Langligger01],1)</f>
        <v/>
      </c>
      <c r="AA224" s="20">
        <f>COUNTIFS(tData[SEHTrajectPeriodeDatumTijdVan],"&lt;="&amp;($A224+23/24),tData[SEHTrajectPeriodeDatumTijdTotEnMet],"&gt;"&amp;($A224+23/24),tData[Langligger01],1)</f>
        <v/>
      </c>
    </row>
    <row r="225">
      <c r="A225" s="19" t="n">
        <v>45513</v>
      </c>
      <c r="B225" s="15">
        <f>WEEKDAY($A225,2)</f>
        <v/>
      </c>
      <c r="C225" s="15">
        <f>IF(AND($A225&gt;=INT(Instellingen!$B$5),$A225&lt;=INT(Instellingen!$B$6)),1,0)</f>
        <v/>
      </c>
      <c r="D225" s="20">
        <f>COUNTIFS(tData[SEHTrajectPeriodeDatumTijdVan],"&lt;="&amp;($A225+0/24),tData[SEHTrajectPeriodeDatumTijdTotEnMet],"&gt;"&amp;($A225+0/24),tData[Langligger01],1)</f>
        <v/>
      </c>
      <c r="E225" s="20">
        <f>COUNTIFS(tData[SEHTrajectPeriodeDatumTijdVan],"&lt;="&amp;($A225+1/24),tData[SEHTrajectPeriodeDatumTijdTotEnMet],"&gt;"&amp;($A225+1/24),tData[Langligger01],1)</f>
        <v/>
      </c>
      <c r="F225" s="20">
        <f>COUNTIFS(tData[SEHTrajectPeriodeDatumTijdVan],"&lt;="&amp;($A225+2/24),tData[SEHTrajectPeriodeDatumTijdTotEnMet],"&gt;"&amp;($A225+2/24),tData[Langligger01],1)</f>
        <v/>
      </c>
      <c r="G225" s="20">
        <f>COUNTIFS(tData[SEHTrajectPeriodeDatumTijdVan],"&lt;="&amp;($A225+3/24),tData[SEHTrajectPeriodeDatumTijdTotEnMet],"&gt;"&amp;($A225+3/24),tData[Langligger01],1)</f>
        <v/>
      </c>
      <c r="H225" s="20">
        <f>COUNTIFS(tData[SEHTrajectPeriodeDatumTijdVan],"&lt;="&amp;($A225+4/24),tData[SEHTrajectPeriodeDatumTijdTotEnMet],"&gt;"&amp;($A225+4/24),tData[Langligger01],1)</f>
        <v/>
      </c>
      <c r="I225" s="20">
        <f>COUNTIFS(tData[SEHTrajectPeriodeDatumTijdVan],"&lt;="&amp;($A225+5/24),tData[SEHTrajectPeriodeDatumTijdTotEnMet],"&gt;"&amp;($A225+5/24),tData[Langligger01],1)</f>
        <v/>
      </c>
      <c r="J225" s="20">
        <f>COUNTIFS(tData[SEHTrajectPeriodeDatumTijdVan],"&lt;="&amp;($A225+6/24),tData[SEHTrajectPeriodeDatumTijdTotEnMet],"&gt;"&amp;($A225+6/24),tData[Langligger01],1)</f>
        <v/>
      </c>
      <c r="K225" s="20">
        <f>COUNTIFS(tData[SEHTrajectPeriodeDatumTijdVan],"&lt;="&amp;($A225+7/24),tData[SEHTrajectPeriodeDatumTijdTotEnMet],"&gt;"&amp;($A225+7/24),tData[Langligger01],1)</f>
        <v/>
      </c>
      <c r="L225" s="20">
        <f>COUNTIFS(tData[SEHTrajectPeriodeDatumTijdVan],"&lt;="&amp;($A225+8/24),tData[SEHTrajectPeriodeDatumTijdTotEnMet],"&gt;"&amp;($A225+8/24),tData[Langligger01],1)</f>
        <v/>
      </c>
      <c r="M225" s="20">
        <f>COUNTIFS(tData[SEHTrajectPeriodeDatumTijdVan],"&lt;="&amp;($A225+9/24),tData[SEHTrajectPeriodeDatumTijdTotEnMet],"&gt;"&amp;($A225+9/24),tData[Langligger01],1)</f>
        <v/>
      </c>
      <c r="N225" s="20">
        <f>COUNTIFS(tData[SEHTrajectPeriodeDatumTijdVan],"&lt;="&amp;($A225+10/24),tData[SEHTrajectPeriodeDatumTijdTotEnMet],"&gt;"&amp;($A225+10/24),tData[Langligger01],1)</f>
        <v/>
      </c>
      <c r="O225" s="20">
        <f>COUNTIFS(tData[SEHTrajectPeriodeDatumTijdVan],"&lt;="&amp;($A225+11/24),tData[SEHTrajectPeriodeDatumTijdTotEnMet],"&gt;"&amp;($A225+11/24),tData[Langligger01],1)</f>
        <v/>
      </c>
      <c r="P225" s="20">
        <f>COUNTIFS(tData[SEHTrajectPeriodeDatumTijdVan],"&lt;="&amp;($A225+12/24),tData[SEHTrajectPeriodeDatumTijdTotEnMet],"&gt;"&amp;($A225+12/24),tData[Langligger01],1)</f>
        <v/>
      </c>
      <c r="Q225" s="20">
        <f>COUNTIFS(tData[SEHTrajectPeriodeDatumTijdVan],"&lt;="&amp;($A225+13/24),tData[SEHTrajectPeriodeDatumTijdTotEnMet],"&gt;"&amp;($A225+13/24),tData[Langligger01],1)</f>
        <v/>
      </c>
      <c r="R225" s="20">
        <f>COUNTIFS(tData[SEHTrajectPeriodeDatumTijdVan],"&lt;="&amp;($A225+14/24),tData[SEHTrajectPeriodeDatumTijdTotEnMet],"&gt;"&amp;($A225+14/24),tData[Langligger01],1)</f>
        <v/>
      </c>
      <c r="S225" s="20">
        <f>COUNTIFS(tData[SEHTrajectPeriodeDatumTijdVan],"&lt;="&amp;($A225+15/24),tData[SEHTrajectPeriodeDatumTijdTotEnMet],"&gt;"&amp;($A225+15/24),tData[Langligger01],1)</f>
        <v/>
      </c>
      <c r="T225" s="20">
        <f>COUNTIFS(tData[SEHTrajectPeriodeDatumTijdVan],"&lt;="&amp;($A225+16/24),tData[SEHTrajectPeriodeDatumTijdTotEnMet],"&gt;"&amp;($A225+16/24),tData[Langligger01],1)</f>
        <v/>
      </c>
      <c r="U225" s="20">
        <f>COUNTIFS(tData[SEHTrajectPeriodeDatumTijdVan],"&lt;="&amp;($A225+17/24),tData[SEHTrajectPeriodeDatumTijdTotEnMet],"&gt;"&amp;($A225+17/24),tData[Langligger01],1)</f>
        <v/>
      </c>
      <c r="V225" s="20">
        <f>COUNTIFS(tData[SEHTrajectPeriodeDatumTijdVan],"&lt;="&amp;($A225+18/24),tData[SEHTrajectPeriodeDatumTijdTotEnMet],"&gt;"&amp;($A225+18/24),tData[Langligger01],1)</f>
        <v/>
      </c>
      <c r="W225" s="20">
        <f>COUNTIFS(tData[SEHTrajectPeriodeDatumTijdVan],"&lt;="&amp;($A225+19/24),tData[SEHTrajectPeriodeDatumTijdTotEnMet],"&gt;"&amp;($A225+19/24),tData[Langligger01],1)</f>
        <v/>
      </c>
      <c r="X225" s="20">
        <f>COUNTIFS(tData[SEHTrajectPeriodeDatumTijdVan],"&lt;="&amp;($A225+20/24),tData[SEHTrajectPeriodeDatumTijdTotEnMet],"&gt;"&amp;($A225+20/24),tData[Langligger01],1)</f>
        <v/>
      </c>
      <c r="Y225" s="20">
        <f>COUNTIFS(tData[SEHTrajectPeriodeDatumTijdVan],"&lt;="&amp;($A225+21/24),tData[SEHTrajectPeriodeDatumTijdTotEnMet],"&gt;"&amp;($A225+21/24),tData[Langligger01],1)</f>
        <v/>
      </c>
      <c r="Z225" s="20">
        <f>COUNTIFS(tData[SEHTrajectPeriodeDatumTijdVan],"&lt;="&amp;($A225+22/24),tData[SEHTrajectPeriodeDatumTijdTotEnMet],"&gt;"&amp;($A225+22/24),tData[Langligger01],1)</f>
        <v/>
      </c>
      <c r="AA225" s="20">
        <f>COUNTIFS(tData[SEHTrajectPeriodeDatumTijdVan],"&lt;="&amp;($A225+23/24),tData[SEHTrajectPeriodeDatumTijdTotEnMet],"&gt;"&amp;($A225+23/24),tData[Langligger01],1)</f>
        <v/>
      </c>
    </row>
    <row r="226">
      <c r="A226" s="19" t="n">
        <v>45514</v>
      </c>
      <c r="B226" s="15">
        <f>WEEKDAY($A226,2)</f>
        <v/>
      </c>
      <c r="C226" s="15">
        <f>IF(AND($A226&gt;=INT(Instellingen!$B$5),$A226&lt;=INT(Instellingen!$B$6)),1,0)</f>
        <v/>
      </c>
      <c r="D226" s="20">
        <f>COUNTIFS(tData[SEHTrajectPeriodeDatumTijdVan],"&lt;="&amp;($A226+0/24),tData[SEHTrajectPeriodeDatumTijdTotEnMet],"&gt;"&amp;($A226+0/24),tData[Langligger01],1)</f>
        <v/>
      </c>
      <c r="E226" s="20">
        <f>COUNTIFS(tData[SEHTrajectPeriodeDatumTijdVan],"&lt;="&amp;($A226+1/24),tData[SEHTrajectPeriodeDatumTijdTotEnMet],"&gt;"&amp;($A226+1/24),tData[Langligger01],1)</f>
        <v/>
      </c>
      <c r="F226" s="20">
        <f>COUNTIFS(tData[SEHTrajectPeriodeDatumTijdVan],"&lt;="&amp;($A226+2/24),tData[SEHTrajectPeriodeDatumTijdTotEnMet],"&gt;"&amp;($A226+2/24),tData[Langligger01],1)</f>
        <v/>
      </c>
      <c r="G226" s="20">
        <f>COUNTIFS(tData[SEHTrajectPeriodeDatumTijdVan],"&lt;="&amp;($A226+3/24),tData[SEHTrajectPeriodeDatumTijdTotEnMet],"&gt;"&amp;($A226+3/24),tData[Langligger01],1)</f>
        <v/>
      </c>
      <c r="H226" s="20">
        <f>COUNTIFS(tData[SEHTrajectPeriodeDatumTijdVan],"&lt;="&amp;($A226+4/24),tData[SEHTrajectPeriodeDatumTijdTotEnMet],"&gt;"&amp;($A226+4/24),tData[Langligger01],1)</f>
        <v/>
      </c>
      <c r="I226" s="20">
        <f>COUNTIFS(tData[SEHTrajectPeriodeDatumTijdVan],"&lt;="&amp;($A226+5/24),tData[SEHTrajectPeriodeDatumTijdTotEnMet],"&gt;"&amp;($A226+5/24),tData[Langligger01],1)</f>
        <v/>
      </c>
      <c r="J226" s="20">
        <f>COUNTIFS(tData[SEHTrajectPeriodeDatumTijdVan],"&lt;="&amp;($A226+6/24),tData[SEHTrajectPeriodeDatumTijdTotEnMet],"&gt;"&amp;($A226+6/24),tData[Langligger01],1)</f>
        <v/>
      </c>
      <c r="K226" s="20">
        <f>COUNTIFS(tData[SEHTrajectPeriodeDatumTijdVan],"&lt;="&amp;($A226+7/24),tData[SEHTrajectPeriodeDatumTijdTotEnMet],"&gt;"&amp;($A226+7/24),tData[Langligger01],1)</f>
        <v/>
      </c>
      <c r="L226" s="20">
        <f>COUNTIFS(tData[SEHTrajectPeriodeDatumTijdVan],"&lt;="&amp;($A226+8/24),tData[SEHTrajectPeriodeDatumTijdTotEnMet],"&gt;"&amp;($A226+8/24),tData[Langligger01],1)</f>
        <v/>
      </c>
      <c r="M226" s="20">
        <f>COUNTIFS(tData[SEHTrajectPeriodeDatumTijdVan],"&lt;="&amp;($A226+9/24),tData[SEHTrajectPeriodeDatumTijdTotEnMet],"&gt;"&amp;($A226+9/24),tData[Langligger01],1)</f>
        <v/>
      </c>
      <c r="N226" s="20">
        <f>COUNTIFS(tData[SEHTrajectPeriodeDatumTijdVan],"&lt;="&amp;($A226+10/24),tData[SEHTrajectPeriodeDatumTijdTotEnMet],"&gt;"&amp;($A226+10/24),tData[Langligger01],1)</f>
        <v/>
      </c>
      <c r="O226" s="20">
        <f>COUNTIFS(tData[SEHTrajectPeriodeDatumTijdVan],"&lt;="&amp;($A226+11/24),tData[SEHTrajectPeriodeDatumTijdTotEnMet],"&gt;"&amp;($A226+11/24),tData[Langligger01],1)</f>
        <v/>
      </c>
      <c r="P226" s="20">
        <f>COUNTIFS(tData[SEHTrajectPeriodeDatumTijdVan],"&lt;="&amp;($A226+12/24),tData[SEHTrajectPeriodeDatumTijdTotEnMet],"&gt;"&amp;($A226+12/24),tData[Langligger01],1)</f>
        <v/>
      </c>
      <c r="Q226" s="20">
        <f>COUNTIFS(tData[SEHTrajectPeriodeDatumTijdVan],"&lt;="&amp;($A226+13/24),tData[SEHTrajectPeriodeDatumTijdTotEnMet],"&gt;"&amp;($A226+13/24),tData[Langligger01],1)</f>
        <v/>
      </c>
      <c r="R226" s="20">
        <f>COUNTIFS(tData[SEHTrajectPeriodeDatumTijdVan],"&lt;="&amp;($A226+14/24),tData[SEHTrajectPeriodeDatumTijdTotEnMet],"&gt;"&amp;($A226+14/24),tData[Langligger01],1)</f>
        <v/>
      </c>
      <c r="S226" s="20">
        <f>COUNTIFS(tData[SEHTrajectPeriodeDatumTijdVan],"&lt;="&amp;($A226+15/24),tData[SEHTrajectPeriodeDatumTijdTotEnMet],"&gt;"&amp;($A226+15/24),tData[Langligger01],1)</f>
        <v/>
      </c>
      <c r="T226" s="20">
        <f>COUNTIFS(tData[SEHTrajectPeriodeDatumTijdVan],"&lt;="&amp;($A226+16/24),tData[SEHTrajectPeriodeDatumTijdTotEnMet],"&gt;"&amp;($A226+16/24),tData[Langligger01],1)</f>
        <v/>
      </c>
      <c r="U226" s="20">
        <f>COUNTIFS(tData[SEHTrajectPeriodeDatumTijdVan],"&lt;="&amp;($A226+17/24),tData[SEHTrajectPeriodeDatumTijdTotEnMet],"&gt;"&amp;($A226+17/24),tData[Langligger01],1)</f>
        <v/>
      </c>
      <c r="V226" s="20">
        <f>COUNTIFS(tData[SEHTrajectPeriodeDatumTijdVan],"&lt;="&amp;($A226+18/24),tData[SEHTrajectPeriodeDatumTijdTotEnMet],"&gt;"&amp;($A226+18/24),tData[Langligger01],1)</f>
        <v/>
      </c>
      <c r="W226" s="20">
        <f>COUNTIFS(tData[SEHTrajectPeriodeDatumTijdVan],"&lt;="&amp;($A226+19/24),tData[SEHTrajectPeriodeDatumTijdTotEnMet],"&gt;"&amp;($A226+19/24),tData[Langligger01],1)</f>
        <v/>
      </c>
      <c r="X226" s="20">
        <f>COUNTIFS(tData[SEHTrajectPeriodeDatumTijdVan],"&lt;="&amp;($A226+20/24),tData[SEHTrajectPeriodeDatumTijdTotEnMet],"&gt;"&amp;($A226+20/24),tData[Langligger01],1)</f>
        <v/>
      </c>
      <c r="Y226" s="20">
        <f>COUNTIFS(tData[SEHTrajectPeriodeDatumTijdVan],"&lt;="&amp;($A226+21/24),tData[SEHTrajectPeriodeDatumTijdTotEnMet],"&gt;"&amp;($A226+21/24),tData[Langligger01],1)</f>
        <v/>
      </c>
      <c r="Z226" s="20">
        <f>COUNTIFS(tData[SEHTrajectPeriodeDatumTijdVan],"&lt;="&amp;($A226+22/24),tData[SEHTrajectPeriodeDatumTijdTotEnMet],"&gt;"&amp;($A226+22/24),tData[Langligger01],1)</f>
        <v/>
      </c>
      <c r="AA226" s="20">
        <f>COUNTIFS(tData[SEHTrajectPeriodeDatumTijdVan],"&lt;="&amp;($A226+23/24),tData[SEHTrajectPeriodeDatumTijdTotEnMet],"&gt;"&amp;($A226+23/24),tData[Langligger01],1)</f>
        <v/>
      </c>
    </row>
    <row r="227">
      <c r="A227" s="19" t="n">
        <v>45515</v>
      </c>
      <c r="B227" s="15">
        <f>WEEKDAY($A227,2)</f>
        <v/>
      </c>
      <c r="C227" s="15">
        <f>IF(AND($A227&gt;=INT(Instellingen!$B$5),$A227&lt;=INT(Instellingen!$B$6)),1,0)</f>
        <v/>
      </c>
      <c r="D227" s="20">
        <f>COUNTIFS(tData[SEHTrajectPeriodeDatumTijdVan],"&lt;="&amp;($A227+0/24),tData[SEHTrajectPeriodeDatumTijdTotEnMet],"&gt;"&amp;($A227+0/24),tData[Langligger01],1)</f>
        <v/>
      </c>
      <c r="E227" s="20">
        <f>COUNTIFS(tData[SEHTrajectPeriodeDatumTijdVan],"&lt;="&amp;($A227+1/24),tData[SEHTrajectPeriodeDatumTijdTotEnMet],"&gt;"&amp;($A227+1/24),tData[Langligger01],1)</f>
        <v/>
      </c>
      <c r="F227" s="20">
        <f>COUNTIFS(tData[SEHTrajectPeriodeDatumTijdVan],"&lt;="&amp;($A227+2/24),tData[SEHTrajectPeriodeDatumTijdTotEnMet],"&gt;"&amp;($A227+2/24),tData[Langligger01],1)</f>
        <v/>
      </c>
      <c r="G227" s="20">
        <f>COUNTIFS(tData[SEHTrajectPeriodeDatumTijdVan],"&lt;="&amp;($A227+3/24),tData[SEHTrajectPeriodeDatumTijdTotEnMet],"&gt;"&amp;($A227+3/24),tData[Langligger01],1)</f>
        <v/>
      </c>
      <c r="H227" s="20">
        <f>COUNTIFS(tData[SEHTrajectPeriodeDatumTijdVan],"&lt;="&amp;($A227+4/24),tData[SEHTrajectPeriodeDatumTijdTotEnMet],"&gt;"&amp;($A227+4/24),tData[Langligger01],1)</f>
        <v/>
      </c>
      <c r="I227" s="20">
        <f>COUNTIFS(tData[SEHTrajectPeriodeDatumTijdVan],"&lt;="&amp;($A227+5/24),tData[SEHTrajectPeriodeDatumTijdTotEnMet],"&gt;"&amp;($A227+5/24),tData[Langligger01],1)</f>
        <v/>
      </c>
      <c r="J227" s="20">
        <f>COUNTIFS(tData[SEHTrajectPeriodeDatumTijdVan],"&lt;="&amp;($A227+6/24),tData[SEHTrajectPeriodeDatumTijdTotEnMet],"&gt;"&amp;($A227+6/24),tData[Langligger01],1)</f>
        <v/>
      </c>
      <c r="K227" s="20">
        <f>COUNTIFS(tData[SEHTrajectPeriodeDatumTijdVan],"&lt;="&amp;($A227+7/24),tData[SEHTrajectPeriodeDatumTijdTotEnMet],"&gt;"&amp;($A227+7/24),tData[Langligger01],1)</f>
        <v/>
      </c>
      <c r="L227" s="20">
        <f>COUNTIFS(tData[SEHTrajectPeriodeDatumTijdVan],"&lt;="&amp;($A227+8/24),tData[SEHTrajectPeriodeDatumTijdTotEnMet],"&gt;"&amp;($A227+8/24),tData[Langligger01],1)</f>
        <v/>
      </c>
      <c r="M227" s="20">
        <f>COUNTIFS(tData[SEHTrajectPeriodeDatumTijdVan],"&lt;="&amp;($A227+9/24),tData[SEHTrajectPeriodeDatumTijdTotEnMet],"&gt;"&amp;($A227+9/24),tData[Langligger01],1)</f>
        <v/>
      </c>
      <c r="N227" s="20">
        <f>COUNTIFS(tData[SEHTrajectPeriodeDatumTijdVan],"&lt;="&amp;($A227+10/24),tData[SEHTrajectPeriodeDatumTijdTotEnMet],"&gt;"&amp;($A227+10/24),tData[Langligger01],1)</f>
        <v/>
      </c>
      <c r="O227" s="20">
        <f>COUNTIFS(tData[SEHTrajectPeriodeDatumTijdVan],"&lt;="&amp;($A227+11/24),tData[SEHTrajectPeriodeDatumTijdTotEnMet],"&gt;"&amp;($A227+11/24),tData[Langligger01],1)</f>
        <v/>
      </c>
      <c r="P227" s="20">
        <f>COUNTIFS(tData[SEHTrajectPeriodeDatumTijdVan],"&lt;="&amp;($A227+12/24),tData[SEHTrajectPeriodeDatumTijdTotEnMet],"&gt;"&amp;($A227+12/24),tData[Langligger01],1)</f>
        <v/>
      </c>
      <c r="Q227" s="20">
        <f>COUNTIFS(tData[SEHTrajectPeriodeDatumTijdVan],"&lt;="&amp;($A227+13/24),tData[SEHTrajectPeriodeDatumTijdTotEnMet],"&gt;"&amp;($A227+13/24),tData[Langligger01],1)</f>
        <v/>
      </c>
      <c r="R227" s="20">
        <f>COUNTIFS(tData[SEHTrajectPeriodeDatumTijdVan],"&lt;="&amp;($A227+14/24),tData[SEHTrajectPeriodeDatumTijdTotEnMet],"&gt;"&amp;($A227+14/24),tData[Langligger01],1)</f>
        <v/>
      </c>
      <c r="S227" s="20">
        <f>COUNTIFS(tData[SEHTrajectPeriodeDatumTijdVan],"&lt;="&amp;($A227+15/24),tData[SEHTrajectPeriodeDatumTijdTotEnMet],"&gt;"&amp;($A227+15/24),tData[Langligger01],1)</f>
        <v/>
      </c>
      <c r="T227" s="20">
        <f>COUNTIFS(tData[SEHTrajectPeriodeDatumTijdVan],"&lt;="&amp;($A227+16/24),tData[SEHTrajectPeriodeDatumTijdTotEnMet],"&gt;"&amp;($A227+16/24),tData[Langligger01],1)</f>
        <v/>
      </c>
      <c r="U227" s="20">
        <f>COUNTIFS(tData[SEHTrajectPeriodeDatumTijdVan],"&lt;="&amp;($A227+17/24),tData[SEHTrajectPeriodeDatumTijdTotEnMet],"&gt;"&amp;($A227+17/24),tData[Langligger01],1)</f>
        <v/>
      </c>
      <c r="V227" s="20">
        <f>COUNTIFS(tData[SEHTrajectPeriodeDatumTijdVan],"&lt;="&amp;($A227+18/24),tData[SEHTrajectPeriodeDatumTijdTotEnMet],"&gt;"&amp;($A227+18/24),tData[Langligger01],1)</f>
        <v/>
      </c>
      <c r="W227" s="20">
        <f>COUNTIFS(tData[SEHTrajectPeriodeDatumTijdVan],"&lt;="&amp;($A227+19/24),tData[SEHTrajectPeriodeDatumTijdTotEnMet],"&gt;"&amp;($A227+19/24),tData[Langligger01],1)</f>
        <v/>
      </c>
      <c r="X227" s="20">
        <f>COUNTIFS(tData[SEHTrajectPeriodeDatumTijdVan],"&lt;="&amp;($A227+20/24),tData[SEHTrajectPeriodeDatumTijdTotEnMet],"&gt;"&amp;($A227+20/24),tData[Langligger01],1)</f>
        <v/>
      </c>
      <c r="Y227" s="20">
        <f>COUNTIFS(tData[SEHTrajectPeriodeDatumTijdVan],"&lt;="&amp;($A227+21/24),tData[SEHTrajectPeriodeDatumTijdTotEnMet],"&gt;"&amp;($A227+21/24),tData[Langligger01],1)</f>
        <v/>
      </c>
      <c r="Z227" s="20">
        <f>COUNTIFS(tData[SEHTrajectPeriodeDatumTijdVan],"&lt;="&amp;($A227+22/24),tData[SEHTrajectPeriodeDatumTijdTotEnMet],"&gt;"&amp;($A227+22/24),tData[Langligger01],1)</f>
        <v/>
      </c>
      <c r="AA227" s="20">
        <f>COUNTIFS(tData[SEHTrajectPeriodeDatumTijdVan],"&lt;="&amp;($A227+23/24),tData[SEHTrajectPeriodeDatumTijdTotEnMet],"&gt;"&amp;($A227+23/24),tData[Langligger01],1)</f>
        <v/>
      </c>
    </row>
    <row r="228">
      <c r="A228" s="19" t="n">
        <v>45516</v>
      </c>
      <c r="B228" s="15">
        <f>WEEKDAY($A228,2)</f>
        <v/>
      </c>
      <c r="C228" s="15">
        <f>IF(AND($A228&gt;=INT(Instellingen!$B$5),$A228&lt;=INT(Instellingen!$B$6)),1,0)</f>
        <v/>
      </c>
      <c r="D228" s="20">
        <f>COUNTIFS(tData[SEHTrajectPeriodeDatumTijdVan],"&lt;="&amp;($A228+0/24),tData[SEHTrajectPeriodeDatumTijdTotEnMet],"&gt;"&amp;($A228+0/24),tData[Langligger01],1)</f>
        <v/>
      </c>
      <c r="E228" s="20">
        <f>COUNTIFS(tData[SEHTrajectPeriodeDatumTijdVan],"&lt;="&amp;($A228+1/24),tData[SEHTrajectPeriodeDatumTijdTotEnMet],"&gt;"&amp;($A228+1/24),tData[Langligger01],1)</f>
        <v/>
      </c>
      <c r="F228" s="20">
        <f>COUNTIFS(tData[SEHTrajectPeriodeDatumTijdVan],"&lt;="&amp;($A228+2/24),tData[SEHTrajectPeriodeDatumTijdTotEnMet],"&gt;"&amp;($A228+2/24),tData[Langligger01],1)</f>
        <v/>
      </c>
      <c r="G228" s="20">
        <f>COUNTIFS(tData[SEHTrajectPeriodeDatumTijdVan],"&lt;="&amp;($A228+3/24),tData[SEHTrajectPeriodeDatumTijdTotEnMet],"&gt;"&amp;($A228+3/24),tData[Langligger01],1)</f>
        <v/>
      </c>
      <c r="H228" s="20">
        <f>COUNTIFS(tData[SEHTrajectPeriodeDatumTijdVan],"&lt;="&amp;($A228+4/24),tData[SEHTrajectPeriodeDatumTijdTotEnMet],"&gt;"&amp;($A228+4/24),tData[Langligger01],1)</f>
        <v/>
      </c>
      <c r="I228" s="20">
        <f>COUNTIFS(tData[SEHTrajectPeriodeDatumTijdVan],"&lt;="&amp;($A228+5/24),tData[SEHTrajectPeriodeDatumTijdTotEnMet],"&gt;"&amp;($A228+5/24),tData[Langligger01],1)</f>
        <v/>
      </c>
      <c r="J228" s="20">
        <f>COUNTIFS(tData[SEHTrajectPeriodeDatumTijdVan],"&lt;="&amp;($A228+6/24),tData[SEHTrajectPeriodeDatumTijdTotEnMet],"&gt;"&amp;($A228+6/24),tData[Langligger01],1)</f>
        <v/>
      </c>
      <c r="K228" s="20">
        <f>COUNTIFS(tData[SEHTrajectPeriodeDatumTijdVan],"&lt;="&amp;($A228+7/24),tData[SEHTrajectPeriodeDatumTijdTotEnMet],"&gt;"&amp;($A228+7/24),tData[Langligger01],1)</f>
        <v/>
      </c>
      <c r="L228" s="20">
        <f>COUNTIFS(tData[SEHTrajectPeriodeDatumTijdVan],"&lt;="&amp;($A228+8/24),tData[SEHTrajectPeriodeDatumTijdTotEnMet],"&gt;"&amp;($A228+8/24),tData[Langligger01],1)</f>
        <v/>
      </c>
      <c r="M228" s="20">
        <f>COUNTIFS(tData[SEHTrajectPeriodeDatumTijdVan],"&lt;="&amp;($A228+9/24),tData[SEHTrajectPeriodeDatumTijdTotEnMet],"&gt;"&amp;($A228+9/24),tData[Langligger01],1)</f>
        <v/>
      </c>
      <c r="N228" s="20">
        <f>COUNTIFS(tData[SEHTrajectPeriodeDatumTijdVan],"&lt;="&amp;($A228+10/24),tData[SEHTrajectPeriodeDatumTijdTotEnMet],"&gt;"&amp;($A228+10/24),tData[Langligger01],1)</f>
        <v/>
      </c>
      <c r="O228" s="20">
        <f>COUNTIFS(tData[SEHTrajectPeriodeDatumTijdVan],"&lt;="&amp;($A228+11/24),tData[SEHTrajectPeriodeDatumTijdTotEnMet],"&gt;"&amp;($A228+11/24),tData[Langligger01],1)</f>
        <v/>
      </c>
      <c r="P228" s="20">
        <f>COUNTIFS(tData[SEHTrajectPeriodeDatumTijdVan],"&lt;="&amp;($A228+12/24),tData[SEHTrajectPeriodeDatumTijdTotEnMet],"&gt;"&amp;($A228+12/24),tData[Langligger01],1)</f>
        <v/>
      </c>
      <c r="Q228" s="20">
        <f>COUNTIFS(tData[SEHTrajectPeriodeDatumTijdVan],"&lt;="&amp;($A228+13/24),tData[SEHTrajectPeriodeDatumTijdTotEnMet],"&gt;"&amp;($A228+13/24),tData[Langligger01],1)</f>
        <v/>
      </c>
      <c r="R228" s="20">
        <f>COUNTIFS(tData[SEHTrajectPeriodeDatumTijdVan],"&lt;="&amp;($A228+14/24),tData[SEHTrajectPeriodeDatumTijdTotEnMet],"&gt;"&amp;($A228+14/24),tData[Langligger01],1)</f>
        <v/>
      </c>
      <c r="S228" s="20">
        <f>COUNTIFS(tData[SEHTrajectPeriodeDatumTijdVan],"&lt;="&amp;($A228+15/24),tData[SEHTrajectPeriodeDatumTijdTotEnMet],"&gt;"&amp;($A228+15/24),tData[Langligger01],1)</f>
        <v/>
      </c>
      <c r="T228" s="20">
        <f>COUNTIFS(tData[SEHTrajectPeriodeDatumTijdVan],"&lt;="&amp;($A228+16/24),tData[SEHTrajectPeriodeDatumTijdTotEnMet],"&gt;"&amp;($A228+16/24),tData[Langligger01],1)</f>
        <v/>
      </c>
      <c r="U228" s="20">
        <f>COUNTIFS(tData[SEHTrajectPeriodeDatumTijdVan],"&lt;="&amp;($A228+17/24),tData[SEHTrajectPeriodeDatumTijdTotEnMet],"&gt;"&amp;($A228+17/24),tData[Langligger01],1)</f>
        <v/>
      </c>
      <c r="V228" s="20">
        <f>COUNTIFS(tData[SEHTrajectPeriodeDatumTijdVan],"&lt;="&amp;($A228+18/24),tData[SEHTrajectPeriodeDatumTijdTotEnMet],"&gt;"&amp;($A228+18/24),tData[Langligger01],1)</f>
        <v/>
      </c>
      <c r="W228" s="20">
        <f>COUNTIFS(tData[SEHTrajectPeriodeDatumTijdVan],"&lt;="&amp;($A228+19/24),tData[SEHTrajectPeriodeDatumTijdTotEnMet],"&gt;"&amp;($A228+19/24),tData[Langligger01],1)</f>
        <v/>
      </c>
      <c r="X228" s="20">
        <f>COUNTIFS(tData[SEHTrajectPeriodeDatumTijdVan],"&lt;="&amp;($A228+20/24),tData[SEHTrajectPeriodeDatumTijdTotEnMet],"&gt;"&amp;($A228+20/24),tData[Langligger01],1)</f>
        <v/>
      </c>
      <c r="Y228" s="20">
        <f>COUNTIFS(tData[SEHTrajectPeriodeDatumTijdVan],"&lt;="&amp;($A228+21/24),tData[SEHTrajectPeriodeDatumTijdTotEnMet],"&gt;"&amp;($A228+21/24),tData[Langligger01],1)</f>
        <v/>
      </c>
      <c r="Z228" s="20">
        <f>COUNTIFS(tData[SEHTrajectPeriodeDatumTijdVan],"&lt;="&amp;($A228+22/24),tData[SEHTrajectPeriodeDatumTijdTotEnMet],"&gt;"&amp;($A228+22/24),tData[Langligger01],1)</f>
        <v/>
      </c>
      <c r="AA228" s="20">
        <f>COUNTIFS(tData[SEHTrajectPeriodeDatumTijdVan],"&lt;="&amp;($A228+23/24),tData[SEHTrajectPeriodeDatumTijdTotEnMet],"&gt;"&amp;($A228+23/24),tData[Langligger01],1)</f>
        <v/>
      </c>
    </row>
    <row r="229">
      <c r="A229" s="19" t="n">
        <v>45517</v>
      </c>
      <c r="B229" s="15">
        <f>WEEKDAY($A229,2)</f>
        <v/>
      </c>
      <c r="C229" s="15">
        <f>IF(AND($A229&gt;=INT(Instellingen!$B$5),$A229&lt;=INT(Instellingen!$B$6)),1,0)</f>
        <v/>
      </c>
      <c r="D229" s="20">
        <f>COUNTIFS(tData[SEHTrajectPeriodeDatumTijdVan],"&lt;="&amp;($A229+0/24),tData[SEHTrajectPeriodeDatumTijdTotEnMet],"&gt;"&amp;($A229+0/24),tData[Langligger01],1)</f>
        <v/>
      </c>
      <c r="E229" s="20">
        <f>COUNTIFS(tData[SEHTrajectPeriodeDatumTijdVan],"&lt;="&amp;($A229+1/24),tData[SEHTrajectPeriodeDatumTijdTotEnMet],"&gt;"&amp;($A229+1/24),tData[Langligger01],1)</f>
        <v/>
      </c>
      <c r="F229" s="20">
        <f>COUNTIFS(tData[SEHTrajectPeriodeDatumTijdVan],"&lt;="&amp;($A229+2/24),tData[SEHTrajectPeriodeDatumTijdTotEnMet],"&gt;"&amp;($A229+2/24),tData[Langligger01],1)</f>
        <v/>
      </c>
      <c r="G229" s="20">
        <f>COUNTIFS(tData[SEHTrajectPeriodeDatumTijdVan],"&lt;="&amp;($A229+3/24),tData[SEHTrajectPeriodeDatumTijdTotEnMet],"&gt;"&amp;($A229+3/24),tData[Langligger01],1)</f>
        <v/>
      </c>
      <c r="H229" s="20">
        <f>COUNTIFS(tData[SEHTrajectPeriodeDatumTijdVan],"&lt;="&amp;($A229+4/24),tData[SEHTrajectPeriodeDatumTijdTotEnMet],"&gt;"&amp;($A229+4/24),tData[Langligger01],1)</f>
        <v/>
      </c>
      <c r="I229" s="20">
        <f>COUNTIFS(tData[SEHTrajectPeriodeDatumTijdVan],"&lt;="&amp;($A229+5/24),tData[SEHTrajectPeriodeDatumTijdTotEnMet],"&gt;"&amp;($A229+5/24),tData[Langligger01],1)</f>
        <v/>
      </c>
      <c r="J229" s="20">
        <f>COUNTIFS(tData[SEHTrajectPeriodeDatumTijdVan],"&lt;="&amp;($A229+6/24),tData[SEHTrajectPeriodeDatumTijdTotEnMet],"&gt;"&amp;($A229+6/24),tData[Langligger01],1)</f>
        <v/>
      </c>
      <c r="K229" s="20">
        <f>COUNTIFS(tData[SEHTrajectPeriodeDatumTijdVan],"&lt;="&amp;($A229+7/24),tData[SEHTrajectPeriodeDatumTijdTotEnMet],"&gt;"&amp;($A229+7/24),tData[Langligger01],1)</f>
        <v/>
      </c>
      <c r="L229" s="20">
        <f>COUNTIFS(tData[SEHTrajectPeriodeDatumTijdVan],"&lt;="&amp;($A229+8/24),tData[SEHTrajectPeriodeDatumTijdTotEnMet],"&gt;"&amp;($A229+8/24),tData[Langligger01],1)</f>
        <v/>
      </c>
      <c r="M229" s="20">
        <f>COUNTIFS(tData[SEHTrajectPeriodeDatumTijdVan],"&lt;="&amp;($A229+9/24),tData[SEHTrajectPeriodeDatumTijdTotEnMet],"&gt;"&amp;($A229+9/24),tData[Langligger01],1)</f>
        <v/>
      </c>
      <c r="N229" s="20">
        <f>COUNTIFS(tData[SEHTrajectPeriodeDatumTijdVan],"&lt;="&amp;($A229+10/24),tData[SEHTrajectPeriodeDatumTijdTotEnMet],"&gt;"&amp;($A229+10/24),tData[Langligger01],1)</f>
        <v/>
      </c>
      <c r="O229" s="20">
        <f>COUNTIFS(tData[SEHTrajectPeriodeDatumTijdVan],"&lt;="&amp;($A229+11/24),tData[SEHTrajectPeriodeDatumTijdTotEnMet],"&gt;"&amp;($A229+11/24),tData[Langligger01],1)</f>
        <v/>
      </c>
      <c r="P229" s="20">
        <f>COUNTIFS(tData[SEHTrajectPeriodeDatumTijdVan],"&lt;="&amp;($A229+12/24),tData[SEHTrajectPeriodeDatumTijdTotEnMet],"&gt;"&amp;($A229+12/24),tData[Langligger01],1)</f>
        <v/>
      </c>
      <c r="Q229" s="20">
        <f>COUNTIFS(tData[SEHTrajectPeriodeDatumTijdVan],"&lt;="&amp;($A229+13/24),tData[SEHTrajectPeriodeDatumTijdTotEnMet],"&gt;"&amp;($A229+13/24),tData[Langligger01],1)</f>
        <v/>
      </c>
      <c r="R229" s="20">
        <f>COUNTIFS(tData[SEHTrajectPeriodeDatumTijdVan],"&lt;="&amp;($A229+14/24),tData[SEHTrajectPeriodeDatumTijdTotEnMet],"&gt;"&amp;($A229+14/24),tData[Langligger01],1)</f>
        <v/>
      </c>
      <c r="S229" s="20">
        <f>COUNTIFS(tData[SEHTrajectPeriodeDatumTijdVan],"&lt;="&amp;($A229+15/24),tData[SEHTrajectPeriodeDatumTijdTotEnMet],"&gt;"&amp;($A229+15/24),tData[Langligger01],1)</f>
        <v/>
      </c>
      <c r="T229" s="20">
        <f>COUNTIFS(tData[SEHTrajectPeriodeDatumTijdVan],"&lt;="&amp;($A229+16/24),tData[SEHTrajectPeriodeDatumTijdTotEnMet],"&gt;"&amp;($A229+16/24),tData[Langligger01],1)</f>
        <v/>
      </c>
      <c r="U229" s="20">
        <f>COUNTIFS(tData[SEHTrajectPeriodeDatumTijdVan],"&lt;="&amp;($A229+17/24),tData[SEHTrajectPeriodeDatumTijdTotEnMet],"&gt;"&amp;($A229+17/24),tData[Langligger01],1)</f>
        <v/>
      </c>
      <c r="V229" s="20">
        <f>COUNTIFS(tData[SEHTrajectPeriodeDatumTijdVan],"&lt;="&amp;($A229+18/24),tData[SEHTrajectPeriodeDatumTijdTotEnMet],"&gt;"&amp;($A229+18/24),tData[Langligger01],1)</f>
        <v/>
      </c>
      <c r="W229" s="20">
        <f>COUNTIFS(tData[SEHTrajectPeriodeDatumTijdVan],"&lt;="&amp;($A229+19/24),tData[SEHTrajectPeriodeDatumTijdTotEnMet],"&gt;"&amp;($A229+19/24),tData[Langligger01],1)</f>
        <v/>
      </c>
      <c r="X229" s="20">
        <f>COUNTIFS(tData[SEHTrajectPeriodeDatumTijdVan],"&lt;="&amp;($A229+20/24),tData[SEHTrajectPeriodeDatumTijdTotEnMet],"&gt;"&amp;($A229+20/24),tData[Langligger01],1)</f>
        <v/>
      </c>
      <c r="Y229" s="20">
        <f>COUNTIFS(tData[SEHTrajectPeriodeDatumTijdVan],"&lt;="&amp;($A229+21/24),tData[SEHTrajectPeriodeDatumTijdTotEnMet],"&gt;"&amp;($A229+21/24),tData[Langligger01],1)</f>
        <v/>
      </c>
      <c r="Z229" s="20">
        <f>COUNTIFS(tData[SEHTrajectPeriodeDatumTijdVan],"&lt;="&amp;($A229+22/24),tData[SEHTrajectPeriodeDatumTijdTotEnMet],"&gt;"&amp;($A229+22/24),tData[Langligger01],1)</f>
        <v/>
      </c>
      <c r="AA229" s="20">
        <f>COUNTIFS(tData[SEHTrajectPeriodeDatumTijdVan],"&lt;="&amp;($A229+23/24),tData[SEHTrajectPeriodeDatumTijdTotEnMet],"&gt;"&amp;($A229+23/24),tData[Langligger01],1)</f>
        <v/>
      </c>
    </row>
    <row r="230">
      <c r="A230" s="19" t="n">
        <v>45518</v>
      </c>
      <c r="B230" s="15">
        <f>WEEKDAY($A230,2)</f>
        <v/>
      </c>
      <c r="C230" s="15">
        <f>IF(AND($A230&gt;=INT(Instellingen!$B$5),$A230&lt;=INT(Instellingen!$B$6)),1,0)</f>
        <v/>
      </c>
      <c r="D230" s="20">
        <f>COUNTIFS(tData[SEHTrajectPeriodeDatumTijdVan],"&lt;="&amp;($A230+0/24),tData[SEHTrajectPeriodeDatumTijdTotEnMet],"&gt;"&amp;($A230+0/24),tData[Langligger01],1)</f>
        <v/>
      </c>
      <c r="E230" s="20">
        <f>COUNTIFS(tData[SEHTrajectPeriodeDatumTijdVan],"&lt;="&amp;($A230+1/24),tData[SEHTrajectPeriodeDatumTijdTotEnMet],"&gt;"&amp;($A230+1/24),tData[Langligger01],1)</f>
        <v/>
      </c>
      <c r="F230" s="20">
        <f>COUNTIFS(tData[SEHTrajectPeriodeDatumTijdVan],"&lt;="&amp;($A230+2/24),tData[SEHTrajectPeriodeDatumTijdTotEnMet],"&gt;"&amp;($A230+2/24),tData[Langligger01],1)</f>
        <v/>
      </c>
      <c r="G230" s="20">
        <f>COUNTIFS(tData[SEHTrajectPeriodeDatumTijdVan],"&lt;="&amp;($A230+3/24),tData[SEHTrajectPeriodeDatumTijdTotEnMet],"&gt;"&amp;($A230+3/24),tData[Langligger01],1)</f>
        <v/>
      </c>
      <c r="H230" s="20">
        <f>COUNTIFS(tData[SEHTrajectPeriodeDatumTijdVan],"&lt;="&amp;($A230+4/24),tData[SEHTrajectPeriodeDatumTijdTotEnMet],"&gt;"&amp;($A230+4/24),tData[Langligger01],1)</f>
        <v/>
      </c>
      <c r="I230" s="20">
        <f>COUNTIFS(tData[SEHTrajectPeriodeDatumTijdVan],"&lt;="&amp;($A230+5/24),tData[SEHTrajectPeriodeDatumTijdTotEnMet],"&gt;"&amp;($A230+5/24),tData[Langligger01],1)</f>
        <v/>
      </c>
      <c r="J230" s="20">
        <f>COUNTIFS(tData[SEHTrajectPeriodeDatumTijdVan],"&lt;="&amp;($A230+6/24),tData[SEHTrajectPeriodeDatumTijdTotEnMet],"&gt;"&amp;($A230+6/24),tData[Langligger01],1)</f>
        <v/>
      </c>
      <c r="K230" s="20">
        <f>COUNTIFS(tData[SEHTrajectPeriodeDatumTijdVan],"&lt;="&amp;($A230+7/24),tData[SEHTrajectPeriodeDatumTijdTotEnMet],"&gt;"&amp;($A230+7/24),tData[Langligger01],1)</f>
        <v/>
      </c>
      <c r="L230" s="20">
        <f>COUNTIFS(tData[SEHTrajectPeriodeDatumTijdVan],"&lt;="&amp;($A230+8/24),tData[SEHTrajectPeriodeDatumTijdTotEnMet],"&gt;"&amp;($A230+8/24),tData[Langligger01],1)</f>
        <v/>
      </c>
      <c r="M230" s="20">
        <f>COUNTIFS(tData[SEHTrajectPeriodeDatumTijdVan],"&lt;="&amp;($A230+9/24),tData[SEHTrajectPeriodeDatumTijdTotEnMet],"&gt;"&amp;($A230+9/24),tData[Langligger01],1)</f>
        <v/>
      </c>
      <c r="N230" s="20">
        <f>COUNTIFS(tData[SEHTrajectPeriodeDatumTijdVan],"&lt;="&amp;($A230+10/24),tData[SEHTrajectPeriodeDatumTijdTotEnMet],"&gt;"&amp;($A230+10/24),tData[Langligger01],1)</f>
        <v/>
      </c>
      <c r="O230" s="20">
        <f>COUNTIFS(tData[SEHTrajectPeriodeDatumTijdVan],"&lt;="&amp;($A230+11/24),tData[SEHTrajectPeriodeDatumTijdTotEnMet],"&gt;"&amp;($A230+11/24),tData[Langligger01],1)</f>
        <v/>
      </c>
      <c r="P230" s="20">
        <f>COUNTIFS(tData[SEHTrajectPeriodeDatumTijdVan],"&lt;="&amp;($A230+12/24),tData[SEHTrajectPeriodeDatumTijdTotEnMet],"&gt;"&amp;($A230+12/24),tData[Langligger01],1)</f>
        <v/>
      </c>
      <c r="Q230" s="20">
        <f>COUNTIFS(tData[SEHTrajectPeriodeDatumTijdVan],"&lt;="&amp;($A230+13/24),tData[SEHTrajectPeriodeDatumTijdTotEnMet],"&gt;"&amp;($A230+13/24),tData[Langligger01],1)</f>
        <v/>
      </c>
      <c r="R230" s="20">
        <f>COUNTIFS(tData[SEHTrajectPeriodeDatumTijdVan],"&lt;="&amp;($A230+14/24),tData[SEHTrajectPeriodeDatumTijdTotEnMet],"&gt;"&amp;($A230+14/24),tData[Langligger01],1)</f>
        <v/>
      </c>
      <c r="S230" s="20">
        <f>COUNTIFS(tData[SEHTrajectPeriodeDatumTijdVan],"&lt;="&amp;($A230+15/24),tData[SEHTrajectPeriodeDatumTijdTotEnMet],"&gt;"&amp;($A230+15/24),tData[Langligger01],1)</f>
        <v/>
      </c>
      <c r="T230" s="20">
        <f>COUNTIFS(tData[SEHTrajectPeriodeDatumTijdVan],"&lt;="&amp;($A230+16/24),tData[SEHTrajectPeriodeDatumTijdTotEnMet],"&gt;"&amp;($A230+16/24),tData[Langligger01],1)</f>
        <v/>
      </c>
      <c r="U230" s="20">
        <f>COUNTIFS(tData[SEHTrajectPeriodeDatumTijdVan],"&lt;="&amp;($A230+17/24),tData[SEHTrajectPeriodeDatumTijdTotEnMet],"&gt;"&amp;($A230+17/24),tData[Langligger01],1)</f>
        <v/>
      </c>
      <c r="V230" s="20">
        <f>COUNTIFS(tData[SEHTrajectPeriodeDatumTijdVan],"&lt;="&amp;($A230+18/24),tData[SEHTrajectPeriodeDatumTijdTotEnMet],"&gt;"&amp;($A230+18/24),tData[Langligger01],1)</f>
        <v/>
      </c>
      <c r="W230" s="20">
        <f>COUNTIFS(tData[SEHTrajectPeriodeDatumTijdVan],"&lt;="&amp;($A230+19/24),tData[SEHTrajectPeriodeDatumTijdTotEnMet],"&gt;"&amp;($A230+19/24),tData[Langligger01],1)</f>
        <v/>
      </c>
      <c r="X230" s="20">
        <f>COUNTIFS(tData[SEHTrajectPeriodeDatumTijdVan],"&lt;="&amp;($A230+20/24),tData[SEHTrajectPeriodeDatumTijdTotEnMet],"&gt;"&amp;($A230+20/24),tData[Langligger01],1)</f>
        <v/>
      </c>
      <c r="Y230" s="20">
        <f>COUNTIFS(tData[SEHTrajectPeriodeDatumTijdVan],"&lt;="&amp;($A230+21/24),tData[SEHTrajectPeriodeDatumTijdTotEnMet],"&gt;"&amp;($A230+21/24),tData[Langligger01],1)</f>
        <v/>
      </c>
      <c r="Z230" s="20">
        <f>COUNTIFS(tData[SEHTrajectPeriodeDatumTijdVan],"&lt;="&amp;($A230+22/24),tData[SEHTrajectPeriodeDatumTijdTotEnMet],"&gt;"&amp;($A230+22/24),tData[Langligger01],1)</f>
        <v/>
      </c>
      <c r="AA230" s="20">
        <f>COUNTIFS(tData[SEHTrajectPeriodeDatumTijdVan],"&lt;="&amp;($A230+23/24),tData[SEHTrajectPeriodeDatumTijdTotEnMet],"&gt;"&amp;($A230+23/24),tData[Langligger01],1)</f>
        <v/>
      </c>
    </row>
    <row r="231">
      <c r="A231" s="19" t="n">
        <v>45519</v>
      </c>
      <c r="B231" s="15">
        <f>WEEKDAY($A231,2)</f>
        <v/>
      </c>
      <c r="C231" s="15">
        <f>IF(AND($A231&gt;=INT(Instellingen!$B$5),$A231&lt;=INT(Instellingen!$B$6)),1,0)</f>
        <v/>
      </c>
      <c r="D231" s="20">
        <f>COUNTIFS(tData[SEHTrajectPeriodeDatumTijdVan],"&lt;="&amp;($A231+0/24),tData[SEHTrajectPeriodeDatumTijdTotEnMet],"&gt;"&amp;($A231+0/24),tData[Langligger01],1)</f>
        <v/>
      </c>
      <c r="E231" s="20">
        <f>COUNTIFS(tData[SEHTrajectPeriodeDatumTijdVan],"&lt;="&amp;($A231+1/24),tData[SEHTrajectPeriodeDatumTijdTotEnMet],"&gt;"&amp;($A231+1/24),tData[Langligger01],1)</f>
        <v/>
      </c>
      <c r="F231" s="20">
        <f>COUNTIFS(tData[SEHTrajectPeriodeDatumTijdVan],"&lt;="&amp;($A231+2/24),tData[SEHTrajectPeriodeDatumTijdTotEnMet],"&gt;"&amp;($A231+2/24),tData[Langligger01],1)</f>
        <v/>
      </c>
      <c r="G231" s="20">
        <f>COUNTIFS(tData[SEHTrajectPeriodeDatumTijdVan],"&lt;="&amp;($A231+3/24),tData[SEHTrajectPeriodeDatumTijdTotEnMet],"&gt;"&amp;($A231+3/24),tData[Langligger01],1)</f>
        <v/>
      </c>
      <c r="H231" s="20">
        <f>COUNTIFS(tData[SEHTrajectPeriodeDatumTijdVan],"&lt;="&amp;($A231+4/24),tData[SEHTrajectPeriodeDatumTijdTotEnMet],"&gt;"&amp;($A231+4/24),tData[Langligger01],1)</f>
        <v/>
      </c>
      <c r="I231" s="20">
        <f>COUNTIFS(tData[SEHTrajectPeriodeDatumTijdVan],"&lt;="&amp;($A231+5/24),tData[SEHTrajectPeriodeDatumTijdTotEnMet],"&gt;"&amp;($A231+5/24),tData[Langligger01],1)</f>
        <v/>
      </c>
      <c r="J231" s="20">
        <f>COUNTIFS(tData[SEHTrajectPeriodeDatumTijdVan],"&lt;="&amp;($A231+6/24),tData[SEHTrajectPeriodeDatumTijdTotEnMet],"&gt;"&amp;($A231+6/24),tData[Langligger01],1)</f>
        <v/>
      </c>
      <c r="K231" s="20">
        <f>COUNTIFS(tData[SEHTrajectPeriodeDatumTijdVan],"&lt;="&amp;($A231+7/24),tData[SEHTrajectPeriodeDatumTijdTotEnMet],"&gt;"&amp;($A231+7/24),tData[Langligger01],1)</f>
        <v/>
      </c>
      <c r="L231" s="20">
        <f>COUNTIFS(tData[SEHTrajectPeriodeDatumTijdVan],"&lt;="&amp;($A231+8/24),tData[SEHTrajectPeriodeDatumTijdTotEnMet],"&gt;"&amp;($A231+8/24),tData[Langligger01],1)</f>
        <v/>
      </c>
      <c r="M231" s="20">
        <f>COUNTIFS(tData[SEHTrajectPeriodeDatumTijdVan],"&lt;="&amp;($A231+9/24),tData[SEHTrajectPeriodeDatumTijdTotEnMet],"&gt;"&amp;($A231+9/24),tData[Langligger01],1)</f>
        <v/>
      </c>
      <c r="N231" s="20">
        <f>COUNTIFS(tData[SEHTrajectPeriodeDatumTijdVan],"&lt;="&amp;($A231+10/24),tData[SEHTrajectPeriodeDatumTijdTotEnMet],"&gt;"&amp;($A231+10/24),tData[Langligger01],1)</f>
        <v/>
      </c>
      <c r="O231" s="20">
        <f>COUNTIFS(tData[SEHTrajectPeriodeDatumTijdVan],"&lt;="&amp;($A231+11/24),tData[SEHTrajectPeriodeDatumTijdTotEnMet],"&gt;"&amp;($A231+11/24),tData[Langligger01],1)</f>
        <v/>
      </c>
      <c r="P231" s="20">
        <f>COUNTIFS(tData[SEHTrajectPeriodeDatumTijdVan],"&lt;="&amp;($A231+12/24),tData[SEHTrajectPeriodeDatumTijdTotEnMet],"&gt;"&amp;($A231+12/24),tData[Langligger01],1)</f>
        <v/>
      </c>
      <c r="Q231" s="20">
        <f>COUNTIFS(tData[SEHTrajectPeriodeDatumTijdVan],"&lt;="&amp;($A231+13/24),tData[SEHTrajectPeriodeDatumTijdTotEnMet],"&gt;"&amp;($A231+13/24),tData[Langligger01],1)</f>
        <v/>
      </c>
      <c r="R231" s="20">
        <f>COUNTIFS(tData[SEHTrajectPeriodeDatumTijdVan],"&lt;="&amp;($A231+14/24),tData[SEHTrajectPeriodeDatumTijdTotEnMet],"&gt;"&amp;($A231+14/24),tData[Langligger01],1)</f>
        <v/>
      </c>
      <c r="S231" s="20">
        <f>COUNTIFS(tData[SEHTrajectPeriodeDatumTijdVan],"&lt;="&amp;($A231+15/24),tData[SEHTrajectPeriodeDatumTijdTotEnMet],"&gt;"&amp;($A231+15/24),tData[Langligger01],1)</f>
        <v/>
      </c>
      <c r="T231" s="20">
        <f>COUNTIFS(tData[SEHTrajectPeriodeDatumTijdVan],"&lt;="&amp;($A231+16/24),tData[SEHTrajectPeriodeDatumTijdTotEnMet],"&gt;"&amp;($A231+16/24),tData[Langligger01],1)</f>
        <v/>
      </c>
      <c r="U231" s="20">
        <f>COUNTIFS(tData[SEHTrajectPeriodeDatumTijdVan],"&lt;="&amp;($A231+17/24),tData[SEHTrajectPeriodeDatumTijdTotEnMet],"&gt;"&amp;($A231+17/24),tData[Langligger01],1)</f>
        <v/>
      </c>
      <c r="V231" s="20">
        <f>COUNTIFS(tData[SEHTrajectPeriodeDatumTijdVan],"&lt;="&amp;($A231+18/24),tData[SEHTrajectPeriodeDatumTijdTotEnMet],"&gt;"&amp;($A231+18/24),tData[Langligger01],1)</f>
        <v/>
      </c>
      <c r="W231" s="20">
        <f>COUNTIFS(tData[SEHTrajectPeriodeDatumTijdVan],"&lt;="&amp;($A231+19/24),tData[SEHTrajectPeriodeDatumTijdTotEnMet],"&gt;"&amp;($A231+19/24),tData[Langligger01],1)</f>
        <v/>
      </c>
      <c r="X231" s="20">
        <f>COUNTIFS(tData[SEHTrajectPeriodeDatumTijdVan],"&lt;="&amp;($A231+20/24),tData[SEHTrajectPeriodeDatumTijdTotEnMet],"&gt;"&amp;($A231+20/24),tData[Langligger01],1)</f>
        <v/>
      </c>
      <c r="Y231" s="20">
        <f>COUNTIFS(tData[SEHTrajectPeriodeDatumTijdVan],"&lt;="&amp;($A231+21/24),tData[SEHTrajectPeriodeDatumTijdTotEnMet],"&gt;"&amp;($A231+21/24),tData[Langligger01],1)</f>
        <v/>
      </c>
      <c r="Z231" s="20">
        <f>COUNTIFS(tData[SEHTrajectPeriodeDatumTijdVan],"&lt;="&amp;($A231+22/24),tData[SEHTrajectPeriodeDatumTijdTotEnMet],"&gt;"&amp;($A231+22/24),tData[Langligger01],1)</f>
        <v/>
      </c>
      <c r="AA231" s="20">
        <f>COUNTIFS(tData[SEHTrajectPeriodeDatumTijdVan],"&lt;="&amp;($A231+23/24),tData[SEHTrajectPeriodeDatumTijdTotEnMet],"&gt;"&amp;($A231+23/24),tData[Langligger01],1)</f>
        <v/>
      </c>
    </row>
    <row r="232">
      <c r="A232" s="19" t="n">
        <v>45520</v>
      </c>
      <c r="B232" s="15">
        <f>WEEKDAY($A232,2)</f>
        <v/>
      </c>
      <c r="C232" s="15">
        <f>IF(AND($A232&gt;=INT(Instellingen!$B$5),$A232&lt;=INT(Instellingen!$B$6)),1,0)</f>
        <v/>
      </c>
      <c r="D232" s="20">
        <f>COUNTIFS(tData[SEHTrajectPeriodeDatumTijdVan],"&lt;="&amp;($A232+0/24),tData[SEHTrajectPeriodeDatumTijdTotEnMet],"&gt;"&amp;($A232+0/24),tData[Langligger01],1)</f>
        <v/>
      </c>
      <c r="E232" s="20">
        <f>COUNTIFS(tData[SEHTrajectPeriodeDatumTijdVan],"&lt;="&amp;($A232+1/24),tData[SEHTrajectPeriodeDatumTijdTotEnMet],"&gt;"&amp;($A232+1/24),tData[Langligger01],1)</f>
        <v/>
      </c>
      <c r="F232" s="20">
        <f>COUNTIFS(tData[SEHTrajectPeriodeDatumTijdVan],"&lt;="&amp;($A232+2/24),tData[SEHTrajectPeriodeDatumTijdTotEnMet],"&gt;"&amp;($A232+2/24),tData[Langligger01],1)</f>
        <v/>
      </c>
      <c r="G232" s="20">
        <f>COUNTIFS(tData[SEHTrajectPeriodeDatumTijdVan],"&lt;="&amp;($A232+3/24),tData[SEHTrajectPeriodeDatumTijdTotEnMet],"&gt;"&amp;($A232+3/24),tData[Langligger01],1)</f>
        <v/>
      </c>
      <c r="H232" s="20">
        <f>COUNTIFS(tData[SEHTrajectPeriodeDatumTijdVan],"&lt;="&amp;($A232+4/24),tData[SEHTrajectPeriodeDatumTijdTotEnMet],"&gt;"&amp;($A232+4/24),tData[Langligger01],1)</f>
        <v/>
      </c>
      <c r="I232" s="20">
        <f>COUNTIFS(tData[SEHTrajectPeriodeDatumTijdVan],"&lt;="&amp;($A232+5/24),tData[SEHTrajectPeriodeDatumTijdTotEnMet],"&gt;"&amp;($A232+5/24),tData[Langligger01],1)</f>
        <v/>
      </c>
      <c r="J232" s="20">
        <f>COUNTIFS(tData[SEHTrajectPeriodeDatumTijdVan],"&lt;="&amp;($A232+6/24),tData[SEHTrajectPeriodeDatumTijdTotEnMet],"&gt;"&amp;($A232+6/24),tData[Langligger01],1)</f>
        <v/>
      </c>
      <c r="K232" s="20">
        <f>COUNTIFS(tData[SEHTrajectPeriodeDatumTijdVan],"&lt;="&amp;($A232+7/24),tData[SEHTrajectPeriodeDatumTijdTotEnMet],"&gt;"&amp;($A232+7/24),tData[Langligger01],1)</f>
        <v/>
      </c>
      <c r="L232" s="20">
        <f>COUNTIFS(tData[SEHTrajectPeriodeDatumTijdVan],"&lt;="&amp;($A232+8/24),tData[SEHTrajectPeriodeDatumTijdTotEnMet],"&gt;"&amp;($A232+8/24),tData[Langligger01],1)</f>
        <v/>
      </c>
      <c r="M232" s="20">
        <f>COUNTIFS(tData[SEHTrajectPeriodeDatumTijdVan],"&lt;="&amp;($A232+9/24),tData[SEHTrajectPeriodeDatumTijdTotEnMet],"&gt;"&amp;($A232+9/24),tData[Langligger01],1)</f>
        <v/>
      </c>
      <c r="N232" s="20">
        <f>COUNTIFS(tData[SEHTrajectPeriodeDatumTijdVan],"&lt;="&amp;($A232+10/24),tData[SEHTrajectPeriodeDatumTijdTotEnMet],"&gt;"&amp;($A232+10/24),tData[Langligger01],1)</f>
        <v/>
      </c>
      <c r="O232" s="20">
        <f>COUNTIFS(tData[SEHTrajectPeriodeDatumTijdVan],"&lt;="&amp;($A232+11/24),tData[SEHTrajectPeriodeDatumTijdTotEnMet],"&gt;"&amp;($A232+11/24),tData[Langligger01],1)</f>
        <v/>
      </c>
      <c r="P232" s="20">
        <f>COUNTIFS(tData[SEHTrajectPeriodeDatumTijdVan],"&lt;="&amp;($A232+12/24),tData[SEHTrajectPeriodeDatumTijdTotEnMet],"&gt;"&amp;($A232+12/24),tData[Langligger01],1)</f>
        <v/>
      </c>
      <c r="Q232" s="20">
        <f>COUNTIFS(tData[SEHTrajectPeriodeDatumTijdVan],"&lt;="&amp;($A232+13/24),tData[SEHTrajectPeriodeDatumTijdTotEnMet],"&gt;"&amp;($A232+13/24),tData[Langligger01],1)</f>
        <v/>
      </c>
      <c r="R232" s="20">
        <f>COUNTIFS(tData[SEHTrajectPeriodeDatumTijdVan],"&lt;="&amp;($A232+14/24),tData[SEHTrajectPeriodeDatumTijdTotEnMet],"&gt;"&amp;($A232+14/24),tData[Langligger01],1)</f>
        <v/>
      </c>
      <c r="S232" s="20">
        <f>COUNTIFS(tData[SEHTrajectPeriodeDatumTijdVan],"&lt;="&amp;($A232+15/24),tData[SEHTrajectPeriodeDatumTijdTotEnMet],"&gt;"&amp;($A232+15/24),tData[Langligger01],1)</f>
        <v/>
      </c>
      <c r="T232" s="20">
        <f>COUNTIFS(tData[SEHTrajectPeriodeDatumTijdVan],"&lt;="&amp;($A232+16/24),tData[SEHTrajectPeriodeDatumTijdTotEnMet],"&gt;"&amp;($A232+16/24),tData[Langligger01],1)</f>
        <v/>
      </c>
      <c r="U232" s="20">
        <f>COUNTIFS(tData[SEHTrajectPeriodeDatumTijdVan],"&lt;="&amp;($A232+17/24),tData[SEHTrajectPeriodeDatumTijdTotEnMet],"&gt;"&amp;($A232+17/24),tData[Langligger01],1)</f>
        <v/>
      </c>
      <c r="V232" s="20">
        <f>COUNTIFS(tData[SEHTrajectPeriodeDatumTijdVan],"&lt;="&amp;($A232+18/24),tData[SEHTrajectPeriodeDatumTijdTotEnMet],"&gt;"&amp;($A232+18/24),tData[Langligger01],1)</f>
        <v/>
      </c>
      <c r="W232" s="20">
        <f>COUNTIFS(tData[SEHTrajectPeriodeDatumTijdVan],"&lt;="&amp;($A232+19/24),tData[SEHTrajectPeriodeDatumTijdTotEnMet],"&gt;"&amp;($A232+19/24),tData[Langligger01],1)</f>
        <v/>
      </c>
      <c r="X232" s="20">
        <f>COUNTIFS(tData[SEHTrajectPeriodeDatumTijdVan],"&lt;="&amp;($A232+20/24),tData[SEHTrajectPeriodeDatumTijdTotEnMet],"&gt;"&amp;($A232+20/24),tData[Langligger01],1)</f>
        <v/>
      </c>
      <c r="Y232" s="20">
        <f>COUNTIFS(tData[SEHTrajectPeriodeDatumTijdVan],"&lt;="&amp;($A232+21/24),tData[SEHTrajectPeriodeDatumTijdTotEnMet],"&gt;"&amp;($A232+21/24),tData[Langligger01],1)</f>
        <v/>
      </c>
      <c r="Z232" s="20">
        <f>COUNTIFS(tData[SEHTrajectPeriodeDatumTijdVan],"&lt;="&amp;($A232+22/24),tData[SEHTrajectPeriodeDatumTijdTotEnMet],"&gt;"&amp;($A232+22/24),tData[Langligger01],1)</f>
        <v/>
      </c>
      <c r="AA232" s="20">
        <f>COUNTIFS(tData[SEHTrajectPeriodeDatumTijdVan],"&lt;="&amp;($A232+23/24),tData[SEHTrajectPeriodeDatumTijdTotEnMet],"&gt;"&amp;($A232+23/24),tData[Langligger01],1)</f>
        <v/>
      </c>
    </row>
    <row r="233">
      <c r="A233" s="19" t="n">
        <v>45521</v>
      </c>
      <c r="B233" s="15">
        <f>WEEKDAY($A233,2)</f>
        <v/>
      </c>
      <c r="C233" s="15">
        <f>IF(AND($A233&gt;=INT(Instellingen!$B$5),$A233&lt;=INT(Instellingen!$B$6)),1,0)</f>
        <v/>
      </c>
      <c r="D233" s="20">
        <f>COUNTIFS(tData[SEHTrajectPeriodeDatumTijdVan],"&lt;="&amp;($A233+0/24),tData[SEHTrajectPeriodeDatumTijdTotEnMet],"&gt;"&amp;($A233+0/24),tData[Langligger01],1)</f>
        <v/>
      </c>
      <c r="E233" s="20">
        <f>COUNTIFS(tData[SEHTrajectPeriodeDatumTijdVan],"&lt;="&amp;($A233+1/24),tData[SEHTrajectPeriodeDatumTijdTotEnMet],"&gt;"&amp;($A233+1/24),tData[Langligger01],1)</f>
        <v/>
      </c>
      <c r="F233" s="20">
        <f>COUNTIFS(tData[SEHTrajectPeriodeDatumTijdVan],"&lt;="&amp;($A233+2/24),tData[SEHTrajectPeriodeDatumTijdTotEnMet],"&gt;"&amp;($A233+2/24),tData[Langligger01],1)</f>
        <v/>
      </c>
      <c r="G233" s="20">
        <f>COUNTIFS(tData[SEHTrajectPeriodeDatumTijdVan],"&lt;="&amp;($A233+3/24),tData[SEHTrajectPeriodeDatumTijdTotEnMet],"&gt;"&amp;($A233+3/24),tData[Langligger01],1)</f>
        <v/>
      </c>
      <c r="H233" s="20">
        <f>COUNTIFS(tData[SEHTrajectPeriodeDatumTijdVan],"&lt;="&amp;($A233+4/24),tData[SEHTrajectPeriodeDatumTijdTotEnMet],"&gt;"&amp;($A233+4/24),tData[Langligger01],1)</f>
        <v/>
      </c>
      <c r="I233" s="20">
        <f>COUNTIFS(tData[SEHTrajectPeriodeDatumTijdVan],"&lt;="&amp;($A233+5/24),tData[SEHTrajectPeriodeDatumTijdTotEnMet],"&gt;"&amp;($A233+5/24),tData[Langligger01],1)</f>
        <v/>
      </c>
      <c r="J233" s="20">
        <f>COUNTIFS(tData[SEHTrajectPeriodeDatumTijdVan],"&lt;="&amp;($A233+6/24),tData[SEHTrajectPeriodeDatumTijdTotEnMet],"&gt;"&amp;($A233+6/24),tData[Langligger01],1)</f>
        <v/>
      </c>
      <c r="K233" s="20">
        <f>COUNTIFS(tData[SEHTrajectPeriodeDatumTijdVan],"&lt;="&amp;($A233+7/24),tData[SEHTrajectPeriodeDatumTijdTotEnMet],"&gt;"&amp;($A233+7/24),tData[Langligger01],1)</f>
        <v/>
      </c>
      <c r="L233" s="20">
        <f>COUNTIFS(tData[SEHTrajectPeriodeDatumTijdVan],"&lt;="&amp;($A233+8/24),tData[SEHTrajectPeriodeDatumTijdTotEnMet],"&gt;"&amp;($A233+8/24),tData[Langligger01],1)</f>
        <v/>
      </c>
      <c r="M233" s="20">
        <f>COUNTIFS(tData[SEHTrajectPeriodeDatumTijdVan],"&lt;="&amp;($A233+9/24),tData[SEHTrajectPeriodeDatumTijdTotEnMet],"&gt;"&amp;($A233+9/24),tData[Langligger01],1)</f>
        <v/>
      </c>
      <c r="N233" s="20">
        <f>COUNTIFS(tData[SEHTrajectPeriodeDatumTijdVan],"&lt;="&amp;($A233+10/24),tData[SEHTrajectPeriodeDatumTijdTotEnMet],"&gt;"&amp;($A233+10/24),tData[Langligger01],1)</f>
        <v/>
      </c>
      <c r="O233" s="20">
        <f>COUNTIFS(tData[SEHTrajectPeriodeDatumTijdVan],"&lt;="&amp;($A233+11/24),tData[SEHTrajectPeriodeDatumTijdTotEnMet],"&gt;"&amp;($A233+11/24),tData[Langligger01],1)</f>
        <v/>
      </c>
      <c r="P233" s="20">
        <f>COUNTIFS(tData[SEHTrajectPeriodeDatumTijdVan],"&lt;="&amp;($A233+12/24),tData[SEHTrajectPeriodeDatumTijdTotEnMet],"&gt;"&amp;($A233+12/24),tData[Langligger01],1)</f>
        <v/>
      </c>
      <c r="Q233" s="20">
        <f>COUNTIFS(tData[SEHTrajectPeriodeDatumTijdVan],"&lt;="&amp;($A233+13/24),tData[SEHTrajectPeriodeDatumTijdTotEnMet],"&gt;"&amp;($A233+13/24),tData[Langligger01],1)</f>
        <v/>
      </c>
      <c r="R233" s="20">
        <f>COUNTIFS(tData[SEHTrajectPeriodeDatumTijdVan],"&lt;="&amp;($A233+14/24),tData[SEHTrajectPeriodeDatumTijdTotEnMet],"&gt;"&amp;($A233+14/24),tData[Langligger01],1)</f>
        <v/>
      </c>
      <c r="S233" s="20">
        <f>COUNTIFS(tData[SEHTrajectPeriodeDatumTijdVan],"&lt;="&amp;($A233+15/24),tData[SEHTrajectPeriodeDatumTijdTotEnMet],"&gt;"&amp;($A233+15/24),tData[Langligger01],1)</f>
        <v/>
      </c>
      <c r="T233" s="20">
        <f>COUNTIFS(tData[SEHTrajectPeriodeDatumTijdVan],"&lt;="&amp;($A233+16/24),tData[SEHTrajectPeriodeDatumTijdTotEnMet],"&gt;"&amp;($A233+16/24),tData[Langligger01],1)</f>
        <v/>
      </c>
      <c r="U233" s="20">
        <f>COUNTIFS(tData[SEHTrajectPeriodeDatumTijdVan],"&lt;="&amp;($A233+17/24),tData[SEHTrajectPeriodeDatumTijdTotEnMet],"&gt;"&amp;($A233+17/24),tData[Langligger01],1)</f>
        <v/>
      </c>
      <c r="V233" s="20">
        <f>COUNTIFS(tData[SEHTrajectPeriodeDatumTijdVan],"&lt;="&amp;($A233+18/24),tData[SEHTrajectPeriodeDatumTijdTotEnMet],"&gt;"&amp;($A233+18/24),tData[Langligger01],1)</f>
        <v/>
      </c>
      <c r="W233" s="20">
        <f>COUNTIFS(tData[SEHTrajectPeriodeDatumTijdVan],"&lt;="&amp;($A233+19/24),tData[SEHTrajectPeriodeDatumTijdTotEnMet],"&gt;"&amp;($A233+19/24),tData[Langligger01],1)</f>
        <v/>
      </c>
      <c r="X233" s="20">
        <f>COUNTIFS(tData[SEHTrajectPeriodeDatumTijdVan],"&lt;="&amp;($A233+20/24),tData[SEHTrajectPeriodeDatumTijdTotEnMet],"&gt;"&amp;($A233+20/24),tData[Langligger01],1)</f>
        <v/>
      </c>
      <c r="Y233" s="20">
        <f>COUNTIFS(tData[SEHTrajectPeriodeDatumTijdVan],"&lt;="&amp;($A233+21/24),tData[SEHTrajectPeriodeDatumTijdTotEnMet],"&gt;"&amp;($A233+21/24),tData[Langligger01],1)</f>
        <v/>
      </c>
      <c r="Z233" s="20">
        <f>COUNTIFS(tData[SEHTrajectPeriodeDatumTijdVan],"&lt;="&amp;($A233+22/24),tData[SEHTrajectPeriodeDatumTijdTotEnMet],"&gt;"&amp;($A233+22/24),tData[Langligger01],1)</f>
        <v/>
      </c>
      <c r="AA233" s="20">
        <f>COUNTIFS(tData[SEHTrajectPeriodeDatumTijdVan],"&lt;="&amp;($A233+23/24),tData[SEHTrajectPeriodeDatumTijdTotEnMet],"&gt;"&amp;($A233+23/24),tData[Langligger01],1)</f>
        <v/>
      </c>
    </row>
    <row r="234">
      <c r="A234" s="19" t="n">
        <v>45522</v>
      </c>
      <c r="B234" s="15">
        <f>WEEKDAY($A234,2)</f>
        <v/>
      </c>
      <c r="C234" s="15">
        <f>IF(AND($A234&gt;=INT(Instellingen!$B$5),$A234&lt;=INT(Instellingen!$B$6)),1,0)</f>
        <v/>
      </c>
      <c r="D234" s="20">
        <f>COUNTIFS(tData[SEHTrajectPeriodeDatumTijdVan],"&lt;="&amp;($A234+0/24),tData[SEHTrajectPeriodeDatumTijdTotEnMet],"&gt;"&amp;($A234+0/24),tData[Langligger01],1)</f>
        <v/>
      </c>
      <c r="E234" s="20">
        <f>COUNTIFS(tData[SEHTrajectPeriodeDatumTijdVan],"&lt;="&amp;($A234+1/24),tData[SEHTrajectPeriodeDatumTijdTotEnMet],"&gt;"&amp;($A234+1/24),tData[Langligger01],1)</f>
        <v/>
      </c>
      <c r="F234" s="20">
        <f>COUNTIFS(tData[SEHTrajectPeriodeDatumTijdVan],"&lt;="&amp;($A234+2/24),tData[SEHTrajectPeriodeDatumTijdTotEnMet],"&gt;"&amp;($A234+2/24),tData[Langligger01],1)</f>
        <v/>
      </c>
      <c r="G234" s="20">
        <f>COUNTIFS(tData[SEHTrajectPeriodeDatumTijdVan],"&lt;="&amp;($A234+3/24),tData[SEHTrajectPeriodeDatumTijdTotEnMet],"&gt;"&amp;($A234+3/24),tData[Langligger01],1)</f>
        <v/>
      </c>
      <c r="H234" s="20">
        <f>COUNTIFS(tData[SEHTrajectPeriodeDatumTijdVan],"&lt;="&amp;($A234+4/24),tData[SEHTrajectPeriodeDatumTijdTotEnMet],"&gt;"&amp;($A234+4/24),tData[Langligger01],1)</f>
        <v/>
      </c>
      <c r="I234" s="20">
        <f>COUNTIFS(tData[SEHTrajectPeriodeDatumTijdVan],"&lt;="&amp;($A234+5/24),tData[SEHTrajectPeriodeDatumTijdTotEnMet],"&gt;"&amp;($A234+5/24),tData[Langligger01],1)</f>
        <v/>
      </c>
      <c r="J234" s="20">
        <f>COUNTIFS(tData[SEHTrajectPeriodeDatumTijdVan],"&lt;="&amp;($A234+6/24),tData[SEHTrajectPeriodeDatumTijdTotEnMet],"&gt;"&amp;($A234+6/24),tData[Langligger01],1)</f>
        <v/>
      </c>
      <c r="K234" s="20">
        <f>COUNTIFS(tData[SEHTrajectPeriodeDatumTijdVan],"&lt;="&amp;($A234+7/24),tData[SEHTrajectPeriodeDatumTijdTotEnMet],"&gt;"&amp;($A234+7/24),tData[Langligger01],1)</f>
        <v/>
      </c>
      <c r="L234" s="20">
        <f>COUNTIFS(tData[SEHTrajectPeriodeDatumTijdVan],"&lt;="&amp;($A234+8/24),tData[SEHTrajectPeriodeDatumTijdTotEnMet],"&gt;"&amp;($A234+8/24),tData[Langligger01],1)</f>
        <v/>
      </c>
      <c r="M234" s="20">
        <f>COUNTIFS(tData[SEHTrajectPeriodeDatumTijdVan],"&lt;="&amp;($A234+9/24),tData[SEHTrajectPeriodeDatumTijdTotEnMet],"&gt;"&amp;($A234+9/24),tData[Langligger01],1)</f>
        <v/>
      </c>
      <c r="N234" s="20">
        <f>COUNTIFS(tData[SEHTrajectPeriodeDatumTijdVan],"&lt;="&amp;($A234+10/24),tData[SEHTrajectPeriodeDatumTijdTotEnMet],"&gt;"&amp;($A234+10/24),tData[Langligger01],1)</f>
        <v/>
      </c>
      <c r="O234" s="20">
        <f>COUNTIFS(tData[SEHTrajectPeriodeDatumTijdVan],"&lt;="&amp;($A234+11/24),tData[SEHTrajectPeriodeDatumTijdTotEnMet],"&gt;"&amp;($A234+11/24),tData[Langligger01],1)</f>
        <v/>
      </c>
      <c r="P234" s="20">
        <f>COUNTIFS(tData[SEHTrajectPeriodeDatumTijdVan],"&lt;="&amp;($A234+12/24),tData[SEHTrajectPeriodeDatumTijdTotEnMet],"&gt;"&amp;($A234+12/24),tData[Langligger01],1)</f>
        <v/>
      </c>
      <c r="Q234" s="20">
        <f>COUNTIFS(tData[SEHTrajectPeriodeDatumTijdVan],"&lt;="&amp;($A234+13/24),tData[SEHTrajectPeriodeDatumTijdTotEnMet],"&gt;"&amp;($A234+13/24),tData[Langligger01],1)</f>
        <v/>
      </c>
      <c r="R234" s="20">
        <f>COUNTIFS(tData[SEHTrajectPeriodeDatumTijdVan],"&lt;="&amp;($A234+14/24),tData[SEHTrajectPeriodeDatumTijdTotEnMet],"&gt;"&amp;($A234+14/24),tData[Langligger01],1)</f>
        <v/>
      </c>
      <c r="S234" s="20">
        <f>COUNTIFS(tData[SEHTrajectPeriodeDatumTijdVan],"&lt;="&amp;($A234+15/24),tData[SEHTrajectPeriodeDatumTijdTotEnMet],"&gt;"&amp;($A234+15/24),tData[Langligger01],1)</f>
        <v/>
      </c>
      <c r="T234" s="20">
        <f>COUNTIFS(tData[SEHTrajectPeriodeDatumTijdVan],"&lt;="&amp;($A234+16/24),tData[SEHTrajectPeriodeDatumTijdTotEnMet],"&gt;"&amp;($A234+16/24),tData[Langligger01],1)</f>
        <v/>
      </c>
      <c r="U234" s="20">
        <f>COUNTIFS(tData[SEHTrajectPeriodeDatumTijdVan],"&lt;="&amp;($A234+17/24),tData[SEHTrajectPeriodeDatumTijdTotEnMet],"&gt;"&amp;($A234+17/24),tData[Langligger01],1)</f>
        <v/>
      </c>
      <c r="V234" s="20">
        <f>COUNTIFS(tData[SEHTrajectPeriodeDatumTijdVan],"&lt;="&amp;($A234+18/24),tData[SEHTrajectPeriodeDatumTijdTotEnMet],"&gt;"&amp;($A234+18/24),tData[Langligger01],1)</f>
        <v/>
      </c>
      <c r="W234" s="20">
        <f>COUNTIFS(tData[SEHTrajectPeriodeDatumTijdVan],"&lt;="&amp;($A234+19/24),tData[SEHTrajectPeriodeDatumTijdTotEnMet],"&gt;"&amp;($A234+19/24),tData[Langligger01],1)</f>
        <v/>
      </c>
      <c r="X234" s="20">
        <f>COUNTIFS(tData[SEHTrajectPeriodeDatumTijdVan],"&lt;="&amp;($A234+20/24),tData[SEHTrajectPeriodeDatumTijdTotEnMet],"&gt;"&amp;($A234+20/24),tData[Langligger01],1)</f>
        <v/>
      </c>
      <c r="Y234" s="20">
        <f>COUNTIFS(tData[SEHTrajectPeriodeDatumTijdVan],"&lt;="&amp;($A234+21/24),tData[SEHTrajectPeriodeDatumTijdTotEnMet],"&gt;"&amp;($A234+21/24),tData[Langligger01],1)</f>
        <v/>
      </c>
      <c r="Z234" s="20">
        <f>COUNTIFS(tData[SEHTrajectPeriodeDatumTijdVan],"&lt;="&amp;($A234+22/24),tData[SEHTrajectPeriodeDatumTijdTotEnMet],"&gt;"&amp;($A234+22/24),tData[Langligger01],1)</f>
        <v/>
      </c>
      <c r="AA234" s="20">
        <f>COUNTIFS(tData[SEHTrajectPeriodeDatumTijdVan],"&lt;="&amp;($A234+23/24),tData[SEHTrajectPeriodeDatumTijdTotEnMet],"&gt;"&amp;($A234+23/24),tData[Langligger01],1)</f>
        <v/>
      </c>
    </row>
    <row r="235">
      <c r="A235" s="19" t="n">
        <v>45523</v>
      </c>
      <c r="B235" s="15">
        <f>WEEKDAY($A235,2)</f>
        <v/>
      </c>
      <c r="C235" s="15">
        <f>IF(AND($A235&gt;=INT(Instellingen!$B$5),$A235&lt;=INT(Instellingen!$B$6)),1,0)</f>
        <v/>
      </c>
      <c r="D235" s="20">
        <f>COUNTIFS(tData[SEHTrajectPeriodeDatumTijdVan],"&lt;="&amp;($A235+0/24),tData[SEHTrajectPeriodeDatumTijdTotEnMet],"&gt;"&amp;($A235+0/24),tData[Langligger01],1)</f>
        <v/>
      </c>
      <c r="E235" s="20">
        <f>COUNTIFS(tData[SEHTrajectPeriodeDatumTijdVan],"&lt;="&amp;($A235+1/24),tData[SEHTrajectPeriodeDatumTijdTotEnMet],"&gt;"&amp;($A235+1/24),tData[Langligger01],1)</f>
        <v/>
      </c>
      <c r="F235" s="20">
        <f>COUNTIFS(tData[SEHTrajectPeriodeDatumTijdVan],"&lt;="&amp;($A235+2/24),tData[SEHTrajectPeriodeDatumTijdTotEnMet],"&gt;"&amp;($A235+2/24),tData[Langligger01],1)</f>
        <v/>
      </c>
      <c r="G235" s="20">
        <f>COUNTIFS(tData[SEHTrajectPeriodeDatumTijdVan],"&lt;="&amp;($A235+3/24),tData[SEHTrajectPeriodeDatumTijdTotEnMet],"&gt;"&amp;($A235+3/24),tData[Langligger01],1)</f>
        <v/>
      </c>
      <c r="H235" s="20">
        <f>COUNTIFS(tData[SEHTrajectPeriodeDatumTijdVan],"&lt;="&amp;($A235+4/24),tData[SEHTrajectPeriodeDatumTijdTotEnMet],"&gt;"&amp;($A235+4/24),tData[Langligger01],1)</f>
        <v/>
      </c>
      <c r="I235" s="20">
        <f>COUNTIFS(tData[SEHTrajectPeriodeDatumTijdVan],"&lt;="&amp;($A235+5/24),tData[SEHTrajectPeriodeDatumTijdTotEnMet],"&gt;"&amp;($A235+5/24),tData[Langligger01],1)</f>
        <v/>
      </c>
      <c r="J235" s="20">
        <f>COUNTIFS(tData[SEHTrajectPeriodeDatumTijdVan],"&lt;="&amp;($A235+6/24),tData[SEHTrajectPeriodeDatumTijdTotEnMet],"&gt;"&amp;($A235+6/24),tData[Langligger01],1)</f>
        <v/>
      </c>
      <c r="K235" s="20">
        <f>COUNTIFS(tData[SEHTrajectPeriodeDatumTijdVan],"&lt;="&amp;($A235+7/24),tData[SEHTrajectPeriodeDatumTijdTotEnMet],"&gt;"&amp;($A235+7/24),tData[Langligger01],1)</f>
        <v/>
      </c>
      <c r="L235" s="20">
        <f>COUNTIFS(tData[SEHTrajectPeriodeDatumTijdVan],"&lt;="&amp;($A235+8/24),tData[SEHTrajectPeriodeDatumTijdTotEnMet],"&gt;"&amp;($A235+8/24),tData[Langligger01],1)</f>
        <v/>
      </c>
      <c r="M235" s="20">
        <f>COUNTIFS(tData[SEHTrajectPeriodeDatumTijdVan],"&lt;="&amp;($A235+9/24),tData[SEHTrajectPeriodeDatumTijdTotEnMet],"&gt;"&amp;($A235+9/24),tData[Langligger01],1)</f>
        <v/>
      </c>
      <c r="N235" s="20">
        <f>COUNTIFS(tData[SEHTrajectPeriodeDatumTijdVan],"&lt;="&amp;($A235+10/24),tData[SEHTrajectPeriodeDatumTijdTotEnMet],"&gt;"&amp;($A235+10/24),tData[Langligger01],1)</f>
        <v/>
      </c>
      <c r="O235" s="20">
        <f>COUNTIFS(tData[SEHTrajectPeriodeDatumTijdVan],"&lt;="&amp;($A235+11/24),tData[SEHTrajectPeriodeDatumTijdTotEnMet],"&gt;"&amp;($A235+11/24),tData[Langligger01],1)</f>
        <v/>
      </c>
      <c r="P235" s="20">
        <f>COUNTIFS(tData[SEHTrajectPeriodeDatumTijdVan],"&lt;="&amp;($A235+12/24),tData[SEHTrajectPeriodeDatumTijdTotEnMet],"&gt;"&amp;($A235+12/24),tData[Langligger01],1)</f>
        <v/>
      </c>
      <c r="Q235" s="20">
        <f>COUNTIFS(tData[SEHTrajectPeriodeDatumTijdVan],"&lt;="&amp;($A235+13/24),tData[SEHTrajectPeriodeDatumTijdTotEnMet],"&gt;"&amp;($A235+13/24),tData[Langligger01],1)</f>
        <v/>
      </c>
      <c r="R235" s="20">
        <f>COUNTIFS(tData[SEHTrajectPeriodeDatumTijdVan],"&lt;="&amp;($A235+14/24),tData[SEHTrajectPeriodeDatumTijdTotEnMet],"&gt;"&amp;($A235+14/24),tData[Langligger01],1)</f>
        <v/>
      </c>
      <c r="S235" s="20">
        <f>COUNTIFS(tData[SEHTrajectPeriodeDatumTijdVan],"&lt;="&amp;($A235+15/24),tData[SEHTrajectPeriodeDatumTijdTotEnMet],"&gt;"&amp;($A235+15/24),tData[Langligger01],1)</f>
        <v/>
      </c>
      <c r="T235" s="20">
        <f>COUNTIFS(tData[SEHTrajectPeriodeDatumTijdVan],"&lt;="&amp;($A235+16/24),tData[SEHTrajectPeriodeDatumTijdTotEnMet],"&gt;"&amp;($A235+16/24),tData[Langligger01],1)</f>
        <v/>
      </c>
      <c r="U235" s="20">
        <f>COUNTIFS(tData[SEHTrajectPeriodeDatumTijdVan],"&lt;="&amp;($A235+17/24),tData[SEHTrajectPeriodeDatumTijdTotEnMet],"&gt;"&amp;($A235+17/24),tData[Langligger01],1)</f>
        <v/>
      </c>
      <c r="V235" s="20">
        <f>COUNTIFS(tData[SEHTrajectPeriodeDatumTijdVan],"&lt;="&amp;($A235+18/24),tData[SEHTrajectPeriodeDatumTijdTotEnMet],"&gt;"&amp;($A235+18/24),tData[Langligger01],1)</f>
        <v/>
      </c>
      <c r="W235" s="20">
        <f>COUNTIFS(tData[SEHTrajectPeriodeDatumTijdVan],"&lt;="&amp;($A235+19/24),tData[SEHTrajectPeriodeDatumTijdTotEnMet],"&gt;"&amp;($A235+19/24),tData[Langligger01],1)</f>
        <v/>
      </c>
      <c r="X235" s="20">
        <f>COUNTIFS(tData[SEHTrajectPeriodeDatumTijdVan],"&lt;="&amp;($A235+20/24),tData[SEHTrajectPeriodeDatumTijdTotEnMet],"&gt;"&amp;($A235+20/24),tData[Langligger01],1)</f>
        <v/>
      </c>
      <c r="Y235" s="20">
        <f>COUNTIFS(tData[SEHTrajectPeriodeDatumTijdVan],"&lt;="&amp;($A235+21/24),tData[SEHTrajectPeriodeDatumTijdTotEnMet],"&gt;"&amp;($A235+21/24),tData[Langligger01],1)</f>
        <v/>
      </c>
      <c r="Z235" s="20">
        <f>COUNTIFS(tData[SEHTrajectPeriodeDatumTijdVan],"&lt;="&amp;($A235+22/24),tData[SEHTrajectPeriodeDatumTijdTotEnMet],"&gt;"&amp;($A235+22/24),tData[Langligger01],1)</f>
        <v/>
      </c>
      <c r="AA235" s="20">
        <f>COUNTIFS(tData[SEHTrajectPeriodeDatumTijdVan],"&lt;="&amp;($A235+23/24),tData[SEHTrajectPeriodeDatumTijdTotEnMet],"&gt;"&amp;($A235+23/24),tData[Langligger01],1)</f>
        <v/>
      </c>
    </row>
    <row r="236">
      <c r="A236" s="19" t="n">
        <v>45524</v>
      </c>
      <c r="B236" s="15">
        <f>WEEKDAY($A236,2)</f>
        <v/>
      </c>
      <c r="C236" s="15">
        <f>IF(AND($A236&gt;=INT(Instellingen!$B$5),$A236&lt;=INT(Instellingen!$B$6)),1,0)</f>
        <v/>
      </c>
      <c r="D236" s="20">
        <f>COUNTIFS(tData[SEHTrajectPeriodeDatumTijdVan],"&lt;="&amp;($A236+0/24),tData[SEHTrajectPeriodeDatumTijdTotEnMet],"&gt;"&amp;($A236+0/24),tData[Langligger01],1)</f>
        <v/>
      </c>
      <c r="E236" s="20">
        <f>COUNTIFS(tData[SEHTrajectPeriodeDatumTijdVan],"&lt;="&amp;($A236+1/24),tData[SEHTrajectPeriodeDatumTijdTotEnMet],"&gt;"&amp;($A236+1/24),tData[Langligger01],1)</f>
        <v/>
      </c>
      <c r="F236" s="20">
        <f>COUNTIFS(tData[SEHTrajectPeriodeDatumTijdVan],"&lt;="&amp;($A236+2/24),tData[SEHTrajectPeriodeDatumTijdTotEnMet],"&gt;"&amp;($A236+2/24),tData[Langligger01],1)</f>
        <v/>
      </c>
      <c r="G236" s="20">
        <f>COUNTIFS(tData[SEHTrajectPeriodeDatumTijdVan],"&lt;="&amp;($A236+3/24),tData[SEHTrajectPeriodeDatumTijdTotEnMet],"&gt;"&amp;($A236+3/24),tData[Langligger01],1)</f>
        <v/>
      </c>
      <c r="H236" s="20">
        <f>COUNTIFS(tData[SEHTrajectPeriodeDatumTijdVan],"&lt;="&amp;($A236+4/24),tData[SEHTrajectPeriodeDatumTijdTotEnMet],"&gt;"&amp;($A236+4/24),tData[Langligger01],1)</f>
        <v/>
      </c>
      <c r="I236" s="20">
        <f>COUNTIFS(tData[SEHTrajectPeriodeDatumTijdVan],"&lt;="&amp;($A236+5/24),tData[SEHTrajectPeriodeDatumTijdTotEnMet],"&gt;"&amp;($A236+5/24),tData[Langligger01],1)</f>
        <v/>
      </c>
      <c r="J236" s="20">
        <f>COUNTIFS(tData[SEHTrajectPeriodeDatumTijdVan],"&lt;="&amp;($A236+6/24),tData[SEHTrajectPeriodeDatumTijdTotEnMet],"&gt;"&amp;($A236+6/24),tData[Langligger01],1)</f>
        <v/>
      </c>
      <c r="K236" s="20">
        <f>COUNTIFS(tData[SEHTrajectPeriodeDatumTijdVan],"&lt;="&amp;($A236+7/24),tData[SEHTrajectPeriodeDatumTijdTotEnMet],"&gt;"&amp;($A236+7/24),tData[Langligger01],1)</f>
        <v/>
      </c>
      <c r="L236" s="20">
        <f>COUNTIFS(tData[SEHTrajectPeriodeDatumTijdVan],"&lt;="&amp;($A236+8/24),tData[SEHTrajectPeriodeDatumTijdTotEnMet],"&gt;"&amp;($A236+8/24),tData[Langligger01],1)</f>
        <v/>
      </c>
      <c r="M236" s="20">
        <f>COUNTIFS(tData[SEHTrajectPeriodeDatumTijdVan],"&lt;="&amp;($A236+9/24),tData[SEHTrajectPeriodeDatumTijdTotEnMet],"&gt;"&amp;($A236+9/24),tData[Langligger01],1)</f>
        <v/>
      </c>
      <c r="N236" s="20">
        <f>COUNTIFS(tData[SEHTrajectPeriodeDatumTijdVan],"&lt;="&amp;($A236+10/24),tData[SEHTrajectPeriodeDatumTijdTotEnMet],"&gt;"&amp;($A236+10/24),tData[Langligger01],1)</f>
        <v/>
      </c>
      <c r="O236" s="20">
        <f>COUNTIFS(tData[SEHTrajectPeriodeDatumTijdVan],"&lt;="&amp;($A236+11/24),tData[SEHTrajectPeriodeDatumTijdTotEnMet],"&gt;"&amp;($A236+11/24),tData[Langligger01],1)</f>
        <v/>
      </c>
      <c r="P236" s="20">
        <f>COUNTIFS(tData[SEHTrajectPeriodeDatumTijdVan],"&lt;="&amp;($A236+12/24),tData[SEHTrajectPeriodeDatumTijdTotEnMet],"&gt;"&amp;($A236+12/24),tData[Langligger01],1)</f>
        <v/>
      </c>
      <c r="Q236" s="20">
        <f>COUNTIFS(tData[SEHTrajectPeriodeDatumTijdVan],"&lt;="&amp;($A236+13/24),tData[SEHTrajectPeriodeDatumTijdTotEnMet],"&gt;"&amp;($A236+13/24),tData[Langligger01],1)</f>
        <v/>
      </c>
      <c r="R236" s="20">
        <f>COUNTIFS(tData[SEHTrajectPeriodeDatumTijdVan],"&lt;="&amp;($A236+14/24),tData[SEHTrajectPeriodeDatumTijdTotEnMet],"&gt;"&amp;($A236+14/24),tData[Langligger01],1)</f>
        <v/>
      </c>
      <c r="S236" s="20">
        <f>COUNTIFS(tData[SEHTrajectPeriodeDatumTijdVan],"&lt;="&amp;($A236+15/24),tData[SEHTrajectPeriodeDatumTijdTotEnMet],"&gt;"&amp;($A236+15/24),tData[Langligger01],1)</f>
        <v/>
      </c>
      <c r="T236" s="20">
        <f>COUNTIFS(tData[SEHTrajectPeriodeDatumTijdVan],"&lt;="&amp;($A236+16/24),tData[SEHTrajectPeriodeDatumTijdTotEnMet],"&gt;"&amp;($A236+16/24),tData[Langligger01],1)</f>
        <v/>
      </c>
      <c r="U236" s="20">
        <f>COUNTIFS(tData[SEHTrajectPeriodeDatumTijdVan],"&lt;="&amp;($A236+17/24),tData[SEHTrajectPeriodeDatumTijdTotEnMet],"&gt;"&amp;($A236+17/24),tData[Langligger01],1)</f>
        <v/>
      </c>
      <c r="V236" s="20">
        <f>COUNTIFS(tData[SEHTrajectPeriodeDatumTijdVan],"&lt;="&amp;($A236+18/24),tData[SEHTrajectPeriodeDatumTijdTotEnMet],"&gt;"&amp;($A236+18/24),tData[Langligger01],1)</f>
        <v/>
      </c>
      <c r="W236" s="20">
        <f>COUNTIFS(tData[SEHTrajectPeriodeDatumTijdVan],"&lt;="&amp;($A236+19/24),tData[SEHTrajectPeriodeDatumTijdTotEnMet],"&gt;"&amp;($A236+19/24),tData[Langligger01],1)</f>
        <v/>
      </c>
      <c r="X236" s="20">
        <f>COUNTIFS(tData[SEHTrajectPeriodeDatumTijdVan],"&lt;="&amp;($A236+20/24),tData[SEHTrajectPeriodeDatumTijdTotEnMet],"&gt;"&amp;($A236+20/24),tData[Langligger01],1)</f>
        <v/>
      </c>
      <c r="Y236" s="20">
        <f>COUNTIFS(tData[SEHTrajectPeriodeDatumTijdVan],"&lt;="&amp;($A236+21/24),tData[SEHTrajectPeriodeDatumTijdTotEnMet],"&gt;"&amp;($A236+21/24),tData[Langligger01],1)</f>
        <v/>
      </c>
      <c r="Z236" s="20">
        <f>COUNTIFS(tData[SEHTrajectPeriodeDatumTijdVan],"&lt;="&amp;($A236+22/24),tData[SEHTrajectPeriodeDatumTijdTotEnMet],"&gt;"&amp;($A236+22/24),tData[Langligger01],1)</f>
        <v/>
      </c>
      <c r="AA236" s="20">
        <f>COUNTIFS(tData[SEHTrajectPeriodeDatumTijdVan],"&lt;="&amp;($A236+23/24),tData[SEHTrajectPeriodeDatumTijdTotEnMet],"&gt;"&amp;($A236+23/24),tData[Langligger01],1)</f>
        <v/>
      </c>
    </row>
    <row r="237">
      <c r="A237" s="19" t="n">
        <v>45525</v>
      </c>
      <c r="B237" s="15">
        <f>WEEKDAY($A237,2)</f>
        <v/>
      </c>
      <c r="C237" s="15">
        <f>IF(AND($A237&gt;=INT(Instellingen!$B$5),$A237&lt;=INT(Instellingen!$B$6)),1,0)</f>
        <v/>
      </c>
      <c r="D237" s="20">
        <f>COUNTIFS(tData[SEHTrajectPeriodeDatumTijdVan],"&lt;="&amp;($A237+0/24),tData[SEHTrajectPeriodeDatumTijdTotEnMet],"&gt;"&amp;($A237+0/24),tData[Langligger01],1)</f>
        <v/>
      </c>
      <c r="E237" s="20">
        <f>COUNTIFS(tData[SEHTrajectPeriodeDatumTijdVan],"&lt;="&amp;($A237+1/24),tData[SEHTrajectPeriodeDatumTijdTotEnMet],"&gt;"&amp;($A237+1/24),tData[Langligger01],1)</f>
        <v/>
      </c>
      <c r="F237" s="20">
        <f>COUNTIFS(tData[SEHTrajectPeriodeDatumTijdVan],"&lt;="&amp;($A237+2/24),tData[SEHTrajectPeriodeDatumTijdTotEnMet],"&gt;"&amp;($A237+2/24),tData[Langligger01],1)</f>
        <v/>
      </c>
      <c r="G237" s="20">
        <f>COUNTIFS(tData[SEHTrajectPeriodeDatumTijdVan],"&lt;="&amp;($A237+3/24),tData[SEHTrajectPeriodeDatumTijdTotEnMet],"&gt;"&amp;($A237+3/24),tData[Langligger01],1)</f>
        <v/>
      </c>
      <c r="H237" s="20">
        <f>COUNTIFS(tData[SEHTrajectPeriodeDatumTijdVan],"&lt;="&amp;($A237+4/24),tData[SEHTrajectPeriodeDatumTijdTotEnMet],"&gt;"&amp;($A237+4/24),tData[Langligger01],1)</f>
        <v/>
      </c>
      <c r="I237" s="20">
        <f>COUNTIFS(tData[SEHTrajectPeriodeDatumTijdVan],"&lt;="&amp;($A237+5/24),tData[SEHTrajectPeriodeDatumTijdTotEnMet],"&gt;"&amp;($A237+5/24),tData[Langligger01],1)</f>
        <v/>
      </c>
      <c r="J237" s="20">
        <f>COUNTIFS(tData[SEHTrajectPeriodeDatumTijdVan],"&lt;="&amp;($A237+6/24),tData[SEHTrajectPeriodeDatumTijdTotEnMet],"&gt;"&amp;($A237+6/24),tData[Langligger01],1)</f>
        <v/>
      </c>
      <c r="K237" s="20">
        <f>COUNTIFS(tData[SEHTrajectPeriodeDatumTijdVan],"&lt;="&amp;($A237+7/24),tData[SEHTrajectPeriodeDatumTijdTotEnMet],"&gt;"&amp;($A237+7/24),tData[Langligger01],1)</f>
        <v/>
      </c>
      <c r="L237" s="20">
        <f>COUNTIFS(tData[SEHTrajectPeriodeDatumTijdVan],"&lt;="&amp;($A237+8/24),tData[SEHTrajectPeriodeDatumTijdTotEnMet],"&gt;"&amp;($A237+8/24),tData[Langligger01],1)</f>
        <v/>
      </c>
      <c r="M237" s="20">
        <f>COUNTIFS(tData[SEHTrajectPeriodeDatumTijdVan],"&lt;="&amp;($A237+9/24),tData[SEHTrajectPeriodeDatumTijdTotEnMet],"&gt;"&amp;($A237+9/24),tData[Langligger01],1)</f>
        <v/>
      </c>
      <c r="N237" s="20">
        <f>COUNTIFS(tData[SEHTrajectPeriodeDatumTijdVan],"&lt;="&amp;($A237+10/24),tData[SEHTrajectPeriodeDatumTijdTotEnMet],"&gt;"&amp;($A237+10/24),tData[Langligger01],1)</f>
        <v/>
      </c>
      <c r="O237" s="20">
        <f>COUNTIFS(tData[SEHTrajectPeriodeDatumTijdVan],"&lt;="&amp;($A237+11/24),tData[SEHTrajectPeriodeDatumTijdTotEnMet],"&gt;"&amp;($A237+11/24),tData[Langligger01],1)</f>
        <v/>
      </c>
      <c r="P237" s="20">
        <f>COUNTIFS(tData[SEHTrajectPeriodeDatumTijdVan],"&lt;="&amp;($A237+12/24),tData[SEHTrajectPeriodeDatumTijdTotEnMet],"&gt;"&amp;($A237+12/24),tData[Langligger01],1)</f>
        <v/>
      </c>
      <c r="Q237" s="20">
        <f>COUNTIFS(tData[SEHTrajectPeriodeDatumTijdVan],"&lt;="&amp;($A237+13/24),tData[SEHTrajectPeriodeDatumTijdTotEnMet],"&gt;"&amp;($A237+13/24),tData[Langligger01],1)</f>
        <v/>
      </c>
      <c r="R237" s="20">
        <f>COUNTIFS(tData[SEHTrajectPeriodeDatumTijdVan],"&lt;="&amp;($A237+14/24),tData[SEHTrajectPeriodeDatumTijdTotEnMet],"&gt;"&amp;($A237+14/24),tData[Langligger01],1)</f>
        <v/>
      </c>
      <c r="S237" s="20">
        <f>COUNTIFS(tData[SEHTrajectPeriodeDatumTijdVan],"&lt;="&amp;($A237+15/24),tData[SEHTrajectPeriodeDatumTijdTotEnMet],"&gt;"&amp;($A237+15/24),tData[Langligger01],1)</f>
        <v/>
      </c>
      <c r="T237" s="20">
        <f>COUNTIFS(tData[SEHTrajectPeriodeDatumTijdVan],"&lt;="&amp;($A237+16/24),tData[SEHTrajectPeriodeDatumTijdTotEnMet],"&gt;"&amp;($A237+16/24),tData[Langligger01],1)</f>
        <v/>
      </c>
      <c r="U237" s="20">
        <f>COUNTIFS(tData[SEHTrajectPeriodeDatumTijdVan],"&lt;="&amp;($A237+17/24),tData[SEHTrajectPeriodeDatumTijdTotEnMet],"&gt;"&amp;($A237+17/24),tData[Langligger01],1)</f>
        <v/>
      </c>
      <c r="V237" s="20">
        <f>COUNTIFS(tData[SEHTrajectPeriodeDatumTijdVan],"&lt;="&amp;($A237+18/24),tData[SEHTrajectPeriodeDatumTijdTotEnMet],"&gt;"&amp;($A237+18/24),tData[Langligger01],1)</f>
        <v/>
      </c>
      <c r="W237" s="20">
        <f>COUNTIFS(tData[SEHTrajectPeriodeDatumTijdVan],"&lt;="&amp;($A237+19/24),tData[SEHTrajectPeriodeDatumTijdTotEnMet],"&gt;"&amp;($A237+19/24),tData[Langligger01],1)</f>
        <v/>
      </c>
      <c r="X237" s="20">
        <f>COUNTIFS(tData[SEHTrajectPeriodeDatumTijdVan],"&lt;="&amp;($A237+20/24),tData[SEHTrajectPeriodeDatumTijdTotEnMet],"&gt;"&amp;($A237+20/24),tData[Langligger01],1)</f>
        <v/>
      </c>
      <c r="Y237" s="20">
        <f>COUNTIFS(tData[SEHTrajectPeriodeDatumTijdVan],"&lt;="&amp;($A237+21/24),tData[SEHTrajectPeriodeDatumTijdTotEnMet],"&gt;"&amp;($A237+21/24),tData[Langligger01],1)</f>
        <v/>
      </c>
      <c r="Z237" s="20">
        <f>COUNTIFS(tData[SEHTrajectPeriodeDatumTijdVan],"&lt;="&amp;($A237+22/24),tData[SEHTrajectPeriodeDatumTijdTotEnMet],"&gt;"&amp;($A237+22/24),tData[Langligger01],1)</f>
        <v/>
      </c>
      <c r="AA237" s="20">
        <f>COUNTIFS(tData[SEHTrajectPeriodeDatumTijdVan],"&lt;="&amp;($A237+23/24),tData[SEHTrajectPeriodeDatumTijdTotEnMet],"&gt;"&amp;($A237+23/24),tData[Langligger01],1)</f>
        <v/>
      </c>
    </row>
    <row r="238">
      <c r="A238" s="19" t="n">
        <v>45526</v>
      </c>
      <c r="B238" s="15">
        <f>WEEKDAY($A238,2)</f>
        <v/>
      </c>
      <c r="C238" s="15">
        <f>IF(AND($A238&gt;=INT(Instellingen!$B$5),$A238&lt;=INT(Instellingen!$B$6)),1,0)</f>
        <v/>
      </c>
      <c r="D238" s="20">
        <f>COUNTIFS(tData[SEHTrajectPeriodeDatumTijdVan],"&lt;="&amp;($A238+0/24),tData[SEHTrajectPeriodeDatumTijdTotEnMet],"&gt;"&amp;($A238+0/24),tData[Langligger01],1)</f>
        <v/>
      </c>
      <c r="E238" s="20">
        <f>COUNTIFS(tData[SEHTrajectPeriodeDatumTijdVan],"&lt;="&amp;($A238+1/24),tData[SEHTrajectPeriodeDatumTijdTotEnMet],"&gt;"&amp;($A238+1/24),tData[Langligger01],1)</f>
        <v/>
      </c>
      <c r="F238" s="20">
        <f>COUNTIFS(tData[SEHTrajectPeriodeDatumTijdVan],"&lt;="&amp;($A238+2/24),tData[SEHTrajectPeriodeDatumTijdTotEnMet],"&gt;"&amp;($A238+2/24),tData[Langligger01],1)</f>
        <v/>
      </c>
      <c r="G238" s="20">
        <f>COUNTIFS(tData[SEHTrajectPeriodeDatumTijdVan],"&lt;="&amp;($A238+3/24),tData[SEHTrajectPeriodeDatumTijdTotEnMet],"&gt;"&amp;($A238+3/24),tData[Langligger01],1)</f>
        <v/>
      </c>
      <c r="H238" s="20">
        <f>COUNTIFS(tData[SEHTrajectPeriodeDatumTijdVan],"&lt;="&amp;($A238+4/24),tData[SEHTrajectPeriodeDatumTijdTotEnMet],"&gt;"&amp;($A238+4/24),tData[Langligger01],1)</f>
        <v/>
      </c>
      <c r="I238" s="20">
        <f>COUNTIFS(tData[SEHTrajectPeriodeDatumTijdVan],"&lt;="&amp;($A238+5/24),tData[SEHTrajectPeriodeDatumTijdTotEnMet],"&gt;"&amp;($A238+5/24),tData[Langligger01],1)</f>
        <v/>
      </c>
      <c r="J238" s="20">
        <f>COUNTIFS(tData[SEHTrajectPeriodeDatumTijdVan],"&lt;="&amp;($A238+6/24),tData[SEHTrajectPeriodeDatumTijdTotEnMet],"&gt;"&amp;($A238+6/24),tData[Langligger01],1)</f>
        <v/>
      </c>
      <c r="K238" s="20">
        <f>COUNTIFS(tData[SEHTrajectPeriodeDatumTijdVan],"&lt;="&amp;($A238+7/24),tData[SEHTrajectPeriodeDatumTijdTotEnMet],"&gt;"&amp;($A238+7/24),tData[Langligger01],1)</f>
        <v/>
      </c>
      <c r="L238" s="20">
        <f>COUNTIFS(tData[SEHTrajectPeriodeDatumTijdVan],"&lt;="&amp;($A238+8/24),tData[SEHTrajectPeriodeDatumTijdTotEnMet],"&gt;"&amp;($A238+8/24),tData[Langligger01],1)</f>
        <v/>
      </c>
      <c r="M238" s="20">
        <f>COUNTIFS(tData[SEHTrajectPeriodeDatumTijdVan],"&lt;="&amp;($A238+9/24),tData[SEHTrajectPeriodeDatumTijdTotEnMet],"&gt;"&amp;($A238+9/24),tData[Langligger01],1)</f>
        <v/>
      </c>
      <c r="N238" s="20">
        <f>COUNTIFS(tData[SEHTrajectPeriodeDatumTijdVan],"&lt;="&amp;($A238+10/24),tData[SEHTrajectPeriodeDatumTijdTotEnMet],"&gt;"&amp;($A238+10/24),tData[Langligger01],1)</f>
        <v/>
      </c>
      <c r="O238" s="20">
        <f>COUNTIFS(tData[SEHTrajectPeriodeDatumTijdVan],"&lt;="&amp;($A238+11/24),tData[SEHTrajectPeriodeDatumTijdTotEnMet],"&gt;"&amp;($A238+11/24),tData[Langligger01],1)</f>
        <v/>
      </c>
      <c r="P238" s="20">
        <f>COUNTIFS(tData[SEHTrajectPeriodeDatumTijdVan],"&lt;="&amp;($A238+12/24),tData[SEHTrajectPeriodeDatumTijdTotEnMet],"&gt;"&amp;($A238+12/24),tData[Langligger01],1)</f>
        <v/>
      </c>
      <c r="Q238" s="20">
        <f>COUNTIFS(tData[SEHTrajectPeriodeDatumTijdVan],"&lt;="&amp;($A238+13/24),tData[SEHTrajectPeriodeDatumTijdTotEnMet],"&gt;"&amp;($A238+13/24),tData[Langligger01],1)</f>
        <v/>
      </c>
      <c r="R238" s="20">
        <f>COUNTIFS(tData[SEHTrajectPeriodeDatumTijdVan],"&lt;="&amp;($A238+14/24),tData[SEHTrajectPeriodeDatumTijdTotEnMet],"&gt;"&amp;($A238+14/24),tData[Langligger01],1)</f>
        <v/>
      </c>
      <c r="S238" s="20">
        <f>COUNTIFS(tData[SEHTrajectPeriodeDatumTijdVan],"&lt;="&amp;($A238+15/24),tData[SEHTrajectPeriodeDatumTijdTotEnMet],"&gt;"&amp;($A238+15/24),tData[Langligger01],1)</f>
        <v/>
      </c>
      <c r="T238" s="20">
        <f>COUNTIFS(tData[SEHTrajectPeriodeDatumTijdVan],"&lt;="&amp;($A238+16/24),tData[SEHTrajectPeriodeDatumTijdTotEnMet],"&gt;"&amp;($A238+16/24),tData[Langligger01],1)</f>
        <v/>
      </c>
      <c r="U238" s="20">
        <f>COUNTIFS(tData[SEHTrajectPeriodeDatumTijdVan],"&lt;="&amp;($A238+17/24),tData[SEHTrajectPeriodeDatumTijdTotEnMet],"&gt;"&amp;($A238+17/24),tData[Langligger01],1)</f>
        <v/>
      </c>
      <c r="V238" s="20">
        <f>COUNTIFS(tData[SEHTrajectPeriodeDatumTijdVan],"&lt;="&amp;($A238+18/24),tData[SEHTrajectPeriodeDatumTijdTotEnMet],"&gt;"&amp;($A238+18/24),tData[Langligger01],1)</f>
        <v/>
      </c>
      <c r="W238" s="20">
        <f>COUNTIFS(tData[SEHTrajectPeriodeDatumTijdVan],"&lt;="&amp;($A238+19/24),tData[SEHTrajectPeriodeDatumTijdTotEnMet],"&gt;"&amp;($A238+19/24),tData[Langligger01],1)</f>
        <v/>
      </c>
      <c r="X238" s="20">
        <f>COUNTIFS(tData[SEHTrajectPeriodeDatumTijdVan],"&lt;="&amp;($A238+20/24),tData[SEHTrajectPeriodeDatumTijdTotEnMet],"&gt;"&amp;($A238+20/24),tData[Langligger01],1)</f>
        <v/>
      </c>
      <c r="Y238" s="20">
        <f>COUNTIFS(tData[SEHTrajectPeriodeDatumTijdVan],"&lt;="&amp;($A238+21/24),tData[SEHTrajectPeriodeDatumTijdTotEnMet],"&gt;"&amp;($A238+21/24),tData[Langligger01],1)</f>
        <v/>
      </c>
      <c r="Z238" s="20">
        <f>COUNTIFS(tData[SEHTrajectPeriodeDatumTijdVan],"&lt;="&amp;($A238+22/24),tData[SEHTrajectPeriodeDatumTijdTotEnMet],"&gt;"&amp;($A238+22/24),tData[Langligger01],1)</f>
        <v/>
      </c>
      <c r="AA238" s="20">
        <f>COUNTIFS(tData[SEHTrajectPeriodeDatumTijdVan],"&lt;="&amp;($A238+23/24),tData[SEHTrajectPeriodeDatumTijdTotEnMet],"&gt;"&amp;($A238+23/24),tData[Langligger01],1)</f>
        <v/>
      </c>
    </row>
    <row r="239">
      <c r="A239" s="19" t="n">
        <v>45527</v>
      </c>
      <c r="B239" s="15">
        <f>WEEKDAY($A239,2)</f>
        <v/>
      </c>
      <c r="C239" s="15">
        <f>IF(AND($A239&gt;=INT(Instellingen!$B$5),$A239&lt;=INT(Instellingen!$B$6)),1,0)</f>
        <v/>
      </c>
      <c r="D239" s="20">
        <f>COUNTIFS(tData[SEHTrajectPeriodeDatumTijdVan],"&lt;="&amp;($A239+0/24),tData[SEHTrajectPeriodeDatumTijdTotEnMet],"&gt;"&amp;($A239+0/24),tData[Langligger01],1)</f>
        <v/>
      </c>
      <c r="E239" s="20">
        <f>COUNTIFS(tData[SEHTrajectPeriodeDatumTijdVan],"&lt;="&amp;($A239+1/24),tData[SEHTrajectPeriodeDatumTijdTotEnMet],"&gt;"&amp;($A239+1/24),tData[Langligger01],1)</f>
        <v/>
      </c>
      <c r="F239" s="20">
        <f>COUNTIFS(tData[SEHTrajectPeriodeDatumTijdVan],"&lt;="&amp;($A239+2/24),tData[SEHTrajectPeriodeDatumTijdTotEnMet],"&gt;"&amp;($A239+2/24),tData[Langligger01],1)</f>
        <v/>
      </c>
      <c r="G239" s="20">
        <f>COUNTIFS(tData[SEHTrajectPeriodeDatumTijdVan],"&lt;="&amp;($A239+3/24),tData[SEHTrajectPeriodeDatumTijdTotEnMet],"&gt;"&amp;($A239+3/24),tData[Langligger01],1)</f>
        <v/>
      </c>
      <c r="H239" s="20">
        <f>COUNTIFS(tData[SEHTrajectPeriodeDatumTijdVan],"&lt;="&amp;($A239+4/24),tData[SEHTrajectPeriodeDatumTijdTotEnMet],"&gt;"&amp;($A239+4/24),tData[Langligger01],1)</f>
        <v/>
      </c>
      <c r="I239" s="20">
        <f>COUNTIFS(tData[SEHTrajectPeriodeDatumTijdVan],"&lt;="&amp;($A239+5/24),tData[SEHTrajectPeriodeDatumTijdTotEnMet],"&gt;"&amp;($A239+5/24),tData[Langligger01],1)</f>
        <v/>
      </c>
      <c r="J239" s="20">
        <f>COUNTIFS(tData[SEHTrajectPeriodeDatumTijdVan],"&lt;="&amp;($A239+6/24),tData[SEHTrajectPeriodeDatumTijdTotEnMet],"&gt;"&amp;($A239+6/24),tData[Langligger01],1)</f>
        <v/>
      </c>
      <c r="K239" s="20">
        <f>COUNTIFS(tData[SEHTrajectPeriodeDatumTijdVan],"&lt;="&amp;($A239+7/24),tData[SEHTrajectPeriodeDatumTijdTotEnMet],"&gt;"&amp;($A239+7/24),tData[Langligger01],1)</f>
        <v/>
      </c>
      <c r="L239" s="20">
        <f>COUNTIFS(tData[SEHTrajectPeriodeDatumTijdVan],"&lt;="&amp;($A239+8/24),tData[SEHTrajectPeriodeDatumTijdTotEnMet],"&gt;"&amp;($A239+8/24),tData[Langligger01],1)</f>
        <v/>
      </c>
      <c r="M239" s="20">
        <f>COUNTIFS(tData[SEHTrajectPeriodeDatumTijdVan],"&lt;="&amp;($A239+9/24),tData[SEHTrajectPeriodeDatumTijdTotEnMet],"&gt;"&amp;($A239+9/24),tData[Langligger01],1)</f>
        <v/>
      </c>
      <c r="N239" s="20">
        <f>COUNTIFS(tData[SEHTrajectPeriodeDatumTijdVan],"&lt;="&amp;($A239+10/24),tData[SEHTrajectPeriodeDatumTijdTotEnMet],"&gt;"&amp;($A239+10/24),tData[Langligger01],1)</f>
        <v/>
      </c>
      <c r="O239" s="20">
        <f>COUNTIFS(tData[SEHTrajectPeriodeDatumTijdVan],"&lt;="&amp;($A239+11/24),tData[SEHTrajectPeriodeDatumTijdTotEnMet],"&gt;"&amp;($A239+11/24),tData[Langligger01],1)</f>
        <v/>
      </c>
      <c r="P239" s="20">
        <f>COUNTIFS(tData[SEHTrajectPeriodeDatumTijdVan],"&lt;="&amp;($A239+12/24),tData[SEHTrajectPeriodeDatumTijdTotEnMet],"&gt;"&amp;($A239+12/24),tData[Langligger01],1)</f>
        <v/>
      </c>
      <c r="Q239" s="20">
        <f>COUNTIFS(tData[SEHTrajectPeriodeDatumTijdVan],"&lt;="&amp;($A239+13/24),tData[SEHTrajectPeriodeDatumTijdTotEnMet],"&gt;"&amp;($A239+13/24),tData[Langligger01],1)</f>
        <v/>
      </c>
      <c r="R239" s="20">
        <f>COUNTIFS(tData[SEHTrajectPeriodeDatumTijdVan],"&lt;="&amp;($A239+14/24),tData[SEHTrajectPeriodeDatumTijdTotEnMet],"&gt;"&amp;($A239+14/24),tData[Langligger01],1)</f>
        <v/>
      </c>
      <c r="S239" s="20">
        <f>COUNTIFS(tData[SEHTrajectPeriodeDatumTijdVan],"&lt;="&amp;($A239+15/24),tData[SEHTrajectPeriodeDatumTijdTotEnMet],"&gt;"&amp;($A239+15/24),tData[Langligger01],1)</f>
        <v/>
      </c>
      <c r="T239" s="20">
        <f>COUNTIFS(tData[SEHTrajectPeriodeDatumTijdVan],"&lt;="&amp;($A239+16/24),tData[SEHTrajectPeriodeDatumTijdTotEnMet],"&gt;"&amp;($A239+16/24),tData[Langligger01],1)</f>
        <v/>
      </c>
      <c r="U239" s="20">
        <f>COUNTIFS(tData[SEHTrajectPeriodeDatumTijdVan],"&lt;="&amp;($A239+17/24),tData[SEHTrajectPeriodeDatumTijdTotEnMet],"&gt;"&amp;($A239+17/24),tData[Langligger01],1)</f>
        <v/>
      </c>
      <c r="V239" s="20">
        <f>COUNTIFS(tData[SEHTrajectPeriodeDatumTijdVan],"&lt;="&amp;($A239+18/24),tData[SEHTrajectPeriodeDatumTijdTotEnMet],"&gt;"&amp;($A239+18/24),tData[Langligger01],1)</f>
        <v/>
      </c>
      <c r="W239" s="20">
        <f>COUNTIFS(tData[SEHTrajectPeriodeDatumTijdVan],"&lt;="&amp;($A239+19/24),tData[SEHTrajectPeriodeDatumTijdTotEnMet],"&gt;"&amp;($A239+19/24),tData[Langligger01],1)</f>
        <v/>
      </c>
      <c r="X239" s="20">
        <f>COUNTIFS(tData[SEHTrajectPeriodeDatumTijdVan],"&lt;="&amp;($A239+20/24),tData[SEHTrajectPeriodeDatumTijdTotEnMet],"&gt;"&amp;($A239+20/24),tData[Langligger01],1)</f>
        <v/>
      </c>
      <c r="Y239" s="20">
        <f>COUNTIFS(tData[SEHTrajectPeriodeDatumTijdVan],"&lt;="&amp;($A239+21/24),tData[SEHTrajectPeriodeDatumTijdTotEnMet],"&gt;"&amp;($A239+21/24),tData[Langligger01],1)</f>
        <v/>
      </c>
      <c r="Z239" s="20">
        <f>COUNTIFS(tData[SEHTrajectPeriodeDatumTijdVan],"&lt;="&amp;($A239+22/24),tData[SEHTrajectPeriodeDatumTijdTotEnMet],"&gt;"&amp;($A239+22/24),tData[Langligger01],1)</f>
        <v/>
      </c>
      <c r="AA239" s="20">
        <f>COUNTIFS(tData[SEHTrajectPeriodeDatumTijdVan],"&lt;="&amp;($A239+23/24),tData[SEHTrajectPeriodeDatumTijdTotEnMet],"&gt;"&amp;($A239+23/24),tData[Langligger01],1)</f>
        <v/>
      </c>
    </row>
    <row r="240">
      <c r="A240" s="19" t="n">
        <v>45528</v>
      </c>
      <c r="B240" s="15">
        <f>WEEKDAY($A240,2)</f>
        <v/>
      </c>
      <c r="C240" s="15">
        <f>IF(AND($A240&gt;=INT(Instellingen!$B$5),$A240&lt;=INT(Instellingen!$B$6)),1,0)</f>
        <v/>
      </c>
      <c r="D240" s="20">
        <f>COUNTIFS(tData[SEHTrajectPeriodeDatumTijdVan],"&lt;="&amp;($A240+0/24),tData[SEHTrajectPeriodeDatumTijdTotEnMet],"&gt;"&amp;($A240+0/24),tData[Langligger01],1)</f>
        <v/>
      </c>
      <c r="E240" s="20">
        <f>COUNTIFS(tData[SEHTrajectPeriodeDatumTijdVan],"&lt;="&amp;($A240+1/24),tData[SEHTrajectPeriodeDatumTijdTotEnMet],"&gt;"&amp;($A240+1/24),tData[Langligger01],1)</f>
        <v/>
      </c>
      <c r="F240" s="20">
        <f>COUNTIFS(tData[SEHTrajectPeriodeDatumTijdVan],"&lt;="&amp;($A240+2/24),tData[SEHTrajectPeriodeDatumTijdTotEnMet],"&gt;"&amp;($A240+2/24),tData[Langligger01],1)</f>
        <v/>
      </c>
      <c r="G240" s="20">
        <f>COUNTIFS(tData[SEHTrajectPeriodeDatumTijdVan],"&lt;="&amp;($A240+3/24),tData[SEHTrajectPeriodeDatumTijdTotEnMet],"&gt;"&amp;($A240+3/24),tData[Langligger01],1)</f>
        <v/>
      </c>
      <c r="H240" s="20">
        <f>COUNTIFS(tData[SEHTrajectPeriodeDatumTijdVan],"&lt;="&amp;($A240+4/24),tData[SEHTrajectPeriodeDatumTijdTotEnMet],"&gt;"&amp;($A240+4/24),tData[Langligger01],1)</f>
        <v/>
      </c>
      <c r="I240" s="20">
        <f>COUNTIFS(tData[SEHTrajectPeriodeDatumTijdVan],"&lt;="&amp;($A240+5/24),tData[SEHTrajectPeriodeDatumTijdTotEnMet],"&gt;"&amp;($A240+5/24),tData[Langligger01],1)</f>
        <v/>
      </c>
      <c r="J240" s="20">
        <f>COUNTIFS(tData[SEHTrajectPeriodeDatumTijdVan],"&lt;="&amp;($A240+6/24),tData[SEHTrajectPeriodeDatumTijdTotEnMet],"&gt;"&amp;($A240+6/24),tData[Langligger01],1)</f>
        <v/>
      </c>
      <c r="K240" s="20">
        <f>COUNTIFS(tData[SEHTrajectPeriodeDatumTijdVan],"&lt;="&amp;($A240+7/24),tData[SEHTrajectPeriodeDatumTijdTotEnMet],"&gt;"&amp;($A240+7/24),tData[Langligger01],1)</f>
        <v/>
      </c>
      <c r="L240" s="20">
        <f>COUNTIFS(tData[SEHTrajectPeriodeDatumTijdVan],"&lt;="&amp;($A240+8/24),tData[SEHTrajectPeriodeDatumTijdTotEnMet],"&gt;"&amp;($A240+8/24),tData[Langligger01],1)</f>
        <v/>
      </c>
      <c r="M240" s="20">
        <f>COUNTIFS(tData[SEHTrajectPeriodeDatumTijdVan],"&lt;="&amp;($A240+9/24),tData[SEHTrajectPeriodeDatumTijdTotEnMet],"&gt;"&amp;($A240+9/24),tData[Langligger01],1)</f>
        <v/>
      </c>
      <c r="N240" s="20">
        <f>COUNTIFS(tData[SEHTrajectPeriodeDatumTijdVan],"&lt;="&amp;($A240+10/24),tData[SEHTrajectPeriodeDatumTijdTotEnMet],"&gt;"&amp;($A240+10/24),tData[Langligger01],1)</f>
        <v/>
      </c>
      <c r="O240" s="20">
        <f>COUNTIFS(tData[SEHTrajectPeriodeDatumTijdVan],"&lt;="&amp;($A240+11/24),tData[SEHTrajectPeriodeDatumTijdTotEnMet],"&gt;"&amp;($A240+11/24),tData[Langligger01],1)</f>
        <v/>
      </c>
      <c r="P240" s="20">
        <f>COUNTIFS(tData[SEHTrajectPeriodeDatumTijdVan],"&lt;="&amp;($A240+12/24),tData[SEHTrajectPeriodeDatumTijdTotEnMet],"&gt;"&amp;($A240+12/24),tData[Langligger01],1)</f>
        <v/>
      </c>
      <c r="Q240" s="20">
        <f>COUNTIFS(tData[SEHTrajectPeriodeDatumTijdVan],"&lt;="&amp;($A240+13/24),tData[SEHTrajectPeriodeDatumTijdTotEnMet],"&gt;"&amp;($A240+13/24),tData[Langligger01],1)</f>
        <v/>
      </c>
      <c r="R240" s="20">
        <f>COUNTIFS(tData[SEHTrajectPeriodeDatumTijdVan],"&lt;="&amp;($A240+14/24),tData[SEHTrajectPeriodeDatumTijdTotEnMet],"&gt;"&amp;($A240+14/24),tData[Langligger01],1)</f>
        <v/>
      </c>
      <c r="S240" s="20">
        <f>COUNTIFS(tData[SEHTrajectPeriodeDatumTijdVan],"&lt;="&amp;($A240+15/24),tData[SEHTrajectPeriodeDatumTijdTotEnMet],"&gt;"&amp;($A240+15/24),tData[Langligger01],1)</f>
        <v/>
      </c>
      <c r="T240" s="20">
        <f>COUNTIFS(tData[SEHTrajectPeriodeDatumTijdVan],"&lt;="&amp;($A240+16/24),tData[SEHTrajectPeriodeDatumTijdTotEnMet],"&gt;"&amp;($A240+16/24),tData[Langligger01],1)</f>
        <v/>
      </c>
      <c r="U240" s="20">
        <f>COUNTIFS(tData[SEHTrajectPeriodeDatumTijdVan],"&lt;="&amp;($A240+17/24),tData[SEHTrajectPeriodeDatumTijdTotEnMet],"&gt;"&amp;($A240+17/24),tData[Langligger01],1)</f>
        <v/>
      </c>
      <c r="V240" s="20">
        <f>COUNTIFS(tData[SEHTrajectPeriodeDatumTijdVan],"&lt;="&amp;($A240+18/24),tData[SEHTrajectPeriodeDatumTijdTotEnMet],"&gt;"&amp;($A240+18/24),tData[Langligger01],1)</f>
        <v/>
      </c>
      <c r="W240" s="20">
        <f>COUNTIFS(tData[SEHTrajectPeriodeDatumTijdVan],"&lt;="&amp;($A240+19/24),tData[SEHTrajectPeriodeDatumTijdTotEnMet],"&gt;"&amp;($A240+19/24),tData[Langligger01],1)</f>
        <v/>
      </c>
      <c r="X240" s="20">
        <f>COUNTIFS(tData[SEHTrajectPeriodeDatumTijdVan],"&lt;="&amp;($A240+20/24),tData[SEHTrajectPeriodeDatumTijdTotEnMet],"&gt;"&amp;($A240+20/24),tData[Langligger01],1)</f>
        <v/>
      </c>
      <c r="Y240" s="20">
        <f>COUNTIFS(tData[SEHTrajectPeriodeDatumTijdVan],"&lt;="&amp;($A240+21/24),tData[SEHTrajectPeriodeDatumTijdTotEnMet],"&gt;"&amp;($A240+21/24),tData[Langligger01],1)</f>
        <v/>
      </c>
      <c r="Z240" s="20">
        <f>COUNTIFS(tData[SEHTrajectPeriodeDatumTijdVan],"&lt;="&amp;($A240+22/24),tData[SEHTrajectPeriodeDatumTijdTotEnMet],"&gt;"&amp;($A240+22/24),tData[Langligger01],1)</f>
        <v/>
      </c>
      <c r="AA240" s="20">
        <f>COUNTIFS(tData[SEHTrajectPeriodeDatumTijdVan],"&lt;="&amp;($A240+23/24),tData[SEHTrajectPeriodeDatumTijdTotEnMet],"&gt;"&amp;($A240+23/24),tData[Langligger01],1)</f>
        <v/>
      </c>
    </row>
    <row r="241">
      <c r="A241" s="19" t="n">
        <v>45529</v>
      </c>
      <c r="B241" s="15">
        <f>WEEKDAY($A241,2)</f>
        <v/>
      </c>
      <c r="C241" s="15">
        <f>IF(AND($A241&gt;=INT(Instellingen!$B$5),$A241&lt;=INT(Instellingen!$B$6)),1,0)</f>
        <v/>
      </c>
      <c r="D241" s="20">
        <f>COUNTIFS(tData[SEHTrajectPeriodeDatumTijdVan],"&lt;="&amp;($A241+0/24),tData[SEHTrajectPeriodeDatumTijdTotEnMet],"&gt;"&amp;($A241+0/24),tData[Langligger01],1)</f>
        <v/>
      </c>
      <c r="E241" s="20">
        <f>COUNTIFS(tData[SEHTrajectPeriodeDatumTijdVan],"&lt;="&amp;($A241+1/24),tData[SEHTrajectPeriodeDatumTijdTotEnMet],"&gt;"&amp;($A241+1/24),tData[Langligger01],1)</f>
        <v/>
      </c>
      <c r="F241" s="20">
        <f>COUNTIFS(tData[SEHTrajectPeriodeDatumTijdVan],"&lt;="&amp;($A241+2/24),tData[SEHTrajectPeriodeDatumTijdTotEnMet],"&gt;"&amp;($A241+2/24),tData[Langligger01],1)</f>
        <v/>
      </c>
      <c r="G241" s="20">
        <f>COUNTIFS(tData[SEHTrajectPeriodeDatumTijdVan],"&lt;="&amp;($A241+3/24),tData[SEHTrajectPeriodeDatumTijdTotEnMet],"&gt;"&amp;($A241+3/24),tData[Langligger01],1)</f>
        <v/>
      </c>
      <c r="H241" s="20">
        <f>COUNTIFS(tData[SEHTrajectPeriodeDatumTijdVan],"&lt;="&amp;($A241+4/24),tData[SEHTrajectPeriodeDatumTijdTotEnMet],"&gt;"&amp;($A241+4/24),tData[Langligger01],1)</f>
        <v/>
      </c>
      <c r="I241" s="20">
        <f>COUNTIFS(tData[SEHTrajectPeriodeDatumTijdVan],"&lt;="&amp;($A241+5/24),tData[SEHTrajectPeriodeDatumTijdTotEnMet],"&gt;"&amp;($A241+5/24),tData[Langligger01],1)</f>
        <v/>
      </c>
      <c r="J241" s="20">
        <f>COUNTIFS(tData[SEHTrajectPeriodeDatumTijdVan],"&lt;="&amp;($A241+6/24),tData[SEHTrajectPeriodeDatumTijdTotEnMet],"&gt;"&amp;($A241+6/24),tData[Langligger01],1)</f>
        <v/>
      </c>
      <c r="K241" s="20">
        <f>COUNTIFS(tData[SEHTrajectPeriodeDatumTijdVan],"&lt;="&amp;($A241+7/24),tData[SEHTrajectPeriodeDatumTijdTotEnMet],"&gt;"&amp;($A241+7/24),tData[Langligger01],1)</f>
        <v/>
      </c>
      <c r="L241" s="20">
        <f>COUNTIFS(tData[SEHTrajectPeriodeDatumTijdVan],"&lt;="&amp;($A241+8/24),tData[SEHTrajectPeriodeDatumTijdTotEnMet],"&gt;"&amp;($A241+8/24),tData[Langligger01],1)</f>
        <v/>
      </c>
      <c r="M241" s="20">
        <f>COUNTIFS(tData[SEHTrajectPeriodeDatumTijdVan],"&lt;="&amp;($A241+9/24),tData[SEHTrajectPeriodeDatumTijdTotEnMet],"&gt;"&amp;($A241+9/24),tData[Langligger01],1)</f>
        <v/>
      </c>
      <c r="N241" s="20">
        <f>COUNTIFS(tData[SEHTrajectPeriodeDatumTijdVan],"&lt;="&amp;($A241+10/24),tData[SEHTrajectPeriodeDatumTijdTotEnMet],"&gt;"&amp;($A241+10/24),tData[Langligger01],1)</f>
        <v/>
      </c>
      <c r="O241" s="20">
        <f>COUNTIFS(tData[SEHTrajectPeriodeDatumTijdVan],"&lt;="&amp;($A241+11/24),tData[SEHTrajectPeriodeDatumTijdTotEnMet],"&gt;"&amp;($A241+11/24),tData[Langligger01],1)</f>
        <v/>
      </c>
      <c r="P241" s="20">
        <f>COUNTIFS(tData[SEHTrajectPeriodeDatumTijdVan],"&lt;="&amp;($A241+12/24),tData[SEHTrajectPeriodeDatumTijdTotEnMet],"&gt;"&amp;($A241+12/24),tData[Langligger01],1)</f>
        <v/>
      </c>
      <c r="Q241" s="20">
        <f>COUNTIFS(tData[SEHTrajectPeriodeDatumTijdVan],"&lt;="&amp;($A241+13/24),tData[SEHTrajectPeriodeDatumTijdTotEnMet],"&gt;"&amp;($A241+13/24),tData[Langligger01],1)</f>
        <v/>
      </c>
      <c r="R241" s="20">
        <f>COUNTIFS(tData[SEHTrajectPeriodeDatumTijdVan],"&lt;="&amp;($A241+14/24),tData[SEHTrajectPeriodeDatumTijdTotEnMet],"&gt;"&amp;($A241+14/24),tData[Langligger01],1)</f>
        <v/>
      </c>
      <c r="S241" s="20">
        <f>COUNTIFS(tData[SEHTrajectPeriodeDatumTijdVan],"&lt;="&amp;($A241+15/24),tData[SEHTrajectPeriodeDatumTijdTotEnMet],"&gt;"&amp;($A241+15/24),tData[Langligger01],1)</f>
        <v/>
      </c>
      <c r="T241" s="20">
        <f>COUNTIFS(tData[SEHTrajectPeriodeDatumTijdVan],"&lt;="&amp;($A241+16/24),tData[SEHTrajectPeriodeDatumTijdTotEnMet],"&gt;"&amp;($A241+16/24),tData[Langligger01],1)</f>
        <v/>
      </c>
      <c r="U241" s="20">
        <f>COUNTIFS(tData[SEHTrajectPeriodeDatumTijdVan],"&lt;="&amp;($A241+17/24),tData[SEHTrajectPeriodeDatumTijdTotEnMet],"&gt;"&amp;($A241+17/24),tData[Langligger01],1)</f>
        <v/>
      </c>
      <c r="V241" s="20">
        <f>COUNTIFS(tData[SEHTrajectPeriodeDatumTijdVan],"&lt;="&amp;($A241+18/24),tData[SEHTrajectPeriodeDatumTijdTotEnMet],"&gt;"&amp;($A241+18/24),tData[Langligger01],1)</f>
        <v/>
      </c>
      <c r="W241" s="20">
        <f>COUNTIFS(tData[SEHTrajectPeriodeDatumTijdVan],"&lt;="&amp;($A241+19/24),tData[SEHTrajectPeriodeDatumTijdTotEnMet],"&gt;"&amp;($A241+19/24),tData[Langligger01],1)</f>
        <v/>
      </c>
      <c r="X241" s="20">
        <f>COUNTIFS(tData[SEHTrajectPeriodeDatumTijdVan],"&lt;="&amp;($A241+20/24),tData[SEHTrajectPeriodeDatumTijdTotEnMet],"&gt;"&amp;($A241+20/24),tData[Langligger01],1)</f>
        <v/>
      </c>
      <c r="Y241" s="20">
        <f>COUNTIFS(tData[SEHTrajectPeriodeDatumTijdVan],"&lt;="&amp;($A241+21/24),tData[SEHTrajectPeriodeDatumTijdTotEnMet],"&gt;"&amp;($A241+21/24),tData[Langligger01],1)</f>
        <v/>
      </c>
      <c r="Z241" s="20">
        <f>COUNTIFS(tData[SEHTrajectPeriodeDatumTijdVan],"&lt;="&amp;($A241+22/24),tData[SEHTrajectPeriodeDatumTijdTotEnMet],"&gt;"&amp;($A241+22/24),tData[Langligger01],1)</f>
        <v/>
      </c>
      <c r="AA241" s="20">
        <f>COUNTIFS(tData[SEHTrajectPeriodeDatumTijdVan],"&lt;="&amp;($A241+23/24),tData[SEHTrajectPeriodeDatumTijdTotEnMet],"&gt;"&amp;($A241+23/24),tData[Langligger01],1)</f>
        <v/>
      </c>
    </row>
    <row r="242">
      <c r="A242" s="19" t="n">
        <v>45530</v>
      </c>
      <c r="B242" s="15">
        <f>WEEKDAY($A242,2)</f>
        <v/>
      </c>
      <c r="C242" s="15">
        <f>IF(AND($A242&gt;=INT(Instellingen!$B$5),$A242&lt;=INT(Instellingen!$B$6)),1,0)</f>
        <v/>
      </c>
      <c r="D242" s="20">
        <f>COUNTIFS(tData[SEHTrajectPeriodeDatumTijdVan],"&lt;="&amp;($A242+0/24),tData[SEHTrajectPeriodeDatumTijdTotEnMet],"&gt;"&amp;($A242+0/24),tData[Langligger01],1)</f>
        <v/>
      </c>
      <c r="E242" s="20">
        <f>COUNTIFS(tData[SEHTrajectPeriodeDatumTijdVan],"&lt;="&amp;($A242+1/24),tData[SEHTrajectPeriodeDatumTijdTotEnMet],"&gt;"&amp;($A242+1/24),tData[Langligger01],1)</f>
        <v/>
      </c>
      <c r="F242" s="20">
        <f>COUNTIFS(tData[SEHTrajectPeriodeDatumTijdVan],"&lt;="&amp;($A242+2/24),tData[SEHTrajectPeriodeDatumTijdTotEnMet],"&gt;"&amp;($A242+2/24),tData[Langligger01],1)</f>
        <v/>
      </c>
      <c r="G242" s="20">
        <f>COUNTIFS(tData[SEHTrajectPeriodeDatumTijdVan],"&lt;="&amp;($A242+3/24),tData[SEHTrajectPeriodeDatumTijdTotEnMet],"&gt;"&amp;($A242+3/24),tData[Langligger01],1)</f>
        <v/>
      </c>
      <c r="H242" s="20">
        <f>COUNTIFS(tData[SEHTrajectPeriodeDatumTijdVan],"&lt;="&amp;($A242+4/24),tData[SEHTrajectPeriodeDatumTijdTotEnMet],"&gt;"&amp;($A242+4/24),tData[Langligger01],1)</f>
        <v/>
      </c>
      <c r="I242" s="20">
        <f>COUNTIFS(tData[SEHTrajectPeriodeDatumTijdVan],"&lt;="&amp;($A242+5/24),tData[SEHTrajectPeriodeDatumTijdTotEnMet],"&gt;"&amp;($A242+5/24),tData[Langligger01],1)</f>
        <v/>
      </c>
      <c r="J242" s="20">
        <f>COUNTIFS(tData[SEHTrajectPeriodeDatumTijdVan],"&lt;="&amp;($A242+6/24),tData[SEHTrajectPeriodeDatumTijdTotEnMet],"&gt;"&amp;($A242+6/24),tData[Langligger01],1)</f>
        <v/>
      </c>
      <c r="K242" s="20">
        <f>COUNTIFS(tData[SEHTrajectPeriodeDatumTijdVan],"&lt;="&amp;($A242+7/24),tData[SEHTrajectPeriodeDatumTijdTotEnMet],"&gt;"&amp;($A242+7/24),tData[Langligger01],1)</f>
        <v/>
      </c>
      <c r="L242" s="20">
        <f>COUNTIFS(tData[SEHTrajectPeriodeDatumTijdVan],"&lt;="&amp;($A242+8/24),tData[SEHTrajectPeriodeDatumTijdTotEnMet],"&gt;"&amp;($A242+8/24),tData[Langligger01],1)</f>
        <v/>
      </c>
      <c r="M242" s="20">
        <f>COUNTIFS(tData[SEHTrajectPeriodeDatumTijdVan],"&lt;="&amp;($A242+9/24),tData[SEHTrajectPeriodeDatumTijdTotEnMet],"&gt;"&amp;($A242+9/24),tData[Langligger01],1)</f>
        <v/>
      </c>
      <c r="N242" s="20">
        <f>COUNTIFS(tData[SEHTrajectPeriodeDatumTijdVan],"&lt;="&amp;($A242+10/24),tData[SEHTrajectPeriodeDatumTijdTotEnMet],"&gt;"&amp;($A242+10/24),tData[Langligger01],1)</f>
        <v/>
      </c>
      <c r="O242" s="20">
        <f>COUNTIFS(tData[SEHTrajectPeriodeDatumTijdVan],"&lt;="&amp;($A242+11/24),tData[SEHTrajectPeriodeDatumTijdTotEnMet],"&gt;"&amp;($A242+11/24),tData[Langligger01],1)</f>
        <v/>
      </c>
      <c r="P242" s="20">
        <f>COUNTIFS(tData[SEHTrajectPeriodeDatumTijdVan],"&lt;="&amp;($A242+12/24),tData[SEHTrajectPeriodeDatumTijdTotEnMet],"&gt;"&amp;($A242+12/24),tData[Langligger01],1)</f>
        <v/>
      </c>
      <c r="Q242" s="20">
        <f>COUNTIFS(tData[SEHTrajectPeriodeDatumTijdVan],"&lt;="&amp;($A242+13/24),tData[SEHTrajectPeriodeDatumTijdTotEnMet],"&gt;"&amp;($A242+13/24),tData[Langligger01],1)</f>
        <v/>
      </c>
      <c r="R242" s="20">
        <f>COUNTIFS(tData[SEHTrajectPeriodeDatumTijdVan],"&lt;="&amp;($A242+14/24),tData[SEHTrajectPeriodeDatumTijdTotEnMet],"&gt;"&amp;($A242+14/24),tData[Langligger01],1)</f>
        <v/>
      </c>
      <c r="S242" s="20">
        <f>COUNTIFS(tData[SEHTrajectPeriodeDatumTijdVan],"&lt;="&amp;($A242+15/24),tData[SEHTrajectPeriodeDatumTijdTotEnMet],"&gt;"&amp;($A242+15/24),tData[Langligger01],1)</f>
        <v/>
      </c>
      <c r="T242" s="20">
        <f>COUNTIFS(tData[SEHTrajectPeriodeDatumTijdVan],"&lt;="&amp;($A242+16/24),tData[SEHTrajectPeriodeDatumTijdTotEnMet],"&gt;"&amp;($A242+16/24),tData[Langligger01],1)</f>
        <v/>
      </c>
      <c r="U242" s="20">
        <f>COUNTIFS(tData[SEHTrajectPeriodeDatumTijdVan],"&lt;="&amp;($A242+17/24),tData[SEHTrajectPeriodeDatumTijdTotEnMet],"&gt;"&amp;($A242+17/24),tData[Langligger01],1)</f>
        <v/>
      </c>
      <c r="V242" s="20">
        <f>COUNTIFS(tData[SEHTrajectPeriodeDatumTijdVan],"&lt;="&amp;($A242+18/24),tData[SEHTrajectPeriodeDatumTijdTotEnMet],"&gt;"&amp;($A242+18/24),tData[Langligger01],1)</f>
        <v/>
      </c>
      <c r="W242" s="20">
        <f>COUNTIFS(tData[SEHTrajectPeriodeDatumTijdVan],"&lt;="&amp;($A242+19/24),tData[SEHTrajectPeriodeDatumTijdTotEnMet],"&gt;"&amp;($A242+19/24),tData[Langligger01],1)</f>
        <v/>
      </c>
      <c r="X242" s="20">
        <f>COUNTIFS(tData[SEHTrajectPeriodeDatumTijdVan],"&lt;="&amp;($A242+20/24),tData[SEHTrajectPeriodeDatumTijdTotEnMet],"&gt;"&amp;($A242+20/24),tData[Langligger01],1)</f>
        <v/>
      </c>
      <c r="Y242" s="20">
        <f>COUNTIFS(tData[SEHTrajectPeriodeDatumTijdVan],"&lt;="&amp;($A242+21/24),tData[SEHTrajectPeriodeDatumTijdTotEnMet],"&gt;"&amp;($A242+21/24),tData[Langligger01],1)</f>
        <v/>
      </c>
      <c r="Z242" s="20">
        <f>COUNTIFS(tData[SEHTrajectPeriodeDatumTijdVan],"&lt;="&amp;($A242+22/24),tData[SEHTrajectPeriodeDatumTijdTotEnMet],"&gt;"&amp;($A242+22/24),tData[Langligger01],1)</f>
        <v/>
      </c>
      <c r="AA242" s="20">
        <f>COUNTIFS(tData[SEHTrajectPeriodeDatumTijdVan],"&lt;="&amp;($A242+23/24),tData[SEHTrajectPeriodeDatumTijdTotEnMet],"&gt;"&amp;($A242+23/24),tData[Langligger01],1)</f>
        <v/>
      </c>
    </row>
    <row r="243">
      <c r="A243" s="19" t="n">
        <v>45531</v>
      </c>
      <c r="B243" s="15">
        <f>WEEKDAY($A243,2)</f>
        <v/>
      </c>
      <c r="C243" s="15">
        <f>IF(AND($A243&gt;=INT(Instellingen!$B$5),$A243&lt;=INT(Instellingen!$B$6)),1,0)</f>
        <v/>
      </c>
      <c r="D243" s="20">
        <f>COUNTIFS(tData[SEHTrajectPeriodeDatumTijdVan],"&lt;="&amp;($A243+0/24),tData[SEHTrajectPeriodeDatumTijdTotEnMet],"&gt;"&amp;($A243+0/24),tData[Langligger01],1)</f>
        <v/>
      </c>
      <c r="E243" s="20">
        <f>COUNTIFS(tData[SEHTrajectPeriodeDatumTijdVan],"&lt;="&amp;($A243+1/24),tData[SEHTrajectPeriodeDatumTijdTotEnMet],"&gt;"&amp;($A243+1/24),tData[Langligger01],1)</f>
        <v/>
      </c>
      <c r="F243" s="20">
        <f>COUNTIFS(tData[SEHTrajectPeriodeDatumTijdVan],"&lt;="&amp;($A243+2/24),tData[SEHTrajectPeriodeDatumTijdTotEnMet],"&gt;"&amp;($A243+2/24),tData[Langligger01],1)</f>
        <v/>
      </c>
      <c r="G243" s="20">
        <f>COUNTIFS(tData[SEHTrajectPeriodeDatumTijdVan],"&lt;="&amp;($A243+3/24),tData[SEHTrajectPeriodeDatumTijdTotEnMet],"&gt;"&amp;($A243+3/24),tData[Langligger01],1)</f>
        <v/>
      </c>
      <c r="H243" s="20">
        <f>COUNTIFS(tData[SEHTrajectPeriodeDatumTijdVan],"&lt;="&amp;($A243+4/24),tData[SEHTrajectPeriodeDatumTijdTotEnMet],"&gt;"&amp;($A243+4/24),tData[Langligger01],1)</f>
        <v/>
      </c>
      <c r="I243" s="20">
        <f>COUNTIFS(tData[SEHTrajectPeriodeDatumTijdVan],"&lt;="&amp;($A243+5/24),tData[SEHTrajectPeriodeDatumTijdTotEnMet],"&gt;"&amp;($A243+5/24),tData[Langligger01],1)</f>
        <v/>
      </c>
      <c r="J243" s="20">
        <f>COUNTIFS(tData[SEHTrajectPeriodeDatumTijdVan],"&lt;="&amp;($A243+6/24),tData[SEHTrajectPeriodeDatumTijdTotEnMet],"&gt;"&amp;($A243+6/24),tData[Langligger01],1)</f>
        <v/>
      </c>
      <c r="K243" s="20">
        <f>COUNTIFS(tData[SEHTrajectPeriodeDatumTijdVan],"&lt;="&amp;($A243+7/24),tData[SEHTrajectPeriodeDatumTijdTotEnMet],"&gt;"&amp;($A243+7/24),tData[Langligger01],1)</f>
        <v/>
      </c>
      <c r="L243" s="20">
        <f>COUNTIFS(tData[SEHTrajectPeriodeDatumTijdVan],"&lt;="&amp;($A243+8/24),tData[SEHTrajectPeriodeDatumTijdTotEnMet],"&gt;"&amp;($A243+8/24),tData[Langligger01],1)</f>
        <v/>
      </c>
      <c r="M243" s="20">
        <f>COUNTIFS(tData[SEHTrajectPeriodeDatumTijdVan],"&lt;="&amp;($A243+9/24),tData[SEHTrajectPeriodeDatumTijdTotEnMet],"&gt;"&amp;($A243+9/24),tData[Langligger01],1)</f>
        <v/>
      </c>
      <c r="N243" s="20">
        <f>COUNTIFS(tData[SEHTrajectPeriodeDatumTijdVan],"&lt;="&amp;($A243+10/24),tData[SEHTrajectPeriodeDatumTijdTotEnMet],"&gt;"&amp;($A243+10/24),tData[Langligger01],1)</f>
        <v/>
      </c>
      <c r="O243" s="20">
        <f>COUNTIFS(tData[SEHTrajectPeriodeDatumTijdVan],"&lt;="&amp;($A243+11/24),tData[SEHTrajectPeriodeDatumTijdTotEnMet],"&gt;"&amp;($A243+11/24),tData[Langligger01],1)</f>
        <v/>
      </c>
      <c r="P243" s="20">
        <f>COUNTIFS(tData[SEHTrajectPeriodeDatumTijdVan],"&lt;="&amp;($A243+12/24),tData[SEHTrajectPeriodeDatumTijdTotEnMet],"&gt;"&amp;($A243+12/24),tData[Langligger01],1)</f>
        <v/>
      </c>
      <c r="Q243" s="20">
        <f>COUNTIFS(tData[SEHTrajectPeriodeDatumTijdVan],"&lt;="&amp;($A243+13/24),tData[SEHTrajectPeriodeDatumTijdTotEnMet],"&gt;"&amp;($A243+13/24),tData[Langligger01],1)</f>
        <v/>
      </c>
      <c r="R243" s="20">
        <f>COUNTIFS(tData[SEHTrajectPeriodeDatumTijdVan],"&lt;="&amp;($A243+14/24),tData[SEHTrajectPeriodeDatumTijdTotEnMet],"&gt;"&amp;($A243+14/24),tData[Langligger01],1)</f>
        <v/>
      </c>
      <c r="S243" s="20">
        <f>COUNTIFS(tData[SEHTrajectPeriodeDatumTijdVan],"&lt;="&amp;($A243+15/24),tData[SEHTrajectPeriodeDatumTijdTotEnMet],"&gt;"&amp;($A243+15/24),tData[Langligger01],1)</f>
        <v/>
      </c>
      <c r="T243" s="20">
        <f>COUNTIFS(tData[SEHTrajectPeriodeDatumTijdVan],"&lt;="&amp;($A243+16/24),tData[SEHTrajectPeriodeDatumTijdTotEnMet],"&gt;"&amp;($A243+16/24),tData[Langligger01],1)</f>
        <v/>
      </c>
      <c r="U243" s="20">
        <f>COUNTIFS(tData[SEHTrajectPeriodeDatumTijdVan],"&lt;="&amp;($A243+17/24),tData[SEHTrajectPeriodeDatumTijdTotEnMet],"&gt;"&amp;($A243+17/24),tData[Langligger01],1)</f>
        <v/>
      </c>
      <c r="V243" s="20">
        <f>COUNTIFS(tData[SEHTrajectPeriodeDatumTijdVan],"&lt;="&amp;($A243+18/24),tData[SEHTrajectPeriodeDatumTijdTotEnMet],"&gt;"&amp;($A243+18/24),tData[Langligger01],1)</f>
        <v/>
      </c>
      <c r="W243" s="20">
        <f>COUNTIFS(tData[SEHTrajectPeriodeDatumTijdVan],"&lt;="&amp;($A243+19/24),tData[SEHTrajectPeriodeDatumTijdTotEnMet],"&gt;"&amp;($A243+19/24),tData[Langligger01],1)</f>
        <v/>
      </c>
      <c r="X243" s="20">
        <f>COUNTIFS(tData[SEHTrajectPeriodeDatumTijdVan],"&lt;="&amp;($A243+20/24),tData[SEHTrajectPeriodeDatumTijdTotEnMet],"&gt;"&amp;($A243+20/24),tData[Langligger01],1)</f>
        <v/>
      </c>
      <c r="Y243" s="20">
        <f>COUNTIFS(tData[SEHTrajectPeriodeDatumTijdVan],"&lt;="&amp;($A243+21/24),tData[SEHTrajectPeriodeDatumTijdTotEnMet],"&gt;"&amp;($A243+21/24),tData[Langligger01],1)</f>
        <v/>
      </c>
      <c r="Z243" s="20">
        <f>COUNTIFS(tData[SEHTrajectPeriodeDatumTijdVan],"&lt;="&amp;($A243+22/24),tData[SEHTrajectPeriodeDatumTijdTotEnMet],"&gt;"&amp;($A243+22/24),tData[Langligger01],1)</f>
        <v/>
      </c>
      <c r="AA243" s="20">
        <f>COUNTIFS(tData[SEHTrajectPeriodeDatumTijdVan],"&lt;="&amp;($A243+23/24),tData[SEHTrajectPeriodeDatumTijdTotEnMet],"&gt;"&amp;($A243+23/24),tData[Langligger01],1)</f>
        <v/>
      </c>
    </row>
    <row r="244">
      <c r="A244" s="19" t="n">
        <v>45532</v>
      </c>
      <c r="B244" s="15">
        <f>WEEKDAY($A244,2)</f>
        <v/>
      </c>
      <c r="C244" s="15">
        <f>IF(AND($A244&gt;=INT(Instellingen!$B$5),$A244&lt;=INT(Instellingen!$B$6)),1,0)</f>
        <v/>
      </c>
      <c r="D244" s="20">
        <f>COUNTIFS(tData[SEHTrajectPeriodeDatumTijdVan],"&lt;="&amp;($A244+0/24),tData[SEHTrajectPeriodeDatumTijdTotEnMet],"&gt;"&amp;($A244+0/24),tData[Langligger01],1)</f>
        <v/>
      </c>
      <c r="E244" s="20">
        <f>COUNTIFS(tData[SEHTrajectPeriodeDatumTijdVan],"&lt;="&amp;($A244+1/24),tData[SEHTrajectPeriodeDatumTijdTotEnMet],"&gt;"&amp;($A244+1/24),tData[Langligger01],1)</f>
        <v/>
      </c>
      <c r="F244" s="20">
        <f>COUNTIFS(tData[SEHTrajectPeriodeDatumTijdVan],"&lt;="&amp;($A244+2/24),tData[SEHTrajectPeriodeDatumTijdTotEnMet],"&gt;"&amp;($A244+2/24),tData[Langligger01],1)</f>
        <v/>
      </c>
      <c r="G244" s="20">
        <f>COUNTIFS(tData[SEHTrajectPeriodeDatumTijdVan],"&lt;="&amp;($A244+3/24),tData[SEHTrajectPeriodeDatumTijdTotEnMet],"&gt;"&amp;($A244+3/24),tData[Langligger01],1)</f>
        <v/>
      </c>
      <c r="H244" s="20">
        <f>COUNTIFS(tData[SEHTrajectPeriodeDatumTijdVan],"&lt;="&amp;($A244+4/24),tData[SEHTrajectPeriodeDatumTijdTotEnMet],"&gt;"&amp;($A244+4/24),tData[Langligger01],1)</f>
        <v/>
      </c>
      <c r="I244" s="20">
        <f>COUNTIFS(tData[SEHTrajectPeriodeDatumTijdVan],"&lt;="&amp;($A244+5/24),tData[SEHTrajectPeriodeDatumTijdTotEnMet],"&gt;"&amp;($A244+5/24),tData[Langligger01],1)</f>
        <v/>
      </c>
      <c r="J244" s="20">
        <f>COUNTIFS(tData[SEHTrajectPeriodeDatumTijdVan],"&lt;="&amp;($A244+6/24),tData[SEHTrajectPeriodeDatumTijdTotEnMet],"&gt;"&amp;($A244+6/24),tData[Langligger01],1)</f>
        <v/>
      </c>
      <c r="K244" s="20">
        <f>COUNTIFS(tData[SEHTrajectPeriodeDatumTijdVan],"&lt;="&amp;($A244+7/24),tData[SEHTrajectPeriodeDatumTijdTotEnMet],"&gt;"&amp;($A244+7/24),tData[Langligger01],1)</f>
        <v/>
      </c>
      <c r="L244" s="20">
        <f>COUNTIFS(tData[SEHTrajectPeriodeDatumTijdVan],"&lt;="&amp;($A244+8/24),tData[SEHTrajectPeriodeDatumTijdTotEnMet],"&gt;"&amp;($A244+8/24),tData[Langligger01],1)</f>
        <v/>
      </c>
      <c r="M244" s="20">
        <f>COUNTIFS(tData[SEHTrajectPeriodeDatumTijdVan],"&lt;="&amp;($A244+9/24),tData[SEHTrajectPeriodeDatumTijdTotEnMet],"&gt;"&amp;($A244+9/24),tData[Langligger01],1)</f>
        <v/>
      </c>
      <c r="N244" s="20">
        <f>COUNTIFS(tData[SEHTrajectPeriodeDatumTijdVan],"&lt;="&amp;($A244+10/24),tData[SEHTrajectPeriodeDatumTijdTotEnMet],"&gt;"&amp;($A244+10/24),tData[Langligger01],1)</f>
        <v/>
      </c>
      <c r="O244" s="20">
        <f>COUNTIFS(tData[SEHTrajectPeriodeDatumTijdVan],"&lt;="&amp;($A244+11/24),tData[SEHTrajectPeriodeDatumTijdTotEnMet],"&gt;"&amp;($A244+11/24),tData[Langligger01],1)</f>
        <v/>
      </c>
      <c r="P244" s="20">
        <f>COUNTIFS(tData[SEHTrajectPeriodeDatumTijdVan],"&lt;="&amp;($A244+12/24),tData[SEHTrajectPeriodeDatumTijdTotEnMet],"&gt;"&amp;($A244+12/24),tData[Langligger01],1)</f>
        <v/>
      </c>
      <c r="Q244" s="20">
        <f>COUNTIFS(tData[SEHTrajectPeriodeDatumTijdVan],"&lt;="&amp;($A244+13/24),tData[SEHTrajectPeriodeDatumTijdTotEnMet],"&gt;"&amp;($A244+13/24),tData[Langligger01],1)</f>
        <v/>
      </c>
      <c r="R244" s="20">
        <f>COUNTIFS(tData[SEHTrajectPeriodeDatumTijdVan],"&lt;="&amp;($A244+14/24),tData[SEHTrajectPeriodeDatumTijdTotEnMet],"&gt;"&amp;($A244+14/24),tData[Langligger01],1)</f>
        <v/>
      </c>
      <c r="S244" s="20">
        <f>COUNTIFS(tData[SEHTrajectPeriodeDatumTijdVan],"&lt;="&amp;($A244+15/24),tData[SEHTrajectPeriodeDatumTijdTotEnMet],"&gt;"&amp;($A244+15/24),tData[Langligger01],1)</f>
        <v/>
      </c>
      <c r="T244" s="20">
        <f>COUNTIFS(tData[SEHTrajectPeriodeDatumTijdVan],"&lt;="&amp;($A244+16/24),tData[SEHTrajectPeriodeDatumTijdTotEnMet],"&gt;"&amp;($A244+16/24),tData[Langligger01],1)</f>
        <v/>
      </c>
      <c r="U244" s="20">
        <f>COUNTIFS(tData[SEHTrajectPeriodeDatumTijdVan],"&lt;="&amp;($A244+17/24),tData[SEHTrajectPeriodeDatumTijdTotEnMet],"&gt;"&amp;($A244+17/24),tData[Langligger01],1)</f>
        <v/>
      </c>
      <c r="V244" s="20">
        <f>COUNTIFS(tData[SEHTrajectPeriodeDatumTijdVan],"&lt;="&amp;($A244+18/24),tData[SEHTrajectPeriodeDatumTijdTotEnMet],"&gt;"&amp;($A244+18/24),tData[Langligger01],1)</f>
        <v/>
      </c>
      <c r="W244" s="20">
        <f>COUNTIFS(tData[SEHTrajectPeriodeDatumTijdVan],"&lt;="&amp;($A244+19/24),tData[SEHTrajectPeriodeDatumTijdTotEnMet],"&gt;"&amp;($A244+19/24),tData[Langligger01],1)</f>
        <v/>
      </c>
      <c r="X244" s="20">
        <f>COUNTIFS(tData[SEHTrajectPeriodeDatumTijdVan],"&lt;="&amp;($A244+20/24),tData[SEHTrajectPeriodeDatumTijdTotEnMet],"&gt;"&amp;($A244+20/24),tData[Langligger01],1)</f>
        <v/>
      </c>
      <c r="Y244" s="20">
        <f>COUNTIFS(tData[SEHTrajectPeriodeDatumTijdVan],"&lt;="&amp;($A244+21/24),tData[SEHTrajectPeriodeDatumTijdTotEnMet],"&gt;"&amp;($A244+21/24),tData[Langligger01],1)</f>
        <v/>
      </c>
      <c r="Z244" s="20">
        <f>COUNTIFS(tData[SEHTrajectPeriodeDatumTijdVan],"&lt;="&amp;($A244+22/24),tData[SEHTrajectPeriodeDatumTijdTotEnMet],"&gt;"&amp;($A244+22/24),tData[Langligger01],1)</f>
        <v/>
      </c>
      <c r="AA244" s="20">
        <f>COUNTIFS(tData[SEHTrajectPeriodeDatumTijdVan],"&lt;="&amp;($A244+23/24),tData[SEHTrajectPeriodeDatumTijdTotEnMet],"&gt;"&amp;($A244+23/24),tData[Langligger01],1)</f>
        <v/>
      </c>
    </row>
    <row r="245">
      <c r="A245" s="19" t="n">
        <v>45533</v>
      </c>
      <c r="B245" s="15">
        <f>WEEKDAY($A245,2)</f>
        <v/>
      </c>
      <c r="C245" s="15">
        <f>IF(AND($A245&gt;=INT(Instellingen!$B$5),$A245&lt;=INT(Instellingen!$B$6)),1,0)</f>
        <v/>
      </c>
      <c r="D245" s="20">
        <f>COUNTIFS(tData[SEHTrajectPeriodeDatumTijdVan],"&lt;="&amp;($A245+0/24),tData[SEHTrajectPeriodeDatumTijdTotEnMet],"&gt;"&amp;($A245+0/24),tData[Langligger01],1)</f>
        <v/>
      </c>
      <c r="E245" s="20">
        <f>COUNTIFS(tData[SEHTrajectPeriodeDatumTijdVan],"&lt;="&amp;($A245+1/24),tData[SEHTrajectPeriodeDatumTijdTotEnMet],"&gt;"&amp;($A245+1/24),tData[Langligger01],1)</f>
        <v/>
      </c>
      <c r="F245" s="20">
        <f>COUNTIFS(tData[SEHTrajectPeriodeDatumTijdVan],"&lt;="&amp;($A245+2/24),tData[SEHTrajectPeriodeDatumTijdTotEnMet],"&gt;"&amp;($A245+2/24),tData[Langligger01],1)</f>
        <v/>
      </c>
      <c r="G245" s="20">
        <f>COUNTIFS(tData[SEHTrajectPeriodeDatumTijdVan],"&lt;="&amp;($A245+3/24),tData[SEHTrajectPeriodeDatumTijdTotEnMet],"&gt;"&amp;($A245+3/24),tData[Langligger01],1)</f>
        <v/>
      </c>
      <c r="H245" s="20">
        <f>COUNTIFS(tData[SEHTrajectPeriodeDatumTijdVan],"&lt;="&amp;($A245+4/24),tData[SEHTrajectPeriodeDatumTijdTotEnMet],"&gt;"&amp;($A245+4/24),tData[Langligger01],1)</f>
        <v/>
      </c>
      <c r="I245" s="20">
        <f>COUNTIFS(tData[SEHTrajectPeriodeDatumTijdVan],"&lt;="&amp;($A245+5/24),tData[SEHTrajectPeriodeDatumTijdTotEnMet],"&gt;"&amp;($A245+5/24),tData[Langligger01],1)</f>
        <v/>
      </c>
      <c r="J245" s="20">
        <f>COUNTIFS(tData[SEHTrajectPeriodeDatumTijdVan],"&lt;="&amp;($A245+6/24),tData[SEHTrajectPeriodeDatumTijdTotEnMet],"&gt;"&amp;($A245+6/24),tData[Langligger01],1)</f>
        <v/>
      </c>
      <c r="K245" s="20">
        <f>COUNTIFS(tData[SEHTrajectPeriodeDatumTijdVan],"&lt;="&amp;($A245+7/24),tData[SEHTrajectPeriodeDatumTijdTotEnMet],"&gt;"&amp;($A245+7/24),tData[Langligger01],1)</f>
        <v/>
      </c>
      <c r="L245" s="20">
        <f>COUNTIFS(tData[SEHTrajectPeriodeDatumTijdVan],"&lt;="&amp;($A245+8/24),tData[SEHTrajectPeriodeDatumTijdTotEnMet],"&gt;"&amp;($A245+8/24),tData[Langligger01],1)</f>
        <v/>
      </c>
      <c r="M245" s="20">
        <f>COUNTIFS(tData[SEHTrajectPeriodeDatumTijdVan],"&lt;="&amp;($A245+9/24),tData[SEHTrajectPeriodeDatumTijdTotEnMet],"&gt;"&amp;($A245+9/24),tData[Langligger01],1)</f>
        <v/>
      </c>
      <c r="N245" s="20">
        <f>COUNTIFS(tData[SEHTrajectPeriodeDatumTijdVan],"&lt;="&amp;($A245+10/24),tData[SEHTrajectPeriodeDatumTijdTotEnMet],"&gt;"&amp;($A245+10/24),tData[Langligger01],1)</f>
        <v/>
      </c>
      <c r="O245" s="20">
        <f>COUNTIFS(tData[SEHTrajectPeriodeDatumTijdVan],"&lt;="&amp;($A245+11/24),tData[SEHTrajectPeriodeDatumTijdTotEnMet],"&gt;"&amp;($A245+11/24),tData[Langligger01],1)</f>
        <v/>
      </c>
      <c r="P245" s="20">
        <f>COUNTIFS(tData[SEHTrajectPeriodeDatumTijdVan],"&lt;="&amp;($A245+12/24),tData[SEHTrajectPeriodeDatumTijdTotEnMet],"&gt;"&amp;($A245+12/24),tData[Langligger01],1)</f>
        <v/>
      </c>
      <c r="Q245" s="20">
        <f>COUNTIFS(tData[SEHTrajectPeriodeDatumTijdVan],"&lt;="&amp;($A245+13/24),tData[SEHTrajectPeriodeDatumTijdTotEnMet],"&gt;"&amp;($A245+13/24),tData[Langligger01],1)</f>
        <v/>
      </c>
      <c r="R245" s="20">
        <f>COUNTIFS(tData[SEHTrajectPeriodeDatumTijdVan],"&lt;="&amp;($A245+14/24),tData[SEHTrajectPeriodeDatumTijdTotEnMet],"&gt;"&amp;($A245+14/24),tData[Langligger01],1)</f>
        <v/>
      </c>
      <c r="S245" s="20">
        <f>COUNTIFS(tData[SEHTrajectPeriodeDatumTijdVan],"&lt;="&amp;($A245+15/24),tData[SEHTrajectPeriodeDatumTijdTotEnMet],"&gt;"&amp;($A245+15/24),tData[Langligger01],1)</f>
        <v/>
      </c>
      <c r="T245" s="20">
        <f>COUNTIFS(tData[SEHTrajectPeriodeDatumTijdVan],"&lt;="&amp;($A245+16/24),tData[SEHTrajectPeriodeDatumTijdTotEnMet],"&gt;"&amp;($A245+16/24),tData[Langligger01],1)</f>
        <v/>
      </c>
      <c r="U245" s="20">
        <f>COUNTIFS(tData[SEHTrajectPeriodeDatumTijdVan],"&lt;="&amp;($A245+17/24),tData[SEHTrajectPeriodeDatumTijdTotEnMet],"&gt;"&amp;($A245+17/24),tData[Langligger01],1)</f>
        <v/>
      </c>
      <c r="V245" s="20">
        <f>COUNTIFS(tData[SEHTrajectPeriodeDatumTijdVan],"&lt;="&amp;($A245+18/24),tData[SEHTrajectPeriodeDatumTijdTotEnMet],"&gt;"&amp;($A245+18/24),tData[Langligger01],1)</f>
        <v/>
      </c>
      <c r="W245" s="20">
        <f>COUNTIFS(tData[SEHTrajectPeriodeDatumTijdVan],"&lt;="&amp;($A245+19/24),tData[SEHTrajectPeriodeDatumTijdTotEnMet],"&gt;"&amp;($A245+19/24),tData[Langligger01],1)</f>
        <v/>
      </c>
      <c r="X245" s="20">
        <f>COUNTIFS(tData[SEHTrajectPeriodeDatumTijdVan],"&lt;="&amp;($A245+20/24),tData[SEHTrajectPeriodeDatumTijdTotEnMet],"&gt;"&amp;($A245+20/24),tData[Langligger01],1)</f>
        <v/>
      </c>
      <c r="Y245" s="20">
        <f>COUNTIFS(tData[SEHTrajectPeriodeDatumTijdVan],"&lt;="&amp;($A245+21/24),tData[SEHTrajectPeriodeDatumTijdTotEnMet],"&gt;"&amp;($A245+21/24),tData[Langligger01],1)</f>
        <v/>
      </c>
      <c r="Z245" s="20">
        <f>COUNTIFS(tData[SEHTrajectPeriodeDatumTijdVan],"&lt;="&amp;($A245+22/24),tData[SEHTrajectPeriodeDatumTijdTotEnMet],"&gt;"&amp;($A245+22/24),tData[Langligger01],1)</f>
        <v/>
      </c>
      <c r="AA245" s="20">
        <f>COUNTIFS(tData[SEHTrajectPeriodeDatumTijdVan],"&lt;="&amp;($A245+23/24),tData[SEHTrajectPeriodeDatumTijdTotEnMet],"&gt;"&amp;($A245+23/24),tData[Langligger01],1)</f>
        <v/>
      </c>
    </row>
    <row r="246">
      <c r="A246" s="19" t="n">
        <v>45534</v>
      </c>
      <c r="B246" s="15">
        <f>WEEKDAY($A246,2)</f>
        <v/>
      </c>
      <c r="C246" s="15">
        <f>IF(AND($A246&gt;=INT(Instellingen!$B$5),$A246&lt;=INT(Instellingen!$B$6)),1,0)</f>
        <v/>
      </c>
      <c r="D246" s="20">
        <f>COUNTIFS(tData[SEHTrajectPeriodeDatumTijdVan],"&lt;="&amp;($A246+0/24),tData[SEHTrajectPeriodeDatumTijdTotEnMet],"&gt;"&amp;($A246+0/24),tData[Langligger01],1)</f>
        <v/>
      </c>
      <c r="E246" s="20">
        <f>COUNTIFS(tData[SEHTrajectPeriodeDatumTijdVan],"&lt;="&amp;($A246+1/24),tData[SEHTrajectPeriodeDatumTijdTotEnMet],"&gt;"&amp;($A246+1/24),tData[Langligger01],1)</f>
        <v/>
      </c>
      <c r="F246" s="20">
        <f>COUNTIFS(tData[SEHTrajectPeriodeDatumTijdVan],"&lt;="&amp;($A246+2/24),tData[SEHTrajectPeriodeDatumTijdTotEnMet],"&gt;"&amp;($A246+2/24),tData[Langligger01],1)</f>
        <v/>
      </c>
      <c r="G246" s="20">
        <f>COUNTIFS(tData[SEHTrajectPeriodeDatumTijdVan],"&lt;="&amp;($A246+3/24),tData[SEHTrajectPeriodeDatumTijdTotEnMet],"&gt;"&amp;($A246+3/24),tData[Langligger01],1)</f>
        <v/>
      </c>
      <c r="H246" s="20">
        <f>COUNTIFS(tData[SEHTrajectPeriodeDatumTijdVan],"&lt;="&amp;($A246+4/24),tData[SEHTrajectPeriodeDatumTijdTotEnMet],"&gt;"&amp;($A246+4/24),tData[Langligger01],1)</f>
        <v/>
      </c>
      <c r="I246" s="20">
        <f>COUNTIFS(tData[SEHTrajectPeriodeDatumTijdVan],"&lt;="&amp;($A246+5/24),tData[SEHTrajectPeriodeDatumTijdTotEnMet],"&gt;"&amp;($A246+5/24),tData[Langligger01],1)</f>
        <v/>
      </c>
      <c r="J246" s="20">
        <f>COUNTIFS(tData[SEHTrajectPeriodeDatumTijdVan],"&lt;="&amp;($A246+6/24),tData[SEHTrajectPeriodeDatumTijdTotEnMet],"&gt;"&amp;($A246+6/24),tData[Langligger01],1)</f>
        <v/>
      </c>
      <c r="K246" s="20">
        <f>COUNTIFS(tData[SEHTrajectPeriodeDatumTijdVan],"&lt;="&amp;($A246+7/24),tData[SEHTrajectPeriodeDatumTijdTotEnMet],"&gt;"&amp;($A246+7/24),tData[Langligger01],1)</f>
        <v/>
      </c>
      <c r="L246" s="20">
        <f>COUNTIFS(tData[SEHTrajectPeriodeDatumTijdVan],"&lt;="&amp;($A246+8/24),tData[SEHTrajectPeriodeDatumTijdTotEnMet],"&gt;"&amp;($A246+8/24),tData[Langligger01],1)</f>
        <v/>
      </c>
      <c r="M246" s="20">
        <f>COUNTIFS(tData[SEHTrajectPeriodeDatumTijdVan],"&lt;="&amp;($A246+9/24),tData[SEHTrajectPeriodeDatumTijdTotEnMet],"&gt;"&amp;($A246+9/24),tData[Langligger01],1)</f>
        <v/>
      </c>
      <c r="N246" s="20">
        <f>COUNTIFS(tData[SEHTrajectPeriodeDatumTijdVan],"&lt;="&amp;($A246+10/24),tData[SEHTrajectPeriodeDatumTijdTotEnMet],"&gt;"&amp;($A246+10/24),tData[Langligger01],1)</f>
        <v/>
      </c>
      <c r="O246" s="20">
        <f>COUNTIFS(tData[SEHTrajectPeriodeDatumTijdVan],"&lt;="&amp;($A246+11/24),tData[SEHTrajectPeriodeDatumTijdTotEnMet],"&gt;"&amp;($A246+11/24),tData[Langligger01],1)</f>
        <v/>
      </c>
      <c r="P246" s="20">
        <f>COUNTIFS(tData[SEHTrajectPeriodeDatumTijdVan],"&lt;="&amp;($A246+12/24),tData[SEHTrajectPeriodeDatumTijdTotEnMet],"&gt;"&amp;($A246+12/24),tData[Langligger01],1)</f>
        <v/>
      </c>
      <c r="Q246" s="20">
        <f>COUNTIFS(tData[SEHTrajectPeriodeDatumTijdVan],"&lt;="&amp;($A246+13/24),tData[SEHTrajectPeriodeDatumTijdTotEnMet],"&gt;"&amp;($A246+13/24),tData[Langligger01],1)</f>
        <v/>
      </c>
      <c r="R246" s="20">
        <f>COUNTIFS(tData[SEHTrajectPeriodeDatumTijdVan],"&lt;="&amp;($A246+14/24),tData[SEHTrajectPeriodeDatumTijdTotEnMet],"&gt;"&amp;($A246+14/24),tData[Langligger01],1)</f>
        <v/>
      </c>
      <c r="S246" s="20">
        <f>COUNTIFS(tData[SEHTrajectPeriodeDatumTijdVan],"&lt;="&amp;($A246+15/24),tData[SEHTrajectPeriodeDatumTijdTotEnMet],"&gt;"&amp;($A246+15/24),tData[Langligger01],1)</f>
        <v/>
      </c>
      <c r="T246" s="20">
        <f>COUNTIFS(tData[SEHTrajectPeriodeDatumTijdVan],"&lt;="&amp;($A246+16/24),tData[SEHTrajectPeriodeDatumTijdTotEnMet],"&gt;"&amp;($A246+16/24),tData[Langligger01],1)</f>
        <v/>
      </c>
      <c r="U246" s="20">
        <f>COUNTIFS(tData[SEHTrajectPeriodeDatumTijdVan],"&lt;="&amp;($A246+17/24),tData[SEHTrajectPeriodeDatumTijdTotEnMet],"&gt;"&amp;($A246+17/24),tData[Langligger01],1)</f>
        <v/>
      </c>
      <c r="V246" s="20">
        <f>COUNTIFS(tData[SEHTrajectPeriodeDatumTijdVan],"&lt;="&amp;($A246+18/24),tData[SEHTrajectPeriodeDatumTijdTotEnMet],"&gt;"&amp;($A246+18/24),tData[Langligger01],1)</f>
        <v/>
      </c>
      <c r="W246" s="20">
        <f>COUNTIFS(tData[SEHTrajectPeriodeDatumTijdVan],"&lt;="&amp;($A246+19/24),tData[SEHTrajectPeriodeDatumTijdTotEnMet],"&gt;"&amp;($A246+19/24),tData[Langligger01],1)</f>
        <v/>
      </c>
      <c r="X246" s="20">
        <f>COUNTIFS(tData[SEHTrajectPeriodeDatumTijdVan],"&lt;="&amp;($A246+20/24),tData[SEHTrajectPeriodeDatumTijdTotEnMet],"&gt;"&amp;($A246+20/24),tData[Langligger01],1)</f>
        <v/>
      </c>
      <c r="Y246" s="20">
        <f>COUNTIFS(tData[SEHTrajectPeriodeDatumTijdVan],"&lt;="&amp;($A246+21/24),tData[SEHTrajectPeriodeDatumTijdTotEnMet],"&gt;"&amp;($A246+21/24),tData[Langligger01],1)</f>
        <v/>
      </c>
      <c r="Z246" s="20">
        <f>COUNTIFS(tData[SEHTrajectPeriodeDatumTijdVan],"&lt;="&amp;($A246+22/24),tData[SEHTrajectPeriodeDatumTijdTotEnMet],"&gt;"&amp;($A246+22/24),tData[Langligger01],1)</f>
        <v/>
      </c>
      <c r="AA246" s="20">
        <f>COUNTIFS(tData[SEHTrajectPeriodeDatumTijdVan],"&lt;="&amp;($A246+23/24),tData[SEHTrajectPeriodeDatumTijdTotEnMet],"&gt;"&amp;($A246+23/24),tData[Langligger01],1)</f>
        <v/>
      </c>
    </row>
    <row r="247">
      <c r="A247" s="19" t="n">
        <v>45535</v>
      </c>
      <c r="B247" s="15">
        <f>WEEKDAY($A247,2)</f>
        <v/>
      </c>
      <c r="C247" s="15">
        <f>IF(AND($A247&gt;=INT(Instellingen!$B$5),$A247&lt;=INT(Instellingen!$B$6)),1,0)</f>
        <v/>
      </c>
      <c r="D247" s="20">
        <f>COUNTIFS(tData[SEHTrajectPeriodeDatumTijdVan],"&lt;="&amp;($A247+0/24),tData[SEHTrajectPeriodeDatumTijdTotEnMet],"&gt;"&amp;($A247+0/24),tData[Langligger01],1)</f>
        <v/>
      </c>
      <c r="E247" s="20">
        <f>COUNTIFS(tData[SEHTrajectPeriodeDatumTijdVan],"&lt;="&amp;($A247+1/24),tData[SEHTrajectPeriodeDatumTijdTotEnMet],"&gt;"&amp;($A247+1/24),tData[Langligger01],1)</f>
        <v/>
      </c>
      <c r="F247" s="20">
        <f>COUNTIFS(tData[SEHTrajectPeriodeDatumTijdVan],"&lt;="&amp;($A247+2/24),tData[SEHTrajectPeriodeDatumTijdTotEnMet],"&gt;"&amp;($A247+2/24),tData[Langligger01],1)</f>
        <v/>
      </c>
      <c r="G247" s="20">
        <f>COUNTIFS(tData[SEHTrajectPeriodeDatumTijdVan],"&lt;="&amp;($A247+3/24),tData[SEHTrajectPeriodeDatumTijdTotEnMet],"&gt;"&amp;($A247+3/24),tData[Langligger01],1)</f>
        <v/>
      </c>
      <c r="H247" s="20">
        <f>COUNTIFS(tData[SEHTrajectPeriodeDatumTijdVan],"&lt;="&amp;($A247+4/24),tData[SEHTrajectPeriodeDatumTijdTotEnMet],"&gt;"&amp;($A247+4/24),tData[Langligger01],1)</f>
        <v/>
      </c>
      <c r="I247" s="20">
        <f>COUNTIFS(tData[SEHTrajectPeriodeDatumTijdVan],"&lt;="&amp;($A247+5/24),tData[SEHTrajectPeriodeDatumTijdTotEnMet],"&gt;"&amp;($A247+5/24),tData[Langligger01],1)</f>
        <v/>
      </c>
      <c r="J247" s="20">
        <f>COUNTIFS(tData[SEHTrajectPeriodeDatumTijdVan],"&lt;="&amp;($A247+6/24),tData[SEHTrajectPeriodeDatumTijdTotEnMet],"&gt;"&amp;($A247+6/24),tData[Langligger01],1)</f>
        <v/>
      </c>
      <c r="K247" s="20">
        <f>COUNTIFS(tData[SEHTrajectPeriodeDatumTijdVan],"&lt;="&amp;($A247+7/24),tData[SEHTrajectPeriodeDatumTijdTotEnMet],"&gt;"&amp;($A247+7/24),tData[Langligger01],1)</f>
        <v/>
      </c>
      <c r="L247" s="20">
        <f>COUNTIFS(tData[SEHTrajectPeriodeDatumTijdVan],"&lt;="&amp;($A247+8/24),tData[SEHTrajectPeriodeDatumTijdTotEnMet],"&gt;"&amp;($A247+8/24),tData[Langligger01],1)</f>
        <v/>
      </c>
      <c r="M247" s="20">
        <f>COUNTIFS(tData[SEHTrajectPeriodeDatumTijdVan],"&lt;="&amp;($A247+9/24),tData[SEHTrajectPeriodeDatumTijdTotEnMet],"&gt;"&amp;($A247+9/24),tData[Langligger01],1)</f>
        <v/>
      </c>
      <c r="N247" s="20">
        <f>COUNTIFS(tData[SEHTrajectPeriodeDatumTijdVan],"&lt;="&amp;($A247+10/24),tData[SEHTrajectPeriodeDatumTijdTotEnMet],"&gt;"&amp;($A247+10/24),tData[Langligger01],1)</f>
        <v/>
      </c>
      <c r="O247" s="20">
        <f>COUNTIFS(tData[SEHTrajectPeriodeDatumTijdVan],"&lt;="&amp;($A247+11/24),tData[SEHTrajectPeriodeDatumTijdTotEnMet],"&gt;"&amp;($A247+11/24),tData[Langligger01],1)</f>
        <v/>
      </c>
      <c r="P247" s="20">
        <f>COUNTIFS(tData[SEHTrajectPeriodeDatumTijdVan],"&lt;="&amp;($A247+12/24),tData[SEHTrajectPeriodeDatumTijdTotEnMet],"&gt;"&amp;($A247+12/24),tData[Langligger01],1)</f>
        <v/>
      </c>
      <c r="Q247" s="20">
        <f>COUNTIFS(tData[SEHTrajectPeriodeDatumTijdVan],"&lt;="&amp;($A247+13/24),tData[SEHTrajectPeriodeDatumTijdTotEnMet],"&gt;"&amp;($A247+13/24),tData[Langligger01],1)</f>
        <v/>
      </c>
      <c r="R247" s="20">
        <f>COUNTIFS(tData[SEHTrajectPeriodeDatumTijdVan],"&lt;="&amp;($A247+14/24),tData[SEHTrajectPeriodeDatumTijdTotEnMet],"&gt;"&amp;($A247+14/24),tData[Langligger01],1)</f>
        <v/>
      </c>
      <c r="S247" s="20">
        <f>COUNTIFS(tData[SEHTrajectPeriodeDatumTijdVan],"&lt;="&amp;($A247+15/24),tData[SEHTrajectPeriodeDatumTijdTotEnMet],"&gt;"&amp;($A247+15/24),tData[Langligger01],1)</f>
        <v/>
      </c>
      <c r="T247" s="20">
        <f>COUNTIFS(tData[SEHTrajectPeriodeDatumTijdVan],"&lt;="&amp;($A247+16/24),tData[SEHTrajectPeriodeDatumTijdTotEnMet],"&gt;"&amp;($A247+16/24),tData[Langligger01],1)</f>
        <v/>
      </c>
      <c r="U247" s="20">
        <f>COUNTIFS(tData[SEHTrajectPeriodeDatumTijdVan],"&lt;="&amp;($A247+17/24),tData[SEHTrajectPeriodeDatumTijdTotEnMet],"&gt;"&amp;($A247+17/24),tData[Langligger01],1)</f>
        <v/>
      </c>
      <c r="V247" s="20">
        <f>COUNTIFS(tData[SEHTrajectPeriodeDatumTijdVan],"&lt;="&amp;($A247+18/24),tData[SEHTrajectPeriodeDatumTijdTotEnMet],"&gt;"&amp;($A247+18/24),tData[Langligger01],1)</f>
        <v/>
      </c>
      <c r="W247" s="20">
        <f>COUNTIFS(tData[SEHTrajectPeriodeDatumTijdVan],"&lt;="&amp;($A247+19/24),tData[SEHTrajectPeriodeDatumTijdTotEnMet],"&gt;"&amp;($A247+19/24),tData[Langligger01],1)</f>
        <v/>
      </c>
      <c r="X247" s="20">
        <f>COUNTIFS(tData[SEHTrajectPeriodeDatumTijdVan],"&lt;="&amp;($A247+20/24),tData[SEHTrajectPeriodeDatumTijdTotEnMet],"&gt;"&amp;($A247+20/24),tData[Langligger01],1)</f>
        <v/>
      </c>
      <c r="Y247" s="20">
        <f>COUNTIFS(tData[SEHTrajectPeriodeDatumTijdVan],"&lt;="&amp;($A247+21/24),tData[SEHTrajectPeriodeDatumTijdTotEnMet],"&gt;"&amp;($A247+21/24),tData[Langligger01],1)</f>
        <v/>
      </c>
      <c r="Z247" s="20">
        <f>COUNTIFS(tData[SEHTrajectPeriodeDatumTijdVan],"&lt;="&amp;($A247+22/24),tData[SEHTrajectPeriodeDatumTijdTotEnMet],"&gt;"&amp;($A247+22/24),tData[Langligger01],1)</f>
        <v/>
      </c>
      <c r="AA247" s="20">
        <f>COUNTIFS(tData[SEHTrajectPeriodeDatumTijdVan],"&lt;="&amp;($A247+23/24),tData[SEHTrajectPeriodeDatumTijdTotEnMet],"&gt;"&amp;($A247+23/24),tData[Langligger01],1)</f>
        <v/>
      </c>
    </row>
    <row r="248">
      <c r="A248" s="19" t="n">
        <v>45536</v>
      </c>
      <c r="B248" s="15">
        <f>WEEKDAY($A248,2)</f>
        <v/>
      </c>
      <c r="C248" s="15">
        <f>IF(AND($A248&gt;=INT(Instellingen!$B$5),$A248&lt;=INT(Instellingen!$B$6)),1,0)</f>
        <v/>
      </c>
      <c r="D248" s="20">
        <f>COUNTIFS(tData[SEHTrajectPeriodeDatumTijdVan],"&lt;="&amp;($A248+0/24),tData[SEHTrajectPeriodeDatumTijdTotEnMet],"&gt;"&amp;($A248+0/24),tData[Langligger01],1)</f>
        <v/>
      </c>
      <c r="E248" s="20">
        <f>COUNTIFS(tData[SEHTrajectPeriodeDatumTijdVan],"&lt;="&amp;($A248+1/24),tData[SEHTrajectPeriodeDatumTijdTotEnMet],"&gt;"&amp;($A248+1/24),tData[Langligger01],1)</f>
        <v/>
      </c>
      <c r="F248" s="20">
        <f>COUNTIFS(tData[SEHTrajectPeriodeDatumTijdVan],"&lt;="&amp;($A248+2/24),tData[SEHTrajectPeriodeDatumTijdTotEnMet],"&gt;"&amp;($A248+2/24),tData[Langligger01],1)</f>
        <v/>
      </c>
      <c r="G248" s="20">
        <f>COUNTIFS(tData[SEHTrajectPeriodeDatumTijdVan],"&lt;="&amp;($A248+3/24),tData[SEHTrajectPeriodeDatumTijdTotEnMet],"&gt;"&amp;($A248+3/24),tData[Langligger01],1)</f>
        <v/>
      </c>
      <c r="H248" s="20">
        <f>COUNTIFS(tData[SEHTrajectPeriodeDatumTijdVan],"&lt;="&amp;($A248+4/24),tData[SEHTrajectPeriodeDatumTijdTotEnMet],"&gt;"&amp;($A248+4/24),tData[Langligger01],1)</f>
        <v/>
      </c>
      <c r="I248" s="20">
        <f>COUNTIFS(tData[SEHTrajectPeriodeDatumTijdVan],"&lt;="&amp;($A248+5/24),tData[SEHTrajectPeriodeDatumTijdTotEnMet],"&gt;"&amp;($A248+5/24),tData[Langligger01],1)</f>
        <v/>
      </c>
      <c r="J248" s="20">
        <f>COUNTIFS(tData[SEHTrajectPeriodeDatumTijdVan],"&lt;="&amp;($A248+6/24),tData[SEHTrajectPeriodeDatumTijdTotEnMet],"&gt;"&amp;($A248+6/24),tData[Langligger01],1)</f>
        <v/>
      </c>
      <c r="K248" s="20">
        <f>COUNTIFS(tData[SEHTrajectPeriodeDatumTijdVan],"&lt;="&amp;($A248+7/24),tData[SEHTrajectPeriodeDatumTijdTotEnMet],"&gt;"&amp;($A248+7/24),tData[Langligger01],1)</f>
        <v/>
      </c>
      <c r="L248" s="20">
        <f>COUNTIFS(tData[SEHTrajectPeriodeDatumTijdVan],"&lt;="&amp;($A248+8/24),tData[SEHTrajectPeriodeDatumTijdTotEnMet],"&gt;"&amp;($A248+8/24),tData[Langligger01],1)</f>
        <v/>
      </c>
      <c r="M248" s="20">
        <f>COUNTIFS(tData[SEHTrajectPeriodeDatumTijdVan],"&lt;="&amp;($A248+9/24),tData[SEHTrajectPeriodeDatumTijdTotEnMet],"&gt;"&amp;($A248+9/24),tData[Langligger01],1)</f>
        <v/>
      </c>
      <c r="N248" s="20">
        <f>COUNTIFS(tData[SEHTrajectPeriodeDatumTijdVan],"&lt;="&amp;($A248+10/24),tData[SEHTrajectPeriodeDatumTijdTotEnMet],"&gt;"&amp;($A248+10/24),tData[Langligger01],1)</f>
        <v/>
      </c>
      <c r="O248" s="20">
        <f>COUNTIFS(tData[SEHTrajectPeriodeDatumTijdVan],"&lt;="&amp;($A248+11/24),tData[SEHTrajectPeriodeDatumTijdTotEnMet],"&gt;"&amp;($A248+11/24),tData[Langligger01],1)</f>
        <v/>
      </c>
      <c r="P248" s="20">
        <f>COUNTIFS(tData[SEHTrajectPeriodeDatumTijdVan],"&lt;="&amp;($A248+12/24),tData[SEHTrajectPeriodeDatumTijdTotEnMet],"&gt;"&amp;($A248+12/24),tData[Langligger01],1)</f>
        <v/>
      </c>
      <c r="Q248" s="20">
        <f>COUNTIFS(tData[SEHTrajectPeriodeDatumTijdVan],"&lt;="&amp;($A248+13/24),tData[SEHTrajectPeriodeDatumTijdTotEnMet],"&gt;"&amp;($A248+13/24),tData[Langligger01],1)</f>
        <v/>
      </c>
      <c r="R248" s="20">
        <f>COUNTIFS(tData[SEHTrajectPeriodeDatumTijdVan],"&lt;="&amp;($A248+14/24),tData[SEHTrajectPeriodeDatumTijdTotEnMet],"&gt;"&amp;($A248+14/24),tData[Langligger01],1)</f>
        <v/>
      </c>
      <c r="S248" s="20">
        <f>COUNTIFS(tData[SEHTrajectPeriodeDatumTijdVan],"&lt;="&amp;($A248+15/24),tData[SEHTrajectPeriodeDatumTijdTotEnMet],"&gt;"&amp;($A248+15/24),tData[Langligger01],1)</f>
        <v/>
      </c>
      <c r="T248" s="20">
        <f>COUNTIFS(tData[SEHTrajectPeriodeDatumTijdVan],"&lt;="&amp;($A248+16/24),tData[SEHTrajectPeriodeDatumTijdTotEnMet],"&gt;"&amp;($A248+16/24),tData[Langligger01],1)</f>
        <v/>
      </c>
      <c r="U248" s="20">
        <f>COUNTIFS(tData[SEHTrajectPeriodeDatumTijdVan],"&lt;="&amp;($A248+17/24),tData[SEHTrajectPeriodeDatumTijdTotEnMet],"&gt;"&amp;($A248+17/24),tData[Langligger01],1)</f>
        <v/>
      </c>
      <c r="V248" s="20">
        <f>COUNTIFS(tData[SEHTrajectPeriodeDatumTijdVan],"&lt;="&amp;($A248+18/24),tData[SEHTrajectPeriodeDatumTijdTotEnMet],"&gt;"&amp;($A248+18/24),tData[Langligger01],1)</f>
        <v/>
      </c>
      <c r="W248" s="20">
        <f>COUNTIFS(tData[SEHTrajectPeriodeDatumTijdVan],"&lt;="&amp;($A248+19/24),tData[SEHTrajectPeriodeDatumTijdTotEnMet],"&gt;"&amp;($A248+19/24),tData[Langligger01],1)</f>
        <v/>
      </c>
      <c r="X248" s="20">
        <f>COUNTIFS(tData[SEHTrajectPeriodeDatumTijdVan],"&lt;="&amp;($A248+20/24),tData[SEHTrajectPeriodeDatumTijdTotEnMet],"&gt;"&amp;($A248+20/24),tData[Langligger01],1)</f>
        <v/>
      </c>
      <c r="Y248" s="20">
        <f>COUNTIFS(tData[SEHTrajectPeriodeDatumTijdVan],"&lt;="&amp;($A248+21/24),tData[SEHTrajectPeriodeDatumTijdTotEnMet],"&gt;"&amp;($A248+21/24),tData[Langligger01],1)</f>
        <v/>
      </c>
      <c r="Z248" s="20">
        <f>COUNTIFS(tData[SEHTrajectPeriodeDatumTijdVan],"&lt;="&amp;($A248+22/24),tData[SEHTrajectPeriodeDatumTijdTotEnMet],"&gt;"&amp;($A248+22/24),tData[Langligger01],1)</f>
        <v/>
      </c>
      <c r="AA248" s="20">
        <f>COUNTIFS(tData[SEHTrajectPeriodeDatumTijdVan],"&lt;="&amp;($A248+23/24),tData[SEHTrajectPeriodeDatumTijdTotEnMet],"&gt;"&amp;($A248+23/24),tData[Langligger01],1)</f>
        <v/>
      </c>
    </row>
    <row r="249">
      <c r="A249" s="19" t="n">
        <v>45537</v>
      </c>
      <c r="B249" s="15">
        <f>WEEKDAY($A249,2)</f>
        <v/>
      </c>
      <c r="C249" s="15">
        <f>IF(AND($A249&gt;=INT(Instellingen!$B$5),$A249&lt;=INT(Instellingen!$B$6)),1,0)</f>
        <v/>
      </c>
      <c r="D249" s="20">
        <f>COUNTIFS(tData[SEHTrajectPeriodeDatumTijdVan],"&lt;="&amp;($A249+0/24),tData[SEHTrajectPeriodeDatumTijdTotEnMet],"&gt;"&amp;($A249+0/24),tData[Langligger01],1)</f>
        <v/>
      </c>
      <c r="E249" s="20">
        <f>COUNTIFS(tData[SEHTrajectPeriodeDatumTijdVan],"&lt;="&amp;($A249+1/24),tData[SEHTrajectPeriodeDatumTijdTotEnMet],"&gt;"&amp;($A249+1/24),tData[Langligger01],1)</f>
        <v/>
      </c>
      <c r="F249" s="20">
        <f>COUNTIFS(tData[SEHTrajectPeriodeDatumTijdVan],"&lt;="&amp;($A249+2/24),tData[SEHTrajectPeriodeDatumTijdTotEnMet],"&gt;"&amp;($A249+2/24),tData[Langligger01],1)</f>
        <v/>
      </c>
      <c r="G249" s="20">
        <f>COUNTIFS(tData[SEHTrajectPeriodeDatumTijdVan],"&lt;="&amp;($A249+3/24),tData[SEHTrajectPeriodeDatumTijdTotEnMet],"&gt;"&amp;($A249+3/24),tData[Langligger01],1)</f>
        <v/>
      </c>
      <c r="H249" s="20">
        <f>COUNTIFS(tData[SEHTrajectPeriodeDatumTijdVan],"&lt;="&amp;($A249+4/24),tData[SEHTrajectPeriodeDatumTijdTotEnMet],"&gt;"&amp;($A249+4/24),tData[Langligger01],1)</f>
        <v/>
      </c>
      <c r="I249" s="20">
        <f>COUNTIFS(tData[SEHTrajectPeriodeDatumTijdVan],"&lt;="&amp;($A249+5/24),tData[SEHTrajectPeriodeDatumTijdTotEnMet],"&gt;"&amp;($A249+5/24),tData[Langligger01],1)</f>
        <v/>
      </c>
      <c r="J249" s="20">
        <f>COUNTIFS(tData[SEHTrajectPeriodeDatumTijdVan],"&lt;="&amp;($A249+6/24),tData[SEHTrajectPeriodeDatumTijdTotEnMet],"&gt;"&amp;($A249+6/24),tData[Langligger01],1)</f>
        <v/>
      </c>
      <c r="K249" s="20">
        <f>COUNTIFS(tData[SEHTrajectPeriodeDatumTijdVan],"&lt;="&amp;($A249+7/24),tData[SEHTrajectPeriodeDatumTijdTotEnMet],"&gt;"&amp;($A249+7/24),tData[Langligger01],1)</f>
        <v/>
      </c>
      <c r="L249" s="20">
        <f>COUNTIFS(tData[SEHTrajectPeriodeDatumTijdVan],"&lt;="&amp;($A249+8/24),tData[SEHTrajectPeriodeDatumTijdTotEnMet],"&gt;"&amp;($A249+8/24),tData[Langligger01],1)</f>
        <v/>
      </c>
      <c r="M249" s="20">
        <f>COUNTIFS(tData[SEHTrajectPeriodeDatumTijdVan],"&lt;="&amp;($A249+9/24),tData[SEHTrajectPeriodeDatumTijdTotEnMet],"&gt;"&amp;($A249+9/24),tData[Langligger01],1)</f>
        <v/>
      </c>
      <c r="N249" s="20">
        <f>COUNTIFS(tData[SEHTrajectPeriodeDatumTijdVan],"&lt;="&amp;($A249+10/24),tData[SEHTrajectPeriodeDatumTijdTotEnMet],"&gt;"&amp;($A249+10/24),tData[Langligger01],1)</f>
        <v/>
      </c>
      <c r="O249" s="20">
        <f>COUNTIFS(tData[SEHTrajectPeriodeDatumTijdVan],"&lt;="&amp;($A249+11/24),tData[SEHTrajectPeriodeDatumTijdTotEnMet],"&gt;"&amp;($A249+11/24),tData[Langligger01],1)</f>
        <v/>
      </c>
      <c r="P249" s="20">
        <f>COUNTIFS(tData[SEHTrajectPeriodeDatumTijdVan],"&lt;="&amp;($A249+12/24),tData[SEHTrajectPeriodeDatumTijdTotEnMet],"&gt;"&amp;($A249+12/24),tData[Langligger01],1)</f>
        <v/>
      </c>
      <c r="Q249" s="20">
        <f>COUNTIFS(tData[SEHTrajectPeriodeDatumTijdVan],"&lt;="&amp;($A249+13/24),tData[SEHTrajectPeriodeDatumTijdTotEnMet],"&gt;"&amp;($A249+13/24),tData[Langligger01],1)</f>
        <v/>
      </c>
      <c r="R249" s="20">
        <f>COUNTIFS(tData[SEHTrajectPeriodeDatumTijdVan],"&lt;="&amp;($A249+14/24),tData[SEHTrajectPeriodeDatumTijdTotEnMet],"&gt;"&amp;($A249+14/24),tData[Langligger01],1)</f>
        <v/>
      </c>
      <c r="S249" s="20">
        <f>COUNTIFS(tData[SEHTrajectPeriodeDatumTijdVan],"&lt;="&amp;($A249+15/24),tData[SEHTrajectPeriodeDatumTijdTotEnMet],"&gt;"&amp;($A249+15/24),tData[Langligger01],1)</f>
        <v/>
      </c>
      <c r="T249" s="20">
        <f>COUNTIFS(tData[SEHTrajectPeriodeDatumTijdVan],"&lt;="&amp;($A249+16/24),tData[SEHTrajectPeriodeDatumTijdTotEnMet],"&gt;"&amp;($A249+16/24),tData[Langligger01],1)</f>
        <v/>
      </c>
      <c r="U249" s="20">
        <f>COUNTIFS(tData[SEHTrajectPeriodeDatumTijdVan],"&lt;="&amp;($A249+17/24),tData[SEHTrajectPeriodeDatumTijdTotEnMet],"&gt;"&amp;($A249+17/24),tData[Langligger01],1)</f>
        <v/>
      </c>
      <c r="V249" s="20">
        <f>COUNTIFS(tData[SEHTrajectPeriodeDatumTijdVan],"&lt;="&amp;($A249+18/24),tData[SEHTrajectPeriodeDatumTijdTotEnMet],"&gt;"&amp;($A249+18/24),tData[Langligger01],1)</f>
        <v/>
      </c>
      <c r="W249" s="20">
        <f>COUNTIFS(tData[SEHTrajectPeriodeDatumTijdVan],"&lt;="&amp;($A249+19/24),tData[SEHTrajectPeriodeDatumTijdTotEnMet],"&gt;"&amp;($A249+19/24),tData[Langligger01],1)</f>
        <v/>
      </c>
      <c r="X249" s="20">
        <f>COUNTIFS(tData[SEHTrajectPeriodeDatumTijdVan],"&lt;="&amp;($A249+20/24),tData[SEHTrajectPeriodeDatumTijdTotEnMet],"&gt;"&amp;($A249+20/24),tData[Langligger01],1)</f>
        <v/>
      </c>
      <c r="Y249" s="20">
        <f>COUNTIFS(tData[SEHTrajectPeriodeDatumTijdVan],"&lt;="&amp;($A249+21/24),tData[SEHTrajectPeriodeDatumTijdTotEnMet],"&gt;"&amp;($A249+21/24),tData[Langligger01],1)</f>
        <v/>
      </c>
      <c r="Z249" s="20">
        <f>COUNTIFS(tData[SEHTrajectPeriodeDatumTijdVan],"&lt;="&amp;($A249+22/24),tData[SEHTrajectPeriodeDatumTijdTotEnMet],"&gt;"&amp;($A249+22/24),tData[Langligger01],1)</f>
        <v/>
      </c>
      <c r="AA249" s="20">
        <f>COUNTIFS(tData[SEHTrajectPeriodeDatumTijdVan],"&lt;="&amp;($A249+23/24),tData[SEHTrajectPeriodeDatumTijdTotEnMet],"&gt;"&amp;($A249+23/24),tData[Langligger01],1)</f>
        <v/>
      </c>
    </row>
    <row r="250">
      <c r="A250" s="19" t="n">
        <v>45538</v>
      </c>
      <c r="B250" s="15">
        <f>WEEKDAY($A250,2)</f>
        <v/>
      </c>
      <c r="C250" s="15">
        <f>IF(AND($A250&gt;=INT(Instellingen!$B$5),$A250&lt;=INT(Instellingen!$B$6)),1,0)</f>
        <v/>
      </c>
      <c r="D250" s="20">
        <f>COUNTIFS(tData[SEHTrajectPeriodeDatumTijdVan],"&lt;="&amp;($A250+0/24),tData[SEHTrajectPeriodeDatumTijdTotEnMet],"&gt;"&amp;($A250+0/24),tData[Langligger01],1)</f>
        <v/>
      </c>
      <c r="E250" s="20">
        <f>COUNTIFS(tData[SEHTrajectPeriodeDatumTijdVan],"&lt;="&amp;($A250+1/24),tData[SEHTrajectPeriodeDatumTijdTotEnMet],"&gt;"&amp;($A250+1/24),tData[Langligger01],1)</f>
        <v/>
      </c>
      <c r="F250" s="20">
        <f>COUNTIFS(tData[SEHTrajectPeriodeDatumTijdVan],"&lt;="&amp;($A250+2/24),tData[SEHTrajectPeriodeDatumTijdTotEnMet],"&gt;"&amp;($A250+2/24),tData[Langligger01],1)</f>
        <v/>
      </c>
      <c r="G250" s="20">
        <f>COUNTIFS(tData[SEHTrajectPeriodeDatumTijdVan],"&lt;="&amp;($A250+3/24),tData[SEHTrajectPeriodeDatumTijdTotEnMet],"&gt;"&amp;($A250+3/24),tData[Langligger01],1)</f>
        <v/>
      </c>
      <c r="H250" s="20">
        <f>COUNTIFS(tData[SEHTrajectPeriodeDatumTijdVan],"&lt;="&amp;($A250+4/24),tData[SEHTrajectPeriodeDatumTijdTotEnMet],"&gt;"&amp;($A250+4/24),tData[Langligger01],1)</f>
        <v/>
      </c>
      <c r="I250" s="20">
        <f>COUNTIFS(tData[SEHTrajectPeriodeDatumTijdVan],"&lt;="&amp;($A250+5/24),tData[SEHTrajectPeriodeDatumTijdTotEnMet],"&gt;"&amp;($A250+5/24),tData[Langligger01],1)</f>
        <v/>
      </c>
      <c r="J250" s="20">
        <f>COUNTIFS(tData[SEHTrajectPeriodeDatumTijdVan],"&lt;="&amp;($A250+6/24),tData[SEHTrajectPeriodeDatumTijdTotEnMet],"&gt;"&amp;($A250+6/24),tData[Langligger01],1)</f>
        <v/>
      </c>
      <c r="K250" s="20">
        <f>COUNTIFS(tData[SEHTrajectPeriodeDatumTijdVan],"&lt;="&amp;($A250+7/24),tData[SEHTrajectPeriodeDatumTijdTotEnMet],"&gt;"&amp;($A250+7/24),tData[Langligger01],1)</f>
        <v/>
      </c>
      <c r="L250" s="20">
        <f>COUNTIFS(tData[SEHTrajectPeriodeDatumTijdVan],"&lt;="&amp;($A250+8/24),tData[SEHTrajectPeriodeDatumTijdTotEnMet],"&gt;"&amp;($A250+8/24),tData[Langligger01],1)</f>
        <v/>
      </c>
      <c r="M250" s="20">
        <f>COUNTIFS(tData[SEHTrajectPeriodeDatumTijdVan],"&lt;="&amp;($A250+9/24),tData[SEHTrajectPeriodeDatumTijdTotEnMet],"&gt;"&amp;($A250+9/24),tData[Langligger01],1)</f>
        <v/>
      </c>
      <c r="N250" s="20">
        <f>COUNTIFS(tData[SEHTrajectPeriodeDatumTijdVan],"&lt;="&amp;($A250+10/24),tData[SEHTrajectPeriodeDatumTijdTotEnMet],"&gt;"&amp;($A250+10/24),tData[Langligger01],1)</f>
        <v/>
      </c>
      <c r="O250" s="20">
        <f>COUNTIFS(tData[SEHTrajectPeriodeDatumTijdVan],"&lt;="&amp;($A250+11/24),tData[SEHTrajectPeriodeDatumTijdTotEnMet],"&gt;"&amp;($A250+11/24),tData[Langligger01],1)</f>
        <v/>
      </c>
      <c r="P250" s="20">
        <f>COUNTIFS(tData[SEHTrajectPeriodeDatumTijdVan],"&lt;="&amp;($A250+12/24),tData[SEHTrajectPeriodeDatumTijdTotEnMet],"&gt;"&amp;($A250+12/24),tData[Langligger01],1)</f>
        <v/>
      </c>
      <c r="Q250" s="20">
        <f>COUNTIFS(tData[SEHTrajectPeriodeDatumTijdVan],"&lt;="&amp;($A250+13/24),tData[SEHTrajectPeriodeDatumTijdTotEnMet],"&gt;"&amp;($A250+13/24),tData[Langligger01],1)</f>
        <v/>
      </c>
      <c r="R250" s="20">
        <f>COUNTIFS(tData[SEHTrajectPeriodeDatumTijdVan],"&lt;="&amp;($A250+14/24),tData[SEHTrajectPeriodeDatumTijdTotEnMet],"&gt;"&amp;($A250+14/24),tData[Langligger01],1)</f>
        <v/>
      </c>
      <c r="S250" s="20">
        <f>COUNTIFS(tData[SEHTrajectPeriodeDatumTijdVan],"&lt;="&amp;($A250+15/24),tData[SEHTrajectPeriodeDatumTijdTotEnMet],"&gt;"&amp;($A250+15/24),tData[Langligger01],1)</f>
        <v/>
      </c>
      <c r="T250" s="20">
        <f>COUNTIFS(tData[SEHTrajectPeriodeDatumTijdVan],"&lt;="&amp;($A250+16/24),tData[SEHTrajectPeriodeDatumTijdTotEnMet],"&gt;"&amp;($A250+16/24),tData[Langligger01],1)</f>
        <v/>
      </c>
      <c r="U250" s="20">
        <f>COUNTIFS(tData[SEHTrajectPeriodeDatumTijdVan],"&lt;="&amp;($A250+17/24),tData[SEHTrajectPeriodeDatumTijdTotEnMet],"&gt;"&amp;($A250+17/24),tData[Langligger01],1)</f>
        <v/>
      </c>
      <c r="V250" s="20">
        <f>COUNTIFS(tData[SEHTrajectPeriodeDatumTijdVan],"&lt;="&amp;($A250+18/24),tData[SEHTrajectPeriodeDatumTijdTotEnMet],"&gt;"&amp;($A250+18/24),tData[Langligger01],1)</f>
        <v/>
      </c>
      <c r="W250" s="20">
        <f>COUNTIFS(tData[SEHTrajectPeriodeDatumTijdVan],"&lt;="&amp;($A250+19/24),tData[SEHTrajectPeriodeDatumTijdTotEnMet],"&gt;"&amp;($A250+19/24),tData[Langligger01],1)</f>
        <v/>
      </c>
      <c r="X250" s="20">
        <f>COUNTIFS(tData[SEHTrajectPeriodeDatumTijdVan],"&lt;="&amp;($A250+20/24),tData[SEHTrajectPeriodeDatumTijdTotEnMet],"&gt;"&amp;($A250+20/24),tData[Langligger01],1)</f>
        <v/>
      </c>
      <c r="Y250" s="20">
        <f>COUNTIFS(tData[SEHTrajectPeriodeDatumTijdVan],"&lt;="&amp;($A250+21/24),tData[SEHTrajectPeriodeDatumTijdTotEnMet],"&gt;"&amp;($A250+21/24),tData[Langligger01],1)</f>
        <v/>
      </c>
      <c r="Z250" s="20">
        <f>COUNTIFS(tData[SEHTrajectPeriodeDatumTijdVan],"&lt;="&amp;($A250+22/24),tData[SEHTrajectPeriodeDatumTijdTotEnMet],"&gt;"&amp;($A250+22/24),tData[Langligger01],1)</f>
        <v/>
      </c>
      <c r="AA250" s="20">
        <f>COUNTIFS(tData[SEHTrajectPeriodeDatumTijdVan],"&lt;="&amp;($A250+23/24),tData[SEHTrajectPeriodeDatumTijdTotEnMet],"&gt;"&amp;($A250+23/24),tData[Langligger01],1)</f>
        <v/>
      </c>
    </row>
    <row r="251">
      <c r="A251" s="19" t="n">
        <v>45539</v>
      </c>
      <c r="B251" s="15">
        <f>WEEKDAY($A251,2)</f>
        <v/>
      </c>
      <c r="C251" s="15">
        <f>IF(AND($A251&gt;=INT(Instellingen!$B$5),$A251&lt;=INT(Instellingen!$B$6)),1,0)</f>
        <v/>
      </c>
      <c r="D251" s="20">
        <f>COUNTIFS(tData[SEHTrajectPeriodeDatumTijdVan],"&lt;="&amp;($A251+0/24),tData[SEHTrajectPeriodeDatumTijdTotEnMet],"&gt;"&amp;($A251+0/24),tData[Langligger01],1)</f>
        <v/>
      </c>
      <c r="E251" s="20">
        <f>COUNTIFS(tData[SEHTrajectPeriodeDatumTijdVan],"&lt;="&amp;($A251+1/24),tData[SEHTrajectPeriodeDatumTijdTotEnMet],"&gt;"&amp;($A251+1/24),tData[Langligger01],1)</f>
        <v/>
      </c>
      <c r="F251" s="20">
        <f>COUNTIFS(tData[SEHTrajectPeriodeDatumTijdVan],"&lt;="&amp;($A251+2/24),tData[SEHTrajectPeriodeDatumTijdTotEnMet],"&gt;"&amp;($A251+2/24),tData[Langligger01],1)</f>
        <v/>
      </c>
      <c r="G251" s="20">
        <f>COUNTIFS(tData[SEHTrajectPeriodeDatumTijdVan],"&lt;="&amp;($A251+3/24),tData[SEHTrajectPeriodeDatumTijdTotEnMet],"&gt;"&amp;($A251+3/24),tData[Langligger01],1)</f>
        <v/>
      </c>
      <c r="H251" s="20">
        <f>COUNTIFS(tData[SEHTrajectPeriodeDatumTijdVan],"&lt;="&amp;($A251+4/24),tData[SEHTrajectPeriodeDatumTijdTotEnMet],"&gt;"&amp;($A251+4/24),tData[Langligger01],1)</f>
        <v/>
      </c>
      <c r="I251" s="20">
        <f>COUNTIFS(tData[SEHTrajectPeriodeDatumTijdVan],"&lt;="&amp;($A251+5/24),tData[SEHTrajectPeriodeDatumTijdTotEnMet],"&gt;"&amp;($A251+5/24),tData[Langligger01],1)</f>
        <v/>
      </c>
      <c r="J251" s="20">
        <f>COUNTIFS(tData[SEHTrajectPeriodeDatumTijdVan],"&lt;="&amp;($A251+6/24),tData[SEHTrajectPeriodeDatumTijdTotEnMet],"&gt;"&amp;($A251+6/24),tData[Langligger01],1)</f>
        <v/>
      </c>
      <c r="K251" s="20">
        <f>COUNTIFS(tData[SEHTrajectPeriodeDatumTijdVan],"&lt;="&amp;($A251+7/24),tData[SEHTrajectPeriodeDatumTijdTotEnMet],"&gt;"&amp;($A251+7/24),tData[Langligger01],1)</f>
        <v/>
      </c>
      <c r="L251" s="20">
        <f>COUNTIFS(tData[SEHTrajectPeriodeDatumTijdVan],"&lt;="&amp;($A251+8/24),tData[SEHTrajectPeriodeDatumTijdTotEnMet],"&gt;"&amp;($A251+8/24),tData[Langligger01],1)</f>
        <v/>
      </c>
      <c r="M251" s="20">
        <f>COUNTIFS(tData[SEHTrajectPeriodeDatumTijdVan],"&lt;="&amp;($A251+9/24),tData[SEHTrajectPeriodeDatumTijdTotEnMet],"&gt;"&amp;($A251+9/24),tData[Langligger01],1)</f>
        <v/>
      </c>
      <c r="N251" s="20">
        <f>COUNTIFS(tData[SEHTrajectPeriodeDatumTijdVan],"&lt;="&amp;($A251+10/24),tData[SEHTrajectPeriodeDatumTijdTotEnMet],"&gt;"&amp;($A251+10/24),tData[Langligger01],1)</f>
        <v/>
      </c>
      <c r="O251" s="20">
        <f>COUNTIFS(tData[SEHTrajectPeriodeDatumTijdVan],"&lt;="&amp;($A251+11/24),tData[SEHTrajectPeriodeDatumTijdTotEnMet],"&gt;"&amp;($A251+11/24),tData[Langligger01],1)</f>
        <v/>
      </c>
      <c r="P251" s="20">
        <f>COUNTIFS(tData[SEHTrajectPeriodeDatumTijdVan],"&lt;="&amp;($A251+12/24),tData[SEHTrajectPeriodeDatumTijdTotEnMet],"&gt;"&amp;($A251+12/24),tData[Langligger01],1)</f>
        <v/>
      </c>
      <c r="Q251" s="20">
        <f>COUNTIFS(tData[SEHTrajectPeriodeDatumTijdVan],"&lt;="&amp;($A251+13/24),tData[SEHTrajectPeriodeDatumTijdTotEnMet],"&gt;"&amp;($A251+13/24),tData[Langligger01],1)</f>
        <v/>
      </c>
      <c r="R251" s="20">
        <f>COUNTIFS(tData[SEHTrajectPeriodeDatumTijdVan],"&lt;="&amp;($A251+14/24),tData[SEHTrajectPeriodeDatumTijdTotEnMet],"&gt;"&amp;($A251+14/24),tData[Langligger01],1)</f>
        <v/>
      </c>
      <c r="S251" s="20">
        <f>COUNTIFS(tData[SEHTrajectPeriodeDatumTijdVan],"&lt;="&amp;($A251+15/24),tData[SEHTrajectPeriodeDatumTijdTotEnMet],"&gt;"&amp;($A251+15/24),tData[Langligger01],1)</f>
        <v/>
      </c>
      <c r="T251" s="20">
        <f>COUNTIFS(tData[SEHTrajectPeriodeDatumTijdVan],"&lt;="&amp;($A251+16/24),tData[SEHTrajectPeriodeDatumTijdTotEnMet],"&gt;"&amp;($A251+16/24),tData[Langligger01],1)</f>
        <v/>
      </c>
      <c r="U251" s="20">
        <f>COUNTIFS(tData[SEHTrajectPeriodeDatumTijdVan],"&lt;="&amp;($A251+17/24),tData[SEHTrajectPeriodeDatumTijdTotEnMet],"&gt;"&amp;($A251+17/24),tData[Langligger01],1)</f>
        <v/>
      </c>
      <c r="V251" s="20">
        <f>COUNTIFS(tData[SEHTrajectPeriodeDatumTijdVan],"&lt;="&amp;($A251+18/24),tData[SEHTrajectPeriodeDatumTijdTotEnMet],"&gt;"&amp;($A251+18/24),tData[Langligger01],1)</f>
        <v/>
      </c>
      <c r="W251" s="20">
        <f>COUNTIFS(tData[SEHTrajectPeriodeDatumTijdVan],"&lt;="&amp;($A251+19/24),tData[SEHTrajectPeriodeDatumTijdTotEnMet],"&gt;"&amp;($A251+19/24),tData[Langligger01],1)</f>
        <v/>
      </c>
      <c r="X251" s="20">
        <f>COUNTIFS(tData[SEHTrajectPeriodeDatumTijdVan],"&lt;="&amp;($A251+20/24),tData[SEHTrajectPeriodeDatumTijdTotEnMet],"&gt;"&amp;($A251+20/24),tData[Langligger01],1)</f>
        <v/>
      </c>
      <c r="Y251" s="20">
        <f>COUNTIFS(tData[SEHTrajectPeriodeDatumTijdVan],"&lt;="&amp;($A251+21/24),tData[SEHTrajectPeriodeDatumTijdTotEnMet],"&gt;"&amp;($A251+21/24),tData[Langligger01],1)</f>
        <v/>
      </c>
      <c r="Z251" s="20">
        <f>COUNTIFS(tData[SEHTrajectPeriodeDatumTijdVan],"&lt;="&amp;($A251+22/24),tData[SEHTrajectPeriodeDatumTijdTotEnMet],"&gt;"&amp;($A251+22/24),tData[Langligger01],1)</f>
        <v/>
      </c>
      <c r="AA251" s="20">
        <f>COUNTIFS(tData[SEHTrajectPeriodeDatumTijdVan],"&lt;="&amp;($A251+23/24),tData[SEHTrajectPeriodeDatumTijdTotEnMet],"&gt;"&amp;($A251+23/24),tData[Langligger01],1)</f>
        <v/>
      </c>
    </row>
    <row r="252">
      <c r="A252" s="19" t="n">
        <v>45540</v>
      </c>
      <c r="B252" s="15">
        <f>WEEKDAY($A252,2)</f>
        <v/>
      </c>
      <c r="C252" s="15">
        <f>IF(AND($A252&gt;=INT(Instellingen!$B$5),$A252&lt;=INT(Instellingen!$B$6)),1,0)</f>
        <v/>
      </c>
      <c r="D252" s="20">
        <f>COUNTIFS(tData[SEHTrajectPeriodeDatumTijdVan],"&lt;="&amp;($A252+0/24),tData[SEHTrajectPeriodeDatumTijdTotEnMet],"&gt;"&amp;($A252+0/24),tData[Langligger01],1)</f>
        <v/>
      </c>
      <c r="E252" s="20">
        <f>COUNTIFS(tData[SEHTrajectPeriodeDatumTijdVan],"&lt;="&amp;($A252+1/24),tData[SEHTrajectPeriodeDatumTijdTotEnMet],"&gt;"&amp;($A252+1/24),tData[Langligger01],1)</f>
        <v/>
      </c>
      <c r="F252" s="20">
        <f>COUNTIFS(tData[SEHTrajectPeriodeDatumTijdVan],"&lt;="&amp;($A252+2/24),tData[SEHTrajectPeriodeDatumTijdTotEnMet],"&gt;"&amp;($A252+2/24),tData[Langligger01],1)</f>
        <v/>
      </c>
      <c r="G252" s="20">
        <f>COUNTIFS(tData[SEHTrajectPeriodeDatumTijdVan],"&lt;="&amp;($A252+3/24),tData[SEHTrajectPeriodeDatumTijdTotEnMet],"&gt;"&amp;($A252+3/24),tData[Langligger01],1)</f>
        <v/>
      </c>
      <c r="H252" s="20">
        <f>COUNTIFS(tData[SEHTrajectPeriodeDatumTijdVan],"&lt;="&amp;($A252+4/24),tData[SEHTrajectPeriodeDatumTijdTotEnMet],"&gt;"&amp;($A252+4/24),tData[Langligger01],1)</f>
        <v/>
      </c>
      <c r="I252" s="20">
        <f>COUNTIFS(tData[SEHTrajectPeriodeDatumTijdVan],"&lt;="&amp;($A252+5/24),tData[SEHTrajectPeriodeDatumTijdTotEnMet],"&gt;"&amp;($A252+5/24),tData[Langligger01],1)</f>
        <v/>
      </c>
      <c r="J252" s="20">
        <f>COUNTIFS(tData[SEHTrajectPeriodeDatumTijdVan],"&lt;="&amp;($A252+6/24),tData[SEHTrajectPeriodeDatumTijdTotEnMet],"&gt;"&amp;($A252+6/24),tData[Langligger01],1)</f>
        <v/>
      </c>
      <c r="K252" s="20">
        <f>COUNTIFS(tData[SEHTrajectPeriodeDatumTijdVan],"&lt;="&amp;($A252+7/24),tData[SEHTrajectPeriodeDatumTijdTotEnMet],"&gt;"&amp;($A252+7/24),tData[Langligger01],1)</f>
        <v/>
      </c>
      <c r="L252" s="20">
        <f>COUNTIFS(tData[SEHTrajectPeriodeDatumTijdVan],"&lt;="&amp;($A252+8/24),tData[SEHTrajectPeriodeDatumTijdTotEnMet],"&gt;"&amp;($A252+8/24),tData[Langligger01],1)</f>
        <v/>
      </c>
      <c r="M252" s="20">
        <f>COUNTIFS(tData[SEHTrajectPeriodeDatumTijdVan],"&lt;="&amp;($A252+9/24),tData[SEHTrajectPeriodeDatumTijdTotEnMet],"&gt;"&amp;($A252+9/24),tData[Langligger01],1)</f>
        <v/>
      </c>
      <c r="N252" s="20">
        <f>COUNTIFS(tData[SEHTrajectPeriodeDatumTijdVan],"&lt;="&amp;($A252+10/24),tData[SEHTrajectPeriodeDatumTijdTotEnMet],"&gt;"&amp;($A252+10/24),tData[Langligger01],1)</f>
        <v/>
      </c>
      <c r="O252" s="20">
        <f>COUNTIFS(tData[SEHTrajectPeriodeDatumTijdVan],"&lt;="&amp;($A252+11/24),tData[SEHTrajectPeriodeDatumTijdTotEnMet],"&gt;"&amp;($A252+11/24),tData[Langligger01],1)</f>
        <v/>
      </c>
      <c r="P252" s="20">
        <f>COUNTIFS(tData[SEHTrajectPeriodeDatumTijdVan],"&lt;="&amp;($A252+12/24),tData[SEHTrajectPeriodeDatumTijdTotEnMet],"&gt;"&amp;($A252+12/24),tData[Langligger01],1)</f>
        <v/>
      </c>
      <c r="Q252" s="20">
        <f>COUNTIFS(tData[SEHTrajectPeriodeDatumTijdVan],"&lt;="&amp;($A252+13/24),tData[SEHTrajectPeriodeDatumTijdTotEnMet],"&gt;"&amp;($A252+13/24),tData[Langligger01],1)</f>
        <v/>
      </c>
      <c r="R252" s="20">
        <f>COUNTIFS(tData[SEHTrajectPeriodeDatumTijdVan],"&lt;="&amp;($A252+14/24),tData[SEHTrajectPeriodeDatumTijdTotEnMet],"&gt;"&amp;($A252+14/24),tData[Langligger01],1)</f>
        <v/>
      </c>
      <c r="S252" s="20">
        <f>COUNTIFS(tData[SEHTrajectPeriodeDatumTijdVan],"&lt;="&amp;($A252+15/24),tData[SEHTrajectPeriodeDatumTijdTotEnMet],"&gt;"&amp;($A252+15/24),tData[Langligger01],1)</f>
        <v/>
      </c>
      <c r="T252" s="20">
        <f>COUNTIFS(tData[SEHTrajectPeriodeDatumTijdVan],"&lt;="&amp;($A252+16/24),tData[SEHTrajectPeriodeDatumTijdTotEnMet],"&gt;"&amp;($A252+16/24),tData[Langligger01],1)</f>
        <v/>
      </c>
      <c r="U252" s="20">
        <f>COUNTIFS(tData[SEHTrajectPeriodeDatumTijdVan],"&lt;="&amp;($A252+17/24),tData[SEHTrajectPeriodeDatumTijdTotEnMet],"&gt;"&amp;($A252+17/24),tData[Langligger01],1)</f>
        <v/>
      </c>
      <c r="V252" s="20">
        <f>COUNTIFS(tData[SEHTrajectPeriodeDatumTijdVan],"&lt;="&amp;($A252+18/24),tData[SEHTrajectPeriodeDatumTijdTotEnMet],"&gt;"&amp;($A252+18/24),tData[Langligger01],1)</f>
        <v/>
      </c>
      <c r="W252" s="20">
        <f>COUNTIFS(tData[SEHTrajectPeriodeDatumTijdVan],"&lt;="&amp;($A252+19/24),tData[SEHTrajectPeriodeDatumTijdTotEnMet],"&gt;"&amp;($A252+19/24),tData[Langligger01],1)</f>
        <v/>
      </c>
      <c r="X252" s="20">
        <f>COUNTIFS(tData[SEHTrajectPeriodeDatumTijdVan],"&lt;="&amp;($A252+20/24),tData[SEHTrajectPeriodeDatumTijdTotEnMet],"&gt;"&amp;($A252+20/24),tData[Langligger01],1)</f>
        <v/>
      </c>
      <c r="Y252" s="20">
        <f>COUNTIFS(tData[SEHTrajectPeriodeDatumTijdVan],"&lt;="&amp;($A252+21/24),tData[SEHTrajectPeriodeDatumTijdTotEnMet],"&gt;"&amp;($A252+21/24),tData[Langligger01],1)</f>
        <v/>
      </c>
      <c r="Z252" s="20">
        <f>COUNTIFS(tData[SEHTrajectPeriodeDatumTijdVan],"&lt;="&amp;($A252+22/24),tData[SEHTrajectPeriodeDatumTijdTotEnMet],"&gt;"&amp;($A252+22/24),tData[Langligger01],1)</f>
        <v/>
      </c>
      <c r="AA252" s="20">
        <f>COUNTIFS(tData[SEHTrajectPeriodeDatumTijdVan],"&lt;="&amp;($A252+23/24),tData[SEHTrajectPeriodeDatumTijdTotEnMet],"&gt;"&amp;($A252+23/24),tData[Langligger01],1)</f>
        <v/>
      </c>
    </row>
    <row r="253">
      <c r="A253" s="19" t="n">
        <v>45541</v>
      </c>
      <c r="B253" s="15">
        <f>WEEKDAY($A253,2)</f>
        <v/>
      </c>
      <c r="C253" s="15">
        <f>IF(AND($A253&gt;=INT(Instellingen!$B$5),$A253&lt;=INT(Instellingen!$B$6)),1,0)</f>
        <v/>
      </c>
      <c r="D253" s="20">
        <f>COUNTIFS(tData[SEHTrajectPeriodeDatumTijdVan],"&lt;="&amp;($A253+0/24),tData[SEHTrajectPeriodeDatumTijdTotEnMet],"&gt;"&amp;($A253+0/24),tData[Langligger01],1)</f>
        <v/>
      </c>
      <c r="E253" s="20">
        <f>COUNTIFS(tData[SEHTrajectPeriodeDatumTijdVan],"&lt;="&amp;($A253+1/24),tData[SEHTrajectPeriodeDatumTijdTotEnMet],"&gt;"&amp;($A253+1/24),tData[Langligger01],1)</f>
        <v/>
      </c>
      <c r="F253" s="20">
        <f>COUNTIFS(tData[SEHTrajectPeriodeDatumTijdVan],"&lt;="&amp;($A253+2/24),tData[SEHTrajectPeriodeDatumTijdTotEnMet],"&gt;"&amp;($A253+2/24),tData[Langligger01],1)</f>
        <v/>
      </c>
      <c r="G253" s="20">
        <f>COUNTIFS(tData[SEHTrajectPeriodeDatumTijdVan],"&lt;="&amp;($A253+3/24),tData[SEHTrajectPeriodeDatumTijdTotEnMet],"&gt;"&amp;($A253+3/24),tData[Langligger01],1)</f>
        <v/>
      </c>
      <c r="H253" s="20">
        <f>COUNTIFS(tData[SEHTrajectPeriodeDatumTijdVan],"&lt;="&amp;($A253+4/24),tData[SEHTrajectPeriodeDatumTijdTotEnMet],"&gt;"&amp;($A253+4/24),tData[Langligger01],1)</f>
        <v/>
      </c>
      <c r="I253" s="20">
        <f>COUNTIFS(tData[SEHTrajectPeriodeDatumTijdVan],"&lt;="&amp;($A253+5/24),tData[SEHTrajectPeriodeDatumTijdTotEnMet],"&gt;"&amp;($A253+5/24),tData[Langligger01],1)</f>
        <v/>
      </c>
      <c r="J253" s="20">
        <f>COUNTIFS(tData[SEHTrajectPeriodeDatumTijdVan],"&lt;="&amp;($A253+6/24),tData[SEHTrajectPeriodeDatumTijdTotEnMet],"&gt;"&amp;($A253+6/24),tData[Langligger01],1)</f>
        <v/>
      </c>
      <c r="K253" s="20">
        <f>COUNTIFS(tData[SEHTrajectPeriodeDatumTijdVan],"&lt;="&amp;($A253+7/24),tData[SEHTrajectPeriodeDatumTijdTotEnMet],"&gt;"&amp;($A253+7/24),tData[Langligger01],1)</f>
        <v/>
      </c>
      <c r="L253" s="20">
        <f>COUNTIFS(tData[SEHTrajectPeriodeDatumTijdVan],"&lt;="&amp;($A253+8/24),tData[SEHTrajectPeriodeDatumTijdTotEnMet],"&gt;"&amp;($A253+8/24),tData[Langligger01],1)</f>
        <v/>
      </c>
      <c r="M253" s="20">
        <f>COUNTIFS(tData[SEHTrajectPeriodeDatumTijdVan],"&lt;="&amp;($A253+9/24),tData[SEHTrajectPeriodeDatumTijdTotEnMet],"&gt;"&amp;($A253+9/24),tData[Langligger01],1)</f>
        <v/>
      </c>
      <c r="N253" s="20">
        <f>COUNTIFS(tData[SEHTrajectPeriodeDatumTijdVan],"&lt;="&amp;($A253+10/24),tData[SEHTrajectPeriodeDatumTijdTotEnMet],"&gt;"&amp;($A253+10/24),tData[Langligger01],1)</f>
        <v/>
      </c>
      <c r="O253" s="20">
        <f>COUNTIFS(tData[SEHTrajectPeriodeDatumTijdVan],"&lt;="&amp;($A253+11/24),tData[SEHTrajectPeriodeDatumTijdTotEnMet],"&gt;"&amp;($A253+11/24),tData[Langligger01],1)</f>
        <v/>
      </c>
      <c r="P253" s="20">
        <f>COUNTIFS(tData[SEHTrajectPeriodeDatumTijdVan],"&lt;="&amp;($A253+12/24),tData[SEHTrajectPeriodeDatumTijdTotEnMet],"&gt;"&amp;($A253+12/24),tData[Langligger01],1)</f>
        <v/>
      </c>
      <c r="Q253" s="20">
        <f>COUNTIFS(tData[SEHTrajectPeriodeDatumTijdVan],"&lt;="&amp;($A253+13/24),tData[SEHTrajectPeriodeDatumTijdTotEnMet],"&gt;"&amp;($A253+13/24),tData[Langligger01],1)</f>
        <v/>
      </c>
      <c r="R253" s="20">
        <f>COUNTIFS(tData[SEHTrajectPeriodeDatumTijdVan],"&lt;="&amp;($A253+14/24),tData[SEHTrajectPeriodeDatumTijdTotEnMet],"&gt;"&amp;($A253+14/24),tData[Langligger01],1)</f>
        <v/>
      </c>
      <c r="S253" s="20">
        <f>COUNTIFS(tData[SEHTrajectPeriodeDatumTijdVan],"&lt;="&amp;($A253+15/24),tData[SEHTrajectPeriodeDatumTijdTotEnMet],"&gt;"&amp;($A253+15/24),tData[Langligger01],1)</f>
        <v/>
      </c>
      <c r="T253" s="20">
        <f>COUNTIFS(tData[SEHTrajectPeriodeDatumTijdVan],"&lt;="&amp;($A253+16/24),tData[SEHTrajectPeriodeDatumTijdTotEnMet],"&gt;"&amp;($A253+16/24),tData[Langligger01],1)</f>
        <v/>
      </c>
      <c r="U253" s="20">
        <f>COUNTIFS(tData[SEHTrajectPeriodeDatumTijdVan],"&lt;="&amp;($A253+17/24),tData[SEHTrajectPeriodeDatumTijdTotEnMet],"&gt;"&amp;($A253+17/24),tData[Langligger01],1)</f>
        <v/>
      </c>
      <c r="V253" s="20">
        <f>COUNTIFS(tData[SEHTrajectPeriodeDatumTijdVan],"&lt;="&amp;($A253+18/24),tData[SEHTrajectPeriodeDatumTijdTotEnMet],"&gt;"&amp;($A253+18/24),tData[Langligger01],1)</f>
        <v/>
      </c>
      <c r="W253" s="20">
        <f>COUNTIFS(tData[SEHTrajectPeriodeDatumTijdVan],"&lt;="&amp;($A253+19/24),tData[SEHTrajectPeriodeDatumTijdTotEnMet],"&gt;"&amp;($A253+19/24),tData[Langligger01],1)</f>
        <v/>
      </c>
      <c r="X253" s="20">
        <f>COUNTIFS(tData[SEHTrajectPeriodeDatumTijdVan],"&lt;="&amp;($A253+20/24),tData[SEHTrajectPeriodeDatumTijdTotEnMet],"&gt;"&amp;($A253+20/24),tData[Langligger01],1)</f>
        <v/>
      </c>
      <c r="Y253" s="20">
        <f>COUNTIFS(tData[SEHTrajectPeriodeDatumTijdVan],"&lt;="&amp;($A253+21/24),tData[SEHTrajectPeriodeDatumTijdTotEnMet],"&gt;"&amp;($A253+21/24),tData[Langligger01],1)</f>
        <v/>
      </c>
      <c r="Z253" s="20">
        <f>COUNTIFS(tData[SEHTrajectPeriodeDatumTijdVan],"&lt;="&amp;($A253+22/24),tData[SEHTrajectPeriodeDatumTijdTotEnMet],"&gt;"&amp;($A253+22/24),tData[Langligger01],1)</f>
        <v/>
      </c>
      <c r="AA253" s="20">
        <f>COUNTIFS(tData[SEHTrajectPeriodeDatumTijdVan],"&lt;="&amp;($A253+23/24),tData[SEHTrajectPeriodeDatumTijdTotEnMet],"&gt;"&amp;($A253+23/24),tData[Langligger01],1)</f>
        <v/>
      </c>
    </row>
    <row r="254">
      <c r="A254" s="19" t="n">
        <v>45542</v>
      </c>
      <c r="B254" s="15">
        <f>WEEKDAY($A254,2)</f>
        <v/>
      </c>
      <c r="C254" s="15">
        <f>IF(AND($A254&gt;=INT(Instellingen!$B$5),$A254&lt;=INT(Instellingen!$B$6)),1,0)</f>
        <v/>
      </c>
      <c r="D254" s="20">
        <f>COUNTIFS(tData[SEHTrajectPeriodeDatumTijdVan],"&lt;="&amp;($A254+0/24),tData[SEHTrajectPeriodeDatumTijdTotEnMet],"&gt;"&amp;($A254+0/24),tData[Langligger01],1)</f>
        <v/>
      </c>
      <c r="E254" s="20">
        <f>COUNTIFS(tData[SEHTrajectPeriodeDatumTijdVan],"&lt;="&amp;($A254+1/24),tData[SEHTrajectPeriodeDatumTijdTotEnMet],"&gt;"&amp;($A254+1/24),tData[Langligger01],1)</f>
        <v/>
      </c>
      <c r="F254" s="20">
        <f>COUNTIFS(tData[SEHTrajectPeriodeDatumTijdVan],"&lt;="&amp;($A254+2/24),tData[SEHTrajectPeriodeDatumTijdTotEnMet],"&gt;"&amp;($A254+2/24),tData[Langligger01],1)</f>
        <v/>
      </c>
      <c r="G254" s="20">
        <f>COUNTIFS(tData[SEHTrajectPeriodeDatumTijdVan],"&lt;="&amp;($A254+3/24),tData[SEHTrajectPeriodeDatumTijdTotEnMet],"&gt;"&amp;($A254+3/24),tData[Langligger01],1)</f>
        <v/>
      </c>
      <c r="H254" s="20">
        <f>COUNTIFS(tData[SEHTrajectPeriodeDatumTijdVan],"&lt;="&amp;($A254+4/24),tData[SEHTrajectPeriodeDatumTijdTotEnMet],"&gt;"&amp;($A254+4/24),tData[Langligger01],1)</f>
        <v/>
      </c>
      <c r="I254" s="20">
        <f>COUNTIFS(tData[SEHTrajectPeriodeDatumTijdVan],"&lt;="&amp;($A254+5/24),tData[SEHTrajectPeriodeDatumTijdTotEnMet],"&gt;"&amp;($A254+5/24),tData[Langligger01],1)</f>
        <v/>
      </c>
      <c r="J254" s="20">
        <f>COUNTIFS(tData[SEHTrajectPeriodeDatumTijdVan],"&lt;="&amp;($A254+6/24),tData[SEHTrajectPeriodeDatumTijdTotEnMet],"&gt;"&amp;($A254+6/24),tData[Langligger01],1)</f>
        <v/>
      </c>
      <c r="K254" s="20">
        <f>COUNTIFS(tData[SEHTrajectPeriodeDatumTijdVan],"&lt;="&amp;($A254+7/24),tData[SEHTrajectPeriodeDatumTijdTotEnMet],"&gt;"&amp;($A254+7/24),tData[Langligger01],1)</f>
        <v/>
      </c>
      <c r="L254" s="20">
        <f>COUNTIFS(tData[SEHTrajectPeriodeDatumTijdVan],"&lt;="&amp;($A254+8/24),tData[SEHTrajectPeriodeDatumTijdTotEnMet],"&gt;"&amp;($A254+8/24),tData[Langligger01],1)</f>
        <v/>
      </c>
      <c r="M254" s="20">
        <f>COUNTIFS(tData[SEHTrajectPeriodeDatumTijdVan],"&lt;="&amp;($A254+9/24),tData[SEHTrajectPeriodeDatumTijdTotEnMet],"&gt;"&amp;($A254+9/24),tData[Langligger01],1)</f>
        <v/>
      </c>
      <c r="N254" s="20">
        <f>COUNTIFS(tData[SEHTrajectPeriodeDatumTijdVan],"&lt;="&amp;($A254+10/24),tData[SEHTrajectPeriodeDatumTijdTotEnMet],"&gt;"&amp;($A254+10/24),tData[Langligger01],1)</f>
        <v/>
      </c>
      <c r="O254" s="20">
        <f>COUNTIFS(tData[SEHTrajectPeriodeDatumTijdVan],"&lt;="&amp;($A254+11/24),tData[SEHTrajectPeriodeDatumTijdTotEnMet],"&gt;"&amp;($A254+11/24),tData[Langligger01],1)</f>
        <v/>
      </c>
      <c r="P254" s="20">
        <f>COUNTIFS(tData[SEHTrajectPeriodeDatumTijdVan],"&lt;="&amp;($A254+12/24),tData[SEHTrajectPeriodeDatumTijdTotEnMet],"&gt;"&amp;($A254+12/24),tData[Langligger01],1)</f>
        <v/>
      </c>
      <c r="Q254" s="20">
        <f>COUNTIFS(tData[SEHTrajectPeriodeDatumTijdVan],"&lt;="&amp;($A254+13/24),tData[SEHTrajectPeriodeDatumTijdTotEnMet],"&gt;"&amp;($A254+13/24),tData[Langligger01],1)</f>
        <v/>
      </c>
      <c r="R254" s="20">
        <f>COUNTIFS(tData[SEHTrajectPeriodeDatumTijdVan],"&lt;="&amp;($A254+14/24),tData[SEHTrajectPeriodeDatumTijdTotEnMet],"&gt;"&amp;($A254+14/24),tData[Langligger01],1)</f>
        <v/>
      </c>
      <c r="S254" s="20">
        <f>COUNTIFS(tData[SEHTrajectPeriodeDatumTijdVan],"&lt;="&amp;($A254+15/24),tData[SEHTrajectPeriodeDatumTijdTotEnMet],"&gt;"&amp;($A254+15/24),tData[Langligger01],1)</f>
        <v/>
      </c>
      <c r="T254" s="20">
        <f>COUNTIFS(tData[SEHTrajectPeriodeDatumTijdVan],"&lt;="&amp;($A254+16/24),tData[SEHTrajectPeriodeDatumTijdTotEnMet],"&gt;"&amp;($A254+16/24),tData[Langligger01],1)</f>
        <v/>
      </c>
      <c r="U254" s="20">
        <f>COUNTIFS(tData[SEHTrajectPeriodeDatumTijdVan],"&lt;="&amp;($A254+17/24),tData[SEHTrajectPeriodeDatumTijdTotEnMet],"&gt;"&amp;($A254+17/24),tData[Langligger01],1)</f>
        <v/>
      </c>
      <c r="V254" s="20">
        <f>COUNTIFS(tData[SEHTrajectPeriodeDatumTijdVan],"&lt;="&amp;($A254+18/24),tData[SEHTrajectPeriodeDatumTijdTotEnMet],"&gt;"&amp;($A254+18/24),tData[Langligger01],1)</f>
        <v/>
      </c>
      <c r="W254" s="20">
        <f>COUNTIFS(tData[SEHTrajectPeriodeDatumTijdVan],"&lt;="&amp;($A254+19/24),tData[SEHTrajectPeriodeDatumTijdTotEnMet],"&gt;"&amp;($A254+19/24),tData[Langligger01],1)</f>
        <v/>
      </c>
      <c r="X254" s="20">
        <f>COUNTIFS(tData[SEHTrajectPeriodeDatumTijdVan],"&lt;="&amp;($A254+20/24),tData[SEHTrajectPeriodeDatumTijdTotEnMet],"&gt;"&amp;($A254+20/24),tData[Langligger01],1)</f>
        <v/>
      </c>
      <c r="Y254" s="20">
        <f>COUNTIFS(tData[SEHTrajectPeriodeDatumTijdVan],"&lt;="&amp;($A254+21/24),tData[SEHTrajectPeriodeDatumTijdTotEnMet],"&gt;"&amp;($A254+21/24),tData[Langligger01],1)</f>
        <v/>
      </c>
      <c r="Z254" s="20">
        <f>COUNTIFS(tData[SEHTrajectPeriodeDatumTijdVan],"&lt;="&amp;($A254+22/24),tData[SEHTrajectPeriodeDatumTijdTotEnMet],"&gt;"&amp;($A254+22/24),tData[Langligger01],1)</f>
        <v/>
      </c>
      <c r="AA254" s="20">
        <f>COUNTIFS(tData[SEHTrajectPeriodeDatumTijdVan],"&lt;="&amp;($A254+23/24),tData[SEHTrajectPeriodeDatumTijdTotEnMet],"&gt;"&amp;($A254+23/24),tData[Langligger01],1)</f>
        <v/>
      </c>
    </row>
    <row r="255">
      <c r="A255" s="19" t="n">
        <v>45543</v>
      </c>
      <c r="B255" s="15">
        <f>WEEKDAY($A255,2)</f>
        <v/>
      </c>
      <c r="C255" s="15">
        <f>IF(AND($A255&gt;=INT(Instellingen!$B$5),$A255&lt;=INT(Instellingen!$B$6)),1,0)</f>
        <v/>
      </c>
      <c r="D255" s="20">
        <f>COUNTIFS(tData[SEHTrajectPeriodeDatumTijdVan],"&lt;="&amp;($A255+0/24),tData[SEHTrajectPeriodeDatumTijdTotEnMet],"&gt;"&amp;($A255+0/24),tData[Langligger01],1)</f>
        <v/>
      </c>
      <c r="E255" s="20">
        <f>COUNTIFS(tData[SEHTrajectPeriodeDatumTijdVan],"&lt;="&amp;($A255+1/24),tData[SEHTrajectPeriodeDatumTijdTotEnMet],"&gt;"&amp;($A255+1/24),tData[Langligger01],1)</f>
        <v/>
      </c>
      <c r="F255" s="20">
        <f>COUNTIFS(tData[SEHTrajectPeriodeDatumTijdVan],"&lt;="&amp;($A255+2/24),tData[SEHTrajectPeriodeDatumTijdTotEnMet],"&gt;"&amp;($A255+2/24),tData[Langligger01],1)</f>
        <v/>
      </c>
      <c r="G255" s="20">
        <f>COUNTIFS(tData[SEHTrajectPeriodeDatumTijdVan],"&lt;="&amp;($A255+3/24),tData[SEHTrajectPeriodeDatumTijdTotEnMet],"&gt;"&amp;($A255+3/24),tData[Langligger01],1)</f>
        <v/>
      </c>
      <c r="H255" s="20">
        <f>COUNTIFS(tData[SEHTrajectPeriodeDatumTijdVan],"&lt;="&amp;($A255+4/24),tData[SEHTrajectPeriodeDatumTijdTotEnMet],"&gt;"&amp;($A255+4/24),tData[Langligger01],1)</f>
        <v/>
      </c>
      <c r="I255" s="20">
        <f>COUNTIFS(tData[SEHTrajectPeriodeDatumTijdVan],"&lt;="&amp;($A255+5/24),tData[SEHTrajectPeriodeDatumTijdTotEnMet],"&gt;"&amp;($A255+5/24),tData[Langligger01],1)</f>
        <v/>
      </c>
      <c r="J255" s="20">
        <f>COUNTIFS(tData[SEHTrajectPeriodeDatumTijdVan],"&lt;="&amp;($A255+6/24),tData[SEHTrajectPeriodeDatumTijdTotEnMet],"&gt;"&amp;($A255+6/24),tData[Langligger01],1)</f>
        <v/>
      </c>
      <c r="K255" s="20">
        <f>COUNTIFS(tData[SEHTrajectPeriodeDatumTijdVan],"&lt;="&amp;($A255+7/24),tData[SEHTrajectPeriodeDatumTijdTotEnMet],"&gt;"&amp;($A255+7/24),tData[Langligger01],1)</f>
        <v/>
      </c>
      <c r="L255" s="20">
        <f>COUNTIFS(tData[SEHTrajectPeriodeDatumTijdVan],"&lt;="&amp;($A255+8/24),tData[SEHTrajectPeriodeDatumTijdTotEnMet],"&gt;"&amp;($A255+8/24),tData[Langligger01],1)</f>
        <v/>
      </c>
      <c r="M255" s="20">
        <f>COUNTIFS(tData[SEHTrajectPeriodeDatumTijdVan],"&lt;="&amp;($A255+9/24),tData[SEHTrajectPeriodeDatumTijdTotEnMet],"&gt;"&amp;($A255+9/24),tData[Langligger01],1)</f>
        <v/>
      </c>
      <c r="N255" s="20">
        <f>COUNTIFS(tData[SEHTrajectPeriodeDatumTijdVan],"&lt;="&amp;($A255+10/24),tData[SEHTrajectPeriodeDatumTijdTotEnMet],"&gt;"&amp;($A255+10/24),tData[Langligger01],1)</f>
        <v/>
      </c>
      <c r="O255" s="20">
        <f>COUNTIFS(tData[SEHTrajectPeriodeDatumTijdVan],"&lt;="&amp;($A255+11/24),tData[SEHTrajectPeriodeDatumTijdTotEnMet],"&gt;"&amp;($A255+11/24),tData[Langligger01],1)</f>
        <v/>
      </c>
      <c r="P255" s="20">
        <f>COUNTIFS(tData[SEHTrajectPeriodeDatumTijdVan],"&lt;="&amp;($A255+12/24),tData[SEHTrajectPeriodeDatumTijdTotEnMet],"&gt;"&amp;($A255+12/24),tData[Langligger01],1)</f>
        <v/>
      </c>
      <c r="Q255" s="20">
        <f>COUNTIFS(tData[SEHTrajectPeriodeDatumTijdVan],"&lt;="&amp;($A255+13/24),tData[SEHTrajectPeriodeDatumTijdTotEnMet],"&gt;"&amp;($A255+13/24),tData[Langligger01],1)</f>
        <v/>
      </c>
      <c r="R255" s="20">
        <f>COUNTIFS(tData[SEHTrajectPeriodeDatumTijdVan],"&lt;="&amp;($A255+14/24),tData[SEHTrajectPeriodeDatumTijdTotEnMet],"&gt;"&amp;($A255+14/24),tData[Langligger01],1)</f>
        <v/>
      </c>
      <c r="S255" s="20">
        <f>COUNTIFS(tData[SEHTrajectPeriodeDatumTijdVan],"&lt;="&amp;($A255+15/24),tData[SEHTrajectPeriodeDatumTijdTotEnMet],"&gt;"&amp;($A255+15/24),tData[Langligger01],1)</f>
        <v/>
      </c>
      <c r="T255" s="20">
        <f>COUNTIFS(tData[SEHTrajectPeriodeDatumTijdVan],"&lt;="&amp;($A255+16/24),tData[SEHTrajectPeriodeDatumTijdTotEnMet],"&gt;"&amp;($A255+16/24),tData[Langligger01],1)</f>
        <v/>
      </c>
      <c r="U255" s="20">
        <f>COUNTIFS(tData[SEHTrajectPeriodeDatumTijdVan],"&lt;="&amp;($A255+17/24),tData[SEHTrajectPeriodeDatumTijdTotEnMet],"&gt;"&amp;($A255+17/24),tData[Langligger01],1)</f>
        <v/>
      </c>
      <c r="V255" s="20">
        <f>COUNTIFS(tData[SEHTrajectPeriodeDatumTijdVan],"&lt;="&amp;($A255+18/24),tData[SEHTrajectPeriodeDatumTijdTotEnMet],"&gt;"&amp;($A255+18/24),tData[Langligger01],1)</f>
        <v/>
      </c>
      <c r="W255" s="20">
        <f>COUNTIFS(tData[SEHTrajectPeriodeDatumTijdVan],"&lt;="&amp;($A255+19/24),tData[SEHTrajectPeriodeDatumTijdTotEnMet],"&gt;"&amp;($A255+19/24),tData[Langligger01],1)</f>
        <v/>
      </c>
      <c r="X255" s="20">
        <f>COUNTIFS(tData[SEHTrajectPeriodeDatumTijdVan],"&lt;="&amp;($A255+20/24),tData[SEHTrajectPeriodeDatumTijdTotEnMet],"&gt;"&amp;($A255+20/24),tData[Langligger01],1)</f>
        <v/>
      </c>
      <c r="Y255" s="20">
        <f>COUNTIFS(tData[SEHTrajectPeriodeDatumTijdVan],"&lt;="&amp;($A255+21/24),tData[SEHTrajectPeriodeDatumTijdTotEnMet],"&gt;"&amp;($A255+21/24),tData[Langligger01],1)</f>
        <v/>
      </c>
      <c r="Z255" s="20">
        <f>COUNTIFS(tData[SEHTrajectPeriodeDatumTijdVan],"&lt;="&amp;($A255+22/24),tData[SEHTrajectPeriodeDatumTijdTotEnMet],"&gt;"&amp;($A255+22/24),tData[Langligger01],1)</f>
        <v/>
      </c>
      <c r="AA255" s="20">
        <f>COUNTIFS(tData[SEHTrajectPeriodeDatumTijdVan],"&lt;="&amp;($A255+23/24),tData[SEHTrajectPeriodeDatumTijdTotEnMet],"&gt;"&amp;($A255+23/24),tData[Langligger01],1)</f>
        <v/>
      </c>
    </row>
    <row r="256">
      <c r="A256" s="19" t="n">
        <v>45544</v>
      </c>
      <c r="B256" s="15">
        <f>WEEKDAY($A256,2)</f>
        <v/>
      </c>
      <c r="C256" s="15">
        <f>IF(AND($A256&gt;=INT(Instellingen!$B$5),$A256&lt;=INT(Instellingen!$B$6)),1,0)</f>
        <v/>
      </c>
      <c r="D256" s="20">
        <f>COUNTIFS(tData[SEHTrajectPeriodeDatumTijdVan],"&lt;="&amp;($A256+0/24),tData[SEHTrajectPeriodeDatumTijdTotEnMet],"&gt;"&amp;($A256+0/24),tData[Langligger01],1)</f>
        <v/>
      </c>
      <c r="E256" s="20">
        <f>COUNTIFS(tData[SEHTrajectPeriodeDatumTijdVan],"&lt;="&amp;($A256+1/24),tData[SEHTrajectPeriodeDatumTijdTotEnMet],"&gt;"&amp;($A256+1/24),tData[Langligger01],1)</f>
        <v/>
      </c>
      <c r="F256" s="20">
        <f>COUNTIFS(tData[SEHTrajectPeriodeDatumTijdVan],"&lt;="&amp;($A256+2/24),tData[SEHTrajectPeriodeDatumTijdTotEnMet],"&gt;"&amp;($A256+2/24),tData[Langligger01],1)</f>
        <v/>
      </c>
      <c r="G256" s="20">
        <f>COUNTIFS(tData[SEHTrajectPeriodeDatumTijdVan],"&lt;="&amp;($A256+3/24),tData[SEHTrajectPeriodeDatumTijdTotEnMet],"&gt;"&amp;($A256+3/24),tData[Langligger01],1)</f>
        <v/>
      </c>
      <c r="H256" s="20">
        <f>COUNTIFS(tData[SEHTrajectPeriodeDatumTijdVan],"&lt;="&amp;($A256+4/24),tData[SEHTrajectPeriodeDatumTijdTotEnMet],"&gt;"&amp;($A256+4/24),tData[Langligger01],1)</f>
        <v/>
      </c>
      <c r="I256" s="20">
        <f>COUNTIFS(tData[SEHTrajectPeriodeDatumTijdVan],"&lt;="&amp;($A256+5/24),tData[SEHTrajectPeriodeDatumTijdTotEnMet],"&gt;"&amp;($A256+5/24),tData[Langligger01],1)</f>
        <v/>
      </c>
      <c r="J256" s="20">
        <f>COUNTIFS(tData[SEHTrajectPeriodeDatumTijdVan],"&lt;="&amp;($A256+6/24),tData[SEHTrajectPeriodeDatumTijdTotEnMet],"&gt;"&amp;($A256+6/24),tData[Langligger01],1)</f>
        <v/>
      </c>
      <c r="K256" s="20">
        <f>COUNTIFS(tData[SEHTrajectPeriodeDatumTijdVan],"&lt;="&amp;($A256+7/24),tData[SEHTrajectPeriodeDatumTijdTotEnMet],"&gt;"&amp;($A256+7/24),tData[Langligger01],1)</f>
        <v/>
      </c>
      <c r="L256" s="20">
        <f>COUNTIFS(tData[SEHTrajectPeriodeDatumTijdVan],"&lt;="&amp;($A256+8/24),tData[SEHTrajectPeriodeDatumTijdTotEnMet],"&gt;"&amp;($A256+8/24),tData[Langligger01],1)</f>
        <v/>
      </c>
      <c r="M256" s="20">
        <f>COUNTIFS(tData[SEHTrajectPeriodeDatumTijdVan],"&lt;="&amp;($A256+9/24),tData[SEHTrajectPeriodeDatumTijdTotEnMet],"&gt;"&amp;($A256+9/24),tData[Langligger01],1)</f>
        <v/>
      </c>
      <c r="N256" s="20">
        <f>COUNTIFS(tData[SEHTrajectPeriodeDatumTijdVan],"&lt;="&amp;($A256+10/24),tData[SEHTrajectPeriodeDatumTijdTotEnMet],"&gt;"&amp;($A256+10/24),tData[Langligger01],1)</f>
        <v/>
      </c>
      <c r="O256" s="20">
        <f>COUNTIFS(tData[SEHTrajectPeriodeDatumTijdVan],"&lt;="&amp;($A256+11/24),tData[SEHTrajectPeriodeDatumTijdTotEnMet],"&gt;"&amp;($A256+11/24),tData[Langligger01],1)</f>
        <v/>
      </c>
      <c r="P256" s="20">
        <f>COUNTIFS(tData[SEHTrajectPeriodeDatumTijdVan],"&lt;="&amp;($A256+12/24),tData[SEHTrajectPeriodeDatumTijdTotEnMet],"&gt;"&amp;($A256+12/24),tData[Langligger01],1)</f>
        <v/>
      </c>
      <c r="Q256" s="20">
        <f>COUNTIFS(tData[SEHTrajectPeriodeDatumTijdVan],"&lt;="&amp;($A256+13/24),tData[SEHTrajectPeriodeDatumTijdTotEnMet],"&gt;"&amp;($A256+13/24),tData[Langligger01],1)</f>
        <v/>
      </c>
      <c r="R256" s="20">
        <f>COUNTIFS(tData[SEHTrajectPeriodeDatumTijdVan],"&lt;="&amp;($A256+14/24),tData[SEHTrajectPeriodeDatumTijdTotEnMet],"&gt;"&amp;($A256+14/24),tData[Langligger01],1)</f>
        <v/>
      </c>
      <c r="S256" s="20">
        <f>COUNTIFS(tData[SEHTrajectPeriodeDatumTijdVan],"&lt;="&amp;($A256+15/24),tData[SEHTrajectPeriodeDatumTijdTotEnMet],"&gt;"&amp;($A256+15/24),tData[Langligger01],1)</f>
        <v/>
      </c>
      <c r="T256" s="20">
        <f>COUNTIFS(tData[SEHTrajectPeriodeDatumTijdVan],"&lt;="&amp;($A256+16/24),tData[SEHTrajectPeriodeDatumTijdTotEnMet],"&gt;"&amp;($A256+16/24),tData[Langligger01],1)</f>
        <v/>
      </c>
      <c r="U256" s="20">
        <f>COUNTIFS(tData[SEHTrajectPeriodeDatumTijdVan],"&lt;="&amp;($A256+17/24),tData[SEHTrajectPeriodeDatumTijdTotEnMet],"&gt;"&amp;($A256+17/24),tData[Langligger01],1)</f>
        <v/>
      </c>
      <c r="V256" s="20">
        <f>COUNTIFS(tData[SEHTrajectPeriodeDatumTijdVan],"&lt;="&amp;($A256+18/24),tData[SEHTrajectPeriodeDatumTijdTotEnMet],"&gt;"&amp;($A256+18/24),tData[Langligger01],1)</f>
        <v/>
      </c>
      <c r="W256" s="20">
        <f>COUNTIFS(tData[SEHTrajectPeriodeDatumTijdVan],"&lt;="&amp;($A256+19/24),tData[SEHTrajectPeriodeDatumTijdTotEnMet],"&gt;"&amp;($A256+19/24),tData[Langligger01],1)</f>
        <v/>
      </c>
      <c r="X256" s="20">
        <f>COUNTIFS(tData[SEHTrajectPeriodeDatumTijdVan],"&lt;="&amp;($A256+20/24),tData[SEHTrajectPeriodeDatumTijdTotEnMet],"&gt;"&amp;($A256+20/24),tData[Langligger01],1)</f>
        <v/>
      </c>
      <c r="Y256" s="20">
        <f>COUNTIFS(tData[SEHTrajectPeriodeDatumTijdVan],"&lt;="&amp;($A256+21/24),tData[SEHTrajectPeriodeDatumTijdTotEnMet],"&gt;"&amp;($A256+21/24),tData[Langligger01],1)</f>
        <v/>
      </c>
      <c r="Z256" s="20">
        <f>COUNTIFS(tData[SEHTrajectPeriodeDatumTijdVan],"&lt;="&amp;($A256+22/24),tData[SEHTrajectPeriodeDatumTijdTotEnMet],"&gt;"&amp;($A256+22/24),tData[Langligger01],1)</f>
        <v/>
      </c>
      <c r="AA256" s="20">
        <f>COUNTIFS(tData[SEHTrajectPeriodeDatumTijdVan],"&lt;="&amp;($A256+23/24),tData[SEHTrajectPeriodeDatumTijdTotEnMet],"&gt;"&amp;($A256+23/24),tData[Langligger01],1)</f>
        <v/>
      </c>
    </row>
    <row r="257">
      <c r="A257" s="19" t="n">
        <v>45545</v>
      </c>
      <c r="B257" s="15">
        <f>WEEKDAY($A257,2)</f>
        <v/>
      </c>
      <c r="C257" s="15">
        <f>IF(AND($A257&gt;=INT(Instellingen!$B$5),$A257&lt;=INT(Instellingen!$B$6)),1,0)</f>
        <v/>
      </c>
      <c r="D257" s="20">
        <f>COUNTIFS(tData[SEHTrajectPeriodeDatumTijdVan],"&lt;="&amp;($A257+0/24),tData[SEHTrajectPeriodeDatumTijdTotEnMet],"&gt;"&amp;($A257+0/24),tData[Langligger01],1)</f>
        <v/>
      </c>
      <c r="E257" s="20">
        <f>COUNTIFS(tData[SEHTrajectPeriodeDatumTijdVan],"&lt;="&amp;($A257+1/24),tData[SEHTrajectPeriodeDatumTijdTotEnMet],"&gt;"&amp;($A257+1/24),tData[Langligger01],1)</f>
        <v/>
      </c>
      <c r="F257" s="20">
        <f>COUNTIFS(tData[SEHTrajectPeriodeDatumTijdVan],"&lt;="&amp;($A257+2/24),tData[SEHTrajectPeriodeDatumTijdTotEnMet],"&gt;"&amp;($A257+2/24),tData[Langligger01],1)</f>
        <v/>
      </c>
      <c r="G257" s="20">
        <f>COUNTIFS(tData[SEHTrajectPeriodeDatumTijdVan],"&lt;="&amp;($A257+3/24),tData[SEHTrajectPeriodeDatumTijdTotEnMet],"&gt;"&amp;($A257+3/24),tData[Langligger01],1)</f>
        <v/>
      </c>
      <c r="H257" s="20">
        <f>COUNTIFS(tData[SEHTrajectPeriodeDatumTijdVan],"&lt;="&amp;($A257+4/24),tData[SEHTrajectPeriodeDatumTijdTotEnMet],"&gt;"&amp;($A257+4/24),tData[Langligger01],1)</f>
        <v/>
      </c>
      <c r="I257" s="20">
        <f>COUNTIFS(tData[SEHTrajectPeriodeDatumTijdVan],"&lt;="&amp;($A257+5/24),tData[SEHTrajectPeriodeDatumTijdTotEnMet],"&gt;"&amp;($A257+5/24),tData[Langligger01],1)</f>
        <v/>
      </c>
      <c r="J257" s="20">
        <f>COUNTIFS(tData[SEHTrajectPeriodeDatumTijdVan],"&lt;="&amp;($A257+6/24),tData[SEHTrajectPeriodeDatumTijdTotEnMet],"&gt;"&amp;($A257+6/24),tData[Langligger01],1)</f>
        <v/>
      </c>
      <c r="K257" s="20">
        <f>COUNTIFS(tData[SEHTrajectPeriodeDatumTijdVan],"&lt;="&amp;($A257+7/24),tData[SEHTrajectPeriodeDatumTijdTotEnMet],"&gt;"&amp;($A257+7/24),tData[Langligger01],1)</f>
        <v/>
      </c>
      <c r="L257" s="20">
        <f>COUNTIFS(tData[SEHTrajectPeriodeDatumTijdVan],"&lt;="&amp;($A257+8/24),tData[SEHTrajectPeriodeDatumTijdTotEnMet],"&gt;"&amp;($A257+8/24),tData[Langligger01],1)</f>
        <v/>
      </c>
      <c r="M257" s="20">
        <f>COUNTIFS(tData[SEHTrajectPeriodeDatumTijdVan],"&lt;="&amp;($A257+9/24),tData[SEHTrajectPeriodeDatumTijdTotEnMet],"&gt;"&amp;($A257+9/24),tData[Langligger01],1)</f>
        <v/>
      </c>
      <c r="N257" s="20">
        <f>COUNTIFS(tData[SEHTrajectPeriodeDatumTijdVan],"&lt;="&amp;($A257+10/24),tData[SEHTrajectPeriodeDatumTijdTotEnMet],"&gt;"&amp;($A257+10/24),tData[Langligger01],1)</f>
        <v/>
      </c>
      <c r="O257" s="20">
        <f>COUNTIFS(tData[SEHTrajectPeriodeDatumTijdVan],"&lt;="&amp;($A257+11/24),tData[SEHTrajectPeriodeDatumTijdTotEnMet],"&gt;"&amp;($A257+11/24),tData[Langligger01],1)</f>
        <v/>
      </c>
      <c r="P257" s="20">
        <f>COUNTIFS(tData[SEHTrajectPeriodeDatumTijdVan],"&lt;="&amp;($A257+12/24),tData[SEHTrajectPeriodeDatumTijdTotEnMet],"&gt;"&amp;($A257+12/24),tData[Langligger01],1)</f>
        <v/>
      </c>
      <c r="Q257" s="20">
        <f>COUNTIFS(tData[SEHTrajectPeriodeDatumTijdVan],"&lt;="&amp;($A257+13/24),tData[SEHTrajectPeriodeDatumTijdTotEnMet],"&gt;"&amp;($A257+13/24),tData[Langligger01],1)</f>
        <v/>
      </c>
      <c r="R257" s="20">
        <f>COUNTIFS(tData[SEHTrajectPeriodeDatumTijdVan],"&lt;="&amp;($A257+14/24),tData[SEHTrajectPeriodeDatumTijdTotEnMet],"&gt;"&amp;($A257+14/24),tData[Langligger01],1)</f>
        <v/>
      </c>
      <c r="S257" s="20">
        <f>COUNTIFS(tData[SEHTrajectPeriodeDatumTijdVan],"&lt;="&amp;($A257+15/24),tData[SEHTrajectPeriodeDatumTijdTotEnMet],"&gt;"&amp;($A257+15/24),tData[Langligger01],1)</f>
        <v/>
      </c>
      <c r="T257" s="20">
        <f>COUNTIFS(tData[SEHTrajectPeriodeDatumTijdVan],"&lt;="&amp;($A257+16/24),tData[SEHTrajectPeriodeDatumTijdTotEnMet],"&gt;"&amp;($A257+16/24),tData[Langligger01],1)</f>
        <v/>
      </c>
      <c r="U257" s="20">
        <f>COUNTIFS(tData[SEHTrajectPeriodeDatumTijdVan],"&lt;="&amp;($A257+17/24),tData[SEHTrajectPeriodeDatumTijdTotEnMet],"&gt;"&amp;($A257+17/24),tData[Langligger01],1)</f>
        <v/>
      </c>
      <c r="V257" s="20">
        <f>COUNTIFS(tData[SEHTrajectPeriodeDatumTijdVan],"&lt;="&amp;($A257+18/24),tData[SEHTrajectPeriodeDatumTijdTotEnMet],"&gt;"&amp;($A257+18/24),tData[Langligger01],1)</f>
        <v/>
      </c>
      <c r="W257" s="20">
        <f>COUNTIFS(tData[SEHTrajectPeriodeDatumTijdVan],"&lt;="&amp;($A257+19/24),tData[SEHTrajectPeriodeDatumTijdTotEnMet],"&gt;"&amp;($A257+19/24),tData[Langligger01],1)</f>
        <v/>
      </c>
      <c r="X257" s="20">
        <f>COUNTIFS(tData[SEHTrajectPeriodeDatumTijdVan],"&lt;="&amp;($A257+20/24),tData[SEHTrajectPeriodeDatumTijdTotEnMet],"&gt;"&amp;($A257+20/24),tData[Langligger01],1)</f>
        <v/>
      </c>
      <c r="Y257" s="20">
        <f>COUNTIFS(tData[SEHTrajectPeriodeDatumTijdVan],"&lt;="&amp;($A257+21/24),tData[SEHTrajectPeriodeDatumTijdTotEnMet],"&gt;"&amp;($A257+21/24),tData[Langligger01],1)</f>
        <v/>
      </c>
      <c r="Z257" s="20">
        <f>COUNTIFS(tData[SEHTrajectPeriodeDatumTijdVan],"&lt;="&amp;($A257+22/24),tData[SEHTrajectPeriodeDatumTijdTotEnMet],"&gt;"&amp;($A257+22/24),tData[Langligger01],1)</f>
        <v/>
      </c>
      <c r="AA257" s="20">
        <f>COUNTIFS(tData[SEHTrajectPeriodeDatumTijdVan],"&lt;="&amp;($A257+23/24),tData[SEHTrajectPeriodeDatumTijdTotEnMet],"&gt;"&amp;($A257+23/24),tData[Langligger01],1)</f>
        <v/>
      </c>
    </row>
    <row r="258">
      <c r="A258" s="19" t="n">
        <v>45546</v>
      </c>
      <c r="B258" s="15">
        <f>WEEKDAY($A258,2)</f>
        <v/>
      </c>
      <c r="C258" s="15">
        <f>IF(AND($A258&gt;=INT(Instellingen!$B$5),$A258&lt;=INT(Instellingen!$B$6)),1,0)</f>
        <v/>
      </c>
      <c r="D258" s="20">
        <f>COUNTIFS(tData[SEHTrajectPeriodeDatumTijdVan],"&lt;="&amp;($A258+0/24),tData[SEHTrajectPeriodeDatumTijdTotEnMet],"&gt;"&amp;($A258+0/24),tData[Langligger01],1)</f>
        <v/>
      </c>
      <c r="E258" s="20">
        <f>COUNTIFS(tData[SEHTrajectPeriodeDatumTijdVan],"&lt;="&amp;($A258+1/24),tData[SEHTrajectPeriodeDatumTijdTotEnMet],"&gt;"&amp;($A258+1/24),tData[Langligger01],1)</f>
        <v/>
      </c>
      <c r="F258" s="20">
        <f>COUNTIFS(tData[SEHTrajectPeriodeDatumTijdVan],"&lt;="&amp;($A258+2/24),tData[SEHTrajectPeriodeDatumTijdTotEnMet],"&gt;"&amp;($A258+2/24),tData[Langligger01],1)</f>
        <v/>
      </c>
      <c r="G258" s="20">
        <f>COUNTIFS(tData[SEHTrajectPeriodeDatumTijdVan],"&lt;="&amp;($A258+3/24),tData[SEHTrajectPeriodeDatumTijdTotEnMet],"&gt;"&amp;($A258+3/24),tData[Langligger01],1)</f>
        <v/>
      </c>
      <c r="H258" s="20">
        <f>COUNTIFS(tData[SEHTrajectPeriodeDatumTijdVan],"&lt;="&amp;($A258+4/24),tData[SEHTrajectPeriodeDatumTijdTotEnMet],"&gt;"&amp;($A258+4/24),tData[Langligger01],1)</f>
        <v/>
      </c>
      <c r="I258" s="20">
        <f>COUNTIFS(tData[SEHTrajectPeriodeDatumTijdVan],"&lt;="&amp;($A258+5/24),tData[SEHTrajectPeriodeDatumTijdTotEnMet],"&gt;"&amp;($A258+5/24),tData[Langligger01],1)</f>
        <v/>
      </c>
      <c r="J258" s="20">
        <f>COUNTIFS(tData[SEHTrajectPeriodeDatumTijdVan],"&lt;="&amp;($A258+6/24),tData[SEHTrajectPeriodeDatumTijdTotEnMet],"&gt;"&amp;($A258+6/24),tData[Langligger01],1)</f>
        <v/>
      </c>
      <c r="K258" s="20">
        <f>COUNTIFS(tData[SEHTrajectPeriodeDatumTijdVan],"&lt;="&amp;($A258+7/24),tData[SEHTrajectPeriodeDatumTijdTotEnMet],"&gt;"&amp;($A258+7/24),tData[Langligger01],1)</f>
        <v/>
      </c>
      <c r="L258" s="20">
        <f>COUNTIFS(tData[SEHTrajectPeriodeDatumTijdVan],"&lt;="&amp;($A258+8/24),tData[SEHTrajectPeriodeDatumTijdTotEnMet],"&gt;"&amp;($A258+8/24),tData[Langligger01],1)</f>
        <v/>
      </c>
      <c r="M258" s="20">
        <f>COUNTIFS(tData[SEHTrajectPeriodeDatumTijdVan],"&lt;="&amp;($A258+9/24),tData[SEHTrajectPeriodeDatumTijdTotEnMet],"&gt;"&amp;($A258+9/24),tData[Langligger01],1)</f>
        <v/>
      </c>
      <c r="N258" s="20">
        <f>COUNTIFS(tData[SEHTrajectPeriodeDatumTijdVan],"&lt;="&amp;($A258+10/24),tData[SEHTrajectPeriodeDatumTijdTotEnMet],"&gt;"&amp;($A258+10/24),tData[Langligger01],1)</f>
        <v/>
      </c>
      <c r="O258" s="20">
        <f>COUNTIFS(tData[SEHTrajectPeriodeDatumTijdVan],"&lt;="&amp;($A258+11/24),tData[SEHTrajectPeriodeDatumTijdTotEnMet],"&gt;"&amp;($A258+11/24),tData[Langligger01],1)</f>
        <v/>
      </c>
      <c r="P258" s="20">
        <f>COUNTIFS(tData[SEHTrajectPeriodeDatumTijdVan],"&lt;="&amp;($A258+12/24),tData[SEHTrajectPeriodeDatumTijdTotEnMet],"&gt;"&amp;($A258+12/24),tData[Langligger01],1)</f>
        <v/>
      </c>
      <c r="Q258" s="20">
        <f>COUNTIFS(tData[SEHTrajectPeriodeDatumTijdVan],"&lt;="&amp;($A258+13/24),tData[SEHTrajectPeriodeDatumTijdTotEnMet],"&gt;"&amp;($A258+13/24),tData[Langligger01],1)</f>
        <v/>
      </c>
      <c r="R258" s="20">
        <f>COUNTIFS(tData[SEHTrajectPeriodeDatumTijdVan],"&lt;="&amp;($A258+14/24),tData[SEHTrajectPeriodeDatumTijdTotEnMet],"&gt;"&amp;($A258+14/24),tData[Langligger01],1)</f>
        <v/>
      </c>
      <c r="S258" s="20">
        <f>COUNTIFS(tData[SEHTrajectPeriodeDatumTijdVan],"&lt;="&amp;($A258+15/24),tData[SEHTrajectPeriodeDatumTijdTotEnMet],"&gt;"&amp;($A258+15/24),tData[Langligger01],1)</f>
        <v/>
      </c>
      <c r="T258" s="20">
        <f>COUNTIFS(tData[SEHTrajectPeriodeDatumTijdVan],"&lt;="&amp;($A258+16/24),tData[SEHTrajectPeriodeDatumTijdTotEnMet],"&gt;"&amp;($A258+16/24),tData[Langligger01],1)</f>
        <v/>
      </c>
      <c r="U258" s="20">
        <f>COUNTIFS(tData[SEHTrajectPeriodeDatumTijdVan],"&lt;="&amp;($A258+17/24),tData[SEHTrajectPeriodeDatumTijdTotEnMet],"&gt;"&amp;($A258+17/24),tData[Langligger01],1)</f>
        <v/>
      </c>
      <c r="V258" s="20">
        <f>COUNTIFS(tData[SEHTrajectPeriodeDatumTijdVan],"&lt;="&amp;($A258+18/24),tData[SEHTrajectPeriodeDatumTijdTotEnMet],"&gt;"&amp;($A258+18/24),tData[Langligger01],1)</f>
        <v/>
      </c>
      <c r="W258" s="20">
        <f>COUNTIFS(tData[SEHTrajectPeriodeDatumTijdVan],"&lt;="&amp;($A258+19/24),tData[SEHTrajectPeriodeDatumTijdTotEnMet],"&gt;"&amp;($A258+19/24),tData[Langligger01],1)</f>
        <v/>
      </c>
      <c r="X258" s="20">
        <f>COUNTIFS(tData[SEHTrajectPeriodeDatumTijdVan],"&lt;="&amp;($A258+20/24),tData[SEHTrajectPeriodeDatumTijdTotEnMet],"&gt;"&amp;($A258+20/24),tData[Langligger01],1)</f>
        <v/>
      </c>
      <c r="Y258" s="20">
        <f>COUNTIFS(tData[SEHTrajectPeriodeDatumTijdVan],"&lt;="&amp;($A258+21/24),tData[SEHTrajectPeriodeDatumTijdTotEnMet],"&gt;"&amp;($A258+21/24),tData[Langligger01],1)</f>
        <v/>
      </c>
      <c r="Z258" s="20">
        <f>COUNTIFS(tData[SEHTrajectPeriodeDatumTijdVan],"&lt;="&amp;($A258+22/24),tData[SEHTrajectPeriodeDatumTijdTotEnMet],"&gt;"&amp;($A258+22/24),tData[Langligger01],1)</f>
        <v/>
      </c>
      <c r="AA258" s="20">
        <f>COUNTIFS(tData[SEHTrajectPeriodeDatumTijdVan],"&lt;="&amp;($A258+23/24),tData[SEHTrajectPeriodeDatumTijdTotEnMet],"&gt;"&amp;($A258+23/24),tData[Langligger01],1)</f>
        <v/>
      </c>
    </row>
    <row r="259">
      <c r="A259" s="19" t="n">
        <v>45547</v>
      </c>
      <c r="B259" s="15">
        <f>WEEKDAY($A259,2)</f>
        <v/>
      </c>
      <c r="C259" s="15">
        <f>IF(AND($A259&gt;=INT(Instellingen!$B$5),$A259&lt;=INT(Instellingen!$B$6)),1,0)</f>
        <v/>
      </c>
      <c r="D259" s="20">
        <f>COUNTIFS(tData[SEHTrajectPeriodeDatumTijdVan],"&lt;="&amp;($A259+0/24),tData[SEHTrajectPeriodeDatumTijdTotEnMet],"&gt;"&amp;($A259+0/24),tData[Langligger01],1)</f>
        <v/>
      </c>
      <c r="E259" s="20">
        <f>COUNTIFS(tData[SEHTrajectPeriodeDatumTijdVan],"&lt;="&amp;($A259+1/24),tData[SEHTrajectPeriodeDatumTijdTotEnMet],"&gt;"&amp;($A259+1/24),tData[Langligger01],1)</f>
        <v/>
      </c>
      <c r="F259" s="20">
        <f>COUNTIFS(tData[SEHTrajectPeriodeDatumTijdVan],"&lt;="&amp;($A259+2/24),tData[SEHTrajectPeriodeDatumTijdTotEnMet],"&gt;"&amp;($A259+2/24),tData[Langligger01],1)</f>
        <v/>
      </c>
      <c r="G259" s="20">
        <f>COUNTIFS(tData[SEHTrajectPeriodeDatumTijdVan],"&lt;="&amp;($A259+3/24),tData[SEHTrajectPeriodeDatumTijdTotEnMet],"&gt;"&amp;($A259+3/24),tData[Langligger01],1)</f>
        <v/>
      </c>
      <c r="H259" s="20">
        <f>COUNTIFS(tData[SEHTrajectPeriodeDatumTijdVan],"&lt;="&amp;($A259+4/24),tData[SEHTrajectPeriodeDatumTijdTotEnMet],"&gt;"&amp;($A259+4/24),tData[Langligger01],1)</f>
        <v/>
      </c>
      <c r="I259" s="20">
        <f>COUNTIFS(tData[SEHTrajectPeriodeDatumTijdVan],"&lt;="&amp;($A259+5/24),tData[SEHTrajectPeriodeDatumTijdTotEnMet],"&gt;"&amp;($A259+5/24),tData[Langligger01],1)</f>
        <v/>
      </c>
      <c r="J259" s="20">
        <f>COUNTIFS(tData[SEHTrajectPeriodeDatumTijdVan],"&lt;="&amp;($A259+6/24),tData[SEHTrajectPeriodeDatumTijdTotEnMet],"&gt;"&amp;($A259+6/24),tData[Langligger01],1)</f>
        <v/>
      </c>
      <c r="K259" s="20">
        <f>COUNTIFS(tData[SEHTrajectPeriodeDatumTijdVan],"&lt;="&amp;($A259+7/24),tData[SEHTrajectPeriodeDatumTijdTotEnMet],"&gt;"&amp;($A259+7/24),tData[Langligger01],1)</f>
        <v/>
      </c>
      <c r="L259" s="20">
        <f>COUNTIFS(tData[SEHTrajectPeriodeDatumTijdVan],"&lt;="&amp;($A259+8/24),tData[SEHTrajectPeriodeDatumTijdTotEnMet],"&gt;"&amp;($A259+8/24),tData[Langligger01],1)</f>
        <v/>
      </c>
      <c r="M259" s="20">
        <f>COUNTIFS(tData[SEHTrajectPeriodeDatumTijdVan],"&lt;="&amp;($A259+9/24),tData[SEHTrajectPeriodeDatumTijdTotEnMet],"&gt;"&amp;($A259+9/24),tData[Langligger01],1)</f>
        <v/>
      </c>
      <c r="N259" s="20">
        <f>COUNTIFS(tData[SEHTrajectPeriodeDatumTijdVan],"&lt;="&amp;($A259+10/24),tData[SEHTrajectPeriodeDatumTijdTotEnMet],"&gt;"&amp;($A259+10/24),tData[Langligger01],1)</f>
        <v/>
      </c>
      <c r="O259" s="20">
        <f>COUNTIFS(tData[SEHTrajectPeriodeDatumTijdVan],"&lt;="&amp;($A259+11/24),tData[SEHTrajectPeriodeDatumTijdTotEnMet],"&gt;"&amp;($A259+11/24),tData[Langligger01],1)</f>
        <v/>
      </c>
      <c r="P259" s="20">
        <f>COUNTIFS(tData[SEHTrajectPeriodeDatumTijdVan],"&lt;="&amp;($A259+12/24),tData[SEHTrajectPeriodeDatumTijdTotEnMet],"&gt;"&amp;($A259+12/24),tData[Langligger01],1)</f>
        <v/>
      </c>
      <c r="Q259" s="20">
        <f>COUNTIFS(tData[SEHTrajectPeriodeDatumTijdVan],"&lt;="&amp;($A259+13/24),tData[SEHTrajectPeriodeDatumTijdTotEnMet],"&gt;"&amp;($A259+13/24),tData[Langligger01],1)</f>
        <v/>
      </c>
      <c r="R259" s="20">
        <f>COUNTIFS(tData[SEHTrajectPeriodeDatumTijdVan],"&lt;="&amp;($A259+14/24),tData[SEHTrajectPeriodeDatumTijdTotEnMet],"&gt;"&amp;($A259+14/24),tData[Langligger01],1)</f>
        <v/>
      </c>
      <c r="S259" s="20">
        <f>COUNTIFS(tData[SEHTrajectPeriodeDatumTijdVan],"&lt;="&amp;($A259+15/24),tData[SEHTrajectPeriodeDatumTijdTotEnMet],"&gt;"&amp;($A259+15/24),tData[Langligger01],1)</f>
        <v/>
      </c>
      <c r="T259" s="20">
        <f>COUNTIFS(tData[SEHTrajectPeriodeDatumTijdVan],"&lt;="&amp;($A259+16/24),tData[SEHTrajectPeriodeDatumTijdTotEnMet],"&gt;"&amp;($A259+16/24),tData[Langligger01],1)</f>
        <v/>
      </c>
      <c r="U259" s="20">
        <f>COUNTIFS(tData[SEHTrajectPeriodeDatumTijdVan],"&lt;="&amp;($A259+17/24),tData[SEHTrajectPeriodeDatumTijdTotEnMet],"&gt;"&amp;($A259+17/24),tData[Langligger01],1)</f>
        <v/>
      </c>
      <c r="V259" s="20">
        <f>COUNTIFS(tData[SEHTrajectPeriodeDatumTijdVan],"&lt;="&amp;($A259+18/24),tData[SEHTrajectPeriodeDatumTijdTotEnMet],"&gt;"&amp;($A259+18/24),tData[Langligger01],1)</f>
        <v/>
      </c>
      <c r="W259" s="20">
        <f>COUNTIFS(tData[SEHTrajectPeriodeDatumTijdVan],"&lt;="&amp;($A259+19/24),tData[SEHTrajectPeriodeDatumTijdTotEnMet],"&gt;"&amp;($A259+19/24),tData[Langligger01],1)</f>
        <v/>
      </c>
      <c r="X259" s="20">
        <f>COUNTIFS(tData[SEHTrajectPeriodeDatumTijdVan],"&lt;="&amp;($A259+20/24),tData[SEHTrajectPeriodeDatumTijdTotEnMet],"&gt;"&amp;($A259+20/24),tData[Langligger01],1)</f>
        <v/>
      </c>
      <c r="Y259" s="20">
        <f>COUNTIFS(tData[SEHTrajectPeriodeDatumTijdVan],"&lt;="&amp;($A259+21/24),tData[SEHTrajectPeriodeDatumTijdTotEnMet],"&gt;"&amp;($A259+21/24),tData[Langligger01],1)</f>
        <v/>
      </c>
      <c r="Z259" s="20">
        <f>COUNTIFS(tData[SEHTrajectPeriodeDatumTijdVan],"&lt;="&amp;($A259+22/24),tData[SEHTrajectPeriodeDatumTijdTotEnMet],"&gt;"&amp;($A259+22/24),tData[Langligger01],1)</f>
        <v/>
      </c>
      <c r="AA259" s="20">
        <f>COUNTIFS(tData[SEHTrajectPeriodeDatumTijdVan],"&lt;="&amp;($A259+23/24),tData[SEHTrajectPeriodeDatumTijdTotEnMet],"&gt;"&amp;($A259+23/24),tData[Langligger01],1)</f>
        <v/>
      </c>
    </row>
    <row r="260">
      <c r="A260" s="19" t="n">
        <v>45548</v>
      </c>
      <c r="B260" s="15">
        <f>WEEKDAY($A260,2)</f>
        <v/>
      </c>
      <c r="C260" s="15">
        <f>IF(AND($A260&gt;=INT(Instellingen!$B$5),$A260&lt;=INT(Instellingen!$B$6)),1,0)</f>
        <v/>
      </c>
      <c r="D260" s="20">
        <f>COUNTIFS(tData[SEHTrajectPeriodeDatumTijdVan],"&lt;="&amp;($A260+0/24),tData[SEHTrajectPeriodeDatumTijdTotEnMet],"&gt;"&amp;($A260+0/24),tData[Langligger01],1)</f>
        <v/>
      </c>
      <c r="E260" s="20">
        <f>COUNTIFS(tData[SEHTrajectPeriodeDatumTijdVan],"&lt;="&amp;($A260+1/24),tData[SEHTrajectPeriodeDatumTijdTotEnMet],"&gt;"&amp;($A260+1/24),tData[Langligger01],1)</f>
        <v/>
      </c>
      <c r="F260" s="20">
        <f>COUNTIFS(tData[SEHTrajectPeriodeDatumTijdVan],"&lt;="&amp;($A260+2/24),tData[SEHTrajectPeriodeDatumTijdTotEnMet],"&gt;"&amp;($A260+2/24),tData[Langligger01],1)</f>
        <v/>
      </c>
      <c r="G260" s="20">
        <f>COUNTIFS(tData[SEHTrajectPeriodeDatumTijdVan],"&lt;="&amp;($A260+3/24),tData[SEHTrajectPeriodeDatumTijdTotEnMet],"&gt;"&amp;($A260+3/24),tData[Langligger01],1)</f>
        <v/>
      </c>
      <c r="H260" s="20">
        <f>COUNTIFS(tData[SEHTrajectPeriodeDatumTijdVan],"&lt;="&amp;($A260+4/24),tData[SEHTrajectPeriodeDatumTijdTotEnMet],"&gt;"&amp;($A260+4/24),tData[Langligger01],1)</f>
        <v/>
      </c>
      <c r="I260" s="20">
        <f>COUNTIFS(tData[SEHTrajectPeriodeDatumTijdVan],"&lt;="&amp;($A260+5/24),tData[SEHTrajectPeriodeDatumTijdTotEnMet],"&gt;"&amp;($A260+5/24),tData[Langligger01],1)</f>
        <v/>
      </c>
      <c r="J260" s="20">
        <f>COUNTIFS(tData[SEHTrajectPeriodeDatumTijdVan],"&lt;="&amp;($A260+6/24),tData[SEHTrajectPeriodeDatumTijdTotEnMet],"&gt;"&amp;($A260+6/24),tData[Langligger01],1)</f>
        <v/>
      </c>
      <c r="K260" s="20">
        <f>COUNTIFS(tData[SEHTrajectPeriodeDatumTijdVan],"&lt;="&amp;($A260+7/24),tData[SEHTrajectPeriodeDatumTijdTotEnMet],"&gt;"&amp;($A260+7/24),tData[Langligger01],1)</f>
        <v/>
      </c>
      <c r="L260" s="20">
        <f>COUNTIFS(tData[SEHTrajectPeriodeDatumTijdVan],"&lt;="&amp;($A260+8/24),tData[SEHTrajectPeriodeDatumTijdTotEnMet],"&gt;"&amp;($A260+8/24),tData[Langligger01],1)</f>
        <v/>
      </c>
      <c r="M260" s="20">
        <f>COUNTIFS(tData[SEHTrajectPeriodeDatumTijdVan],"&lt;="&amp;($A260+9/24),tData[SEHTrajectPeriodeDatumTijdTotEnMet],"&gt;"&amp;($A260+9/24),tData[Langligger01],1)</f>
        <v/>
      </c>
      <c r="N260" s="20">
        <f>COUNTIFS(tData[SEHTrajectPeriodeDatumTijdVan],"&lt;="&amp;($A260+10/24),tData[SEHTrajectPeriodeDatumTijdTotEnMet],"&gt;"&amp;($A260+10/24),tData[Langligger01],1)</f>
        <v/>
      </c>
      <c r="O260" s="20">
        <f>COUNTIFS(tData[SEHTrajectPeriodeDatumTijdVan],"&lt;="&amp;($A260+11/24),tData[SEHTrajectPeriodeDatumTijdTotEnMet],"&gt;"&amp;($A260+11/24),tData[Langligger01],1)</f>
        <v/>
      </c>
      <c r="P260" s="20">
        <f>COUNTIFS(tData[SEHTrajectPeriodeDatumTijdVan],"&lt;="&amp;($A260+12/24),tData[SEHTrajectPeriodeDatumTijdTotEnMet],"&gt;"&amp;($A260+12/24),tData[Langligger01],1)</f>
        <v/>
      </c>
      <c r="Q260" s="20">
        <f>COUNTIFS(tData[SEHTrajectPeriodeDatumTijdVan],"&lt;="&amp;($A260+13/24),tData[SEHTrajectPeriodeDatumTijdTotEnMet],"&gt;"&amp;($A260+13/24),tData[Langligger01],1)</f>
        <v/>
      </c>
      <c r="R260" s="20">
        <f>COUNTIFS(tData[SEHTrajectPeriodeDatumTijdVan],"&lt;="&amp;($A260+14/24),tData[SEHTrajectPeriodeDatumTijdTotEnMet],"&gt;"&amp;($A260+14/24),tData[Langligger01],1)</f>
        <v/>
      </c>
      <c r="S260" s="20">
        <f>COUNTIFS(tData[SEHTrajectPeriodeDatumTijdVan],"&lt;="&amp;($A260+15/24),tData[SEHTrajectPeriodeDatumTijdTotEnMet],"&gt;"&amp;($A260+15/24),tData[Langligger01],1)</f>
        <v/>
      </c>
      <c r="T260" s="20">
        <f>COUNTIFS(tData[SEHTrajectPeriodeDatumTijdVan],"&lt;="&amp;($A260+16/24),tData[SEHTrajectPeriodeDatumTijdTotEnMet],"&gt;"&amp;($A260+16/24),tData[Langligger01],1)</f>
        <v/>
      </c>
      <c r="U260" s="20">
        <f>COUNTIFS(tData[SEHTrajectPeriodeDatumTijdVan],"&lt;="&amp;($A260+17/24),tData[SEHTrajectPeriodeDatumTijdTotEnMet],"&gt;"&amp;($A260+17/24),tData[Langligger01],1)</f>
        <v/>
      </c>
      <c r="V260" s="20">
        <f>COUNTIFS(tData[SEHTrajectPeriodeDatumTijdVan],"&lt;="&amp;($A260+18/24),tData[SEHTrajectPeriodeDatumTijdTotEnMet],"&gt;"&amp;($A260+18/24),tData[Langligger01],1)</f>
        <v/>
      </c>
      <c r="W260" s="20">
        <f>COUNTIFS(tData[SEHTrajectPeriodeDatumTijdVan],"&lt;="&amp;($A260+19/24),tData[SEHTrajectPeriodeDatumTijdTotEnMet],"&gt;"&amp;($A260+19/24),tData[Langligger01],1)</f>
        <v/>
      </c>
      <c r="X260" s="20">
        <f>COUNTIFS(tData[SEHTrajectPeriodeDatumTijdVan],"&lt;="&amp;($A260+20/24),tData[SEHTrajectPeriodeDatumTijdTotEnMet],"&gt;"&amp;($A260+20/24),tData[Langligger01],1)</f>
        <v/>
      </c>
      <c r="Y260" s="20">
        <f>COUNTIFS(tData[SEHTrajectPeriodeDatumTijdVan],"&lt;="&amp;($A260+21/24),tData[SEHTrajectPeriodeDatumTijdTotEnMet],"&gt;"&amp;($A260+21/24),tData[Langligger01],1)</f>
        <v/>
      </c>
      <c r="Z260" s="20">
        <f>COUNTIFS(tData[SEHTrajectPeriodeDatumTijdVan],"&lt;="&amp;($A260+22/24),tData[SEHTrajectPeriodeDatumTijdTotEnMet],"&gt;"&amp;($A260+22/24),tData[Langligger01],1)</f>
        <v/>
      </c>
      <c r="AA260" s="20">
        <f>COUNTIFS(tData[SEHTrajectPeriodeDatumTijdVan],"&lt;="&amp;($A260+23/24),tData[SEHTrajectPeriodeDatumTijdTotEnMet],"&gt;"&amp;($A260+23/24),tData[Langligger01],1)</f>
        <v/>
      </c>
    </row>
    <row r="261">
      <c r="A261" s="19" t="n">
        <v>45549</v>
      </c>
      <c r="B261" s="15">
        <f>WEEKDAY($A261,2)</f>
        <v/>
      </c>
      <c r="C261" s="15">
        <f>IF(AND($A261&gt;=INT(Instellingen!$B$5),$A261&lt;=INT(Instellingen!$B$6)),1,0)</f>
        <v/>
      </c>
      <c r="D261" s="20">
        <f>COUNTIFS(tData[SEHTrajectPeriodeDatumTijdVan],"&lt;="&amp;($A261+0/24),tData[SEHTrajectPeriodeDatumTijdTotEnMet],"&gt;"&amp;($A261+0/24),tData[Langligger01],1)</f>
        <v/>
      </c>
      <c r="E261" s="20">
        <f>COUNTIFS(tData[SEHTrajectPeriodeDatumTijdVan],"&lt;="&amp;($A261+1/24),tData[SEHTrajectPeriodeDatumTijdTotEnMet],"&gt;"&amp;($A261+1/24),tData[Langligger01],1)</f>
        <v/>
      </c>
      <c r="F261" s="20">
        <f>COUNTIFS(tData[SEHTrajectPeriodeDatumTijdVan],"&lt;="&amp;($A261+2/24),tData[SEHTrajectPeriodeDatumTijdTotEnMet],"&gt;"&amp;($A261+2/24),tData[Langligger01],1)</f>
        <v/>
      </c>
      <c r="G261" s="20">
        <f>COUNTIFS(tData[SEHTrajectPeriodeDatumTijdVan],"&lt;="&amp;($A261+3/24),tData[SEHTrajectPeriodeDatumTijdTotEnMet],"&gt;"&amp;($A261+3/24),tData[Langligger01],1)</f>
        <v/>
      </c>
      <c r="H261" s="20">
        <f>COUNTIFS(tData[SEHTrajectPeriodeDatumTijdVan],"&lt;="&amp;($A261+4/24),tData[SEHTrajectPeriodeDatumTijdTotEnMet],"&gt;"&amp;($A261+4/24),tData[Langligger01],1)</f>
        <v/>
      </c>
      <c r="I261" s="20">
        <f>COUNTIFS(tData[SEHTrajectPeriodeDatumTijdVan],"&lt;="&amp;($A261+5/24),tData[SEHTrajectPeriodeDatumTijdTotEnMet],"&gt;"&amp;($A261+5/24),tData[Langligger01],1)</f>
        <v/>
      </c>
      <c r="J261" s="20">
        <f>COUNTIFS(tData[SEHTrajectPeriodeDatumTijdVan],"&lt;="&amp;($A261+6/24),tData[SEHTrajectPeriodeDatumTijdTotEnMet],"&gt;"&amp;($A261+6/24),tData[Langligger01],1)</f>
        <v/>
      </c>
      <c r="K261" s="20">
        <f>COUNTIFS(tData[SEHTrajectPeriodeDatumTijdVan],"&lt;="&amp;($A261+7/24),tData[SEHTrajectPeriodeDatumTijdTotEnMet],"&gt;"&amp;($A261+7/24),tData[Langligger01],1)</f>
        <v/>
      </c>
      <c r="L261" s="20">
        <f>COUNTIFS(tData[SEHTrajectPeriodeDatumTijdVan],"&lt;="&amp;($A261+8/24),tData[SEHTrajectPeriodeDatumTijdTotEnMet],"&gt;"&amp;($A261+8/24),tData[Langligger01],1)</f>
        <v/>
      </c>
      <c r="M261" s="20">
        <f>COUNTIFS(tData[SEHTrajectPeriodeDatumTijdVan],"&lt;="&amp;($A261+9/24),tData[SEHTrajectPeriodeDatumTijdTotEnMet],"&gt;"&amp;($A261+9/24),tData[Langligger01],1)</f>
        <v/>
      </c>
      <c r="N261" s="20">
        <f>COUNTIFS(tData[SEHTrajectPeriodeDatumTijdVan],"&lt;="&amp;($A261+10/24),tData[SEHTrajectPeriodeDatumTijdTotEnMet],"&gt;"&amp;($A261+10/24),tData[Langligger01],1)</f>
        <v/>
      </c>
      <c r="O261" s="20">
        <f>COUNTIFS(tData[SEHTrajectPeriodeDatumTijdVan],"&lt;="&amp;($A261+11/24),tData[SEHTrajectPeriodeDatumTijdTotEnMet],"&gt;"&amp;($A261+11/24),tData[Langligger01],1)</f>
        <v/>
      </c>
      <c r="P261" s="20">
        <f>COUNTIFS(tData[SEHTrajectPeriodeDatumTijdVan],"&lt;="&amp;($A261+12/24),tData[SEHTrajectPeriodeDatumTijdTotEnMet],"&gt;"&amp;($A261+12/24),tData[Langligger01],1)</f>
        <v/>
      </c>
      <c r="Q261" s="20">
        <f>COUNTIFS(tData[SEHTrajectPeriodeDatumTijdVan],"&lt;="&amp;($A261+13/24),tData[SEHTrajectPeriodeDatumTijdTotEnMet],"&gt;"&amp;($A261+13/24),tData[Langligger01],1)</f>
        <v/>
      </c>
      <c r="R261" s="20">
        <f>COUNTIFS(tData[SEHTrajectPeriodeDatumTijdVan],"&lt;="&amp;($A261+14/24),tData[SEHTrajectPeriodeDatumTijdTotEnMet],"&gt;"&amp;($A261+14/24),tData[Langligger01],1)</f>
        <v/>
      </c>
      <c r="S261" s="20">
        <f>COUNTIFS(tData[SEHTrajectPeriodeDatumTijdVan],"&lt;="&amp;($A261+15/24),tData[SEHTrajectPeriodeDatumTijdTotEnMet],"&gt;"&amp;($A261+15/24),tData[Langligger01],1)</f>
        <v/>
      </c>
      <c r="T261" s="20">
        <f>COUNTIFS(tData[SEHTrajectPeriodeDatumTijdVan],"&lt;="&amp;($A261+16/24),tData[SEHTrajectPeriodeDatumTijdTotEnMet],"&gt;"&amp;($A261+16/24),tData[Langligger01],1)</f>
        <v/>
      </c>
      <c r="U261" s="20">
        <f>COUNTIFS(tData[SEHTrajectPeriodeDatumTijdVan],"&lt;="&amp;($A261+17/24),tData[SEHTrajectPeriodeDatumTijdTotEnMet],"&gt;"&amp;($A261+17/24),tData[Langligger01],1)</f>
        <v/>
      </c>
      <c r="V261" s="20">
        <f>COUNTIFS(tData[SEHTrajectPeriodeDatumTijdVan],"&lt;="&amp;($A261+18/24),tData[SEHTrajectPeriodeDatumTijdTotEnMet],"&gt;"&amp;($A261+18/24),tData[Langligger01],1)</f>
        <v/>
      </c>
      <c r="W261" s="20">
        <f>COUNTIFS(tData[SEHTrajectPeriodeDatumTijdVan],"&lt;="&amp;($A261+19/24),tData[SEHTrajectPeriodeDatumTijdTotEnMet],"&gt;"&amp;($A261+19/24),tData[Langligger01],1)</f>
        <v/>
      </c>
      <c r="X261" s="20">
        <f>COUNTIFS(tData[SEHTrajectPeriodeDatumTijdVan],"&lt;="&amp;($A261+20/24),tData[SEHTrajectPeriodeDatumTijdTotEnMet],"&gt;"&amp;($A261+20/24),tData[Langligger01],1)</f>
        <v/>
      </c>
      <c r="Y261" s="20">
        <f>COUNTIFS(tData[SEHTrajectPeriodeDatumTijdVan],"&lt;="&amp;($A261+21/24),tData[SEHTrajectPeriodeDatumTijdTotEnMet],"&gt;"&amp;($A261+21/24),tData[Langligger01],1)</f>
        <v/>
      </c>
      <c r="Z261" s="20">
        <f>COUNTIFS(tData[SEHTrajectPeriodeDatumTijdVan],"&lt;="&amp;($A261+22/24),tData[SEHTrajectPeriodeDatumTijdTotEnMet],"&gt;"&amp;($A261+22/24),tData[Langligger01],1)</f>
        <v/>
      </c>
      <c r="AA261" s="20">
        <f>COUNTIFS(tData[SEHTrajectPeriodeDatumTijdVan],"&lt;="&amp;($A261+23/24),tData[SEHTrajectPeriodeDatumTijdTotEnMet],"&gt;"&amp;($A261+23/24),tData[Langligger01],1)</f>
        <v/>
      </c>
    </row>
    <row r="262">
      <c r="A262" s="19" t="n">
        <v>45550</v>
      </c>
      <c r="B262" s="15">
        <f>WEEKDAY($A262,2)</f>
        <v/>
      </c>
      <c r="C262" s="15">
        <f>IF(AND($A262&gt;=INT(Instellingen!$B$5),$A262&lt;=INT(Instellingen!$B$6)),1,0)</f>
        <v/>
      </c>
      <c r="D262" s="20">
        <f>COUNTIFS(tData[SEHTrajectPeriodeDatumTijdVan],"&lt;="&amp;($A262+0/24),tData[SEHTrajectPeriodeDatumTijdTotEnMet],"&gt;"&amp;($A262+0/24),tData[Langligger01],1)</f>
        <v/>
      </c>
      <c r="E262" s="20">
        <f>COUNTIFS(tData[SEHTrajectPeriodeDatumTijdVan],"&lt;="&amp;($A262+1/24),tData[SEHTrajectPeriodeDatumTijdTotEnMet],"&gt;"&amp;($A262+1/24),tData[Langligger01],1)</f>
        <v/>
      </c>
      <c r="F262" s="20">
        <f>COUNTIFS(tData[SEHTrajectPeriodeDatumTijdVan],"&lt;="&amp;($A262+2/24),tData[SEHTrajectPeriodeDatumTijdTotEnMet],"&gt;"&amp;($A262+2/24),tData[Langligger01],1)</f>
        <v/>
      </c>
      <c r="G262" s="20">
        <f>COUNTIFS(tData[SEHTrajectPeriodeDatumTijdVan],"&lt;="&amp;($A262+3/24),tData[SEHTrajectPeriodeDatumTijdTotEnMet],"&gt;"&amp;($A262+3/24),tData[Langligger01],1)</f>
        <v/>
      </c>
      <c r="H262" s="20">
        <f>COUNTIFS(tData[SEHTrajectPeriodeDatumTijdVan],"&lt;="&amp;($A262+4/24),tData[SEHTrajectPeriodeDatumTijdTotEnMet],"&gt;"&amp;($A262+4/24),tData[Langligger01],1)</f>
        <v/>
      </c>
      <c r="I262" s="20">
        <f>COUNTIFS(tData[SEHTrajectPeriodeDatumTijdVan],"&lt;="&amp;($A262+5/24),tData[SEHTrajectPeriodeDatumTijdTotEnMet],"&gt;"&amp;($A262+5/24),tData[Langligger01],1)</f>
        <v/>
      </c>
      <c r="J262" s="20">
        <f>COUNTIFS(tData[SEHTrajectPeriodeDatumTijdVan],"&lt;="&amp;($A262+6/24),tData[SEHTrajectPeriodeDatumTijdTotEnMet],"&gt;"&amp;($A262+6/24),tData[Langligger01],1)</f>
        <v/>
      </c>
      <c r="K262" s="20">
        <f>COUNTIFS(tData[SEHTrajectPeriodeDatumTijdVan],"&lt;="&amp;($A262+7/24),tData[SEHTrajectPeriodeDatumTijdTotEnMet],"&gt;"&amp;($A262+7/24),tData[Langligger01],1)</f>
        <v/>
      </c>
      <c r="L262" s="20">
        <f>COUNTIFS(tData[SEHTrajectPeriodeDatumTijdVan],"&lt;="&amp;($A262+8/24),tData[SEHTrajectPeriodeDatumTijdTotEnMet],"&gt;"&amp;($A262+8/24),tData[Langligger01],1)</f>
        <v/>
      </c>
      <c r="M262" s="20">
        <f>COUNTIFS(tData[SEHTrajectPeriodeDatumTijdVan],"&lt;="&amp;($A262+9/24),tData[SEHTrajectPeriodeDatumTijdTotEnMet],"&gt;"&amp;($A262+9/24),tData[Langligger01],1)</f>
        <v/>
      </c>
      <c r="N262" s="20">
        <f>COUNTIFS(tData[SEHTrajectPeriodeDatumTijdVan],"&lt;="&amp;($A262+10/24),tData[SEHTrajectPeriodeDatumTijdTotEnMet],"&gt;"&amp;($A262+10/24),tData[Langligger01],1)</f>
        <v/>
      </c>
      <c r="O262" s="20">
        <f>COUNTIFS(tData[SEHTrajectPeriodeDatumTijdVan],"&lt;="&amp;($A262+11/24),tData[SEHTrajectPeriodeDatumTijdTotEnMet],"&gt;"&amp;($A262+11/24),tData[Langligger01],1)</f>
        <v/>
      </c>
      <c r="P262" s="20">
        <f>COUNTIFS(tData[SEHTrajectPeriodeDatumTijdVan],"&lt;="&amp;($A262+12/24),tData[SEHTrajectPeriodeDatumTijdTotEnMet],"&gt;"&amp;($A262+12/24),tData[Langligger01],1)</f>
        <v/>
      </c>
      <c r="Q262" s="20">
        <f>COUNTIFS(tData[SEHTrajectPeriodeDatumTijdVan],"&lt;="&amp;($A262+13/24),tData[SEHTrajectPeriodeDatumTijdTotEnMet],"&gt;"&amp;($A262+13/24),tData[Langligger01],1)</f>
        <v/>
      </c>
      <c r="R262" s="20">
        <f>COUNTIFS(tData[SEHTrajectPeriodeDatumTijdVan],"&lt;="&amp;($A262+14/24),tData[SEHTrajectPeriodeDatumTijdTotEnMet],"&gt;"&amp;($A262+14/24),tData[Langligger01],1)</f>
        <v/>
      </c>
      <c r="S262" s="20">
        <f>COUNTIFS(tData[SEHTrajectPeriodeDatumTijdVan],"&lt;="&amp;($A262+15/24),tData[SEHTrajectPeriodeDatumTijdTotEnMet],"&gt;"&amp;($A262+15/24),tData[Langligger01],1)</f>
        <v/>
      </c>
      <c r="T262" s="20">
        <f>COUNTIFS(tData[SEHTrajectPeriodeDatumTijdVan],"&lt;="&amp;($A262+16/24),tData[SEHTrajectPeriodeDatumTijdTotEnMet],"&gt;"&amp;($A262+16/24),tData[Langligger01],1)</f>
        <v/>
      </c>
      <c r="U262" s="20">
        <f>COUNTIFS(tData[SEHTrajectPeriodeDatumTijdVan],"&lt;="&amp;($A262+17/24),tData[SEHTrajectPeriodeDatumTijdTotEnMet],"&gt;"&amp;($A262+17/24),tData[Langligger01],1)</f>
        <v/>
      </c>
      <c r="V262" s="20">
        <f>COUNTIFS(tData[SEHTrajectPeriodeDatumTijdVan],"&lt;="&amp;($A262+18/24),tData[SEHTrajectPeriodeDatumTijdTotEnMet],"&gt;"&amp;($A262+18/24),tData[Langligger01],1)</f>
        <v/>
      </c>
      <c r="W262" s="20">
        <f>COUNTIFS(tData[SEHTrajectPeriodeDatumTijdVan],"&lt;="&amp;($A262+19/24),tData[SEHTrajectPeriodeDatumTijdTotEnMet],"&gt;"&amp;($A262+19/24),tData[Langligger01],1)</f>
        <v/>
      </c>
      <c r="X262" s="20">
        <f>COUNTIFS(tData[SEHTrajectPeriodeDatumTijdVan],"&lt;="&amp;($A262+20/24),tData[SEHTrajectPeriodeDatumTijdTotEnMet],"&gt;"&amp;($A262+20/24),tData[Langligger01],1)</f>
        <v/>
      </c>
      <c r="Y262" s="20">
        <f>COUNTIFS(tData[SEHTrajectPeriodeDatumTijdVan],"&lt;="&amp;($A262+21/24),tData[SEHTrajectPeriodeDatumTijdTotEnMet],"&gt;"&amp;($A262+21/24),tData[Langligger01],1)</f>
        <v/>
      </c>
      <c r="Z262" s="20">
        <f>COUNTIFS(tData[SEHTrajectPeriodeDatumTijdVan],"&lt;="&amp;($A262+22/24),tData[SEHTrajectPeriodeDatumTijdTotEnMet],"&gt;"&amp;($A262+22/24),tData[Langligger01],1)</f>
        <v/>
      </c>
      <c r="AA262" s="20">
        <f>COUNTIFS(tData[SEHTrajectPeriodeDatumTijdVan],"&lt;="&amp;($A262+23/24),tData[SEHTrajectPeriodeDatumTijdTotEnMet],"&gt;"&amp;($A262+23/24),tData[Langligger01],1)</f>
        <v/>
      </c>
    </row>
    <row r="263">
      <c r="A263" s="19" t="n">
        <v>45551</v>
      </c>
      <c r="B263" s="15">
        <f>WEEKDAY($A263,2)</f>
        <v/>
      </c>
      <c r="C263" s="15">
        <f>IF(AND($A263&gt;=INT(Instellingen!$B$5),$A263&lt;=INT(Instellingen!$B$6)),1,0)</f>
        <v/>
      </c>
      <c r="D263" s="20">
        <f>COUNTIFS(tData[SEHTrajectPeriodeDatumTijdVan],"&lt;="&amp;($A263+0/24),tData[SEHTrajectPeriodeDatumTijdTotEnMet],"&gt;"&amp;($A263+0/24),tData[Langligger01],1)</f>
        <v/>
      </c>
      <c r="E263" s="20">
        <f>COUNTIFS(tData[SEHTrajectPeriodeDatumTijdVan],"&lt;="&amp;($A263+1/24),tData[SEHTrajectPeriodeDatumTijdTotEnMet],"&gt;"&amp;($A263+1/24),tData[Langligger01],1)</f>
        <v/>
      </c>
      <c r="F263" s="20">
        <f>COUNTIFS(tData[SEHTrajectPeriodeDatumTijdVan],"&lt;="&amp;($A263+2/24),tData[SEHTrajectPeriodeDatumTijdTotEnMet],"&gt;"&amp;($A263+2/24),tData[Langligger01],1)</f>
        <v/>
      </c>
      <c r="G263" s="20">
        <f>COUNTIFS(tData[SEHTrajectPeriodeDatumTijdVan],"&lt;="&amp;($A263+3/24),tData[SEHTrajectPeriodeDatumTijdTotEnMet],"&gt;"&amp;($A263+3/24),tData[Langligger01],1)</f>
        <v/>
      </c>
      <c r="H263" s="20">
        <f>COUNTIFS(tData[SEHTrajectPeriodeDatumTijdVan],"&lt;="&amp;($A263+4/24),tData[SEHTrajectPeriodeDatumTijdTotEnMet],"&gt;"&amp;($A263+4/24),tData[Langligger01],1)</f>
        <v/>
      </c>
      <c r="I263" s="20">
        <f>COUNTIFS(tData[SEHTrajectPeriodeDatumTijdVan],"&lt;="&amp;($A263+5/24),tData[SEHTrajectPeriodeDatumTijdTotEnMet],"&gt;"&amp;($A263+5/24),tData[Langligger01],1)</f>
        <v/>
      </c>
      <c r="J263" s="20">
        <f>COUNTIFS(tData[SEHTrajectPeriodeDatumTijdVan],"&lt;="&amp;($A263+6/24),tData[SEHTrajectPeriodeDatumTijdTotEnMet],"&gt;"&amp;($A263+6/24),tData[Langligger01],1)</f>
        <v/>
      </c>
      <c r="K263" s="20">
        <f>COUNTIFS(tData[SEHTrajectPeriodeDatumTijdVan],"&lt;="&amp;($A263+7/24),tData[SEHTrajectPeriodeDatumTijdTotEnMet],"&gt;"&amp;($A263+7/24),tData[Langligger01],1)</f>
        <v/>
      </c>
      <c r="L263" s="20">
        <f>COUNTIFS(tData[SEHTrajectPeriodeDatumTijdVan],"&lt;="&amp;($A263+8/24),tData[SEHTrajectPeriodeDatumTijdTotEnMet],"&gt;"&amp;($A263+8/24),tData[Langligger01],1)</f>
        <v/>
      </c>
      <c r="M263" s="20">
        <f>COUNTIFS(tData[SEHTrajectPeriodeDatumTijdVan],"&lt;="&amp;($A263+9/24),tData[SEHTrajectPeriodeDatumTijdTotEnMet],"&gt;"&amp;($A263+9/24),tData[Langligger01],1)</f>
        <v/>
      </c>
      <c r="N263" s="20">
        <f>COUNTIFS(tData[SEHTrajectPeriodeDatumTijdVan],"&lt;="&amp;($A263+10/24),tData[SEHTrajectPeriodeDatumTijdTotEnMet],"&gt;"&amp;($A263+10/24),tData[Langligger01],1)</f>
        <v/>
      </c>
      <c r="O263" s="20">
        <f>COUNTIFS(tData[SEHTrajectPeriodeDatumTijdVan],"&lt;="&amp;($A263+11/24),tData[SEHTrajectPeriodeDatumTijdTotEnMet],"&gt;"&amp;($A263+11/24),tData[Langligger01],1)</f>
        <v/>
      </c>
      <c r="P263" s="20">
        <f>COUNTIFS(tData[SEHTrajectPeriodeDatumTijdVan],"&lt;="&amp;($A263+12/24),tData[SEHTrajectPeriodeDatumTijdTotEnMet],"&gt;"&amp;($A263+12/24),tData[Langligger01],1)</f>
        <v/>
      </c>
      <c r="Q263" s="20">
        <f>COUNTIFS(tData[SEHTrajectPeriodeDatumTijdVan],"&lt;="&amp;($A263+13/24),tData[SEHTrajectPeriodeDatumTijdTotEnMet],"&gt;"&amp;($A263+13/24),tData[Langligger01],1)</f>
        <v/>
      </c>
      <c r="R263" s="20">
        <f>COUNTIFS(tData[SEHTrajectPeriodeDatumTijdVan],"&lt;="&amp;($A263+14/24),tData[SEHTrajectPeriodeDatumTijdTotEnMet],"&gt;"&amp;($A263+14/24),tData[Langligger01],1)</f>
        <v/>
      </c>
      <c r="S263" s="20">
        <f>COUNTIFS(tData[SEHTrajectPeriodeDatumTijdVan],"&lt;="&amp;($A263+15/24),tData[SEHTrajectPeriodeDatumTijdTotEnMet],"&gt;"&amp;($A263+15/24),tData[Langligger01],1)</f>
        <v/>
      </c>
      <c r="T263" s="20">
        <f>COUNTIFS(tData[SEHTrajectPeriodeDatumTijdVan],"&lt;="&amp;($A263+16/24),tData[SEHTrajectPeriodeDatumTijdTotEnMet],"&gt;"&amp;($A263+16/24),tData[Langligger01],1)</f>
        <v/>
      </c>
      <c r="U263" s="20">
        <f>COUNTIFS(tData[SEHTrajectPeriodeDatumTijdVan],"&lt;="&amp;($A263+17/24),tData[SEHTrajectPeriodeDatumTijdTotEnMet],"&gt;"&amp;($A263+17/24),tData[Langligger01],1)</f>
        <v/>
      </c>
      <c r="V263" s="20">
        <f>COUNTIFS(tData[SEHTrajectPeriodeDatumTijdVan],"&lt;="&amp;($A263+18/24),tData[SEHTrajectPeriodeDatumTijdTotEnMet],"&gt;"&amp;($A263+18/24),tData[Langligger01],1)</f>
        <v/>
      </c>
      <c r="W263" s="20">
        <f>COUNTIFS(tData[SEHTrajectPeriodeDatumTijdVan],"&lt;="&amp;($A263+19/24),tData[SEHTrajectPeriodeDatumTijdTotEnMet],"&gt;"&amp;($A263+19/24),tData[Langligger01],1)</f>
        <v/>
      </c>
      <c r="X263" s="20">
        <f>COUNTIFS(tData[SEHTrajectPeriodeDatumTijdVan],"&lt;="&amp;($A263+20/24),tData[SEHTrajectPeriodeDatumTijdTotEnMet],"&gt;"&amp;($A263+20/24),tData[Langligger01],1)</f>
        <v/>
      </c>
      <c r="Y263" s="20">
        <f>COUNTIFS(tData[SEHTrajectPeriodeDatumTijdVan],"&lt;="&amp;($A263+21/24),tData[SEHTrajectPeriodeDatumTijdTotEnMet],"&gt;"&amp;($A263+21/24),tData[Langligger01],1)</f>
        <v/>
      </c>
      <c r="Z263" s="20">
        <f>COUNTIFS(tData[SEHTrajectPeriodeDatumTijdVan],"&lt;="&amp;($A263+22/24),tData[SEHTrajectPeriodeDatumTijdTotEnMet],"&gt;"&amp;($A263+22/24),tData[Langligger01],1)</f>
        <v/>
      </c>
      <c r="AA263" s="20">
        <f>COUNTIFS(tData[SEHTrajectPeriodeDatumTijdVan],"&lt;="&amp;($A263+23/24),tData[SEHTrajectPeriodeDatumTijdTotEnMet],"&gt;"&amp;($A263+23/24),tData[Langligger01],1)</f>
        <v/>
      </c>
    </row>
    <row r="264">
      <c r="A264" s="19" t="n">
        <v>45552</v>
      </c>
      <c r="B264" s="15">
        <f>WEEKDAY($A264,2)</f>
        <v/>
      </c>
      <c r="C264" s="15">
        <f>IF(AND($A264&gt;=INT(Instellingen!$B$5),$A264&lt;=INT(Instellingen!$B$6)),1,0)</f>
        <v/>
      </c>
      <c r="D264" s="20">
        <f>COUNTIFS(tData[SEHTrajectPeriodeDatumTijdVan],"&lt;="&amp;($A264+0/24),tData[SEHTrajectPeriodeDatumTijdTotEnMet],"&gt;"&amp;($A264+0/24),tData[Langligger01],1)</f>
        <v/>
      </c>
      <c r="E264" s="20">
        <f>COUNTIFS(tData[SEHTrajectPeriodeDatumTijdVan],"&lt;="&amp;($A264+1/24),tData[SEHTrajectPeriodeDatumTijdTotEnMet],"&gt;"&amp;($A264+1/24),tData[Langligger01],1)</f>
        <v/>
      </c>
      <c r="F264" s="20">
        <f>COUNTIFS(tData[SEHTrajectPeriodeDatumTijdVan],"&lt;="&amp;($A264+2/24),tData[SEHTrajectPeriodeDatumTijdTotEnMet],"&gt;"&amp;($A264+2/24),tData[Langligger01],1)</f>
        <v/>
      </c>
      <c r="G264" s="20">
        <f>COUNTIFS(tData[SEHTrajectPeriodeDatumTijdVan],"&lt;="&amp;($A264+3/24),tData[SEHTrajectPeriodeDatumTijdTotEnMet],"&gt;"&amp;($A264+3/24),tData[Langligger01],1)</f>
        <v/>
      </c>
      <c r="H264" s="20">
        <f>COUNTIFS(tData[SEHTrajectPeriodeDatumTijdVan],"&lt;="&amp;($A264+4/24),tData[SEHTrajectPeriodeDatumTijdTotEnMet],"&gt;"&amp;($A264+4/24),tData[Langligger01],1)</f>
        <v/>
      </c>
      <c r="I264" s="20">
        <f>COUNTIFS(tData[SEHTrajectPeriodeDatumTijdVan],"&lt;="&amp;($A264+5/24),tData[SEHTrajectPeriodeDatumTijdTotEnMet],"&gt;"&amp;($A264+5/24),tData[Langligger01],1)</f>
        <v/>
      </c>
      <c r="J264" s="20">
        <f>COUNTIFS(tData[SEHTrajectPeriodeDatumTijdVan],"&lt;="&amp;($A264+6/24),tData[SEHTrajectPeriodeDatumTijdTotEnMet],"&gt;"&amp;($A264+6/24),tData[Langligger01],1)</f>
        <v/>
      </c>
      <c r="K264" s="20">
        <f>COUNTIFS(tData[SEHTrajectPeriodeDatumTijdVan],"&lt;="&amp;($A264+7/24),tData[SEHTrajectPeriodeDatumTijdTotEnMet],"&gt;"&amp;($A264+7/24),tData[Langligger01],1)</f>
        <v/>
      </c>
      <c r="L264" s="20">
        <f>COUNTIFS(tData[SEHTrajectPeriodeDatumTijdVan],"&lt;="&amp;($A264+8/24),tData[SEHTrajectPeriodeDatumTijdTotEnMet],"&gt;"&amp;($A264+8/24),tData[Langligger01],1)</f>
        <v/>
      </c>
      <c r="M264" s="20">
        <f>COUNTIFS(tData[SEHTrajectPeriodeDatumTijdVan],"&lt;="&amp;($A264+9/24),tData[SEHTrajectPeriodeDatumTijdTotEnMet],"&gt;"&amp;($A264+9/24),tData[Langligger01],1)</f>
        <v/>
      </c>
      <c r="N264" s="20">
        <f>COUNTIFS(tData[SEHTrajectPeriodeDatumTijdVan],"&lt;="&amp;($A264+10/24),tData[SEHTrajectPeriodeDatumTijdTotEnMet],"&gt;"&amp;($A264+10/24),tData[Langligger01],1)</f>
        <v/>
      </c>
      <c r="O264" s="20">
        <f>COUNTIFS(tData[SEHTrajectPeriodeDatumTijdVan],"&lt;="&amp;($A264+11/24),tData[SEHTrajectPeriodeDatumTijdTotEnMet],"&gt;"&amp;($A264+11/24),tData[Langligger01],1)</f>
        <v/>
      </c>
      <c r="P264" s="20">
        <f>COUNTIFS(tData[SEHTrajectPeriodeDatumTijdVan],"&lt;="&amp;($A264+12/24),tData[SEHTrajectPeriodeDatumTijdTotEnMet],"&gt;"&amp;($A264+12/24),tData[Langligger01],1)</f>
        <v/>
      </c>
      <c r="Q264" s="20">
        <f>COUNTIFS(tData[SEHTrajectPeriodeDatumTijdVan],"&lt;="&amp;($A264+13/24),tData[SEHTrajectPeriodeDatumTijdTotEnMet],"&gt;"&amp;($A264+13/24),tData[Langligger01],1)</f>
        <v/>
      </c>
      <c r="R264" s="20">
        <f>COUNTIFS(tData[SEHTrajectPeriodeDatumTijdVan],"&lt;="&amp;($A264+14/24),tData[SEHTrajectPeriodeDatumTijdTotEnMet],"&gt;"&amp;($A264+14/24),tData[Langligger01],1)</f>
        <v/>
      </c>
      <c r="S264" s="20">
        <f>COUNTIFS(tData[SEHTrajectPeriodeDatumTijdVan],"&lt;="&amp;($A264+15/24),tData[SEHTrajectPeriodeDatumTijdTotEnMet],"&gt;"&amp;($A264+15/24),tData[Langligger01],1)</f>
        <v/>
      </c>
      <c r="T264" s="20">
        <f>COUNTIFS(tData[SEHTrajectPeriodeDatumTijdVan],"&lt;="&amp;($A264+16/24),tData[SEHTrajectPeriodeDatumTijdTotEnMet],"&gt;"&amp;($A264+16/24),tData[Langligger01],1)</f>
        <v/>
      </c>
      <c r="U264" s="20">
        <f>COUNTIFS(tData[SEHTrajectPeriodeDatumTijdVan],"&lt;="&amp;($A264+17/24),tData[SEHTrajectPeriodeDatumTijdTotEnMet],"&gt;"&amp;($A264+17/24),tData[Langligger01],1)</f>
        <v/>
      </c>
      <c r="V264" s="20">
        <f>COUNTIFS(tData[SEHTrajectPeriodeDatumTijdVan],"&lt;="&amp;($A264+18/24),tData[SEHTrajectPeriodeDatumTijdTotEnMet],"&gt;"&amp;($A264+18/24),tData[Langligger01],1)</f>
        <v/>
      </c>
      <c r="W264" s="20">
        <f>COUNTIFS(tData[SEHTrajectPeriodeDatumTijdVan],"&lt;="&amp;($A264+19/24),tData[SEHTrajectPeriodeDatumTijdTotEnMet],"&gt;"&amp;($A264+19/24),tData[Langligger01],1)</f>
        <v/>
      </c>
      <c r="X264" s="20">
        <f>COUNTIFS(tData[SEHTrajectPeriodeDatumTijdVan],"&lt;="&amp;($A264+20/24),tData[SEHTrajectPeriodeDatumTijdTotEnMet],"&gt;"&amp;($A264+20/24),tData[Langligger01],1)</f>
        <v/>
      </c>
      <c r="Y264" s="20">
        <f>COUNTIFS(tData[SEHTrajectPeriodeDatumTijdVan],"&lt;="&amp;($A264+21/24),tData[SEHTrajectPeriodeDatumTijdTotEnMet],"&gt;"&amp;($A264+21/24),tData[Langligger01],1)</f>
        <v/>
      </c>
      <c r="Z264" s="20">
        <f>COUNTIFS(tData[SEHTrajectPeriodeDatumTijdVan],"&lt;="&amp;($A264+22/24),tData[SEHTrajectPeriodeDatumTijdTotEnMet],"&gt;"&amp;($A264+22/24),tData[Langligger01],1)</f>
        <v/>
      </c>
      <c r="AA264" s="20">
        <f>COUNTIFS(tData[SEHTrajectPeriodeDatumTijdVan],"&lt;="&amp;($A264+23/24),tData[SEHTrajectPeriodeDatumTijdTotEnMet],"&gt;"&amp;($A264+23/24),tData[Langligger01],1)</f>
        <v/>
      </c>
    </row>
    <row r="265">
      <c r="A265" s="19" t="n">
        <v>45553</v>
      </c>
      <c r="B265" s="15">
        <f>WEEKDAY($A265,2)</f>
        <v/>
      </c>
      <c r="C265" s="15">
        <f>IF(AND($A265&gt;=INT(Instellingen!$B$5),$A265&lt;=INT(Instellingen!$B$6)),1,0)</f>
        <v/>
      </c>
      <c r="D265" s="20">
        <f>COUNTIFS(tData[SEHTrajectPeriodeDatumTijdVan],"&lt;="&amp;($A265+0/24),tData[SEHTrajectPeriodeDatumTijdTotEnMet],"&gt;"&amp;($A265+0/24),tData[Langligger01],1)</f>
        <v/>
      </c>
      <c r="E265" s="20">
        <f>COUNTIFS(tData[SEHTrajectPeriodeDatumTijdVan],"&lt;="&amp;($A265+1/24),tData[SEHTrajectPeriodeDatumTijdTotEnMet],"&gt;"&amp;($A265+1/24),tData[Langligger01],1)</f>
        <v/>
      </c>
      <c r="F265" s="20">
        <f>COUNTIFS(tData[SEHTrajectPeriodeDatumTijdVan],"&lt;="&amp;($A265+2/24),tData[SEHTrajectPeriodeDatumTijdTotEnMet],"&gt;"&amp;($A265+2/24),tData[Langligger01],1)</f>
        <v/>
      </c>
      <c r="G265" s="20">
        <f>COUNTIFS(tData[SEHTrajectPeriodeDatumTijdVan],"&lt;="&amp;($A265+3/24),tData[SEHTrajectPeriodeDatumTijdTotEnMet],"&gt;"&amp;($A265+3/24),tData[Langligger01],1)</f>
        <v/>
      </c>
      <c r="H265" s="20">
        <f>COUNTIFS(tData[SEHTrajectPeriodeDatumTijdVan],"&lt;="&amp;($A265+4/24),tData[SEHTrajectPeriodeDatumTijdTotEnMet],"&gt;"&amp;($A265+4/24),tData[Langligger01],1)</f>
        <v/>
      </c>
      <c r="I265" s="20">
        <f>COUNTIFS(tData[SEHTrajectPeriodeDatumTijdVan],"&lt;="&amp;($A265+5/24),tData[SEHTrajectPeriodeDatumTijdTotEnMet],"&gt;"&amp;($A265+5/24),tData[Langligger01],1)</f>
        <v/>
      </c>
      <c r="J265" s="20">
        <f>COUNTIFS(tData[SEHTrajectPeriodeDatumTijdVan],"&lt;="&amp;($A265+6/24),tData[SEHTrajectPeriodeDatumTijdTotEnMet],"&gt;"&amp;($A265+6/24),tData[Langligger01],1)</f>
        <v/>
      </c>
      <c r="K265" s="20">
        <f>COUNTIFS(tData[SEHTrajectPeriodeDatumTijdVan],"&lt;="&amp;($A265+7/24),tData[SEHTrajectPeriodeDatumTijdTotEnMet],"&gt;"&amp;($A265+7/24),tData[Langligger01],1)</f>
        <v/>
      </c>
      <c r="L265" s="20">
        <f>COUNTIFS(tData[SEHTrajectPeriodeDatumTijdVan],"&lt;="&amp;($A265+8/24),tData[SEHTrajectPeriodeDatumTijdTotEnMet],"&gt;"&amp;($A265+8/24),tData[Langligger01],1)</f>
        <v/>
      </c>
      <c r="M265" s="20">
        <f>COUNTIFS(tData[SEHTrajectPeriodeDatumTijdVan],"&lt;="&amp;($A265+9/24),tData[SEHTrajectPeriodeDatumTijdTotEnMet],"&gt;"&amp;($A265+9/24),tData[Langligger01],1)</f>
        <v/>
      </c>
      <c r="N265" s="20">
        <f>COUNTIFS(tData[SEHTrajectPeriodeDatumTijdVan],"&lt;="&amp;($A265+10/24),tData[SEHTrajectPeriodeDatumTijdTotEnMet],"&gt;"&amp;($A265+10/24),tData[Langligger01],1)</f>
        <v/>
      </c>
      <c r="O265" s="20">
        <f>COUNTIFS(tData[SEHTrajectPeriodeDatumTijdVan],"&lt;="&amp;($A265+11/24),tData[SEHTrajectPeriodeDatumTijdTotEnMet],"&gt;"&amp;($A265+11/24),tData[Langligger01],1)</f>
        <v/>
      </c>
      <c r="P265" s="20">
        <f>COUNTIFS(tData[SEHTrajectPeriodeDatumTijdVan],"&lt;="&amp;($A265+12/24),tData[SEHTrajectPeriodeDatumTijdTotEnMet],"&gt;"&amp;($A265+12/24),tData[Langligger01],1)</f>
        <v/>
      </c>
      <c r="Q265" s="20">
        <f>COUNTIFS(tData[SEHTrajectPeriodeDatumTijdVan],"&lt;="&amp;($A265+13/24),tData[SEHTrajectPeriodeDatumTijdTotEnMet],"&gt;"&amp;($A265+13/24),tData[Langligger01],1)</f>
        <v/>
      </c>
      <c r="R265" s="20">
        <f>COUNTIFS(tData[SEHTrajectPeriodeDatumTijdVan],"&lt;="&amp;($A265+14/24),tData[SEHTrajectPeriodeDatumTijdTotEnMet],"&gt;"&amp;($A265+14/24),tData[Langligger01],1)</f>
        <v/>
      </c>
      <c r="S265" s="20">
        <f>COUNTIFS(tData[SEHTrajectPeriodeDatumTijdVan],"&lt;="&amp;($A265+15/24),tData[SEHTrajectPeriodeDatumTijdTotEnMet],"&gt;"&amp;($A265+15/24),tData[Langligger01],1)</f>
        <v/>
      </c>
      <c r="T265" s="20">
        <f>COUNTIFS(tData[SEHTrajectPeriodeDatumTijdVan],"&lt;="&amp;($A265+16/24),tData[SEHTrajectPeriodeDatumTijdTotEnMet],"&gt;"&amp;($A265+16/24),tData[Langligger01],1)</f>
        <v/>
      </c>
      <c r="U265" s="20">
        <f>COUNTIFS(tData[SEHTrajectPeriodeDatumTijdVan],"&lt;="&amp;($A265+17/24),tData[SEHTrajectPeriodeDatumTijdTotEnMet],"&gt;"&amp;($A265+17/24),tData[Langligger01],1)</f>
        <v/>
      </c>
      <c r="V265" s="20">
        <f>COUNTIFS(tData[SEHTrajectPeriodeDatumTijdVan],"&lt;="&amp;($A265+18/24),tData[SEHTrajectPeriodeDatumTijdTotEnMet],"&gt;"&amp;($A265+18/24),tData[Langligger01],1)</f>
        <v/>
      </c>
      <c r="W265" s="20">
        <f>COUNTIFS(tData[SEHTrajectPeriodeDatumTijdVan],"&lt;="&amp;($A265+19/24),tData[SEHTrajectPeriodeDatumTijdTotEnMet],"&gt;"&amp;($A265+19/24),tData[Langligger01],1)</f>
        <v/>
      </c>
      <c r="X265" s="20">
        <f>COUNTIFS(tData[SEHTrajectPeriodeDatumTijdVan],"&lt;="&amp;($A265+20/24),tData[SEHTrajectPeriodeDatumTijdTotEnMet],"&gt;"&amp;($A265+20/24),tData[Langligger01],1)</f>
        <v/>
      </c>
      <c r="Y265" s="20">
        <f>COUNTIFS(tData[SEHTrajectPeriodeDatumTijdVan],"&lt;="&amp;($A265+21/24),tData[SEHTrajectPeriodeDatumTijdTotEnMet],"&gt;"&amp;($A265+21/24),tData[Langligger01],1)</f>
        <v/>
      </c>
      <c r="Z265" s="20">
        <f>COUNTIFS(tData[SEHTrajectPeriodeDatumTijdVan],"&lt;="&amp;($A265+22/24),tData[SEHTrajectPeriodeDatumTijdTotEnMet],"&gt;"&amp;($A265+22/24),tData[Langligger01],1)</f>
        <v/>
      </c>
      <c r="AA265" s="20">
        <f>COUNTIFS(tData[SEHTrajectPeriodeDatumTijdVan],"&lt;="&amp;($A265+23/24),tData[SEHTrajectPeriodeDatumTijdTotEnMet],"&gt;"&amp;($A265+23/24),tData[Langligger01],1)</f>
        <v/>
      </c>
    </row>
    <row r="266">
      <c r="A266" s="19" t="n">
        <v>45554</v>
      </c>
      <c r="B266" s="15">
        <f>WEEKDAY($A266,2)</f>
        <v/>
      </c>
      <c r="C266" s="15">
        <f>IF(AND($A266&gt;=INT(Instellingen!$B$5),$A266&lt;=INT(Instellingen!$B$6)),1,0)</f>
        <v/>
      </c>
      <c r="D266" s="20">
        <f>COUNTIFS(tData[SEHTrajectPeriodeDatumTijdVan],"&lt;="&amp;($A266+0/24),tData[SEHTrajectPeriodeDatumTijdTotEnMet],"&gt;"&amp;($A266+0/24),tData[Langligger01],1)</f>
        <v/>
      </c>
      <c r="E266" s="20">
        <f>COUNTIFS(tData[SEHTrajectPeriodeDatumTijdVan],"&lt;="&amp;($A266+1/24),tData[SEHTrajectPeriodeDatumTijdTotEnMet],"&gt;"&amp;($A266+1/24),tData[Langligger01],1)</f>
        <v/>
      </c>
      <c r="F266" s="20">
        <f>COUNTIFS(tData[SEHTrajectPeriodeDatumTijdVan],"&lt;="&amp;($A266+2/24),tData[SEHTrajectPeriodeDatumTijdTotEnMet],"&gt;"&amp;($A266+2/24),tData[Langligger01],1)</f>
        <v/>
      </c>
      <c r="G266" s="20">
        <f>COUNTIFS(tData[SEHTrajectPeriodeDatumTijdVan],"&lt;="&amp;($A266+3/24),tData[SEHTrajectPeriodeDatumTijdTotEnMet],"&gt;"&amp;($A266+3/24),tData[Langligger01],1)</f>
        <v/>
      </c>
      <c r="H266" s="20">
        <f>COUNTIFS(tData[SEHTrajectPeriodeDatumTijdVan],"&lt;="&amp;($A266+4/24),tData[SEHTrajectPeriodeDatumTijdTotEnMet],"&gt;"&amp;($A266+4/24),tData[Langligger01],1)</f>
        <v/>
      </c>
      <c r="I266" s="20">
        <f>COUNTIFS(tData[SEHTrajectPeriodeDatumTijdVan],"&lt;="&amp;($A266+5/24),tData[SEHTrajectPeriodeDatumTijdTotEnMet],"&gt;"&amp;($A266+5/24),tData[Langligger01],1)</f>
        <v/>
      </c>
      <c r="J266" s="20">
        <f>COUNTIFS(tData[SEHTrajectPeriodeDatumTijdVan],"&lt;="&amp;($A266+6/24),tData[SEHTrajectPeriodeDatumTijdTotEnMet],"&gt;"&amp;($A266+6/24),tData[Langligger01],1)</f>
        <v/>
      </c>
      <c r="K266" s="20">
        <f>COUNTIFS(tData[SEHTrajectPeriodeDatumTijdVan],"&lt;="&amp;($A266+7/24),tData[SEHTrajectPeriodeDatumTijdTotEnMet],"&gt;"&amp;($A266+7/24),tData[Langligger01],1)</f>
        <v/>
      </c>
      <c r="L266" s="20">
        <f>COUNTIFS(tData[SEHTrajectPeriodeDatumTijdVan],"&lt;="&amp;($A266+8/24),tData[SEHTrajectPeriodeDatumTijdTotEnMet],"&gt;"&amp;($A266+8/24),tData[Langligger01],1)</f>
        <v/>
      </c>
      <c r="M266" s="20">
        <f>COUNTIFS(tData[SEHTrajectPeriodeDatumTijdVan],"&lt;="&amp;($A266+9/24),tData[SEHTrajectPeriodeDatumTijdTotEnMet],"&gt;"&amp;($A266+9/24),tData[Langligger01],1)</f>
        <v/>
      </c>
      <c r="N266" s="20">
        <f>COUNTIFS(tData[SEHTrajectPeriodeDatumTijdVan],"&lt;="&amp;($A266+10/24),tData[SEHTrajectPeriodeDatumTijdTotEnMet],"&gt;"&amp;($A266+10/24),tData[Langligger01],1)</f>
        <v/>
      </c>
      <c r="O266" s="20">
        <f>COUNTIFS(tData[SEHTrajectPeriodeDatumTijdVan],"&lt;="&amp;($A266+11/24),tData[SEHTrajectPeriodeDatumTijdTotEnMet],"&gt;"&amp;($A266+11/24),tData[Langligger01],1)</f>
        <v/>
      </c>
      <c r="P266" s="20">
        <f>COUNTIFS(tData[SEHTrajectPeriodeDatumTijdVan],"&lt;="&amp;($A266+12/24),tData[SEHTrajectPeriodeDatumTijdTotEnMet],"&gt;"&amp;($A266+12/24),tData[Langligger01],1)</f>
        <v/>
      </c>
      <c r="Q266" s="20">
        <f>COUNTIFS(tData[SEHTrajectPeriodeDatumTijdVan],"&lt;="&amp;($A266+13/24),tData[SEHTrajectPeriodeDatumTijdTotEnMet],"&gt;"&amp;($A266+13/24),tData[Langligger01],1)</f>
        <v/>
      </c>
      <c r="R266" s="20">
        <f>COUNTIFS(tData[SEHTrajectPeriodeDatumTijdVan],"&lt;="&amp;($A266+14/24),tData[SEHTrajectPeriodeDatumTijdTotEnMet],"&gt;"&amp;($A266+14/24),tData[Langligger01],1)</f>
        <v/>
      </c>
      <c r="S266" s="20">
        <f>COUNTIFS(tData[SEHTrajectPeriodeDatumTijdVan],"&lt;="&amp;($A266+15/24),tData[SEHTrajectPeriodeDatumTijdTotEnMet],"&gt;"&amp;($A266+15/24),tData[Langligger01],1)</f>
        <v/>
      </c>
      <c r="T266" s="20">
        <f>COUNTIFS(tData[SEHTrajectPeriodeDatumTijdVan],"&lt;="&amp;($A266+16/24),tData[SEHTrajectPeriodeDatumTijdTotEnMet],"&gt;"&amp;($A266+16/24),tData[Langligger01],1)</f>
        <v/>
      </c>
      <c r="U266" s="20">
        <f>COUNTIFS(tData[SEHTrajectPeriodeDatumTijdVan],"&lt;="&amp;($A266+17/24),tData[SEHTrajectPeriodeDatumTijdTotEnMet],"&gt;"&amp;($A266+17/24),tData[Langligger01],1)</f>
        <v/>
      </c>
      <c r="V266" s="20">
        <f>COUNTIFS(tData[SEHTrajectPeriodeDatumTijdVan],"&lt;="&amp;($A266+18/24),tData[SEHTrajectPeriodeDatumTijdTotEnMet],"&gt;"&amp;($A266+18/24),tData[Langligger01],1)</f>
        <v/>
      </c>
      <c r="W266" s="20">
        <f>COUNTIFS(tData[SEHTrajectPeriodeDatumTijdVan],"&lt;="&amp;($A266+19/24),tData[SEHTrajectPeriodeDatumTijdTotEnMet],"&gt;"&amp;($A266+19/24),tData[Langligger01],1)</f>
        <v/>
      </c>
      <c r="X266" s="20">
        <f>COUNTIFS(tData[SEHTrajectPeriodeDatumTijdVan],"&lt;="&amp;($A266+20/24),tData[SEHTrajectPeriodeDatumTijdTotEnMet],"&gt;"&amp;($A266+20/24),tData[Langligger01],1)</f>
        <v/>
      </c>
      <c r="Y266" s="20">
        <f>COUNTIFS(tData[SEHTrajectPeriodeDatumTijdVan],"&lt;="&amp;($A266+21/24),tData[SEHTrajectPeriodeDatumTijdTotEnMet],"&gt;"&amp;($A266+21/24),tData[Langligger01],1)</f>
        <v/>
      </c>
      <c r="Z266" s="20">
        <f>COUNTIFS(tData[SEHTrajectPeriodeDatumTijdVan],"&lt;="&amp;($A266+22/24),tData[SEHTrajectPeriodeDatumTijdTotEnMet],"&gt;"&amp;($A266+22/24),tData[Langligger01],1)</f>
        <v/>
      </c>
      <c r="AA266" s="20">
        <f>COUNTIFS(tData[SEHTrajectPeriodeDatumTijdVan],"&lt;="&amp;($A266+23/24),tData[SEHTrajectPeriodeDatumTijdTotEnMet],"&gt;"&amp;($A266+23/24),tData[Langligger01],1)</f>
        <v/>
      </c>
    </row>
    <row r="267">
      <c r="A267" s="19" t="n">
        <v>45555</v>
      </c>
      <c r="B267" s="15">
        <f>WEEKDAY($A267,2)</f>
        <v/>
      </c>
      <c r="C267" s="15">
        <f>IF(AND($A267&gt;=INT(Instellingen!$B$5),$A267&lt;=INT(Instellingen!$B$6)),1,0)</f>
        <v/>
      </c>
      <c r="D267" s="20">
        <f>COUNTIFS(tData[SEHTrajectPeriodeDatumTijdVan],"&lt;="&amp;($A267+0/24),tData[SEHTrajectPeriodeDatumTijdTotEnMet],"&gt;"&amp;($A267+0/24),tData[Langligger01],1)</f>
        <v/>
      </c>
      <c r="E267" s="20">
        <f>COUNTIFS(tData[SEHTrajectPeriodeDatumTijdVan],"&lt;="&amp;($A267+1/24),tData[SEHTrajectPeriodeDatumTijdTotEnMet],"&gt;"&amp;($A267+1/24),tData[Langligger01],1)</f>
        <v/>
      </c>
      <c r="F267" s="20">
        <f>COUNTIFS(tData[SEHTrajectPeriodeDatumTijdVan],"&lt;="&amp;($A267+2/24),tData[SEHTrajectPeriodeDatumTijdTotEnMet],"&gt;"&amp;($A267+2/24),tData[Langligger01],1)</f>
        <v/>
      </c>
      <c r="G267" s="20">
        <f>COUNTIFS(tData[SEHTrajectPeriodeDatumTijdVan],"&lt;="&amp;($A267+3/24),tData[SEHTrajectPeriodeDatumTijdTotEnMet],"&gt;"&amp;($A267+3/24),tData[Langligger01],1)</f>
        <v/>
      </c>
      <c r="H267" s="20">
        <f>COUNTIFS(tData[SEHTrajectPeriodeDatumTijdVan],"&lt;="&amp;($A267+4/24),tData[SEHTrajectPeriodeDatumTijdTotEnMet],"&gt;"&amp;($A267+4/24),tData[Langligger01],1)</f>
        <v/>
      </c>
      <c r="I267" s="20">
        <f>COUNTIFS(tData[SEHTrajectPeriodeDatumTijdVan],"&lt;="&amp;($A267+5/24),tData[SEHTrajectPeriodeDatumTijdTotEnMet],"&gt;"&amp;($A267+5/24),tData[Langligger01],1)</f>
        <v/>
      </c>
      <c r="J267" s="20">
        <f>COUNTIFS(tData[SEHTrajectPeriodeDatumTijdVan],"&lt;="&amp;($A267+6/24),tData[SEHTrajectPeriodeDatumTijdTotEnMet],"&gt;"&amp;($A267+6/24),tData[Langligger01],1)</f>
        <v/>
      </c>
      <c r="K267" s="20">
        <f>COUNTIFS(tData[SEHTrajectPeriodeDatumTijdVan],"&lt;="&amp;($A267+7/24),tData[SEHTrajectPeriodeDatumTijdTotEnMet],"&gt;"&amp;($A267+7/24),tData[Langligger01],1)</f>
        <v/>
      </c>
      <c r="L267" s="20">
        <f>COUNTIFS(tData[SEHTrajectPeriodeDatumTijdVan],"&lt;="&amp;($A267+8/24),tData[SEHTrajectPeriodeDatumTijdTotEnMet],"&gt;"&amp;($A267+8/24),tData[Langligger01],1)</f>
        <v/>
      </c>
      <c r="M267" s="20">
        <f>COUNTIFS(tData[SEHTrajectPeriodeDatumTijdVan],"&lt;="&amp;($A267+9/24),tData[SEHTrajectPeriodeDatumTijdTotEnMet],"&gt;"&amp;($A267+9/24),tData[Langligger01],1)</f>
        <v/>
      </c>
      <c r="N267" s="20">
        <f>COUNTIFS(tData[SEHTrajectPeriodeDatumTijdVan],"&lt;="&amp;($A267+10/24),tData[SEHTrajectPeriodeDatumTijdTotEnMet],"&gt;"&amp;($A267+10/24),tData[Langligger01],1)</f>
        <v/>
      </c>
      <c r="O267" s="20">
        <f>COUNTIFS(tData[SEHTrajectPeriodeDatumTijdVan],"&lt;="&amp;($A267+11/24),tData[SEHTrajectPeriodeDatumTijdTotEnMet],"&gt;"&amp;($A267+11/24),tData[Langligger01],1)</f>
        <v/>
      </c>
      <c r="P267" s="20">
        <f>COUNTIFS(tData[SEHTrajectPeriodeDatumTijdVan],"&lt;="&amp;($A267+12/24),tData[SEHTrajectPeriodeDatumTijdTotEnMet],"&gt;"&amp;($A267+12/24),tData[Langligger01],1)</f>
        <v/>
      </c>
      <c r="Q267" s="20">
        <f>COUNTIFS(tData[SEHTrajectPeriodeDatumTijdVan],"&lt;="&amp;($A267+13/24),tData[SEHTrajectPeriodeDatumTijdTotEnMet],"&gt;"&amp;($A267+13/24),tData[Langligger01],1)</f>
        <v/>
      </c>
      <c r="R267" s="20">
        <f>COUNTIFS(tData[SEHTrajectPeriodeDatumTijdVan],"&lt;="&amp;($A267+14/24),tData[SEHTrajectPeriodeDatumTijdTotEnMet],"&gt;"&amp;($A267+14/24),tData[Langligger01],1)</f>
        <v/>
      </c>
      <c r="S267" s="20">
        <f>COUNTIFS(tData[SEHTrajectPeriodeDatumTijdVan],"&lt;="&amp;($A267+15/24),tData[SEHTrajectPeriodeDatumTijdTotEnMet],"&gt;"&amp;($A267+15/24),tData[Langligger01],1)</f>
        <v/>
      </c>
      <c r="T267" s="20">
        <f>COUNTIFS(tData[SEHTrajectPeriodeDatumTijdVan],"&lt;="&amp;($A267+16/24),tData[SEHTrajectPeriodeDatumTijdTotEnMet],"&gt;"&amp;($A267+16/24),tData[Langligger01],1)</f>
        <v/>
      </c>
      <c r="U267" s="20">
        <f>COUNTIFS(tData[SEHTrajectPeriodeDatumTijdVan],"&lt;="&amp;($A267+17/24),tData[SEHTrajectPeriodeDatumTijdTotEnMet],"&gt;"&amp;($A267+17/24),tData[Langligger01],1)</f>
        <v/>
      </c>
      <c r="V267" s="20">
        <f>COUNTIFS(tData[SEHTrajectPeriodeDatumTijdVan],"&lt;="&amp;($A267+18/24),tData[SEHTrajectPeriodeDatumTijdTotEnMet],"&gt;"&amp;($A267+18/24),tData[Langligger01],1)</f>
        <v/>
      </c>
      <c r="W267" s="20">
        <f>COUNTIFS(tData[SEHTrajectPeriodeDatumTijdVan],"&lt;="&amp;($A267+19/24),tData[SEHTrajectPeriodeDatumTijdTotEnMet],"&gt;"&amp;($A267+19/24),tData[Langligger01],1)</f>
        <v/>
      </c>
      <c r="X267" s="20">
        <f>COUNTIFS(tData[SEHTrajectPeriodeDatumTijdVan],"&lt;="&amp;($A267+20/24),tData[SEHTrajectPeriodeDatumTijdTotEnMet],"&gt;"&amp;($A267+20/24),tData[Langligger01],1)</f>
        <v/>
      </c>
      <c r="Y267" s="20">
        <f>COUNTIFS(tData[SEHTrajectPeriodeDatumTijdVan],"&lt;="&amp;($A267+21/24),tData[SEHTrajectPeriodeDatumTijdTotEnMet],"&gt;"&amp;($A267+21/24),tData[Langligger01],1)</f>
        <v/>
      </c>
      <c r="Z267" s="20">
        <f>COUNTIFS(tData[SEHTrajectPeriodeDatumTijdVan],"&lt;="&amp;($A267+22/24),tData[SEHTrajectPeriodeDatumTijdTotEnMet],"&gt;"&amp;($A267+22/24),tData[Langligger01],1)</f>
        <v/>
      </c>
      <c r="AA267" s="20">
        <f>COUNTIFS(tData[SEHTrajectPeriodeDatumTijdVan],"&lt;="&amp;($A267+23/24),tData[SEHTrajectPeriodeDatumTijdTotEnMet],"&gt;"&amp;($A267+23/24),tData[Langligger01],1)</f>
        <v/>
      </c>
    </row>
    <row r="268">
      <c r="A268" s="19" t="n">
        <v>45556</v>
      </c>
      <c r="B268" s="15">
        <f>WEEKDAY($A268,2)</f>
        <v/>
      </c>
      <c r="C268" s="15">
        <f>IF(AND($A268&gt;=INT(Instellingen!$B$5),$A268&lt;=INT(Instellingen!$B$6)),1,0)</f>
        <v/>
      </c>
      <c r="D268" s="20">
        <f>COUNTIFS(tData[SEHTrajectPeriodeDatumTijdVan],"&lt;="&amp;($A268+0/24),tData[SEHTrajectPeriodeDatumTijdTotEnMet],"&gt;"&amp;($A268+0/24),tData[Langligger01],1)</f>
        <v/>
      </c>
      <c r="E268" s="20">
        <f>COUNTIFS(tData[SEHTrajectPeriodeDatumTijdVan],"&lt;="&amp;($A268+1/24),tData[SEHTrajectPeriodeDatumTijdTotEnMet],"&gt;"&amp;($A268+1/24),tData[Langligger01],1)</f>
        <v/>
      </c>
      <c r="F268" s="20">
        <f>COUNTIFS(tData[SEHTrajectPeriodeDatumTijdVan],"&lt;="&amp;($A268+2/24),tData[SEHTrajectPeriodeDatumTijdTotEnMet],"&gt;"&amp;($A268+2/24),tData[Langligger01],1)</f>
        <v/>
      </c>
      <c r="G268" s="20">
        <f>COUNTIFS(tData[SEHTrajectPeriodeDatumTijdVan],"&lt;="&amp;($A268+3/24),tData[SEHTrajectPeriodeDatumTijdTotEnMet],"&gt;"&amp;($A268+3/24),tData[Langligger01],1)</f>
        <v/>
      </c>
      <c r="H268" s="20">
        <f>COUNTIFS(tData[SEHTrajectPeriodeDatumTijdVan],"&lt;="&amp;($A268+4/24),tData[SEHTrajectPeriodeDatumTijdTotEnMet],"&gt;"&amp;($A268+4/24),tData[Langligger01],1)</f>
        <v/>
      </c>
      <c r="I268" s="20">
        <f>COUNTIFS(tData[SEHTrajectPeriodeDatumTijdVan],"&lt;="&amp;($A268+5/24),tData[SEHTrajectPeriodeDatumTijdTotEnMet],"&gt;"&amp;($A268+5/24),tData[Langligger01],1)</f>
        <v/>
      </c>
      <c r="J268" s="20">
        <f>COUNTIFS(tData[SEHTrajectPeriodeDatumTijdVan],"&lt;="&amp;($A268+6/24),tData[SEHTrajectPeriodeDatumTijdTotEnMet],"&gt;"&amp;($A268+6/24),tData[Langligger01],1)</f>
        <v/>
      </c>
      <c r="K268" s="20">
        <f>COUNTIFS(tData[SEHTrajectPeriodeDatumTijdVan],"&lt;="&amp;($A268+7/24),tData[SEHTrajectPeriodeDatumTijdTotEnMet],"&gt;"&amp;($A268+7/24),tData[Langligger01],1)</f>
        <v/>
      </c>
      <c r="L268" s="20">
        <f>COUNTIFS(tData[SEHTrajectPeriodeDatumTijdVan],"&lt;="&amp;($A268+8/24),tData[SEHTrajectPeriodeDatumTijdTotEnMet],"&gt;"&amp;($A268+8/24),tData[Langligger01],1)</f>
        <v/>
      </c>
      <c r="M268" s="20">
        <f>COUNTIFS(tData[SEHTrajectPeriodeDatumTijdVan],"&lt;="&amp;($A268+9/24),tData[SEHTrajectPeriodeDatumTijdTotEnMet],"&gt;"&amp;($A268+9/24),tData[Langligger01],1)</f>
        <v/>
      </c>
      <c r="N268" s="20">
        <f>COUNTIFS(tData[SEHTrajectPeriodeDatumTijdVan],"&lt;="&amp;($A268+10/24),tData[SEHTrajectPeriodeDatumTijdTotEnMet],"&gt;"&amp;($A268+10/24),tData[Langligger01],1)</f>
        <v/>
      </c>
      <c r="O268" s="20">
        <f>COUNTIFS(tData[SEHTrajectPeriodeDatumTijdVan],"&lt;="&amp;($A268+11/24),tData[SEHTrajectPeriodeDatumTijdTotEnMet],"&gt;"&amp;($A268+11/24),tData[Langligger01],1)</f>
        <v/>
      </c>
      <c r="P268" s="20">
        <f>COUNTIFS(tData[SEHTrajectPeriodeDatumTijdVan],"&lt;="&amp;($A268+12/24),tData[SEHTrajectPeriodeDatumTijdTotEnMet],"&gt;"&amp;($A268+12/24),tData[Langligger01],1)</f>
        <v/>
      </c>
      <c r="Q268" s="20">
        <f>COUNTIFS(tData[SEHTrajectPeriodeDatumTijdVan],"&lt;="&amp;($A268+13/24),tData[SEHTrajectPeriodeDatumTijdTotEnMet],"&gt;"&amp;($A268+13/24),tData[Langligger01],1)</f>
        <v/>
      </c>
      <c r="R268" s="20">
        <f>COUNTIFS(tData[SEHTrajectPeriodeDatumTijdVan],"&lt;="&amp;($A268+14/24),tData[SEHTrajectPeriodeDatumTijdTotEnMet],"&gt;"&amp;($A268+14/24),tData[Langligger01],1)</f>
        <v/>
      </c>
      <c r="S268" s="20">
        <f>COUNTIFS(tData[SEHTrajectPeriodeDatumTijdVan],"&lt;="&amp;($A268+15/24),tData[SEHTrajectPeriodeDatumTijdTotEnMet],"&gt;"&amp;($A268+15/24),tData[Langligger01],1)</f>
        <v/>
      </c>
      <c r="T268" s="20">
        <f>COUNTIFS(tData[SEHTrajectPeriodeDatumTijdVan],"&lt;="&amp;($A268+16/24),tData[SEHTrajectPeriodeDatumTijdTotEnMet],"&gt;"&amp;($A268+16/24),tData[Langligger01],1)</f>
        <v/>
      </c>
      <c r="U268" s="20">
        <f>COUNTIFS(tData[SEHTrajectPeriodeDatumTijdVan],"&lt;="&amp;($A268+17/24),tData[SEHTrajectPeriodeDatumTijdTotEnMet],"&gt;"&amp;($A268+17/24),tData[Langligger01],1)</f>
        <v/>
      </c>
      <c r="V268" s="20">
        <f>COUNTIFS(tData[SEHTrajectPeriodeDatumTijdVan],"&lt;="&amp;($A268+18/24),tData[SEHTrajectPeriodeDatumTijdTotEnMet],"&gt;"&amp;($A268+18/24),tData[Langligger01],1)</f>
        <v/>
      </c>
      <c r="W268" s="20">
        <f>COUNTIFS(tData[SEHTrajectPeriodeDatumTijdVan],"&lt;="&amp;($A268+19/24),tData[SEHTrajectPeriodeDatumTijdTotEnMet],"&gt;"&amp;($A268+19/24),tData[Langligger01],1)</f>
        <v/>
      </c>
      <c r="X268" s="20">
        <f>COUNTIFS(tData[SEHTrajectPeriodeDatumTijdVan],"&lt;="&amp;($A268+20/24),tData[SEHTrajectPeriodeDatumTijdTotEnMet],"&gt;"&amp;($A268+20/24),tData[Langligger01],1)</f>
        <v/>
      </c>
      <c r="Y268" s="20">
        <f>COUNTIFS(tData[SEHTrajectPeriodeDatumTijdVan],"&lt;="&amp;($A268+21/24),tData[SEHTrajectPeriodeDatumTijdTotEnMet],"&gt;"&amp;($A268+21/24),tData[Langligger01],1)</f>
        <v/>
      </c>
      <c r="Z268" s="20">
        <f>COUNTIFS(tData[SEHTrajectPeriodeDatumTijdVan],"&lt;="&amp;($A268+22/24),tData[SEHTrajectPeriodeDatumTijdTotEnMet],"&gt;"&amp;($A268+22/24),tData[Langligger01],1)</f>
        <v/>
      </c>
      <c r="AA268" s="20">
        <f>COUNTIFS(tData[SEHTrajectPeriodeDatumTijdVan],"&lt;="&amp;($A268+23/24),tData[SEHTrajectPeriodeDatumTijdTotEnMet],"&gt;"&amp;($A268+23/24),tData[Langligger01],1)</f>
        <v/>
      </c>
    </row>
    <row r="269">
      <c r="A269" s="19" t="n">
        <v>45557</v>
      </c>
      <c r="B269" s="15">
        <f>WEEKDAY($A269,2)</f>
        <v/>
      </c>
      <c r="C269" s="15">
        <f>IF(AND($A269&gt;=INT(Instellingen!$B$5),$A269&lt;=INT(Instellingen!$B$6)),1,0)</f>
        <v/>
      </c>
      <c r="D269" s="20">
        <f>COUNTIFS(tData[SEHTrajectPeriodeDatumTijdVan],"&lt;="&amp;($A269+0/24),tData[SEHTrajectPeriodeDatumTijdTotEnMet],"&gt;"&amp;($A269+0/24),tData[Langligger01],1)</f>
        <v/>
      </c>
      <c r="E269" s="20">
        <f>COUNTIFS(tData[SEHTrajectPeriodeDatumTijdVan],"&lt;="&amp;($A269+1/24),tData[SEHTrajectPeriodeDatumTijdTotEnMet],"&gt;"&amp;($A269+1/24),tData[Langligger01],1)</f>
        <v/>
      </c>
      <c r="F269" s="20">
        <f>COUNTIFS(tData[SEHTrajectPeriodeDatumTijdVan],"&lt;="&amp;($A269+2/24),tData[SEHTrajectPeriodeDatumTijdTotEnMet],"&gt;"&amp;($A269+2/24),tData[Langligger01],1)</f>
        <v/>
      </c>
      <c r="G269" s="20">
        <f>COUNTIFS(tData[SEHTrajectPeriodeDatumTijdVan],"&lt;="&amp;($A269+3/24),tData[SEHTrajectPeriodeDatumTijdTotEnMet],"&gt;"&amp;($A269+3/24),tData[Langligger01],1)</f>
        <v/>
      </c>
      <c r="H269" s="20">
        <f>COUNTIFS(tData[SEHTrajectPeriodeDatumTijdVan],"&lt;="&amp;($A269+4/24),tData[SEHTrajectPeriodeDatumTijdTotEnMet],"&gt;"&amp;($A269+4/24),tData[Langligger01],1)</f>
        <v/>
      </c>
      <c r="I269" s="20">
        <f>COUNTIFS(tData[SEHTrajectPeriodeDatumTijdVan],"&lt;="&amp;($A269+5/24),tData[SEHTrajectPeriodeDatumTijdTotEnMet],"&gt;"&amp;($A269+5/24),tData[Langligger01],1)</f>
        <v/>
      </c>
      <c r="J269" s="20">
        <f>COUNTIFS(tData[SEHTrajectPeriodeDatumTijdVan],"&lt;="&amp;($A269+6/24),tData[SEHTrajectPeriodeDatumTijdTotEnMet],"&gt;"&amp;($A269+6/24),tData[Langligger01],1)</f>
        <v/>
      </c>
      <c r="K269" s="20">
        <f>COUNTIFS(tData[SEHTrajectPeriodeDatumTijdVan],"&lt;="&amp;($A269+7/24),tData[SEHTrajectPeriodeDatumTijdTotEnMet],"&gt;"&amp;($A269+7/24),tData[Langligger01],1)</f>
        <v/>
      </c>
      <c r="L269" s="20">
        <f>COUNTIFS(tData[SEHTrajectPeriodeDatumTijdVan],"&lt;="&amp;($A269+8/24),tData[SEHTrajectPeriodeDatumTijdTotEnMet],"&gt;"&amp;($A269+8/24),tData[Langligger01],1)</f>
        <v/>
      </c>
      <c r="M269" s="20">
        <f>COUNTIFS(tData[SEHTrajectPeriodeDatumTijdVan],"&lt;="&amp;($A269+9/24),tData[SEHTrajectPeriodeDatumTijdTotEnMet],"&gt;"&amp;($A269+9/24),tData[Langligger01],1)</f>
        <v/>
      </c>
      <c r="N269" s="20">
        <f>COUNTIFS(tData[SEHTrajectPeriodeDatumTijdVan],"&lt;="&amp;($A269+10/24),tData[SEHTrajectPeriodeDatumTijdTotEnMet],"&gt;"&amp;($A269+10/24),tData[Langligger01],1)</f>
        <v/>
      </c>
      <c r="O269" s="20">
        <f>COUNTIFS(tData[SEHTrajectPeriodeDatumTijdVan],"&lt;="&amp;($A269+11/24),tData[SEHTrajectPeriodeDatumTijdTotEnMet],"&gt;"&amp;($A269+11/24),tData[Langligger01],1)</f>
        <v/>
      </c>
      <c r="P269" s="20">
        <f>COUNTIFS(tData[SEHTrajectPeriodeDatumTijdVan],"&lt;="&amp;($A269+12/24),tData[SEHTrajectPeriodeDatumTijdTotEnMet],"&gt;"&amp;($A269+12/24),tData[Langligger01],1)</f>
        <v/>
      </c>
      <c r="Q269" s="20">
        <f>COUNTIFS(tData[SEHTrajectPeriodeDatumTijdVan],"&lt;="&amp;($A269+13/24),tData[SEHTrajectPeriodeDatumTijdTotEnMet],"&gt;"&amp;($A269+13/24),tData[Langligger01],1)</f>
        <v/>
      </c>
      <c r="R269" s="20">
        <f>COUNTIFS(tData[SEHTrajectPeriodeDatumTijdVan],"&lt;="&amp;($A269+14/24),tData[SEHTrajectPeriodeDatumTijdTotEnMet],"&gt;"&amp;($A269+14/24),tData[Langligger01],1)</f>
        <v/>
      </c>
      <c r="S269" s="20">
        <f>COUNTIFS(tData[SEHTrajectPeriodeDatumTijdVan],"&lt;="&amp;($A269+15/24),tData[SEHTrajectPeriodeDatumTijdTotEnMet],"&gt;"&amp;($A269+15/24),tData[Langligger01],1)</f>
        <v/>
      </c>
      <c r="T269" s="20">
        <f>COUNTIFS(tData[SEHTrajectPeriodeDatumTijdVan],"&lt;="&amp;($A269+16/24),tData[SEHTrajectPeriodeDatumTijdTotEnMet],"&gt;"&amp;($A269+16/24),tData[Langligger01],1)</f>
        <v/>
      </c>
      <c r="U269" s="20">
        <f>COUNTIFS(tData[SEHTrajectPeriodeDatumTijdVan],"&lt;="&amp;($A269+17/24),tData[SEHTrajectPeriodeDatumTijdTotEnMet],"&gt;"&amp;($A269+17/24),tData[Langligger01],1)</f>
        <v/>
      </c>
      <c r="V269" s="20">
        <f>COUNTIFS(tData[SEHTrajectPeriodeDatumTijdVan],"&lt;="&amp;($A269+18/24),tData[SEHTrajectPeriodeDatumTijdTotEnMet],"&gt;"&amp;($A269+18/24),tData[Langligger01],1)</f>
        <v/>
      </c>
      <c r="W269" s="20">
        <f>COUNTIFS(tData[SEHTrajectPeriodeDatumTijdVan],"&lt;="&amp;($A269+19/24),tData[SEHTrajectPeriodeDatumTijdTotEnMet],"&gt;"&amp;($A269+19/24),tData[Langligger01],1)</f>
        <v/>
      </c>
      <c r="X269" s="20">
        <f>COUNTIFS(tData[SEHTrajectPeriodeDatumTijdVan],"&lt;="&amp;($A269+20/24),tData[SEHTrajectPeriodeDatumTijdTotEnMet],"&gt;"&amp;($A269+20/24),tData[Langligger01],1)</f>
        <v/>
      </c>
      <c r="Y269" s="20">
        <f>COUNTIFS(tData[SEHTrajectPeriodeDatumTijdVan],"&lt;="&amp;($A269+21/24),tData[SEHTrajectPeriodeDatumTijdTotEnMet],"&gt;"&amp;($A269+21/24),tData[Langligger01],1)</f>
        <v/>
      </c>
      <c r="Z269" s="20">
        <f>COUNTIFS(tData[SEHTrajectPeriodeDatumTijdVan],"&lt;="&amp;($A269+22/24),tData[SEHTrajectPeriodeDatumTijdTotEnMet],"&gt;"&amp;($A269+22/24),tData[Langligger01],1)</f>
        <v/>
      </c>
      <c r="AA269" s="20">
        <f>COUNTIFS(tData[SEHTrajectPeriodeDatumTijdVan],"&lt;="&amp;($A269+23/24),tData[SEHTrajectPeriodeDatumTijdTotEnMet],"&gt;"&amp;($A269+23/24),tData[Langligger01],1)</f>
        <v/>
      </c>
    </row>
    <row r="270">
      <c r="A270" s="19" t="n">
        <v>45558</v>
      </c>
      <c r="B270" s="15">
        <f>WEEKDAY($A270,2)</f>
        <v/>
      </c>
      <c r="C270" s="15">
        <f>IF(AND($A270&gt;=INT(Instellingen!$B$5),$A270&lt;=INT(Instellingen!$B$6)),1,0)</f>
        <v/>
      </c>
      <c r="D270" s="20">
        <f>COUNTIFS(tData[SEHTrajectPeriodeDatumTijdVan],"&lt;="&amp;($A270+0/24),tData[SEHTrajectPeriodeDatumTijdTotEnMet],"&gt;"&amp;($A270+0/24),tData[Langligger01],1)</f>
        <v/>
      </c>
      <c r="E270" s="20">
        <f>COUNTIFS(tData[SEHTrajectPeriodeDatumTijdVan],"&lt;="&amp;($A270+1/24),tData[SEHTrajectPeriodeDatumTijdTotEnMet],"&gt;"&amp;($A270+1/24),tData[Langligger01],1)</f>
        <v/>
      </c>
      <c r="F270" s="20">
        <f>COUNTIFS(tData[SEHTrajectPeriodeDatumTijdVan],"&lt;="&amp;($A270+2/24),tData[SEHTrajectPeriodeDatumTijdTotEnMet],"&gt;"&amp;($A270+2/24),tData[Langligger01],1)</f>
        <v/>
      </c>
      <c r="G270" s="20">
        <f>COUNTIFS(tData[SEHTrajectPeriodeDatumTijdVan],"&lt;="&amp;($A270+3/24),tData[SEHTrajectPeriodeDatumTijdTotEnMet],"&gt;"&amp;($A270+3/24),tData[Langligger01],1)</f>
        <v/>
      </c>
      <c r="H270" s="20">
        <f>COUNTIFS(tData[SEHTrajectPeriodeDatumTijdVan],"&lt;="&amp;($A270+4/24),tData[SEHTrajectPeriodeDatumTijdTotEnMet],"&gt;"&amp;($A270+4/24),tData[Langligger01],1)</f>
        <v/>
      </c>
      <c r="I270" s="20">
        <f>COUNTIFS(tData[SEHTrajectPeriodeDatumTijdVan],"&lt;="&amp;($A270+5/24),tData[SEHTrajectPeriodeDatumTijdTotEnMet],"&gt;"&amp;($A270+5/24),tData[Langligger01],1)</f>
        <v/>
      </c>
      <c r="J270" s="20">
        <f>COUNTIFS(tData[SEHTrajectPeriodeDatumTijdVan],"&lt;="&amp;($A270+6/24),tData[SEHTrajectPeriodeDatumTijdTotEnMet],"&gt;"&amp;($A270+6/24),tData[Langligger01],1)</f>
        <v/>
      </c>
      <c r="K270" s="20">
        <f>COUNTIFS(tData[SEHTrajectPeriodeDatumTijdVan],"&lt;="&amp;($A270+7/24),tData[SEHTrajectPeriodeDatumTijdTotEnMet],"&gt;"&amp;($A270+7/24),tData[Langligger01],1)</f>
        <v/>
      </c>
      <c r="L270" s="20">
        <f>COUNTIFS(tData[SEHTrajectPeriodeDatumTijdVan],"&lt;="&amp;($A270+8/24),tData[SEHTrajectPeriodeDatumTijdTotEnMet],"&gt;"&amp;($A270+8/24),tData[Langligger01],1)</f>
        <v/>
      </c>
      <c r="M270" s="20">
        <f>COUNTIFS(tData[SEHTrajectPeriodeDatumTijdVan],"&lt;="&amp;($A270+9/24),tData[SEHTrajectPeriodeDatumTijdTotEnMet],"&gt;"&amp;($A270+9/24),tData[Langligger01],1)</f>
        <v/>
      </c>
      <c r="N270" s="20">
        <f>COUNTIFS(tData[SEHTrajectPeriodeDatumTijdVan],"&lt;="&amp;($A270+10/24),tData[SEHTrajectPeriodeDatumTijdTotEnMet],"&gt;"&amp;($A270+10/24),tData[Langligger01],1)</f>
        <v/>
      </c>
      <c r="O270" s="20">
        <f>COUNTIFS(tData[SEHTrajectPeriodeDatumTijdVan],"&lt;="&amp;($A270+11/24),tData[SEHTrajectPeriodeDatumTijdTotEnMet],"&gt;"&amp;($A270+11/24),tData[Langligger01],1)</f>
        <v/>
      </c>
      <c r="P270" s="20">
        <f>COUNTIFS(tData[SEHTrajectPeriodeDatumTijdVan],"&lt;="&amp;($A270+12/24),tData[SEHTrajectPeriodeDatumTijdTotEnMet],"&gt;"&amp;($A270+12/24),tData[Langligger01],1)</f>
        <v/>
      </c>
      <c r="Q270" s="20">
        <f>COUNTIFS(tData[SEHTrajectPeriodeDatumTijdVan],"&lt;="&amp;($A270+13/24),tData[SEHTrajectPeriodeDatumTijdTotEnMet],"&gt;"&amp;($A270+13/24),tData[Langligger01],1)</f>
        <v/>
      </c>
      <c r="R270" s="20">
        <f>COUNTIFS(tData[SEHTrajectPeriodeDatumTijdVan],"&lt;="&amp;($A270+14/24),tData[SEHTrajectPeriodeDatumTijdTotEnMet],"&gt;"&amp;($A270+14/24),tData[Langligger01],1)</f>
        <v/>
      </c>
      <c r="S270" s="20">
        <f>COUNTIFS(tData[SEHTrajectPeriodeDatumTijdVan],"&lt;="&amp;($A270+15/24),tData[SEHTrajectPeriodeDatumTijdTotEnMet],"&gt;"&amp;($A270+15/24),tData[Langligger01],1)</f>
        <v/>
      </c>
      <c r="T270" s="20">
        <f>COUNTIFS(tData[SEHTrajectPeriodeDatumTijdVan],"&lt;="&amp;($A270+16/24),tData[SEHTrajectPeriodeDatumTijdTotEnMet],"&gt;"&amp;($A270+16/24),tData[Langligger01],1)</f>
        <v/>
      </c>
      <c r="U270" s="20">
        <f>COUNTIFS(tData[SEHTrajectPeriodeDatumTijdVan],"&lt;="&amp;($A270+17/24),tData[SEHTrajectPeriodeDatumTijdTotEnMet],"&gt;"&amp;($A270+17/24),tData[Langligger01],1)</f>
        <v/>
      </c>
      <c r="V270" s="20">
        <f>COUNTIFS(tData[SEHTrajectPeriodeDatumTijdVan],"&lt;="&amp;($A270+18/24),tData[SEHTrajectPeriodeDatumTijdTotEnMet],"&gt;"&amp;($A270+18/24),tData[Langligger01],1)</f>
        <v/>
      </c>
      <c r="W270" s="20">
        <f>COUNTIFS(tData[SEHTrajectPeriodeDatumTijdVan],"&lt;="&amp;($A270+19/24),tData[SEHTrajectPeriodeDatumTijdTotEnMet],"&gt;"&amp;($A270+19/24),tData[Langligger01],1)</f>
        <v/>
      </c>
      <c r="X270" s="20">
        <f>COUNTIFS(tData[SEHTrajectPeriodeDatumTijdVan],"&lt;="&amp;($A270+20/24),tData[SEHTrajectPeriodeDatumTijdTotEnMet],"&gt;"&amp;($A270+20/24),tData[Langligger01],1)</f>
        <v/>
      </c>
      <c r="Y270" s="20">
        <f>COUNTIFS(tData[SEHTrajectPeriodeDatumTijdVan],"&lt;="&amp;($A270+21/24),tData[SEHTrajectPeriodeDatumTijdTotEnMet],"&gt;"&amp;($A270+21/24),tData[Langligger01],1)</f>
        <v/>
      </c>
      <c r="Z270" s="20">
        <f>COUNTIFS(tData[SEHTrajectPeriodeDatumTijdVan],"&lt;="&amp;($A270+22/24),tData[SEHTrajectPeriodeDatumTijdTotEnMet],"&gt;"&amp;($A270+22/24),tData[Langligger01],1)</f>
        <v/>
      </c>
      <c r="AA270" s="20">
        <f>COUNTIFS(tData[SEHTrajectPeriodeDatumTijdVan],"&lt;="&amp;($A270+23/24),tData[SEHTrajectPeriodeDatumTijdTotEnMet],"&gt;"&amp;($A270+23/24),tData[Langligger01],1)</f>
        <v/>
      </c>
    </row>
    <row r="271">
      <c r="A271" s="19" t="n">
        <v>45559</v>
      </c>
      <c r="B271" s="15">
        <f>WEEKDAY($A271,2)</f>
        <v/>
      </c>
      <c r="C271" s="15">
        <f>IF(AND($A271&gt;=INT(Instellingen!$B$5),$A271&lt;=INT(Instellingen!$B$6)),1,0)</f>
        <v/>
      </c>
      <c r="D271" s="20">
        <f>COUNTIFS(tData[SEHTrajectPeriodeDatumTijdVan],"&lt;="&amp;($A271+0/24),tData[SEHTrajectPeriodeDatumTijdTotEnMet],"&gt;"&amp;($A271+0/24),tData[Langligger01],1)</f>
        <v/>
      </c>
      <c r="E271" s="20">
        <f>COUNTIFS(tData[SEHTrajectPeriodeDatumTijdVan],"&lt;="&amp;($A271+1/24),tData[SEHTrajectPeriodeDatumTijdTotEnMet],"&gt;"&amp;($A271+1/24),tData[Langligger01],1)</f>
        <v/>
      </c>
      <c r="F271" s="20">
        <f>COUNTIFS(tData[SEHTrajectPeriodeDatumTijdVan],"&lt;="&amp;($A271+2/24),tData[SEHTrajectPeriodeDatumTijdTotEnMet],"&gt;"&amp;($A271+2/24),tData[Langligger01],1)</f>
        <v/>
      </c>
      <c r="G271" s="20">
        <f>COUNTIFS(tData[SEHTrajectPeriodeDatumTijdVan],"&lt;="&amp;($A271+3/24),tData[SEHTrajectPeriodeDatumTijdTotEnMet],"&gt;"&amp;($A271+3/24),tData[Langligger01],1)</f>
        <v/>
      </c>
      <c r="H271" s="20">
        <f>COUNTIFS(tData[SEHTrajectPeriodeDatumTijdVan],"&lt;="&amp;($A271+4/24),tData[SEHTrajectPeriodeDatumTijdTotEnMet],"&gt;"&amp;($A271+4/24),tData[Langligger01],1)</f>
        <v/>
      </c>
      <c r="I271" s="20">
        <f>COUNTIFS(tData[SEHTrajectPeriodeDatumTijdVan],"&lt;="&amp;($A271+5/24),tData[SEHTrajectPeriodeDatumTijdTotEnMet],"&gt;"&amp;($A271+5/24),tData[Langligger01],1)</f>
        <v/>
      </c>
      <c r="J271" s="20">
        <f>COUNTIFS(tData[SEHTrajectPeriodeDatumTijdVan],"&lt;="&amp;($A271+6/24),tData[SEHTrajectPeriodeDatumTijdTotEnMet],"&gt;"&amp;($A271+6/24),tData[Langligger01],1)</f>
        <v/>
      </c>
      <c r="K271" s="20">
        <f>COUNTIFS(tData[SEHTrajectPeriodeDatumTijdVan],"&lt;="&amp;($A271+7/24),tData[SEHTrajectPeriodeDatumTijdTotEnMet],"&gt;"&amp;($A271+7/24),tData[Langligger01],1)</f>
        <v/>
      </c>
      <c r="L271" s="20">
        <f>COUNTIFS(tData[SEHTrajectPeriodeDatumTijdVan],"&lt;="&amp;($A271+8/24),tData[SEHTrajectPeriodeDatumTijdTotEnMet],"&gt;"&amp;($A271+8/24),tData[Langligger01],1)</f>
        <v/>
      </c>
      <c r="M271" s="20">
        <f>COUNTIFS(tData[SEHTrajectPeriodeDatumTijdVan],"&lt;="&amp;($A271+9/24),tData[SEHTrajectPeriodeDatumTijdTotEnMet],"&gt;"&amp;($A271+9/24),tData[Langligger01],1)</f>
        <v/>
      </c>
      <c r="N271" s="20">
        <f>COUNTIFS(tData[SEHTrajectPeriodeDatumTijdVan],"&lt;="&amp;($A271+10/24),tData[SEHTrajectPeriodeDatumTijdTotEnMet],"&gt;"&amp;($A271+10/24),tData[Langligger01],1)</f>
        <v/>
      </c>
      <c r="O271" s="20">
        <f>COUNTIFS(tData[SEHTrajectPeriodeDatumTijdVan],"&lt;="&amp;($A271+11/24),tData[SEHTrajectPeriodeDatumTijdTotEnMet],"&gt;"&amp;($A271+11/24),tData[Langligger01],1)</f>
        <v/>
      </c>
      <c r="P271" s="20">
        <f>COUNTIFS(tData[SEHTrajectPeriodeDatumTijdVan],"&lt;="&amp;($A271+12/24),tData[SEHTrajectPeriodeDatumTijdTotEnMet],"&gt;"&amp;($A271+12/24),tData[Langligger01],1)</f>
        <v/>
      </c>
      <c r="Q271" s="20">
        <f>COUNTIFS(tData[SEHTrajectPeriodeDatumTijdVan],"&lt;="&amp;($A271+13/24),tData[SEHTrajectPeriodeDatumTijdTotEnMet],"&gt;"&amp;($A271+13/24),tData[Langligger01],1)</f>
        <v/>
      </c>
      <c r="R271" s="20">
        <f>COUNTIFS(tData[SEHTrajectPeriodeDatumTijdVan],"&lt;="&amp;($A271+14/24),tData[SEHTrajectPeriodeDatumTijdTotEnMet],"&gt;"&amp;($A271+14/24),tData[Langligger01],1)</f>
        <v/>
      </c>
      <c r="S271" s="20">
        <f>COUNTIFS(tData[SEHTrajectPeriodeDatumTijdVan],"&lt;="&amp;($A271+15/24),tData[SEHTrajectPeriodeDatumTijdTotEnMet],"&gt;"&amp;($A271+15/24),tData[Langligger01],1)</f>
        <v/>
      </c>
      <c r="T271" s="20">
        <f>COUNTIFS(tData[SEHTrajectPeriodeDatumTijdVan],"&lt;="&amp;($A271+16/24),tData[SEHTrajectPeriodeDatumTijdTotEnMet],"&gt;"&amp;($A271+16/24),tData[Langligger01],1)</f>
        <v/>
      </c>
      <c r="U271" s="20">
        <f>COUNTIFS(tData[SEHTrajectPeriodeDatumTijdVan],"&lt;="&amp;($A271+17/24),tData[SEHTrajectPeriodeDatumTijdTotEnMet],"&gt;"&amp;($A271+17/24),tData[Langligger01],1)</f>
        <v/>
      </c>
      <c r="V271" s="20">
        <f>COUNTIFS(tData[SEHTrajectPeriodeDatumTijdVan],"&lt;="&amp;($A271+18/24),tData[SEHTrajectPeriodeDatumTijdTotEnMet],"&gt;"&amp;($A271+18/24),tData[Langligger01],1)</f>
        <v/>
      </c>
      <c r="W271" s="20">
        <f>COUNTIFS(tData[SEHTrajectPeriodeDatumTijdVan],"&lt;="&amp;($A271+19/24),tData[SEHTrajectPeriodeDatumTijdTotEnMet],"&gt;"&amp;($A271+19/24),tData[Langligger01],1)</f>
        <v/>
      </c>
      <c r="X271" s="20">
        <f>COUNTIFS(tData[SEHTrajectPeriodeDatumTijdVan],"&lt;="&amp;($A271+20/24),tData[SEHTrajectPeriodeDatumTijdTotEnMet],"&gt;"&amp;($A271+20/24),tData[Langligger01],1)</f>
        <v/>
      </c>
      <c r="Y271" s="20">
        <f>COUNTIFS(tData[SEHTrajectPeriodeDatumTijdVan],"&lt;="&amp;($A271+21/24),tData[SEHTrajectPeriodeDatumTijdTotEnMet],"&gt;"&amp;($A271+21/24),tData[Langligger01],1)</f>
        <v/>
      </c>
      <c r="Z271" s="20">
        <f>COUNTIFS(tData[SEHTrajectPeriodeDatumTijdVan],"&lt;="&amp;($A271+22/24),tData[SEHTrajectPeriodeDatumTijdTotEnMet],"&gt;"&amp;($A271+22/24),tData[Langligger01],1)</f>
        <v/>
      </c>
      <c r="AA271" s="20">
        <f>COUNTIFS(tData[SEHTrajectPeriodeDatumTijdVan],"&lt;="&amp;($A271+23/24),tData[SEHTrajectPeriodeDatumTijdTotEnMet],"&gt;"&amp;($A271+23/24),tData[Langligger01],1)</f>
        <v/>
      </c>
    </row>
    <row r="272">
      <c r="A272" s="19" t="n">
        <v>45560</v>
      </c>
      <c r="B272" s="15">
        <f>WEEKDAY($A272,2)</f>
        <v/>
      </c>
      <c r="C272" s="15">
        <f>IF(AND($A272&gt;=INT(Instellingen!$B$5),$A272&lt;=INT(Instellingen!$B$6)),1,0)</f>
        <v/>
      </c>
      <c r="D272" s="20">
        <f>COUNTIFS(tData[SEHTrajectPeriodeDatumTijdVan],"&lt;="&amp;($A272+0/24),tData[SEHTrajectPeriodeDatumTijdTotEnMet],"&gt;"&amp;($A272+0/24),tData[Langligger01],1)</f>
        <v/>
      </c>
      <c r="E272" s="20">
        <f>COUNTIFS(tData[SEHTrajectPeriodeDatumTijdVan],"&lt;="&amp;($A272+1/24),tData[SEHTrajectPeriodeDatumTijdTotEnMet],"&gt;"&amp;($A272+1/24),tData[Langligger01],1)</f>
        <v/>
      </c>
      <c r="F272" s="20">
        <f>COUNTIFS(tData[SEHTrajectPeriodeDatumTijdVan],"&lt;="&amp;($A272+2/24),tData[SEHTrajectPeriodeDatumTijdTotEnMet],"&gt;"&amp;($A272+2/24),tData[Langligger01],1)</f>
        <v/>
      </c>
      <c r="G272" s="20">
        <f>COUNTIFS(tData[SEHTrajectPeriodeDatumTijdVan],"&lt;="&amp;($A272+3/24),tData[SEHTrajectPeriodeDatumTijdTotEnMet],"&gt;"&amp;($A272+3/24),tData[Langligger01],1)</f>
        <v/>
      </c>
      <c r="H272" s="20">
        <f>COUNTIFS(tData[SEHTrajectPeriodeDatumTijdVan],"&lt;="&amp;($A272+4/24),tData[SEHTrajectPeriodeDatumTijdTotEnMet],"&gt;"&amp;($A272+4/24),tData[Langligger01],1)</f>
        <v/>
      </c>
      <c r="I272" s="20">
        <f>COUNTIFS(tData[SEHTrajectPeriodeDatumTijdVan],"&lt;="&amp;($A272+5/24),tData[SEHTrajectPeriodeDatumTijdTotEnMet],"&gt;"&amp;($A272+5/24),tData[Langligger01],1)</f>
        <v/>
      </c>
      <c r="J272" s="20">
        <f>COUNTIFS(tData[SEHTrajectPeriodeDatumTijdVan],"&lt;="&amp;($A272+6/24),tData[SEHTrajectPeriodeDatumTijdTotEnMet],"&gt;"&amp;($A272+6/24),tData[Langligger01],1)</f>
        <v/>
      </c>
      <c r="K272" s="20">
        <f>COUNTIFS(tData[SEHTrajectPeriodeDatumTijdVan],"&lt;="&amp;($A272+7/24),tData[SEHTrajectPeriodeDatumTijdTotEnMet],"&gt;"&amp;($A272+7/24),tData[Langligger01],1)</f>
        <v/>
      </c>
      <c r="L272" s="20">
        <f>COUNTIFS(tData[SEHTrajectPeriodeDatumTijdVan],"&lt;="&amp;($A272+8/24),tData[SEHTrajectPeriodeDatumTijdTotEnMet],"&gt;"&amp;($A272+8/24),tData[Langligger01],1)</f>
        <v/>
      </c>
      <c r="M272" s="20">
        <f>COUNTIFS(tData[SEHTrajectPeriodeDatumTijdVan],"&lt;="&amp;($A272+9/24),tData[SEHTrajectPeriodeDatumTijdTotEnMet],"&gt;"&amp;($A272+9/24),tData[Langligger01],1)</f>
        <v/>
      </c>
      <c r="N272" s="20">
        <f>COUNTIFS(tData[SEHTrajectPeriodeDatumTijdVan],"&lt;="&amp;($A272+10/24),tData[SEHTrajectPeriodeDatumTijdTotEnMet],"&gt;"&amp;($A272+10/24),tData[Langligger01],1)</f>
        <v/>
      </c>
      <c r="O272" s="20">
        <f>COUNTIFS(tData[SEHTrajectPeriodeDatumTijdVan],"&lt;="&amp;($A272+11/24),tData[SEHTrajectPeriodeDatumTijdTotEnMet],"&gt;"&amp;($A272+11/24),tData[Langligger01],1)</f>
        <v/>
      </c>
      <c r="P272" s="20">
        <f>COUNTIFS(tData[SEHTrajectPeriodeDatumTijdVan],"&lt;="&amp;($A272+12/24),tData[SEHTrajectPeriodeDatumTijdTotEnMet],"&gt;"&amp;($A272+12/24),tData[Langligger01],1)</f>
        <v/>
      </c>
      <c r="Q272" s="20">
        <f>COUNTIFS(tData[SEHTrajectPeriodeDatumTijdVan],"&lt;="&amp;($A272+13/24),tData[SEHTrajectPeriodeDatumTijdTotEnMet],"&gt;"&amp;($A272+13/24),tData[Langligger01],1)</f>
        <v/>
      </c>
      <c r="R272" s="20">
        <f>COUNTIFS(tData[SEHTrajectPeriodeDatumTijdVan],"&lt;="&amp;($A272+14/24),tData[SEHTrajectPeriodeDatumTijdTotEnMet],"&gt;"&amp;($A272+14/24),tData[Langligger01],1)</f>
        <v/>
      </c>
      <c r="S272" s="20">
        <f>COUNTIFS(tData[SEHTrajectPeriodeDatumTijdVan],"&lt;="&amp;($A272+15/24),tData[SEHTrajectPeriodeDatumTijdTotEnMet],"&gt;"&amp;($A272+15/24),tData[Langligger01],1)</f>
        <v/>
      </c>
      <c r="T272" s="20">
        <f>COUNTIFS(tData[SEHTrajectPeriodeDatumTijdVan],"&lt;="&amp;($A272+16/24),tData[SEHTrajectPeriodeDatumTijdTotEnMet],"&gt;"&amp;($A272+16/24),tData[Langligger01],1)</f>
        <v/>
      </c>
      <c r="U272" s="20">
        <f>COUNTIFS(tData[SEHTrajectPeriodeDatumTijdVan],"&lt;="&amp;($A272+17/24),tData[SEHTrajectPeriodeDatumTijdTotEnMet],"&gt;"&amp;($A272+17/24),tData[Langligger01],1)</f>
        <v/>
      </c>
      <c r="V272" s="20">
        <f>COUNTIFS(tData[SEHTrajectPeriodeDatumTijdVan],"&lt;="&amp;($A272+18/24),tData[SEHTrajectPeriodeDatumTijdTotEnMet],"&gt;"&amp;($A272+18/24),tData[Langligger01],1)</f>
        <v/>
      </c>
      <c r="W272" s="20">
        <f>COUNTIFS(tData[SEHTrajectPeriodeDatumTijdVan],"&lt;="&amp;($A272+19/24),tData[SEHTrajectPeriodeDatumTijdTotEnMet],"&gt;"&amp;($A272+19/24),tData[Langligger01],1)</f>
        <v/>
      </c>
      <c r="X272" s="20">
        <f>COUNTIFS(tData[SEHTrajectPeriodeDatumTijdVan],"&lt;="&amp;($A272+20/24),tData[SEHTrajectPeriodeDatumTijdTotEnMet],"&gt;"&amp;($A272+20/24),tData[Langligger01],1)</f>
        <v/>
      </c>
      <c r="Y272" s="20">
        <f>COUNTIFS(tData[SEHTrajectPeriodeDatumTijdVan],"&lt;="&amp;($A272+21/24),tData[SEHTrajectPeriodeDatumTijdTotEnMet],"&gt;"&amp;($A272+21/24),tData[Langligger01],1)</f>
        <v/>
      </c>
      <c r="Z272" s="20">
        <f>COUNTIFS(tData[SEHTrajectPeriodeDatumTijdVan],"&lt;="&amp;($A272+22/24),tData[SEHTrajectPeriodeDatumTijdTotEnMet],"&gt;"&amp;($A272+22/24),tData[Langligger01],1)</f>
        <v/>
      </c>
      <c r="AA272" s="20">
        <f>COUNTIFS(tData[SEHTrajectPeriodeDatumTijdVan],"&lt;="&amp;($A272+23/24),tData[SEHTrajectPeriodeDatumTijdTotEnMet],"&gt;"&amp;($A272+23/24),tData[Langligger01],1)</f>
        <v/>
      </c>
    </row>
    <row r="273">
      <c r="A273" s="19" t="n">
        <v>45561</v>
      </c>
      <c r="B273" s="15">
        <f>WEEKDAY($A273,2)</f>
        <v/>
      </c>
      <c r="C273" s="15">
        <f>IF(AND($A273&gt;=INT(Instellingen!$B$5),$A273&lt;=INT(Instellingen!$B$6)),1,0)</f>
        <v/>
      </c>
      <c r="D273" s="20">
        <f>COUNTIFS(tData[SEHTrajectPeriodeDatumTijdVan],"&lt;="&amp;($A273+0/24),tData[SEHTrajectPeriodeDatumTijdTotEnMet],"&gt;"&amp;($A273+0/24),tData[Langligger01],1)</f>
        <v/>
      </c>
      <c r="E273" s="20">
        <f>COUNTIFS(tData[SEHTrajectPeriodeDatumTijdVan],"&lt;="&amp;($A273+1/24),tData[SEHTrajectPeriodeDatumTijdTotEnMet],"&gt;"&amp;($A273+1/24),tData[Langligger01],1)</f>
        <v/>
      </c>
      <c r="F273" s="20">
        <f>COUNTIFS(tData[SEHTrajectPeriodeDatumTijdVan],"&lt;="&amp;($A273+2/24),tData[SEHTrajectPeriodeDatumTijdTotEnMet],"&gt;"&amp;($A273+2/24),tData[Langligger01],1)</f>
        <v/>
      </c>
      <c r="G273" s="20">
        <f>COUNTIFS(tData[SEHTrajectPeriodeDatumTijdVan],"&lt;="&amp;($A273+3/24),tData[SEHTrajectPeriodeDatumTijdTotEnMet],"&gt;"&amp;($A273+3/24),tData[Langligger01],1)</f>
        <v/>
      </c>
      <c r="H273" s="20">
        <f>COUNTIFS(tData[SEHTrajectPeriodeDatumTijdVan],"&lt;="&amp;($A273+4/24),tData[SEHTrajectPeriodeDatumTijdTotEnMet],"&gt;"&amp;($A273+4/24),tData[Langligger01],1)</f>
        <v/>
      </c>
      <c r="I273" s="20">
        <f>COUNTIFS(tData[SEHTrajectPeriodeDatumTijdVan],"&lt;="&amp;($A273+5/24),tData[SEHTrajectPeriodeDatumTijdTotEnMet],"&gt;"&amp;($A273+5/24),tData[Langligger01],1)</f>
        <v/>
      </c>
      <c r="J273" s="20">
        <f>COUNTIFS(tData[SEHTrajectPeriodeDatumTijdVan],"&lt;="&amp;($A273+6/24),tData[SEHTrajectPeriodeDatumTijdTotEnMet],"&gt;"&amp;($A273+6/24),tData[Langligger01],1)</f>
        <v/>
      </c>
      <c r="K273" s="20">
        <f>COUNTIFS(tData[SEHTrajectPeriodeDatumTijdVan],"&lt;="&amp;($A273+7/24),tData[SEHTrajectPeriodeDatumTijdTotEnMet],"&gt;"&amp;($A273+7/24),tData[Langligger01],1)</f>
        <v/>
      </c>
      <c r="L273" s="20">
        <f>COUNTIFS(tData[SEHTrajectPeriodeDatumTijdVan],"&lt;="&amp;($A273+8/24),tData[SEHTrajectPeriodeDatumTijdTotEnMet],"&gt;"&amp;($A273+8/24),tData[Langligger01],1)</f>
        <v/>
      </c>
      <c r="M273" s="20">
        <f>COUNTIFS(tData[SEHTrajectPeriodeDatumTijdVan],"&lt;="&amp;($A273+9/24),tData[SEHTrajectPeriodeDatumTijdTotEnMet],"&gt;"&amp;($A273+9/24),tData[Langligger01],1)</f>
        <v/>
      </c>
      <c r="N273" s="20">
        <f>COUNTIFS(tData[SEHTrajectPeriodeDatumTijdVan],"&lt;="&amp;($A273+10/24),tData[SEHTrajectPeriodeDatumTijdTotEnMet],"&gt;"&amp;($A273+10/24),tData[Langligger01],1)</f>
        <v/>
      </c>
      <c r="O273" s="20">
        <f>COUNTIFS(tData[SEHTrajectPeriodeDatumTijdVan],"&lt;="&amp;($A273+11/24),tData[SEHTrajectPeriodeDatumTijdTotEnMet],"&gt;"&amp;($A273+11/24),tData[Langligger01],1)</f>
        <v/>
      </c>
      <c r="P273" s="20">
        <f>COUNTIFS(tData[SEHTrajectPeriodeDatumTijdVan],"&lt;="&amp;($A273+12/24),tData[SEHTrajectPeriodeDatumTijdTotEnMet],"&gt;"&amp;($A273+12/24),tData[Langligger01],1)</f>
        <v/>
      </c>
      <c r="Q273" s="20">
        <f>COUNTIFS(tData[SEHTrajectPeriodeDatumTijdVan],"&lt;="&amp;($A273+13/24),tData[SEHTrajectPeriodeDatumTijdTotEnMet],"&gt;"&amp;($A273+13/24),tData[Langligger01],1)</f>
        <v/>
      </c>
      <c r="R273" s="20">
        <f>COUNTIFS(tData[SEHTrajectPeriodeDatumTijdVan],"&lt;="&amp;($A273+14/24),tData[SEHTrajectPeriodeDatumTijdTotEnMet],"&gt;"&amp;($A273+14/24),tData[Langligger01],1)</f>
        <v/>
      </c>
      <c r="S273" s="20">
        <f>COUNTIFS(tData[SEHTrajectPeriodeDatumTijdVan],"&lt;="&amp;($A273+15/24),tData[SEHTrajectPeriodeDatumTijdTotEnMet],"&gt;"&amp;($A273+15/24),tData[Langligger01],1)</f>
        <v/>
      </c>
      <c r="T273" s="20">
        <f>COUNTIFS(tData[SEHTrajectPeriodeDatumTijdVan],"&lt;="&amp;($A273+16/24),tData[SEHTrajectPeriodeDatumTijdTotEnMet],"&gt;"&amp;($A273+16/24),tData[Langligger01],1)</f>
        <v/>
      </c>
      <c r="U273" s="20">
        <f>COUNTIFS(tData[SEHTrajectPeriodeDatumTijdVan],"&lt;="&amp;($A273+17/24),tData[SEHTrajectPeriodeDatumTijdTotEnMet],"&gt;"&amp;($A273+17/24),tData[Langligger01],1)</f>
        <v/>
      </c>
      <c r="V273" s="20">
        <f>COUNTIFS(tData[SEHTrajectPeriodeDatumTijdVan],"&lt;="&amp;($A273+18/24),tData[SEHTrajectPeriodeDatumTijdTotEnMet],"&gt;"&amp;($A273+18/24),tData[Langligger01],1)</f>
        <v/>
      </c>
      <c r="W273" s="20">
        <f>COUNTIFS(tData[SEHTrajectPeriodeDatumTijdVan],"&lt;="&amp;($A273+19/24),tData[SEHTrajectPeriodeDatumTijdTotEnMet],"&gt;"&amp;($A273+19/24),tData[Langligger01],1)</f>
        <v/>
      </c>
      <c r="X273" s="20">
        <f>COUNTIFS(tData[SEHTrajectPeriodeDatumTijdVan],"&lt;="&amp;($A273+20/24),tData[SEHTrajectPeriodeDatumTijdTotEnMet],"&gt;"&amp;($A273+20/24),tData[Langligger01],1)</f>
        <v/>
      </c>
      <c r="Y273" s="20">
        <f>COUNTIFS(tData[SEHTrajectPeriodeDatumTijdVan],"&lt;="&amp;($A273+21/24),tData[SEHTrajectPeriodeDatumTijdTotEnMet],"&gt;"&amp;($A273+21/24),tData[Langligger01],1)</f>
        <v/>
      </c>
      <c r="Z273" s="20">
        <f>COUNTIFS(tData[SEHTrajectPeriodeDatumTijdVan],"&lt;="&amp;($A273+22/24),tData[SEHTrajectPeriodeDatumTijdTotEnMet],"&gt;"&amp;($A273+22/24),tData[Langligger01],1)</f>
        <v/>
      </c>
      <c r="AA273" s="20">
        <f>COUNTIFS(tData[SEHTrajectPeriodeDatumTijdVan],"&lt;="&amp;($A273+23/24),tData[SEHTrajectPeriodeDatumTijdTotEnMet],"&gt;"&amp;($A273+23/24),tData[Langligger01],1)</f>
        <v/>
      </c>
    </row>
    <row r="274">
      <c r="A274" s="19" t="n">
        <v>45562</v>
      </c>
      <c r="B274" s="15">
        <f>WEEKDAY($A274,2)</f>
        <v/>
      </c>
      <c r="C274" s="15">
        <f>IF(AND($A274&gt;=INT(Instellingen!$B$5),$A274&lt;=INT(Instellingen!$B$6)),1,0)</f>
        <v/>
      </c>
      <c r="D274" s="20">
        <f>COUNTIFS(tData[SEHTrajectPeriodeDatumTijdVan],"&lt;="&amp;($A274+0/24),tData[SEHTrajectPeriodeDatumTijdTotEnMet],"&gt;"&amp;($A274+0/24),tData[Langligger01],1)</f>
        <v/>
      </c>
      <c r="E274" s="20">
        <f>COUNTIFS(tData[SEHTrajectPeriodeDatumTijdVan],"&lt;="&amp;($A274+1/24),tData[SEHTrajectPeriodeDatumTijdTotEnMet],"&gt;"&amp;($A274+1/24),tData[Langligger01],1)</f>
        <v/>
      </c>
      <c r="F274" s="20">
        <f>COUNTIFS(tData[SEHTrajectPeriodeDatumTijdVan],"&lt;="&amp;($A274+2/24),tData[SEHTrajectPeriodeDatumTijdTotEnMet],"&gt;"&amp;($A274+2/24),tData[Langligger01],1)</f>
        <v/>
      </c>
      <c r="G274" s="20">
        <f>COUNTIFS(tData[SEHTrajectPeriodeDatumTijdVan],"&lt;="&amp;($A274+3/24),tData[SEHTrajectPeriodeDatumTijdTotEnMet],"&gt;"&amp;($A274+3/24),tData[Langligger01],1)</f>
        <v/>
      </c>
      <c r="H274" s="20">
        <f>COUNTIFS(tData[SEHTrajectPeriodeDatumTijdVan],"&lt;="&amp;($A274+4/24),tData[SEHTrajectPeriodeDatumTijdTotEnMet],"&gt;"&amp;($A274+4/24),tData[Langligger01],1)</f>
        <v/>
      </c>
      <c r="I274" s="20">
        <f>COUNTIFS(tData[SEHTrajectPeriodeDatumTijdVan],"&lt;="&amp;($A274+5/24),tData[SEHTrajectPeriodeDatumTijdTotEnMet],"&gt;"&amp;($A274+5/24),tData[Langligger01],1)</f>
        <v/>
      </c>
      <c r="J274" s="20">
        <f>COUNTIFS(tData[SEHTrajectPeriodeDatumTijdVan],"&lt;="&amp;($A274+6/24),tData[SEHTrajectPeriodeDatumTijdTotEnMet],"&gt;"&amp;($A274+6/24),tData[Langligger01],1)</f>
        <v/>
      </c>
      <c r="K274" s="20">
        <f>COUNTIFS(tData[SEHTrajectPeriodeDatumTijdVan],"&lt;="&amp;($A274+7/24),tData[SEHTrajectPeriodeDatumTijdTotEnMet],"&gt;"&amp;($A274+7/24),tData[Langligger01],1)</f>
        <v/>
      </c>
      <c r="L274" s="20">
        <f>COUNTIFS(tData[SEHTrajectPeriodeDatumTijdVan],"&lt;="&amp;($A274+8/24),tData[SEHTrajectPeriodeDatumTijdTotEnMet],"&gt;"&amp;($A274+8/24),tData[Langligger01],1)</f>
        <v/>
      </c>
      <c r="M274" s="20">
        <f>COUNTIFS(tData[SEHTrajectPeriodeDatumTijdVan],"&lt;="&amp;($A274+9/24),tData[SEHTrajectPeriodeDatumTijdTotEnMet],"&gt;"&amp;($A274+9/24),tData[Langligger01],1)</f>
        <v/>
      </c>
      <c r="N274" s="20">
        <f>COUNTIFS(tData[SEHTrajectPeriodeDatumTijdVan],"&lt;="&amp;($A274+10/24),tData[SEHTrajectPeriodeDatumTijdTotEnMet],"&gt;"&amp;($A274+10/24),tData[Langligger01],1)</f>
        <v/>
      </c>
      <c r="O274" s="20">
        <f>COUNTIFS(tData[SEHTrajectPeriodeDatumTijdVan],"&lt;="&amp;($A274+11/24),tData[SEHTrajectPeriodeDatumTijdTotEnMet],"&gt;"&amp;($A274+11/24),tData[Langligger01],1)</f>
        <v/>
      </c>
      <c r="P274" s="20">
        <f>COUNTIFS(tData[SEHTrajectPeriodeDatumTijdVan],"&lt;="&amp;($A274+12/24),tData[SEHTrajectPeriodeDatumTijdTotEnMet],"&gt;"&amp;($A274+12/24),tData[Langligger01],1)</f>
        <v/>
      </c>
      <c r="Q274" s="20">
        <f>COUNTIFS(tData[SEHTrajectPeriodeDatumTijdVan],"&lt;="&amp;($A274+13/24),tData[SEHTrajectPeriodeDatumTijdTotEnMet],"&gt;"&amp;($A274+13/24),tData[Langligger01],1)</f>
        <v/>
      </c>
      <c r="R274" s="20">
        <f>COUNTIFS(tData[SEHTrajectPeriodeDatumTijdVan],"&lt;="&amp;($A274+14/24),tData[SEHTrajectPeriodeDatumTijdTotEnMet],"&gt;"&amp;($A274+14/24),tData[Langligger01],1)</f>
        <v/>
      </c>
      <c r="S274" s="20">
        <f>COUNTIFS(tData[SEHTrajectPeriodeDatumTijdVan],"&lt;="&amp;($A274+15/24),tData[SEHTrajectPeriodeDatumTijdTotEnMet],"&gt;"&amp;($A274+15/24),tData[Langligger01],1)</f>
        <v/>
      </c>
      <c r="T274" s="20">
        <f>COUNTIFS(tData[SEHTrajectPeriodeDatumTijdVan],"&lt;="&amp;($A274+16/24),tData[SEHTrajectPeriodeDatumTijdTotEnMet],"&gt;"&amp;($A274+16/24),tData[Langligger01],1)</f>
        <v/>
      </c>
      <c r="U274" s="20">
        <f>COUNTIFS(tData[SEHTrajectPeriodeDatumTijdVan],"&lt;="&amp;($A274+17/24),tData[SEHTrajectPeriodeDatumTijdTotEnMet],"&gt;"&amp;($A274+17/24),tData[Langligger01],1)</f>
        <v/>
      </c>
      <c r="V274" s="20">
        <f>COUNTIFS(tData[SEHTrajectPeriodeDatumTijdVan],"&lt;="&amp;($A274+18/24),tData[SEHTrajectPeriodeDatumTijdTotEnMet],"&gt;"&amp;($A274+18/24),tData[Langligger01],1)</f>
        <v/>
      </c>
      <c r="W274" s="20">
        <f>COUNTIFS(tData[SEHTrajectPeriodeDatumTijdVan],"&lt;="&amp;($A274+19/24),tData[SEHTrajectPeriodeDatumTijdTotEnMet],"&gt;"&amp;($A274+19/24),tData[Langligger01],1)</f>
        <v/>
      </c>
      <c r="X274" s="20">
        <f>COUNTIFS(tData[SEHTrajectPeriodeDatumTijdVan],"&lt;="&amp;($A274+20/24),tData[SEHTrajectPeriodeDatumTijdTotEnMet],"&gt;"&amp;($A274+20/24),tData[Langligger01],1)</f>
        <v/>
      </c>
      <c r="Y274" s="20">
        <f>COUNTIFS(tData[SEHTrajectPeriodeDatumTijdVan],"&lt;="&amp;($A274+21/24),tData[SEHTrajectPeriodeDatumTijdTotEnMet],"&gt;"&amp;($A274+21/24),tData[Langligger01],1)</f>
        <v/>
      </c>
      <c r="Z274" s="20">
        <f>COUNTIFS(tData[SEHTrajectPeriodeDatumTijdVan],"&lt;="&amp;($A274+22/24),tData[SEHTrajectPeriodeDatumTijdTotEnMet],"&gt;"&amp;($A274+22/24),tData[Langligger01],1)</f>
        <v/>
      </c>
      <c r="AA274" s="20">
        <f>COUNTIFS(tData[SEHTrajectPeriodeDatumTijdVan],"&lt;="&amp;($A274+23/24),tData[SEHTrajectPeriodeDatumTijdTotEnMet],"&gt;"&amp;($A274+23/24),tData[Langligger01],1)</f>
        <v/>
      </c>
    </row>
    <row r="275">
      <c r="A275" s="19" t="n">
        <v>45563</v>
      </c>
      <c r="B275" s="15">
        <f>WEEKDAY($A275,2)</f>
        <v/>
      </c>
      <c r="C275" s="15">
        <f>IF(AND($A275&gt;=INT(Instellingen!$B$5),$A275&lt;=INT(Instellingen!$B$6)),1,0)</f>
        <v/>
      </c>
      <c r="D275" s="20">
        <f>COUNTIFS(tData[SEHTrajectPeriodeDatumTijdVan],"&lt;="&amp;($A275+0/24),tData[SEHTrajectPeriodeDatumTijdTotEnMet],"&gt;"&amp;($A275+0/24),tData[Langligger01],1)</f>
        <v/>
      </c>
      <c r="E275" s="20">
        <f>COUNTIFS(tData[SEHTrajectPeriodeDatumTijdVan],"&lt;="&amp;($A275+1/24),tData[SEHTrajectPeriodeDatumTijdTotEnMet],"&gt;"&amp;($A275+1/24),tData[Langligger01],1)</f>
        <v/>
      </c>
      <c r="F275" s="20">
        <f>COUNTIFS(tData[SEHTrajectPeriodeDatumTijdVan],"&lt;="&amp;($A275+2/24),tData[SEHTrajectPeriodeDatumTijdTotEnMet],"&gt;"&amp;($A275+2/24),tData[Langligger01],1)</f>
        <v/>
      </c>
      <c r="G275" s="20">
        <f>COUNTIFS(tData[SEHTrajectPeriodeDatumTijdVan],"&lt;="&amp;($A275+3/24),tData[SEHTrajectPeriodeDatumTijdTotEnMet],"&gt;"&amp;($A275+3/24),tData[Langligger01],1)</f>
        <v/>
      </c>
      <c r="H275" s="20">
        <f>COUNTIFS(tData[SEHTrajectPeriodeDatumTijdVan],"&lt;="&amp;($A275+4/24),tData[SEHTrajectPeriodeDatumTijdTotEnMet],"&gt;"&amp;($A275+4/24),tData[Langligger01],1)</f>
        <v/>
      </c>
      <c r="I275" s="20">
        <f>COUNTIFS(tData[SEHTrajectPeriodeDatumTijdVan],"&lt;="&amp;($A275+5/24),tData[SEHTrajectPeriodeDatumTijdTotEnMet],"&gt;"&amp;($A275+5/24),tData[Langligger01],1)</f>
        <v/>
      </c>
      <c r="J275" s="20">
        <f>COUNTIFS(tData[SEHTrajectPeriodeDatumTijdVan],"&lt;="&amp;($A275+6/24),tData[SEHTrajectPeriodeDatumTijdTotEnMet],"&gt;"&amp;($A275+6/24),tData[Langligger01],1)</f>
        <v/>
      </c>
      <c r="K275" s="20">
        <f>COUNTIFS(tData[SEHTrajectPeriodeDatumTijdVan],"&lt;="&amp;($A275+7/24),tData[SEHTrajectPeriodeDatumTijdTotEnMet],"&gt;"&amp;($A275+7/24),tData[Langligger01],1)</f>
        <v/>
      </c>
      <c r="L275" s="20">
        <f>COUNTIFS(tData[SEHTrajectPeriodeDatumTijdVan],"&lt;="&amp;($A275+8/24),tData[SEHTrajectPeriodeDatumTijdTotEnMet],"&gt;"&amp;($A275+8/24),tData[Langligger01],1)</f>
        <v/>
      </c>
      <c r="M275" s="20">
        <f>COUNTIFS(tData[SEHTrajectPeriodeDatumTijdVan],"&lt;="&amp;($A275+9/24),tData[SEHTrajectPeriodeDatumTijdTotEnMet],"&gt;"&amp;($A275+9/24),tData[Langligger01],1)</f>
        <v/>
      </c>
      <c r="N275" s="20">
        <f>COUNTIFS(tData[SEHTrajectPeriodeDatumTijdVan],"&lt;="&amp;($A275+10/24),tData[SEHTrajectPeriodeDatumTijdTotEnMet],"&gt;"&amp;($A275+10/24),tData[Langligger01],1)</f>
        <v/>
      </c>
      <c r="O275" s="20">
        <f>COUNTIFS(tData[SEHTrajectPeriodeDatumTijdVan],"&lt;="&amp;($A275+11/24),tData[SEHTrajectPeriodeDatumTijdTotEnMet],"&gt;"&amp;($A275+11/24),tData[Langligger01],1)</f>
        <v/>
      </c>
      <c r="P275" s="20">
        <f>COUNTIFS(tData[SEHTrajectPeriodeDatumTijdVan],"&lt;="&amp;($A275+12/24),tData[SEHTrajectPeriodeDatumTijdTotEnMet],"&gt;"&amp;($A275+12/24),tData[Langligger01],1)</f>
        <v/>
      </c>
      <c r="Q275" s="20">
        <f>COUNTIFS(tData[SEHTrajectPeriodeDatumTijdVan],"&lt;="&amp;($A275+13/24),tData[SEHTrajectPeriodeDatumTijdTotEnMet],"&gt;"&amp;($A275+13/24),tData[Langligger01],1)</f>
        <v/>
      </c>
      <c r="R275" s="20">
        <f>COUNTIFS(tData[SEHTrajectPeriodeDatumTijdVan],"&lt;="&amp;($A275+14/24),tData[SEHTrajectPeriodeDatumTijdTotEnMet],"&gt;"&amp;($A275+14/24),tData[Langligger01],1)</f>
        <v/>
      </c>
      <c r="S275" s="20">
        <f>COUNTIFS(tData[SEHTrajectPeriodeDatumTijdVan],"&lt;="&amp;($A275+15/24),tData[SEHTrajectPeriodeDatumTijdTotEnMet],"&gt;"&amp;($A275+15/24),tData[Langligger01],1)</f>
        <v/>
      </c>
      <c r="T275" s="20">
        <f>COUNTIFS(tData[SEHTrajectPeriodeDatumTijdVan],"&lt;="&amp;($A275+16/24),tData[SEHTrajectPeriodeDatumTijdTotEnMet],"&gt;"&amp;($A275+16/24),tData[Langligger01],1)</f>
        <v/>
      </c>
      <c r="U275" s="20">
        <f>COUNTIFS(tData[SEHTrajectPeriodeDatumTijdVan],"&lt;="&amp;($A275+17/24),tData[SEHTrajectPeriodeDatumTijdTotEnMet],"&gt;"&amp;($A275+17/24),tData[Langligger01],1)</f>
        <v/>
      </c>
      <c r="V275" s="20">
        <f>COUNTIFS(tData[SEHTrajectPeriodeDatumTijdVan],"&lt;="&amp;($A275+18/24),tData[SEHTrajectPeriodeDatumTijdTotEnMet],"&gt;"&amp;($A275+18/24),tData[Langligger01],1)</f>
        <v/>
      </c>
      <c r="W275" s="20">
        <f>COUNTIFS(tData[SEHTrajectPeriodeDatumTijdVan],"&lt;="&amp;($A275+19/24),tData[SEHTrajectPeriodeDatumTijdTotEnMet],"&gt;"&amp;($A275+19/24),tData[Langligger01],1)</f>
        <v/>
      </c>
      <c r="X275" s="20">
        <f>COUNTIFS(tData[SEHTrajectPeriodeDatumTijdVan],"&lt;="&amp;($A275+20/24),tData[SEHTrajectPeriodeDatumTijdTotEnMet],"&gt;"&amp;($A275+20/24),tData[Langligger01],1)</f>
        <v/>
      </c>
      <c r="Y275" s="20">
        <f>COUNTIFS(tData[SEHTrajectPeriodeDatumTijdVan],"&lt;="&amp;($A275+21/24),tData[SEHTrajectPeriodeDatumTijdTotEnMet],"&gt;"&amp;($A275+21/24),tData[Langligger01],1)</f>
        <v/>
      </c>
      <c r="Z275" s="20">
        <f>COUNTIFS(tData[SEHTrajectPeriodeDatumTijdVan],"&lt;="&amp;($A275+22/24),tData[SEHTrajectPeriodeDatumTijdTotEnMet],"&gt;"&amp;($A275+22/24),tData[Langligger01],1)</f>
        <v/>
      </c>
      <c r="AA275" s="20">
        <f>COUNTIFS(tData[SEHTrajectPeriodeDatumTijdVan],"&lt;="&amp;($A275+23/24),tData[SEHTrajectPeriodeDatumTijdTotEnMet],"&gt;"&amp;($A275+23/24),tData[Langligger01],1)</f>
        <v/>
      </c>
    </row>
    <row r="276">
      <c r="A276" s="19" t="n">
        <v>45564</v>
      </c>
      <c r="B276" s="15">
        <f>WEEKDAY($A276,2)</f>
        <v/>
      </c>
      <c r="C276" s="15">
        <f>IF(AND($A276&gt;=INT(Instellingen!$B$5),$A276&lt;=INT(Instellingen!$B$6)),1,0)</f>
        <v/>
      </c>
      <c r="D276" s="20">
        <f>COUNTIFS(tData[SEHTrajectPeriodeDatumTijdVan],"&lt;="&amp;($A276+0/24),tData[SEHTrajectPeriodeDatumTijdTotEnMet],"&gt;"&amp;($A276+0/24),tData[Langligger01],1)</f>
        <v/>
      </c>
      <c r="E276" s="20">
        <f>COUNTIFS(tData[SEHTrajectPeriodeDatumTijdVan],"&lt;="&amp;($A276+1/24),tData[SEHTrajectPeriodeDatumTijdTotEnMet],"&gt;"&amp;($A276+1/24),tData[Langligger01],1)</f>
        <v/>
      </c>
      <c r="F276" s="20">
        <f>COUNTIFS(tData[SEHTrajectPeriodeDatumTijdVan],"&lt;="&amp;($A276+2/24),tData[SEHTrajectPeriodeDatumTijdTotEnMet],"&gt;"&amp;($A276+2/24),tData[Langligger01],1)</f>
        <v/>
      </c>
      <c r="G276" s="20">
        <f>COUNTIFS(tData[SEHTrajectPeriodeDatumTijdVan],"&lt;="&amp;($A276+3/24),tData[SEHTrajectPeriodeDatumTijdTotEnMet],"&gt;"&amp;($A276+3/24),tData[Langligger01],1)</f>
        <v/>
      </c>
      <c r="H276" s="20">
        <f>COUNTIFS(tData[SEHTrajectPeriodeDatumTijdVan],"&lt;="&amp;($A276+4/24),tData[SEHTrajectPeriodeDatumTijdTotEnMet],"&gt;"&amp;($A276+4/24),tData[Langligger01],1)</f>
        <v/>
      </c>
      <c r="I276" s="20">
        <f>COUNTIFS(tData[SEHTrajectPeriodeDatumTijdVan],"&lt;="&amp;($A276+5/24),tData[SEHTrajectPeriodeDatumTijdTotEnMet],"&gt;"&amp;($A276+5/24),tData[Langligger01],1)</f>
        <v/>
      </c>
      <c r="J276" s="20">
        <f>COUNTIFS(tData[SEHTrajectPeriodeDatumTijdVan],"&lt;="&amp;($A276+6/24),tData[SEHTrajectPeriodeDatumTijdTotEnMet],"&gt;"&amp;($A276+6/24),tData[Langligger01],1)</f>
        <v/>
      </c>
      <c r="K276" s="20">
        <f>COUNTIFS(tData[SEHTrajectPeriodeDatumTijdVan],"&lt;="&amp;($A276+7/24),tData[SEHTrajectPeriodeDatumTijdTotEnMet],"&gt;"&amp;($A276+7/24),tData[Langligger01],1)</f>
        <v/>
      </c>
      <c r="L276" s="20">
        <f>COUNTIFS(tData[SEHTrajectPeriodeDatumTijdVan],"&lt;="&amp;($A276+8/24),tData[SEHTrajectPeriodeDatumTijdTotEnMet],"&gt;"&amp;($A276+8/24),tData[Langligger01],1)</f>
        <v/>
      </c>
      <c r="M276" s="20">
        <f>COUNTIFS(tData[SEHTrajectPeriodeDatumTijdVan],"&lt;="&amp;($A276+9/24),tData[SEHTrajectPeriodeDatumTijdTotEnMet],"&gt;"&amp;($A276+9/24),tData[Langligger01],1)</f>
        <v/>
      </c>
      <c r="N276" s="20">
        <f>COUNTIFS(tData[SEHTrajectPeriodeDatumTijdVan],"&lt;="&amp;($A276+10/24),tData[SEHTrajectPeriodeDatumTijdTotEnMet],"&gt;"&amp;($A276+10/24),tData[Langligger01],1)</f>
        <v/>
      </c>
      <c r="O276" s="20">
        <f>COUNTIFS(tData[SEHTrajectPeriodeDatumTijdVan],"&lt;="&amp;($A276+11/24),tData[SEHTrajectPeriodeDatumTijdTotEnMet],"&gt;"&amp;($A276+11/24),tData[Langligger01],1)</f>
        <v/>
      </c>
      <c r="P276" s="20">
        <f>COUNTIFS(tData[SEHTrajectPeriodeDatumTijdVan],"&lt;="&amp;($A276+12/24),tData[SEHTrajectPeriodeDatumTijdTotEnMet],"&gt;"&amp;($A276+12/24),tData[Langligger01],1)</f>
        <v/>
      </c>
      <c r="Q276" s="20">
        <f>COUNTIFS(tData[SEHTrajectPeriodeDatumTijdVan],"&lt;="&amp;($A276+13/24),tData[SEHTrajectPeriodeDatumTijdTotEnMet],"&gt;"&amp;($A276+13/24),tData[Langligger01],1)</f>
        <v/>
      </c>
      <c r="R276" s="20">
        <f>COUNTIFS(tData[SEHTrajectPeriodeDatumTijdVan],"&lt;="&amp;($A276+14/24),tData[SEHTrajectPeriodeDatumTijdTotEnMet],"&gt;"&amp;($A276+14/24),tData[Langligger01],1)</f>
        <v/>
      </c>
      <c r="S276" s="20">
        <f>COUNTIFS(tData[SEHTrajectPeriodeDatumTijdVan],"&lt;="&amp;($A276+15/24),tData[SEHTrajectPeriodeDatumTijdTotEnMet],"&gt;"&amp;($A276+15/24),tData[Langligger01],1)</f>
        <v/>
      </c>
      <c r="T276" s="20">
        <f>COUNTIFS(tData[SEHTrajectPeriodeDatumTijdVan],"&lt;="&amp;($A276+16/24),tData[SEHTrajectPeriodeDatumTijdTotEnMet],"&gt;"&amp;($A276+16/24),tData[Langligger01],1)</f>
        <v/>
      </c>
      <c r="U276" s="20">
        <f>COUNTIFS(tData[SEHTrajectPeriodeDatumTijdVan],"&lt;="&amp;($A276+17/24),tData[SEHTrajectPeriodeDatumTijdTotEnMet],"&gt;"&amp;($A276+17/24),tData[Langligger01],1)</f>
        <v/>
      </c>
      <c r="V276" s="20">
        <f>COUNTIFS(tData[SEHTrajectPeriodeDatumTijdVan],"&lt;="&amp;($A276+18/24),tData[SEHTrajectPeriodeDatumTijdTotEnMet],"&gt;"&amp;($A276+18/24),tData[Langligger01],1)</f>
        <v/>
      </c>
      <c r="W276" s="20">
        <f>COUNTIFS(tData[SEHTrajectPeriodeDatumTijdVan],"&lt;="&amp;($A276+19/24),tData[SEHTrajectPeriodeDatumTijdTotEnMet],"&gt;"&amp;($A276+19/24),tData[Langligger01],1)</f>
        <v/>
      </c>
      <c r="X276" s="20">
        <f>COUNTIFS(tData[SEHTrajectPeriodeDatumTijdVan],"&lt;="&amp;($A276+20/24),tData[SEHTrajectPeriodeDatumTijdTotEnMet],"&gt;"&amp;($A276+20/24),tData[Langligger01],1)</f>
        <v/>
      </c>
      <c r="Y276" s="20">
        <f>COUNTIFS(tData[SEHTrajectPeriodeDatumTijdVan],"&lt;="&amp;($A276+21/24),tData[SEHTrajectPeriodeDatumTijdTotEnMet],"&gt;"&amp;($A276+21/24),tData[Langligger01],1)</f>
        <v/>
      </c>
      <c r="Z276" s="20">
        <f>COUNTIFS(tData[SEHTrajectPeriodeDatumTijdVan],"&lt;="&amp;($A276+22/24),tData[SEHTrajectPeriodeDatumTijdTotEnMet],"&gt;"&amp;($A276+22/24),tData[Langligger01],1)</f>
        <v/>
      </c>
      <c r="AA276" s="20">
        <f>COUNTIFS(tData[SEHTrajectPeriodeDatumTijdVan],"&lt;="&amp;($A276+23/24),tData[SEHTrajectPeriodeDatumTijdTotEnMet],"&gt;"&amp;($A276+23/24),tData[Langligger01],1)</f>
        <v/>
      </c>
    </row>
    <row r="277">
      <c r="A277" s="19" t="n">
        <v>45565</v>
      </c>
      <c r="B277" s="15">
        <f>WEEKDAY($A277,2)</f>
        <v/>
      </c>
      <c r="C277" s="15">
        <f>IF(AND($A277&gt;=INT(Instellingen!$B$5),$A277&lt;=INT(Instellingen!$B$6)),1,0)</f>
        <v/>
      </c>
      <c r="D277" s="20">
        <f>COUNTIFS(tData[SEHTrajectPeriodeDatumTijdVan],"&lt;="&amp;($A277+0/24),tData[SEHTrajectPeriodeDatumTijdTotEnMet],"&gt;"&amp;($A277+0/24),tData[Langligger01],1)</f>
        <v/>
      </c>
      <c r="E277" s="20">
        <f>COUNTIFS(tData[SEHTrajectPeriodeDatumTijdVan],"&lt;="&amp;($A277+1/24),tData[SEHTrajectPeriodeDatumTijdTotEnMet],"&gt;"&amp;($A277+1/24),tData[Langligger01],1)</f>
        <v/>
      </c>
      <c r="F277" s="20">
        <f>COUNTIFS(tData[SEHTrajectPeriodeDatumTijdVan],"&lt;="&amp;($A277+2/24),tData[SEHTrajectPeriodeDatumTijdTotEnMet],"&gt;"&amp;($A277+2/24),tData[Langligger01],1)</f>
        <v/>
      </c>
      <c r="G277" s="20">
        <f>COUNTIFS(tData[SEHTrajectPeriodeDatumTijdVan],"&lt;="&amp;($A277+3/24),tData[SEHTrajectPeriodeDatumTijdTotEnMet],"&gt;"&amp;($A277+3/24),tData[Langligger01],1)</f>
        <v/>
      </c>
      <c r="H277" s="20">
        <f>COUNTIFS(tData[SEHTrajectPeriodeDatumTijdVan],"&lt;="&amp;($A277+4/24),tData[SEHTrajectPeriodeDatumTijdTotEnMet],"&gt;"&amp;($A277+4/24),tData[Langligger01],1)</f>
        <v/>
      </c>
      <c r="I277" s="20">
        <f>COUNTIFS(tData[SEHTrajectPeriodeDatumTijdVan],"&lt;="&amp;($A277+5/24),tData[SEHTrajectPeriodeDatumTijdTotEnMet],"&gt;"&amp;($A277+5/24),tData[Langligger01],1)</f>
        <v/>
      </c>
      <c r="J277" s="20">
        <f>COUNTIFS(tData[SEHTrajectPeriodeDatumTijdVan],"&lt;="&amp;($A277+6/24),tData[SEHTrajectPeriodeDatumTijdTotEnMet],"&gt;"&amp;($A277+6/24),tData[Langligger01],1)</f>
        <v/>
      </c>
      <c r="K277" s="20">
        <f>COUNTIFS(tData[SEHTrajectPeriodeDatumTijdVan],"&lt;="&amp;($A277+7/24),tData[SEHTrajectPeriodeDatumTijdTotEnMet],"&gt;"&amp;($A277+7/24),tData[Langligger01],1)</f>
        <v/>
      </c>
      <c r="L277" s="20">
        <f>COUNTIFS(tData[SEHTrajectPeriodeDatumTijdVan],"&lt;="&amp;($A277+8/24),tData[SEHTrajectPeriodeDatumTijdTotEnMet],"&gt;"&amp;($A277+8/24),tData[Langligger01],1)</f>
        <v/>
      </c>
      <c r="M277" s="20">
        <f>COUNTIFS(tData[SEHTrajectPeriodeDatumTijdVan],"&lt;="&amp;($A277+9/24),tData[SEHTrajectPeriodeDatumTijdTotEnMet],"&gt;"&amp;($A277+9/24),tData[Langligger01],1)</f>
        <v/>
      </c>
      <c r="N277" s="20">
        <f>COUNTIFS(tData[SEHTrajectPeriodeDatumTijdVan],"&lt;="&amp;($A277+10/24),tData[SEHTrajectPeriodeDatumTijdTotEnMet],"&gt;"&amp;($A277+10/24),tData[Langligger01],1)</f>
        <v/>
      </c>
      <c r="O277" s="20">
        <f>COUNTIFS(tData[SEHTrajectPeriodeDatumTijdVan],"&lt;="&amp;($A277+11/24),tData[SEHTrajectPeriodeDatumTijdTotEnMet],"&gt;"&amp;($A277+11/24),tData[Langligger01],1)</f>
        <v/>
      </c>
      <c r="P277" s="20">
        <f>COUNTIFS(tData[SEHTrajectPeriodeDatumTijdVan],"&lt;="&amp;($A277+12/24),tData[SEHTrajectPeriodeDatumTijdTotEnMet],"&gt;"&amp;($A277+12/24),tData[Langligger01],1)</f>
        <v/>
      </c>
      <c r="Q277" s="20">
        <f>COUNTIFS(tData[SEHTrajectPeriodeDatumTijdVan],"&lt;="&amp;($A277+13/24),tData[SEHTrajectPeriodeDatumTijdTotEnMet],"&gt;"&amp;($A277+13/24),tData[Langligger01],1)</f>
        <v/>
      </c>
      <c r="R277" s="20">
        <f>COUNTIFS(tData[SEHTrajectPeriodeDatumTijdVan],"&lt;="&amp;($A277+14/24),tData[SEHTrajectPeriodeDatumTijdTotEnMet],"&gt;"&amp;($A277+14/24),tData[Langligger01],1)</f>
        <v/>
      </c>
      <c r="S277" s="20">
        <f>COUNTIFS(tData[SEHTrajectPeriodeDatumTijdVan],"&lt;="&amp;($A277+15/24),tData[SEHTrajectPeriodeDatumTijdTotEnMet],"&gt;"&amp;($A277+15/24),tData[Langligger01],1)</f>
        <v/>
      </c>
      <c r="T277" s="20">
        <f>COUNTIFS(tData[SEHTrajectPeriodeDatumTijdVan],"&lt;="&amp;($A277+16/24),tData[SEHTrajectPeriodeDatumTijdTotEnMet],"&gt;"&amp;($A277+16/24),tData[Langligger01],1)</f>
        <v/>
      </c>
      <c r="U277" s="20">
        <f>COUNTIFS(tData[SEHTrajectPeriodeDatumTijdVan],"&lt;="&amp;($A277+17/24),tData[SEHTrajectPeriodeDatumTijdTotEnMet],"&gt;"&amp;($A277+17/24),tData[Langligger01],1)</f>
        <v/>
      </c>
      <c r="V277" s="20">
        <f>COUNTIFS(tData[SEHTrajectPeriodeDatumTijdVan],"&lt;="&amp;($A277+18/24),tData[SEHTrajectPeriodeDatumTijdTotEnMet],"&gt;"&amp;($A277+18/24),tData[Langligger01],1)</f>
        <v/>
      </c>
      <c r="W277" s="20">
        <f>COUNTIFS(tData[SEHTrajectPeriodeDatumTijdVan],"&lt;="&amp;($A277+19/24),tData[SEHTrajectPeriodeDatumTijdTotEnMet],"&gt;"&amp;($A277+19/24),tData[Langligger01],1)</f>
        <v/>
      </c>
      <c r="X277" s="20">
        <f>COUNTIFS(tData[SEHTrajectPeriodeDatumTijdVan],"&lt;="&amp;($A277+20/24),tData[SEHTrajectPeriodeDatumTijdTotEnMet],"&gt;"&amp;($A277+20/24),tData[Langligger01],1)</f>
        <v/>
      </c>
      <c r="Y277" s="20">
        <f>COUNTIFS(tData[SEHTrajectPeriodeDatumTijdVan],"&lt;="&amp;($A277+21/24),tData[SEHTrajectPeriodeDatumTijdTotEnMet],"&gt;"&amp;($A277+21/24),tData[Langligger01],1)</f>
        <v/>
      </c>
      <c r="Z277" s="20">
        <f>COUNTIFS(tData[SEHTrajectPeriodeDatumTijdVan],"&lt;="&amp;($A277+22/24),tData[SEHTrajectPeriodeDatumTijdTotEnMet],"&gt;"&amp;($A277+22/24),tData[Langligger01],1)</f>
        <v/>
      </c>
      <c r="AA277" s="20">
        <f>COUNTIFS(tData[SEHTrajectPeriodeDatumTijdVan],"&lt;="&amp;($A277+23/24),tData[SEHTrajectPeriodeDatumTijdTotEnMet],"&gt;"&amp;($A277+23/24),tData[Langligger01],1)</f>
        <v/>
      </c>
    </row>
    <row r="278">
      <c r="A278" s="19" t="n">
        <v>45566</v>
      </c>
      <c r="B278" s="15">
        <f>WEEKDAY($A278,2)</f>
        <v/>
      </c>
      <c r="C278" s="15">
        <f>IF(AND($A278&gt;=INT(Instellingen!$B$5),$A278&lt;=INT(Instellingen!$B$6)),1,0)</f>
        <v/>
      </c>
      <c r="D278" s="20">
        <f>COUNTIFS(tData[SEHTrajectPeriodeDatumTijdVan],"&lt;="&amp;($A278+0/24),tData[SEHTrajectPeriodeDatumTijdTotEnMet],"&gt;"&amp;($A278+0/24),tData[Langligger01],1)</f>
        <v/>
      </c>
      <c r="E278" s="20">
        <f>COUNTIFS(tData[SEHTrajectPeriodeDatumTijdVan],"&lt;="&amp;($A278+1/24),tData[SEHTrajectPeriodeDatumTijdTotEnMet],"&gt;"&amp;($A278+1/24),tData[Langligger01],1)</f>
        <v/>
      </c>
      <c r="F278" s="20">
        <f>COUNTIFS(tData[SEHTrajectPeriodeDatumTijdVan],"&lt;="&amp;($A278+2/24),tData[SEHTrajectPeriodeDatumTijdTotEnMet],"&gt;"&amp;($A278+2/24),tData[Langligger01],1)</f>
        <v/>
      </c>
      <c r="G278" s="20">
        <f>COUNTIFS(tData[SEHTrajectPeriodeDatumTijdVan],"&lt;="&amp;($A278+3/24),tData[SEHTrajectPeriodeDatumTijdTotEnMet],"&gt;"&amp;($A278+3/24),tData[Langligger01],1)</f>
        <v/>
      </c>
      <c r="H278" s="20">
        <f>COUNTIFS(tData[SEHTrajectPeriodeDatumTijdVan],"&lt;="&amp;($A278+4/24),tData[SEHTrajectPeriodeDatumTijdTotEnMet],"&gt;"&amp;($A278+4/24),tData[Langligger01],1)</f>
        <v/>
      </c>
      <c r="I278" s="20">
        <f>COUNTIFS(tData[SEHTrajectPeriodeDatumTijdVan],"&lt;="&amp;($A278+5/24),tData[SEHTrajectPeriodeDatumTijdTotEnMet],"&gt;"&amp;($A278+5/24),tData[Langligger01],1)</f>
        <v/>
      </c>
      <c r="J278" s="20">
        <f>COUNTIFS(tData[SEHTrajectPeriodeDatumTijdVan],"&lt;="&amp;($A278+6/24),tData[SEHTrajectPeriodeDatumTijdTotEnMet],"&gt;"&amp;($A278+6/24),tData[Langligger01],1)</f>
        <v/>
      </c>
      <c r="K278" s="20">
        <f>COUNTIFS(tData[SEHTrajectPeriodeDatumTijdVan],"&lt;="&amp;($A278+7/24),tData[SEHTrajectPeriodeDatumTijdTotEnMet],"&gt;"&amp;($A278+7/24),tData[Langligger01],1)</f>
        <v/>
      </c>
      <c r="L278" s="20">
        <f>COUNTIFS(tData[SEHTrajectPeriodeDatumTijdVan],"&lt;="&amp;($A278+8/24),tData[SEHTrajectPeriodeDatumTijdTotEnMet],"&gt;"&amp;($A278+8/24),tData[Langligger01],1)</f>
        <v/>
      </c>
      <c r="M278" s="20">
        <f>COUNTIFS(tData[SEHTrajectPeriodeDatumTijdVan],"&lt;="&amp;($A278+9/24),tData[SEHTrajectPeriodeDatumTijdTotEnMet],"&gt;"&amp;($A278+9/24),tData[Langligger01],1)</f>
        <v/>
      </c>
      <c r="N278" s="20">
        <f>COUNTIFS(tData[SEHTrajectPeriodeDatumTijdVan],"&lt;="&amp;($A278+10/24),tData[SEHTrajectPeriodeDatumTijdTotEnMet],"&gt;"&amp;($A278+10/24),tData[Langligger01],1)</f>
        <v/>
      </c>
      <c r="O278" s="20">
        <f>COUNTIFS(tData[SEHTrajectPeriodeDatumTijdVan],"&lt;="&amp;($A278+11/24),tData[SEHTrajectPeriodeDatumTijdTotEnMet],"&gt;"&amp;($A278+11/24),tData[Langligger01],1)</f>
        <v/>
      </c>
      <c r="P278" s="20">
        <f>COUNTIFS(tData[SEHTrajectPeriodeDatumTijdVan],"&lt;="&amp;($A278+12/24),tData[SEHTrajectPeriodeDatumTijdTotEnMet],"&gt;"&amp;($A278+12/24),tData[Langligger01],1)</f>
        <v/>
      </c>
      <c r="Q278" s="20">
        <f>COUNTIFS(tData[SEHTrajectPeriodeDatumTijdVan],"&lt;="&amp;($A278+13/24),tData[SEHTrajectPeriodeDatumTijdTotEnMet],"&gt;"&amp;($A278+13/24),tData[Langligger01],1)</f>
        <v/>
      </c>
      <c r="R278" s="20">
        <f>COUNTIFS(tData[SEHTrajectPeriodeDatumTijdVan],"&lt;="&amp;($A278+14/24),tData[SEHTrajectPeriodeDatumTijdTotEnMet],"&gt;"&amp;($A278+14/24),tData[Langligger01],1)</f>
        <v/>
      </c>
      <c r="S278" s="20">
        <f>COUNTIFS(tData[SEHTrajectPeriodeDatumTijdVan],"&lt;="&amp;($A278+15/24),tData[SEHTrajectPeriodeDatumTijdTotEnMet],"&gt;"&amp;($A278+15/24),tData[Langligger01],1)</f>
        <v/>
      </c>
      <c r="T278" s="20">
        <f>COUNTIFS(tData[SEHTrajectPeriodeDatumTijdVan],"&lt;="&amp;($A278+16/24),tData[SEHTrajectPeriodeDatumTijdTotEnMet],"&gt;"&amp;($A278+16/24),tData[Langligger01],1)</f>
        <v/>
      </c>
      <c r="U278" s="20">
        <f>COUNTIFS(tData[SEHTrajectPeriodeDatumTijdVan],"&lt;="&amp;($A278+17/24),tData[SEHTrajectPeriodeDatumTijdTotEnMet],"&gt;"&amp;($A278+17/24),tData[Langligger01],1)</f>
        <v/>
      </c>
      <c r="V278" s="20">
        <f>COUNTIFS(tData[SEHTrajectPeriodeDatumTijdVan],"&lt;="&amp;($A278+18/24),tData[SEHTrajectPeriodeDatumTijdTotEnMet],"&gt;"&amp;($A278+18/24),tData[Langligger01],1)</f>
        <v/>
      </c>
      <c r="W278" s="20">
        <f>COUNTIFS(tData[SEHTrajectPeriodeDatumTijdVan],"&lt;="&amp;($A278+19/24),tData[SEHTrajectPeriodeDatumTijdTotEnMet],"&gt;"&amp;($A278+19/24),tData[Langligger01],1)</f>
        <v/>
      </c>
      <c r="X278" s="20">
        <f>COUNTIFS(tData[SEHTrajectPeriodeDatumTijdVan],"&lt;="&amp;($A278+20/24),tData[SEHTrajectPeriodeDatumTijdTotEnMet],"&gt;"&amp;($A278+20/24),tData[Langligger01],1)</f>
        <v/>
      </c>
      <c r="Y278" s="20">
        <f>COUNTIFS(tData[SEHTrajectPeriodeDatumTijdVan],"&lt;="&amp;($A278+21/24),tData[SEHTrajectPeriodeDatumTijdTotEnMet],"&gt;"&amp;($A278+21/24),tData[Langligger01],1)</f>
        <v/>
      </c>
      <c r="Z278" s="20">
        <f>COUNTIFS(tData[SEHTrajectPeriodeDatumTijdVan],"&lt;="&amp;($A278+22/24),tData[SEHTrajectPeriodeDatumTijdTotEnMet],"&gt;"&amp;($A278+22/24),tData[Langligger01],1)</f>
        <v/>
      </c>
      <c r="AA278" s="20">
        <f>COUNTIFS(tData[SEHTrajectPeriodeDatumTijdVan],"&lt;="&amp;($A278+23/24),tData[SEHTrajectPeriodeDatumTijdTotEnMet],"&gt;"&amp;($A278+23/24),tData[Langligger01],1)</f>
        <v/>
      </c>
    </row>
    <row r="279">
      <c r="A279" s="19" t="n">
        <v>45567</v>
      </c>
      <c r="B279" s="15">
        <f>WEEKDAY($A279,2)</f>
        <v/>
      </c>
      <c r="C279" s="15">
        <f>IF(AND($A279&gt;=INT(Instellingen!$B$5),$A279&lt;=INT(Instellingen!$B$6)),1,0)</f>
        <v/>
      </c>
      <c r="D279" s="20">
        <f>COUNTIFS(tData[SEHTrajectPeriodeDatumTijdVan],"&lt;="&amp;($A279+0/24),tData[SEHTrajectPeriodeDatumTijdTotEnMet],"&gt;"&amp;($A279+0/24),tData[Langligger01],1)</f>
        <v/>
      </c>
      <c r="E279" s="20">
        <f>COUNTIFS(tData[SEHTrajectPeriodeDatumTijdVan],"&lt;="&amp;($A279+1/24),tData[SEHTrajectPeriodeDatumTijdTotEnMet],"&gt;"&amp;($A279+1/24),tData[Langligger01],1)</f>
        <v/>
      </c>
      <c r="F279" s="20">
        <f>COUNTIFS(tData[SEHTrajectPeriodeDatumTijdVan],"&lt;="&amp;($A279+2/24),tData[SEHTrajectPeriodeDatumTijdTotEnMet],"&gt;"&amp;($A279+2/24),tData[Langligger01],1)</f>
        <v/>
      </c>
      <c r="G279" s="20">
        <f>COUNTIFS(tData[SEHTrajectPeriodeDatumTijdVan],"&lt;="&amp;($A279+3/24),tData[SEHTrajectPeriodeDatumTijdTotEnMet],"&gt;"&amp;($A279+3/24),tData[Langligger01],1)</f>
        <v/>
      </c>
      <c r="H279" s="20">
        <f>COUNTIFS(tData[SEHTrajectPeriodeDatumTijdVan],"&lt;="&amp;($A279+4/24),tData[SEHTrajectPeriodeDatumTijdTotEnMet],"&gt;"&amp;($A279+4/24),tData[Langligger01],1)</f>
        <v/>
      </c>
      <c r="I279" s="20">
        <f>COUNTIFS(tData[SEHTrajectPeriodeDatumTijdVan],"&lt;="&amp;($A279+5/24),tData[SEHTrajectPeriodeDatumTijdTotEnMet],"&gt;"&amp;($A279+5/24),tData[Langligger01],1)</f>
        <v/>
      </c>
      <c r="J279" s="20">
        <f>COUNTIFS(tData[SEHTrajectPeriodeDatumTijdVan],"&lt;="&amp;($A279+6/24),tData[SEHTrajectPeriodeDatumTijdTotEnMet],"&gt;"&amp;($A279+6/24),tData[Langligger01],1)</f>
        <v/>
      </c>
      <c r="K279" s="20">
        <f>COUNTIFS(tData[SEHTrajectPeriodeDatumTijdVan],"&lt;="&amp;($A279+7/24),tData[SEHTrajectPeriodeDatumTijdTotEnMet],"&gt;"&amp;($A279+7/24),tData[Langligger01],1)</f>
        <v/>
      </c>
      <c r="L279" s="20">
        <f>COUNTIFS(tData[SEHTrajectPeriodeDatumTijdVan],"&lt;="&amp;($A279+8/24),tData[SEHTrajectPeriodeDatumTijdTotEnMet],"&gt;"&amp;($A279+8/24),tData[Langligger01],1)</f>
        <v/>
      </c>
      <c r="M279" s="20">
        <f>COUNTIFS(tData[SEHTrajectPeriodeDatumTijdVan],"&lt;="&amp;($A279+9/24),tData[SEHTrajectPeriodeDatumTijdTotEnMet],"&gt;"&amp;($A279+9/24),tData[Langligger01],1)</f>
        <v/>
      </c>
      <c r="N279" s="20">
        <f>COUNTIFS(tData[SEHTrajectPeriodeDatumTijdVan],"&lt;="&amp;($A279+10/24),tData[SEHTrajectPeriodeDatumTijdTotEnMet],"&gt;"&amp;($A279+10/24),tData[Langligger01],1)</f>
        <v/>
      </c>
      <c r="O279" s="20">
        <f>COUNTIFS(tData[SEHTrajectPeriodeDatumTijdVan],"&lt;="&amp;($A279+11/24),tData[SEHTrajectPeriodeDatumTijdTotEnMet],"&gt;"&amp;($A279+11/24),tData[Langligger01],1)</f>
        <v/>
      </c>
      <c r="P279" s="20">
        <f>COUNTIFS(tData[SEHTrajectPeriodeDatumTijdVan],"&lt;="&amp;($A279+12/24),tData[SEHTrajectPeriodeDatumTijdTotEnMet],"&gt;"&amp;($A279+12/24),tData[Langligger01],1)</f>
        <v/>
      </c>
      <c r="Q279" s="20">
        <f>COUNTIFS(tData[SEHTrajectPeriodeDatumTijdVan],"&lt;="&amp;($A279+13/24),tData[SEHTrajectPeriodeDatumTijdTotEnMet],"&gt;"&amp;($A279+13/24),tData[Langligger01],1)</f>
        <v/>
      </c>
      <c r="R279" s="20">
        <f>COUNTIFS(tData[SEHTrajectPeriodeDatumTijdVan],"&lt;="&amp;($A279+14/24),tData[SEHTrajectPeriodeDatumTijdTotEnMet],"&gt;"&amp;($A279+14/24),tData[Langligger01],1)</f>
        <v/>
      </c>
      <c r="S279" s="20">
        <f>COUNTIFS(tData[SEHTrajectPeriodeDatumTijdVan],"&lt;="&amp;($A279+15/24),tData[SEHTrajectPeriodeDatumTijdTotEnMet],"&gt;"&amp;($A279+15/24),tData[Langligger01],1)</f>
        <v/>
      </c>
      <c r="T279" s="20">
        <f>COUNTIFS(tData[SEHTrajectPeriodeDatumTijdVan],"&lt;="&amp;($A279+16/24),tData[SEHTrajectPeriodeDatumTijdTotEnMet],"&gt;"&amp;($A279+16/24),tData[Langligger01],1)</f>
        <v/>
      </c>
      <c r="U279" s="20">
        <f>COUNTIFS(tData[SEHTrajectPeriodeDatumTijdVan],"&lt;="&amp;($A279+17/24),tData[SEHTrajectPeriodeDatumTijdTotEnMet],"&gt;"&amp;($A279+17/24),tData[Langligger01],1)</f>
        <v/>
      </c>
      <c r="V279" s="20">
        <f>COUNTIFS(tData[SEHTrajectPeriodeDatumTijdVan],"&lt;="&amp;($A279+18/24),tData[SEHTrajectPeriodeDatumTijdTotEnMet],"&gt;"&amp;($A279+18/24),tData[Langligger01],1)</f>
        <v/>
      </c>
      <c r="W279" s="20">
        <f>COUNTIFS(tData[SEHTrajectPeriodeDatumTijdVan],"&lt;="&amp;($A279+19/24),tData[SEHTrajectPeriodeDatumTijdTotEnMet],"&gt;"&amp;($A279+19/24),tData[Langligger01],1)</f>
        <v/>
      </c>
      <c r="X279" s="20">
        <f>COUNTIFS(tData[SEHTrajectPeriodeDatumTijdVan],"&lt;="&amp;($A279+20/24),tData[SEHTrajectPeriodeDatumTijdTotEnMet],"&gt;"&amp;($A279+20/24),tData[Langligger01],1)</f>
        <v/>
      </c>
      <c r="Y279" s="20">
        <f>COUNTIFS(tData[SEHTrajectPeriodeDatumTijdVan],"&lt;="&amp;($A279+21/24),tData[SEHTrajectPeriodeDatumTijdTotEnMet],"&gt;"&amp;($A279+21/24),tData[Langligger01],1)</f>
        <v/>
      </c>
      <c r="Z279" s="20">
        <f>COUNTIFS(tData[SEHTrajectPeriodeDatumTijdVan],"&lt;="&amp;($A279+22/24),tData[SEHTrajectPeriodeDatumTijdTotEnMet],"&gt;"&amp;($A279+22/24),tData[Langligger01],1)</f>
        <v/>
      </c>
      <c r="AA279" s="20">
        <f>COUNTIFS(tData[SEHTrajectPeriodeDatumTijdVan],"&lt;="&amp;($A279+23/24),tData[SEHTrajectPeriodeDatumTijdTotEnMet],"&gt;"&amp;($A279+23/24),tData[Langligger01],1)</f>
        <v/>
      </c>
    </row>
    <row r="280">
      <c r="A280" s="19" t="n">
        <v>45568</v>
      </c>
      <c r="B280" s="15">
        <f>WEEKDAY($A280,2)</f>
        <v/>
      </c>
      <c r="C280" s="15">
        <f>IF(AND($A280&gt;=INT(Instellingen!$B$5),$A280&lt;=INT(Instellingen!$B$6)),1,0)</f>
        <v/>
      </c>
      <c r="D280" s="20">
        <f>COUNTIFS(tData[SEHTrajectPeriodeDatumTijdVan],"&lt;="&amp;($A280+0/24),tData[SEHTrajectPeriodeDatumTijdTotEnMet],"&gt;"&amp;($A280+0/24),tData[Langligger01],1)</f>
        <v/>
      </c>
      <c r="E280" s="20">
        <f>COUNTIFS(tData[SEHTrajectPeriodeDatumTijdVan],"&lt;="&amp;($A280+1/24),tData[SEHTrajectPeriodeDatumTijdTotEnMet],"&gt;"&amp;($A280+1/24),tData[Langligger01],1)</f>
        <v/>
      </c>
      <c r="F280" s="20">
        <f>COUNTIFS(tData[SEHTrajectPeriodeDatumTijdVan],"&lt;="&amp;($A280+2/24),tData[SEHTrajectPeriodeDatumTijdTotEnMet],"&gt;"&amp;($A280+2/24),tData[Langligger01],1)</f>
        <v/>
      </c>
      <c r="G280" s="20">
        <f>COUNTIFS(tData[SEHTrajectPeriodeDatumTijdVan],"&lt;="&amp;($A280+3/24),tData[SEHTrajectPeriodeDatumTijdTotEnMet],"&gt;"&amp;($A280+3/24),tData[Langligger01],1)</f>
        <v/>
      </c>
      <c r="H280" s="20">
        <f>COUNTIFS(tData[SEHTrajectPeriodeDatumTijdVan],"&lt;="&amp;($A280+4/24),tData[SEHTrajectPeriodeDatumTijdTotEnMet],"&gt;"&amp;($A280+4/24),tData[Langligger01],1)</f>
        <v/>
      </c>
      <c r="I280" s="20">
        <f>COUNTIFS(tData[SEHTrajectPeriodeDatumTijdVan],"&lt;="&amp;($A280+5/24),tData[SEHTrajectPeriodeDatumTijdTotEnMet],"&gt;"&amp;($A280+5/24),tData[Langligger01],1)</f>
        <v/>
      </c>
      <c r="J280" s="20">
        <f>COUNTIFS(tData[SEHTrajectPeriodeDatumTijdVan],"&lt;="&amp;($A280+6/24),tData[SEHTrajectPeriodeDatumTijdTotEnMet],"&gt;"&amp;($A280+6/24),tData[Langligger01],1)</f>
        <v/>
      </c>
      <c r="K280" s="20">
        <f>COUNTIFS(tData[SEHTrajectPeriodeDatumTijdVan],"&lt;="&amp;($A280+7/24),tData[SEHTrajectPeriodeDatumTijdTotEnMet],"&gt;"&amp;($A280+7/24),tData[Langligger01],1)</f>
        <v/>
      </c>
      <c r="L280" s="20">
        <f>COUNTIFS(tData[SEHTrajectPeriodeDatumTijdVan],"&lt;="&amp;($A280+8/24),tData[SEHTrajectPeriodeDatumTijdTotEnMet],"&gt;"&amp;($A280+8/24),tData[Langligger01],1)</f>
        <v/>
      </c>
      <c r="M280" s="20">
        <f>COUNTIFS(tData[SEHTrajectPeriodeDatumTijdVan],"&lt;="&amp;($A280+9/24),tData[SEHTrajectPeriodeDatumTijdTotEnMet],"&gt;"&amp;($A280+9/24),tData[Langligger01],1)</f>
        <v/>
      </c>
      <c r="N280" s="20">
        <f>COUNTIFS(tData[SEHTrajectPeriodeDatumTijdVan],"&lt;="&amp;($A280+10/24),tData[SEHTrajectPeriodeDatumTijdTotEnMet],"&gt;"&amp;($A280+10/24),tData[Langligger01],1)</f>
        <v/>
      </c>
      <c r="O280" s="20">
        <f>COUNTIFS(tData[SEHTrajectPeriodeDatumTijdVan],"&lt;="&amp;($A280+11/24),tData[SEHTrajectPeriodeDatumTijdTotEnMet],"&gt;"&amp;($A280+11/24),tData[Langligger01],1)</f>
        <v/>
      </c>
      <c r="P280" s="20">
        <f>COUNTIFS(tData[SEHTrajectPeriodeDatumTijdVan],"&lt;="&amp;($A280+12/24),tData[SEHTrajectPeriodeDatumTijdTotEnMet],"&gt;"&amp;($A280+12/24),tData[Langligger01],1)</f>
        <v/>
      </c>
      <c r="Q280" s="20">
        <f>COUNTIFS(tData[SEHTrajectPeriodeDatumTijdVan],"&lt;="&amp;($A280+13/24),tData[SEHTrajectPeriodeDatumTijdTotEnMet],"&gt;"&amp;($A280+13/24),tData[Langligger01],1)</f>
        <v/>
      </c>
      <c r="R280" s="20">
        <f>COUNTIFS(tData[SEHTrajectPeriodeDatumTijdVan],"&lt;="&amp;($A280+14/24),tData[SEHTrajectPeriodeDatumTijdTotEnMet],"&gt;"&amp;($A280+14/24),tData[Langligger01],1)</f>
        <v/>
      </c>
      <c r="S280" s="20">
        <f>COUNTIFS(tData[SEHTrajectPeriodeDatumTijdVan],"&lt;="&amp;($A280+15/24),tData[SEHTrajectPeriodeDatumTijdTotEnMet],"&gt;"&amp;($A280+15/24),tData[Langligger01],1)</f>
        <v/>
      </c>
      <c r="T280" s="20">
        <f>COUNTIFS(tData[SEHTrajectPeriodeDatumTijdVan],"&lt;="&amp;($A280+16/24),tData[SEHTrajectPeriodeDatumTijdTotEnMet],"&gt;"&amp;($A280+16/24),tData[Langligger01],1)</f>
        <v/>
      </c>
      <c r="U280" s="20">
        <f>COUNTIFS(tData[SEHTrajectPeriodeDatumTijdVan],"&lt;="&amp;($A280+17/24),tData[SEHTrajectPeriodeDatumTijdTotEnMet],"&gt;"&amp;($A280+17/24),tData[Langligger01],1)</f>
        <v/>
      </c>
      <c r="V280" s="20">
        <f>COUNTIFS(tData[SEHTrajectPeriodeDatumTijdVan],"&lt;="&amp;($A280+18/24),tData[SEHTrajectPeriodeDatumTijdTotEnMet],"&gt;"&amp;($A280+18/24),tData[Langligger01],1)</f>
        <v/>
      </c>
      <c r="W280" s="20">
        <f>COUNTIFS(tData[SEHTrajectPeriodeDatumTijdVan],"&lt;="&amp;($A280+19/24),tData[SEHTrajectPeriodeDatumTijdTotEnMet],"&gt;"&amp;($A280+19/24),tData[Langligger01],1)</f>
        <v/>
      </c>
      <c r="X280" s="20">
        <f>COUNTIFS(tData[SEHTrajectPeriodeDatumTijdVan],"&lt;="&amp;($A280+20/24),tData[SEHTrajectPeriodeDatumTijdTotEnMet],"&gt;"&amp;($A280+20/24),tData[Langligger01],1)</f>
        <v/>
      </c>
      <c r="Y280" s="20">
        <f>COUNTIFS(tData[SEHTrajectPeriodeDatumTijdVan],"&lt;="&amp;($A280+21/24),tData[SEHTrajectPeriodeDatumTijdTotEnMet],"&gt;"&amp;($A280+21/24),tData[Langligger01],1)</f>
        <v/>
      </c>
      <c r="Z280" s="20">
        <f>COUNTIFS(tData[SEHTrajectPeriodeDatumTijdVan],"&lt;="&amp;($A280+22/24),tData[SEHTrajectPeriodeDatumTijdTotEnMet],"&gt;"&amp;($A280+22/24),tData[Langligger01],1)</f>
        <v/>
      </c>
      <c r="AA280" s="20">
        <f>COUNTIFS(tData[SEHTrajectPeriodeDatumTijdVan],"&lt;="&amp;($A280+23/24),tData[SEHTrajectPeriodeDatumTijdTotEnMet],"&gt;"&amp;($A280+23/24),tData[Langligger01],1)</f>
        <v/>
      </c>
    </row>
    <row r="281">
      <c r="A281" s="19" t="n">
        <v>45569</v>
      </c>
      <c r="B281" s="15">
        <f>WEEKDAY($A281,2)</f>
        <v/>
      </c>
      <c r="C281" s="15">
        <f>IF(AND($A281&gt;=INT(Instellingen!$B$5),$A281&lt;=INT(Instellingen!$B$6)),1,0)</f>
        <v/>
      </c>
      <c r="D281" s="20">
        <f>COUNTIFS(tData[SEHTrajectPeriodeDatumTijdVan],"&lt;="&amp;($A281+0/24),tData[SEHTrajectPeriodeDatumTijdTotEnMet],"&gt;"&amp;($A281+0/24),tData[Langligger01],1)</f>
        <v/>
      </c>
      <c r="E281" s="20">
        <f>COUNTIFS(tData[SEHTrajectPeriodeDatumTijdVan],"&lt;="&amp;($A281+1/24),tData[SEHTrajectPeriodeDatumTijdTotEnMet],"&gt;"&amp;($A281+1/24),tData[Langligger01],1)</f>
        <v/>
      </c>
      <c r="F281" s="20">
        <f>COUNTIFS(tData[SEHTrajectPeriodeDatumTijdVan],"&lt;="&amp;($A281+2/24),tData[SEHTrajectPeriodeDatumTijdTotEnMet],"&gt;"&amp;($A281+2/24),tData[Langligger01],1)</f>
        <v/>
      </c>
      <c r="G281" s="20">
        <f>COUNTIFS(tData[SEHTrajectPeriodeDatumTijdVan],"&lt;="&amp;($A281+3/24),tData[SEHTrajectPeriodeDatumTijdTotEnMet],"&gt;"&amp;($A281+3/24),tData[Langligger01],1)</f>
        <v/>
      </c>
      <c r="H281" s="20">
        <f>COUNTIFS(tData[SEHTrajectPeriodeDatumTijdVan],"&lt;="&amp;($A281+4/24),tData[SEHTrajectPeriodeDatumTijdTotEnMet],"&gt;"&amp;($A281+4/24),tData[Langligger01],1)</f>
        <v/>
      </c>
      <c r="I281" s="20">
        <f>COUNTIFS(tData[SEHTrajectPeriodeDatumTijdVan],"&lt;="&amp;($A281+5/24),tData[SEHTrajectPeriodeDatumTijdTotEnMet],"&gt;"&amp;($A281+5/24),tData[Langligger01],1)</f>
        <v/>
      </c>
      <c r="J281" s="20">
        <f>COUNTIFS(tData[SEHTrajectPeriodeDatumTijdVan],"&lt;="&amp;($A281+6/24),tData[SEHTrajectPeriodeDatumTijdTotEnMet],"&gt;"&amp;($A281+6/24),tData[Langligger01],1)</f>
        <v/>
      </c>
      <c r="K281" s="20">
        <f>COUNTIFS(tData[SEHTrajectPeriodeDatumTijdVan],"&lt;="&amp;($A281+7/24),tData[SEHTrajectPeriodeDatumTijdTotEnMet],"&gt;"&amp;($A281+7/24),tData[Langligger01],1)</f>
        <v/>
      </c>
      <c r="L281" s="20">
        <f>COUNTIFS(tData[SEHTrajectPeriodeDatumTijdVan],"&lt;="&amp;($A281+8/24),tData[SEHTrajectPeriodeDatumTijdTotEnMet],"&gt;"&amp;($A281+8/24),tData[Langligger01],1)</f>
        <v/>
      </c>
      <c r="M281" s="20">
        <f>COUNTIFS(tData[SEHTrajectPeriodeDatumTijdVan],"&lt;="&amp;($A281+9/24),tData[SEHTrajectPeriodeDatumTijdTotEnMet],"&gt;"&amp;($A281+9/24),tData[Langligger01],1)</f>
        <v/>
      </c>
      <c r="N281" s="20">
        <f>COUNTIFS(tData[SEHTrajectPeriodeDatumTijdVan],"&lt;="&amp;($A281+10/24),tData[SEHTrajectPeriodeDatumTijdTotEnMet],"&gt;"&amp;($A281+10/24),tData[Langligger01],1)</f>
        <v/>
      </c>
      <c r="O281" s="20">
        <f>COUNTIFS(tData[SEHTrajectPeriodeDatumTijdVan],"&lt;="&amp;($A281+11/24),tData[SEHTrajectPeriodeDatumTijdTotEnMet],"&gt;"&amp;($A281+11/24),tData[Langligger01],1)</f>
        <v/>
      </c>
      <c r="P281" s="20">
        <f>COUNTIFS(tData[SEHTrajectPeriodeDatumTijdVan],"&lt;="&amp;($A281+12/24),tData[SEHTrajectPeriodeDatumTijdTotEnMet],"&gt;"&amp;($A281+12/24),tData[Langligger01],1)</f>
        <v/>
      </c>
      <c r="Q281" s="20">
        <f>COUNTIFS(tData[SEHTrajectPeriodeDatumTijdVan],"&lt;="&amp;($A281+13/24),tData[SEHTrajectPeriodeDatumTijdTotEnMet],"&gt;"&amp;($A281+13/24),tData[Langligger01],1)</f>
        <v/>
      </c>
      <c r="R281" s="20">
        <f>COUNTIFS(tData[SEHTrajectPeriodeDatumTijdVan],"&lt;="&amp;($A281+14/24),tData[SEHTrajectPeriodeDatumTijdTotEnMet],"&gt;"&amp;($A281+14/24),tData[Langligger01],1)</f>
        <v/>
      </c>
      <c r="S281" s="20">
        <f>COUNTIFS(tData[SEHTrajectPeriodeDatumTijdVan],"&lt;="&amp;($A281+15/24),tData[SEHTrajectPeriodeDatumTijdTotEnMet],"&gt;"&amp;($A281+15/24),tData[Langligger01],1)</f>
        <v/>
      </c>
      <c r="T281" s="20">
        <f>COUNTIFS(tData[SEHTrajectPeriodeDatumTijdVan],"&lt;="&amp;($A281+16/24),tData[SEHTrajectPeriodeDatumTijdTotEnMet],"&gt;"&amp;($A281+16/24),tData[Langligger01],1)</f>
        <v/>
      </c>
      <c r="U281" s="20">
        <f>COUNTIFS(tData[SEHTrajectPeriodeDatumTijdVan],"&lt;="&amp;($A281+17/24),tData[SEHTrajectPeriodeDatumTijdTotEnMet],"&gt;"&amp;($A281+17/24),tData[Langligger01],1)</f>
        <v/>
      </c>
      <c r="V281" s="20">
        <f>COUNTIFS(tData[SEHTrajectPeriodeDatumTijdVan],"&lt;="&amp;($A281+18/24),tData[SEHTrajectPeriodeDatumTijdTotEnMet],"&gt;"&amp;($A281+18/24),tData[Langligger01],1)</f>
        <v/>
      </c>
      <c r="W281" s="20">
        <f>COUNTIFS(tData[SEHTrajectPeriodeDatumTijdVan],"&lt;="&amp;($A281+19/24),tData[SEHTrajectPeriodeDatumTijdTotEnMet],"&gt;"&amp;($A281+19/24),tData[Langligger01],1)</f>
        <v/>
      </c>
      <c r="X281" s="20">
        <f>COUNTIFS(tData[SEHTrajectPeriodeDatumTijdVan],"&lt;="&amp;($A281+20/24),tData[SEHTrajectPeriodeDatumTijdTotEnMet],"&gt;"&amp;($A281+20/24),tData[Langligger01],1)</f>
        <v/>
      </c>
      <c r="Y281" s="20">
        <f>COUNTIFS(tData[SEHTrajectPeriodeDatumTijdVan],"&lt;="&amp;($A281+21/24),tData[SEHTrajectPeriodeDatumTijdTotEnMet],"&gt;"&amp;($A281+21/24),tData[Langligger01],1)</f>
        <v/>
      </c>
      <c r="Z281" s="20">
        <f>COUNTIFS(tData[SEHTrajectPeriodeDatumTijdVan],"&lt;="&amp;($A281+22/24),tData[SEHTrajectPeriodeDatumTijdTotEnMet],"&gt;"&amp;($A281+22/24),tData[Langligger01],1)</f>
        <v/>
      </c>
      <c r="AA281" s="20">
        <f>COUNTIFS(tData[SEHTrajectPeriodeDatumTijdVan],"&lt;="&amp;($A281+23/24),tData[SEHTrajectPeriodeDatumTijdTotEnMet],"&gt;"&amp;($A281+23/24),tData[Langligger01],1)</f>
        <v/>
      </c>
    </row>
    <row r="282">
      <c r="A282" s="19" t="n">
        <v>45570</v>
      </c>
      <c r="B282" s="15">
        <f>WEEKDAY($A282,2)</f>
        <v/>
      </c>
      <c r="C282" s="15">
        <f>IF(AND($A282&gt;=INT(Instellingen!$B$5),$A282&lt;=INT(Instellingen!$B$6)),1,0)</f>
        <v/>
      </c>
      <c r="D282" s="20">
        <f>COUNTIFS(tData[SEHTrajectPeriodeDatumTijdVan],"&lt;="&amp;($A282+0/24),tData[SEHTrajectPeriodeDatumTijdTotEnMet],"&gt;"&amp;($A282+0/24),tData[Langligger01],1)</f>
        <v/>
      </c>
      <c r="E282" s="20">
        <f>COUNTIFS(tData[SEHTrajectPeriodeDatumTijdVan],"&lt;="&amp;($A282+1/24),tData[SEHTrajectPeriodeDatumTijdTotEnMet],"&gt;"&amp;($A282+1/24),tData[Langligger01],1)</f>
        <v/>
      </c>
      <c r="F282" s="20">
        <f>COUNTIFS(tData[SEHTrajectPeriodeDatumTijdVan],"&lt;="&amp;($A282+2/24),tData[SEHTrajectPeriodeDatumTijdTotEnMet],"&gt;"&amp;($A282+2/24),tData[Langligger01],1)</f>
        <v/>
      </c>
      <c r="G282" s="20">
        <f>COUNTIFS(tData[SEHTrajectPeriodeDatumTijdVan],"&lt;="&amp;($A282+3/24),tData[SEHTrajectPeriodeDatumTijdTotEnMet],"&gt;"&amp;($A282+3/24),tData[Langligger01],1)</f>
        <v/>
      </c>
      <c r="H282" s="20">
        <f>COUNTIFS(tData[SEHTrajectPeriodeDatumTijdVan],"&lt;="&amp;($A282+4/24),tData[SEHTrajectPeriodeDatumTijdTotEnMet],"&gt;"&amp;($A282+4/24),tData[Langligger01],1)</f>
        <v/>
      </c>
      <c r="I282" s="20">
        <f>COUNTIFS(tData[SEHTrajectPeriodeDatumTijdVan],"&lt;="&amp;($A282+5/24),tData[SEHTrajectPeriodeDatumTijdTotEnMet],"&gt;"&amp;($A282+5/24),tData[Langligger01],1)</f>
        <v/>
      </c>
      <c r="J282" s="20">
        <f>COUNTIFS(tData[SEHTrajectPeriodeDatumTijdVan],"&lt;="&amp;($A282+6/24),tData[SEHTrajectPeriodeDatumTijdTotEnMet],"&gt;"&amp;($A282+6/24),tData[Langligger01],1)</f>
        <v/>
      </c>
      <c r="K282" s="20">
        <f>COUNTIFS(tData[SEHTrajectPeriodeDatumTijdVan],"&lt;="&amp;($A282+7/24),tData[SEHTrajectPeriodeDatumTijdTotEnMet],"&gt;"&amp;($A282+7/24),tData[Langligger01],1)</f>
        <v/>
      </c>
      <c r="L282" s="20">
        <f>COUNTIFS(tData[SEHTrajectPeriodeDatumTijdVan],"&lt;="&amp;($A282+8/24),tData[SEHTrajectPeriodeDatumTijdTotEnMet],"&gt;"&amp;($A282+8/24),tData[Langligger01],1)</f>
        <v/>
      </c>
      <c r="M282" s="20">
        <f>COUNTIFS(tData[SEHTrajectPeriodeDatumTijdVan],"&lt;="&amp;($A282+9/24),tData[SEHTrajectPeriodeDatumTijdTotEnMet],"&gt;"&amp;($A282+9/24),tData[Langligger01],1)</f>
        <v/>
      </c>
      <c r="N282" s="20">
        <f>COUNTIFS(tData[SEHTrajectPeriodeDatumTijdVan],"&lt;="&amp;($A282+10/24),tData[SEHTrajectPeriodeDatumTijdTotEnMet],"&gt;"&amp;($A282+10/24),tData[Langligger01],1)</f>
        <v/>
      </c>
      <c r="O282" s="20">
        <f>COUNTIFS(tData[SEHTrajectPeriodeDatumTijdVan],"&lt;="&amp;($A282+11/24),tData[SEHTrajectPeriodeDatumTijdTotEnMet],"&gt;"&amp;($A282+11/24),tData[Langligger01],1)</f>
        <v/>
      </c>
      <c r="P282" s="20">
        <f>COUNTIFS(tData[SEHTrajectPeriodeDatumTijdVan],"&lt;="&amp;($A282+12/24),tData[SEHTrajectPeriodeDatumTijdTotEnMet],"&gt;"&amp;($A282+12/24),tData[Langligger01],1)</f>
        <v/>
      </c>
      <c r="Q282" s="20">
        <f>COUNTIFS(tData[SEHTrajectPeriodeDatumTijdVan],"&lt;="&amp;($A282+13/24),tData[SEHTrajectPeriodeDatumTijdTotEnMet],"&gt;"&amp;($A282+13/24),tData[Langligger01],1)</f>
        <v/>
      </c>
      <c r="R282" s="20">
        <f>COUNTIFS(tData[SEHTrajectPeriodeDatumTijdVan],"&lt;="&amp;($A282+14/24),tData[SEHTrajectPeriodeDatumTijdTotEnMet],"&gt;"&amp;($A282+14/24),tData[Langligger01],1)</f>
        <v/>
      </c>
      <c r="S282" s="20">
        <f>COUNTIFS(tData[SEHTrajectPeriodeDatumTijdVan],"&lt;="&amp;($A282+15/24),tData[SEHTrajectPeriodeDatumTijdTotEnMet],"&gt;"&amp;($A282+15/24),tData[Langligger01],1)</f>
        <v/>
      </c>
      <c r="T282" s="20">
        <f>COUNTIFS(tData[SEHTrajectPeriodeDatumTijdVan],"&lt;="&amp;($A282+16/24),tData[SEHTrajectPeriodeDatumTijdTotEnMet],"&gt;"&amp;($A282+16/24),tData[Langligger01],1)</f>
        <v/>
      </c>
      <c r="U282" s="20">
        <f>COUNTIFS(tData[SEHTrajectPeriodeDatumTijdVan],"&lt;="&amp;($A282+17/24),tData[SEHTrajectPeriodeDatumTijdTotEnMet],"&gt;"&amp;($A282+17/24),tData[Langligger01],1)</f>
        <v/>
      </c>
      <c r="V282" s="20">
        <f>COUNTIFS(tData[SEHTrajectPeriodeDatumTijdVan],"&lt;="&amp;($A282+18/24),tData[SEHTrajectPeriodeDatumTijdTotEnMet],"&gt;"&amp;($A282+18/24),tData[Langligger01],1)</f>
        <v/>
      </c>
      <c r="W282" s="20">
        <f>COUNTIFS(tData[SEHTrajectPeriodeDatumTijdVan],"&lt;="&amp;($A282+19/24),tData[SEHTrajectPeriodeDatumTijdTotEnMet],"&gt;"&amp;($A282+19/24),tData[Langligger01],1)</f>
        <v/>
      </c>
      <c r="X282" s="20">
        <f>COUNTIFS(tData[SEHTrajectPeriodeDatumTijdVan],"&lt;="&amp;($A282+20/24),tData[SEHTrajectPeriodeDatumTijdTotEnMet],"&gt;"&amp;($A282+20/24),tData[Langligger01],1)</f>
        <v/>
      </c>
      <c r="Y282" s="20">
        <f>COUNTIFS(tData[SEHTrajectPeriodeDatumTijdVan],"&lt;="&amp;($A282+21/24),tData[SEHTrajectPeriodeDatumTijdTotEnMet],"&gt;"&amp;($A282+21/24),tData[Langligger01],1)</f>
        <v/>
      </c>
      <c r="Z282" s="20">
        <f>COUNTIFS(tData[SEHTrajectPeriodeDatumTijdVan],"&lt;="&amp;($A282+22/24),tData[SEHTrajectPeriodeDatumTijdTotEnMet],"&gt;"&amp;($A282+22/24),tData[Langligger01],1)</f>
        <v/>
      </c>
      <c r="AA282" s="20">
        <f>COUNTIFS(tData[SEHTrajectPeriodeDatumTijdVan],"&lt;="&amp;($A282+23/24),tData[SEHTrajectPeriodeDatumTijdTotEnMet],"&gt;"&amp;($A282+23/24),tData[Langligger01],1)</f>
        <v/>
      </c>
    </row>
    <row r="283">
      <c r="A283" s="19" t="n">
        <v>45571</v>
      </c>
      <c r="B283" s="15">
        <f>WEEKDAY($A283,2)</f>
        <v/>
      </c>
      <c r="C283" s="15">
        <f>IF(AND($A283&gt;=INT(Instellingen!$B$5),$A283&lt;=INT(Instellingen!$B$6)),1,0)</f>
        <v/>
      </c>
      <c r="D283" s="20">
        <f>COUNTIFS(tData[SEHTrajectPeriodeDatumTijdVan],"&lt;="&amp;($A283+0/24),tData[SEHTrajectPeriodeDatumTijdTotEnMet],"&gt;"&amp;($A283+0/24),tData[Langligger01],1)</f>
        <v/>
      </c>
      <c r="E283" s="20">
        <f>COUNTIFS(tData[SEHTrajectPeriodeDatumTijdVan],"&lt;="&amp;($A283+1/24),tData[SEHTrajectPeriodeDatumTijdTotEnMet],"&gt;"&amp;($A283+1/24),tData[Langligger01],1)</f>
        <v/>
      </c>
      <c r="F283" s="20">
        <f>COUNTIFS(tData[SEHTrajectPeriodeDatumTijdVan],"&lt;="&amp;($A283+2/24),tData[SEHTrajectPeriodeDatumTijdTotEnMet],"&gt;"&amp;($A283+2/24),tData[Langligger01],1)</f>
        <v/>
      </c>
      <c r="G283" s="20">
        <f>COUNTIFS(tData[SEHTrajectPeriodeDatumTijdVan],"&lt;="&amp;($A283+3/24),tData[SEHTrajectPeriodeDatumTijdTotEnMet],"&gt;"&amp;($A283+3/24),tData[Langligger01],1)</f>
        <v/>
      </c>
      <c r="H283" s="20">
        <f>COUNTIFS(tData[SEHTrajectPeriodeDatumTijdVan],"&lt;="&amp;($A283+4/24),tData[SEHTrajectPeriodeDatumTijdTotEnMet],"&gt;"&amp;($A283+4/24),tData[Langligger01],1)</f>
        <v/>
      </c>
      <c r="I283" s="20">
        <f>COUNTIFS(tData[SEHTrajectPeriodeDatumTijdVan],"&lt;="&amp;($A283+5/24),tData[SEHTrajectPeriodeDatumTijdTotEnMet],"&gt;"&amp;($A283+5/24),tData[Langligger01],1)</f>
        <v/>
      </c>
      <c r="J283" s="20">
        <f>COUNTIFS(tData[SEHTrajectPeriodeDatumTijdVan],"&lt;="&amp;($A283+6/24),tData[SEHTrajectPeriodeDatumTijdTotEnMet],"&gt;"&amp;($A283+6/24),tData[Langligger01],1)</f>
        <v/>
      </c>
      <c r="K283" s="20">
        <f>COUNTIFS(tData[SEHTrajectPeriodeDatumTijdVan],"&lt;="&amp;($A283+7/24),tData[SEHTrajectPeriodeDatumTijdTotEnMet],"&gt;"&amp;($A283+7/24),tData[Langligger01],1)</f>
        <v/>
      </c>
      <c r="L283" s="20">
        <f>COUNTIFS(tData[SEHTrajectPeriodeDatumTijdVan],"&lt;="&amp;($A283+8/24),tData[SEHTrajectPeriodeDatumTijdTotEnMet],"&gt;"&amp;($A283+8/24),tData[Langligger01],1)</f>
        <v/>
      </c>
      <c r="M283" s="20">
        <f>COUNTIFS(tData[SEHTrajectPeriodeDatumTijdVan],"&lt;="&amp;($A283+9/24),tData[SEHTrajectPeriodeDatumTijdTotEnMet],"&gt;"&amp;($A283+9/24),tData[Langligger01],1)</f>
        <v/>
      </c>
      <c r="N283" s="20">
        <f>COUNTIFS(tData[SEHTrajectPeriodeDatumTijdVan],"&lt;="&amp;($A283+10/24),tData[SEHTrajectPeriodeDatumTijdTotEnMet],"&gt;"&amp;($A283+10/24),tData[Langligger01],1)</f>
        <v/>
      </c>
      <c r="O283" s="20">
        <f>COUNTIFS(tData[SEHTrajectPeriodeDatumTijdVan],"&lt;="&amp;($A283+11/24),tData[SEHTrajectPeriodeDatumTijdTotEnMet],"&gt;"&amp;($A283+11/24),tData[Langligger01],1)</f>
        <v/>
      </c>
      <c r="P283" s="20">
        <f>COUNTIFS(tData[SEHTrajectPeriodeDatumTijdVan],"&lt;="&amp;($A283+12/24),tData[SEHTrajectPeriodeDatumTijdTotEnMet],"&gt;"&amp;($A283+12/24),tData[Langligger01],1)</f>
        <v/>
      </c>
      <c r="Q283" s="20">
        <f>COUNTIFS(tData[SEHTrajectPeriodeDatumTijdVan],"&lt;="&amp;($A283+13/24),tData[SEHTrajectPeriodeDatumTijdTotEnMet],"&gt;"&amp;($A283+13/24),tData[Langligger01],1)</f>
        <v/>
      </c>
      <c r="R283" s="20">
        <f>COUNTIFS(tData[SEHTrajectPeriodeDatumTijdVan],"&lt;="&amp;($A283+14/24),tData[SEHTrajectPeriodeDatumTijdTotEnMet],"&gt;"&amp;($A283+14/24),tData[Langligger01],1)</f>
        <v/>
      </c>
      <c r="S283" s="20">
        <f>COUNTIFS(tData[SEHTrajectPeriodeDatumTijdVan],"&lt;="&amp;($A283+15/24),tData[SEHTrajectPeriodeDatumTijdTotEnMet],"&gt;"&amp;($A283+15/24),tData[Langligger01],1)</f>
        <v/>
      </c>
      <c r="T283" s="20">
        <f>COUNTIFS(tData[SEHTrajectPeriodeDatumTijdVan],"&lt;="&amp;($A283+16/24),tData[SEHTrajectPeriodeDatumTijdTotEnMet],"&gt;"&amp;($A283+16/24),tData[Langligger01],1)</f>
        <v/>
      </c>
      <c r="U283" s="20">
        <f>COUNTIFS(tData[SEHTrajectPeriodeDatumTijdVan],"&lt;="&amp;($A283+17/24),tData[SEHTrajectPeriodeDatumTijdTotEnMet],"&gt;"&amp;($A283+17/24),tData[Langligger01],1)</f>
        <v/>
      </c>
      <c r="V283" s="20">
        <f>COUNTIFS(tData[SEHTrajectPeriodeDatumTijdVan],"&lt;="&amp;($A283+18/24),tData[SEHTrajectPeriodeDatumTijdTotEnMet],"&gt;"&amp;($A283+18/24),tData[Langligger01],1)</f>
        <v/>
      </c>
      <c r="W283" s="20">
        <f>COUNTIFS(tData[SEHTrajectPeriodeDatumTijdVan],"&lt;="&amp;($A283+19/24),tData[SEHTrajectPeriodeDatumTijdTotEnMet],"&gt;"&amp;($A283+19/24),tData[Langligger01],1)</f>
        <v/>
      </c>
      <c r="X283" s="20">
        <f>COUNTIFS(tData[SEHTrajectPeriodeDatumTijdVan],"&lt;="&amp;($A283+20/24),tData[SEHTrajectPeriodeDatumTijdTotEnMet],"&gt;"&amp;($A283+20/24),tData[Langligger01],1)</f>
        <v/>
      </c>
      <c r="Y283" s="20">
        <f>COUNTIFS(tData[SEHTrajectPeriodeDatumTijdVan],"&lt;="&amp;($A283+21/24),tData[SEHTrajectPeriodeDatumTijdTotEnMet],"&gt;"&amp;($A283+21/24),tData[Langligger01],1)</f>
        <v/>
      </c>
      <c r="Z283" s="20">
        <f>COUNTIFS(tData[SEHTrajectPeriodeDatumTijdVan],"&lt;="&amp;($A283+22/24),tData[SEHTrajectPeriodeDatumTijdTotEnMet],"&gt;"&amp;($A283+22/24),tData[Langligger01],1)</f>
        <v/>
      </c>
      <c r="AA283" s="20">
        <f>COUNTIFS(tData[SEHTrajectPeriodeDatumTijdVan],"&lt;="&amp;($A283+23/24),tData[SEHTrajectPeriodeDatumTijdTotEnMet],"&gt;"&amp;($A283+23/24),tData[Langligger01],1)</f>
        <v/>
      </c>
    </row>
    <row r="284">
      <c r="A284" s="19" t="n">
        <v>45572</v>
      </c>
      <c r="B284" s="15">
        <f>WEEKDAY($A284,2)</f>
        <v/>
      </c>
      <c r="C284" s="15">
        <f>IF(AND($A284&gt;=INT(Instellingen!$B$5),$A284&lt;=INT(Instellingen!$B$6)),1,0)</f>
        <v/>
      </c>
      <c r="D284" s="20">
        <f>COUNTIFS(tData[SEHTrajectPeriodeDatumTijdVan],"&lt;="&amp;($A284+0/24),tData[SEHTrajectPeriodeDatumTijdTotEnMet],"&gt;"&amp;($A284+0/24),tData[Langligger01],1)</f>
        <v/>
      </c>
      <c r="E284" s="20">
        <f>COUNTIFS(tData[SEHTrajectPeriodeDatumTijdVan],"&lt;="&amp;($A284+1/24),tData[SEHTrajectPeriodeDatumTijdTotEnMet],"&gt;"&amp;($A284+1/24),tData[Langligger01],1)</f>
        <v/>
      </c>
      <c r="F284" s="20">
        <f>COUNTIFS(tData[SEHTrajectPeriodeDatumTijdVan],"&lt;="&amp;($A284+2/24),tData[SEHTrajectPeriodeDatumTijdTotEnMet],"&gt;"&amp;($A284+2/24),tData[Langligger01],1)</f>
        <v/>
      </c>
      <c r="G284" s="20">
        <f>COUNTIFS(tData[SEHTrajectPeriodeDatumTijdVan],"&lt;="&amp;($A284+3/24),tData[SEHTrajectPeriodeDatumTijdTotEnMet],"&gt;"&amp;($A284+3/24),tData[Langligger01],1)</f>
        <v/>
      </c>
      <c r="H284" s="20">
        <f>COUNTIFS(tData[SEHTrajectPeriodeDatumTijdVan],"&lt;="&amp;($A284+4/24),tData[SEHTrajectPeriodeDatumTijdTotEnMet],"&gt;"&amp;($A284+4/24),tData[Langligger01],1)</f>
        <v/>
      </c>
      <c r="I284" s="20">
        <f>COUNTIFS(tData[SEHTrajectPeriodeDatumTijdVan],"&lt;="&amp;($A284+5/24),tData[SEHTrajectPeriodeDatumTijdTotEnMet],"&gt;"&amp;($A284+5/24),tData[Langligger01],1)</f>
        <v/>
      </c>
      <c r="J284" s="20">
        <f>COUNTIFS(tData[SEHTrajectPeriodeDatumTijdVan],"&lt;="&amp;($A284+6/24),tData[SEHTrajectPeriodeDatumTijdTotEnMet],"&gt;"&amp;($A284+6/24),tData[Langligger01],1)</f>
        <v/>
      </c>
      <c r="K284" s="20">
        <f>COUNTIFS(tData[SEHTrajectPeriodeDatumTijdVan],"&lt;="&amp;($A284+7/24),tData[SEHTrajectPeriodeDatumTijdTotEnMet],"&gt;"&amp;($A284+7/24),tData[Langligger01],1)</f>
        <v/>
      </c>
      <c r="L284" s="20">
        <f>COUNTIFS(tData[SEHTrajectPeriodeDatumTijdVan],"&lt;="&amp;($A284+8/24),tData[SEHTrajectPeriodeDatumTijdTotEnMet],"&gt;"&amp;($A284+8/24),tData[Langligger01],1)</f>
        <v/>
      </c>
      <c r="M284" s="20">
        <f>COUNTIFS(tData[SEHTrajectPeriodeDatumTijdVan],"&lt;="&amp;($A284+9/24),tData[SEHTrajectPeriodeDatumTijdTotEnMet],"&gt;"&amp;($A284+9/24),tData[Langligger01],1)</f>
        <v/>
      </c>
      <c r="N284" s="20">
        <f>COUNTIFS(tData[SEHTrajectPeriodeDatumTijdVan],"&lt;="&amp;($A284+10/24),tData[SEHTrajectPeriodeDatumTijdTotEnMet],"&gt;"&amp;($A284+10/24),tData[Langligger01],1)</f>
        <v/>
      </c>
      <c r="O284" s="20">
        <f>COUNTIFS(tData[SEHTrajectPeriodeDatumTijdVan],"&lt;="&amp;($A284+11/24),tData[SEHTrajectPeriodeDatumTijdTotEnMet],"&gt;"&amp;($A284+11/24),tData[Langligger01],1)</f>
        <v/>
      </c>
      <c r="P284" s="20">
        <f>COUNTIFS(tData[SEHTrajectPeriodeDatumTijdVan],"&lt;="&amp;($A284+12/24),tData[SEHTrajectPeriodeDatumTijdTotEnMet],"&gt;"&amp;($A284+12/24),tData[Langligger01],1)</f>
        <v/>
      </c>
      <c r="Q284" s="20">
        <f>COUNTIFS(tData[SEHTrajectPeriodeDatumTijdVan],"&lt;="&amp;($A284+13/24),tData[SEHTrajectPeriodeDatumTijdTotEnMet],"&gt;"&amp;($A284+13/24),tData[Langligger01],1)</f>
        <v/>
      </c>
      <c r="R284" s="20">
        <f>COUNTIFS(tData[SEHTrajectPeriodeDatumTijdVan],"&lt;="&amp;($A284+14/24),tData[SEHTrajectPeriodeDatumTijdTotEnMet],"&gt;"&amp;($A284+14/24),tData[Langligger01],1)</f>
        <v/>
      </c>
      <c r="S284" s="20">
        <f>COUNTIFS(tData[SEHTrajectPeriodeDatumTijdVan],"&lt;="&amp;($A284+15/24),tData[SEHTrajectPeriodeDatumTijdTotEnMet],"&gt;"&amp;($A284+15/24),tData[Langligger01],1)</f>
        <v/>
      </c>
      <c r="T284" s="20">
        <f>COUNTIFS(tData[SEHTrajectPeriodeDatumTijdVan],"&lt;="&amp;($A284+16/24),tData[SEHTrajectPeriodeDatumTijdTotEnMet],"&gt;"&amp;($A284+16/24),tData[Langligger01],1)</f>
        <v/>
      </c>
      <c r="U284" s="20">
        <f>COUNTIFS(tData[SEHTrajectPeriodeDatumTijdVan],"&lt;="&amp;($A284+17/24),tData[SEHTrajectPeriodeDatumTijdTotEnMet],"&gt;"&amp;($A284+17/24),tData[Langligger01],1)</f>
        <v/>
      </c>
      <c r="V284" s="20">
        <f>COUNTIFS(tData[SEHTrajectPeriodeDatumTijdVan],"&lt;="&amp;($A284+18/24),tData[SEHTrajectPeriodeDatumTijdTotEnMet],"&gt;"&amp;($A284+18/24),tData[Langligger01],1)</f>
        <v/>
      </c>
      <c r="W284" s="20">
        <f>COUNTIFS(tData[SEHTrajectPeriodeDatumTijdVan],"&lt;="&amp;($A284+19/24),tData[SEHTrajectPeriodeDatumTijdTotEnMet],"&gt;"&amp;($A284+19/24),tData[Langligger01],1)</f>
        <v/>
      </c>
      <c r="X284" s="20">
        <f>COUNTIFS(tData[SEHTrajectPeriodeDatumTijdVan],"&lt;="&amp;($A284+20/24),tData[SEHTrajectPeriodeDatumTijdTotEnMet],"&gt;"&amp;($A284+20/24),tData[Langligger01],1)</f>
        <v/>
      </c>
      <c r="Y284" s="20">
        <f>COUNTIFS(tData[SEHTrajectPeriodeDatumTijdVan],"&lt;="&amp;($A284+21/24),tData[SEHTrajectPeriodeDatumTijdTotEnMet],"&gt;"&amp;($A284+21/24),tData[Langligger01],1)</f>
        <v/>
      </c>
      <c r="Z284" s="20">
        <f>COUNTIFS(tData[SEHTrajectPeriodeDatumTijdVan],"&lt;="&amp;($A284+22/24),tData[SEHTrajectPeriodeDatumTijdTotEnMet],"&gt;"&amp;($A284+22/24),tData[Langligger01],1)</f>
        <v/>
      </c>
      <c r="AA284" s="20">
        <f>COUNTIFS(tData[SEHTrajectPeriodeDatumTijdVan],"&lt;="&amp;($A284+23/24),tData[SEHTrajectPeriodeDatumTijdTotEnMet],"&gt;"&amp;($A284+23/24),tData[Langligger01],1)</f>
        <v/>
      </c>
    </row>
    <row r="285">
      <c r="A285" s="19" t="n">
        <v>45573</v>
      </c>
      <c r="B285" s="15">
        <f>WEEKDAY($A285,2)</f>
        <v/>
      </c>
      <c r="C285" s="15">
        <f>IF(AND($A285&gt;=INT(Instellingen!$B$5),$A285&lt;=INT(Instellingen!$B$6)),1,0)</f>
        <v/>
      </c>
      <c r="D285" s="20">
        <f>COUNTIFS(tData[SEHTrajectPeriodeDatumTijdVan],"&lt;="&amp;($A285+0/24),tData[SEHTrajectPeriodeDatumTijdTotEnMet],"&gt;"&amp;($A285+0/24),tData[Langligger01],1)</f>
        <v/>
      </c>
      <c r="E285" s="20">
        <f>COUNTIFS(tData[SEHTrajectPeriodeDatumTijdVan],"&lt;="&amp;($A285+1/24),tData[SEHTrajectPeriodeDatumTijdTotEnMet],"&gt;"&amp;($A285+1/24),tData[Langligger01],1)</f>
        <v/>
      </c>
      <c r="F285" s="20">
        <f>COUNTIFS(tData[SEHTrajectPeriodeDatumTijdVan],"&lt;="&amp;($A285+2/24),tData[SEHTrajectPeriodeDatumTijdTotEnMet],"&gt;"&amp;($A285+2/24),tData[Langligger01],1)</f>
        <v/>
      </c>
      <c r="G285" s="20">
        <f>COUNTIFS(tData[SEHTrajectPeriodeDatumTijdVan],"&lt;="&amp;($A285+3/24),tData[SEHTrajectPeriodeDatumTijdTotEnMet],"&gt;"&amp;($A285+3/24),tData[Langligger01],1)</f>
        <v/>
      </c>
      <c r="H285" s="20">
        <f>COUNTIFS(tData[SEHTrajectPeriodeDatumTijdVan],"&lt;="&amp;($A285+4/24),tData[SEHTrajectPeriodeDatumTijdTotEnMet],"&gt;"&amp;($A285+4/24),tData[Langligger01],1)</f>
        <v/>
      </c>
      <c r="I285" s="20">
        <f>COUNTIFS(tData[SEHTrajectPeriodeDatumTijdVan],"&lt;="&amp;($A285+5/24),tData[SEHTrajectPeriodeDatumTijdTotEnMet],"&gt;"&amp;($A285+5/24),tData[Langligger01],1)</f>
        <v/>
      </c>
      <c r="J285" s="20">
        <f>COUNTIFS(tData[SEHTrajectPeriodeDatumTijdVan],"&lt;="&amp;($A285+6/24),tData[SEHTrajectPeriodeDatumTijdTotEnMet],"&gt;"&amp;($A285+6/24),tData[Langligger01],1)</f>
        <v/>
      </c>
      <c r="K285" s="20">
        <f>COUNTIFS(tData[SEHTrajectPeriodeDatumTijdVan],"&lt;="&amp;($A285+7/24),tData[SEHTrajectPeriodeDatumTijdTotEnMet],"&gt;"&amp;($A285+7/24),tData[Langligger01],1)</f>
        <v/>
      </c>
      <c r="L285" s="20">
        <f>COUNTIFS(tData[SEHTrajectPeriodeDatumTijdVan],"&lt;="&amp;($A285+8/24),tData[SEHTrajectPeriodeDatumTijdTotEnMet],"&gt;"&amp;($A285+8/24),tData[Langligger01],1)</f>
        <v/>
      </c>
      <c r="M285" s="20">
        <f>COUNTIFS(tData[SEHTrajectPeriodeDatumTijdVan],"&lt;="&amp;($A285+9/24),tData[SEHTrajectPeriodeDatumTijdTotEnMet],"&gt;"&amp;($A285+9/24),tData[Langligger01],1)</f>
        <v/>
      </c>
      <c r="N285" s="20">
        <f>COUNTIFS(tData[SEHTrajectPeriodeDatumTijdVan],"&lt;="&amp;($A285+10/24),tData[SEHTrajectPeriodeDatumTijdTotEnMet],"&gt;"&amp;($A285+10/24),tData[Langligger01],1)</f>
        <v/>
      </c>
      <c r="O285" s="20">
        <f>COUNTIFS(tData[SEHTrajectPeriodeDatumTijdVan],"&lt;="&amp;($A285+11/24),tData[SEHTrajectPeriodeDatumTijdTotEnMet],"&gt;"&amp;($A285+11/24),tData[Langligger01],1)</f>
        <v/>
      </c>
      <c r="P285" s="20">
        <f>COUNTIFS(tData[SEHTrajectPeriodeDatumTijdVan],"&lt;="&amp;($A285+12/24),tData[SEHTrajectPeriodeDatumTijdTotEnMet],"&gt;"&amp;($A285+12/24),tData[Langligger01],1)</f>
        <v/>
      </c>
      <c r="Q285" s="20">
        <f>COUNTIFS(tData[SEHTrajectPeriodeDatumTijdVan],"&lt;="&amp;($A285+13/24),tData[SEHTrajectPeriodeDatumTijdTotEnMet],"&gt;"&amp;($A285+13/24),tData[Langligger01],1)</f>
        <v/>
      </c>
      <c r="R285" s="20">
        <f>COUNTIFS(tData[SEHTrajectPeriodeDatumTijdVan],"&lt;="&amp;($A285+14/24),tData[SEHTrajectPeriodeDatumTijdTotEnMet],"&gt;"&amp;($A285+14/24),tData[Langligger01],1)</f>
        <v/>
      </c>
      <c r="S285" s="20">
        <f>COUNTIFS(tData[SEHTrajectPeriodeDatumTijdVan],"&lt;="&amp;($A285+15/24),tData[SEHTrajectPeriodeDatumTijdTotEnMet],"&gt;"&amp;($A285+15/24),tData[Langligger01],1)</f>
        <v/>
      </c>
      <c r="T285" s="20">
        <f>COUNTIFS(tData[SEHTrajectPeriodeDatumTijdVan],"&lt;="&amp;($A285+16/24),tData[SEHTrajectPeriodeDatumTijdTotEnMet],"&gt;"&amp;($A285+16/24),tData[Langligger01],1)</f>
        <v/>
      </c>
      <c r="U285" s="20">
        <f>COUNTIFS(tData[SEHTrajectPeriodeDatumTijdVan],"&lt;="&amp;($A285+17/24),tData[SEHTrajectPeriodeDatumTijdTotEnMet],"&gt;"&amp;($A285+17/24),tData[Langligger01],1)</f>
        <v/>
      </c>
      <c r="V285" s="20">
        <f>COUNTIFS(tData[SEHTrajectPeriodeDatumTijdVan],"&lt;="&amp;($A285+18/24),tData[SEHTrajectPeriodeDatumTijdTotEnMet],"&gt;"&amp;($A285+18/24),tData[Langligger01],1)</f>
        <v/>
      </c>
      <c r="W285" s="20">
        <f>COUNTIFS(tData[SEHTrajectPeriodeDatumTijdVan],"&lt;="&amp;($A285+19/24),tData[SEHTrajectPeriodeDatumTijdTotEnMet],"&gt;"&amp;($A285+19/24),tData[Langligger01],1)</f>
        <v/>
      </c>
      <c r="X285" s="20">
        <f>COUNTIFS(tData[SEHTrajectPeriodeDatumTijdVan],"&lt;="&amp;($A285+20/24),tData[SEHTrajectPeriodeDatumTijdTotEnMet],"&gt;"&amp;($A285+20/24),tData[Langligger01],1)</f>
        <v/>
      </c>
      <c r="Y285" s="20">
        <f>COUNTIFS(tData[SEHTrajectPeriodeDatumTijdVan],"&lt;="&amp;($A285+21/24),tData[SEHTrajectPeriodeDatumTijdTotEnMet],"&gt;"&amp;($A285+21/24),tData[Langligger01],1)</f>
        <v/>
      </c>
      <c r="Z285" s="20">
        <f>COUNTIFS(tData[SEHTrajectPeriodeDatumTijdVan],"&lt;="&amp;($A285+22/24),tData[SEHTrajectPeriodeDatumTijdTotEnMet],"&gt;"&amp;($A285+22/24),tData[Langligger01],1)</f>
        <v/>
      </c>
      <c r="AA285" s="20">
        <f>COUNTIFS(tData[SEHTrajectPeriodeDatumTijdVan],"&lt;="&amp;($A285+23/24),tData[SEHTrajectPeriodeDatumTijdTotEnMet],"&gt;"&amp;($A285+23/24),tData[Langligger01],1)</f>
        <v/>
      </c>
    </row>
    <row r="286">
      <c r="A286" s="19" t="n">
        <v>45574</v>
      </c>
      <c r="B286" s="15">
        <f>WEEKDAY($A286,2)</f>
        <v/>
      </c>
      <c r="C286" s="15">
        <f>IF(AND($A286&gt;=INT(Instellingen!$B$5),$A286&lt;=INT(Instellingen!$B$6)),1,0)</f>
        <v/>
      </c>
      <c r="D286" s="20">
        <f>COUNTIFS(tData[SEHTrajectPeriodeDatumTijdVan],"&lt;="&amp;($A286+0/24),tData[SEHTrajectPeriodeDatumTijdTotEnMet],"&gt;"&amp;($A286+0/24),tData[Langligger01],1)</f>
        <v/>
      </c>
      <c r="E286" s="20">
        <f>COUNTIFS(tData[SEHTrajectPeriodeDatumTijdVan],"&lt;="&amp;($A286+1/24),tData[SEHTrajectPeriodeDatumTijdTotEnMet],"&gt;"&amp;($A286+1/24),tData[Langligger01],1)</f>
        <v/>
      </c>
      <c r="F286" s="20">
        <f>COUNTIFS(tData[SEHTrajectPeriodeDatumTijdVan],"&lt;="&amp;($A286+2/24),tData[SEHTrajectPeriodeDatumTijdTotEnMet],"&gt;"&amp;($A286+2/24),tData[Langligger01],1)</f>
        <v/>
      </c>
      <c r="G286" s="20">
        <f>COUNTIFS(tData[SEHTrajectPeriodeDatumTijdVan],"&lt;="&amp;($A286+3/24),tData[SEHTrajectPeriodeDatumTijdTotEnMet],"&gt;"&amp;($A286+3/24),tData[Langligger01],1)</f>
        <v/>
      </c>
      <c r="H286" s="20">
        <f>COUNTIFS(tData[SEHTrajectPeriodeDatumTijdVan],"&lt;="&amp;($A286+4/24),tData[SEHTrajectPeriodeDatumTijdTotEnMet],"&gt;"&amp;($A286+4/24),tData[Langligger01],1)</f>
        <v/>
      </c>
      <c r="I286" s="20">
        <f>COUNTIFS(tData[SEHTrajectPeriodeDatumTijdVan],"&lt;="&amp;($A286+5/24),tData[SEHTrajectPeriodeDatumTijdTotEnMet],"&gt;"&amp;($A286+5/24),tData[Langligger01],1)</f>
        <v/>
      </c>
      <c r="J286" s="20">
        <f>COUNTIFS(tData[SEHTrajectPeriodeDatumTijdVan],"&lt;="&amp;($A286+6/24),tData[SEHTrajectPeriodeDatumTijdTotEnMet],"&gt;"&amp;($A286+6/24),tData[Langligger01],1)</f>
        <v/>
      </c>
      <c r="K286" s="20">
        <f>COUNTIFS(tData[SEHTrajectPeriodeDatumTijdVan],"&lt;="&amp;($A286+7/24),tData[SEHTrajectPeriodeDatumTijdTotEnMet],"&gt;"&amp;($A286+7/24),tData[Langligger01],1)</f>
        <v/>
      </c>
      <c r="L286" s="20">
        <f>COUNTIFS(tData[SEHTrajectPeriodeDatumTijdVan],"&lt;="&amp;($A286+8/24),tData[SEHTrajectPeriodeDatumTijdTotEnMet],"&gt;"&amp;($A286+8/24),tData[Langligger01],1)</f>
        <v/>
      </c>
      <c r="M286" s="20">
        <f>COUNTIFS(tData[SEHTrajectPeriodeDatumTijdVan],"&lt;="&amp;($A286+9/24),tData[SEHTrajectPeriodeDatumTijdTotEnMet],"&gt;"&amp;($A286+9/24),tData[Langligger01],1)</f>
        <v/>
      </c>
      <c r="N286" s="20">
        <f>COUNTIFS(tData[SEHTrajectPeriodeDatumTijdVan],"&lt;="&amp;($A286+10/24),tData[SEHTrajectPeriodeDatumTijdTotEnMet],"&gt;"&amp;($A286+10/24),tData[Langligger01],1)</f>
        <v/>
      </c>
      <c r="O286" s="20">
        <f>COUNTIFS(tData[SEHTrajectPeriodeDatumTijdVan],"&lt;="&amp;($A286+11/24),tData[SEHTrajectPeriodeDatumTijdTotEnMet],"&gt;"&amp;($A286+11/24),tData[Langligger01],1)</f>
        <v/>
      </c>
      <c r="P286" s="20">
        <f>COUNTIFS(tData[SEHTrajectPeriodeDatumTijdVan],"&lt;="&amp;($A286+12/24),tData[SEHTrajectPeriodeDatumTijdTotEnMet],"&gt;"&amp;($A286+12/24),tData[Langligger01],1)</f>
        <v/>
      </c>
      <c r="Q286" s="20">
        <f>COUNTIFS(tData[SEHTrajectPeriodeDatumTijdVan],"&lt;="&amp;($A286+13/24),tData[SEHTrajectPeriodeDatumTijdTotEnMet],"&gt;"&amp;($A286+13/24),tData[Langligger01],1)</f>
        <v/>
      </c>
      <c r="R286" s="20">
        <f>COUNTIFS(tData[SEHTrajectPeriodeDatumTijdVan],"&lt;="&amp;($A286+14/24),tData[SEHTrajectPeriodeDatumTijdTotEnMet],"&gt;"&amp;($A286+14/24),tData[Langligger01],1)</f>
        <v/>
      </c>
      <c r="S286" s="20">
        <f>COUNTIFS(tData[SEHTrajectPeriodeDatumTijdVan],"&lt;="&amp;($A286+15/24),tData[SEHTrajectPeriodeDatumTijdTotEnMet],"&gt;"&amp;($A286+15/24),tData[Langligger01],1)</f>
        <v/>
      </c>
      <c r="T286" s="20">
        <f>COUNTIFS(tData[SEHTrajectPeriodeDatumTijdVan],"&lt;="&amp;($A286+16/24),tData[SEHTrajectPeriodeDatumTijdTotEnMet],"&gt;"&amp;($A286+16/24),tData[Langligger01],1)</f>
        <v/>
      </c>
      <c r="U286" s="20">
        <f>COUNTIFS(tData[SEHTrajectPeriodeDatumTijdVan],"&lt;="&amp;($A286+17/24),tData[SEHTrajectPeriodeDatumTijdTotEnMet],"&gt;"&amp;($A286+17/24),tData[Langligger01],1)</f>
        <v/>
      </c>
      <c r="V286" s="20">
        <f>COUNTIFS(tData[SEHTrajectPeriodeDatumTijdVan],"&lt;="&amp;($A286+18/24),tData[SEHTrajectPeriodeDatumTijdTotEnMet],"&gt;"&amp;($A286+18/24),tData[Langligger01],1)</f>
        <v/>
      </c>
      <c r="W286" s="20">
        <f>COUNTIFS(tData[SEHTrajectPeriodeDatumTijdVan],"&lt;="&amp;($A286+19/24),tData[SEHTrajectPeriodeDatumTijdTotEnMet],"&gt;"&amp;($A286+19/24),tData[Langligger01],1)</f>
        <v/>
      </c>
      <c r="X286" s="20">
        <f>COUNTIFS(tData[SEHTrajectPeriodeDatumTijdVan],"&lt;="&amp;($A286+20/24),tData[SEHTrajectPeriodeDatumTijdTotEnMet],"&gt;"&amp;($A286+20/24),tData[Langligger01],1)</f>
        <v/>
      </c>
      <c r="Y286" s="20">
        <f>COUNTIFS(tData[SEHTrajectPeriodeDatumTijdVan],"&lt;="&amp;($A286+21/24),tData[SEHTrajectPeriodeDatumTijdTotEnMet],"&gt;"&amp;($A286+21/24),tData[Langligger01],1)</f>
        <v/>
      </c>
      <c r="Z286" s="20">
        <f>COUNTIFS(tData[SEHTrajectPeriodeDatumTijdVan],"&lt;="&amp;($A286+22/24),tData[SEHTrajectPeriodeDatumTijdTotEnMet],"&gt;"&amp;($A286+22/24),tData[Langligger01],1)</f>
        <v/>
      </c>
      <c r="AA286" s="20">
        <f>COUNTIFS(tData[SEHTrajectPeriodeDatumTijdVan],"&lt;="&amp;($A286+23/24),tData[SEHTrajectPeriodeDatumTijdTotEnMet],"&gt;"&amp;($A286+23/24),tData[Langligger01],1)</f>
        <v/>
      </c>
    </row>
    <row r="287">
      <c r="A287" s="19" t="n">
        <v>45575</v>
      </c>
      <c r="B287" s="15">
        <f>WEEKDAY($A287,2)</f>
        <v/>
      </c>
      <c r="C287" s="15">
        <f>IF(AND($A287&gt;=INT(Instellingen!$B$5),$A287&lt;=INT(Instellingen!$B$6)),1,0)</f>
        <v/>
      </c>
      <c r="D287" s="20">
        <f>COUNTIFS(tData[SEHTrajectPeriodeDatumTijdVan],"&lt;="&amp;($A287+0/24),tData[SEHTrajectPeriodeDatumTijdTotEnMet],"&gt;"&amp;($A287+0/24),tData[Langligger01],1)</f>
        <v/>
      </c>
      <c r="E287" s="20">
        <f>COUNTIFS(tData[SEHTrajectPeriodeDatumTijdVan],"&lt;="&amp;($A287+1/24),tData[SEHTrajectPeriodeDatumTijdTotEnMet],"&gt;"&amp;($A287+1/24),tData[Langligger01],1)</f>
        <v/>
      </c>
      <c r="F287" s="20">
        <f>COUNTIFS(tData[SEHTrajectPeriodeDatumTijdVan],"&lt;="&amp;($A287+2/24),tData[SEHTrajectPeriodeDatumTijdTotEnMet],"&gt;"&amp;($A287+2/24),tData[Langligger01],1)</f>
        <v/>
      </c>
      <c r="G287" s="20">
        <f>COUNTIFS(tData[SEHTrajectPeriodeDatumTijdVan],"&lt;="&amp;($A287+3/24),tData[SEHTrajectPeriodeDatumTijdTotEnMet],"&gt;"&amp;($A287+3/24),tData[Langligger01],1)</f>
        <v/>
      </c>
      <c r="H287" s="20">
        <f>COUNTIFS(tData[SEHTrajectPeriodeDatumTijdVan],"&lt;="&amp;($A287+4/24),tData[SEHTrajectPeriodeDatumTijdTotEnMet],"&gt;"&amp;($A287+4/24),tData[Langligger01],1)</f>
        <v/>
      </c>
      <c r="I287" s="20">
        <f>COUNTIFS(tData[SEHTrajectPeriodeDatumTijdVan],"&lt;="&amp;($A287+5/24),tData[SEHTrajectPeriodeDatumTijdTotEnMet],"&gt;"&amp;($A287+5/24),tData[Langligger01],1)</f>
        <v/>
      </c>
      <c r="J287" s="20">
        <f>COUNTIFS(tData[SEHTrajectPeriodeDatumTijdVan],"&lt;="&amp;($A287+6/24),tData[SEHTrajectPeriodeDatumTijdTotEnMet],"&gt;"&amp;($A287+6/24),tData[Langligger01],1)</f>
        <v/>
      </c>
      <c r="K287" s="20">
        <f>COUNTIFS(tData[SEHTrajectPeriodeDatumTijdVan],"&lt;="&amp;($A287+7/24),tData[SEHTrajectPeriodeDatumTijdTotEnMet],"&gt;"&amp;($A287+7/24),tData[Langligger01],1)</f>
        <v/>
      </c>
      <c r="L287" s="20">
        <f>COUNTIFS(tData[SEHTrajectPeriodeDatumTijdVan],"&lt;="&amp;($A287+8/24),tData[SEHTrajectPeriodeDatumTijdTotEnMet],"&gt;"&amp;($A287+8/24),tData[Langligger01],1)</f>
        <v/>
      </c>
      <c r="M287" s="20">
        <f>COUNTIFS(tData[SEHTrajectPeriodeDatumTijdVan],"&lt;="&amp;($A287+9/24),tData[SEHTrajectPeriodeDatumTijdTotEnMet],"&gt;"&amp;($A287+9/24),tData[Langligger01],1)</f>
        <v/>
      </c>
      <c r="N287" s="20">
        <f>COUNTIFS(tData[SEHTrajectPeriodeDatumTijdVan],"&lt;="&amp;($A287+10/24),tData[SEHTrajectPeriodeDatumTijdTotEnMet],"&gt;"&amp;($A287+10/24),tData[Langligger01],1)</f>
        <v/>
      </c>
      <c r="O287" s="20">
        <f>COUNTIFS(tData[SEHTrajectPeriodeDatumTijdVan],"&lt;="&amp;($A287+11/24),tData[SEHTrajectPeriodeDatumTijdTotEnMet],"&gt;"&amp;($A287+11/24),tData[Langligger01],1)</f>
        <v/>
      </c>
      <c r="P287" s="20">
        <f>COUNTIFS(tData[SEHTrajectPeriodeDatumTijdVan],"&lt;="&amp;($A287+12/24),tData[SEHTrajectPeriodeDatumTijdTotEnMet],"&gt;"&amp;($A287+12/24),tData[Langligger01],1)</f>
        <v/>
      </c>
      <c r="Q287" s="20">
        <f>COUNTIFS(tData[SEHTrajectPeriodeDatumTijdVan],"&lt;="&amp;($A287+13/24),tData[SEHTrajectPeriodeDatumTijdTotEnMet],"&gt;"&amp;($A287+13/24),tData[Langligger01],1)</f>
        <v/>
      </c>
      <c r="R287" s="20">
        <f>COUNTIFS(tData[SEHTrajectPeriodeDatumTijdVan],"&lt;="&amp;($A287+14/24),tData[SEHTrajectPeriodeDatumTijdTotEnMet],"&gt;"&amp;($A287+14/24),tData[Langligger01],1)</f>
        <v/>
      </c>
      <c r="S287" s="20">
        <f>COUNTIFS(tData[SEHTrajectPeriodeDatumTijdVan],"&lt;="&amp;($A287+15/24),tData[SEHTrajectPeriodeDatumTijdTotEnMet],"&gt;"&amp;($A287+15/24),tData[Langligger01],1)</f>
        <v/>
      </c>
      <c r="T287" s="20">
        <f>COUNTIFS(tData[SEHTrajectPeriodeDatumTijdVan],"&lt;="&amp;($A287+16/24),tData[SEHTrajectPeriodeDatumTijdTotEnMet],"&gt;"&amp;($A287+16/24),tData[Langligger01],1)</f>
        <v/>
      </c>
      <c r="U287" s="20">
        <f>COUNTIFS(tData[SEHTrajectPeriodeDatumTijdVan],"&lt;="&amp;($A287+17/24),tData[SEHTrajectPeriodeDatumTijdTotEnMet],"&gt;"&amp;($A287+17/24),tData[Langligger01],1)</f>
        <v/>
      </c>
      <c r="V287" s="20">
        <f>COUNTIFS(tData[SEHTrajectPeriodeDatumTijdVan],"&lt;="&amp;($A287+18/24),tData[SEHTrajectPeriodeDatumTijdTotEnMet],"&gt;"&amp;($A287+18/24),tData[Langligger01],1)</f>
        <v/>
      </c>
      <c r="W287" s="20">
        <f>COUNTIFS(tData[SEHTrajectPeriodeDatumTijdVan],"&lt;="&amp;($A287+19/24),tData[SEHTrajectPeriodeDatumTijdTotEnMet],"&gt;"&amp;($A287+19/24),tData[Langligger01],1)</f>
        <v/>
      </c>
      <c r="X287" s="20">
        <f>COUNTIFS(tData[SEHTrajectPeriodeDatumTijdVan],"&lt;="&amp;($A287+20/24),tData[SEHTrajectPeriodeDatumTijdTotEnMet],"&gt;"&amp;($A287+20/24),tData[Langligger01],1)</f>
        <v/>
      </c>
      <c r="Y287" s="20">
        <f>COUNTIFS(tData[SEHTrajectPeriodeDatumTijdVan],"&lt;="&amp;($A287+21/24),tData[SEHTrajectPeriodeDatumTijdTotEnMet],"&gt;"&amp;($A287+21/24),tData[Langligger01],1)</f>
        <v/>
      </c>
      <c r="Z287" s="20">
        <f>COUNTIFS(tData[SEHTrajectPeriodeDatumTijdVan],"&lt;="&amp;($A287+22/24),tData[SEHTrajectPeriodeDatumTijdTotEnMet],"&gt;"&amp;($A287+22/24),tData[Langligger01],1)</f>
        <v/>
      </c>
      <c r="AA287" s="20">
        <f>COUNTIFS(tData[SEHTrajectPeriodeDatumTijdVan],"&lt;="&amp;($A287+23/24),tData[SEHTrajectPeriodeDatumTijdTotEnMet],"&gt;"&amp;($A287+23/24),tData[Langligger01],1)</f>
        <v/>
      </c>
    </row>
    <row r="288">
      <c r="A288" s="19" t="n">
        <v>45576</v>
      </c>
      <c r="B288" s="15">
        <f>WEEKDAY($A288,2)</f>
        <v/>
      </c>
      <c r="C288" s="15">
        <f>IF(AND($A288&gt;=INT(Instellingen!$B$5),$A288&lt;=INT(Instellingen!$B$6)),1,0)</f>
        <v/>
      </c>
      <c r="D288" s="20">
        <f>COUNTIFS(tData[SEHTrajectPeriodeDatumTijdVan],"&lt;="&amp;($A288+0/24),tData[SEHTrajectPeriodeDatumTijdTotEnMet],"&gt;"&amp;($A288+0/24),tData[Langligger01],1)</f>
        <v/>
      </c>
      <c r="E288" s="20">
        <f>COUNTIFS(tData[SEHTrajectPeriodeDatumTijdVan],"&lt;="&amp;($A288+1/24),tData[SEHTrajectPeriodeDatumTijdTotEnMet],"&gt;"&amp;($A288+1/24),tData[Langligger01],1)</f>
        <v/>
      </c>
      <c r="F288" s="20">
        <f>COUNTIFS(tData[SEHTrajectPeriodeDatumTijdVan],"&lt;="&amp;($A288+2/24),tData[SEHTrajectPeriodeDatumTijdTotEnMet],"&gt;"&amp;($A288+2/24),tData[Langligger01],1)</f>
        <v/>
      </c>
      <c r="G288" s="20">
        <f>COUNTIFS(tData[SEHTrajectPeriodeDatumTijdVan],"&lt;="&amp;($A288+3/24),tData[SEHTrajectPeriodeDatumTijdTotEnMet],"&gt;"&amp;($A288+3/24),tData[Langligger01],1)</f>
        <v/>
      </c>
      <c r="H288" s="20">
        <f>COUNTIFS(tData[SEHTrajectPeriodeDatumTijdVan],"&lt;="&amp;($A288+4/24),tData[SEHTrajectPeriodeDatumTijdTotEnMet],"&gt;"&amp;($A288+4/24),tData[Langligger01],1)</f>
        <v/>
      </c>
      <c r="I288" s="20">
        <f>COUNTIFS(tData[SEHTrajectPeriodeDatumTijdVan],"&lt;="&amp;($A288+5/24),tData[SEHTrajectPeriodeDatumTijdTotEnMet],"&gt;"&amp;($A288+5/24),tData[Langligger01],1)</f>
        <v/>
      </c>
      <c r="J288" s="20">
        <f>COUNTIFS(tData[SEHTrajectPeriodeDatumTijdVan],"&lt;="&amp;($A288+6/24),tData[SEHTrajectPeriodeDatumTijdTotEnMet],"&gt;"&amp;($A288+6/24),tData[Langligger01],1)</f>
        <v/>
      </c>
      <c r="K288" s="20">
        <f>COUNTIFS(tData[SEHTrajectPeriodeDatumTijdVan],"&lt;="&amp;($A288+7/24),tData[SEHTrajectPeriodeDatumTijdTotEnMet],"&gt;"&amp;($A288+7/24),tData[Langligger01],1)</f>
        <v/>
      </c>
      <c r="L288" s="20">
        <f>COUNTIFS(tData[SEHTrajectPeriodeDatumTijdVan],"&lt;="&amp;($A288+8/24),tData[SEHTrajectPeriodeDatumTijdTotEnMet],"&gt;"&amp;($A288+8/24),tData[Langligger01],1)</f>
        <v/>
      </c>
      <c r="M288" s="20">
        <f>COUNTIFS(tData[SEHTrajectPeriodeDatumTijdVan],"&lt;="&amp;($A288+9/24),tData[SEHTrajectPeriodeDatumTijdTotEnMet],"&gt;"&amp;($A288+9/24),tData[Langligger01],1)</f>
        <v/>
      </c>
      <c r="N288" s="20">
        <f>COUNTIFS(tData[SEHTrajectPeriodeDatumTijdVan],"&lt;="&amp;($A288+10/24),tData[SEHTrajectPeriodeDatumTijdTotEnMet],"&gt;"&amp;($A288+10/24),tData[Langligger01],1)</f>
        <v/>
      </c>
      <c r="O288" s="20">
        <f>COUNTIFS(tData[SEHTrajectPeriodeDatumTijdVan],"&lt;="&amp;($A288+11/24),tData[SEHTrajectPeriodeDatumTijdTotEnMet],"&gt;"&amp;($A288+11/24),tData[Langligger01],1)</f>
        <v/>
      </c>
      <c r="P288" s="20">
        <f>COUNTIFS(tData[SEHTrajectPeriodeDatumTijdVan],"&lt;="&amp;($A288+12/24),tData[SEHTrajectPeriodeDatumTijdTotEnMet],"&gt;"&amp;($A288+12/24),tData[Langligger01],1)</f>
        <v/>
      </c>
      <c r="Q288" s="20">
        <f>COUNTIFS(tData[SEHTrajectPeriodeDatumTijdVan],"&lt;="&amp;($A288+13/24),tData[SEHTrajectPeriodeDatumTijdTotEnMet],"&gt;"&amp;($A288+13/24),tData[Langligger01],1)</f>
        <v/>
      </c>
      <c r="R288" s="20">
        <f>COUNTIFS(tData[SEHTrajectPeriodeDatumTijdVan],"&lt;="&amp;($A288+14/24),tData[SEHTrajectPeriodeDatumTijdTotEnMet],"&gt;"&amp;($A288+14/24),tData[Langligger01],1)</f>
        <v/>
      </c>
      <c r="S288" s="20">
        <f>COUNTIFS(tData[SEHTrajectPeriodeDatumTijdVan],"&lt;="&amp;($A288+15/24),tData[SEHTrajectPeriodeDatumTijdTotEnMet],"&gt;"&amp;($A288+15/24),tData[Langligger01],1)</f>
        <v/>
      </c>
      <c r="T288" s="20">
        <f>COUNTIFS(tData[SEHTrajectPeriodeDatumTijdVan],"&lt;="&amp;($A288+16/24),tData[SEHTrajectPeriodeDatumTijdTotEnMet],"&gt;"&amp;($A288+16/24),tData[Langligger01],1)</f>
        <v/>
      </c>
      <c r="U288" s="20">
        <f>COUNTIFS(tData[SEHTrajectPeriodeDatumTijdVan],"&lt;="&amp;($A288+17/24),tData[SEHTrajectPeriodeDatumTijdTotEnMet],"&gt;"&amp;($A288+17/24),tData[Langligger01],1)</f>
        <v/>
      </c>
      <c r="V288" s="20">
        <f>COUNTIFS(tData[SEHTrajectPeriodeDatumTijdVan],"&lt;="&amp;($A288+18/24),tData[SEHTrajectPeriodeDatumTijdTotEnMet],"&gt;"&amp;($A288+18/24),tData[Langligger01],1)</f>
        <v/>
      </c>
      <c r="W288" s="20">
        <f>COUNTIFS(tData[SEHTrajectPeriodeDatumTijdVan],"&lt;="&amp;($A288+19/24),tData[SEHTrajectPeriodeDatumTijdTotEnMet],"&gt;"&amp;($A288+19/24),tData[Langligger01],1)</f>
        <v/>
      </c>
      <c r="X288" s="20">
        <f>COUNTIFS(tData[SEHTrajectPeriodeDatumTijdVan],"&lt;="&amp;($A288+20/24),tData[SEHTrajectPeriodeDatumTijdTotEnMet],"&gt;"&amp;($A288+20/24),tData[Langligger01],1)</f>
        <v/>
      </c>
      <c r="Y288" s="20">
        <f>COUNTIFS(tData[SEHTrajectPeriodeDatumTijdVan],"&lt;="&amp;($A288+21/24),tData[SEHTrajectPeriodeDatumTijdTotEnMet],"&gt;"&amp;($A288+21/24),tData[Langligger01],1)</f>
        <v/>
      </c>
      <c r="Z288" s="20">
        <f>COUNTIFS(tData[SEHTrajectPeriodeDatumTijdVan],"&lt;="&amp;($A288+22/24),tData[SEHTrajectPeriodeDatumTijdTotEnMet],"&gt;"&amp;($A288+22/24),tData[Langligger01],1)</f>
        <v/>
      </c>
      <c r="AA288" s="20">
        <f>COUNTIFS(tData[SEHTrajectPeriodeDatumTijdVan],"&lt;="&amp;($A288+23/24),tData[SEHTrajectPeriodeDatumTijdTotEnMet],"&gt;"&amp;($A288+23/24),tData[Langligger01],1)</f>
        <v/>
      </c>
    </row>
    <row r="289">
      <c r="A289" s="19" t="n">
        <v>45577</v>
      </c>
      <c r="B289" s="15">
        <f>WEEKDAY($A289,2)</f>
        <v/>
      </c>
      <c r="C289" s="15">
        <f>IF(AND($A289&gt;=INT(Instellingen!$B$5),$A289&lt;=INT(Instellingen!$B$6)),1,0)</f>
        <v/>
      </c>
      <c r="D289" s="20">
        <f>COUNTIFS(tData[SEHTrajectPeriodeDatumTijdVan],"&lt;="&amp;($A289+0/24),tData[SEHTrajectPeriodeDatumTijdTotEnMet],"&gt;"&amp;($A289+0/24),tData[Langligger01],1)</f>
        <v/>
      </c>
      <c r="E289" s="20">
        <f>COUNTIFS(tData[SEHTrajectPeriodeDatumTijdVan],"&lt;="&amp;($A289+1/24),tData[SEHTrajectPeriodeDatumTijdTotEnMet],"&gt;"&amp;($A289+1/24),tData[Langligger01],1)</f>
        <v/>
      </c>
      <c r="F289" s="20">
        <f>COUNTIFS(tData[SEHTrajectPeriodeDatumTijdVan],"&lt;="&amp;($A289+2/24),tData[SEHTrajectPeriodeDatumTijdTotEnMet],"&gt;"&amp;($A289+2/24),tData[Langligger01],1)</f>
        <v/>
      </c>
      <c r="G289" s="20">
        <f>COUNTIFS(tData[SEHTrajectPeriodeDatumTijdVan],"&lt;="&amp;($A289+3/24),tData[SEHTrajectPeriodeDatumTijdTotEnMet],"&gt;"&amp;($A289+3/24),tData[Langligger01],1)</f>
        <v/>
      </c>
      <c r="H289" s="20">
        <f>COUNTIFS(tData[SEHTrajectPeriodeDatumTijdVan],"&lt;="&amp;($A289+4/24),tData[SEHTrajectPeriodeDatumTijdTotEnMet],"&gt;"&amp;($A289+4/24),tData[Langligger01],1)</f>
        <v/>
      </c>
      <c r="I289" s="20">
        <f>COUNTIFS(tData[SEHTrajectPeriodeDatumTijdVan],"&lt;="&amp;($A289+5/24),tData[SEHTrajectPeriodeDatumTijdTotEnMet],"&gt;"&amp;($A289+5/24),tData[Langligger01],1)</f>
        <v/>
      </c>
      <c r="J289" s="20">
        <f>COUNTIFS(tData[SEHTrajectPeriodeDatumTijdVan],"&lt;="&amp;($A289+6/24),tData[SEHTrajectPeriodeDatumTijdTotEnMet],"&gt;"&amp;($A289+6/24),tData[Langligger01],1)</f>
        <v/>
      </c>
      <c r="K289" s="20">
        <f>COUNTIFS(tData[SEHTrajectPeriodeDatumTijdVan],"&lt;="&amp;($A289+7/24),tData[SEHTrajectPeriodeDatumTijdTotEnMet],"&gt;"&amp;($A289+7/24),tData[Langligger01],1)</f>
        <v/>
      </c>
      <c r="L289" s="20">
        <f>COUNTIFS(tData[SEHTrajectPeriodeDatumTijdVan],"&lt;="&amp;($A289+8/24),tData[SEHTrajectPeriodeDatumTijdTotEnMet],"&gt;"&amp;($A289+8/24),tData[Langligger01],1)</f>
        <v/>
      </c>
      <c r="M289" s="20">
        <f>COUNTIFS(tData[SEHTrajectPeriodeDatumTijdVan],"&lt;="&amp;($A289+9/24),tData[SEHTrajectPeriodeDatumTijdTotEnMet],"&gt;"&amp;($A289+9/24),tData[Langligger01],1)</f>
        <v/>
      </c>
      <c r="N289" s="20">
        <f>COUNTIFS(tData[SEHTrajectPeriodeDatumTijdVan],"&lt;="&amp;($A289+10/24),tData[SEHTrajectPeriodeDatumTijdTotEnMet],"&gt;"&amp;($A289+10/24),tData[Langligger01],1)</f>
        <v/>
      </c>
      <c r="O289" s="20">
        <f>COUNTIFS(tData[SEHTrajectPeriodeDatumTijdVan],"&lt;="&amp;($A289+11/24),tData[SEHTrajectPeriodeDatumTijdTotEnMet],"&gt;"&amp;($A289+11/24),tData[Langligger01],1)</f>
        <v/>
      </c>
      <c r="P289" s="20">
        <f>COUNTIFS(tData[SEHTrajectPeriodeDatumTijdVan],"&lt;="&amp;($A289+12/24),tData[SEHTrajectPeriodeDatumTijdTotEnMet],"&gt;"&amp;($A289+12/24),tData[Langligger01],1)</f>
        <v/>
      </c>
      <c r="Q289" s="20">
        <f>COUNTIFS(tData[SEHTrajectPeriodeDatumTijdVan],"&lt;="&amp;($A289+13/24),tData[SEHTrajectPeriodeDatumTijdTotEnMet],"&gt;"&amp;($A289+13/24),tData[Langligger01],1)</f>
        <v/>
      </c>
      <c r="R289" s="20">
        <f>COUNTIFS(tData[SEHTrajectPeriodeDatumTijdVan],"&lt;="&amp;($A289+14/24),tData[SEHTrajectPeriodeDatumTijdTotEnMet],"&gt;"&amp;($A289+14/24),tData[Langligger01],1)</f>
        <v/>
      </c>
      <c r="S289" s="20">
        <f>COUNTIFS(tData[SEHTrajectPeriodeDatumTijdVan],"&lt;="&amp;($A289+15/24),tData[SEHTrajectPeriodeDatumTijdTotEnMet],"&gt;"&amp;($A289+15/24),tData[Langligger01],1)</f>
        <v/>
      </c>
      <c r="T289" s="20">
        <f>COUNTIFS(tData[SEHTrajectPeriodeDatumTijdVan],"&lt;="&amp;($A289+16/24),tData[SEHTrajectPeriodeDatumTijdTotEnMet],"&gt;"&amp;($A289+16/24),tData[Langligger01],1)</f>
        <v/>
      </c>
      <c r="U289" s="20">
        <f>COUNTIFS(tData[SEHTrajectPeriodeDatumTijdVan],"&lt;="&amp;($A289+17/24),tData[SEHTrajectPeriodeDatumTijdTotEnMet],"&gt;"&amp;($A289+17/24),tData[Langligger01],1)</f>
        <v/>
      </c>
      <c r="V289" s="20">
        <f>COUNTIFS(tData[SEHTrajectPeriodeDatumTijdVan],"&lt;="&amp;($A289+18/24),tData[SEHTrajectPeriodeDatumTijdTotEnMet],"&gt;"&amp;($A289+18/24),tData[Langligger01],1)</f>
        <v/>
      </c>
      <c r="W289" s="20">
        <f>COUNTIFS(tData[SEHTrajectPeriodeDatumTijdVan],"&lt;="&amp;($A289+19/24),tData[SEHTrajectPeriodeDatumTijdTotEnMet],"&gt;"&amp;($A289+19/24),tData[Langligger01],1)</f>
        <v/>
      </c>
      <c r="X289" s="20">
        <f>COUNTIFS(tData[SEHTrajectPeriodeDatumTijdVan],"&lt;="&amp;($A289+20/24),tData[SEHTrajectPeriodeDatumTijdTotEnMet],"&gt;"&amp;($A289+20/24),tData[Langligger01],1)</f>
        <v/>
      </c>
      <c r="Y289" s="20">
        <f>COUNTIFS(tData[SEHTrajectPeriodeDatumTijdVan],"&lt;="&amp;($A289+21/24),tData[SEHTrajectPeriodeDatumTijdTotEnMet],"&gt;"&amp;($A289+21/24),tData[Langligger01],1)</f>
        <v/>
      </c>
      <c r="Z289" s="20">
        <f>COUNTIFS(tData[SEHTrajectPeriodeDatumTijdVan],"&lt;="&amp;($A289+22/24),tData[SEHTrajectPeriodeDatumTijdTotEnMet],"&gt;"&amp;($A289+22/24),tData[Langligger01],1)</f>
        <v/>
      </c>
      <c r="AA289" s="20">
        <f>COUNTIFS(tData[SEHTrajectPeriodeDatumTijdVan],"&lt;="&amp;($A289+23/24),tData[SEHTrajectPeriodeDatumTijdTotEnMet],"&gt;"&amp;($A289+23/24),tData[Langligger01],1)</f>
        <v/>
      </c>
    </row>
    <row r="290">
      <c r="A290" s="19" t="n">
        <v>45578</v>
      </c>
      <c r="B290" s="15">
        <f>WEEKDAY($A290,2)</f>
        <v/>
      </c>
      <c r="C290" s="15">
        <f>IF(AND($A290&gt;=INT(Instellingen!$B$5),$A290&lt;=INT(Instellingen!$B$6)),1,0)</f>
        <v/>
      </c>
      <c r="D290" s="20">
        <f>COUNTIFS(tData[SEHTrajectPeriodeDatumTijdVan],"&lt;="&amp;($A290+0/24),tData[SEHTrajectPeriodeDatumTijdTotEnMet],"&gt;"&amp;($A290+0/24),tData[Langligger01],1)</f>
        <v/>
      </c>
      <c r="E290" s="20">
        <f>COUNTIFS(tData[SEHTrajectPeriodeDatumTijdVan],"&lt;="&amp;($A290+1/24),tData[SEHTrajectPeriodeDatumTijdTotEnMet],"&gt;"&amp;($A290+1/24),tData[Langligger01],1)</f>
        <v/>
      </c>
      <c r="F290" s="20">
        <f>COUNTIFS(tData[SEHTrajectPeriodeDatumTijdVan],"&lt;="&amp;($A290+2/24),tData[SEHTrajectPeriodeDatumTijdTotEnMet],"&gt;"&amp;($A290+2/24),tData[Langligger01],1)</f>
        <v/>
      </c>
      <c r="G290" s="20">
        <f>COUNTIFS(tData[SEHTrajectPeriodeDatumTijdVan],"&lt;="&amp;($A290+3/24),tData[SEHTrajectPeriodeDatumTijdTotEnMet],"&gt;"&amp;($A290+3/24),tData[Langligger01],1)</f>
        <v/>
      </c>
      <c r="H290" s="20">
        <f>COUNTIFS(tData[SEHTrajectPeriodeDatumTijdVan],"&lt;="&amp;($A290+4/24),tData[SEHTrajectPeriodeDatumTijdTotEnMet],"&gt;"&amp;($A290+4/24),tData[Langligger01],1)</f>
        <v/>
      </c>
      <c r="I290" s="20">
        <f>COUNTIFS(tData[SEHTrajectPeriodeDatumTijdVan],"&lt;="&amp;($A290+5/24),tData[SEHTrajectPeriodeDatumTijdTotEnMet],"&gt;"&amp;($A290+5/24),tData[Langligger01],1)</f>
        <v/>
      </c>
      <c r="J290" s="20">
        <f>COUNTIFS(tData[SEHTrajectPeriodeDatumTijdVan],"&lt;="&amp;($A290+6/24),tData[SEHTrajectPeriodeDatumTijdTotEnMet],"&gt;"&amp;($A290+6/24),tData[Langligger01],1)</f>
        <v/>
      </c>
      <c r="K290" s="20">
        <f>COUNTIFS(tData[SEHTrajectPeriodeDatumTijdVan],"&lt;="&amp;($A290+7/24),tData[SEHTrajectPeriodeDatumTijdTotEnMet],"&gt;"&amp;($A290+7/24),tData[Langligger01],1)</f>
        <v/>
      </c>
      <c r="L290" s="20">
        <f>COUNTIFS(tData[SEHTrajectPeriodeDatumTijdVan],"&lt;="&amp;($A290+8/24),tData[SEHTrajectPeriodeDatumTijdTotEnMet],"&gt;"&amp;($A290+8/24),tData[Langligger01],1)</f>
        <v/>
      </c>
      <c r="M290" s="20">
        <f>COUNTIFS(tData[SEHTrajectPeriodeDatumTijdVan],"&lt;="&amp;($A290+9/24),tData[SEHTrajectPeriodeDatumTijdTotEnMet],"&gt;"&amp;($A290+9/24),tData[Langligger01],1)</f>
        <v/>
      </c>
      <c r="N290" s="20">
        <f>COUNTIFS(tData[SEHTrajectPeriodeDatumTijdVan],"&lt;="&amp;($A290+10/24),tData[SEHTrajectPeriodeDatumTijdTotEnMet],"&gt;"&amp;($A290+10/24),tData[Langligger01],1)</f>
        <v/>
      </c>
      <c r="O290" s="20">
        <f>COUNTIFS(tData[SEHTrajectPeriodeDatumTijdVan],"&lt;="&amp;($A290+11/24),tData[SEHTrajectPeriodeDatumTijdTotEnMet],"&gt;"&amp;($A290+11/24),tData[Langligger01],1)</f>
        <v/>
      </c>
      <c r="P290" s="20">
        <f>COUNTIFS(tData[SEHTrajectPeriodeDatumTijdVan],"&lt;="&amp;($A290+12/24),tData[SEHTrajectPeriodeDatumTijdTotEnMet],"&gt;"&amp;($A290+12/24),tData[Langligger01],1)</f>
        <v/>
      </c>
      <c r="Q290" s="20">
        <f>COUNTIFS(tData[SEHTrajectPeriodeDatumTijdVan],"&lt;="&amp;($A290+13/24),tData[SEHTrajectPeriodeDatumTijdTotEnMet],"&gt;"&amp;($A290+13/24),tData[Langligger01],1)</f>
        <v/>
      </c>
      <c r="R290" s="20">
        <f>COUNTIFS(tData[SEHTrajectPeriodeDatumTijdVan],"&lt;="&amp;($A290+14/24),tData[SEHTrajectPeriodeDatumTijdTotEnMet],"&gt;"&amp;($A290+14/24),tData[Langligger01],1)</f>
        <v/>
      </c>
      <c r="S290" s="20">
        <f>COUNTIFS(tData[SEHTrajectPeriodeDatumTijdVan],"&lt;="&amp;($A290+15/24),tData[SEHTrajectPeriodeDatumTijdTotEnMet],"&gt;"&amp;($A290+15/24),tData[Langligger01],1)</f>
        <v/>
      </c>
      <c r="T290" s="20">
        <f>COUNTIFS(tData[SEHTrajectPeriodeDatumTijdVan],"&lt;="&amp;($A290+16/24),tData[SEHTrajectPeriodeDatumTijdTotEnMet],"&gt;"&amp;($A290+16/24),tData[Langligger01],1)</f>
        <v/>
      </c>
      <c r="U290" s="20">
        <f>COUNTIFS(tData[SEHTrajectPeriodeDatumTijdVan],"&lt;="&amp;($A290+17/24),tData[SEHTrajectPeriodeDatumTijdTotEnMet],"&gt;"&amp;($A290+17/24),tData[Langligger01],1)</f>
        <v/>
      </c>
      <c r="V290" s="20">
        <f>COUNTIFS(tData[SEHTrajectPeriodeDatumTijdVan],"&lt;="&amp;($A290+18/24),tData[SEHTrajectPeriodeDatumTijdTotEnMet],"&gt;"&amp;($A290+18/24),tData[Langligger01],1)</f>
        <v/>
      </c>
      <c r="W290" s="20">
        <f>COUNTIFS(tData[SEHTrajectPeriodeDatumTijdVan],"&lt;="&amp;($A290+19/24),tData[SEHTrajectPeriodeDatumTijdTotEnMet],"&gt;"&amp;($A290+19/24),tData[Langligger01],1)</f>
        <v/>
      </c>
      <c r="X290" s="20">
        <f>COUNTIFS(tData[SEHTrajectPeriodeDatumTijdVan],"&lt;="&amp;($A290+20/24),tData[SEHTrajectPeriodeDatumTijdTotEnMet],"&gt;"&amp;($A290+20/24),tData[Langligger01],1)</f>
        <v/>
      </c>
      <c r="Y290" s="20">
        <f>COUNTIFS(tData[SEHTrajectPeriodeDatumTijdVan],"&lt;="&amp;($A290+21/24),tData[SEHTrajectPeriodeDatumTijdTotEnMet],"&gt;"&amp;($A290+21/24),tData[Langligger01],1)</f>
        <v/>
      </c>
      <c r="Z290" s="20">
        <f>COUNTIFS(tData[SEHTrajectPeriodeDatumTijdVan],"&lt;="&amp;($A290+22/24),tData[SEHTrajectPeriodeDatumTijdTotEnMet],"&gt;"&amp;($A290+22/24),tData[Langligger01],1)</f>
        <v/>
      </c>
      <c r="AA290" s="20">
        <f>COUNTIFS(tData[SEHTrajectPeriodeDatumTijdVan],"&lt;="&amp;($A290+23/24),tData[SEHTrajectPeriodeDatumTijdTotEnMet],"&gt;"&amp;($A290+23/24),tData[Langligger01],1)</f>
        <v/>
      </c>
    </row>
    <row r="291">
      <c r="A291" s="19" t="n">
        <v>45579</v>
      </c>
      <c r="B291" s="15">
        <f>WEEKDAY($A291,2)</f>
        <v/>
      </c>
      <c r="C291" s="15">
        <f>IF(AND($A291&gt;=INT(Instellingen!$B$5),$A291&lt;=INT(Instellingen!$B$6)),1,0)</f>
        <v/>
      </c>
      <c r="D291" s="20">
        <f>COUNTIFS(tData[SEHTrajectPeriodeDatumTijdVan],"&lt;="&amp;($A291+0/24),tData[SEHTrajectPeriodeDatumTijdTotEnMet],"&gt;"&amp;($A291+0/24),tData[Langligger01],1)</f>
        <v/>
      </c>
      <c r="E291" s="20">
        <f>COUNTIFS(tData[SEHTrajectPeriodeDatumTijdVan],"&lt;="&amp;($A291+1/24),tData[SEHTrajectPeriodeDatumTijdTotEnMet],"&gt;"&amp;($A291+1/24),tData[Langligger01],1)</f>
        <v/>
      </c>
      <c r="F291" s="20">
        <f>COUNTIFS(tData[SEHTrajectPeriodeDatumTijdVan],"&lt;="&amp;($A291+2/24),tData[SEHTrajectPeriodeDatumTijdTotEnMet],"&gt;"&amp;($A291+2/24),tData[Langligger01],1)</f>
        <v/>
      </c>
      <c r="G291" s="20">
        <f>COUNTIFS(tData[SEHTrajectPeriodeDatumTijdVan],"&lt;="&amp;($A291+3/24),tData[SEHTrajectPeriodeDatumTijdTotEnMet],"&gt;"&amp;($A291+3/24),tData[Langligger01],1)</f>
        <v/>
      </c>
      <c r="H291" s="20">
        <f>COUNTIFS(tData[SEHTrajectPeriodeDatumTijdVan],"&lt;="&amp;($A291+4/24),tData[SEHTrajectPeriodeDatumTijdTotEnMet],"&gt;"&amp;($A291+4/24),tData[Langligger01],1)</f>
        <v/>
      </c>
      <c r="I291" s="20">
        <f>COUNTIFS(tData[SEHTrajectPeriodeDatumTijdVan],"&lt;="&amp;($A291+5/24),tData[SEHTrajectPeriodeDatumTijdTotEnMet],"&gt;"&amp;($A291+5/24),tData[Langligger01],1)</f>
        <v/>
      </c>
      <c r="J291" s="20">
        <f>COUNTIFS(tData[SEHTrajectPeriodeDatumTijdVan],"&lt;="&amp;($A291+6/24),tData[SEHTrajectPeriodeDatumTijdTotEnMet],"&gt;"&amp;($A291+6/24),tData[Langligger01],1)</f>
        <v/>
      </c>
      <c r="K291" s="20">
        <f>COUNTIFS(tData[SEHTrajectPeriodeDatumTijdVan],"&lt;="&amp;($A291+7/24),tData[SEHTrajectPeriodeDatumTijdTotEnMet],"&gt;"&amp;($A291+7/24),tData[Langligger01],1)</f>
        <v/>
      </c>
      <c r="L291" s="20">
        <f>COUNTIFS(tData[SEHTrajectPeriodeDatumTijdVan],"&lt;="&amp;($A291+8/24),tData[SEHTrajectPeriodeDatumTijdTotEnMet],"&gt;"&amp;($A291+8/24),tData[Langligger01],1)</f>
        <v/>
      </c>
      <c r="M291" s="20">
        <f>COUNTIFS(tData[SEHTrajectPeriodeDatumTijdVan],"&lt;="&amp;($A291+9/24),tData[SEHTrajectPeriodeDatumTijdTotEnMet],"&gt;"&amp;($A291+9/24),tData[Langligger01],1)</f>
        <v/>
      </c>
      <c r="N291" s="20">
        <f>COUNTIFS(tData[SEHTrajectPeriodeDatumTijdVan],"&lt;="&amp;($A291+10/24),tData[SEHTrajectPeriodeDatumTijdTotEnMet],"&gt;"&amp;($A291+10/24),tData[Langligger01],1)</f>
        <v/>
      </c>
      <c r="O291" s="20">
        <f>COUNTIFS(tData[SEHTrajectPeriodeDatumTijdVan],"&lt;="&amp;($A291+11/24),tData[SEHTrajectPeriodeDatumTijdTotEnMet],"&gt;"&amp;($A291+11/24),tData[Langligger01],1)</f>
        <v/>
      </c>
      <c r="P291" s="20">
        <f>COUNTIFS(tData[SEHTrajectPeriodeDatumTijdVan],"&lt;="&amp;($A291+12/24),tData[SEHTrajectPeriodeDatumTijdTotEnMet],"&gt;"&amp;($A291+12/24),tData[Langligger01],1)</f>
        <v/>
      </c>
      <c r="Q291" s="20">
        <f>COUNTIFS(tData[SEHTrajectPeriodeDatumTijdVan],"&lt;="&amp;($A291+13/24),tData[SEHTrajectPeriodeDatumTijdTotEnMet],"&gt;"&amp;($A291+13/24),tData[Langligger01],1)</f>
        <v/>
      </c>
      <c r="R291" s="20">
        <f>COUNTIFS(tData[SEHTrajectPeriodeDatumTijdVan],"&lt;="&amp;($A291+14/24),tData[SEHTrajectPeriodeDatumTijdTotEnMet],"&gt;"&amp;($A291+14/24),tData[Langligger01],1)</f>
        <v/>
      </c>
      <c r="S291" s="20">
        <f>COUNTIFS(tData[SEHTrajectPeriodeDatumTijdVan],"&lt;="&amp;($A291+15/24),tData[SEHTrajectPeriodeDatumTijdTotEnMet],"&gt;"&amp;($A291+15/24),tData[Langligger01],1)</f>
        <v/>
      </c>
      <c r="T291" s="20">
        <f>COUNTIFS(tData[SEHTrajectPeriodeDatumTijdVan],"&lt;="&amp;($A291+16/24),tData[SEHTrajectPeriodeDatumTijdTotEnMet],"&gt;"&amp;($A291+16/24),tData[Langligger01],1)</f>
        <v/>
      </c>
      <c r="U291" s="20">
        <f>COUNTIFS(tData[SEHTrajectPeriodeDatumTijdVan],"&lt;="&amp;($A291+17/24),tData[SEHTrajectPeriodeDatumTijdTotEnMet],"&gt;"&amp;($A291+17/24),tData[Langligger01],1)</f>
        <v/>
      </c>
      <c r="V291" s="20">
        <f>COUNTIFS(tData[SEHTrajectPeriodeDatumTijdVan],"&lt;="&amp;($A291+18/24),tData[SEHTrajectPeriodeDatumTijdTotEnMet],"&gt;"&amp;($A291+18/24),tData[Langligger01],1)</f>
        <v/>
      </c>
      <c r="W291" s="20">
        <f>COUNTIFS(tData[SEHTrajectPeriodeDatumTijdVan],"&lt;="&amp;($A291+19/24),tData[SEHTrajectPeriodeDatumTijdTotEnMet],"&gt;"&amp;($A291+19/24),tData[Langligger01],1)</f>
        <v/>
      </c>
      <c r="X291" s="20">
        <f>COUNTIFS(tData[SEHTrajectPeriodeDatumTijdVan],"&lt;="&amp;($A291+20/24),tData[SEHTrajectPeriodeDatumTijdTotEnMet],"&gt;"&amp;($A291+20/24),tData[Langligger01],1)</f>
        <v/>
      </c>
      <c r="Y291" s="20">
        <f>COUNTIFS(tData[SEHTrajectPeriodeDatumTijdVan],"&lt;="&amp;($A291+21/24),tData[SEHTrajectPeriodeDatumTijdTotEnMet],"&gt;"&amp;($A291+21/24),tData[Langligger01],1)</f>
        <v/>
      </c>
      <c r="Z291" s="20">
        <f>COUNTIFS(tData[SEHTrajectPeriodeDatumTijdVan],"&lt;="&amp;($A291+22/24),tData[SEHTrajectPeriodeDatumTijdTotEnMet],"&gt;"&amp;($A291+22/24),tData[Langligger01],1)</f>
        <v/>
      </c>
      <c r="AA291" s="20">
        <f>COUNTIFS(tData[SEHTrajectPeriodeDatumTijdVan],"&lt;="&amp;($A291+23/24),tData[SEHTrajectPeriodeDatumTijdTotEnMet],"&gt;"&amp;($A291+23/24),tData[Langligger01],1)</f>
        <v/>
      </c>
    </row>
    <row r="292">
      <c r="A292" s="19" t="n">
        <v>45580</v>
      </c>
      <c r="B292" s="15">
        <f>WEEKDAY($A292,2)</f>
        <v/>
      </c>
      <c r="C292" s="15">
        <f>IF(AND($A292&gt;=INT(Instellingen!$B$5),$A292&lt;=INT(Instellingen!$B$6)),1,0)</f>
        <v/>
      </c>
      <c r="D292" s="20">
        <f>COUNTIFS(tData[SEHTrajectPeriodeDatumTijdVan],"&lt;="&amp;($A292+0/24),tData[SEHTrajectPeriodeDatumTijdTotEnMet],"&gt;"&amp;($A292+0/24),tData[Langligger01],1)</f>
        <v/>
      </c>
      <c r="E292" s="20">
        <f>COUNTIFS(tData[SEHTrajectPeriodeDatumTijdVan],"&lt;="&amp;($A292+1/24),tData[SEHTrajectPeriodeDatumTijdTotEnMet],"&gt;"&amp;($A292+1/24),tData[Langligger01],1)</f>
        <v/>
      </c>
      <c r="F292" s="20">
        <f>COUNTIFS(tData[SEHTrajectPeriodeDatumTijdVan],"&lt;="&amp;($A292+2/24),tData[SEHTrajectPeriodeDatumTijdTotEnMet],"&gt;"&amp;($A292+2/24),tData[Langligger01],1)</f>
        <v/>
      </c>
      <c r="G292" s="20">
        <f>COUNTIFS(tData[SEHTrajectPeriodeDatumTijdVan],"&lt;="&amp;($A292+3/24),tData[SEHTrajectPeriodeDatumTijdTotEnMet],"&gt;"&amp;($A292+3/24),tData[Langligger01],1)</f>
        <v/>
      </c>
      <c r="H292" s="20">
        <f>COUNTIFS(tData[SEHTrajectPeriodeDatumTijdVan],"&lt;="&amp;($A292+4/24),tData[SEHTrajectPeriodeDatumTijdTotEnMet],"&gt;"&amp;($A292+4/24),tData[Langligger01],1)</f>
        <v/>
      </c>
      <c r="I292" s="20">
        <f>COUNTIFS(tData[SEHTrajectPeriodeDatumTijdVan],"&lt;="&amp;($A292+5/24),tData[SEHTrajectPeriodeDatumTijdTotEnMet],"&gt;"&amp;($A292+5/24),tData[Langligger01],1)</f>
        <v/>
      </c>
      <c r="J292" s="20">
        <f>COUNTIFS(tData[SEHTrajectPeriodeDatumTijdVan],"&lt;="&amp;($A292+6/24),tData[SEHTrajectPeriodeDatumTijdTotEnMet],"&gt;"&amp;($A292+6/24),tData[Langligger01],1)</f>
        <v/>
      </c>
      <c r="K292" s="20">
        <f>COUNTIFS(tData[SEHTrajectPeriodeDatumTijdVan],"&lt;="&amp;($A292+7/24),tData[SEHTrajectPeriodeDatumTijdTotEnMet],"&gt;"&amp;($A292+7/24),tData[Langligger01],1)</f>
        <v/>
      </c>
      <c r="L292" s="20">
        <f>COUNTIFS(tData[SEHTrajectPeriodeDatumTijdVan],"&lt;="&amp;($A292+8/24),tData[SEHTrajectPeriodeDatumTijdTotEnMet],"&gt;"&amp;($A292+8/24),tData[Langligger01],1)</f>
        <v/>
      </c>
      <c r="M292" s="20">
        <f>COUNTIFS(tData[SEHTrajectPeriodeDatumTijdVan],"&lt;="&amp;($A292+9/24),tData[SEHTrajectPeriodeDatumTijdTotEnMet],"&gt;"&amp;($A292+9/24),tData[Langligger01],1)</f>
        <v/>
      </c>
      <c r="N292" s="20">
        <f>COUNTIFS(tData[SEHTrajectPeriodeDatumTijdVan],"&lt;="&amp;($A292+10/24),tData[SEHTrajectPeriodeDatumTijdTotEnMet],"&gt;"&amp;($A292+10/24),tData[Langligger01],1)</f>
        <v/>
      </c>
      <c r="O292" s="20">
        <f>COUNTIFS(tData[SEHTrajectPeriodeDatumTijdVan],"&lt;="&amp;($A292+11/24),tData[SEHTrajectPeriodeDatumTijdTotEnMet],"&gt;"&amp;($A292+11/24),tData[Langligger01],1)</f>
        <v/>
      </c>
      <c r="P292" s="20">
        <f>COUNTIFS(tData[SEHTrajectPeriodeDatumTijdVan],"&lt;="&amp;($A292+12/24),tData[SEHTrajectPeriodeDatumTijdTotEnMet],"&gt;"&amp;($A292+12/24),tData[Langligger01],1)</f>
        <v/>
      </c>
      <c r="Q292" s="20">
        <f>COUNTIFS(tData[SEHTrajectPeriodeDatumTijdVan],"&lt;="&amp;($A292+13/24),tData[SEHTrajectPeriodeDatumTijdTotEnMet],"&gt;"&amp;($A292+13/24),tData[Langligger01],1)</f>
        <v/>
      </c>
      <c r="R292" s="20">
        <f>COUNTIFS(tData[SEHTrajectPeriodeDatumTijdVan],"&lt;="&amp;($A292+14/24),tData[SEHTrajectPeriodeDatumTijdTotEnMet],"&gt;"&amp;($A292+14/24),tData[Langligger01],1)</f>
        <v/>
      </c>
      <c r="S292" s="20">
        <f>COUNTIFS(tData[SEHTrajectPeriodeDatumTijdVan],"&lt;="&amp;($A292+15/24),tData[SEHTrajectPeriodeDatumTijdTotEnMet],"&gt;"&amp;($A292+15/24),tData[Langligger01],1)</f>
        <v/>
      </c>
      <c r="T292" s="20">
        <f>COUNTIFS(tData[SEHTrajectPeriodeDatumTijdVan],"&lt;="&amp;($A292+16/24),tData[SEHTrajectPeriodeDatumTijdTotEnMet],"&gt;"&amp;($A292+16/24),tData[Langligger01],1)</f>
        <v/>
      </c>
      <c r="U292" s="20">
        <f>COUNTIFS(tData[SEHTrajectPeriodeDatumTijdVan],"&lt;="&amp;($A292+17/24),tData[SEHTrajectPeriodeDatumTijdTotEnMet],"&gt;"&amp;($A292+17/24),tData[Langligger01],1)</f>
        <v/>
      </c>
      <c r="V292" s="20">
        <f>COUNTIFS(tData[SEHTrajectPeriodeDatumTijdVan],"&lt;="&amp;($A292+18/24),tData[SEHTrajectPeriodeDatumTijdTotEnMet],"&gt;"&amp;($A292+18/24),tData[Langligger01],1)</f>
        <v/>
      </c>
      <c r="W292" s="20">
        <f>COUNTIFS(tData[SEHTrajectPeriodeDatumTijdVan],"&lt;="&amp;($A292+19/24),tData[SEHTrajectPeriodeDatumTijdTotEnMet],"&gt;"&amp;($A292+19/24),tData[Langligger01],1)</f>
        <v/>
      </c>
      <c r="X292" s="20">
        <f>COUNTIFS(tData[SEHTrajectPeriodeDatumTijdVan],"&lt;="&amp;($A292+20/24),tData[SEHTrajectPeriodeDatumTijdTotEnMet],"&gt;"&amp;($A292+20/24),tData[Langligger01],1)</f>
        <v/>
      </c>
      <c r="Y292" s="20">
        <f>COUNTIFS(tData[SEHTrajectPeriodeDatumTijdVan],"&lt;="&amp;($A292+21/24),tData[SEHTrajectPeriodeDatumTijdTotEnMet],"&gt;"&amp;($A292+21/24),tData[Langligger01],1)</f>
        <v/>
      </c>
      <c r="Z292" s="20">
        <f>COUNTIFS(tData[SEHTrajectPeriodeDatumTijdVan],"&lt;="&amp;($A292+22/24),tData[SEHTrajectPeriodeDatumTijdTotEnMet],"&gt;"&amp;($A292+22/24),tData[Langligger01],1)</f>
        <v/>
      </c>
      <c r="AA292" s="20">
        <f>COUNTIFS(tData[SEHTrajectPeriodeDatumTijdVan],"&lt;="&amp;($A292+23/24),tData[SEHTrajectPeriodeDatumTijdTotEnMet],"&gt;"&amp;($A292+23/24),tData[Langligger01],1)</f>
        <v/>
      </c>
    </row>
    <row r="293">
      <c r="A293" s="19" t="n">
        <v>45581</v>
      </c>
      <c r="B293" s="15">
        <f>WEEKDAY($A293,2)</f>
        <v/>
      </c>
      <c r="C293" s="15">
        <f>IF(AND($A293&gt;=INT(Instellingen!$B$5),$A293&lt;=INT(Instellingen!$B$6)),1,0)</f>
        <v/>
      </c>
      <c r="D293" s="20">
        <f>COUNTIFS(tData[SEHTrajectPeriodeDatumTijdVan],"&lt;="&amp;($A293+0/24),tData[SEHTrajectPeriodeDatumTijdTotEnMet],"&gt;"&amp;($A293+0/24),tData[Langligger01],1)</f>
        <v/>
      </c>
      <c r="E293" s="20">
        <f>COUNTIFS(tData[SEHTrajectPeriodeDatumTijdVan],"&lt;="&amp;($A293+1/24),tData[SEHTrajectPeriodeDatumTijdTotEnMet],"&gt;"&amp;($A293+1/24),tData[Langligger01],1)</f>
        <v/>
      </c>
      <c r="F293" s="20">
        <f>COUNTIFS(tData[SEHTrajectPeriodeDatumTijdVan],"&lt;="&amp;($A293+2/24),tData[SEHTrajectPeriodeDatumTijdTotEnMet],"&gt;"&amp;($A293+2/24),tData[Langligger01],1)</f>
        <v/>
      </c>
      <c r="G293" s="20">
        <f>COUNTIFS(tData[SEHTrajectPeriodeDatumTijdVan],"&lt;="&amp;($A293+3/24),tData[SEHTrajectPeriodeDatumTijdTotEnMet],"&gt;"&amp;($A293+3/24),tData[Langligger01],1)</f>
        <v/>
      </c>
      <c r="H293" s="20">
        <f>COUNTIFS(tData[SEHTrajectPeriodeDatumTijdVan],"&lt;="&amp;($A293+4/24),tData[SEHTrajectPeriodeDatumTijdTotEnMet],"&gt;"&amp;($A293+4/24),tData[Langligger01],1)</f>
        <v/>
      </c>
      <c r="I293" s="20">
        <f>COUNTIFS(tData[SEHTrajectPeriodeDatumTijdVan],"&lt;="&amp;($A293+5/24),tData[SEHTrajectPeriodeDatumTijdTotEnMet],"&gt;"&amp;($A293+5/24),tData[Langligger01],1)</f>
        <v/>
      </c>
      <c r="J293" s="20">
        <f>COUNTIFS(tData[SEHTrajectPeriodeDatumTijdVan],"&lt;="&amp;($A293+6/24),tData[SEHTrajectPeriodeDatumTijdTotEnMet],"&gt;"&amp;($A293+6/24),tData[Langligger01],1)</f>
        <v/>
      </c>
      <c r="K293" s="20">
        <f>COUNTIFS(tData[SEHTrajectPeriodeDatumTijdVan],"&lt;="&amp;($A293+7/24),tData[SEHTrajectPeriodeDatumTijdTotEnMet],"&gt;"&amp;($A293+7/24),tData[Langligger01],1)</f>
        <v/>
      </c>
      <c r="L293" s="20">
        <f>COUNTIFS(tData[SEHTrajectPeriodeDatumTijdVan],"&lt;="&amp;($A293+8/24),tData[SEHTrajectPeriodeDatumTijdTotEnMet],"&gt;"&amp;($A293+8/24),tData[Langligger01],1)</f>
        <v/>
      </c>
      <c r="M293" s="20">
        <f>COUNTIFS(tData[SEHTrajectPeriodeDatumTijdVan],"&lt;="&amp;($A293+9/24),tData[SEHTrajectPeriodeDatumTijdTotEnMet],"&gt;"&amp;($A293+9/24),tData[Langligger01],1)</f>
        <v/>
      </c>
      <c r="N293" s="20">
        <f>COUNTIFS(tData[SEHTrajectPeriodeDatumTijdVan],"&lt;="&amp;($A293+10/24),tData[SEHTrajectPeriodeDatumTijdTotEnMet],"&gt;"&amp;($A293+10/24),tData[Langligger01],1)</f>
        <v/>
      </c>
      <c r="O293" s="20">
        <f>COUNTIFS(tData[SEHTrajectPeriodeDatumTijdVan],"&lt;="&amp;($A293+11/24),tData[SEHTrajectPeriodeDatumTijdTotEnMet],"&gt;"&amp;($A293+11/24),tData[Langligger01],1)</f>
        <v/>
      </c>
      <c r="P293" s="20">
        <f>COUNTIFS(tData[SEHTrajectPeriodeDatumTijdVan],"&lt;="&amp;($A293+12/24),tData[SEHTrajectPeriodeDatumTijdTotEnMet],"&gt;"&amp;($A293+12/24),tData[Langligger01],1)</f>
        <v/>
      </c>
      <c r="Q293" s="20">
        <f>COUNTIFS(tData[SEHTrajectPeriodeDatumTijdVan],"&lt;="&amp;($A293+13/24),tData[SEHTrajectPeriodeDatumTijdTotEnMet],"&gt;"&amp;($A293+13/24),tData[Langligger01],1)</f>
        <v/>
      </c>
      <c r="R293" s="20">
        <f>COUNTIFS(tData[SEHTrajectPeriodeDatumTijdVan],"&lt;="&amp;($A293+14/24),tData[SEHTrajectPeriodeDatumTijdTotEnMet],"&gt;"&amp;($A293+14/24),tData[Langligger01],1)</f>
        <v/>
      </c>
      <c r="S293" s="20">
        <f>COUNTIFS(tData[SEHTrajectPeriodeDatumTijdVan],"&lt;="&amp;($A293+15/24),tData[SEHTrajectPeriodeDatumTijdTotEnMet],"&gt;"&amp;($A293+15/24),tData[Langligger01],1)</f>
        <v/>
      </c>
      <c r="T293" s="20">
        <f>COUNTIFS(tData[SEHTrajectPeriodeDatumTijdVan],"&lt;="&amp;($A293+16/24),tData[SEHTrajectPeriodeDatumTijdTotEnMet],"&gt;"&amp;($A293+16/24),tData[Langligger01],1)</f>
        <v/>
      </c>
      <c r="U293" s="20">
        <f>COUNTIFS(tData[SEHTrajectPeriodeDatumTijdVan],"&lt;="&amp;($A293+17/24),tData[SEHTrajectPeriodeDatumTijdTotEnMet],"&gt;"&amp;($A293+17/24),tData[Langligger01],1)</f>
        <v/>
      </c>
      <c r="V293" s="20">
        <f>COUNTIFS(tData[SEHTrajectPeriodeDatumTijdVan],"&lt;="&amp;($A293+18/24),tData[SEHTrajectPeriodeDatumTijdTotEnMet],"&gt;"&amp;($A293+18/24),tData[Langligger01],1)</f>
        <v/>
      </c>
      <c r="W293" s="20">
        <f>COUNTIFS(tData[SEHTrajectPeriodeDatumTijdVan],"&lt;="&amp;($A293+19/24),tData[SEHTrajectPeriodeDatumTijdTotEnMet],"&gt;"&amp;($A293+19/24),tData[Langligger01],1)</f>
        <v/>
      </c>
      <c r="X293" s="20">
        <f>COUNTIFS(tData[SEHTrajectPeriodeDatumTijdVan],"&lt;="&amp;($A293+20/24),tData[SEHTrajectPeriodeDatumTijdTotEnMet],"&gt;"&amp;($A293+20/24),tData[Langligger01],1)</f>
        <v/>
      </c>
      <c r="Y293" s="20">
        <f>COUNTIFS(tData[SEHTrajectPeriodeDatumTijdVan],"&lt;="&amp;($A293+21/24),tData[SEHTrajectPeriodeDatumTijdTotEnMet],"&gt;"&amp;($A293+21/24),tData[Langligger01],1)</f>
        <v/>
      </c>
      <c r="Z293" s="20">
        <f>COUNTIFS(tData[SEHTrajectPeriodeDatumTijdVan],"&lt;="&amp;($A293+22/24),tData[SEHTrajectPeriodeDatumTijdTotEnMet],"&gt;"&amp;($A293+22/24),tData[Langligger01],1)</f>
        <v/>
      </c>
      <c r="AA293" s="20">
        <f>COUNTIFS(tData[SEHTrajectPeriodeDatumTijdVan],"&lt;="&amp;($A293+23/24),tData[SEHTrajectPeriodeDatumTijdTotEnMet],"&gt;"&amp;($A293+23/24),tData[Langligger01],1)</f>
        <v/>
      </c>
    </row>
    <row r="294">
      <c r="A294" s="19" t="n">
        <v>45582</v>
      </c>
      <c r="B294" s="15">
        <f>WEEKDAY($A294,2)</f>
        <v/>
      </c>
      <c r="C294" s="15">
        <f>IF(AND($A294&gt;=INT(Instellingen!$B$5),$A294&lt;=INT(Instellingen!$B$6)),1,0)</f>
        <v/>
      </c>
      <c r="D294" s="20">
        <f>COUNTIFS(tData[SEHTrajectPeriodeDatumTijdVan],"&lt;="&amp;($A294+0/24),tData[SEHTrajectPeriodeDatumTijdTotEnMet],"&gt;"&amp;($A294+0/24),tData[Langligger01],1)</f>
        <v/>
      </c>
      <c r="E294" s="20">
        <f>COUNTIFS(tData[SEHTrajectPeriodeDatumTijdVan],"&lt;="&amp;($A294+1/24),tData[SEHTrajectPeriodeDatumTijdTotEnMet],"&gt;"&amp;($A294+1/24),tData[Langligger01],1)</f>
        <v/>
      </c>
      <c r="F294" s="20">
        <f>COUNTIFS(tData[SEHTrajectPeriodeDatumTijdVan],"&lt;="&amp;($A294+2/24),tData[SEHTrajectPeriodeDatumTijdTotEnMet],"&gt;"&amp;($A294+2/24),tData[Langligger01],1)</f>
        <v/>
      </c>
      <c r="G294" s="20">
        <f>COUNTIFS(tData[SEHTrajectPeriodeDatumTijdVan],"&lt;="&amp;($A294+3/24),tData[SEHTrajectPeriodeDatumTijdTotEnMet],"&gt;"&amp;($A294+3/24),tData[Langligger01],1)</f>
        <v/>
      </c>
      <c r="H294" s="20">
        <f>COUNTIFS(tData[SEHTrajectPeriodeDatumTijdVan],"&lt;="&amp;($A294+4/24),tData[SEHTrajectPeriodeDatumTijdTotEnMet],"&gt;"&amp;($A294+4/24),tData[Langligger01],1)</f>
        <v/>
      </c>
      <c r="I294" s="20">
        <f>COUNTIFS(tData[SEHTrajectPeriodeDatumTijdVan],"&lt;="&amp;($A294+5/24),tData[SEHTrajectPeriodeDatumTijdTotEnMet],"&gt;"&amp;($A294+5/24),tData[Langligger01],1)</f>
        <v/>
      </c>
      <c r="J294" s="20">
        <f>COUNTIFS(tData[SEHTrajectPeriodeDatumTijdVan],"&lt;="&amp;($A294+6/24),tData[SEHTrajectPeriodeDatumTijdTotEnMet],"&gt;"&amp;($A294+6/24),tData[Langligger01],1)</f>
        <v/>
      </c>
      <c r="K294" s="20">
        <f>COUNTIFS(tData[SEHTrajectPeriodeDatumTijdVan],"&lt;="&amp;($A294+7/24),tData[SEHTrajectPeriodeDatumTijdTotEnMet],"&gt;"&amp;($A294+7/24),tData[Langligger01],1)</f>
        <v/>
      </c>
      <c r="L294" s="20">
        <f>COUNTIFS(tData[SEHTrajectPeriodeDatumTijdVan],"&lt;="&amp;($A294+8/24),tData[SEHTrajectPeriodeDatumTijdTotEnMet],"&gt;"&amp;($A294+8/24),tData[Langligger01],1)</f>
        <v/>
      </c>
      <c r="M294" s="20">
        <f>COUNTIFS(tData[SEHTrajectPeriodeDatumTijdVan],"&lt;="&amp;($A294+9/24),tData[SEHTrajectPeriodeDatumTijdTotEnMet],"&gt;"&amp;($A294+9/24),tData[Langligger01],1)</f>
        <v/>
      </c>
      <c r="N294" s="20">
        <f>COUNTIFS(tData[SEHTrajectPeriodeDatumTijdVan],"&lt;="&amp;($A294+10/24),tData[SEHTrajectPeriodeDatumTijdTotEnMet],"&gt;"&amp;($A294+10/24),tData[Langligger01],1)</f>
        <v/>
      </c>
      <c r="O294" s="20">
        <f>COUNTIFS(tData[SEHTrajectPeriodeDatumTijdVan],"&lt;="&amp;($A294+11/24),tData[SEHTrajectPeriodeDatumTijdTotEnMet],"&gt;"&amp;($A294+11/24),tData[Langligger01],1)</f>
        <v/>
      </c>
      <c r="P294" s="20">
        <f>COUNTIFS(tData[SEHTrajectPeriodeDatumTijdVan],"&lt;="&amp;($A294+12/24),tData[SEHTrajectPeriodeDatumTijdTotEnMet],"&gt;"&amp;($A294+12/24),tData[Langligger01],1)</f>
        <v/>
      </c>
      <c r="Q294" s="20">
        <f>COUNTIFS(tData[SEHTrajectPeriodeDatumTijdVan],"&lt;="&amp;($A294+13/24),tData[SEHTrajectPeriodeDatumTijdTotEnMet],"&gt;"&amp;($A294+13/24),tData[Langligger01],1)</f>
        <v/>
      </c>
      <c r="R294" s="20">
        <f>COUNTIFS(tData[SEHTrajectPeriodeDatumTijdVan],"&lt;="&amp;($A294+14/24),tData[SEHTrajectPeriodeDatumTijdTotEnMet],"&gt;"&amp;($A294+14/24),tData[Langligger01],1)</f>
        <v/>
      </c>
      <c r="S294" s="20">
        <f>COUNTIFS(tData[SEHTrajectPeriodeDatumTijdVan],"&lt;="&amp;($A294+15/24),tData[SEHTrajectPeriodeDatumTijdTotEnMet],"&gt;"&amp;($A294+15/24),tData[Langligger01],1)</f>
        <v/>
      </c>
      <c r="T294" s="20">
        <f>COUNTIFS(tData[SEHTrajectPeriodeDatumTijdVan],"&lt;="&amp;($A294+16/24),tData[SEHTrajectPeriodeDatumTijdTotEnMet],"&gt;"&amp;($A294+16/24),tData[Langligger01],1)</f>
        <v/>
      </c>
      <c r="U294" s="20">
        <f>COUNTIFS(tData[SEHTrajectPeriodeDatumTijdVan],"&lt;="&amp;($A294+17/24),tData[SEHTrajectPeriodeDatumTijdTotEnMet],"&gt;"&amp;($A294+17/24),tData[Langligger01],1)</f>
        <v/>
      </c>
      <c r="V294" s="20">
        <f>COUNTIFS(tData[SEHTrajectPeriodeDatumTijdVan],"&lt;="&amp;($A294+18/24),tData[SEHTrajectPeriodeDatumTijdTotEnMet],"&gt;"&amp;($A294+18/24),tData[Langligger01],1)</f>
        <v/>
      </c>
      <c r="W294" s="20">
        <f>COUNTIFS(tData[SEHTrajectPeriodeDatumTijdVan],"&lt;="&amp;($A294+19/24),tData[SEHTrajectPeriodeDatumTijdTotEnMet],"&gt;"&amp;($A294+19/24),tData[Langligger01],1)</f>
        <v/>
      </c>
      <c r="X294" s="20">
        <f>COUNTIFS(tData[SEHTrajectPeriodeDatumTijdVan],"&lt;="&amp;($A294+20/24),tData[SEHTrajectPeriodeDatumTijdTotEnMet],"&gt;"&amp;($A294+20/24),tData[Langligger01],1)</f>
        <v/>
      </c>
      <c r="Y294" s="20">
        <f>COUNTIFS(tData[SEHTrajectPeriodeDatumTijdVan],"&lt;="&amp;($A294+21/24),tData[SEHTrajectPeriodeDatumTijdTotEnMet],"&gt;"&amp;($A294+21/24),tData[Langligger01],1)</f>
        <v/>
      </c>
      <c r="Z294" s="20">
        <f>COUNTIFS(tData[SEHTrajectPeriodeDatumTijdVan],"&lt;="&amp;($A294+22/24),tData[SEHTrajectPeriodeDatumTijdTotEnMet],"&gt;"&amp;($A294+22/24),tData[Langligger01],1)</f>
        <v/>
      </c>
      <c r="AA294" s="20">
        <f>COUNTIFS(tData[SEHTrajectPeriodeDatumTijdVan],"&lt;="&amp;($A294+23/24),tData[SEHTrajectPeriodeDatumTijdTotEnMet],"&gt;"&amp;($A294+23/24),tData[Langligger01],1)</f>
        <v/>
      </c>
    </row>
    <row r="295">
      <c r="A295" s="19" t="n">
        <v>45583</v>
      </c>
      <c r="B295" s="15">
        <f>WEEKDAY($A295,2)</f>
        <v/>
      </c>
      <c r="C295" s="15">
        <f>IF(AND($A295&gt;=INT(Instellingen!$B$5),$A295&lt;=INT(Instellingen!$B$6)),1,0)</f>
        <v/>
      </c>
      <c r="D295" s="20">
        <f>COUNTIFS(tData[SEHTrajectPeriodeDatumTijdVan],"&lt;="&amp;($A295+0/24),tData[SEHTrajectPeriodeDatumTijdTotEnMet],"&gt;"&amp;($A295+0/24),tData[Langligger01],1)</f>
        <v/>
      </c>
      <c r="E295" s="20">
        <f>COUNTIFS(tData[SEHTrajectPeriodeDatumTijdVan],"&lt;="&amp;($A295+1/24),tData[SEHTrajectPeriodeDatumTijdTotEnMet],"&gt;"&amp;($A295+1/24),tData[Langligger01],1)</f>
        <v/>
      </c>
      <c r="F295" s="20">
        <f>COUNTIFS(tData[SEHTrajectPeriodeDatumTijdVan],"&lt;="&amp;($A295+2/24),tData[SEHTrajectPeriodeDatumTijdTotEnMet],"&gt;"&amp;($A295+2/24),tData[Langligger01],1)</f>
        <v/>
      </c>
      <c r="G295" s="20">
        <f>COUNTIFS(tData[SEHTrajectPeriodeDatumTijdVan],"&lt;="&amp;($A295+3/24),tData[SEHTrajectPeriodeDatumTijdTotEnMet],"&gt;"&amp;($A295+3/24),tData[Langligger01],1)</f>
        <v/>
      </c>
      <c r="H295" s="20">
        <f>COUNTIFS(tData[SEHTrajectPeriodeDatumTijdVan],"&lt;="&amp;($A295+4/24),tData[SEHTrajectPeriodeDatumTijdTotEnMet],"&gt;"&amp;($A295+4/24),tData[Langligger01],1)</f>
        <v/>
      </c>
      <c r="I295" s="20">
        <f>COUNTIFS(tData[SEHTrajectPeriodeDatumTijdVan],"&lt;="&amp;($A295+5/24),tData[SEHTrajectPeriodeDatumTijdTotEnMet],"&gt;"&amp;($A295+5/24),tData[Langligger01],1)</f>
        <v/>
      </c>
      <c r="J295" s="20">
        <f>COUNTIFS(tData[SEHTrajectPeriodeDatumTijdVan],"&lt;="&amp;($A295+6/24),tData[SEHTrajectPeriodeDatumTijdTotEnMet],"&gt;"&amp;($A295+6/24),tData[Langligger01],1)</f>
        <v/>
      </c>
      <c r="K295" s="20">
        <f>COUNTIFS(tData[SEHTrajectPeriodeDatumTijdVan],"&lt;="&amp;($A295+7/24),tData[SEHTrajectPeriodeDatumTijdTotEnMet],"&gt;"&amp;($A295+7/24),tData[Langligger01],1)</f>
        <v/>
      </c>
      <c r="L295" s="20">
        <f>COUNTIFS(tData[SEHTrajectPeriodeDatumTijdVan],"&lt;="&amp;($A295+8/24),tData[SEHTrajectPeriodeDatumTijdTotEnMet],"&gt;"&amp;($A295+8/24),tData[Langligger01],1)</f>
        <v/>
      </c>
      <c r="M295" s="20">
        <f>COUNTIFS(tData[SEHTrajectPeriodeDatumTijdVan],"&lt;="&amp;($A295+9/24),tData[SEHTrajectPeriodeDatumTijdTotEnMet],"&gt;"&amp;($A295+9/24),tData[Langligger01],1)</f>
        <v/>
      </c>
      <c r="N295" s="20">
        <f>COUNTIFS(tData[SEHTrajectPeriodeDatumTijdVan],"&lt;="&amp;($A295+10/24),tData[SEHTrajectPeriodeDatumTijdTotEnMet],"&gt;"&amp;($A295+10/24),tData[Langligger01],1)</f>
        <v/>
      </c>
      <c r="O295" s="20">
        <f>COUNTIFS(tData[SEHTrajectPeriodeDatumTijdVan],"&lt;="&amp;($A295+11/24),tData[SEHTrajectPeriodeDatumTijdTotEnMet],"&gt;"&amp;($A295+11/24),tData[Langligger01],1)</f>
        <v/>
      </c>
      <c r="P295" s="20">
        <f>COUNTIFS(tData[SEHTrajectPeriodeDatumTijdVan],"&lt;="&amp;($A295+12/24),tData[SEHTrajectPeriodeDatumTijdTotEnMet],"&gt;"&amp;($A295+12/24),tData[Langligger01],1)</f>
        <v/>
      </c>
      <c r="Q295" s="20">
        <f>COUNTIFS(tData[SEHTrajectPeriodeDatumTijdVan],"&lt;="&amp;($A295+13/24),tData[SEHTrajectPeriodeDatumTijdTotEnMet],"&gt;"&amp;($A295+13/24),tData[Langligger01],1)</f>
        <v/>
      </c>
      <c r="R295" s="20">
        <f>COUNTIFS(tData[SEHTrajectPeriodeDatumTijdVan],"&lt;="&amp;($A295+14/24),tData[SEHTrajectPeriodeDatumTijdTotEnMet],"&gt;"&amp;($A295+14/24),tData[Langligger01],1)</f>
        <v/>
      </c>
      <c r="S295" s="20">
        <f>COUNTIFS(tData[SEHTrajectPeriodeDatumTijdVan],"&lt;="&amp;($A295+15/24),tData[SEHTrajectPeriodeDatumTijdTotEnMet],"&gt;"&amp;($A295+15/24),tData[Langligger01],1)</f>
        <v/>
      </c>
      <c r="T295" s="20">
        <f>COUNTIFS(tData[SEHTrajectPeriodeDatumTijdVan],"&lt;="&amp;($A295+16/24),tData[SEHTrajectPeriodeDatumTijdTotEnMet],"&gt;"&amp;($A295+16/24),tData[Langligger01],1)</f>
        <v/>
      </c>
      <c r="U295" s="20">
        <f>COUNTIFS(tData[SEHTrajectPeriodeDatumTijdVan],"&lt;="&amp;($A295+17/24),tData[SEHTrajectPeriodeDatumTijdTotEnMet],"&gt;"&amp;($A295+17/24),tData[Langligger01],1)</f>
        <v/>
      </c>
      <c r="V295" s="20">
        <f>COUNTIFS(tData[SEHTrajectPeriodeDatumTijdVan],"&lt;="&amp;($A295+18/24),tData[SEHTrajectPeriodeDatumTijdTotEnMet],"&gt;"&amp;($A295+18/24),tData[Langligger01],1)</f>
        <v/>
      </c>
      <c r="W295" s="20">
        <f>COUNTIFS(tData[SEHTrajectPeriodeDatumTijdVan],"&lt;="&amp;($A295+19/24),tData[SEHTrajectPeriodeDatumTijdTotEnMet],"&gt;"&amp;($A295+19/24),tData[Langligger01],1)</f>
        <v/>
      </c>
      <c r="X295" s="20">
        <f>COUNTIFS(tData[SEHTrajectPeriodeDatumTijdVan],"&lt;="&amp;($A295+20/24),tData[SEHTrajectPeriodeDatumTijdTotEnMet],"&gt;"&amp;($A295+20/24),tData[Langligger01],1)</f>
        <v/>
      </c>
      <c r="Y295" s="20">
        <f>COUNTIFS(tData[SEHTrajectPeriodeDatumTijdVan],"&lt;="&amp;($A295+21/24),tData[SEHTrajectPeriodeDatumTijdTotEnMet],"&gt;"&amp;($A295+21/24),tData[Langligger01],1)</f>
        <v/>
      </c>
      <c r="Z295" s="20">
        <f>COUNTIFS(tData[SEHTrajectPeriodeDatumTijdVan],"&lt;="&amp;($A295+22/24),tData[SEHTrajectPeriodeDatumTijdTotEnMet],"&gt;"&amp;($A295+22/24),tData[Langligger01],1)</f>
        <v/>
      </c>
      <c r="AA295" s="20">
        <f>COUNTIFS(tData[SEHTrajectPeriodeDatumTijdVan],"&lt;="&amp;($A295+23/24),tData[SEHTrajectPeriodeDatumTijdTotEnMet],"&gt;"&amp;($A295+23/24),tData[Langligger01],1)</f>
        <v/>
      </c>
    </row>
    <row r="296">
      <c r="A296" s="19" t="n">
        <v>45584</v>
      </c>
      <c r="B296" s="15">
        <f>WEEKDAY($A296,2)</f>
        <v/>
      </c>
      <c r="C296" s="15">
        <f>IF(AND($A296&gt;=INT(Instellingen!$B$5),$A296&lt;=INT(Instellingen!$B$6)),1,0)</f>
        <v/>
      </c>
      <c r="D296" s="20">
        <f>COUNTIFS(tData[SEHTrajectPeriodeDatumTijdVan],"&lt;="&amp;($A296+0/24),tData[SEHTrajectPeriodeDatumTijdTotEnMet],"&gt;"&amp;($A296+0/24),tData[Langligger01],1)</f>
        <v/>
      </c>
      <c r="E296" s="20">
        <f>COUNTIFS(tData[SEHTrajectPeriodeDatumTijdVan],"&lt;="&amp;($A296+1/24),tData[SEHTrajectPeriodeDatumTijdTotEnMet],"&gt;"&amp;($A296+1/24),tData[Langligger01],1)</f>
        <v/>
      </c>
      <c r="F296" s="20">
        <f>COUNTIFS(tData[SEHTrajectPeriodeDatumTijdVan],"&lt;="&amp;($A296+2/24),tData[SEHTrajectPeriodeDatumTijdTotEnMet],"&gt;"&amp;($A296+2/24),tData[Langligger01],1)</f>
        <v/>
      </c>
      <c r="G296" s="20">
        <f>COUNTIFS(tData[SEHTrajectPeriodeDatumTijdVan],"&lt;="&amp;($A296+3/24),tData[SEHTrajectPeriodeDatumTijdTotEnMet],"&gt;"&amp;($A296+3/24),tData[Langligger01],1)</f>
        <v/>
      </c>
      <c r="H296" s="20">
        <f>COUNTIFS(tData[SEHTrajectPeriodeDatumTijdVan],"&lt;="&amp;($A296+4/24),tData[SEHTrajectPeriodeDatumTijdTotEnMet],"&gt;"&amp;($A296+4/24),tData[Langligger01],1)</f>
        <v/>
      </c>
      <c r="I296" s="20">
        <f>COUNTIFS(tData[SEHTrajectPeriodeDatumTijdVan],"&lt;="&amp;($A296+5/24),tData[SEHTrajectPeriodeDatumTijdTotEnMet],"&gt;"&amp;($A296+5/24),tData[Langligger01],1)</f>
        <v/>
      </c>
      <c r="J296" s="20">
        <f>COUNTIFS(tData[SEHTrajectPeriodeDatumTijdVan],"&lt;="&amp;($A296+6/24),tData[SEHTrajectPeriodeDatumTijdTotEnMet],"&gt;"&amp;($A296+6/24),tData[Langligger01],1)</f>
        <v/>
      </c>
      <c r="K296" s="20">
        <f>COUNTIFS(tData[SEHTrajectPeriodeDatumTijdVan],"&lt;="&amp;($A296+7/24),tData[SEHTrajectPeriodeDatumTijdTotEnMet],"&gt;"&amp;($A296+7/24),tData[Langligger01],1)</f>
        <v/>
      </c>
      <c r="L296" s="20">
        <f>COUNTIFS(tData[SEHTrajectPeriodeDatumTijdVan],"&lt;="&amp;($A296+8/24),tData[SEHTrajectPeriodeDatumTijdTotEnMet],"&gt;"&amp;($A296+8/24),tData[Langligger01],1)</f>
        <v/>
      </c>
      <c r="M296" s="20">
        <f>COUNTIFS(tData[SEHTrajectPeriodeDatumTijdVan],"&lt;="&amp;($A296+9/24),tData[SEHTrajectPeriodeDatumTijdTotEnMet],"&gt;"&amp;($A296+9/24),tData[Langligger01],1)</f>
        <v/>
      </c>
      <c r="N296" s="20">
        <f>COUNTIFS(tData[SEHTrajectPeriodeDatumTijdVan],"&lt;="&amp;($A296+10/24),tData[SEHTrajectPeriodeDatumTijdTotEnMet],"&gt;"&amp;($A296+10/24),tData[Langligger01],1)</f>
        <v/>
      </c>
      <c r="O296" s="20">
        <f>COUNTIFS(tData[SEHTrajectPeriodeDatumTijdVan],"&lt;="&amp;($A296+11/24),tData[SEHTrajectPeriodeDatumTijdTotEnMet],"&gt;"&amp;($A296+11/24),tData[Langligger01],1)</f>
        <v/>
      </c>
      <c r="P296" s="20">
        <f>COUNTIFS(tData[SEHTrajectPeriodeDatumTijdVan],"&lt;="&amp;($A296+12/24),tData[SEHTrajectPeriodeDatumTijdTotEnMet],"&gt;"&amp;($A296+12/24),tData[Langligger01],1)</f>
        <v/>
      </c>
      <c r="Q296" s="20">
        <f>COUNTIFS(tData[SEHTrajectPeriodeDatumTijdVan],"&lt;="&amp;($A296+13/24),tData[SEHTrajectPeriodeDatumTijdTotEnMet],"&gt;"&amp;($A296+13/24),tData[Langligger01],1)</f>
        <v/>
      </c>
      <c r="R296" s="20">
        <f>COUNTIFS(tData[SEHTrajectPeriodeDatumTijdVan],"&lt;="&amp;($A296+14/24),tData[SEHTrajectPeriodeDatumTijdTotEnMet],"&gt;"&amp;($A296+14/24),tData[Langligger01],1)</f>
        <v/>
      </c>
      <c r="S296" s="20">
        <f>COUNTIFS(tData[SEHTrajectPeriodeDatumTijdVan],"&lt;="&amp;($A296+15/24),tData[SEHTrajectPeriodeDatumTijdTotEnMet],"&gt;"&amp;($A296+15/24),tData[Langligger01],1)</f>
        <v/>
      </c>
      <c r="T296" s="20">
        <f>COUNTIFS(tData[SEHTrajectPeriodeDatumTijdVan],"&lt;="&amp;($A296+16/24),tData[SEHTrajectPeriodeDatumTijdTotEnMet],"&gt;"&amp;($A296+16/24),tData[Langligger01],1)</f>
        <v/>
      </c>
      <c r="U296" s="20">
        <f>COUNTIFS(tData[SEHTrajectPeriodeDatumTijdVan],"&lt;="&amp;($A296+17/24),tData[SEHTrajectPeriodeDatumTijdTotEnMet],"&gt;"&amp;($A296+17/24),tData[Langligger01],1)</f>
        <v/>
      </c>
      <c r="V296" s="20">
        <f>COUNTIFS(tData[SEHTrajectPeriodeDatumTijdVan],"&lt;="&amp;($A296+18/24),tData[SEHTrajectPeriodeDatumTijdTotEnMet],"&gt;"&amp;($A296+18/24),tData[Langligger01],1)</f>
        <v/>
      </c>
      <c r="W296" s="20">
        <f>COUNTIFS(tData[SEHTrajectPeriodeDatumTijdVan],"&lt;="&amp;($A296+19/24),tData[SEHTrajectPeriodeDatumTijdTotEnMet],"&gt;"&amp;($A296+19/24),tData[Langligger01],1)</f>
        <v/>
      </c>
      <c r="X296" s="20">
        <f>COUNTIFS(tData[SEHTrajectPeriodeDatumTijdVan],"&lt;="&amp;($A296+20/24),tData[SEHTrajectPeriodeDatumTijdTotEnMet],"&gt;"&amp;($A296+20/24),tData[Langligger01],1)</f>
        <v/>
      </c>
      <c r="Y296" s="20">
        <f>COUNTIFS(tData[SEHTrajectPeriodeDatumTijdVan],"&lt;="&amp;($A296+21/24),tData[SEHTrajectPeriodeDatumTijdTotEnMet],"&gt;"&amp;($A296+21/24),tData[Langligger01],1)</f>
        <v/>
      </c>
      <c r="Z296" s="20">
        <f>COUNTIFS(tData[SEHTrajectPeriodeDatumTijdVan],"&lt;="&amp;($A296+22/24),tData[SEHTrajectPeriodeDatumTijdTotEnMet],"&gt;"&amp;($A296+22/24),tData[Langligger01],1)</f>
        <v/>
      </c>
      <c r="AA296" s="20">
        <f>COUNTIFS(tData[SEHTrajectPeriodeDatumTijdVan],"&lt;="&amp;($A296+23/24),tData[SEHTrajectPeriodeDatumTijdTotEnMet],"&gt;"&amp;($A296+23/24),tData[Langligger01],1)</f>
        <v/>
      </c>
    </row>
    <row r="297">
      <c r="A297" s="19" t="n">
        <v>45585</v>
      </c>
      <c r="B297" s="15">
        <f>WEEKDAY($A297,2)</f>
        <v/>
      </c>
      <c r="C297" s="15">
        <f>IF(AND($A297&gt;=INT(Instellingen!$B$5),$A297&lt;=INT(Instellingen!$B$6)),1,0)</f>
        <v/>
      </c>
      <c r="D297" s="20">
        <f>COUNTIFS(tData[SEHTrajectPeriodeDatumTijdVan],"&lt;="&amp;($A297+0/24),tData[SEHTrajectPeriodeDatumTijdTotEnMet],"&gt;"&amp;($A297+0/24),tData[Langligger01],1)</f>
        <v/>
      </c>
      <c r="E297" s="20">
        <f>COUNTIFS(tData[SEHTrajectPeriodeDatumTijdVan],"&lt;="&amp;($A297+1/24),tData[SEHTrajectPeriodeDatumTijdTotEnMet],"&gt;"&amp;($A297+1/24),tData[Langligger01],1)</f>
        <v/>
      </c>
      <c r="F297" s="20">
        <f>COUNTIFS(tData[SEHTrajectPeriodeDatumTijdVan],"&lt;="&amp;($A297+2/24),tData[SEHTrajectPeriodeDatumTijdTotEnMet],"&gt;"&amp;($A297+2/24),tData[Langligger01],1)</f>
        <v/>
      </c>
      <c r="G297" s="20">
        <f>COUNTIFS(tData[SEHTrajectPeriodeDatumTijdVan],"&lt;="&amp;($A297+3/24),tData[SEHTrajectPeriodeDatumTijdTotEnMet],"&gt;"&amp;($A297+3/24),tData[Langligger01],1)</f>
        <v/>
      </c>
      <c r="H297" s="20">
        <f>COUNTIFS(tData[SEHTrajectPeriodeDatumTijdVan],"&lt;="&amp;($A297+4/24),tData[SEHTrajectPeriodeDatumTijdTotEnMet],"&gt;"&amp;($A297+4/24),tData[Langligger01],1)</f>
        <v/>
      </c>
      <c r="I297" s="20">
        <f>COUNTIFS(tData[SEHTrajectPeriodeDatumTijdVan],"&lt;="&amp;($A297+5/24),tData[SEHTrajectPeriodeDatumTijdTotEnMet],"&gt;"&amp;($A297+5/24),tData[Langligger01],1)</f>
        <v/>
      </c>
      <c r="J297" s="20">
        <f>COUNTIFS(tData[SEHTrajectPeriodeDatumTijdVan],"&lt;="&amp;($A297+6/24),tData[SEHTrajectPeriodeDatumTijdTotEnMet],"&gt;"&amp;($A297+6/24),tData[Langligger01],1)</f>
        <v/>
      </c>
      <c r="K297" s="20">
        <f>COUNTIFS(tData[SEHTrajectPeriodeDatumTijdVan],"&lt;="&amp;($A297+7/24),tData[SEHTrajectPeriodeDatumTijdTotEnMet],"&gt;"&amp;($A297+7/24),tData[Langligger01],1)</f>
        <v/>
      </c>
      <c r="L297" s="20">
        <f>COUNTIFS(tData[SEHTrajectPeriodeDatumTijdVan],"&lt;="&amp;($A297+8/24),tData[SEHTrajectPeriodeDatumTijdTotEnMet],"&gt;"&amp;($A297+8/24),tData[Langligger01],1)</f>
        <v/>
      </c>
      <c r="M297" s="20">
        <f>COUNTIFS(tData[SEHTrajectPeriodeDatumTijdVan],"&lt;="&amp;($A297+9/24),tData[SEHTrajectPeriodeDatumTijdTotEnMet],"&gt;"&amp;($A297+9/24),tData[Langligger01],1)</f>
        <v/>
      </c>
      <c r="N297" s="20">
        <f>COUNTIFS(tData[SEHTrajectPeriodeDatumTijdVan],"&lt;="&amp;($A297+10/24),tData[SEHTrajectPeriodeDatumTijdTotEnMet],"&gt;"&amp;($A297+10/24),tData[Langligger01],1)</f>
        <v/>
      </c>
      <c r="O297" s="20">
        <f>COUNTIFS(tData[SEHTrajectPeriodeDatumTijdVan],"&lt;="&amp;($A297+11/24),tData[SEHTrajectPeriodeDatumTijdTotEnMet],"&gt;"&amp;($A297+11/24),tData[Langligger01],1)</f>
        <v/>
      </c>
      <c r="P297" s="20">
        <f>COUNTIFS(tData[SEHTrajectPeriodeDatumTijdVan],"&lt;="&amp;($A297+12/24),tData[SEHTrajectPeriodeDatumTijdTotEnMet],"&gt;"&amp;($A297+12/24),tData[Langligger01],1)</f>
        <v/>
      </c>
      <c r="Q297" s="20">
        <f>COUNTIFS(tData[SEHTrajectPeriodeDatumTijdVan],"&lt;="&amp;($A297+13/24),tData[SEHTrajectPeriodeDatumTijdTotEnMet],"&gt;"&amp;($A297+13/24),tData[Langligger01],1)</f>
        <v/>
      </c>
      <c r="R297" s="20">
        <f>COUNTIFS(tData[SEHTrajectPeriodeDatumTijdVan],"&lt;="&amp;($A297+14/24),tData[SEHTrajectPeriodeDatumTijdTotEnMet],"&gt;"&amp;($A297+14/24),tData[Langligger01],1)</f>
        <v/>
      </c>
      <c r="S297" s="20">
        <f>COUNTIFS(tData[SEHTrajectPeriodeDatumTijdVan],"&lt;="&amp;($A297+15/24),tData[SEHTrajectPeriodeDatumTijdTotEnMet],"&gt;"&amp;($A297+15/24),tData[Langligger01],1)</f>
        <v/>
      </c>
      <c r="T297" s="20">
        <f>COUNTIFS(tData[SEHTrajectPeriodeDatumTijdVan],"&lt;="&amp;($A297+16/24),tData[SEHTrajectPeriodeDatumTijdTotEnMet],"&gt;"&amp;($A297+16/24),tData[Langligger01],1)</f>
        <v/>
      </c>
      <c r="U297" s="20">
        <f>COUNTIFS(tData[SEHTrajectPeriodeDatumTijdVan],"&lt;="&amp;($A297+17/24),tData[SEHTrajectPeriodeDatumTijdTotEnMet],"&gt;"&amp;($A297+17/24),tData[Langligger01],1)</f>
        <v/>
      </c>
      <c r="V297" s="20">
        <f>COUNTIFS(tData[SEHTrajectPeriodeDatumTijdVan],"&lt;="&amp;($A297+18/24),tData[SEHTrajectPeriodeDatumTijdTotEnMet],"&gt;"&amp;($A297+18/24),tData[Langligger01],1)</f>
        <v/>
      </c>
      <c r="W297" s="20">
        <f>COUNTIFS(tData[SEHTrajectPeriodeDatumTijdVan],"&lt;="&amp;($A297+19/24),tData[SEHTrajectPeriodeDatumTijdTotEnMet],"&gt;"&amp;($A297+19/24),tData[Langligger01],1)</f>
        <v/>
      </c>
      <c r="X297" s="20">
        <f>COUNTIFS(tData[SEHTrajectPeriodeDatumTijdVan],"&lt;="&amp;($A297+20/24),tData[SEHTrajectPeriodeDatumTijdTotEnMet],"&gt;"&amp;($A297+20/24),tData[Langligger01],1)</f>
        <v/>
      </c>
      <c r="Y297" s="20">
        <f>COUNTIFS(tData[SEHTrajectPeriodeDatumTijdVan],"&lt;="&amp;($A297+21/24),tData[SEHTrajectPeriodeDatumTijdTotEnMet],"&gt;"&amp;($A297+21/24),tData[Langligger01],1)</f>
        <v/>
      </c>
      <c r="Z297" s="20">
        <f>COUNTIFS(tData[SEHTrajectPeriodeDatumTijdVan],"&lt;="&amp;($A297+22/24),tData[SEHTrajectPeriodeDatumTijdTotEnMet],"&gt;"&amp;($A297+22/24),tData[Langligger01],1)</f>
        <v/>
      </c>
      <c r="AA297" s="20">
        <f>COUNTIFS(tData[SEHTrajectPeriodeDatumTijdVan],"&lt;="&amp;($A297+23/24),tData[SEHTrajectPeriodeDatumTijdTotEnMet],"&gt;"&amp;($A297+23/24),tData[Langligger01],1)</f>
        <v/>
      </c>
    </row>
    <row r="298">
      <c r="A298" s="19" t="n">
        <v>45586</v>
      </c>
      <c r="B298" s="15">
        <f>WEEKDAY($A298,2)</f>
        <v/>
      </c>
      <c r="C298" s="15">
        <f>IF(AND($A298&gt;=INT(Instellingen!$B$5),$A298&lt;=INT(Instellingen!$B$6)),1,0)</f>
        <v/>
      </c>
      <c r="D298" s="20">
        <f>COUNTIFS(tData[SEHTrajectPeriodeDatumTijdVan],"&lt;="&amp;($A298+0/24),tData[SEHTrajectPeriodeDatumTijdTotEnMet],"&gt;"&amp;($A298+0/24),tData[Langligger01],1)</f>
        <v/>
      </c>
      <c r="E298" s="20">
        <f>COUNTIFS(tData[SEHTrajectPeriodeDatumTijdVan],"&lt;="&amp;($A298+1/24),tData[SEHTrajectPeriodeDatumTijdTotEnMet],"&gt;"&amp;($A298+1/24),tData[Langligger01],1)</f>
        <v/>
      </c>
      <c r="F298" s="20">
        <f>COUNTIFS(tData[SEHTrajectPeriodeDatumTijdVan],"&lt;="&amp;($A298+2/24),tData[SEHTrajectPeriodeDatumTijdTotEnMet],"&gt;"&amp;($A298+2/24),tData[Langligger01],1)</f>
        <v/>
      </c>
      <c r="G298" s="20">
        <f>COUNTIFS(tData[SEHTrajectPeriodeDatumTijdVan],"&lt;="&amp;($A298+3/24),tData[SEHTrajectPeriodeDatumTijdTotEnMet],"&gt;"&amp;($A298+3/24),tData[Langligger01],1)</f>
        <v/>
      </c>
      <c r="H298" s="20">
        <f>COUNTIFS(tData[SEHTrajectPeriodeDatumTijdVan],"&lt;="&amp;($A298+4/24),tData[SEHTrajectPeriodeDatumTijdTotEnMet],"&gt;"&amp;($A298+4/24),tData[Langligger01],1)</f>
        <v/>
      </c>
      <c r="I298" s="20">
        <f>COUNTIFS(tData[SEHTrajectPeriodeDatumTijdVan],"&lt;="&amp;($A298+5/24),tData[SEHTrajectPeriodeDatumTijdTotEnMet],"&gt;"&amp;($A298+5/24),tData[Langligger01],1)</f>
        <v/>
      </c>
      <c r="J298" s="20">
        <f>COUNTIFS(tData[SEHTrajectPeriodeDatumTijdVan],"&lt;="&amp;($A298+6/24),tData[SEHTrajectPeriodeDatumTijdTotEnMet],"&gt;"&amp;($A298+6/24),tData[Langligger01],1)</f>
        <v/>
      </c>
      <c r="K298" s="20">
        <f>COUNTIFS(tData[SEHTrajectPeriodeDatumTijdVan],"&lt;="&amp;($A298+7/24),tData[SEHTrajectPeriodeDatumTijdTotEnMet],"&gt;"&amp;($A298+7/24),tData[Langligger01],1)</f>
        <v/>
      </c>
      <c r="L298" s="20">
        <f>COUNTIFS(tData[SEHTrajectPeriodeDatumTijdVan],"&lt;="&amp;($A298+8/24),tData[SEHTrajectPeriodeDatumTijdTotEnMet],"&gt;"&amp;($A298+8/24),tData[Langligger01],1)</f>
        <v/>
      </c>
      <c r="M298" s="20">
        <f>COUNTIFS(tData[SEHTrajectPeriodeDatumTijdVan],"&lt;="&amp;($A298+9/24),tData[SEHTrajectPeriodeDatumTijdTotEnMet],"&gt;"&amp;($A298+9/24),tData[Langligger01],1)</f>
        <v/>
      </c>
      <c r="N298" s="20">
        <f>COUNTIFS(tData[SEHTrajectPeriodeDatumTijdVan],"&lt;="&amp;($A298+10/24),tData[SEHTrajectPeriodeDatumTijdTotEnMet],"&gt;"&amp;($A298+10/24),tData[Langligger01],1)</f>
        <v/>
      </c>
      <c r="O298" s="20">
        <f>COUNTIFS(tData[SEHTrajectPeriodeDatumTijdVan],"&lt;="&amp;($A298+11/24),tData[SEHTrajectPeriodeDatumTijdTotEnMet],"&gt;"&amp;($A298+11/24),tData[Langligger01],1)</f>
        <v/>
      </c>
      <c r="P298" s="20">
        <f>COUNTIFS(tData[SEHTrajectPeriodeDatumTijdVan],"&lt;="&amp;($A298+12/24),tData[SEHTrajectPeriodeDatumTijdTotEnMet],"&gt;"&amp;($A298+12/24),tData[Langligger01],1)</f>
        <v/>
      </c>
      <c r="Q298" s="20">
        <f>COUNTIFS(tData[SEHTrajectPeriodeDatumTijdVan],"&lt;="&amp;($A298+13/24),tData[SEHTrajectPeriodeDatumTijdTotEnMet],"&gt;"&amp;($A298+13/24),tData[Langligger01],1)</f>
        <v/>
      </c>
      <c r="R298" s="20">
        <f>COUNTIFS(tData[SEHTrajectPeriodeDatumTijdVan],"&lt;="&amp;($A298+14/24),tData[SEHTrajectPeriodeDatumTijdTotEnMet],"&gt;"&amp;($A298+14/24),tData[Langligger01],1)</f>
        <v/>
      </c>
      <c r="S298" s="20">
        <f>COUNTIFS(tData[SEHTrajectPeriodeDatumTijdVan],"&lt;="&amp;($A298+15/24),tData[SEHTrajectPeriodeDatumTijdTotEnMet],"&gt;"&amp;($A298+15/24),tData[Langligger01],1)</f>
        <v/>
      </c>
      <c r="T298" s="20">
        <f>COUNTIFS(tData[SEHTrajectPeriodeDatumTijdVan],"&lt;="&amp;($A298+16/24),tData[SEHTrajectPeriodeDatumTijdTotEnMet],"&gt;"&amp;($A298+16/24),tData[Langligger01],1)</f>
        <v/>
      </c>
      <c r="U298" s="20">
        <f>COUNTIFS(tData[SEHTrajectPeriodeDatumTijdVan],"&lt;="&amp;($A298+17/24),tData[SEHTrajectPeriodeDatumTijdTotEnMet],"&gt;"&amp;($A298+17/24),tData[Langligger01],1)</f>
        <v/>
      </c>
      <c r="V298" s="20">
        <f>COUNTIFS(tData[SEHTrajectPeriodeDatumTijdVan],"&lt;="&amp;($A298+18/24),tData[SEHTrajectPeriodeDatumTijdTotEnMet],"&gt;"&amp;($A298+18/24),tData[Langligger01],1)</f>
        <v/>
      </c>
      <c r="W298" s="20">
        <f>COUNTIFS(tData[SEHTrajectPeriodeDatumTijdVan],"&lt;="&amp;($A298+19/24),tData[SEHTrajectPeriodeDatumTijdTotEnMet],"&gt;"&amp;($A298+19/24),tData[Langligger01],1)</f>
        <v/>
      </c>
      <c r="X298" s="20">
        <f>COUNTIFS(tData[SEHTrajectPeriodeDatumTijdVan],"&lt;="&amp;($A298+20/24),tData[SEHTrajectPeriodeDatumTijdTotEnMet],"&gt;"&amp;($A298+20/24),tData[Langligger01],1)</f>
        <v/>
      </c>
      <c r="Y298" s="20">
        <f>COUNTIFS(tData[SEHTrajectPeriodeDatumTijdVan],"&lt;="&amp;($A298+21/24),tData[SEHTrajectPeriodeDatumTijdTotEnMet],"&gt;"&amp;($A298+21/24),tData[Langligger01],1)</f>
        <v/>
      </c>
      <c r="Z298" s="20">
        <f>COUNTIFS(tData[SEHTrajectPeriodeDatumTijdVan],"&lt;="&amp;($A298+22/24),tData[SEHTrajectPeriodeDatumTijdTotEnMet],"&gt;"&amp;($A298+22/24),tData[Langligger01],1)</f>
        <v/>
      </c>
      <c r="AA298" s="20">
        <f>COUNTIFS(tData[SEHTrajectPeriodeDatumTijdVan],"&lt;="&amp;($A298+23/24),tData[SEHTrajectPeriodeDatumTijdTotEnMet],"&gt;"&amp;($A298+23/24),tData[Langligger01],1)</f>
        <v/>
      </c>
    </row>
    <row r="299">
      <c r="A299" s="19" t="n">
        <v>45587</v>
      </c>
      <c r="B299" s="15">
        <f>WEEKDAY($A299,2)</f>
        <v/>
      </c>
      <c r="C299" s="15">
        <f>IF(AND($A299&gt;=INT(Instellingen!$B$5),$A299&lt;=INT(Instellingen!$B$6)),1,0)</f>
        <v/>
      </c>
      <c r="D299" s="20">
        <f>COUNTIFS(tData[SEHTrajectPeriodeDatumTijdVan],"&lt;="&amp;($A299+0/24),tData[SEHTrajectPeriodeDatumTijdTotEnMet],"&gt;"&amp;($A299+0/24),tData[Langligger01],1)</f>
        <v/>
      </c>
      <c r="E299" s="20">
        <f>COUNTIFS(tData[SEHTrajectPeriodeDatumTijdVan],"&lt;="&amp;($A299+1/24),tData[SEHTrajectPeriodeDatumTijdTotEnMet],"&gt;"&amp;($A299+1/24),tData[Langligger01],1)</f>
        <v/>
      </c>
      <c r="F299" s="20">
        <f>COUNTIFS(tData[SEHTrajectPeriodeDatumTijdVan],"&lt;="&amp;($A299+2/24),tData[SEHTrajectPeriodeDatumTijdTotEnMet],"&gt;"&amp;($A299+2/24),tData[Langligger01],1)</f>
        <v/>
      </c>
      <c r="G299" s="20">
        <f>COUNTIFS(tData[SEHTrajectPeriodeDatumTijdVan],"&lt;="&amp;($A299+3/24),tData[SEHTrajectPeriodeDatumTijdTotEnMet],"&gt;"&amp;($A299+3/24),tData[Langligger01],1)</f>
        <v/>
      </c>
      <c r="H299" s="20">
        <f>COUNTIFS(tData[SEHTrajectPeriodeDatumTijdVan],"&lt;="&amp;($A299+4/24),tData[SEHTrajectPeriodeDatumTijdTotEnMet],"&gt;"&amp;($A299+4/24),tData[Langligger01],1)</f>
        <v/>
      </c>
      <c r="I299" s="20">
        <f>COUNTIFS(tData[SEHTrajectPeriodeDatumTijdVan],"&lt;="&amp;($A299+5/24),tData[SEHTrajectPeriodeDatumTijdTotEnMet],"&gt;"&amp;($A299+5/24),tData[Langligger01],1)</f>
        <v/>
      </c>
      <c r="J299" s="20">
        <f>COUNTIFS(tData[SEHTrajectPeriodeDatumTijdVan],"&lt;="&amp;($A299+6/24),tData[SEHTrajectPeriodeDatumTijdTotEnMet],"&gt;"&amp;($A299+6/24),tData[Langligger01],1)</f>
        <v/>
      </c>
      <c r="K299" s="20">
        <f>COUNTIFS(tData[SEHTrajectPeriodeDatumTijdVan],"&lt;="&amp;($A299+7/24),tData[SEHTrajectPeriodeDatumTijdTotEnMet],"&gt;"&amp;($A299+7/24),tData[Langligger01],1)</f>
        <v/>
      </c>
      <c r="L299" s="20">
        <f>COUNTIFS(tData[SEHTrajectPeriodeDatumTijdVan],"&lt;="&amp;($A299+8/24),tData[SEHTrajectPeriodeDatumTijdTotEnMet],"&gt;"&amp;($A299+8/24),tData[Langligger01],1)</f>
        <v/>
      </c>
      <c r="M299" s="20">
        <f>COUNTIFS(tData[SEHTrajectPeriodeDatumTijdVan],"&lt;="&amp;($A299+9/24),tData[SEHTrajectPeriodeDatumTijdTotEnMet],"&gt;"&amp;($A299+9/24),tData[Langligger01],1)</f>
        <v/>
      </c>
      <c r="N299" s="20">
        <f>COUNTIFS(tData[SEHTrajectPeriodeDatumTijdVan],"&lt;="&amp;($A299+10/24),tData[SEHTrajectPeriodeDatumTijdTotEnMet],"&gt;"&amp;($A299+10/24),tData[Langligger01],1)</f>
        <v/>
      </c>
      <c r="O299" s="20">
        <f>COUNTIFS(tData[SEHTrajectPeriodeDatumTijdVan],"&lt;="&amp;($A299+11/24),tData[SEHTrajectPeriodeDatumTijdTotEnMet],"&gt;"&amp;($A299+11/24),tData[Langligger01],1)</f>
        <v/>
      </c>
      <c r="P299" s="20">
        <f>COUNTIFS(tData[SEHTrajectPeriodeDatumTijdVan],"&lt;="&amp;($A299+12/24),tData[SEHTrajectPeriodeDatumTijdTotEnMet],"&gt;"&amp;($A299+12/24),tData[Langligger01],1)</f>
        <v/>
      </c>
      <c r="Q299" s="20">
        <f>COUNTIFS(tData[SEHTrajectPeriodeDatumTijdVan],"&lt;="&amp;($A299+13/24),tData[SEHTrajectPeriodeDatumTijdTotEnMet],"&gt;"&amp;($A299+13/24),tData[Langligger01],1)</f>
        <v/>
      </c>
      <c r="R299" s="20">
        <f>COUNTIFS(tData[SEHTrajectPeriodeDatumTijdVan],"&lt;="&amp;($A299+14/24),tData[SEHTrajectPeriodeDatumTijdTotEnMet],"&gt;"&amp;($A299+14/24),tData[Langligger01],1)</f>
        <v/>
      </c>
      <c r="S299" s="20">
        <f>COUNTIFS(tData[SEHTrajectPeriodeDatumTijdVan],"&lt;="&amp;($A299+15/24),tData[SEHTrajectPeriodeDatumTijdTotEnMet],"&gt;"&amp;($A299+15/24),tData[Langligger01],1)</f>
        <v/>
      </c>
      <c r="T299" s="20">
        <f>COUNTIFS(tData[SEHTrajectPeriodeDatumTijdVan],"&lt;="&amp;($A299+16/24),tData[SEHTrajectPeriodeDatumTijdTotEnMet],"&gt;"&amp;($A299+16/24),tData[Langligger01],1)</f>
        <v/>
      </c>
      <c r="U299" s="20">
        <f>COUNTIFS(tData[SEHTrajectPeriodeDatumTijdVan],"&lt;="&amp;($A299+17/24),tData[SEHTrajectPeriodeDatumTijdTotEnMet],"&gt;"&amp;($A299+17/24),tData[Langligger01],1)</f>
        <v/>
      </c>
      <c r="V299" s="20">
        <f>COUNTIFS(tData[SEHTrajectPeriodeDatumTijdVan],"&lt;="&amp;($A299+18/24),tData[SEHTrajectPeriodeDatumTijdTotEnMet],"&gt;"&amp;($A299+18/24),tData[Langligger01],1)</f>
        <v/>
      </c>
      <c r="W299" s="20">
        <f>COUNTIFS(tData[SEHTrajectPeriodeDatumTijdVan],"&lt;="&amp;($A299+19/24),tData[SEHTrajectPeriodeDatumTijdTotEnMet],"&gt;"&amp;($A299+19/24),tData[Langligger01],1)</f>
        <v/>
      </c>
      <c r="X299" s="20">
        <f>COUNTIFS(tData[SEHTrajectPeriodeDatumTijdVan],"&lt;="&amp;($A299+20/24),tData[SEHTrajectPeriodeDatumTijdTotEnMet],"&gt;"&amp;($A299+20/24),tData[Langligger01],1)</f>
        <v/>
      </c>
      <c r="Y299" s="20">
        <f>COUNTIFS(tData[SEHTrajectPeriodeDatumTijdVan],"&lt;="&amp;($A299+21/24),tData[SEHTrajectPeriodeDatumTijdTotEnMet],"&gt;"&amp;($A299+21/24),tData[Langligger01],1)</f>
        <v/>
      </c>
      <c r="Z299" s="20">
        <f>COUNTIFS(tData[SEHTrajectPeriodeDatumTijdVan],"&lt;="&amp;($A299+22/24),tData[SEHTrajectPeriodeDatumTijdTotEnMet],"&gt;"&amp;($A299+22/24),tData[Langligger01],1)</f>
        <v/>
      </c>
      <c r="AA299" s="20">
        <f>COUNTIFS(tData[SEHTrajectPeriodeDatumTijdVan],"&lt;="&amp;($A299+23/24),tData[SEHTrajectPeriodeDatumTijdTotEnMet],"&gt;"&amp;($A299+23/24),tData[Langligger01],1)</f>
        <v/>
      </c>
    </row>
    <row r="300">
      <c r="A300" s="19" t="n">
        <v>45588</v>
      </c>
      <c r="B300" s="15">
        <f>WEEKDAY($A300,2)</f>
        <v/>
      </c>
      <c r="C300" s="15">
        <f>IF(AND($A300&gt;=INT(Instellingen!$B$5),$A300&lt;=INT(Instellingen!$B$6)),1,0)</f>
        <v/>
      </c>
      <c r="D300" s="20">
        <f>COUNTIFS(tData[SEHTrajectPeriodeDatumTijdVan],"&lt;="&amp;($A300+0/24),tData[SEHTrajectPeriodeDatumTijdTotEnMet],"&gt;"&amp;($A300+0/24),tData[Langligger01],1)</f>
        <v/>
      </c>
      <c r="E300" s="20">
        <f>COUNTIFS(tData[SEHTrajectPeriodeDatumTijdVan],"&lt;="&amp;($A300+1/24),tData[SEHTrajectPeriodeDatumTijdTotEnMet],"&gt;"&amp;($A300+1/24),tData[Langligger01],1)</f>
        <v/>
      </c>
      <c r="F300" s="20">
        <f>COUNTIFS(tData[SEHTrajectPeriodeDatumTijdVan],"&lt;="&amp;($A300+2/24),tData[SEHTrajectPeriodeDatumTijdTotEnMet],"&gt;"&amp;($A300+2/24),tData[Langligger01],1)</f>
        <v/>
      </c>
      <c r="G300" s="20">
        <f>COUNTIFS(tData[SEHTrajectPeriodeDatumTijdVan],"&lt;="&amp;($A300+3/24),tData[SEHTrajectPeriodeDatumTijdTotEnMet],"&gt;"&amp;($A300+3/24),tData[Langligger01],1)</f>
        <v/>
      </c>
      <c r="H300" s="20">
        <f>COUNTIFS(tData[SEHTrajectPeriodeDatumTijdVan],"&lt;="&amp;($A300+4/24),tData[SEHTrajectPeriodeDatumTijdTotEnMet],"&gt;"&amp;($A300+4/24),tData[Langligger01],1)</f>
        <v/>
      </c>
      <c r="I300" s="20">
        <f>COUNTIFS(tData[SEHTrajectPeriodeDatumTijdVan],"&lt;="&amp;($A300+5/24),tData[SEHTrajectPeriodeDatumTijdTotEnMet],"&gt;"&amp;($A300+5/24),tData[Langligger01],1)</f>
        <v/>
      </c>
      <c r="J300" s="20">
        <f>COUNTIFS(tData[SEHTrajectPeriodeDatumTijdVan],"&lt;="&amp;($A300+6/24),tData[SEHTrajectPeriodeDatumTijdTotEnMet],"&gt;"&amp;($A300+6/24),tData[Langligger01],1)</f>
        <v/>
      </c>
      <c r="K300" s="20">
        <f>COUNTIFS(tData[SEHTrajectPeriodeDatumTijdVan],"&lt;="&amp;($A300+7/24),tData[SEHTrajectPeriodeDatumTijdTotEnMet],"&gt;"&amp;($A300+7/24),tData[Langligger01],1)</f>
        <v/>
      </c>
      <c r="L300" s="20">
        <f>COUNTIFS(tData[SEHTrajectPeriodeDatumTijdVan],"&lt;="&amp;($A300+8/24),tData[SEHTrajectPeriodeDatumTijdTotEnMet],"&gt;"&amp;($A300+8/24),tData[Langligger01],1)</f>
        <v/>
      </c>
      <c r="M300" s="20">
        <f>COUNTIFS(tData[SEHTrajectPeriodeDatumTijdVan],"&lt;="&amp;($A300+9/24),tData[SEHTrajectPeriodeDatumTijdTotEnMet],"&gt;"&amp;($A300+9/24),tData[Langligger01],1)</f>
        <v/>
      </c>
      <c r="N300" s="20">
        <f>COUNTIFS(tData[SEHTrajectPeriodeDatumTijdVan],"&lt;="&amp;($A300+10/24),tData[SEHTrajectPeriodeDatumTijdTotEnMet],"&gt;"&amp;($A300+10/24),tData[Langligger01],1)</f>
        <v/>
      </c>
      <c r="O300" s="20">
        <f>COUNTIFS(tData[SEHTrajectPeriodeDatumTijdVan],"&lt;="&amp;($A300+11/24),tData[SEHTrajectPeriodeDatumTijdTotEnMet],"&gt;"&amp;($A300+11/24),tData[Langligger01],1)</f>
        <v/>
      </c>
      <c r="P300" s="20">
        <f>COUNTIFS(tData[SEHTrajectPeriodeDatumTijdVan],"&lt;="&amp;($A300+12/24),tData[SEHTrajectPeriodeDatumTijdTotEnMet],"&gt;"&amp;($A300+12/24),tData[Langligger01],1)</f>
        <v/>
      </c>
      <c r="Q300" s="20">
        <f>COUNTIFS(tData[SEHTrajectPeriodeDatumTijdVan],"&lt;="&amp;($A300+13/24),tData[SEHTrajectPeriodeDatumTijdTotEnMet],"&gt;"&amp;($A300+13/24),tData[Langligger01],1)</f>
        <v/>
      </c>
      <c r="R300" s="20">
        <f>COUNTIFS(tData[SEHTrajectPeriodeDatumTijdVan],"&lt;="&amp;($A300+14/24),tData[SEHTrajectPeriodeDatumTijdTotEnMet],"&gt;"&amp;($A300+14/24),tData[Langligger01],1)</f>
        <v/>
      </c>
      <c r="S300" s="20">
        <f>COUNTIFS(tData[SEHTrajectPeriodeDatumTijdVan],"&lt;="&amp;($A300+15/24),tData[SEHTrajectPeriodeDatumTijdTotEnMet],"&gt;"&amp;($A300+15/24),tData[Langligger01],1)</f>
        <v/>
      </c>
      <c r="T300" s="20">
        <f>COUNTIFS(tData[SEHTrajectPeriodeDatumTijdVan],"&lt;="&amp;($A300+16/24),tData[SEHTrajectPeriodeDatumTijdTotEnMet],"&gt;"&amp;($A300+16/24),tData[Langligger01],1)</f>
        <v/>
      </c>
      <c r="U300" s="20">
        <f>COUNTIFS(tData[SEHTrajectPeriodeDatumTijdVan],"&lt;="&amp;($A300+17/24),tData[SEHTrajectPeriodeDatumTijdTotEnMet],"&gt;"&amp;($A300+17/24),tData[Langligger01],1)</f>
        <v/>
      </c>
      <c r="V300" s="20">
        <f>COUNTIFS(tData[SEHTrajectPeriodeDatumTijdVan],"&lt;="&amp;($A300+18/24),tData[SEHTrajectPeriodeDatumTijdTotEnMet],"&gt;"&amp;($A300+18/24),tData[Langligger01],1)</f>
        <v/>
      </c>
      <c r="W300" s="20">
        <f>COUNTIFS(tData[SEHTrajectPeriodeDatumTijdVan],"&lt;="&amp;($A300+19/24),tData[SEHTrajectPeriodeDatumTijdTotEnMet],"&gt;"&amp;($A300+19/24),tData[Langligger01],1)</f>
        <v/>
      </c>
      <c r="X300" s="20">
        <f>COUNTIFS(tData[SEHTrajectPeriodeDatumTijdVan],"&lt;="&amp;($A300+20/24),tData[SEHTrajectPeriodeDatumTijdTotEnMet],"&gt;"&amp;($A300+20/24),tData[Langligger01],1)</f>
        <v/>
      </c>
      <c r="Y300" s="20">
        <f>COUNTIFS(tData[SEHTrajectPeriodeDatumTijdVan],"&lt;="&amp;($A300+21/24),tData[SEHTrajectPeriodeDatumTijdTotEnMet],"&gt;"&amp;($A300+21/24),tData[Langligger01],1)</f>
        <v/>
      </c>
      <c r="Z300" s="20">
        <f>COUNTIFS(tData[SEHTrajectPeriodeDatumTijdVan],"&lt;="&amp;($A300+22/24),tData[SEHTrajectPeriodeDatumTijdTotEnMet],"&gt;"&amp;($A300+22/24),tData[Langligger01],1)</f>
        <v/>
      </c>
      <c r="AA300" s="20">
        <f>COUNTIFS(tData[SEHTrajectPeriodeDatumTijdVan],"&lt;="&amp;($A300+23/24),tData[SEHTrajectPeriodeDatumTijdTotEnMet],"&gt;"&amp;($A300+23/24),tData[Langligger01],1)</f>
        <v/>
      </c>
    </row>
    <row r="301">
      <c r="A301" s="19" t="n">
        <v>45589</v>
      </c>
      <c r="B301" s="15">
        <f>WEEKDAY($A301,2)</f>
        <v/>
      </c>
      <c r="C301" s="15">
        <f>IF(AND($A301&gt;=INT(Instellingen!$B$5),$A301&lt;=INT(Instellingen!$B$6)),1,0)</f>
        <v/>
      </c>
      <c r="D301" s="20">
        <f>COUNTIFS(tData[SEHTrajectPeriodeDatumTijdVan],"&lt;="&amp;($A301+0/24),tData[SEHTrajectPeriodeDatumTijdTotEnMet],"&gt;"&amp;($A301+0/24),tData[Langligger01],1)</f>
        <v/>
      </c>
      <c r="E301" s="20">
        <f>COUNTIFS(tData[SEHTrajectPeriodeDatumTijdVan],"&lt;="&amp;($A301+1/24),tData[SEHTrajectPeriodeDatumTijdTotEnMet],"&gt;"&amp;($A301+1/24),tData[Langligger01],1)</f>
        <v/>
      </c>
      <c r="F301" s="20">
        <f>COUNTIFS(tData[SEHTrajectPeriodeDatumTijdVan],"&lt;="&amp;($A301+2/24),tData[SEHTrajectPeriodeDatumTijdTotEnMet],"&gt;"&amp;($A301+2/24),tData[Langligger01],1)</f>
        <v/>
      </c>
      <c r="G301" s="20">
        <f>COUNTIFS(tData[SEHTrajectPeriodeDatumTijdVan],"&lt;="&amp;($A301+3/24),tData[SEHTrajectPeriodeDatumTijdTotEnMet],"&gt;"&amp;($A301+3/24),tData[Langligger01],1)</f>
        <v/>
      </c>
      <c r="H301" s="20">
        <f>COUNTIFS(tData[SEHTrajectPeriodeDatumTijdVan],"&lt;="&amp;($A301+4/24),tData[SEHTrajectPeriodeDatumTijdTotEnMet],"&gt;"&amp;($A301+4/24),tData[Langligger01],1)</f>
        <v/>
      </c>
      <c r="I301" s="20">
        <f>COUNTIFS(tData[SEHTrajectPeriodeDatumTijdVan],"&lt;="&amp;($A301+5/24),tData[SEHTrajectPeriodeDatumTijdTotEnMet],"&gt;"&amp;($A301+5/24),tData[Langligger01],1)</f>
        <v/>
      </c>
      <c r="J301" s="20">
        <f>COUNTIFS(tData[SEHTrajectPeriodeDatumTijdVan],"&lt;="&amp;($A301+6/24),tData[SEHTrajectPeriodeDatumTijdTotEnMet],"&gt;"&amp;($A301+6/24),tData[Langligger01],1)</f>
        <v/>
      </c>
      <c r="K301" s="20">
        <f>COUNTIFS(tData[SEHTrajectPeriodeDatumTijdVan],"&lt;="&amp;($A301+7/24),tData[SEHTrajectPeriodeDatumTijdTotEnMet],"&gt;"&amp;($A301+7/24),tData[Langligger01],1)</f>
        <v/>
      </c>
      <c r="L301" s="20">
        <f>COUNTIFS(tData[SEHTrajectPeriodeDatumTijdVan],"&lt;="&amp;($A301+8/24),tData[SEHTrajectPeriodeDatumTijdTotEnMet],"&gt;"&amp;($A301+8/24),tData[Langligger01],1)</f>
        <v/>
      </c>
      <c r="M301" s="20">
        <f>COUNTIFS(tData[SEHTrajectPeriodeDatumTijdVan],"&lt;="&amp;($A301+9/24),tData[SEHTrajectPeriodeDatumTijdTotEnMet],"&gt;"&amp;($A301+9/24),tData[Langligger01],1)</f>
        <v/>
      </c>
      <c r="N301" s="20">
        <f>COUNTIFS(tData[SEHTrajectPeriodeDatumTijdVan],"&lt;="&amp;($A301+10/24),tData[SEHTrajectPeriodeDatumTijdTotEnMet],"&gt;"&amp;($A301+10/24),tData[Langligger01],1)</f>
        <v/>
      </c>
      <c r="O301" s="20">
        <f>COUNTIFS(tData[SEHTrajectPeriodeDatumTijdVan],"&lt;="&amp;($A301+11/24),tData[SEHTrajectPeriodeDatumTijdTotEnMet],"&gt;"&amp;($A301+11/24),tData[Langligger01],1)</f>
        <v/>
      </c>
      <c r="P301" s="20">
        <f>COUNTIFS(tData[SEHTrajectPeriodeDatumTijdVan],"&lt;="&amp;($A301+12/24),tData[SEHTrajectPeriodeDatumTijdTotEnMet],"&gt;"&amp;($A301+12/24),tData[Langligger01],1)</f>
        <v/>
      </c>
      <c r="Q301" s="20">
        <f>COUNTIFS(tData[SEHTrajectPeriodeDatumTijdVan],"&lt;="&amp;($A301+13/24),tData[SEHTrajectPeriodeDatumTijdTotEnMet],"&gt;"&amp;($A301+13/24),tData[Langligger01],1)</f>
        <v/>
      </c>
      <c r="R301" s="20">
        <f>COUNTIFS(tData[SEHTrajectPeriodeDatumTijdVan],"&lt;="&amp;($A301+14/24),tData[SEHTrajectPeriodeDatumTijdTotEnMet],"&gt;"&amp;($A301+14/24),tData[Langligger01],1)</f>
        <v/>
      </c>
      <c r="S301" s="20">
        <f>COUNTIFS(tData[SEHTrajectPeriodeDatumTijdVan],"&lt;="&amp;($A301+15/24),tData[SEHTrajectPeriodeDatumTijdTotEnMet],"&gt;"&amp;($A301+15/24),tData[Langligger01],1)</f>
        <v/>
      </c>
      <c r="T301" s="20">
        <f>COUNTIFS(tData[SEHTrajectPeriodeDatumTijdVan],"&lt;="&amp;($A301+16/24),tData[SEHTrajectPeriodeDatumTijdTotEnMet],"&gt;"&amp;($A301+16/24),tData[Langligger01],1)</f>
        <v/>
      </c>
      <c r="U301" s="20">
        <f>COUNTIFS(tData[SEHTrajectPeriodeDatumTijdVan],"&lt;="&amp;($A301+17/24),tData[SEHTrajectPeriodeDatumTijdTotEnMet],"&gt;"&amp;($A301+17/24),tData[Langligger01],1)</f>
        <v/>
      </c>
      <c r="V301" s="20">
        <f>COUNTIFS(tData[SEHTrajectPeriodeDatumTijdVan],"&lt;="&amp;($A301+18/24),tData[SEHTrajectPeriodeDatumTijdTotEnMet],"&gt;"&amp;($A301+18/24),tData[Langligger01],1)</f>
        <v/>
      </c>
      <c r="W301" s="20">
        <f>COUNTIFS(tData[SEHTrajectPeriodeDatumTijdVan],"&lt;="&amp;($A301+19/24),tData[SEHTrajectPeriodeDatumTijdTotEnMet],"&gt;"&amp;($A301+19/24),tData[Langligger01],1)</f>
        <v/>
      </c>
      <c r="X301" s="20">
        <f>COUNTIFS(tData[SEHTrajectPeriodeDatumTijdVan],"&lt;="&amp;($A301+20/24),tData[SEHTrajectPeriodeDatumTijdTotEnMet],"&gt;"&amp;($A301+20/24),tData[Langligger01],1)</f>
        <v/>
      </c>
      <c r="Y301" s="20">
        <f>COUNTIFS(tData[SEHTrajectPeriodeDatumTijdVan],"&lt;="&amp;($A301+21/24),tData[SEHTrajectPeriodeDatumTijdTotEnMet],"&gt;"&amp;($A301+21/24),tData[Langligger01],1)</f>
        <v/>
      </c>
      <c r="Z301" s="20">
        <f>COUNTIFS(tData[SEHTrajectPeriodeDatumTijdVan],"&lt;="&amp;($A301+22/24),tData[SEHTrajectPeriodeDatumTijdTotEnMet],"&gt;"&amp;($A301+22/24),tData[Langligger01],1)</f>
        <v/>
      </c>
      <c r="AA301" s="20">
        <f>COUNTIFS(tData[SEHTrajectPeriodeDatumTijdVan],"&lt;="&amp;($A301+23/24),tData[SEHTrajectPeriodeDatumTijdTotEnMet],"&gt;"&amp;($A301+23/24),tData[Langligger01],1)</f>
        <v/>
      </c>
    </row>
    <row r="302">
      <c r="A302" s="19" t="n">
        <v>45590</v>
      </c>
      <c r="B302" s="15">
        <f>WEEKDAY($A302,2)</f>
        <v/>
      </c>
      <c r="C302" s="15">
        <f>IF(AND($A302&gt;=INT(Instellingen!$B$5),$A302&lt;=INT(Instellingen!$B$6)),1,0)</f>
        <v/>
      </c>
      <c r="D302" s="20">
        <f>COUNTIFS(tData[SEHTrajectPeriodeDatumTijdVan],"&lt;="&amp;($A302+0/24),tData[SEHTrajectPeriodeDatumTijdTotEnMet],"&gt;"&amp;($A302+0/24),tData[Langligger01],1)</f>
        <v/>
      </c>
      <c r="E302" s="20">
        <f>COUNTIFS(tData[SEHTrajectPeriodeDatumTijdVan],"&lt;="&amp;($A302+1/24),tData[SEHTrajectPeriodeDatumTijdTotEnMet],"&gt;"&amp;($A302+1/24),tData[Langligger01],1)</f>
        <v/>
      </c>
      <c r="F302" s="20">
        <f>COUNTIFS(tData[SEHTrajectPeriodeDatumTijdVan],"&lt;="&amp;($A302+2/24),tData[SEHTrajectPeriodeDatumTijdTotEnMet],"&gt;"&amp;($A302+2/24),tData[Langligger01],1)</f>
        <v/>
      </c>
      <c r="G302" s="20">
        <f>COUNTIFS(tData[SEHTrajectPeriodeDatumTijdVan],"&lt;="&amp;($A302+3/24),tData[SEHTrajectPeriodeDatumTijdTotEnMet],"&gt;"&amp;($A302+3/24),tData[Langligger01],1)</f>
        <v/>
      </c>
      <c r="H302" s="20">
        <f>COUNTIFS(tData[SEHTrajectPeriodeDatumTijdVan],"&lt;="&amp;($A302+4/24),tData[SEHTrajectPeriodeDatumTijdTotEnMet],"&gt;"&amp;($A302+4/24),tData[Langligger01],1)</f>
        <v/>
      </c>
      <c r="I302" s="20">
        <f>COUNTIFS(tData[SEHTrajectPeriodeDatumTijdVan],"&lt;="&amp;($A302+5/24),tData[SEHTrajectPeriodeDatumTijdTotEnMet],"&gt;"&amp;($A302+5/24),tData[Langligger01],1)</f>
        <v/>
      </c>
      <c r="J302" s="20">
        <f>COUNTIFS(tData[SEHTrajectPeriodeDatumTijdVan],"&lt;="&amp;($A302+6/24),tData[SEHTrajectPeriodeDatumTijdTotEnMet],"&gt;"&amp;($A302+6/24),tData[Langligger01],1)</f>
        <v/>
      </c>
      <c r="K302" s="20">
        <f>COUNTIFS(tData[SEHTrajectPeriodeDatumTijdVan],"&lt;="&amp;($A302+7/24),tData[SEHTrajectPeriodeDatumTijdTotEnMet],"&gt;"&amp;($A302+7/24),tData[Langligger01],1)</f>
        <v/>
      </c>
      <c r="L302" s="20">
        <f>COUNTIFS(tData[SEHTrajectPeriodeDatumTijdVan],"&lt;="&amp;($A302+8/24),tData[SEHTrajectPeriodeDatumTijdTotEnMet],"&gt;"&amp;($A302+8/24),tData[Langligger01],1)</f>
        <v/>
      </c>
      <c r="M302" s="20">
        <f>COUNTIFS(tData[SEHTrajectPeriodeDatumTijdVan],"&lt;="&amp;($A302+9/24),tData[SEHTrajectPeriodeDatumTijdTotEnMet],"&gt;"&amp;($A302+9/24),tData[Langligger01],1)</f>
        <v/>
      </c>
      <c r="N302" s="20">
        <f>COUNTIFS(tData[SEHTrajectPeriodeDatumTijdVan],"&lt;="&amp;($A302+10/24),tData[SEHTrajectPeriodeDatumTijdTotEnMet],"&gt;"&amp;($A302+10/24),tData[Langligger01],1)</f>
        <v/>
      </c>
      <c r="O302" s="20">
        <f>COUNTIFS(tData[SEHTrajectPeriodeDatumTijdVan],"&lt;="&amp;($A302+11/24),tData[SEHTrajectPeriodeDatumTijdTotEnMet],"&gt;"&amp;($A302+11/24),tData[Langligger01],1)</f>
        <v/>
      </c>
      <c r="P302" s="20">
        <f>COUNTIFS(tData[SEHTrajectPeriodeDatumTijdVan],"&lt;="&amp;($A302+12/24),tData[SEHTrajectPeriodeDatumTijdTotEnMet],"&gt;"&amp;($A302+12/24),tData[Langligger01],1)</f>
        <v/>
      </c>
      <c r="Q302" s="20">
        <f>COUNTIFS(tData[SEHTrajectPeriodeDatumTijdVan],"&lt;="&amp;($A302+13/24),tData[SEHTrajectPeriodeDatumTijdTotEnMet],"&gt;"&amp;($A302+13/24),tData[Langligger01],1)</f>
        <v/>
      </c>
      <c r="R302" s="20">
        <f>COUNTIFS(tData[SEHTrajectPeriodeDatumTijdVan],"&lt;="&amp;($A302+14/24),tData[SEHTrajectPeriodeDatumTijdTotEnMet],"&gt;"&amp;($A302+14/24),tData[Langligger01],1)</f>
        <v/>
      </c>
      <c r="S302" s="20">
        <f>COUNTIFS(tData[SEHTrajectPeriodeDatumTijdVan],"&lt;="&amp;($A302+15/24),tData[SEHTrajectPeriodeDatumTijdTotEnMet],"&gt;"&amp;($A302+15/24),tData[Langligger01],1)</f>
        <v/>
      </c>
      <c r="T302" s="20">
        <f>COUNTIFS(tData[SEHTrajectPeriodeDatumTijdVan],"&lt;="&amp;($A302+16/24),tData[SEHTrajectPeriodeDatumTijdTotEnMet],"&gt;"&amp;($A302+16/24),tData[Langligger01],1)</f>
        <v/>
      </c>
      <c r="U302" s="20">
        <f>COUNTIFS(tData[SEHTrajectPeriodeDatumTijdVan],"&lt;="&amp;($A302+17/24),tData[SEHTrajectPeriodeDatumTijdTotEnMet],"&gt;"&amp;($A302+17/24),tData[Langligger01],1)</f>
        <v/>
      </c>
      <c r="V302" s="20">
        <f>COUNTIFS(tData[SEHTrajectPeriodeDatumTijdVan],"&lt;="&amp;($A302+18/24),tData[SEHTrajectPeriodeDatumTijdTotEnMet],"&gt;"&amp;($A302+18/24),tData[Langligger01],1)</f>
        <v/>
      </c>
      <c r="W302" s="20">
        <f>COUNTIFS(tData[SEHTrajectPeriodeDatumTijdVan],"&lt;="&amp;($A302+19/24),tData[SEHTrajectPeriodeDatumTijdTotEnMet],"&gt;"&amp;($A302+19/24),tData[Langligger01],1)</f>
        <v/>
      </c>
      <c r="X302" s="20">
        <f>COUNTIFS(tData[SEHTrajectPeriodeDatumTijdVan],"&lt;="&amp;($A302+20/24),tData[SEHTrajectPeriodeDatumTijdTotEnMet],"&gt;"&amp;($A302+20/24),tData[Langligger01],1)</f>
        <v/>
      </c>
      <c r="Y302" s="20">
        <f>COUNTIFS(tData[SEHTrajectPeriodeDatumTijdVan],"&lt;="&amp;($A302+21/24),tData[SEHTrajectPeriodeDatumTijdTotEnMet],"&gt;"&amp;($A302+21/24),tData[Langligger01],1)</f>
        <v/>
      </c>
      <c r="Z302" s="20">
        <f>COUNTIFS(tData[SEHTrajectPeriodeDatumTijdVan],"&lt;="&amp;($A302+22/24),tData[SEHTrajectPeriodeDatumTijdTotEnMet],"&gt;"&amp;($A302+22/24),tData[Langligger01],1)</f>
        <v/>
      </c>
      <c r="AA302" s="20">
        <f>COUNTIFS(tData[SEHTrajectPeriodeDatumTijdVan],"&lt;="&amp;($A302+23/24),tData[SEHTrajectPeriodeDatumTijdTotEnMet],"&gt;"&amp;($A302+23/24),tData[Langligger01],1)</f>
        <v/>
      </c>
    </row>
    <row r="303">
      <c r="A303" s="19" t="n">
        <v>45591</v>
      </c>
      <c r="B303" s="15">
        <f>WEEKDAY($A303,2)</f>
        <v/>
      </c>
      <c r="C303" s="15">
        <f>IF(AND($A303&gt;=INT(Instellingen!$B$5),$A303&lt;=INT(Instellingen!$B$6)),1,0)</f>
        <v/>
      </c>
      <c r="D303" s="20">
        <f>COUNTIFS(tData[SEHTrajectPeriodeDatumTijdVan],"&lt;="&amp;($A303+0/24),tData[SEHTrajectPeriodeDatumTijdTotEnMet],"&gt;"&amp;($A303+0/24),tData[Langligger01],1)</f>
        <v/>
      </c>
      <c r="E303" s="20">
        <f>COUNTIFS(tData[SEHTrajectPeriodeDatumTijdVan],"&lt;="&amp;($A303+1/24),tData[SEHTrajectPeriodeDatumTijdTotEnMet],"&gt;"&amp;($A303+1/24),tData[Langligger01],1)</f>
        <v/>
      </c>
      <c r="F303" s="20">
        <f>COUNTIFS(tData[SEHTrajectPeriodeDatumTijdVan],"&lt;="&amp;($A303+2/24),tData[SEHTrajectPeriodeDatumTijdTotEnMet],"&gt;"&amp;($A303+2/24),tData[Langligger01],1)</f>
        <v/>
      </c>
      <c r="G303" s="20">
        <f>COUNTIFS(tData[SEHTrajectPeriodeDatumTijdVan],"&lt;="&amp;($A303+3/24),tData[SEHTrajectPeriodeDatumTijdTotEnMet],"&gt;"&amp;($A303+3/24),tData[Langligger01],1)</f>
        <v/>
      </c>
      <c r="H303" s="20">
        <f>COUNTIFS(tData[SEHTrajectPeriodeDatumTijdVan],"&lt;="&amp;($A303+4/24),tData[SEHTrajectPeriodeDatumTijdTotEnMet],"&gt;"&amp;($A303+4/24),tData[Langligger01],1)</f>
        <v/>
      </c>
      <c r="I303" s="20">
        <f>COUNTIFS(tData[SEHTrajectPeriodeDatumTijdVan],"&lt;="&amp;($A303+5/24),tData[SEHTrajectPeriodeDatumTijdTotEnMet],"&gt;"&amp;($A303+5/24),tData[Langligger01],1)</f>
        <v/>
      </c>
      <c r="J303" s="20">
        <f>COUNTIFS(tData[SEHTrajectPeriodeDatumTijdVan],"&lt;="&amp;($A303+6/24),tData[SEHTrajectPeriodeDatumTijdTotEnMet],"&gt;"&amp;($A303+6/24),tData[Langligger01],1)</f>
        <v/>
      </c>
      <c r="K303" s="20">
        <f>COUNTIFS(tData[SEHTrajectPeriodeDatumTijdVan],"&lt;="&amp;($A303+7/24),tData[SEHTrajectPeriodeDatumTijdTotEnMet],"&gt;"&amp;($A303+7/24),tData[Langligger01],1)</f>
        <v/>
      </c>
      <c r="L303" s="20">
        <f>COUNTIFS(tData[SEHTrajectPeriodeDatumTijdVan],"&lt;="&amp;($A303+8/24),tData[SEHTrajectPeriodeDatumTijdTotEnMet],"&gt;"&amp;($A303+8/24),tData[Langligger01],1)</f>
        <v/>
      </c>
      <c r="M303" s="20">
        <f>COUNTIFS(tData[SEHTrajectPeriodeDatumTijdVan],"&lt;="&amp;($A303+9/24),tData[SEHTrajectPeriodeDatumTijdTotEnMet],"&gt;"&amp;($A303+9/24),tData[Langligger01],1)</f>
        <v/>
      </c>
      <c r="N303" s="20">
        <f>COUNTIFS(tData[SEHTrajectPeriodeDatumTijdVan],"&lt;="&amp;($A303+10/24),tData[SEHTrajectPeriodeDatumTijdTotEnMet],"&gt;"&amp;($A303+10/24),tData[Langligger01],1)</f>
        <v/>
      </c>
      <c r="O303" s="20">
        <f>COUNTIFS(tData[SEHTrajectPeriodeDatumTijdVan],"&lt;="&amp;($A303+11/24),tData[SEHTrajectPeriodeDatumTijdTotEnMet],"&gt;"&amp;($A303+11/24),tData[Langligger01],1)</f>
        <v/>
      </c>
      <c r="P303" s="20">
        <f>COUNTIFS(tData[SEHTrajectPeriodeDatumTijdVan],"&lt;="&amp;($A303+12/24),tData[SEHTrajectPeriodeDatumTijdTotEnMet],"&gt;"&amp;($A303+12/24),tData[Langligger01],1)</f>
        <v/>
      </c>
      <c r="Q303" s="20">
        <f>COUNTIFS(tData[SEHTrajectPeriodeDatumTijdVan],"&lt;="&amp;($A303+13/24),tData[SEHTrajectPeriodeDatumTijdTotEnMet],"&gt;"&amp;($A303+13/24),tData[Langligger01],1)</f>
        <v/>
      </c>
      <c r="R303" s="20">
        <f>COUNTIFS(tData[SEHTrajectPeriodeDatumTijdVan],"&lt;="&amp;($A303+14/24),tData[SEHTrajectPeriodeDatumTijdTotEnMet],"&gt;"&amp;($A303+14/24),tData[Langligger01],1)</f>
        <v/>
      </c>
      <c r="S303" s="20">
        <f>COUNTIFS(tData[SEHTrajectPeriodeDatumTijdVan],"&lt;="&amp;($A303+15/24),tData[SEHTrajectPeriodeDatumTijdTotEnMet],"&gt;"&amp;($A303+15/24),tData[Langligger01],1)</f>
        <v/>
      </c>
      <c r="T303" s="20">
        <f>COUNTIFS(tData[SEHTrajectPeriodeDatumTijdVan],"&lt;="&amp;($A303+16/24),tData[SEHTrajectPeriodeDatumTijdTotEnMet],"&gt;"&amp;($A303+16/24),tData[Langligger01],1)</f>
        <v/>
      </c>
      <c r="U303" s="20">
        <f>COUNTIFS(tData[SEHTrajectPeriodeDatumTijdVan],"&lt;="&amp;($A303+17/24),tData[SEHTrajectPeriodeDatumTijdTotEnMet],"&gt;"&amp;($A303+17/24),tData[Langligger01],1)</f>
        <v/>
      </c>
      <c r="V303" s="20">
        <f>COUNTIFS(tData[SEHTrajectPeriodeDatumTijdVan],"&lt;="&amp;($A303+18/24),tData[SEHTrajectPeriodeDatumTijdTotEnMet],"&gt;"&amp;($A303+18/24),tData[Langligger01],1)</f>
        <v/>
      </c>
      <c r="W303" s="20">
        <f>COUNTIFS(tData[SEHTrajectPeriodeDatumTijdVan],"&lt;="&amp;($A303+19/24),tData[SEHTrajectPeriodeDatumTijdTotEnMet],"&gt;"&amp;($A303+19/24),tData[Langligger01],1)</f>
        <v/>
      </c>
      <c r="X303" s="20">
        <f>COUNTIFS(tData[SEHTrajectPeriodeDatumTijdVan],"&lt;="&amp;($A303+20/24),tData[SEHTrajectPeriodeDatumTijdTotEnMet],"&gt;"&amp;($A303+20/24),tData[Langligger01],1)</f>
        <v/>
      </c>
      <c r="Y303" s="20">
        <f>COUNTIFS(tData[SEHTrajectPeriodeDatumTijdVan],"&lt;="&amp;($A303+21/24),tData[SEHTrajectPeriodeDatumTijdTotEnMet],"&gt;"&amp;($A303+21/24),tData[Langligger01],1)</f>
        <v/>
      </c>
      <c r="Z303" s="20">
        <f>COUNTIFS(tData[SEHTrajectPeriodeDatumTijdVan],"&lt;="&amp;($A303+22/24),tData[SEHTrajectPeriodeDatumTijdTotEnMet],"&gt;"&amp;($A303+22/24),tData[Langligger01],1)</f>
        <v/>
      </c>
      <c r="AA303" s="20">
        <f>COUNTIFS(tData[SEHTrajectPeriodeDatumTijdVan],"&lt;="&amp;($A303+23/24),tData[SEHTrajectPeriodeDatumTijdTotEnMet],"&gt;"&amp;($A303+23/24),tData[Langligger01],1)</f>
        <v/>
      </c>
    </row>
    <row r="304">
      <c r="A304" s="19" t="n">
        <v>45592</v>
      </c>
      <c r="B304" s="15">
        <f>WEEKDAY($A304,2)</f>
        <v/>
      </c>
      <c r="C304" s="15">
        <f>IF(AND($A304&gt;=INT(Instellingen!$B$5),$A304&lt;=INT(Instellingen!$B$6)),1,0)</f>
        <v/>
      </c>
      <c r="D304" s="20">
        <f>COUNTIFS(tData[SEHTrajectPeriodeDatumTijdVan],"&lt;="&amp;($A304+0/24),tData[SEHTrajectPeriodeDatumTijdTotEnMet],"&gt;"&amp;($A304+0/24),tData[Langligger01],1)</f>
        <v/>
      </c>
      <c r="E304" s="20">
        <f>COUNTIFS(tData[SEHTrajectPeriodeDatumTijdVan],"&lt;="&amp;($A304+1/24),tData[SEHTrajectPeriodeDatumTijdTotEnMet],"&gt;"&amp;($A304+1/24),tData[Langligger01],1)</f>
        <v/>
      </c>
      <c r="F304" s="20">
        <f>COUNTIFS(tData[SEHTrajectPeriodeDatumTijdVan],"&lt;="&amp;($A304+2/24),tData[SEHTrajectPeriodeDatumTijdTotEnMet],"&gt;"&amp;($A304+2/24),tData[Langligger01],1)</f>
        <v/>
      </c>
      <c r="G304" s="20">
        <f>COUNTIFS(tData[SEHTrajectPeriodeDatumTijdVan],"&lt;="&amp;($A304+3/24),tData[SEHTrajectPeriodeDatumTijdTotEnMet],"&gt;"&amp;($A304+3/24),tData[Langligger01],1)</f>
        <v/>
      </c>
      <c r="H304" s="20">
        <f>COUNTIFS(tData[SEHTrajectPeriodeDatumTijdVan],"&lt;="&amp;($A304+4/24),tData[SEHTrajectPeriodeDatumTijdTotEnMet],"&gt;"&amp;($A304+4/24),tData[Langligger01],1)</f>
        <v/>
      </c>
      <c r="I304" s="20">
        <f>COUNTIFS(tData[SEHTrajectPeriodeDatumTijdVan],"&lt;="&amp;($A304+5/24),tData[SEHTrajectPeriodeDatumTijdTotEnMet],"&gt;"&amp;($A304+5/24),tData[Langligger01],1)</f>
        <v/>
      </c>
      <c r="J304" s="20">
        <f>COUNTIFS(tData[SEHTrajectPeriodeDatumTijdVan],"&lt;="&amp;($A304+6/24),tData[SEHTrajectPeriodeDatumTijdTotEnMet],"&gt;"&amp;($A304+6/24),tData[Langligger01],1)</f>
        <v/>
      </c>
      <c r="K304" s="20">
        <f>COUNTIFS(tData[SEHTrajectPeriodeDatumTijdVan],"&lt;="&amp;($A304+7/24),tData[SEHTrajectPeriodeDatumTijdTotEnMet],"&gt;"&amp;($A304+7/24),tData[Langligger01],1)</f>
        <v/>
      </c>
      <c r="L304" s="20">
        <f>COUNTIFS(tData[SEHTrajectPeriodeDatumTijdVan],"&lt;="&amp;($A304+8/24),tData[SEHTrajectPeriodeDatumTijdTotEnMet],"&gt;"&amp;($A304+8/24),tData[Langligger01],1)</f>
        <v/>
      </c>
      <c r="M304" s="20">
        <f>COUNTIFS(tData[SEHTrajectPeriodeDatumTijdVan],"&lt;="&amp;($A304+9/24),tData[SEHTrajectPeriodeDatumTijdTotEnMet],"&gt;"&amp;($A304+9/24),tData[Langligger01],1)</f>
        <v/>
      </c>
      <c r="N304" s="20">
        <f>COUNTIFS(tData[SEHTrajectPeriodeDatumTijdVan],"&lt;="&amp;($A304+10/24),tData[SEHTrajectPeriodeDatumTijdTotEnMet],"&gt;"&amp;($A304+10/24),tData[Langligger01],1)</f>
        <v/>
      </c>
      <c r="O304" s="20">
        <f>COUNTIFS(tData[SEHTrajectPeriodeDatumTijdVan],"&lt;="&amp;($A304+11/24),tData[SEHTrajectPeriodeDatumTijdTotEnMet],"&gt;"&amp;($A304+11/24),tData[Langligger01],1)</f>
        <v/>
      </c>
      <c r="P304" s="20">
        <f>COUNTIFS(tData[SEHTrajectPeriodeDatumTijdVan],"&lt;="&amp;($A304+12/24),tData[SEHTrajectPeriodeDatumTijdTotEnMet],"&gt;"&amp;($A304+12/24),tData[Langligger01],1)</f>
        <v/>
      </c>
      <c r="Q304" s="20">
        <f>COUNTIFS(tData[SEHTrajectPeriodeDatumTijdVan],"&lt;="&amp;($A304+13/24),tData[SEHTrajectPeriodeDatumTijdTotEnMet],"&gt;"&amp;($A304+13/24),tData[Langligger01],1)</f>
        <v/>
      </c>
      <c r="R304" s="20">
        <f>COUNTIFS(tData[SEHTrajectPeriodeDatumTijdVan],"&lt;="&amp;($A304+14/24),tData[SEHTrajectPeriodeDatumTijdTotEnMet],"&gt;"&amp;($A304+14/24),tData[Langligger01],1)</f>
        <v/>
      </c>
      <c r="S304" s="20">
        <f>COUNTIFS(tData[SEHTrajectPeriodeDatumTijdVan],"&lt;="&amp;($A304+15/24),tData[SEHTrajectPeriodeDatumTijdTotEnMet],"&gt;"&amp;($A304+15/24),tData[Langligger01],1)</f>
        <v/>
      </c>
      <c r="T304" s="20">
        <f>COUNTIFS(tData[SEHTrajectPeriodeDatumTijdVan],"&lt;="&amp;($A304+16/24),tData[SEHTrajectPeriodeDatumTijdTotEnMet],"&gt;"&amp;($A304+16/24),tData[Langligger01],1)</f>
        <v/>
      </c>
      <c r="U304" s="20">
        <f>COUNTIFS(tData[SEHTrajectPeriodeDatumTijdVan],"&lt;="&amp;($A304+17/24),tData[SEHTrajectPeriodeDatumTijdTotEnMet],"&gt;"&amp;($A304+17/24),tData[Langligger01],1)</f>
        <v/>
      </c>
      <c r="V304" s="20">
        <f>COUNTIFS(tData[SEHTrajectPeriodeDatumTijdVan],"&lt;="&amp;($A304+18/24),tData[SEHTrajectPeriodeDatumTijdTotEnMet],"&gt;"&amp;($A304+18/24),tData[Langligger01],1)</f>
        <v/>
      </c>
      <c r="W304" s="20">
        <f>COUNTIFS(tData[SEHTrajectPeriodeDatumTijdVan],"&lt;="&amp;($A304+19/24),tData[SEHTrajectPeriodeDatumTijdTotEnMet],"&gt;"&amp;($A304+19/24),tData[Langligger01],1)</f>
        <v/>
      </c>
      <c r="X304" s="20">
        <f>COUNTIFS(tData[SEHTrajectPeriodeDatumTijdVan],"&lt;="&amp;($A304+20/24),tData[SEHTrajectPeriodeDatumTijdTotEnMet],"&gt;"&amp;($A304+20/24),tData[Langligger01],1)</f>
        <v/>
      </c>
      <c r="Y304" s="20">
        <f>COUNTIFS(tData[SEHTrajectPeriodeDatumTijdVan],"&lt;="&amp;($A304+21/24),tData[SEHTrajectPeriodeDatumTijdTotEnMet],"&gt;"&amp;($A304+21/24),tData[Langligger01],1)</f>
        <v/>
      </c>
      <c r="Z304" s="20">
        <f>COUNTIFS(tData[SEHTrajectPeriodeDatumTijdVan],"&lt;="&amp;($A304+22/24),tData[SEHTrajectPeriodeDatumTijdTotEnMet],"&gt;"&amp;($A304+22/24),tData[Langligger01],1)</f>
        <v/>
      </c>
      <c r="AA304" s="20">
        <f>COUNTIFS(tData[SEHTrajectPeriodeDatumTijdVan],"&lt;="&amp;($A304+23/24),tData[SEHTrajectPeriodeDatumTijdTotEnMet],"&gt;"&amp;($A304+23/24),tData[Langligger01],1)</f>
        <v/>
      </c>
    </row>
    <row r="305">
      <c r="A305" s="19" t="n">
        <v>45593</v>
      </c>
      <c r="B305" s="15">
        <f>WEEKDAY($A305,2)</f>
        <v/>
      </c>
      <c r="C305" s="15">
        <f>IF(AND($A305&gt;=INT(Instellingen!$B$5),$A305&lt;=INT(Instellingen!$B$6)),1,0)</f>
        <v/>
      </c>
      <c r="D305" s="20">
        <f>COUNTIFS(tData[SEHTrajectPeriodeDatumTijdVan],"&lt;="&amp;($A305+0/24),tData[SEHTrajectPeriodeDatumTijdTotEnMet],"&gt;"&amp;($A305+0/24),tData[Langligger01],1)</f>
        <v/>
      </c>
      <c r="E305" s="20">
        <f>COUNTIFS(tData[SEHTrajectPeriodeDatumTijdVan],"&lt;="&amp;($A305+1/24),tData[SEHTrajectPeriodeDatumTijdTotEnMet],"&gt;"&amp;($A305+1/24),tData[Langligger01],1)</f>
        <v/>
      </c>
      <c r="F305" s="20">
        <f>COUNTIFS(tData[SEHTrajectPeriodeDatumTijdVan],"&lt;="&amp;($A305+2/24),tData[SEHTrajectPeriodeDatumTijdTotEnMet],"&gt;"&amp;($A305+2/24),tData[Langligger01],1)</f>
        <v/>
      </c>
      <c r="G305" s="20">
        <f>COUNTIFS(tData[SEHTrajectPeriodeDatumTijdVan],"&lt;="&amp;($A305+3/24),tData[SEHTrajectPeriodeDatumTijdTotEnMet],"&gt;"&amp;($A305+3/24),tData[Langligger01],1)</f>
        <v/>
      </c>
      <c r="H305" s="20">
        <f>COUNTIFS(tData[SEHTrajectPeriodeDatumTijdVan],"&lt;="&amp;($A305+4/24),tData[SEHTrajectPeriodeDatumTijdTotEnMet],"&gt;"&amp;($A305+4/24),tData[Langligger01],1)</f>
        <v/>
      </c>
      <c r="I305" s="20">
        <f>COUNTIFS(tData[SEHTrajectPeriodeDatumTijdVan],"&lt;="&amp;($A305+5/24),tData[SEHTrajectPeriodeDatumTijdTotEnMet],"&gt;"&amp;($A305+5/24),tData[Langligger01],1)</f>
        <v/>
      </c>
      <c r="J305" s="20">
        <f>COUNTIFS(tData[SEHTrajectPeriodeDatumTijdVan],"&lt;="&amp;($A305+6/24),tData[SEHTrajectPeriodeDatumTijdTotEnMet],"&gt;"&amp;($A305+6/24),tData[Langligger01],1)</f>
        <v/>
      </c>
      <c r="K305" s="20">
        <f>COUNTIFS(tData[SEHTrajectPeriodeDatumTijdVan],"&lt;="&amp;($A305+7/24),tData[SEHTrajectPeriodeDatumTijdTotEnMet],"&gt;"&amp;($A305+7/24),tData[Langligger01],1)</f>
        <v/>
      </c>
      <c r="L305" s="20">
        <f>COUNTIFS(tData[SEHTrajectPeriodeDatumTijdVan],"&lt;="&amp;($A305+8/24),tData[SEHTrajectPeriodeDatumTijdTotEnMet],"&gt;"&amp;($A305+8/24),tData[Langligger01],1)</f>
        <v/>
      </c>
      <c r="M305" s="20">
        <f>COUNTIFS(tData[SEHTrajectPeriodeDatumTijdVan],"&lt;="&amp;($A305+9/24),tData[SEHTrajectPeriodeDatumTijdTotEnMet],"&gt;"&amp;($A305+9/24),tData[Langligger01],1)</f>
        <v/>
      </c>
      <c r="N305" s="20">
        <f>COUNTIFS(tData[SEHTrajectPeriodeDatumTijdVan],"&lt;="&amp;($A305+10/24),tData[SEHTrajectPeriodeDatumTijdTotEnMet],"&gt;"&amp;($A305+10/24),tData[Langligger01],1)</f>
        <v/>
      </c>
      <c r="O305" s="20">
        <f>COUNTIFS(tData[SEHTrajectPeriodeDatumTijdVan],"&lt;="&amp;($A305+11/24),tData[SEHTrajectPeriodeDatumTijdTotEnMet],"&gt;"&amp;($A305+11/24),tData[Langligger01],1)</f>
        <v/>
      </c>
      <c r="P305" s="20">
        <f>COUNTIFS(tData[SEHTrajectPeriodeDatumTijdVan],"&lt;="&amp;($A305+12/24),tData[SEHTrajectPeriodeDatumTijdTotEnMet],"&gt;"&amp;($A305+12/24),tData[Langligger01],1)</f>
        <v/>
      </c>
      <c r="Q305" s="20">
        <f>COUNTIFS(tData[SEHTrajectPeriodeDatumTijdVan],"&lt;="&amp;($A305+13/24),tData[SEHTrajectPeriodeDatumTijdTotEnMet],"&gt;"&amp;($A305+13/24),tData[Langligger01],1)</f>
        <v/>
      </c>
      <c r="R305" s="20">
        <f>COUNTIFS(tData[SEHTrajectPeriodeDatumTijdVan],"&lt;="&amp;($A305+14/24),tData[SEHTrajectPeriodeDatumTijdTotEnMet],"&gt;"&amp;($A305+14/24),tData[Langligger01],1)</f>
        <v/>
      </c>
      <c r="S305" s="20">
        <f>COUNTIFS(tData[SEHTrajectPeriodeDatumTijdVan],"&lt;="&amp;($A305+15/24),tData[SEHTrajectPeriodeDatumTijdTotEnMet],"&gt;"&amp;($A305+15/24),tData[Langligger01],1)</f>
        <v/>
      </c>
      <c r="T305" s="20">
        <f>COUNTIFS(tData[SEHTrajectPeriodeDatumTijdVan],"&lt;="&amp;($A305+16/24),tData[SEHTrajectPeriodeDatumTijdTotEnMet],"&gt;"&amp;($A305+16/24),tData[Langligger01],1)</f>
        <v/>
      </c>
      <c r="U305" s="20">
        <f>COUNTIFS(tData[SEHTrajectPeriodeDatumTijdVan],"&lt;="&amp;($A305+17/24),tData[SEHTrajectPeriodeDatumTijdTotEnMet],"&gt;"&amp;($A305+17/24),tData[Langligger01],1)</f>
        <v/>
      </c>
      <c r="V305" s="20">
        <f>COUNTIFS(tData[SEHTrajectPeriodeDatumTijdVan],"&lt;="&amp;($A305+18/24),tData[SEHTrajectPeriodeDatumTijdTotEnMet],"&gt;"&amp;($A305+18/24),tData[Langligger01],1)</f>
        <v/>
      </c>
      <c r="W305" s="20">
        <f>COUNTIFS(tData[SEHTrajectPeriodeDatumTijdVan],"&lt;="&amp;($A305+19/24),tData[SEHTrajectPeriodeDatumTijdTotEnMet],"&gt;"&amp;($A305+19/24),tData[Langligger01],1)</f>
        <v/>
      </c>
      <c r="X305" s="20">
        <f>COUNTIFS(tData[SEHTrajectPeriodeDatumTijdVan],"&lt;="&amp;($A305+20/24),tData[SEHTrajectPeriodeDatumTijdTotEnMet],"&gt;"&amp;($A305+20/24),tData[Langligger01],1)</f>
        <v/>
      </c>
      <c r="Y305" s="20">
        <f>COUNTIFS(tData[SEHTrajectPeriodeDatumTijdVan],"&lt;="&amp;($A305+21/24),tData[SEHTrajectPeriodeDatumTijdTotEnMet],"&gt;"&amp;($A305+21/24),tData[Langligger01],1)</f>
        <v/>
      </c>
      <c r="Z305" s="20">
        <f>COUNTIFS(tData[SEHTrajectPeriodeDatumTijdVan],"&lt;="&amp;($A305+22/24),tData[SEHTrajectPeriodeDatumTijdTotEnMet],"&gt;"&amp;($A305+22/24),tData[Langligger01],1)</f>
        <v/>
      </c>
      <c r="AA305" s="20">
        <f>COUNTIFS(tData[SEHTrajectPeriodeDatumTijdVan],"&lt;="&amp;($A305+23/24),tData[SEHTrajectPeriodeDatumTijdTotEnMet],"&gt;"&amp;($A305+23/24),tData[Langligger01],1)</f>
        <v/>
      </c>
    </row>
    <row r="306">
      <c r="A306" s="19" t="n">
        <v>45594</v>
      </c>
      <c r="B306" s="15">
        <f>WEEKDAY($A306,2)</f>
        <v/>
      </c>
      <c r="C306" s="15">
        <f>IF(AND($A306&gt;=INT(Instellingen!$B$5),$A306&lt;=INT(Instellingen!$B$6)),1,0)</f>
        <v/>
      </c>
      <c r="D306" s="20">
        <f>COUNTIFS(tData[SEHTrajectPeriodeDatumTijdVan],"&lt;="&amp;($A306+0/24),tData[SEHTrajectPeriodeDatumTijdTotEnMet],"&gt;"&amp;($A306+0/24),tData[Langligger01],1)</f>
        <v/>
      </c>
      <c r="E306" s="20">
        <f>COUNTIFS(tData[SEHTrajectPeriodeDatumTijdVan],"&lt;="&amp;($A306+1/24),tData[SEHTrajectPeriodeDatumTijdTotEnMet],"&gt;"&amp;($A306+1/24),tData[Langligger01],1)</f>
        <v/>
      </c>
      <c r="F306" s="20">
        <f>COUNTIFS(tData[SEHTrajectPeriodeDatumTijdVan],"&lt;="&amp;($A306+2/24),tData[SEHTrajectPeriodeDatumTijdTotEnMet],"&gt;"&amp;($A306+2/24),tData[Langligger01],1)</f>
        <v/>
      </c>
      <c r="G306" s="20">
        <f>COUNTIFS(tData[SEHTrajectPeriodeDatumTijdVan],"&lt;="&amp;($A306+3/24),tData[SEHTrajectPeriodeDatumTijdTotEnMet],"&gt;"&amp;($A306+3/24),tData[Langligger01],1)</f>
        <v/>
      </c>
      <c r="H306" s="20">
        <f>COUNTIFS(tData[SEHTrajectPeriodeDatumTijdVan],"&lt;="&amp;($A306+4/24),tData[SEHTrajectPeriodeDatumTijdTotEnMet],"&gt;"&amp;($A306+4/24),tData[Langligger01],1)</f>
        <v/>
      </c>
      <c r="I306" s="20">
        <f>COUNTIFS(tData[SEHTrajectPeriodeDatumTijdVan],"&lt;="&amp;($A306+5/24),tData[SEHTrajectPeriodeDatumTijdTotEnMet],"&gt;"&amp;($A306+5/24),tData[Langligger01],1)</f>
        <v/>
      </c>
      <c r="J306" s="20">
        <f>COUNTIFS(tData[SEHTrajectPeriodeDatumTijdVan],"&lt;="&amp;($A306+6/24),tData[SEHTrajectPeriodeDatumTijdTotEnMet],"&gt;"&amp;($A306+6/24),tData[Langligger01],1)</f>
        <v/>
      </c>
      <c r="K306" s="20">
        <f>COUNTIFS(tData[SEHTrajectPeriodeDatumTijdVan],"&lt;="&amp;($A306+7/24),tData[SEHTrajectPeriodeDatumTijdTotEnMet],"&gt;"&amp;($A306+7/24),tData[Langligger01],1)</f>
        <v/>
      </c>
      <c r="L306" s="20">
        <f>COUNTIFS(tData[SEHTrajectPeriodeDatumTijdVan],"&lt;="&amp;($A306+8/24),tData[SEHTrajectPeriodeDatumTijdTotEnMet],"&gt;"&amp;($A306+8/24),tData[Langligger01],1)</f>
        <v/>
      </c>
      <c r="M306" s="20">
        <f>COUNTIFS(tData[SEHTrajectPeriodeDatumTijdVan],"&lt;="&amp;($A306+9/24),tData[SEHTrajectPeriodeDatumTijdTotEnMet],"&gt;"&amp;($A306+9/24),tData[Langligger01],1)</f>
        <v/>
      </c>
      <c r="N306" s="20">
        <f>COUNTIFS(tData[SEHTrajectPeriodeDatumTijdVan],"&lt;="&amp;($A306+10/24),tData[SEHTrajectPeriodeDatumTijdTotEnMet],"&gt;"&amp;($A306+10/24),tData[Langligger01],1)</f>
        <v/>
      </c>
      <c r="O306" s="20">
        <f>COUNTIFS(tData[SEHTrajectPeriodeDatumTijdVan],"&lt;="&amp;($A306+11/24),tData[SEHTrajectPeriodeDatumTijdTotEnMet],"&gt;"&amp;($A306+11/24),tData[Langligger01],1)</f>
        <v/>
      </c>
      <c r="P306" s="20">
        <f>COUNTIFS(tData[SEHTrajectPeriodeDatumTijdVan],"&lt;="&amp;($A306+12/24),tData[SEHTrajectPeriodeDatumTijdTotEnMet],"&gt;"&amp;($A306+12/24),tData[Langligger01],1)</f>
        <v/>
      </c>
      <c r="Q306" s="20">
        <f>COUNTIFS(tData[SEHTrajectPeriodeDatumTijdVan],"&lt;="&amp;($A306+13/24),tData[SEHTrajectPeriodeDatumTijdTotEnMet],"&gt;"&amp;($A306+13/24),tData[Langligger01],1)</f>
        <v/>
      </c>
      <c r="R306" s="20">
        <f>COUNTIFS(tData[SEHTrajectPeriodeDatumTijdVan],"&lt;="&amp;($A306+14/24),tData[SEHTrajectPeriodeDatumTijdTotEnMet],"&gt;"&amp;($A306+14/24),tData[Langligger01],1)</f>
        <v/>
      </c>
      <c r="S306" s="20">
        <f>COUNTIFS(tData[SEHTrajectPeriodeDatumTijdVan],"&lt;="&amp;($A306+15/24),tData[SEHTrajectPeriodeDatumTijdTotEnMet],"&gt;"&amp;($A306+15/24),tData[Langligger01],1)</f>
        <v/>
      </c>
      <c r="T306" s="20">
        <f>COUNTIFS(tData[SEHTrajectPeriodeDatumTijdVan],"&lt;="&amp;($A306+16/24),tData[SEHTrajectPeriodeDatumTijdTotEnMet],"&gt;"&amp;($A306+16/24),tData[Langligger01],1)</f>
        <v/>
      </c>
      <c r="U306" s="20">
        <f>COUNTIFS(tData[SEHTrajectPeriodeDatumTijdVan],"&lt;="&amp;($A306+17/24),tData[SEHTrajectPeriodeDatumTijdTotEnMet],"&gt;"&amp;($A306+17/24),tData[Langligger01],1)</f>
        <v/>
      </c>
      <c r="V306" s="20">
        <f>COUNTIFS(tData[SEHTrajectPeriodeDatumTijdVan],"&lt;="&amp;($A306+18/24),tData[SEHTrajectPeriodeDatumTijdTotEnMet],"&gt;"&amp;($A306+18/24),tData[Langligger01],1)</f>
        <v/>
      </c>
      <c r="W306" s="20">
        <f>COUNTIFS(tData[SEHTrajectPeriodeDatumTijdVan],"&lt;="&amp;($A306+19/24),tData[SEHTrajectPeriodeDatumTijdTotEnMet],"&gt;"&amp;($A306+19/24),tData[Langligger01],1)</f>
        <v/>
      </c>
      <c r="X306" s="20">
        <f>COUNTIFS(tData[SEHTrajectPeriodeDatumTijdVan],"&lt;="&amp;($A306+20/24),tData[SEHTrajectPeriodeDatumTijdTotEnMet],"&gt;"&amp;($A306+20/24),tData[Langligger01],1)</f>
        <v/>
      </c>
      <c r="Y306" s="20">
        <f>COUNTIFS(tData[SEHTrajectPeriodeDatumTijdVan],"&lt;="&amp;($A306+21/24),tData[SEHTrajectPeriodeDatumTijdTotEnMet],"&gt;"&amp;($A306+21/24),tData[Langligger01],1)</f>
        <v/>
      </c>
      <c r="Z306" s="20">
        <f>COUNTIFS(tData[SEHTrajectPeriodeDatumTijdVan],"&lt;="&amp;($A306+22/24),tData[SEHTrajectPeriodeDatumTijdTotEnMet],"&gt;"&amp;($A306+22/24),tData[Langligger01],1)</f>
        <v/>
      </c>
      <c r="AA306" s="20">
        <f>COUNTIFS(tData[SEHTrajectPeriodeDatumTijdVan],"&lt;="&amp;($A306+23/24),tData[SEHTrajectPeriodeDatumTijdTotEnMet],"&gt;"&amp;($A306+23/24),tData[Langligger01],1)</f>
        <v/>
      </c>
    </row>
    <row r="307">
      <c r="A307" s="19" t="n">
        <v>45595</v>
      </c>
      <c r="B307" s="15">
        <f>WEEKDAY($A307,2)</f>
        <v/>
      </c>
      <c r="C307" s="15">
        <f>IF(AND($A307&gt;=INT(Instellingen!$B$5),$A307&lt;=INT(Instellingen!$B$6)),1,0)</f>
        <v/>
      </c>
      <c r="D307" s="20">
        <f>COUNTIFS(tData[SEHTrajectPeriodeDatumTijdVan],"&lt;="&amp;($A307+0/24),tData[SEHTrajectPeriodeDatumTijdTotEnMet],"&gt;"&amp;($A307+0/24),tData[Langligger01],1)</f>
        <v/>
      </c>
      <c r="E307" s="20">
        <f>COUNTIFS(tData[SEHTrajectPeriodeDatumTijdVan],"&lt;="&amp;($A307+1/24),tData[SEHTrajectPeriodeDatumTijdTotEnMet],"&gt;"&amp;($A307+1/24),tData[Langligger01],1)</f>
        <v/>
      </c>
      <c r="F307" s="20">
        <f>COUNTIFS(tData[SEHTrajectPeriodeDatumTijdVan],"&lt;="&amp;($A307+2/24),tData[SEHTrajectPeriodeDatumTijdTotEnMet],"&gt;"&amp;($A307+2/24),tData[Langligger01],1)</f>
        <v/>
      </c>
      <c r="G307" s="20">
        <f>COUNTIFS(tData[SEHTrajectPeriodeDatumTijdVan],"&lt;="&amp;($A307+3/24),tData[SEHTrajectPeriodeDatumTijdTotEnMet],"&gt;"&amp;($A307+3/24),tData[Langligger01],1)</f>
        <v/>
      </c>
      <c r="H307" s="20">
        <f>COUNTIFS(tData[SEHTrajectPeriodeDatumTijdVan],"&lt;="&amp;($A307+4/24),tData[SEHTrajectPeriodeDatumTijdTotEnMet],"&gt;"&amp;($A307+4/24),tData[Langligger01],1)</f>
        <v/>
      </c>
      <c r="I307" s="20">
        <f>COUNTIFS(tData[SEHTrajectPeriodeDatumTijdVan],"&lt;="&amp;($A307+5/24),tData[SEHTrajectPeriodeDatumTijdTotEnMet],"&gt;"&amp;($A307+5/24),tData[Langligger01],1)</f>
        <v/>
      </c>
      <c r="J307" s="20">
        <f>COUNTIFS(tData[SEHTrajectPeriodeDatumTijdVan],"&lt;="&amp;($A307+6/24),tData[SEHTrajectPeriodeDatumTijdTotEnMet],"&gt;"&amp;($A307+6/24),tData[Langligger01],1)</f>
        <v/>
      </c>
      <c r="K307" s="20">
        <f>COUNTIFS(tData[SEHTrajectPeriodeDatumTijdVan],"&lt;="&amp;($A307+7/24),tData[SEHTrajectPeriodeDatumTijdTotEnMet],"&gt;"&amp;($A307+7/24),tData[Langligger01],1)</f>
        <v/>
      </c>
      <c r="L307" s="20">
        <f>COUNTIFS(tData[SEHTrajectPeriodeDatumTijdVan],"&lt;="&amp;($A307+8/24),tData[SEHTrajectPeriodeDatumTijdTotEnMet],"&gt;"&amp;($A307+8/24),tData[Langligger01],1)</f>
        <v/>
      </c>
      <c r="M307" s="20">
        <f>COUNTIFS(tData[SEHTrajectPeriodeDatumTijdVan],"&lt;="&amp;($A307+9/24),tData[SEHTrajectPeriodeDatumTijdTotEnMet],"&gt;"&amp;($A307+9/24),tData[Langligger01],1)</f>
        <v/>
      </c>
      <c r="N307" s="20">
        <f>COUNTIFS(tData[SEHTrajectPeriodeDatumTijdVan],"&lt;="&amp;($A307+10/24),tData[SEHTrajectPeriodeDatumTijdTotEnMet],"&gt;"&amp;($A307+10/24),tData[Langligger01],1)</f>
        <v/>
      </c>
      <c r="O307" s="20">
        <f>COUNTIFS(tData[SEHTrajectPeriodeDatumTijdVan],"&lt;="&amp;($A307+11/24),tData[SEHTrajectPeriodeDatumTijdTotEnMet],"&gt;"&amp;($A307+11/24),tData[Langligger01],1)</f>
        <v/>
      </c>
      <c r="P307" s="20">
        <f>COUNTIFS(tData[SEHTrajectPeriodeDatumTijdVan],"&lt;="&amp;($A307+12/24),tData[SEHTrajectPeriodeDatumTijdTotEnMet],"&gt;"&amp;($A307+12/24),tData[Langligger01],1)</f>
        <v/>
      </c>
      <c r="Q307" s="20">
        <f>COUNTIFS(tData[SEHTrajectPeriodeDatumTijdVan],"&lt;="&amp;($A307+13/24),tData[SEHTrajectPeriodeDatumTijdTotEnMet],"&gt;"&amp;($A307+13/24),tData[Langligger01],1)</f>
        <v/>
      </c>
      <c r="R307" s="20">
        <f>COUNTIFS(tData[SEHTrajectPeriodeDatumTijdVan],"&lt;="&amp;($A307+14/24),tData[SEHTrajectPeriodeDatumTijdTotEnMet],"&gt;"&amp;($A307+14/24),tData[Langligger01],1)</f>
        <v/>
      </c>
      <c r="S307" s="20">
        <f>COUNTIFS(tData[SEHTrajectPeriodeDatumTijdVan],"&lt;="&amp;($A307+15/24),tData[SEHTrajectPeriodeDatumTijdTotEnMet],"&gt;"&amp;($A307+15/24),tData[Langligger01],1)</f>
        <v/>
      </c>
      <c r="T307" s="20">
        <f>COUNTIFS(tData[SEHTrajectPeriodeDatumTijdVan],"&lt;="&amp;($A307+16/24),tData[SEHTrajectPeriodeDatumTijdTotEnMet],"&gt;"&amp;($A307+16/24),tData[Langligger01],1)</f>
        <v/>
      </c>
      <c r="U307" s="20">
        <f>COUNTIFS(tData[SEHTrajectPeriodeDatumTijdVan],"&lt;="&amp;($A307+17/24),tData[SEHTrajectPeriodeDatumTijdTotEnMet],"&gt;"&amp;($A307+17/24),tData[Langligger01],1)</f>
        <v/>
      </c>
      <c r="V307" s="20">
        <f>COUNTIFS(tData[SEHTrajectPeriodeDatumTijdVan],"&lt;="&amp;($A307+18/24),tData[SEHTrajectPeriodeDatumTijdTotEnMet],"&gt;"&amp;($A307+18/24),tData[Langligger01],1)</f>
        <v/>
      </c>
      <c r="W307" s="20">
        <f>COUNTIFS(tData[SEHTrajectPeriodeDatumTijdVan],"&lt;="&amp;($A307+19/24),tData[SEHTrajectPeriodeDatumTijdTotEnMet],"&gt;"&amp;($A307+19/24),tData[Langligger01],1)</f>
        <v/>
      </c>
      <c r="X307" s="20">
        <f>COUNTIFS(tData[SEHTrajectPeriodeDatumTijdVan],"&lt;="&amp;($A307+20/24),tData[SEHTrajectPeriodeDatumTijdTotEnMet],"&gt;"&amp;($A307+20/24),tData[Langligger01],1)</f>
        <v/>
      </c>
      <c r="Y307" s="20">
        <f>COUNTIFS(tData[SEHTrajectPeriodeDatumTijdVan],"&lt;="&amp;($A307+21/24),tData[SEHTrajectPeriodeDatumTijdTotEnMet],"&gt;"&amp;($A307+21/24),tData[Langligger01],1)</f>
        <v/>
      </c>
      <c r="Z307" s="20">
        <f>COUNTIFS(tData[SEHTrajectPeriodeDatumTijdVan],"&lt;="&amp;($A307+22/24),tData[SEHTrajectPeriodeDatumTijdTotEnMet],"&gt;"&amp;($A307+22/24),tData[Langligger01],1)</f>
        <v/>
      </c>
      <c r="AA307" s="20">
        <f>COUNTIFS(tData[SEHTrajectPeriodeDatumTijdVan],"&lt;="&amp;($A307+23/24),tData[SEHTrajectPeriodeDatumTijdTotEnMet],"&gt;"&amp;($A307+23/24),tData[Langligger01],1)</f>
        <v/>
      </c>
    </row>
    <row r="308">
      <c r="A308" s="19" t="n">
        <v>45596</v>
      </c>
      <c r="B308" s="15">
        <f>WEEKDAY($A308,2)</f>
        <v/>
      </c>
      <c r="C308" s="15">
        <f>IF(AND($A308&gt;=INT(Instellingen!$B$5),$A308&lt;=INT(Instellingen!$B$6)),1,0)</f>
        <v/>
      </c>
      <c r="D308" s="20">
        <f>COUNTIFS(tData[SEHTrajectPeriodeDatumTijdVan],"&lt;="&amp;($A308+0/24),tData[SEHTrajectPeriodeDatumTijdTotEnMet],"&gt;"&amp;($A308+0/24),tData[Langligger01],1)</f>
        <v/>
      </c>
      <c r="E308" s="20">
        <f>COUNTIFS(tData[SEHTrajectPeriodeDatumTijdVan],"&lt;="&amp;($A308+1/24),tData[SEHTrajectPeriodeDatumTijdTotEnMet],"&gt;"&amp;($A308+1/24),tData[Langligger01],1)</f>
        <v/>
      </c>
      <c r="F308" s="20">
        <f>COUNTIFS(tData[SEHTrajectPeriodeDatumTijdVan],"&lt;="&amp;($A308+2/24),tData[SEHTrajectPeriodeDatumTijdTotEnMet],"&gt;"&amp;($A308+2/24),tData[Langligger01],1)</f>
        <v/>
      </c>
      <c r="G308" s="20">
        <f>COUNTIFS(tData[SEHTrajectPeriodeDatumTijdVan],"&lt;="&amp;($A308+3/24),tData[SEHTrajectPeriodeDatumTijdTotEnMet],"&gt;"&amp;($A308+3/24),tData[Langligger01],1)</f>
        <v/>
      </c>
      <c r="H308" s="20">
        <f>COUNTIFS(tData[SEHTrajectPeriodeDatumTijdVan],"&lt;="&amp;($A308+4/24),tData[SEHTrajectPeriodeDatumTijdTotEnMet],"&gt;"&amp;($A308+4/24),tData[Langligger01],1)</f>
        <v/>
      </c>
      <c r="I308" s="20">
        <f>COUNTIFS(tData[SEHTrajectPeriodeDatumTijdVan],"&lt;="&amp;($A308+5/24),tData[SEHTrajectPeriodeDatumTijdTotEnMet],"&gt;"&amp;($A308+5/24),tData[Langligger01],1)</f>
        <v/>
      </c>
      <c r="J308" s="20">
        <f>COUNTIFS(tData[SEHTrajectPeriodeDatumTijdVan],"&lt;="&amp;($A308+6/24),tData[SEHTrajectPeriodeDatumTijdTotEnMet],"&gt;"&amp;($A308+6/24),tData[Langligger01],1)</f>
        <v/>
      </c>
      <c r="K308" s="20">
        <f>COUNTIFS(tData[SEHTrajectPeriodeDatumTijdVan],"&lt;="&amp;($A308+7/24),tData[SEHTrajectPeriodeDatumTijdTotEnMet],"&gt;"&amp;($A308+7/24),tData[Langligger01],1)</f>
        <v/>
      </c>
      <c r="L308" s="20">
        <f>COUNTIFS(tData[SEHTrajectPeriodeDatumTijdVan],"&lt;="&amp;($A308+8/24),tData[SEHTrajectPeriodeDatumTijdTotEnMet],"&gt;"&amp;($A308+8/24),tData[Langligger01],1)</f>
        <v/>
      </c>
      <c r="M308" s="20">
        <f>COUNTIFS(tData[SEHTrajectPeriodeDatumTijdVan],"&lt;="&amp;($A308+9/24),tData[SEHTrajectPeriodeDatumTijdTotEnMet],"&gt;"&amp;($A308+9/24),tData[Langligger01],1)</f>
        <v/>
      </c>
      <c r="N308" s="20">
        <f>COUNTIFS(tData[SEHTrajectPeriodeDatumTijdVan],"&lt;="&amp;($A308+10/24),tData[SEHTrajectPeriodeDatumTijdTotEnMet],"&gt;"&amp;($A308+10/24),tData[Langligger01],1)</f>
        <v/>
      </c>
      <c r="O308" s="20">
        <f>COUNTIFS(tData[SEHTrajectPeriodeDatumTijdVan],"&lt;="&amp;($A308+11/24),tData[SEHTrajectPeriodeDatumTijdTotEnMet],"&gt;"&amp;($A308+11/24),tData[Langligger01],1)</f>
        <v/>
      </c>
      <c r="P308" s="20">
        <f>COUNTIFS(tData[SEHTrajectPeriodeDatumTijdVan],"&lt;="&amp;($A308+12/24),tData[SEHTrajectPeriodeDatumTijdTotEnMet],"&gt;"&amp;($A308+12/24),tData[Langligger01],1)</f>
        <v/>
      </c>
      <c r="Q308" s="20">
        <f>COUNTIFS(tData[SEHTrajectPeriodeDatumTijdVan],"&lt;="&amp;($A308+13/24),tData[SEHTrajectPeriodeDatumTijdTotEnMet],"&gt;"&amp;($A308+13/24),tData[Langligger01],1)</f>
        <v/>
      </c>
      <c r="R308" s="20">
        <f>COUNTIFS(tData[SEHTrajectPeriodeDatumTijdVan],"&lt;="&amp;($A308+14/24),tData[SEHTrajectPeriodeDatumTijdTotEnMet],"&gt;"&amp;($A308+14/24),tData[Langligger01],1)</f>
        <v/>
      </c>
      <c r="S308" s="20">
        <f>COUNTIFS(tData[SEHTrajectPeriodeDatumTijdVan],"&lt;="&amp;($A308+15/24),tData[SEHTrajectPeriodeDatumTijdTotEnMet],"&gt;"&amp;($A308+15/24),tData[Langligger01],1)</f>
        <v/>
      </c>
      <c r="T308" s="20">
        <f>COUNTIFS(tData[SEHTrajectPeriodeDatumTijdVan],"&lt;="&amp;($A308+16/24),tData[SEHTrajectPeriodeDatumTijdTotEnMet],"&gt;"&amp;($A308+16/24),tData[Langligger01],1)</f>
        <v/>
      </c>
      <c r="U308" s="20">
        <f>COUNTIFS(tData[SEHTrajectPeriodeDatumTijdVan],"&lt;="&amp;($A308+17/24),tData[SEHTrajectPeriodeDatumTijdTotEnMet],"&gt;"&amp;($A308+17/24),tData[Langligger01],1)</f>
        <v/>
      </c>
      <c r="V308" s="20">
        <f>COUNTIFS(tData[SEHTrajectPeriodeDatumTijdVan],"&lt;="&amp;($A308+18/24),tData[SEHTrajectPeriodeDatumTijdTotEnMet],"&gt;"&amp;($A308+18/24),tData[Langligger01],1)</f>
        <v/>
      </c>
      <c r="W308" s="20">
        <f>COUNTIFS(tData[SEHTrajectPeriodeDatumTijdVan],"&lt;="&amp;($A308+19/24),tData[SEHTrajectPeriodeDatumTijdTotEnMet],"&gt;"&amp;($A308+19/24),tData[Langligger01],1)</f>
        <v/>
      </c>
      <c r="X308" s="20">
        <f>COUNTIFS(tData[SEHTrajectPeriodeDatumTijdVan],"&lt;="&amp;($A308+20/24),tData[SEHTrajectPeriodeDatumTijdTotEnMet],"&gt;"&amp;($A308+20/24),tData[Langligger01],1)</f>
        <v/>
      </c>
      <c r="Y308" s="20">
        <f>COUNTIFS(tData[SEHTrajectPeriodeDatumTijdVan],"&lt;="&amp;($A308+21/24),tData[SEHTrajectPeriodeDatumTijdTotEnMet],"&gt;"&amp;($A308+21/24),tData[Langligger01],1)</f>
        <v/>
      </c>
      <c r="Z308" s="20">
        <f>COUNTIFS(tData[SEHTrajectPeriodeDatumTijdVan],"&lt;="&amp;($A308+22/24),tData[SEHTrajectPeriodeDatumTijdTotEnMet],"&gt;"&amp;($A308+22/24),tData[Langligger01],1)</f>
        <v/>
      </c>
      <c r="AA308" s="20">
        <f>COUNTIFS(tData[SEHTrajectPeriodeDatumTijdVan],"&lt;="&amp;($A308+23/24),tData[SEHTrajectPeriodeDatumTijdTotEnMet],"&gt;"&amp;($A308+23/24),tData[Langligger01],1)</f>
        <v/>
      </c>
    </row>
    <row r="309">
      <c r="A309" s="19" t="n">
        <v>45597</v>
      </c>
      <c r="B309" s="15">
        <f>WEEKDAY($A309,2)</f>
        <v/>
      </c>
      <c r="C309" s="15">
        <f>IF(AND($A309&gt;=INT(Instellingen!$B$5),$A309&lt;=INT(Instellingen!$B$6)),1,0)</f>
        <v/>
      </c>
      <c r="D309" s="20">
        <f>COUNTIFS(tData[SEHTrajectPeriodeDatumTijdVan],"&lt;="&amp;($A309+0/24),tData[SEHTrajectPeriodeDatumTijdTotEnMet],"&gt;"&amp;($A309+0/24),tData[Langligger01],1)</f>
        <v/>
      </c>
      <c r="E309" s="20">
        <f>COUNTIFS(tData[SEHTrajectPeriodeDatumTijdVan],"&lt;="&amp;($A309+1/24),tData[SEHTrajectPeriodeDatumTijdTotEnMet],"&gt;"&amp;($A309+1/24),tData[Langligger01],1)</f>
        <v/>
      </c>
      <c r="F309" s="20">
        <f>COUNTIFS(tData[SEHTrajectPeriodeDatumTijdVan],"&lt;="&amp;($A309+2/24),tData[SEHTrajectPeriodeDatumTijdTotEnMet],"&gt;"&amp;($A309+2/24),tData[Langligger01],1)</f>
        <v/>
      </c>
      <c r="G309" s="20">
        <f>COUNTIFS(tData[SEHTrajectPeriodeDatumTijdVan],"&lt;="&amp;($A309+3/24),tData[SEHTrajectPeriodeDatumTijdTotEnMet],"&gt;"&amp;($A309+3/24),tData[Langligger01],1)</f>
        <v/>
      </c>
      <c r="H309" s="20">
        <f>COUNTIFS(tData[SEHTrajectPeriodeDatumTijdVan],"&lt;="&amp;($A309+4/24),tData[SEHTrajectPeriodeDatumTijdTotEnMet],"&gt;"&amp;($A309+4/24),tData[Langligger01],1)</f>
        <v/>
      </c>
      <c r="I309" s="20">
        <f>COUNTIFS(tData[SEHTrajectPeriodeDatumTijdVan],"&lt;="&amp;($A309+5/24),tData[SEHTrajectPeriodeDatumTijdTotEnMet],"&gt;"&amp;($A309+5/24),tData[Langligger01],1)</f>
        <v/>
      </c>
      <c r="J309" s="20">
        <f>COUNTIFS(tData[SEHTrajectPeriodeDatumTijdVan],"&lt;="&amp;($A309+6/24),tData[SEHTrajectPeriodeDatumTijdTotEnMet],"&gt;"&amp;($A309+6/24),tData[Langligger01],1)</f>
        <v/>
      </c>
      <c r="K309" s="20">
        <f>COUNTIFS(tData[SEHTrajectPeriodeDatumTijdVan],"&lt;="&amp;($A309+7/24),tData[SEHTrajectPeriodeDatumTijdTotEnMet],"&gt;"&amp;($A309+7/24),tData[Langligger01],1)</f>
        <v/>
      </c>
      <c r="L309" s="20">
        <f>COUNTIFS(tData[SEHTrajectPeriodeDatumTijdVan],"&lt;="&amp;($A309+8/24),tData[SEHTrajectPeriodeDatumTijdTotEnMet],"&gt;"&amp;($A309+8/24),tData[Langligger01],1)</f>
        <v/>
      </c>
      <c r="M309" s="20">
        <f>COUNTIFS(tData[SEHTrajectPeriodeDatumTijdVan],"&lt;="&amp;($A309+9/24),tData[SEHTrajectPeriodeDatumTijdTotEnMet],"&gt;"&amp;($A309+9/24),tData[Langligger01],1)</f>
        <v/>
      </c>
      <c r="N309" s="20">
        <f>COUNTIFS(tData[SEHTrajectPeriodeDatumTijdVan],"&lt;="&amp;($A309+10/24),tData[SEHTrajectPeriodeDatumTijdTotEnMet],"&gt;"&amp;($A309+10/24),tData[Langligger01],1)</f>
        <v/>
      </c>
      <c r="O309" s="20">
        <f>COUNTIFS(tData[SEHTrajectPeriodeDatumTijdVan],"&lt;="&amp;($A309+11/24),tData[SEHTrajectPeriodeDatumTijdTotEnMet],"&gt;"&amp;($A309+11/24),tData[Langligger01],1)</f>
        <v/>
      </c>
      <c r="P309" s="20">
        <f>COUNTIFS(tData[SEHTrajectPeriodeDatumTijdVan],"&lt;="&amp;($A309+12/24),tData[SEHTrajectPeriodeDatumTijdTotEnMet],"&gt;"&amp;($A309+12/24),tData[Langligger01],1)</f>
        <v/>
      </c>
      <c r="Q309" s="20">
        <f>COUNTIFS(tData[SEHTrajectPeriodeDatumTijdVan],"&lt;="&amp;($A309+13/24),tData[SEHTrajectPeriodeDatumTijdTotEnMet],"&gt;"&amp;($A309+13/24),tData[Langligger01],1)</f>
        <v/>
      </c>
      <c r="R309" s="20">
        <f>COUNTIFS(tData[SEHTrajectPeriodeDatumTijdVan],"&lt;="&amp;($A309+14/24),tData[SEHTrajectPeriodeDatumTijdTotEnMet],"&gt;"&amp;($A309+14/24),tData[Langligger01],1)</f>
        <v/>
      </c>
      <c r="S309" s="20">
        <f>COUNTIFS(tData[SEHTrajectPeriodeDatumTijdVan],"&lt;="&amp;($A309+15/24),tData[SEHTrajectPeriodeDatumTijdTotEnMet],"&gt;"&amp;($A309+15/24),tData[Langligger01],1)</f>
        <v/>
      </c>
      <c r="T309" s="20">
        <f>COUNTIFS(tData[SEHTrajectPeriodeDatumTijdVan],"&lt;="&amp;($A309+16/24),tData[SEHTrajectPeriodeDatumTijdTotEnMet],"&gt;"&amp;($A309+16/24),tData[Langligger01],1)</f>
        <v/>
      </c>
      <c r="U309" s="20">
        <f>COUNTIFS(tData[SEHTrajectPeriodeDatumTijdVan],"&lt;="&amp;($A309+17/24),tData[SEHTrajectPeriodeDatumTijdTotEnMet],"&gt;"&amp;($A309+17/24),tData[Langligger01],1)</f>
        <v/>
      </c>
      <c r="V309" s="20">
        <f>COUNTIFS(tData[SEHTrajectPeriodeDatumTijdVan],"&lt;="&amp;($A309+18/24),tData[SEHTrajectPeriodeDatumTijdTotEnMet],"&gt;"&amp;($A309+18/24),tData[Langligger01],1)</f>
        <v/>
      </c>
      <c r="W309" s="20">
        <f>COUNTIFS(tData[SEHTrajectPeriodeDatumTijdVan],"&lt;="&amp;($A309+19/24),tData[SEHTrajectPeriodeDatumTijdTotEnMet],"&gt;"&amp;($A309+19/24),tData[Langligger01],1)</f>
        <v/>
      </c>
      <c r="X309" s="20">
        <f>COUNTIFS(tData[SEHTrajectPeriodeDatumTijdVan],"&lt;="&amp;($A309+20/24),tData[SEHTrajectPeriodeDatumTijdTotEnMet],"&gt;"&amp;($A309+20/24),tData[Langligger01],1)</f>
        <v/>
      </c>
      <c r="Y309" s="20">
        <f>COUNTIFS(tData[SEHTrajectPeriodeDatumTijdVan],"&lt;="&amp;($A309+21/24),tData[SEHTrajectPeriodeDatumTijdTotEnMet],"&gt;"&amp;($A309+21/24),tData[Langligger01],1)</f>
        <v/>
      </c>
      <c r="Z309" s="20">
        <f>COUNTIFS(tData[SEHTrajectPeriodeDatumTijdVan],"&lt;="&amp;($A309+22/24),tData[SEHTrajectPeriodeDatumTijdTotEnMet],"&gt;"&amp;($A309+22/24),tData[Langligger01],1)</f>
        <v/>
      </c>
      <c r="AA309" s="20">
        <f>COUNTIFS(tData[SEHTrajectPeriodeDatumTijdVan],"&lt;="&amp;($A309+23/24),tData[SEHTrajectPeriodeDatumTijdTotEnMet],"&gt;"&amp;($A309+23/24),tData[Langligger01],1)</f>
        <v/>
      </c>
    </row>
    <row r="310">
      <c r="A310" s="19" t="n">
        <v>45598</v>
      </c>
      <c r="B310" s="15">
        <f>WEEKDAY($A310,2)</f>
        <v/>
      </c>
      <c r="C310" s="15">
        <f>IF(AND($A310&gt;=INT(Instellingen!$B$5),$A310&lt;=INT(Instellingen!$B$6)),1,0)</f>
        <v/>
      </c>
      <c r="D310" s="20">
        <f>COUNTIFS(tData[SEHTrajectPeriodeDatumTijdVan],"&lt;="&amp;($A310+0/24),tData[SEHTrajectPeriodeDatumTijdTotEnMet],"&gt;"&amp;($A310+0/24),tData[Langligger01],1)</f>
        <v/>
      </c>
      <c r="E310" s="20">
        <f>COUNTIFS(tData[SEHTrajectPeriodeDatumTijdVan],"&lt;="&amp;($A310+1/24),tData[SEHTrajectPeriodeDatumTijdTotEnMet],"&gt;"&amp;($A310+1/24),tData[Langligger01],1)</f>
        <v/>
      </c>
      <c r="F310" s="20">
        <f>COUNTIFS(tData[SEHTrajectPeriodeDatumTijdVan],"&lt;="&amp;($A310+2/24),tData[SEHTrajectPeriodeDatumTijdTotEnMet],"&gt;"&amp;($A310+2/24),tData[Langligger01],1)</f>
        <v/>
      </c>
      <c r="G310" s="20">
        <f>COUNTIFS(tData[SEHTrajectPeriodeDatumTijdVan],"&lt;="&amp;($A310+3/24),tData[SEHTrajectPeriodeDatumTijdTotEnMet],"&gt;"&amp;($A310+3/24),tData[Langligger01],1)</f>
        <v/>
      </c>
      <c r="H310" s="20">
        <f>COUNTIFS(tData[SEHTrajectPeriodeDatumTijdVan],"&lt;="&amp;($A310+4/24),tData[SEHTrajectPeriodeDatumTijdTotEnMet],"&gt;"&amp;($A310+4/24),tData[Langligger01],1)</f>
        <v/>
      </c>
      <c r="I310" s="20">
        <f>COUNTIFS(tData[SEHTrajectPeriodeDatumTijdVan],"&lt;="&amp;($A310+5/24),tData[SEHTrajectPeriodeDatumTijdTotEnMet],"&gt;"&amp;($A310+5/24),tData[Langligger01],1)</f>
        <v/>
      </c>
      <c r="J310" s="20">
        <f>COUNTIFS(tData[SEHTrajectPeriodeDatumTijdVan],"&lt;="&amp;($A310+6/24),tData[SEHTrajectPeriodeDatumTijdTotEnMet],"&gt;"&amp;($A310+6/24),tData[Langligger01],1)</f>
        <v/>
      </c>
      <c r="K310" s="20">
        <f>COUNTIFS(tData[SEHTrajectPeriodeDatumTijdVan],"&lt;="&amp;($A310+7/24),tData[SEHTrajectPeriodeDatumTijdTotEnMet],"&gt;"&amp;($A310+7/24),tData[Langligger01],1)</f>
        <v/>
      </c>
      <c r="L310" s="20">
        <f>COUNTIFS(tData[SEHTrajectPeriodeDatumTijdVan],"&lt;="&amp;($A310+8/24),tData[SEHTrajectPeriodeDatumTijdTotEnMet],"&gt;"&amp;($A310+8/24),tData[Langligger01],1)</f>
        <v/>
      </c>
      <c r="M310" s="20">
        <f>COUNTIFS(tData[SEHTrajectPeriodeDatumTijdVan],"&lt;="&amp;($A310+9/24),tData[SEHTrajectPeriodeDatumTijdTotEnMet],"&gt;"&amp;($A310+9/24),tData[Langligger01],1)</f>
        <v/>
      </c>
      <c r="N310" s="20">
        <f>COUNTIFS(tData[SEHTrajectPeriodeDatumTijdVan],"&lt;="&amp;($A310+10/24),tData[SEHTrajectPeriodeDatumTijdTotEnMet],"&gt;"&amp;($A310+10/24),tData[Langligger01],1)</f>
        <v/>
      </c>
      <c r="O310" s="20">
        <f>COUNTIFS(tData[SEHTrajectPeriodeDatumTijdVan],"&lt;="&amp;($A310+11/24),tData[SEHTrajectPeriodeDatumTijdTotEnMet],"&gt;"&amp;($A310+11/24),tData[Langligger01],1)</f>
        <v/>
      </c>
      <c r="P310" s="20">
        <f>COUNTIFS(tData[SEHTrajectPeriodeDatumTijdVan],"&lt;="&amp;($A310+12/24),tData[SEHTrajectPeriodeDatumTijdTotEnMet],"&gt;"&amp;($A310+12/24),tData[Langligger01],1)</f>
        <v/>
      </c>
      <c r="Q310" s="20">
        <f>COUNTIFS(tData[SEHTrajectPeriodeDatumTijdVan],"&lt;="&amp;($A310+13/24),tData[SEHTrajectPeriodeDatumTijdTotEnMet],"&gt;"&amp;($A310+13/24),tData[Langligger01],1)</f>
        <v/>
      </c>
      <c r="R310" s="20">
        <f>COUNTIFS(tData[SEHTrajectPeriodeDatumTijdVan],"&lt;="&amp;($A310+14/24),tData[SEHTrajectPeriodeDatumTijdTotEnMet],"&gt;"&amp;($A310+14/24),tData[Langligger01],1)</f>
        <v/>
      </c>
      <c r="S310" s="20">
        <f>COUNTIFS(tData[SEHTrajectPeriodeDatumTijdVan],"&lt;="&amp;($A310+15/24),tData[SEHTrajectPeriodeDatumTijdTotEnMet],"&gt;"&amp;($A310+15/24),tData[Langligger01],1)</f>
        <v/>
      </c>
      <c r="T310" s="20">
        <f>COUNTIFS(tData[SEHTrajectPeriodeDatumTijdVan],"&lt;="&amp;($A310+16/24),tData[SEHTrajectPeriodeDatumTijdTotEnMet],"&gt;"&amp;($A310+16/24),tData[Langligger01],1)</f>
        <v/>
      </c>
      <c r="U310" s="20">
        <f>COUNTIFS(tData[SEHTrajectPeriodeDatumTijdVan],"&lt;="&amp;($A310+17/24),tData[SEHTrajectPeriodeDatumTijdTotEnMet],"&gt;"&amp;($A310+17/24),tData[Langligger01],1)</f>
        <v/>
      </c>
      <c r="V310" s="20">
        <f>COUNTIFS(tData[SEHTrajectPeriodeDatumTijdVan],"&lt;="&amp;($A310+18/24),tData[SEHTrajectPeriodeDatumTijdTotEnMet],"&gt;"&amp;($A310+18/24),tData[Langligger01],1)</f>
        <v/>
      </c>
      <c r="W310" s="20">
        <f>COUNTIFS(tData[SEHTrajectPeriodeDatumTijdVan],"&lt;="&amp;($A310+19/24),tData[SEHTrajectPeriodeDatumTijdTotEnMet],"&gt;"&amp;($A310+19/24),tData[Langligger01],1)</f>
        <v/>
      </c>
      <c r="X310" s="20">
        <f>COUNTIFS(tData[SEHTrajectPeriodeDatumTijdVan],"&lt;="&amp;($A310+20/24),tData[SEHTrajectPeriodeDatumTijdTotEnMet],"&gt;"&amp;($A310+20/24),tData[Langligger01],1)</f>
        <v/>
      </c>
      <c r="Y310" s="20">
        <f>COUNTIFS(tData[SEHTrajectPeriodeDatumTijdVan],"&lt;="&amp;($A310+21/24),tData[SEHTrajectPeriodeDatumTijdTotEnMet],"&gt;"&amp;($A310+21/24),tData[Langligger01],1)</f>
        <v/>
      </c>
      <c r="Z310" s="20">
        <f>COUNTIFS(tData[SEHTrajectPeriodeDatumTijdVan],"&lt;="&amp;($A310+22/24),tData[SEHTrajectPeriodeDatumTijdTotEnMet],"&gt;"&amp;($A310+22/24),tData[Langligger01],1)</f>
        <v/>
      </c>
      <c r="AA310" s="20">
        <f>COUNTIFS(tData[SEHTrajectPeriodeDatumTijdVan],"&lt;="&amp;($A310+23/24),tData[SEHTrajectPeriodeDatumTijdTotEnMet],"&gt;"&amp;($A310+23/24),tData[Langligger01],1)</f>
        <v/>
      </c>
    </row>
    <row r="311">
      <c r="A311" s="19" t="n">
        <v>45599</v>
      </c>
      <c r="B311" s="15">
        <f>WEEKDAY($A311,2)</f>
        <v/>
      </c>
      <c r="C311" s="15">
        <f>IF(AND($A311&gt;=INT(Instellingen!$B$5),$A311&lt;=INT(Instellingen!$B$6)),1,0)</f>
        <v/>
      </c>
      <c r="D311" s="20">
        <f>COUNTIFS(tData[SEHTrajectPeriodeDatumTijdVan],"&lt;="&amp;($A311+0/24),tData[SEHTrajectPeriodeDatumTijdTotEnMet],"&gt;"&amp;($A311+0/24),tData[Langligger01],1)</f>
        <v/>
      </c>
      <c r="E311" s="20">
        <f>COUNTIFS(tData[SEHTrajectPeriodeDatumTijdVan],"&lt;="&amp;($A311+1/24),tData[SEHTrajectPeriodeDatumTijdTotEnMet],"&gt;"&amp;($A311+1/24),tData[Langligger01],1)</f>
        <v/>
      </c>
      <c r="F311" s="20">
        <f>COUNTIFS(tData[SEHTrajectPeriodeDatumTijdVan],"&lt;="&amp;($A311+2/24),tData[SEHTrajectPeriodeDatumTijdTotEnMet],"&gt;"&amp;($A311+2/24),tData[Langligger01],1)</f>
        <v/>
      </c>
      <c r="G311" s="20">
        <f>COUNTIFS(tData[SEHTrajectPeriodeDatumTijdVan],"&lt;="&amp;($A311+3/24),tData[SEHTrajectPeriodeDatumTijdTotEnMet],"&gt;"&amp;($A311+3/24),tData[Langligger01],1)</f>
        <v/>
      </c>
      <c r="H311" s="20">
        <f>COUNTIFS(tData[SEHTrajectPeriodeDatumTijdVan],"&lt;="&amp;($A311+4/24),tData[SEHTrajectPeriodeDatumTijdTotEnMet],"&gt;"&amp;($A311+4/24),tData[Langligger01],1)</f>
        <v/>
      </c>
      <c r="I311" s="20">
        <f>COUNTIFS(tData[SEHTrajectPeriodeDatumTijdVan],"&lt;="&amp;($A311+5/24),tData[SEHTrajectPeriodeDatumTijdTotEnMet],"&gt;"&amp;($A311+5/24),tData[Langligger01],1)</f>
        <v/>
      </c>
      <c r="J311" s="20">
        <f>COUNTIFS(tData[SEHTrajectPeriodeDatumTijdVan],"&lt;="&amp;($A311+6/24),tData[SEHTrajectPeriodeDatumTijdTotEnMet],"&gt;"&amp;($A311+6/24),tData[Langligger01],1)</f>
        <v/>
      </c>
      <c r="K311" s="20">
        <f>COUNTIFS(tData[SEHTrajectPeriodeDatumTijdVan],"&lt;="&amp;($A311+7/24),tData[SEHTrajectPeriodeDatumTijdTotEnMet],"&gt;"&amp;($A311+7/24),tData[Langligger01],1)</f>
        <v/>
      </c>
      <c r="L311" s="20">
        <f>COUNTIFS(tData[SEHTrajectPeriodeDatumTijdVan],"&lt;="&amp;($A311+8/24),tData[SEHTrajectPeriodeDatumTijdTotEnMet],"&gt;"&amp;($A311+8/24),tData[Langligger01],1)</f>
        <v/>
      </c>
      <c r="M311" s="20">
        <f>COUNTIFS(tData[SEHTrajectPeriodeDatumTijdVan],"&lt;="&amp;($A311+9/24),tData[SEHTrajectPeriodeDatumTijdTotEnMet],"&gt;"&amp;($A311+9/24),tData[Langligger01],1)</f>
        <v/>
      </c>
      <c r="N311" s="20">
        <f>COUNTIFS(tData[SEHTrajectPeriodeDatumTijdVan],"&lt;="&amp;($A311+10/24),tData[SEHTrajectPeriodeDatumTijdTotEnMet],"&gt;"&amp;($A311+10/24),tData[Langligger01],1)</f>
        <v/>
      </c>
      <c r="O311" s="20">
        <f>COUNTIFS(tData[SEHTrajectPeriodeDatumTijdVan],"&lt;="&amp;($A311+11/24),tData[SEHTrajectPeriodeDatumTijdTotEnMet],"&gt;"&amp;($A311+11/24),tData[Langligger01],1)</f>
        <v/>
      </c>
      <c r="P311" s="20">
        <f>COUNTIFS(tData[SEHTrajectPeriodeDatumTijdVan],"&lt;="&amp;($A311+12/24),tData[SEHTrajectPeriodeDatumTijdTotEnMet],"&gt;"&amp;($A311+12/24),tData[Langligger01],1)</f>
        <v/>
      </c>
      <c r="Q311" s="20">
        <f>COUNTIFS(tData[SEHTrajectPeriodeDatumTijdVan],"&lt;="&amp;($A311+13/24),tData[SEHTrajectPeriodeDatumTijdTotEnMet],"&gt;"&amp;($A311+13/24),tData[Langligger01],1)</f>
        <v/>
      </c>
      <c r="R311" s="20">
        <f>COUNTIFS(tData[SEHTrajectPeriodeDatumTijdVan],"&lt;="&amp;($A311+14/24),tData[SEHTrajectPeriodeDatumTijdTotEnMet],"&gt;"&amp;($A311+14/24),tData[Langligger01],1)</f>
        <v/>
      </c>
      <c r="S311" s="20">
        <f>COUNTIFS(tData[SEHTrajectPeriodeDatumTijdVan],"&lt;="&amp;($A311+15/24),tData[SEHTrajectPeriodeDatumTijdTotEnMet],"&gt;"&amp;($A311+15/24),tData[Langligger01],1)</f>
        <v/>
      </c>
      <c r="T311" s="20">
        <f>COUNTIFS(tData[SEHTrajectPeriodeDatumTijdVan],"&lt;="&amp;($A311+16/24),tData[SEHTrajectPeriodeDatumTijdTotEnMet],"&gt;"&amp;($A311+16/24),tData[Langligger01],1)</f>
        <v/>
      </c>
      <c r="U311" s="20">
        <f>COUNTIFS(tData[SEHTrajectPeriodeDatumTijdVan],"&lt;="&amp;($A311+17/24),tData[SEHTrajectPeriodeDatumTijdTotEnMet],"&gt;"&amp;($A311+17/24),tData[Langligger01],1)</f>
        <v/>
      </c>
      <c r="V311" s="20">
        <f>COUNTIFS(tData[SEHTrajectPeriodeDatumTijdVan],"&lt;="&amp;($A311+18/24),tData[SEHTrajectPeriodeDatumTijdTotEnMet],"&gt;"&amp;($A311+18/24),tData[Langligger01],1)</f>
        <v/>
      </c>
      <c r="W311" s="20">
        <f>COUNTIFS(tData[SEHTrajectPeriodeDatumTijdVan],"&lt;="&amp;($A311+19/24),tData[SEHTrajectPeriodeDatumTijdTotEnMet],"&gt;"&amp;($A311+19/24),tData[Langligger01],1)</f>
        <v/>
      </c>
      <c r="X311" s="20">
        <f>COUNTIFS(tData[SEHTrajectPeriodeDatumTijdVan],"&lt;="&amp;($A311+20/24),tData[SEHTrajectPeriodeDatumTijdTotEnMet],"&gt;"&amp;($A311+20/24),tData[Langligger01],1)</f>
        <v/>
      </c>
      <c r="Y311" s="20">
        <f>COUNTIFS(tData[SEHTrajectPeriodeDatumTijdVan],"&lt;="&amp;($A311+21/24),tData[SEHTrajectPeriodeDatumTijdTotEnMet],"&gt;"&amp;($A311+21/24),tData[Langligger01],1)</f>
        <v/>
      </c>
      <c r="Z311" s="20">
        <f>COUNTIFS(tData[SEHTrajectPeriodeDatumTijdVan],"&lt;="&amp;($A311+22/24),tData[SEHTrajectPeriodeDatumTijdTotEnMet],"&gt;"&amp;($A311+22/24),tData[Langligger01],1)</f>
        <v/>
      </c>
      <c r="AA311" s="20">
        <f>COUNTIFS(tData[SEHTrajectPeriodeDatumTijdVan],"&lt;="&amp;($A311+23/24),tData[SEHTrajectPeriodeDatumTijdTotEnMet],"&gt;"&amp;($A311+23/24),tData[Langligger01],1)</f>
        <v/>
      </c>
    </row>
    <row r="312">
      <c r="A312" s="19" t="n">
        <v>45600</v>
      </c>
      <c r="B312" s="15">
        <f>WEEKDAY($A312,2)</f>
        <v/>
      </c>
      <c r="C312" s="15">
        <f>IF(AND($A312&gt;=INT(Instellingen!$B$5),$A312&lt;=INT(Instellingen!$B$6)),1,0)</f>
        <v/>
      </c>
      <c r="D312" s="20">
        <f>COUNTIFS(tData[SEHTrajectPeriodeDatumTijdVan],"&lt;="&amp;($A312+0/24),tData[SEHTrajectPeriodeDatumTijdTotEnMet],"&gt;"&amp;($A312+0/24),tData[Langligger01],1)</f>
        <v/>
      </c>
      <c r="E312" s="20">
        <f>COUNTIFS(tData[SEHTrajectPeriodeDatumTijdVan],"&lt;="&amp;($A312+1/24),tData[SEHTrajectPeriodeDatumTijdTotEnMet],"&gt;"&amp;($A312+1/24),tData[Langligger01],1)</f>
        <v/>
      </c>
      <c r="F312" s="20">
        <f>COUNTIFS(tData[SEHTrajectPeriodeDatumTijdVan],"&lt;="&amp;($A312+2/24),tData[SEHTrajectPeriodeDatumTijdTotEnMet],"&gt;"&amp;($A312+2/24),tData[Langligger01],1)</f>
        <v/>
      </c>
      <c r="G312" s="20">
        <f>COUNTIFS(tData[SEHTrajectPeriodeDatumTijdVan],"&lt;="&amp;($A312+3/24),tData[SEHTrajectPeriodeDatumTijdTotEnMet],"&gt;"&amp;($A312+3/24),tData[Langligger01],1)</f>
        <v/>
      </c>
      <c r="H312" s="20">
        <f>COUNTIFS(tData[SEHTrajectPeriodeDatumTijdVan],"&lt;="&amp;($A312+4/24),tData[SEHTrajectPeriodeDatumTijdTotEnMet],"&gt;"&amp;($A312+4/24),tData[Langligger01],1)</f>
        <v/>
      </c>
      <c r="I312" s="20">
        <f>COUNTIFS(tData[SEHTrajectPeriodeDatumTijdVan],"&lt;="&amp;($A312+5/24),tData[SEHTrajectPeriodeDatumTijdTotEnMet],"&gt;"&amp;($A312+5/24),tData[Langligger01],1)</f>
        <v/>
      </c>
      <c r="J312" s="20">
        <f>COUNTIFS(tData[SEHTrajectPeriodeDatumTijdVan],"&lt;="&amp;($A312+6/24),tData[SEHTrajectPeriodeDatumTijdTotEnMet],"&gt;"&amp;($A312+6/24),tData[Langligger01],1)</f>
        <v/>
      </c>
      <c r="K312" s="20">
        <f>COUNTIFS(tData[SEHTrajectPeriodeDatumTijdVan],"&lt;="&amp;($A312+7/24),tData[SEHTrajectPeriodeDatumTijdTotEnMet],"&gt;"&amp;($A312+7/24),tData[Langligger01],1)</f>
        <v/>
      </c>
      <c r="L312" s="20">
        <f>COUNTIFS(tData[SEHTrajectPeriodeDatumTijdVan],"&lt;="&amp;($A312+8/24),tData[SEHTrajectPeriodeDatumTijdTotEnMet],"&gt;"&amp;($A312+8/24),tData[Langligger01],1)</f>
        <v/>
      </c>
      <c r="M312" s="20">
        <f>COUNTIFS(tData[SEHTrajectPeriodeDatumTijdVan],"&lt;="&amp;($A312+9/24),tData[SEHTrajectPeriodeDatumTijdTotEnMet],"&gt;"&amp;($A312+9/24),tData[Langligger01],1)</f>
        <v/>
      </c>
      <c r="N312" s="20">
        <f>COUNTIFS(tData[SEHTrajectPeriodeDatumTijdVan],"&lt;="&amp;($A312+10/24),tData[SEHTrajectPeriodeDatumTijdTotEnMet],"&gt;"&amp;($A312+10/24),tData[Langligger01],1)</f>
        <v/>
      </c>
      <c r="O312" s="20">
        <f>COUNTIFS(tData[SEHTrajectPeriodeDatumTijdVan],"&lt;="&amp;($A312+11/24),tData[SEHTrajectPeriodeDatumTijdTotEnMet],"&gt;"&amp;($A312+11/24),tData[Langligger01],1)</f>
        <v/>
      </c>
      <c r="P312" s="20">
        <f>COUNTIFS(tData[SEHTrajectPeriodeDatumTijdVan],"&lt;="&amp;($A312+12/24),tData[SEHTrajectPeriodeDatumTijdTotEnMet],"&gt;"&amp;($A312+12/24),tData[Langligger01],1)</f>
        <v/>
      </c>
      <c r="Q312" s="20">
        <f>COUNTIFS(tData[SEHTrajectPeriodeDatumTijdVan],"&lt;="&amp;($A312+13/24),tData[SEHTrajectPeriodeDatumTijdTotEnMet],"&gt;"&amp;($A312+13/24),tData[Langligger01],1)</f>
        <v/>
      </c>
      <c r="R312" s="20">
        <f>COUNTIFS(tData[SEHTrajectPeriodeDatumTijdVan],"&lt;="&amp;($A312+14/24),tData[SEHTrajectPeriodeDatumTijdTotEnMet],"&gt;"&amp;($A312+14/24),tData[Langligger01],1)</f>
        <v/>
      </c>
      <c r="S312" s="20">
        <f>COUNTIFS(tData[SEHTrajectPeriodeDatumTijdVan],"&lt;="&amp;($A312+15/24),tData[SEHTrajectPeriodeDatumTijdTotEnMet],"&gt;"&amp;($A312+15/24),tData[Langligger01],1)</f>
        <v/>
      </c>
      <c r="T312" s="20">
        <f>COUNTIFS(tData[SEHTrajectPeriodeDatumTijdVan],"&lt;="&amp;($A312+16/24),tData[SEHTrajectPeriodeDatumTijdTotEnMet],"&gt;"&amp;($A312+16/24),tData[Langligger01],1)</f>
        <v/>
      </c>
      <c r="U312" s="20">
        <f>COUNTIFS(tData[SEHTrajectPeriodeDatumTijdVan],"&lt;="&amp;($A312+17/24),tData[SEHTrajectPeriodeDatumTijdTotEnMet],"&gt;"&amp;($A312+17/24),tData[Langligger01],1)</f>
        <v/>
      </c>
      <c r="V312" s="20">
        <f>COUNTIFS(tData[SEHTrajectPeriodeDatumTijdVan],"&lt;="&amp;($A312+18/24),tData[SEHTrajectPeriodeDatumTijdTotEnMet],"&gt;"&amp;($A312+18/24),tData[Langligger01],1)</f>
        <v/>
      </c>
      <c r="W312" s="20">
        <f>COUNTIFS(tData[SEHTrajectPeriodeDatumTijdVan],"&lt;="&amp;($A312+19/24),tData[SEHTrajectPeriodeDatumTijdTotEnMet],"&gt;"&amp;($A312+19/24),tData[Langligger01],1)</f>
        <v/>
      </c>
      <c r="X312" s="20">
        <f>COUNTIFS(tData[SEHTrajectPeriodeDatumTijdVan],"&lt;="&amp;($A312+20/24),tData[SEHTrajectPeriodeDatumTijdTotEnMet],"&gt;"&amp;($A312+20/24),tData[Langligger01],1)</f>
        <v/>
      </c>
      <c r="Y312" s="20">
        <f>COUNTIFS(tData[SEHTrajectPeriodeDatumTijdVan],"&lt;="&amp;($A312+21/24),tData[SEHTrajectPeriodeDatumTijdTotEnMet],"&gt;"&amp;($A312+21/24),tData[Langligger01],1)</f>
        <v/>
      </c>
      <c r="Z312" s="20">
        <f>COUNTIFS(tData[SEHTrajectPeriodeDatumTijdVan],"&lt;="&amp;($A312+22/24),tData[SEHTrajectPeriodeDatumTijdTotEnMet],"&gt;"&amp;($A312+22/24),tData[Langligger01],1)</f>
        <v/>
      </c>
      <c r="AA312" s="20">
        <f>COUNTIFS(tData[SEHTrajectPeriodeDatumTijdVan],"&lt;="&amp;($A312+23/24),tData[SEHTrajectPeriodeDatumTijdTotEnMet],"&gt;"&amp;($A312+23/24),tData[Langligger01],1)</f>
        <v/>
      </c>
    </row>
    <row r="313">
      <c r="A313" s="19" t="n">
        <v>45601</v>
      </c>
      <c r="B313" s="15">
        <f>WEEKDAY($A313,2)</f>
        <v/>
      </c>
      <c r="C313" s="15">
        <f>IF(AND($A313&gt;=INT(Instellingen!$B$5),$A313&lt;=INT(Instellingen!$B$6)),1,0)</f>
        <v/>
      </c>
      <c r="D313" s="20">
        <f>COUNTIFS(tData[SEHTrajectPeriodeDatumTijdVan],"&lt;="&amp;($A313+0/24),tData[SEHTrajectPeriodeDatumTijdTotEnMet],"&gt;"&amp;($A313+0/24),tData[Langligger01],1)</f>
        <v/>
      </c>
      <c r="E313" s="20">
        <f>COUNTIFS(tData[SEHTrajectPeriodeDatumTijdVan],"&lt;="&amp;($A313+1/24),tData[SEHTrajectPeriodeDatumTijdTotEnMet],"&gt;"&amp;($A313+1/24),tData[Langligger01],1)</f>
        <v/>
      </c>
      <c r="F313" s="20">
        <f>COUNTIFS(tData[SEHTrajectPeriodeDatumTijdVan],"&lt;="&amp;($A313+2/24),tData[SEHTrajectPeriodeDatumTijdTotEnMet],"&gt;"&amp;($A313+2/24),tData[Langligger01],1)</f>
        <v/>
      </c>
      <c r="G313" s="20">
        <f>COUNTIFS(tData[SEHTrajectPeriodeDatumTijdVan],"&lt;="&amp;($A313+3/24),tData[SEHTrajectPeriodeDatumTijdTotEnMet],"&gt;"&amp;($A313+3/24),tData[Langligger01],1)</f>
        <v/>
      </c>
      <c r="H313" s="20">
        <f>COUNTIFS(tData[SEHTrajectPeriodeDatumTijdVan],"&lt;="&amp;($A313+4/24),tData[SEHTrajectPeriodeDatumTijdTotEnMet],"&gt;"&amp;($A313+4/24),tData[Langligger01],1)</f>
        <v/>
      </c>
      <c r="I313" s="20">
        <f>COUNTIFS(tData[SEHTrajectPeriodeDatumTijdVan],"&lt;="&amp;($A313+5/24),tData[SEHTrajectPeriodeDatumTijdTotEnMet],"&gt;"&amp;($A313+5/24),tData[Langligger01],1)</f>
        <v/>
      </c>
      <c r="J313" s="20">
        <f>COUNTIFS(tData[SEHTrajectPeriodeDatumTijdVan],"&lt;="&amp;($A313+6/24),tData[SEHTrajectPeriodeDatumTijdTotEnMet],"&gt;"&amp;($A313+6/24),tData[Langligger01],1)</f>
        <v/>
      </c>
      <c r="K313" s="20">
        <f>COUNTIFS(tData[SEHTrajectPeriodeDatumTijdVan],"&lt;="&amp;($A313+7/24),tData[SEHTrajectPeriodeDatumTijdTotEnMet],"&gt;"&amp;($A313+7/24),tData[Langligger01],1)</f>
        <v/>
      </c>
      <c r="L313" s="20">
        <f>COUNTIFS(tData[SEHTrajectPeriodeDatumTijdVan],"&lt;="&amp;($A313+8/24),tData[SEHTrajectPeriodeDatumTijdTotEnMet],"&gt;"&amp;($A313+8/24),tData[Langligger01],1)</f>
        <v/>
      </c>
      <c r="M313" s="20">
        <f>COUNTIFS(tData[SEHTrajectPeriodeDatumTijdVan],"&lt;="&amp;($A313+9/24),tData[SEHTrajectPeriodeDatumTijdTotEnMet],"&gt;"&amp;($A313+9/24),tData[Langligger01],1)</f>
        <v/>
      </c>
      <c r="N313" s="20">
        <f>COUNTIFS(tData[SEHTrajectPeriodeDatumTijdVan],"&lt;="&amp;($A313+10/24),tData[SEHTrajectPeriodeDatumTijdTotEnMet],"&gt;"&amp;($A313+10/24),tData[Langligger01],1)</f>
        <v/>
      </c>
      <c r="O313" s="20">
        <f>COUNTIFS(tData[SEHTrajectPeriodeDatumTijdVan],"&lt;="&amp;($A313+11/24),tData[SEHTrajectPeriodeDatumTijdTotEnMet],"&gt;"&amp;($A313+11/24),tData[Langligger01],1)</f>
        <v/>
      </c>
      <c r="P313" s="20">
        <f>COUNTIFS(tData[SEHTrajectPeriodeDatumTijdVan],"&lt;="&amp;($A313+12/24),tData[SEHTrajectPeriodeDatumTijdTotEnMet],"&gt;"&amp;($A313+12/24),tData[Langligger01],1)</f>
        <v/>
      </c>
      <c r="Q313" s="20">
        <f>COUNTIFS(tData[SEHTrajectPeriodeDatumTijdVan],"&lt;="&amp;($A313+13/24),tData[SEHTrajectPeriodeDatumTijdTotEnMet],"&gt;"&amp;($A313+13/24),tData[Langligger01],1)</f>
        <v/>
      </c>
      <c r="R313" s="20">
        <f>COUNTIFS(tData[SEHTrajectPeriodeDatumTijdVan],"&lt;="&amp;($A313+14/24),tData[SEHTrajectPeriodeDatumTijdTotEnMet],"&gt;"&amp;($A313+14/24),tData[Langligger01],1)</f>
        <v/>
      </c>
      <c r="S313" s="20">
        <f>COUNTIFS(tData[SEHTrajectPeriodeDatumTijdVan],"&lt;="&amp;($A313+15/24),tData[SEHTrajectPeriodeDatumTijdTotEnMet],"&gt;"&amp;($A313+15/24),tData[Langligger01],1)</f>
        <v/>
      </c>
      <c r="T313" s="20">
        <f>COUNTIFS(tData[SEHTrajectPeriodeDatumTijdVan],"&lt;="&amp;($A313+16/24),tData[SEHTrajectPeriodeDatumTijdTotEnMet],"&gt;"&amp;($A313+16/24),tData[Langligger01],1)</f>
        <v/>
      </c>
      <c r="U313" s="20">
        <f>COUNTIFS(tData[SEHTrajectPeriodeDatumTijdVan],"&lt;="&amp;($A313+17/24),tData[SEHTrajectPeriodeDatumTijdTotEnMet],"&gt;"&amp;($A313+17/24),tData[Langligger01],1)</f>
        <v/>
      </c>
      <c r="V313" s="20">
        <f>COUNTIFS(tData[SEHTrajectPeriodeDatumTijdVan],"&lt;="&amp;($A313+18/24),tData[SEHTrajectPeriodeDatumTijdTotEnMet],"&gt;"&amp;($A313+18/24),tData[Langligger01],1)</f>
        <v/>
      </c>
      <c r="W313" s="20">
        <f>COUNTIFS(tData[SEHTrajectPeriodeDatumTijdVan],"&lt;="&amp;($A313+19/24),tData[SEHTrajectPeriodeDatumTijdTotEnMet],"&gt;"&amp;($A313+19/24),tData[Langligger01],1)</f>
        <v/>
      </c>
      <c r="X313" s="20">
        <f>COUNTIFS(tData[SEHTrajectPeriodeDatumTijdVan],"&lt;="&amp;($A313+20/24),tData[SEHTrajectPeriodeDatumTijdTotEnMet],"&gt;"&amp;($A313+20/24),tData[Langligger01],1)</f>
        <v/>
      </c>
      <c r="Y313" s="20">
        <f>COUNTIFS(tData[SEHTrajectPeriodeDatumTijdVan],"&lt;="&amp;($A313+21/24),tData[SEHTrajectPeriodeDatumTijdTotEnMet],"&gt;"&amp;($A313+21/24),tData[Langligger01],1)</f>
        <v/>
      </c>
      <c r="Z313" s="20">
        <f>COUNTIFS(tData[SEHTrajectPeriodeDatumTijdVan],"&lt;="&amp;($A313+22/24),tData[SEHTrajectPeriodeDatumTijdTotEnMet],"&gt;"&amp;($A313+22/24),tData[Langligger01],1)</f>
        <v/>
      </c>
      <c r="AA313" s="20">
        <f>COUNTIFS(tData[SEHTrajectPeriodeDatumTijdVan],"&lt;="&amp;($A313+23/24),tData[SEHTrajectPeriodeDatumTijdTotEnMet],"&gt;"&amp;($A313+23/24),tData[Langligger01],1)</f>
        <v/>
      </c>
    </row>
    <row r="314">
      <c r="A314" s="19" t="n">
        <v>45602</v>
      </c>
      <c r="B314" s="15">
        <f>WEEKDAY($A314,2)</f>
        <v/>
      </c>
      <c r="C314" s="15">
        <f>IF(AND($A314&gt;=INT(Instellingen!$B$5),$A314&lt;=INT(Instellingen!$B$6)),1,0)</f>
        <v/>
      </c>
      <c r="D314" s="20">
        <f>COUNTIFS(tData[SEHTrajectPeriodeDatumTijdVan],"&lt;="&amp;($A314+0/24),tData[SEHTrajectPeriodeDatumTijdTotEnMet],"&gt;"&amp;($A314+0/24),tData[Langligger01],1)</f>
        <v/>
      </c>
      <c r="E314" s="20">
        <f>COUNTIFS(tData[SEHTrajectPeriodeDatumTijdVan],"&lt;="&amp;($A314+1/24),tData[SEHTrajectPeriodeDatumTijdTotEnMet],"&gt;"&amp;($A314+1/24),tData[Langligger01],1)</f>
        <v/>
      </c>
      <c r="F314" s="20">
        <f>COUNTIFS(tData[SEHTrajectPeriodeDatumTijdVan],"&lt;="&amp;($A314+2/24),tData[SEHTrajectPeriodeDatumTijdTotEnMet],"&gt;"&amp;($A314+2/24),tData[Langligger01],1)</f>
        <v/>
      </c>
      <c r="G314" s="20">
        <f>COUNTIFS(tData[SEHTrajectPeriodeDatumTijdVan],"&lt;="&amp;($A314+3/24),tData[SEHTrajectPeriodeDatumTijdTotEnMet],"&gt;"&amp;($A314+3/24),tData[Langligger01],1)</f>
        <v/>
      </c>
      <c r="H314" s="20">
        <f>COUNTIFS(tData[SEHTrajectPeriodeDatumTijdVan],"&lt;="&amp;($A314+4/24),tData[SEHTrajectPeriodeDatumTijdTotEnMet],"&gt;"&amp;($A314+4/24),tData[Langligger01],1)</f>
        <v/>
      </c>
      <c r="I314" s="20">
        <f>COUNTIFS(tData[SEHTrajectPeriodeDatumTijdVan],"&lt;="&amp;($A314+5/24),tData[SEHTrajectPeriodeDatumTijdTotEnMet],"&gt;"&amp;($A314+5/24),tData[Langligger01],1)</f>
        <v/>
      </c>
      <c r="J314" s="20">
        <f>COUNTIFS(tData[SEHTrajectPeriodeDatumTijdVan],"&lt;="&amp;($A314+6/24),tData[SEHTrajectPeriodeDatumTijdTotEnMet],"&gt;"&amp;($A314+6/24),tData[Langligger01],1)</f>
        <v/>
      </c>
      <c r="K314" s="20">
        <f>COUNTIFS(tData[SEHTrajectPeriodeDatumTijdVan],"&lt;="&amp;($A314+7/24),tData[SEHTrajectPeriodeDatumTijdTotEnMet],"&gt;"&amp;($A314+7/24),tData[Langligger01],1)</f>
        <v/>
      </c>
      <c r="L314" s="20">
        <f>COUNTIFS(tData[SEHTrajectPeriodeDatumTijdVan],"&lt;="&amp;($A314+8/24),tData[SEHTrajectPeriodeDatumTijdTotEnMet],"&gt;"&amp;($A314+8/24),tData[Langligger01],1)</f>
        <v/>
      </c>
      <c r="M314" s="20">
        <f>COUNTIFS(tData[SEHTrajectPeriodeDatumTijdVan],"&lt;="&amp;($A314+9/24),tData[SEHTrajectPeriodeDatumTijdTotEnMet],"&gt;"&amp;($A314+9/24),tData[Langligger01],1)</f>
        <v/>
      </c>
      <c r="N314" s="20">
        <f>COUNTIFS(tData[SEHTrajectPeriodeDatumTijdVan],"&lt;="&amp;($A314+10/24),tData[SEHTrajectPeriodeDatumTijdTotEnMet],"&gt;"&amp;($A314+10/24),tData[Langligger01],1)</f>
        <v/>
      </c>
      <c r="O314" s="20">
        <f>COUNTIFS(tData[SEHTrajectPeriodeDatumTijdVan],"&lt;="&amp;($A314+11/24),tData[SEHTrajectPeriodeDatumTijdTotEnMet],"&gt;"&amp;($A314+11/24),tData[Langligger01],1)</f>
        <v/>
      </c>
      <c r="P314" s="20">
        <f>COUNTIFS(tData[SEHTrajectPeriodeDatumTijdVan],"&lt;="&amp;($A314+12/24),tData[SEHTrajectPeriodeDatumTijdTotEnMet],"&gt;"&amp;($A314+12/24),tData[Langligger01],1)</f>
        <v/>
      </c>
      <c r="Q314" s="20">
        <f>COUNTIFS(tData[SEHTrajectPeriodeDatumTijdVan],"&lt;="&amp;($A314+13/24),tData[SEHTrajectPeriodeDatumTijdTotEnMet],"&gt;"&amp;($A314+13/24),tData[Langligger01],1)</f>
        <v/>
      </c>
      <c r="R314" s="20">
        <f>COUNTIFS(tData[SEHTrajectPeriodeDatumTijdVan],"&lt;="&amp;($A314+14/24),tData[SEHTrajectPeriodeDatumTijdTotEnMet],"&gt;"&amp;($A314+14/24),tData[Langligger01],1)</f>
        <v/>
      </c>
      <c r="S314" s="20">
        <f>COUNTIFS(tData[SEHTrajectPeriodeDatumTijdVan],"&lt;="&amp;($A314+15/24),tData[SEHTrajectPeriodeDatumTijdTotEnMet],"&gt;"&amp;($A314+15/24),tData[Langligger01],1)</f>
        <v/>
      </c>
      <c r="T314" s="20">
        <f>COUNTIFS(tData[SEHTrajectPeriodeDatumTijdVan],"&lt;="&amp;($A314+16/24),tData[SEHTrajectPeriodeDatumTijdTotEnMet],"&gt;"&amp;($A314+16/24),tData[Langligger01],1)</f>
        <v/>
      </c>
      <c r="U314" s="20">
        <f>COUNTIFS(tData[SEHTrajectPeriodeDatumTijdVan],"&lt;="&amp;($A314+17/24),tData[SEHTrajectPeriodeDatumTijdTotEnMet],"&gt;"&amp;($A314+17/24),tData[Langligger01],1)</f>
        <v/>
      </c>
      <c r="V314" s="20">
        <f>COUNTIFS(tData[SEHTrajectPeriodeDatumTijdVan],"&lt;="&amp;($A314+18/24),tData[SEHTrajectPeriodeDatumTijdTotEnMet],"&gt;"&amp;($A314+18/24),tData[Langligger01],1)</f>
        <v/>
      </c>
      <c r="W314" s="20">
        <f>COUNTIFS(tData[SEHTrajectPeriodeDatumTijdVan],"&lt;="&amp;($A314+19/24),tData[SEHTrajectPeriodeDatumTijdTotEnMet],"&gt;"&amp;($A314+19/24),tData[Langligger01],1)</f>
        <v/>
      </c>
      <c r="X314" s="20">
        <f>COUNTIFS(tData[SEHTrajectPeriodeDatumTijdVan],"&lt;="&amp;($A314+20/24),tData[SEHTrajectPeriodeDatumTijdTotEnMet],"&gt;"&amp;($A314+20/24),tData[Langligger01],1)</f>
        <v/>
      </c>
      <c r="Y314" s="20">
        <f>COUNTIFS(tData[SEHTrajectPeriodeDatumTijdVan],"&lt;="&amp;($A314+21/24),tData[SEHTrajectPeriodeDatumTijdTotEnMet],"&gt;"&amp;($A314+21/24),tData[Langligger01],1)</f>
        <v/>
      </c>
      <c r="Z314" s="20">
        <f>COUNTIFS(tData[SEHTrajectPeriodeDatumTijdVan],"&lt;="&amp;($A314+22/24),tData[SEHTrajectPeriodeDatumTijdTotEnMet],"&gt;"&amp;($A314+22/24),tData[Langligger01],1)</f>
        <v/>
      </c>
      <c r="AA314" s="20">
        <f>COUNTIFS(tData[SEHTrajectPeriodeDatumTijdVan],"&lt;="&amp;($A314+23/24),tData[SEHTrajectPeriodeDatumTijdTotEnMet],"&gt;"&amp;($A314+23/24),tData[Langligger01],1)</f>
        <v/>
      </c>
    </row>
    <row r="315">
      <c r="A315" s="19" t="n">
        <v>45603</v>
      </c>
      <c r="B315" s="15">
        <f>WEEKDAY($A315,2)</f>
        <v/>
      </c>
      <c r="C315" s="15">
        <f>IF(AND($A315&gt;=INT(Instellingen!$B$5),$A315&lt;=INT(Instellingen!$B$6)),1,0)</f>
        <v/>
      </c>
      <c r="D315" s="20">
        <f>COUNTIFS(tData[SEHTrajectPeriodeDatumTijdVan],"&lt;="&amp;($A315+0/24),tData[SEHTrajectPeriodeDatumTijdTotEnMet],"&gt;"&amp;($A315+0/24),tData[Langligger01],1)</f>
        <v/>
      </c>
      <c r="E315" s="20">
        <f>COUNTIFS(tData[SEHTrajectPeriodeDatumTijdVan],"&lt;="&amp;($A315+1/24),tData[SEHTrajectPeriodeDatumTijdTotEnMet],"&gt;"&amp;($A315+1/24),tData[Langligger01],1)</f>
        <v/>
      </c>
      <c r="F315" s="20">
        <f>COUNTIFS(tData[SEHTrajectPeriodeDatumTijdVan],"&lt;="&amp;($A315+2/24),tData[SEHTrajectPeriodeDatumTijdTotEnMet],"&gt;"&amp;($A315+2/24),tData[Langligger01],1)</f>
        <v/>
      </c>
      <c r="G315" s="20">
        <f>COUNTIFS(tData[SEHTrajectPeriodeDatumTijdVan],"&lt;="&amp;($A315+3/24),tData[SEHTrajectPeriodeDatumTijdTotEnMet],"&gt;"&amp;($A315+3/24),tData[Langligger01],1)</f>
        <v/>
      </c>
      <c r="H315" s="20">
        <f>COUNTIFS(tData[SEHTrajectPeriodeDatumTijdVan],"&lt;="&amp;($A315+4/24),tData[SEHTrajectPeriodeDatumTijdTotEnMet],"&gt;"&amp;($A315+4/24),tData[Langligger01],1)</f>
        <v/>
      </c>
      <c r="I315" s="20">
        <f>COUNTIFS(tData[SEHTrajectPeriodeDatumTijdVan],"&lt;="&amp;($A315+5/24),tData[SEHTrajectPeriodeDatumTijdTotEnMet],"&gt;"&amp;($A315+5/24),tData[Langligger01],1)</f>
        <v/>
      </c>
      <c r="J315" s="20">
        <f>COUNTIFS(tData[SEHTrajectPeriodeDatumTijdVan],"&lt;="&amp;($A315+6/24),tData[SEHTrajectPeriodeDatumTijdTotEnMet],"&gt;"&amp;($A315+6/24),tData[Langligger01],1)</f>
        <v/>
      </c>
      <c r="K315" s="20">
        <f>COUNTIFS(tData[SEHTrajectPeriodeDatumTijdVan],"&lt;="&amp;($A315+7/24),tData[SEHTrajectPeriodeDatumTijdTotEnMet],"&gt;"&amp;($A315+7/24),tData[Langligger01],1)</f>
        <v/>
      </c>
      <c r="L315" s="20">
        <f>COUNTIFS(tData[SEHTrajectPeriodeDatumTijdVan],"&lt;="&amp;($A315+8/24),tData[SEHTrajectPeriodeDatumTijdTotEnMet],"&gt;"&amp;($A315+8/24),tData[Langligger01],1)</f>
        <v/>
      </c>
      <c r="M315" s="20">
        <f>COUNTIFS(tData[SEHTrajectPeriodeDatumTijdVan],"&lt;="&amp;($A315+9/24),tData[SEHTrajectPeriodeDatumTijdTotEnMet],"&gt;"&amp;($A315+9/24),tData[Langligger01],1)</f>
        <v/>
      </c>
      <c r="N315" s="20">
        <f>COUNTIFS(tData[SEHTrajectPeriodeDatumTijdVan],"&lt;="&amp;($A315+10/24),tData[SEHTrajectPeriodeDatumTijdTotEnMet],"&gt;"&amp;($A315+10/24),tData[Langligger01],1)</f>
        <v/>
      </c>
      <c r="O315" s="20">
        <f>COUNTIFS(tData[SEHTrajectPeriodeDatumTijdVan],"&lt;="&amp;($A315+11/24),tData[SEHTrajectPeriodeDatumTijdTotEnMet],"&gt;"&amp;($A315+11/24),tData[Langligger01],1)</f>
        <v/>
      </c>
      <c r="P315" s="20">
        <f>COUNTIFS(tData[SEHTrajectPeriodeDatumTijdVan],"&lt;="&amp;($A315+12/24),tData[SEHTrajectPeriodeDatumTijdTotEnMet],"&gt;"&amp;($A315+12/24),tData[Langligger01],1)</f>
        <v/>
      </c>
      <c r="Q315" s="20">
        <f>COUNTIFS(tData[SEHTrajectPeriodeDatumTijdVan],"&lt;="&amp;($A315+13/24),tData[SEHTrajectPeriodeDatumTijdTotEnMet],"&gt;"&amp;($A315+13/24),tData[Langligger01],1)</f>
        <v/>
      </c>
      <c r="R315" s="20">
        <f>COUNTIFS(tData[SEHTrajectPeriodeDatumTijdVan],"&lt;="&amp;($A315+14/24),tData[SEHTrajectPeriodeDatumTijdTotEnMet],"&gt;"&amp;($A315+14/24),tData[Langligger01],1)</f>
        <v/>
      </c>
      <c r="S315" s="20">
        <f>COUNTIFS(tData[SEHTrajectPeriodeDatumTijdVan],"&lt;="&amp;($A315+15/24),tData[SEHTrajectPeriodeDatumTijdTotEnMet],"&gt;"&amp;($A315+15/24),tData[Langligger01],1)</f>
        <v/>
      </c>
      <c r="T315" s="20">
        <f>COUNTIFS(tData[SEHTrajectPeriodeDatumTijdVan],"&lt;="&amp;($A315+16/24),tData[SEHTrajectPeriodeDatumTijdTotEnMet],"&gt;"&amp;($A315+16/24),tData[Langligger01],1)</f>
        <v/>
      </c>
      <c r="U315" s="20">
        <f>COUNTIFS(tData[SEHTrajectPeriodeDatumTijdVan],"&lt;="&amp;($A315+17/24),tData[SEHTrajectPeriodeDatumTijdTotEnMet],"&gt;"&amp;($A315+17/24),tData[Langligger01],1)</f>
        <v/>
      </c>
      <c r="V315" s="20">
        <f>COUNTIFS(tData[SEHTrajectPeriodeDatumTijdVan],"&lt;="&amp;($A315+18/24),tData[SEHTrajectPeriodeDatumTijdTotEnMet],"&gt;"&amp;($A315+18/24),tData[Langligger01],1)</f>
        <v/>
      </c>
      <c r="W315" s="20">
        <f>COUNTIFS(tData[SEHTrajectPeriodeDatumTijdVan],"&lt;="&amp;($A315+19/24),tData[SEHTrajectPeriodeDatumTijdTotEnMet],"&gt;"&amp;($A315+19/24),tData[Langligger01],1)</f>
        <v/>
      </c>
      <c r="X315" s="20">
        <f>COUNTIFS(tData[SEHTrajectPeriodeDatumTijdVan],"&lt;="&amp;($A315+20/24),tData[SEHTrajectPeriodeDatumTijdTotEnMet],"&gt;"&amp;($A315+20/24),tData[Langligger01],1)</f>
        <v/>
      </c>
      <c r="Y315" s="20">
        <f>COUNTIFS(tData[SEHTrajectPeriodeDatumTijdVan],"&lt;="&amp;($A315+21/24),tData[SEHTrajectPeriodeDatumTijdTotEnMet],"&gt;"&amp;($A315+21/24),tData[Langligger01],1)</f>
        <v/>
      </c>
      <c r="Z315" s="20">
        <f>COUNTIFS(tData[SEHTrajectPeriodeDatumTijdVan],"&lt;="&amp;($A315+22/24),tData[SEHTrajectPeriodeDatumTijdTotEnMet],"&gt;"&amp;($A315+22/24),tData[Langligger01],1)</f>
        <v/>
      </c>
      <c r="AA315" s="20">
        <f>COUNTIFS(tData[SEHTrajectPeriodeDatumTijdVan],"&lt;="&amp;($A315+23/24),tData[SEHTrajectPeriodeDatumTijdTotEnMet],"&gt;"&amp;($A315+23/24),tData[Langligger01],1)</f>
        <v/>
      </c>
    </row>
    <row r="316">
      <c r="A316" s="19" t="n">
        <v>45604</v>
      </c>
      <c r="B316" s="15">
        <f>WEEKDAY($A316,2)</f>
        <v/>
      </c>
      <c r="C316" s="15">
        <f>IF(AND($A316&gt;=INT(Instellingen!$B$5),$A316&lt;=INT(Instellingen!$B$6)),1,0)</f>
        <v/>
      </c>
      <c r="D316" s="20">
        <f>COUNTIFS(tData[SEHTrajectPeriodeDatumTijdVan],"&lt;="&amp;($A316+0/24),tData[SEHTrajectPeriodeDatumTijdTotEnMet],"&gt;"&amp;($A316+0/24),tData[Langligger01],1)</f>
        <v/>
      </c>
      <c r="E316" s="20">
        <f>COUNTIFS(tData[SEHTrajectPeriodeDatumTijdVan],"&lt;="&amp;($A316+1/24),tData[SEHTrajectPeriodeDatumTijdTotEnMet],"&gt;"&amp;($A316+1/24),tData[Langligger01],1)</f>
        <v/>
      </c>
      <c r="F316" s="20">
        <f>COUNTIFS(tData[SEHTrajectPeriodeDatumTijdVan],"&lt;="&amp;($A316+2/24),tData[SEHTrajectPeriodeDatumTijdTotEnMet],"&gt;"&amp;($A316+2/24),tData[Langligger01],1)</f>
        <v/>
      </c>
      <c r="G316" s="20">
        <f>COUNTIFS(tData[SEHTrajectPeriodeDatumTijdVan],"&lt;="&amp;($A316+3/24),tData[SEHTrajectPeriodeDatumTijdTotEnMet],"&gt;"&amp;($A316+3/24),tData[Langligger01],1)</f>
        <v/>
      </c>
      <c r="H316" s="20">
        <f>COUNTIFS(tData[SEHTrajectPeriodeDatumTijdVan],"&lt;="&amp;($A316+4/24),tData[SEHTrajectPeriodeDatumTijdTotEnMet],"&gt;"&amp;($A316+4/24),tData[Langligger01],1)</f>
        <v/>
      </c>
      <c r="I316" s="20">
        <f>COUNTIFS(tData[SEHTrajectPeriodeDatumTijdVan],"&lt;="&amp;($A316+5/24),tData[SEHTrajectPeriodeDatumTijdTotEnMet],"&gt;"&amp;($A316+5/24),tData[Langligger01],1)</f>
        <v/>
      </c>
      <c r="J316" s="20">
        <f>COUNTIFS(tData[SEHTrajectPeriodeDatumTijdVan],"&lt;="&amp;($A316+6/24),tData[SEHTrajectPeriodeDatumTijdTotEnMet],"&gt;"&amp;($A316+6/24),tData[Langligger01],1)</f>
        <v/>
      </c>
      <c r="K316" s="20">
        <f>COUNTIFS(tData[SEHTrajectPeriodeDatumTijdVan],"&lt;="&amp;($A316+7/24),tData[SEHTrajectPeriodeDatumTijdTotEnMet],"&gt;"&amp;($A316+7/24),tData[Langligger01],1)</f>
        <v/>
      </c>
      <c r="L316" s="20">
        <f>COUNTIFS(tData[SEHTrajectPeriodeDatumTijdVan],"&lt;="&amp;($A316+8/24),tData[SEHTrajectPeriodeDatumTijdTotEnMet],"&gt;"&amp;($A316+8/24),tData[Langligger01],1)</f>
        <v/>
      </c>
      <c r="M316" s="20">
        <f>COUNTIFS(tData[SEHTrajectPeriodeDatumTijdVan],"&lt;="&amp;($A316+9/24),tData[SEHTrajectPeriodeDatumTijdTotEnMet],"&gt;"&amp;($A316+9/24),tData[Langligger01],1)</f>
        <v/>
      </c>
      <c r="N316" s="20">
        <f>COUNTIFS(tData[SEHTrajectPeriodeDatumTijdVan],"&lt;="&amp;($A316+10/24),tData[SEHTrajectPeriodeDatumTijdTotEnMet],"&gt;"&amp;($A316+10/24),tData[Langligger01],1)</f>
        <v/>
      </c>
      <c r="O316" s="20">
        <f>COUNTIFS(tData[SEHTrajectPeriodeDatumTijdVan],"&lt;="&amp;($A316+11/24),tData[SEHTrajectPeriodeDatumTijdTotEnMet],"&gt;"&amp;($A316+11/24),tData[Langligger01],1)</f>
        <v/>
      </c>
      <c r="P316" s="20">
        <f>COUNTIFS(tData[SEHTrajectPeriodeDatumTijdVan],"&lt;="&amp;($A316+12/24),tData[SEHTrajectPeriodeDatumTijdTotEnMet],"&gt;"&amp;($A316+12/24),tData[Langligger01],1)</f>
        <v/>
      </c>
      <c r="Q316" s="20">
        <f>COUNTIFS(tData[SEHTrajectPeriodeDatumTijdVan],"&lt;="&amp;($A316+13/24),tData[SEHTrajectPeriodeDatumTijdTotEnMet],"&gt;"&amp;($A316+13/24),tData[Langligger01],1)</f>
        <v/>
      </c>
      <c r="R316" s="20">
        <f>COUNTIFS(tData[SEHTrajectPeriodeDatumTijdVan],"&lt;="&amp;($A316+14/24),tData[SEHTrajectPeriodeDatumTijdTotEnMet],"&gt;"&amp;($A316+14/24),tData[Langligger01],1)</f>
        <v/>
      </c>
      <c r="S316" s="20">
        <f>COUNTIFS(tData[SEHTrajectPeriodeDatumTijdVan],"&lt;="&amp;($A316+15/24),tData[SEHTrajectPeriodeDatumTijdTotEnMet],"&gt;"&amp;($A316+15/24),tData[Langligger01],1)</f>
        <v/>
      </c>
      <c r="T316" s="20">
        <f>COUNTIFS(tData[SEHTrajectPeriodeDatumTijdVan],"&lt;="&amp;($A316+16/24),tData[SEHTrajectPeriodeDatumTijdTotEnMet],"&gt;"&amp;($A316+16/24),tData[Langligger01],1)</f>
        <v/>
      </c>
      <c r="U316" s="20">
        <f>COUNTIFS(tData[SEHTrajectPeriodeDatumTijdVan],"&lt;="&amp;($A316+17/24),tData[SEHTrajectPeriodeDatumTijdTotEnMet],"&gt;"&amp;($A316+17/24),tData[Langligger01],1)</f>
        <v/>
      </c>
      <c r="V316" s="20">
        <f>COUNTIFS(tData[SEHTrajectPeriodeDatumTijdVan],"&lt;="&amp;($A316+18/24),tData[SEHTrajectPeriodeDatumTijdTotEnMet],"&gt;"&amp;($A316+18/24),tData[Langligger01],1)</f>
        <v/>
      </c>
      <c r="W316" s="20">
        <f>COUNTIFS(tData[SEHTrajectPeriodeDatumTijdVan],"&lt;="&amp;($A316+19/24),tData[SEHTrajectPeriodeDatumTijdTotEnMet],"&gt;"&amp;($A316+19/24),tData[Langligger01],1)</f>
        <v/>
      </c>
      <c r="X316" s="20">
        <f>COUNTIFS(tData[SEHTrajectPeriodeDatumTijdVan],"&lt;="&amp;($A316+20/24),tData[SEHTrajectPeriodeDatumTijdTotEnMet],"&gt;"&amp;($A316+20/24),tData[Langligger01],1)</f>
        <v/>
      </c>
      <c r="Y316" s="20">
        <f>COUNTIFS(tData[SEHTrajectPeriodeDatumTijdVan],"&lt;="&amp;($A316+21/24),tData[SEHTrajectPeriodeDatumTijdTotEnMet],"&gt;"&amp;($A316+21/24),tData[Langligger01],1)</f>
        <v/>
      </c>
      <c r="Z316" s="20">
        <f>COUNTIFS(tData[SEHTrajectPeriodeDatumTijdVan],"&lt;="&amp;($A316+22/24),tData[SEHTrajectPeriodeDatumTijdTotEnMet],"&gt;"&amp;($A316+22/24),tData[Langligger01],1)</f>
        <v/>
      </c>
      <c r="AA316" s="20">
        <f>COUNTIFS(tData[SEHTrajectPeriodeDatumTijdVan],"&lt;="&amp;($A316+23/24),tData[SEHTrajectPeriodeDatumTijdTotEnMet],"&gt;"&amp;($A316+23/24),tData[Langligger01],1)</f>
        <v/>
      </c>
    </row>
    <row r="317">
      <c r="A317" s="19" t="n">
        <v>45605</v>
      </c>
      <c r="B317" s="15">
        <f>WEEKDAY($A317,2)</f>
        <v/>
      </c>
      <c r="C317" s="15">
        <f>IF(AND($A317&gt;=INT(Instellingen!$B$5),$A317&lt;=INT(Instellingen!$B$6)),1,0)</f>
        <v/>
      </c>
      <c r="D317" s="20">
        <f>COUNTIFS(tData[SEHTrajectPeriodeDatumTijdVan],"&lt;="&amp;($A317+0/24),tData[SEHTrajectPeriodeDatumTijdTotEnMet],"&gt;"&amp;($A317+0/24),tData[Langligger01],1)</f>
        <v/>
      </c>
      <c r="E317" s="20">
        <f>COUNTIFS(tData[SEHTrajectPeriodeDatumTijdVan],"&lt;="&amp;($A317+1/24),tData[SEHTrajectPeriodeDatumTijdTotEnMet],"&gt;"&amp;($A317+1/24),tData[Langligger01],1)</f>
        <v/>
      </c>
      <c r="F317" s="20">
        <f>COUNTIFS(tData[SEHTrajectPeriodeDatumTijdVan],"&lt;="&amp;($A317+2/24),tData[SEHTrajectPeriodeDatumTijdTotEnMet],"&gt;"&amp;($A317+2/24),tData[Langligger01],1)</f>
        <v/>
      </c>
      <c r="G317" s="20">
        <f>COUNTIFS(tData[SEHTrajectPeriodeDatumTijdVan],"&lt;="&amp;($A317+3/24),tData[SEHTrajectPeriodeDatumTijdTotEnMet],"&gt;"&amp;($A317+3/24),tData[Langligger01],1)</f>
        <v/>
      </c>
      <c r="H317" s="20">
        <f>COUNTIFS(tData[SEHTrajectPeriodeDatumTijdVan],"&lt;="&amp;($A317+4/24),tData[SEHTrajectPeriodeDatumTijdTotEnMet],"&gt;"&amp;($A317+4/24),tData[Langligger01],1)</f>
        <v/>
      </c>
      <c r="I317" s="20">
        <f>COUNTIFS(tData[SEHTrajectPeriodeDatumTijdVan],"&lt;="&amp;($A317+5/24),tData[SEHTrajectPeriodeDatumTijdTotEnMet],"&gt;"&amp;($A317+5/24),tData[Langligger01],1)</f>
        <v/>
      </c>
      <c r="J317" s="20">
        <f>COUNTIFS(tData[SEHTrajectPeriodeDatumTijdVan],"&lt;="&amp;($A317+6/24),tData[SEHTrajectPeriodeDatumTijdTotEnMet],"&gt;"&amp;($A317+6/24),tData[Langligger01],1)</f>
        <v/>
      </c>
      <c r="K317" s="20">
        <f>COUNTIFS(tData[SEHTrajectPeriodeDatumTijdVan],"&lt;="&amp;($A317+7/24),tData[SEHTrajectPeriodeDatumTijdTotEnMet],"&gt;"&amp;($A317+7/24),tData[Langligger01],1)</f>
        <v/>
      </c>
      <c r="L317" s="20">
        <f>COUNTIFS(tData[SEHTrajectPeriodeDatumTijdVan],"&lt;="&amp;($A317+8/24),tData[SEHTrajectPeriodeDatumTijdTotEnMet],"&gt;"&amp;($A317+8/24),tData[Langligger01],1)</f>
        <v/>
      </c>
      <c r="M317" s="20">
        <f>COUNTIFS(tData[SEHTrajectPeriodeDatumTijdVan],"&lt;="&amp;($A317+9/24),tData[SEHTrajectPeriodeDatumTijdTotEnMet],"&gt;"&amp;($A317+9/24),tData[Langligger01],1)</f>
        <v/>
      </c>
      <c r="N317" s="20">
        <f>COUNTIFS(tData[SEHTrajectPeriodeDatumTijdVan],"&lt;="&amp;($A317+10/24),tData[SEHTrajectPeriodeDatumTijdTotEnMet],"&gt;"&amp;($A317+10/24),tData[Langligger01],1)</f>
        <v/>
      </c>
      <c r="O317" s="20">
        <f>COUNTIFS(tData[SEHTrajectPeriodeDatumTijdVan],"&lt;="&amp;($A317+11/24),tData[SEHTrajectPeriodeDatumTijdTotEnMet],"&gt;"&amp;($A317+11/24),tData[Langligger01],1)</f>
        <v/>
      </c>
      <c r="P317" s="20">
        <f>COUNTIFS(tData[SEHTrajectPeriodeDatumTijdVan],"&lt;="&amp;($A317+12/24),tData[SEHTrajectPeriodeDatumTijdTotEnMet],"&gt;"&amp;($A317+12/24),tData[Langligger01],1)</f>
        <v/>
      </c>
      <c r="Q317" s="20">
        <f>COUNTIFS(tData[SEHTrajectPeriodeDatumTijdVan],"&lt;="&amp;($A317+13/24),tData[SEHTrajectPeriodeDatumTijdTotEnMet],"&gt;"&amp;($A317+13/24),tData[Langligger01],1)</f>
        <v/>
      </c>
      <c r="R317" s="20">
        <f>COUNTIFS(tData[SEHTrajectPeriodeDatumTijdVan],"&lt;="&amp;($A317+14/24),tData[SEHTrajectPeriodeDatumTijdTotEnMet],"&gt;"&amp;($A317+14/24),tData[Langligger01],1)</f>
        <v/>
      </c>
      <c r="S317" s="20">
        <f>COUNTIFS(tData[SEHTrajectPeriodeDatumTijdVan],"&lt;="&amp;($A317+15/24),tData[SEHTrajectPeriodeDatumTijdTotEnMet],"&gt;"&amp;($A317+15/24),tData[Langligger01],1)</f>
        <v/>
      </c>
      <c r="T317" s="20">
        <f>COUNTIFS(tData[SEHTrajectPeriodeDatumTijdVan],"&lt;="&amp;($A317+16/24),tData[SEHTrajectPeriodeDatumTijdTotEnMet],"&gt;"&amp;($A317+16/24),tData[Langligger01],1)</f>
        <v/>
      </c>
      <c r="U317" s="20">
        <f>COUNTIFS(tData[SEHTrajectPeriodeDatumTijdVan],"&lt;="&amp;($A317+17/24),tData[SEHTrajectPeriodeDatumTijdTotEnMet],"&gt;"&amp;($A317+17/24),tData[Langligger01],1)</f>
        <v/>
      </c>
      <c r="V317" s="20">
        <f>COUNTIFS(tData[SEHTrajectPeriodeDatumTijdVan],"&lt;="&amp;($A317+18/24),tData[SEHTrajectPeriodeDatumTijdTotEnMet],"&gt;"&amp;($A317+18/24),tData[Langligger01],1)</f>
        <v/>
      </c>
      <c r="W317" s="20">
        <f>COUNTIFS(tData[SEHTrajectPeriodeDatumTijdVan],"&lt;="&amp;($A317+19/24),tData[SEHTrajectPeriodeDatumTijdTotEnMet],"&gt;"&amp;($A317+19/24),tData[Langligger01],1)</f>
        <v/>
      </c>
      <c r="X317" s="20">
        <f>COUNTIFS(tData[SEHTrajectPeriodeDatumTijdVan],"&lt;="&amp;($A317+20/24),tData[SEHTrajectPeriodeDatumTijdTotEnMet],"&gt;"&amp;($A317+20/24),tData[Langligger01],1)</f>
        <v/>
      </c>
      <c r="Y317" s="20">
        <f>COUNTIFS(tData[SEHTrajectPeriodeDatumTijdVan],"&lt;="&amp;($A317+21/24),tData[SEHTrajectPeriodeDatumTijdTotEnMet],"&gt;"&amp;($A317+21/24),tData[Langligger01],1)</f>
        <v/>
      </c>
      <c r="Z317" s="20">
        <f>COUNTIFS(tData[SEHTrajectPeriodeDatumTijdVan],"&lt;="&amp;($A317+22/24),tData[SEHTrajectPeriodeDatumTijdTotEnMet],"&gt;"&amp;($A317+22/24),tData[Langligger01],1)</f>
        <v/>
      </c>
      <c r="AA317" s="20">
        <f>COUNTIFS(tData[SEHTrajectPeriodeDatumTijdVan],"&lt;="&amp;($A317+23/24),tData[SEHTrajectPeriodeDatumTijdTotEnMet],"&gt;"&amp;($A317+23/24),tData[Langligger01],1)</f>
        <v/>
      </c>
    </row>
    <row r="318">
      <c r="A318" s="19" t="n">
        <v>45606</v>
      </c>
      <c r="B318" s="15">
        <f>WEEKDAY($A318,2)</f>
        <v/>
      </c>
      <c r="C318" s="15">
        <f>IF(AND($A318&gt;=INT(Instellingen!$B$5),$A318&lt;=INT(Instellingen!$B$6)),1,0)</f>
        <v/>
      </c>
      <c r="D318" s="20">
        <f>COUNTIFS(tData[SEHTrajectPeriodeDatumTijdVan],"&lt;="&amp;($A318+0/24),tData[SEHTrajectPeriodeDatumTijdTotEnMet],"&gt;"&amp;($A318+0/24),tData[Langligger01],1)</f>
        <v/>
      </c>
      <c r="E318" s="20">
        <f>COUNTIFS(tData[SEHTrajectPeriodeDatumTijdVan],"&lt;="&amp;($A318+1/24),tData[SEHTrajectPeriodeDatumTijdTotEnMet],"&gt;"&amp;($A318+1/24),tData[Langligger01],1)</f>
        <v/>
      </c>
      <c r="F318" s="20">
        <f>COUNTIFS(tData[SEHTrajectPeriodeDatumTijdVan],"&lt;="&amp;($A318+2/24),tData[SEHTrajectPeriodeDatumTijdTotEnMet],"&gt;"&amp;($A318+2/24),tData[Langligger01],1)</f>
        <v/>
      </c>
      <c r="G318" s="20">
        <f>COUNTIFS(tData[SEHTrajectPeriodeDatumTijdVan],"&lt;="&amp;($A318+3/24),tData[SEHTrajectPeriodeDatumTijdTotEnMet],"&gt;"&amp;($A318+3/24),tData[Langligger01],1)</f>
        <v/>
      </c>
      <c r="H318" s="20">
        <f>COUNTIFS(tData[SEHTrajectPeriodeDatumTijdVan],"&lt;="&amp;($A318+4/24),tData[SEHTrajectPeriodeDatumTijdTotEnMet],"&gt;"&amp;($A318+4/24),tData[Langligger01],1)</f>
        <v/>
      </c>
      <c r="I318" s="20">
        <f>COUNTIFS(tData[SEHTrajectPeriodeDatumTijdVan],"&lt;="&amp;($A318+5/24),tData[SEHTrajectPeriodeDatumTijdTotEnMet],"&gt;"&amp;($A318+5/24),tData[Langligger01],1)</f>
        <v/>
      </c>
      <c r="J318" s="20">
        <f>COUNTIFS(tData[SEHTrajectPeriodeDatumTijdVan],"&lt;="&amp;($A318+6/24),tData[SEHTrajectPeriodeDatumTijdTotEnMet],"&gt;"&amp;($A318+6/24),tData[Langligger01],1)</f>
        <v/>
      </c>
      <c r="K318" s="20">
        <f>COUNTIFS(tData[SEHTrajectPeriodeDatumTijdVan],"&lt;="&amp;($A318+7/24),tData[SEHTrajectPeriodeDatumTijdTotEnMet],"&gt;"&amp;($A318+7/24),tData[Langligger01],1)</f>
        <v/>
      </c>
      <c r="L318" s="20">
        <f>COUNTIFS(tData[SEHTrajectPeriodeDatumTijdVan],"&lt;="&amp;($A318+8/24),tData[SEHTrajectPeriodeDatumTijdTotEnMet],"&gt;"&amp;($A318+8/24),tData[Langligger01],1)</f>
        <v/>
      </c>
      <c r="M318" s="20">
        <f>COUNTIFS(tData[SEHTrajectPeriodeDatumTijdVan],"&lt;="&amp;($A318+9/24),tData[SEHTrajectPeriodeDatumTijdTotEnMet],"&gt;"&amp;($A318+9/24),tData[Langligger01],1)</f>
        <v/>
      </c>
      <c r="N318" s="20">
        <f>COUNTIFS(tData[SEHTrajectPeriodeDatumTijdVan],"&lt;="&amp;($A318+10/24),tData[SEHTrajectPeriodeDatumTijdTotEnMet],"&gt;"&amp;($A318+10/24),tData[Langligger01],1)</f>
        <v/>
      </c>
      <c r="O318" s="20">
        <f>COUNTIFS(tData[SEHTrajectPeriodeDatumTijdVan],"&lt;="&amp;($A318+11/24),tData[SEHTrajectPeriodeDatumTijdTotEnMet],"&gt;"&amp;($A318+11/24),tData[Langligger01],1)</f>
        <v/>
      </c>
      <c r="P318" s="20">
        <f>COUNTIFS(tData[SEHTrajectPeriodeDatumTijdVan],"&lt;="&amp;($A318+12/24),tData[SEHTrajectPeriodeDatumTijdTotEnMet],"&gt;"&amp;($A318+12/24),tData[Langligger01],1)</f>
        <v/>
      </c>
      <c r="Q318" s="20">
        <f>COUNTIFS(tData[SEHTrajectPeriodeDatumTijdVan],"&lt;="&amp;($A318+13/24),tData[SEHTrajectPeriodeDatumTijdTotEnMet],"&gt;"&amp;($A318+13/24),tData[Langligger01],1)</f>
        <v/>
      </c>
      <c r="R318" s="20">
        <f>COUNTIFS(tData[SEHTrajectPeriodeDatumTijdVan],"&lt;="&amp;($A318+14/24),tData[SEHTrajectPeriodeDatumTijdTotEnMet],"&gt;"&amp;($A318+14/24),tData[Langligger01],1)</f>
        <v/>
      </c>
      <c r="S318" s="20">
        <f>COUNTIFS(tData[SEHTrajectPeriodeDatumTijdVan],"&lt;="&amp;($A318+15/24),tData[SEHTrajectPeriodeDatumTijdTotEnMet],"&gt;"&amp;($A318+15/24),tData[Langligger01],1)</f>
        <v/>
      </c>
      <c r="T318" s="20">
        <f>COUNTIFS(tData[SEHTrajectPeriodeDatumTijdVan],"&lt;="&amp;($A318+16/24),tData[SEHTrajectPeriodeDatumTijdTotEnMet],"&gt;"&amp;($A318+16/24),tData[Langligger01],1)</f>
        <v/>
      </c>
      <c r="U318" s="20">
        <f>COUNTIFS(tData[SEHTrajectPeriodeDatumTijdVan],"&lt;="&amp;($A318+17/24),tData[SEHTrajectPeriodeDatumTijdTotEnMet],"&gt;"&amp;($A318+17/24),tData[Langligger01],1)</f>
        <v/>
      </c>
      <c r="V318" s="20">
        <f>COUNTIFS(tData[SEHTrajectPeriodeDatumTijdVan],"&lt;="&amp;($A318+18/24),tData[SEHTrajectPeriodeDatumTijdTotEnMet],"&gt;"&amp;($A318+18/24),tData[Langligger01],1)</f>
        <v/>
      </c>
      <c r="W318" s="20">
        <f>COUNTIFS(tData[SEHTrajectPeriodeDatumTijdVan],"&lt;="&amp;($A318+19/24),tData[SEHTrajectPeriodeDatumTijdTotEnMet],"&gt;"&amp;($A318+19/24),tData[Langligger01],1)</f>
        <v/>
      </c>
      <c r="X318" s="20">
        <f>COUNTIFS(tData[SEHTrajectPeriodeDatumTijdVan],"&lt;="&amp;($A318+20/24),tData[SEHTrajectPeriodeDatumTijdTotEnMet],"&gt;"&amp;($A318+20/24),tData[Langligger01],1)</f>
        <v/>
      </c>
      <c r="Y318" s="20">
        <f>COUNTIFS(tData[SEHTrajectPeriodeDatumTijdVan],"&lt;="&amp;($A318+21/24),tData[SEHTrajectPeriodeDatumTijdTotEnMet],"&gt;"&amp;($A318+21/24),tData[Langligger01],1)</f>
        <v/>
      </c>
      <c r="Z318" s="20">
        <f>COUNTIFS(tData[SEHTrajectPeriodeDatumTijdVan],"&lt;="&amp;($A318+22/24),tData[SEHTrajectPeriodeDatumTijdTotEnMet],"&gt;"&amp;($A318+22/24),tData[Langligger01],1)</f>
        <v/>
      </c>
      <c r="AA318" s="20">
        <f>COUNTIFS(tData[SEHTrajectPeriodeDatumTijdVan],"&lt;="&amp;($A318+23/24),tData[SEHTrajectPeriodeDatumTijdTotEnMet],"&gt;"&amp;($A318+23/24),tData[Langligger01],1)</f>
        <v/>
      </c>
    </row>
    <row r="319">
      <c r="A319" s="19" t="n">
        <v>45607</v>
      </c>
      <c r="B319" s="15">
        <f>WEEKDAY($A319,2)</f>
        <v/>
      </c>
      <c r="C319" s="15">
        <f>IF(AND($A319&gt;=INT(Instellingen!$B$5),$A319&lt;=INT(Instellingen!$B$6)),1,0)</f>
        <v/>
      </c>
      <c r="D319" s="20">
        <f>COUNTIFS(tData[SEHTrajectPeriodeDatumTijdVan],"&lt;="&amp;($A319+0/24),tData[SEHTrajectPeriodeDatumTijdTotEnMet],"&gt;"&amp;($A319+0/24),tData[Langligger01],1)</f>
        <v/>
      </c>
      <c r="E319" s="20">
        <f>COUNTIFS(tData[SEHTrajectPeriodeDatumTijdVan],"&lt;="&amp;($A319+1/24),tData[SEHTrajectPeriodeDatumTijdTotEnMet],"&gt;"&amp;($A319+1/24),tData[Langligger01],1)</f>
        <v/>
      </c>
      <c r="F319" s="20">
        <f>COUNTIFS(tData[SEHTrajectPeriodeDatumTijdVan],"&lt;="&amp;($A319+2/24),tData[SEHTrajectPeriodeDatumTijdTotEnMet],"&gt;"&amp;($A319+2/24),tData[Langligger01],1)</f>
        <v/>
      </c>
      <c r="G319" s="20">
        <f>COUNTIFS(tData[SEHTrajectPeriodeDatumTijdVan],"&lt;="&amp;($A319+3/24),tData[SEHTrajectPeriodeDatumTijdTotEnMet],"&gt;"&amp;($A319+3/24),tData[Langligger01],1)</f>
        <v/>
      </c>
      <c r="H319" s="20">
        <f>COUNTIFS(tData[SEHTrajectPeriodeDatumTijdVan],"&lt;="&amp;($A319+4/24),tData[SEHTrajectPeriodeDatumTijdTotEnMet],"&gt;"&amp;($A319+4/24),tData[Langligger01],1)</f>
        <v/>
      </c>
      <c r="I319" s="20">
        <f>COUNTIFS(tData[SEHTrajectPeriodeDatumTijdVan],"&lt;="&amp;($A319+5/24),tData[SEHTrajectPeriodeDatumTijdTotEnMet],"&gt;"&amp;($A319+5/24),tData[Langligger01],1)</f>
        <v/>
      </c>
      <c r="J319" s="20">
        <f>COUNTIFS(tData[SEHTrajectPeriodeDatumTijdVan],"&lt;="&amp;($A319+6/24),tData[SEHTrajectPeriodeDatumTijdTotEnMet],"&gt;"&amp;($A319+6/24),tData[Langligger01],1)</f>
        <v/>
      </c>
      <c r="K319" s="20">
        <f>COUNTIFS(tData[SEHTrajectPeriodeDatumTijdVan],"&lt;="&amp;($A319+7/24),tData[SEHTrajectPeriodeDatumTijdTotEnMet],"&gt;"&amp;($A319+7/24),tData[Langligger01],1)</f>
        <v/>
      </c>
      <c r="L319" s="20">
        <f>COUNTIFS(tData[SEHTrajectPeriodeDatumTijdVan],"&lt;="&amp;($A319+8/24),tData[SEHTrajectPeriodeDatumTijdTotEnMet],"&gt;"&amp;($A319+8/24),tData[Langligger01],1)</f>
        <v/>
      </c>
      <c r="M319" s="20">
        <f>COUNTIFS(tData[SEHTrajectPeriodeDatumTijdVan],"&lt;="&amp;($A319+9/24),tData[SEHTrajectPeriodeDatumTijdTotEnMet],"&gt;"&amp;($A319+9/24),tData[Langligger01],1)</f>
        <v/>
      </c>
      <c r="N319" s="20">
        <f>COUNTIFS(tData[SEHTrajectPeriodeDatumTijdVan],"&lt;="&amp;($A319+10/24),tData[SEHTrajectPeriodeDatumTijdTotEnMet],"&gt;"&amp;($A319+10/24),tData[Langligger01],1)</f>
        <v/>
      </c>
      <c r="O319" s="20">
        <f>COUNTIFS(tData[SEHTrajectPeriodeDatumTijdVan],"&lt;="&amp;($A319+11/24),tData[SEHTrajectPeriodeDatumTijdTotEnMet],"&gt;"&amp;($A319+11/24),tData[Langligger01],1)</f>
        <v/>
      </c>
      <c r="P319" s="20">
        <f>COUNTIFS(tData[SEHTrajectPeriodeDatumTijdVan],"&lt;="&amp;($A319+12/24),tData[SEHTrajectPeriodeDatumTijdTotEnMet],"&gt;"&amp;($A319+12/24),tData[Langligger01],1)</f>
        <v/>
      </c>
      <c r="Q319" s="20">
        <f>COUNTIFS(tData[SEHTrajectPeriodeDatumTijdVan],"&lt;="&amp;($A319+13/24),tData[SEHTrajectPeriodeDatumTijdTotEnMet],"&gt;"&amp;($A319+13/24),tData[Langligger01],1)</f>
        <v/>
      </c>
      <c r="R319" s="20">
        <f>COUNTIFS(tData[SEHTrajectPeriodeDatumTijdVan],"&lt;="&amp;($A319+14/24),tData[SEHTrajectPeriodeDatumTijdTotEnMet],"&gt;"&amp;($A319+14/24),tData[Langligger01],1)</f>
        <v/>
      </c>
      <c r="S319" s="20">
        <f>COUNTIFS(tData[SEHTrajectPeriodeDatumTijdVan],"&lt;="&amp;($A319+15/24),tData[SEHTrajectPeriodeDatumTijdTotEnMet],"&gt;"&amp;($A319+15/24),tData[Langligger01],1)</f>
        <v/>
      </c>
      <c r="T319" s="20">
        <f>COUNTIFS(tData[SEHTrajectPeriodeDatumTijdVan],"&lt;="&amp;($A319+16/24),tData[SEHTrajectPeriodeDatumTijdTotEnMet],"&gt;"&amp;($A319+16/24),tData[Langligger01],1)</f>
        <v/>
      </c>
      <c r="U319" s="20">
        <f>COUNTIFS(tData[SEHTrajectPeriodeDatumTijdVan],"&lt;="&amp;($A319+17/24),tData[SEHTrajectPeriodeDatumTijdTotEnMet],"&gt;"&amp;($A319+17/24),tData[Langligger01],1)</f>
        <v/>
      </c>
      <c r="V319" s="20">
        <f>COUNTIFS(tData[SEHTrajectPeriodeDatumTijdVan],"&lt;="&amp;($A319+18/24),tData[SEHTrajectPeriodeDatumTijdTotEnMet],"&gt;"&amp;($A319+18/24),tData[Langligger01],1)</f>
        <v/>
      </c>
      <c r="W319" s="20">
        <f>COUNTIFS(tData[SEHTrajectPeriodeDatumTijdVan],"&lt;="&amp;($A319+19/24),tData[SEHTrajectPeriodeDatumTijdTotEnMet],"&gt;"&amp;($A319+19/24),tData[Langligger01],1)</f>
        <v/>
      </c>
      <c r="X319" s="20">
        <f>COUNTIFS(tData[SEHTrajectPeriodeDatumTijdVan],"&lt;="&amp;($A319+20/24),tData[SEHTrajectPeriodeDatumTijdTotEnMet],"&gt;"&amp;($A319+20/24),tData[Langligger01],1)</f>
        <v/>
      </c>
      <c r="Y319" s="20">
        <f>COUNTIFS(tData[SEHTrajectPeriodeDatumTijdVan],"&lt;="&amp;($A319+21/24),tData[SEHTrajectPeriodeDatumTijdTotEnMet],"&gt;"&amp;($A319+21/24),tData[Langligger01],1)</f>
        <v/>
      </c>
      <c r="Z319" s="20">
        <f>COUNTIFS(tData[SEHTrajectPeriodeDatumTijdVan],"&lt;="&amp;($A319+22/24),tData[SEHTrajectPeriodeDatumTijdTotEnMet],"&gt;"&amp;($A319+22/24),tData[Langligger01],1)</f>
        <v/>
      </c>
      <c r="AA319" s="20">
        <f>COUNTIFS(tData[SEHTrajectPeriodeDatumTijdVan],"&lt;="&amp;($A319+23/24),tData[SEHTrajectPeriodeDatumTijdTotEnMet],"&gt;"&amp;($A319+23/24),tData[Langligger01],1)</f>
        <v/>
      </c>
    </row>
    <row r="320">
      <c r="A320" s="19" t="n">
        <v>45608</v>
      </c>
      <c r="B320" s="15">
        <f>WEEKDAY($A320,2)</f>
        <v/>
      </c>
      <c r="C320" s="15">
        <f>IF(AND($A320&gt;=INT(Instellingen!$B$5),$A320&lt;=INT(Instellingen!$B$6)),1,0)</f>
        <v/>
      </c>
      <c r="D320" s="20">
        <f>COUNTIFS(tData[SEHTrajectPeriodeDatumTijdVan],"&lt;="&amp;($A320+0/24),tData[SEHTrajectPeriodeDatumTijdTotEnMet],"&gt;"&amp;($A320+0/24),tData[Langligger01],1)</f>
        <v/>
      </c>
      <c r="E320" s="20">
        <f>COUNTIFS(tData[SEHTrajectPeriodeDatumTijdVan],"&lt;="&amp;($A320+1/24),tData[SEHTrajectPeriodeDatumTijdTotEnMet],"&gt;"&amp;($A320+1/24),tData[Langligger01],1)</f>
        <v/>
      </c>
      <c r="F320" s="20">
        <f>COUNTIFS(tData[SEHTrajectPeriodeDatumTijdVan],"&lt;="&amp;($A320+2/24),tData[SEHTrajectPeriodeDatumTijdTotEnMet],"&gt;"&amp;($A320+2/24),tData[Langligger01],1)</f>
        <v/>
      </c>
      <c r="G320" s="20">
        <f>COUNTIFS(tData[SEHTrajectPeriodeDatumTijdVan],"&lt;="&amp;($A320+3/24),tData[SEHTrajectPeriodeDatumTijdTotEnMet],"&gt;"&amp;($A320+3/24),tData[Langligger01],1)</f>
        <v/>
      </c>
      <c r="H320" s="20">
        <f>COUNTIFS(tData[SEHTrajectPeriodeDatumTijdVan],"&lt;="&amp;($A320+4/24),tData[SEHTrajectPeriodeDatumTijdTotEnMet],"&gt;"&amp;($A320+4/24),tData[Langligger01],1)</f>
        <v/>
      </c>
      <c r="I320" s="20">
        <f>COUNTIFS(tData[SEHTrajectPeriodeDatumTijdVan],"&lt;="&amp;($A320+5/24),tData[SEHTrajectPeriodeDatumTijdTotEnMet],"&gt;"&amp;($A320+5/24),tData[Langligger01],1)</f>
        <v/>
      </c>
      <c r="J320" s="20">
        <f>COUNTIFS(tData[SEHTrajectPeriodeDatumTijdVan],"&lt;="&amp;($A320+6/24),tData[SEHTrajectPeriodeDatumTijdTotEnMet],"&gt;"&amp;($A320+6/24),tData[Langligger01],1)</f>
        <v/>
      </c>
      <c r="K320" s="20">
        <f>COUNTIFS(tData[SEHTrajectPeriodeDatumTijdVan],"&lt;="&amp;($A320+7/24),tData[SEHTrajectPeriodeDatumTijdTotEnMet],"&gt;"&amp;($A320+7/24),tData[Langligger01],1)</f>
        <v/>
      </c>
      <c r="L320" s="20">
        <f>COUNTIFS(tData[SEHTrajectPeriodeDatumTijdVan],"&lt;="&amp;($A320+8/24),tData[SEHTrajectPeriodeDatumTijdTotEnMet],"&gt;"&amp;($A320+8/24),tData[Langligger01],1)</f>
        <v/>
      </c>
      <c r="M320" s="20">
        <f>COUNTIFS(tData[SEHTrajectPeriodeDatumTijdVan],"&lt;="&amp;($A320+9/24),tData[SEHTrajectPeriodeDatumTijdTotEnMet],"&gt;"&amp;($A320+9/24),tData[Langligger01],1)</f>
        <v/>
      </c>
      <c r="N320" s="20">
        <f>COUNTIFS(tData[SEHTrajectPeriodeDatumTijdVan],"&lt;="&amp;($A320+10/24),tData[SEHTrajectPeriodeDatumTijdTotEnMet],"&gt;"&amp;($A320+10/24),tData[Langligger01],1)</f>
        <v/>
      </c>
      <c r="O320" s="20">
        <f>COUNTIFS(tData[SEHTrajectPeriodeDatumTijdVan],"&lt;="&amp;($A320+11/24),tData[SEHTrajectPeriodeDatumTijdTotEnMet],"&gt;"&amp;($A320+11/24),tData[Langligger01],1)</f>
        <v/>
      </c>
      <c r="P320" s="20">
        <f>COUNTIFS(tData[SEHTrajectPeriodeDatumTijdVan],"&lt;="&amp;($A320+12/24),tData[SEHTrajectPeriodeDatumTijdTotEnMet],"&gt;"&amp;($A320+12/24),tData[Langligger01],1)</f>
        <v/>
      </c>
      <c r="Q320" s="20">
        <f>COUNTIFS(tData[SEHTrajectPeriodeDatumTijdVan],"&lt;="&amp;($A320+13/24),tData[SEHTrajectPeriodeDatumTijdTotEnMet],"&gt;"&amp;($A320+13/24),tData[Langligger01],1)</f>
        <v/>
      </c>
      <c r="R320" s="20">
        <f>COUNTIFS(tData[SEHTrajectPeriodeDatumTijdVan],"&lt;="&amp;($A320+14/24),tData[SEHTrajectPeriodeDatumTijdTotEnMet],"&gt;"&amp;($A320+14/24),tData[Langligger01],1)</f>
        <v/>
      </c>
      <c r="S320" s="20">
        <f>COUNTIFS(tData[SEHTrajectPeriodeDatumTijdVan],"&lt;="&amp;($A320+15/24),tData[SEHTrajectPeriodeDatumTijdTotEnMet],"&gt;"&amp;($A320+15/24),tData[Langligger01],1)</f>
        <v/>
      </c>
      <c r="T320" s="20">
        <f>COUNTIFS(tData[SEHTrajectPeriodeDatumTijdVan],"&lt;="&amp;($A320+16/24),tData[SEHTrajectPeriodeDatumTijdTotEnMet],"&gt;"&amp;($A320+16/24),tData[Langligger01],1)</f>
        <v/>
      </c>
      <c r="U320" s="20">
        <f>COUNTIFS(tData[SEHTrajectPeriodeDatumTijdVan],"&lt;="&amp;($A320+17/24),tData[SEHTrajectPeriodeDatumTijdTotEnMet],"&gt;"&amp;($A320+17/24),tData[Langligger01],1)</f>
        <v/>
      </c>
      <c r="V320" s="20">
        <f>COUNTIFS(tData[SEHTrajectPeriodeDatumTijdVan],"&lt;="&amp;($A320+18/24),tData[SEHTrajectPeriodeDatumTijdTotEnMet],"&gt;"&amp;($A320+18/24),tData[Langligger01],1)</f>
        <v/>
      </c>
      <c r="W320" s="20">
        <f>COUNTIFS(tData[SEHTrajectPeriodeDatumTijdVan],"&lt;="&amp;($A320+19/24),tData[SEHTrajectPeriodeDatumTijdTotEnMet],"&gt;"&amp;($A320+19/24),tData[Langligger01],1)</f>
        <v/>
      </c>
      <c r="X320" s="20">
        <f>COUNTIFS(tData[SEHTrajectPeriodeDatumTijdVan],"&lt;="&amp;($A320+20/24),tData[SEHTrajectPeriodeDatumTijdTotEnMet],"&gt;"&amp;($A320+20/24),tData[Langligger01],1)</f>
        <v/>
      </c>
      <c r="Y320" s="20">
        <f>COUNTIFS(tData[SEHTrajectPeriodeDatumTijdVan],"&lt;="&amp;($A320+21/24),tData[SEHTrajectPeriodeDatumTijdTotEnMet],"&gt;"&amp;($A320+21/24),tData[Langligger01],1)</f>
        <v/>
      </c>
      <c r="Z320" s="20">
        <f>COUNTIFS(tData[SEHTrajectPeriodeDatumTijdVan],"&lt;="&amp;($A320+22/24),tData[SEHTrajectPeriodeDatumTijdTotEnMet],"&gt;"&amp;($A320+22/24),tData[Langligger01],1)</f>
        <v/>
      </c>
      <c r="AA320" s="20">
        <f>COUNTIFS(tData[SEHTrajectPeriodeDatumTijdVan],"&lt;="&amp;($A320+23/24),tData[SEHTrajectPeriodeDatumTijdTotEnMet],"&gt;"&amp;($A320+23/24),tData[Langligger01],1)</f>
        <v/>
      </c>
    </row>
    <row r="321">
      <c r="A321" s="19" t="n">
        <v>45609</v>
      </c>
      <c r="B321" s="15">
        <f>WEEKDAY($A321,2)</f>
        <v/>
      </c>
      <c r="C321" s="15">
        <f>IF(AND($A321&gt;=INT(Instellingen!$B$5),$A321&lt;=INT(Instellingen!$B$6)),1,0)</f>
        <v/>
      </c>
      <c r="D321" s="20">
        <f>COUNTIFS(tData[SEHTrajectPeriodeDatumTijdVan],"&lt;="&amp;($A321+0/24),tData[SEHTrajectPeriodeDatumTijdTotEnMet],"&gt;"&amp;($A321+0/24),tData[Langligger01],1)</f>
        <v/>
      </c>
      <c r="E321" s="20">
        <f>COUNTIFS(tData[SEHTrajectPeriodeDatumTijdVan],"&lt;="&amp;($A321+1/24),tData[SEHTrajectPeriodeDatumTijdTotEnMet],"&gt;"&amp;($A321+1/24),tData[Langligger01],1)</f>
        <v/>
      </c>
      <c r="F321" s="20">
        <f>COUNTIFS(tData[SEHTrajectPeriodeDatumTijdVan],"&lt;="&amp;($A321+2/24),tData[SEHTrajectPeriodeDatumTijdTotEnMet],"&gt;"&amp;($A321+2/24),tData[Langligger01],1)</f>
        <v/>
      </c>
      <c r="G321" s="20">
        <f>COUNTIFS(tData[SEHTrajectPeriodeDatumTijdVan],"&lt;="&amp;($A321+3/24),tData[SEHTrajectPeriodeDatumTijdTotEnMet],"&gt;"&amp;($A321+3/24),tData[Langligger01],1)</f>
        <v/>
      </c>
      <c r="H321" s="20">
        <f>COUNTIFS(tData[SEHTrajectPeriodeDatumTijdVan],"&lt;="&amp;($A321+4/24),tData[SEHTrajectPeriodeDatumTijdTotEnMet],"&gt;"&amp;($A321+4/24),tData[Langligger01],1)</f>
        <v/>
      </c>
      <c r="I321" s="20">
        <f>COUNTIFS(tData[SEHTrajectPeriodeDatumTijdVan],"&lt;="&amp;($A321+5/24),tData[SEHTrajectPeriodeDatumTijdTotEnMet],"&gt;"&amp;($A321+5/24),tData[Langligger01],1)</f>
        <v/>
      </c>
      <c r="J321" s="20">
        <f>COUNTIFS(tData[SEHTrajectPeriodeDatumTijdVan],"&lt;="&amp;($A321+6/24),tData[SEHTrajectPeriodeDatumTijdTotEnMet],"&gt;"&amp;($A321+6/24),tData[Langligger01],1)</f>
        <v/>
      </c>
      <c r="K321" s="20">
        <f>COUNTIFS(tData[SEHTrajectPeriodeDatumTijdVan],"&lt;="&amp;($A321+7/24),tData[SEHTrajectPeriodeDatumTijdTotEnMet],"&gt;"&amp;($A321+7/24),tData[Langligger01],1)</f>
        <v/>
      </c>
      <c r="L321" s="20">
        <f>COUNTIFS(tData[SEHTrajectPeriodeDatumTijdVan],"&lt;="&amp;($A321+8/24),tData[SEHTrajectPeriodeDatumTijdTotEnMet],"&gt;"&amp;($A321+8/24),tData[Langligger01],1)</f>
        <v/>
      </c>
      <c r="M321" s="20">
        <f>COUNTIFS(tData[SEHTrajectPeriodeDatumTijdVan],"&lt;="&amp;($A321+9/24),tData[SEHTrajectPeriodeDatumTijdTotEnMet],"&gt;"&amp;($A321+9/24),tData[Langligger01],1)</f>
        <v/>
      </c>
      <c r="N321" s="20">
        <f>COUNTIFS(tData[SEHTrajectPeriodeDatumTijdVan],"&lt;="&amp;($A321+10/24),tData[SEHTrajectPeriodeDatumTijdTotEnMet],"&gt;"&amp;($A321+10/24),tData[Langligger01],1)</f>
        <v/>
      </c>
      <c r="O321" s="20">
        <f>COUNTIFS(tData[SEHTrajectPeriodeDatumTijdVan],"&lt;="&amp;($A321+11/24),tData[SEHTrajectPeriodeDatumTijdTotEnMet],"&gt;"&amp;($A321+11/24),tData[Langligger01],1)</f>
        <v/>
      </c>
      <c r="P321" s="20">
        <f>COUNTIFS(tData[SEHTrajectPeriodeDatumTijdVan],"&lt;="&amp;($A321+12/24),tData[SEHTrajectPeriodeDatumTijdTotEnMet],"&gt;"&amp;($A321+12/24),tData[Langligger01],1)</f>
        <v/>
      </c>
      <c r="Q321" s="20">
        <f>COUNTIFS(tData[SEHTrajectPeriodeDatumTijdVan],"&lt;="&amp;($A321+13/24),tData[SEHTrajectPeriodeDatumTijdTotEnMet],"&gt;"&amp;($A321+13/24),tData[Langligger01],1)</f>
        <v/>
      </c>
      <c r="R321" s="20">
        <f>COUNTIFS(tData[SEHTrajectPeriodeDatumTijdVan],"&lt;="&amp;($A321+14/24),tData[SEHTrajectPeriodeDatumTijdTotEnMet],"&gt;"&amp;($A321+14/24),tData[Langligger01],1)</f>
        <v/>
      </c>
      <c r="S321" s="20">
        <f>COUNTIFS(tData[SEHTrajectPeriodeDatumTijdVan],"&lt;="&amp;($A321+15/24),tData[SEHTrajectPeriodeDatumTijdTotEnMet],"&gt;"&amp;($A321+15/24),tData[Langligger01],1)</f>
        <v/>
      </c>
      <c r="T321" s="20">
        <f>COUNTIFS(tData[SEHTrajectPeriodeDatumTijdVan],"&lt;="&amp;($A321+16/24),tData[SEHTrajectPeriodeDatumTijdTotEnMet],"&gt;"&amp;($A321+16/24),tData[Langligger01],1)</f>
        <v/>
      </c>
      <c r="U321" s="20">
        <f>COUNTIFS(tData[SEHTrajectPeriodeDatumTijdVan],"&lt;="&amp;($A321+17/24),tData[SEHTrajectPeriodeDatumTijdTotEnMet],"&gt;"&amp;($A321+17/24),tData[Langligger01],1)</f>
        <v/>
      </c>
      <c r="V321" s="20">
        <f>COUNTIFS(tData[SEHTrajectPeriodeDatumTijdVan],"&lt;="&amp;($A321+18/24),tData[SEHTrajectPeriodeDatumTijdTotEnMet],"&gt;"&amp;($A321+18/24),tData[Langligger01],1)</f>
        <v/>
      </c>
      <c r="W321" s="20">
        <f>COUNTIFS(tData[SEHTrajectPeriodeDatumTijdVan],"&lt;="&amp;($A321+19/24),tData[SEHTrajectPeriodeDatumTijdTotEnMet],"&gt;"&amp;($A321+19/24),tData[Langligger01],1)</f>
        <v/>
      </c>
      <c r="X321" s="20">
        <f>COUNTIFS(tData[SEHTrajectPeriodeDatumTijdVan],"&lt;="&amp;($A321+20/24),tData[SEHTrajectPeriodeDatumTijdTotEnMet],"&gt;"&amp;($A321+20/24),tData[Langligger01],1)</f>
        <v/>
      </c>
      <c r="Y321" s="20">
        <f>COUNTIFS(tData[SEHTrajectPeriodeDatumTijdVan],"&lt;="&amp;($A321+21/24),tData[SEHTrajectPeriodeDatumTijdTotEnMet],"&gt;"&amp;($A321+21/24),tData[Langligger01],1)</f>
        <v/>
      </c>
      <c r="Z321" s="20">
        <f>COUNTIFS(tData[SEHTrajectPeriodeDatumTijdVan],"&lt;="&amp;($A321+22/24),tData[SEHTrajectPeriodeDatumTijdTotEnMet],"&gt;"&amp;($A321+22/24),tData[Langligger01],1)</f>
        <v/>
      </c>
      <c r="AA321" s="20">
        <f>COUNTIFS(tData[SEHTrajectPeriodeDatumTijdVan],"&lt;="&amp;($A321+23/24),tData[SEHTrajectPeriodeDatumTijdTotEnMet],"&gt;"&amp;($A321+23/24),tData[Langligger01],1)</f>
        <v/>
      </c>
    </row>
    <row r="322">
      <c r="A322" s="19" t="n">
        <v>45610</v>
      </c>
      <c r="B322" s="15">
        <f>WEEKDAY($A322,2)</f>
        <v/>
      </c>
      <c r="C322" s="15">
        <f>IF(AND($A322&gt;=INT(Instellingen!$B$5),$A322&lt;=INT(Instellingen!$B$6)),1,0)</f>
        <v/>
      </c>
      <c r="D322" s="20">
        <f>COUNTIFS(tData[SEHTrajectPeriodeDatumTijdVan],"&lt;="&amp;($A322+0/24),tData[SEHTrajectPeriodeDatumTijdTotEnMet],"&gt;"&amp;($A322+0/24),tData[Langligger01],1)</f>
        <v/>
      </c>
      <c r="E322" s="20">
        <f>COUNTIFS(tData[SEHTrajectPeriodeDatumTijdVan],"&lt;="&amp;($A322+1/24),tData[SEHTrajectPeriodeDatumTijdTotEnMet],"&gt;"&amp;($A322+1/24),tData[Langligger01],1)</f>
        <v/>
      </c>
      <c r="F322" s="20">
        <f>COUNTIFS(tData[SEHTrajectPeriodeDatumTijdVan],"&lt;="&amp;($A322+2/24),tData[SEHTrajectPeriodeDatumTijdTotEnMet],"&gt;"&amp;($A322+2/24),tData[Langligger01],1)</f>
        <v/>
      </c>
      <c r="G322" s="20">
        <f>COUNTIFS(tData[SEHTrajectPeriodeDatumTijdVan],"&lt;="&amp;($A322+3/24),tData[SEHTrajectPeriodeDatumTijdTotEnMet],"&gt;"&amp;($A322+3/24),tData[Langligger01],1)</f>
        <v/>
      </c>
      <c r="H322" s="20">
        <f>COUNTIFS(tData[SEHTrajectPeriodeDatumTijdVan],"&lt;="&amp;($A322+4/24),tData[SEHTrajectPeriodeDatumTijdTotEnMet],"&gt;"&amp;($A322+4/24),tData[Langligger01],1)</f>
        <v/>
      </c>
      <c r="I322" s="20">
        <f>COUNTIFS(tData[SEHTrajectPeriodeDatumTijdVan],"&lt;="&amp;($A322+5/24),tData[SEHTrajectPeriodeDatumTijdTotEnMet],"&gt;"&amp;($A322+5/24),tData[Langligger01],1)</f>
        <v/>
      </c>
      <c r="J322" s="20">
        <f>COUNTIFS(tData[SEHTrajectPeriodeDatumTijdVan],"&lt;="&amp;($A322+6/24),tData[SEHTrajectPeriodeDatumTijdTotEnMet],"&gt;"&amp;($A322+6/24),tData[Langligger01],1)</f>
        <v/>
      </c>
      <c r="K322" s="20">
        <f>COUNTIFS(tData[SEHTrajectPeriodeDatumTijdVan],"&lt;="&amp;($A322+7/24),tData[SEHTrajectPeriodeDatumTijdTotEnMet],"&gt;"&amp;($A322+7/24),tData[Langligger01],1)</f>
        <v/>
      </c>
      <c r="L322" s="20">
        <f>COUNTIFS(tData[SEHTrajectPeriodeDatumTijdVan],"&lt;="&amp;($A322+8/24),tData[SEHTrajectPeriodeDatumTijdTotEnMet],"&gt;"&amp;($A322+8/24),tData[Langligger01],1)</f>
        <v/>
      </c>
      <c r="M322" s="20">
        <f>COUNTIFS(tData[SEHTrajectPeriodeDatumTijdVan],"&lt;="&amp;($A322+9/24),tData[SEHTrajectPeriodeDatumTijdTotEnMet],"&gt;"&amp;($A322+9/24),tData[Langligger01],1)</f>
        <v/>
      </c>
      <c r="N322" s="20">
        <f>COUNTIFS(tData[SEHTrajectPeriodeDatumTijdVan],"&lt;="&amp;($A322+10/24),tData[SEHTrajectPeriodeDatumTijdTotEnMet],"&gt;"&amp;($A322+10/24),tData[Langligger01],1)</f>
        <v/>
      </c>
      <c r="O322" s="20">
        <f>COUNTIFS(tData[SEHTrajectPeriodeDatumTijdVan],"&lt;="&amp;($A322+11/24),tData[SEHTrajectPeriodeDatumTijdTotEnMet],"&gt;"&amp;($A322+11/24),tData[Langligger01],1)</f>
        <v/>
      </c>
      <c r="P322" s="20">
        <f>COUNTIFS(tData[SEHTrajectPeriodeDatumTijdVan],"&lt;="&amp;($A322+12/24),tData[SEHTrajectPeriodeDatumTijdTotEnMet],"&gt;"&amp;($A322+12/24),tData[Langligger01],1)</f>
        <v/>
      </c>
      <c r="Q322" s="20">
        <f>COUNTIFS(tData[SEHTrajectPeriodeDatumTijdVan],"&lt;="&amp;($A322+13/24),tData[SEHTrajectPeriodeDatumTijdTotEnMet],"&gt;"&amp;($A322+13/24),tData[Langligger01],1)</f>
        <v/>
      </c>
      <c r="R322" s="20">
        <f>COUNTIFS(tData[SEHTrajectPeriodeDatumTijdVan],"&lt;="&amp;($A322+14/24),tData[SEHTrajectPeriodeDatumTijdTotEnMet],"&gt;"&amp;($A322+14/24),tData[Langligger01],1)</f>
        <v/>
      </c>
      <c r="S322" s="20">
        <f>COUNTIFS(tData[SEHTrajectPeriodeDatumTijdVan],"&lt;="&amp;($A322+15/24),tData[SEHTrajectPeriodeDatumTijdTotEnMet],"&gt;"&amp;($A322+15/24),tData[Langligger01],1)</f>
        <v/>
      </c>
      <c r="T322" s="20">
        <f>COUNTIFS(tData[SEHTrajectPeriodeDatumTijdVan],"&lt;="&amp;($A322+16/24),tData[SEHTrajectPeriodeDatumTijdTotEnMet],"&gt;"&amp;($A322+16/24),tData[Langligger01],1)</f>
        <v/>
      </c>
      <c r="U322" s="20">
        <f>COUNTIFS(tData[SEHTrajectPeriodeDatumTijdVan],"&lt;="&amp;($A322+17/24),tData[SEHTrajectPeriodeDatumTijdTotEnMet],"&gt;"&amp;($A322+17/24),tData[Langligger01],1)</f>
        <v/>
      </c>
      <c r="V322" s="20">
        <f>COUNTIFS(tData[SEHTrajectPeriodeDatumTijdVan],"&lt;="&amp;($A322+18/24),tData[SEHTrajectPeriodeDatumTijdTotEnMet],"&gt;"&amp;($A322+18/24),tData[Langligger01],1)</f>
        <v/>
      </c>
      <c r="W322" s="20">
        <f>COUNTIFS(tData[SEHTrajectPeriodeDatumTijdVan],"&lt;="&amp;($A322+19/24),tData[SEHTrajectPeriodeDatumTijdTotEnMet],"&gt;"&amp;($A322+19/24),tData[Langligger01],1)</f>
        <v/>
      </c>
      <c r="X322" s="20">
        <f>COUNTIFS(tData[SEHTrajectPeriodeDatumTijdVan],"&lt;="&amp;($A322+20/24),tData[SEHTrajectPeriodeDatumTijdTotEnMet],"&gt;"&amp;($A322+20/24),tData[Langligger01],1)</f>
        <v/>
      </c>
      <c r="Y322" s="20">
        <f>COUNTIFS(tData[SEHTrajectPeriodeDatumTijdVan],"&lt;="&amp;($A322+21/24),tData[SEHTrajectPeriodeDatumTijdTotEnMet],"&gt;"&amp;($A322+21/24),tData[Langligger01],1)</f>
        <v/>
      </c>
      <c r="Z322" s="20">
        <f>COUNTIFS(tData[SEHTrajectPeriodeDatumTijdVan],"&lt;="&amp;($A322+22/24),tData[SEHTrajectPeriodeDatumTijdTotEnMet],"&gt;"&amp;($A322+22/24),tData[Langligger01],1)</f>
        <v/>
      </c>
      <c r="AA322" s="20">
        <f>COUNTIFS(tData[SEHTrajectPeriodeDatumTijdVan],"&lt;="&amp;($A322+23/24),tData[SEHTrajectPeriodeDatumTijdTotEnMet],"&gt;"&amp;($A322+23/24),tData[Langligger01],1)</f>
        <v/>
      </c>
    </row>
    <row r="323">
      <c r="A323" s="19" t="n">
        <v>45611</v>
      </c>
      <c r="B323" s="15">
        <f>WEEKDAY($A323,2)</f>
        <v/>
      </c>
      <c r="C323" s="15">
        <f>IF(AND($A323&gt;=INT(Instellingen!$B$5),$A323&lt;=INT(Instellingen!$B$6)),1,0)</f>
        <v/>
      </c>
      <c r="D323" s="20">
        <f>COUNTIFS(tData[SEHTrajectPeriodeDatumTijdVan],"&lt;="&amp;($A323+0/24),tData[SEHTrajectPeriodeDatumTijdTotEnMet],"&gt;"&amp;($A323+0/24),tData[Langligger01],1)</f>
        <v/>
      </c>
      <c r="E323" s="20">
        <f>COUNTIFS(tData[SEHTrajectPeriodeDatumTijdVan],"&lt;="&amp;($A323+1/24),tData[SEHTrajectPeriodeDatumTijdTotEnMet],"&gt;"&amp;($A323+1/24),tData[Langligger01],1)</f>
        <v/>
      </c>
      <c r="F323" s="20">
        <f>COUNTIFS(tData[SEHTrajectPeriodeDatumTijdVan],"&lt;="&amp;($A323+2/24),tData[SEHTrajectPeriodeDatumTijdTotEnMet],"&gt;"&amp;($A323+2/24),tData[Langligger01],1)</f>
        <v/>
      </c>
      <c r="G323" s="20">
        <f>COUNTIFS(tData[SEHTrajectPeriodeDatumTijdVan],"&lt;="&amp;($A323+3/24),tData[SEHTrajectPeriodeDatumTijdTotEnMet],"&gt;"&amp;($A323+3/24),tData[Langligger01],1)</f>
        <v/>
      </c>
      <c r="H323" s="20">
        <f>COUNTIFS(tData[SEHTrajectPeriodeDatumTijdVan],"&lt;="&amp;($A323+4/24),tData[SEHTrajectPeriodeDatumTijdTotEnMet],"&gt;"&amp;($A323+4/24),tData[Langligger01],1)</f>
        <v/>
      </c>
      <c r="I323" s="20">
        <f>COUNTIFS(tData[SEHTrajectPeriodeDatumTijdVan],"&lt;="&amp;($A323+5/24),tData[SEHTrajectPeriodeDatumTijdTotEnMet],"&gt;"&amp;($A323+5/24),tData[Langligger01],1)</f>
        <v/>
      </c>
      <c r="J323" s="20">
        <f>COUNTIFS(tData[SEHTrajectPeriodeDatumTijdVan],"&lt;="&amp;($A323+6/24),tData[SEHTrajectPeriodeDatumTijdTotEnMet],"&gt;"&amp;($A323+6/24),tData[Langligger01],1)</f>
        <v/>
      </c>
      <c r="K323" s="20">
        <f>COUNTIFS(tData[SEHTrajectPeriodeDatumTijdVan],"&lt;="&amp;($A323+7/24),tData[SEHTrajectPeriodeDatumTijdTotEnMet],"&gt;"&amp;($A323+7/24),tData[Langligger01],1)</f>
        <v/>
      </c>
      <c r="L323" s="20">
        <f>COUNTIFS(tData[SEHTrajectPeriodeDatumTijdVan],"&lt;="&amp;($A323+8/24),tData[SEHTrajectPeriodeDatumTijdTotEnMet],"&gt;"&amp;($A323+8/24),tData[Langligger01],1)</f>
        <v/>
      </c>
      <c r="M323" s="20">
        <f>COUNTIFS(tData[SEHTrajectPeriodeDatumTijdVan],"&lt;="&amp;($A323+9/24),tData[SEHTrajectPeriodeDatumTijdTotEnMet],"&gt;"&amp;($A323+9/24),tData[Langligger01],1)</f>
        <v/>
      </c>
      <c r="N323" s="20">
        <f>COUNTIFS(tData[SEHTrajectPeriodeDatumTijdVan],"&lt;="&amp;($A323+10/24),tData[SEHTrajectPeriodeDatumTijdTotEnMet],"&gt;"&amp;($A323+10/24),tData[Langligger01],1)</f>
        <v/>
      </c>
      <c r="O323" s="20">
        <f>COUNTIFS(tData[SEHTrajectPeriodeDatumTijdVan],"&lt;="&amp;($A323+11/24),tData[SEHTrajectPeriodeDatumTijdTotEnMet],"&gt;"&amp;($A323+11/24),tData[Langligger01],1)</f>
        <v/>
      </c>
      <c r="P323" s="20">
        <f>COUNTIFS(tData[SEHTrajectPeriodeDatumTijdVan],"&lt;="&amp;($A323+12/24),tData[SEHTrajectPeriodeDatumTijdTotEnMet],"&gt;"&amp;($A323+12/24),tData[Langligger01],1)</f>
        <v/>
      </c>
      <c r="Q323" s="20">
        <f>COUNTIFS(tData[SEHTrajectPeriodeDatumTijdVan],"&lt;="&amp;($A323+13/24),tData[SEHTrajectPeriodeDatumTijdTotEnMet],"&gt;"&amp;($A323+13/24),tData[Langligger01],1)</f>
        <v/>
      </c>
      <c r="R323" s="20">
        <f>COUNTIFS(tData[SEHTrajectPeriodeDatumTijdVan],"&lt;="&amp;($A323+14/24),tData[SEHTrajectPeriodeDatumTijdTotEnMet],"&gt;"&amp;($A323+14/24),tData[Langligger01],1)</f>
        <v/>
      </c>
      <c r="S323" s="20">
        <f>COUNTIFS(tData[SEHTrajectPeriodeDatumTijdVan],"&lt;="&amp;($A323+15/24),tData[SEHTrajectPeriodeDatumTijdTotEnMet],"&gt;"&amp;($A323+15/24),tData[Langligger01],1)</f>
        <v/>
      </c>
      <c r="T323" s="20">
        <f>COUNTIFS(tData[SEHTrajectPeriodeDatumTijdVan],"&lt;="&amp;($A323+16/24),tData[SEHTrajectPeriodeDatumTijdTotEnMet],"&gt;"&amp;($A323+16/24),tData[Langligger01],1)</f>
        <v/>
      </c>
      <c r="U323" s="20">
        <f>COUNTIFS(tData[SEHTrajectPeriodeDatumTijdVan],"&lt;="&amp;($A323+17/24),tData[SEHTrajectPeriodeDatumTijdTotEnMet],"&gt;"&amp;($A323+17/24),tData[Langligger01],1)</f>
        <v/>
      </c>
      <c r="V323" s="20">
        <f>COUNTIFS(tData[SEHTrajectPeriodeDatumTijdVan],"&lt;="&amp;($A323+18/24),tData[SEHTrajectPeriodeDatumTijdTotEnMet],"&gt;"&amp;($A323+18/24),tData[Langligger01],1)</f>
        <v/>
      </c>
      <c r="W323" s="20">
        <f>COUNTIFS(tData[SEHTrajectPeriodeDatumTijdVan],"&lt;="&amp;($A323+19/24),tData[SEHTrajectPeriodeDatumTijdTotEnMet],"&gt;"&amp;($A323+19/24),tData[Langligger01],1)</f>
        <v/>
      </c>
      <c r="X323" s="20">
        <f>COUNTIFS(tData[SEHTrajectPeriodeDatumTijdVan],"&lt;="&amp;($A323+20/24),tData[SEHTrajectPeriodeDatumTijdTotEnMet],"&gt;"&amp;($A323+20/24),tData[Langligger01],1)</f>
        <v/>
      </c>
      <c r="Y323" s="20">
        <f>COUNTIFS(tData[SEHTrajectPeriodeDatumTijdVan],"&lt;="&amp;($A323+21/24),tData[SEHTrajectPeriodeDatumTijdTotEnMet],"&gt;"&amp;($A323+21/24),tData[Langligger01],1)</f>
        <v/>
      </c>
      <c r="Z323" s="20">
        <f>COUNTIFS(tData[SEHTrajectPeriodeDatumTijdVan],"&lt;="&amp;($A323+22/24),tData[SEHTrajectPeriodeDatumTijdTotEnMet],"&gt;"&amp;($A323+22/24),tData[Langligger01],1)</f>
        <v/>
      </c>
      <c r="AA323" s="20">
        <f>COUNTIFS(tData[SEHTrajectPeriodeDatumTijdVan],"&lt;="&amp;($A323+23/24),tData[SEHTrajectPeriodeDatumTijdTotEnMet],"&gt;"&amp;($A323+23/24),tData[Langligger01],1)</f>
        <v/>
      </c>
    </row>
    <row r="324">
      <c r="A324" s="19" t="n">
        <v>45612</v>
      </c>
      <c r="B324" s="15">
        <f>WEEKDAY($A324,2)</f>
        <v/>
      </c>
      <c r="C324" s="15">
        <f>IF(AND($A324&gt;=INT(Instellingen!$B$5),$A324&lt;=INT(Instellingen!$B$6)),1,0)</f>
        <v/>
      </c>
      <c r="D324" s="20">
        <f>COUNTIFS(tData[SEHTrajectPeriodeDatumTijdVan],"&lt;="&amp;($A324+0/24),tData[SEHTrajectPeriodeDatumTijdTotEnMet],"&gt;"&amp;($A324+0/24),tData[Langligger01],1)</f>
        <v/>
      </c>
      <c r="E324" s="20">
        <f>COUNTIFS(tData[SEHTrajectPeriodeDatumTijdVan],"&lt;="&amp;($A324+1/24),tData[SEHTrajectPeriodeDatumTijdTotEnMet],"&gt;"&amp;($A324+1/24),tData[Langligger01],1)</f>
        <v/>
      </c>
      <c r="F324" s="20">
        <f>COUNTIFS(tData[SEHTrajectPeriodeDatumTijdVan],"&lt;="&amp;($A324+2/24),tData[SEHTrajectPeriodeDatumTijdTotEnMet],"&gt;"&amp;($A324+2/24),tData[Langligger01],1)</f>
        <v/>
      </c>
      <c r="G324" s="20">
        <f>COUNTIFS(tData[SEHTrajectPeriodeDatumTijdVan],"&lt;="&amp;($A324+3/24),tData[SEHTrajectPeriodeDatumTijdTotEnMet],"&gt;"&amp;($A324+3/24),tData[Langligger01],1)</f>
        <v/>
      </c>
      <c r="H324" s="20">
        <f>COUNTIFS(tData[SEHTrajectPeriodeDatumTijdVan],"&lt;="&amp;($A324+4/24),tData[SEHTrajectPeriodeDatumTijdTotEnMet],"&gt;"&amp;($A324+4/24),tData[Langligger01],1)</f>
        <v/>
      </c>
      <c r="I324" s="20">
        <f>COUNTIFS(tData[SEHTrajectPeriodeDatumTijdVan],"&lt;="&amp;($A324+5/24),tData[SEHTrajectPeriodeDatumTijdTotEnMet],"&gt;"&amp;($A324+5/24),tData[Langligger01],1)</f>
        <v/>
      </c>
      <c r="J324" s="20">
        <f>COUNTIFS(tData[SEHTrajectPeriodeDatumTijdVan],"&lt;="&amp;($A324+6/24),tData[SEHTrajectPeriodeDatumTijdTotEnMet],"&gt;"&amp;($A324+6/24),tData[Langligger01],1)</f>
        <v/>
      </c>
      <c r="K324" s="20">
        <f>COUNTIFS(tData[SEHTrajectPeriodeDatumTijdVan],"&lt;="&amp;($A324+7/24),tData[SEHTrajectPeriodeDatumTijdTotEnMet],"&gt;"&amp;($A324+7/24),tData[Langligger01],1)</f>
        <v/>
      </c>
      <c r="L324" s="20">
        <f>COUNTIFS(tData[SEHTrajectPeriodeDatumTijdVan],"&lt;="&amp;($A324+8/24),tData[SEHTrajectPeriodeDatumTijdTotEnMet],"&gt;"&amp;($A324+8/24),tData[Langligger01],1)</f>
        <v/>
      </c>
      <c r="M324" s="20">
        <f>COUNTIFS(tData[SEHTrajectPeriodeDatumTijdVan],"&lt;="&amp;($A324+9/24),tData[SEHTrajectPeriodeDatumTijdTotEnMet],"&gt;"&amp;($A324+9/24),tData[Langligger01],1)</f>
        <v/>
      </c>
      <c r="N324" s="20">
        <f>COUNTIFS(tData[SEHTrajectPeriodeDatumTijdVan],"&lt;="&amp;($A324+10/24),tData[SEHTrajectPeriodeDatumTijdTotEnMet],"&gt;"&amp;($A324+10/24),tData[Langligger01],1)</f>
        <v/>
      </c>
      <c r="O324" s="20">
        <f>COUNTIFS(tData[SEHTrajectPeriodeDatumTijdVan],"&lt;="&amp;($A324+11/24),tData[SEHTrajectPeriodeDatumTijdTotEnMet],"&gt;"&amp;($A324+11/24),tData[Langligger01],1)</f>
        <v/>
      </c>
      <c r="P324" s="20">
        <f>COUNTIFS(tData[SEHTrajectPeriodeDatumTijdVan],"&lt;="&amp;($A324+12/24),tData[SEHTrajectPeriodeDatumTijdTotEnMet],"&gt;"&amp;($A324+12/24),tData[Langligger01],1)</f>
        <v/>
      </c>
      <c r="Q324" s="20">
        <f>COUNTIFS(tData[SEHTrajectPeriodeDatumTijdVan],"&lt;="&amp;($A324+13/24),tData[SEHTrajectPeriodeDatumTijdTotEnMet],"&gt;"&amp;($A324+13/24),tData[Langligger01],1)</f>
        <v/>
      </c>
      <c r="R324" s="20">
        <f>COUNTIFS(tData[SEHTrajectPeriodeDatumTijdVan],"&lt;="&amp;($A324+14/24),tData[SEHTrajectPeriodeDatumTijdTotEnMet],"&gt;"&amp;($A324+14/24),tData[Langligger01],1)</f>
        <v/>
      </c>
      <c r="S324" s="20">
        <f>COUNTIFS(tData[SEHTrajectPeriodeDatumTijdVan],"&lt;="&amp;($A324+15/24),tData[SEHTrajectPeriodeDatumTijdTotEnMet],"&gt;"&amp;($A324+15/24),tData[Langligger01],1)</f>
        <v/>
      </c>
      <c r="T324" s="20">
        <f>COUNTIFS(tData[SEHTrajectPeriodeDatumTijdVan],"&lt;="&amp;($A324+16/24),tData[SEHTrajectPeriodeDatumTijdTotEnMet],"&gt;"&amp;($A324+16/24),tData[Langligger01],1)</f>
        <v/>
      </c>
      <c r="U324" s="20">
        <f>COUNTIFS(tData[SEHTrajectPeriodeDatumTijdVan],"&lt;="&amp;($A324+17/24),tData[SEHTrajectPeriodeDatumTijdTotEnMet],"&gt;"&amp;($A324+17/24),tData[Langligger01],1)</f>
        <v/>
      </c>
      <c r="V324" s="20">
        <f>COUNTIFS(tData[SEHTrajectPeriodeDatumTijdVan],"&lt;="&amp;($A324+18/24),tData[SEHTrajectPeriodeDatumTijdTotEnMet],"&gt;"&amp;($A324+18/24),tData[Langligger01],1)</f>
        <v/>
      </c>
      <c r="W324" s="20">
        <f>COUNTIFS(tData[SEHTrajectPeriodeDatumTijdVan],"&lt;="&amp;($A324+19/24),tData[SEHTrajectPeriodeDatumTijdTotEnMet],"&gt;"&amp;($A324+19/24),tData[Langligger01],1)</f>
        <v/>
      </c>
      <c r="X324" s="20">
        <f>COUNTIFS(tData[SEHTrajectPeriodeDatumTijdVan],"&lt;="&amp;($A324+20/24),tData[SEHTrajectPeriodeDatumTijdTotEnMet],"&gt;"&amp;($A324+20/24),tData[Langligger01],1)</f>
        <v/>
      </c>
      <c r="Y324" s="20">
        <f>COUNTIFS(tData[SEHTrajectPeriodeDatumTijdVan],"&lt;="&amp;($A324+21/24),tData[SEHTrajectPeriodeDatumTijdTotEnMet],"&gt;"&amp;($A324+21/24),tData[Langligger01],1)</f>
        <v/>
      </c>
      <c r="Z324" s="20">
        <f>COUNTIFS(tData[SEHTrajectPeriodeDatumTijdVan],"&lt;="&amp;($A324+22/24),tData[SEHTrajectPeriodeDatumTijdTotEnMet],"&gt;"&amp;($A324+22/24),tData[Langligger01],1)</f>
        <v/>
      </c>
      <c r="AA324" s="20">
        <f>COUNTIFS(tData[SEHTrajectPeriodeDatumTijdVan],"&lt;="&amp;($A324+23/24),tData[SEHTrajectPeriodeDatumTijdTotEnMet],"&gt;"&amp;($A324+23/24),tData[Langligger01],1)</f>
        <v/>
      </c>
    </row>
    <row r="325">
      <c r="A325" s="19" t="n">
        <v>45613</v>
      </c>
      <c r="B325" s="15">
        <f>WEEKDAY($A325,2)</f>
        <v/>
      </c>
      <c r="C325" s="15">
        <f>IF(AND($A325&gt;=INT(Instellingen!$B$5),$A325&lt;=INT(Instellingen!$B$6)),1,0)</f>
        <v/>
      </c>
      <c r="D325" s="20">
        <f>COUNTIFS(tData[SEHTrajectPeriodeDatumTijdVan],"&lt;="&amp;($A325+0/24),tData[SEHTrajectPeriodeDatumTijdTotEnMet],"&gt;"&amp;($A325+0/24),tData[Langligger01],1)</f>
        <v/>
      </c>
      <c r="E325" s="20">
        <f>COUNTIFS(tData[SEHTrajectPeriodeDatumTijdVan],"&lt;="&amp;($A325+1/24),tData[SEHTrajectPeriodeDatumTijdTotEnMet],"&gt;"&amp;($A325+1/24),tData[Langligger01],1)</f>
        <v/>
      </c>
      <c r="F325" s="20">
        <f>COUNTIFS(tData[SEHTrajectPeriodeDatumTijdVan],"&lt;="&amp;($A325+2/24),tData[SEHTrajectPeriodeDatumTijdTotEnMet],"&gt;"&amp;($A325+2/24),tData[Langligger01],1)</f>
        <v/>
      </c>
      <c r="G325" s="20">
        <f>COUNTIFS(tData[SEHTrajectPeriodeDatumTijdVan],"&lt;="&amp;($A325+3/24),tData[SEHTrajectPeriodeDatumTijdTotEnMet],"&gt;"&amp;($A325+3/24),tData[Langligger01],1)</f>
        <v/>
      </c>
      <c r="H325" s="20">
        <f>COUNTIFS(tData[SEHTrajectPeriodeDatumTijdVan],"&lt;="&amp;($A325+4/24),tData[SEHTrajectPeriodeDatumTijdTotEnMet],"&gt;"&amp;($A325+4/24),tData[Langligger01],1)</f>
        <v/>
      </c>
      <c r="I325" s="20">
        <f>COUNTIFS(tData[SEHTrajectPeriodeDatumTijdVan],"&lt;="&amp;($A325+5/24),tData[SEHTrajectPeriodeDatumTijdTotEnMet],"&gt;"&amp;($A325+5/24),tData[Langligger01],1)</f>
        <v/>
      </c>
      <c r="J325" s="20">
        <f>COUNTIFS(tData[SEHTrajectPeriodeDatumTijdVan],"&lt;="&amp;($A325+6/24),tData[SEHTrajectPeriodeDatumTijdTotEnMet],"&gt;"&amp;($A325+6/24),tData[Langligger01],1)</f>
        <v/>
      </c>
      <c r="K325" s="20">
        <f>COUNTIFS(tData[SEHTrajectPeriodeDatumTijdVan],"&lt;="&amp;($A325+7/24),tData[SEHTrajectPeriodeDatumTijdTotEnMet],"&gt;"&amp;($A325+7/24),tData[Langligger01],1)</f>
        <v/>
      </c>
      <c r="L325" s="20">
        <f>COUNTIFS(tData[SEHTrajectPeriodeDatumTijdVan],"&lt;="&amp;($A325+8/24),tData[SEHTrajectPeriodeDatumTijdTotEnMet],"&gt;"&amp;($A325+8/24),tData[Langligger01],1)</f>
        <v/>
      </c>
      <c r="M325" s="20">
        <f>COUNTIFS(tData[SEHTrajectPeriodeDatumTijdVan],"&lt;="&amp;($A325+9/24),tData[SEHTrajectPeriodeDatumTijdTotEnMet],"&gt;"&amp;($A325+9/24),tData[Langligger01],1)</f>
        <v/>
      </c>
      <c r="N325" s="20">
        <f>COUNTIFS(tData[SEHTrajectPeriodeDatumTijdVan],"&lt;="&amp;($A325+10/24),tData[SEHTrajectPeriodeDatumTijdTotEnMet],"&gt;"&amp;($A325+10/24),tData[Langligger01],1)</f>
        <v/>
      </c>
      <c r="O325" s="20">
        <f>COUNTIFS(tData[SEHTrajectPeriodeDatumTijdVan],"&lt;="&amp;($A325+11/24),tData[SEHTrajectPeriodeDatumTijdTotEnMet],"&gt;"&amp;($A325+11/24),tData[Langligger01],1)</f>
        <v/>
      </c>
      <c r="P325" s="20">
        <f>COUNTIFS(tData[SEHTrajectPeriodeDatumTijdVan],"&lt;="&amp;($A325+12/24),tData[SEHTrajectPeriodeDatumTijdTotEnMet],"&gt;"&amp;($A325+12/24),tData[Langligger01],1)</f>
        <v/>
      </c>
      <c r="Q325" s="20">
        <f>COUNTIFS(tData[SEHTrajectPeriodeDatumTijdVan],"&lt;="&amp;($A325+13/24),tData[SEHTrajectPeriodeDatumTijdTotEnMet],"&gt;"&amp;($A325+13/24),tData[Langligger01],1)</f>
        <v/>
      </c>
      <c r="R325" s="20">
        <f>COUNTIFS(tData[SEHTrajectPeriodeDatumTijdVan],"&lt;="&amp;($A325+14/24),tData[SEHTrajectPeriodeDatumTijdTotEnMet],"&gt;"&amp;($A325+14/24),tData[Langligger01],1)</f>
        <v/>
      </c>
      <c r="S325" s="20">
        <f>COUNTIFS(tData[SEHTrajectPeriodeDatumTijdVan],"&lt;="&amp;($A325+15/24),tData[SEHTrajectPeriodeDatumTijdTotEnMet],"&gt;"&amp;($A325+15/24),tData[Langligger01],1)</f>
        <v/>
      </c>
      <c r="T325" s="20">
        <f>COUNTIFS(tData[SEHTrajectPeriodeDatumTijdVan],"&lt;="&amp;($A325+16/24),tData[SEHTrajectPeriodeDatumTijdTotEnMet],"&gt;"&amp;($A325+16/24),tData[Langligger01],1)</f>
        <v/>
      </c>
      <c r="U325" s="20">
        <f>COUNTIFS(tData[SEHTrajectPeriodeDatumTijdVan],"&lt;="&amp;($A325+17/24),tData[SEHTrajectPeriodeDatumTijdTotEnMet],"&gt;"&amp;($A325+17/24),tData[Langligger01],1)</f>
        <v/>
      </c>
      <c r="V325" s="20">
        <f>COUNTIFS(tData[SEHTrajectPeriodeDatumTijdVan],"&lt;="&amp;($A325+18/24),tData[SEHTrajectPeriodeDatumTijdTotEnMet],"&gt;"&amp;($A325+18/24),tData[Langligger01],1)</f>
        <v/>
      </c>
      <c r="W325" s="20">
        <f>COUNTIFS(tData[SEHTrajectPeriodeDatumTijdVan],"&lt;="&amp;($A325+19/24),tData[SEHTrajectPeriodeDatumTijdTotEnMet],"&gt;"&amp;($A325+19/24),tData[Langligger01],1)</f>
        <v/>
      </c>
      <c r="X325" s="20">
        <f>COUNTIFS(tData[SEHTrajectPeriodeDatumTijdVan],"&lt;="&amp;($A325+20/24),tData[SEHTrajectPeriodeDatumTijdTotEnMet],"&gt;"&amp;($A325+20/24),tData[Langligger01],1)</f>
        <v/>
      </c>
      <c r="Y325" s="20">
        <f>COUNTIFS(tData[SEHTrajectPeriodeDatumTijdVan],"&lt;="&amp;($A325+21/24),tData[SEHTrajectPeriodeDatumTijdTotEnMet],"&gt;"&amp;($A325+21/24),tData[Langligger01],1)</f>
        <v/>
      </c>
      <c r="Z325" s="20">
        <f>COUNTIFS(tData[SEHTrajectPeriodeDatumTijdVan],"&lt;="&amp;($A325+22/24),tData[SEHTrajectPeriodeDatumTijdTotEnMet],"&gt;"&amp;($A325+22/24),tData[Langligger01],1)</f>
        <v/>
      </c>
      <c r="AA325" s="20">
        <f>COUNTIFS(tData[SEHTrajectPeriodeDatumTijdVan],"&lt;="&amp;($A325+23/24),tData[SEHTrajectPeriodeDatumTijdTotEnMet],"&gt;"&amp;($A325+23/24),tData[Langligger01],1)</f>
        <v/>
      </c>
    </row>
    <row r="326">
      <c r="A326" s="19" t="n">
        <v>45614</v>
      </c>
      <c r="B326" s="15">
        <f>WEEKDAY($A326,2)</f>
        <v/>
      </c>
      <c r="C326" s="15">
        <f>IF(AND($A326&gt;=INT(Instellingen!$B$5),$A326&lt;=INT(Instellingen!$B$6)),1,0)</f>
        <v/>
      </c>
      <c r="D326" s="20">
        <f>COUNTIFS(tData[SEHTrajectPeriodeDatumTijdVan],"&lt;="&amp;($A326+0/24),tData[SEHTrajectPeriodeDatumTijdTotEnMet],"&gt;"&amp;($A326+0/24),tData[Langligger01],1)</f>
        <v/>
      </c>
      <c r="E326" s="20">
        <f>COUNTIFS(tData[SEHTrajectPeriodeDatumTijdVan],"&lt;="&amp;($A326+1/24),tData[SEHTrajectPeriodeDatumTijdTotEnMet],"&gt;"&amp;($A326+1/24),tData[Langligger01],1)</f>
        <v/>
      </c>
      <c r="F326" s="20">
        <f>COUNTIFS(tData[SEHTrajectPeriodeDatumTijdVan],"&lt;="&amp;($A326+2/24),tData[SEHTrajectPeriodeDatumTijdTotEnMet],"&gt;"&amp;($A326+2/24),tData[Langligger01],1)</f>
        <v/>
      </c>
      <c r="G326" s="20">
        <f>COUNTIFS(tData[SEHTrajectPeriodeDatumTijdVan],"&lt;="&amp;($A326+3/24),tData[SEHTrajectPeriodeDatumTijdTotEnMet],"&gt;"&amp;($A326+3/24),tData[Langligger01],1)</f>
        <v/>
      </c>
      <c r="H326" s="20">
        <f>COUNTIFS(tData[SEHTrajectPeriodeDatumTijdVan],"&lt;="&amp;($A326+4/24),tData[SEHTrajectPeriodeDatumTijdTotEnMet],"&gt;"&amp;($A326+4/24),tData[Langligger01],1)</f>
        <v/>
      </c>
      <c r="I326" s="20">
        <f>COUNTIFS(tData[SEHTrajectPeriodeDatumTijdVan],"&lt;="&amp;($A326+5/24),tData[SEHTrajectPeriodeDatumTijdTotEnMet],"&gt;"&amp;($A326+5/24),tData[Langligger01],1)</f>
        <v/>
      </c>
      <c r="J326" s="20">
        <f>COUNTIFS(tData[SEHTrajectPeriodeDatumTijdVan],"&lt;="&amp;($A326+6/24),tData[SEHTrajectPeriodeDatumTijdTotEnMet],"&gt;"&amp;($A326+6/24),tData[Langligger01],1)</f>
        <v/>
      </c>
      <c r="K326" s="20">
        <f>COUNTIFS(tData[SEHTrajectPeriodeDatumTijdVan],"&lt;="&amp;($A326+7/24),tData[SEHTrajectPeriodeDatumTijdTotEnMet],"&gt;"&amp;($A326+7/24),tData[Langligger01],1)</f>
        <v/>
      </c>
      <c r="L326" s="20">
        <f>COUNTIFS(tData[SEHTrajectPeriodeDatumTijdVan],"&lt;="&amp;($A326+8/24),tData[SEHTrajectPeriodeDatumTijdTotEnMet],"&gt;"&amp;($A326+8/24),tData[Langligger01],1)</f>
        <v/>
      </c>
      <c r="M326" s="20">
        <f>COUNTIFS(tData[SEHTrajectPeriodeDatumTijdVan],"&lt;="&amp;($A326+9/24),tData[SEHTrajectPeriodeDatumTijdTotEnMet],"&gt;"&amp;($A326+9/24),tData[Langligger01],1)</f>
        <v/>
      </c>
      <c r="N326" s="20">
        <f>COUNTIFS(tData[SEHTrajectPeriodeDatumTijdVan],"&lt;="&amp;($A326+10/24),tData[SEHTrajectPeriodeDatumTijdTotEnMet],"&gt;"&amp;($A326+10/24),tData[Langligger01],1)</f>
        <v/>
      </c>
      <c r="O326" s="20">
        <f>COUNTIFS(tData[SEHTrajectPeriodeDatumTijdVan],"&lt;="&amp;($A326+11/24),tData[SEHTrajectPeriodeDatumTijdTotEnMet],"&gt;"&amp;($A326+11/24),tData[Langligger01],1)</f>
        <v/>
      </c>
      <c r="P326" s="20">
        <f>COUNTIFS(tData[SEHTrajectPeriodeDatumTijdVan],"&lt;="&amp;($A326+12/24),tData[SEHTrajectPeriodeDatumTijdTotEnMet],"&gt;"&amp;($A326+12/24),tData[Langligger01],1)</f>
        <v/>
      </c>
      <c r="Q326" s="20">
        <f>COUNTIFS(tData[SEHTrajectPeriodeDatumTijdVan],"&lt;="&amp;($A326+13/24),tData[SEHTrajectPeriodeDatumTijdTotEnMet],"&gt;"&amp;($A326+13/24),tData[Langligger01],1)</f>
        <v/>
      </c>
      <c r="R326" s="20">
        <f>COUNTIFS(tData[SEHTrajectPeriodeDatumTijdVan],"&lt;="&amp;($A326+14/24),tData[SEHTrajectPeriodeDatumTijdTotEnMet],"&gt;"&amp;($A326+14/24),tData[Langligger01],1)</f>
        <v/>
      </c>
      <c r="S326" s="20">
        <f>COUNTIFS(tData[SEHTrajectPeriodeDatumTijdVan],"&lt;="&amp;($A326+15/24),tData[SEHTrajectPeriodeDatumTijdTotEnMet],"&gt;"&amp;($A326+15/24),tData[Langligger01],1)</f>
        <v/>
      </c>
      <c r="T326" s="20">
        <f>COUNTIFS(tData[SEHTrajectPeriodeDatumTijdVan],"&lt;="&amp;($A326+16/24),tData[SEHTrajectPeriodeDatumTijdTotEnMet],"&gt;"&amp;($A326+16/24),tData[Langligger01],1)</f>
        <v/>
      </c>
      <c r="U326" s="20">
        <f>COUNTIFS(tData[SEHTrajectPeriodeDatumTijdVan],"&lt;="&amp;($A326+17/24),tData[SEHTrajectPeriodeDatumTijdTotEnMet],"&gt;"&amp;($A326+17/24),tData[Langligger01],1)</f>
        <v/>
      </c>
      <c r="V326" s="20">
        <f>COUNTIFS(tData[SEHTrajectPeriodeDatumTijdVan],"&lt;="&amp;($A326+18/24),tData[SEHTrajectPeriodeDatumTijdTotEnMet],"&gt;"&amp;($A326+18/24),tData[Langligger01],1)</f>
        <v/>
      </c>
      <c r="W326" s="20">
        <f>COUNTIFS(tData[SEHTrajectPeriodeDatumTijdVan],"&lt;="&amp;($A326+19/24),tData[SEHTrajectPeriodeDatumTijdTotEnMet],"&gt;"&amp;($A326+19/24),tData[Langligger01],1)</f>
        <v/>
      </c>
      <c r="X326" s="20">
        <f>COUNTIFS(tData[SEHTrajectPeriodeDatumTijdVan],"&lt;="&amp;($A326+20/24),tData[SEHTrajectPeriodeDatumTijdTotEnMet],"&gt;"&amp;($A326+20/24),tData[Langligger01],1)</f>
        <v/>
      </c>
      <c r="Y326" s="20">
        <f>COUNTIFS(tData[SEHTrajectPeriodeDatumTijdVan],"&lt;="&amp;($A326+21/24),tData[SEHTrajectPeriodeDatumTijdTotEnMet],"&gt;"&amp;($A326+21/24),tData[Langligger01],1)</f>
        <v/>
      </c>
      <c r="Z326" s="20">
        <f>COUNTIFS(tData[SEHTrajectPeriodeDatumTijdVan],"&lt;="&amp;($A326+22/24),tData[SEHTrajectPeriodeDatumTijdTotEnMet],"&gt;"&amp;($A326+22/24),tData[Langligger01],1)</f>
        <v/>
      </c>
      <c r="AA326" s="20">
        <f>COUNTIFS(tData[SEHTrajectPeriodeDatumTijdVan],"&lt;="&amp;($A326+23/24),tData[SEHTrajectPeriodeDatumTijdTotEnMet],"&gt;"&amp;($A326+23/24),tData[Langligger01],1)</f>
        <v/>
      </c>
    </row>
    <row r="327">
      <c r="A327" s="19" t="n">
        <v>45615</v>
      </c>
      <c r="B327" s="15">
        <f>WEEKDAY($A327,2)</f>
        <v/>
      </c>
      <c r="C327" s="15">
        <f>IF(AND($A327&gt;=INT(Instellingen!$B$5),$A327&lt;=INT(Instellingen!$B$6)),1,0)</f>
        <v/>
      </c>
      <c r="D327" s="20">
        <f>COUNTIFS(tData[SEHTrajectPeriodeDatumTijdVan],"&lt;="&amp;($A327+0/24),tData[SEHTrajectPeriodeDatumTijdTotEnMet],"&gt;"&amp;($A327+0/24),tData[Langligger01],1)</f>
        <v/>
      </c>
      <c r="E327" s="20">
        <f>COUNTIFS(tData[SEHTrajectPeriodeDatumTijdVan],"&lt;="&amp;($A327+1/24),tData[SEHTrajectPeriodeDatumTijdTotEnMet],"&gt;"&amp;($A327+1/24),tData[Langligger01],1)</f>
        <v/>
      </c>
      <c r="F327" s="20">
        <f>COUNTIFS(tData[SEHTrajectPeriodeDatumTijdVan],"&lt;="&amp;($A327+2/24),tData[SEHTrajectPeriodeDatumTijdTotEnMet],"&gt;"&amp;($A327+2/24),tData[Langligger01],1)</f>
        <v/>
      </c>
      <c r="G327" s="20">
        <f>COUNTIFS(tData[SEHTrajectPeriodeDatumTijdVan],"&lt;="&amp;($A327+3/24),tData[SEHTrajectPeriodeDatumTijdTotEnMet],"&gt;"&amp;($A327+3/24),tData[Langligger01],1)</f>
        <v/>
      </c>
      <c r="H327" s="20">
        <f>COUNTIFS(tData[SEHTrajectPeriodeDatumTijdVan],"&lt;="&amp;($A327+4/24),tData[SEHTrajectPeriodeDatumTijdTotEnMet],"&gt;"&amp;($A327+4/24),tData[Langligger01],1)</f>
        <v/>
      </c>
      <c r="I327" s="20">
        <f>COUNTIFS(tData[SEHTrajectPeriodeDatumTijdVan],"&lt;="&amp;($A327+5/24),tData[SEHTrajectPeriodeDatumTijdTotEnMet],"&gt;"&amp;($A327+5/24),tData[Langligger01],1)</f>
        <v/>
      </c>
      <c r="J327" s="20">
        <f>COUNTIFS(tData[SEHTrajectPeriodeDatumTijdVan],"&lt;="&amp;($A327+6/24),tData[SEHTrajectPeriodeDatumTijdTotEnMet],"&gt;"&amp;($A327+6/24),tData[Langligger01],1)</f>
        <v/>
      </c>
      <c r="K327" s="20">
        <f>COUNTIFS(tData[SEHTrajectPeriodeDatumTijdVan],"&lt;="&amp;($A327+7/24),tData[SEHTrajectPeriodeDatumTijdTotEnMet],"&gt;"&amp;($A327+7/24),tData[Langligger01],1)</f>
        <v/>
      </c>
      <c r="L327" s="20">
        <f>COUNTIFS(tData[SEHTrajectPeriodeDatumTijdVan],"&lt;="&amp;($A327+8/24),tData[SEHTrajectPeriodeDatumTijdTotEnMet],"&gt;"&amp;($A327+8/24),tData[Langligger01],1)</f>
        <v/>
      </c>
      <c r="M327" s="20">
        <f>COUNTIFS(tData[SEHTrajectPeriodeDatumTijdVan],"&lt;="&amp;($A327+9/24),tData[SEHTrajectPeriodeDatumTijdTotEnMet],"&gt;"&amp;($A327+9/24),tData[Langligger01],1)</f>
        <v/>
      </c>
      <c r="N327" s="20">
        <f>COUNTIFS(tData[SEHTrajectPeriodeDatumTijdVan],"&lt;="&amp;($A327+10/24),tData[SEHTrajectPeriodeDatumTijdTotEnMet],"&gt;"&amp;($A327+10/24),tData[Langligger01],1)</f>
        <v/>
      </c>
      <c r="O327" s="20">
        <f>COUNTIFS(tData[SEHTrajectPeriodeDatumTijdVan],"&lt;="&amp;($A327+11/24),tData[SEHTrajectPeriodeDatumTijdTotEnMet],"&gt;"&amp;($A327+11/24),tData[Langligger01],1)</f>
        <v/>
      </c>
      <c r="P327" s="20">
        <f>COUNTIFS(tData[SEHTrajectPeriodeDatumTijdVan],"&lt;="&amp;($A327+12/24),tData[SEHTrajectPeriodeDatumTijdTotEnMet],"&gt;"&amp;($A327+12/24),tData[Langligger01],1)</f>
        <v/>
      </c>
      <c r="Q327" s="20">
        <f>COUNTIFS(tData[SEHTrajectPeriodeDatumTijdVan],"&lt;="&amp;($A327+13/24),tData[SEHTrajectPeriodeDatumTijdTotEnMet],"&gt;"&amp;($A327+13/24),tData[Langligger01],1)</f>
        <v/>
      </c>
      <c r="R327" s="20">
        <f>COUNTIFS(tData[SEHTrajectPeriodeDatumTijdVan],"&lt;="&amp;($A327+14/24),tData[SEHTrajectPeriodeDatumTijdTotEnMet],"&gt;"&amp;($A327+14/24),tData[Langligger01],1)</f>
        <v/>
      </c>
      <c r="S327" s="20">
        <f>COUNTIFS(tData[SEHTrajectPeriodeDatumTijdVan],"&lt;="&amp;($A327+15/24),tData[SEHTrajectPeriodeDatumTijdTotEnMet],"&gt;"&amp;($A327+15/24),tData[Langligger01],1)</f>
        <v/>
      </c>
      <c r="T327" s="20">
        <f>COUNTIFS(tData[SEHTrajectPeriodeDatumTijdVan],"&lt;="&amp;($A327+16/24),tData[SEHTrajectPeriodeDatumTijdTotEnMet],"&gt;"&amp;($A327+16/24),tData[Langligger01],1)</f>
        <v/>
      </c>
      <c r="U327" s="20">
        <f>COUNTIFS(tData[SEHTrajectPeriodeDatumTijdVan],"&lt;="&amp;($A327+17/24),tData[SEHTrajectPeriodeDatumTijdTotEnMet],"&gt;"&amp;($A327+17/24),tData[Langligger01],1)</f>
        <v/>
      </c>
      <c r="V327" s="20">
        <f>COUNTIFS(tData[SEHTrajectPeriodeDatumTijdVan],"&lt;="&amp;($A327+18/24),tData[SEHTrajectPeriodeDatumTijdTotEnMet],"&gt;"&amp;($A327+18/24),tData[Langligger01],1)</f>
        <v/>
      </c>
      <c r="W327" s="20">
        <f>COUNTIFS(tData[SEHTrajectPeriodeDatumTijdVan],"&lt;="&amp;($A327+19/24),tData[SEHTrajectPeriodeDatumTijdTotEnMet],"&gt;"&amp;($A327+19/24),tData[Langligger01],1)</f>
        <v/>
      </c>
      <c r="X327" s="20">
        <f>COUNTIFS(tData[SEHTrajectPeriodeDatumTijdVan],"&lt;="&amp;($A327+20/24),tData[SEHTrajectPeriodeDatumTijdTotEnMet],"&gt;"&amp;($A327+20/24),tData[Langligger01],1)</f>
        <v/>
      </c>
      <c r="Y327" s="20">
        <f>COUNTIFS(tData[SEHTrajectPeriodeDatumTijdVan],"&lt;="&amp;($A327+21/24),tData[SEHTrajectPeriodeDatumTijdTotEnMet],"&gt;"&amp;($A327+21/24),tData[Langligger01],1)</f>
        <v/>
      </c>
      <c r="Z327" s="20">
        <f>COUNTIFS(tData[SEHTrajectPeriodeDatumTijdVan],"&lt;="&amp;($A327+22/24),tData[SEHTrajectPeriodeDatumTijdTotEnMet],"&gt;"&amp;($A327+22/24),tData[Langligger01],1)</f>
        <v/>
      </c>
      <c r="AA327" s="20">
        <f>COUNTIFS(tData[SEHTrajectPeriodeDatumTijdVan],"&lt;="&amp;($A327+23/24),tData[SEHTrajectPeriodeDatumTijdTotEnMet],"&gt;"&amp;($A327+23/24),tData[Langligger01],1)</f>
        <v/>
      </c>
    </row>
    <row r="328">
      <c r="A328" s="19" t="n">
        <v>45616</v>
      </c>
      <c r="B328" s="15">
        <f>WEEKDAY($A328,2)</f>
        <v/>
      </c>
      <c r="C328" s="15">
        <f>IF(AND($A328&gt;=INT(Instellingen!$B$5),$A328&lt;=INT(Instellingen!$B$6)),1,0)</f>
        <v/>
      </c>
      <c r="D328" s="20">
        <f>COUNTIFS(tData[SEHTrajectPeriodeDatumTijdVan],"&lt;="&amp;($A328+0/24),tData[SEHTrajectPeriodeDatumTijdTotEnMet],"&gt;"&amp;($A328+0/24),tData[Langligger01],1)</f>
        <v/>
      </c>
      <c r="E328" s="20">
        <f>COUNTIFS(tData[SEHTrajectPeriodeDatumTijdVan],"&lt;="&amp;($A328+1/24),tData[SEHTrajectPeriodeDatumTijdTotEnMet],"&gt;"&amp;($A328+1/24),tData[Langligger01],1)</f>
        <v/>
      </c>
      <c r="F328" s="20">
        <f>COUNTIFS(tData[SEHTrajectPeriodeDatumTijdVan],"&lt;="&amp;($A328+2/24),tData[SEHTrajectPeriodeDatumTijdTotEnMet],"&gt;"&amp;($A328+2/24),tData[Langligger01],1)</f>
        <v/>
      </c>
      <c r="G328" s="20">
        <f>COUNTIFS(tData[SEHTrajectPeriodeDatumTijdVan],"&lt;="&amp;($A328+3/24),tData[SEHTrajectPeriodeDatumTijdTotEnMet],"&gt;"&amp;($A328+3/24),tData[Langligger01],1)</f>
        <v/>
      </c>
      <c r="H328" s="20">
        <f>COUNTIFS(tData[SEHTrajectPeriodeDatumTijdVan],"&lt;="&amp;($A328+4/24),tData[SEHTrajectPeriodeDatumTijdTotEnMet],"&gt;"&amp;($A328+4/24),tData[Langligger01],1)</f>
        <v/>
      </c>
      <c r="I328" s="20">
        <f>COUNTIFS(tData[SEHTrajectPeriodeDatumTijdVan],"&lt;="&amp;($A328+5/24),tData[SEHTrajectPeriodeDatumTijdTotEnMet],"&gt;"&amp;($A328+5/24),tData[Langligger01],1)</f>
        <v/>
      </c>
      <c r="J328" s="20">
        <f>COUNTIFS(tData[SEHTrajectPeriodeDatumTijdVan],"&lt;="&amp;($A328+6/24),tData[SEHTrajectPeriodeDatumTijdTotEnMet],"&gt;"&amp;($A328+6/24),tData[Langligger01],1)</f>
        <v/>
      </c>
      <c r="K328" s="20">
        <f>COUNTIFS(tData[SEHTrajectPeriodeDatumTijdVan],"&lt;="&amp;($A328+7/24),tData[SEHTrajectPeriodeDatumTijdTotEnMet],"&gt;"&amp;($A328+7/24),tData[Langligger01],1)</f>
        <v/>
      </c>
      <c r="L328" s="20">
        <f>COUNTIFS(tData[SEHTrajectPeriodeDatumTijdVan],"&lt;="&amp;($A328+8/24),tData[SEHTrajectPeriodeDatumTijdTotEnMet],"&gt;"&amp;($A328+8/24),tData[Langligger01],1)</f>
        <v/>
      </c>
      <c r="M328" s="20">
        <f>COUNTIFS(tData[SEHTrajectPeriodeDatumTijdVan],"&lt;="&amp;($A328+9/24),tData[SEHTrajectPeriodeDatumTijdTotEnMet],"&gt;"&amp;($A328+9/24),tData[Langligger01],1)</f>
        <v/>
      </c>
      <c r="N328" s="20">
        <f>COUNTIFS(tData[SEHTrajectPeriodeDatumTijdVan],"&lt;="&amp;($A328+10/24),tData[SEHTrajectPeriodeDatumTijdTotEnMet],"&gt;"&amp;($A328+10/24),tData[Langligger01],1)</f>
        <v/>
      </c>
      <c r="O328" s="20">
        <f>COUNTIFS(tData[SEHTrajectPeriodeDatumTijdVan],"&lt;="&amp;($A328+11/24),tData[SEHTrajectPeriodeDatumTijdTotEnMet],"&gt;"&amp;($A328+11/24),tData[Langligger01],1)</f>
        <v/>
      </c>
      <c r="P328" s="20">
        <f>COUNTIFS(tData[SEHTrajectPeriodeDatumTijdVan],"&lt;="&amp;($A328+12/24),tData[SEHTrajectPeriodeDatumTijdTotEnMet],"&gt;"&amp;($A328+12/24),tData[Langligger01],1)</f>
        <v/>
      </c>
      <c r="Q328" s="20">
        <f>COUNTIFS(tData[SEHTrajectPeriodeDatumTijdVan],"&lt;="&amp;($A328+13/24),tData[SEHTrajectPeriodeDatumTijdTotEnMet],"&gt;"&amp;($A328+13/24),tData[Langligger01],1)</f>
        <v/>
      </c>
      <c r="R328" s="20">
        <f>COUNTIFS(tData[SEHTrajectPeriodeDatumTijdVan],"&lt;="&amp;($A328+14/24),tData[SEHTrajectPeriodeDatumTijdTotEnMet],"&gt;"&amp;($A328+14/24),tData[Langligger01],1)</f>
        <v/>
      </c>
      <c r="S328" s="20">
        <f>COUNTIFS(tData[SEHTrajectPeriodeDatumTijdVan],"&lt;="&amp;($A328+15/24),tData[SEHTrajectPeriodeDatumTijdTotEnMet],"&gt;"&amp;($A328+15/24),tData[Langligger01],1)</f>
        <v/>
      </c>
      <c r="T328" s="20">
        <f>COUNTIFS(tData[SEHTrajectPeriodeDatumTijdVan],"&lt;="&amp;($A328+16/24),tData[SEHTrajectPeriodeDatumTijdTotEnMet],"&gt;"&amp;($A328+16/24),tData[Langligger01],1)</f>
        <v/>
      </c>
      <c r="U328" s="20">
        <f>COUNTIFS(tData[SEHTrajectPeriodeDatumTijdVan],"&lt;="&amp;($A328+17/24),tData[SEHTrajectPeriodeDatumTijdTotEnMet],"&gt;"&amp;($A328+17/24),tData[Langligger01],1)</f>
        <v/>
      </c>
      <c r="V328" s="20">
        <f>COUNTIFS(tData[SEHTrajectPeriodeDatumTijdVan],"&lt;="&amp;($A328+18/24),tData[SEHTrajectPeriodeDatumTijdTotEnMet],"&gt;"&amp;($A328+18/24),tData[Langligger01],1)</f>
        <v/>
      </c>
      <c r="W328" s="20">
        <f>COUNTIFS(tData[SEHTrajectPeriodeDatumTijdVan],"&lt;="&amp;($A328+19/24),tData[SEHTrajectPeriodeDatumTijdTotEnMet],"&gt;"&amp;($A328+19/24),tData[Langligger01],1)</f>
        <v/>
      </c>
      <c r="X328" s="20">
        <f>COUNTIFS(tData[SEHTrajectPeriodeDatumTijdVan],"&lt;="&amp;($A328+20/24),tData[SEHTrajectPeriodeDatumTijdTotEnMet],"&gt;"&amp;($A328+20/24),tData[Langligger01],1)</f>
        <v/>
      </c>
      <c r="Y328" s="20">
        <f>COUNTIFS(tData[SEHTrajectPeriodeDatumTijdVan],"&lt;="&amp;($A328+21/24),tData[SEHTrajectPeriodeDatumTijdTotEnMet],"&gt;"&amp;($A328+21/24),tData[Langligger01],1)</f>
        <v/>
      </c>
      <c r="Z328" s="20">
        <f>COUNTIFS(tData[SEHTrajectPeriodeDatumTijdVan],"&lt;="&amp;($A328+22/24),tData[SEHTrajectPeriodeDatumTijdTotEnMet],"&gt;"&amp;($A328+22/24),tData[Langligger01],1)</f>
        <v/>
      </c>
      <c r="AA328" s="20">
        <f>COUNTIFS(tData[SEHTrajectPeriodeDatumTijdVan],"&lt;="&amp;($A328+23/24),tData[SEHTrajectPeriodeDatumTijdTotEnMet],"&gt;"&amp;($A328+23/24),tData[Langligger01],1)</f>
        <v/>
      </c>
    </row>
    <row r="329">
      <c r="A329" s="19" t="n">
        <v>45617</v>
      </c>
      <c r="B329" s="15">
        <f>WEEKDAY($A329,2)</f>
        <v/>
      </c>
      <c r="C329" s="15">
        <f>IF(AND($A329&gt;=INT(Instellingen!$B$5),$A329&lt;=INT(Instellingen!$B$6)),1,0)</f>
        <v/>
      </c>
      <c r="D329" s="20">
        <f>COUNTIFS(tData[SEHTrajectPeriodeDatumTijdVan],"&lt;="&amp;($A329+0/24),tData[SEHTrajectPeriodeDatumTijdTotEnMet],"&gt;"&amp;($A329+0/24),tData[Langligger01],1)</f>
        <v/>
      </c>
      <c r="E329" s="20">
        <f>COUNTIFS(tData[SEHTrajectPeriodeDatumTijdVan],"&lt;="&amp;($A329+1/24),tData[SEHTrajectPeriodeDatumTijdTotEnMet],"&gt;"&amp;($A329+1/24),tData[Langligger01],1)</f>
        <v/>
      </c>
      <c r="F329" s="20">
        <f>COUNTIFS(tData[SEHTrajectPeriodeDatumTijdVan],"&lt;="&amp;($A329+2/24),tData[SEHTrajectPeriodeDatumTijdTotEnMet],"&gt;"&amp;($A329+2/24),tData[Langligger01],1)</f>
        <v/>
      </c>
      <c r="G329" s="20">
        <f>COUNTIFS(tData[SEHTrajectPeriodeDatumTijdVan],"&lt;="&amp;($A329+3/24),tData[SEHTrajectPeriodeDatumTijdTotEnMet],"&gt;"&amp;($A329+3/24),tData[Langligger01],1)</f>
        <v/>
      </c>
      <c r="H329" s="20">
        <f>COUNTIFS(tData[SEHTrajectPeriodeDatumTijdVan],"&lt;="&amp;($A329+4/24),tData[SEHTrajectPeriodeDatumTijdTotEnMet],"&gt;"&amp;($A329+4/24),tData[Langligger01],1)</f>
        <v/>
      </c>
      <c r="I329" s="20">
        <f>COUNTIFS(tData[SEHTrajectPeriodeDatumTijdVan],"&lt;="&amp;($A329+5/24),tData[SEHTrajectPeriodeDatumTijdTotEnMet],"&gt;"&amp;($A329+5/24),tData[Langligger01],1)</f>
        <v/>
      </c>
      <c r="J329" s="20">
        <f>COUNTIFS(tData[SEHTrajectPeriodeDatumTijdVan],"&lt;="&amp;($A329+6/24),tData[SEHTrajectPeriodeDatumTijdTotEnMet],"&gt;"&amp;($A329+6/24),tData[Langligger01],1)</f>
        <v/>
      </c>
      <c r="K329" s="20">
        <f>COUNTIFS(tData[SEHTrajectPeriodeDatumTijdVan],"&lt;="&amp;($A329+7/24),tData[SEHTrajectPeriodeDatumTijdTotEnMet],"&gt;"&amp;($A329+7/24),tData[Langligger01],1)</f>
        <v/>
      </c>
      <c r="L329" s="20">
        <f>COUNTIFS(tData[SEHTrajectPeriodeDatumTijdVan],"&lt;="&amp;($A329+8/24),tData[SEHTrajectPeriodeDatumTijdTotEnMet],"&gt;"&amp;($A329+8/24),tData[Langligger01],1)</f>
        <v/>
      </c>
      <c r="M329" s="20">
        <f>COUNTIFS(tData[SEHTrajectPeriodeDatumTijdVan],"&lt;="&amp;($A329+9/24),tData[SEHTrajectPeriodeDatumTijdTotEnMet],"&gt;"&amp;($A329+9/24),tData[Langligger01],1)</f>
        <v/>
      </c>
      <c r="N329" s="20">
        <f>COUNTIFS(tData[SEHTrajectPeriodeDatumTijdVan],"&lt;="&amp;($A329+10/24),tData[SEHTrajectPeriodeDatumTijdTotEnMet],"&gt;"&amp;($A329+10/24),tData[Langligger01],1)</f>
        <v/>
      </c>
      <c r="O329" s="20">
        <f>COUNTIFS(tData[SEHTrajectPeriodeDatumTijdVan],"&lt;="&amp;($A329+11/24),tData[SEHTrajectPeriodeDatumTijdTotEnMet],"&gt;"&amp;($A329+11/24),tData[Langligger01],1)</f>
        <v/>
      </c>
      <c r="P329" s="20">
        <f>COUNTIFS(tData[SEHTrajectPeriodeDatumTijdVan],"&lt;="&amp;($A329+12/24),tData[SEHTrajectPeriodeDatumTijdTotEnMet],"&gt;"&amp;($A329+12/24),tData[Langligger01],1)</f>
        <v/>
      </c>
      <c r="Q329" s="20">
        <f>COUNTIFS(tData[SEHTrajectPeriodeDatumTijdVan],"&lt;="&amp;($A329+13/24),tData[SEHTrajectPeriodeDatumTijdTotEnMet],"&gt;"&amp;($A329+13/24),tData[Langligger01],1)</f>
        <v/>
      </c>
      <c r="R329" s="20">
        <f>COUNTIFS(tData[SEHTrajectPeriodeDatumTijdVan],"&lt;="&amp;($A329+14/24),tData[SEHTrajectPeriodeDatumTijdTotEnMet],"&gt;"&amp;($A329+14/24),tData[Langligger01],1)</f>
        <v/>
      </c>
      <c r="S329" s="20">
        <f>COUNTIFS(tData[SEHTrajectPeriodeDatumTijdVan],"&lt;="&amp;($A329+15/24),tData[SEHTrajectPeriodeDatumTijdTotEnMet],"&gt;"&amp;($A329+15/24),tData[Langligger01],1)</f>
        <v/>
      </c>
      <c r="T329" s="20">
        <f>COUNTIFS(tData[SEHTrajectPeriodeDatumTijdVan],"&lt;="&amp;($A329+16/24),tData[SEHTrajectPeriodeDatumTijdTotEnMet],"&gt;"&amp;($A329+16/24),tData[Langligger01],1)</f>
        <v/>
      </c>
      <c r="U329" s="20">
        <f>COUNTIFS(tData[SEHTrajectPeriodeDatumTijdVan],"&lt;="&amp;($A329+17/24),tData[SEHTrajectPeriodeDatumTijdTotEnMet],"&gt;"&amp;($A329+17/24),tData[Langligger01],1)</f>
        <v/>
      </c>
      <c r="V329" s="20">
        <f>COUNTIFS(tData[SEHTrajectPeriodeDatumTijdVan],"&lt;="&amp;($A329+18/24),tData[SEHTrajectPeriodeDatumTijdTotEnMet],"&gt;"&amp;($A329+18/24),tData[Langligger01],1)</f>
        <v/>
      </c>
      <c r="W329" s="20">
        <f>COUNTIFS(tData[SEHTrajectPeriodeDatumTijdVan],"&lt;="&amp;($A329+19/24),tData[SEHTrajectPeriodeDatumTijdTotEnMet],"&gt;"&amp;($A329+19/24),tData[Langligger01],1)</f>
        <v/>
      </c>
      <c r="X329" s="20">
        <f>COUNTIFS(tData[SEHTrajectPeriodeDatumTijdVan],"&lt;="&amp;($A329+20/24),tData[SEHTrajectPeriodeDatumTijdTotEnMet],"&gt;"&amp;($A329+20/24),tData[Langligger01],1)</f>
        <v/>
      </c>
      <c r="Y329" s="20">
        <f>COUNTIFS(tData[SEHTrajectPeriodeDatumTijdVan],"&lt;="&amp;($A329+21/24),tData[SEHTrajectPeriodeDatumTijdTotEnMet],"&gt;"&amp;($A329+21/24),tData[Langligger01],1)</f>
        <v/>
      </c>
      <c r="Z329" s="20">
        <f>COUNTIFS(tData[SEHTrajectPeriodeDatumTijdVan],"&lt;="&amp;($A329+22/24),tData[SEHTrajectPeriodeDatumTijdTotEnMet],"&gt;"&amp;($A329+22/24),tData[Langligger01],1)</f>
        <v/>
      </c>
      <c r="AA329" s="20">
        <f>COUNTIFS(tData[SEHTrajectPeriodeDatumTijdVan],"&lt;="&amp;($A329+23/24),tData[SEHTrajectPeriodeDatumTijdTotEnMet],"&gt;"&amp;($A329+23/24),tData[Langligger01],1)</f>
        <v/>
      </c>
    </row>
    <row r="330">
      <c r="A330" s="19" t="n">
        <v>45618</v>
      </c>
      <c r="B330" s="15">
        <f>WEEKDAY($A330,2)</f>
        <v/>
      </c>
      <c r="C330" s="15">
        <f>IF(AND($A330&gt;=INT(Instellingen!$B$5),$A330&lt;=INT(Instellingen!$B$6)),1,0)</f>
        <v/>
      </c>
      <c r="D330" s="20">
        <f>COUNTIFS(tData[SEHTrajectPeriodeDatumTijdVan],"&lt;="&amp;($A330+0/24),tData[SEHTrajectPeriodeDatumTijdTotEnMet],"&gt;"&amp;($A330+0/24),tData[Langligger01],1)</f>
        <v/>
      </c>
      <c r="E330" s="20">
        <f>COUNTIFS(tData[SEHTrajectPeriodeDatumTijdVan],"&lt;="&amp;($A330+1/24),tData[SEHTrajectPeriodeDatumTijdTotEnMet],"&gt;"&amp;($A330+1/24),tData[Langligger01],1)</f>
        <v/>
      </c>
      <c r="F330" s="20">
        <f>COUNTIFS(tData[SEHTrajectPeriodeDatumTijdVan],"&lt;="&amp;($A330+2/24),tData[SEHTrajectPeriodeDatumTijdTotEnMet],"&gt;"&amp;($A330+2/24),tData[Langligger01],1)</f>
        <v/>
      </c>
      <c r="G330" s="20">
        <f>COUNTIFS(tData[SEHTrajectPeriodeDatumTijdVan],"&lt;="&amp;($A330+3/24),tData[SEHTrajectPeriodeDatumTijdTotEnMet],"&gt;"&amp;($A330+3/24),tData[Langligger01],1)</f>
        <v/>
      </c>
      <c r="H330" s="20">
        <f>COUNTIFS(tData[SEHTrajectPeriodeDatumTijdVan],"&lt;="&amp;($A330+4/24),tData[SEHTrajectPeriodeDatumTijdTotEnMet],"&gt;"&amp;($A330+4/24),tData[Langligger01],1)</f>
        <v/>
      </c>
      <c r="I330" s="20">
        <f>COUNTIFS(tData[SEHTrajectPeriodeDatumTijdVan],"&lt;="&amp;($A330+5/24),tData[SEHTrajectPeriodeDatumTijdTotEnMet],"&gt;"&amp;($A330+5/24),tData[Langligger01],1)</f>
        <v/>
      </c>
      <c r="J330" s="20">
        <f>COUNTIFS(tData[SEHTrajectPeriodeDatumTijdVan],"&lt;="&amp;($A330+6/24),tData[SEHTrajectPeriodeDatumTijdTotEnMet],"&gt;"&amp;($A330+6/24),tData[Langligger01],1)</f>
        <v/>
      </c>
      <c r="K330" s="20">
        <f>COUNTIFS(tData[SEHTrajectPeriodeDatumTijdVan],"&lt;="&amp;($A330+7/24),tData[SEHTrajectPeriodeDatumTijdTotEnMet],"&gt;"&amp;($A330+7/24),tData[Langligger01],1)</f>
        <v/>
      </c>
      <c r="L330" s="20">
        <f>COUNTIFS(tData[SEHTrajectPeriodeDatumTijdVan],"&lt;="&amp;($A330+8/24),tData[SEHTrajectPeriodeDatumTijdTotEnMet],"&gt;"&amp;($A330+8/24),tData[Langligger01],1)</f>
        <v/>
      </c>
      <c r="M330" s="20">
        <f>COUNTIFS(tData[SEHTrajectPeriodeDatumTijdVan],"&lt;="&amp;($A330+9/24),tData[SEHTrajectPeriodeDatumTijdTotEnMet],"&gt;"&amp;($A330+9/24),tData[Langligger01],1)</f>
        <v/>
      </c>
      <c r="N330" s="20">
        <f>COUNTIFS(tData[SEHTrajectPeriodeDatumTijdVan],"&lt;="&amp;($A330+10/24),tData[SEHTrajectPeriodeDatumTijdTotEnMet],"&gt;"&amp;($A330+10/24),tData[Langligger01],1)</f>
        <v/>
      </c>
      <c r="O330" s="20">
        <f>COUNTIFS(tData[SEHTrajectPeriodeDatumTijdVan],"&lt;="&amp;($A330+11/24),tData[SEHTrajectPeriodeDatumTijdTotEnMet],"&gt;"&amp;($A330+11/24),tData[Langligger01],1)</f>
        <v/>
      </c>
      <c r="P330" s="20">
        <f>COUNTIFS(tData[SEHTrajectPeriodeDatumTijdVan],"&lt;="&amp;($A330+12/24),tData[SEHTrajectPeriodeDatumTijdTotEnMet],"&gt;"&amp;($A330+12/24),tData[Langligger01],1)</f>
        <v/>
      </c>
      <c r="Q330" s="20">
        <f>COUNTIFS(tData[SEHTrajectPeriodeDatumTijdVan],"&lt;="&amp;($A330+13/24),tData[SEHTrajectPeriodeDatumTijdTotEnMet],"&gt;"&amp;($A330+13/24),tData[Langligger01],1)</f>
        <v/>
      </c>
      <c r="R330" s="20">
        <f>COUNTIFS(tData[SEHTrajectPeriodeDatumTijdVan],"&lt;="&amp;($A330+14/24),tData[SEHTrajectPeriodeDatumTijdTotEnMet],"&gt;"&amp;($A330+14/24),tData[Langligger01],1)</f>
        <v/>
      </c>
      <c r="S330" s="20">
        <f>COUNTIFS(tData[SEHTrajectPeriodeDatumTijdVan],"&lt;="&amp;($A330+15/24),tData[SEHTrajectPeriodeDatumTijdTotEnMet],"&gt;"&amp;($A330+15/24),tData[Langligger01],1)</f>
        <v/>
      </c>
      <c r="T330" s="20">
        <f>COUNTIFS(tData[SEHTrajectPeriodeDatumTijdVan],"&lt;="&amp;($A330+16/24),tData[SEHTrajectPeriodeDatumTijdTotEnMet],"&gt;"&amp;($A330+16/24),tData[Langligger01],1)</f>
        <v/>
      </c>
      <c r="U330" s="20">
        <f>COUNTIFS(tData[SEHTrajectPeriodeDatumTijdVan],"&lt;="&amp;($A330+17/24),tData[SEHTrajectPeriodeDatumTijdTotEnMet],"&gt;"&amp;($A330+17/24),tData[Langligger01],1)</f>
        <v/>
      </c>
      <c r="V330" s="20">
        <f>COUNTIFS(tData[SEHTrajectPeriodeDatumTijdVan],"&lt;="&amp;($A330+18/24),tData[SEHTrajectPeriodeDatumTijdTotEnMet],"&gt;"&amp;($A330+18/24),tData[Langligger01],1)</f>
        <v/>
      </c>
      <c r="W330" s="20">
        <f>COUNTIFS(tData[SEHTrajectPeriodeDatumTijdVan],"&lt;="&amp;($A330+19/24),tData[SEHTrajectPeriodeDatumTijdTotEnMet],"&gt;"&amp;($A330+19/24),tData[Langligger01],1)</f>
        <v/>
      </c>
      <c r="X330" s="20">
        <f>COUNTIFS(tData[SEHTrajectPeriodeDatumTijdVan],"&lt;="&amp;($A330+20/24),tData[SEHTrajectPeriodeDatumTijdTotEnMet],"&gt;"&amp;($A330+20/24),tData[Langligger01],1)</f>
        <v/>
      </c>
      <c r="Y330" s="20">
        <f>COUNTIFS(tData[SEHTrajectPeriodeDatumTijdVan],"&lt;="&amp;($A330+21/24),tData[SEHTrajectPeriodeDatumTijdTotEnMet],"&gt;"&amp;($A330+21/24),tData[Langligger01],1)</f>
        <v/>
      </c>
      <c r="Z330" s="20">
        <f>COUNTIFS(tData[SEHTrajectPeriodeDatumTijdVan],"&lt;="&amp;($A330+22/24),tData[SEHTrajectPeriodeDatumTijdTotEnMet],"&gt;"&amp;($A330+22/24),tData[Langligger01],1)</f>
        <v/>
      </c>
      <c r="AA330" s="20">
        <f>COUNTIFS(tData[SEHTrajectPeriodeDatumTijdVan],"&lt;="&amp;($A330+23/24),tData[SEHTrajectPeriodeDatumTijdTotEnMet],"&gt;"&amp;($A330+23/24),tData[Langligger01],1)</f>
        <v/>
      </c>
    </row>
    <row r="331">
      <c r="A331" s="19" t="n">
        <v>45619</v>
      </c>
      <c r="B331" s="15">
        <f>WEEKDAY($A331,2)</f>
        <v/>
      </c>
      <c r="C331" s="15">
        <f>IF(AND($A331&gt;=INT(Instellingen!$B$5),$A331&lt;=INT(Instellingen!$B$6)),1,0)</f>
        <v/>
      </c>
      <c r="D331" s="20">
        <f>COUNTIFS(tData[SEHTrajectPeriodeDatumTijdVan],"&lt;="&amp;($A331+0/24),tData[SEHTrajectPeriodeDatumTijdTotEnMet],"&gt;"&amp;($A331+0/24),tData[Langligger01],1)</f>
        <v/>
      </c>
      <c r="E331" s="20">
        <f>COUNTIFS(tData[SEHTrajectPeriodeDatumTijdVan],"&lt;="&amp;($A331+1/24),tData[SEHTrajectPeriodeDatumTijdTotEnMet],"&gt;"&amp;($A331+1/24),tData[Langligger01],1)</f>
        <v/>
      </c>
      <c r="F331" s="20">
        <f>COUNTIFS(tData[SEHTrajectPeriodeDatumTijdVan],"&lt;="&amp;($A331+2/24),tData[SEHTrajectPeriodeDatumTijdTotEnMet],"&gt;"&amp;($A331+2/24),tData[Langligger01],1)</f>
        <v/>
      </c>
      <c r="G331" s="20">
        <f>COUNTIFS(tData[SEHTrajectPeriodeDatumTijdVan],"&lt;="&amp;($A331+3/24),tData[SEHTrajectPeriodeDatumTijdTotEnMet],"&gt;"&amp;($A331+3/24),tData[Langligger01],1)</f>
        <v/>
      </c>
      <c r="H331" s="20">
        <f>COUNTIFS(tData[SEHTrajectPeriodeDatumTijdVan],"&lt;="&amp;($A331+4/24),tData[SEHTrajectPeriodeDatumTijdTotEnMet],"&gt;"&amp;($A331+4/24),tData[Langligger01],1)</f>
        <v/>
      </c>
      <c r="I331" s="20">
        <f>COUNTIFS(tData[SEHTrajectPeriodeDatumTijdVan],"&lt;="&amp;($A331+5/24),tData[SEHTrajectPeriodeDatumTijdTotEnMet],"&gt;"&amp;($A331+5/24),tData[Langligger01],1)</f>
        <v/>
      </c>
      <c r="J331" s="20">
        <f>COUNTIFS(tData[SEHTrajectPeriodeDatumTijdVan],"&lt;="&amp;($A331+6/24),tData[SEHTrajectPeriodeDatumTijdTotEnMet],"&gt;"&amp;($A331+6/24),tData[Langligger01],1)</f>
        <v/>
      </c>
      <c r="K331" s="20">
        <f>COUNTIFS(tData[SEHTrajectPeriodeDatumTijdVan],"&lt;="&amp;($A331+7/24),tData[SEHTrajectPeriodeDatumTijdTotEnMet],"&gt;"&amp;($A331+7/24),tData[Langligger01],1)</f>
        <v/>
      </c>
      <c r="L331" s="20">
        <f>COUNTIFS(tData[SEHTrajectPeriodeDatumTijdVan],"&lt;="&amp;($A331+8/24),tData[SEHTrajectPeriodeDatumTijdTotEnMet],"&gt;"&amp;($A331+8/24),tData[Langligger01],1)</f>
        <v/>
      </c>
      <c r="M331" s="20">
        <f>COUNTIFS(tData[SEHTrajectPeriodeDatumTijdVan],"&lt;="&amp;($A331+9/24),tData[SEHTrajectPeriodeDatumTijdTotEnMet],"&gt;"&amp;($A331+9/24),tData[Langligger01],1)</f>
        <v/>
      </c>
      <c r="N331" s="20">
        <f>COUNTIFS(tData[SEHTrajectPeriodeDatumTijdVan],"&lt;="&amp;($A331+10/24),tData[SEHTrajectPeriodeDatumTijdTotEnMet],"&gt;"&amp;($A331+10/24),tData[Langligger01],1)</f>
        <v/>
      </c>
      <c r="O331" s="20">
        <f>COUNTIFS(tData[SEHTrajectPeriodeDatumTijdVan],"&lt;="&amp;($A331+11/24),tData[SEHTrajectPeriodeDatumTijdTotEnMet],"&gt;"&amp;($A331+11/24),tData[Langligger01],1)</f>
        <v/>
      </c>
      <c r="P331" s="20">
        <f>COUNTIFS(tData[SEHTrajectPeriodeDatumTijdVan],"&lt;="&amp;($A331+12/24),tData[SEHTrajectPeriodeDatumTijdTotEnMet],"&gt;"&amp;($A331+12/24),tData[Langligger01],1)</f>
        <v/>
      </c>
      <c r="Q331" s="20">
        <f>COUNTIFS(tData[SEHTrajectPeriodeDatumTijdVan],"&lt;="&amp;($A331+13/24),tData[SEHTrajectPeriodeDatumTijdTotEnMet],"&gt;"&amp;($A331+13/24),tData[Langligger01],1)</f>
        <v/>
      </c>
      <c r="R331" s="20">
        <f>COUNTIFS(tData[SEHTrajectPeriodeDatumTijdVan],"&lt;="&amp;($A331+14/24),tData[SEHTrajectPeriodeDatumTijdTotEnMet],"&gt;"&amp;($A331+14/24),tData[Langligger01],1)</f>
        <v/>
      </c>
      <c r="S331" s="20">
        <f>COUNTIFS(tData[SEHTrajectPeriodeDatumTijdVan],"&lt;="&amp;($A331+15/24),tData[SEHTrajectPeriodeDatumTijdTotEnMet],"&gt;"&amp;($A331+15/24),tData[Langligger01],1)</f>
        <v/>
      </c>
      <c r="T331" s="20">
        <f>COUNTIFS(tData[SEHTrajectPeriodeDatumTijdVan],"&lt;="&amp;($A331+16/24),tData[SEHTrajectPeriodeDatumTijdTotEnMet],"&gt;"&amp;($A331+16/24),tData[Langligger01],1)</f>
        <v/>
      </c>
      <c r="U331" s="20">
        <f>COUNTIFS(tData[SEHTrajectPeriodeDatumTijdVan],"&lt;="&amp;($A331+17/24),tData[SEHTrajectPeriodeDatumTijdTotEnMet],"&gt;"&amp;($A331+17/24),tData[Langligger01],1)</f>
        <v/>
      </c>
      <c r="V331" s="20">
        <f>COUNTIFS(tData[SEHTrajectPeriodeDatumTijdVan],"&lt;="&amp;($A331+18/24),tData[SEHTrajectPeriodeDatumTijdTotEnMet],"&gt;"&amp;($A331+18/24),tData[Langligger01],1)</f>
        <v/>
      </c>
      <c r="W331" s="20">
        <f>COUNTIFS(tData[SEHTrajectPeriodeDatumTijdVan],"&lt;="&amp;($A331+19/24),tData[SEHTrajectPeriodeDatumTijdTotEnMet],"&gt;"&amp;($A331+19/24),tData[Langligger01],1)</f>
        <v/>
      </c>
      <c r="X331" s="20">
        <f>COUNTIFS(tData[SEHTrajectPeriodeDatumTijdVan],"&lt;="&amp;($A331+20/24),tData[SEHTrajectPeriodeDatumTijdTotEnMet],"&gt;"&amp;($A331+20/24),tData[Langligger01],1)</f>
        <v/>
      </c>
      <c r="Y331" s="20">
        <f>COUNTIFS(tData[SEHTrajectPeriodeDatumTijdVan],"&lt;="&amp;($A331+21/24),tData[SEHTrajectPeriodeDatumTijdTotEnMet],"&gt;"&amp;($A331+21/24),tData[Langligger01],1)</f>
        <v/>
      </c>
      <c r="Z331" s="20">
        <f>COUNTIFS(tData[SEHTrajectPeriodeDatumTijdVan],"&lt;="&amp;($A331+22/24),tData[SEHTrajectPeriodeDatumTijdTotEnMet],"&gt;"&amp;($A331+22/24),tData[Langligger01],1)</f>
        <v/>
      </c>
      <c r="AA331" s="20">
        <f>COUNTIFS(tData[SEHTrajectPeriodeDatumTijdVan],"&lt;="&amp;($A331+23/24),tData[SEHTrajectPeriodeDatumTijdTotEnMet],"&gt;"&amp;($A331+23/24),tData[Langligger01],1)</f>
        <v/>
      </c>
    </row>
    <row r="332">
      <c r="A332" s="19" t="n">
        <v>45620</v>
      </c>
      <c r="B332" s="15">
        <f>WEEKDAY($A332,2)</f>
        <v/>
      </c>
      <c r="C332" s="15">
        <f>IF(AND($A332&gt;=INT(Instellingen!$B$5),$A332&lt;=INT(Instellingen!$B$6)),1,0)</f>
        <v/>
      </c>
      <c r="D332" s="20">
        <f>COUNTIFS(tData[SEHTrajectPeriodeDatumTijdVan],"&lt;="&amp;($A332+0/24),tData[SEHTrajectPeriodeDatumTijdTotEnMet],"&gt;"&amp;($A332+0/24),tData[Langligger01],1)</f>
        <v/>
      </c>
      <c r="E332" s="20">
        <f>COUNTIFS(tData[SEHTrajectPeriodeDatumTijdVan],"&lt;="&amp;($A332+1/24),tData[SEHTrajectPeriodeDatumTijdTotEnMet],"&gt;"&amp;($A332+1/24),tData[Langligger01],1)</f>
        <v/>
      </c>
      <c r="F332" s="20">
        <f>COUNTIFS(tData[SEHTrajectPeriodeDatumTijdVan],"&lt;="&amp;($A332+2/24),tData[SEHTrajectPeriodeDatumTijdTotEnMet],"&gt;"&amp;($A332+2/24),tData[Langligger01],1)</f>
        <v/>
      </c>
      <c r="G332" s="20">
        <f>COUNTIFS(tData[SEHTrajectPeriodeDatumTijdVan],"&lt;="&amp;($A332+3/24),tData[SEHTrajectPeriodeDatumTijdTotEnMet],"&gt;"&amp;($A332+3/24),tData[Langligger01],1)</f>
        <v/>
      </c>
      <c r="H332" s="20">
        <f>COUNTIFS(tData[SEHTrajectPeriodeDatumTijdVan],"&lt;="&amp;($A332+4/24),tData[SEHTrajectPeriodeDatumTijdTotEnMet],"&gt;"&amp;($A332+4/24),tData[Langligger01],1)</f>
        <v/>
      </c>
      <c r="I332" s="20">
        <f>COUNTIFS(tData[SEHTrajectPeriodeDatumTijdVan],"&lt;="&amp;($A332+5/24),tData[SEHTrajectPeriodeDatumTijdTotEnMet],"&gt;"&amp;($A332+5/24),tData[Langligger01],1)</f>
        <v/>
      </c>
      <c r="J332" s="20">
        <f>COUNTIFS(tData[SEHTrajectPeriodeDatumTijdVan],"&lt;="&amp;($A332+6/24),tData[SEHTrajectPeriodeDatumTijdTotEnMet],"&gt;"&amp;($A332+6/24),tData[Langligger01],1)</f>
        <v/>
      </c>
      <c r="K332" s="20">
        <f>COUNTIFS(tData[SEHTrajectPeriodeDatumTijdVan],"&lt;="&amp;($A332+7/24),tData[SEHTrajectPeriodeDatumTijdTotEnMet],"&gt;"&amp;($A332+7/24),tData[Langligger01],1)</f>
        <v/>
      </c>
      <c r="L332" s="20">
        <f>COUNTIFS(tData[SEHTrajectPeriodeDatumTijdVan],"&lt;="&amp;($A332+8/24),tData[SEHTrajectPeriodeDatumTijdTotEnMet],"&gt;"&amp;($A332+8/24),tData[Langligger01],1)</f>
        <v/>
      </c>
      <c r="M332" s="20">
        <f>COUNTIFS(tData[SEHTrajectPeriodeDatumTijdVan],"&lt;="&amp;($A332+9/24),tData[SEHTrajectPeriodeDatumTijdTotEnMet],"&gt;"&amp;($A332+9/24),tData[Langligger01],1)</f>
        <v/>
      </c>
      <c r="N332" s="20">
        <f>COUNTIFS(tData[SEHTrajectPeriodeDatumTijdVan],"&lt;="&amp;($A332+10/24),tData[SEHTrajectPeriodeDatumTijdTotEnMet],"&gt;"&amp;($A332+10/24),tData[Langligger01],1)</f>
        <v/>
      </c>
      <c r="O332" s="20">
        <f>COUNTIFS(tData[SEHTrajectPeriodeDatumTijdVan],"&lt;="&amp;($A332+11/24),tData[SEHTrajectPeriodeDatumTijdTotEnMet],"&gt;"&amp;($A332+11/24),tData[Langligger01],1)</f>
        <v/>
      </c>
      <c r="P332" s="20">
        <f>COUNTIFS(tData[SEHTrajectPeriodeDatumTijdVan],"&lt;="&amp;($A332+12/24),tData[SEHTrajectPeriodeDatumTijdTotEnMet],"&gt;"&amp;($A332+12/24),tData[Langligger01],1)</f>
        <v/>
      </c>
      <c r="Q332" s="20">
        <f>COUNTIFS(tData[SEHTrajectPeriodeDatumTijdVan],"&lt;="&amp;($A332+13/24),tData[SEHTrajectPeriodeDatumTijdTotEnMet],"&gt;"&amp;($A332+13/24),tData[Langligger01],1)</f>
        <v/>
      </c>
      <c r="R332" s="20">
        <f>COUNTIFS(tData[SEHTrajectPeriodeDatumTijdVan],"&lt;="&amp;($A332+14/24),tData[SEHTrajectPeriodeDatumTijdTotEnMet],"&gt;"&amp;($A332+14/24),tData[Langligger01],1)</f>
        <v/>
      </c>
      <c r="S332" s="20">
        <f>COUNTIFS(tData[SEHTrajectPeriodeDatumTijdVan],"&lt;="&amp;($A332+15/24),tData[SEHTrajectPeriodeDatumTijdTotEnMet],"&gt;"&amp;($A332+15/24),tData[Langligger01],1)</f>
        <v/>
      </c>
      <c r="T332" s="20">
        <f>COUNTIFS(tData[SEHTrajectPeriodeDatumTijdVan],"&lt;="&amp;($A332+16/24),tData[SEHTrajectPeriodeDatumTijdTotEnMet],"&gt;"&amp;($A332+16/24),tData[Langligger01],1)</f>
        <v/>
      </c>
      <c r="U332" s="20">
        <f>COUNTIFS(tData[SEHTrajectPeriodeDatumTijdVan],"&lt;="&amp;($A332+17/24),tData[SEHTrajectPeriodeDatumTijdTotEnMet],"&gt;"&amp;($A332+17/24),tData[Langligger01],1)</f>
        <v/>
      </c>
      <c r="V332" s="20">
        <f>COUNTIFS(tData[SEHTrajectPeriodeDatumTijdVan],"&lt;="&amp;($A332+18/24),tData[SEHTrajectPeriodeDatumTijdTotEnMet],"&gt;"&amp;($A332+18/24),tData[Langligger01],1)</f>
        <v/>
      </c>
      <c r="W332" s="20">
        <f>COUNTIFS(tData[SEHTrajectPeriodeDatumTijdVan],"&lt;="&amp;($A332+19/24),tData[SEHTrajectPeriodeDatumTijdTotEnMet],"&gt;"&amp;($A332+19/24),tData[Langligger01],1)</f>
        <v/>
      </c>
      <c r="X332" s="20">
        <f>COUNTIFS(tData[SEHTrajectPeriodeDatumTijdVan],"&lt;="&amp;($A332+20/24),tData[SEHTrajectPeriodeDatumTijdTotEnMet],"&gt;"&amp;($A332+20/24),tData[Langligger01],1)</f>
        <v/>
      </c>
      <c r="Y332" s="20">
        <f>COUNTIFS(tData[SEHTrajectPeriodeDatumTijdVan],"&lt;="&amp;($A332+21/24),tData[SEHTrajectPeriodeDatumTijdTotEnMet],"&gt;"&amp;($A332+21/24),tData[Langligger01],1)</f>
        <v/>
      </c>
      <c r="Z332" s="20">
        <f>COUNTIFS(tData[SEHTrajectPeriodeDatumTijdVan],"&lt;="&amp;($A332+22/24),tData[SEHTrajectPeriodeDatumTijdTotEnMet],"&gt;"&amp;($A332+22/24),tData[Langligger01],1)</f>
        <v/>
      </c>
      <c r="AA332" s="20">
        <f>COUNTIFS(tData[SEHTrajectPeriodeDatumTijdVan],"&lt;="&amp;($A332+23/24),tData[SEHTrajectPeriodeDatumTijdTotEnMet],"&gt;"&amp;($A332+23/24),tData[Langligger01],1)</f>
        <v/>
      </c>
    </row>
    <row r="333">
      <c r="A333" s="19" t="n">
        <v>45621</v>
      </c>
      <c r="B333" s="15">
        <f>WEEKDAY($A333,2)</f>
        <v/>
      </c>
      <c r="C333" s="15">
        <f>IF(AND($A333&gt;=INT(Instellingen!$B$5),$A333&lt;=INT(Instellingen!$B$6)),1,0)</f>
        <v/>
      </c>
      <c r="D333" s="20">
        <f>COUNTIFS(tData[SEHTrajectPeriodeDatumTijdVan],"&lt;="&amp;($A333+0/24),tData[SEHTrajectPeriodeDatumTijdTotEnMet],"&gt;"&amp;($A333+0/24),tData[Langligger01],1)</f>
        <v/>
      </c>
      <c r="E333" s="20">
        <f>COUNTIFS(tData[SEHTrajectPeriodeDatumTijdVan],"&lt;="&amp;($A333+1/24),tData[SEHTrajectPeriodeDatumTijdTotEnMet],"&gt;"&amp;($A333+1/24),tData[Langligger01],1)</f>
        <v/>
      </c>
      <c r="F333" s="20">
        <f>COUNTIFS(tData[SEHTrajectPeriodeDatumTijdVan],"&lt;="&amp;($A333+2/24),tData[SEHTrajectPeriodeDatumTijdTotEnMet],"&gt;"&amp;($A333+2/24),tData[Langligger01],1)</f>
        <v/>
      </c>
      <c r="G333" s="20">
        <f>COUNTIFS(tData[SEHTrajectPeriodeDatumTijdVan],"&lt;="&amp;($A333+3/24),tData[SEHTrajectPeriodeDatumTijdTotEnMet],"&gt;"&amp;($A333+3/24),tData[Langligger01],1)</f>
        <v/>
      </c>
      <c r="H333" s="20">
        <f>COUNTIFS(tData[SEHTrajectPeriodeDatumTijdVan],"&lt;="&amp;($A333+4/24),tData[SEHTrajectPeriodeDatumTijdTotEnMet],"&gt;"&amp;($A333+4/24),tData[Langligger01],1)</f>
        <v/>
      </c>
      <c r="I333" s="20">
        <f>COUNTIFS(tData[SEHTrajectPeriodeDatumTijdVan],"&lt;="&amp;($A333+5/24),tData[SEHTrajectPeriodeDatumTijdTotEnMet],"&gt;"&amp;($A333+5/24),tData[Langligger01],1)</f>
        <v/>
      </c>
      <c r="J333" s="20">
        <f>COUNTIFS(tData[SEHTrajectPeriodeDatumTijdVan],"&lt;="&amp;($A333+6/24),tData[SEHTrajectPeriodeDatumTijdTotEnMet],"&gt;"&amp;($A333+6/24),tData[Langligger01],1)</f>
        <v/>
      </c>
      <c r="K333" s="20">
        <f>COUNTIFS(tData[SEHTrajectPeriodeDatumTijdVan],"&lt;="&amp;($A333+7/24),tData[SEHTrajectPeriodeDatumTijdTotEnMet],"&gt;"&amp;($A333+7/24),tData[Langligger01],1)</f>
        <v/>
      </c>
      <c r="L333" s="20">
        <f>COUNTIFS(tData[SEHTrajectPeriodeDatumTijdVan],"&lt;="&amp;($A333+8/24),tData[SEHTrajectPeriodeDatumTijdTotEnMet],"&gt;"&amp;($A333+8/24),tData[Langligger01],1)</f>
        <v/>
      </c>
      <c r="M333" s="20">
        <f>COUNTIFS(tData[SEHTrajectPeriodeDatumTijdVan],"&lt;="&amp;($A333+9/24),tData[SEHTrajectPeriodeDatumTijdTotEnMet],"&gt;"&amp;($A333+9/24),tData[Langligger01],1)</f>
        <v/>
      </c>
      <c r="N333" s="20">
        <f>COUNTIFS(tData[SEHTrajectPeriodeDatumTijdVan],"&lt;="&amp;($A333+10/24),tData[SEHTrajectPeriodeDatumTijdTotEnMet],"&gt;"&amp;($A333+10/24),tData[Langligger01],1)</f>
        <v/>
      </c>
      <c r="O333" s="20">
        <f>COUNTIFS(tData[SEHTrajectPeriodeDatumTijdVan],"&lt;="&amp;($A333+11/24),tData[SEHTrajectPeriodeDatumTijdTotEnMet],"&gt;"&amp;($A333+11/24),tData[Langligger01],1)</f>
        <v/>
      </c>
      <c r="P333" s="20">
        <f>COUNTIFS(tData[SEHTrajectPeriodeDatumTijdVan],"&lt;="&amp;($A333+12/24),tData[SEHTrajectPeriodeDatumTijdTotEnMet],"&gt;"&amp;($A333+12/24),tData[Langligger01],1)</f>
        <v/>
      </c>
      <c r="Q333" s="20">
        <f>COUNTIFS(tData[SEHTrajectPeriodeDatumTijdVan],"&lt;="&amp;($A333+13/24),tData[SEHTrajectPeriodeDatumTijdTotEnMet],"&gt;"&amp;($A333+13/24),tData[Langligger01],1)</f>
        <v/>
      </c>
      <c r="R333" s="20">
        <f>COUNTIFS(tData[SEHTrajectPeriodeDatumTijdVan],"&lt;="&amp;($A333+14/24),tData[SEHTrajectPeriodeDatumTijdTotEnMet],"&gt;"&amp;($A333+14/24),tData[Langligger01],1)</f>
        <v/>
      </c>
      <c r="S333" s="20">
        <f>COUNTIFS(tData[SEHTrajectPeriodeDatumTijdVan],"&lt;="&amp;($A333+15/24),tData[SEHTrajectPeriodeDatumTijdTotEnMet],"&gt;"&amp;($A333+15/24),tData[Langligger01],1)</f>
        <v/>
      </c>
      <c r="T333" s="20">
        <f>COUNTIFS(tData[SEHTrajectPeriodeDatumTijdVan],"&lt;="&amp;($A333+16/24),tData[SEHTrajectPeriodeDatumTijdTotEnMet],"&gt;"&amp;($A333+16/24),tData[Langligger01],1)</f>
        <v/>
      </c>
      <c r="U333" s="20">
        <f>COUNTIFS(tData[SEHTrajectPeriodeDatumTijdVan],"&lt;="&amp;($A333+17/24),tData[SEHTrajectPeriodeDatumTijdTotEnMet],"&gt;"&amp;($A333+17/24),tData[Langligger01],1)</f>
        <v/>
      </c>
      <c r="V333" s="20">
        <f>COUNTIFS(tData[SEHTrajectPeriodeDatumTijdVan],"&lt;="&amp;($A333+18/24),tData[SEHTrajectPeriodeDatumTijdTotEnMet],"&gt;"&amp;($A333+18/24),tData[Langligger01],1)</f>
        <v/>
      </c>
      <c r="W333" s="20">
        <f>COUNTIFS(tData[SEHTrajectPeriodeDatumTijdVan],"&lt;="&amp;($A333+19/24),tData[SEHTrajectPeriodeDatumTijdTotEnMet],"&gt;"&amp;($A333+19/24),tData[Langligger01],1)</f>
        <v/>
      </c>
      <c r="X333" s="20">
        <f>COUNTIFS(tData[SEHTrajectPeriodeDatumTijdVan],"&lt;="&amp;($A333+20/24),tData[SEHTrajectPeriodeDatumTijdTotEnMet],"&gt;"&amp;($A333+20/24),tData[Langligger01],1)</f>
        <v/>
      </c>
      <c r="Y333" s="20">
        <f>COUNTIFS(tData[SEHTrajectPeriodeDatumTijdVan],"&lt;="&amp;($A333+21/24),tData[SEHTrajectPeriodeDatumTijdTotEnMet],"&gt;"&amp;($A333+21/24),tData[Langligger01],1)</f>
        <v/>
      </c>
      <c r="Z333" s="20">
        <f>COUNTIFS(tData[SEHTrajectPeriodeDatumTijdVan],"&lt;="&amp;($A333+22/24),tData[SEHTrajectPeriodeDatumTijdTotEnMet],"&gt;"&amp;($A333+22/24),tData[Langligger01],1)</f>
        <v/>
      </c>
      <c r="AA333" s="20">
        <f>COUNTIFS(tData[SEHTrajectPeriodeDatumTijdVan],"&lt;="&amp;($A333+23/24),tData[SEHTrajectPeriodeDatumTijdTotEnMet],"&gt;"&amp;($A333+23/24),tData[Langligger01],1)</f>
        <v/>
      </c>
    </row>
    <row r="334">
      <c r="A334" s="19" t="n">
        <v>45622</v>
      </c>
      <c r="B334" s="15">
        <f>WEEKDAY($A334,2)</f>
        <v/>
      </c>
      <c r="C334" s="15">
        <f>IF(AND($A334&gt;=INT(Instellingen!$B$5),$A334&lt;=INT(Instellingen!$B$6)),1,0)</f>
        <v/>
      </c>
      <c r="D334" s="20">
        <f>COUNTIFS(tData[SEHTrajectPeriodeDatumTijdVan],"&lt;="&amp;($A334+0/24),tData[SEHTrajectPeriodeDatumTijdTotEnMet],"&gt;"&amp;($A334+0/24),tData[Langligger01],1)</f>
        <v/>
      </c>
      <c r="E334" s="20">
        <f>COUNTIFS(tData[SEHTrajectPeriodeDatumTijdVan],"&lt;="&amp;($A334+1/24),tData[SEHTrajectPeriodeDatumTijdTotEnMet],"&gt;"&amp;($A334+1/24),tData[Langligger01],1)</f>
        <v/>
      </c>
      <c r="F334" s="20">
        <f>COUNTIFS(tData[SEHTrajectPeriodeDatumTijdVan],"&lt;="&amp;($A334+2/24),tData[SEHTrajectPeriodeDatumTijdTotEnMet],"&gt;"&amp;($A334+2/24),tData[Langligger01],1)</f>
        <v/>
      </c>
      <c r="G334" s="20">
        <f>COUNTIFS(tData[SEHTrajectPeriodeDatumTijdVan],"&lt;="&amp;($A334+3/24),tData[SEHTrajectPeriodeDatumTijdTotEnMet],"&gt;"&amp;($A334+3/24),tData[Langligger01],1)</f>
        <v/>
      </c>
      <c r="H334" s="20">
        <f>COUNTIFS(tData[SEHTrajectPeriodeDatumTijdVan],"&lt;="&amp;($A334+4/24),tData[SEHTrajectPeriodeDatumTijdTotEnMet],"&gt;"&amp;($A334+4/24),tData[Langligger01],1)</f>
        <v/>
      </c>
      <c r="I334" s="20">
        <f>COUNTIFS(tData[SEHTrajectPeriodeDatumTijdVan],"&lt;="&amp;($A334+5/24),tData[SEHTrajectPeriodeDatumTijdTotEnMet],"&gt;"&amp;($A334+5/24),tData[Langligger01],1)</f>
        <v/>
      </c>
      <c r="J334" s="20">
        <f>COUNTIFS(tData[SEHTrajectPeriodeDatumTijdVan],"&lt;="&amp;($A334+6/24),tData[SEHTrajectPeriodeDatumTijdTotEnMet],"&gt;"&amp;($A334+6/24),tData[Langligger01],1)</f>
        <v/>
      </c>
      <c r="K334" s="20">
        <f>COUNTIFS(tData[SEHTrajectPeriodeDatumTijdVan],"&lt;="&amp;($A334+7/24),tData[SEHTrajectPeriodeDatumTijdTotEnMet],"&gt;"&amp;($A334+7/24),tData[Langligger01],1)</f>
        <v/>
      </c>
      <c r="L334" s="20">
        <f>COUNTIFS(tData[SEHTrajectPeriodeDatumTijdVan],"&lt;="&amp;($A334+8/24),tData[SEHTrajectPeriodeDatumTijdTotEnMet],"&gt;"&amp;($A334+8/24),tData[Langligger01],1)</f>
        <v/>
      </c>
      <c r="M334" s="20">
        <f>COUNTIFS(tData[SEHTrajectPeriodeDatumTijdVan],"&lt;="&amp;($A334+9/24),tData[SEHTrajectPeriodeDatumTijdTotEnMet],"&gt;"&amp;($A334+9/24),tData[Langligger01],1)</f>
        <v/>
      </c>
      <c r="N334" s="20">
        <f>COUNTIFS(tData[SEHTrajectPeriodeDatumTijdVan],"&lt;="&amp;($A334+10/24),tData[SEHTrajectPeriodeDatumTijdTotEnMet],"&gt;"&amp;($A334+10/24),tData[Langligger01],1)</f>
        <v/>
      </c>
      <c r="O334" s="20">
        <f>COUNTIFS(tData[SEHTrajectPeriodeDatumTijdVan],"&lt;="&amp;($A334+11/24),tData[SEHTrajectPeriodeDatumTijdTotEnMet],"&gt;"&amp;($A334+11/24),tData[Langligger01],1)</f>
        <v/>
      </c>
      <c r="P334" s="20">
        <f>COUNTIFS(tData[SEHTrajectPeriodeDatumTijdVan],"&lt;="&amp;($A334+12/24),tData[SEHTrajectPeriodeDatumTijdTotEnMet],"&gt;"&amp;($A334+12/24),tData[Langligger01],1)</f>
        <v/>
      </c>
      <c r="Q334" s="20">
        <f>COUNTIFS(tData[SEHTrajectPeriodeDatumTijdVan],"&lt;="&amp;($A334+13/24),tData[SEHTrajectPeriodeDatumTijdTotEnMet],"&gt;"&amp;($A334+13/24),tData[Langligger01],1)</f>
        <v/>
      </c>
      <c r="R334" s="20">
        <f>COUNTIFS(tData[SEHTrajectPeriodeDatumTijdVan],"&lt;="&amp;($A334+14/24),tData[SEHTrajectPeriodeDatumTijdTotEnMet],"&gt;"&amp;($A334+14/24),tData[Langligger01],1)</f>
        <v/>
      </c>
      <c r="S334" s="20">
        <f>COUNTIFS(tData[SEHTrajectPeriodeDatumTijdVan],"&lt;="&amp;($A334+15/24),tData[SEHTrajectPeriodeDatumTijdTotEnMet],"&gt;"&amp;($A334+15/24),tData[Langligger01],1)</f>
        <v/>
      </c>
      <c r="T334" s="20">
        <f>COUNTIFS(tData[SEHTrajectPeriodeDatumTijdVan],"&lt;="&amp;($A334+16/24),tData[SEHTrajectPeriodeDatumTijdTotEnMet],"&gt;"&amp;($A334+16/24),tData[Langligger01],1)</f>
        <v/>
      </c>
      <c r="U334" s="20">
        <f>COUNTIFS(tData[SEHTrajectPeriodeDatumTijdVan],"&lt;="&amp;($A334+17/24),tData[SEHTrajectPeriodeDatumTijdTotEnMet],"&gt;"&amp;($A334+17/24),tData[Langligger01],1)</f>
        <v/>
      </c>
      <c r="V334" s="20">
        <f>COUNTIFS(tData[SEHTrajectPeriodeDatumTijdVan],"&lt;="&amp;($A334+18/24),tData[SEHTrajectPeriodeDatumTijdTotEnMet],"&gt;"&amp;($A334+18/24),tData[Langligger01],1)</f>
        <v/>
      </c>
      <c r="W334" s="20">
        <f>COUNTIFS(tData[SEHTrajectPeriodeDatumTijdVan],"&lt;="&amp;($A334+19/24),tData[SEHTrajectPeriodeDatumTijdTotEnMet],"&gt;"&amp;($A334+19/24),tData[Langligger01],1)</f>
        <v/>
      </c>
      <c r="X334" s="20">
        <f>COUNTIFS(tData[SEHTrajectPeriodeDatumTijdVan],"&lt;="&amp;($A334+20/24),tData[SEHTrajectPeriodeDatumTijdTotEnMet],"&gt;"&amp;($A334+20/24),tData[Langligger01],1)</f>
        <v/>
      </c>
      <c r="Y334" s="20">
        <f>COUNTIFS(tData[SEHTrajectPeriodeDatumTijdVan],"&lt;="&amp;($A334+21/24),tData[SEHTrajectPeriodeDatumTijdTotEnMet],"&gt;"&amp;($A334+21/24),tData[Langligger01],1)</f>
        <v/>
      </c>
      <c r="Z334" s="20">
        <f>COUNTIFS(tData[SEHTrajectPeriodeDatumTijdVan],"&lt;="&amp;($A334+22/24),tData[SEHTrajectPeriodeDatumTijdTotEnMet],"&gt;"&amp;($A334+22/24),tData[Langligger01],1)</f>
        <v/>
      </c>
      <c r="AA334" s="20">
        <f>COUNTIFS(tData[SEHTrajectPeriodeDatumTijdVan],"&lt;="&amp;($A334+23/24),tData[SEHTrajectPeriodeDatumTijdTotEnMet],"&gt;"&amp;($A334+23/24),tData[Langligger01],1)</f>
        <v/>
      </c>
    </row>
    <row r="335">
      <c r="A335" s="19" t="n">
        <v>45623</v>
      </c>
      <c r="B335" s="15">
        <f>WEEKDAY($A335,2)</f>
        <v/>
      </c>
      <c r="C335" s="15">
        <f>IF(AND($A335&gt;=INT(Instellingen!$B$5),$A335&lt;=INT(Instellingen!$B$6)),1,0)</f>
        <v/>
      </c>
      <c r="D335" s="20">
        <f>COUNTIFS(tData[SEHTrajectPeriodeDatumTijdVan],"&lt;="&amp;($A335+0/24),tData[SEHTrajectPeriodeDatumTijdTotEnMet],"&gt;"&amp;($A335+0/24),tData[Langligger01],1)</f>
        <v/>
      </c>
      <c r="E335" s="20">
        <f>COUNTIFS(tData[SEHTrajectPeriodeDatumTijdVan],"&lt;="&amp;($A335+1/24),tData[SEHTrajectPeriodeDatumTijdTotEnMet],"&gt;"&amp;($A335+1/24),tData[Langligger01],1)</f>
        <v/>
      </c>
      <c r="F335" s="20">
        <f>COUNTIFS(tData[SEHTrajectPeriodeDatumTijdVan],"&lt;="&amp;($A335+2/24),tData[SEHTrajectPeriodeDatumTijdTotEnMet],"&gt;"&amp;($A335+2/24),tData[Langligger01],1)</f>
        <v/>
      </c>
      <c r="G335" s="20">
        <f>COUNTIFS(tData[SEHTrajectPeriodeDatumTijdVan],"&lt;="&amp;($A335+3/24),tData[SEHTrajectPeriodeDatumTijdTotEnMet],"&gt;"&amp;($A335+3/24),tData[Langligger01],1)</f>
        <v/>
      </c>
      <c r="H335" s="20">
        <f>COUNTIFS(tData[SEHTrajectPeriodeDatumTijdVan],"&lt;="&amp;($A335+4/24),tData[SEHTrajectPeriodeDatumTijdTotEnMet],"&gt;"&amp;($A335+4/24),tData[Langligger01],1)</f>
        <v/>
      </c>
      <c r="I335" s="20">
        <f>COUNTIFS(tData[SEHTrajectPeriodeDatumTijdVan],"&lt;="&amp;($A335+5/24),tData[SEHTrajectPeriodeDatumTijdTotEnMet],"&gt;"&amp;($A335+5/24),tData[Langligger01],1)</f>
        <v/>
      </c>
      <c r="J335" s="20">
        <f>COUNTIFS(tData[SEHTrajectPeriodeDatumTijdVan],"&lt;="&amp;($A335+6/24),tData[SEHTrajectPeriodeDatumTijdTotEnMet],"&gt;"&amp;($A335+6/24),tData[Langligger01],1)</f>
        <v/>
      </c>
      <c r="K335" s="20">
        <f>COUNTIFS(tData[SEHTrajectPeriodeDatumTijdVan],"&lt;="&amp;($A335+7/24),tData[SEHTrajectPeriodeDatumTijdTotEnMet],"&gt;"&amp;($A335+7/24),tData[Langligger01],1)</f>
        <v/>
      </c>
      <c r="L335" s="20">
        <f>COUNTIFS(tData[SEHTrajectPeriodeDatumTijdVan],"&lt;="&amp;($A335+8/24),tData[SEHTrajectPeriodeDatumTijdTotEnMet],"&gt;"&amp;($A335+8/24),tData[Langligger01],1)</f>
        <v/>
      </c>
      <c r="M335" s="20">
        <f>COUNTIFS(tData[SEHTrajectPeriodeDatumTijdVan],"&lt;="&amp;($A335+9/24),tData[SEHTrajectPeriodeDatumTijdTotEnMet],"&gt;"&amp;($A335+9/24),tData[Langligger01],1)</f>
        <v/>
      </c>
      <c r="N335" s="20">
        <f>COUNTIFS(tData[SEHTrajectPeriodeDatumTijdVan],"&lt;="&amp;($A335+10/24),tData[SEHTrajectPeriodeDatumTijdTotEnMet],"&gt;"&amp;($A335+10/24),tData[Langligger01],1)</f>
        <v/>
      </c>
      <c r="O335" s="20">
        <f>COUNTIFS(tData[SEHTrajectPeriodeDatumTijdVan],"&lt;="&amp;($A335+11/24),tData[SEHTrajectPeriodeDatumTijdTotEnMet],"&gt;"&amp;($A335+11/24),tData[Langligger01],1)</f>
        <v/>
      </c>
      <c r="P335" s="20">
        <f>COUNTIFS(tData[SEHTrajectPeriodeDatumTijdVan],"&lt;="&amp;($A335+12/24),tData[SEHTrajectPeriodeDatumTijdTotEnMet],"&gt;"&amp;($A335+12/24),tData[Langligger01],1)</f>
        <v/>
      </c>
      <c r="Q335" s="20">
        <f>COUNTIFS(tData[SEHTrajectPeriodeDatumTijdVan],"&lt;="&amp;($A335+13/24),tData[SEHTrajectPeriodeDatumTijdTotEnMet],"&gt;"&amp;($A335+13/24),tData[Langligger01],1)</f>
        <v/>
      </c>
      <c r="R335" s="20">
        <f>COUNTIFS(tData[SEHTrajectPeriodeDatumTijdVan],"&lt;="&amp;($A335+14/24),tData[SEHTrajectPeriodeDatumTijdTotEnMet],"&gt;"&amp;($A335+14/24),tData[Langligger01],1)</f>
        <v/>
      </c>
      <c r="S335" s="20">
        <f>COUNTIFS(tData[SEHTrajectPeriodeDatumTijdVan],"&lt;="&amp;($A335+15/24),tData[SEHTrajectPeriodeDatumTijdTotEnMet],"&gt;"&amp;($A335+15/24),tData[Langligger01],1)</f>
        <v/>
      </c>
      <c r="T335" s="20">
        <f>COUNTIFS(tData[SEHTrajectPeriodeDatumTijdVan],"&lt;="&amp;($A335+16/24),tData[SEHTrajectPeriodeDatumTijdTotEnMet],"&gt;"&amp;($A335+16/24),tData[Langligger01],1)</f>
        <v/>
      </c>
      <c r="U335" s="20">
        <f>COUNTIFS(tData[SEHTrajectPeriodeDatumTijdVan],"&lt;="&amp;($A335+17/24),tData[SEHTrajectPeriodeDatumTijdTotEnMet],"&gt;"&amp;($A335+17/24),tData[Langligger01],1)</f>
        <v/>
      </c>
      <c r="V335" s="20">
        <f>COUNTIFS(tData[SEHTrajectPeriodeDatumTijdVan],"&lt;="&amp;($A335+18/24),tData[SEHTrajectPeriodeDatumTijdTotEnMet],"&gt;"&amp;($A335+18/24),tData[Langligger01],1)</f>
        <v/>
      </c>
      <c r="W335" s="20">
        <f>COUNTIFS(tData[SEHTrajectPeriodeDatumTijdVan],"&lt;="&amp;($A335+19/24),tData[SEHTrajectPeriodeDatumTijdTotEnMet],"&gt;"&amp;($A335+19/24),tData[Langligger01],1)</f>
        <v/>
      </c>
      <c r="X335" s="20">
        <f>COUNTIFS(tData[SEHTrajectPeriodeDatumTijdVan],"&lt;="&amp;($A335+20/24),tData[SEHTrajectPeriodeDatumTijdTotEnMet],"&gt;"&amp;($A335+20/24),tData[Langligger01],1)</f>
        <v/>
      </c>
      <c r="Y335" s="20">
        <f>COUNTIFS(tData[SEHTrajectPeriodeDatumTijdVan],"&lt;="&amp;($A335+21/24),tData[SEHTrajectPeriodeDatumTijdTotEnMet],"&gt;"&amp;($A335+21/24),tData[Langligger01],1)</f>
        <v/>
      </c>
      <c r="Z335" s="20">
        <f>COUNTIFS(tData[SEHTrajectPeriodeDatumTijdVan],"&lt;="&amp;($A335+22/24),tData[SEHTrajectPeriodeDatumTijdTotEnMet],"&gt;"&amp;($A335+22/24),tData[Langligger01],1)</f>
        <v/>
      </c>
      <c r="AA335" s="20">
        <f>COUNTIFS(tData[SEHTrajectPeriodeDatumTijdVan],"&lt;="&amp;($A335+23/24),tData[SEHTrajectPeriodeDatumTijdTotEnMet],"&gt;"&amp;($A335+23/24),tData[Langligger01],1)</f>
        <v/>
      </c>
    </row>
    <row r="336">
      <c r="A336" s="19" t="n">
        <v>45624</v>
      </c>
      <c r="B336" s="15">
        <f>WEEKDAY($A336,2)</f>
        <v/>
      </c>
      <c r="C336" s="15">
        <f>IF(AND($A336&gt;=INT(Instellingen!$B$5),$A336&lt;=INT(Instellingen!$B$6)),1,0)</f>
        <v/>
      </c>
      <c r="D336" s="20">
        <f>COUNTIFS(tData[SEHTrajectPeriodeDatumTijdVan],"&lt;="&amp;($A336+0/24),tData[SEHTrajectPeriodeDatumTijdTotEnMet],"&gt;"&amp;($A336+0/24),tData[Langligger01],1)</f>
        <v/>
      </c>
      <c r="E336" s="20">
        <f>COUNTIFS(tData[SEHTrajectPeriodeDatumTijdVan],"&lt;="&amp;($A336+1/24),tData[SEHTrajectPeriodeDatumTijdTotEnMet],"&gt;"&amp;($A336+1/24),tData[Langligger01],1)</f>
        <v/>
      </c>
      <c r="F336" s="20">
        <f>COUNTIFS(tData[SEHTrajectPeriodeDatumTijdVan],"&lt;="&amp;($A336+2/24),tData[SEHTrajectPeriodeDatumTijdTotEnMet],"&gt;"&amp;($A336+2/24),tData[Langligger01],1)</f>
        <v/>
      </c>
      <c r="G336" s="20">
        <f>COUNTIFS(tData[SEHTrajectPeriodeDatumTijdVan],"&lt;="&amp;($A336+3/24),tData[SEHTrajectPeriodeDatumTijdTotEnMet],"&gt;"&amp;($A336+3/24),tData[Langligger01],1)</f>
        <v/>
      </c>
      <c r="H336" s="20">
        <f>COUNTIFS(tData[SEHTrajectPeriodeDatumTijdVan],"&lt;="&amp;($A336+4/24),tData[SEHTrajectPeriodeDatumTijdTotEnMet],"&gt;"&amp;($A336+4/24),tData[Langligger01],1)</f>
        <v/>
      </c>
      <c r="I336" s="20">
        <f>COUNTIFS(tData[SEHTrajectPeriodeDatumTijdVan],"&lt;="&amp;($A336+5/24),tData[SEHTrajectPeriodeDatumTijdTotEnMet],"&gt;"&amp;($A336+5/24),tData[Langligger01],1)</f>
        <v/>
      </c>
      <c r="J336" s="20">
        <f>COUNTIFS(tData[SEHTrajectPeriodeDatumTijdVan],"&lt;="&amp;($A336+6/24),tData[SEHTrajectPeriodeDatumTijdTotEnMet],"&gt;"&amp;($A336+6/24),tData[Langligger01],1)</f>
        <v/>
      </c>
      <c r="K336" s="20">
        <f>COUNTIFS(tData[SEHTrajectPeriodeDatumTijdVan],"&lt;="&amp;($A336+7/24),tData[SEHTrajectPeriodeDatumTijdTotEnMet],"&gt;"&amp;($A336+7/24),tData[Langligger01],1)</f>
        <v/>
      </c>
      <c r="L336" s="20">
        <f>COUNTIFS(tData[SEHTrajectPeriodeDatumTijdVan],"&lt;="&amp;($A336+8/24),tData[SEHTrajectPeriodeDatumTijdTotEnMet],"&gt;"&amp;($A336+8/24),tData[Langligger01],1)</f>
        <v/>
      </c>
      <c r="M336" s="20">
        <f>COUNTIFS(tData[SEHTrajectPeriodeDatumTijdVan],"&lt;="&amp;($A336+9/24),tData[SEHTrajectPeriodeDatumTijdTotEnMet],"&gt;"&amp;($A336+9/24),tData[Langligger01],1)</f>
        <v/>
      </c>
      <c r="N336" s="20">
        <f>COUNTIFS(tData[SEHTrajectPeriodeDatumTijdVan],"&lt;="&amp;($A336+10/24),tData[SEHTrajectPeriodeDatumTijdTotEnMet],"&gt;"&amp;($A336+10/24),tData[Langligger01],1)</f>
        <v/>
      </c>
      <c r="O336" s="20">
        <f>COUNTIFS(tData[SEHTrajectPeriodeDatumTijdVan],"&lt;="&amp;($A336+11/24),tData[SEHTrajectPeriodeDatumTijdTotEnMet],"&gt;"&amp;($A336+11/24),tData[Langligger01],1)</f>
        <v/>
      </c>
      <c r="P336" s="20">
        <f>COUNTIFS(tData[SEHTrajectPeriodeDatumTijdVan],"&lt;="&amp;($A336+12/24),tData[SEHTrajectPeriodeDatumTijdTotEnMet],"&gt;"&amp;($A336+12/24),tData[Langligger01],1)</f>
        <v/>
      </c>
      <c r="Q336" s="20">
        <f>COUNTIFS(tData[SEHTrajectPeriodeDatumTijdVan],"&lt;="&amp;($A336+13/24),tData[SEHTrajectPeriodeDatumTijdTotEnMet],"&gt;"&amp;($A336+13/24),tData[Langligger01],1)</f>
        <v/>
      </c>
      <c r="R336" s="20">
        <f>COUNTIFS(tData[SEHTrajectPeriodeDatumTijdVan],"&lt;="&amp;($A336+14/24),tData[SEHTrajectPeriodeDatumTijdTotEnMet],"&gt;"&amp;($A336+14/24),tData[Langligger01],1)</f>
        <v/>
      </c>
      <c r="S336" s="20">
        <f>COUNTIFS(tData[SEHTrajectPeriodeDatumTijdVan],"&lt;="&amp;($A336+15/24),tData[SEHTrajectPeriodeDatumTijdTotEnMet],"&gt;"&amp;($A336+15/24),tData[Langligger01],1)</f>
        <v/>
      </c>
      <c r="T336" s="20">
        <f>COUNTIFS(tData[SEHTrajectPeriodeDatumTijdVan],"&lt;="&amp;($A336+16/24),tData[SEHTrajectPeriodeDatumTijdTotEnMet],"&gt;"&amp;($A336+16/24),tData[Langligger01],1)</f>
        <v/>
      </c>
      <c r="U336" s="20">
        <f>COUNTIFS(tData[SEHTrajectPeriodeDatumTijdVan],"&lt;="&amp;($A336+17/24),tData[SEHTrajectPeriodeDatumTijdTotEnMet],"&gt;"&amp;($A336+17/24),tData[Langligger01],1)</f>
        <v/>
      </c>
      <c r="V336" s="20">
        <f>COUNTIFS(tData[SEHTrajectPeriodeDatumTijdVan],"&lt;="&amp;($A336+18/24),tData[SEHTrajectPeriodeDatumTijdTotEnMet],"&gt;"&amp;($A336+18/24),tData[Langligger01],1)</f>
        <v/>
      </c>
      <c r="W336" s="20">
        <f>COUNTIFS(tData[SEHTrajectPeriodeDatumTijdVan],"&lt;="&amp;($A336+19/24),tData[SEHTrajectPeriodeDatumTijdTotEnMet],"&gt;"&amp;($A336+19/24),tData[Langligger01],1)</f>
        <v/>
      </c>
      <c r="X336" s="20">
        <f>COUNTIFS(tData[SEHTrajectPeriodeDatumTijdVan],"&lt;="&amp;($A336+20/24),tData[SEHTrajectPeriodeDatumTijdTotEnMet],"&gt;"&amp;($A336+20/24),tData[Langligger01],1)</f>
        <v/>
      </c>
      <c r="Y336" s="20">
        <f>COUNTIFS(tData[SEHTrajectPeriodeDatumTijdVan],"&lt;="&amp;($A336+21/24),tData[SEHTrajectPeriodeDatumTijdTotEnMet],"&gt;"&amp;($A336+21/24),tData[Langligger01],1)</f>
        <v/>
      </c>
      <c r="Z336" s="20">
        <f>COUNTIFS(tData[SEHTrajectPeriodeDatumTijdVan],"&lt;="&amp;($A336+22/24),tData[SEHTrajectPeriodeDatumTijdTotEnMet],"&gt;"&amp;($A336+22/24),tData[Langligger01],1)</f>
        <v/>
      </c>
      <c r="AA336" s="20">
        <f>COUNTIFS(tData[SEHTrajectPeriodeDatumTijdVan],"&lt;="&amp;($A336+23/24),tData[SEHTrajectPeriodeDatumTijdTotEnMet],"&gt;"&amp;($A336+23/24),tData[Langligger01],1)</f>
        <v/>
      </c>
    </row>
    <row r="337">
      <c r="A337" s="19" t="n">
        <v>45625</v>
      </c>
      <c r="B337" s="15">
        <f>WEEKDAY($A337,2)</f>
        <v/>
      </c>
      <c r="C337" s="15">
        <f>IF(AND($A337&gt;=INT(Instellingen!$B$5),$A337&lt;=INT(Instellingen!$B$6)),1,0)</f>
        <v/>
      </c>
      <c r="D337" s="20">
        <f>COUNTIFS(tData[SEHTrajectPeriodeDatumTijdVan],"&lt;="&amp;($A337+0/24),tData[SEHTrajectPeriodeDatumTijdTotEnMet],"&gt;"&amp;($A337+0/24),tData[Langligger01],1)</f>
        <v/>
      </c>
      <c r="E337" s="20">
        <f>COUNTIFS(tData[SEHTrajectPeriodeDatumTijdVan],"&lt;="&amp;($A337+1/24),tData[SEHTrajectPeriodeDatumTijdTotEnMet],"&gt;"&amp;($A337+1/24),tData[Langligger01],1)</f>
        <v/>
      </c>
      <c r="F337" s="20">
        <f>COUNTIFS(tData[SEHTrajectPeriodeDatumTijdVan],"&lt;="&amp;($A337+2/24),tData[SEHTrajectPeriodeDatumTijdTotEnMet],"&gt;"&amp;($A337+2/24),tData[Langligger01],1)</f>
        <v/>
      </c>
      <c r="G337" s="20">
        <f>COUNTIFS(tData[SEHTrajectPeriodeDatumTijdVan],"&lt;="&amp;($A337+3/24),tData[SEHTrajectPeriodeDatumTijdTotEnMet],"&gt;"&amp;($A337+3/24),tData[Langligger01],1)</f>
        <v/>
      </c>
      <c r="H337" s="20">
        <f>COUNTIFS(tData[SEHTrajectPeriodeDatumTijdVan],"&lt;="&amp;($A337+4/24),tData[SEHTrajectPeriodeDatumTijdTotEnMet],"&gt;"&amp;($A337+4/24),tData[Langligger01],1)</f>
        <v/>
      </c>
      <c r="I337" s="20">
        <f>COUNTIFS(tData[SEHTrajectPeriodeDatumTijdVan],"&lt;="&amp;($A337+5/24),tData[SEHTrajectPeriodeDatumTijdTotEnMet],"&gt;"&amp;($A337+5/24),tData[Langligger01],1)</f>
        <v/>
      </c>
      <c r="J337" s="20">
        <f>COUNTIFS(tData[SEHTrajectPeriodeDatumTijdVan],"&lt;="&amp;($A337+6/24),tData[SEHTrajectPeriodeDatumTijdTotEnMet],"&gt;"&amp;($A337+6/24),tData[Langligger01],1)</f>
        <v/>
      </c>
      <c r="K337" s="20">
        <f>COUNTIFS(tData[SEHTrajectPeriodeDatumTijdVan],"&lt;="&amp;($A337+7/24),tData[SEHTrajectPeriodeDatumTijdTotEnMet],"&gt;"&amp;($A337+7/24),tData[Langligger01],1)</f>
        <v/>
      </c>
      <c r="L337" s="20">
        <f>COUNTIFS(tData[SEHTrajectPeriodeDatumTijdVan],"&lt;="&amp;($A337+8/24),tData[SEHTrajectPeriodeDatumTijdTotEnMet],"&gt;"&amp;($A337+8/24),tData[Langligger01],1)</f>
        <v/>
      </c>
      <c r="M337" s="20">
        <f>COUNTIFS(tData[SEHTrajectPeriodeDatumTijdVan],"&lt;="&amp;($A337+9/24),tData[SEHTrajectPeriodeDatumTijdTotEnMet],"&gt;"&amp;($A337+9/24),tData[Langligger01],1)</f>
        <v/>
      </c>
      <c r="N337" s="20">
        <f>COUNTIFS(tData[SEHTrajectPeriodeDatumTijdVan],"&lt;="&amp;($A337+10/24),tData[SEHTrajectPeriodeDatumTijdTotEnMet],"&gt;"&amp;($A337+10/24),tData[Langligger01],1)</f>
        <v/>
      </c>
      <c r="O337" s="20">
        <f>COUNTIFS(tData[SEHTrajectPeriodeDatumTijdVan],"&lt;="&amp;($A337+11/24),tData[SEHTrajectPeriodeDatumTijdTotEnMet],"&gt;"&amp;($A337+11/24),tData[Langligger01],1)</f>
        <v/>
      </c>
      <c r="P337" s="20">
        <f>COUNTIFS(tData[SEHTrajectPeriodeDatumTijdVan],"&lt;="&amp;($A337+12/24),tData[SEHTrajectPeriodeDatumTijdTotEnMet],"&gt;"&amp;($A337+12/24),tData[Langligger01],1)</f>
        <v/>
      </c>
      <c r="Q337" s="20">
        <f>COUNTIFS(tData[SEHTrajectPeriodeDatumTijdVan],"&lt;="&amp;($A337+13/24),tData[SEHTrajectPeriodeDatumTijdTotEnMet],"&gt;"&amp;($A337+13/24),tData[Langligger01],1)</f>
        <v/>
      </c>
      <c r="R337" s="20">
        <f>COUNTIFS(tData[SEHTrajectPeriodeDatumTijdVan],"&lt;="&amp;($A337+14/24),tData[SEHTrajectPeriodeDatumTijdTotEnMet],"&gt;"&amp;($A337+14/24),tData[Langligger01],1)</f>
        <v/>
      </c>
      <c r="S337" s="20">
        <f>COUNTIFS(tData[SEHTrajectPeriodeDatumTijdVan],"&lt;="&amp;($A337+15/24),tData[SEHTrajectPeriodeDatumTijdTotEnMet],"&gt;"&amp;($A337+15/24),tData[Langligger01],1)</f>
        <v/>
      </c>
      <c r="T337" s="20">
        <f>COUNTIFS(tData[SEHTrajectPeriodeDatumTijdVan],"&lt;="&amp;($A337+16/24),tData[SEHTrajectPeriodeDatumTijdTotEnMet],"&gt;"&amp;($A337+16/24),tData[Langligger01],1)</f>
        <v/>
      </c>
      <c r="U337" s="20">
        <f>COUNTIFS(tData[SEHTrajectPeriodeDatumTijdVan],"&lt;="&amp;($A337+17/24),tData[SEHTrajectPeriodeDatumTijdTotEnMet],"&gt;"&amp;($A337+17/24),tData[Langligger01],1)</f>
        <v/>
      </c>
      <c r="V337" s="20">
        <f>COUNTIFS(tData[SEHTrajectPeriodeDatumTijdVan],"&lt;="&amp;($A337+18/24),tData[SEHTrajectPeriodeDatumTijdTotEnMet],"&gt;"&amp;($A337+18/24),tData[Langligger01],1)</f>
        <v/>
      </c>
      <c r="W337" s="20">
        <f>COUNTIFS(tData[SEHTrajectPeriodeDatumTijdVan],"&lt;="&amp;($A337+19/24),tData[SEHTrajectPeriodeDatumTijdTotEnMet],"&gt;"&amp;($A337+19/24),tData[Langligger01],1)</f>
        <v/>
      </c>
      <c r="X337" s="20">
        <f>COUNTIFS(tData[SEHTrajectPeriodeDatumTijdVan],"&lt;="&amp;($A337+20/24),tData[SEHTrajectPeriodeDatumTijdTotEnMet],"&gt;"&amp;($A337+20/24),tData[Langligger01],1)</f>
        <v/>
      </c>
      <c r="Y337" s="20">
        <f>COUNTIFS(tData[SEHTrajectPeriodeDatumTijdVan],"&lt;="&amp;($A337+21/24),tData[SEHTrajectPeriodeDatumTijdTotEnMet],"&gt;"&amp;($A337+21/24),tData[Langligger01],1)</f>
        <v/>
      </c>
      <c r="Z337" s="20">
        <f>COUNTIFS(tData[SEHTrajectPeriodeDatumTijdVan],"&lt;="&amp;($A337+22/24),tData[SEHTrajectPeriodeDatumTijdTotEnMet],"&gt;"&amp;($A337+22/24),tData[Langligger01],1)</f>
        <v/>
      </c>
      <c r="AA337" s="20">
        <f>COUNTIFS(tData[SEHTrajectPeriodeDatumTijdVan],"&lt;="&amp;($A337+23/24),tData[SEHTrajectPeriodeDatumTijdTotEnMet],"&gt;"&amp;($A337+23/24),tData[Langligger01],1)</f>
        <v/>
      </c>
    </row>
    <row r="338">
      <c r="A338" s="19" t="n">
        <v>45626</v>
      </c>
      <c r="B338" s="15">
        <f>WEEKDAY($A338,2)</f>
        <v/>
      </c>
      <c r="C338" s="15">
        <f>IF(AND($A338&gt;=INT(Instellingen!$B$5),$A338&lt;=INT(Instellingen!$B$6)),1,0)</f>
        <v/>
      </c>
      <c r="D338" s="20">
        <f>COUNTIFS(tData[SEHTrajectPeriodeDatumTijdVan],"&lt;="&amp;($A338+0/24),tData[SEHTrajectPeriodeDatumTijdTotEnMet],"&gt;"&amp;($A338+0/24),tData[Langligger01],1)</f>
        <v/>
      </c>
      <c r="E338" s="20">
        <f>COUNTIFS(tData[SEHTrajectPeriodeDatumTijdVan],"&lt;="&amp;($A338+1/24),tData[SEHTrajectPeriodeDatumTijdTotEnMet],"&gt;"&amp;($A338+1/24),tData[Langligger01],1)</f>
        <v/>
      </c>
      <c r="F338" s="20">
        <f>COUNTIFS(tData[SEHTrajectPeriodeDatumTijdVan],"&lt;="&amp;($A338+2/24),tData[SEHTrajectPeriodeDatumTijdTotEnMet],"&gt;"&amp;($A338+2/24),tData[Langligger01],1)</f>
        <v/>
      </c>
      <c r="G338" s="20">
        <f>COUNTIFS(tData[SEHTrajectPeriodeDatumTijdVan],"&lt;="&amp;($A338+3/24),tData[SEHTrajectPeriodeDatumTijdTotEnMet],"&gt;"&amp;($A338+3/24),tData[Langligger01],1)</f>
        <v/>
      </c>
      <c r="H338" s="20">
        <f>COUNTIFS(tData[SEHTrajectPeriodeDatumTijdVan],"&lt;="&amp;($A338+4/24),tData[SEHTrajectPeriodeDatumTijdTotEnMet],"&gt;"&amp;($A338+4/24),tData[Langligger01],1)</f>
        <v/>
      </c>
      <c r="I338" s="20">
        <f>COUNTIFS(tData[SEHTrajectPeriodeDatumTijdVan],"&lt;="&amp;($A338+5/24),tData[SEHTrajectPeriodeDatumTijdTotEnMet],"&gt;"&amp;($A338+5/24),tData[Langligger01],1)</f>
        <v/>
      </c>
      <c r="J338" s="20">
        <f>COUNTIFS(tData[SEHTrajectPeriodeDatumTijdVan],"&lt;="&amp;($A338+6/24),tData[SEHTrajectPeriodeDatumTijdTotEnMet],"&gt;"&amp;($A338+6/24),tData[Langligger01],1)</f>
        <v/>
      </c>
      <c r="K338" s="20">
        <f>COUNTIFS(tData[SEHTrajectPeriodeDatumTijdVan],"&lt;="&amp;($A338+7/24),tData[SEHTrajectPeriodeDatumTijdTotEnMet],"&gt;"&amp;($A338+7/24),tData[Langligger01],1)</f>
        <v/>
      </c>
      <c r="L338" s="20">
        <f>COUNTIFS(tData[SEHTrajectPeriodeDatumTijdVan],"&lt;="&amp;($A338+8/24),tData[SEHTrajectPeriodeDatumTijdTotEnMet],"&gt;"&amp;($A338+8/24),tData[Langligger01],1)</f>
        <v/>
      </c>
      <c r="M338" s="20">
        <f>COUNTIFS(tData[SEHTrajectPeriodeDatumTijdVan],"&lt;="&amp;($A338+9/24),tData[SEHTrajectPeriodeDatumTijdTotEnMet],"&gt;"&amp;($A338+9/24),tData[Langligger01],1)</f>
        <v/>
      </c>
      <c r="N338" s="20">
        <f>COUNTIFS(tData[SEHTrajectPeriodeDatumTijdVan],"&lt;="&amp;($A338+10/24),tData[SEHTrajectPeriodeDatumTijdTotEnMet],"&gt;"&amp;($A338+10/24),tData[Langligger01],1)</f>
        <v/>
      </c>
      <c r="O338" s="20">
        <f>COUNTIFS(tData[SEHTrajectPeriodeDatumTijdVan],"&lt;="&amp;($A338+11/24),tData[SEHTrajectPeriodeDatumTijdTotEnMet],"&gt;"&amp;($A338+11/24),tData[Langligger01],1)</f>
        <v/>
      </c>
      <c r="P338" s="20">
        <f>COUNTIFS(tData[SEHTrajectPeriodeDatumTijdVan],"&lt;="&amp;($A338+12/24),tData[SEHTrajectPeriodeDatumTijdTotEnMet],"&gt;"&amp;($A338+12/24),tData[Langligger01],1)</f>
        <v/>
      </c>
      <c r="Q338" s="20">
        <f>COUNTIFS(tData[SEHTrajectPeriodeDatumTijdVan],"&lt;="&amp;($A338+13/24),tData[SEHTrajectPeriodeDatumTijdTotEnMet],"&gt;"&amp;($A338+13/24),tData[Langligger01],1)</f>
        <v/>
      </c>
      <c r="R338" s="20">
        <f>COUNTIFS(tData[SEHTrajectPeriodeDatumTijdVan],"&lt;="&amp;($A338+14/24),tData[SEHTrajectPeriodeDatumTijdTotEnMet],"&gt;"&amp;($A338+14/24),tData[Langligger01],1)</f>
        <v/>
      </c>
      <c r="S338" s="20">
        <f>COUNTIFS(tData[SEHTrajectPeriodeDatumTijdVan],"&lt;="&amp;($A338+15/24),tData[SEHTrajectPeriodeDatumTijdTotEnMet],"&gt;"&amp;($A338+15/24),tData[Langligger01],1)</f>
        <v/>
      </c>
      <c r="T338" s="20">
        <f>COUNTIFS(tData[SEHTrajectPeriodeDatumTijdVan],"&lt;="&amp;($A338+16/24),tData[SEHTrajectPeriodeDatumTijdTotEnMet],"&gt;"&amp;($A338+16/24),tData[Langligger01],1)</f>
        <v/>
      </c>
      <c r="U338" s="20">
        <f>COUNTIFS(tData[SEHTrajectPeriodeDatumTijdVan],"&lt;="&amp;($A338+17/24),tData[SEHTrajectPeriodeDatumTijdTotEnMet],"&gt;"&amp;($A338+17/24),tData[Langligger01],1)</f>
        <v/>
      </c>
      <c r="V338" s="20">
        <f>COUNTIFS(tData[SEHTrajectPeriodeDatumTijdVan],"&lt;="&amp;($A338+18/24),tData[SEHTrajectPeriodeDatumTijdTotEnMet],"&gt;"&amp;($A338+18/24),tData[Langligger01],1)</f>
        <v/>
      </c>
      <c r="W338" s="20">
        <f>COUNTIFS(tData[SEHTrajectPeriodeDatumTijdVan],"&lt;="&amp;($A338+19/24),tData[SEHTrajectPeriodeDatumTijdTotEnMet],"&gt;"&amp;($A338+19/24),tData[Langligger01],1)</f>
        <v/>
      </c>
      <c r="X338" s="20">
        <f>COUNTIFS(tData[SEHTrajectPeriodeDatumTijdVan],"&lt;="&amp;($A338+20/24),tData[SEHTrajectPeriodeDatumTijdTotEnMet],"&gt;"&amp;($A338+20/24),tData[Langligger01],1)</f>
        <v/>
      </c>
      <c r="Y338" s="20">
        <f>COUNTIFS(tData[SEHTrajectPeriodeDatumTijdVan],"&lt;="&amp;($A338+21/24),tData[SEHTrajectPeriodeDatumTijdTotEnMet],"&gt;"&amp;($A338+21/24),tData[Langligger01],1)</f>
        <v/>
      </c>
      <c r="Z338" s="20">
        <f>COUNTIFS(tData[SEHTrajectPeriodeDatumTijdVan],"&lt;="&amp;($A338+22/24),tData[SEHTrajectPeriodeDatumTijdTotEnMet],"&gt;"&amp;($A338+22/24),tData[Langligger01],1)</f>
        <v/>
      </c>
      <c r="AA338" s="20">
        <f>COUNTIFS(tData[SEHTrajectPeriodeDatumTijdVan],"&lt;="&amp;($A338+23/24),tData[SEHTrajectPeriodeDatumTijdTotEnMet],"&gt;"&amp;($A338+23/24),tData[Langligger01],1)</f>
        <v/>
      </c>
    </row>
    <row r="339">
      <c r="A339" s="19" t="n">
        <v>45627</v>
      </c>
      <c r="B339" s="15">
        <f>WEEKDAY($A339,2)</f>
        <v/>
      </c>
      <c r="C339" s="15">
        <f>IF(AND($A339&gt;=INT(Instellingen!$B$5),$A339&lt;=INT(Instellingen!$B$6)),1,0)</f>
        <v/>
      </c>
      <c r="D339" s="20">
        <f>COUNTIFS(tData[SEHTrajectPeriodeDatumTijdVan],"&lt;="&amp;($A339+0/24),tData[SEHTrajectPeriodeDatumTijdTotEnMet],"&gt;"&amp;($A339+0/24),tData[Langligger01],1)</f>
        <v/>
      </c>
      <c r="E339" s="20">
        <f>COUNTIFS(tData[SEHTrajectPeriodeDatumTijdVan],"&lt;="&amp;($A339+1/24),tData[SEHTrajectPeriodeDatumTijdTotEnMet],"&gt;"&amp;($A339+1/24),tData[Langligger01],1)</f>
        <v/>
      </c>
      <c r="F339" s="20">
        <f>COUNTIFS(tData[SEHTrajectPeriodeDatumTijdVan],"&lt;="&amp;($A339+2/24),tData[SEHTrajectPeriodeDatumTijdTotEnMet],"&gt;"&amp;($A339+2/24),tData[Langligger01],1)</f>
        <v/>
      </c>
      <c r="G339" s="20">
        <f>COUNTIFS(tData[SEHTrajectPeriodeDatumTijdVan],"&lt;="&amp;($A339+3/24),tData[SEHTrajectPeriodeDatumTijdTotEnMet],"&gt;"&amp;($A339+3/24),tData[Langligger01],1)</f>
        <v/>
      </c>
      <c r="H339" s="20">
        <f>COUNTIFS(tData[SEHTrajectPeriodeDatumTijdVan],"&lt;="&amp;($A339+4/24),tData[SEHTrajectPeriodeDatumTijdTotEnMet],"&gt;"&amp;($A339+4/24),tData[Langligger01],1)</f>
        <v/>
      </c>
      <c r="I339" s="20">
        <f>COUNTIFS(tData[SEHTrajectPeriodeDatumTijdVan],"&lt;="&amp;($A339+5/24),tData[SEHTrajectPeriodeDatumTijdTotEnMet],"&gt;"&amp;($A339+5/24),tData[Langligger01],1)</f>
        <v/>
      </c>
      <c r="J339" s="20">
        <f>COUNTIFS(tData[SEHTrajectPeriodeDatumTijdVan],"&lt;="&amp;($A339+6/24),tData[SEHTrajectPeriodeDatumTijdTotEnMet],"&gt;"&amp;($A339+6/24),tData[Langligger01],1)</f>
        <v/>
      </c>
      <c r="K339" s="20">
        <f>COUNTIFS(tData[SEHTrajectPeriodeDatumTijdVan],"&lt;="&amp;($A339+7/24),tData[SEHTrajectPeriodeDatumTijdTotEnMet],"&gt;"&amp;($A339+7/24),tData[Langligger01],1)</f>
        <v/>
      </c>
      <c r="L339" s="20">
        <f>COUNTIFS(tData[SEHTrajectPeriodeDatumTijdVan],"&lt;="&amp;($A339+8/24),tData[SEHTrajectPeriodeDatumTijdTotEnMet],"&gt;"&amp;($A339+8/24),tData[Langligger01],1)</f>
        <v/>
      </c>
      <c r="M339" s="20">
        <f>COUNTIFS(tData[SEHTrajectPeriodeDatumTijdVan],"&lt;="&amp;($A339+9/24),tData[SEHTrajectPeriodeDatumTijdTotEnMet],"&gt;"&amp;($A339+9/24),tData[Langligger01],1)</f>
        <v/>
      </c>
      <c r="N339" s="20">
        <f>COUNTIFS(tData[SEHTrajectPeriodeDatumTijdVan],"&lt;="&amp;($A339+10/24),tData[SEHTrajectPeriodeDatumTijdTotEnMet],"&gt;"&amp;($A339+10/24),tData[Langligger01],1)</f>
        <v/>
      </c>
      <c r="O339" s="20">
        <f>COUNTIFS(tData[SEHTrajectPeriodeDatumTijdVan],"&lt;="&amp;($A339+11/24),tData[SEHTrajectPeriodeDatumTijdTotEnMet],"&gt;"&amp;($A339+11/24),tData[Langligger01],1)</f>
        <v/>
      </c>
      <c r="P339" s="20">
        <f>COUNTIFS(tData[SEHTrajectPeriodeDatumTijdVan],"&lt;="&amp;($A339+12/24),tData[SEHTrajectPeriodeDatumTijdTotEnMet],"&gt;"&amp;($A339+12/24),tData[Langligger01],1)</f>
        <v/>
      </c>
      <c r="Q339" s="20">
        <f>COUNTIFS(tData[SEHTrajectPeriodeDatumTijdVan],"&lt;="&amp;($A339+13/24),tData[SEHTrajectPeriodeDatumTijdTotEnMet],"&gt;"&amp;($A339+13/24),tData[Langligger01],1)</f>
        <v/>
      </c>
      <c r="R339" s="20">
        <f>COUNTIFS(tData[SEHTrajectPeriodeDatumTijdVan],"&lt;="&amp;($A339+14/24),tData[SEHTrajectPeriodeDatumTijdTotEnMet],"&gt;"&amp;($A339+14/24),tData[Langligger01],1)</f>
        <v/>
      </c>
      <c r="S339" s="20">
        <f>COUNTIFS(tData[SEHTrajectPeriodeDatumTijdVan],"&lt;="&amp;($A339+15/24),tData[SEHTrajectPeriodeDatumTijdTotEnMet],"&gt;"&amp;($A339+15/24),tData[Langligger01],1)</f>
        <v/>
      </c>
      <c r="T339" s="20">
        <f>COUNTIFS(tData[SEHTrajectPeriodeDatumTijdVan],"&lt;="&amp;($A339+16/24),tData[SEHTrajectPeriodeDatumTijdTotEnMet],"&gt;"&amp;($A339+16/24),tData[Langligger01],1)</f>
        <v/>
      </c>
      <c r="U339" s="20">
        <f>COUNTIFS(tData[SEHTrajectPeriodeDatumTijdVan],"&lt;="&amp;($A339+17/24),tData[SEHTrajectPeriodeDatumTijdTotEnMet],"&gt;"&amp;($A339+17/24),tData[Langligger01],1)</f>
        <v/>
      </c>
      <c r="V339" s="20">
        <f>COUNTIFS(tData[SEHTrajectPeriodeDatumTijdVan],"&lt;="&amp;($A339+18/24),tData[SEHTrajectPeriodeDatumTijdTotEnMet],"&gt;"&amp;($A339+18/24),tData[Langligger01],1)</f>
        <v/>
      </c>
      <c r="W339" s="20">
        <f>COUNTIFS(tData[SEHTrajectPeriodeDatumTijdVan],"&lt;="&amp;($A339+19/24),tData[SEHTrajectPeriodeDatumTijdTotEnMet],"&gt;"&amp;($A339+19/24),tData[Langligger01],1)</f>
        <v/>
      </c>
      <c r="X339" s="20">
        <f>COUNTIFS(tData[SEHTrajectPeriodeDatumTijdVan],"&lt;="&amp;($A339+20/24),tData[SEHTrajectPeriodeDatumTijdTotEnMet],"&gt;"&amp;($A339+20/24),tData[Langligger01],1)</f>
        <v/>
      </c>
      <c r="Y339" s="20">
        <f>COUNTIFS(tData[SEHTrajectPeriodeDatumTijdVan],"&lt;="&amp;($A339+21/24),tData[SEHTrajectPeriodeDatumTijdTotEnMet],"&gt;"&amp;($A339+21/24),tData[Langligger01],1)</f>
        <v/>
      </c>
      <c r="Z339" s="20">
        <f>COUNTIFS(tData[SEHTrajectPeriodeDatumTijdVan],"&lt;="&amp;($A339+22/24),tData[SEHTrajectPeriodeDatumTijdTotEnMet],"&gt;"&amp;($A339+22/24),tData[Langligger01],1)</f>
        <v/>
      </c>
      <c r="AA339" s="20">
        <f>COUNTIFS(tData[SEHTrajectPeriodeDatumTijdVan],"&lt;="&amp;($A339+23/24),tData[SEHTrajectPeriodeDatumTijdTotEnMet],"&gt;"&amp;($A339+23/24),tData[Langligger01],1)</f>
        <v/>
      </c>
    </row>
    <row r="340">
      <c r="A340" s="19" t="n">
        <v>45628</v>
      </c>
      <c r="B340" s="15">
        <f>WEEKDAY($A340,2)</f>
        <v/>
      </c>
      <c r="C340" s="15">
        <f>IF(AND($A340&gt;=INT(Instellingen!$B$5),$A340&lt;=INT(Instellingen!$B$6)),1,0)</f>
        <v/>
      </c>
      <c r="D340" s="20">
        <f>COUNTIFS(tData[SEHTrajectPeriodeDatumTijdVan],"&lt;="&amp;($A340+0/24),tData[SEHTrajectPeriodeDatumTijdTotEnMet],"&gt;"&amp;($A340+0/24),tData[Langligger01],1)</f>
        <v/>
      </c>
      <c r="E340" s="20">
        <f>COUNTIFS(tData[SEHTrajectPeriodeDatumTijdVan],"&lt;="&amp;($A340+1/24),tData[SEHTrajectPeriodeDatumTijdTotEnMet],"&gt;"&amp;($A340+1/24),tData[Langligger01],1)</f>
        <v/>
      </c>
      <c r="F340" s="20">
        <f>COUNTIFS(tData[SEHTrajectPeriodeDatumTijdVan],"&lt;="&amp;($A340+2/24),tData[SEHTrajectPeriodeDatumTijdTotEnMet],"&gt;"&amp;($A340+2/24),tData[Langligger01],1)</f>
        <v/>
      </c>
      <c r="G340" s="20">
        <f>COUNTIFS(tData[SEHTrajectPeriodeDatumTijdVan],"&lt;="&amp;($A340+3/24),tData[SEHTrajectPeriodeDatumTijdTotEnMet],"&gt;"&amp;($A340+3/24),tData[Langligger01],1)</f>
        <v/>
      </c>
      <c r="H340" s="20">
        <f>COUNTIFS(tData[SEHTrajectPeriodeDatumTijdVan],"&lt;="&amp;($A340+4/24),tData[SEHTrajectPeriodeDatumTijdTotEnMet],"&gt;"&amp;($A340+4/24),tData[Langligger01],1)</f>
        <v/>
      </c>
      <c r="I340" s="20">
        <f>COUNTIFS(tData[SEHTrajectPeriodeDatumTijdVan],"&lt;="&amp;($A340+5/24),tData[SEHTrajectPeriodeDatumTijdTotEnMet],"&gt;"&amp;($A340+5/24),tData[Langligger01],1)</f>
        <v/>
      </c>
      <c r="J340" s="20">
        <f>COUNTIFS(tData[SEHTrajectPeriodeDatumTijdVan],"&lt;="&amp;($A340+6/24),tData[SEHTrajectPeriodeDatumTijdTotEnMet],"&gt;"&amp;($A340+6/24),tData[Langligger01],1)</f>
        <v/>
      </c>
      <c r="K340" s="20">
        <f>COUNTIFS(tData[SEHTrajectPeriodeDatumTijdVan],"&lt;="&amp;($A340+7/24),tData[SEHTrajectPeriodeDatumTijdTotEnMet],"&gt;"&amp;($A340+7/24),tData[Langligger01],1)</f>
        <v/>
      </c>
      <c r="L340" s="20">
        <f>COUNTIFS(tData[SEHTrajectPeriodeDatumTijdVan],"&lt;="&amp;($A340+8/24),tData[SEHTrajectPeriodeDatumTijdTotEnMet],"&gt;"&amp;($A340+8/24),tData[Langligger01],1)</f>
        <v/>
      </c>
      <c r="M340" s="20">
        <f>COUNTIFS(tData[SEHTrajectPeriodeDatumTijdVan],"&lt;="&amp;($A340+9/24),tData[SEHTrajectPeriodeDatumTijdTotEnMet],"&gt;"&amp;($A340+9/24),tData[Langligger01],1)</f>
        <v/>
      </c>
      <c r="N340" s="20">
        <f>COUNTIFS(tData[SEHTrajectPeriodeDatumTijdVan],"&lt;="&amp;($A340+10/24),tData[SEHTrajectPeriodeDatumTijdTotEnMet],"&gt;"&amp;($A340+10/24),tData[Langligger01],1)</f>
        <v/>
      </c>
      <c r="O340" s="20">
        <f>COUNTIFS(tData[SEHTrajectPeriodeDatumTijdVan],"&lt;="&amp;($A340+11/24),tData[SEHTrajectPeriodeDatumTijdTotEnMet],"&gt;"&amp;($A340+11/24),tData[Langligger01],1)</f>
        <v/>
      </c>
      <c r="P340" s="20">
        <f>COUNTIFS(tData[SEHTrajectPeriodeDatumTijdVan],"&lt;="&amp;($A340+12/24),tData[SEHTrajectPeriodeDatumTijdTotEnMet],"&gt;"&amp;($A340+12/24),tData[Langligger01],1)</f>
        <v/>
      </c>
      <c r="Q340" s="20">
        <f>COUNTIFS(tData[SEHTrajectPeriodeDatumTijdVan],"&lt;="&amp;($A340+13/24),tData[SEHTrajectPeriodeDatumTijdTotEnMet],"&gt;"&amp;($A340+13/24),tData[Langligger01],1)</f>
        <v/>
      </c>
      <c r="R340" s="20">
        <f>COUNTIFS(tData[SEHTrajectPeriodeDatumTijdVan],"&lt;="&amp;($A340+14/24),tData[SEHTrajectPeriodeDatumTijdTotEnMet],"&gt;"&amp;($A340+14/24),tData[Langligger01],1)</f>
        <v/>
      </c>
      <c r="S340" s="20">
        <f>COUNTIFS(tData[SEHTrajectPeriodeDatumTijdVan],"&lt;="&amp;($A340+15/24),tData[SEHTrajectPeriodeDatumTijdTotEnMet],"&gt;"&amp;($A340+15/24),tData[Langligger01],1)</f>
        <v/>
      </c>
      <c r="T340" s="20">
        <f>COUNTIFS(tData[SEHTrajectPeriodeDatumTijdVan],"&lt;="&amp;($A340+16/24),tData[SEHTrajectPeriodeDatumTijdTotEnMet],"&gt;"&amp;($A340+16/24),tData[Langligger01],1)</f>
        <v/>
      </c>
      <c r="U340" s="20">
        <f>COUNTIFS(tData[SEHTrajectPeriodeDatumTijdVan],"&lt;="&amp;($A340+17/24),tData[SEHTrajectPeriodeDatumTijdTotEnMet],"&gt;"&amp;($A340+17/24),tData[Langligger01],1)</f>
        <v/>
      </c>
      <c r="V340" s="20">
        <f>COUNTIFS(tData[SEHTrajectPeriodeDatumTijdVan],"&lt;="&amp;($A340+18/24),tData[SEHTrajectPeriodeDatumTijdTotEnMet],"&gt;"&amp;($A340+18/24),tData[Langligger01],1)</f>
        <v/>
      </c>
      <c r="W340" s="20">
        <f>COUNTIFS(tData[SEHTrajectPeriodeDatumTijdVan],"&lt;="&amp;($A340+19/24),tData[SEHTrajectPeriodeDatumTijdTotEnMet],"&gt;"&amp;($A340+19/24),tData[Langligger01],1)</f>
        <v/>
      </c>
      <c r="X340" s="20">
        <f>COUNTIFS(tData[SEHTrajectPeriodeDatumTijdVan],"&lt;="&amp;($A340+20/24),tData[SEHTrajectPeriodeDatumTijdTotEnMet],"&gt;"&amp;($A340+20/24),tData[Langligger01],1)</f>
        <v/>
      </c>
      <c r="Y340" s="20">
        <f>COUNTIFS(tData[SEHTrajectPeriodeDatumTijdVan],"&lt;="&amp;($A340+21/24),tData[SEHTrajectPeriodeDatumTijdTotEnMet],"&gt;"&amp;($A340+21/24),tData[Langligger01],1)</f>
        <v/>
      </c>
      <c r="Z340" s="20">
        <f>COUNTIFS(tData[SEHTrajectPeriodeDatumTijdVan],"&lt;="&amp;($A340+22/24),tData[SEHTrajectPeriodeDatumTijdTotEnMet],"&gt;"&amp;($A340+22/24),tData[Langligger01],1)</f>
        <v/>
      </c>
      <c r="AA340" s="20">
        <f>COUNTIFS(tData[SEHTrajectPeriodeDatumTijdVan],"&lt;="&amp;($A340+23/24),tData[SEHTrajectPeriodeDatumTijdTotEnMet],"&gt;"&amp;($A340+23/24),tData[Langligger01],1)</f>
        <v/>
      </c>
    </row>
    <row r="341">
      <c r="A341" s="19" t="n">
        <v>45629</v>
      </c>
      <c r="B341" s="15">
        <f>WEEKDAY($A341,2)</f>
        <v/>
      </c>
      <c r="C341" s="15">
        <f>IF(AND($A341&gt;=INT(Instellingen!$B$5),$A341&lt;=INT(Instellingen!$B$6)),1,0)</f>
        <v/>
      </c>
      <c r="D341" s="20">
        <f>COUNTIFS(tData[SEHTrajectPeriodeDatumTijdVan],"&lt;="&amp;($A341+0/24),tData[SEHTrajectPeriodeDatumTijdTotEnMet],"&gt;"&amp;($A341+0/24),tData[Langligger01],1)</f>
        <v/>
      </c>
      <c r="E341" s="20">
        <f>COUNTIFS(tData[SEHTrajectPeriodeDatumTijdVan],"&lt;="&amp;($A341+1/24),tData[SEHTrajectPeriodeDatumTijdTotEnMet],"&gt;"&amp;($A341+1/24),tData[Langligger01],1)</f>
        <v/>
      </c>
      <c r="F341" s="20">
        <f>COUNTIFS(tData[SEHTrajectPeriodeDatumTijdVan],"&lt;="&amp;($A341+2/24),tData[SEHTrajectPeriodeDatumTijdTotEnMet],"&gt;"&amp;($A341+2/24),tData[Langligger01],1)</f>
        <v/>
      </c>
      <c r="G341" s="20">
        <f>COUNTIFS(tData[SEHTrajectPeriodeDatumTijdVan],"&lt;="&amp;($A341+3/24),tData[SEHTrajectPeriodeDatumTijdTotEnMet],"&gt;"&amp;($A341+3/24),tData[Langligger01],1)</f>
        <v/>
      </c>
      <c r="H341" s="20">
        <f>COUNTIFS(tData[SEHTrajectPeriodeDatumTijdVan],"&lt;="&amp;($A341+4/24),tData[SEHTrajectPeriodeDatumTijdTotEnMet],"&gt;"&amp;($A341+4/24),tData[Langligger01],1)</f>
        <v/>
      </c>
      <c r="I341" s="20">
        <f>COUNTIFS(tData[SEHTrajectPeriodeDatumTijdVan],"&lt;="&amp;($A341+5/24),tData[SEHTrajectPeriodeDatumTijdTotEnMet],"&gt;"&amp;($A341+5/24),tData[Langligger01],1)</f>
        <v/>
      </c>
      <c r="J341" s="20">
        <f>COUNTIFS(tData[SEHTrajectPeriodeDatumTijdVan],"&lt;="&amp;($A341+6/24),tData[SEHTrajectPeriodeDatumTijdTotEnMet],"&gt;"&amp;($A341+6/24),tData[Langligger01],1)</f>
        <v/>
      </c>
      <c r="K341" s="20">
        <f>COUNTIFS(tData[SEHTrajectPeriodeDatumTijdVan],"&lt;="&amp;($A341+7/24),tData[SEHTrajectPeriodeDatumTijdTotEnMet],"&gt;"&amp;($A341+7/24),tData[Langligger01],1)</f>
        <v/>
      </c>
      <c r="L341" s="20">
        <f>COUNTIFS(tData[SEHTrajectPeriodeDatumTijdVan],"&lt;="&amp;($A341+8/24),tData[SEHTrajectPeriodeDatumTijdTotEnMet],"&gt;"&amp;($A341+8/24),tData[Langligger01],1)</f>
        <v/>
      </c>
      <c r="M341" s="20">
        <f>COUNTIFS(tData[SEHTrajectPeriodeDatumTijdVan],"&lt;="&amp;($A341+9/24),tData[SEHTrajectPeriodeDatumTijdTotEnMet],"&gt;"&amp;($A341+9/24),tData[Langligger01],1)</f>
        <v/>
      </c>
      <c r="N341" s="20">
        <f>COUNTIFS(tData[SEHTrajectPeriodeDatumTijdVan],"&lt;="&amp;($A341+10/24),tData[SEHTrajectPeriodeDatumTijdTotEnMet],"&gt;"&amp;($A341+10/24),tData[Langligger01],1)</f>
        <v/>
      </c>
      <c r="O341" s="20">
        <f>COUNTIFS(tData[SEHTrajectPeriodeDatumTijdVan],"&lt;="&amp;($A341+11/24),tData[SEHTrajectPeriodeDatumTijdTotEnMet],"&gt;"&amp;($A341+11/24),tData[Langligger01],1)</f>
        <v/>
      </c>
      <c r="P341" s="20">
        <f>COUNTIFS(tData[SEHTrajectPeriodeDatumTijdVan],"&lt;="&amp;($A341+12/24),tData[SEHTrajectPeriodeDatumTijdTotEnMet],"&gt;"&amp;($A341+12/24),tData[Langligger01],1)</f>
        <v/>
      </c>
      <c r="Q341" s="20">
        <f>COUNTIFS(tData[SEHTrajectPeriodeDatumTijdVan],"&lt;="&amp;($A341+13/24),tData[SEHTrajectPeriodeDatumTijdTotEnMet],"&gt;"&amp;($A341+13/24),tData[Langligger01],1)</f>
        <v/>
      </c>
      <c r="R341" s="20">
        <f>COUNTIFS(tData[SEHTrajectPeriodeDatumTijdVan],"&lt;="&amp;($A341+14/24),tData[SEHTrajectPeriodeDatumTijdTotEnMet],"&gt;"&amp;($A341+14/24),tData[Langligger01],1)</f>
        <v/>
      </c>
      <c r="S341" s="20">
        <f>COUNTIFS(tData[SEHTrajectPeriodeDatumTijdVan],"&lt;="&amp;($A341+15/24),tData[SEHTrajectPeriodeDatumTijdTotEnMet],"&gt;"&amp;($A341+15/24),tData[Langligger01],1)</f>
        <v/>
      </c>
      <c r="T341" s="20">
        <f>COUNTIFS(tData[SEHTrajectPeriodeDatumTijdVan],"&lt;="&amp;($A341+16/24),tData[SEHTrajectPeriodeDatumTijdTotEnMet],"&gt;"&amp;($A341+16/24),tData[Langligger01],1)</f>
        <v/>
      </c>
      <c r="U341" s="20">
        <f>COUNTIFS(tData[SEHTrajectPeriodeDatumTijdVan],"&lt;="&amp;($A341+17/24),tData[SEHTrajectPeriodeDatumTijdTotEnMet],"&gt;"&amp;($A341+17/24),tData[Langligger01],1)</f>
        <v/>
      </c>
      <c r="V341" s="20">
        <f>COUNTIFS(tData[SEHTrajectPeriodeDatumTijdVan],"&lt;="&amp;($A341+18/24),tData[SEHTrajectPeriodeDatumTijdTotEnMet],"&gt;"&amp;($A341+18/24),tData[Langligger01],1)</f>
        <v/>
      </c>
      <c r="W341" s="20">
        <f>COUNTIFS(tData[SEHTrajectPeriodeDatumTijdVan],"&lt;="&amp;($A341+19/24),tData[SEHTrajectPeriodeDatumTijdTotEnMet],"&gt;"&amp;($A341+19/24),tData[Langligger01],1)</f>
        <v/>
      </c>
      <c r="X341" s="20">
        <f>COUNTIFS(tData[SEHTrajectPeriodeDatumTijdVan],"&lt;="&amp;($A341+20/24),tData[SEHTrajectPeriodeDatumTijdTotEnMet],"&gt;"&amp;($A341+20/24),tData[Langligger01],1)</f>
        <v/>
      </c>
      <c r="Y341" s="20">
        <f>COUNTIFS(tData[SEHTrajectPeriodeDatumTijdVan],"&lt;="&amp;($A341+21/24),tData[SEHTrajectPeriodeDatumTijdTotEnMet],"&gt;"&amp;($A341+21/24),tData[Langligger01],1)</f>
        <v/>
      </c>
      <c r="Z341" s="20">
        <f>COUNTIFS(tData[SEHTrajectPeriodeDatumTijdVan],"&lt;="&amp;($A341+22/24),tData[SEHTrajectPeriodeDatumTijdTotEnMet],"&gt;"&amp;($A341+22/24),tData[Langligger01],1)</f>
        <v/>
      </c>
      <c r="AA341" s="20">
        <f>COUNTIFS(tData[SEHTrajectPeriodeDatumTijdVan],"&lt;="&amp;($A341+23/24),tData[SEHTrajectPeriodeDatumTijdTotEnMet],"&gt;"&amp;($A341+23/24),tData[Langligger01],1)</f>
        <v/>
      </c>
    </row>
    <row r="342">
      <c r="A342" s="19" t="n">
        <v>45630</v>
      </c>
      <c r="B342" s="15">
        <f>WEEKDAY($A342,2)</f>
        <v/>
      </c>
      <c r="C342" s="15">
        <f>IF(AND($A342&gt;=INT(Instellingen!$B$5),$A342&lt;=INT(Instellingen!$B$6)),1,0)</f>
        <v/>
      </c>
      <c r="D342" s="20">
        <f>COUNTIFS(tData[SEHTrajectPeriodeDatumTijdVan],"&lt;="&amp;($A342+0/24),tData[SEHTrajectPeriodeDatumTijdTotEnMet],"&gt;"&amp;($A342+0/24),tData[Langligger01],1)</f>
        <v/>
      </c>
      <c r="E342" s="20">
        <f>COUNTIFS(tData[SEHTrajectPeriodeDatumTijdVan],"&lt;="&amp;($A342+1/24),tData[SEHTrajectPeriodeDatumTijdTotEnMet],"&gt;"&amp;($A342+1/24),tData[Langligger01],1)</f>
        <v/>
      </c>
      <c r="F342" s="20">
        <f>COUNTIFS(tData[SEHTrajectPeriodeDatumTijdVan],"&lt;="&amp;($A342+2/24),tData[SEHTrajectPeriodeDatumTijdTotEnMet],"&gt;"&amp;($A342+2/24),tData[Langligger01],1)</f>
        <v/>
      </c>
      <c r="G342" s="20">
        <f>COUNTIFS(tData[SEHTrajectPeriodeDatumTijdVan],"&lt;="&amp;($A342+3/24),tData[SEHTrajectPeriodeDatumTijdTotEnMet],"&gt;"&amp;($A342+3/24),tData[Langligger01],1)</f>
        <v/>
      </c>
      <c r="H342" s="20">
        <f>COUNTIFS(tData[SEHTrajectPeriodeDatumTijdVan],"&lt;="&amp;($A342+4/24),tData[SEHTrajectPeriodeDatumTijdTotEnMet],"&gt;"&amp;($A342+4/24),tData[Langligger01],1)</f>
        <v/>
      </c>
      <c r="I342" s="20">
        <f>COUNTIFS(tData[SEHTrajectPeriodeDatumTijdVan],"&lt;="&amp;($A342+5/24),tData[SEHTrajectPeriodeDatumTijdTotEnMet],"&gt;"&amp;($A342+5/24),tData[Langligger01],1)</f>
        <v/>
      </c>
      <c r="J342" s="20">
        <f>COUNTIFS(tData[SEHTrajectPeriodeDatumTijdVan],"&lt;="&amp;($A342+6/24),tData[SEHTrajectPeriodeDatumTijdTotEnMet],"&gt;"&amp;($A342+6/24),tData[Langligger01],1)</f>
        <v/>
      </c>
      <c r="K342" s="20">
        <f>COUNTIFS(tData[SEHTrajectPeriodeDatumTijdVan],"&lt;="&amp;($A342+7/24),tData[SEHTrajectPeriodeDatumTijdTotEnMet],"&gt;"&amp;($A342+7/24),tData[Langligger01],1)</f>
        <v/>
      </c>
      <c r="L342" s="20">
        <f>COUNTIFS(tData[SEHTrajectPeriodeDatumTijdVan],"&lt;="&amp;($A342+8/24),tData[SEHTrajectPeriodeDatumTijdTotEnMet],"&gt;"&amp;($A342+8/24),tData[Langligger01],1)</f>
        <v/>
      </c>
      <c r="M342" s="20">
        <f>COUNTIFS(tData[SEHTrajectPeriodeDatumTijdVan],"&lt;="&amp;($A342+9/24),tData[SEHTrajectPeriodeDatumTijdTotEnMet],"&gt;"&amp;($A342+9/24),tData[Langligger01],1)</f>
        <v/>
      </c>
      <c r="N342" s="20">
        <f>COUNTIFS(tData[SEHTrajectPeriodeDatumTijdVan],"&lt;="&amp;($A342+10/24),tData[SEHTrajectPeriodeDatumTijdTotEnMet],"&gt;"&amp;($A342+10/24),tData[Langligger01],1)</f>
        <v/>
      </c>
      <c r="O342" s="20">
        <f>COUNTIFS(tData[SEHTrajectPeriodeDatumTijdVan],"&lt;="&amp;($A342+11/24),tData[SEHTrajectPeriodeDatumTijdTotEnMet],"&gt;"&amp;($A342+11/24),tData[Langligger01],1)</f>
        <v/>
      </c>
      <c r="P342" s="20">
        <f>COUNTIFS(tData[SEHTrajectPeriodeDatumTijdVan],"&lt;="&amp;($A342+12/24),tData[SEHTrajectPeriodeDatumTijdTotEnMet],"&gt;"&amp;($A342+12/24),tData[Langligger01],1)</f>
        <v/>
      </c>
      <c r="Q342" s="20">
        <f>COUNTIFS(tData[SEHTrajectPeriodeDatumTijdVan],"&lt;="&amp;($A342+13/24),tData[SEHTrajectPeriodeDatumTijdTotEnMet],"&gt;"&amp;($A342+13/24),tData[Langligger01],1)</f>
        <v/>
      </c>
      <c r="R342" s="20">
        <f>COUNTIFS(tData[SEHTrajectPeriodeDatumTijdVan],"&lt;="&amp;($A342+14/24),tData[SEHTrajectPeriodeDatumTijdTotEnMet],"&gt;"&amp;($A342+14/24),tData[Langligger01],1)</f>
        <v/>
      </c>
      <c r="S342" s="20">
        <f>COUNTIFS(tData[SEHTrajectPeriodeDatumTijdVan],"&lt;="&amp;($A342+15/24),tData[SEHTrajectPeriodeDatumTijdTotEnMet],"&gt;"&amp;($A342+15/24),tData[Langligger01],1)</f>
        <v/>
      </c>
      <c r="T342" s="20">
        <f>COUNTIFS(tData[SEHTrajectPeriodeDatumTijdVan],"&lt;="&amp;($A342+16/24),tData[SEHTrajectPeriodeDatumTijdTotEnMet],"&gt;"&amp;($A342+16/24),tData[Langligger01],1)</f>
        <v/>
      </c>
      <c r="U342" s="20">
        <f>COUNTIFS(tData[SEHTrajectPeriodeDatumTijdVan],"&lt;="&amp;($A342+17/24),tData[SEHTrajectPeriodeDatumTijdTotEnMet],"&gt;"&amp;($A342+17/24),tData[Langligger01],1)</f>
        <v/>
      </c>
      <c r="V342" s="20">
        <f>COUNTIFS(tData[SEHTrajectPeriodeDatumTijdVan],"&lt;="&amp;($A342+18/24),tData[SEHTrajectPeriodeDatumTijdTotEnMet],"&gt;"&amp;($A342+18/24),tData[Langligger01],1)</f>
        <v/>
      </c>
      <c r="W342" s="20">
        <f>COUNTIFS(tData[SEHTrajectPeriodeDatumTijdVan],"&lt;="&amp;($A342+19/24),tData[SEHTrajectPeriodeDatumTijdTotEnMet],"&gt;"&amp;($A342+19/24),tData[Langligger01],1)</f>
        <v/>
      </c>
      <c r="X342" s="20">
        <f>COUNTIFS(tData[SEHTrajectPeriodeDatumTijdVan],"&lt;="&amp;($A342+20/24),tData[SEHTrajectPeriodeDatumTijdTotEnMet],"&gt;"&amp;($A342+20/24),tData[Langligger01],1)</f>
        <v/>
      </c>
      <c r="Y342" s="20">
        <f>COUNTIFS(tData[SEHTrajectPeriodeDatumTijdVan],"&lt;="&amp;($A342+21/24),tData[SEHTrajectPeriodeDatumTijdTotEnMet],"&gt;"&amp;($A342+21/24),tData[Langligger01],1)</f>
        <v/>
      </c>
      <c r="Z342" s="20">
        <f>COUNTIFS(tData[SEHTrajectPeriodeDatumTijdVan],"&lt;="&amp;($A342+22/24),tData[SEHTrajectPeriodeDatumTijdTotEnMet],"&gt;"&amp;($A342+22/24),tData[Langligger01],1)</f>
        <v/>
      </c>
      <c r="AA342" s="20">
        <f>COUNTIFS(tData[SEHTrajectPeriodeDatumTijdVan],"&lt;="&amp;($A342+23/24),tData[SEHTrajectPeriodeDatumTijdTotEnMet],"&gt;"&amp;($A342+23/24),tData[Langligger01],1)</f>
        <v/>
      </c>
    </row>
    <row r="343">
      <c r="A343" s="19" t="n">
        <v>45631</v>
      </c>
      <c r="B343" s="15">
        <f>WEEKDAY($A343,2)</f>
        <v/>
      </c>
      <c r="C343" s="15">
        <f>IF(AND($A343&gt;=INT(Instellingen!$B$5),$A343&lt;=INT(Instellingen!$B$6)),1,0)</f>
        <v/>
      </c>
      <c r="D343" s="20">
        <f>COUNTIFS(tData[SEHTrajectPeriodeDatumTijdVan],"&lt;="&amp;($A343+0/24),tData[SEHTrajectPeriodeDatumTijdTotEnMet],"&gt;"&amp;($A343+0/24),tData[Langligger01],1)</f>
        <v/>
      </c>
      <c r="E343" s="20">
        <f>COUNTIFS(tData[SEHTrajectPeriodeDatumTijdVan],"&lt;="&amp;($A343+1/24),tData[SEHTrajectPeriodeDatumTijdTotEnMet],"&gt;"&amp;($A343+1/24),tData[Langligger01],1)</f>
        <v/>
      </c>
      <c r="F343" s="20">
        <f>COUNTIFS(tData[SEHTrajectPeriodeDatumTijdVan],"&lt;="&amp;($A343+2/24),tData[SEHTrajectPeriodeDatumTijdTotEnMet],"&gt;"&amp;($A343+2/24),tData[Langligger01],1)</f>
        <v/>
      </c>
      <c r="G343" s="20">
        <f>COUNTIFS(tData[SEHTrajectPeriodeDatumTijdVan],"&lt;="&amp;($A343+3/24),tData[SEHTrajectPeriodeDatumTijdTotEnMet],"&gt;"&amp;($A343+3/24),tData[Langligger01],1)</f>
        <v/>
      </c>
      <c r="H343" s="20">
        <f>COUNTIFS(tData[SEHTrajectPeriodeDatumTijdVan],"&lt;="&amp;($A343+4/24),tData[SEHTrajectPeriodeDatumTijdTotEnMet],"&gt;"&amp;($A343+4/24),tData[Langligger01],1)</f>
        <v/>
      </c>
      <c r="I343" s="20">
        <f>COUNTIFS(tData[SEHTrajectPeriodeDatumTijdVan],"&lt;="&amp;($A343+5/24),tData[SEHTrajectPeriodeDatumTijdTotEnMet],"&gt;"&amp;($A343+5/24),tData[Langligger01],1)</f>
        <v/>
      </c>
      <c r="J343" s="20">
        <f>COUNTIFS(tData[SEHTrajectPeriodeDatumTijdVan],"&lt;="&amp;($A343+6/24),tData[SEHTrajectPeriodeDatumTijdTotEnMet],"&gt;"&amp;($A343+6/24),tData[Langligger01],1)</f>
        <v/>
      </c>
      <c r="K343" s="20">
        <f>COUNTIFS(tData[SEHTrajectPeriodeDatumTijdVan],"&lt;="&amp;($A343+7/24),tData[SEHTrajectPeriodeDatumTijdTotEnMet],"&gt;"&amp;($A343+7/24),tData[Langligger01],1)</f>
        <v/>
      </c>
      <c r="L343" s="20">
        <f>COUNTIFS(tData[SEHTrajectPeriodeDatumTijdVan],"&lt;="&amp;($A343+8/24),tData[SEHTrajectPeriodeDatumTijdTotEnMet],"&gt;"&amp;($A343+8/24),tData[Langligger01],1)</f>
        <v/>
      </c>
      <c r="M343" s="20">
        <f>COUNTIFS(tData[SEHTrajectPeriodeDatumTijdVan],"&lt;="&amp;($A343+9/24),tData[SEHTrajectPeriodeDatumTijdTotEnMet],"&gt;"&amp;($A343+9/24),tData[Langligger01],1)</f>
        <v/>
      </c>
      <c r="N343" s="20">
        <f>COUNTIFS(tData[SEHTrajectPeriodeDatumTijdVan],"&lt;="&amp;($A343+10/24),tData[SEHTrajectPeriodeDatumTijdTotEnMet],"&gt;"&amp;($A343+10/24),tData[Langligger01],1)</f>
        <v/>
      </c>
      <c r="O343" s="20">
        <f>COUNTIFS(tData[SEHTrajectPeriodeDatumTijdVan],"&lt;="&amp;($A343+11/24),tData[SEHTrajectPeriodeDatumTijdTotEnMet],"&gt;"&amp;($A343+11/24),tData[Langligger01],1)</f>
        <v/>
      </c>
      <c r="P343" s="20">
        <f>COUNTIFS(tData[SEHTrajectPeriodeDatumTijdVan],"&lt;="&amp;($A343+12/24),tData[SEHTrajectPeriodeDatumTijdTotEnMet],"&gt;"&amp;($A343+12/24),tData[Langligger01],1)</f>
        <v/>
      </c>
      <c r="Q343" s="20">
        <f>COUNTIFS(tData[SEHTrajectPeriodeDatumTijdVan],"&lt;="&amp;($A343+13/24),tData[SEHTrajectPeriodeDatumTijdTotEnMet],"&gt;"&amp;($A343+13/24),tData[Langligger01],1)</f>
        <v/>
      </c>
      <c r="R343" s="20">
        <f>COUNTIFS(tData[SEHTrajectPeriodeDatumTijdVan],"&lt;="&amp;($A343+14/24),tData[SEHTrajectPeriodeDatumTijdTotEnMet],"&gt;"&amp;($A343+14/24),tData[Langligger01],1)</f>
        <v/>
      </c>
      <c r="S343" s="20">
        <f>COUNTIFS(tData[SEHTrajectPeriodeDatumTijdVan],"&lt;="&amp;($A343+15/24),tData[SEHTrajectPeriodeDatumTijdTotEnMet],"&gt;"&amp;($A343+15/24),tData[Langligger01],1)</f>
        <v/>
      </c>
      <c r="T343" s="20">
        <f>COUNTIFS(tData[SEHTrajectPeriodeDatumTijdVan],"&lt;="&amp;($A343+16/24),tData[SEHTrajectPeriodeDatumTijdTotEnMet],"&gt;"&amp;($A343+16/24),tData[Langligger01],1)</f>
        <v/>
      </c>
      <c r="U343" s="20">
        <f>COUNTIFS(tData[SEHTrajectPeriodeDatumTijdVan],"&lt;="&amp;($A343+17/24),tData[SEHTrajectPeriodeDatumTijdTotEnMet],"&gt;"&amp;($A343+17/24),tData[Langligger01],1)</f>
        <v/>
      </c>
      <c r="V343" s="20">
        <f>COUNTIFS(tData[SEHTrajectPeriodeDatumTijdVan],"&lt;="&amp;($A343+18/24),tData[SEHTrajectPeriodeDatumTijdTotEnMet],"&gt;"&amp;($A343+18/24),tData[Langligger01],1)</f>
        <v/>
      </c>
      <c r="W343" s="20">
        <f>COUNTIFS(tData[SEHTrajectPeriodeDatumTijdVan],"&lt;="&amp;($A343+19/24),tData[SEHTrajectPeriodeDatumTijdTotEnMet],"&gt;"&amp;($A343+19/24),tData[Langligger01],1)</f>
        <v/>
      </c>
      <c r="X343" s="20">
        <f>COUNTIFS(tData[SEHTrajectPeriodeDatumTijdVan],"&lt;="&amp;($A343+20/24),tData[SEHTrajectPeriodeDatumTijdTotEnMet],"&gt;"&amp;($A343+20/24),tData[Langligger01],1)</f>
        <v/>
      </c>
      <c r="Y343" s="20">
        <f>COUNTIFS(tData[SEHTrajectPeriodeDatumTijdVan],"&lt;="&amp;($A343+21/24),tData[SEHTrajectPeriodeDatumTijdTotEnMet],"&gt;"&amp;($A343+21/24),tData[Langligger01],1)</f>
        <v/>
      </c>
      <c r="Z343" s="20">
        <f>COUNTIFS(tData[SEHTrajectPeriodeDatumTijdVan],"&lt;="&amp;($A343+22/24),tData[SEHTrajectPeriodeDatumTijdTotEnMet],"&gt;"&amp;($A343+22/24),tData[Langligger01],1)</f>
        <v/>
      </c>
      <c r="AA343" s="20">
        <f>COUNTIFS(tData[SEHTrajectPeriodeDatumTijdVan],"&lt;="&amp;($A343+23/24),tData[SEHTrajectPeriodeDatumTijdTotEnMet],"&gt;"&amp;($A343+23/24),tData[Langligger01],1)</f>
        <v/>
      </c>
    </row>
    <row r="344">
      <c r="A344" s="19" t="n">
        <v>45632</v>
      </c>
      <c r="B344" s="15">
        <f>WEEKDAY($A344,2)</f>
        <v/>
      </c>
      <c r="C344" s="15">
        <f>IF(AND($A344&gt;=INT(Instellingen!$B$5),$A344&lt;=INT(Instellingen!$B$6)),1,0)</f>
        <v/>
      </c>
      <c r="D344" s="20">
        <f>COUNTIFS(tData[SEHTrajectPeriodeDatumTijdVan],"&lt;="&amp;($A344+0/24),tData[SEHTrajectPeriodeDatumTijdTotEnMet],"&gt;"&amp;($A344+0/24),tData[Langligger01],1)</f>
        <v/>
      </c>
      <c r="E344" s="20">
        <f>COUNTIFS(tData[SEHTrajectPeriodeDatumTijdVan],"&lt;="&amp;($A344+1/24),tData[SEHTrajectPeriodeDatumTijdTotEnMet],"&gt;"&amp;($A344+1/24),tData[Langligger01],1)</f>
        <v/>
      </c>
      <c r="F344" s="20">
        <f>COUNTIFS(tData[SEHTrajectPeriodeDatumTijdVan],"&lt;="&amp;($A344+2/24),tData[SEHTrajectPeriodeDatumTijdTotEnMet],"&gt;"&amp;($A344+2/24),tData[Langligger01],1)</f>
        <v/>
      </c>
      <c r="G344" s="20">
        <f>COUNTIFS(tData[SEHTrajectPeriodeDatumTijdVan],"&lt;="&amp;($A344+3/24),tData[SEHTrajectPeriodeDatumTijdTotEnMet],"&gt;"&amp;($A344+3/24),tData[Langligger01],1)</f>
        <v/>
      </c>
      <c r="H344" s="20">
        <f>COUNTIFS(tData[SEHTrajectPeriodeDatumTijdVan],"&lt;="&amp;($A344+4/24),tData[SEHTrajectPeriodeDatumTijdTotEnMet],"&gt;"&amp;($A344+4/24),tData[Langligger01],1)</f>
        <v/>
      </c>
      <c r="I344" s="20">
        <f>COUNTIFS(tData[SEHTrajectPeriodeDatumTijdVan],"&lt;="&amp;($A344+5/24),tData[SEHTrajectPeriodeDatumTijdTotEnMet],"&gt;"&amp;($A344+5/24),tData[Langligger01],1)</f>
        <v/>
      </c>
      <c r="J344" s="20">
        <f>COUNTIFS(tData[SEHTrajectPeriodeDatumTijdVan],"&lt;="&amp;($A344+6/24),tData[SEHTrajectPeriodeDatumTijdTotEnMet],"&gt;"&amp;($A344+6/24),tData[Langligger01],1)</f>
        <v/>
      </c>
      <c r="K344" s="20">
        <f>COUNTIFS(tData[SEHTrajectPeriodeDatumTijdVan],"&lt;="&amp;($A344+7/24),tData[SEHTrajectPeriodeDatumTijdTotEnMet],"&gt;"&amp;($A344+7/24),tData[Langligger01],1)</f>
        <v/>
      </c>
      <c r="L344" s="20">
        <f>COUNTIFS(tData[SEHTrajectPeriodeDatumTijdVan],"&lt;="&amp;($A344+8/24),tData[SEHTrajectPeriodeDatumTijdTotEnMet],"&gt;"&amp;($A344+8/24),tData[Langligger01],1)</f>
        <v/>
      </c>
      <c r="M344" s="20">
        <f>COUNTIFS(tData[SEHTrajectPeriodeDatumTijdVan],"&lt;="&amp;($A344+9/24),tData[SEHTrajectPeriodeDatumTijdTotEnMet],"&gt;"&amp;($A344+9/24),tData[Langligger01],1)</f>
        <v/>
      </c>
      <c r="N344" s="20">
        <f>COUNTIFS(tData[SEHTrajectPeriodeDatumTijdVan],"&lt;="&amp;($A344+10/24),tData[SEHTrajectPeriodeDatumTijdTotEnMet],"&gt;"&amp;($A344+10/24),tData[Langligger01],1)</f>
        <v/>
      </c>
      <c r="O344" s="20">
        <f>COUNTIFS(tData[SEHTrajectPeriodeDatumTijdVan],"&lt;="&amp;($A344+11/24),tData[SEHTrajectPeriodeDatumTijdTotEnMet],"&gt;"&amp;($A344+11/24),tData[Langligger01],1)</f>
        <v/>
      </c>
      <c r="P344" s="20">
        <f>COUNTIFS(tData[SEHTrajectPeriodeDatumTijdVan],"&lt;="&amp;($A344+12/24),tData[SEHTrajectPeriodeDatumTijdTotEnMet],"&gt;"&amp;($A344+12/24),tData[Langligger01],1)</f>
        <v/>
      </c>
      <c r="Q344" s="20">
        <f>COUNTIFS(tData[SEHTrajectPeriodeDatumTijdVan],"&lt;="&amp;($A344+13/24),tData[SEHTrajectPeriodeDatumTijdTotEnMet],"&gt;"&amp;($A344+13/24),tData[Langligger01],1)</f>
        <v/>
      </c>
      <c r="R344" s="20">
        <f>COUNTIFS(tData[SEHTrajectPeriodeDatumTijdVan],"&lt;="&amp;($A344+14/24),tData[SEHTrajectPeriodeDatumTijdTotEnMet],"&gt;"&amp;($A344+14/24),tData[Langligger01],1)</f>
        <v/>
      </c>
      <c r="S344" s="20">
        <f>COUNTIFS(tData[SEHTrajectPeriodeDatumTijdVan],"&lt;="&amp;($A344+15/24),tData[SEHTrajectPeriodeDatumTijdTotEnMet],"&gt;"&amp;($A344+15/24),tData[Langligger01],1)</f>
        <v/>
      </c>
      <c r="T344" s="20">
        <f>COUNTIFS(tData[SEHTrajectPeriodeDatumTijdVan],"&lt;="&amp;($A344+16/24),tData[SEHTrajectPeriodeDatumTijdTotEnMet],"&gt;"&amp;($A344+16/24),tData[Langligger01],1)</f>
        <v/>
      </c>
      <c r="U344" s="20">
        <f>COUNTIFS(tData[SEHTrajectPeriodeDatumTijdVan],"&lt;="&amp;($A344+17/24),tData[SEHTrajectPeriodeDatumTijdTotEnMet],"&gt;"&amp;($A344+17/24),tData[Langligger01],1)</f>
        <v/>
      </c>
      <c r="V344" s="20">
        <f>COUNTIFS(tData[SEHTrajectPeriodeDatumTijdVan],"&lt;="&amp;($A344+18/24),tData[SEHTrajectPeriodeDatumTijdTotEnMet],"&gt;"&amp;($A344+18/24),tData[Langligger01],1)</f>
        <v/>
      </c>
      <c r="W344" s="20">
        <f>COUNTIFS(tData[SEHTrajectPeriodeDatumTijdVan],"&lt;="&amp;($A344+19/24),tData[SEHTrajectPeriodeDatumTijdTotEnMet],"&gt;"&amp;($A344+19/24),tData[Langligger01],1)</f>
        <v/>
      </c>
      <c r="X344" s="20">
        <f>COUNTIFS(tData[SEHTrajectPeriodeDatumTijdVan],"&lt;="&amp;($A344+20/24),tData[SEHTrajectPeriodeDatumTijdTotEnMet],"&gt;"&amp;($A344+20/24),tData[Langligger01],1)</f>
        <v/>
      </c>
      <c r="Y344" s="20">
        <f>COUNTIFS(tData[SEHTrajectPeriodeDatumTijdVan],"&lt;="&amp;($A344+21/24),tData[SEHTrajectPeriodeDatumTijdTotEnMet],"&gt;"&amp;($A344+21/24),tData[Langligger01],1)</f>
        <v/>
      </c>
      <c r="Z344" s="20">
        <f>COUNTIFS(tData[SEHTrajectPeriodeDatumTijdVan],"&lt;="&amp;($A344+22/24),tData[SEHTrajectPeriodeDatumTijdTotEnMet],"&gt;"&amp;($A344+22/24),tData[Langligger01],1)</f>
        <v/>
      </c>
      <c r="AA344" s="20">
        <f>COUNTIFS(tData[SEHTrajectPeriodeDatumTijdVan],"&lt;="&amp;($A344+23/24),tData[SEHTrajectPeriodeDatumTijdTotEnMet],"&gt;"&amp;($A344+23/24),tData[Langligger01],1)</f>
        <v/>
      </c>
    </row>
    <row r="345">
      <c r="A345" s="19" t="n">
        <v>45633</v>
      </c>
      <c r="B345" s="15">
        <f>WEEKDAY($A345,2)</f>
        <v/>
      </c>
      <c r="C345" s="15">
        <f>IF(AND($A345&gt;=INT(Instellingen!$B$5),$A345&lt;=INT(Instellingen!$B$6)),1,0)</f>
        <v/>
      </c>
      <c r="D345" s="20">
        <f>COUNTIFS(tData[SEHTrajectPeriodeDatumTijdVan],"&lt;="&amp;($A345+0/24),tData[SEHTrajectPeriodeDatumTijdTotEnMet],"&gt;"&amp;($A345+0/24),tData[Langligger01],1)</f>
        <v/>
      </c>
      <c r="E345" s="20">
        <f>COUNTIFS(tData[SEHTrajectPeriodeDatumTijdVan],"&lt;="&amp;($A345+1/24),tData[SEHTrajectPeriodeDatumTijdTotEnMet],"&gt;"&amp;($A345+1/24),tData[Langligger01],1)</f>
        <v/>
      </c>
      <c r="F345" s="20">
        <f>COUNTIFS(tData[SEHTrajectPeriodeDatumTijdVan],"&lt;="&amp;($A345+2/24),tData[SEHTrajectPeriodeDatumTijdTotEnMet],"&gt;"&amp;($A345+2/24),tData[Langligger01],1)</f>
        <v/>
      </c>
      <c r="G345" s="20">
        <f>COUNTIFS(tData[SEHTrajectPeriodeDatumTijdVan],"&lt;="&amp;($A345+3/24),tData[SEHTrajectPeriodeDatumTijdTotEnMet],"&gt;"&amp;($A345+3/24),tData[Langligger01],1)</f>
        <v/>
      </c>
      <c r="H345" s="20">
        <f>COUNTIFS(tData[SEHTrajectPeriodeDatumTijdVan],"&lt;="&amp;($A345+4/24),tData[SEHTrajectPeriodeDatumTijdTotEnMet],"&gt;"&amp;($A345+4/24),tData[Langligger01],1)</f>
        <v/>
      </c>
      <c r="I345" s="20">
        <f>COUNTIFS(tData[SEHTrajectPeriodeDatumTijdVan],"&lt;="&amp;($A345+5/24),tData[SEHTrajectPeriodeDatumTijdTotEnMet],"&gt;"&amp;($A345+5/24),tData[Langligger01],1)</f>
        <v/>
      </c>
      <c r="J345" s="20">
        <f>COUNTIFS(tData[SEHTrajectPeriodeDatumTijdVan],"&lt;="&amp;($A345+6/24),tData[SEHTrajectPeriodeDatumTijdTotEnMet],"&gt;"&amp;($A345+6/24),tData[Langligger01],1)</f>
        <v/>
      </c>
      <c r="K345" s="20">
        <f>COUNTIFS(tData[SEHTrajectPeriodeDatumTijdVan],"&lt;="&amp;($A345+7/24),tData[SEHTrajectPeriodeDatumTijdTotEnMet],"&gt;"&amp;($A345+7/24),tData[Langligger01],1)</f>
        <v/>
      </c>
      <c r="L345" s="20">
        <f>COUNTIFS(tData[SEHTrajectPeriodeDatumTijdVan],"&lt;="&amp;($A345+8/24),tData[SEHTrajectPeriodeDatumTijdTotEnMet],"&gt;"&amp;($A345+8/24),tData[Langligger01],1)</f>
        <v/>
      </c>
      <c r="M345" s="20">
        <f>COUNTIFS(tData[SEHTrajectPeriodeDatumTijdVan],"&lt;="&amp;($A345+9/24),tData[SEHTrajectPeriodeDatumTijdTotEnMet],"&gt;"&amp;($A345+9/24),tData[Langligger01],1)</f>
        <v/>
      </c>
      <c r="N345" s="20">
        <f>COUNTIFS(tData[SEHTrajectPeriodeDatumTijdVan],"&lt;="&amp;($A345+10/24),tData[SEHTrajectPeriodeDatumTijdTotEnMet],"&gt;"&amp;($A345+10/24),tData[Langligger01],1)</f>
        <v/>
      </c>
      <c r="O345" s="20">
        <f>COUNTIFS(tData[SEHTrajectPeriodeDatumTijdVan],"&lt;="&amp;($A345+11/24),tData[SEHTrajectPeriodeDatumTijdTotEnMet],"&gt;"&amp;($A345+11/24),tData[Langligger01],1)</f>
        <v/>
      </c>
      <c r="P345" s="20">
        <f>COUNTIFS(tData[SEHTrajectPeriodeDatumTijdVan],"&lt;="&amp;($A345+12/24),tData[SEHTrajectPeriodeDatumTijdTotEnMet],"&gt;"&amp;($A345+12/24),tData[Langligger01],1)</f>
        <v/>
      </c>
      <c r="Q345" s="20">
        <f>COUNTIFS(tData[SEHTrajectPeriodeDatumTijdVan],"&lt;="&amp;($A345+13/24),tData[SEHTrajectPeriodeDatumTijdTotEnMet],"&gt;"&amp;($A345+13/24),tData[Langligger01],1)</f>
        <v/>
      </c>
      <c r="R345" s="20">
        <f>COUNTIFS(tData[SEHTrajectPeriodeDatumTijdVan],"&lt;="&amp;($A345+14/24),tData[SEHTrajectPeriodeDatumTijdTotEnMet],"&gt;"&amp;($A345+14/24),tData[Langligger01],1)</f>
        <v/>
      </c>
      <c r="S345" s="20">
        <f>COUNTIFS(tData[SEHTrajectPeriodeDatumTijdVan],"&lt;="&amp;($A345+15/24),tData[SEHTrajectPeriodeDatumTijdTotEnMet],"&gt;"&amp;($A345+15/24),tData[Langligger01],1)</f>
        <v/>
      </c>
      <c r="T345" s="20">
        <f>COUNTIFS(tData[SEHTrajectPeriodeDatumTijdVan],"&lt;="&amp;($A345+16/24),tData[SEHTrajectPeriodeDatumTijdTotEnMet],"&gt;"&amp;($A345+16/24),tData[Langligger01],1)</f>
        <v/>
      </c>
      <c r="U345" s="20">
        <f>COUNTIFS(tData[SEHTrajectPeriodeDatumTijdVan],"&lt;="&amp;($A345+17/24),tData[SEHTrajectPeriodeDatumTijdTotEnMet],"&gt;"&amp;($A345+17/24),tData[Langligger01],1)</f>
        <v/>
      </c>
      <c r="V345" s="20">
        <f>COUNTIFS(tData[SEHTrajectPeriodeDatumTijdVan],"&lt;="&amp;($A345+18/24),tData[SEHTrajectPeriodeDatumTijdTotEnMet],"&gt;"&amp;($A345+18/24),tData[Langligger01],1)</f>
        <v/>
      </c>
      <c r="W345" s="20">
        <f>COUNTIFS(tData[SEHTrajectPeriodeDatumTijdVan],"&lt;="&amp;($A345+19/24),tData[SEHTrajectPeriodeDatumTijdTotEnMet],"&gt;"&amp;($A345+19/24),tData[Langligger01],1)</f>
        <v/>
      </c>
      <c r="X345" s="20">
        <f>COUNTIFS(tData[SEHTrajectPeriodeDatumTijdVan],"&lt;="&amp;($A345+20/24),tData[SEHTrajectPeriodeDatumTijdTotEnMet],"&gt;"&amp;($A345+20/24),tData[Langligger01],1)</f>
        <v/>
      </c>
      <c r="Y345" s="20">
        <f>COUNTIFS(tData[SEHTrajectPeriodeDatumTijdVan],"&lt;="&amp;($A345+21/24),tData[SEHTrajectPeriodeDatumTijdTotEnMet],"&gt;"&amp;($A345+21/24),tData[Langligger01],1)</f>
        <v/>
      </c>
      <c r="Z345" s="20">
        <f>COUNTIFS(tData[SEHTrajectPeriodeDatumTijdVan],"&lt;="&amp;($A345+22/24),tData[SEHTrajectPeriodeDatumTijdTotEnMet],"&gt;"&amp;($A345+22/24),tData[Langligger01],1)</f>
        <v/>
      </c>
      <c r="AA345" s="20">
        <f>COUNTIFS(tData[SEHTrajectPeriodeDatumTijdVan],"&lt;="&amp;($A345+23/24),tData[SEHTrajectPeriodeDatumTijdTotEnMet],"&gt;"&amp;($A345+23/24),tData[Langligger01],1)</f>
        <v/>
      </c>
    </row>
    <row r="346">
      <c r="A346" s="19" t="n">
        <v>45634</v>
      </c>
      <c r="B346" s="15">
        <f>WEEKDAY($A346,2)</f>
        <v/>
      </c>
      <c r="C346" s="15">
        <f>IF(AND($A346&gt;=INT(Instellingen!$B$5),$A346&lt;=INT(Instellingen!$B$6)),1,0)</f>
        <v/>
      </c>
      <c r="D346" s="20">
        <f>COUNTIFS(tData[SEHTrajectPeriodeDatumTijdVan],"&lt;="&amp;($A346+0/24),tData[SEHTrajectPeriodeDatumTijdTotEnMet],"&gt;"&amp;($A346+0/24),tData[Langligger01],1)</f>
        <v/>
      </c>
      <c r="E346" s="20">
        <f>COUNTIFS(tData[SEHTrajectPeriodeDatumTijdVan],"&lt;="&amp;($A346+1/24),tData[SEHTrajectPeriodeDatumTijdTotEnMet],"&gt;"&amp;($A346+1/24),tData[Langligger01],1)</f>
        <v/>
      </c>
      <c r="F346" s="20">
        <f>COUNTIFS(tData[SEHTrajectPeriodeDatumTijdVan],"&lt;="&amp;($A346+2/24),tData[SEHTrajectPeriodeDatumTijdTotEnMet],"&gt;"&amp;($A346+2/24),tData[Langligger01],1)</f>
        <v/>
      </c>
      <c r="G346" s="20">
        <f>COUNTIFS(tData[SEHTrajectPeriodeDatumTijdVan],"&lt;="&amp;($A346+3/24),tData[SEHTrajectPeriodeDatumTijdTotEnMet],"&gt;"&amp;($A346+3/24),tData[Langligger01],1)</f>
        <v/>
      </c>
      <c r="H346" s="20">
        <f>COUNTIFS(tData[SEHTrajectPeriodeDatumTijdVan],"&lt;="&amp;($A346+4/24),tData[SEHTrajectPeriodeDatumTijdTotEnMet],"&gt;"&amp;($A346+4/24),tData[Langligger01],1)</f>
        <v/>
      </c>
      <c r="I346" s="20">
        <f>COUNTIFS(tData[SEHTrajectPeriodeDatumTijdVan],"&lt;="&amp;($A346+5/24),tData[SEHTrajectPeriodeDatumTijdTotEnMet],"&gt;"&amp;($A346+5/24),tData[Langligger01],1)</f>
        <v/>
      </c>
      <c r="J346" s="20">
        <f>COUNTIFS(tData[SEHTrajectPeriodeDatumTijdVan],"&lt;="&amp;($A346+6/24),tData[SEHTrajectPeriodeDatumTijdTotEnMet],"&gt;"&amp;($A346+6/24),tData[Langligger01],1)</f>
        <v/>
      </c>
      <c r="K346" s="20">
        <f>COUNTIFS(tData[SEHTrajectPeriodeDatumTijdVan],"&lt;="&amp;($A346+7/24),tData[SEHTrajectPeriodeDatumTijdTotEnMet],"&gt;"&amp;($A346+7/24),tData[Langligger01],1)</f>
        <v/>
      </c>
      <c r="L346" s="20">
        <f>COUNTIFS(tData[SEHTrajectPeriodeDatumTijdVan],"&lt;="&amp;($A346+8/24),tData[SEHTrajectPeriodeDatumTijdTotEnMet],"&gt;"&amp;($A346+8/24),tData[Langligger01],1)</f>
        <v/>
      </c>
      <c r="M346" s="20">
        <f>COUNTIFS(tData[SEHTrajectPeriodeDatumTijdVan],"&lt;="&amp;($A346+9/24),tData[SEHTrajectPeriodeDatumTijdTotEnMet],"&gt;"&amp;($A346+9/24),tData[Langligger01],1)</f>
        <v/>
      </c>
      <c r="N346" s="20">
        <f>COUNTIFS(tData[SEHTrajectPeriodeDatumTijdVan],"&lt;="&amp;($A346+10/24),tData[SEHTrajectPeriodeDatumTijdTotEnMet],"&gt;"&amp;($A346+10/24),tData[Langligger01],1)</f>
        <v/>
      </c>
      <c r="O346" s="20">
        <f>COUNTIFS(tData[SEHTrajectPeriodeDatumTijdVan],"&lt;="&amp;($A346+11/24),tData[SEHTrajectPeriodeDatumTijdTotEnMet],"&gt;"&amp;($A346+11/24),tData[Langligger01],1)</f>
        <v/>
      </c>
      <c r="P346" s="20">
        <f>COUNTIFS(tData[SEHTrajectPeriodeDatumTijdVan],"&lt;="&amp;($A346+12/24),tData[SEHTrajectPeriodeDatumTijdTotEnMet],"&gt;"&amp;($A346+12/24),tData[Langligger01],1)</f>
        <v/>
      </c>
      <c r="Q346" s="20">
        <f>COUNTIFS(tData[SEHTrajectPeriodeDatumTijdVan],"&lt;="&amp;($A346+13/24),tData[SEHTrajectPeriodeDatumTijdTotEnMet],"&gt;"&amp;($A346+13/24),tData[Langligger01],1)</f>
        <v/>
      </c>
      <c r="R346" s="20">
        <f>COUNTIFS(tData[SEHTrajectPeriodeDatumTijdVan],"&lt;="&amp;($A346+14/24),tData[SEHTrajectPeriodeDatumTijdTotEnMet],"&gt;"&amp;($A346+14/24),tData[Langligger01],1)</f>
        <v/>
      </c>
      <c r="S346" s="20">
        <f>COUNTIFS(tData[SEHTrajectPeriodeDatumTijdVan],"&lt;="&amp;($A346+15/24),tData[SEHTrajectPeriodeDatumTijdTotEnMet],"&gt;"&amp;($A346+15/24),tData[Langligger01],1)</f>
        <v/>
      </c>
      <c r="T346" s="20">
        <f>COUNTIFS(tData[SEHTrajectPeriodeDatumTijdVan],"&lt;="&amp;($A346+16/24),tData[SEHTrajectPeriodeDatumTijdTotEnMet],"&gt;"&amp;($A346+16/24),tData[Langligger01],1)</f>
        <v/>
      </c>
      <c r="U346" s="20">
        <f>COUNTIFS(tData[SEHTrajectPeriodeDatumTijdVan],"&lt;="&amp;($A346+17/24),tData[SEHTrajectPeriodeDatumTijdTotEnMet],"&gt;"&amp;($A346+17/24),tData[Langligger01],1)</f>
        <v/>
      </c>
      <c r="V346" s="20">
        <f>COUNTIFS(tData[SEHTrajectPeriodeDatumTijdVan],"&lt;="&amp;($A346+18/24),tData[SEHTrajectPeriodeDatumTijdTotEnMet],"&gt;"&amp;($A346+18/24),tData[Langligger01],1)</f>
        <v/>
      </c>
      <c r="W346" s="20">
        <f>COUNTIFS(tData[SEHTrajectPeriodeDatumTijdVan],"&lt;="&amp;($A346+19/24),tData[SEHTrajectPeriodeDatumTijdTotEnMet],"&gt;"&amp;($A346+19/24),tData[Langligger01],1)</f>
        <v/>
      </c>
      <c r="X346" s="20">
        <f>COUNTIFS(tData[SEHTrajectPeriodeDatumTijdVan],"&lt;="&amp;($A346+20/24),tData[SEHTrajectPeriodeDatumTijdTotEnMet],"&gt;"&amp;($A346+20/24),tData[Langligger01],1)</f>
        <v/>
      </c>
      <c r="Y346" s="20">
        <f>COUNTIFS(tData[SEHTrajectPeriodeDatumTijdVan],"&lt;="&amp;($A346+21/24),tData[SEHTrajectPeriodeDatumTijdTotEnMet],"&gt;"&amp;($A346+21/24),tData[Langligger01],1)</f>
        <v/>
      </c>
      <c r="Z346" s="20">
        <f>COUNTIFS(tData[SEHTrajectPeriodeDatumTijdVan],"&lt;="&amp;($A346+22/24),tData[SEHTrajectPeriodeDatumTijdTotEnMet],"&gt;"&amp;($A346+22/24),tData[Langligger01],1)</f>
        <v/>
      </c>
      <c r="AA346" s="20">
        <f>COUNTIFS(tData[SEHTrajectPeriodeDatumTijdVan],"&lt;="&amp;($A346+23/24),tData[SEHTrajectPeriodeDatumTijdTotEnMet],"&gt;"&amp;($A346+23/24),tData[Langligger01],1)</f>
        <v/>
      </c>
    </row>
    <row r="347">
      <c r="A347" s="19" t="n">
        <v>45635</v>
      </c>
      <c r="B347" s="15">
        <f>WEEKDAY($A347,2)</f>
        <v/>
      </c>
      <c r="C347" s="15">
        <f>IF(AND($A347&gt;=INT(Instellingen!$B$5),$A347&lt;=INT(Instellingen!$B$6)),1,0)</f>
        <v/>
      </c>
      <c r="D347" s="20">
        <f>COUNTIFS(tData[SEHTrajectPeriodeDatumTijdVan],"&lt;="&amp;($A347+0/24),tData[SEHTrajectPeriodeDatumTijdTotEnMet],"&gt;"&amp;($A347+0/24),tData[Langligger01],1)</f>
        <v/>
      </c>
      <c r="E347" s="20">
        <f>COUNTIFS(tData[SEHTrajectPeriodeDatumTijdVan],"&lt;="&amp;($A347+1/24),tData[SEHTrajectPeriodeDatumTijdTotEnMet],"&gt;"&amp;($A347+1/24),tData[Langligger01],1)</f>
        <v/>
      </c>
      <c r="F347" s="20">
        <f>COUNTIFS(tData[SEHTrajectPeriodeDatumTijdVan],"&lt;="&amp;($A347+2/24),tData[SEHTrajectPeriodeDatumTijdTotEnMet],"&gt;"&amp;($A347+2/24),tData[Langligger01],1)</f>
        <v/>
      </c>
      <c r="G347" s="20">
        <f>COUNTIFS(tData[SEHTrajectPeriodeDatumTijdVan],"&lt;="&amp;($A347+3/24),tData[SEHTrajectPeriodeDatumTijdTotEnMet],"&gt;"&amp;($A347+3/24),tData[Langligger01],1)</f>
        <v/>
      </c>
      <c r="H347" s="20">
        <f>COUNTIFS(tData[SEHTrajectPeriodeDatumTijdVan],"&lt;="&amp;($A347+4/24),tData[SEHTrajectPeriodeDatumTijdTotEnMet],"&gt;"&amp;($A347+4/24),tData[Langligger01],1)</f>
        <v/>
      </c>
      <c r="I347" s="20">
        <f>COUNTIFS(tData[SEHTrajectPeriodeDatumTijdVan],"&lt;="&amp;($A347+5/24),tData[SEHTrajectPeriodeDatumTijdTotEnMet],"&gt;"&amp;($A347+5/24),tData[Langligger01],1)</f>
        <v/>
      </c>
      <c r="J347" s="20">
        <f>COUNTIFS(tData[SEHTrajectPeriodeDatumTijdVan],"&lt;="&amp;($A347+6/24),tData[SEHTrajectPeriodeDatumTijdTotEnMet],"&gt;"&amp;($A347+6/24),tData[Langligger01],1)</f>
        <v/>
      </c>
      <c r="K347" s="20">
        <f>COUNTIFS(tData[SEHTrajectPeriodeDatumTijdVan],"&lt;="&amp;($A347+7/24),tData[SEHTrajectPeriodeDatumTijdTotEnMet],"&gt;"&amp;($A347+7/24),tData[Langligger01],1)</f>
        <v/>
      </c>
      <c r="L347" s="20">
        <f>COUNTIFS(tData[SEHTrajectPeriodeDatumTijdVan],"&lt;="&amp;($A347+8/24),tData[SEHTrajectPeriodeDatumTijdTotEnMet],"&gt;"&amp;($A347+8/24),tData[Langligger01],1)</f>
        <v/>
      </c>
      <c r="M347" s="20">
        <f>COUNTIFS(tData[SEHTrajectPeriodeDatumTijdVan],"&lt;="&amp;($A347+9/24),tData[SEHTrajectPeriodeDatumTijdTotEnMet],"&gt;"&amp;($A347+9/24),tData[Langligger01],1)</f>
        <v/>
      </c>
      <c r="N347" s="20">
        <f>COUNTIFS(tData[SEHTrajectPeriodeDatumTijdVan],"&lt;="&amp;($A347+10/24),tData[SEHTrajectPeriodeDatumTijdTotEnMet],"&gt;"&amp;($A347+10/24),tData[Langligger01],1)</f>
        <v/>
      </c>
      <c r="O347" s="20">
        <f>COUNTIFS(tData[SEHTrajectPeriodeDatumTijdVan],"&lt;="&amp;($A347+11/24),tData[SEHTrajectPeriodeDatumTijdTotEnMet],"&gt;"&amp;($A347+11/24),tData[Langligger01],1)</f>
        <v/>
      </c>
      <c r="P347" s="20">
        <f>COUNTIFS(tData[SEHTrajectPeriodeDatumTijdVan],"&lt;="&amp;($A347+12/24),tData[SEHTrajectPeriodeDatumTijdTotEnMet],"&gt;"&amp;($A347+12/24),tData[Langligger01],1)</f>
        <v/>
      </c>
      <c r="Q347" s="20">
        <f>COUNTIFS(tData[SEHTrajectPeriodeDatumTijdVan],"&lt;="&amp;($A347+13/24),tData[SEHTrajectPeriodeDatumTijdTotEnMet],"&gt;"&amp;($A347+13/24),tData[Langligger01],1)</f>
        <v/>
      </c>
      <c r="R347" s="20">
        <f>COUNTIFS(tData[SEHTrajectPeriodeDatumTijdVan],"&lt;="&amp;($A347+14/24),tData[SEHTrajectPeriodeDatumTijdTotEnMet],"&gt;"&amp;($A347+14/24),tData[Langligger01],1)</f>
        <v/>
      </c>
      <c r="S347" s="20">
        <f>COUNTIFS(tData[SEHTrajectPeriodeDatumTijdVan],"&lt;="&amp;($A347+15/24),tData[SEHTrajectPeriodeDatumTijdTotEnMet],"&gt;"&amp;($A347+15/24),tData[Langligger01],1)</f>
        <v/>
      </c>
      <c r="T347" s="20">
        <f>COUNTIFS(tData[SEHTrajectPeriodeDatumTijdVan],"&lt;="&amp;($A347+16/24),tData[SEHTrajectPeriodeDatumTijdTotEnMet],"&gt;"&amp;($A347+16/24),tData[Langligger01],1)</f>
        <v/>
      </c>
      <c r="U347" s="20">
        <f>COUNTIFS(tData[SEHTrajectPeriodeDatumTijdVan],"&lt;="&amp;($A347+17/24),tData[SEHTrajectPeriodeDatumTijdTotEnMet],"&gt;"&amp;($A347+17/24),tData[Langligger01],1)</f>
        <v/>
      </c>
      <c r="V347" s="20">
        <f>COUNTIFS(tData[SEHTrajectPeriodeDatumTijdVan],"&lt;="&amp;($A347+18/24),tData[SEHTrajectPeriodeDatumTijdTotEnMet],"&gt;"&amp;($A347+18/24),tData[Langligger01],1)</f>
        <v/>
      </c>
      <c r="W347" s="20">
        <f>COUNTIFS(tData[SEHTrajectPeriodeDatumTijdVan],"&lt;="&amp;($A347+19/24),tData[SEHTrajectPeriodeDatumTijdTotEnMet],"&gt;"&amp;($A347+19/24),tData[Langligger01],1)</f>
        <v/>
      </c>
      <c r="X347" s="20">
        <f>COUNTIFS(tData[SEHTrajectPeriodeDatumTijdVan],"&lt;="&amp;($A347+20/24),tData[SEHTrajectPeriodeDatumTijdTotEnMet],"&gt;"&amp;($A347+20/24),tData[Langligger01],1)</f>
        <v/>
      </c>
      <c r="Y347" s="20">
        <f>COUNTIFS(tData[SEHTrajectPeriodeDatumTijdVan],"&lt;="&amp;($A347+21/24),tData[SEHTrajectPeriodeDatumTijdTotEnMet],"&gt;"&amp;($A347+21/24),tData[Langligger01],1)</f>
        <v/>
      </c>
      <c r="Z347" s="20">
        <f>COUNTIFS(tData[SEHTrajectPeriodeDatumTijdVan],"&lt;="&amp;($A347+22/24),tData[SEHTrajectPeriodeDatumTijdTotEnMet],"&gt;"&amp;($A347+22/24),tData[Langligger01],1)</f>
        <v/>
      </c>
      <c r="AA347" s="20">
        <f>COUNTIFS(tData[SEHTrajectPeriodeDatumTijdVan],"&lt;="&amp;($A347+23/24),tData[SEHTrajectPeriodeDatumTijdTotEnMet],"&gt;"&amp;($A347+23/24),tData[Langligger01],1)</f>
        <v/>
      </c>
    </row>
    <row r="348">
      <c r="A348" s="19" t="n">
        <v>45636</v>
      </c>
      <c r="B348" s="15">
        <f>WEEKDAY($A348,2)</f>
        <v/>
      </c>
      <c r="C348" s="15">
        <f>IF(AND($A348&gt;=INT(Instellingen!$B$5),$A348&lt;=INT(Instellingen!$B$6)),1,0)</f>
        <v/>
      </c>
      <c r="D348" s="20">
        <f>COUNTIFS(tData[SEHTrajectPeriodeDatumTijdVan],"&lt;="&amp;($A348+0/24),tData[SEHTrajectPeriodeDatumTijdTotEnMet],"&gt;"&amp;($A348+0/24),tData[Langligger01],1)</f>
        <v/>
      </c>
      <c r="E348" s="20">
        <f>COUNTIFS(tData[SEHTrajectPeriodeDatumTijdVan],"&lt;="&amp;($A348+1/24),tData[SEHTrajectPeriodeDatumTijdTotEnMet],"&gt;"&amp;($A348+1/24),tData[Langligger01],1)</f>
        <v/>
      </c>
      <c r="F348" s="20">
        <f>COUNTIFS(tData[SEHTrajectPeriodeDatumTijdVan],"&lt;="&amp;($A348+2/24),tData[SEHTrajectPeriodeDatumTijdTotEnMet],"&gt;"&amp;($A348+2/24),tData[Langligger01],1)</f>
        <v/>
      </c>
      <c r="G348" s="20">
        <f>COUNTIFS(tData[SEHTrajectPeriodeDatumTijdVan],"&lt;="&amp;($A348+3/24),tData[SEHTrajectPeriodeDatumTijdTotEnMet],"&gt;"&amp;($A348+3/24),tData[Langligger01],1)</f>
        <v/>
      </c>
      <c r="H348" s="20">
        <f>COUNTIFS(tData[SEHTrajectPeriodeDatumTijdVan],"&lt;="&amp;($A348+4/24),tData[SEHTrajectPeriodeDatumTijdTotEnMet],"&gt;"&amp;($A348+4/24),tData[Langligger01],1)</f>
        <v/>
      </c>
      <c r="I348" s="20">
        <f>COUNTIFS(tData[SEHTrajectPeriodeDatumTijdVan],"&lt;="&amp;($A348+5/24),tData[SEHTrajectPeriodeDatumTijdTotEnMet],"&gt;"&amp;($A348+5/24),tData[Langligger01],1)</f>
        <v/>
      </c>
      <c r="J348" s="20">
        <f>COUNTIFS(tData[SEHTrajectPeriodeDatumTijdVan],"&lt;="&amp;($A348+6/24),tData[SEHTrajectPeriodeDatumTijdTotEnMet],"&gt;"&amp;($A348+6/24),tData[Langligger01],1)</f>
        <v/>
      </c>
      <c r="K348" s="20">
        <f>COUNTIFS(tData[SEHTrajectPeriodeDatumTijdVan],"&lt;="&amp;($A348+7/24),tData[SEHTrajectPeriodeDatumTijdTotEnMet],"&gt;"&amp;($A348+7/24),tData[Langligger01],1)</f>
        <v/>
      </c>
      <c r="L348" s="20">
        <f>COUNTIFS(tData[SEHTrajectPeriodeDatumTijdVan],"&lt;="&amp;($A348+8/24),tData[SEHTrajectPeriodeDatumTijdTotEnMet],"&gt;"&amp;($A348+8/24),tData[Langligger01],1)</f>
        <v/>
      </c>
      <c r="M348" s="20">
        <f>COUNTIFS(tData[SEHTrajectPeriodeDatumTijdVan],"&lt;="&amp;($A348+9/24),tData[SEHTrajectPeriodeDatumTijdTotEnMet],"&gt;"&amp;($A348+9/24),tData[Langligger01],1)</f>
        <v/>
      </c>
      <c r="N348" s="20">
        <f>COUNTIFS(tData[SEHTrajectPeriodeDatumTijdVan],"&lt;="&amp;($A348+10/24),tData[SEHTrajectPeriodeDatumTijdTotEnMet],"&gt;"&amp;($A348+10/24),tData[Langligger01],1)</f>
        <v/>
      </c>
      <c r="O348" s="20">
        <f>COUNTIFS(tData[SEHTrajectPeriodeDatumTijdVan],"&lt;="&amp;($A348+11/24),tData[SEHTrajectPeriodeDatumTijdTotEnMet],"&gt;"&amp;($A348+11/24),tData[Langligger01],1)</f>
        <v/>
      </c>
      <c r="P348" s="20">
        <f>COUNTIFS(tData[SEHTrajectPeriodeDatumTijdVan],"&lt;="&amp;($A348+12/24),tData[SEHTrajectPeriodeDatumTijdTotEnMet],"&gt;"&amp;($A348+12/24),tData[Langligger01],1)</f>
        <v/>
      </c>
      <c r="Q348" s="20">
        <f>COUNTIFS(tData[SEHTrajectPeriodeDatumTijdVan],"&lt;="&amp;($A348+13/24),tData[SEHTrajectPeriodeDatumTijdTotEnMet],"&gt;"&amp;($A348+13/24),tData[Langligger01],1)</f>
        <v/>
      </c>
      <c r="R348" s="20">
        <f>COUNTIFS(tData[SEHTrajectPeriodeDatumTijdVan],"&lt;="&amp;($A348+14/24),tData[SEHTrajectPeriodeDatumTijdTotEnMet],"&gt;"&amp;($A348+14/24),tData[Langligger01],1)</f>
        <v/>
      </c>
      <c r="S348" s="20">
        <f>COUNTIFS(tData[SEHTrajectPeriodeDatumTijdVan],"&lt;="&amp;($A348+15/24),tData[SEHTrajectPeriodeDatumTijdTotEnMet],"&gt;"&amp;($A348+15/24),tData[Langligger01],1)</f>
        <v/>
      </c>
      <c r="T348" s="20">
        <f>COUNTIFS(tData[SEHTrajectPeriodeDatumTijdVan],"&lt;="&amp;($A348+16/24),tData[SEHTrajectPeriodeDatumTijdTotEnMet],"&gt;"&amp;($A348+16/24),tData[Langligger01],1)</f>
        <v/>
      </c>
      <c r="U348" s="20">
        <f>COUNTIFS(tData[SEHTrajectPeriodeDatumTijdVan],"&lt;="&amp;($A348+17/24),tData[SEHTrajectPeriodeDatumTijdTotEnMet],"&gt;"&amp;($A348+17/24),tData[Langligger01],1)</f>
        <v/>
      </c>
      <c r="V348" s="20">
        <f>COUNTIFS(tData[SEHTrajectPeriodeDatumTijdVan],"&lt;="&amp;($A348+18/24),tData[SEHTrajectPeriodeDatumTijdTotEnMet],"&gt;"&amp;($A348+18/24),tData[Langligger01],1)</f>
        <v/>
      </c>
      <c r="W348" s="20">
        <f>COUNTIFS(tData[SEHTrajectPeriodeDatumTijdVan],"&lt;="&amp;($A348+19/24),tData[SEHTrajectPeriodeDatumTijdTotEnMet],"&gt;"&amp;($A348+19/24),tData[Langligger01],1)</f>
        <v/>
      </c>
      <c r="X348" s="20">
        <f>COUNTIFS(tData[SEHTrajectPeriodeDatumTijdVan],"&lt;="&amp;($A348+20/24),tData[SEHTrajectPeriodeDatumTijdTotEnMet],"&gt;"&amp;($A348+20/24),tData[Langligger01],1)</f>
        <v/>
      </c>
      <c r="Y348" s="20">
        <f>COUNTIFS(tData[SEHTrajectPeriodeDatumTijdVan],"&lt;="&amp;($A348+21/24),tData[SEHTrajectPeriodeDatumTijdTotEnMet],"&gt;"&amp;($A348+21/24),tData[Langligger01],1)</f>
        <v/>
      </c>
      <c r="Z348" s="20">
        <f>COUNTIFS(tData[SEHTrajectPeriodeDatumTijdVan],"&lt;="&amp;($A348+22/24),tData[SEHTrajectPeriodeDatumTijdTotEnMet],"&gt;"&amp;($A348+22/24),tData[Langligger01],1)</f>
        <v/>
      </c>
      <c r="AA348" s="20">
        <f>COUNTIFS(tData[SEHTrajectPeriodeDatumTijdVan],"&lt;="&amp;($A348+23/24),tData[SEHTrajectPeriodeDatumTijdTotEnMet],"&gt;"&amp;($A348+23/24),tData[Langligger01],1)</f>
        <v/>
      </c>
    </row>
    <row r="349">
      <c r="A349" s="19" t="n">
        <v>45637</v>
      </c>
      <c r="B349" s="15">
        <f>WEEKDAY($A349,2)</f>
        <v/>
      </c>
      <c r="C349" s="15">
        <f>IF(AND($A349&gt;=INT(Instellingen!$B$5),$A349&lt;=INT(Instellingen!$B$6)),1,0)</f>
        <v/>
      </c>
      <c r="D349" s="20">
        <f>COUNTIFS(tData[SEHTrajectPeriodeDatumTijdVan],"&lt;="&amp;($A349+0/24),tData[SEHTrajectPeriodeDatumTijdTotEnMet],"&gt;"&amp;($A349+0/24),tData[Langligger01],1)</f>
        <v/>
      </c>
      <c r="E349" s="20">
        <f>COUNTIFS(tData[SEHTrajectPeriodeDatumTijdVan],"&lt;="&amp;($A349+1/24),tData[SEHTrajectPeriodeDatumTijdTotEnMet],"&gt;"&amp;($A349+1/24),tData[Langligger01],1)</f>
        <v/>
      </c>
      <c r="F349" s="20">
        <f>COUNTIFS(tData[SEHTrajectPeriodeDatumTijdVan],"&lt;="&amp;($A349+2/24),tData[SEHTrajectPeriodeDatumTijdTotEnMet],"&gt;"&amp;($A349+2/24),tData[Langligger01],1)</f>
        <v/>
      </c>
      <c r="G349" s="20">
        <f>COUNTIFS(tData[SEHTrajectPeriodeDatumTijdVan],"&lt;="&amp;($A349+3/24),tData[SEHTrajectPeriodeDatumTijdTotEnMet],"&gt;"&amp;($A349+3/24),tData[Langligger01],1)</f>
        <v/>
      </c>
      <c r="H349" s="20">
        <f>COUNTIFS(tData[SEHTrajectPeriodeDatumTijdVan],"&lt;="&amp;($A349+4/24),tData[SEHTrajectPeriodeDatumTijdTotEnMet],"&gt;"&amp;($A349+4/24),tData[Langligger01],1)</f>
        <v/>
      </c>
      <c r="I349" s="20">
        <f>COUNTIFS(tData[SEHTrajectPeriodeDatumTijdVan],"&lt;="&amp;($A349+5/24),tData[SEHTrajectPeriodeDatumTijdTotEnMet],"&gt;"&amp;($A349+5/24),tData[Langligger01],1)</f>
        <v/>
      </c>
      <c r="J349" s="20">
        <f>COUNTIFS(tData[SEHTrajectPeriodeDatumTijdVan],"&lt;="&amp;($A349+6/24),tData[SEHTrajectPeriodeDatumTijdTotEnMet],"&gt;"&amp;($A349+6/24),tData[Langligger01],1)</f>
        <v/>
      </c>
      <c r="K349" s="20">
        <f>COUNTIFS(tData[SEHTrajectPeriodeDatumTijdVan],"&lt;="&amp;($A349+7/24),tData[SEHTrajectPeriodeDatumTijdTotEnMet],"&gt;"&amp;($A349+7/24),tData[Langligger01],1)</f>
        <v/>
      </c>
      <c r="L349" s="20">
        <f>COUNTIFS(tData[SEHTrajectPeriodeDatumTijdVan],"&lt;="&amp;($A349+8/24),tData[SEHTrajectPeriodeDatumTijdTotEnMet],"&gt;"&amp;($A349+8/24),tData[Langligger01],1)</f>
        <v/>
      </c>
      <c r="M349" s="20">
        <f>COUNTIFS(tData[SEHTrajectPeriodeDatumTijdVan],"&lt;="&amp;($A349+9/24),tData[SEHTrajectPeriodeDatumTijdTotEnMet],"&gt;"&amp;($A349+9/24),tData[Langligger01],1)</f>
        <v/>
      </c>
      <c r="N349" s="20">
        <f>COUNTIFS(tData[SEHTrajectPeriodeDatumTijdVan],"&lt;="&amp;($A349+10/24),tData[SEHTrajectPeriodeDatumTijdTotEnMet],"&gt;"&amp;($A349+10/24),tData[Langligger01],1)</f>
        <v/>
      </c>
      <c r="O349" s="20">
        <f>COUNTIFS(tData[SEHTrajectPeriodeDatumTijdVan],"&lt;="&amp;($A349+11/24),tData[SEHTrajectPeriodeDatumTijdTotEnMet],"&gt;"&amp;($A349+11/24),tData[Langligger01],1)</f>
        <v/>
      </c>
      <c r="P349" s="20">
        <f>COUNTIFS(tData[SEHTrajectPeriodeDatumTijdVan],"&lt;="&amp;($A349+12/24),tData[SEHTrajectPeriodeDatumTijdTotEnMet],"&gt;"&amp;($A349+12/24),tData[Langligger01],1)</f>
        <v/>
      </c>
      <c r="Q349" s="20">
        <f>COUNTIFS(tData[SEHTrajectPeriodeDatumTijdVan],"&lt;="&amp;($A349+13/24),tData[SEHTrajectPeriodeDatumTijdTotEnMet],"&gt;"&amp;($A349+13/24),tData[Langligger01],1)</f>
        <v/>
      </c>
      <c r="R349" s="20">
        <f>COUNTIFS(tData[SEHTrajectPeriodeDatumTijdVan],"&lt;="&amp;($A349+14/24),tData[SEHTrajectPeriodeDatumTijdTotEnMet],"&gt;"&amp;($A349+14/24),tData[Langligger01],1)</f>
        <v/>
      </c>
      <c r="S349" s="20">
        <f>COUNTIFS(tData[SEHTrajectPeriodeDatumTijdVan],"&lt;="&amp;($A349+15/24),tData[SEHTrajectPeriodeDatumTijdTotEnMet],"&gt;"&amp;($A349+15/24),tData[Langligger01],1)</f>
        <v/>
      </c>
      <c r="T349" s="20">
        <f>COUNTIFS(tData[SEHTrajectPeriodeDatumTijdVan],"&lt;="&amp;($A349+16/24),tData[SEHTrajectPeriodeDatumTijdTotEnMet],"&gt;"&amp;($A349+16/24),tData[Langligger01],1)</f>
        <v/>
      </c>
      <c r="U349" s="20">
        <f>COUNTIFS(tData[SEHTrajectPeriodeDatumTijdVan],"&lt;="&amp;($A349+17/24),tData[SEHTrajectPeriodeDatumTijdTotEnMet],"&gt;"&amp;($A349+17/24),tData[Langligger01],1)</f>
        <v/>
      </c>
      <c r="V349" s="20">
        <f>COUNTIFS(tData[SEHTrajectPeriodeDatumTijdVan],"&lt;="&amp;($A349+18/24),tData[SEHTrajectPeriodeDatumTijdTotEnMet],"&gt;"&amp;($A349+18/24),tData[Langligger01],1)</f>
        <v/>
      </c>
      <c r="W349" s="20">
        <f>COUNTIFS(tData[SEHTrajectPeriodeDatumTijdVan],"&lt;="&amp;($A349+19/24),tData[SEHTrajectPeriodeDatumTijdTotEnMet],"&gt;"&amp;($A349+19/24),tData[Langligger01],1)</f>
        <v/>
      </c>
      <c r="X349" s="20">
        <f>COUNTIFS(tData[SEHTrajectPeriodeDatumTijdVan],"&lt;="&amp;($A349+20/24),tData[SEHTrajectPeriodeDatumTijdTotEnMet],"&gt;"&amp;($A349+20/24),tData[Langligger01],1)</f>
        <v/>
      </c>
      <c r="Y349" s="20">
        <f>COUNTIFS(tData[SEHTrajectPeriodeDatumTijdVan],"&lt;="&amp;($A349+21/24),tData[SEHTrajectPeriodeDatumTijdTotEnMet],"&gt;"&amp;($A349+21/24),tData[Langligger01],1)</f>
        <v/>
      </c>
      <c r="Z349" s="20">
        <f>COUNTIFS(tData[SEHTrajectPeriodeDatumTijdVan],"&lt;="&amp;($A349+22/24),tData[SEHTrajectPeriodeDatumTijdTotEnMet],"&gt;"&amp;($A349+22/24),tData[Langligger01],1)</f>
        <v/>
      </c>
      <c r="AA349" s="20">
        <f>COUNTIFS(tData[SEHTrajectPeriodeDatumTijdVan],"&lt;="&amp;($A349+23/24),tData[SEHTrajectPeriodeDatumTijdTotEnMet],"&gt;"&amp;($A349+23/24),tData[Langligger01],1)</f>
        <v/>
      </c>
    </row>
    <row r="350">
      <c r="A350" s="19" t="n">
        <v>45638</v>
      </c>
      <c r="B350" s="15">
        <f>WEEKDAY($A350,2)</f>
        <v/>
      </c>
      <c r="C350" s="15">
        <f>IF(AND($A350&gt;=INT(Instellingen!$B$5),$A350&lt;=INT(Instellingen!$B$6)),1,0)</f>
        <v/>
      </c>
      <c r="D350" s="20">
        <f>COUNTIFS(tData[SEHTrajectPeriodeDatumTijdVan],"&lt;="&amp;($A350+0/24),tData[SEHTrajectPeriodeDatumTijdTotEnMet],"&gt;"&amp;($A350+0/24),tData[Langligger01],1)</f>
        <v/>
      </c>
      <c r="E350" s="20">
        <f>COUNTIFS(tData[SEHTrajectPeriodeDatumTijdVan],"&lt;="&amp;($A350+1/24),tData[SEHTrajectPeriodeDatumTijdTotEnMet],"&gt;"&amp;($A350+1/24),tData[Langligger01],1)</f>
        <v/>
      </c>
      <c r="F350" s="20">
        <f>COUNTIFS(tData[SEHTrajectPeriodeDatumTijdVan],"&lt;="&amp;($A350+2/24),tData[SEHTrajectPeriodeDatumTijdTotEnMet],"&gt;"&amp;($A350+2/24),tData[Langligger01],1)</f>
        <v/>
      </c>
      <c r="G350" s="20">
        <f>COUNTIFS(tData[SEHTrajectPeriodeDatumTijdVan],"&lt;="&amp;($A350+3/24),tData[SEHTrajectPeriodeDatumTijdTotEnMet],"&gt;"&amp;($A350+3/24),tData[Langligger01],1)</f>
        <v/>
      </c>
      <c r="H350" s="20">
        <f>COUNTIFS(tData[SEHTrajectPeriodeDatumTijdVan],"&lt;="&amp;($A350+4/24),tData[SEHTrajectPeriodeDatumTijdTotEnMet],"&gt;"&amp;($A350+4/24),tData[Langligger01],1)</f>
        <v/>
      </c>
      <c r="I350" s="20">
        <f>COUNTIFS(tData[SEHTrajectPeriodeDatumTijdVan],"&lt;="&amp;($A350+5/24),tData[SEHTrajectPeriodeDatumTijdTotEnMet],"&gt;"&amp;($A350+5/24),tData[Langligger01],1)</f>
        <v/>
      </c>
      <c r="J350" s="20">
        <f>COUNTIFS(tData[SEHTrajectPeriodeDatumTijdVan],"&lt;="&amp;($A350+6/24),tData[SEHTrajectPeriodeDatumTijdTotEnMet],"&gt;"&amp;($A350+6/24),tData[Langligger01],1)</f>
        <v/>
      </c>
      <c r="K350" s="20">
        <f>COUNTIFS(tData[SEHTrajectPeriodeDatumTijdVan],"&lt;="&amp;($A350+7/24),tData[SEHTrajectPeriodeDatumTijdTotEnMet],"&gt;"&amp;($A350+7/24),tData[Langligger01],1)</f>
        <v/>
      </c>
      <c r="L350" s="20">
        <f>COUNTIFS(tData[SEHTrajectPeriodeDatumTijdVan],"&lt;="&amp;($A350+8/24),tData[SEHTrajectPeriodeDatumTijdTotEnMet],"&gt;"&amp;($A350+8/24),tData[Langligger01],1)</f>
        <v/>
      </c>
      <c r="M350" s="20">
        <f>COUNTIFS(tData[SEHTrajectPeriodeDatumTijdVan],"&lt;="&amp;($A350+9/24),tData[SEHTrajectPeriodeDatumTijdTotEnMet],"&gt;"&amp;($A350+9/24),tData[Langligger01],1)</f>
        <v/>
      </c>
      <c r="N350" s="20">
        <f>COUNTIFS(tData[SEHTrajectPeriodeDatumTijdVan],"&lt;="&amp;($A350+10/24),tData[SEHTrajectPeriodeDatumTijdTotEnMet],"&gt;"&amp;($A350+10/24),tData[Langligger01],1)</f>
        <v/>
      </c>
      <c r="O350" s="20">
        <f>COUNTIFS(tData[SEHTrajectPeriodeDatumTijdVan],"&lt;="&amp;($A350+11/24),tData[SEHTrajectPeriodeDatumTijdTotEnMet],"&gt;"&amp;($A350+11/24),tData[Langligger01],1)</f>
        <v/>
      </c>
      <c r="P350" s="20">
        <f>COUNTIFS(tData[SEHTrajectPeriodeDatumTijdVan],"&lt;="&amp;($A350+12/24),tData[SEHTrajectPeriodeDatumTijdTotEnMet],"&gt;"&amp;($A350+12/24),tData[Langligger01],1)</f>
        <v/>
      </c>
      <c r="Q350" s="20">
        <f>COUNTIFS(tData[SEHTrajectPeriodeDatumTijdVan],"&lt;="&amp;($A350+13/24),tData[SEHTrajectPeriodeDatumTijdTotEnMet],"&gt;"&amp;($A350+13/24),tData[Langligger01],1)</f>
        <v/>
      </c>
      <c r="R350" s="20">
        <f>COUNTIFS(tData[SEHTrajectPeriodeDatumTijdVan],"&lt;="&amp;($A350+14/24),tData[SEHTrajectPeriodeDatumTijdTotEnMet],"&gt;"&amp;($A350+14/24),tData[Langligger01],1)</f>
        <v/>
      </c>
      <c r="S350" s="20">
        <f>COUNTIFS(tData[SEHTrajectPeriodeDatumTijdVan],"&lt;="&amp;($A350+15/24),tData[SEHTrajectPeriodeDatumTijdTotEnMet],"&gt;"&amp;($A350+15/24),tData[Langligger01],1)</f>
        <v/>
      </c>
      <c r="T350" s="20">
        <f>COUNTIFS(tData[SEHTrajectPeriodeDatumTijdVan],"&lt;="&amp;($A350+16/24),tData[SEHTrajectPeriodeDatumTijdTotEnMet],"&gt;"&amp;($A350+16/24),tData[Langligger01],1)</f>
        <v/>
      </c>
      <c r="U350" s="20">
        <f>COUNTIFS(tData[SEHTrajectPeriodeDatumTijdVan],"&lt;="&amp;($A350+17/24),tData[SEHTrajectPeriodeDatumTijdTotEnMet],"&gt;"&amp;($A350+17/24),tData[Langligger01],1)</f>
        <v/>
      </c>
      <c r="V350" s="20">
        <f>COUNTIFS(tData[SEHTrajectPeriodeDatumTijdVan],"&lt;="&amp;($A350+18/24),tData[SEHTrajectPeriodeDatumTijdTotEnMet],"&gt;"&amp;($A350+18/24),tData[Langligger01],1)</f>
        <v/>
      </c>
      <c r="W350" s="20">
        <f>COUNTIFS(tData[SEHTrajectPeriodeDatumTijdVan],"&lt;="&amp;($A350+19/24),tData[SEHTrajectPeriodeDatumTijdTotEnMet],"&gt;"&amp;($A350+19/24),tData[Langligger01],1)</f>
        <v/>
      </c>
      <c r="X350" s="20">
        <f>COUNTIFS(tData[SEHTrajectPeriodeDatumTijdVan],"&lt;="&amp;($A350+20/24),tData[SEHTrajectPeriodeDatumTijdTotEnMet],"&gt;"&amp;($A350+20/24),tData[Langligger01],1)</f>
        <v/>
      </c>
      <c r="Y350" s="20">
        <f>COUNTIFS(tData[SEHTrajectPeriodeDatumTijdVan],"&lt;="&amp;($A350+21/24),tData[SEHTrajectPeriodeDatumTijdTotEnMet],"&gt;"&amp;($A350+21/24),tData[Langligger01],1)</f>
        <v/>
      </c>
      <c r="Z350" s="20">
        <f>COUNTIFS(tData[SEHTrajectPeriodeDatumTijdVan],"&lt;="&amp;($A350+22/24),tData[SEHTrajectPeriodeDatumTijdTotEnMet],"&gt;"&amp;($A350+22/24),tData[Langligger01],1)</f>
        <v/>
      </c>
      <c r="AA350" s="20">
        <f>COUNTIFS(tData[SEHTrajectPeriodeDatumTijdVan],"&lt;="&amp;($A350+23/24),tData[SEHTrajectPeriodeDatumTijdTotEnMet],"&gt;"&amp;($A350+23/24),tData[Langligger01],1)</f>
        <v/>
      </c>
    </row>
    <row r="351">
      <c r="A351" s="19" t="n">
        <v>45639</v>
      </c>
      <c r="B351" s="15">
        <f>WEEKDAY($A351,2)</f>
        <v/>
      </c>
      <c r="C351" s="15">
        <f>IF(AND($A351&gt;=INT(Instellingen!$B$5),$A351&lt;=INT(Instellingen!$B$6)),1,0)</f>
        <v/>
      </c>
      <c r="D351" s="20">
        <f>COUNTIFS(tData[SEHTrajectPeriodeDatumTijdVan],"&lt;="&amp;($A351+0/24),tData[SEHTrajectPeriodeDatumTijdTotEnMet],"&gt;"&amp;($A351+0/24),tData[Langligger01],1)</f>
        <v/>
      </c>
      <c r="E351" s="20">
        <f>COUNTIFS(tData[SEHTrajectPeriodeDatumTijdVan],"&lt;="&amp;($A351+1/24),tData[SEHTrajectPeriodeDatumTijdTotEnMet],"&gt;"&amp;($A351+1/24),tData[Langligger01],1)</f>
        <v/>
      </c>
      <c r="F351" s="20">
        <f>COUNTIFS(tData[SEHTrajectPeriodeDatumTijdVan],"&lt;="&amp;($A351+2/24),tData[SEHTrajectPeriodeDatumTijdTotEnMet],"&gt;"&amp;($A351+2/24),tData[Langligger01],1)</f>
        <v/>
      </c>
      <c r="G351" s="20">
        <f>COUNTIFS(tData[SEHTrajectPeriodeDatumTijdVan],"&lt;="&amp;($A351+3/24),tData[SEHTrajectPeriodeDatumTijdTotEnMet],"&gt;"&amp;($A351+3/24),tData[Langligger01],1)</f>
        <v/>
      </c>
      <c r="H351" s="20">
        <f>COUNTIFS(tData[SEHTrajectPeriodeDatumTijdVan],"&lt;="&amp;($A351+4/24),tData[SEHTrajectPeriodeDatumTijdTotEnMet],"&gt;"&amp;($A351+4/24),tData[Langligger01],1)</f>
        <v/>
      </c>
      <c r="I351" s="20">
        <f>COUNTIFS(tData[SEHTrajectPeriodeDatumTijdVan],"&lt;="&amp;($A351+5/24),tData[SEHTrajectPeriodeDatumTijdTotEnMet],"&gt;"&amp;($A351+5/24),tData[Langligger01],1)</f>
        <v/>
      </c>
      <c r="J351" s="20">
        <f>COUNTIFS(tData[SEHTrajectPeriodeDatumTijdVan],"&lt;="&amp;($A351+6/24),tData[SEHTrajectPeriodeDatumTijdTotEnMet],"&gt;"&amp;($A351+6/24),tData[Langligger01],1)</f>
        <v/>
      </c>
      <c r="K351" s="20">
        <f>COUNTIFS(tData[SEHTrajectPeriodeDatumTijdVan],"&lt;="&amp;($A351+7/24),tData[SEHTrajectPeriodeDatumTijdTotEnMet],"&gt;"&amp;($A351+7/24),tData[Langligger01],1)</f>
        <v/>
      </c>
      <c r="L351" s="20">
        <f>COUNTIFS(tData[SEHTrajectPeriodeDatumTijdVan],"&lt;="&amp;($A351+8/24),tData[SEHTrajectPeriodeDatumTijdTotEnMet],"&gt;"&amp;($A351+8/24),tData[Langligger01],1)</f>
        <v/>
      </c>
      <c r="M351" s="20">
        <f>COUNTIFS(tData[SEHTrajectPeriodeDatumTijdVan],"&lt;="&amp;($A351+9/24),tData[SEHTrajectPeriodeDatumTijdTotEnMet],"&gt;"&amp;($A351+9/24),tData[Langligger01],1)</f>
        <v/>
      </c>
      <c r="N351" s="20">
        <f>COUNTIFS(tData[SEHTrajectPeriodeDatumTijdVan],"&lt;="&amp;($A351+10/24),tData[SEHTrajectPeriodeDatumTijdTotEnMet],"&gt;"&amp;($A351+10/24),tData[Langligger01],1)</f>
        <v/>
      </c>
      <c r="O351" s="20">
        <f>COUNTIFS(tData[SEHTrajectPeriodeDatumTijdVan],"&lt;="&amp;($A351+11/24),tData[SEHTrajectPeriodeDatumTijdTotEnMet],"&gt;"&amp;($A351+11/24),tData[Langligger01],1)</f>
        <v/>
      </c>
      <c r="P351" s="20">
        <f>COUNTIFS(tData[SEHTrajectPeriodeDatumTijdVan],"&lt;="&amp;($A351+12/24),tData[SEHTrajectPeriodeDatumTijdTotEnMet],"&gt;"&amp;($A351+12/24),tData[Langligger01],1)</f>
        <v/>
      </c>
      <c r="Q351" s="20">
        <f>COUNTIFS(tData[SEHTrajectPeriodeDatumTijdVan],"&lt;="&amp;($A351+13/24),tData[SEHTrajectPeriodeDatumTijdTotEnMet],"&gt;"&amp;($A351+13/24),tData[Langligger01],1)</f>
        <v/>
      </c>
      <c r="R351" s="20">
        <f>COUNTIFS(tData[SEHTrajectPeriodeDatumTijdVan],"&lt;="&amp;($A351+14/24),tData[SEHTrajectPeriodeDatumTijdTotEnMet],"&gt;"&amp;($A351+14/24),tData[Langligger01],1)</f>
        <v/>
      </c>
      <c r="S351" s="20">
        <f>COUNTIFS(tData[SEHTrajectPeriodeDatumTijdVan],"&lt;="&amp;($A351+15/24),tData[SEHTrajectPeriodeDatumTijdTotEnMet],"&gt;"&amp;($A351+15/24),tData[Langligger01],1)</f>
        <v/>
      </c>
      <c r="T351" s="20">
        <f>COUNTIFS(tData[SEHTrajectPeriodeDatumTijdVan],"&lt;="&amp;($A351+16/24),tData[SEHTrajectPeriodeDatumTijdTotEnMet],"&gt;"&amp;($A351+16/24),tData[Langligger01],1)</f>
        <v/>
      </c>
      <c r="U351" s="20">
        <f>COUNTIFS(tData[SEHTrajectPeriodeDatumTijdVan],"&lt;="&amp;($A351+17/24),tData[SEHTrajectPeriodeDatumTijdTotEnMet],"&gt;"&amp;($A351+17/24),tData[Langligger01],1)</f>
        <v/>
      </c>
      <c r="V351" s="20">
        <f>COUNTIFS(tData[SEHTrajectPeriodeDatumTijdVan],"&lt;="&amp;($A351+18/24),tData[SEHTrajectPeriodeDatumTijdTotEnMet],"&gt;"&amp;($A351+18/24),tData[Langligger01],1)</f>
        <v/>
      </c>
      <c r="W351" s="20">
        <f>COUNTIFS(tData[SEHTrajectPeriodeDatumTijdVan],"&lt;="&amp;($A351+19/24),tData[SEHTrajectPeriodeDatumTijdTotEnMet],"&gt;"&amp;($A351+19/24),tData[Langligger01],1)</f>
        <v/>
      </c>
      <c r="X351" s="20">
        <f>COUNTIFS(tData[SEHTrajectPeriodeDatumTijdVan],"&lt;="&amp;($A351+20/24),tData[SEHTrajectPeriodeDatumTijdTotEnMet],"&gt;"&amp;($A351+20/24),tData[Langligger01],1)</f>
        <v/>
      </c>
      <c r="Y351" s="20">
        <f>COUNTIFS(tData[SEHTrajectPeriodeDatumTijdVan],"&lt;="&amp;($A351+21/24),tData[SEHTrajectPeriodeDatumTijdTotEnMet],"&gt;"&amp;($A351+21/24),tData[Langligger01],1)</f>
        <v/>
      </c>
      <c r="Z351" s="20">
        <f>COUNTIFS(tData[SEHTrajectPeriodeDatumTijdVan],"&lt;="&amp;($A351+22/24),tData[SEHTrajectPeriodeDatumTijdTotEnMet],"&gt;"&amp;($A351+22/24),tData[Langligger01],1)</f>
        <v/>
      </c>
      <c r="AA351" s="20">
        <f>COUNTIFS(tData[SEHTrajectPeriodeDatumTijdVan],"&lt;="&amp;($A351+23/24),tData[SEHTrajectPeriodeDatumTijdTotEnMet],"&gt;"&amp;($A351+23/24),tData[Langligger01],1)</f>
        <v/>
      </c>
    </row>
    <row r="352">
      <c r="A352" s="19" t="n">
        <v>45640</v>
      </c>
      <c r="B352" s="15">
        <f>WEEKDAY($A352,2)</f>
        <v/>
      </c>
      <c r="C352" s="15">
        <f>IF(AND($A352&gt;=INT(Instellingen!$B$5),$A352&lt;=INT(Instellingen!$B$6)),1,0)</f>
        <v/>
      </c>
      <c r="D352" s="20">
        <f>COUNTIFS(tData[SEHTrajectPeriodeDatumTijdVan],"&lt;="&amp;($A352+0/24),tData[SEHTrajectPeriodeDatumTijdTotEnMet],"&gt;"&amp;($A352+0/24),tData[Langligger01],1)</f>
        <v/>
      </c>
      <c r="E352" s="20">
        <f>COUNTIFS(tData[SEHTrajectPeriodeDatumTijdVan],"&lt;="&amp;($A352+1/24),tData[SEHTrajectPeriodeDatumTijdTotEnMet],"&gt;"&amp;($A352+1/24),tData[Langligger01],1)</f>
        <v/>
      </c>
      <c r="F352" s="20">
        <f>COUNTIFS(tData[SEHTrajectPeriodeDatumTijdVan],"&lt;="&amp;($A352+2/24),tData[SEHTrajectPeriodeDatumTijdTotEnMet],"&gt;"&amp;($A352+2/24),tData[Langligger01],1)</f>
        <v/>
      </c>
      <c r="G352" s="20">
        <f>COUNTIFS(tData[SEHTrajectPeriodeDatumTijdVan],"&lt;="&amp;($A352+3/24),tData[SEHTrajectPeriodeDatumTijdTotEnMet],"&gt;"&amp;($A352+3/24),tData[Langligger01],1)</f>
        <v/>
      </c>
      <c r="H352" s="20">
        <f>COUNTIFS(tData[SEHTrajectPeriodeDatumTijdVan],"&lt;="&amp;($A352+4/24),tData[SEHTrajectPeriodeDatumTijdTotEnMet],"&gt;"&amp;($A352+4/24),tData[Langligger01],1)</f>
        <v/>
      </c>
      <c r="I352" s="20">
        <f>COUNTIFS(tData[SEHTrajectPeriodeDatumTijdVan],"&lt;="&amp;($A352+5/24),tData[SEHTrajectPeriodeDatumTijdTotEnMet],"&gt;"&amp;($A352+5/24),tData[Langligger01],1)</f>
        <v/>
      </c>
      <c r="J352" s="20">
        <f>COUNTIFS(tData[SEHTrajectPeriodeDatumTijdVan],"&lt;="&amp;($A352+6/24),tData[SEHTrajectPeriodeDatumTijdTotEnMet],"&gt;"&amp;($A352+6/24),tData[Langligger01],1)</f>
        <v/>
      </c>
      <c r="K352" s="20">
        <f>COUNTIFS(tData[SEHTrajectPeriodeDatumTijdVan],"&lt;="&amp;($A352+7/24),tData[SEHTrajectPeriodeDatumTijdTotEnMet],"&gt;"&amp;($A352+7/24),tData[Langligger01],1)</f>
        <v/>
      </c>
      <c r="L352" s="20">
        <f>COUNTIFS(tData[SEHTrajectPeriodeDatumTijdVan],"&lt;="&amp;($A352+8/24),tData[SEHTrajectPeriodeDatumTijdTotEnMet],"&gt;"&amp;($A352+8/24),tData[Langligger01],1)</f>
        <v/>
      </c>
      <c r="M352" s="20">
        <f>COUNTIFS(tData[SEHTrajectPeriodeDatumTijdVan],"&lt;="&amp;($A352+9/24),tData[SEHTrajectPeriodeDatumTijdTotEnMet],"&gt;"&amp;($A352+9/24),tData[Langligger01],1)</f>
        <v/>
      </c>
      <c r="N352" s="20">
        <f>COUNTIFS(tData[SEHTrajectPeriodeDatumTijdVan],"&lt;="&amp;($A352+10/24),tData[SEHTrajectPeriodeDatumTijdTotEnMet],"&gt;"&amp;($A352+10/24),tData[Langligger01],1)</f>
        <v/>
      </c>
      <c r="O352" s="20">
        <f>COUNTIFS(tData[SEHTrajectPeriodeDatumTijdVan],"&lt;="&amp;($A352+11/24),tData[SEHTrajectPeriodeDatumTijdTotEnMet],"&gt;"&amp;($A352+11/24),tData[Langligger01],1)</f>
        <v/>
      </c>
      <c r="P352" s="20">
        <f>COUNTIFS(tData[SEHTrajectPeriodeDatumTijdVan],"&lt;="&amp;($A352+12/24),tData[SEHTrajectPeriodeDatumTijdTotEnMet],"&gt;"&amp;($A352+12/24),tData[Langligger01],1)</f>
        <v/>
      </c>
      <c r="Q352" s="20">
        <f>COUNTIFS(tData[SEHTrajectPeriodeDatumTijdVan],"&lt;="&amp;($A352+13/24),tData[SEHTrajectPeriodeDatumTijdTotEnMet],"&gt;"&amp;($A352+13/24),tData[Langligger01],1)</f>
        <v/>
      </c>
      <c r="R352" s="20">
        <f>COUNTIFS(tData[SEHTrajectPeriodeDatumTijdVan],"&lt;="&amp;($A352+14/24),tData[SEHTrajectPeriodeDatumTijdTotEnMet],"&gt;"&amp;($A352+14/24),tData[Langligger01],1)</f>
        <v/>
      </c>
      <c r="S352" s="20">
        <f>COUNTIFS(tData[SEHTrajectPeriodeDatumTijdVan],"&lt;="&amp;($A352+15/24),tData[SEHTrajectPeriodeDatumTijdTotEnMet],"&gt;"&amp;($A352+15/24),tData[Langligger01],1)</f>
        <v/>
      </c>
      <c r="T352" s="20">
        <f>COUNTIFS(tData[SEHTrajectPeriodeDatumTijdVan],"&lt;="&amp;($A352+16/24),tData[SEHTrajectPeriodeDatumTijdTotEnMet],"&gt;"&amp;($A352+16/24),tData[Langligger01],1)</f>
        <v/>
      </c>
      <c r="U352" s="20">
        <f>COUNTIFS(tData[SEHTrajectPeriodeDatumTijdVan],"&lt;="&amp;($A352+17/24),tData[SEHTrajectPeriodeDatumTijdTotEnMet],"&gt;"&amp;($A352+17/24),tData[Langligger01],1)</f>
        <v/>
      </c>
      <c r="V352" s="20">
        <f>COUNTIFS(tData[SEHTrajectPeriodeDatumTijdVan],"&lt;="&amp;($A352+18/24),tData[SEHTrajectPeriodeDatumTijdTotEnMet],"&gt;"&amp;($A352+18/24),tData[Langligger01],1)</f>
        <v/>
      </c>
      <c r="W352" s="20">
        <f>COUNTIFS(tData[SEHTrajectPeriodeDatumTijdVan],"&lt;="&amp;($A352+19/24),tData[SEHTrajectPeriodeDatumTijdTotEnMet],"&gt;"&amp;($A352+19/24),tData[Langligger01],1)</f>
        <v/>
      </c>
      <c r="X352" s="20">
        <f>COUNTIFS(tData[SEHTrajectPeriodeDatumTijdVan],"&lt;="&amp;($A352+20/24),tData[SEHTrajectPeriodeDatumTijdTotEnMet],"&gt;"&amp;($A352+20/24),tData[Langligger01],1)</f>
        <v/>
      </c>
      <c r="Y352" s="20">
        <f>COUNTIFS(tData[SEHTrajectPeriodeDatumTijdVan],"&lt;="&amp;($A352+21/24),tData[SEHTrajectPeriodeDatumTijdTotEnMet],"&gt;"&amp;($A352+21/24),tData[Langligger01],1)</f>
        <v/>
      </c>
      <c r="Z352" s="20">
        <f>COUNTIFS(tData[SEHTrajectPeriodeDatumTijdVan],"&lt;="&amp;($A352+22/24),tData[SEHTrajectPeriodeDatumTijdTotEnMet],"&gt;"&amp;($A352+22/24),tData[Langligger01],1)</f>
        <v/>
      </c>
      <c r="AA352" s="20">
        <f>COUNTIFS(tData[SEHTrajectPeriodeDatumTijdVan],"&lt;="&amp;($A352+23/24),tData[SEHTrajectPeriodeDatumTijdTotEnMet],"&gt;"&amp;($A352+23/24),tData[Langligger01],1)</f>
        <v/>
      </c>
    </row>
    <row r="353">
      <c r="A353" s="19" t="n">
        <v>45641</v>
      </c>
      <c r="B353" s="15">
        <f>WEEKDAY($A353,2)</f>
        <v/>
      </c>
      <c r="C353" s="15">
        <f>IF(AND($A353&gt;=INT(Instellingen!$B$5),$A353&lt;=INT(Instellingen!$B$6)),1,0)</f>
        <v/>
      </c>
      <c r="D353" s="20">
        <f>COUNTIFS(tData[SEHTrajectPeriodeDatumTijdVan],"&lt;="&amp;($A353+0/24),tData[SEHTrajectPeriodeDatumTijdTotEnMet],"&gt;"&amp;($A353+0/24),tData[Langligger01],1)</f>
        <v/>
      </c>
      <c r="E353" s="20">
        <f>COUNTIFS(tData[SEHTrajectPeriodeDatumTijdVan],"&lt;="&amp;($A353+1/24),tData[SEHTrajectPeriodeDatumTijdTotEnMet],"&gt;"&amp;($A353+1/24),tData[Langligger01],1)</f>
        <v/>
      </c>
      <c r="F353" s="20">
        <f>COUNTIFS(tData[SEHTrajectPeriodeDatumTijdVan],"&lt;="&amp;($A353+2/24),tData[SEHTrajectPeriodeDatumTijdTotEnMet],"&gt;"&amp;($A353+2/24),tData[Langligger01],1)</f>
        <v/>
      </c>
      <c r="G353" s="20">
        <f>COUNTIFS(tData[SEHTrajectPeriodeDatumTijdVan],"&lt;="&amp;($A353+3/24),tData[SEHTrajectPeriodeDatumTijdTotEnMet],"&gt;"&amp;($A353+3/24),tData[Langligger01],1)</f>
        <v/>
      </c>
      <c r="H353" s="20">
        <f>COUNTIFS(tData[SEHTrajectPeriodeDatumTijdVan],"&lt;="&amp;($A353+4/24),tData[SEHTrajectPeriodeDatumTijdTotEnMet],"&gt;"&amp;($A353+4/24),tData[Langligger01],1)</f>
        <v/>
      </c>
      <c r="I353" s="20">
        <f>COUNTIFS(tData[SEHTrajectPeriodeDatumTijdVan],"&lt;="&amp;($A353+5/24),tData[SEHTrajectPeriodeDatumTijdTotEnMet],"&gt;"&amp;($A353+5/24),tData[Langligger01],1)</f>
        <v/>
      </c>
      <c r="J353" s="20">
        <f>COUNTIFS(tData[SEHTrajectPeriodeDatumTijdVan],"&lt;="&amp;($A353+6/24),tData[SEHTrajectPeriodeDatumTijdTotEnMet],"&gt;"&amp;($A353+6/24),tData[Langligger01],1)</f>
        <v/>
      </c>
      <c r="K353" s="20">
        <f>COUNTIFS(tData[SEHTrajectPeriodeDatumTijdVan],"&lt;="&amp;($A353+7/24),tData[SEHTrajectPeriodeDatumTijdTotEnMet],"&gt;"&amp;($A353+7/24),tData[Langligger01],1)</f>
        <v/>
      </c>
      <c r="L353" s="20">
        <f>COUNTIFS(tData[SEHTrajectPeriodeDatumTijdVan],"&lt;="&amp;($A353+8/24),tData[SEHTrajectPeriodeDatumTijdTotEnMet],"&gt;"&amp;($A353+8/24),tData[Langligger01],1)</f>
        <v/>
      </c>
      <c r="M353" s="20">
        <f>COUNTIFS(tData[SEHTrajectPeriodeDatumTijdVan],"&lt;="&amp;($A353+9/24),tData[SEHTrajectPeriodeDatumTijdTotEnMet],"&gt;"&amp;($A353+9/24),tData[Langligger01],1)</f>
        <v/>
      </c>
      <c r="N353" s="20">
        <f>COUNTIFS(tData[SEHTrajectPeriodeDatumTijdVan],"&lt;="&amp;($A353+10/24),tData[SEHTrajectPeriodeDatumTijdTotEnMet],"&gt;"&amp;($A353+10/24),tData[Langligger01],1)</f>
        <v/>
      </c>
      <c r="O353" s="20">
        <f>COUNTIFS(tData[SEHTrajectPeriodeDatumTijdVan],"&lt;="&amp;($A353+11/24),tData[SEHTrajectPeriodeDatumTijdTotEnMet],"&gt;"&amp;($A353+11/24),tData[Langligger01],1)</f>
        <v/>
      </c>
      <c r="P353" s="20">
        <f>COUNTIFS(tData[SEHTrajectPeriodeDatumTijdVan],"&lt;="&amp;($A353+12/24),tData[SEHTrajectPeriodeDatumTijdTotEnMet],"&gt;"&amp;($A353+12/24),tData[Langligger01],1)</f>
        <v/>
      </c>
      <c r="Q353" s="20">
        <f>COUNTIFS(tData[SEHTrajectPeriodeDatumTijdVan],"&lt;="&amp;($A353+13/24),tData[SEHTrajectPeriodeDatumTijdTotEnMet],"&gt;"&amp;($A353+13/24),tData[Langligger01],1)</f>
        <v/>
      </c>
      <c r="R353" s="20">
        <f>COUNTIFS(tData[SEHTrajectPeriodeDatumTijdVan],"&lt;="&amp;($A353+14/24),tData[SEHTrajectPeriodeDatumTijdTotEnMet],"&gt;"&amp;($A353+14/24),tData[Langligger01],1)</f>
        <v/>
      </c>
      <c r="S353" s="20">
        <f>COUNTIFS(tData[SEHTrajectPeriodeDatumTijdVan],"&lt;="&amp;($A353+15/24),tData[SEHTrajectPeriodeDatumTijdTotEnMet],"&gt;"&amp;($A353+15/24),tData[Langligger01],1)</f>
        <v/>
      </c>
      <c r="T353" s="20">
        <f>COUNTIFS(tData[SEHTrajectPeriodeDatumTijdVan],"&lt;="&amp;($A353+16/24),tData[SEHTrajectPeriodeDatumTijdTotEnMet],"&gt;"&amp;($A353+16/24),tData[Langligger01],1)</f>
        <v/>
      </c>
      <c r="U353" s="20">
        <f>COUNTIFS(tData[SEHTrajectPeriodeDatumTijdVan],"&lt;="&amp;($A353+17/24),tData[SEHTrajectPeriodeDatumTijdTotEnMet],"&gt;"&amp;($A353+17/24),tData[Langligger01],1)</f>
        <v/>
      </c>
      <c r="V353" s="20">
        <f>COUNTIFS(tData[SEHTrajectPeriodeDatumTijdVan],"&lt;="&amp;($A353+18/24),tData[SEHTrajectPeriodeDatumTijdTotEnMet],"&gt;"&amp;($A353+18/24),tData[Langligger01],1)</f>
        <v/>
      </c>
      <c r="W353" s="20">
        <f>COUNTIFS(tData[SEHTrajectPeriodeDatumTijdVan],"&lt;="&amp;($A353+19/24),tData[SEHTrajectPeriodeDatumTijdTotEnMet],"&gt;"&amp;($A353+19/24),tData[Langligger01],1)</f>
        <v/>
      </c>
      <c r="X353" s="20">
        <f>COUNTIFS(tData[SEHTrajectPeriodeDatumTijdVan],"&lt;="&amp;($A353+20/24),tData[SEHTrajectPeriodeDatumTijdTotEnMet],"&gt;"&amp;($A353+20/24),tData[Langligger01],1)</f>
        <v/>
      </c>
      <c r="Y353" s="20">
        <f>COUNTIFS(tData[SEHTrajectPeriodeDatumTijdVan],"&lt;="&amp;($A353+21/24),tData[SEHTrajectPeriodeDatumTijdTotEnMet],"&gt;"&amp;($A353+21/24),tData[Langligger01],1)</f>
        <v/>
      </c>
      <c r="Z353" s="20">
        <f>COUNTIFS(tData[SEHTrajectPeriodeDatumTijdVan],"&lt;="&amp;($A353+22/24),tData[SEHTrajectPeriodeDatumTijdTotEnMet],"&gt;"&amp;($A353+22/24),tData[Langligger01],1)</f>
        <v/>
      </c>
      <c r="AA353" s="20">
        <f>COUNTIFS(tData[SEHTrajectPeriodeDatumTijdVan],"&lt;="&amp;($A353+23/24),tData[SEHTrajectPeriodeDatumTijdTotEnMet],"&gt;"&amp;($A353+23/24),tData[Langligger01],1)</f>
        <v/>
      </c>
    </row>
    <row r="354">
      <c r="A354" s="19" t="n">
        <v>45642</v>
      </c>
      <c r="B354" s="15">
        <f>WEEKDAY($A354,2)</f>
        <v/>
      </c>
      <c r="C354" s="15">
        <f>IF(AND($A354&gt;=INT(Instellingen!$B$5),$A354&lt;=INT(Instellingen!$B$6)),1,0)</f>
        <v/>
      </c>
      <c r="D354" s="20">
        <f>COUNTIFS(tData[SEHTrajectPeriodeDatumTijdVan],"&lt;="&amp;($A354+0/24),tData[SEHTrajectPeriodeDatumTijdTotEnMet],"&gt;"&amp;($A354+0/24),tData[Langligger01],1)</f>
        <v/>
      </c>
      <c r="E354" s="20">
        <f>COUNTIFS(tData[SEHTrajectPeriodeDatumTijdVan],"&lt;="&amp;($A354+1/24),tData[SEHTrajectPeriodeDatumTijdTotEnMet],"&gt;"&amp;($A354+1/24),tData[Langligger01],1)</f>
        <v/>
      </c>
      <c r="F354" s="20">
        <f>COUNTIFS(tData[SEHTrajectPeriodeDatumTijdVan],"&lt;="&amp;($A354+2/24),tData[SEHTrajectPeriodeDatumTijdTotEnMet],"&gt;"&amp;($A354+2/24),tData[Langligger01],1)</f>
        <v/>
      </c>
      <c r="G354" s="20">
        <f>COUNTIFS(tData[SEHTrajectPeriodeDatumTijdVan],"&lt;="&amp;($A354+3/24),tData[SEHTrajectPeriodeDatumTijdTotEnMet],"&gt;"&amp;($A354+3/24),tData[Langligger01],1)</f>
        <v/>
      </c>
      <c r="H354" s="20">
        <f>COUNTIFS(tData[SEHTrajectPeriodeDatumTijdVan],"&lt;="&amp;($A354+4/24),tData[SEHTrajectPeriodeDatumTijdTotEnMet],"&gt;"&amp;($A354+4/24),tData[Langligger01],1)</f>
        <v/>
      </c>
      <c r="I354" s="20">
        <f>COUNTIFS(tData[SEHTrajectPeriodeDatumTijdVan],"&lt;="&amp;($A354+5/24),tData[SEHTrajectPeriodeDatumTijdTotEnMet],"&gt;"&amp;($A354+5/24),tData[Langligger01],1)</f>
        <v/>
      </c>
      <c r="J354" s="20">
        <f>COUNTIFS(tData[SEHTrajectPeriodeDatumTijdVan],"&lt;="&amp;($A354+6/24),tData[SEHTrajectPeriodeDatumTijdTotEnMet],"&gt;"&amp;($A354+6/24),tData[Langligger01],1)</f>
        <v/>
      </c>
      <c r="K354" s="20">
        <f>COUNTIFS(tData[SEHTrajectPeriodeDatumTijdVan],"&lt;="&amp;($A354+7/24),tData[SEHTrajectPeriodeDatumTijdTotEnMet],"&gt;"&amp;($A354+7/24),tData[Langligger01],1)</f>
        <v/>
      </c>
      <c r="L354" s="20">
        <f>COUNTIFS(tData[SEHTrajectPeriodeDatumTijdVan],"&lt;="&amp;($A354+8/24),tData[SEHTrajectPeriodeDatumTijdTotEnMet],"&gt;"&amp;($A354+8/24),tData[Langligger01],1)</f>
        <v/>
      </c>
      <c r="M354" s="20">
        <f>COUNTIFS(tData[SEHTrajectPeriodeDatumTijdVan],"&lt;="&amp;($A354+9/24),tData[SEHTrajectPeriodeDatumTijdTotEnMet],"&gt;"&amp;($A354+9/24),tData[Langligger01],1)</f>
        <v/>
      </c>
      <c r="N354" s="20">
        <f>COUNTIFS(tData[SEHTrajectPeriodeDatumTijdVan],"&lt;="&amp;($A354+10/24),tData[SEHTrajectPeriodeDatumTijdTotEnMet],"&gt;"&amp;($A354+10/24),tData[Langligger01],1)</f>
        <v/>
      </c>
      <c r="O354" s="20">
        <f>COUNTIFS(tData[SEHTrajectPeriodeDatumTijdVan],"&lt;="&amp;($A354+11/24),tData[SEHTrajectPeriodeDatumTijdTotEnMet],"&gt;"&amp;($A354+11/24),tData[Langligger01],1)</f>
        <v/>
      </c>
      <c r="P354" s="20">
        <f>COUNTIFS(tData[SEHTrajectPeriodeDatumTijdVan],"&lt;="&amp;($A354+12/24),tData[SEHTrajectPeriodeDatumTijdTotEnMet],"&gt;"&amp;($A354+12/24),tData[Langligger01],1)</f>
        <v/>
      </c>
      <c r="Q354" s="20">
        <f>COUNTIFS(tData[SEHTrajectPeriodeDatumTijdVan],"&lt;="&amp;($A354+13/24),tData[SEHTrajectPeriodeDatumTijdTotEnMet],"&gt;"&amp;($A354+13/24),tData[Langligger01],1)</f>
        <v/>
      </c>
      <c r="R354" s="20">
        <f>COUNTIFS(tData[SEHTrajectPeriodeDatumTijdVan],"&lt;="&amp;($A354+14/24),tData[SEHTrajectPeriodeDatumTijdTotEnMet],"&gt;"&amp;($A354+14/24),tData[Langligger01],1)</f>
        <v/>
      </c>
      <c r="S354" s="20">
        <f>COUNTIFS(tData[SEHTrajectPeriodeDatumTijdVan],"&lt;="&amp;($A354+15/24),tData[SEHTrajectPeriodeDatumTijdTotEnMet],"&gt;"&amp;($A354+15/24),tData[Langligger01],1)</f>
        <v/>
      </c>
      <c r="T354" s="20">
        <f>COUNTIFS(tData[SEHTrajectPeriodeDatumTijdVan],"&lt;="&amp;($A354+16/24),tData[SEHTrajectPeriodeDatumTijdTotEnMet],"&gt;"&amp;($A354+16/24),tData[Langligger01],1)</f>
        <v/>
      </c>
      <c r="U354" s="20">
        <f>COUNTIFS(tData[SEHTrajectPeriodeDatumTijdVan],"&lt;="&amp;($A354+17/24),tData[SEHTrajectPeriodeDatumTijdTotEnMet],"&gt;"&amp;($A354+17/24),tData[Langligger01],1)</f>
        <v/>
      </c>
      <c r="V354" s="20">
        <f>COUNTIFS(tData[SEHTrajectPeriodeDatumTijdVan],"&lt;="&amp;($A354+18/24),tData[SEHTrajectPeriodeDatumTijdTotEnMet],"&gt;"&amp;($A354+18/24),tData[Langligger01],1)</f>
        <v/>
      </c>
      <c r="W354" s="20">
        <f>COUNTIFS(tData[SEHTrajectPeriodeDatumTijdVan],"&lt;="&amp;($A354+19/24),tData[SEHTrajectPeriodeDatumTijdTotEnMet],"&gt;"&amp;($A354+19/24),tData[Langligger01],1)</f>
        <v/>
      </c>
      <c r="X354" s="20">
        <f>COUNTIFS(tData[SEHTrajectPeriodeDatumTijdVan],"&lt;="&amp;($A354+20/24),tData[SEHTrajectPeriodeDatumTijdTotEnMet],"&gt;"&amp;($A354+20/24),tData[Langligger01],1)</f>
        <v/>
      </c>
      <c r="Y354" s="20">
        <f>COUNTIFS(tData[SEHTrajectPeriodeDatumTijdVan],"&lt;="&amp;($A354+21/24),tData[SEHTrajectPeriodeDatumTijdTotEnMet],"&gt;"&amp;($A354+21/24),tData[Langligger01],1)</f>
        <v/>
      </c>
      <c r="Z354" s="20">
        <f>COUNTIFS(tData[SEHTrajectPeriodeDatumTijdVan],"&lt;="&amp;($A354+22/24),tData[SEHTrajectPeriodeDatumTijdTotEnMet],"&gt;"&amp;($A354+22/24),tData[Langligger01],1)</f>
        <v/>
      </c>
      <c r="AA354" s="20">
        <f>COUNTIFS(tData[SEHTrajectPeriodeDatumTijdVan],"&lt;="&amp;($A354+23/24),tData[SEHTrajectPeriodeDatumTijdTotEnMet],"&gt;"&amp;($A354+23/24),tData[Langligger01],1)</f>
        <v/>
      </c>
    </row>
    <row r="355">
      <c r="A355" s="19" t="n">
        <v>45643</v>
      </c>
      <c r="B355" s="15">
        <f>WEEKDAY($A355,2)</f>
        <v/>
      </c>
      <c r="C355" s="15">
        <f>IF(AND($A355&gt;=INT(Instellingen!$B$5),$A355&lt;=INT(Instellingen!$B$6)),1,0)</f>
        <v/>
      </c>
      <c r="D355" s="20">
        <f>COUNTIFS(tData[SEHTrajectPeriodeDatumTijdVan],"&lt;="&amp;($A355+0/24),tData[SEHTrajectPeriodeDatumTijdTotEnMet],"&gt;"&amp;($A355+0/24),tData[Langligger01],1)</f>
        <v/>
      </c>
      <c r="E355" s="20">
        <f>COUNTIFS(tData[SEHTrajectPeriodeDatumTijdVan],"&lt;="&amp;($A355+1/24),tData[SEHTrajectPeriodeDatumTijdTotEnMet],"&gt;"&amp;($A355+1/24),tData[Langligger01],1)</f>
        <v/>
      </c>
      <c r="F355" s="20">
        <f>COUNTIFS(tData[SEHTrajectPeriodeDatumTijdVan],"&lt;="&amp;($A355+2/24),tData[SEHTrajectPeriodeDatumTijdTotEnMet],"&gt;"&amp;($A355+2/24),tData[Langligger01],1)</f>
        <v/>
      </c>
      <c r="G355" s="20">
        <f>COUNTIFS(tData[SEHTrajectPeriodeDatumTijdVan],"&lt;="&amp;($A355+3/24),tData[SEHTrajectPeriodeDatumTijdTotEnMet],"&gt;"&amp;($A355+3/24),tData[Langligger01],1)</f>
        <v/>
      </c>
      <c r="H355" s="20">
        <f>COUNTIFS(tData[SEHTrajectPeriodeDatumTijdVan],"&lt;="&amp;($A355+4/24),tData[SEHTrajectPeriodeDatumTijdTotEnMet],"&gt;"&amp;($A355+4/24),tData[Langligger01],1)</f>
        <v/>
      </c>
      <c r="I355" s="20">
        <f>COUNTIFS(tData[SEHTrajectPeriodeDatumTijdVan],"&lt;="&amp;($A355+5/24),tData[SEHTrajectPeriodeDatumTijdTotEnMet],"&gt;"&amp;($A355+5/24),tData[Langligger01],1)</f>
        <v/>
      </c>
      <c r="J355" s="20">
        <f>COUNTIFS(tData[SEHTrajectPeriodeDatumTijdVan],"&lt;="&amp;($A355+6/24),tData[SEHTrajectPeriodeDatumTijdTotEnMet],"&gt;"&amp;($A355+6/24),tData[Langligger01],1)</f>
        <v/>
      </c>
      <c r="K355" s="20">
        <f>COUNTIFS(tData[SEHTrajectPeriodeDatumTijdVan],"&lt;="&amp;($A355+7/24),tData[SEHTrajectPeriodeDatumTijdTotEnMet],"&gt;"&amp;($A355+7/24),tData[Langligger01],1)</f>
        <v/>
      </c>
      <c r="L355" s="20">
        <f>COUNTIFS(tData[SEHTrajectPeriodeDatumTijdVan],"&lt;="&amp;($A355+8/24),tData[SEHTrajectPeriodeDatumTijdTotEnMet],"&gt;"&amp;($A355+8/24),tData[Langligger01],1)</f>
        <v/>
      </c>
      <c r="M355" s="20">
        <f>COUNTIFS(tData[SEHTrajectPeriodeDatumTijdVan],"&lt;="&amp;($A355+9/24),tData[SEHTrajectPeriodeDatumTijdTotEnMet],"&gt;"&amp;($A355+9/24),tData[Langligger01],1)</f>
        <v/>
      </c>
      <c r="N355" s="20">
        <f>COUNTIFS(tData[SEHTrajectPeriodeDatumTijdVan],"&lt;="&amp;($A355+10/24),tData[SEHTrajectPeriodeDatumTijdTotEnMet],"&gt;"&amp;($A355+10/24),tData[Langligger01],1)</f>
        <v/>
      </c>
      <c r="O355" s="20">
        <f>COUNTIFS(tData[SEHTrajectPeriodeDatumTijdVan],"&lt;="&amp;($A355+11/24),tData[SEHTrajectPeriodeDatumTijdTotEnMet],"&gt;"&amp;($A355+11/24),tData[Langligger01],1)</f>
        <v/>
      </c>
      <c r="P355" s="20">
        <f>COUNTIFS(tData[SEHTrajectPeriodeDatumTijdVan],"&lt;="&amp;($A355+12/24),tData[SEHTrajectPeriodeDatumTijdTotEnMet],"&gt;"&amp;($A355+12/24),tData[Langligger01],1)</f>
        <v/>
      </c>
      <c r="Q355" s="20">
        <f>COUNTIFS(tData[SEHTrajectPeriodeDatumTijdVan],"&lt;="&amp;($A355+13/24),tData[SEHTrajectPeriodeDatumTijdTotEnMet],"&gt;"&amp;($A355+13/24),tData[Langligger01],1)</f>
        <v/>
      </c>
      <c r="R355" s="20">
        <f>COUNTIFS(tData[SEHTrajectPeriodeDatumTijdVan],"&lt;="&amp;($A355+14/24),tData[SEHTrajectPeriodeDatumTijdTotEnMet],"&gt;"&amp;($A355+14/24),tData[Langligger01],1)</f>
        <v/>
      </c>
      <c r="S355" s="20">
        <f>COUNTIFS(tData[SEHTrajectPeriodeDatumTijdVan],"&lt;="&amp;($A355+15/24),tData[SEHTrajectPeriodeDatumTijdTotEnMet],"&gt;"&amp;($A355+15/24),tData[Langligger01],1)</f>
        <v/>
      </c>
      <c r="T355" s="20">
        <f>COUNTIFS(tData[SEHTrajectPeriodeDatumTijdVan],"&lt;="&amp;($A355+16/24),tData[SEHTrajectPeriodeDatumTijdTotEnMet],"&gt;"&amp;($A355+16/24),tData[Langligger01],1)</f>
        <v/>
      </c>
      <c r="U355" s="20">
        <f>COUNTIFS(tData[SEHTrajectPeriodeDatumTijdVan],"&lt;="&amp;($A355+17/24),tData[SEHTrajectPeriodeDatumTijdTotEnMet],"&gt;"&amp;($A355+17/24),tData[Langligger01],1)</f>
        <v/>
      </c>
      <c r="V355" s="20">
        <f>COUNTIFS(tData[SEHTrajectPeriodeDatumTijdVan],"&lt;="&amp;($A355+18/24),tData[SEHTrajectPeriodeDatumTijdTotEnMet],"&gt;"&amp;($A355+18/24),tData[Langligger01],1)</f>
        <v/>
      </c>
      <c r="W355" s="20">
        <f>COUNTIFS(tData[SEHTrajectPeriodeDatumTijdVan],"&lt;="&amp;($A355+19/24),tData[SEHTrajectPeriodeDatumTijdTotEnMet],"&gt;"&amp;($A355+19/24),tData[Langligger01],1)</f>
        <v/>
      </c>
      <c r="X355" s="20">
        <f>COUNTIFS(tData[SEHTrajectPeriodeDatumTijdVan],"&lt;="&amp;($A355+20/24),tData[SEHTrajectPeriodeDatumTijdTotEnMet],"&gt;"&amp;($A355+20/24),tData[Langligger01],1)</f>
        <v/>
      </c>
      <c r="Y355" s="20">
        <f>COUNTIFS(tData[SEHTrajectPeriodeDatumTijdVan],"&lt;="&amp;($A355+21/24),tData[SEHTrajectPeriodeDatumTijdTotEnMet],"&gt;"&amp;($A355+21/24),tData[Langligger01],1)</f>
        <v/>
      </c>
      <c r="Z355" s="20">
        <f>COUNTIFS(tData[SEHTrajectPeriodeDatumTijdVan],"&lt;="&amp;($A355+22/24),tData[SEHTrajectPeriodeDatumTijdTotEnMet],"&gt;"&amp;($A355+22/24),tData[Langligger01],1)</f>
        <v/>
      </c>
      <c r="AA355" s="20">
        <f>COUNTIFS(tData[SEHTrajectPeriodeDatumTijdVan],"&lt;="&amp;($A355+23/24),tData[SEHTrajectPeriodeDatumTijdTotEnMet],"&gt;"&amp;($A355+23/24),tData[Langligger01],1)</f>
        <v/>
      </c>
    </row>
    <row r="356">
      <c r="A356" s="19" t="n">
        <v>45644</v>
      </c>
      <c r="B356" s="15">
        <f>WEEKDAY($A356,2)</f>
        <v/>
      </c>
      <c r="C356" s="15">
        <f>IF(AND($A356&gt;=INT(Instellingen!$B$5),$A356&lt;=INT(Instellingen!$B$6)),1,0)</f>
        <v/>
      </c>
      <c r="D356" s="20">
        <f>COUNTIFS(tData[SEHTrajectPeriodeDatumTijdVan],"&lt;="&amp;($A356+0/24),tData[SEHTrajectPeriodeDatumTijdTotEnMet],"&gt;"&amp;($A356+0/24),tData[Langligger01],1)</f>
        <v/>
      </c>
      <c r="E356" s="20">
        <f>COUNTIFS(tData[SEHTrajectPeriodeDatumTijdVan],"&lt;="&amp;($A356+1/24),tData[SEHTrajectPeriodeDatumTijdTotEnMet],"&gt;"&amp;($A356+1/24),tData[Langligger01],1)</f>
        <v/>
      </c>
      <c r="F356" s="20">
        <f>COUNTIFS(tData[SEHTrajectPeriodeDatumTijdVan],"&lt;="&amp;($A356+2/24),tData[SEHTrajectPeriodeDatumTijdTotEnMet],"&gt;"&amp;($A356+2/24),tData[Langligger01],1)</f>
        <v/>
      </c>
      <c r="G356" s="20">
        <f>COUNTIFS(tData[SEHTrajectPeriodeDatumTijdVan],"&lt;="&amp;($A356+3/24),tData[SEHTrajectPeriodeDatumTijdTotEnMet],"&gt;"&amp;($A356+3/24),tData[Langligger01],1)</f>
        <v/>
      </c>
      <c r="H356" s="20">
        <f>COUNTIFS(tData[SEHTrajectPeriodeDatumTijdVan],"&lt;="&amp;($A356+4/24),tData[SEHTrajectPeriodeDatumTijdTotEnMet],"&gt;"&amp;($A356+4/24),tData[Langligger01],1)</f>
        <v/>
      </c>
      <c r="I356" s="20">
        <f>COUNTIFS(tData[SEHTrajectPeriodeDatumTijdVan],"&lt;="&amp;($A356+5/24),tData[SEHTrajectPeriodeDatumTijdTotEnMet],"&gt;"&amp;($A356+5/24),tData[Langligger01],1)</f>
        <v/>
      </c>
      <c r="J356" s="20">
        <f>COUNTIFS(tData[SEHTrajectPeriodeDatumTijdVan],"&lt;="&amp;($A356+6/24),tData[SEHTrajectPeriodeDatumTijdTotEnMet],"&gt;"&amp;($A356+6/24),tData[Langligger01],1)</f>
        <v/>
      </c>
      <c r="K356" s="20">
        <f>COUNTIFS(tData[SEHTrajectPeriodeDatumTijdVan],"&lt;="&amp;($A356+7/24),tData[SEHTrajectPeriodeDatumTijdTotEnMet],"&gt;"&amp;($A356+7/24),tData[Langligger01],1)</f>
        <v/>
      </c>
      <c r="L356" s="20">
        <f>COUNTIFS(tData[SEHTrajectPeriodeDatumTijdVan],"&lt;="&amp;($A356+8/24),tData[SEHTrajectPeriodeDatumTijdTotEnMet],"&gt;"&amp;($A356+8/24),tData[Langligger01],1)</f>
        <v/>
      </c>
      <c r="M356" s="20">
        <f>COUNTIFS(tData[SEHTrajectPeriodeDatumTijdVan],"&lt;="&amp;($A356+9/24),tData[SEHTrajectPeriodeDatumTijdTotEnMet],"&gt;"&amp;($A356+9/24),tData[Langligger01],1)</f>
        <v/>
      </c>
      <c r="N356" s="20">
        <f>COUNTIFS(tData[SEHTrajectPeriodeDatumTijdVan],"&lt;="&amp;($A356+10/24),tData[SEHTrajectPeriodeDatumTijdTotEnMet],"&gt;"&amp;($A356+10/24),tData[Langligger01],1)</f>
        <v/>
      </c>
      <c r="O356" s="20">
        <f>COUNTIFS(tData[SEHTrajectPeriodeDatumTijdVan],"&lt;="&amp;($A356+11/24),tData[SEHTrajectPeriodeDatumTijdTotEnMet],"&gt;"&amp;($A356+11/24),tData[Langligger01],1)</f>
        <v/>
      </c>
      <c r="P356" s="20">
        <f>COUNTIFS(tData[SEHTrajectPeriodeDatumTijdVan],"&lt;="&amp;($A356+12/24),tData[SEHTrajectPeriodeDatumTijdTotEnMet],"&gt;"&amp;($A356+12/24),tData[Langligger01],1)</f>
        <v/>
      </c>
      <c r="Q356" s="20">
        <f>COUNTIFS(tData[SEHTrajectPeriodeDatumTijdVan],"&lt;="&amp;($A356+13/24),tData[SEHTrajectPeriodeDatumTijdTotEnMet],"&gt;"&amp;($A356+13/24),tData[Langligger01],1)</f>
        <v/>
      </c>
      <c r="R356" s="20">
        <f>COUNTIFS(tData[SEHTrajectPeriodeDatumTijdVan],"&lt;="&amp;($A356+14/24),tData[SEHTrajectPeriodeDatumTijdTotEnMet],"&gt;"&amp;($A356+14/24),tData[Langligger01],1)</f>
        <v/>
      </c>
      <c r="S356" s="20">
        <f>COUNTIFS(tData[SEHTrajectPeriodeDatumTijdVan],"&lt;="&amp;($A356+15/24),tData[SEHTrajectPeriodeDatumTijdTotEnMet],"&gt;"&amp;($A356+15/24),tData[Langligger01],1)</f>
        <v/>
      </c>
      <c r="T356" s="20">
        <f>COUNTIFS(tData[SEHTrajectPeriodeDatumTijdVan],"&lt;="&amp;($A356+16/24),tData[SEHTrajectPeriodeDatumTijdTotEnMet],"&gt;"&amp;($A356+16/24),tData[Langligger01],1)</f>
        <v/>
      </c>
      <c r="U356" s="20">
        <f>COUNTIFS(tData[SEHTrajectPeriodeDatumTijdVan],"&lt;="&amp;($A356+17/24),tData[SEHTrajectPeriodeDatumTijdTotEnMet],"&gt;"&amp;($A356+17/24),tData[Langligger01],1)</f>
        <v/>
      </c>
      <c r="V356" s="20">
        <f>COUNTIFS(tData[SEHTrajectPeriodeDatumTijdVan],"&lt;="&amp;($A356+18/24),tData[SEHTrajectPeriodeDatumTijdTotEnMet],"&gt;"&amp;($A356+18/24),tData[Langligger01],1)</f>
        <v/>
      </c>
      <c r="W356" s="20">
        <f>COUNTIFS(tData[SEHTrajectPeriodeDatumTijdVan],"&lt;="&amp;($A356+19/24),tData[SEHTrajectPeriodeDatumTijdTotEnMet],"&gt;"&amp;($A356+19/24),tData[Langligger01],1)</f>
        <v/>
      </c>
      <c r="X356" s="20">
        <f>COUNTIFS(tData[SEHTrajectPeriodeDatumTijdVan],"&lt;="&amp;($A356+20/24),tData[SEHTrajectPeriodeDatumTijdTotEnMet],"&gt;"&amp;($A356+20/24),tData[Langligger01],1)</f>
        <v/>
      </c>
      <c r="Y356" s="20">
        <f>COUNTIFS(tData[SEHTrajectPeriodeDatumTijdVan],"&lt;="&amp;($A356+21/24),tData[SEHTrajectPeriodeDatumTijdTotEnMet],"&gt;"&amp;($A356+21/24),tData[Langligger01],1)</f>
        <v/>
      </c>
      <c r="Z356" s="20">
        <f>COUNTIFS(tData[SEHTrajectPeriodeDatumTijdVan],"&lt;="&amp;($A356+22/24),tData[SEHTrajectPeriodeDatumTijdTotEnMet],"&gt;"&amp;($A356+22/24),tData[Langligger01],1)</f>
        <v/>
      </c>
      <c r="AA356" s="20">
        <f>COUNTIFS(tData[SEHTrajectPeriodeDatumTijdVan],"&lt;="&amp;($A356+23/24),tData[SEHTrajectPeriodeDatumTijdTotEnMet],"&gt;"&amp;($A356+23/24),tData[Langligger01],1)</f>
        <v/>
      </c>
    </row>
    <row r="357">
      <c r="A357" s="19" t="n">
        <v>45645</v>
      </c>
      <c r="B357" s="15">
        <f>WEEKDAY($A357,2)</f>
        <v/>
      </c>
      <c r="C357" s="15">
        <f>IF(AND($A357&gt;=INT(Instellingen!$B$5),$A357&lt;=INT(Instellingen!$B$6)),1,0)</f>
        <v/>
      </c>
      <c r="D357" s="20">
        <f>COUNTIFS(tData[SEHTrajectPeriodeDatumTijdVan],"&lt;="&amp;($A357+0/24),tData[SEHTrajectPeriodeDatumTijdTotEnMet],"&gt;"&amp;($A357+0/24),tData[Langligger01],1)</f>
        <v/>
      </c>
      <c r="E357" s="20">
        <f>COUNTIFS(tData[SEHTrajectPeriodeDatumTijdVan],"&lt;="&amp;($A357+1/24),tData[SEHTrajectPeriodeDatumTijdTotEnMet],"&gt;"&amp;($A357+1/24),tData[Langligger01],1)</f>
        <v/>
      </c>
      <c r="F357" s="20">
        <f>COUNTIFS(tData[SEHTrajectPeriodeDatumTijdVan],"&lt;="&amp;($A357+2/24),tData[SEHTrajectPeriodeDatumTijdTotEnMet],"&gt;"&amp;($A357+2/24),tData[Langligger01],1)</f>
        <v/>
      </c>
      <c r="G357" s="20">
        <f>COUNTIFS(tData[SEHTrajectPeriodeDatumTijdVan],"&lt;="&amp;($A357+3/24),tData[SEHTrajectPeriodeDatumTijdTotEnMet],"&gt;"&amp;($A357+3/24),tData[Langligger01],1)</f>
        <v/>
      </c>
      <c r="H357" s="20">
        <f>COUNTIFS(tData[SEHTrajectPeriodeDatumTijdVan],"&lt;="&amp;($A357+4/24),tData[SEHTrajectPeriodeDatumTijdTotEnMet],"&gt;"&amp;($A357+4/24),tData[Langligger01],1)</f>
        <v/>
      </c>
      <c r="I357" s="20">
        <f>COUNTIFS(tData[SEHTrajectPeriodeDatumTijdVan],"&lt;="&amp;($A357+5/24),tData[SEHTrajectPeriodeDatumTijdTotEnMet],"&gt;"&amp;($A357+5/24),tData[Langligger01],1)</f>
        <v/>
      </c>
      <c r="J357" s="20">
        <f>COUNTIFS(tData[SEHTrajectPeriodeDatumTijdVan],"&lt;="&amp;($A357+6/24),tData[SEHTrajectPeriodeDatumTijdTotEnMet],"&gt;"&amp;($A357+6/24),tData[Langligger01],1)</f>
        <v/>
      </c>
      <c r="K357" s="20">
        <f>COUNTIFS(tData[SEHTrajectPeriodeDatumTijdVan],"&lt;="&amp;($A357+7/24),tData[SEHTrajectPeriodeDatumTijdTotEnMet],"&gt;"&amp;($A357+7/24),tData[Langligger01],1)</f>
        <v/>
      </c>
      <c r="L357" s="20">
        <f>COUNTIFS(tData[SEHTrajectPeriodeDatumTijdVan],"&lt;="&amp;($A357+8/24),tData[SEHTrajectPeriodeDatumTijdTotEnMet],"&gt;"&amp;($A357+8/24),tData[Langligger01],1)</f>
        <v/>
      </c>
      <c r="M357" s="20">
        <f>COUNTIFS(tData[SEHTrajectPeriodeDatumTijdVan],"&lt;="&amp;($A357+9/24),tData[SEHTrajectPeriodeDatumTijdTotEnMet],"&gt;"&amp;($A357+9/24),tData[Langligger01],1)</f>
        <v/>
      </c>
      <c r="N357" s="20">
        <f>COUNTIFS(tData[SEHTrajectPeriodeDatumTijdVan],"&lt;="&amp;($A357+10/24),tData[SEHTrajectPeriodeDatumTijdTotEnMet],"&gt;"&amp;($A357+10/24),tData[Langligger01],1)</f>
        <v/>
      </c>
      <c r="O357" s="20">
        <f>COUNTIFS(tData[SEHTrajectPeriodeDatumTijdVan],"&lt;="&amp;($A357+11/24),tData[SEHTrajectPeriodeDatumTijdTotEnMet],"&gt;"&amp;($A357+11/24),tData[Langligger01],1)</f>
        <v/>
      </c>
      <c r="P357" s="20">
        <f>COUNTIFS(tData[SEHTrajectPeriodeDatumTijdVan],"&lt;="&amp;($A357+12/24),tData[SEHTrajectPeriodeDatumTijdTotEnMet],"&gt;"&amp;($A357+12/24),tData[Langligger01],1)</f>
        <v/>
      </c>
      <c r="Q357" s="20">
        <f>COUNTIFS(tData[SEHTrajectPeriodeDatumTijdVan],"&lt;="&amp;($A357+13/24),tData[SEHTrajectPeriodeDatumTijdTotEnMet],"&gt;"&amp;($A357+13/24),tData[Langligger01],1)</f>
        <v/>
      </c>
      <c r="R357" s="20">
        <f>COUNTIFS(tData[SEHTrajectPeriodeDatumTijdVan],"&lt;="&amp;($A357+14/24),tData[SEHTrajectPeriodeDatumTijdTotEnMet],"&gt;"&amp;($A357+14/24),tData[Langligger01],1)</f>
        <v/>
      </c>
      <c r="S357" s="20">
        <f>COUNTIFS(tData[SEHTrajectPeriodeDatumTijdVan],"&lt;="&amp;($A357+15/24),tData[SEHTrajectPeriodeDatumTijdTotEnMet],"&gt;"&amp;($A357+15/24),tData[Langligger01],1)</f>
        <v/>
      </c>
      <c r="T357" s="20">
        <f>COUNTIFS(tData[SEHTrajectPeriodeDatumTijdVan],"&lt;="&amp;($A357+16/24),tData[SEHTrajectPeriodeDatumTijdTotEnMet],"&gt;"&amp;($A357+16/24),tData[Langligger01],1)</f>
        <v/>
      </c>
      <c r="U357" s="20">
        <f>COUNTIFS(tData[SEHTrajectPeriodeDatumTijdVan],"&lt;="&amp;($A357+17/24),tData[SEHTrajectPeriodeDatumTijdTotEnMet],"&gt;"&amp;($A357+17/24),tData[Langligger01],1)</f>
        <v/>
      </c>
      <c r="V357" s="20">
        <f>COUNTIFS(tData[SEHTrajectPeriodeDatumTijdVan],"&lt;="&amp;($A357+18/24),tData[SEHTrajectPeriodeDatumTijdTotEnMet],"&gt;"&amp;($A357+18/24),tData[Langligger01],1)</f>
        <v/>
      </c>
      <c r="W357" s="20">
        <f>COUNTIFS(tData[SEHTrajectPeriodeDatumTijdVan],"&lt;="&amp;($A357+19/24),tData[SEHTrajectPeriodeDatumTijdTotEnMet],"&gt;"&amp;($A357+19/24),tData[Langligger01],1)</f>
        <v/>
      </c>
      <c r="X357" s="20">
        <f>COUNTIFS(tData[SEHTrajectPeriodeDatumTijdVan],"&lt;="&amp;($A357+20/24),tData[SEHTrajectPeriodeDatumTijdTotEnMet],"&gt;"&amp;($A357+20/24),tData[Langligger01],1)</f>
        <v/>
      </c>
      <c r="Y357" s="20">
        <f>COUNTIFS(tData[SEHTrajectPeriodeDatumTijdVan],"&lt;="&amp;($A357+21/24),tData[SEHTrajectPeriodeDatumTijdTotEnMet],"&gt;"&amp;($A357+21/24),tData[Langligger01],1)</f>
        <v/>
      </c>
      <c r="Z357" s="20">
        <f>COUNTIFS(tData[SEHTrajectPeriodeDatumTijdVan],"&lt;="&amp;($A357+22/24),tData[SEHTrajectPeriodeDatumTijdTotEnMet],"&gt;"&amp;($A357+22/24),tData[Langligger01],1)</f>
        <v/>
      </c>
      <c r="AA357" s="20">
        <f>COUNTIFS(tData[SEHTrajectPeriodeDatumTijdVan],"&lt;="&amp;($A357+23/24),tData[SEHTrajectPeriodeDatumTijdTotEnMet],"&gt;"&amp;($A357+23/24),tData[Langligger01],1)</f>
        <v/>
      </c>
    </row>
    <row r="358">
      <c r="A358" s="19" t="n">
        <v>45646</v>
      </c>
      <c r="B358" s="15">
        <f>WEEKDAY($A358,2)</f>
        <v/>
      </c>
      <c r="C358" s="15">
        <f>IF(AND($A358&gt;=INT(Instellingen!$B$5),$A358&lt;=INT(Instellingen!$B$6)),1,0)</f>
        <v/>
      </c>
      <c r="D358" s="20">
        <f>COUNTIFS(tData[SEHTrajectPeriodeDatumTijdVan],"&lt;="&amp;($A358+0/24),tData[SEHTrajectPeriodeDatumTijdTotEnMet],"&gt;"&amp;($A358+0/24),tData[Langligger01],1)</f>
        <v/>
      </c>
      <c r="E358" s="20">
        <f>COUNTIFS(tData[SEHTrajectPeriodeDatumTijdVan],"&lt;="&amp;($A358+1/24),tData[SEHTrajectPeriodeDatumTijdTotEnMet],"&gt;"&amp;($A358+1/24),tData[Langligger01],1)</f>
        <v/>
      </c>
      <c r="F358" s="20">
        <f>COUNTIFS(tData[SEHTrajectPeriodeDatumTijdVan],"&lt;="&amp;($A358+2/24),tData[SEHTrajectPeriodeDatumTijdTotEnMet],"&gt;"&amp;($A358+2/24),tData[Langligger01],1)</f>
        <v/>
      </c>
      <c r="G358" s="20">
        <f>COUNTIFS(tData[SEHTrajectPeriodeDatumTijdVan],"&lt;="&amp;($A358+3/24),tData[SEHTrajectPeriodeDatumTijdTotEnMet],"&gt;"&amp;($A358+3/24),tData[Langligger01],1)</f>
        <v/>
      </c>
      <c r="H358" s="20">
        <f>COUNTIFS(tData[SEHTrajectPeriodeDatumTijdVan],"&lt;="&amp;($A358+4/24),tData[SEHTrajectPeriodeDatumTijdTotEnMet],"&gt;"&amp;($A358+4/24),tData[Langligger01],1)</f>
        <v/>
      </c>
      <c r="I358" s="20">
        <f>COUNTIFS(tData[SEHTrajectPeriodeDatumTijdVan],"&lt;="&amp;($A358+5/24),tData[SEHTrajectPeriodeDatumTijdTotEnMet],"&gt;"&amp;($A358+5/24),tData[Langligger01],1)</f>
        <v/>
      </c>
      <c r="J358" s="20">
        <f>COUNTIFS(tData[SEHTrajectPeriodeDatumTijdVan],"&lt;="&amp;($A358+6/24),tData[SEHTrajectPeriodeDatumTijdTotEnMet],"&gt;"&amp;($A358+6/24),tData[Langligger01],1)</f>
        <v/>
      </c>
      <c r="K358" s="20">
        <f>COUNTIFS(tData[SEHTrajectPeriodeDatumTijdVan],"&lt;="&amp;($A358+7/24),tData[SEHTrajectPeriodeDatumTijdTotEnMet],"&gt;"&amp;($A358+7/24),tData[Langligger01],1)</f>
        <v/>
      </c>
      <c r="L358" s="20">
        <f>COUNTIFS(tData[SEHTrajectPeriodeDatumTijdVan],"&lt;="&amp;($A358+8/24),tData[SEHTrajectPeriodeDatumTijdTotEnMet],"&gt;"&amp;($A358+8/24),tData[Langligger01],1)</f>
        <v/>
      </c>
      <c r="M358" s="20">
        <f>COUNTIFS(tData[SEHTrajectPeriodeDatumTijdVan],"&lt;="&amp;($A358+9/24),tData[SEHTrajectPeriodeDatumTijdTotEnMet],"&gt;"&amp;($A358+9/24),tData[Langligger01],1)</f>
        <v/>
      </c>
      <c r="N358" s="20">
        <f>COUNTIFS(tData[SEHTrajectPeriodeDatumTijdVan],"&lt;="&amp;($A358+10/24),tData[SEHTrajectPeriodeDatumTijdTotEnMet],"&gt;"&amp;($A358+10/24),tData[Langligger01],1)</f>
        <v/>
      </c>
      <c r="O358" s="20">
        <f>COUNTIFS(tData[SEHTrajectPeriodeDatumTijdVan],"&lt;="&amp;($A358+11/24),tData[SEHTrajectPeriodeDatumTijdTotEnMet],"&gt;"&amp;($A358+11/24),tData[Langligger01],1)</f>
        <v/>
      </c>
      <c r="P358" s="20">
        <f>COUNTIFS(tData[SEHTrajectPeriodeDatumTijdVan],"&lt;="&amp;($A358+12/24),tData[SEHTrajectPeriodeDatumTijdTotEnMet],"&gt;"&amp;($A358+12/24),tData[Langligger01],1)</f>
        <v/>
      </c>
      <c r="Q358" s="20">
        <f>COUNTIFS(tData[SEHTrajectPeriodeDatumTijdVan],"&lt;="&amp;($A358+13/24),tData[SEHTrajectPeriodeDatumTijdTotEnMet],"&gt;"&amp;($A358+13/24),tData[Langligger01],1)</f>
        <v/>
      </c>
      <c r="R358" s="20">
        <f>COUNTIFS(tData[SEHTrajectPeriodeDatumTijdVan],"&lt;="&amp;($A358+14/24),tData[SEHTrajectPeriodeDatumTijdTotEnMet],"&gt;"&amp;($A358+14/24),tData[Langligger01],1)</f>
        <v/>
      </c>
      <c r="S358" s="20">
        <f>COUNTIFS(tData[SEHTrajectPeriodeDatumTijdVan],"&lt;="&amp;($A358+15/24),tData[SEHTrajectPeriodeDatumTijdTotEnMet],"&gt;"&amp;($A358+15/24),tData[Langligger01],1)</f>
        <v/>
      </c>
      <c r="T358" s="20">
        <f>COUNTIFS(tData[SEHTrajectPeriodeDatumTijdVan],"&lt;="&amp;($A358+16/24),tData[SEHTrajectPeriodeDatumTijdTotEnMet],"&gt;"&amp;($A358+16/24),tData[Langligger01],1)</f>
        <v/>
      </c>
      <c r="U358" s="20">
        <f>COUNTIFS(tData[SEHTrajectPeriodeDatumTijdVan],"&lt;="&amp;($A358+17/24),tData[SEHTrajectPeriodeDatumTijdTotEnMet],"&gt;"&amp;($A358+17/24),tData[Langligger01],1)</f>
        <v/>
      </c>
      <c r="V358" s="20">
        <f>COUNTIFS(tData[SEHTrajectPeriodeDatumTijdVan],"&lt;="&amp;($A358+18/24),tData[SEHTrajectPeriodeDatumTijdTotEnMet],"&gt;"&amp;($A358+18/24),tData[Langligger01],1)</f>
        <v/>
      </c>
      <c r="W358" s="20">
        <f>COUNTIFS(tData[SEHTrajectPeriodeDatumTijdVan],"&lt;="&amp;($A358+19/24),tData[SEHTrajectPeriodeDatumTijdTotEnMet],"&gt;"&amp;($A358+19/24),tData[Langligger01],1)</f>
        <v/>
      </c>
      <c r="X358" s="20">
        <f>COUNTIFS(tData[SEHTrajectPeriodeDatumTijdVan],"&lt;="&amp;($A358+20/24),tData[SEHTrajectPeriodeDatumTijdTotEnMet],"&gt;"&amp;($A358+20/24),tData[Langligger01],1)</f>
        <v/>
      </c>
      <c r="Y358" s="20">
        <f>COUNTIFS(tData[SEHTrajectPeriodeDatumTijdVan],"&lt;="&amp;($A358+21/24),tData[SEHTrajectPeriodeDatumTijdTotEnMet],"&gt;"&amp;($A358+21/24),tData[Langligger01],1)</f>
        <v/>
      </c>
      <c r="Z358" s="20">
        <f>COUNTIFS(tData[SEHTrajectPeriodeDatumTijdVan],"&lt;="&amp;($A358+22/24),tData[SEHTrajectPeriodeDatumTijdTotEnMet],"&gt;"&amp;($A358+22/24),tData[Langligger01],1)</f>
        <v/>
      </c>
      <c r="AA358" s="20">
        <f>COUNTIFS(tData[SEHTrajectPeriodeDatumTijdVan],"&lt;="&amp;($A358+23/24),tData[SEHTrajectPeriodeDatumTijdTotEnMet],"&gt;"&amp;($A358+23/24),tData[Langligger01],1)</f>
        <v/>
      </c>
    </row>
    <row r="359">
      <c r="A359" s="19" t="n">
        <v>45647</v>
      </c>
      <c r="B359" s="15">
        <f>WEEKDAY($A359,2)</f>
        <v/>
      </c>
      <c r="C359" s="15">
        <f>IF(AND($A359&gt;=INT(Instellingen!$B$5),$A359&lt;=INT(Instellingen!$B$6)),1,0)</f>
        <v/>
      </c>
      <c r="D359" s="20">
        <f>COUNTIFS(tData[SEHTrajectPeriodeDatumTijdVan],"&lt;="&amp;($A359+0/24),tData[SEHTrajectPeriodeDatumTijdTotEnMet],"&gt;"&amp;($A359+0/24),tData[Langligger01],1)</f>
        <v/>
      </c>
      <c r="E359" s="20">
        <f>COUNTIFS(tData[SEHTrajectPeriodeDatumTijdVan],"&lt;="&amp;($A359+1/24),tData[SEHTrajectPeriodeDatumTijdTotEnMet],"&gt;"&amp;($A359+1/24),tData[Langligger01],1)</f>
        <v/>
      </c>
      <c r="F359" s="20">
        <f>COUNTIFS(tData[SEHTrajectPeriodeDatumTijdVan],"&lt;="&amp;($A359+2/24),tData[SEHTrajectPeriodeDatumTijdTotEnMet],"&gt;"&amp;($A359+2/24),tData[Langligger01],1)</f>
        <v/>
      </c>
      <c r="G359" s="20">
        <f>COUNTIFS(tData[SEHTrajectPeriodeDatumTijdVan],"&lt;="&amp;($A359+3/24),tData[SEHTrajectPeriodeDatumTijdTotEnMet],"&gt;"&amp;($A359+3/24),tData[Langligger01],1)</f>
        <v/>
      </c>
      <c r="H359" s="20">
        <f>COUNTIFS(tData[SEHTrajectPeriodeDatumTijdVan],"&lt;="&amp;($A359+4/24),tData[SEHTrajectPeriodeDatumTijdTotEnMet],"&gt;"&amp;($A359+4/24),tData[Langligger01],1)</f>
        <v/>
      </c>
      <c r="I359" s="20">
        <f>COUNTIFS(tData[SEHTrajectPeriodeDatumTijdVan],"&lt;="&amp;($A359+5/24),tData[SEHTrajectPeriodeDatumTijdTotEnMet],"&gt;"&amp;($A359+5/24),tData[Langligger01],1)</f>
        <v/>
      </c>
      <c r="J359" s="20">
        <f>COUNTIFS(tData[SEHTrajectPeriodeDatumTijdVan],"&lt;="&amp;($A359+6/24),tData[SEHTrajectPeriodeDatumTijdTotEnMet],"&gt;"&amp;($A359+6/24),tData[Langligger01],1)</f>
        <v/>
      </c>
      <c r="K359" s="20">
        <f>COUNTIFS(tData[SEHTrajectPeriodeDatumTijdVan],"&lt;="&amp;($A359+7/24),tData[SEHTrajectPeriodeDatumTijdTotEnMet],"&gt;"&amp;($A359+7/24),tData[Langligger01],1)</f>
        <v/>
      </c>
      <c r="L359" s="20">
        <f>COUNTIFS(tData[SEHTrajectPeriodeDatumTijdVan],"&lt;="&amp;($A359+8/24),tData[SEHTrajectPeriodeDatumTijdTotEnMet],"&gt;"&amp;($A359+8/24),tData[Langligger01],1)</f>
        <v/>
      </c>
      <c r="M359" s="20">
        <f>COUNTIFS(tData[SEHTrajectPeriodeDatumTijdVan],"&lt;="&amp;($A359+9/24),tData[SEHTrajectPeriodeDatumTijdTotEnMet],"&gt;"&amp;($A359+9/24),tData[Langligger01],1)</f>
        <v/>
      </c>
      <c r="N359" s="20">
        <f>COUNTIFS(tData[SEHTrajectPeriodeDatumTijdVan],"&lt;="&amp;($A359+10/24),tData[SEHTrajectPeriodeDatumTijdTotEnMet],"&gt;"&amp;($A359+10/24),tData[Langligger01],1)</f>
        <v/>
      </c>
      <c r="O359" s="20">
        <f>COUNTIFS(tData[SEHTrajectPeriodeDatumTijdVan],"&lt;="&amp;($A359+11/24),tData[SEHTrajectPeriodeDatumTijdTotEnMet],"&gt;"&amp;($A359+11/24),tData[Langligger01],1)</f>
        <v/>
      </c>
      <c r="P359" s="20">
        <f>COUNTIFS(tData[SEHTrajectPeriodeDatumTijdVan],"&lt;="&amp;($A359+12/24),tData[SEHTrajectPeriodeDatumTijdTotEnMet],"&gt;"&amp;($A359+12/24),tData[Langligger01],1)</f>
        <v/>
      </c>
      <c r="Q359" s="20">
        <f>COUNTIFS(tData[SEHTrajectPeriodeDatumTijdVan],"&lt;="&amp;($A359+13/24),tData[SEHTrajectPeriodeDatumTijdTotEnMet],"&gt;"&amp;($A359+13/24),tData[Langligger01],1)</f>
        <v/>
      </c>
      <c r="R359" s="20">
        <f>COUNTIFS(tData[SEHTrajectPeriodeDatumTijdVan],"&lt;="&amp;($A359+14/24),tData[SEHTrajectPeriodeDatumTijdTotEnMet],"&gt;"&amp;($A359+14/24),tData[Langligger01],1)</f>
        <v/>
      </c>
      <c r="S359" s="20">
        <f>COUNTIFS(tData[SEHTrajectPeriodeDatumTijdVan],"&lt;="&amp;($A359+15/24),tData[SEHTrajectPeriodeDatumTijdTotEnMet],"&gt;"&amp;($A359+15/24),tData[Langligger01],1)</f>
        <v/>
      </c>
      <c r="T359" s="20">
        <f>COUNTIFS(tData[SEHTrajectPeriodeDatumTijdVan],"&lt;="&amp;($A359+16/24),tData[SEHTrajectPeriodeDatumTijdTotEnMet],"&gt;"&amp;($A359+16/24),tData[Langligger01],1)</f>
        <v/>
      </c>
      <c r="U359" s="20">
        <f>COUNTIFS(tData[SEHTrajectPeriodeDatumTijdVan],"&lt;="&amp;($A359+17/24),tData[SEHTrajectPeriodeDatumTijdTotEnMet],"&gt;"&amp;($A359+17/24),tData[Langligger01],1)</f>
        <v/>
      </c>
      <c r="V359" s="20">
        <f>COUNTIFS(tData[SEHTrajectPeriodeDatumTijdVan],"&lt;="&amp;($A359+18/24),tData[SEHTrajectPeriodeDatumTijdTotEnMet],"&gt;"&amp;($A359+18/24),tData[Langligger01],1)</f>
        <v/>
      </c>
      <c r="W359" s="20">
        <f>COUNTIFS(tData[SEHTrajectPeriodeDatumTijdVan],"&lt;="&amp;($A359+19/24),tData[SEHTrajectPeriodeDatumTijdTotEnMet],"&gt;"&amp;($A359+19/24),tData[Langligger01],1)</f>
        <v/>
      </c>
      <c r="X359" s="20">
        <f>COUNTIFS(tData[SEHTrajectPeriodeDatumTijdVan],"&lt;="&amp;($A359+20/24),tData[SEHTrajectPeriodeDatumTijdTotEnMet],"&gt;"&amp;($A359+20/24),tData[Langligger01],1)</f>
        <v/>
      </c>
      <c r="Y359" s="20">
        <f>COUNTIFS(tData[SEHTrajectPeriodeDatumTijdVan],"&lt;="&amp;($A359+21/24),tData[SEHTrajectPeriodeDatumTijdTotEnMet],"&gt;"&amp;($A359+21/24),tData[Langligger01],1)</f>
        <v/>
      </c>
      <c r="Z359" s="20">
        <f>COUNTIFS(tData[SEHTrajectPeriodeDatumTijdVan],"&lt;="&amp;($A359+22/24),tData[SEHTrajectPeriodeDatumTijdTotEnMet],"&gt;"&amp;($A359+22/24),tData[Langligger01],1)</f>
        <v/>
      </c>
      <c r="AA359" s="20">
        <f>COUNTIFS(tData[SEHTrajectPeriodeDatumTijdVan],"&lt;="&amp;($A359+23/24),tData[SEHTrajectPeriodeDatumTijdTotEnMet],"&gt;"&amp;($A359+23/24),tData[Langligger01],1)</f>
        <v/>
      </c>
    </row>
    <row r="360">
      <c r="A360" s="19" t="n">
        <v>45648</v>
      </c>
      <c r="B360" s="15">
        <f>WEEKDAY($A360,2)</f>
        <v/>
      </c>
      <c r="C360" s="15">
        <f>IF(AND($A360&gt;=INT(Instellingen!$B$5),$A360&lt;=INT(Instellingen!$B$6)),1,0)</f>
        <v/>
      </c>
      <c r="D360" s="20">
        <f>COUNTIFS(tData[SEHTrajectPeriodeDatumTijdVan],"&lt;="&amp;($A360+0/24),tData[SEHTrajectPeriodeDatumTijdTotEnMet],"&gt;"&amp;($A360+0/24),tData[Langligger01],1)</f>
        <v/>
      </c>
      <c r="E360" s="20">
        <f>COUNTIFS(tData[SEHTrajectPeriodeDatumTijdVan],"&lt;="&amp;($A360+1/24),tData[SEHTrajectPeriodeDatumTijdTotEnMet],"&gt;"&amp;($A360+1/24),tData[Langligger01],1)</f>
        <v/>
      </c>
      <c r="F360" s="20">
        <f>COUNTIFS(tData[SEHTrajectPeriodeDatumTijdVan],"&lt;="&amp;($A360+2/24),tData[SEHTrajectPeriodeDatumTijdTotEnMet],"&gt;"&amp;($A360+2/24),tData[Langligger01],1)</f>
        <v/>
      </c>
      <c r="G360" s="20">
        <f>COUNTIFS(tData[SEHTrajectPeriodeDatumTijdVan],"&lt;="&amp;($A360+3/24),tData[SEHTrajectPeriodeDatumTijdTotEnMet],"&gt;"&amp;($A360+3/24),tData[Langligger01],1)</f>
        <v/>
      </c>
      <c r="H360" s="20">
        <f>COUNTIFS(tData[SEHTrajectPeriodeDatumTijdVan],"&lt;="&amp;($A360+4/24),tData[SEHTrajectPeriodeDatumTijdTotEnMet],"&gt;"&amp;($A360+4/24),tData[Langligger01],1)</f>
        <v/>
      </c>
      <c r="I360" s="20">
        <f>COUNTIFS(tData[SEHTrajectPeriodeDatumTijdVan],"&lt;="&amp;($A360+5/24),tData[SEHTrajectPeriodeDatumTijdTotEnMet],"&gt;"&amp;($A360+5/24),tData[Langligger01],1)</f>
        <v/>
      </c>
      <c r="J360" s="20">
        <f>COUNTIFS(tData[SEHTrajectPeriodeDatumTijdVan],"&lt;="&amp;($A360+6/24),tData[SEHTrajectPeriodeDatumTijdTotEnMet],"&gt;"&amp;($A360+6/24),tData[Langligger01],1)</f>
        <v/>
      </c>
      <c r="K360" s="20">
        <f>COUNTIFS(tData[SEHTrajectPeriodeDatumTijdVan],"&lt;="&amp;($A360+7/24),tData[SEHTrajectPeriodeDatumTijdTotEnMet],"&gt;"&amp;($A360+7/24),tData[Langligger01],1)</f>
        <v/>
      </c>
      <c r="L360" s="20">
        <f>COUNTIFS(tData[SEHTrajectPeriodeDatumTijdVan],"&lt;="&amp;($A360+8/24),tData[SEHTrajectPeriodeDatumTijdTotEnMet],"&gt;"&amp;($A360+8/24),tData[Langligger01],1)</f>
        <v/>
      </c>
      <c r="M360" s="20">
        <f>COUNTIFS(tData[SEHTrajectPeriodeDatumTijdVan],"&lt;="&amp;($A360+9/24),tData[SEHTrajectPeriodeDatumTijdTotEnMet],"&gt;"&amp;($A360+9/24),tData[Langligger01],1)</f>
        <v/>
      </c>
      <c r="N360" s="20">
        <f>COUNTIFS(tData[SEHTrajectPeriodeDatumTijdVan],"&lt;="&amp;($A360+10/24),tData[SEHTrajectPeriodeDatumTijdTotEnMet],"&gt;"&amp;($A360+10/24),tData[Langligger01],1)</f>
        <v/>
      </c>
      <c r="O360" s="20">
        <f>COUNTIFS(tData[SEHTrajectPeriodeDatumTijdVan],"&lt;="&amp;($A360+11/24),tData[SEHTrajectPeriodeDatumTijdTotEnMet],"&gt;"&amp;($A360+11/24),tData[Langligger01],1)</f>
        <v/>
      </c>
      <c r="P360" s="20">
        <f>COUNTIFS(tData[SEHTrajectPeriodeDatumTijdVan],"&lt;="&amp;($A360+12/24),tData[SEHTrajectPeriodeDatumTijdTotEnMet],"&gt;"&amp;($A360+12/24),tData[Langligger01],1)</f>
        <v/>
      </c>
      <c r="Q360" s="20">
        <f>COUNTIFS(tData[SEHTrajectPeriodeDatumTijdVan],"&lt;="&amp;($A360+13/24),tData[SEHTrajectPeriodeDatumTijdTotEnMet],"&gt;"&amp;($A360+13/24),tData[Langligger01],1)</f>
        <v/>
      </c>
      <c r="R360" s="20">
        <f>COUNTIFS(tData[SEHTrajectPeriodeDatumTijdVan],"&lt;="&amp;($A360+14/24),tData[SEHTrajectPeriodeDatumTijdTotEnMet],"&gt;"&amp;($A360+14/24),tData[Langligger01],1)</f>
        <v/>
      </c>
      <c r="S360" s="20">
        <f>COUNTIFS(tData[SEHTrajectPeriodeDatumTijdVan],"&lt;="&amp;($A360+15/24),tData[SEHTrajectPeriodeDatumTijdTotEnMet],"&gt;"&amp;($A360+15/24),tData[Langligger01],1)</f>
        <v/>
      </c>
      <c r="T360" s="20">
        <f>COUNTIFS(tData[SEHTrajectPeriodeDatumTijdVan],"&lt;="&amp;($A360+16/24),tData[SEHTrajectPeriodeDatumTijdTotEnMet],"&gt;"&amp;($A360+16/24),tData[Langligger01],1)</f>
        <v/>
      </c>
      <c r="U360" s="20">
        <f>COUNTIFS(tData[SEHTrajectPeriodeDatumTijdVan],"&lt;="&amp;($A360+17/24),tData[SEHTrajectPeriodeDatumTijdTotEnMet],"&gt;"&amp;($A360+17/24),tData[Langligger01],1)</f>
        <v/>
      </c>
      <c r="V360" s="20">
        <f>COUNTIFS(tData[SEHTrajectPeriodeDatumTijdVan],"&lt;="&amp;($A360+18/24),tData[SEHTrajectPeriodeDatumTijdTotEnMet],"&gt;"&amp;($A360+18/24),tData[Langligger01],1)</f>
        <v/>
      </c>
      <c r="W360" s="20">
        <f>COUNTIFS(tData[SEHTrajectPeriodeDatumTijdVan],"&lt;="&amp;($A360+19/24),tData[SEHTrajectPeriodeDatumTijdTotEnMet],"&gt;"&amp;($A360+19/24),tData[Langligger01],1)</f>
        <v/>
      </c>
      <c r="X360" s="20">
        <f>COUNTIFS(tData[SEHTrajectPeriodeDatumTijdVan],"&lt;="&amp;($A360+20/24),tData[SEHTrajectPeriodeDatumTijdTotEnMet],"&gt;"&amp;($A360+20/24),tData[Langligger01],1)</f>
        <v/>
      </c>
      <c r="Y360" s="20">
        <f>COUNTIFS(tData[SEHTrajectPeriodeDatumTijdVan],"&lt;="&amp;($A360+21/24),tData[SEHTrajectPeriodeDatumTijdTotEnMet],"&gt;"&amp;($A360+21/24),tData[Langligger01],1)</f>
        <v/>
      </c>
      <c r="Z360" s="20">
        <f>COUNTIFS(tData[SEHTrajectPeriodeDatumTijdVan],"&lt;="&amp;($A360+22/24),tData[SEHTrajectPeriodeDatumTijdTotEnMet],"&gt;"&amp;($A360+22/24),tData[Langligger01],1)</f>
        <v/>
      </c>
      <c r="AA360" s="20">
        <f>COUNTIFS(tData[SEHTrajectPeriodeDatumTijdVan],"&lt;="&amp;($A360+23/24),tData[SEHTrajectPeriodeDatumTijdTotEnMet],"&gt;"&amp;($A360+23/24),tData[Langligger01],1)</f>
        <v/>
      </c>
    </row>
    <row r="361">
      <c r="A361" s="19" t="n">
        <v>45649</v>
      </c>
      <c r="B361" s="15">
        <f>WEEKDAY($A361,2)</f>
        <v/>
      </c>
      <c r="C361" s="15">
        <f>IF(AND($A361&gt;=INT(Instellingen!$B$5),$A361&lt;=INT(Instellingen!$B$6)),1,0)</f>
        <v/>
      </c>
      <c r="D361" s="20">
        <f>COUNTIFS(tData[SEHTrajectPeriodeDatumTijdVan],"&lt;="&amp;($A361+0/24),tData[SEHTrajectPeriodeDatumTijdTotEnMet],"&gt;"&amp;($A361+0/24),tData[Langligger01],1)</f>
        <v/>
      </c>
      <c r="E361" s="20">
        <f>COUNTIFS(tData[SEHTrajectPeriodeDatumTijdVan],"&lt;="&amp;($A361+1/24),tData[SEHTrajectPeriodeDatumTijdTotEnMet],"&gt;"&amp;($A361+1/24),tData[Langligger01],1)</f>
        <v/>
      </c>
      <c r="F361" s="20">
        <f>COUNTIFS(tData[SEHTrajectPeriodeDatumTijdVan],"&lt;="&amp;($A361+2/24),tData[SEHTrajectPeriodeDatumTijdTotEnMet],"&gt;"&amp;($A361+2/24),tData[Langligger01],1)</f>
        <v/>
      </c>
      <c r="G361" s="20">
        <f>COUNTIFS(tData[SEHTrajectPeriodeDatumTijdVan],"&lt;="&amp;($A361+3/24),tData[SEHTrajectPeriodeDatumTijdTotEnMet],"&gt;"&amp;($A361+3/24),tData[Langligger01],1)</f>
        <v/>
      </c>
      <c r="H361" s="20">
        <f>COUNTIFS(tData[SEHTrajectPeriodeDatumTijdVan],"&lt;="&amp;($A361+4/24),tData[SEHTrajectPeriodeDatumTijdTotEnMet],"&gt;"&amp;($A361+4/24),tData[Langligger01],1)</f>
        <v/>
      </c>
      <c r="I361" s="20">
        <f>COUNTIFS(tData[SEHTrajectPeriodeDatumTijdVan],"&lt;="&amp;($A361+5/24),tData[SEHTrajectPeriodeDatumTijdTotEnMet],"&gt;"&amp;($A361+5/24),tData[Langligger01],1)</f>
        <v/>
      </c>
      <c r="J361" s="20">
        <f>COUNTIFS(tData[SEHTrajectPeriodeDatumTijdVan],"&lt;="&amp;($A361+6/24),tData[SEHTrajectPeriodeDatumTijdTotEnMet],"&gt;"&amp;($A361+6/24),tData[Langligger01],1)</f>
        <v/>
      </c>
      <c r="K361" s="20">
        <f>COUNTIFS(tData[SEHTrajectPeriodeDatumTijdVan],"&lt;="&amp;($A361+7/24),tData[SEHTrajectPeriodeDatumTijdTotEnMet],"&gt;"&amp;($A361+7/24),tData[Langligger01],1)</f>
        <v/>
      </c>
      <c r="L361" s="20">
        <f>COUNTIFS(tData[SEHTrajectPeriodeDatumTijdVan],"&lt;="&amp;($A361+8/24),tData[SEHTrajectPeriodeDatumTijdTotEnMet],"&gt;"&amp;($A361+8/24),tData[Langligger01],1)</f>
        <v/>
      </c>
      <c r="M361" s="20">
        <f>COUNTIFS(tData[SEHTrajectPeriodeDatumTijdVan],"&lt;="&amp;($A361+9/24),tData[SEHTrajectPeriodeDatumTijdTotEnMet],"&gt;"&amp;($A361+9/24),tData[Langligger01],1)</f>
        <v/>
      </c>
      <c r="N361" s="20">
        <f>COUNTIFS(tData[SEHTrajectPeriodeDatumTijdVan],"&lt;="&amp;($A361+10/24),tData[SEHTrajectPeriodeDatumTijdTotEnMet],"&gt;"&amp;($A361+10/24),tData[Langligger01],1)</f>
        <v/>
      </c>
      <c r="O361" s="20">
        <f>COUNTIFS(tData[SEHTrajectPeriodeDatumTijdVan],"&lt;="&amp;($A361+11/24),tData[SEHTrajectPeriodeDatumTijdTotEnMet],"&gt;"&amp;($A361+11/24),tData[Langligger01],1)</f>
        <v/>
      </c>
      <c r="P361" s="20">
        <f>COUNTIFS(tData[SEHTrajectPeriodeDatumTijdVan],"&lt;="&amp;($A361+12/24),tData[SEHTrajectPeriodeDatumTijdTotEnMet],"&gt;"&amp;($A361+12/24),tData[Langligger01],1)</f>
        <v/>
      </c>
      <c r="Q361" s="20">
        <f>COUNTIFS(tData[SEHTrajectPeriodeDatumTijdVan],"&lt;="&amp;($A361+13/24),tData[SEHTrajectPeriodeDatumTijdTotEnMet],"&gt;"&amp;($A361+13/24),tData[Langligger01],1)</f>
        <v/>
      </c>
      <c r="R361" s="20">
        <f>COUNTIFS(tData[SEHTrajectPeriodeDatumTijdVan],"&lt;="&amp;($A361+14/24),tData[SEHTrajectPeriodeDatumTijdTotEnMet],"&gt;"&amp;($A361+14/24),tData[Langligger01],1)</f>
        <v/>
      </c>
      <c r="S361" s="20">
        <f>COUNTIFS(tData[SEHTrajectPeriodeDatumTijdVan],"&lt;="&amp;($A361+15/24),tData[SEHTrajectPeriodeDatumTijdTotEnMet],"&gt;"&amp;($A361+15/24),tData[Langligger01],1)</f>
        <v/>
      </c>
      <c r="T361" s="20">
        <f>COUNTIFS(tData[SEHTrajectPeriodeDatumTijdVan],"&lt;="&amp;($A361+16/24),tData[SEHTrajectPeriodeDatumTijdTotEnMet],"&gt;"&amp;($A361+16/24),tData[Langligger01],1)</f>
        <v/>
      </c>
      <c r="U361" s="20">
        <f>COUNTIFS(tData[SEHTrajectPeriodeDatumTijdVan],"&lt;="&amp;($A361+17/24),tData[SEHTrajectPeriodeDatumTijdTotEnMet],"&gt;"&amp;($A361+17/24),tData[Langligger01],1)</f>
        <v/>
      </c>
      <c r="V361" s="20">
        <f>COUNTIFS(tData[SEHTrajectPeriodeDatumTijdVan],"&lt;="&amp;($A361+18/24),tData[SEHTrajectPeriodeDatumTijdTotEnMet],"&gt;"&amp;($A361+18/24),tData[Langligger01],1)</f>
        <v/>
      </c>
      <c r="W361" s="20">
        <f>COUNTIFS(tData[SEHTrajectPeriodeDatumTijdVan],"&lt;="&amp;($A361+19/24),tData[SEHTrajectPeriodeDatumTijdTotEnMet],"&gt;"&amp;($A361+19/24),tData[Langligger01],1)</f>
        <v/>
      </c>
      <c r="X361" s="20">
        <f>COUNTIFS(tData[SEHTrajectPeriodeDatumTijdVan],"&lt;="&amp;($A361+20/24),tData[SEHTrajectPeriodeDatumTijdTotEnMet],"&gt;"&amp;($A361+20/24),tData[Langligger01],1)</f>
        <v/>
      </c>
      <c r="Y361" s="20">
        <f>COUNTIFS(tData[SEHTrajectPeriodeDatumTijdVan],"&lt;="&amp;($A361+21/24),tData[SEHTrajectPeriodeDatumTijdTotEnMet],"&gt;"&amp;($A361+21/24),tData[Langligger01],1)</f>
        <v/>
      </c>
      <c r="Z361" s="20">
        <f>COUNTIFS(tData[SEHTrajectPeriodeDatumTijdVan],"&lt;="&amp;($A361+22/24),tData[SEHTrajectPeriodeDatumTijdTotEnMet],"&gt;"&amp;($A361+22/24),tData[Langligger01],1)</f>
        <v/>
      </c>
      <c r="AA361" s="20">
        <f>COUNTIFS(tData[SEHTrajectPeriodeDatumTijdVan],"&lt;="&amp;($A361+23/24),tData[SEHTrajectPeriodeDatumTijdTotEnMet],"&gt;"&amp;($A361+23/24),tData[Langligger01],1)</f>
        <v/>
      </c>
    </row>
    <row r="362">
      <c r="A362" s="19" t="n">
        <v>45650</v>
      </c>
      <c r="B362" s="15">
        <f>WEEKDAY($A362,2)</f>
        <v/>
      </c>
      <c r="C362" s="15">
        <f>IF(AND($A362&gt;=INT(Instellingen!$B$5),$A362&lt;=INT(Instellingen!$B$6)),1,0)</f>
        <v/>
      </c>
      <c r="D362" s="20">
        <f>COUNTIFS(tData[SEHTrajectPeriodeDatumTijdVan],"&lt;="&amp;($A362+0/24),tData[SEHTrajectPeriodeDatumTijdTotEnMet],"&gt;"&amp;($A362+0/24),tData[Langligger01],1)</f>
        <v/>
      </c>
      <c r="E362" s="20">
        <f>COUNTIFS(tData[SEHTrajectPeriodeDatumTijdVan],"&lt;="&amp;($A362+1/24),tData[SEHTrajectPeriodeDatumTijdTotEnMet],"&gt;"&amp;($A362+1/24),tData[Langligger01],1)</f>
        <v/>
      </c>
      <c r="F362" s="20">
        <f>COUNTIFS(tData[SEHTrajectPeriodeDatumTijdVan],"&lt;="&amp;($A362+2/24),tData[SEHTrajectPeriodeDatumTijdTotEnMet],"&gt;"&amp;($A362+2/24),tData[Langligger01],1)</f>
        <v/>
      </c>
      <c r="G362" s="20">
        <f>COUNTIFS(tData[SEHTrajectPeriodeDatumTijdVan],"&lt;="&amp;($A362+3/24),tData[SEHTrajectPeriodeDatumTijdTotEnMet],"&gt;"&amp;($A362+3/24),tData[Langligger01],1)</f>
        <v/>
      </c>
      <c r="H362" s="20">
        <f>COUNTIFS(tData[SEHTrajectPeriodeDatumTijdVan],"&lt;="&amp;($A362+4/24),tData[SEHTrajectPeriodeDatumTijdTotEnMet],"&gt;"&amp;($A362+4/24),tData[Langligger01],1)</f>
        <v/>
      </c>
      <c r="I362" s="20">
        <f>COUNTIFS(tData[SEHTrajectPeriodeDatumTijdVan],"&lt;="&amp;($A362+5/24),tData[SEHTrajectPeriodeDatumTijdTotEnMet],"&gt;"&amp;($A362+5/24),tData[Langligger01],1)</f>
        <v/>
      </c>
      <c r="J362" s="20">
        <f>COUNTIFS(tData[SEHTrajectPeriodeDatumTijdVan],"&lt;="&amp;($A362+6/24),tData[SEHTrajectPeriodeDatumTijdTotEnMet],"&gt;"&amp;($A362+6/24),tData[Langligger01],1)</f>
        <v/>
      </c>
      <c r="K362" s="20">
        <f>COUNTIFS(tData[SEHTrajectPeriodeDatumTijdVan],"&lt;="&amp;($A362+7/24),tData[SEHTrajectPeriodeDatumTijdTotEnMet],"&gt;"&amp;($A362+7/24),tData[Langligger01],1)</f>
        <v/>
      </c>
      <c r="L362" s="20">
        <f>COUNTIFS(tData[SEHTrajectPeriodeDatumTijdVan],"&lt;="&amp;($A362+8/24),tData[SEHTrajectPeriodeDatumTijdTotEnMet],"&gt;"&amp;($A362+8/24),tData[Langligger01],1)</f>
        <v/>
      </c>
      <c r="M362" s="20">
        <f>COUNTIFS(tData[SEHTrajectPeriodeDatumTijdVan],"&lt;="&amp;($A362+9/24),tData[SEHTrajectPeriodeDatumTijdTotEnMet],"&gt;"&amp;($A362+9/24),tData[Langligger01],1)</f>
        <v/>
      </c>
      <c r="N362" s="20">
        <f>COUNTIFS(tData[SEHTrajectPeriodeDatumTijdVan],"&lt;="&amp;($A362+10/24),tData[SEHTrajectPeriodeDatumTijdTotEnMet],"&gt;"&amp;($A362+10/24),tData[Langligger01],1)</f>
        <v/>
      </c>
      <c r="O362" s="20">
        <f>COUNTIFS(tData[SEHTrajectPeriodeDatumTijdVan],"&lt;="&amp;($A362+11/24),tData[SEHTrajectPeriodeDatumTijdTotEnMet],"&gt;"&amp;($A362+11/24),tData[Langligger01],1)</f>
        <v/>
      </c>
      <c r="P362" s="20">
        <f>COUNTIFS(tData[SEHTrajectPeriodeDatumTijdVan],"&lt;="&amp;($A362+12/24),tData[SEHTrajectPeriodeDatumTijdTotEnMet],"&gt;"&amp;($A362+12/24),tData[Langligger01],1)</f>
        <v/>
      </c>
      <c r="Q362" s="20">
        <f>COUNTIFS(tData[SEHTrajectPeriodeDatumTijdVan],"&lt;="&amp;($A362+13/24),tData[SEHTrajectPeriodeDatumTijdTotEnMet],"&gt;"&amp;($A362+13/24),tData[Langligger01],1)</f>
        <v/>
      </c>
      <c r="R362" s="20">
        <f>COUNTIFS(tData[SEHTrajectPeriodeDatumTijdVan],"&lt;="&amp;($A362+14/24),tData[SEHTrajectPeriodeDatumTijdTotEnMet],"&gt;"&amp;($A362+14/24),tData[Langligger01],1)</f>
        <v/>
      </c>
      <c r="S362" s="20">
        <f>COUNTIFS(tData[SEHTrajectPeriodeDatumTijdVan],"&lt;="&amp;($A362+15/24),tData[SEHTrajectPeriodeDatumTijdTotEnMet],"&gt;"&amp;($A362+15/24),tData[Langligger01],1)</f>
        <v/>
      </c>
      <c r="T362" s="20">
        <f>COUNTIFS(tData[SEHTrajectPeriodeDatumTijdVan],"&lt;="&amp;($A362+16/24),tData[SEHTrajectPeriodeDatumTijdTotEnMet],"&gt;"&amp;($A362+16/24),tData[Langligger01],1)</f>
        <v/>
      </c>
      <c r="U362" s="20">
        <f>COUNTIFS(tData[SEHTrajectPeriodeDatumTijdVan],"&lt;="&amp;($A362+17/24),tData[SEHTrajectPeriodeDatumTijdTotEnMet],"&gt;"&amp;($A362+17/24),tData[Langligger01],1)</f>
        <v/>
      </c>
      <c r="V362" s="20">
        <f>COUNTIFS(tData[SEHTrajectPeriodeDatumTijdVan],"&lt;="&amp;($A362+18/24),tData[SEHTrajectPeriodeDatumTijdTotEnMet],"&gt;"&amp;($A362+18/24),tData[Langligger01],1)</f>
        <v/>
      </c>
      <c r="W362" s="20">
        <f>COUNTIFS(tData[SEHTrajectPeriodeDatumTijdVan],"&lt;="&amp;($A362+19/24),tData[SEHTrajectPeriodeDatumTijdTotEnMet],"&gt;"&amp;($A362+19/24),tData[Langligger01],1)</f>
        <v/>
      </c>
      <c r="X362" s="20">
        <f>COUNTIFS(tData[SEHTrajectPeriodeDatumTijdVan],"&lt;="&amp;($A362+20/24),tData[SEHTrajectPeriodeDatumTijdTotEnMet],"&gt;"&amp;($A362+20/24),tData[Langligger01],1)</f>
        <v/>
      </c>
      <c r="Y362" s="20">
        <f>COUNTIFS(tData[SEHTrajectPeriodeDatumTijdVan],"&lt;="&amp;($A362+21/24),tData[SEHTrajectPeriodeDatumTijdTotEnMet],"&gt;"&amp;($A362+21/24),tData[Langligger01],1)</f>
        <v/>
      </c>
      <c r="Z362" s="20">
        <f>COUNTIFS(tData[SEHTrajectPeriodeDatumTijdVan],"&lt;="&amp;($A362+22/24),tData[SEHTrajectPeriodeDatumTijdTotEnMet],"&gt;"&amp;($A362+22/24),tData[Langligger01],1)</f>
        <v/>
      </c>
      <c r="AA362" s="20">
        <f>COUNTIFS(tData[SEHTrajectPeriodeDatumTijdVan],"&lt;="&amp;($A362+23/24),tData[SEHTrajectPeriodeDatumTijdTotEnMet],"&gt;"&amp;($A362+23/24),tData[Langligger01],1)</f>
        <v/>
      </c>
    </row>
    <row r="363">
      <c r="A363" s="19" t="n">
        <v>45651</v>
      </c>
      <c r="B363" s="15">
        <f>WEEKDAY($A363,2)</f>
        <v/>
      </c>
      <c r="C363" s="15">
        <f>IF(AND($A363&gt;=INT(Instellingen!$B$5),$A363&lt;=INT(Instellingen!$B$6)),1,0)</f>
        <v/>
      </c>
      <c r="D363" s="20">
        <f>COUNTIFS(tData[SEHTrajectPeriodeDatumTijdVan],"&lt;="&amp;($A363+0/24),tData[SEHTrajectPeriodeDatumTijdTotEnMet],"&gt;"&amp;($A363+0/24),tData[Langligger01],1)</f>
        <v/>
      </c>
      <c r="E363" s="20">
        <f>COUNTIFS(tData[SEHTrajectPeriodeDatumTijdVan],"&lt;="&amp;($A363+1/24),tData[SEHTrajectPeriodeDatumTijdTotEnMet],"&gt;"&amp;($A363+1/24),tData[Langligger01],1)</f>
        <v/>
      </c>
      <c r="F363" s="20">
        <f>COUNTIFS(tData[SEHTrajectPeriodeDatumTijdVan],"&lt;="&amp;($A363+2/24),tData[SEHTrajectPeriodeDatumTijdTotEnMet],"&gt;"&amp;($A363+2/24),tData[Langligger01],1)</f>
        <v/>
      </c>
      <c r="G363" s="20">
        <f>COUNTIFS(tData[SEHTrajectPeriodeDatumTijdVan],"&lt;="&amp;($A363+3/24),tData[SEHTrajectPeriodeDatumTijdTotEnMet],"&gt;"&amp;($A363+3/24),tData[Langligger01],1)</f>
        <v/>
      </c>
      <c r="H363" s="20">
        <f>COUNTIFS(tData[SEHTrajectPeriodeDatumTijdVan],"&lt;="&amp;($A363+4/24),tData[SEHTrajectPeriodeDatumTijdTotEnMet],"&gt;"&amp;($A363+4/24),tData[Langligger01],1)</f>
        <v/>
      </c>
      <c r="I363" s="20">
        <f>COUNTIFS(tData[SEHTrajectPeriodeDatumTijdVan],"&lt;="&amp;($A363+5/24),tData[SEHTrajectPeriodeDatumTijdTotEnMet],"&gt;"&amp;($A363+5/24),tData[Langligger01],1)</f>
        <v/>
      </c>
      <c r="J363" s="20">
        <f>COUNTIFS(tData[SEHTrajectPeriodeDatumTijdVan],"&lt;="&amp;($A363+6/24),tData[SEHTrajectPeriodeDatumTijdTotEnMet],"&gt;"&amp;($A363+6/24),tData[Langligger01],1)</f>
        <v/>
      </c>
      <c r="K363" s="20">
        <f>COUNTIFS(tData[SEHTrajectPeriodeDatumTijdVan],"&lt;="&amp;($A363+7/24),tData[SEHTrajectPeriodeDatumTijdTotEnMet],"&gt;"&amp;($A363+7/24),tData[Langligger01],1)</f>
        <v/>
      </c>
      <c r="L363" s="20">
        <f>COUNTIFS(tData[SEHTrajectPeriodeDatumTijdVan],"&lt;="&amp;($A363+8/24),tData[SEHTrajectPeriodeDatumTijdTotEnMet],"&gt;"&amp;($A363+8/24),tData[Langligger01],1)</f>
        <v/>
      </c>
      <c r="M363" s="20">
        <f>COUNTIFS(tData[SEHTrajectPeriodeDatumTijdVan],"&lt;="&amp;($A363+9/24),tData[SEHTrajectPeriodeDatumTijdTotEnMet],"&gt;"&amp;($A363+9/24),tData[Langligger01],1)</f>
        <v/>
      </c>
      <c r="N363" s="20">
        <f>COUNTIFS(tData[SEHTrajectPeriodeDatumTijdVan],"&lt;="&amp;($A363+10/24),tData[SEHTrajectPeriodeDatumTijdTotEnMet],"&gt;"&amp;($A363+10/24),tData[Langligger01],1)</f>
        <v/>
      </c>
      <c r="O363" s="20">
        <f>COUNTIFS(tData[SEHTrajectPeriodeDatumTijdVan],"&lt;="&amp;($A363+11/24),tData[SEHTrajectPeriodeDatumTijdTotEnMet],"&gt;"&amp;($A363+11/24),tData[Langligger01],1)</f>
        <v/>
      </c>
      <c r="P363" s="20">
        <f>COUNTIFS(tData[SEHTrajectPeriodeDatumTijdVan],"&lt;="&amp;($A363+12/24),tData[SEHTrajectPeriodeDatumTijdTotEnMet],"&gt;"&amp;($A363+12/24),tData[Langligger01],1)</f>
        <v/>
      </c>
      <c r="Q363" s="20">
        <f>COUNTIFS(tData[SEHTrajectPeriodeDatumTijdVan],"&lt;="&amp;($A363+13/24),tData[SEHTrajectPeriodeDatumTijdTotEnMet],"&gt;"&amp;($A363+13/24),tData[Langligger01],1)</f>
        <v/>
      </c>
      <c r="R363" s="20">
        <f>COUNTIFS(tData[SEHTrajectPeriodeDatumTijdVan],"&lt;="&amp;($A363+14/24),tData[SEHTrajectPeriodeDatumTijdTotEnMet],"&gt;"&amp;($A363+14/24),tData[Langligger01],1)</f>
        <v/>
      </c>
      <c r="S363" s="20">
        <f>COUNTIFS(tData[SEHTrajectPeriodeDatumTijdVan],"&lt;="&amp;($A363+15/24),tData[SEHTrajectPeriodeDatumTijdTotEnMet],"&gt;"&amp;($A363+15/24),tData[Langligger01],1)</f>
        <v/>
      </c>
      <c r="T363" s="20">
        <f>COUNTIFS(tData[SEHTrajectPeriodeDatumTijdVan],"&lt;="&amp;($A363+16/24),tData[SEHTrajectPeriodeDatumTijdTotEnMet],"&gt;"&amp;($A363+16/24),tData[Langligger01],1)</f>
        <v/>
      </c>
      <c r="U363" s="20">
        <f>COUNTIFS(tData[SEHTrajectPeriodeDatumTijdVan],"&lt;="&amp;($A363+17/24),tData[SEHTrajectPeriodeDatumTijdTotEnMet],"&gt;"&amp;($A363+17/24),tData[Langligger01],1)</f>
        <v/>
      </c>
      <c r="V363" s="20">
        <f>COUNTIFS(tData[SEHTrajectPeriodeDatumTijdVan],"&lt;="&amp;($A363+18/24),tData[SEHTrajectPeriodeDatumTijdTotEnMet],"&gt;"&amp;($A363+18/24),tData[Langligger01],1)</f>
        <v/>
      </c>
      <c r="W363" s="20">
        <f>COUNTIFS(tData[SEHTrajectPeriodeDatumTijdVan],"&lt;="&amp;($A363+19/24),tData[SEHTrajectPeriodeDatumTijdTotEnMet],"&gt;"&amp;($A363+19/24),tData[Langligger01],1)</f>
        <v/>
      </c>
      <c r="X363" s="20">
        <f>COUNTIFS(tData[SEHTrajectPeriodeDatumTijdVan],"&lt;="&amp;($A363+20/24),tData[SEHTrajectPeriodeDatumTijdTotEnMet],"&gt;"&amp;($A363+20/24),tData[Langligger01],1)</f>
        <v/>
      </c>
      <c r="Y363" s="20">
        <f>COUNTIFS(tData[SEHTrajectPeriodeDatumTijdVan],"&lt;="&amp;($A363+21/24),tData[SEHTrajectPeriodeDatumTijdTotEnMet],"&gt;"&amp;($A363+21/24),tData[Langligger01],1)</f>
        <v/>
      </c>
      <c r="Z363" s="20">
        <f>COUNTIFS(tData[SEHTrajectPeriodeDatumTijdVan],"&lt;="&amp;($A363+22/24),tData[SEHTrajectPeriodeDatumTijdTotEnMet],"&gt;"&amp;($A363+22/24),tData[Langligger01],1)</f>
        <v/>
      </c>
      <c r="AA363" s="20">
        <f>COUNTIFS(tData[SEHTrajectPeriodeDatumTijdVan],"&lt;="&amp;($A363+23/24),tData[SEHTrajectPeriodeDatumTijdTotEnMet],"&gt;"&amp;($A363+23/24),tData[Langligger01],1)</f>
        <v/>
      </c>
    </row>
    <row r="364">
      <c r="A364" s="19" t="n">
        <v>45652</v>
      </c>
      <c r="B364" s="15">
        <f>WEEKDAY($A364,2)</f>
        <v/>
      </c>
      <c r="C364" s="15">
        <f>IF(AND($A364&gt;=INT(Instellingen!$B$5),$A364&lt;=INT(Instellingen!$B$6)),1,0)</f>
        <v/>
      </c>
      <c r="D364" s="20">
        <f>COUNTIFS(tData[SEHTrajectPeriodeDatumTijdVan],"&lt;="&amp;($A364+0/24),tData[SEHTrajectPeriodeDatumTijdTotEnMet],"&gt;"&amp;($A364+0/24),tData[Langligger01],1)</f>
        <v/>
      </c>
      <c r="E364" s="20">
        <f>COUNTIFS(tData[SEHTrajectPeriodeDatumTijdVan],"&lt;="&amp;($A364+1/24),tData[SEHTrajectPeriodeDatumTijdTotEnMet],"&gt;"&amp;($A364+1/24),tData[Langligger01],1)</f>
        <v/>
      </c>
      <c r="F364" s="20">
        <f>COUNTIFS(tData[SEHTrajectPeriodeDatumTijdVan],"&lt;="&amp;($A364+2/24),tData[SEHTrajectPeriodeDatumTijdTotEnMet],"&gt;"&amp;($A364+2/24),tData[Langligger01],1)</f>
        <v/>
      </c>
      <c r="G364" s="20">
        <f>COUNTIFS(tData[SEHTrajectPeriodeDatumTijdVan],"&lt;="&amp;($A364+3/24),tData[SEHTrajectPeriodeDatumTijdTotEnMet],"&gt;"&amp;($A364+3/24),tData[Langligger01],1)</f>
        <v/>
      </c>
      <c r="H364" s="20">
        <f>COUNTIFS(tData[SEHTrajectPeriodeDatumTijdVan],"&lt;="&amp;($A364+4/24),tData[SEHTrajectPeriodeDatumTijdTotEnMet],"&gt;"&amp;($A364+4/24),tData[Langligger01],1)</f>
        <v/>
      </c>
      <c r="I364" s="20">
        <f>COUNTIFS(tData[SEHTrajectPeriodeDatumTijdVan],"&lt;="&amp;($A364+5/24),tData[SEHTrajectPeriodeDatumTijdTotEnMet],"&gt;"&amp;($A364+5/24),tData[Langligger01],1)</f>
        <v/>
      </c>
      <c r="J364" s="20">
        <f>COUNTIFS(tData[SEHTrajectPeriodeDatumTijdVan],"&lt;="&amp;($A364+6/24),tData[SEHTrajectPeriodeDatumTijdTotEnMet],"&gt;"&amp;($A364+6/24),tData[Langligger01],1)</f>
        <v/>
      </c>
      <c r="K364" s="20">
        <f>COUNTIFS(tData[SEHTrajectPeriodeDatumTijdVan],"&lt;="&amp;($A364+7/24),tData[SEHTrajectPeriodeDatumTijdTotEnMet],"&gt;"&amp;($A364+7/24),tData[Langligger01],1)</f>
        <v/>
      </c>
      <c r="L364" s="20">
        <f>COUNTIFS(tData[SEHTrajectPeriodeDatumTijdVan],"&lt;="&amp;($A364+8/24),tData[SEHTrajectPeriodeDatumTijdTotEnMet],"&gt;"&amp;($A364+8/24),tData[Langligger01],1)</f>
        <v/>
      </c>
      <c r="M364" s="20">
        <f>COUNTIFS(tData[SEHTrajectPeriodeDatumTijdVan],"&lt;="&amp;($A364+9/24),tData[SEHTrajectPeriodeDatumTijdTotEnMet],"&gt;"&amp;($A364+9/24),tData[Langligger01],1)</f>
        <v/>
      </c>
      <c r="N364" s="20">
        <f>COUNTIFS(tData[SEHTrajectPeriodeDatumTijdVan],"&lt;="&amp;($A364+10/24),tData[SEHTrajectPeriodeDatumTijdTotEnMet],"&gt;"&amp;($A364+10/24),tData[Langligger01],1)</f>
        <v/>
      </c>
      <c r="O364" s="20">
        <f>COUNTIFS(tData[SEHTrajectPeriodeDatumTijdVan],"&lt;="&amp;($A364+11/24),tData[SEHTrajectPeriodeDatumTijdTotEnMet],"&gt;"&amp;($A364+11/24),tData[Langligger01],1)</f>
        <v/>
      </c>
      <c r="P364" s="20">
        <f>COUNTIFS(tData[SEHTrajectPeriodeDatumTijdVan],"&lt;="&amp;($A364+12/24),tData[SEHTrajectPeriodeDatumTijdTotEnMet],"&gt;"&amp;($A364+12/24),tData[Langligger01],1)</f>
        <v/>
      </c>
      <c r="Q364" s="20">
        <f>COUNTIFS(tData[SEHTrajectPeriodeDatumTijdVan],"&lt;="&amp;($A364+13/24),tData[SEHTrajectPeriodeDatumTijdTotEnMet],"&gt;"&amp;($A364+13/24),tData[Langligger01],1)</f>
        <v/>
      </c>
      <c r="R364" s="20">
        <f>COUNTIFS(tData[SEHTrajectPeriodeDatumTijdVan],"&lt;="&amp;($A364+14/24),tData[SEHTrajectPeriodeDatumTijdTotEnMet],"&gt;"&amp;($A364+14/24),tData[Langligger01],1)</f>
        <v/>
      </c>
      <c r="S364" s="20">
        <f>COUNTIFS(tData[SEHTrajectPeriodeDatumTijdVan],"&lt;="&amp;($A364+15/24),tData[SEHTrajectPeriodeDatumTijdTotEnMet],"&gt;"&amp;($A364+15/24),tData[Langligger01],1)</f>
        <v/>
      </c>
      <c r="T364" s="20">
        <f>COUNTIFS(tData[SEHTrajectPeriodeDatumTijdVan],"&lt;="&amp;($A364+16/24),tData[SEHTrajectPeriodeDatumTijdTotEnMet],"&gt;"&amp;($A364+16/24),tData[Langligger01],1)</f>
        <v/>
      </c>
      <c r="U364" s="20">
        <f>COUNTIFS(tData[SEHTrajectPeriodeDatumTijdVan],"&lt;="&amp;($A364+17/24),tData[SEHTrajectPeriodeDatumTijdTotEnMet],"&gt;"&amp;($A364+17/24),tData[Langligger01],1)</f>
        <v/>
      </c>
      <c r="V364" s="20">
        <f>COUNTIFS(tData[SEHTrajectPeriodeDatumTijdVan],"&lt;="&amp;($A364+18/24),tData[SEHTrajectPeriodeDatumTijdTotEnMet],"&gt;"&amp;($A364+18/24),tData[Langligger01],1)</f>
        <v/>
      </c>
      <c r="W364" s="20">
        <f>COUNTIFS(tData[SEHTrajectPeriodeDatumTijdVan],"&lt;="&amp;($A364+19/24),tData[SEHTrajectPeriodeDatumTijdTotEnMet],"&gt;"&amp;($A364+19/24),tData[Langligger01],1)</f>
        <v/>
      </c>
      <c r="X364" s="20">
        <f>COUNTIFS(tData[SEHTrajectPeriodeDatumTijdVan],"&lt;="&amp;($A364+20/24),tData[SEHTrajectPeriodeDatumTijdTotEnMet],"&gt;"&amp;($A364+20/24),tData[Langligger01],1)</f>
        <v/>
      </c>
      <c r="Y364" s="20">
        <f>COUNTIFS(tData[SEHTrajectPeriodeDatumTijdVan],"&lt;="&amp;($A364+21/24),tData[SEHTrajectPeriodeDatumTijdTotEnMet],"&gt;"&amp;($A364+21/24),tData[Langligger01],1)</f>
        <v/>
      </c>
      <c r="Z364" s="20">
        <f>COUNTIFS(tData[SEHTrajectPeriodeDatumTijdVan],"&lt;="&amp;($A364+22/24),tData[SEHTrajectPeriodeDatumTijdTotEnMet],"&gt;"&amp;($A364+22/24),tData[Langligger01],1)</f>
        <v/>
      </c>
      <c r="AA364" s="20">
        <f>COUNTIFS(tData[SEHTrajectPeriodeDatumTijdVan],"&lt;="&amp;($A364+23/24),tData[SEHTrajectPeriodeDatumTijdTotEnMet],"&gt;"&amp;($A364+23/24),tData[Langligger01],1)</f>
        <v/>
      </c>
    </row>
    <row r="365">
      <c r="A365" s="19" t="n">
        <v>45653</v>
      </c>
      <c r="B365" s="15">
        <f>WEEKDAY($A365,2)</f>
        <v/>
      </c>
      <c r="C365" s="15">
        <f>IF(AND($A365&gt;=INT(Instellingen!$B$5),$A365&lt;=INT(Instellingen!$B$6)),1,0)</f>
        <v/>
      </c>
      <c r="D365" s="20">
        <f>COUNTIFS(tData[SEHTrajectPeriodeDatumTijdVan],"&lt;="&amp;($A365+0/24),tData[SEHTrajectPeriodeDatumTijdTotEnMet],"&gt;"&amp;($A365+0/24),tData[Langligger01],1)</f>
        <v/>
      </c>
      <c r="E365" s="20">
        <f>COUNTIFS(tData[SEHTrajectPeriodeDatumTijdVan],"&lt;="&amp;($A365+1/24),tData[SEHTrajectPeriodeDatumTijdTotEnMet],"&gt;"&amp;($A365+1/24),tData[Langligger01],1)</f>
        <v/>
      </c>
      <c r="F365" s="20">
        <f>COUNTIFS(tData[SEHTrajectPeriodeDatumTijdVan],"&lt;="&amp;($A365+2/24),tData[SEHTrajectPeriodeDatumTijdTotEnMet],"&gt;"&amp;($A365+2/24),tData[Langligger01],1)</f>
        <v/>
      </c>
      <c r="G365" s="20">
        <f>COUNTIFS(tData[SEHTrajectPeriodeDatumTijdVan],"&lt;="&amp;($A365+3/24),tData[SEHTrajectPeriodeDatumTijdTotEnMet],"&gt;"&amp;($A365+3/24),tData[Langligger01],1)</f>
        <v/>
      </c>
      <c r="H365" s="20">
        <f>COUNTIFS(tData[SEHTrajectPeriodeDatumTijdVan],"&lt;="&amp;($A365+4/24),tData[SEHTrajectPeriodeDatumTijdTotEnMet],"&gt;"&amp;($A365+4/24),tData[Langligger01],1)</f>
        <v/>
      </c>
      <c r="I365" s="20">
        <f>COUNTIFS(tData[SEHTrajectPeriodeDatumTijdVan],"&lt;="&amp;($A365+5/24),tData[SEHTrajectPeriodeDatumTijdTotEnMet],"&gt;"&amp;($A365+5/24),tData[Langligger01],1)</f>
        <v/>
      </c>
      <c r="J365" s="20">
        <f>COUNTIFS(tData[SEHTrajectPeriodeDatumTijdVan],"&lt;="&amp;($A365+6/24),tData[SEHTrajectPeriodeDatumTijdTotEnMet],"&gt;"&amp;($A365+6/24),tData[Langligger01],1)</f>
        <v/>
      </c>
      <c r="K365" s="20">
        <f>COUNTIFS(tData[SEHTrajectPeriodeDatumTijdVan],"&lt;="&amp;($A365+7/24),tData[SEHTrajectPeriodeDatumTijdTotEnMet],"&gt;"&amp;($A365+7/24),tData[Langligger01],1)</f>
        <v/>
      </c>
      <c r="L365" s="20">
        <f>COUNTIFS(tData[SEHTrajectPeriodeDatumTijdVan],"&lt;="&amp;($A365+8/24),tData[SEHTrajectPeriodeDatumTijdTotEnMet],"&gt;"&amp;($A365+8/24),tData[Langligger01],1)</f>
        <v/>
      </c>
      <c r="M365" s="20">
        <f>COUNTIFS(tData[SEHTrajectPeriodeDatumTijdVan],"&lt;="&amp;($A365+9/24),tData[SEHTrajectPeriodeDatumTijdTotEnMet],"&gt;"&amp;($A365+9/24),tData[Langligger01],1)</f>
        <v/>
      </c>
      <c r="N365" s="20">
        <f>COUNTIFS(tData[SEHTrajectPeriodeDatumTijdVan],"&lt;="&amp;($A365+10/24),tData[SEHTrajectPeriodeDatumTijdTotEnMet],"&gt;"&amp;($A365+10/24),tData[Langligger01],1)</f>
        <v/>
      </c>
      <c r="O365" s="20">
        <f>COUNTIFS(tData[SEHTrajectPeriodeDatumTijdVan],"&lt;="&amp;($A365+11/24),tData[SEHTrajectPeriodeDatumTijdTotEnMet],"&gt;"&amp;($A365+11/24),tData[Langligger01],1)</f>
        <v/>
      </c>
      <c r="P365" s="20">
        <f>COUNTIFS(tData[SEHTrajectPeriodeDatumTijdVan],"&lt;="&amp;($A365+12/24),tData[SEHTrajectPeriodeDatumTijdTotEnMet],"&gt;"&amp;($A365+12/24),tData[Langligger01],1)</f>
        <v/>
      </c>
      <c r="Q365" s="20">
        <f>COUNTIFS(tData[SEHTrajectPeriodeDatumTijdVan],"&lt;="&amp;($A365+13/24),tData[SEHTrajectPeriodeDatumTijdTotEnMet],"&gt;"&amp;($A365+13/24),tData[Langligger01],1)</f>
        <v/>
      </c>
      <c r="R365" s="20">
        <f>COUNTIFS(tData[SEHTrajectPeriodeDatumTijdVan],"&lt;="&amp;($A365+14/24),tData[SEHTrajectPeriodeDatumTijdTotEnMet],"&gt;"&amp;($A365+14/24),tData[Langligger01],1)</f>
        <v/>
      </c>
      <c r="S365" s="20">
        <f>COUNTIFS(tData[SEHTrajectPeriodeDatumTijdVan],"&lt;="&amp;($A365+15/24),tData[SEHTrajectPeriodeDatumTijdTotEnMet],"&gt;"&amp;($A365+15/24),tData[Langligger01],1)</f>
        <v/>
      </c>
      <c r="T365" s="20">
        <f>COUNTIFS(tData[SEHTrajectPeriodeDatumTijdVan],"&lt;="&amp;($A365+16/24),tData[SEHTrajectPeriodeDatumTijdTotEnMet],"&gt;"&amp;($A365+16/24),tData[Langligger01],1)</f>
        <v/>
      </c>
      <c r="U365" s="20">
        <f>COUNTIFS(tData[SEHTrajectPeriodeDatumTijdVan],"&lt;="&amp;($A365+17/24),tData[SEHTrajectPeriodeDatumTijdTotEnMet],"&gt;"&amp;($A365+17/24),tData[Langligger01],1)</f>
        <v/>
      </c>
      <c r="V365" s="20">
        <f>COUNTIFS(tData[SEHTrajectPeriodeDatumTijdVan],"&lt;="&amp;($A365+18/24),tData[SEHTrajectPeriodeDatumTijdTotEnMet],"&gt;"&amp;($A365+18/24),tData[Langligger01],1)</f>
        <v/>
      </c>
      <c r="W365" s="20">
        <f>COUNTIFS(tData[SEHTrajectPeriodeDatumTijdVan],"&lt;="&amp;($A365+19/24),tData[SEHTrajectPeriodeDatumTijdTotEnMet],"&gt;"&amp;($A365+19/24),tData[Langligger01],1)</f>
        <v/>
      </c>
      <c r="X365" s="20">
        <f>COUNTIFS(tData[SEHTrajectPeriodeDatumTijdVan],"&lt;="&amp;($A365+20/24),tData[SEHTrajectPeriodeDatumTijdTotEnMet],"&gt;"&amp;($A365+20/24),tData[Langligger01],1)</f>
        <v/>
      </c>
      <c r="Y365" s="20">
        <f>COUNTIFS(tData[SEHTrajectPeriodeDatumTijdVan],"&lt;="&amp;($A365+21/24),tData[SEHTrajectPeriodeDatumTijdTotEnMet],"&gt;"&amp;($A365+21/24),tData[Langligger01],1)</f>
        <v/>
      </c>
      <c r="Z365" s="20">
        <f>COUNTIFS(tData[SEHTrajectPeriodeDatumTijdVan],"&lt;="&amp;($A365+22/24),tData[SEHTrajectPeriodeDatumTijdTotEnMet],"&gt;"&amp;($A365+22/24),tData[Langligger01],1)</f>
        <v/>
      </c>
      <c r="AA365" s="20">
        <f>COUNTIFS(tData[SEHTrajectPeriodeDatumTijdVan],"&lt;="&amp;($A365+23/24),tData[SEHTrajectPeriodeDatumTijdTotEnMet],"&gt;"&amp;($A365+23/24),tData[Langligger01],1)</f>
        <v/>
      </c>
    </row>
    <row r="366">
      <c r="A366" s="19" t="n">
        <v>45654</v>
      </c>
      <c r="B366" s="15">
        <f>WEEKDAY($A366,2)</f>
        <v/>
      </c>
      <c r="C366" s="15">
        <f>IF(AND($A366&gt;=INT(Instellingen!$B$5),$A366&lt;=INT(Instellingen!$B$6)),1,0)</f>
        <v/>
      </c>
      <c r="D366" s="20">
        <f>COUNTIFS(tData[SEHTrajectPeriodeDatumTijdVan],"&lt;="&amp;($A366+0/24),tData[SEHTrajectPeriodeDatumTijdTotEnMet],"&gt;"&amp;($A366+0/24),tData[Langligger01],1)</f>
        <v/>
      </c>
      <c r="E366" s="20">
        <f>COUNTIFS(tData[SEHTrajectPeriodeDatumTijdVan],"&lt;="&amp;($A366+1/24),tData[SEHTrajectPeriodeDatumTijdTotEnMet],"&gt;"&amp;($A366+1/24),tData[Langligger01],1)</f>
        <v/>
      </c>
      <c r="F366" s="20">
        <f>COUNTIFS(tData[SEHTrajectPeriodeDatumTijdVan],"&lt;="&amp;($A366+2/24),tData[SEHTrajectPeriodeDatumTijdTotEnMet],"&gt;"&amp;($A366+2/24),tData[Langligger01],1)</f>
        <v/>
      </c>
      <c r="G366" s="20">
        <f>COUNTIFS(tData[SEHTrajectPeriodeDatumTijdVan],"&lt;="&amp;($A366+3/24),tData[SEHTrajectPeriodeDatumTijdTotEnMet],"&gt;"&amp;($A366+3/24),tData[Langligger01],1)</f>
        <v/>
      </c>
      <c r="H366" s="20">
        <f>COUNTIFS(tData[SEHTrajectPeriodeDatumTijdVan],"&lt;="&amp;($A366+4/24),tData[SEHTrajectPeriodeDatumTijdTotEnMet],"&gt;"&amp;($A366+4/24),tData[Langligger01],1)</f>
        <v/>
      </c>
      <c r="I366" s="20">
        <f>COUNTIFS(tData[SEHTrajectPeriodeDatumTijdVan],"&lt;="&amp;($A366+5/24),tData[SEHTrajectPeriodeDatumTijdTotEnMet],"&gt;"&amp;($A366+5/24),tData[Langligger01],1)</f>
        <v/>
      </c>
      <c r="J366" s="20">
        <f>COUNTIFS(tData[SEHTrajectPeriodeDatumTijdVan],"&lt;="&amp;($A366+6/24),tData[SEHTrajectPeriodeDatumTijdTotEnMet],"&gt;"&amp;($A366+6/24),tData[Langligger01],1)</f>
        <v/>
      </c>
      <c r="K366" s="20">
        <f>COUNTIFS(tData[SEHTrajectPeriodeDatumTijdVan],"&lt;="&amp;($A366+7/24),tData[SEHTrajectPeriodeDatumTijdTotEnMet],"&gt;"&amp;($A366+7/24),tData[Langligger01],1)</f>
        <v/>
      </c>
      <c r="L366" s="20">
        <f>COUNTIFS(tData[SEHTrajectPeriodeDatumTijdVan],"&lt;="&amp;($A366+8/24),tData[SEHTrajectPeriodeDatumTijdTotEnMet],"&gt;"&amp;($A366+8/24),tData[Langligger01],1)</f>
        <v/>
      </c>
      <c r="M366" s="20">
        <f>COUNTIFS(tData[SEHTrajectPeriodeDatumTijdVan],"&lt;="&amp;($A366+9/24),tData[SEHTrajectPeriodeDatumTijdTotEnMet],"&gt;"&amp;($A366+9/24),tData[Langligger01],1)</f>
        <v/>
      </c>
      <c r="N366" s="20">
        <f>COUNTIFS(tData[SEHTrajectPeriodeDatumTijdVan],"&lt;="&amp;($A366+10/24),tData[SEHTrajectPeriodeDatumTijdTotEnMet],"&gt;"&amp;($A366+10/24),tData[Langligger01],1)</f>
        <v/>
      </c>
      <c r="O366" s="20">
        <f>COUNTIFS(tData[SEHTrajectPeriodeDatumTijdVan],"&lt;="&amp;($A366+11/24),tData[SEHTrajectPeriodeDatumTijdTotEnMet],"&gt;"&amp;($A366+11/24),tData[Langligger01],1)</f>
        <v/>
      </c>
      <c r="P366" s="20">
        <f>COUNTIFS(tData[SEHTrajectPeriodeDatumTijdVan],"&lt;="&amp;($A366+12/24),tData[SEHTrajectPeriodeDatumTijdTotEnMet],"&gt;"&amp;($A366+12/24),tData[Langligger01],1)</f>
        <v/>
      </c>
      <c r="Q366" s="20">
        <f>COUNTIFS(tData[SEHTrajectPeriodeDatumTijdVan],"&lt;="&amp;($A366+13/24),tData[SEHTrajectPeriodeDatumTijdTotEnMet],"&gt;"&amp;($A366+13/24),tData[Langligger01],1)</f>
        <v/>
      </c>
      <c r="R366" s="20">
        <f>COUNTIFS(tData[SEHTrajectPeriodeDatumTijdVan],"&lt;="&amp;($A366+14/24),tData[SEHTrajectPeriodeDatumTijdTotEnMet],"&gt;"&amp;($A366+14/24),tData[Langligger01],1)</f>
        <v/>
      </c>
      <c r="S366" s="20">
        <f>COUNTIFS(tData[SEHTrajectPeriodeDatumTijdVan],"&lt;="&amp;($A366+15/24),tData[SEHTrajectPeriodeDatumTijdTotEnMet],"&gt;"&amp;($A366+15/24),tData[Langligger01],1)</f>
        <v/>
      </c>
      <c r="T366" s="20">
        <f>COUNTIFS(tData[SEHTrajectPeriodeDatumTijdVan],"&lt;="&amp;($A366+16/24),tData[SEHTrajectPeriodeDatumTijdTotEnMet],"&gt;"&amp;($A366+16/24),tData[Langligger01],1)</f>
        <v/>
      </c>
      <c r="U366" s="20">
        <f>COUNTIFS(tData[SEHTrajectPeriodeDatumTijdVan],"&lt;="&amp;($A366+17/24),tData[SEHTrajectPeriodeDatumTijdTotEnMet],"&gt;"&amp;($A366+17/24),tData[Langligger01],1)</f>
        <v/>
      </c>
      <c r="V366" s="20">
        <f>COUNTIFS(tData[SEHTrajectPeriodeDatumTijdVan],"&lt;="&amp;($A366+18/24),tData[SEHTrajectPeriodeDatumTijdTotEnMet],"&gt;"&amp;($A366+18/24),tData[Langligger01],1)</f>
        <v/>
      </c>
      <c r="W366" s="20">
        <f>COUNTIFS(tData[SEHTrajectPeriodeDatumTijdVan],"&lt;="&amp;($A366+19/24),tData[SEHTrajectPeriodeDatumTijdTotEnMet],"&gt;"&amp;($A366+19/24),tData[Langligger01],1)</f>
        <v/>
      </c>
      <c r="X366" s="20">
        <f>COUNTIFS(tData[SEHTrajectPeriodeDatumTijdVan],"&lt;="&amp;($A366+20/24),tData[SEHTrajectPeriodeDatumTijdTotEnMet],"&gt;"&amp;($A366+20/24),tData[Langligger01],1)</f>
        <v/>
      </c>
      <c r="Y366" s="20">
        <f>COUNTIFS(tData[SEHTrajectPeriodeDatumTijdVan],"&lt;="&amp;($A366+21/24),tData[SEHTrajectPeriodeDatumTijdTotEnMet],"&gt;"&amp;($A366+21/24),tData[Langligger01],1)</f>
        <v/>
      </c>
      <c r="Z366" s="20">
        <f>COUNTIFS(tData[SEHTrajectPeriodeDatumTijdVan],"&lt;="&amp;($A366+22/24),tData[SEHTrajectPeriodeDatumTijdTotEnMet],"&gt;"&amp;($A366+22/24),tData[Langligger01],1)</f>
        <v/>
      </c>
      <c r="AA366" s="20">
        <f>COUNTIFS(tData[SEHTrajectPeriodeDatumTijdVan],"&lt;="&amp;($A366+23/24),tData[SEHTrajectPeriodeDatumTijdTotEnMet],"&gt;"&amp;($A366+23/24),tData[Langligger01],1)</f>
        <v/>
      </c>
    </row>
    <row r="367">
      <c r="A367" s="19" t="n">
        <v>45655</v>
      </c>
      <c r="B367" s="15">
        <f>WEEKDAY($A367,2)</f>
        <v/>
      </c>
      <c r="C367" s="15">
        <f>IF(AND($A367&gt;=INT(Instellingen!$B$5),$A367&lt;=INT(Instellingen!$B$6)),1,0)</f>
        <v/>
      </c>
      <c r="D367" s="20">
        <f>COUNTIFS(tData[SEHTrajectPeriodeDatumTijdVan],"&lt;="&amp;($A367+0/24),tData[SEHTrajectPeriodeDatumTijdTotEnMet],"&gt;"&amp;($A367+0/24),tData[Langligger01],1)</f>
        <v/>
      </c>
      <c r="E367" s="20">
        <f>COUNTIFS(tData[SEHTrajectPeriodeDatumTijdVan],"&lt;="&amp;($A367+1/24),tData[SEHTrajectPeriodeDatumTijdTotEnMet],"&gt;"&amp;($A367+1/24),tData[Langligger01],1)</f>
        <v/>
      </c>
      <c r="F367" s="20">
        <f>COUNTIFS(tData[SEHTrajectPeriodeDatumTijdVan],"&lt;="&amp;($A367+2/24),tData[SEHTrajectPeriodeDatumTijdTotEnMet],"&gt;"&amp;($A367+2/24),tData[Langligger01],1)</f>
        <v/>
      </c>
      <c r="G367" s="20">
        <f>COUNTIFS(tData[SEHTrajectPeriodeDatumTijdVan],"&lt;="&amp;($A367+3/24),tData[SEHTrajectPeriodeDatumTijdTotEnMet],"&gt;"&amp;($A367+3/24),tData[Langligger01],1)</f>
        <v/>
      </c>
      <c r="H367" s="20">
        <f>COUNTIFS(tData[SEHTrajectPeriodeDatumTijdVan],"&lt;="&amp;($A367+4/24),tData[SEHTrajectPeriodeDatumTijdTotEnMet],"&gt;"&amp;($A367+4/24),tData[Langligger01],1)</f>
        <v/>
      </c>
      <c r="I367" s="20">
        <f>COUNTIFS(tData[SEHTrajectPeriodeDatumTijdVan],"&lt;="&amp;($A367+5/24),tData[SEHTrajectPeriodeDatumTijdTotEnMet],"&gt;"&amp;($A367+5/24),tData[Langligger01],1)</f>
        <v/>
      </c>
      <c r="J367" s="20">
        <f>COUNTIFS(tData[SEHTrajectPeriodeDatumTijdVan],"&lt;="&amp;($A367+6/24),tData[SEHTrajectPeriodeDatumTijdTotEnMet],"&gt;"&amp;($A367+6/24),tData[Langligger01],1)</f>
        <v/>
      </c>
      <c r="K367" s="20">
        <f>COUNTIFS(tData[SEHTrajectPeriodeDatumTijdVan],"&lt;="&amp;($A367+7/24),tData[SEHTrajectPeriodeDatumTijdTotEnMet],"&gt;"&amp;($A367+7/24),tData[Langligger01],1)</f>
        <v/>
      </c>
      <c r="L367" s="20">
        <f>COUNTIFS(tData[SEHTrajectPeriodeDatumTijdVan],"&lt;="&amp;($A367+8/24),tData[SEHTrajectPeriodeDatumTijdTotEnMet],"&gt;"&amp;($A367+8/24),tData[Langligger01],1)</f>
        <v/>
      </c>
      <c r="M367" s="20">
        <f>COUNTIFS(tData[SEHTrajectPeriodeDatumTijdVan],"&lt;="&amp;($A367+9/24),tData[SEHTrajectPeriodeDatumTijdTotEnMet],"&gt;"&amp;($A367+9/24),tData[Langligger01],1)</f>
        <v/>
      </c>
      <c r="N367" s="20">
        <f>COUNTIFS(tData[SEHTrajectPeriodeDatumTijdVan],"&lt;="&amp;($A367+10/24),tData[SEHTrajectPeriodeDatumTijdTotEnMet],"&gt;"&amp;($A367+10/24),tData[Langligger01],1)</f>
        <v/>
      </c>
      <c r="O367" s="20">
        <f>COUNTIFS(tData[SEHTrajectPeriodeDatumTijdVan],"&lt;="&amp;($A367+11/24),tData[SEHTrajectPeriodeDatumTijdTotEnMet],"&gt;"&amp;($A367+11/24),tData[Langligger01],1)</f>
        <v/>
      </c>
      <c r="P367" s="20">
        <f>COUNTIFS(tData[SEHTrajectPeriodeDatumTijdVan],"&lt;="&amp;($A367+12/24),tData[SEHTrajectPeriodeDatumTijdTotEnMet],"&gt;"&amp;($A367+12/24),tData[Langligger01],1)</f>
        <v/>
      </c>
      <c r="Q367" s="20">
        <f>COUNTIFS(tData[SEHTrajectPeriodeDatumTijdVan],"&lt;="&amp;($A367+13/24),tData[SEHTrajectPeriodeDatumTijdTotEnMet],"&gt;"&amp;($A367+13/24),tData[Langligger01],1)</f>
        <v/>
      </c>
      <c r="R367" s="20">
        <f>COUNTIFS(tData[SEHTrajectPeriodeDatumTijdVan],"&lt;="&amp;($A367+14/24),tData[SEHTrajectPeriodeDatumTijdTotEnMet],"&gt;"&amp;($A367+14/24),tData[Langligger01],1)</f>
        <v/>
      </c>
      <c r="S367" s="20">
        <f>COUNTIFS(tData[SEHTrajectPeriodeDatumTijdVan],"&lt;="&amp;($A367+15/24),tData[SEHTrajectPeriodeDatumTijdTotEnMet],"&gt;"&amp;($A367+15/24),tData[Langligger01],1)</f>
        <v/>
      </c>
      <c r="T367" s="20">
        <f>COUNTIFS(tData[SEHTrajectPeriodeDatumTijdVan],"&lt;="&amp;($A367+16/24),tData[SEHTrajectPeriodeDatumTijdTotEnMet],"&gt;"&amp;($A367+16/24),tData[Langligger01],1)</f>
        <v/>
      </c>
      <c r="U367" s="20">
        <f>COUNTIFS(tData[SEHTrajectPeriodeDatumTijdVan],"&lt;="&amp;($A367+17/24),tData[SEHTrajectPeriodeDatumTijdTotEnMet],"&gt;"&amp;($A367+17/24),tData[Langligger01],1)</f>
        <v/>
      </c>
      <c r="V367" s="20">
        <f>COUNTIFS(tData[SEHTrajectPeriodeDatumTijdVan],"&lt;="&amp;($A367+18/24),tData[SEHTrajectPeriodeDatumTijdTotEnMet],"&gt;"&amp;($A367+18/24),tData[Langligger01],1)</f>
        <v/>
      </c>
      <c r="W367" s="20">
        <f>COUNTIFS(tData[SEHTrajectPeriodeDatumTijdVan],"&lt;="&amp;($A367+19/24),tData[SEHTrajectPeriodeDatumTijdTotEnMet],"&gt;"&amp;($A367+19/24),tData[Langligger01],1)</f>
        <v/>
      </c>
      <c r="X367" s="20">
        <f>COUNTIFS(tData[SEHTrajectPeriodeDatumTijdVan],"&lt;="&amp;($A367+20/24),tData[SEHTrajectPeriodeDatumTijdTotEnMet],"&gt;"&amp;($A367+20/24),tData[Langligger01],1)</f>
        <v/>
      </c>
      <c r="Y367" s="20">
        <f>COUNTIFS(tData[SEHTrajectPeriodeDatumTijdVan],"&lt;="&amp;($A367+21/24),tData[SEHTrajectPeriodeDatumTijdTotEnMet],"&gt;"&amp;($A367+21/24),tData[Langligger01],1)</f>
        <v/>
      </c>
      <c r="Z367" s="20">
        <f>COUNTIFS(tData[SEHTrajectPeriodeDatumTijdVan],"&lt;="&amp;($A367+22/24),tData[SEHTrajectPeriodeDatumTijdTotEnMet],"&gt;"&amp;($A367+22/24),tData[Langligger01],1)</f>
        <v/>
      </c>
      <c r="AA367" s="20">
        <f>COUNTIFS(tData[SEHTrajectPeriodeDatumTijdVan],"&lt;="&amp;($A367+23/24),tData[SEHTrajectPeriodeDatumTijdTotEnMet],"&gt;"&amp;($A367+23/24),tData[Langligger01],1)</f>
        <v/>
      </c>
    </row>
    <row r="368">
      <c r="A368" s="19" t="n">
        <v>45656</v>
      </c>
      <c r="B368" s="15">
        <f>WEEKDAY($A368,2)</f>
        <v/>
      </c>
      <c r="C368" s="15">
        <f>IF(AND($A368&gt;=INT(Instellingen!$B$5),$A368&lt;=INT(Instellingen!$B$6)),1,0)</f>
        <v/>
      </c>
      <c r="D368" s="20">
        <f>COUNTIFS(tData[SEHTrajectPeriodeDatumTijdVan],"&lt;="&amp;($A368+0/24),tData[SEHTrajectPeriodeDatumTijdTotEnMet],"&gt;"&amp;($A368+0/24),tData[Langligger01],1)</f>
        <v/>
      </c>
      <c r="E368" s="20">
        <f>COUNTIFS(tData[SEHTrajectPeriodeDatumTijdVan],"&lt;="&amp;($A368+1/24),tData[SEHTrajectPeriodeDatumTijdTotEnMet],"&gt;"&amp;($A368+1/24),tData[Langligger01],1)</f>
        <v/>
      </c>
      <c r="F368" s="20">
        <f>COUNTIFS(tData[SEHTrajectPeriodeDatumTijdVan],"&lt;="&amp;($A368+2/24),tData[SEHTrajectPeriodeDatumTijdTotEnMet],"&gt;"&amp;($A368+2/24),tData[Langligger01],1)</f>
        <v/>
      </c>
      <c r="G368" s="20">
        <f>COUNTIFS(tData[SEHTrajectPeriodeDatumTijdVan],"&lt;="&amp;($A368+3/24),tData[SEHTrajectPeriodeDatumTijdTotEnMet],"&gt;"&amp;($A368+3/24),tData[Langligger01],1)</f>
        <v/>
      </c>
      <c r="H368" s="20">
        <f>COUNTIFS(tData[SEHTrajectPeriodeDatumTijdVan],"&lt;="&amp;($A368+4/24),tData[SEHTrajectPeriodeDatumTijdTotEnMet],"&gt;"&amp;($A368+4/24),tData[Langligger01],1)</f>
        <v/>
      </c>
      <c r="I368" s="20">
        <f>COUNTIFS(tData[SEHTrajectPeriodeDatumTijdVan],"&lt;="&amp;($A368+5/24),tData[SEHTrajectPeriodeDatumTijdTotEnMet],"&gt;"&amp;($A368+5/24),tData[Langligger01],1)</f>
        <v/>
      </c>
      <c r="J368" s="20">
        <f>COUNTIFS(tData[SEHTrajectPeriodeDatumTijdVan],"&lt;="&amp;($A368+6/24),tData[SEHTrajectPeriodeDatumTijdTotEnMet],"&gt;"&amp;($A368+6/24),tData[Langligger01],1)</f>
        <v/>
      </c>
      <c r="K368" s="20">
        <f>COUNTIFS(tData[SEHTrajectPeriodeDatumTijdVan],"&lt;="&amp;($A368+7/24),tData[SEHTrajectPeriodeDatumTijdTotEnMet],"&gt;"&amp;($A368+7/24),tData[Langligger01],1)</f>
        <v/>
      </c>
      <c r="L368" s="20">
        <f>COUNTIFS(tData[SEHTrajectPeriodeDatumTijdVan],"&lt;="&amp;($A368+8/24),tData[SEHTrajectPeriodeDatumTijdTotEnMet],"&gt;"&amp;($A368+8/24),tData[Langligger01],1)</f>
        <v/>
      </c>
      <c r="M368" s="20">
        <f>COUNTIFS(tData[SEHTrajectPeriodeDatumTijdVan],"&lt;="&amp;($A368+9/24),tData[SEHTrajectPeriodeDatumTijdTotEnMet],"&gt;"&amp;($A368+9/24),tData[Langligger01],1)</f>
        <v/>
      </c>
      <c r="N368" s="20">
        <f>COUNTIFS(tData[SEHTrajectPeriodeDatumTijdVan],"&lt;="&amp;($A368+10/24),tData[SEHTrajectPeriodeDatumTijdTotEnMet],"&gt;"&amp;($A368+10/24),tData[Langligger01],1)</f>
        <v/>
      </c>
      <c r="O368" s="20">
        <f>COUNTIFS(tData[SEHTrajectPeriodeDatumTijdVan],"&lt;="&amp;($A368+11/24),tData[SEHTrajectPeriodeDatumTijdTotEnMet],"&gt;"&amp;($A368+11/24),tData[Langligger01],1)</f>
        <v/>
      </c>
      <c r="P368" s="20">
        <f>COUNTIFS(tData[SEHTrajectPeriodeDatumTijdVan],"&lt;="&amp;($A368+12/24),tData[SEHTrajectPeriodeDatumTijdTotEnMet],"&gt;"&amp;($A368+12/24),tData[Langligger01],1)</f>
        <v/>
      </c>
      <c r="Q368" s="20">
        <f>COUNTIFS(tData[SEHTrajectPeriodeDatumTijdVan],"&lt;="&amp;($A368+13/24),tData[SEHTrajectPeriodeDatumTijdTotEnMet],"&gt;"&amp;($A368+13/24),tData[Langligger01],1)</f>
        <v/>
      </c>
      <c r="R368" s="20">
        <f>COUNTIFS(tData[SEHTrajectPeriodeDatumTijdVan],"&lt;="&amp;($A368+14/24),tData[SEHTrajectPeriodeDatumTijdTotEnMet],"&gt;"&amp;($A368+14/24),tData[Langligger01],1)</f>
        <v/>
      </c>
      <c r="S368" s="20">
        <f>COUNTIFS(tData[SEHTrajectPeriodeDatumTijdVan],"&lt;="&amp;($A368+15/24),tData[SEHTrajectPeriodeDatumTijdTotEnMet],"&gt;"&amp;($A368+15/24),tData[Langligger01],1)</f>
        <v/>
      </c>
      <c r="T368" s="20">
        <f>COUNTIFS(tData[SEHTrajectPeriodeDatumTijdVan],"&lt;="&amp;($A368+16/24),tData[SEHTrajectPeriodeDatumTijdTotEnMet],"&gt;"&amp;($A368+16/24),tData[Langligger01],1)</f>
        <v/>
      </c>
      <c r="U368" s="20">
        <f>COUNTIFS(tData[SEHTrajectPeriodeDatumTijdVan],"&lt;="&amp;($A368+17/24),tData[SEHTrajectPeriodeDatumTijdTotEnMet],"&gt;"&amp;($A368+17/24),tData[Langligger01],1)</f>
        <v/>
      </c>
      <c r="V368" s="20">
        <f>COUNTIFS(tData[SEHTrajectPeriodeDatumTijdVan],"&lt;="&amp;($A368+18/24),tData[SEHTrajectPeriodeDatumTijdTotEnMet],"&gt;"&amp;($A368+18/24),tData[Langligger01],1)</f>
        <v/>
      </c>
      <c r="W368" s="20">
        <f>COUNTIFS(tData[SEHTrajectPeriodeDatumTijdVan],"&lt;="&amp;($A368+19/24),tData[SEHTrajectPeriodeDatumTijdTotEnMet],"&gt;"&amp;($A368+19/24),tData[Langligger01],1)</f>
        <v/>
      </c>
      <c r="X368" s="20">
        <f>COUNTIFS(tData[SEHTrajectPeriodeDatumTijdVan],"&lt;="&amp;($A368+20/24),tData[SEHTrajectPeriodeDatumTijdTotEnMet],"&gt;"&amp;($A368+20/24),tData[Langligger01],1)</f>
        <v/>
      </c>
      <c r="Y368" s="20">
        <f>COUNTIFS(tData[SEHTrajectPeriodeDatumTijdVan],"&lt;="&amp;($A368+21/24),tData[SEHTrajectPeriodeDatumTijdTotEnMet],"&gt;"&amp;($A368+21/24),tData[Langligger01],1)</f>
        <v/>
      </c>
      <c r="Z368" s="20">
        <f>COUNTIFS(tData[SEHTrajectPeriodeDatumTijdVan],"&lt;="&amp;($A368+22/24),tData[SEHTrajectPeriodeDatumTijdTotEnMet],"&gt;"&amp;($A368+22/24),tData[Langligger01],1)</f>
        <v/>
      </c>
      <c r="AA368" s="20">
        <f>COUNTIFS(tData[SEHTrajectPeriodeDatumTijdVan],"&lt;="&amp;($A368+23/24),tData[SEHTrajectPeriodeDatumTijdTotEnMet],"&gt;"&amp;($A368+23/24),tData[Langligger01],1)</f>
        <v/>
      </c>
    </row>
    <row r="369">
      <c r="A369" s="19" t="n">
        <v>45657</v>
      </c>
      <c r="B369" s="15">
        <f>WEEKDAY($A369,2)</f>
        <v/>
      </c>
      <c r="C369" s="15">
        <f>IF(AND($A369&gt;=INT(Instellingen!$B$5),$A369&lt;=INT(Instellingen!$B$6)),1,0)</f>
        <v/>
      </c>
      <c r="D369" s="20">
        <f>COUNTIFS(tData[SEHTrajectPeriodeDatumTijdVan],"&lt;="&amp;($A369+0/24),tData[SEHTrajectPeriodeDatumTijdTotEnMet],"&gt;"&amp;($A369+0/24),tData[Langligger01],1)</f>
        <v/>
      </c>
      <c r="E369" s="20">
        <f>COUNTIFS(tData[SEHTrajectPeriodeDatumTijdVan],"&lt;="&amp;($A369+1/24),tData[SEHTrajectPeriodeDatumTijdTotEnMet],"&gt;"&amp;($A369+1/24),tData[Langligger01],1)</f>
        <v/>
      </c>
      <c r="F369" s="20">
        <f>COUNTIFS(tData[SEHTrajectPeriodeDatumTijdVan],"&lt;="&amp;($A369+2/24),tData[SEHTrajectPeriodeDatumTijdTotEnMet],"&gt;"&amp;($A369+2/24),tData[Langligger01],1)</f>
        <v/>
      </c>
      <c r="G369" s="20">
        <f>COUNTIFS(tData[SEHTrajectPeriodeDatumTijdVan],"&lt;="&amp;($A369+3/24),tData[SEHTrajectPeriodeDatumTijdTotEnMet],"&gt;"&amp;($A369+3/24),tData[Langligger01],1)</f>
        <v/>
      </c>
      <c r="H369" s="20">
        <f>COUNTIFS(tData[SEHTrajectPeriodeDatumTijdVan],"&lt;="&amp;($A369+4/24),tData[SEHTrajectPeriodeDatumTijdTotEnMet],"&gt;"&amp;($A369+4/24),tData[Langligger01],1)</f>
        <v/>
      </c>
      <c r="I369" s="20">
        <f>COUNTIFS(tData[SEHTrajectPeriodeDatumTijdVan],"&lt;="&amp;($A369+5/24),tData[SEHTrajectPeriodeDatumTijdTotEnMet],"&gt;"&amp;($A369+5/24),tData[Langligger01],1)</f>
        <v/>
      </c>
      <c r="J369" s="20">
        <f>COUNTIFS(tData[SEHTrajectPeriodeDatumTijdVan],"&lt;="&amp;($A369+6/24),tData[SEHTrajectPeriodeDatumTijdTotEnMet],"&gt;"&amp;($A369+6/24),tData[Langligger01],1)</f>
        <v/>
      </c>
      <c r="K369" s="20">
        <f>COUNTIFS(tData[SEHTrajectPeriodeDatumTijdVan],"&lt;="&amp;($A369+7/24),tData[SEHTrajectPeriodeDatumTijdTotEnMet],"&gt;"&amp;($A369+7/24),tData[Langligger01],1)</f>
        <v/>
      </c>
      <c r="L369" s="20">
        <f>COUNTIFS(tData[SEHTrajectPeriodeDatumTijdVan],"&lt;="&amp;($A369+8/24),tData[SEHTrajectPeriodeDatumTijdTotEnMet],"&gt;"&amp;($A369+8/24),tData[Langligger01],1)</f>
        <v/>
      </c>
      <c r="M369" s="20">
        <f>COUNTIFS(tData[SEHTrajectPeriodeDatumTijdVan],"&lt;="&amp;($A369+9/24),tData[SEHTrajectPeriodeDatumTijdTotEnMet],"&gt;"&amp;($A369+9/24),tData[Langligger01],1)</f>
        <v/>
      </c>
      <c r="N369" s="20">
        <f>COUNTIFS(tData[SEHTrajectPeriodeDatumTijdVan],"&lt;="&amp;($A369+10/24),tData[SEHTrajectPeriodeDatumTijdTotEnMet],"&gt;"&amp;($A369+10/24),tData[Langligger01],1)</f>
        <v/>
      </c>
      <c r="O369" s="20">
        <f>COUNTIFS(tData[SEHTrajectPeriodeDatumTijdVan],"&lt;="&amp;($A369+11/24),tData[SEHTrajectPeriodeDatumTijdTotEnMet],"&gt;"&amp;($A369+11/24),tData[Langligger01],1)</f>
        <v/>
      </c>
      <c r="P369" s="20">
        <f>COUNTIFS(tData[SEHTrajectPeriodeDatumTijdVan],"&lt;="&amp;($A369+12/24),tData[SEHTrajectPeriodeDatumTijdTotEnMet],"&gt;"&amp;($A369+12/24),tData[Langligger01],1)</f>
        <v/>
      </c>
      <c r="Q369" s="20">
        <f>COUNTIFS(tData[SEHTrajectPeriodeDatumTijdVan],"&lt;="&amp;($A369+13/24),tData[SEHTrajectPeriodeDatumTijdTotEnMet],"&gt;"&amp;($A369+13/24),tData[Langligger01],1)</f>
        <v/>
      </c>
      <c r="R369" s="20">
        <f>COUNTIFS(tData[SEHTrajectPeriodeDatumTijdVan],"&lt;="&amp;($A369+14/24),tData[SEHTrajectPeriodeDatumTijdTotEnMet],"&gt;"&amp;($A369+14/24),tData[Langligger01],1)</f>
        <v/>
      </c>
      <c r="S369" s="20">
        <f>COUNTIFS(tData[SEHTrajectPeriodeDatumTijdVan],"&lt;="&amp;($A369+15/24),tData[SEHTrajectPeriodeDatumTijdTotEnMet],"&gt;"&amp;($A369+15/24),tData[Langligger01],1)</f>
        <v/>
      </c>
      <c r="T369" s="20">
        <f>COUNTIFS(tData[SEHTrajectPeriodeDatumTijdVan],"&lt;="&amp;($A369+16/24),tData[SEHTrajectPeriodeDatumTijdTotEnMet],"&gt;"&amp;($A369+16/24),tData[Langligger01],1)</f>
        <v/>
      </c>
      <c r="U369" s="20">
        <f>COUNTIFS(tData[SEHTrajectPeriodeDatumTijdVan],"&lt;="&amp;($A369+17/24),tData[SEHTrajectPeriodeDatumTijdTotEnMet],"&gt;"&amp;($A369+17/24),tData[Langligger01],1)</f>
        <v/>
      </c>
      <c r="V369" s="20">
        <f>COUNTIFS(tData[SEHTrajectPeriodeDatumTijdVan],"&lt;="&amp;($A369+18/24),tData[SEHTrajectPeriodeDatumTijdTotEnMet],"&gt;"&amp;($A369+18/24),tData[Langligger01],1)</f>
        <v/>
      </c>
      <c r="W369" s="20">
        <f>COUNTIFS(tData[SEHTrajectPeriodeDatumTijdVan],"&lt;="&amp;($A369+19/24),tData[SEHTrajectPeriodeDatumTijdTotEnMet],"&gt;"&amp;($A369+19/24),tData[Langligger01],1)</f>
        <v/>
      </c>
      <c r="X369" s="20">
        <f>COUNTIFS(tData[SEHTrajectPeriodeDatumTijdVan],"&lt;="&amp;($A369+20/24),tData[SEHTrajectPeriodeDatumTijdTotEnMet],"&gt;"&amp;($A369+20/24),tData[Langligger01],1)</f>
        <v/>
      </c>
      <c r="Y369" s="20">
        <f>COUNTIFS(tData[SEHTrajectPeriodeDatumTijdVan],"&lt;="&amp;($A369+21/24),tData[SEHTrajectPeriodeDatumTijdTotEnMet],"&gt;"&amp;($A369+21/24),tData[Langligger01],1)</f>
        <v/>
      </c>
      <c r="Z369" s="20">
        <f>COUNTIFS(tData[SEHTrajectPeriodeDatumTijdVan],"&lt;="&amp;($A369+22/24),tData[SEHTrajectPeriodeDatumTijdTotEnMet],"&gt;"&amp;($A369+22/24),tData[Langligger01],1)</f>
        <v/>
      </c>
      <c r="AA369" s="20">
        <f>COUNTIFS(tData[SEHTrajectPeriodeDatumTijdVan],"&lt;="&amp;($A369+23/24),tData[SEHTrajectPeriodeDatumTijdTotEnMet],"&gt;"&amp;($A369+23/24),tData[Langligger01],1)</f>
        <v/>
      </c>
    </row>
    <row r="370">
      <c r="A370" s="19" t="n">
        <v>45658</v>
      </c>
      <c r="B370" s="15">
        <f>WEEKDAY($A370,2)</f>
        <v/>
      </c>
      <c r="C370" s="15">
        <f>IF(AND($A370&gt;=INT(Instellingen!$B$5),$A370&lt;=INT(Instellingen!$B$6)),1,0)</f>
        <v/>
      </c>
      <c r="D370" s="20">
        <f>COUNTIFS(tData[SEHTrajectPeriodeDatumTijdVan],"&lt;="&amp;($A370+0/24),tData[SEHTrajectPeriodeDatumTijdTotEnMet],"&gt;"&amp;($A370+0/24),tData[Langligger01],1)</f>
        <v/>
      </c>
      <c r="E370" s="20">
        <f>COUNTIFS(tData[SEHTrajectPeriodeDatumTijdVan],"&lt;="&amp;($A370+1/24),tData[SEHTrajectPeriodeDatumTijdTotEnMet],"&gt;"&amp;($A370+1/24),tData[Langligger01],1)</f>
        <v/>
      </c>
      <c r="F370" s="20">
        <f>COUNTIFS(tData[SEHTrajectPeriodeDatumTijdVan],"&lt;="&amp;($A370+2/24),tData[SEHTrajectPeriodeDatumTijdTotEnMet],"&gt;"&amp;($A370+2/24),tData[Langligger01],1)</f>
        <v/>
      </c>
      <c r="G370" s="20">
        <f>COUNTIFS(tData[SEHTrajectPeriodeDatumTijdVan],"&lt;="&amp;($A370+3/24),tData[SEHTrajectPeriodeDatumTijdTotEnMet],"&gt;"&amp;($A370+3/24),tData[Langligger01],1)</f>
        <v/>
      </c>
      <c r="H370" s="20">
        <f>COUNTIFS(tData[SEHTrajectPeriodeDatumTijdVan],"&lt;="&amp;($A370+4/24),tData[SEHTrajectPeriodeDatumTijdTotEnMet],"&gt;"&amp;($A370+4/24),tData[Langligger01],1)</f>
        <v/>
      </c>
      <c r="I370" s="20">
        <f>COUNTIFS(tData[SEHTrajectPeriodeDatumTijdVan],"&lt;="&amp;($A370+5/24),tData[SEHTrajectPeriodeDatumTijdTotEnMet],"&gt;"&amp;($A370+5/24),tData[Langligger01],1)</f>
        <v/>
      </c>
      <c r="J370" s="20">
        <f>COUNTIFS(tData[SEHTrajectPeriodeDatumTijdVan],"&lt;="&amp;($A370+6/24),tData[SEHTrajectPeriodeDatumTijdTotEnMet],"&gt;"&amp;($A370+6/24),tData[Langligger01],1)</f>
        <v/>
      </c>
      <c r="K370" s="20">
        <f>COUNTIFS(tData[SEHTrajectPeriodeDatumTijdVan],"&lt;="&amp;($A370+7/24),tData[SEHTrajectPeriodeDatumTijdTotEnMet],"&gt;"&amp;($A370+7/24),tData[Langligger01],1)</f>
        <v/>
      </c>
      <c r="L370" s="20">
        <f>COUNTIFS(tData[SEHTrajectPeriodeDatumTijdVan],"&lt;="&amp;($A370+8/24),tData[SEHTrajectPeriodeDatumTijdTotEnMet],"&gt;"&amp;($A370+8/24),tData[Langligger01],1)</f>
        <v/>
      </c>
      <c r="M370" s="20">
        <f>COUNTIFS(tData[SEHTrajectPeriodeDatumTijdVan],"&lt;="&amp;($A370+9/24),tData[SEHTrajectPeriodeDatumTijdTotEnMet],"&gt;"&amp;($A370+9/24),tData[Langligger01],1)</f>
        <v/>
      </c>
      <c r="N370" s="20">
        <f>COUNTIFS(tData[SEHTrajectPeriodeDatumTijdVan],"&lt;="&amp;($A370+10/24),tData[SEHTrajectPeriodeDatumTijdTotEnMet],"&gt;"&amp;($A370+10/24),tData[Langligger01],1)</f>
        <v/>
      </c>
      <c r="O370" s="20">
        <f>COUNTIFS(tData[SEHTrajectPeriodeDatumTijdVan],"&lt;="&amp;($A370+11/24),tData[SEHTrajectPeriodeDatumTijdTotEnMet],"&gt;"&amp;($A370+11/24),tData[Langligger01],1)</f>
        <v/>
      </c>
      <c r="P370" s="20">
        <f>COUNTIFS(tData[SEHTrajectPeriodeDatumTijdVan],"&lt;="&amp;($A370+12/24),tData[SEHTrajectPeriodeDatumTijdTotEnMet],"&gt;"&amp;($A370+12/24),tData[Langligger01],1)</f>
        <v/>
      </c>
      <c r="Q370" s="20">
        <f>COUNTIFS(tData[SEHTrajectPeriodeDatumTijdVan],"&lt;="&amp;($A370+13/24),tData[SEHTrajectPeriodeDatumTijdTotEnMet],"&gt;"&amp;($A370+13/24),tData[Langligger01],1)</f>
        <v/>
      </c>
      <c r="R370" s="20">
        <f>COUNTIFS(tData[SEHTrajectPeriodeDatumTijdVan],"&lt;="&amp;($A370+14/24),tData[SEHTrajectPeriodeDatumTijdTotEnMet],"&gt;"&amp;($A370+14/24),tData[Langligger01],1)</f>
        <v/>
      </c>
      <c r="S370" s="20">
        <f>COUNTIFS(tData[SEHTrajectPeriodeDatumTijdVan],"&lt;="&amp;($A370+15/24),tData[SEHTrajectPeriodeDatumTijdTotEnMet],"&gt;"&amp;($A370+15/24),tData[Langligger01],1)</f>
        <v/>
      </c>
      <c r="T370" s="20">
        <f>COUNTIFS(tData[SEHTrajectPeriodeDatumTijdVan],"&lt;="&amp;($A370+16/24),tData[SEHTrajectPeriodeDatumTijdTotEnMet],"&gt;"&amp;($A370+16/24),tData[Langligger01],1)</f>
        <v/>
      </c>
      <c r="U370" s="20">
        <f>COUNTIFS(tData[SEHTrajectPeriodeDatumTijdVan],"&lt;="&amp;($A370+17/24),tData[SEHTrajectPeriodeDatumTijdTotEnMet],"&gt;"&amp;($A370+17/24),tData[Langligger01],1)</f>
        <v/>
      </c>
      <c r="V370" s="20">
        <f>COUNTIFS(tData[SEHTrajectPeriodeDatumTijdVan],"&lt;="&amp;($A370+18/24),tData[SEHTrajectPeriodeDatumTijdTotEnMet],"&gt;"&amp;($A370+18/24),tData[Langligger01],1)</f>
        <v/>
      </c>
      <c r="W370" s="20">
        <f>COUNTIFS(tData[SEHTrajectPeriodeDatumTijdVan],"&lt;="&amp;($A370+19/24),tData[SEHTrajectPeriodeDatumTijdTotEnMet],"&gt;"&amp;($A370+19/24),tData[Langligger01],1)</f>
        <v/>
      </c>
      <c r="X370" s="20">
        <f>COUNTIFS(tData[SEHTrajectPeriodeDatumTijdVan],"&lt;="&amp;($A370+20/24),tData[SEHTrajectPeriodeDatumTijdTotEnMet],"&gt;"&amp;($A370+20/24),tData[Langligger01],1)</f>
        <v/>
      </c>
      <c r="Y370" s="20">
        <f>COUNTIFS(tData[SEHTrajectPeriodeDatumTijdVan],"&lt;="&amp;($A370+21/24),tData[SEHTrajectPeriodeDatumTijdTotEnMet],"&gt;"&amp;($A370+21/24),tData[Langligger01],1)</f>
        <v/>
      </c>
      <c r="Z370" s="20">
        <f>COUNTIFS(tData[SEHTrajectPeriodeDatumTijdVan],"&lt;="&amp;($A370+22/24),tData[SEHTrajectPeriodeDatumTijdTotEnMet],"&gt;"&amp;($A370+22/24),tData[Langligger01],1)</f>
        <v/>
      </c>
      <c r="AA370" s="20">
        <f>COUNTIFS(tData[SEHTrajectPeriodeDatumTijdVan],"&lt;="&amp;($A370+23/24),tData[SEHTrajectPeriodeDatumTijdTotEnMet],"&gt;"&amp;($A370+23/24),tData[Langligger01],1)</f>
        <v/>
      </c>
    </row>
    <row r="371">
      <c r="A371" s="19" t="n">
        <v>45659</v>
      </c>
      <c r="B371" s="15">
        <f>WEEKDAY($A371,2)</f>
        <v/>
      </c>
      <c r="C371" s="15">
        <f>IF(AND($A371&gt;=INT(Instellingen!$B$5),$A371&lt;=INT(Instellingen!$B$6)),1,0)</f>
        <v/>
      </c>
      <c r="D371" s="20">
        <f>COUNTIFS(tData[SEHTrajectPeriodeDatumTijdVan],"&lt;="&amp;($A371+0/24),tData[SEHTrajectPeriodeDatumTijdTotEnMet],"&gt;"&amp;($A371+0/24),tData[Langligger01],1)</f>
        <v/>
      </c>
      <c r="E371" s="20">
        <f>COUNTIFS(tData[SEHTrajectPeriodeDatumTijdVan],"&lt;="&amp;($A371+1/24),tData[SEHTrajectPeriodeDatumTijdTotEnMet],"&gt;"&amp;($A371+1/24),tData[Langligger01],1)</f>
        <v/>
      </c>
      <c r="F371" s="20">
        <f>COUNTIFS(tData[SEHTrajectPeriodeDatumTijdVan],"&lt;="&amp;($A371+2/24),tData[SEHTrajectPeriodeDatumTijdTotEnMet],"&gt;"&amp;($A371+2/24),tData[Langligger01],1)</f>
        <v/>
      </c>
      <c r="G371" s="20">
        <f>COUNTIFS(tData[SEHTrajectPeriodeDatumTijdVan],"&lt;="&amp;($A371+3/24),tData[SEHTrajectPeriodeDatumTijdTotEnMet],"&gt;"&amp;($A371+3/24),tData[Langligger01],1)</f>
        <v/>
      </c>
      <c r="H371" s="20">
        <f>COUNTIFS(tData[SEHTrajectPeriodeDatumTijdVan],"&lt;="&amp;($A371+4/24),tData[SEHTrajectPeriodeDatumTijdTotEnMet],"&gt;"&amp;($A371+4/24),tData[Langligger01],1)</f>
        <v/>
      </c>
      <c r="I371" s="20">
        <f>COUNTIFS(tData[SEHTrajectPeriodeDatumTijdVan],"&lt;="&amp;($A371+5/24),tData[SEHTrajectPeriodeDatumTijdTotEnMet],"&gt;"&amp;($A371+5/24),tData[Langligger01],1)</f>
        <v/>
      </c>
      <c r="J371" s="20">
        <f>COUNTIFS(tData[SEHTrajectPeriodeDatumTijdVan],"&lt;="&amp;($A371+6/24),tData[SEHTrajectPeriodeDatumTijdTotEnMet],"&gt;"&amp;($A371+6/24),tData[Langligger01],1)</f>
        <v/>
      </c>
      <c r="K371" s="20">
        <f>COUNTIFS(tData[SEHTrajectPeriodeDatumTijdVan],"&lt;="&amp;($A371+7/24),tData[SEHTrajectPeriodeDatumTijdTotEnMet],"&gt;"&amp;($A371+7/24),tData[Langligger01],1)</f>
        <v/>
      </c>
      <c r="L371" s="20">
        <f>COUNTIFS(tData[SEHTrajectPeriodeDatumTijdVan],"&lt;="&amp;($A371+8/24),tData[SEHTrajectPeriodeDatumTijdTotEnMet],"&gt;"&amp;($A371+8/24),tData[Langligger01],1)</f>
        <v/>
      </c>
      <c r="M371" s="20">
        <f>COUNTIFS(tData[SEHTrajectPeriodeDatumTijdVan],"&lt;="&amp;($A371+9/24),tData[SEHTrajectPeriodeDatumTijdTotEnMet],"&gt;"&amp;($A371+9/24),tData[Langligger01],1)</f>
        <v/>
      </c>
      <c r="N371" s="20">
        <f>COUNTIFS(tData[SEHTrajectPeriodeDatumTijdVan],"&lt;="&amp;($A371+10/24),tData[SEHTrajectPeriodeDatumTijdTotEnMet],"&gt;"&amp;($A371+10/24),tData[Langligger01],1)</f>
        <v/>
      </c>
      <c r="O371" s="20">
        <f>COUNTIFS(tData[SEHTrajectPeriodeDatumTijdVan],"&lt;="&amp;($A371+11/24),tData[SEHTrajectPeriodeDatumTijdTotEnMet],"&gt;"&amp;($A371+11/24),tData[Langligger01],1)</f>
        <v/>
      </c>
      <c r="P371" s="20">
        <f>COUNTIFS(tData[SEHTrajectPeriodeDatumTijdVan],"&lt;="&amp;($A371+12/24),tData[SEHTrajectPeriodeDatumTijdTotEnMet],"&gt;"&amp;($A371+12/24),tData[Langligger01],1)</f>
        <v/>
      </c>
      <c r="Q371" s="20">
        <f>COUNTIFS(tData[SEHTrajectPeriodeDatumTijdVan],"&lt;="&amp;($A371+13/24),tData[SEHTrajectPeriodeDatumTijdTotEnMet],"&gt;"&amp;($A371+13/24),tData[Langligger01],1)</f>
        <v/>
      </c>
      <c r="R371" s="20">
        <f>COUNTIFS(tData[SEHTrajectPeriodeDatumTijdVan],"&lt;="&amp;($A371+14/24),tData[SEHTrajectPeriodeDatumTijdTotEnMet],"&gt;"&amp;($A371+14/24),tData[Langligger01],1)</f>
        <v/>
      </c>
      <c r="S371" s="20">
        <f>COUNTIFS(tData[SEHTrajectPeriodeDatumTijdVan],"&lt;="&amp;($A371+15/24),tData[SEHTrajectPeriodeDatumTijdTotEnMet],"&gt;"&amp;($A371+15/24),tData[Langligger01],1)</f>
        <v/>
      </c>
      <c r="T371" s="20">
        <f>COUNTIFS(tData[SEHTrajectPeriodeDatumTijdVan],"&lt;="&amp;($A371+16/24),tData[SEHTrajectPeriodeDatumTijdTotEnMet],"&gt;"&amp;($A371+16/24),tData[Langligger01],1)</f>
        <v/>
      </c>
      <c r="U371" s="20">
        <f>COUNTIFS(tData[SEHTrajectPeriodeDatumTijdVan],"&lt;="&amp;($A371+17/24),tData[SEHTrajectPeriodeDatumTijdTotEnMet],"&gt;"&amp;($A371+17/24),tData[Langligger01],1)</f>
        <v/>
      </c>
      <c r="V371" s="20">
        <f>COUNTIFS(tData[SEHTrajectPeriodeDatumTijdVan],"&lt;="&amp;($A371+18/24),tData[SEHTrajectPeriodeDatumTijdTotEnMet],"&gt;"&amp;($A371+18/24),tData[Langligger01],1)</f>
        <v/>
      </c>
      <c r="W371" s="20">
        <f>COUNTIFS(tData[SEHTrajectPeriodeDatumTijdVan],"&lt;="&amp;($A371+19/24),tData[SEHTrajectPeriodeDatumTijdTotEnMet],"&gt;"&amp;($A371+19/24),tData[Langligger01],1)</f>
        <v/>
      </c>
      <c r="X371" s="20">
        <f>COUNTIFS(tData[SEHTrajectPeriodeDatumTijdVan],"&lt;="&amp;($A371+20/24),tData[SEHTrajectPeriodeDatumTijdTotEnMet],"&gt;"&amp;($A371+20/24),tData[Langligger01],1)</f>
        <v/>
      </c>
      <c r="Y371" s="20">
        <f>COUNTIFS(tData[SEHTrajectPeriodeDatumTijdVan],"&lt;="&amp;($A371+21/24),tData[SEHTrajectPeriodeDatumTijdTotEnMet],"&gt;"&amp;($A371+21/24),tData[Langligger01],1)</f>
        <v/>
      </c>
      <c r="Z371" s="20">
        <f>COUNTIFS(tData[SEHTrajectPeriodeDatumTijdVan],"&lt;="&amp;($A371+22/24),tData[SEHTrajectPeriodeDatumTijdTotEnMet],"&gt;"&amp;($A371+22/24),tData[Langligger01],1)</f>
        <v/>
      </c>
      <c r="AA371" s="20">
        <f>COUNTIFS(tData[SEHTrajectPeriodeDatumTijdVan],"&lt;="&amp;($A371+23/24),tData[SEHTrajectPeriodeDatumTijdTotEnMet],"&gt;"&amp;($A371+23/24),tData[Langligger01],1)</f>
        <v/>
      </c>
    </row>
    <row r="372">
      <c r="A372" s="19" t="n">
        <v>45660</v>
      </c>
      <c r="B372" s="15">
        <f>WEEKDAY($A372,2)</f>
        <v/>
      </c>
      <c r="C372" s="15">
        <f>IF(AND($A372&gt;=INT(Instellingen!$B$5),$A372&lt;=INT(Instellingen!$B$6)),1,0)</f>
        <v/>
      </c>
      <c r="D372" s="20">
        <f>COUNTIFS(tData[SEHTrajectPeriodeDatumTijdVan],"&lt;="&amp;($A372+0/24),tData[SEHTrajectPeriodeDatumTijdTotEnMet],"&gt;"&amp;($A372+0/24),tData[Langligger01],1)</f>
        <v/>
      </c>
      <c r="E372" s="20">
        <f>COUNTIFS(tData[SEHTrajectPeriodeDatumTijdVan],"&lt;="&amp;($A372+1/24),tData[SEHTrajectPeriodeDatumTijdTotEnMet],"&gt;"&amp;($A372+1/24),tData[Langligger01],1)</f>
        <v/>
      </c>
      <c r="F372" s="20">
        <f>COUNTIFS(tData[SEHTrajectPeriodeDatumTijdVan],"&lt;="&amp;($A372+2/24),tData[SEHTrajectPeriodeDatumTijdTotEnMet],"&gt;"&amp;($A372+2/24),tData[Langligger01],1)</f>
        <v/>
      </c>
      <c r="G372" s="20">
        <f>COUNTIFS(tData[SEHTrajectPeriodeDatumTijdVan],"&lt;="&amp;($A372+3/24),tData[SEHTrajectPeriodeDatumTijdTotEnMet],"&gt;"&amp;($A372+3/24),tData[Langligger01],1)</f>
        <v/>
      </c>
      <c r="H372" s="20">
        <f>COUNTIFS(tData[SEHTrajectPeriodeDatumTijdVan],"&lt;="&amp;($A372+4/24),tData[SEHTrajectPeriodeDatumTijdTotEnMet],"&gt;"&amp;($A372+4/24),tData[Langligger01],1)</f>
        <v/>
      </c>
      <c r="I372" s="20">
        <f>COUNTIFS(tData[SEHTrajectPeriodeDatumTijdVan],"&lt;="&amp;($A372+5/24),tData[SEHTrajectPeriodeDatumTijdTotEnMet],"&gt;"&amp;($A372+5/24),tData[Langligger01],1)</f>
        <v/>
      </c>
      <c r="J372" s="20">
        <f>COUNTIFS(tData[SEHTrajectPeriodeDatumTijdVan],"&lt;="&amp;($A372+6/24),tData[SEHTrajectPeriodeDatumTijdTotEnMet],"&gt;"&amp;($A372+6/24),tData[Langligger01],1)</f>
        <v/>
      </c>
      <c r="K372" s="20">
        <f>COUNTIFS(tData[SEHTrajectPeriodeDatumTijdVan],"&lt;="&amp;($A372+7/24),tData[SEHTrajectPeriodeDatumTijdTotEnMet],"&gt;"&amp;($A372+7/24),tData[Langligger01],1)</f>
        <v/>
      </c>
      <c r="L372" s="20">
        <f>COUNTIFS(tData[SEHTrajectPeriodeDatumTijdVan],"&lt;="&amp;($A372+8/24),tData[SEHTrajectPeriodeDatumTijdTotEnMet],"&gt;"&amp;($A372+8/24),tData[Langligger01],1)</f>
        <v/>
      </c>
      <c r="M372" s="20">
        <f>COUNTIFS(tData[SEHTrajectPeriodeDatumTijdVan],"&lt;="&amp;($A372+9/24),tData[SEHTrajectPeriodeDatumTijdTotEnMet],"&gt;"&amp;($A372+9/24),tData[Langligger01],1)</f>
        <v/>
      </c>
      <c r="N372" s="20">
        <f>COUNTIFS(tData[SEHTrajectPeriodeDatumTijdVan],"&lt;="&amp;($A372+10/24),tData[SEHTrajectPeriodeDatumTijdTotEnMet],"&gt;"&amp;($A372+10/24),tData[Langligger01],1)</f>
        <v/>
      </c>
      <c r="O372" s="20">
        <f>COUNTIFS(tData[SEHTrajectPeriodeDatumTijdVan],"&lt;="&amp;($A372+11/24),tData[SEHTrajectPeriodeDatumTijdTotEnMet],"&gt;"&amp;($A372+11/24),tData[Langligger01],1)</f>
        <v/>
      </c>
      <c r="P372" s="20">
        <f>COUNTIFS(tData[SEHTrajectPeriodeDatumTijdVan],"&lt;="&amp;($A372+12/24),tData[SEHTrajectPeriodeDatumTijdTotEnMet],"&gt;"&amp;($A372+12/24),tData[Langligger01],1)</f>
        <v/>
      </c>
      <c r="Q372" s="20">
        <f>COUNTIFS(tData[SEHTrajectPeriodeDatumTijdVan],"&lt;="&amp;($A372+13/24),tData[SEHTrajectPeriodeDatumTijdTotEnMet],"&gt;"&amp;($A372+13/24),tData[Langligger01],1)</f>
        <v/>
      </c>
      <c r="R372" s="20">
        <f>COUNTIFS(tData[SEHTrajectPeriodeDatumTijdVan],"&lt;="&amp;($A372+14/24),tData[SEHTrajectPeriodeDatumTijdTotEnMet],"&gt;"&amp;($A372+14/24),tData[Langligger01],1)</f>
        <v/>
      </c>
      <c r="S372" s="20">
        <f>COUNTIFS(tData[SEHTrajectPeriodeDatumTijdVan],"&lt;="&amp;($A372+15/24),tData[SEHTrajectPeriodeDatumTijdTotEnMet],"&gt;"&amp;($A372+15/24),tData[Langligger01],1)</f>
        <v/>
      </c>
      <c r="T372" s="20">
        <f>COUNTIFS(tData[SEHTrajectPeriodeDatumTijdVan],"&lt;="&amp;($A372+16/24),tData[SEHTrajectPeriodeDatumTijdTotEnMet],"&gt;"&amp;($A372+16/24),tData[Langligger01],1)</f>
        <v/>
      </c>
      <c r="U372" s="20">
        <f>COUNTIFS(tData[SEHTrajectPeriodeDatumTijdVan],"&lt;="&amp;($A372+17/24),tData[SEHTrajectPeriodeDatumTijdTotEnMet],"&gt;"&amp;($A372+17/24),tData[Langligger01],1)</f>
        <v/>
      </c>
      <c r="V372" s="20">
        <f>COUNTIFS(tData[SEHTrajectPeriodeDatumTijdVan],"&lt;="&amp;($A372+18/24),tData[SEHTrajectPeriodeDatumTijdTotEnMet],"&gt;"&amp;($A372+18/24),tData[Langligger01],1)</f>
        <v/>
      </c>
      <c r="W372" s="20">
        <f>COUNTIFS(tData[SEHTrajectPeriodeDatumTijdVan],"&lt;="&amp;($A372+19/24),tData[SEHTrajectPeriodeDatumTijdTotEnMet],"&gt;"&amp;($A372+19/24),tData[Langligger01],1)</f>
        <v/>
      </c>
      <c r="X372" s="20">
        <f>COUNTIFS(tData[SEHTrajectPeriodeDatumTijdVan],"&lt;="&amp;($A372+20/24),tData[SEHTrajectPeriodeDatumTijdTotEnMet],"&gt;"&amp;($A372+20/24),tData[Langligger01],1)</f>
        <v/>
      </c>
      <c r="Y372" s="20">
        <f>COUNTIFS(tData[SEHTrajectPeriodeDatumTijdVan],"&lt;="&amp;($A372+21/24),tData[SEHTrajectPeriodeDatumTijdTotEnMet],"&gt;"&amp;($A372+21/24),tData[Langligger01],1)</f>
        <v/>
      </c>
      <c r="Z372" s="20">
        <f>COUNTIFS(tData[SEHTrajectPeriodeDatumTijdVan],"&lt;="&amp;($A372+22/24),tData[SEHTrajectPeriodeDatumTijdTotEnMet],"&gt;"&amp;($A372+22/24),tData[Langligger01],1)</f>
        <v/>
      </c>
      <c r="AA372" s="20">
        <f>COUNTIFS(tData[SEHTrajectPeriodeDatumTijdVan],"&lt;="&amp;($A372+23/24),tData[SEHTrajectPeriodeDatumTijdTotEnMet],"&gt;"&amp;($A372+23/24),tData[Langligger01],1)</f>
        <v/>
      </c>
    </row>
    <row r="373">
      <c r="A373" s="19" t="n">
        <v>45661</v>
      </c>
      <c r="B373" s="15">
        <f>WEEKDAY($A373,2)</f>
        <v/>
      </c>
      <c r="C373" s="15">
        <f>IF(AND($A373&gt;=INT(Instellingen!$B$5),$A373&lt;=INT(Instellingen!$B$6)),1,0)</f>
        <v/>
      </c>
      <c r="D373" s="20">
        <f>COUNTIFS(tData[SEHTrajectPeriodeDatumTijdVan],"&lt;="&amp;($A373+0/24),tData[SEHTrajectPeriodeDatumTijdTotEnMet],"&gt;"&amp;($A373+0/24),tData[Langligger01],1)</f>
        <v/>
      </c>
      <c r="E373" s="20">
        <f>COUNTIFS(tData[SEHTrajectPeriodeDatumTijdVan],"&lt;="&amp;($A373+1/24),tData[SEHTrajectPeriodeDatumTijdTotEnMet],"&gt;"&amp;($A373+1/24),tData[Langligger01],1)</f>
        <v/>
      </c>
      <c r="F373" s="20">
        <f>COUNTIFS(tData[SEHTrajectPeriodeDatumTijdVan],"&lt;="&amp;($A373+2/24),tData[SEHTrajectPeriodeDatumTijdTotEnMet],"&gt;"&amp;($A373+2/24),tData[Langligger01],1)</f>
        <v/>
      </c>
      <c r="G373" s="20">
        <f>COUNTIFS(tData[SEHTrajectPeriodeDatumTijdVan],"&lt;="&amp;($A373+3/24),tData[SEHTrajectPeriodeDatumTijdTotEnMet],"&gt;"&amp;($A373+3/24),tData[Langligger01],1)</f>
        <v/>
      </c>
      <c r="H373" s="20">
        <f>COUNTIFS(tData[SEHTrajectPeriodeDatumTijdVan],"&lt;="&amp;($A373+4/24),tData[SEHTrajectPeriodeDatumTijdTotEnMet],"&gt;"&amp;($A373+4/24),tData[Langligger01],1)</f>
        <v/>
      </c>
      <c r="I373" s="20">
        <f>COUNTIFS(tData[SEHTrajectPeriodeDatumTijdVan],"&lt;="&amp;($A373+5/24),tData[SEHTrajectPeriodeDatumTijdTotEnMet],"&gt;"&amp;($A373+5/24),tData[Langligger01],1)</f>
        <v/>
      </c>
      <c r="J373" s="20">
        <f>COUNTIFS(tData[SEHTrajectPeriodeDatumTijdVan],"&lt;="&amp;($A373+6/24),tData[SEHTrajectPeriodeDatumTijdTotEnMet],"&gt;"&amp;($A373+6/24),tData[Langligger01],1)</f>
        <v/>
      </c>
      <c r="K373" s="20">
        <f>COUNTIFS(tData[SEHTrajectPeriodeDatumTijdVan],"&lt;="&amp;($A373+7/24),tData[SEHTrajectPeriodeDatumTijdTotEnMet],"&gt;"&amp;($A373+7/24),tData[Langligger01],1)</f>
        <v/>
      </c>
      <c r="L373" s="20">
        <f>COUNTIFS(tData[SEHTrajectPeriodeDatumTijdVan],"&lt;="&amp;($A373+8/24),tData[SEHTrajectPeriodeDatumTijdTotEnMet],"&gt;"&amp;($A373+8/24),tData[Langligger01],1)</f>
        <v/>
      </c>
      <c r="M373" s="20">
        <f>COUNTIFS(tData[SEHTrajectPeriodeDatumTijdVan],"&lt;="&amp;($A373+9/24),tData[SEHTrajectPeriodeDatumTijdTotEnMet],"&gt;"&amp;($A373+9/24),tData[Langligger01],1)</f>
        <v/>
      </c>
      <c r="N373" s="20">
        <f>COUNTIFS(tData[SEHTrajectPeriodeDatumTijdVan],"&lt;="&amp;($A373+10/24),tData[SEHTrajectPeriodeDatumTijdTotEnMet],"&gt;"&amp;($A373+10/24),tData[Langligger01],1)</f>
        <v/>
      </c>
      <c r="O373" s="20">
        <f>COUNTIFS(tData[SEHTrajectPeriodeDatumTijdVan],"&lt;="&amp;($A373+11/24),tData[SEHTrajectPeriodeDatumTijdTotEnMet],"&gt;"&amp;($A373+11/24),tData[Langligger01],1)</f>
        <v/>
      </c>
      <c r="P373" s="20">
        <f>COUNTIFS(tData[SEHTrajectPeriodeDatumTijdVan],"&lt;="&amp;($A373+12/24),tData[SEHTrajectPeriodeDatumTijdTotEnMet],"&gt;"&amp;($A373+12/24),tData[Langligger01],1)</f>
        <v/>
      </c>
      <c r="Q373" s="20">
        <f>COUNTIFS(tData[SEHTrajectPeriodeDatumTijdVan],"&lt;="&amp;($A373+13/24),tData[SEHTrajectPeriodeDatumTijdTotEnMet],"&gt;"&amp;($A373+13/24),tData[Langligger01],1)</f>
        <v/>
      </c>
      <c r="R373" s="20">
        <f>COUNTIFS(tData[SEHTrajectPeriodeDatumTijdVan],"&lt;="&amp;($A373+14/24),tData[SEHTrajectPeriodeDatumTijdTotEnMet],"&gt;"&amp;($A373+14/24),tData[Langligger01],1)</f>
        <v/>
      </c>
      <c r="S373" s="20">
        <f>COUNTIFS(tData[SEHTrajectPeriodeDatumTijdVan],"&lt;="&amp;($A373+15/24),tData[SEHTrajectPeriodeDatumTijdTotEnMet],"&gt;"&amp;($A373+15/24),tData[Langligger01],1)</f>
        <v/>
      </c>
      <c r="T373" s="20">
        <f>COUNTIFS(tData[SEHTrajectPeriodeDatumTijdVan],"&lt;="&amp;($A373+16/24),tData[SEHTrajectPeriodeDatumTijdTotEnMet],"&gt;"&amp;($A373+16/24),tData[Langligger01],1)</f>
        <v/>
      </c>
      <c r="U373" s="20">
        <f>COUNTIFS(tData[SEHTrajectPeriodeDatumTijdVan],"&lt;="&amp;($A373+17/24),tData[SEHTrajectPeriodeDatumTijdTotEnMet],"&gt;"&amp;($A373+17/24),tData[Langligger01],1)</f>
        <v/>
      </c>
      <c r="V373" s="20">
        <f>COUNTIFS(tData[SEHTrajectPeriodeDatumTijdVan],"&lt;="&amp;($A373+18/24),tData[SEHTrajectPeriodeDatumTijdTotEnMet],"&gt;"&amp;($A373+18/24),tData[Langligger01],1)</f>
        <v/>
      </c>
      <c r="W373" s="20">
        <f>COUNTIFS(tData[SEHTrajectPeriodeDatumTijdVan],"&lt;="&amp;($A373+19/24),tData[SEHTrajectPeriodeDatumTijdTotEnMet],"&gt;"&amp;($A373+19/24),tData[Langligger01],1)</f>
        <v/>
      </c>
      <c r="X373" s="20">
        <f>COUNTIFS(tData[SEHTrajectPeriodeDatumTijdVan],"&lt;="&amp;($A373+20/24),tData[SEHTrajectPeriodeDatumTijdTotEnMet],"&gt;"&amp;($A373+20/24),tData[Langligger01],1)</f>
        <v/>
      </c>
      <c r="Y373" s="20">
        <f>COUNTIFS(tData[SEHTrajectPeriodeDatumTijdVan],"&lt;="&amp;($A373+21/24),tData[SEHTrajectPeriodeDatumTijdTotEnMet],"&gt;"&amp;($A373+21/24),tData[Langligger01],1)</f>
        <v/>
      </c>
      <c r="Z373" s="20">
        <f>COUNTIFS(tData[SEHTrajectPeriodeDatumTijdVan],"&lt;="&amp;($A373+22/24),tData[SEHTrajectPeriodeDatumTijdTotEnMet],"&gt;"&amp;($A373+22/24),tData[Langligger01],1)</f>
        <v/>
      </c>
      <c r="AA373" s="20">
        <f>COUNTIFS(tData[SEHTrajectPeriodeDatumTijdVan],"&lt;="&amp;($A373+23/24),tData[SEHTrajectPeriodeDatumTijdTotEnMet],"&gt;"&amp;($A373+23/24),tData[Langligger01],1)</f>
        <v/>
      </c>
    </row>
    <row r="374">
      <c r="A374" s="19" t="n">
        <v>45662</v>
      </c>
      <c r="B374" s="15">
        <f>WEEKDAY($A374,2)</f>
        <v/>
      </c>
      <c r="C374" s="15">
        <f>IF(AND($A374&gt;=INT(Instellingen!$B$5),$A374&lt;=INT(Instellingen!$B$6)),1,0)</f>
        <v/>
      </c>
      <c r="D374" s="20">
        <f>COUNTIFS(tData[SEHTrajectPeriodeDatumTijdVan],"&lt;="&amp;($A374+0/24),tData[SEHTrajectPeriodeDatumTijdTotEnMet],"&gt;"&amp;($A374+0/24),tData[Langligger01],1)</f>
        <v/>
      </c>
      <c r="E374" s="20">
        <f>COUNTIFS(tData[SEHTrajectPeriodeDatumTijdVan],"&lt;="&amp;($A374+1/24),tData[SEHTrajectPeriodeDatumTijdTotEnMet],"&gt;"&amp;($A374+1/24),tData[Langligger01],1)</f>
        <v/>
      </c>
      <c r="F374" s="20">
        <f>COUNTIFS(tData[SEHTrajectPeriodeDatumTijdVan],"&lt;="&amp;($A374+2/24),tData[SEHTrajectPeriodeDatumTijdTotEnMet],"&gt;"&amp;($A374+2/24),tData[Langligger01],1)</f>
        <v/>
      </c>
      <c r="G374" s="20">
        <f>COUNTIFS(tData[SEHTrajectPeriodeDatumTijdVan],"&lt;="&amp;($A374+3/24),tData[SEHTrajectPeriodeDatumTijdTotEnMet],"&gt;"&amp;($A374+3/24),tData[Langligger01],1)</f>
        <v/>
      </c>
      <c r="H374" s="20">
        <f>COUNTIFS(tData[SEHTrajectPeriodeDatumTijdVan],"&lt;="&amp;($A374+4/24),tData[SEHTrajectPeriodeDatumTijdTotEnMet],"&gt;"&amp;($A374+4/24),tData[Langligger01],1)</f>
        <v/>
      </c>
      <c r="I374" s="20">
        <f>COUNTIFS(tData[SEHTrajectPeriodeDatumTijdVan],"&lt;="&amp;($A374+5/24),tData[SEHTrajectPeriodeDatumTijdTotEnMet],"&gt;"&amp;($A374+5/24),tData[Langligger01],1)</f>
        <v/>
      </c>
      <c r="J374" s="20">
        <f>COUNTIFS(tData[SEHTrajectPeriodeDatumTijdVan],"&lt;="&amp;($A374+6/24),tData[SEHTrajectPeriodeDatumTijdTotEnMet],"&gt;"&amp;($A374+6/24),tData[Langligger01],1)</f>
        <v/>
      </c>
      <c r="K374" s="20">
        <f>COUNTIFS(tData[SEHTrajectPeriodeDatumTijdVan],"&lt;="&amp;($A374+7/24),tData[SEHTrajectPeriodeDatumTijdTotEnMet],"&gt;"&amp;($A374+7/24),tData[Langligger01],1)</f>
        <v/>
      </c>
      <c r="L374" s="20">
        <f>COUNTIFS(tData[SEHTrajectPeriodeDatumTijdVan],"&lt;="&amp;($A374+8/24),tData[SEHTrajectPeriodeDatumTijdTotEnMet],"&gt;"&amp;($A374+8/24),tData[Langligger01],1)</f>
        <v/>
      </c>
      <c r="M374" s="20">
        <f>COUNTIFS(tData[SEHTrajectPeriodeDatumTijdVan],"&lt;="&amp;($A374+9/24),tData[SEHTrajectPeriodeDatumTijdTotEnMet],"&gt;"&amp;($A374+9/24),tData[Langligger01],1)</f>
        <v/>
      </c>
      <c r="N374" s="20">
        <f>COUNTIFS(tData[SEHTrajectPeriodeDatumTijdVan],"&lt;="&amp;($A374+10/24),tData[SEHTrajectPeriodeDatumTijdTotEnMet],"&gt;"&amp;($A374+10/24),tData[Langligger01],1)</f>
        <v/>
      </c>
      <c r="O374" s="20">
        <f>COUNTIFS(tData[SEHTrajectPeriodeDatumTijdVan],"&lt;="&amp;($A374+11/24),tData[SEHTrajectPeriodeDatumTijdTotEnMet],"&gt;"&amp;($A374+11/24),tData[Langligger01],1)</f>
        <v/>
      </c>
      <c r="P374" s="20">
        <f>COUNTIFS(tData[SEHTrajectPeriodeDatumTijdVan],"&lt;="&amp;($A374+12/24),tData[SEHTrajectPeriodeDatumTijdTotEnMet],"&gt;"&amp;($A374+12/24),tData[Langligger01],1)</f>
        <v/>
      </c>
      <c r="Q374" s="20">
        <f>COUNTIFS(tData[SEHTrajectPeriodeDatumTijdVan],"&lt;="&amp;($A374+13/24),tData[SEHTrajectPeriodeDatumTijdTotEnMet],"&gt;"&amp;($A374+13/24),tData[Langligger01],1)</f>
        <v/>
      </c>
      <c r="R374" s="20">
        <f>COUNTIFS(tData[SEHTrajectPeriodeDatumTijdVan],"&lt;="&amp;($A374+14/24),tData[SEHTrajectPeriodeDatumTijdTotEnMet],"&gt;"&amp;($A374+14/24),tData[Langligger01],1)</f>
        <v/>
      </c>
      <c r="S374" s="20">
        <f>COUNTIFS(tData[SEHTrajectPeriodeDatumTijdVan],"&lt;="&amp;($A374+15/24),tData[SEHTrajectPeriodeDatumTijdTotEnMet],"&gt;"&amp;($A374+15/24),tData[Langligger01],1)</f>
        <v/>
      </c>
      <c r="T374" s="20">
        <f>COUNTIFS(tData[SEHTrajectPeriodeDatumTijdVan],"&lt;="&amp;($A374+16/24),tData[SEHTrajectPeriodeDatumTijdTotEnMet],"&gt;"&amp;($A374+16/24),tData[Langligger01],1)</f>
        <v/>
      </c>
      <c r="U374" s="20">
        <f>COUNTIFS(tData[SEHTrajectPeriodeDatumTijdVan],"&lt;="&amp;($A374+17/24),tData[SEHTrajectPeriodeDatumTijdTotEnMet],"&gt;"&amp;($A374+17/24),tData[Langligger01],1)</f>
        <v/>
      </c>
      <c r="V374" s="20">
        <f>COUNTIFS(tData[SEHTrajectPeriodeDatumTijdVan],"&lt;="&amp;($A374+18/24),tData[SEHTrajectPeriodeDatumTijdTotEnMet],"&gt;"&amp;($A374+18/24),tData[Langligger01],1)</f>
        <v/>
      </c>
      <c r="W374" s="20">
        <f>COUNTIFS(tData[SEHTrajectPeriodeDatumTijdVan],"&lt;="&amp;($A374+19/24),tData[SEHTrajectPeriodeDatumTijdTotEnMet],"&gt;"&amp;($A374+19/24),tData[Langligger01],1)</f>
        <v/>
      </c>
      <c r="X374" s="20">
        <f>COUNTIFS(tData[SEHTrajectPeriodeDatumTijdVan],"&lt;="&amp;($A374+20/24),tData[SEHTrajectPeriodeDatumTijdTotEnMet],"&gt;"&amp;($A374+20/24),tData[Langligger01],1)</f>
        <v/>
      </c>
      <c r="Y374" s="20">
        <f>COUNTIFS(tData[SEHTrajectPeriodeDatumTijdVan],"&lt;="&amp;($A374+21/24),tData[SEHTrajectPeriodeDatumTijdTotEnMet],"&gt;"&amp;($A374+21/24),tData[Langligger01],1)</f>
        <v/>
      </c>
      <c r="Z374" s="20">
        <f>COUNTIFS(tData[SEHTrajectPeriodeDatumTijdVan],"&lt;="&amp;($A374+22/24),tData[SEHTrajectPeriodeDatumTijdTotEnMet],"&gt;"&amp;($A374+22/24),tData[Langligger01],1)</f>
        <v/>
      </c>
      <c r="AA374" s="20">
        <f>COUNTIFS(tData[SEHTrajectPeriodeDatumTijdVan],"&lt;="&amp;($A374+23/24),tData[SEHTrajectPeriodeDatumTijdTotEnMet],"&gt;"&amp;($A374+23/24),tData[Langligger01],1)</f>
        <v/>
      </c>
    </row>
    <row r="375">
      <c r="A375" s="19" t="n">
        <v>45663</v>
      </c>
      <c r="B375" s="15">
        <f>WEEKDAY($A375,2)</f>
        <v/>
      </c>
      <c r="C375" s="15">
        <f>IF(AND($A375&gt;=INT(Instellingen!$B$5),$A375&lt;=INT(Instellingen!$B$6)),1,0)</f>
        <v/>
      </c>
      <c r="D375" s="20">
        <f>COUNTIFS(tData[SEHTrajectPeriodeDatumTijdVan],"&lt;="&amp;($A375+0/24),tData[SEHTrajectPeriodeDatumTijdTotEnMet],"&gt;"&amp;($A375+0/24),tData[Langligger01],1)</f>
        <v/>
      </c>
      <c r="E375" s="20">
        <f>COUNTIFS(tData[SEHTrajectPeriodeDatumTijdVan],"&lt;="&amp;($A375+1/24),tData[SEHTrajectPeriodeDatumTijdTotEnMet],"&gt;"&amp;($A375+1/24),tData[Langligger01],1)</f>
        <v/>
      </c>
      <c r="F375" s="20">
        <f>COUNTIFS(tData[SEHTrajectPeriodeDatumTijdVan],"&lt;="&amp;($A375+2/24),tData[SEHTrajectPeriodeDatumTijdTotEnMet],"&gt;"&amp;($A375+2/24),tData[Langligger01],1)</f>
        <v/>
      </c>
      <c r="G375" s="20">
        <f>COUNTIFS(tData[SEHTrajectPeriodeDatumTijdVan],"&lt;="&amp;($A375+3/24),tData[SEHTrajectPeriodeDatumTijdTotEnMet],"&gt;"&amp;($A375+3/24),tData[Langligger01],1)</f>
        <v/>
      </c>
      <c r="H375" s="20">
        <f>COUNTIFS(tData[SEHTrajectPeriodeDatumTijdVan],"&lt;="&amp;($A375+4/24),tData[SEHTrajectPeriodeDatumTijdTotEnMet],"&gt;"&amp;($A375+4/24),tData[Langligger01],1)</f>
        <v/>
      </c>
      <c r="I375" s="20">
        <f>COUNTIFS(tData[SEHTrajectPeriodeDatumTijdVan],"&lt;="&amp;($A375+5/24),tData[SEHTrajectPeriodeDatumTijdTotEnMet],"&gt;"&amp;($A375+5/24),tData[Langligger01],1)</f>
        <v/>
      </c>
      <c r="J375" s="20">
        <f>COUNTIFS(tData[SEHTrajectPeriodeDatumTijdVan],"&lt;="&amp;($A375+6/24),tData[SEHTrajectPeriodeDatumTijdTotEnMet],"&gt;"&amp;($A375+6/24),tData[Langligger01],1)</f>
        <v/>
      </c>
      <c r="K375" s="20">
        <f>COUNTIFS(tData[SEHTrajectPeriodeDatumTijdVan],"&lt;="&amp;($A375+7/24),tData[SEHTrajectPeriodeDatumTijdTotEnMet],"&gt;"&amp;($A375+7/24),tData[Langligger01],1)</f>
        <v/>
      </c>
      <c r="L375" s="20">
        <f>COUNTIFS(tData[SEHTrajectPeriodeDatumTijdVan],"&lt;="&amp;($A375+8/24),tData[SEHTrajectPeriodeDatumTijdTotEnMet],"&gt;"&amp;($A375+8/24),tData[Langligger01],1)</f>
        <v/>
      </c>
      <c r="M375" s="20">
        <f>COUNTIFS(tData[SEHTrajectPeriodeDatumTijdVan],"&lt;="&amp;($A375+9/24),tData[SEHTrajectPeriodeDatumTijdTotEnMet],"&gt;"&amp;($A375+9/24),tData[Langligger01],1)</f>
        <v/>
      </c>
      <c r="N375" s="20">
        <f>COUNTIFS(tData[SEHTrajectPeriodeDatumTijdVan],"&lt;="&amp;($A375+10/24),tData[SEHTrajectPeriodeDatumTijdTotEnMet],"&gt;"&amp;($A375+10/24),tData[Langligger01],1)</f>
        <v/>
      </c>
      <c r="O375" s="20">
        <f>COUNTIFS(tData[SEHTrajectPeriodeDatumTijdVan],"&lt;="&amp;($A375+11/24),tData[SEHTrajectPeriodeDatumTijdTotEnMet],"&gt;"&amp;($A375+11/24),tData[Langligger01],1)</f>
        <v/>
      </c>
      <c r="P375" s="20">
        <f>COUNTIFS(tData[SEHTrajectPeriodeDatumTijdVan],"&lt;="&amp;($A375+12/24),tData[SEHTrajectPeriodeDatumTijdTotEnMet],"&gt;"&amp;($A375+12/24),tData[Langligger01],1)</f>
        <v/>
      </c>
      <c r="Q375" s="20">
        <f>COUNTIFS(tData[SEHTrajectPeriodeDatumTijdVan],"&lt;="&amp;($A375+13/24),tData[SEHTrajectPeriodeDatumTijdTotEnMet],"&gt;"&amp;($A375+13/24),tData[Langligger01],1)</f>
        <v/>
      </c>
      <c r="R375" s="20">
        <f>COUNTIFS(tData[SEHTrajectPeriodeDatumTijdVan],"&lt;="&amp;($A375+14/24),tData[SEHTrajectPeriodeDatumTijdTotEnMet],"&gt;"&amp;($A375+14/24),tData[Langligger01],1)</f>
        <v/>
      </c>
      <c r="S375" s="20">
        <f>COUNTIFS(tData[SEHTrajectPeriodeDatumTijdVan],"&lt;="&amp;($A375+15/24),tData[SEHTrajectPeriodeDatumTijdTotEnMet],"&gt;"&amp;($A375+15/24),tData[Langligger01],1)</f>
        <v/>
      </c>
      <c r="T375" s="20">
        <f>COUNTIFS(tData[SEHTrajectPeriodeDatumTijdVan],"&lt;="&amp;($A375+16/24),tData[SEHTrajectPeriodeDatumTijdTotEnMet],"&gt;"&amp;($A375+16/24),tData[Langligger01],1)</f>
        <v/>
      </c>
      <c r="U375" s="20">
        <f>COUNTIFS(tData[SEHTrajectPeriodeDatumTijdVan],"&lt;="&amp;($A375+17/24),tData[SEHTrajectPeriodeDatumTijdTotEnMet],"&gt;"&amp;($A375+17/24),tData[Langligger01],1)</f>
        <v/>
      </c>
      <c r="V375" s="20">
        <f>COUNTIFS(tData[SEHTrajectPeriodeDatumTijdVan],"&lt;="&amp;($A375+18/24),tData[SEHTrajectPeriodeDatumTijdTotEnMet],"&gt;"&amp;($A375+18/24),tData[Langligger01],1)</f>
        <v/>
      </c>
      <c r="W375" s="20">
        <f>COUNTIFS(tData[SEHTrajectPeriodeDatumTijdVan],"&lt;="&amp;($A375+19/24),tData[SEHTrajectPeriodeDatumTijdTotEnMet],"&gt;"&amp;($A375+19/24),tData[Langligger01],1)</f>
        <v/>
      </c>
      <c r="X375" s="20">
        <f>COUNTIFS(tData[SEHTrajectPeriodeDatumTijdVan],"&lt;="&amp;($A375+20/24),tData[SEHTrajectPeriodeDatumTijdTotEnMet],"&gt;"&amp;($A375+20/24),tData[Langligger01],1)</f>
        <v/>
      </c>
      <c r="Y375" s="20">
        <f>COUNTIFS(tData[SEHTrajectPeriodeDatumTijdVan],"&lt;="&amp;($A375+21/24),tData[SEHTrajectPeriodeDatumTijdTotEnMet],"&gt;"&amp;($A375+21/24),tData[Langligger01],1)</f>
        <v/>
      </c>
      <c r="Z375" s="20">
        <f>COUNTIFS(tData[SEHTrajectPeriodeDatumTijdVan],"&lt;="&amp;($A375+22/24),tData[SEHTrajectPeriodeDatumTijdTotEnMet],"&gt;"&amp;($A375+22/24),tData[Langligger01],1)</f>
        <v/>
      </c>
      <c r="AA375" s="20">
        <f>COUNTIFS(tData[SEHTrajectPeriodeDatumTijdVan],"&lt;="&amp;($A375+23/24),tData[SEHTrajectPeriodeDatumTijdTotEnMet],"&gt;"&amp;($A375+23/24),tData[Langligger01],1)</f>
        <v/>
      </c>
    </row>
    <row r="376">
      <c r="A376" s="19" t="n">
        <v>45664</v>
      </c>
      <c r="B376" s="15">
        <f>WEEKDAY($A376,2)</f>
        <v/>
      </c>
      <c r="C376" s="15">
        <f>IF(AND($A376&gt;=INT(Instellingen!$B$5),$A376&lt;=INT(Instellingen!$B$6)),1,0)</f>
        <v/>
      </c>
      <c r="D376" s="20">
        <f>COUNTIFS(tData[SEHTrajectPeriodeDatumTijdVan],"&lt;="&amp;($A376+0/24),tData[SEHTrajectPeriodeDatumTijdTotEnMet],"&gt;"&amp;($A376+0/24),tData[Langligger01],1)</f>
        <v/>
      </c>
      <c r="E376" s="20">
        <f>COUNTIFS(tData[SEHTrajectPeriodeDatumTijdVan],"&lt;="&amp;($A376+1/24),tData[SEHTrajectPeriodeDatumTijdTotEnMet],"&gt;"&amp;($A376+1/24),tData[Langligger01],1)</f>
        <v/>
      </c>
      <c r="F376" s="20">
        <f>COUNTIFS(tData[SEHTrajectPeriodeDatumTijdVan],"&lt;="&amp;($A376+2/24),tData[SEHTrajectPeriodeDatumTijdTotEnMet],"&gt;"&amp;($A376+2/24),tData[Langligger01],1)</f>
        <v/>
      </c>
      <c r="G376" s="20">
        <f>COUNTIFS(tData[SEHTrajectPeriodeDatumTijdVan],"&lt;="&amp;($A376+3/24),tData[SEHTrajectPeriodeDatumTijdTotEnMet],"&gt;"&amp;($A376+3/24),tData[Langligger01],1)</f>
        <v/>
      </c>
      <c r="H376" s="20">
        <f>COUNTIFS(tData[SEHTrajectPeriodeDatumTijdVan],"&lt;="&amp;($A376+4/24),tData[SEHTrajectPeriodeDatumTijdTotEnMet],"&gt;"&amp;($A376+4/24),tData[Langligger01],1)</f>
        <v/>
      </c>
      <c r="I376" s="20">
        <f>COUNTIFS(tData[SEHTrajectPeriodeDatumTijdVan],"&lt;="&amp;($A376+5/24),tData[SEHTrajectPeriodeDatumTijdTotEnMet],"&gt;"&amp;($A376+5/24),tData[Langligger01],1)</f>
        <v/>
      </c>
      <c r="J376" s="20">
        <f>COUNTIFS(tData[SEHTrajectPeriodeDatumTijdVan],"&lt;="&amp;($A376+6/24),tData[SEHTrajectPeriodeDatumTijdTotEnMet],"&gt;"&amp;($A376+6/24),tData[Langligger01],1)</f>
        <v/>
      </c>
      <c r="K376" s="20">
        <f>COUNTIFS(tData[SEHTrajectPeriodeDatumTijdVan],"&lt;="&amp;($A376+7/24),tData[SEHTrajectPeriodeDatumTijdTotEnMet],"&gt;"&amp;($A376+7/24),tData[Langligger01],1)</f>
        <v/>
      </c>
      <c r="L376" s="20">
        <f>COUNTIFS(tData[SEHTrajectPeriodeDatumTijdVan],"&lt;="&amp;($A376+8/24),tData[SEHTrajectPeriodeDatumTijdTotEnMet],"&gt;"&amp;($A376+8/24),tData[Langligger01],1)</f>
        <v/>
      </c>
      <c r="M376" s="20">
        <f>COUNTIFS(tData[SEHTrajectPeriodeDatumTijdVan],"&lt;="&amp;($A376+9/24),tData[SEHTrajectPeriodeDatumTijdTotEnMet],"&gt;"&amp;($A376+9/24),tData[Langligger01],1)</f>
        <v/>
      </c>
      <c r="N376" s="20">
        <f>COUNTIFS(tData[SEHTrajectPeriodeDatumTijdVan],"&lt;="&amp;($A376+10/24),tData[SEHTrajectPeriodeDatumTijdTotEnMet],"&gt;"&amp;($A376+10/24),tData[Langligger01],1)</f>
        <v/>
      </c>
      <c r="O376" s="20">
        <f>COUNTIFS(tData[SEHTrajectPeriodeDatumTijdVan],"&lt;="&amp;($A376+11/24),tData[SEHTrajectPeriodeDatumTijdTotEnMet],"&gt;"&amp;($A376+11/24),tData[Langligger01],1)</f>
        <v/>
      </c>
      <c r="P376" s="20">
        <f>COUNTIFS(tData[SEHTrajectPeriodeDatumTijdVan],"&lt;="&amp;($A376+12/24),tData[SEHTrajectPeriodeDatumTijdTotEnMet],"&gt;"&amp;($A376+12/24),tData[Langligger01],1)</f>
        <v/>
      </c>
      <c r="Q376" s="20">
        <f>COUNTIFS(tData[SEHTrajectPeriodeDatumTijdVan],"&lt;="&amp;($A376+13/24),tData[SEHTrajectPeriodeDatumTijdTotEnMet],"&gt;"&amp;($A376+13/24),tData[Langligger01],1)</f>
        <v/>
      </c>
      <c r="R376" s="20">
        <f>COUNTIFS(tData[SEHTrajectPeriodeDatumTijdVan],"&lt;="&amp;($A376+14/24),tData[SEHTrajectPeriodeDatumTijdTotEnMet],"&gt;"&amp;($A376+14/24),tData[Langligger01],1)</f>
        <v/>
      </c>
      <c r="S376" s="20">
        <f>COUNTIFS(tData[SEHTrajectPeriodeDatumTijdVan],"&lt;="&amp;($A376+15/24),tData[SEHTrajectPeriodeDatumTijdTotEnMet],"&gt;"&amp;($A376+15/24),tData[Langligger01],1)</f>
        <v/>
      </c>
      <c r="T376" s="20">
        <f>COUNTIFS(tData[SEHTrajectPeriodeDatumTijdVan],"&lt;="&amp;($A376+16/24),tData[SEHTrajectPeriodeDatumTijdTotEnMet],"&gt;"&amp;($A376+16/24),tData[Langligger01],1)</f>
        <v/>
      </c>
      <c r="U376" s="20">
        <f>COUNTIFS(tData[SEHTrajectPeriodeDatumTijdVan],"&lt;="&amp;($A376+17/24),tData[SEHTrajectPeriodeDatumTijdTotEnMet],"&gt;"&amp;($A376+17/24),tData[Langligger01],1)</f>
        <v/>
      </c>
      <c r="V376" s="20">
        <f>COUNTIFS(tData[SEHTrajectPeriodeDatumTijdVan],"&lt;="&amp;($A376+18/24),tData[SEHTrajectPeriodeDatumTijdTotEnMet],"&gt;"&amp;($A376+18/24),tData[Langligger01],1)</f>
        <v/>
      </c>
      <c r="W376" s="20">
        <f>COUNTIFS(tData[SEHTrajectPeriodeDatumTijdVan],"&lt;="&amp;($A376+19/24),tData[SEHTrajectPeriodeDatumTijdTotEnMet],"&gt;"&amp;($A376+19/24),tData[Langligger01],1)</f>
        <v/>
      </c>
      <c r="X376" s="20">
        <f>COUNTIFS(tData[SEHTrajectPeriodeDatumTijdVan],"&lt;="&amp;($A376+20/24),tData[SEHTrajectPeriodeDatumTijdTotEnMet],"&gt;"&amp;($A376+20/24),tData[Langligger01],1)</f>
        <v/>
      </c>
      <c r="Y376" s="20">
        <f>COUNTIFS(tData[SEHTrajectPeriodeDatumTijdVan],"&lt;="&amp;($A376+21/24),tData[SEHTrajectPeriodeDatumTijdTotEnMet],"&gt;"&amp;($A376+21/24),tData[Langligger01],1)</f>
        <v/>
      </c>
      <c r="Z376" s="20">
        <f>COUNTIFS(tData[SEHTrajectPeriodeDatumTijdVan],"&lt;="&amp;($A376+22/24),tData[SEHTrajectPeriodeDatumTijdTotEnMet],"&gt;"&amp;($A376+22/24),tData[Langligger01],1)</f>
        <v/>
      </c>
      <c r="AA376" s="20">
        <f>COUNTIFS(tData[SEHTrajectPeriodeDatumTijdVan],"&lt;="&amp;($A376+23/24),tData[SEHTrajectPeriodeDatumTijdTotEnMet],"&gt;"&amp;($A376+23/24),tData[Langligger01],1)</f>
        <v/>
      </c>
    </row>
    <row r="377">
      <c r="A377" s="19" t="n">
        <v>45665</v>
      </c>
      <c r="B377" s="15">
        <f>WEEKDAY($A377,2)</f>
        <v/>
      </c>
      <c r="C377" s="15">
        <f>IF(AND($A377&gt;=INT(Instellingen!$B$5),$A377&lt;=INT(Instellingen!$B$6)),1,0)</f>
        <v/>
      </c>
      <c r="D377" s="20">
        <f>COUNTIFS(tData[SEHTrajectPeriodeDatumTijdVan],"&lt;="&amp;($A377+0/24),tData[SEHTrajectPeriodeDatumTijdTotEnMet],"&gt;"&amp;($A377+0/24),tData[Langligger01],1)</f>
        <v/>
      </c>
      <c r="E377" s="20">
        <f>COUNTIFS(tData[SEHTrajectPeriodeDatumTijdVan],"&lt;="&amp;($A377+1/24),tData[SEHTrajectPeriodeDatumTijdTotEnMet],"&gt;"&amp;($A377+1/24),tData[Langligger01],1)</f>
        <v/>
      </c>
      <c r="F377" s="20">
        <f>COUNTIFS(tData[SEHTrajectPeriodeDatumTijdVan],"&lt;="&amp;($A377+2/24),tData[SEHTrajectPeriodeDatumTijdTotEnMet],"&gt;"&amp;($A377+2/24),tData[Langligger01],1)</f>
        <v/>
      </c>
      <c r="G377" s="20">
        <f>COUNTIFS(tData[SEHTrajectPeriodeDatumTijdVan],"&lt;="&amp;($A377+3/24),tData[SEHTrajectPeriodeDatumTijdTotEnMet],"&gt;"&amp;($A377+3/24),tData[Langligger01],1)</f>
        <v/>
      </c>
      <c r="H377" s="20">
        <f>COUNTIFS(tData[SEHTrajectPeriodeDatumTijdVan],"&lt;="&amp;($A377+4/24),tData[SEHTrajectPeriodeDatumTijdTotEnMet],"&gt;"&amp;($A377+4/24),tData[Langligger01],1)</f>
        <v/>
      </c>
      <c r="I377" s="20">
        <f>COUNTIFS(tData[SEHTrajectPeriodeDatumTijdVan],"&lt;="&amp;($A377+5/24),tData[SEHTrajectPeriodeDatumTijdTotEnMet],"&gt;"&amp;($A377+5/24),tData[Langligger01],1)</f>
        <v/>
      </c>
      <c r="J377" s="20">
        <f>COUNTIFS(tData[SEHTrajectPeriodeDatumTijdVan],"&lt;="&amp;($A377+6/24),tData[SEHTrajectPeriodeDatumTijdTotEnMet],"&gt;"&amp;($A377+6/24),tData[Langligger01],1)</f>
        <v/>
      </c>
      <c r="K377" s="20">
        <f>COUNTIFS(tData[SEHTrajectPeriodeDatumTijdVan],"&lt;="&amp;($A377+7/24),tData[SEHTrajectPeriodeDatumTijdTotEnMet],"&gt;"&amp;($A377+7/24),tData[Langligger01],1)</f>
        <v/>
      </c>
      <c r="L377" s="20">
        <f>COUNTIFS(tData[SEHTrajectPeriodeDatumTijdVan],"&lt;="&amp;($A377+8/24),tData[SEHTrajectPeriodeDatumTijdTotEnMet],"&gt;"&amp;($A377+8/24),tData[Langligger01],1)</f>
        <v/>
      </c>
      <c r="M377" s="20">
        <f>COUNTIFS(tData[SEHTrajectPeriodeDatumTijdVan],"&lt;="&amp;($A377+9/24),tData[SEHTrajectPeriodeDatumTijdTotEnMet],"&gt;"&amp;($A377+9/24),tData[Langligger01],1)</f>
        <v/>
      </c>
      <c r="N377" s="20">
        <f>COUNTIFS(tData[SEHTrajectPeriodeDatumTijdVan],"&lt;="&amp;($A377+10/24),tData[SEHTrajectPeriodeDatumTijdTotEnMet],"&gt;"&amp;($A377+10/24),tData[Langligger01],1)</f>
        <v/>
      </c>
      <c r="O377" s="20">
        <f>COUNTIFS(tData[SEHTrajectPeriodeDatumTijdVan],"&lt;="&amp;($A377+11/24),tData[SEHTrajectPeriodeDatumTijdTotEnMet],"&gt;"&amp;($A377+11/24),tData[Langligger01],1)</f>
        <v/>
      </c>
      <c r="P377" s="20">
        <f>COUNTIFS(tData[SEHTrajectPeriodeDatumTijdVan],"&lt;="&amp;($A377+12/24),tData[SEHTrajectPeriodeDatumTijdTotEnMet],"&gt;"&amp;($A377+12/24),tData[Langligger01],1)</f>
        <v/>
      </c>
      <c r="Q377" s="20">
        <f>COUNTIFS(tData[SEHTrajectPeriodeDatumTijdVan],"&lt;="&amp;($A377+13/24),tData[SEHTrajectPeriodeDatumTijdTotEnMet],"&gt;"&amp;($A377+13/24),tData[Langligger01],1)</f>
        <v/>
      </c>
      <c r="R377" s="20">
        <f>COUNTIFS(tData[SEHTrajectPeriodeDatumTijdVan],"&lt;="&amp;($A377+14/24),tData[SEHTrajectPeriodeDatumTijdTotEnMet],"&gt;"&amp;($A377+14/24),tData[Langligger01],1)</f>
        <v/>
      </c>
      <c r="S377" s="20">
        <f>COUNTIFS(tData[SEHTrajectPeriodeDatumTijdVan],"&lt;="&amp;($A377+15/24),tData[SEHTrajectPeriodeDatumTijdTotEnMet],"&gt;"&amp;($A377+15/24),tData[Langligger01],1)</f>
        <v/>
      </c>
      <c r="T377" s="20">
        <f>COUNTIFS(tData[SEHTrajectPeriodeDatumTijdVan],"&lt;="&amp;($A377+16/24),tData[SEHTrajectPeriodeDatumTijdTotEnMet],"&gt;"&amp;($A377+16/24),tData[Langligger01],1)</f>
        <v/>
      </c>
      <c r="U377" s="20">
        <f>COUNTIFS(tData[SEHTrajectPeriodeDatumTijdVan],"&lt;="&amp;($A377+17/24),tData[SEHTrajectPeriodeDatumTijdTotEnMet],"&gt;"&amp;($A377+17/24),tData[Langligger01],1)</f>
        <v/>
      </c>
      <c r="V377" s="20">
        <f>COUNTIFS(tData[SEHTrajectPeriodeDatumTijdVan],"&lt;="&amp;($A377+18/24),tData[SEHTrajectPeriodeDatumTijdTotEnMet],"&gt;"&amp;($A377+18/24),tData[Langligger01],1)</f>
        <v/>
      </c>
      <c r="W377" s="20">
        <f>COUNTIFS(tData[SEHTrajectPeriodeDatumTijdVan],"&lt;="&amp;($A377+19/24),tData[SEHTrajectPeriodeDatumTijdTotEnMet],"&gt;"&amp;($A377+19/24),tData[Langligger01],1)</f>
        <v/>
      </c>
      <c r="X377" s="20">
        <f>COUNTIFS(tData[SEHTrajectPeriodeDatumTijdVan],"&lt;="&amp;($A377+20/24),tData[SEHTrajectPeriodeDatumTijdTotEnMet],"&gt;"&amp;($A377+20/24),tData[Langligger01],1)</f>
        <v/>
      </c>
      <c r="Y377" s="20">
        <f>COUNTIFS(tData[SEHTrajectPeriodeDatumTijdVan],"&lt;="&amp;($A377+21/24),tData[SEHTrajectPeriodeDatumTijdTotEnMet],"&gt;"&amp;($A377+21/24),tData[Langligger01],1)</f>
        <v/>
      </c>
      <c r="Z377" s="20">
        <f>COUNTIFS(tData[SEHTrajectPeriodeDatumTijdVan],"&lt;="&amp;($A377+22/24),tData[SEHTrajectPeriodeDatumTijdTotEnMet],"&gt;"&amp;($A377+22/24),tData[Langligger01],1)</f>
        <v/>
      </c>
      <c r="AA377" s="20">
        <f>COUNTIFS(tData[SEHTrajectPeriodeDatumTijdVan],"&lt;="&amp;($A377+23/24),tData[SEHTrajectPeriodeDatumTijdTotEnMet],"&gt;"&amp;($A377+23/24),tData[Langligger01],1)</f>
        <v/>
      </c>
    </row>
    <row r="378">
      <c r="A378" s="19" t="n">
        <v>45666</v>
      </c>
      <c r="B378" s="15">
        <f>WEEKDAY($A378,2)</f>
        <v/>
      </c>
      <c r="C378" s="15">
        <f>IF(AND($A378&gt;=INT(Instellingen!$B$5),$A378&lt;=INT(Instellingen!$B$6)),1,0)</f>
        <v/>
      </c>
      <c r="D378" s="20">
        <f>COUNTIFS(tData[SEHTrajectPeriodeDatumTijdVan],"&lt;="&amp;($A378+0/24),tData[SEHTrajectPeriodeDatumTijdTotEnMet],"&gt;"&amp;($A378+0/24),tData[Langligger01],1)</f>
        <v/>
      </c>
      <c r="E378" s="20">
        <f>COUNTIFS(tData[SEHTrajectPeriodeDatumTijdVan],"&lt;="&amp;($A378+1/24),tData[SEHTrajectPeriodeDatumTijdTotEnMet],"&gt;"&amp;($A378+1/24),tData[Langligger01],1)</f>
        <v/>
      </c>
      <c r="F378" s="20">
        <f>COUNTIFS(tData[SEHTrajectPeriodeDatumTijdVan],"&lt;="&amp;($A378+2/24),tData[SEHTrajectPeriodeDatumTijdTotEnMet],"&gt;"&amp;($A378+2/24),tData[Langligger01],1)</f>
        <v/>
      </c>
      <c r="G378" s="20">
        <f>COUNTIFS(tData[SEHTrajectPeriodeDatumTijdVan],"&lt;="&amp;($A378+3/24),tData[SEHTrajectPeriodeDatumTijdTotEnMet],"&gt;"&amp;($A378+3/24),tData[Langligger01],1)</f>
        <v/>
      </c>
      <c r="H378" s="20">
        <f>COUNTIFS(tData[SEHTrajectPeriodeDatumTijdVan],"&lt;="&amp;($A378+4/24),tData[SEHTrajectPeriodeDatumTijdTotEnMet],"&gt;"&amp;($A378+4/24),tData[Langligger01],1)</f>
        <v/>
      </c>
      <c r="I378" s="20">
        <f>COUNTIFS(tData[SEHTrajectPeriodeDatumTijdVan],"&lt;="&amp;($A378+5/24),tData[SEHTrajectPeriodeDatumTijdTotEnMet],"&gt;"&amp;($A378+5/24),tData[Langligger01],1)</f>
        <v/>
      </c>
      <c r="J378" s="20">
        <f>COUNTIFS(tData[SEHTrajectPeriodeDatumTijdVan],"&lt;="&amp;($A378+6/24),tData[SEHTrajectPeriodeDatumTijdTotEnMet],"&gt;"&amp;($A378+6/24),tData[Langligger01],1)</f>
        <v/>
      </c>
      <c r="K378" s="20">
        <f>COUNTIFS(tData[SEHTrajectPeriodeDatumTijdVan],"&lt;="&amp;($A378+7/24),tData[SEHTrajectPeriodeDatumTijdTotEnMet],"&gt;"&amp;($A378+7/24),tData[Langligger01],1)</f>
        <v/>
      </c>
      <c r="L378" s="20">
        <f>COUNTIFS(tData[SEHTrajectPeriodeDatumTijdVan],"&lt;="&amp;($A378+8/24),tData[SEHTrajectPeriodeDatumTijdTotEnMet],"&gt;"&amp;($A378+8/24),tData[Langligger01],1)</f>
        <v/>
      </c>
      <c r="M378" s="20">
        <f>COUNTIFS(tData[SEHTrajectPeriodeDatumTijdVan],"&lt;="&amp;($A378+9/24),tData[SEHTrajectPeriodeDatumTijdTotEnMet],"&gt;"&amp;($A378+9/24),tData[Langligger01],1)</f>
        <v/>
      </c>
      <c r="N378" s="20">
        <f>COUNTIFS(tData[SEHTrajectPeriodeDatumTijdVan],"&lt;="&amp;($A378+10/24),tData[SEHTrajectPeriodeDatumTijdTotEnMet],"&gt;"&amp;($A378+10/24),tData[Langligger01],1)</f>
        <v/>
      </c>
      <c r="O378" s="20">
        <f>COUNTIFS(tData[SEHTrajectPeriodeDatumTijdVan],"&lt;="&amp;($A378+11/24),tData[SEHTrajectPeriodeDatumTijdTotEnMet],"&gt;"&amp;($A378+11/24),tData[Langligger01],1)</f>
        <v/>
      </c>
      <c r="P378" s="20">
        <f>COUNTIFS(tData[SEHTrajectPeriodeDatumTijdVan],"&lt;="&amp;($A378+12/24),tData[SEHTrajectPeriodeDatumTijdTotEnMet],"&gt;"&amp;($A378+12/24),tData[Langligger01],1)</f>
        <v/>
      </c>
      <c r="Q378" s="20">
        <f>COUNTIFS(tData[SEHTrajectPeriodeDatumTijdVan],"&lt;="&amp;($A378+13/24),tData[SEHTrajectPeriodeDatumTijdTotEnMet],"&gt;"&amp;($A378+13/24),tData[Langligger01],1)</f>
        <v/>
      </c>
      <c r="R378" s="20">
        <f>COUNTIFS(tData[SEHTrajectPeriodeDatumTijdVan],"&lt;="&amp;($A378+14/24),tData[SEHTrajectPeriodeDatumTijdTotEnMet],"&gt;"&amp;($A378+14/24),tData[Langligger01],1)</f>
        <v/>
      </c>
      <c r="S378" s="20">
        <f>COUNTIFS(tData[SEHTrajectPeriodeDatumTijdVan],"&lt;="&amp;($A378+15/24),tData[SEHTrajectPeriodeDatumTijdTotEnMet],"&gt;"&amp;($A378+15/24),tData[Langligger01],1)</f>
        <v/>
      </c>
      <c r="T378" s="20">
        <f>COUNTIFS(tData[SEHTrajectPeriodeDatumTijdVan],"&lt;="&amp;($A378+16/24),tData[SEHTrajectPeriodeDatumTijdTotEnMet],"&gt;"&amp;($A378+16/24),tData[Langligger01],1)</f>
        <v/>
      </c>
      <c r="U378" s="20">
        <f>COUNTIFS(tData[SEHTrajectPeriodeDatumTijdVan],"&lt;="&amp;($A378+17/24),tData[SEHTrajectPeriodeDatumTijdTotEnMet],"&gt;"&amp;($A378+17/24),tData[Langligger01],1)</f>
        <v/>
      </c>
      <c r="V378" s="20">
        <f>COUNTIFS(tData[SEHTrajectPeriodeDatumTijdVan],"&lt;="&amp;($A378+18/24),tData[SEHTrajectPeriodeDatumTijdTotEnMet],"&gt;"&amp;($A378+18/24),tData[Langligger01],1)</f>
        <v/>
      </c>
      <c r="W378" s="20">
        <f>COUNTIFS(tData[SEHTrajectPeriodeDatumTijdVan],"&lt;="&amp;($A378+19/24),tData[SEHTrajectPeriodeDatumTijdTotEnMet],"&gt;"&amp;($A378+19/24),tData[Langligger01],1)</f>
        <v/>
      </c>
      <c r="X378" s="20">
        <f>COUNTIFS(tData[SEHTrajectPeriodeDatumTijdVan],"&lt;="&amp;($A378+20/24),tData[SEHTrajectPeriodeDatumTijdTotEnMet],"&gt;"&amp;($A378+20/24),tData[Langligger01],1)</f>
        <v/>
      </c>
      <c r="Y378" s="20">
        <f>COUNTIFS(tData[SEHTrajectPeriodeDatumTijdVan],"&lt;="&amp;($A378+21/24),tData[SEHTrajectPeriodeDatumTijdTotEnMet],"&gt;"&amp;($A378+21/24),tData[Langligger01],1)</f>
        <v/>
      </c>
      <c r="Z378" s="20">
        <f>COUNTIFS(tData[SEHTrajectPeriodeDatumTijdVan],"&lt;="&amp;($A378+22/24),tData[SEHTrajectPeriodeDatumTijdTotEnMet],"&gt;"&amp;($A378+22/24),tData[Langligger01],1)</f>
        <v/>
      </c>
      <c r="AA378" s="20">
        <f>COUNTIFS(tData[SEHTrajectPeriodeDatumTijdVan],"&lt;="&amp;($A378+23/24),tData[SEHTrajectPeriodeDatumTijdTotEnMet],"&gt;"&amp;($A378+23/24),tData[Langligger01],1)</f>
        <v/>
      </c>
    </row>
    <row r="379">
      <c r="A379" s="19" t="n">
        <v>45667</v>
      </c>
      <c r="B379" s="15">
        <f>WEEKDAY($A379,2)</f>
        <v/>
      </c>
      <c r="C379" s="15">
        <f>IF(AND($A379&gt;=INT(Instellingen!$B$5),$A379&lt;=INT(Instellingen!$B$6)),1,0)</f>
        <v/>
      </c>
      <c r="D379" s="20">
        <f>COUNTIFS(tData[SEHTrajectPeriodeDatumTijdVan],"&lt;="&amp;($A379+0/24),tData[SEHTrajectPeriodeDatumTijdTotEnMet],"&gt;"&amp;($A379+0/24),tData[Langligger01],1)</f>
        <v/>
      </c>
      <c r="E379" s="20">
        <f>COUNTIFS(tData[SEHTrajectPeriodeDatumTijdVan],"&lt;="&amp;($A379+1/24),tData[SEHTrajectPeriodeDatumTijdTotEnMet],"&gt;"&amp;($A379+1/24),tData[Langligger01],1)</f>
        <v/>
      </c>
      <c r="F379" s="20">
        <f>COUNTIFS(tData[SEHTrajectPeriodeDatumTijdVan],"&lt;="&amp;($A379+2/24),tData[SEHTrajectPeriodeDatumTijdTotEnMet],"&gt;"&amp;($A379+2/24),tData[Langligger01],1)</f>
        <v/>
      </c>
      <c r="G379" s="20">
        <f>COUNTIFS(tData[SEHTrajectPeriodeDatumTijdVan],"&lt;="&amp;($A379+3/24),tData[SEHTrajectPeriodeDatumTijdTotEnMet],"&gt;"&amp;($A379+3/24),tData[Langligger01],1)</f>
        <v/>
      </c>
      <c r="H379" s="20">
        <f>COUNTIFS(tData[SEHTrajectPeriodeDatumTijdVan],"&lt;="&amp;($A379+4/24),tData[SEHTrajectPeriodeDatumTijdTotEnMet],"&gt;"&amp;($A379+4/24),tData[Langligger01],1)</f>
        <v/>
      </c>
      <c r="I379" s="20">
        <f>COUNTIFS(tData[SEHTrajectPeriodeDatumTijdVan],"&lt;="&amp;($A379+5/24),tData[SEHTrajectPeriodeDatumTijdTotEnMet],"&gt;"&amp;($A379+5/24),tData[Langligger01],1)</f>
        <v/>
      </c>
      <c r="J379" s="20">
        <f>COUNTIFS(tData[SEHTrajectPeriodeDatumTijdVan],"&lt;="&amp;($A379+6/24),tData[SEHTrajectPeriodeDatumTijdTotEnMet],"&gt;"&amp;($A379+6/24),tData[Langligger01],1)</f>
        <v/>
      </c>
      <c r="K379" s="20">
        <f>COUNTIFS(tData[SEHTrajectPeriodeDatumTijdVan],"&lt;="&amp;($A379+7/24),tData[SEHTrajectPeriodeDatumTijdTotEnMet],"&gt;"&amp;($A379+7/24),tData[Langligger01],1)</f>
        <v/>
      </c>
      <c r="L379" s="20">
        <f>COUNTIFS(tData[SEHTrajectPeriodeDatumTijdVan],"&lt;="&amp;($A379+8/24),tData[SEHTrajectPeriodeDatumTijdTotEnMet],"&gt;"&amp;($A379+8/24),tData[Langligger01],1)</f>
        <v/>
      </c>
      <c r="M379" s="20">
        <f>COUNTIFS(tData[SEHTrajectPeriodeDatumTijdVan],"&lt;="&amp;($A379+9/24),tData[SEHTrajectPeriodeDatumTijdTotEnMet],"&gt;"&amp;($A379+9/24),tData[Langligger01],1)</f>
        <v/>
      </c>
      <c r="N379" s="20">
        <f>COUNTIFS(tData[SEHTrajectPeriodeDatumTijdVan],"&lt;="&amp;($A379+10/24),tData[SEHTrajectPeriodeDatumTijdTotEnMet],"&gt;"&amp;($A379+10/24),tData[Langligger01],1)</f>
        <v/>
      </c>
      <c r="O379" s="20">
        <f>COUNTIFS(tData[SEHTrajectPeriodeDatumTijdVan],"&lt;="&amp;($A379+11/24),tData[SEHTrajectPeriodeDatumTijdTotEnMet],"&gt;"&amp;($A379+11/24),tData[Langligger01],1)</f>
        <v/>
      </c>
      <c r="P379" s="20">
        <f>COUNTIFS(tData[SEHTrajectPeriodeDatumTijdVan],"&lt;="&amp;($A379+12/24),tData[SEHTrajectPeriodeDatumTijdTotEnMet],"&gt;"&amp;($A379+12/24),tData[Langligger01],1)</f>
        <v/>
      </c>
      <c r="Q379" s="20">
        <f>COUNTIFS(tData[SEHTrajectPeriodeDatumTijdVan],"&lt;="&amp;($A379+13/24),tData[SEHTrajectPeriodeDatumTijdTotEnMet],"&gt;"&amp;($A379+13/24),tData[Langligger01],1)</f>
        <v/>
      </c>
      <c r="R379" s="20">
        <f>COUNTIFS(tData[SEHTrajectPeriodeDatumTijdVan],"&lt;="&amp;($A379+14/24),tData[SEHTrajectPeriodeDatumTijdTotEnMet],"&gt;"&amp;($A379+14/24),tData[Langligger01],1)</f>
        <v/>
      </c>
      <c r="S379" s="20">
        <f>COUNTIFS(tData[SEHTrajectPeriodeDatumTijdVan],"&lt;="&amp;($A379+15/24),tData[SEHTrajectPeriodeDatumTijdTotEnMet],"&gt;"&amp;($A379+15/24),tData[Langligger01],1)</f>
        <v/>
      </c>
      <c r="T379" s="20">
        <f>COUNTIFS(tData[SEHTrajectPeriodeDatumTijdVan],"&lt;="&amp;($A379+16/24),tData[SEHTrajectPeriodeDatumTijdTotEnMet],"&gt;"&amp;($A379+16/24),tData[Langligger01],1)</f>
        <v/>
      </c>
      <c r="U379" s="20">
        <f>COUNTIFS(tData[SEHTrajectPeriodeDatumTijdVan],"&lt;="&amp;($A379+17/24),tData[SEHTrajectPeriodeDatumTijdTotEnMet],"&gt;"&amp;($A379+17/24),tData[Langligger01],1)</f>
        <v/>
      </c>
      <c r="V379" s="20">
        <f>COUNTIFS(tData[SEHTrajectPeriodeDatumTijdVan],"&lt;="&amp;($A379+18/24),tData[SEHTrajectPeriodeDatumTijdTotEnMet],"&gt;"&amp;($A379+18/24),tData[Langligger01],1)</f>
        <v/>
      </c>
      <c r="W379" s="20">
        <f>COUNTIFS(tData[SEHTrajectPeriodeDatumTijdVan],"&lt;="&amp;($A379+19/24),tData[SEHTrajectPeriodeDatumTijdTotEnMet],"&gt;"&amp;($A379+19/24),tData[Langligger01],1)</f>
        <v/>
      </c>
      <c r="X379" s="20">
        <f>COUNTIFS(tData[SEHTrajectPeriodeDatumTijdVan],"&lt;="&amp;($A379+20/24),tData[SEHTrajectPeriodeDatumTijdTotEnMet],"&gt;"&amp;($A379+20/24),tData[Langligger01],1)</f>
        <v/>
      </c>
      <c r="Y379" s="20">
        <f>COUNTIFS(tData[SEHTrajectPeriodeDatumTijdVan],"&lt;="&amp;($A379+21/24),tData[SEHTrajectPeriodeDatumTijdTotEnMet],"&gt;"&amp;($A379+21/24),tData[Langligger01],1)</f>
        <v/>
      </c>
      <c r="Z379" s="20">
        <f>COUNTIFS(tData[SEHTrajectPeriodeDatumTijdVan],"&lt;="&amp;($A379+22/24),tData[SEHTrajectPeriodeDatumTijdTotEnMet],"&gt;"&amp;($A379+22/24),tData[Langligger01],1)</f>
        <v/>
      </c>
      <c r="AA379" s="20">
        <f>COUNTIFS(tData[SEHTrajectPeriodeDatumTijdVan],"&lt;="&amp;($A379+23/24),tData[SEHTrajectPeriodeDatumTijdTotEnMet],"&gt;"&amp;($A379+23/24),tData[Langligger01],1)</f>
        <v/>
      </c>
    </row>
    <row r="380">
      <c r="A380" s="19" t="n">
        <v>45668</v>
      </c>
      <c r="B380" s="15">
        <f>WEEKDAY($A380,2)</f>
        <v/>
      </c>
      <c r="C380" s="15">
        <f>IF(AND($A380&gt;=INT(Instellingen!$B$5),$A380&lt;=INT(Instellingen!$B$6)),1,0)</f>
        <v/>
      </c>
      <c r="D380" s="20">
        <f>COUNTIFS(tData[SEHTrajectPeriodeDatumTijdVan],"&lt;="&amp;($A380+0/24),tData[SEHTrajectPeriodeDatumTijdTotEnMet],"&gt;"&amp;($A380+0/24),tData[Langligger01],1)</f>
        <v/>
      </c>
      <c r="E380" s="20">
        <f>COUNTIFS(tData[SEHTrajectPeriodeDatumTijdVan],"&lt;="&amp;($A380+1/24),tData[SEHTrajectPeriodeDatumTijdTotEnMet],"&gt;"&amp;($A380+1/24),tData[Langligger01],1)</f>
        <v/>
      </c>
      <c r="F380" s="20">
        <f>COUNTIFS(tData[SEHTrajectPeriodeDatumTijdVan],"&lt;="&amp;($A380+2/24),tData[SEHTrajectPeriodeDatumTijdTotEnMet],"&gt;"&amp;($A380+2/24),tData[Langligger01],1)</f>
        <v/>
      </c>
      <c r="G380" s="20">
        <f>COUNTIFS(tData[SEHTrajectPeriodeDatumTijdVan],"&lt;="&amp;($A380+3/24),tData[SEHTrajectPeriodeDatumTijdTotEnMet],"&gt;"&amp;($A380+3/24),tData[Langligger01],1)</f>
        <v/>
      </c>
      <c r="H380" s="20">
        <f>COUNTIFS(tData[SEHTrajectPeriodeDatumTijdVan],"&lt;="&amp;($A380+4/24),tData[SEHTrajectPeriodeDatumTijdTotEnMet],"&gt;"&amp;($A380+4/24),tData[Langligger01],1)</f>
        <v/>
      </c>
      <c r="I380" s="20">
        <f>COUNTIFS(tData[SEHTrajectPeriodeDatumTijdVan],"&lt;="&amp;($A380+5/24),tData[SEHTrajectPeriodeDatumTijdTotEnMet],"&gt;"&amp;($A380+5/24),tData[Langligger01],1)</f>
        <v/>
      </c>
      <c r="J380" s="20">
        <f>COUNTIFS(tData[SEHTrajectPeriodeDatumTijdVan],"&lt;="&amp;($A380+6/24),tData[SEHTrajectPeriodeDatumTijdTotEnMet],"&gt;"&amp;($A380+6/24),tData[Langligger01],1)</f>
        <v/>
      </c>
      <c r="K380" s="20">
        <f>COUNTIFS(tData[SEHTrajectPeriodeDatumTijdVan],"&lt;="&amp;($A380+7/24),tData[SEHTrajectPeriodeDatumTijdTotEnMet],"&gt;"&amp;($A380+7/24),tData[Langligger01],1)</f>
        <v/>
      </c>
      <c r="L380" s="20">
        <f>COUNTIFS(tData[SEHTrajectPeriodeDatumTijdVan],"&lt;="&amp;($A380+8/24),tData[SEHTrajectPeriodeDatumTijdTotEnMet],"&gt;"&amp;($A380+8/24),tData[Langligger01],1)</f>
        <v/>
      </c>
      <c r="M380" s="20">
        <f>COUNTIFS(tData[SEHTrajectPeriodeDatumTijdVan],"&lt;="&amp;($A380+9/24),tData[SEHTrajectPeriodeDatumTijdTotEnMet],"&gt;"&amp;($A380+9/24),tData[Langligger01],1)</f>
        <v/>
      </c>
      <c r="N380" s="20">
        <f>COUNTIFS(tData[SEHTrajectPeriodeDatumTijdVan],"&lt;="&amp;($A380+10/24),tData[SEHTrajectPeriodeDatumTijdTotEnMet],"&gt;"&amp;($A380+10/24),tData[Langligger01],1)</f>
        <v/>
      </c>
      <c r="O380" s="20">
        <f>COUNTIFS(tData[SEHTrajectPeriodeDatumTijdVan],"&lt;="&amp;($A380+11/24),tData[SEHTrajectPeriodeDatumTijdTotEnMet],"&gt;"&amp;($A380+11/24),tData[Langligger01],1)</f>
        <v/>
      </c>
      <c r="P380" s="20">
        <f>COUNTIFS(tData[SEHTrajectPeriodeDatumTijdVan],"&lt;="&amp;($A380+12/24),tData[SEHTrajectPeriodeDatumTijdTotEnMet],"&gt;"&amp;($A380+12/24),tData[Langligger01],1)</f>
        <v/>
      </c>
      <c r="Q380" s="20">
        <f>COUNTIFS(tData[SEHTrajectPeriodeDatumTijdVan],"&lt;="&amp;($A380+13/24),tData[SEHTrajectPeriodeDatumTijdTotEnMet],"&gt;"&amp;($A380+13/24),tData[Langligger01],1)</f>
        <v/>
      </c>
      <c r="R380" s="20">
        <f>COUNTIFS(tData[SEHTrajectPeriodeDatumTijdVan],"&lt;="&amp;($A380+14/24),tData[SEHTrajectPeriodeDatumTijdTotEnMet],"&gt;"&amp;($A380+14/24),tData[Langligger01],1)</f>
        <v/>
      </c>
      <c r="S380" s="20">
        <f>COUNTIFS(tData[SEHTrajectPeriodeDatumTijdVan],"&lt;="&amp;($A380+15/24),tData[SEHTrajectPeriodeDatumTijdTotEnMet],"&gt;"&amp;($A380+15/24),tData[Langligger01],1)</f>
        <v/>
      </c>
      <c r="T380" s="20">
        <f>COUNTIFS(tData[SEHTrajectPeriodeDatumTijdVan],"&lt;="&amp;($A380+16/24),tData[SEHTrajectPeriodeDatumTijdTotEnMet],"&gt;"&amp;($A380+16/24),tData[Langligger01],1)</f>
        <v/>
      </c>
      <c r="U380" s="20">
        <f>COUNTIFS(tData[SEHTrajectPeriodeDatumTijdVan],"&lt;="&amp;($A380+17/24),tData[SEHTrajectPeriodeDatumTijdTotEnMet],"&gt;"&amp;($A380+17/24),tData[Langligger01],1)</f>
        <v/>
      </c>
      <c r="V380" s="20">
        <f>COUNTIFS(tData[SEHTrajectPeriodeDatumTijdVan],"&lt;="&amp;($A380+18/24),tData[SEHTrajectPeriodeDatumTijdTotEnMet],"&gt;"&amp;($A380+18/24),tData[Langligger01],1)</f>
        <v/>
      </c>
      <c r="W380" s="20">
        <f>COUNTIFS(tData[SEHTrajectPeriodeDatumTijdVan],"&lt;="&amp;($A380+19/24),tData[SEHTrajectPeriodeDatumTijdTotEnMet],"&gt;"&amp;($A380+19/24),tData[Langligger01],1)</f>
        <v/>
      </c>
      <c r="X380" s="20">
        <f>COUNTIFS(tData[SEHTrajectPeriodeDatumTijdVan],"&lt;="&amp;($A380+20/24),tData[SEHTrajectPeriodeDatumTijdTotEnMet],"&gt;"&amp;($A380+20/24),tData[Langligger01],1)</f>
        <v/>
      </c>
      <c r="Y380" s="20">
        <f>COUNTIFS(tData[SEHTrajectPeriodeDatumTijdVan],"&lt;="&amp;($A380+21/24),tData[SEHTrajectPeriodeDatumTijdTotEnMet],"&gt;"&amp;($A380+21/24),tData[Langligger01],1)</f>
        <v/>
      </c>
      <c r="Z380" s="20">
        <f>COUNTIFS(tData[SEHTrajectPeriodeDatumTijdVan],"&lt;="&amp;($A380+22/24),tData[SEHTrajectPeriodeDatumTijdTotEnMet],"&gt;"&amp;($A380+22/24),tData[Langligger01],1)</f>
        <v/>
      </c>
      <c r="AA380" s="20">
        <f>COUNTIFS(tData[SEHTrajectPeriodeDatumTijdVan],"&lt;="&amp;($A380+23/24),tData[SEHTrajectPeriodeDatumTijdTotEnMet],"&gt;"&amp;($A380+23/24),tData[Langligger01],1)</f>
        <v/>
      </c>
    </row>
    <row r="381">
      <c r="A381" s="19" t="n">
        <v>45669</v>
      </c>
      <c r="B381" s="15">
        <f>WEEKDAY($A381,2)</f>
        <v/>
      </c>
      <c r="C381" s="15">
        <f>IF(AND($A381&gt;=INT(Instellingen!$B$5),$A381&lt;=INT(Instellingen!$B$6)),1,0)</f>
        <v/>
      </c>
      <c r="D381" s="20">
        <f>COUNTIFS(tData[SEHTrajectPeriodeDatumTijdVan],"&lt;="&amp;($A381+0/24),tData[SEHTrajectPeriodeDatumTijdTotEnMet],"&gt;"&amp;($A381+0/24),tData[Langligger01],1)</f>
        <v/>
      </c>
      <c r="E381" s="20">
        <f>COUNTIFS(tData[SEHTrajectPeriodeDatumTijdVan],"&lt;="&amp;($A381+1/24),tData[SEHTrajectPeriodeDatumTijdTotEnMet],"&gt;"&amp;($A381+1/24),tData[Langligger01],1)</f>
        <v/>
      </c>
      <c r="F381" s="20">
        <f>COUNTIFS(tData[SEHTrajectPeriodeDatumTijdVan],"&lt;="&amp;($A381+2/24),tData[SEHTrajectPeriodeDatumTijdTotEnMet],"&gt;"&amp;($A381+2/24),tData[Langligger01],1)</f>
        <v/>
      </c>
      <c r="G381" s="20">
        <f>COUNTIFS(tData[SEHTrajectPeriodeDatumTijdVan],"&lt;="&amp;($A381+3/24),tData[SEHTrajectPeriodeDatumTijdTotEnMet],"&gt;"&amp;($A381+3/24),tData[Langligger01],1)</f>
        <v/>
      </c>
      <c r="H381" s="20">
        <f>COUNTIFS(tData[SEHTrajectPeriodeDatumTijdVan],"&lt;="&amp;($A381+4/24),tData[SEHTrajectPeriodeDatumTijdTotEnMet],"&gt;"&amp;($A381+4/24),tData[Langligger01],1)</f>
        <v/>
      </c>
      <c r="I381" s="20">
        <f>COUNTIFS(tData[SEHTrajectPeriodeDatumTijdVan],"&lt;="&amp;($A381+5/24),tData[SEHTrajectPeriodeDatumTijdTotEnMet],"&gt;"&amp;($A381+5/24),tData[Langligger01],1)</f>
        <v/>
      </c>
      <c r="J381" s="20">
        <f>COUNTIFS(tData[SEHTrajectPeriodeDatumTijdVan],"&lt;="&amp;($A381+6/24),tData[SEHTrajectPeriodeDatumTijdTotEnMet],"&gt;"&amp;($A381+6/24),tData[Langligger01],1)</f>
        <v/>
      </c>
      <c r="K381" s="20">
        <f>COUNTIFS(tData[SEHTrajectPeriodeDatumTijdVan],"&lt;="&amp;($A381+7/24),tData[SEHTrajectPeriodeDatumTijdTotEnMet],"&gt;"&amp;($A381+7/24),tData[Langligger01],1)</f>
        <v/>
      </c>
      <c r="L381" s="20">
        <f>COUNTIFS(tData[SEHTrajectPeriodeDatumTijdVan],"&lt;="&amp;($A381+8/24),tData[SEHTrajectPeriodeDatumTijdTotEnMet],"&gt;"&amp;($A381+8/24),tData[Langligger01],1)</f>
        <v/>
      </c>
      <c r="M381" s="20">
        <f>COUNTIFS(tData[SEHTrajectPeriodeDatumTijdVan],"&lt;="&amp;($A381+9/24),tData[SEHTrajectPeriodeDatumTijdTotEnMet],"&gt;"&amp;($A381+9/24),tData[Langligger01],1)</f>
        <v/>
      </c>
      <c r="N381" s="20">
        <f>COUNTIFS(tData[SEHTrajectPeriodeDatumTijdVan],"&lt;="&amp;($A381+10/24),tData[SEHTrajectPeriodeDatumTijdTotEnMet],"&gt;"&amp;($A381+10/24),tData[Langligger01],1)</f>
        <v/>
      </c>
      <c r="O381" s="20">
        <f>COUNTIFS(tData[SEHTrajectPeriodeDatumTijdVan],"&lt;="&amp;($A381+11/24),tData[SEHTrajectPeriodeDatumTijdTotEnMet],"&gt;"&amp;($A381+11/24),tData[Langligger01],1)</f>
        <v/>
      </c>
      <c r="P381" s="20">
        <f>COUNTIFS(tData[SEHTrajectPeriodeDatumTijdVan],"&lt;="&amp;($A381+12/24),tData[SEHTrajectPeriodeDatumTijdTotEnMet],"&gt;"&amp;($A381+12/24),tData[Langligger01],1)</f>
        <v/>
      </c>
      <c r="Q381" s="20">
        <f>COUNTIFS(tData[SEHTrajectPeriodeDatumTijdVan],"&lt;="&amp;($A381+13/24),tData[SEHTrajectPeriodeDatumTijdTotEnMet],"&gt;"&amp;($A381+13/24),tData[Langligger01],1)</f>
        <v/>
      </c>
      <c r="R381" s="20">
        <f>COUNTIFS(tData[SEHTrajectPeriodeDatumTijdVan],"&lt;="&amp;($A381+14/24),tData[SEHTrajectPeriodeDatumTijdTotEnMet],"&gt;"&amp;($A381+14/24),tData[Langligger01],1)</f>
        <v/>
      </c>
      <c r="S381" s="20">
        <f>COUNTIFS(tData[SEHTrajectPeriodeDatumTijdVan],"&lt;="&amp;($A381+15/24),tData[SEHTrajectPeriodeDatumTijdTotEnMet],"&gt;"&amp;($A381+15/24),tData[Langligger01],1)</f>
        <v/>
      </c>
      <c r="T381" s="20">
        <f>COUNTIFS(tData[SEHTrajectPeriodeDatumTijdVan],"&lt;="&amp;($A381+16/24),tData[SEHTrajectPeriodeDatumTijdTotEnMet],"&gt;"&amp;($A381+16/24),tData[Langligger01],1)</f>
        <v/>
      </c>
      <c r="U381" s="20">
        <f>COUNTIFS(tData[SEHTrajectPeriodeDatumTijdVan],"&lt;="&amp;($A381+17/24),tData[SEHTrajectPeriodeDatumTijdTotEnMet],"&gt;"&amp;($A381+17/24),tData[Langligger01],1)</f>
        <v/>
      </c>
      <c r="V381" s="20">
        <f>COUNTIFS(tData[SEHTrajectPeriodeDatumTijdVan],"&lt;="&amp;($A381+18/24),tData[SEHTrajectPeriodeDatumTijdTotEnMet],"&gt;"&amp;($A381+18/24),tData[Langligger01],1)</f>
        <v/>
      </c>
      <c r="W381" s="20">
        <f>COUNTIFS(tData[SEHTrajectPeriodeDatumTijdVan],"&lt;="&amp;($A381+19/24),tData[SEHTrajectPeriodeDatumTijdTotEnMet],"&gt;"&amp;($A381+19/24),tData[Langligger01],1)</f>
        <v/>
      </c>
      <c r="X381" s="20">
        <f>COUNTIFS(tData[SEHTrajectPeriodeDatumTijdVan],"&lt;="&amp;($A381+20/24),tData[SEHTrajectPeriodeDatumTijdTotEnMet],"&gt;"&amp;($A381+20/24),tData[Langligger01],1)</f>
        <v/>
      </c>
      <c r="Y381" s="20">
        <f>COUNTIFS(tData[SEHTrajectPeriodeDatumTijdVan],"&lt;="&amp;($A381+21/24),tData[SEHTrajectPeriodeDatumTijdTotEnMet],"&gt;"&amp;($A381+21/24),tData[Langligger01],1)</f>
        <v/>
      </c>
      <c r="Z381" s="20">
        <f>COUNTIFS(tData[SEHTrajectPeriodeDatumTijdVan],"&lt;="&amp;($A381+22/24),tData[SEHTrajectPeriodeDatumTijdTotEnMet],"&gt;"&amp;($A381+22/24),tData[Langligger01],1)</f>
        <v/>
      </c>
      <c r="AA381" s="20">
        <f>COUNTIFS(tData[SEHTrajectPeriodeDatumTijdVan],"&lt;="&amp;($A381+23/24),tData[SEHTrajectPeriodeDatumTijdTotEnMet],"&gt;"&amp;($A381+23/24),tData[Langligger01],1)</f>
        <v/>
      </c>
    </row>
    <row r="382">
      <c r="A382" s="19" t="n">
        <v>45670</v>
      </c>
      <c r="B382" s="15">
        <f>WEEKDAY($A382,2)</f>
        <v/>
      </c>
      <c r="C382" s="15">
        <f>IF(AND($A382&gt;=INT(Instellingen!$B$5),$A382&lt;=INT(Instellingen!$B$6)),1,0)</f>
        <v/>
      </c>
      <c r="D382" s="20">
        <f>COUNTIFS(tData[SEHTrajectPeriodeDatumTijdVan],"&lt;="&amp;($A382+0/24),tData[SEHTrajectPeriodeDatumTijdTotEnMet],"&gt;"&amp;($A382+0/24),tData[Langligger01],1)</f>
        <v/>
      </c>
      <c r="E382" s="20">
        <f>COUNTIFS(tData[SEHTrajectPeriodeDatumTijdVan],"&lt;="&amp;($A382+1/24),tData[SEHTrajectPeriodeDatumTijdTotEnMet],"&gt;"&amp;($A382+1/24),tData[Langligger01],1)</f>
        <v/>
      </c>
      <c r="F382" s="20">
        <f>COUNTIFS(tData[SEHTrajectPeriodeDatumTijdVan],"&lt;="&amp;($A382+2/24),tData[SEHTrajectPeriodeDatumTijdTotEnMet],"&gt;"&amp;($A382+2/24),tData[Langligger01],1)</f>
        <v/>
      </c>
      <c r="G382" s="20">
        <f>COUNTIFS(tData[SEHTrajectPeriodeDatumTijdVan],"&lt;="&amp;($A382+3/24),tData[SEHTrajectPeriodeDatumTijdTotEnMet],"&gt;"&amp;($A382+3/24),tData[Langligger01],1)</f>
        <v/>
      </c>
      <c r="H382" s="20">
        <f>COUNTIFS(tData[SEHTrajectPeriodeDatumTijdVan],"&lt;="&amp;($A382+4/24),tData[SEHTrajectPeriodeDatumTijdTotEnMet],"&gt;"&amp;($A382+4/24),tData[Langligger01],1)</f>
        <v/>
      </c>
      <c r="I382" s="20">
        <f>COUNTIFS(tData[SEHTrajectPeriodeDatumTijdVan],"&lt;="&amp;($A382+5/24),tData[SEHTrajectPeriodeDatumTijdTotEnMet],"&gt;"&amp;($A382+5/24),tData[Langligger01],1)</f>
        <v/>
      </c>
      <c r="J382" s="20">
        <f>COUNTIFS(tData[SEHTrajectPeriodeDatumTijdVan],"&lt;="&amp;($A382+6/24),tData[SEHTrajectPeriodeDatumTijdTotEnMet],"&gt;"&amp;($A382+6/24),tData[Langligger01],1)</f>
        <v/>
      </c>
      <c r="K382" s="20">
        <f>COUNTIFS(tData[SEHTrajectPeriodeDatumTijdVan],"&lt;="&amp;($A382+7/24),tData[SEHTrajectPeriodeDatumTijdTotEnMet],"&gt;"&amp;($A382+7/24),tData[Langligger01],1)</f>
        <v/>
      </c>
      <c r="L382" s="20">
        <f>COUNTIFS(tData[SEHTrajectPeriodeDatumTijdVan],"&lt;="&amp;($A382+8/24),tData[SEHTrajectPeriodeDatumTijdTotEnMet],"&gt;"&amp;($A382+8/24),tData[Langligger01],1)</f>
        <v/>
      </c>
      <c r="M382" s="20">
        <f>COUNTIFS(tData[SEHTrajectPeriodeDatumTijdVan],"&lt;="&amp;($A382+9/24),tData[SEHTrajectPeriodeDatumTijdTotEnMet],"&gt;"&amp;($A382+9/24),tData[Langligger01],1)</f>
        <v/>
      </c>
      <c r="N382" s="20">
        <f>COUNTIFS(tData[SEHTrajectPeriodeDatumTijdVan],"&lt;="&amp;($A382+10/24),tData[SEHTrajectPeriodeDatumTijdTotEnMet],"&gt;"&amp;($A382+10/24),tData[Langligger01],1)</f>
        <v/>
      </c>
      <c r="O382" s="20">
        <f>COUNTIFS(tData[SEHTrajectPeriodeDatumTijdVan],"&lt;="&amp;($A382+11/24),tData[SEHTrajectPeriodeDatumTijdTotEnMet],"&gt;"&amp;($A382+11/24),tData[Langligger01],1)</f>
        <v/>
      </c>
      <c r="P382" s="20">
        <f>COUNTIFS(tData[SEHTrajectPeriodeDatumTijdVan],"&lt;="&amp;($A382+12/24),tData[SEHTrajectPeriodeDatumTijdTotEnMet],"&gt;"&amp;($A382+12/24),tData[Langligger01],1)</f>
        <v/>
      </c>
      <c r="Q382" s="20">
        <f>COUNTIFS(tData[SEHTrajectPeriodeDatumTijdVan],"&lt;="&amp;($A382+13/24),tData[SEHTrajectPeriodeDatumTijdTotEnMet],"&gt;"&amp;($A382+13/24),tData[Langligger01],1)</f>
        <v/>
      </c>
      <c r="R382" s="20">
        <f>COUNTIFS(tData[SEHTrajectPeriodeDatumTijdVan],"&lt;="&amp;($A382+14/24),tData[SEHTrajectPeriodeDatumTijdTotEnMet],"&gt;"&amp;($A382+14/24),tData[Langligger01],1)</f>
        <v/>
      </c>
      <c r="S382" s="20">
        <f>COUNTIFS(tData[SEHTrajectPeriodeDatumTijdVan],"&lt;="&amp;($A382+15/24),tData[SEHTrajectPeriodeDatumTijdTotEnMet],"&gt;"&amp;($A382+15/24),tData[Langligger01],1)</f>
        <v/>
      </c>
      <c r="T382" s="20">
        <f>COUNTIFS(tData[SEHTrajectPeriodeDatumTijdVan],"&lt;="&amp;($A382+16/24),tData[SEHTrajectPeriodeDatumTijdTotEnMet],"&gt;"&amp;($A382+16/24),tData[Langligger01],1)</f>
        <v/>
      </c>
      <c r="U382" s="20">
        <f>COUNTIFS(tData[SEHTrajectPeriodeDatumTijdVan],"&lt;="&amp;($A382+17/24),tData[SEHTrajectPeriodeDatumTijdTotEnMet],"&gt;"&amp;($A382+17/24),tData[Langligger01],1)</f>
        <v/>
      </c>
      <c r="V382" s="20">
        <f>COUNTIFS(tData[SEHTrajectPeriodeDatumTijdVan],"&lt;="&amp;($A382+18/24),tData[SEHTrajectPeriodeDatumTijdTotEnMet],"&gt;"&amp;($A382+18/24),tData[Langligger01],1)</f>
        <v/>
      </c>
      <c r="W382" s="20">
        <f>COUNTIFS(tData[SEHTrajectPeriodeDatumTijdVan],"&lt;="&amp;($A382+19/24),tData[SEHTrajectPeriodeDatumTijdTotEnMet],"&gt;"&amp;($A382+19/24),tData[Langligger01],1)</f>
        <v/>
      </c>
      <c r="X382" s="20">
        <f>COUNTIFS(tData[SEHTrajectPeriodeDatumTijdVan],"&lt;="&amp;($A382+20/24),tData[SEHTrajectPeriodeDatumTijdTotEnMet],"&gt;"&amp;($A382+20/24),tData[Langligger01],1)</f>
        <v/>
      </c>
      <c r="Y382" s="20">
        <f>COUNTIFS(tData[SEHTrajectPeriodeDatumTijdVan],"&lt;="&amp;($A382+21/24),tData[SEHTrajectPeriodeDatumTijdTotEnMet],"&gt;"&amp;($A382+21/24),tData[Langligger01],1)</f>
        <v/>
      </c>
      <c r="Z382" s="20">
        <f>COUNTIFS(tData[SEHTrajectPeriodeDatumTijdVan],"&lt;="&amp;($A382+22/24),tData[SEHTrajectPeriodeDatumTijdTotEnMet],"&gt;"&amp;($A382+22/24),tData[Langligger01],1)</f>
        <v/>
      </c>
      <c r="AA382" s="20">
        <f>COUNTIFS(tData[SEHTrajectPeriodeDatumTijdVan],"&lt;="&amp;($A382+23/24),tData[SEHTrajectPeriodeDatumTijdTotEnMet],"&gt;"&amp;($A382+23/24),tData[Langligger01],1)</f>
        <v/>
      </c>
    </row>
    <row r="383">
      <c r="A383" s="19" t="n">
        <v>45671</v>
      </c>
      <c r="B383" s="15">
        <f>WEEKDAY($A383,2)</f>
        <v/>
      </c>
      <c r="C383" s="15">
        <f>IF(AND($A383&gt;=INT(Instellingen!$B$5),$A383&lt;=INT(Instellingen!$B$6)),1,0)</f>
        <v/>
      </c>
      <c r="D383" s="20">
        <f>COUNTIFS(tData[SEHTrajectPeriodeDatumTijdVan],"&lt;="&amp;($A383+0/24),tData[SEHTrajectPeriodeDatumTijdTotEnMet],"&gt;"&amp;($A383+0/24),tData[Langligger01],1)</f>
        <v/>
      </c>
      <c r="E383" s="20">
        <f>COUNTIFS(tData[SEHTrajectPeriodeDatumTijdVan],"&lt;="&amp;($A383+1/24),tData[SEHTrajectPeriodeDatumTijdTotEnMet],"&gt;"&amp;($A383+1/24),tData[Langligger01],1)</f>
        <v/>
      </c>
      <c r="F383" s="20">
        <f>COUNTIFS(tData[SEHTrajectPeriodeDatumTijdVan],"&lt;="&amp;($A383+2/24),tData[SEHTrajectPeriodeDatumTijdTotEnMet],"&gt;"&amp;($A383+2/24),tData[Langligger01],1)</f>
        <v/>
      </c>
      <c r="G383" s="20">
        <f>COUNTIFS(tData[SEHTrajectPeriodeDatumTijdVan],"&lt;="&amp;($A383+3/24),tData[SEHTrajectPeriodeDatumTijdTotEnMet],"&gt;"&amp;($A383+3/24),tData[Langligger01],1)</f>
        <v/>
      </c>
      <c r="H383" s="20">
        <f>COUNTIFS(tData[SEHTrajectPeriodeDatumTijdVan],"&lt;="&amp;($A383+4/24),tData[SEHTrajectPeriodeDatumTijdTotEnMet],"&gt;"&amp;($A383+4/24),tData[Langligger01],1)</f>
        <v/>
      </c>
      <c r="I383" s="20">
        <f>COUNTIFS(tData[SEHTrajectPeriodeDatumTijdVan],"&lt;="&amp;($A383+5/24),tData[SEHTrajectPeriodeDatumTijdTotEnMet],"&gt;"&amp;($A383+5/24),tData[Langligger01],1)</f>
        <v/>
      </c>
      <c r="J383" s="20">
        <f>COUNTIFS(tData[SEHTrajectPeriodeDatumTijdVan],"&lt;="&amp;($A383+6/24),tData[SEHTrajectPeriodeDatumTijdTotEnMet],"&gt;"&amp;($A383+6/24),tData[Langligger01],1)</f>
        <v/>
      </c>
      <c r="K383" s="20">
        <f>COUNTIFS(tData[SEHTrajectPeriodeDatumTijdVan],"&lt;="&amp;($A383+7/24),tData[SEHTrajectPeriodeDatumTijdTotEnMet],"&gt;"&amp;($A383+7/24),tData[Langligger01],1)</f>
        <v/>
      </c>
      <c r="L383" s="20">
        <f>COUNTIFS(tData[SEHTrajectPeriodeDatumTijdVan],"&lt;="&amp;($A383+8/24),tData[SEHTrajectPeriodeDatumTijdTotEnMet],"&gt;"&amp;($A383+8/24),tData[Langligger01],1)</f>
        <v/>
      </c>
      <c r="M383" s="20">
        <f>COUNTIFS(tData[SEHTrajectPeriodeDatumTijdVan],"&lt;="&amp;($A383+9/24),tData[SEHTrajectPeriodeDatumTijdTotEnMet],"&gt;"&amp;($A383+9/24),tData[Langligger01],1)</f>
        <v/>
      </c>
      <c r="N383" s="20">
        <f>COUNTIFS(tData[SEHTrajectPeriodeDatumTijdVan],"&lt;="&amp;($A383+10/24),tData[SEHTrajectPeriodeDatumTijdTotEnMet],"&gt;"&amp;($A383+10/24),tData[Langligger01],1)</f>
        <v/>
      </c>
      <c r="O383" s="20">
        <f>COUNTIFS(tData[SEHTrajectPeriodeDatumTijdVan],"&lt;="&amp;($A383+11/24),tData[SEHTrajectPeriodeDatumTijdTotEnMet],"&gt;"&amp;($A383+11/24),tData[Langligger01],1)</f>
        <v/>
      </c>
      <c r="P383" s="20">
        <f>COUNTIFS(tData[SEHTrajectPeriodeDatumTijdVan],"&lt;="&amp;($A383+12/24),tData[SEHTrajectPeriodeDatumTijdTotEnMet],"&gt;"&amp;($A383+12/24),tData[Langligger01],1)</f>
        <v/>
      </c>
      <c r="Q383" s="20">
        <f>COUNTIFS(tData[SEHTrajectPeriodeDatumTijdVan],"&lt;="&amp;($A383+13/24),tData[SEHTrajectPeriodeDatumTijdTotEnMet],"&gt;"&amp;($A383+13/24),tData[Langligger01],1)</f>
        <v/>
      </c>
      <c r="R383" s="20">
        <f>COUNTIFS(tData[SEHTrajectPeriodeDatumTijdVan],"&lt;="&amp;($A383+14/24),tData[SEHTrajectPeriodeDatumTijdTotEnMet],"&gt;"&amp;($A383+14/24),tData[Langligger01],1)</f>
        <v/>
      </c>
      <c r="S383" s="20">
        <f>COUNTIFS(tData[SEHTrajectPeriodeDatumTijdVan],"&lt;="&amp;($A383+15/24),tData[SEHTrajectPeriodeDatumTijdTotEnMet],"&gt;"&amp;($A383+15/24),tData[Langligger01],1)</f>
        <v/>
      </c>
      <c r="T383" s="20">
        <f>COUNTIFS(tData[SEHTrajectPeriodeDatumTijdVan],"&lt;="&amp;($A383+16/24),tData[SEHTrajectPeriodeDatumTijdTotEnMet],"&gt;"&amp;($A383+16/24),tData[Langligger01],1)</f>
        <v/>
      </c>
      <c r="U383" s="20">
        <f>COUNTIFS(tData[SEHTrajectPeriodeDatumTijdVan],"&lt;="&amp;($A383+17/24),tData[SEHTrajectPeriodeDatumTijdTotEnMet],"&gt;"&amp;($A383+17/24),tData[Langligger01],1)</f>
        <v/>
      </c>
      <c r="V383" s="20">
        <f>COUNTIFS(tData[SEHTrajectPeriodeDatumTijdVan],"&lt;="&amp;($A383+18/24),tData[SEHTrajectPeriodeDatumTijdTotEnMet],"&gt;"&amp;($A383+18/24),tData[Langligger01],1)</f>
        <v/>
      </c>
      <c r="W383" s="20">
        <f>COUNTIFS(tData[SEHTrajectPeriodeDatumTijdVan],"&lt;="&amp;($A383+19/24),tData[SEHTrajectPeriodeDatumTijdTotEnMet],"&gt;"&amp;($A383+19/24),tData[Langligger01],1)</f>
        <v/>
      </c>
      <c r="X383" s="20">
        <f>COUNTIFS(tData[SEHTrajectPeriodeDatumTijdVan],"&lt;="&amp;($A383+20/24),tData[SEHTrajectPeriodeDatumTijdTotEnMet],"&gt;"&amp;($A383+20/24),tData[Langligger01],1)</f>
        <v/>
      </c>
      <c r="Y383" s="20">
        <f>COUNTIFS(tData[SEHTrajectPeriodeDatumTijdVan],"&lt;="&amp;($A383+21/24),tData[SEHTrajectPeriodeDatumTijdTotEnMet],"&gt;"&amp;($A383+21/24),tData[Langligger01],1)</f>
        <v/>
      </c>
      <c r="Z383" s="20">
        <f>COUNTIFS(tData[SEHTrajectPeriodeDatumTijdVan],"&lt;="&amp;($A383+22/24),tData[SEHTrajectPeriodeDatumTijdTotEnMet],"&gt;"&amp;($A383+22/24),tData[Langligger01],1)</f>
        <v/>
      </c>
      <c r="AA383" s="20">
        <f>COUNTIFS(tData[SEHTrajectPeriodeDatumTijdVan],"&lt;="&amp;($A383+23/24),tData[SEHTrajectPeriodeDatumTijdTotEnMet],"&gt;"&amp;($A383+23/24),tData[Langligger01],1)</f>
        <v/>
      </c>
    </row>
    <row r="384">
      <c r="A384" s="19" t="n">
        <v>45672</v>
      </c>
      <c r="B384" s="15">
        <f>WEEKDAY($A384,2)</f>
        <v/>
      </c>
      <c r="C384" s="15">
        <f>IF(AND($A384&gt;=INT(Instellingen!$B$5),$A384&lt;=INT(Instellingen!$B$6)),1,0)</f>
        <v/>
      </c>
      <c r="D384" s="20">
        <f>COUNTIFS(tData[SEHTrajectPeriodeDatumTijdVan],"&lt;="&amp;($A384+0/24),tData[SEHTrajectPeriodeDatumTijdTotEnMet],"&gt;"&amp;($A384+0/24),tData[Langligger01],1)</f>
        <v/>
      </c>
      <c r="E384" s="20">
        <f>COUNTIFS(tData[SEHTrajectPeriodeDatumTijdVan],"&lt;="&amp;($A384+1/24),tData[SEHTrajectPeriodeDatumTijdTotEnMet],"&gt;"&amp;($A384+1/24),tData[Langligger01],1)</f>
        <v/>
      </c>
      <c r="F384" s="20">
        <f>COUNTIFS(tData[SEHTrajectPeriodeDatumTijdVan],"&lt;="&amp;($A384+2/24),tData[SEHTrajectPeriodeDatumTijdTotEnMet],"&gt;"&amp;($A384+2/24),tData[Langligger01],1)</f>
        <v/>
      </c>
      <c r="G384" s="20">
        <f>COUNTIFS(tData[SEHTrajectPeriodeDatumTijdVan],"&lt;="&amp;($A384+3/24),tData[SEHTrajectPeriodeDatumTijdTotEnMet],"&gt;"&amp;($A384+3/24),tData[Langligger01],1)</f>
        <v/>
      </c>
      <c r="H384" s="20">
        <f>COUNTIFS(tData[SEHTrajectPeriodeDatumTijdVan],"&lt;="&amp;($A384+4/24),tData[SEHTrajectPeriodeDatumTijdTotEnMet],"&gt;"&amp;($A384+4/24),tData[Langligger01],1)</f>
        <v/>
      </c>
      <c r="I384" s="20">
        <f>COUNTIFS(tData[SEHTrajectPeriodeDatumTijdVan],"&lt;="&amp;($A384+5/24),tData[SEHTrajectPeriodeDatumTijdTotEnMet],"&gt;"&amp;($A384+5/24),tData[Langligger01],1)</f>
        <v/>
      </c>
      <c r="J384" s="20">
        <f>COUNTIFS(tData[SEHTrajectPeriodeDatumTijdVan],"&lt;="&amp;($A384+6/24),tData[SEHTrajectPeriodeDatumTijdTotEnMet],"&gt;"&amp;($A384+6/24),tData[Langligger01],1)</f>
        <v/>
      </c>
      <c r="K384" s="20">
        <f>COUNTIFS(tData[SEHTrajectPeriodeDatumTijdVan],"&lt;="&amp;($A384+7/24),tData[SEHTrajectPeriodeDatumTijdTotEnMet],"&gt;"&amp;($A384+7/24),tData[Langligger01],1)</f>
        <v/>
      </c>
      <c r="L384" s="20">
        <f>COUNTIFS(tData[SEHTrajectPeriodeDatumTijdVan],"&lt;="&amp;($A384+8/24),tData[SEHTrajectPeriodeDatumTijdTotEnMet],"&gt;"&amp;($A384+8/24),tData[Langligger01],1)</f>
        <v/>
      </c>
      <c r="M384" s="20">
        <f>COUNTIFS(tData[SEHTrajectPeriodeDatumTijdVan],"&lt;="&amp;($A384+9/24),tData[SEHTrajectPeriodeDatumTijdTotEnMet],"&gt;"&amp;($A384+9/24),tData[Langligger01],1)</f>
        <v/>
      </c>
      <c r="N384" s="20">
        <f>COUNTIFS(tData[SEHTrajectPeriodeDatumTijdVan],"&lt;="&amp;($A384+10/24),tData[SEHTrajectPeriodeDatumTijdTotEnMet],"&gt;"&amp;($A384+10/24),tData[Langligger01],1)</f>
        <v/>
      </c>
      <c r="O384" s="20">
        <f>COUNTIFS(tData[SEHTrajectPeriodeDatumTijdVan],"&lt;="&amp;($A384+11/24),tData[SEHTrajectPeriodeDatumTijdTotEnMet],"&gt;"&amp;($A384+11/24),tData[Langligger01],1)</f>
        <v/>
      </c>
      <c r="P384" s="20">
        <f>COUNTIFS(tData[SEHTrajectPeriodeDatumTijdVan],"&lt;="&amp;($A384+12/24),tData[SEHTrajectPeriodeDatumTijdTotEnMet],"&gt;"&amp;($A384+12/24),tData[Langligger01],1)</f>
        <v/>
      </c>
      <c r="Q384" s="20">
        <f>COUNTIFS(tData[SEHTrajectPeriodeDatumTijdVan],"&lt;="&amp;($A384+13/24),tData[SEHTrajectPeriodeDatumTijdTotEnMet],"&gt;"&amp;($A384+13/24),tData[Langligger01],1)</f>
        <v/>
      </c>
      <c r="R384" s="20">
        <f>COUNTIFS(tData[SEHTrajectPeriodeDatumTijdVan],"&lt;="&amp;($A384+14/24),tData[SEHTrajectPeriodeDatumTijdTotEnMet],"&gt;"&amp;($A384+14/24),tData[Langligger01],1)</f>
        <v/>
      </c>
      <c r="S384" s="20">
        <f>COUNTIFS(tData[SEHTrajectPeriodeDatumTijdVan],"&lt;="&amp;($A384+15/24),tData[SEHTrajectPeriodeDatumTijdTotEnMet],"&gt;"&amp;($A384+15/24),tData[Langligger01],1)</f>
        <v/>
      </c>
      <c r="T384" s="20">
        <f>COUNTIFS(tData[SEHTrajectPeriodeDatumTijdVan],"&lt;="&amp;($A384+16/24),tData[SEHTrajectPeriodeDatumTijdTotEnMet],"&gt;"&amp;($A384+16/24),tData[Langligger01],1)</f>
        <v/>
      </c>
      <c r="U384" s="20">
        <f>COUNTIFS(tData[SEHTrajectPeriodeDatumTijdVan],"&lt;="&amp;($A384+17/24),tData[SEHTrajectPeriodeDatumTijdTotEnMet],"&gt;"&amp;($A384+17/24),tData[Langligger01],1)</f>
        <v/>
      </c>
      <c r="V384" s="20">
        <f>COUNTIFS(tData[SEHTrajectPeriodeDatumTijdVan],"&lt;="&amp;($A384+18/24),tData[SEHTrajectPeriodeDatumTijdTotEnMet],"&gt;"&amp;($A384+18/24),tData[Langligger01],1)</f>
        <v/>
      </c>
      <c r="W384" s="20">
        <f>COUNTIFS(tData[SEHTrajectPeriodeDatumTijdVan],"&lt;="&amp;($A384+19/24),tData[SEHTrajectPeriodeDatumTijdTotEnMet],"&gt;"&amp;($A384+19/24),tData[Langligger01],1)</f>
        <v/>
      </c>
      <c r="X384" s="20">
        <f>COUNTIFS(tData[SEHTrajectPeriodeDatumTijdVan],"&lt;="&amp;($A384+20/24),tData[SEHTrajectPeriodeDatumTijdTotEnMet],"&gt;"&amp;($A384+20/24),tData[Langligger01],1)</f>
        <v/>
      </c>
      <c r="Y384" s="20">
        <f>COUNTIFS(tData[SEHTrajectPeriodeDatumTijdVan],"&lt;="&amp;($A384+21/24),tData[SEHTrajectPeriodeDatumTijdTotEnMet],"&gt;"&amp;($A384+21/24),tData[Langligger01],1)</f>
        <v/>
      </c>
      <c r="Z384" s="20">
        <f>COUNTIFS(tData[SEHTrajectPeriodeDatumTijdVan],"&lt;="&amp;($A384+22/24),tData[SEHTrajectPeriodeDatumTijdTotEnMet],"&gt;"&amp;($A384+22/24),tData[Langligger01],1)</f>
        <v/>
      </c>
      <c r="AA384" s="20">
        <f>COUNTIFS(tData[SEHTrajectPeriodeDatumTijdVan],"&lt;="&amp;($A384+23/24),tData[SEHTrajectPeriodeDatumTijdTotEnMet],"&gt;"&amp;($A384+23/24),tData[Langligger01],1)</f>
        <v/>
      </c>
    </row>
    <row r="385">
      <c r="A385" s="19" t="n">
        <v>45673</v>
      </c>
      <c r="B385" s="15">
        <f>WEEKDAY($A385,2)</f>
        <v/>
      </c>
      <c r="C385" s="15">
        <f>IF(AND($A385&gt;=INT(Instellingen!$B$5),$A385&lt;=INT(Instellingen!$B$6)),1,0)</f>
        <v/>
      </c>
      <c r="D385" s="20">
        <f>COUNTIFS(tData[SEHTrajectPeriodeDatumTijdVan],"&lt;="&amp;($A385+0/24),tData[SEHTrajectPeriodeDatumTijdTotEnMet],"&gt;"&amp;($A385+0/24),tData[Langligger01],1)</f>
        <v/>
      </c>
      <c r="E385" s="20">
        <f>COUNTIFS(tData[SEHTrajectPeriodeDatumTijdVan],"&lt;="&amp;($A385+1/24),tData[SEHTrajectPeriodeDatumTijdTotEnMet],"&gt;"&amp;($A385+1/24),tData[Langligger01],1)</f>
        <v/>
      </c>
      <c r="F385" s="20">
        <f>COUNTIFS(tData[SEHTrajectPeriodeDatumTijdVan],"&lt;="&amp;($A385+2/24),tData[SEHTrajectPeriodeDatumTijdTotEnMet],"&gt;"&amp;($A385+2/24),tData[Langligger01],1)</f>
        <v/>
      </c>
      <c r="G385" s="20">
        <f>COUNTIFS(tData[SEHTrajectPeriodeDatumTijdVan],"&lt;="&amp;($A385+3/24),tData[SEHTrajectPeriodeDatumTijdTotEnMet],"&gt;"&amp;($A385+3/24),tData[Langligger01],1)</f>
        <v/>
      </c>
      <c r="H385" s="20">
        <f>COUNTIFS(tData[SEHTrajectPeriodeDatumTijdVan],"&lt;="&amp;($A385+4/24),tData[SEHTrajectPeriodeDatumTijdTotEnMet],"&gt;"&amp;($A385+4/24),tData[Langligger01],1)</f>
        <v/>
      </c>
      <c r="I385" s="20">
        <f>COUNTIFS(tData[SEHTrajectPeriodeDatumTijdVan],"&lt;="&amp;($A385+5/24),tData[SEHTrajectPeriodeDatumTijdTotEnMet],"&gt;"&amp;($A385+5/24),tData[Langligger01],1)</f>
        <v/>
      </c>
      <c r="J385" s="20">
        <f>COUNTIFS(tData[SEHTrajectPeriodeDatumTijdVan],"&lt;="&amp;($A385+6/24),tData[SEHTrajectPeriodeDatumTijdTotEnMet],"&gt;"&amp;($A385+6/24),tData[Langligger01],1)</f>
        <v/>
      </c>
      <c r="K385" s="20">
        <f>COUNTIFS(tData[SEHTrajectPeriodeDatumTijdVan],"&lt;="&amp;($A385+7/24),tData[SEHTrajectPeriodeDatumTijdTotEnMet],"&gt;"&amp;($A385+7/24),tData[Langligger01],1)</f>
        <v/>
      </c>
      <c r="L385" s="20">
        <f>COUNTIFS(tData[SEHTrajectPeriodeDatumTijdVan],"&lt;="&amp;($A385+8/24),tData[SEHTrajectPeriodeDatumTijdTotEnMet],"&gt;"&amp;($A385+8/24),tData[Langligger01],1)</f>
        <v/>
      </c>
      <c r="M385" s="20">
        <f>COUNTIFS(tData[SEHTrajectPeriodeDatumTijdVan],"&lt;="&amp;($A385+9/24),tData[SEHTrajectPeriodeDatumTijdTotEnMet],"&gt;"&amp;($A385+9/24),tData[Langligger01],1)</f>
        <v/>
      </c>
      <c r="N385" s="20">
        <f>COUNTIFS(tData[SEHTrajectPeriodeDatumTijdVan],"&lt;="&amp;($A385+10/24),tData[SEHTrajectPeriodeDatumTijdTotEnMet],"&gt;"&amp;($A385+10/24),tData[Langligger01],1)</f>
        <v/>
      </c>
      <c r="O385" s="20">
        <f>COUNTIFS(tData[SEHTrajectPeriodeDatumTijdVan],"&lt;="&amp;($A385+11/24),tData[SEHTrajectPeriodeDatumTijdTotEnMet],"&gt;"&amp;($A385+11/24),tData[Langligger01],1)</f>
        <v/>
      </c>
      <c r="P385" s="20">
        <f>COUNTIFS(tData[SEHTrajectPeriodeDatumTijdVan],"&lt;="&amp;($A385+12/24),tData[SEHTrajectPeriodeDatumTijdTotEnMet],"&gt;"&amp;($A385+12/24),tData[Langligger01],1)</f>
        <v/>
      </c>
      <c r="Q385" s="20">
        <f>COUNTIFS(tData[SEHTrajectPeriodeDatumTijdVan],"&lt;="&amp;($A385+13/24),tData[SEHTrajectPeriodeDatumTijdTotEnMet],"&gt;"&amp;($A385+13/24),tData[Langligger01],1)</f>
        <v/>
      </c>
      <c r="R385" s="20">
        <f>COUNTIFS(tData[SEHTrajectPeriodeDatumTijdVan],"&lt;="&amp;($A385+14/24),tData[SEHTrajectPeriodeDatumTijdTotEnMet],"&gt;"&amp;($A385+14/24),tData[Langligger01],1)</f>
        <v/>
      </c>
      <c r="S385" s="20">
        <f>COUNTIFS(tData[SEHTrajectPeriodeDatumTijdVan],"&lt;="&amp;($A385+15/24),tData[SEHTrajectPeriodeDatumTijdTotEnMet],"&gt;"&amp;($A385+15/24),tData[Langligger01],1)</f>
        <v/>
      </c>
      <c r="T385" s="20">
        <f>COUNTIFS(tData[SEHTrajectPeriodeDatumTijdVan],"&lt;="&amp;($A385+16/24),tData[SEHTrajectPeriodeDatumTijdTotEnMet],"&gt;"&amp;($A385+16/24),tData[Langligger01],1)</f>
        <v/>
      </c>
      <c r="U385" s="20">
        <f>COUNTIFS(tData[SEHTrajectPeriodeDatumTijdVan],"&lt;="&amp;($A385+17/24),tData[SEHTrajectPeriodeDatumTijdTotEnMet],"&gt;"&amp;($A385+17/24),tData[Langligger01],1)</f>
        <v/>
      </c>
      <c r="V385" s="20">
        <f>COUNTIFS(tData[SEHTrajectPeriodeDatumTijdVan],"&lt;="&amp;($A385+18/24),tData[SEHTrajectPeriodeDatumTijdTotEnMet],"&gt;"&amp;($A385+18/24),tData[Langligger01],1)</f>
        <v/>
      </c>
      <c r="W385" s="20">
        <f>COUNTIFS(tData[SEHTrajectPeriodeDatumTijdVan],"&lt;="&amp;($A385+19/24),tData[SEHTrajectPeriodeDatumTijdTotEnMet],"&gt;"&amp;($A385+19/24),tData[Langligger01],1)</f>
        <v/>
      </c>
      <c r="X385" s="20">
        <f>COUNTIFS(tData[SEHTrajectPeriodeDatumTijdVan],"&lt;="&amp;($A385+20/24),tData[SEHTrajectPeriodeDatumTijdTotEnMet],"&gt;"&amp;($A385+20/24),tData[Langligger01],1)</f>
        <v/>
      </c>
      <c r="Y385" s="20">
        <f>COUNTIFS(tData[SEHTrajectPeriodeDatumTijdVan],"&lt;="&amp;($A385+21/24),tData[SEHTrajectPeriodeDatumTijdTotEnMet],"&gt;"&amp;($A385+21/24),tData[Langligger01],1)</f>
        <v/>
      </c>
      <c r="Z385" s="20">
        <f>COUNTIFS(tData[SEHTrajectPeriodeDatumTijdVan],"&lt;="&amp;($A385+22/24),tData[SEHTrajectPeriodeDatumTijdTotEnMet],"&gt;"&amp;($A385+22/24),tData[Langligger01],1)</f>
        <v/>
      </c>
      <c r="AA385" s="20">
        <f>COUNTIFS(tData[SEHTrajectPeriodeDatumTijdVan],"&lt;="&amp;($A385+23/24),tData[SEHTrajectPeriodeDatumTijdTotEnMet],"&gt;"&amp;($A385+23/24),tData[Langligger01],1)</f>
        <v/>
      </c>
    </row>
    <row r="386">
      <c r="A386" s="19" t="n">
        <v>45674</v>
      </c>
      <c r="B386" s="15">
        <f>WEEKDAY($A386,2)</f>
        <v/>
      </c>
      <c r="C386" s="15">
        <f>IF(AND($A386&gt;=INT(Instellingen!$B$5),$A386&lt;=INT(Instellingen!$B$6)),1,0)</f>
        <v/>
      </c>
      <c r="D386" s="20">
        <f>COUNTIFS(tData[SEHTrajectPeriodeDatumTijdVan],"&lt;="&amp;($A386+0/24),tData[SEHTrajectPeriodeDatumTijdTotEnMet],"&gt;"&amp;($A386+0/24),tData[Langligger01],1)</f>
        <v/>
      </c>
      <c r="E386" s="20">
        <f>COUNTIFS(tData[SEHTrajectPeriodeDatumTijdVan],"&lt;="&amp;($A386+1/24),tData[SEHTrajectPeriodeDatumTijdTotEnMet],"&gt;"&amp;($A386+1/24),tData[Langligger01],1)</f>
        <v/>
      </c>
      <c r="F386" s="20">
        <f>COUNTIFS(tData[SEHTrajectPeriodeDatumTijdVan],"&lt;="&amp;($A386+2/24),tData[SEHTrajectPeriodeDatumTijdTotEnMet],"&gt;"&amp;($A386+2/24),tData[Langligger01],1)</f>
        <v/>
      </c>
      <c r="G386" s="20">
        <f>COUNTIFS(tData[SEHTrajectPeriodeDatumTijdVan],"&lt;="&amp;($A386+3/24),tData[SEHTrajectPeriodeDatumTijdTotEnMet],"&gt;"&amp;($A386+3/24),tData[Langligger01],1)</f>
        <v/>
      </c>
      <c r="H386" s="20">
        <f>COUNTIFS(tData[SEHTrajectPeriodeDatumTijdVan],"&lt;="&amp;($A386+4/24),tData[SEHTrajectPeriodeDatumTijdTotEnMet],"&gt;"&amp;($A386+4/24),tData[Langligger01],1)</f>
        <v/>
      </c>
      <c r="I386" s="20">
        <f>COUNTIFS(tData[SEHTrajectPeriodeDatumTijdVan],"&lt;="&amp;($A386+5/24),tData[SEHTrajectPeriodeDatumTijdTotEnMet],"&gt;"&amp;($A386+5/24),tData[Langligger01],1)</f>
        <v/>
      </c>
      <c r="J386" s="20">
        <f>COUNTIFS(tData[SEHTrajectPeriodeDatumTijdVan],"&lt;="&amp;($A386+6/24),tData[SEHTrajectPeriodeDatumTijdTotEnMet],"&gt;"&amp;($A386+6/24),tData[Langligger01],1)</f>
        <v/>
      </c>
      <c r="K386" s="20">
        <f>COUNTIFS(tData[SEHTrajectPeriodeDatumTijdVan],"&lt;="&amp;($A386+7/24),tData[SEHTrajectPeriodeDatumTijdTotEnMet],"&gt;"&amp;($A386+7/24),tData[Langligger01],1)</f>
        <v/>
      </c>
      <c r="L386" s="20">
        <f>COUNTIFS(tData[SEHTrajectPeriodeDatumTijdVan],"&lt;="&amp;($A386+8/24),tData[SEHTrajectPeriodeDatumTijdTotEnMet],"&gt;"&amp;($A386+8/24),tData[Langligger01],1)</f>
        <v/>
      </c>
      <c r="M386" s="20">
        <f>COUNTIFS(tData[SEHTrajectPeriodeDatumTijdVan],"&lt;="&amp;($A386+9/24),tData[SEHTrajectPeriodeDatumTijdTotEnMet],"&gt;"&amp;($A386+9/24),tData[Langligger01],1)</f>
        <v/>
      </c>
      <c r="N386" s="20">
        <f>COUNTIFS(tData[SEHTrajectPeriodeDatumTijdVan],"&lt;="&amp;($A386+10/24),tData[SEHTrajectPeriodeDatumTijdTotEnMet],"&gt;"&amp;($A386+10/24),tData[Langligger01],1)</f>
        <v/>
      </c>
      <c r="O386" s="20">
        <f>COUNTIFS(tData[SEHTrajectPeriodeDatumTijdVan],"&lt;="&amp;($A386+11/24),tData[SEHTrajectPeriodeDatumTijdTotEnMet],"&gt;"&amp;($A386+11/24),tData[Langligger01],1)</f>
        <v/>
      </c>
      <c r="P386" s="20">
        <f>COUNTIFS(tData[SEHTrajectPeriodeDatumTijdVan],"&lt;="&amp;($A386+12/24),tData[SEHTrajectPeriodeDatumTijdTotEnMet],"&gt;"&amp;($A386+12/24),tData[Langligger01],1)</f>
        <v/>
      </c>
      <c r="Q386" s="20">
        <f>COUNTIFS(tData[SEHTrajectPeriodeDatumTijdVan],"&lt;="&amp;($A386+13/24),tData[SEHTrajectPeriodeDatumTijdTotEnMet],"&gt;"&amp;($A386+13/24),tData[Langligger01],1)</f>
        <v/>
      </c>
      <c r="R386" s="20">
        <f>COUNTIFS(tData[SEHTrajectPeriodeDatumTijdVan],"&lt;="&amp;($A386+14/24),tData[SEHTrajectPeriodeDatumTijdTotEnMet],"&gt;"&amp;($A386+14/24),tData[Langligger01],1)</f>
        <v/>
      </c>
      <c r="S386" s="20">
        <f>COUNTIFS(tData[SEHTrajectPeriodeDatumTijdVan],"&lt;="&amp;($A386+15/24),tData[SEHTrajectPeriodeDatumTijdTotEnMet],"&gt;"&amp;($A386+15/24),tData[Langligger01],1)</f>
        <v/>
      </c>
      <c r="T386" s="20">
        <f>COUNTIFS(tData[SEHTrajectPeriodeDatumTijdVan],"&lt;="&amp;($A386+16/24),tData[SEHTrajectPeriodeDatumTijdTotEnMet],"&gt;"&amp;($A386+16/24),tData[Langligger01],1)</f>
        <v/>
      </c>
      <c r="U386" s="20">
        <f>COUNTIFS(tData[SEHTrajectPeriodeDatumTijdVan],"&lt;="&amp;($A386+17/24),tData[SEHTrajectPeriodeDatumTijdTotEnMet],"&gt;"&amp;($A386+17/24),tData[Langligger01],1)</f>
        <v/>
      </c>
      <c r="V386" s="20">
        <f>COUNTIFS(tData[SEHTrajectPeriodeDatumTijdVan],"&lt;="&amp;($A386+18/24),tData[SEHTrajectPeriodeDatumTijdTotEnMet],"&gt;"&amp;($A386+18/24),tData[Langligger01],1)</f>
        <v/>
      </c>
      <c r="W386" s="20">
        <f>COUNTIFS(tData[SEHTrajectPeriodeDatumTijdVan],"&lt;="&amp;($A386+19/24),tData[SEHTrajectPeriodeDatumTijdTotEnMet],"&gt;"&amp;($A386+19/24),tData[Langligger01],1)</f>
        <v/>
      </c>
      <c r="X386" s="20">
        <f>COUNTIFS(tData[SEHTrajectPeriodeDatumTijdVan],"&lt;="&amp;($A386+20/24),tData[SEHTrajectPeriodeDatumTijdTotEnMet],"&gt;"&amp;($A386+20/24),tData[Langligger01],1)</f>
        <v/>
      </c>
      <c r="Y386" s="20">
        <f>COUNTIFS(tData[SEHTrajectPeriodeDatumTijdVan],"&lt;="&amp;($A386+21/24),tData[SEHTrajectPeriodeDatumTijdTotEnMet],"&gt;"&amp;($A386+21/24),tData[Langligger01],1)</f>
        <v/>
      </c>
      <c r="Z386" s="20">
        <f>COUNTIFS(tData[SEHTrajectPeriodeDatumTijdVan],"&lt;="&amp;($A386+22/24),tData[SEHTrajectPeriodeDatumTijdTotEnMet],"&gt;"&amp;($A386+22/24),tData[Langligger01],1)</f>
        <v/>
      </c>
      <c r="AA386" s="20">
        <f>COUNTIFS(tData[SEHTrajectPeriodeDatumTijdVan],"&lt;="&amp;($A386+23/24),tData[SEHTrajectPeriodeDatumTijdTotEnMet],"&gt;"&amp;($A386+23/24),tData[Langligger01],1)</f>
        <v/>
      </c>
    </row>
    <row r="387">
      <c r="A387" s="19" t="n">
        <v>45675</v>
      </c>
      <c r="B387" s="15">
        <f>WEEKDAY($A387,2)</f>
        <v/>
      </c>
      <c r="C387" s="15">
        <f>IF(AND($A387&gt;=INT(Instellingen!$B$5),$A387&lt;=INT(Instellingen!$B$6)),1,0)</f>
        <v/>
      </c>
      <c r="D387" s="20">
        <f>COUNTIFS(tData[SEHTrajectPeriodeDatumTijdVan],"&lt;="&amp;($A387+0/24),tData[SEHTrajectPeriodeDatumTijdTotEnMet],"&gt;"&amp;($A387+0/24),tData[Langligger01],1)</f>
        <v/>
      </c>
      <c r="E387" s="20">
        <f>COUNTIFS(tData[SEHTrajectPeriodeDatumTijdVan],"&lt;="&amp;($A387+1/24),tData[SEHTrajectPeriodeDatumTijdTotEnMet],"&gt;"&amp;($A387+1/24),tData[Langligger01],1)</f>
        <v/>
      </c>
      <c r="F387" s="20">
        <f>COUNTIFS(tData[SEHTrajectPeriodeDatumTijdVan],"&lt;="&amp;($A387+2/24),tData[SEHTrajectPeriodeDatumTijdTotEnMet],"&gt;"&amp;($A387+2/24),tData[Langligger01],1)</f>
        <v/>
      </c>
      <c r="G387" s="20">
        <f>COUNTIFS(tData[SEHTrajectPeriodeDatumTijdVan],"&lt;="&amp;($A387+3/24),tData[SEHTrajectPeriodeDatumTijdTotEnMet],"&gt;"&amp;($A387+3/24),tData[Langligger01],1)</f>
        <v/>
      </c>
      <c r="H387" s="20">
        <f>COUNTIFS(tData[SEHTrajectPeriodeDatumTijdVan],"&lt;="&amp;($A387+4/24),tData[SEHTrajectPeriodeDatumTijdTotEnMet],"&gt;"&amp;($A387+4/24),tData[Langligger01],1)</f>
        <v/>
      </c>
      <c r="I387" s="20">
        <f>COUNTIFS(tData[SEHTrajectPeriodeDatumTijdVan],"&lt;="&amp;($A387+5/24),tData[SEHTrajectPeriodeDatumTijdTotEnMet],"&gt;"&amp;($A387+5/24),tData[Langligger01],1)</f>
        <v/>
      </c>
      <c r="J387" s="20">
        <f>COUNTIFS(tData[SEHTrajectPeriodeDatumTijdVan],"&lt;="&amp;($A387+6/24),tData[SEHTrajectPeriodeDatumTijdTotEnMet],"&gt;"&amp;($A387+6/24),tData[Langligger01],1)</f>
        <v/>
      </c>
      <c r="K387" s="20">
        <f>COUNTIFS(tData[SEHTrajectPeriodeDatumTijdVan],"&lt;="&amp;($A387+7/24),tData[SEHTrajectPeriodeDatumTijdTotEnMet],"&gt;"&amp;($A387+7/24),tData[Langligger01],1)</f>
        <v/>
      </c>
      <c r="L387" s="20">
        <f>COUNTIFS(tData[SEHTrajectPeriodeDatumTijdVan],"&lt;="&amp;($A387+8/24),tData[SEHTrajectPeriodeDatumTijdTotEnMet],"&gt;"&amp;($A387+8/24),tData[Langligger01],1)</f>
        <v/>
      </c>
      <c r="M387" s="20">
        <f>COUNTIFS(tData[SEHTrajectPeriodeDatumTijdVan],"&lt;="&amp;($A387+9/24),tData[SEHTrajectPeriodeDatumTijdTotEnMet],"&gt;"&amp;($A387+9/24),tData[Langligger01],1)</f>
        <v/>
      </c>
      <c r="N387" s="20">
        <f>COUNTIFS(tData[SEHTrajectPeriodeDatumTijdVan],"&lt;="&amp;($A387+10/24),tData[SEHTrajectPeriodeDatumTijdTotEnMet],"&gt;"&amp;($A387+10/24),tData[Langligger01],1)</f>
        <v/>
      </c>
      <c r="O387" s="20">
        <f>COUNTIFS(tData[SEHTrajectPeriodeDatumTijdVan],"&lt;="&amp;($A387+11/24),tData[SEHTrajectPeriodeDatumTijdTotEnMet],"&gt;"&amp;($A387+11/24),tData[Langligger01],1)</f>
        <v/>
      </c>
      <c r="P387" s="20">
        <f>COUNTIFS(tData[SEHTrajectPeriodeDatumTijdVan],"&lt;="&amp;($A387+12/24),tData[SEHTrajectPeriodeDatumTijdTotEnMet],"&gt;"&amp;($A387+12/24),tData[Langligger01],1)</f>
        <v/>
      </c>
      <c r="Q387" s="20">
        <f>COUNTIFS(tData[SEHTrajectPeriodeDatumTijdVan],"&lt;="&amp;($A387+13/24),tData[SEHTrajectPeriodeDatumTijdTotEnMet],"&gt;"&amp;($A387+13/24),tData[Langligger01],1)</f>
        <v/>
      </c>
      <c r="R387" s="20">
        <f>COUNTIFS(tData[SEHTrajectPeriodeDatumTijdVan],"&lt;="&amp;($A387+14/24),tData[SEHTrajectPeriodeDatumTijdTotEnMet],"&gt;"&amp;($A387+14/24),tData[Langligger01],1)</f>
        <v/>
      </c>
      <c r="S387" s="20">
        <f>COUNTIFS(tData[SEHTrajectPeriodeDatumTijdVan],"&lt;="&amp;($A387+15/24),tData[SEHTrajectPeriodeDatumTijdTotEnMet],"&gt;"&amp;($A387+15/24),tData[Langligger01],1)</f>
        <v/>
      </c>
      <c r="T387" s="20">
        <f>COUNTIFS(tData[SEHTrajectPeriodeDatumTijdVan],"&lt;="&amp;($A387+16/24),tData[SEHTrajectPeriodeDatumTijdTotEnMet],"&gt;"&amp;($A387+16/24),tData[Langligger01],1)</f>
        <v/>
      </c>
      <c r="U387" s="20">
        <f>COUNTIFS(tData[SEHTrajectPeriodeDatumTijdVan],"&lt;="&amp;($A387+17/24),tData[SEHTrajectPeriodeDatumTijdTotEnMet],"&gt;"&amp;($A387+17/24),tData[Langligger01],1)</f>
        <v/>
      </c>
      <c r="V387" s="20">
        <f>COUNTIFS(tData[SEHTrajectPeriodeDatumTijdVan],"&lt;="&amp;($A387+18/24),tData[SEHTrajectPeriodeDatumTijdTotEnMet],"&gt;"&amp;($A387+18/24),tData[Langligger01],1)</f>
        <v/>
      </c>
      <c r="W387" s="20">
        <f>COUNTIFS(tData[SEHTrajectPeriodeDatumTijdVan],"&lt;="&amp;($A387+19/24),tData[SEHTrajectPeriodeDatumTijdTotEnMet],"&gt;"&amp;($A387+19/24),tData[Langligger01],1)</f>
        <v/>
      </c>
      <c r="X387" s="20">
        <f>COUNTIFS(tData[SEHTrajectPeriodeDatumTijdVan],"&lt;="&amp;($A387+20/24),tData[SEHTrajectPeriodeDatumTijdTotEnMet],"&gt;"&amp;($A387+20/24),tData[Langligger01],1)</f>
        <v/>
      </c>
      <c r="Y387" s="20">
        <f>COUNTIFS(tData[SEHTrajectPeriodeDatumTijdVan],"&lt;="&amp;($A387+21/24),tData[SEHTrajectPeriodeDatumTijdTotEnMet],"&gt;"&amp;($A387+21/24),tData[Langligger01],1)</f>
        <v/>
      </c>
      <c r="Z387" s="20">
        <f>COUNTIFS(tData[SEHTrajectPeriodeDatumTijdVan],"&lt;="&amp;($A387+22/24),tData[SEHTrajectPeriodeDatumTijdTotEnMet],"&gt;"&amp;($A387+22/24),tData[Langligger01],1)</f>
        <v/>
      </c>
      <c r="AA387" s="20">
        <f>COUNTIFS(tData[SEHTrajectPeriodeDatumTijdVan],"&lt;="&amp;($A387+23/24),tData[SEHTrajectPeriodeDatumTijdTotEnMet],"&gt;"&amp;($A387+23/24),tData[Langligger01],1)</f>
        <v/>
      </c>
    </row>
    <row r="388">
      <c r="A388" s="19" t="n">
        <v>45676</v>
      </c>
      <c r="B388" s="15">
        <f>WEEKDAY($A388,2)</f>
        <v/>
      </c>
      <c r="C388" s="15">
        <f>IF(AND($A388&gt;=INT(Instellingen!$B$5),$A388&lt;=INT(Instellingen!$B$6)),1,0)</f>
        <v/>
      </c>
      <c r="D388" s="20">
        <f>COUNTIFS(tData[SEHTrajectPeriodeDatumTijdVan],"&lt;="&amp;($A388+0/24),tData[SEHTrajectPeriodeDatumTijdTotEnMet],"&gt;"&amp;($A388+0/24),tData[Langligger01],1)</f>
        <v/>
      </c>
      <c r="E388" s="20">
        <f>COUNTIFS(tData[SEHTrajectPeriodeDatumTijdVan],"&lt;="&amp;($A388+1/24),tData[SEHTrajectPeriodeDatumTijdTotEnMet],"&gt;"&amp;($A388+1/24),tData[Langligger01],1)</f>
        <v/>
      </c>
      <c r="F388" s="20">
        <f>COUNTIFS(tData[SEHTrajectPeriodeDatumTijdVan],"&lt;="&amp;($A388+2/24),tData[SEHTrajectPeriodeDatumTijdTotEnMet],"&gt;"&amp;($A388+2/24),tData[Langligger01],1)</f>
        <v/>
      </c>
      <c r="G388" s="20">
        <f>COUNTIFS(tData[SEHTrajectPeriodeDatumTijdVan],"&lt;="&amp;($A388+3/24),tData[SEHTrajectPeriodeDatumTijdTotEnMet],"&gt;"&amp;($A388+3/24),tData[Langligger01],1)</f>
        <v/>
      </c>
      <c r="H388" s="20">
        <f>COUNTIFS(tData[SEHTrajectPeriodeDatumTijdVan],"&lt;="&amp;($A388+4/24),tData[SEHTrajectPeriodeDatumTijdTotEnMet],"&gt;"&amp;($A388+4/24),tData[Langligger01],1)</f>
        <v/>
      </c>
      <c r="I388" s="20">
        <f>COUNTIFS(tData[SEHTrajectPeriodeDatumTijdVan],"&lt;="&amp;($A388+5/24),tData[SEHTrajectPeriodeDatumTijdTotEnMet],"&gt;"&amp;($A388+5/24),tData[Langligger01],1)</f>
        <v/>
      </c>
      <c r="J388" s="20">
        <f>COUNTIFS(tData[SEHTrajectPeriodeDatumTijdVan],"&lt;="&amp;($A388+6/24),tData[SEHTrajectPeriodeDatumTijdTotEnMet],"&gt;"&amp;($A388+6/24),tData[Langligger01],1)</f>
        <v/>
      </c>
      <c r="K388" s="20">
        <f>COUNTIFS(tData[SEHTrajectPeriodeDatumTijdVan],"&lt;="&amp;($A388+7/24),tData[SEHTrajectPeriodeDatumTijdTotEnMet],"&gt;"&amp;($A388+7/24),tData[Langligger01],1)</f>
        <v/>
      </c>
      <c r="L388" s="20">
        <f>COUNTIFS(tData[SEHTrajectPeriodeDatumTijdVan],"&lt;="&amp;($A388+8/24),tData[SEHTrajectPeriodeDatumTijdTotEnMet],"&gt;"&amp;($A388+8/24),tData[Langligger01],1)</f>
        <v/>
      </c>
      <c r="M388" s="20">
        <f>COUNTIFS(tData[SEHTrajectPeriodeDatumTijdVan],"&lt;="&amp;($A388+9/24),tData[SEHTrajectPeriodeDatumTijdTotEnMet],"&gt;"&amp;($A388+9/24),tData[Langligger01],1)</f>
        <v/>
      </c>
      <c r="N388" s="20">
        <f>COUNTIFS(tData[SEHTrajectPeriodeDatumTijdVan],"&lt;="&amp;($A388+10/24),tData[SEHTrajectPeriodeDatumTijdTotEnMet],"&gt;"&amp;($A388+10/24),tData[Langligger01],1)</f>
        <v/>
      </c>
      <c r="O388" s="20">
        <f>COUNTIFS(tData[SEHTrajectPeriodeDatumTijdVan],"&lt;="&amp;($A388+11/24),tData[SEHTrajectPeriodeDatumTijdTotEnMet],"&gt;"&amp;($A388+11/24),tData[Langligger01],1)</f>
        <v/>
      </c>
      <c r="P388" s="20">
        <f>COUNTIFS(tData[SEHTrajectPeriodeDatumTijdVan],"&lt;="&amp;($A388+12/24),tData[SEHTrajectPeriodeDatumTijdTotEnMet],"&gt;"&amp;($A388+12/24),tData[Langligger01],1)</f>
        <v/>
      </c>
      <c r="Q388" s="20">
        <f>COUNTIFS(tData[SEHTrajectPeriodeDatumTijdVan],"&lt;="&amp;($A388+13/24),tData[SEHTrajectPeriodeDatumTijdTotEnMet],"&gt;"&amp;($A388+13/24),tData[Langligger01],1)</f>
        <v/>
      </c>
      <c r="R388" s="20">
        <f>COUNTIFS(tData[SEHTrajectPeriodeDatumTijdVan],"&lt;="&amp;($A388+14/24),tData[SEHTrajectPeriodeDatumTijdTotEnMet],"&gt;"&amp;($A388+14/24),tData[Langligger01],1)</f>
        <v/>
      </c>
      <c r="S388" s="20">
        <f>COUNTIFS(tData[SEHTrajectPeriodeDatumTijdVan],"&lt;="&amp;($A388+15/24),tData[SEHTrajectPeriodeDatumTijdTotEnMet],"&gt;"&amp;($A388+15/24),tData[Langligger01],1)</f>
        <v/>
      </c>
      <c r="T388" s="20">
        <f>COUNTIFS(tData[SEHTrajectPeriodeDatumTijdVan],"&lt;="&amp;($A388+16/24),tData[SEHTrajectPeriodeDatumTijdTotEnMet],"&gt;"&amp;($A388+16/24),tData[Langligger01],1)</f>
        <v/>
      </c>
      <c r="U388" s="20">
        <f>COUNTIFS(tData[SEHTrajectPeriodeDatumTijdVan],"&lt;="&amp;($A388+17/24),tData[SEHTrajectPeriodeDatumTijdTotEnMet],"&gt;"&amp;($A388+17/24),tData[Langligger01],1)</f>
        <v/>
      </c>
      <c r="V388" s="20">
        <f>COUNTIFS(tData[SEHTrajectPeriodeDatumTijdVan],"&lt;="&amp;($A388+18/24),tData[SEHTrajectPeriodeDatumTijdTotEnMet],"&gt;"&amp;($A388+18/24),tData[Langligger01],1)</f>
        <v/>
      </c>
      <c r="W388" s="20">
        <f>COUNTIFS(tData[SEHTrajectPeriodeDatumTijdVan],"&lt;="&amp;($A388+19/24),tData[SEHTrajectPeriodeDatumTijdTotEnMet],"&gt;"&amp;($A388+19/24),tData[Langligger01],1)</f>
        <v/>
      </c>
      <c r="X388" s="20">
        <f>COUNTIFS(tData[SEHTrajectPeriodeDatumTijdVan],"&lt;="&amp;($A388+20/24),tData[SEHTrajectPeriodeDatumTijdTotEnMet],"&gt;"&amp;($A388+20/24),tData[Langligger01],1)</f>
        <v/>
      </c>
      <c r="Y388" s="20">
        <f>COUNTIFS(tData[SEHTrajectPeriodeDatumTijdVan],"&lt;="&amp;($A388+21/24),tData[SEHTrajectPeriodeDatumTijdTotEnMet],"&gt;"&amp;($A388+21/24),tData[Langligger01],1)</f>
        <v/>
      </c>
      <c r="Z388" s="20">
        <f>COUNTIFS(tData[SEHTrajectPeriodeDatumTijdVan],"&lt;="&amp;($A388+22/24),tData[SEHTrajectPeriodeDatumTijdTotEnMet],"&gt;"&amp;($A388+22/24),tData[Langligger01],1)</f>
        <v/>
      </c>
      <c r="AA388" s="20">
        <f>COUNTIFS(tData[SEHTrajectPeriodeDatumTijdVan],"&lt;="&amp;($A388+23/24),tData[SEHTrajectPeriodeDatumTijdTotEnMet],"&gt;"&amp;($A388+23/24),tData[Langligger01],1)</f>
        <v/>
      </c>
    </row>
    <row r="389">
      <c r="A389" s="19" t="n">
        <v>45677</v>
      </c>
      <c r="B389" s="15">
        <f>WEEKDAY($A389,2)</f>
        <v/>
      </c>
      <c r="C389" s="15">
        <f>IF(AND($A389&gt;=INT(Instellingen!$B$5),$A389&lt;=INT(Instellingen!$B$6)),1,0)</f>
        <v/>
      </c>
      <c r="D389" s="20">
        <f>COUNTIFS(tData[SEHTrajectPeriodeDatumTijdVan],"&lt;="&amp;($A389+0/24),tData[SEHTrajectPeriodeDatumTijdTotEnMet],"&gt;"&amp;($A389+0/24),tData[Langligger01],1)</f>
        <v/>
      </c>
      <c r="E389" s="20">
        <f>COUNTIFS(tData[SEHTrajectPeriodeDatumTijdVan],"&lt;="&amp;($A389+1/24),tData[SEHTrajectPeriodeDatumTijdTotEnMet],"&gt;"&amp;($A389+1/24),tData[Langligger01],1)</f>
        <v/>
      </c>
      <c r="F389" s="20">
        <f>COUNTIFS(tData[SEHTrajectPeriodeDatumTijdVan],"&lt;="&amp;($A389+2/24),tData[SEHTrajectPeriodeDatumTijdTotEnMet],"&gt;"&amp;($A389+2/24),tData[Langligger01],1)</f>
        <v/>
      </c>
      <c r="G389" s="20">
        <f>COUNTIFS(tData[SEHTrajectPeriodeDatumTijdVan],"&lt;="&amp;($A389+3/24),tData[SEHTrajectPeriodeDatumTijdTotEnMet],"&gt;"&amp;($A389+3/24),tData[Langligger01],1)</f>
        <v/>
      </c>
      <c r="H389" s="20">
        <f>COUNTIFS(tData[SEHTrajectPeriodeDatumTijdVan],"&lt;="&amp;($A389+4/24),tData[SEHTrajectPeriodeDatumTijdTotEnMet],"&gt;"&amp;($A389+4/24),tData[Langligger01],1)</f>
        <v/>
      </c>
      <c r="I389" s="20">
        <f>COUNTIFS(tData[SEHTrajectPeriodeDatumTijdVan],"&lt;="&amp;($A389+5/24),tData[SEHTrajectPeriodeDatumTijdTotEnMet],"&gt;"&amp;($A389+5/24),tData[Langligger01],1)</f>
        <v/>
      </c>
      <c r="J389" s="20">
        <f>COUNTIFS(tData[SEHTrajectPeriodeDatumTijdVan],"&lt;="&amp;($A389+6/24),tData[SEHTrajectPeriodeDatumTijdTotEnMet],"&gt;"&amp;($A389+6/24),tData[Langligger01],1)</f>
        <v/>
      </c>
      <c r="K389" s="20">
        <f>COUNTIFS(tData[SEHTrajectPeriodeDatumTijdVan],"&lt;="&amp;($A389+7/24),tData[SEHTrajectPeriodeDatumTijdTotEnMet],"&gt;"&amp;($A389+7/24),tData[Langligger01],1)</f>
        <v/>
      </c>
      <c r="L389" s="20">
        <f>COUNTIFS(tData[SEHTrajectPeriodeDatumTijdVan],"&lt;="&amp;($A389+8/24),tData[SEHTrajectPeriodeDatumTijdTotEnMet],"&gt;"&amp;($A389+8/24),tData[Langligger01],1)</f>
        <v/>
      </c>
      <c r="M389" s="20">
        <f>COUNTIFS(tData[SEHTrajectPeriodeDatumTijdVan],"&lt;="&amp;($A389+9/24),tData[SEHTrajectPeriodeDatumTijdTotEnMet],"&gt;"&amp;($A389+9/24),tData[Langligger01],1)</f>
        <v/>
      </c>
      <c r="N389" s="20">
        <f>COUNTIFS(tData[SEHTrajectPeriodeDatumTijdVan],"&lt;="&amp;($A389+10/24),tData[SEHTrajectPeriodeDatumTijdTotEnMet],"&gt;"&amp;($A389+10/24),tData[Langligger01],1)</f>
        <v/>
      </c>
      <c r="O389" s="20">
        <f>COUNTIFS(tData[SEHTrajectPeriodeDatumTijdVan],"&lt;="&amp;($A389+11/24),tData[SEHTrajectPeriodeDatumTijdTotEnMet],"&gt;"&amp;($A389+11/24),tData[Langligger01],1)</f>
        <v/>
      </c>
      <c r="P389" s="20">
        <f>COUNTIFS(tData[SEHTrajectPeriodeDatumTijdVan],"&lt;="&amp;($A389+12/24),tData[SEHTrajectPeriodeDatumTijdTotEnMet],"&gt;"&amp;($A389+12/24),tData[Langligger01],1)</f>
        <v/>
      </c>
      <c r="Q389" s="20">
        <f>COUNTIFS(tData[SEHTrajectPeriodeDatumTijdVan],"&lt;="&amp;($A389+13/24),tData[SEHTrajectPeriodeDatumTijdTotEnMet],"&gt;"&amp;($A389+13/24),tData[Langligger01],1)</f>
        <v/>
      </c>
      <c r="R389" s="20">
        <f>COUNTIFS(tData[SEHTrajectPeriodeDatumTijdVan],"&lt;="&amp;($A389+14/24),tData[SEHTrajectPeriodeDatumTijdTotEnMet],"&gt;"&amp;($A389+14/24),tData[Langligger01],1)</f>
        <v/>
      </c>
      <c r="S389" s="20">
        <f>COUNTIFS(tData[SEHTrajectPeriodeDatumTijdVan],"&lt;="&amp;($A389+15/24),tData[SEHTrajectPeriodeDatumTijdTotEnMet],"&gt;"&amp;($A389+15/24),tData[Langligger01],1)</f>
        <v/>
      </c>
      <c r="T389" s="20">
        <f>COUNTIFS(tData[SEHTrajectPeriodeDatumTijdVan],"&lt;="&amp;($A389+16/24),tData[SEHTrajectPeriodeDatumTijdTotEnMet],"&gt;"&amp;($A389+16/24),tData[Langligger01],1)</f>
        <v/>
      </c>
      <c r="U389" s="20">
        <f>COUNTIFS(tData[SEHTrajectPeriodeDatumTijdVan],"&lt;="&amp;($A389+17/24),tData[SEHTrajectPeriodeDatumTijdTotEnMet],"&gt;"&amp;($A389+17/24),tData[Langligger01],1)</f>
        <v/>
      </c>
      <c r="V389" s="20">
        <f>COUNTIFS(tData[SEHTrajectPeriodeDatumTijdVan],"&lt;="&amp;($A389+18/24),tData[SEHTrajectPeriodeDatumTijdTotEnMet],"&gt;"&amp;($A389+18/24),tData[Langligger01],1)</f>
        <v/>
      </c>
      <c r="W389" s="20">
        <f>COUNTIFS(tData[SEHTrajectPeriodeDatumTijdVan],"&lt;="&amp;($A389+19/24),tData[SEHTrajectPeriodeDatumTijdTotEnMet],"&gt;"&amp;($A389+19/24),tData[Langligger01],1)</f>
        <v/>
      </c>
      <c r="X389" s="20">
        <f>COUNTIFS(tData[SEHTrajectPeriodeDatumTijdVan],"&lt;="&amp;($A389+20/24),tData[SEHTrajectPeriodeDatumTijdTotEnMet],"&gt;"&amp;($A389+20/24),tData[Langligger01],1)</f>
        <v/>
      </c>
      <c r="Y389" s="20">
        <f>COUNTIFS(tData[SEHTrajectPeriodeDatumTijdVan],"&lt;="&amp;($A389+21/24),tData[SEHTrajectPeriodeDatumTijdTotEnMet],"&gt;"&amp;($A389+21/24),tData[Langligger01],1)</f>
        <v/>
      </c>
      <c r="Z389" s="20">
        <f>COUNTIFS(tData[SEHTrajectPeriodeDatumTijdVan],"&lt;="&amp;($A389+22/24),tData[SEHTrajectPeriodeDatumTijdTotEnMet],"&gt;"&amp;($A389+22/24),tData[Langligger01],1)</f>
        <v/>
      </c>
      <c r="AA389" s="20">
        <f>COUNTIFS(tData[SEHTrajectPeriodeDatumTijdVan],"&lt;="&amp;($A389+23/24),tData[SEHTrajectPeriodeDatumTijdTotEnMet],"&gt;"&amp;($A389+23/24),tData[Langligger01],1)</f>
        <v/>
      </c>
    </row>
    <row r="390">
      <c r="A390" s="19" t="n">
        <v>45678</v>
      </c>
      <c r="B390" s="15">
        <f>WEEKDAY($A390,2)</f>
        <v/>
      </c>
      <c r="C390" s="15">
        <f>IF(AND($A390&gt;=INT(Instellingen!$B$5),$A390&lt;=INT(Instellingen!$B$6)),1,0)</f>
        <v/>
      </c>
      <c r="D390" s="20">
        <f>COUNTIFS(tData[SEHTrajectPeriodeDatumTijdVan],"&lt;="&amp;($A390+0/24),tData[SEHTrajectPeriodeDatumTijdTotEnMet],"&gt;"&amp;($A390+0/24),tData[Langligger01],1)</f>
        <v/>
      </c>
      <c r="E390" s="20">
        <f>COUNTIFS(tData[SEHTrajectPeriodeDatumTijdVan],"&lt;="&amp;($A390+1/24),tData[SEHTrajectPeriodeDatumTijdTotEnMet],"&gt;"&amp;($A390+1/24),tData[Langligger01],1)</f>
        <v/>
      </c>
      <c r="F390" s="20">
        <f>COUNTIFS(tData[SEHTrajectPeriodeDatumTijdVan],"&lt;="&amp;($A390+2/24),tData[SEHTrajectPeriodeDatumTijdTotEnMet],"&gt;"&amp;($A390+2/24),tData[Langligger01],1)</f>
        <v/>
      </c>
      <c r="G390" s="20">
        <f>COUNTIFS(tData[SEHTrajectPeriodeDatumTijdVan],"&lt;="&amp;($A390+3/24),tData[SEHTrajectPeriodeDatumTijdTotEnMet],"&gt;"&amp;($A390+3/24),tData[Langligger01],1)</f>
        <v/>
      </c>
      <c r="H390" s="20">
        <f>COUNTIFS(tData[SEHTrajectPeriodeDatumTijdVan],"&lt;="&amp;($A390+4/24),tData[SEHTrajectPeriodeDatumTijdTotEnMet],"&gt;"&amp;($A390+4/24),tData[Langligger01],1)</f>
        <v/>
      </c>
      <c r="I390" s="20">
        <f>COUNTIFS(tData[SEHTrajectPeriodeDatumTijdVan],"&lt;="&amp;($A390+5/24),tData[SEHTrajectPeriodeDatumTijdTotEnMet],"&gt;"&amp;($A390+5/24),tData[Langligger01],1)</f>
        <v/>
      </c>
      <c r="J390" s="20">
        <f>COUNTIFS(tData[SEHTrajectPeriodeDatumTijdVan],"&lt;="&amp;($A390+6/24),tData[SEHTrajectPeriodeDatumTijdTotEnMet],"&gt;"&amp;($A390+6/24),tData[Langligger01],1)</f>
        <v/>
      </c>
      <c r="K390" s="20">
        <f>COUNTIFS(tData[SEHTrajectPeriodeDatumTijdVan],"&lt;="&amp;($A390+7/24),tData[SEHTrajectPeriodeDatumTijdTotEnMet],"&gt;"&amp;($A390+7/24),tData[Langligger01],1)</f>
        <v/>
      </c>
      <c r="L390" s="20">
        <f>COUNTIFS(tData[SEHTrajectPeriodeDatumTijdVan],"&lt;="&amp;($A390+8/24),tData[SEHTrajectPeriodeDatumTijdTotEnMet],"&gt;"&amp;($A390+8/24),tData[Langligger01],1)</f>
        <v/>
      </c>
      <c r="M390" s="20">
        <f>COUNTIFS(tData[SEHTrajectPeriodeDatumTijdVan],"&lt;="&amp;($A390+9/24),tData[SEHTrajectPeriodeDatumTijdTotEnMet],"&gt;"&amp;($A390+9/24),tData[Langligger01],1)</f>
        <v/>
      </c>
      <c r="N390" s="20">
        <f>COUNTIFS(tData[SEHTrajectPeriodeDatumTijdVan],"&lt;="&amp;($A390+10/24),tData[SEHTrajectPeriodeDatumTijdTotEnMet],"&gt;"&amp;($A390+10/24),tData[Langligger01],1)</f>
        <v/>
      </c>
      <c r="O390" s="20">
        <f>COUNTIFS(tData[SEHTrajectPeriodeDatumTijdVan],"&lt;="&amp;($A390+11/24),tData[SEHTrajectPeriodeDatumTijdTotEnMet],"&gt;"&amp;($A390+11/24),tData[Langligger01],1)</f>
        <v/>
      </c>
      <c r="P390" s="20">
        <f>COUNTIFS(tData[SEHTrajectPeriodeDatumTijdVan],"&lt;="&amp;($A390+12/24),tData[SEHTrajectPeriodeDatumTijdTotEnMet],"&gt;"&amp;($A390+12/24),tData[Langligger01],1)</f>
        <v/>
      </c>
      <c r="Q390" s="20">
        <f>COUNTIFS(tData[SEHTrajectPeriodeDatumTijdVan],"&lt;="&amp;($A390+13/24),tData[SEHTrajectPeriodeDatumTijdTotEnMet],"&gt;"&amp;($A390+13/24),tData[Langligger01],1)</f>
        <v/>
      </c>
      <c r="R390" s="20">
        <f>COUNTIFS(tData[SEHTrajectPeriodeDatumTijdVan],"&lt;="&amp;($A390+14/24),tData[SEHTrajectPeriodeDatumTijdTotEnMet],"&gt;"&amp;($A390+14/24),tData[Langligger01],1)</f>
        <v/>
      </c>
      <c r="S390" s="20">
        <f>COUNTIFS(tData[SEHTrajectPeriodeDatumTijdVan],"&lt;="&amp;($A390+15/24),tData[SEHTrajectPeriodeDatumTijdTotEnMet],"&gt;"&amp;($A390+15/24),tData[Langligger01],1)</f>
        <v/>
      </c>
      <c r="T390" s="20">
        <f>COUNTIFS(tData[SEHTrajectPeriodeDatumTijdVan],"&lt;="&amp;($A390+16/24),tData[SEHTrajectPeriodeDatumTijdTotEnMet],"&gt;"&amp;($A390+16/24),tData[Langligger01],1)</f>
        <v/>
      </c>
      <c r="U390" s="20">
        <f>COUNTIFS(tData[SEHTrajectPeriodeDatumTijdVan],"&lt;="&amp;($A390+17/24),tData[SEHTrajectPeriodeDatumTijdTotEnMet],"&gt;"&amp;($A390+17/24),tData[Langligger01],1)</f>
        <v/>
      </c>
      <c r="V390" s="20">
        <f>COUNTIFS(tData[SEHTrajectPeriodeDatumTijdVan],"&lt;="&amp;($A390+18/24),tData[SEHTrajectPeriodeDatumTijdTotEnMet],"&gt;"&amp;($A390+18/24),tData[Langligger01],1)</f>
        <v/>
      </c>
      <c r="W390" s="20">
        <f>COUNTIFS(tData[SEHTrajectPeriodeDatumTijdVan],"&lt;="&amp;($A390+19/24),tData[SEHTrajectPeriodeDatumTijdTotEnMet],"&gt;"&amp;($A390+19/24),tData[Langligger01],1)</f>
        <v/>
      </c>
      <c r="X390" s="20">
        <f>COUNTIFS(tData[SEHTrajectPeriodeDatumTijdVan],"&lt;="&amp;($A390+20/24),tData[SEHTrajectPeriodeDatumTijdTotEnMet],"&gt;"&amp;($A390+20/24),tData[Langligger01],1)</f>
        <v/>
      </c>
      <c r="Y390" s="20">
        <f>COUNTIFS(tData[SEHTrajectPeriodeDatumTijdVan],"&lt;="&amp;($A390+21/24),tData[SEHTrajectPeriodeDatumTijdTotEnMet],"&gt;"&amp;($A390+21/24),tData[Langligger01],1)</f>
        <v/>
      </c>
      <c r="Z390" s="20">
        <f>COUNTIFS(tData[SEHTrajectPeriodeDatumTijdVan],"&lt;="&amp;($A390+22/24),tData[SEHTrajectPeriodeDatumTijdTotEnMet],"&gt;"&amp;($A390+22/24),tData[Langligger01],1)</f>
        <v/>
      </c>
      <c r="AA390" s="20">
        <f>COUNTIFS(tData[SEHTrajectPeriodeDatumTijdVan],"&lt;="&amp;($A390+23/24),tData[SEHTrajectPeriodeDatumTijdTotEnMet],"&gt;"&amp;($A390+23/24),tData[Langligger01],1)</f>
        <v/>
      </c>
    </row>
    <row r="391">
      <c r="A391" s="19" t="n">
        <v>45679</v>
      </c>
      <c r="B391" s="15">
        <f>WEEKDAY($A391,2)</f>
        <v/>
      </c>
      <c r="C391" s="15">
        <f>IF(AND($A391&gt;=INT(Instellingen!$B$5),$A391&lt;=INT(Instellingen!$B$6)),1,0)</f>
        <v/>
      </c>
      <c r="D391" s="20">
        <f>COUNTIFS(tData[SEHTrajectPeriodeDatumTijdVan],"&lt;="&amp;($A391+0/24),tData[SEHTrajectPeriodeDatumTijdTotEnMet],"&gt;"&amp;($A391+0/24),tData[Langligger01],1)</f>
        <v/>
      </c>
      <c r="E391" s="20">
        <f>COUNTIFS(tData[SEHTrajectPeriodeDatumTijdVan],"&lt;="&amp;($A391+1/24),tData[SEHTrajectPeriodeDatumTijdTotEnMet],"&gt;"&amp;($A391+1/24),tData[Langligger01],1)</f>
        <v/>
      </c>
      <c r="F391" s="20">
        <f>COUNTIFS(tData[SEHTrajectPeriodeDatumTijdVan],"&lt;="&amp;($A391+2/24),tData[SEHTrajectPeriodeDatumTijdTotEnMet],"&gt;"&amp;($A391+2/24),tData[Langligger01],1)</f>
        <v/>
      </c>
      <c r="G391" s="20">
        <f>COUNTIFS(tData[SEHTrajectPeriodeDatumTijdVan],"&lt;="&amp;($A391+3/24),tData[SEHTrajectPeriodeDatumTijdTotEnMet],"&gt;"&amp;($A391+3/24),tData[Langligger01],1)</f>
        <v/>
      </c>
      <c r="H391" s="20">
        <f>COUNTIFS(tData[SEHTrajectPeriodeDatumTijdVan],"&lt;="&amp;($A391+4/24),tData[SEHTrajectPeriodeDatumTijdTotEnMet],"&gt;"&amp;($A391+4/24),tData[Langligger01],1)</f>
        <v/>
      </c>
      <c r="I391" s="20">
        <f>COUNTIFS(tData[SEHTrajectPeriodeDatumTijdVan],"&lt;="&amp;($A391+5/24),tData[SEHTrajectPeriodeDatumTijdTotEnMet],"&gt;"&amp;($A391+5/24),tData[Langligger01],1)</f>
        <v/>
      </c>
      <c r="J391" s="20">
        <f>COUNTIFS(tData[SEHTrajectPeriodeDatumTijdVan],"&lt;="&amp;($A391+6/24),tData[SEHTrajectPeriodeDatumTijdTotEnMet],"&gt;"&amp;($A391+6/24),tData[Langligger01],1)</f>
        <v/>
      </c>
      <c r="K391" s="20">
        <f>COUNTIFS(tData[SEHTrajectPeriodeDatumTijdVan],"&lt;="&amp;($A391+7/24),tData[SEHTrajectPeriodeDatumTijdTotEnMet],"&gt;"&amp;($A391+7/24),tData[Langligger01],1)</f>
        <v/>
      </c>
      <c r="L391" s="20">
        <f>COUNTIFS(tData[SEHTrajectPeriodeDatumTijdVan],"&lt;="&amp;($A391+8/24),tData[SEHTrajectPeriodeDatumTijdTotEnMet],"&gt;"&amp;($A391+8/24),tData[Langligger01],1)</f>
        <v/>
      </c>
      <c r="M391" s="20">
        <f>COUNTIFS(tData[SEHTrajectPeriodeDatumTijdVan],"&lt;="&amp;($A391+9/24),tData[SEHTrajectPeriodeDatumTijdTotEnMet],"&gt;"&amp;($A391+9/24),tData[Langligger01],1)</f>
        <v/>
      </c>
      <c r="N391" s="20">
        <f>COUNTIFS(tData[SEHTrajectPeriodeDatumTijdVan],"&lt;="&amp;($A391+10/24),tData[SEHTrajectPeriodeDatumTijdTotEnMet],"&gt;"&amp;($A391+10/24),tData[Langligger01],1)</f>
        <v/>
      </c>
      <c r="O391" s="20">
        <f>COUNTIFS(tData[SEHTrajectPeriodeDatumTijdVan],"&lt;="&amp;($A391+11/24),tData[SEHTrajectPeriodeDatumTijdTotEnMet],"&gt;"&amp;($A391+11/24),tData[Langligger01],1)</f>
        <v/>
      </c>
      <c r="P391" s="20">
        <f>COUNTIFS(tData[SEHTrajectPeriodeDatumTijdVan],"&lt;="&amp;($A391+12/24),tData[SEHTrajectPeriodeDatumTijdTotEnMet],"&gt;"&amp;($A391+12/24),tData[Langligger01],1)</f>
        <v/>
      </c>
      <c r="Q391" s="20">
        <f>COUNTIFS(tData[SEHTrajectPeriodeDatumTijdVan],"&lt;="&amp;($A391+13/24),tData[SEHTrajectPeriodeDatumTijdTotEnMet],"&gt;"&amp;($A391+13/24),tData[Langligger01],1)</f>
        <v/>
      </c>
      <c r="R391" s="20">
        <f>COUNTIFS(tData[SEHTrajectPeriodeDatumTijdVan],"&lt;="&amp;($A391+14/24),tData[SEHTrajectPeriodeDatumTijdTotEnMet],"&gt;"&amp;($A391+14/24),tData[Langligger01],1)</f>
        <v/>
      </c>
      <c r="S391" s="20">
        <f>COUNTIFS(tData[SEHTrajectPeriodeDatumTijdVan],"&lt;="&amp;($A391+15/24),tData[SEHTrajectPeriodeDatumTijdTotEnMet],"&gt;"&amp;($A391+15/24),tData[Langligger01],1)</f>
        <v/>
      </c>
      <c r="T391" s="20">
        <f>COUNTIFS(tData[SEHTrajectPeriodeDatumTijdVan],"&lt;="&amp;($A391+16/24),tData[SEHTrajectPeriodeDatumTijdTotEnMet],"&gt;"&amp;($A391+16/24),tData[Langligger01],1)</f>
        <v/>
      </c>
      <c r="U391" s="20">
        <f>COUNTIFS(tData[SEHTrajectPeriodeDatumTijdVan],"&lt;="&amp;($A391+17/24),tData[SEHTrajectPeriodeDatumTijdTotEnMet],"&gt;"&amp;($A391+17/24),tData[Langligger01],1)</f>
        <v/>
      </c>
      <c r="V391" s="20">
        <f>COUNTIFS(tData[SEHTrajectPeriodeDatumTijdVan],"&lt;="&amp;($A391+18/24),tData[SEHTrajectPeriodeDatumTijdTotEnMet],"&gt;"&amp;($A391+18/24),tData[Langligger01],1)</f>
        <v/>
      </c>
      <c r="W391" s="20">
        <f>COUNTIFS(tData[SEHTrajectPeriodeDatumTijdVan],"&lt;="&amp;($A391+19/24),tData[SEHTrajectPeriodeDatumTijdTotEnMet],"&gt;"&amp;($A391+19/24),tData[Langligger01],1)</f>
        <v/>
      </c>
      <c r="X391" s="20">
        <f>COUNTIFS(tData[SEHTrajectPeriodeDatumTijdVan],"&lt;="&amp;($A391+20/24),tData[SEHTrajectPeriodeDatumTijdTotEnMet],"&gt;"&amp;($A391+20/24),tData[Langligger01],1)</f>
        <v/>
      </c>
      <c r="Y391" s="20">
        <f>COUNTIFS(tData[SEHTrajectPeriodeDatumTijdVan],"&lt;="&amp;($A391+21/24),tData[SEHTrajectPeriodeDatumTijdTotEnMet],"&gt;"&amp;($A391+21/24),tData[Langligger01],1)</f>
        <v/>
      </c>
      <c r="Z391" s="20">
        <f>COUNTIFS(tData[SEHTrajectPeriodeDatumTijdVan],"&lt;="&amp;($A391+22/24),tData[SEHTrajectPeriodeDatumTijdTotEnMet],"&gt;"&amp;($A391+22/24),tData[Langligger01],1)</f>
        <v/>
      </c>
      <c r="AA391" s="20">
        <f>COUNTIFS(tData[SEHTrajectPeriodeDatumTijdVan],"&lt;="&amp;($A391+23/24),tData[SEHTrajectPeriodeDatumTijdTotEnMet],"&gt;"&amp;($A391+23/24),tData[Langligger01],1)</f>
        <v/>
      </c>
    </row>
    <row r="392">
      <c r="A392" s="19" t="n">
        <v>45680</v>
      </c>
      <c r="B392" s="15">
        <f>WEEKDAY($A392,2)</f>
        <v/>
      </c>
      <c r="C392" s="15">
        <f>IF(AND($A392&gt;=INT(Instellingen!$B$5),$A392&lt;=INT(Instellingen!$B$6)),1,0)</f>
        <v/>
      </c>
      <c r="D392" s="20">
        <f>COUNTIFS(tData[SEHTrajectPeriodeDatumTijdVan],"&lt;="&amp;($A392+0/24),tData[SEHTrajectPeriodeDatumTijdTotEnMet],"&gt;"&amp;($A392+0/24),tData[Langligger01],1)</f>
        <v/>
      </c>
      <c r="E392" s="20">
        <f>COUNTIFS(tData[SEHTrajectPeriodeDatumTijdVan],"&lt;="&amp;($A392+1/24),tData[SEHTrajectPeriodeDatumTijdTotEnMet],"&gt;"&amp;($A392+1/24),tData[Langligger01],1)</f>
        <v/>
      </c>
      <c r="F392" s="20">
        <f>COUNTIFS(tData[SEHTrajectPeriodeDatumTijdVan],"&lt;="&amp;($A392+2/24),tData[SEHTrajectPeriodeDatumTijdTotEnMet],"&gt;"&amp;($A392+2/24),tData[Langligger01],1)</f>
        <v/>
      </c>
      <c r="G392" s="20">
        <f>COUNTIFS(tData[SEHTrajectPeriodeDatumTijdVan],"&lt;="&amp;($A392+3/24),tData[SEHTrajectPeriodeDatumTijdTotEnMet],"&gt;"&amp;($A392+3/24),tData[Langligger01],1)</f>
        <v/>
      </c>
      <c r="H392" s="20">
        <f>COUNTIFS(tData[SEHTrajectPeriodeDatumTijdVan],"&lt;="&amp;($A392+4/24),tData[SEHTrajectPeriodeDatumTijdTotEnMet],"&gt;"&amp;($A392+4/24),tData[Langligger01],1)</f>
        <v/>
      </c>
      <c r="I392" s="20">
        <f>COUNTIFS(tData[SEHTrajectPeriodeDatumTijdVan],"&lt;="&amp;($A392+5/24),tData[SEHTrajectPeriodeDatumTijdTotEnMet],"&gt;"&amp;($A392+5/24),tData[Langligger01],1)</f>
        <v/>
      </c>
      <c r="J392" s="20">
        <f>COUNTIFS(tData[SEHTrajectPeriodeDatumTijdVan],"&lt;="&amp;($A392+6/24),tData[SEHTrajectPeriodeDatumTijdTotEnMet],"&gt;"&amp;($A392+6/24),tData[Langligger01],1)</f>
        <v/>
      </c>
      <c r="K392" s="20">
        <f>COUNTIFS(tData[SEHTrajectPeriodeDatumTijdVan],"&lt;="&amp;($A392+7/24),tData[SEHTrajectPeriodeDatumTijdTotEnMet],"&gt;"&amp;($A392+7/24),tData[Langligger01],1)</f>
        <v/>
      </c>
      <c r="L392" s="20">
        <f>COUNTIFS(tData[SEHTrajectPeriodeDatumTijdVan],"&lt;="&amp;($A392+8/24),tData[SEHTrajectPeriodeDatumTijdTotEnMet],"&gt;"&amp;($A392+8/24),tData[Langligger01],1)</f>
        <v/>
      </c>
      <c r="M392" s="20">
        <f>COUNTIFS(tData[SEHTrajectPeriodeDatumTijdVan],"&lt;="&amp;($A392+9/24),tData[SEHTrajectPeriodeDatumTijdTotEnMet],"&gt;"&amp;($A392+9/24),tData[Langligger01],1)</f>
        <v/>
      </c>
      <c r="N392" s="20">
        <f>COUNTIFS(tData[SEHTrajectPeriodeDatumTijdVan],"&lt;="&amp;($A392+10/24),tData[SEHTrajectPeriodeDatumTijdTotEnMet],"&gt;"&amp;($A392+10/24),tData[Langligger01],1)</f>
        <v/>
      </c>
      <c r="O392" s="20">
        <f>COUNTIFS(tData[SEHTrajectPeriodeDatumTijdVan],"&lt;="&amp;($A392+11/24),tData[SEHTrajectPeriodeDatumTijdTotEnMet],"&gt;"&amp;($A392+11/24),tData[Langligger01],1)</f>
        <v/>
      </c>
      <c r="P392" s="20">
        <f>COUNTIFS(tData[SEHTrajectPeriodeDatumTijdVan],"&lt;="&amp;($A392+12/24),tData[SEHTrajectPeriodeDatumTijdTotEnMet],"&gt;"&amp;($A392+12/24),tData[Langligger01],1)</f>
        <v/>
      </c>
      <c r="Q392" s="20">
        <f>COUNTIFS(tData[SEHTrajectPeriodeDatumTijdVan],"&lt;="&amp;($A392+13/24),tData[SEHTrajectPeriodeDatumTijdTotEnMet],"&gt;"&amp;($A392+13/24),tData[Langligger01],1)</f>
        <v/>
      </c>
      <c r="R392" s="20">
        <f>COUNTIFS(tData[SEHTrajectPeriodeDatumTijdVan],"&lt;="&amp;($A392+14/24),tData[SEHTrajectPeriodeDatumTijdTotEnMet],"&gt;"&amp;($A392+14/24),tData[Langligger01],1)</f>
        <v/>
      </c>
      <c r="S392" s="20">
        <f>COUNTIFS(tData[SEHTrajectPeriodeDatumTijdVan],"&lt;="&amp;($A392+15/24),tData[SEHTrajectPeriodeDatumTijdTotEnMet],"&gt;"&amp;($A392+15/24),tData[Langligger01],1)</f>
        <v/>
      </c>
      <c r="T392" s="20">
        <f>COUNTIFS(tData[SEHTrajectPeriodeDatumTijdVan],"&lt;="&amp;($A392+16/24),tData[SEHTrajectPeriodeDatumTijdTotEnMet],"&gt;"&amp;($A392+16/24),tData[Langligger01],1)</f>
        <v/>
      </c>
      <c r="U392" s="20">
        <f>COUNTIFS(tData[SEHTrajectPeriodeDatumTijdVan],"&lt;="&amp;($A392+17/24),tData[SEHTrajectPeriodeDatumTijdTotEnMet],"&gt;"&amp;($A392+17/24),tData[Langligger01],1)</f>
        <v/>
      </c>
      <c r="V392" s="20">
        <f>COUNTIFS(tData[SEHTrajectPeriodeDatumTijdVan],"&lt;="&amp;($A392+18/24),tData[SEHTrajectPeriodeDatumTijdTotEnMet],"&gt;"&amp;($A392+18/24),tData[Langligger01],1)</f>
        <v/>
      </c>
      <c r="W392" s="20">
        <f>COUNTIFS(tData[SEHTrajectPeriodeDatumTijdVan],"&lt;="&amp;($A392+19/24),tData[SEHTrajectPeriodeDatumTijdTotEnMet],"&gt;"&amp;($A392+19/24),tData[Langligger01],1)</f>
        <v/>
      </c>
      <c r="X392" s="20">
        <f>COUNTIFS(tData[SEHTrajectPeriodeDatumTijdVan],"&lt;="&amp;($A392+20/24),tData[SEHTrajectPeriodeDatumTijdTotEnMet],"&gt;"&amp;($A392+20/24),tData[Langligger01],1)</f>
        <v/>
      </c>
      <c r="Y392" s="20">
        <f>COUNTIFS(tData[SEHTrajectPeriodeDatumTijdVan],"&lt;="&amp;($A392+21/24),tData[SEHTrajectPeriodeDatumTijdTotEnMet],"&gt;"&amp;($A392+21/24),tData[Langligger01],1)</f>
        <v/>
      </c>
      <c r="Z392" s="20">
        <f>COUNTIFS(tData[SEHTrajectPeriodeDatumTijdVan],"&lt;="&amp;($A392+22/24),tData[SEHTrajectPeriodeDatumTijdTotEnMet],"&gt;"&amp;($A392+22/24),tData[Langligger01],1)</f>
        <v/>
      </c>
      <c r="AA392" s="20">
        <f>COUNTIFS(tData[SEHTrajectPeriodeDatumTijdVan],"&lt;="&amp;($A392+23/24),tData[SEHTrajectPeriodeDatumTijdTotEnMet],"&gt;"&amp;($A392+23/24),tData[Langligger01],1)</f>
        <v/>
      </c>
    </row>
    <row r="393">
      <c r="A393" s="19" t="n">
        <v>45681</v>
      </c>
      <c r="B393" s="15">
        <f>WEEKDAY($A393,2)</f>
        <v/>
      </c>
      <c r="C393" s="15">
        <f>IF(AND($A393&gt;=INT(Instellingen!$B$5),$A393&lt;=INT(Instellingen!$B$6)),1,0)</f>
        <v/>
      </c>
      <c r="D393" s="20">
        <f>COUNTIFS(tData[SEHTrajectPeriodeDatumTijdVan],"&lt;="&amp;($A393+0/24),tData[SEHTrajectPeriodeDatumTijdTotEnMet],"&gt;"&amp;($A393+0/24),tData[Langligger01],1)</f>
        <v/>
      </c>
      <c r="E393" s="20">
        <f>COUNTIFS(tData[SEHTrajectPeriodeDatumTijdVan],"&lt;="&amp;($A393+1/24),tData[SEHTrajectPeriodeDatumTijdTotEnMet],"&gt;"&amp;($A393+1/24),tData[Langligger01],1)</f>
        <v/>
      </c>
      <c r="F393" s="20">
        <f>COUNTIFS(tData[SEHTrajectPeriodeDatumTijdVan],"&lt;="&amp;($A393+2/24),tData[SEHTrajectPeriodeDatumTijdTotEnMet],"&gt;"&amp;($A393+2/24),tData[Langligger01],1)</f>
        <v/>
      </c>
      <c r="G393" s="20">
        <f>COUNTIFS(tData[SEHTrajectPeriodeDatumTijdVan],"&lt;="&amp;($A393+3/24),tData[SEHTrajectPeriodeDatumTijdTotEnMet],"&gt;"&amp;($A393+3/24),tData[Langligger01],1)</f>
        <v/>
      </c>
      <c r="H393" s="20">
        <f>COUNTIFS(tData[SEHTrajectPeriodeDatumTijdVan],"&lt;="&amp;($A393+4/24),tData[SEHTrajectPeriodeDatumTijdTotEnMet],"&gt;"&amp;($A393+4/24),tData[Langligger01],1)</f>
        <v/>
      </c>
      <c r="I393" s="20">
        <f>COUNTIFS(tData[SEHTrajectPeriodeDatumTijdVan],"&lt;="&amp;($A393+5/24),tData[SEHTrajectPeriodeDatumTijdTotEnMet],"&gt;"&amp;($A393+5/24),tData[Langligger01],1)</f>
        <v/>
      </c>
      <c r="J393" s="20">
        <f>COUNTIFS(tData[SEHTrajectPeriodeDatumTijdVan],"&lt;="&amp;($A393+6/24),tData[SEHTrajectPeriodeDatumTijdTotEnMet],"&gt;"&amp;($A393+6/24),tData[Langligger01],1)</f>
        <v/>
      </c>
      <c r="K393" s="20">
        <f>COUNTIFS(tData[SEHTrajectPeriodeDatumTijdVan],"&lt;="&amp;($A393+7/24),tData[SEHTrajectPeriodeDatumTijdTotEnMet],"&gt;"&amp;($A393+7/24),tData[Langligger01],1)</f>
        <v/>
      </c>
      <c r="L393" s="20">
        <f>COUNTIFS(tData[SEHTrajectPeriodeDatumTijdVan],"&lt;="&amp;($A393+8/24),tData[SEHTrajectPeriodeDatumTijdTotEnMet],"&gt;"&amp;($A393+8/24),tData[Langligger01],1)</f>
        <v/>
      </c>
      <c r="M393" s="20">
        <f>COUNTIFS(tData[SEHTrajectPeriodeDatumTijdVan],"&lt;="&amp;($A393+9/24),tData[SEHTrajectPeriodeDatumTijdTotEnMet],"&gt;"&amp;($A393+9/24),tData[Langligger01],1)</f>
        <v/>
      </c>
      <c r="N393" s="20">
        <f>COUNTIFS(tData[SEHTrajectPeriodeDatumTijdVan],"&lt;="&amp;($A393+10/24),tData[SEHTrajectPeriodeDatumTijdTotEnMet],"&gt;"&amp;($A393+10/24),tData[Langligger01],1)</f>
        <v/>
      </c>
      <c r="O393" s="20">
        <f>COUNTIFS(tData[SEHTrajectPeriodeDatumTijdVan],"&lt;="&amp;($A393+11/24),tData[SEHTrajectPeriodeDatumTijdTotEnMet],"&gt;"&amp;($A393+11/24),tData[Langligger01],1)</f>
        <v/>
      </c>
      <c r="P393" s="20">
        <f>COUNTIFS(tData[SEHTrajectPeriodeDatumTijdVan],"&lt;="&amp;($A393+12/24),tData[SEHTrajectPeriodeDatumTijdTotEnMet],"&gt;"&amp;($A393+12/24),tData[Langligger01],1)</f>
        <v/>
      </c>
      <c r="Q393" s="20">
        <f>COUNTIFS(tData[SEHTrajectPeriodeDatumTijdVan],"&lt;="&amp;($A393+13/24),tData[SEHTrajectPeriodeDatumTijdTotEnMet],"&gt;"&amp;($A393+13/24),tData[Langligger01],1)</f>
        <v/>
      </c>
      <c r="R393" s="20">
        <f>COUNTIFS(tData[SEHTrajectPeriodeDatumTijdVan],"&lt;="&amp;($A393+14/24),tData[SEHTrajectPeriodeDatumTijdTotEnMet],"&gt;"&amp;($A393+14/24),tData[Langligger01],1)</f>
        <v/>
      </c>
      <c r="S393" s="20">
        <f>COUNTIFS(tData[SEHTrajectPeriodeDatumTijdVan],"&lt;="&amp;($A393+15/24),tData[SEHTrajectPeriodeDatumTijdTotEnMet],"&gt;"&amp;($A393+15/24),tData[Langligger01],1)</f>
        <v/>
      </c>
      <c r="T393" s="20">
        <f>COUNTIFS(tData[SEHTrajectPeriodeDatumTijdVan],"&lt;="&amp;($A393+16/24),tData[SEHTrajectPeriodeDatumTijdTotEnMet],"&gt;"&amp;($A393+16/24),tData[Langligger01],1)</f>
        <v/>
      </c>
      <c r="U393" s="20">
        <f>COUNTIFS(tData[SEHTrajectPeriodeDatumTijdVan],"&lt;="&amp;($A393+17/24),tData[SEHTrajectPeriodeDatumTijdTotEnMet],"&gt;"&amp;($A393+17/24),tData[Langligger01],1)</f>
        <v/>
      </c>
      <c r="V393" s="20">
        <f>COUNTIFS(tData[SEHTrajectPeriodeDatumTijdVan],"&lt;="&amp;($A393+18/24),tData[SEHTrajectPeriodeDatumTijdTotEnMet],"&gt;"&amp;($A393+18/24),tData[Langligger01],1)</f>
        <v/>
      </c>
      <c r="W393" s="20">
        <f>COUNTIFS(tData[SEHTrajectPeriodeDatumTijdVan],"&lt;="&amp;($A393+19/24),tData[SEHTrajectPeriodeDatumTijdTotEnMet],"&gt;"&amp;($A393+19/24),tData[Langligger01],1)</f>
        <v/>
      </c>
      <c r="X393" s="20">
        <f>COUNTIFS(tData[SEHTrajectPeriodeDatumTijdVan],"&lt;="&amp;($A393+20/24),tData[SEHTrajectPeriodeDatumTijdTotEnMet],"&gt;"&amp;($A393+20/24),tData[Langligger01],1)</f>
        <v/>
      </c>
      <c r="Y393" s="20">
        <f>COUNTIFS(tData[SEHTrajectPeriodeDatumTijdVan],"&lt;="&amp;($A393+21/24),tData[SEHTrajectPeriodeDatumTijdTotEnMet],"&gt;"&amp;($A393+21/24),tData[Langligger01],1)</f>
        <v/>
      </c>
      <c r="Z393" s="20">
        <f>COUNTIFS(tData[SEHTrajectPeriodeDatumTijdVan],"&lt;="&amp;($A393+22/24),tData[SEHTrajectPeriodeDatumTijdTotEnMet],"&gt;"&amp;($A393+22/24),tData[Langligger01],1)</f>
        <v/>
      </c>
      <c r="AA393" s="20">
        <f>COUNTIFS(tData[SEHTrajectPeriodeDatumTijdVan],"&lt;="&amp;($A393+23/24),tData[SEHTrajectPeriodeDatumTijdTotEnMet],"&gt;"&amp;($A393+23/24),tData[Langligger01],1)</f>
        <v/>
      </c>
    </row>
    <row r="394">
      <c r="A394" s="19" t="n">
        <v>45682</v>
      </c>
      <c r="B394" s="15">
        <f>WEEKDAY($A394,2)</f>
        <v/>
      </c>
      <c r="C394" s="15">
        <f>IF(AND($A394&gt;=INT(Instellingen!$B$5),$A394&lt;=INT(Instellingen!$B$6)),1,0)</f>
        <v/>
      </c>
      <c r="D394" s="20">
        <f>COUNTIFS(tData[SEHTrajectPeriodeDatumTijdVan],"&lt;="&amp;($A394+0/24),tData[SEHTrajectPeriodeDatumTijdTotEnMet],"&gt;"&amp;($A394+0/24),tData[Langligger01],1)</f>
        <v/>
      </c>
      <c r="E394" s="20">
        <f>COUNTIFS(tData[SEHTrajectPeriodeDatumTijdVan],"&lt;="&amp;($A394+1/24),tData[SEHTrajectPeriodeDatumTijdTotEnMet],"&gt;"&amp;($A394+1/24),tData[Langligger01],1)</f>
        <v/>
      </c>
      <c r="F394" s="20">
        <f>COUNTIFS(tData[SEHTrajectPeriodeDatumTijdVan],"&lt;="&amp;($A394+2/24),tData[SEHTrajectPeriodeDatumTijdTotEnMet],"&gt;"&amp;($A394+2/24),tData[Langligger01],1)</f>
        <v/>
      </c>
      <c r="G394" s="20">
        <f>COUNTIFS(tData[SEHTrajectPeriodeDatumTijdVan],"&lt;="&amp;($A394+3/24),tData[SEHTrajectPeriodeDatumTijdTotEnMet],"&gt;"&amp;($A394+3/24),tData[Langligger01],1)</f>
        <v/>
      </c>
      <c r="H394" s="20">
        <f>COUNTIFS(tData[SEHTrajectPeriodeDatumTijdVan],"&lt;="&amp;($A394+4/24),tData[SEHTrajectPeriodeDatumTijdTotEnMet],"&gt;"&amp;($A394+4/24),tData[Langligger01],1)</f>
        <v/>
      </c>
      <c r="I394" s="20">
        <f>COUNTIFS(tData[SEHTrajectPeriodeDatumTijdVan],"&lt;="&amp;($A394+5/24),tData[SEHTrajectPeriodeDatumTijdTotEnMet],"&gt;"&amp;($A394+5/24),tData[Langligger01],1)</f>
        <v/>
      </c>
      <c r="J394" s="20">
        <f>COUNTIFS(tData[SEHTrajectPeriodeDatumTijdVan],"&lt;="&amp;($A394+6/24),tData[SEHTrajectPeriodeDatumTijdTotEnMet],"&gt;"&amp;($A394+6/24),tData[Langligger01],1)</f>
        <v/>
      </c>
      <c r="K394" s="20">
        <f>COUNTIFS(tData[SEHTrajectPeriodeDatumTijdVan],"&lt;="&amp;($A394+7/24),tData[SEHTrajectPeriodeDatumTijdTotEnMet],"&gt;"&amp;($A394+7/24),tData[Langligger01],1)</f>
        <v/>
      </c>
      <c r="L394" s="20">
        <f>COUNTIFS(tData[SEHTrajectPeriodeDatumTijdVan],"&lt;="&amp;($A394+8/24),tData[SEHTrajectPeriodeDatumTijdTotEnMet],"&gt;"&amp;($A394+8/24),tData[Langligger01],1)</f>
        <v/>
      </c>
      <c r="M394" s="20">
        <f>COUNTIFS(tData[SEHTrajectPeriodeDatumTijdVan],"&lt;="&amp;($A394+9/24),tData[SEHTrajectPeriodeDatumTijdTotEnMet],"&gt;"&amp;($A394+9/24),tData[Langligger01],1)</f>
        <v/>
      </c>
      <c r="N394" s="20">
        <f>COUNTIFS(tData[SEHTrajectPeriodeDatumTijdVan],"&lt;="&amp;($A394+10/24),tData[SEHTrajectPeriodeDatumTijdTotEnMet],"&gt;"&amp;($A394+10/24),tData[Langligger01],1)</f>
        <v/>
      </c>
      <c r="O394" s="20">
        <f>COUNTIFS(tData[SEHTrajectPeriodeDatumTijdVan],"&lt;="&amp;($A394+11/24),tData[SEHTrajectPeriodeDatumTijdTotEnMet],"&gt;"&amp;($A394+11/24),tData[Langligger01],1)</f>
        <v/>
      </c>
      <c r="P394" s="20">
        <f>COUNTIFS(tData[SEHTrajectPeriodeDatumTijdVan],"&lt;="&amp;($A394+12/24),tData[SEHTrajectPeriodeDatumTijdTotEnMet],"&gt;"&amp;($A394+12/24),tData[Langligger01],1)</f>
        <v/>
      </c>
      <c r="Q394" s="20">
        <f>COUNTIFS(tData[SEHTrajectPeriodeDatumTijdVan],"&lt;="&amp;($A394+13/24),tData[SEHTrajectPeriodeDatumTijdTotEnMet],"&gt;"&amp;($A394+13/24),tData[Langligger01],1)</f>
        <v/>
      </c>
      <c r="R394" s="20">
        <f>COUNTIFS(tData[SEHTrajectPeriodeDatumTijdVan],"&lt;="&amp;($A394+14/24),tData[SEHTrajectPeriodeDatumTijdTotEnMet],"&gt;"&amp;($A394+14/24),tData[Langligger01],1)</f>
        <v/>
      </c>
      <c r="S394" s="20">
        <f>COUNTIFS(tData[SEHTrajectPeriodeDatumTijdVan],"&lt;="&amp;($A394+15/24),tData[SEHTrajectPeriodeDatumTijdTotEnMet],"&gt;"&amp;($A394+15/24),tData[Langligger01],1)</f>
        <v/>
      </c>
      <c r="T394" s="20">
        <f>COUNTIFS(tData[SEHTrajectPeriodeDatumTijdVan],"&lt;="&amp;($A394+16/24),tData[SEHTrajectPeriodeDatumTijdTotEnMet],"&gt;"&amp;($A394+16/24),tData[Langligger01],1)</f>
        <v/>
      </c>
      <c r="U394" s="20">
        <f>COUNTIFS(tData[SEHTrajectPeriodeDatumTijdVan],"&lt;="&amp;($A394+17/24),tData[SEHTrajectPeriodeDatumTijdTotEnMet],"&gt;"&amp;($A394+17/24),tData[Langligger01],1)</f>
        <v/>
      </c>
      <c r="V394" s="20">
        <f>COUNTIFS(tData[SEHTrajectPeriodeDatumTijdVan],"&lt;="&amp;($A394+18/24),tData[SEHTrajectPeriodeDatumTijdTotEnMet],"&gt;"&amp;($A394+18/24),tData[Langligger01],1)</f>
        <v/>
      </c>
      <c r="W394" s="20">
        <f>COUNTIFS(tData[SEHTrajectPeriodeDatumTijdVan],"&lt;="&amp;($A394+19/24),tData[SEHTrajectPeriodeDatumTijdTotEnMet],"&gt;"&amp;($A394+19/24),tData[Langligger01],1)</f>
        <v/>
      </c>
      <c r="X394" s="20">
        <f>COUNTIFS(tData[SEHTrajectPeriodeDatumTijdVan],"&lt;="&amp;($A394+20/24),tData[SEHTrajectPeriodeDatumTijdTotEnMet],"&gt;"&amp;($A394+20/24),tData[Langligger01],1)</f>
        <v/>
      </c>
      <c r="Y394" s="20">
        <f>COUNTIFS(tData[SEHTrajectPeriodeDatumTijdVan],"&lt;="&amp;($A394+21/24),tData[SEHTrajectPeriodeDatumTijdTotEnMet],"&gt;"&amp;($A394+21/24),tData[Langligger01],1)</f>
        <v/>
      </c>
      <c r="Z394" s="20">
        <f>COUNTIFS(tData[SEHTrajectPeriodeDatumTijdVan],"&lt;="&amp;($A394+22/24),tData[SEHTrajectPeriodeDatumTijdTotEnMet],"&gt;"&amp;($A394+22/24),tData[Langligger01],1)</f>
        <v/>
      </c>
      <c r="AA394" s="20">
        <f>COUNTIFS(tData[SEHTrajectPeriodeDatumTijdVan],"&lt;="&amp;($A394+23/24),tData[SEHTrajectPeriodeDatumTijdTotEnMet],"&gt;"&amp;($A394+23/24),tData[Langligger01],1)</f>
        <v/>
      </c>
    </row>
    <row r="395">
      <c r="A395" s="19" t="n">
        <v>45683</v>
      </c>
      <c r="B395" s="15">
        <f>WEEKDAY($A395,2)</f>
        <v/>
      </c>
      <c r="C395" s="15">
        <f>IF(AND($A395&gt;=INT(Instellingen!$B$5),$A395&lt;=INT(Instellingen!$B$6)),1,0)</f>
        <v/>
      </c>
      <c r="D395" s="20">
        <f>COUNTIFS(tData[SEHTrajectPeriodeDatumTijdVan],"&lt;="&amp;($A395+0/24),tData[SEHTrajectPeriodeDatumTijdTotEnMet],"&gt;"&amp;($A395+0/24),tData[Langligger01],1)</f>
        <v/>
      </c>
      <c r="E395" s="20">
        <f>COUNTIFS(tData[SEHTrajectPeriodeDatumTijdVan],"&lt;="&amp;($A395+1/24),tData[SEHTrajectPeriodeDatumTijdTotEnMet],"&gt;"&amp;($A395+1/24),tData[Langligger01],1)</f>
        <v/>
      </c>
      <c r="F395" s="20">
        <f>COUNTIFS(tData[SEHTrajectPeriodeDatumTijdVan],"&lt;="&amp;($A395+2/24),tData[SEHTrajectPeriodeDatumTijdTotEnMet],"&gt;"&amp;($A395+2/24),tData[Langligger01],1)</f>
        <v/>
      </c>
      <c r="G395" s="20">
        <f>COUNTIFS(tData[SEHTrajectPeriodeDatumTijdVan],"&lt;="&amp;($A395+3/24),tData[SEHTrajectPeriodeDatumTijdTotEnMet],"&gt;"&amp;($A395+3/24),tData[Langligger01],1)</f>
        <v/>
      </c>
      <c r="H395" s="20">
        <f>COUNTIFS(tData[SEHTrajectPeriodeDatumTijdVan],"&lt;="&amp;($A395+4/24),tData[SEHTrajectPeriodeDatumTijdTotEnMet],"&gt;"&amp;($A395+4/24),tData[Langligger01],1)</f>
        <v/>
      </c>
      <c r="I395" s="20">
        <f>COUNTIFS(tData[SEHTrajectPeriodeDatumTijdVan],"&lt;="&amp;($A395+5/24),tData[SEHTrajectPeriodeDatumTijdTotEnMet],"&gt;"&amp;($A395+5/24),tData[Langligger01],1)</f>
        <v/>
      </c>
      <c r="J395" s="20">
        <f>COUNTIFS(tData[SEHTrajectPeriodeDatumTijdVan],"&lt;="&amp;($A395+6/24),tData[SEHTrajectPeriodeDatumTijdTotEnMet],"&gt;"&amp;($A395+6/24),tData[Langligger01],1)</f>
        <v/>
      </c>
      <c r="K395" s="20">
        <f>COUNTIFS(tData[SEHTrajectPeriodeDatumTijdVan],"&lt;="&amp;($A395+7/24),tData[SEHTrajectPeriodeDatumTijdTotEnMet],"&gt;"&amp;($A395+7/24),tData[Langligger01],1)</f>
        <v/>
      </c>
      <c r="L395" s="20">
        <f>COUNTIFS(tData[SEHTrajectPeriodeDatumTijdVan],"&lt;="&amp;($A395+8/24),tData[SEHTrajectPeriodeDatumTijdTotEnMet],"&gt;"&amp;($A395+8/24),tData[Langligger01],1)</f>
        <v/>
      </c>
      <c r="M395" s="20">
        <f>COUNTIFS(tData[SEHTrajectPeriodeDatumTijdVan],"&lt;="&amp;($A395+9/24),tData[SEHTrajectPeriodeDatumTijdTotEnMet],"&gt;"&amp;($A395+9/24),tData[Langligger01],1)</f>
        <v/>
      </c>
      <c r="N395" s="20">
        <f>COUNTIFS(tData[SEHTrajectPeriodeDatumTijdVan],"&lt;="&amp;($A395+10/24),tData[SEHTrajectPeriodeDatumTijdTotEnMet],"&gt;"&amp;($A395+10/24),tData[Langligger01],1)</f>
        <v/>
      </c>
      <c r="O395" s="20">
        <f>COUNTIFS(tData[SEHTrajectPeriodeDatumTijdVan],"&lt;="&amp;($A395+11/24),tData[SEHTrajectPeriodeDatumTijdTotEnMet],"&gt;"&amp;($A395+11/24),tData[Langligger01],1)</f>
        <v/>
      </c>
      <c r="P395" s="20">
        <f>COUNTIFS(tData[SEHTrajectPeriodeDatumTijdVan],"&lt;="&amp;($A395+12/24),tData[SEHTrajectPeriodeDatumTijdTotEnMet],"&gt;"&amp;($A395+12/24),tData[Langligger01],1)</f>
        <v/>
      </c>
      <c r="Q395" s="20">
        <f>COUNTIFS(tData[SEHTrajectPeriodeDatumTijdVan],"&lt;="&amp;($A395+13/24),tData[SEHTrajectPeriodeDatumTijdTotEnMet],"&gt;"&amp;($A395+13/24),tData[Langligger01],1)</f>
        <v/>
      </c>
      <c r="R395" s="20">
        <f>COUNTIFS(tData[SEHTrajectPeriodeDatumTijdVan],"&lt;="&amp;($A395+14/24),tData[SEHTrajectPeriodeDatumTijdTotEnMet],"&gt;"&amp;($A395+14/24),tData[Langligger01],1)</f>
        <v/>
      </c>
      <c r="S395" s="20">
        <f>COUNTIFS(tData[SEHTrajectPeriodeDatumTijdVan],"&lt;="&amp;($A395+15/24),tData[SEHTrajectPeriodeDatumTijdTotEnMet],"&gt;"&amp;($A395+15/24),tData[Langligger01],1)</f>
        <v/>
      </c>
      <c r="T395" s="20">
        <f>COUNTIFS(tData[SEHTrajectPeriodeDatumTijdVan],"&lt;="&amp;($A395+16/24),tData[SEHTrajectPeriodeDatumTijdTotEnMet],"&gt;"&amp;($A395+16/24),tData[Langligger01],1)</f>
        <v/>
      </c>
      <c r="U395" s="20">
        <f>COUNTIFS(tData[SEHTrajectPeriodeDatumTijdVan],"&lt;="&amp;($A395+17/24),tData[SEHTrajectPeriodeDatumTijdTotEnMet],"&gt;"&amp;($A395+17/24),tData[Langligger01],1)</f>
        <v/>
      </c>
      <c r="V395" s="20">
        <f>COUNTIFS(tData[SEHTrajectPeriodeDatumTijdVan],"&lt;="&amp;($A395+18/24),tData[SEHTrajectPeriodeDatumTijdTotEnMet],"&gt;"&amp;($A395+18/24),tData[Langligger01],1)</f>
        <v/>
      </c>
      <c r="W395" s="20">
        <f>COUNTIFS(tData[SEHTrajectPeriodeDatumTijdVan],"&lt;="&amp;($A395+19/24),tData[SEHTrajectPeriodeDatumTijdTotEnMet],"&gt;"&amp;($A395+19/24),tData[Langligger01],1)</f>
        <v/>
      </c>
      <c r="X395" s="20">
        <f>COUNTIFS(tData[SEHTrajectPeriodeDatumTijdVan],"&lt;="&amp;($A395+20/24),tData[SEHTrajectPeriodeDatumTijdTotEnMet],"&gt;"&amp;($A395+20/24),tData[Langligger01],1)</f>
        <v/>
      </c>
      <c r="Y395" s="20">
        <f>COUNTIFS(tData[SEHTrajectPeriodeDatumTijdVan],"&lt;="&amp;($A395+21/24),tData[SEHTrajectPeriodeDatumTijdTotEnMet],"&gt;"&amp;($A395+21/24),tData[Langligger01],1)</f>
        <v/>
      </c>
      <c r="Z395" s="20">
        <f>COUNTIFS(tData[SEHTrajectPeriodeDatumTijdVan],"&lt;="&amp;($A395+22/24),tData[SEHTrajectPeriodeDatumTijdTotEnMet],"&gt;"&amp;($A395+22/24),tData[Langligger01],1)</f>
        <v/>
      </c>
      <c r="AA395" s="20">
        <f>COUNTIFS(tData[SEHTrajectPeriodeDatumTijdVan],"&lt;="&amp;($A395+23/24),tData[SEHTrajectPeriodeDatumTijdTotEnMet],"&gt;"&amp;($A395+23/24),tData[Langligger01],1)</f>
        <v/>
      </c>
    </row>
    <row r="396">
      <c r="A396" s="19" t="n">
        <v>45684</v>
      </c>
      <c r="B396" s="15">
        <f>WEEKDAY($A396,2)</f>
        <v/>
      </c>
      <c r="C396" s="15">
        <f>IF(AND($A396&gt;=INT(Instellingen!$B$5),$A396&lt;=INT(Instellingen!$B$6)),1,0)</f>
        <v/>
      </c>
      <c r="D396" s="20">
        <f>COUNTIFS(tData[SEHTrajectPeriodeDatumTijdVan],"&lt;="&amp;($A396+0/24),tData[SEHTrajectPeriodeDatumTijdTotEnMet],"&gt;"&amp;($A396+0/24),tData[Langligger01],1)</f>
        <v/>
      </c>
      <c r="E396" s="20">
        <f>COUNTIFS(tData[SEHTrajectPeriodeDatumTijdVan],"&lt;="&amp;($A396+1/24),tData[SEHTrajectPeriodeDatumTijdTotEnMet],"&gt;"&amp;($A396+1/24),tData[Langligger01],1)</f>
        <v/>
      </c>
      <c r="F396" s="20">
        <f>COUNTIFS(tData[SEHTrajectPeriodeDatumTijdVan],"&lt;="&amp;($A396+2/24),tData[SEHTrajectPeriodeDatumTijdTotEnMet],"&gt;"&amp;($A396+2/24),tData[Langligger01],1)</f>
        <v/>
      </c>
      <c r="G396" s="20">
        <f>COUNTIFS(tData[SEHTrajectPeriodeDatumTijdVan],"&lt;="&amp;($A396+3/24),tData[SEHTrajectPeriodeDatumTijdTotEnMet],"&gt;"&amp;($A396+3/24),tData[Langligger01],1)</f>
        <v/>
      </c>
      <c r="H396" s="20">
        <f>COUNTIFS(tData[SEHTrajectPeriodeDatumTijdVan],"&lt;="&amp;($A396+4/24),tData[SEHTrajectPeriodeDatumTijdTotEnMet],"&gt;"&amp;($A396+4/24),tData[Langligger01],1)</f>
        <v/>
      </c>
      <c r="I396" s="20">
        <f>COUNTIFS(tData[SEHTrajectPeriodeDatumTijdVan],"&lt;="&amp;($A396+5/24),tData[SEHTrajectPeriodeDatumTijdTotEnMet],"&gt;"&amp;($A396+5/24),tData[Langligger01],1)</f>
        <v/>
      </c>
      <c r="J396" s="20">
        <f>COUNTIFS(tData[SEHTrajectPeriodeDatumTijdVan],"&lt;="&amp;($A396+6/24),tData[SEHTrajectPeriodeDatumTijdTotEnMet],"&gt;"&amp;($A396+6/24),tData[Langligger01],1)</f>
        <v/>
      </c>
      <c r="K396" s="20">
        <f>COUNTIFS(tData[SEHTrajectPeriodeDatumTijdVan],"&lt;="&amp;($A396+7/24),tData[SEHTrajectPeriodeDatumTijdTotEnMet],"&gt;"&amp;($A396+7/24),tData[Langligger01],1)</f>
        <v/>
      </c>
      <c r="L396" s="20">
        <f>COUNTIFS(tData[SEHTrajectPeriodeDatumTijdVan],"&lt;="&amp;($A396+8/24),tData[SEHTrajectPeriodeDatumTijdTotEnMet],"&gt;"&amp;($A396+8/24),tData[Langligger01],1)</f>
        <v/>
      </c>
      <c r="M396" s="20">
        <f>COUNTIFS(tData[SEHTrajectPeriodeDatumTijdVan],"&lt;="&amp;($A396+9/24),tData[SEHTrajectPeriodeDatumTijdTotEnMet],"&gt;"&amp;($A396+9/24),tData[Langligger01],1)</f>
        <v/>
      </c>
      <c r="N396" s="20">
        <f>COUNTIFS(tData[SEHTrajectPeriodeDatumTijdVan],"&lt;="&amp;($A396+10/24),tData[SEHTrajectPeriodeDatumTijdTotEnMet],"&gt;"&amp;($A396+10/24),tData[Langligger01],1)</f>
        <v/>
      </c>
      <c r="O396" s="20">
        <f>COUNTIFS(tData[SEHTrajectPeriodeDatumTijdVan],"&lt;="&amp;($A396+11/24),tData[SEHTrajectPeriodeDatumTijdTotEnMet],"&gt;"&amp;($A396+11/24),tData[Langligger01],1)</f>
        <v/>
      </c>
      <c r="P396" s="20">
        <f>COUNTIFS(tData[SEHTrajectPeriodeDatumTijdVan],"&lt;="&amp;($A396+12/24),tData[SEHTrajectPeriodeDatumTijdTotEnMet],"&gt;"&amp;($A396+12/24),tData[Langligger01],1)</f>
        <v/>
      </c>
      <c r="Q396" s="20">
        <f>COUNTIFS(tData[SEHTrajectPeriodeDatumTijdVan],"&lt;="&amp;($A396+13/24),tData[SEHTrajectPeriodeDatumTijdTotEnMet],"&gt;"&amp;($A396+13/24),tData[Langligger01],1)</f>
        <v/>
      </c>
      <c r="R396" s="20">
        <f>COUNTIFS(tData[SEHTrajectPeriodeDatumTijdVan],"&lt;="&amp;($A396+14/24),tData[SEHTrajectPeriodeDatumTijdTotEnMet],"&gt;"&amp;($A396+14/24),tData[Langligger01],1)</f>
        <v/>
      </c>
      <c r="S396" s="20">
        <f>COUNTIFS(tData[SEHTrajectPeriodeDatumTijdVan],"&lt;="&amp;($A396+15/24),tData[SEHTrajectPeriodeDatumTijdTotEnMet],"&gt;"&amp;($A396+15/24),tData[Langligger01],1)</f>
        <v/>
      </c>
      <c r="T396" s="20">
        <f>COUNTIFS(tData[SEHTrajectPeriodeDatumTijdVan],"&lt;="&amp;($A396+16/24),tData[SEHTrajectPeriodeDatumTijdTotEnMet],"&gt;"&amp;($A396+16/24),tData[Langligger01],1)</f>
        <v/>
      </c>
      <c r="U396" s="20">
        <f>COUNTIFS(tData[SEHTrajectPeriodeDatumTijdVan],"&lt;="&amp;($A396+17/24),tData[SEHTrajectPeriodeDatumTijdTotEnMet],"&gt;"&amp;($A396+17/24),tData[Langligger01],1)</f>
        <v/>
      </c>
      <c r="V396" s="20">
        <f>COUNTIFS(tData[SEHTrajectPeriodeDatumTijdVan],"&lt;="&amp;($A396+18/24),tData[SEHTrajectPeriodeDatumTijdTotEnMet],"&gt;"&amp;($A396+18/24),tData[Langligger01],1)</f>
        <v/>
      </c>
      <c r="W396" s="20">
        <f>COUNTIFS(tData[SEHTrajectPeriodeDatumTijdVan],"&lt;="&amp;($A396+19/24),tData[SEHTrajectPeriodeDatumTijdTotEnMet],"&gt;"&amp;($A396+19/24),tData[Langligger01],1)</f>
        <v/>
      </c>
      <c r="X396" s="20">
        <f>COUNTIFS(tData[SEHTrajectPeriodeDatumTijdVan],"&lt;="&amp;($A396+20/24),tData[SEHTrajectPeriodeDatumTijdTotEnMet],"&gt;"&amp;($A396+20/24),tData[Langligger01],1)</f>
        <v/>
      </c>
      <c r="Y396" s="20">
        <f>COUNTIFS(tData[SEHTrajectPeriodeDatumTijdVan],"&lt;="&amp;($A396+21/24),tData[SEHTrajectPeriodeDatumTijdTotEnMet],"&gt;"&amp;($A396+21/24),tData[Langligger01],1)</f>
        <v/>
      </c>
      <c r="Z396" s="20">
        <f>COUNTIFS(tData[SEHTrajectPeriodeDatumTijdVan],"&lt;="&amp;($A396+22/24),tData[SEHTrajectPeriodeDatumTijdTotEnMet],"&gt;"&amp;($A396+22/24),tData[Langligger01],1)</f>
        <v/>
      </c>
      <c r="AA396" s="20">
        <f>COUNTIFS(tData[SEHTrajectPeriodeDatumTijdVan],"&lt;="&amp;($A396+23/24),tData[SEHTrajectPeriodeDatumTijdTotEnMet],"&gt;"&amp;($A396+23/24),tData[Langligger01],1)</f>
        <v/>
      </c>
    </row>
    <row r="397">
      <c r="A397" s="19" t="n">
        <v>45685</v>
      </c>
      <c r="B397" s="15">
        <f>WEEKDAY($A397,2)</f>
        <v/>
      </c>
      <c r="C397" s="15">
        <f>IF(AND($A397&gt;=INT(Instellingen!$B$5),$A397&lt;=INT(Instellingen!$B$6)),1,0)</f>
        <v/>
      </c>
      <c r="D397" s="20">
        <f>COUNTIFS(tData[SEHTrajectPeriodeDatumTijdVan],"&lt;="&amp;($A397+0/24),tData[SEHTrajectPeriodeDatumTijdTotEnMet],"&gt;"&amp;($A397+0/24),tData[Langligger01],1)</f>
        <v/>
      </c>
      <c r="E397" s="20">
        <f>COUNTIFS(tData[SEHTrajectPeriodeDatumTijdVan],"&lt;="&amp;($A397+1/24),tData[SEHTrajectPeriodeDatumTijdTotEnMet],"&gt;"&amp;($A397+1/24),tData[Langligger01],1)</f>
        <v/>
      </c>
      <c r="F397" s="20">
        <f>COUNTIFS(tData[SEHTrajectPeriodeDatumTijdVan],"&lt;="&amp;($A397+2/24),tData[SEHTrajectPeriodeDatumTijdTotEnMet],"&gt;"&amp;($A397+2/24),tData[Langligger01],1)</f>
        <v/>
      </c>
      <c r="G397" s="20">
        <f>COUNTIFS(tData[SEHTrajectPeriodeDatumTijdVan],"&lt;="&amp;($A397+3/24),tData[SEHTrajectPeriodeDatumTijdTotEnMet],"&gt;"&amp;($A397+3/24),tData[Langligger01],1)</f>
        <v/>
      </c>
      <c r="H397" s="20">
        <f>COUNTIFS(tData[SEHTrajectPeriodeDatumTijdVan],"&lt;="&amp;($A397+4/24),tData[SEHTrajectPeriodeDatumTijdTotEnMet],"&gt;"&amp;($A397+4/24),tData[Langligger01],1)</f>
        <v/>
      </c>
      <c r="I397" s="20">
        <f>COUNTIFS(tData[SEHTrajectPeriodeDatumTijdVan],"&lt;="&amp;($A397+5/24),tData[SEHTrajectPeriodeDatumTijdTotEnMet],"&gt;"&amp;($A397+5/24),tData[Langligger01],1)</f>
        <v/>
      </c>
      <c r="J397" s="20">
        <f>COUNTIFS(tData[SEHTrajectPeriodeDatumTijdVan],"&lt;="&amp;($A397+6/24),tData[SEHTrajectPeriodeDatumTijdTotEnMet],"&gt;"&amp;($A397+6/24),tData[Langligger01],1)</f>
        <v/>
      </c>
      <c r="K397" s="20">
        <f>COUNTIFS(tData[SEHTrajectPeriodeDatumTijdVan],"&lt;="&amp;($A397+7/24),tData[SEHTrajectPeriodeDatumTijdTotEnMet],"&gt;"&amp;($A397+7/24),tData[Langligger01],1)</f>
        <v/>
      </c>
      <c r="L397" s="20">
        <f>COUNTIFS(tData[SEHTrajectPeriodeDatumTijdVan],"&lt;="&amp;($A397+8/24),tData[SEHTrajectPeriodeDatumTijdTotEnMet],"&gt;"&amp;($A397+8/24),tData[Langligger01],1)</f>
        <v/>
      </c>
      <c r="M397" s="20">
        <f>COUNTIFS(tData[SEHTrajectPeriodeDatumTijdVan],"&lt;="&amp;($A397+9/24),tData[SEHTrajectPeriodeDatumTijdTotEnMet],"&gt;"&amp;($A397+9/24),tData[Langligger01],1)</f>
        <v/>
      </c>
      <c r="N397" s="20">
        <f>COUNTIFS(tData[SEHTrajectPeriodeDatumTijdVan],"&lt;="&amp;($A397+10/24),tData[SEHTrajectPeriodeDatumTijdTotEnMet],"&gt;"&amp;($A397+10/24),tData[Langligger01],1)</f>
        <v/>
      </c>
      <c r="O397" s="20">
        <f>COUNTIFS(tData[SEHTrajectPeriodeDatumTijdVan],"&lt;="&amp;($A397+11/24),tData[SEHTrajectPeriodeDatumTijdTotEnMet],"&gt;"&amp;($A397+11/24),tData[Langligger01],1)</f>
        <v/>
      </c>
      <c r="P397" s="20">
        <f>COUNTIFS(tData[SEHTrajectPeriodeDatumTijdVan],"&lt;="&amp;($A397+12/24),tData[SEHTrajectPeriodeDatumTijdTotEnMet],"&gt;"&amp;($A397+12/24),tData[Langligger01],1)</f>
        <v/>
      </c>
      <c r="Q397" s="20">
        <f>COUNTIFS(tData[SEHTrajectPeriodeDatumTijdVan],"&lt;="&amp;($A397+13/24),tData[SEHTrajectPeriodeDatumTijdTotEnMet],"&gt;"&amp;($A397+13/24),tData[Langligger01],1)</f>
        <v/>
      </c>
      <c r="R397" s="20">
        <f>COUNTIFS(tData[SEHTrajectPeriodeDatumTijdVan],"&lt;="&amp;($A397+14/24),tData[SEHTrajectPeriodeDatumTijdTotEnMet],"&gt;"&amp;($A397+14/24),tData[Langligger01],1)</f>
        <v/>
      </c>
      <c r="S397" s="20">
        <f>COUNTIFS(tData[SEHTrajectPeriodeDatumTijdVan],"&lt;="&amp;($A397+15/24),tData[SEHTrajectPeriodeDatumTijdTotEnMet],"&gt;"&amp;($A397+15/24),tData[Langligger01],1)</f>
        <v/>
      </c>
      <c r="T397" s="20">
        <f>COUNTIFS(tData[SEHTrajectPeriodeDatumTijdVan],"&lt;="&amp;($A397+16/24),tData[SEHTrajectPeriodeDatumTijdTotEnMet],"&gt;"&amp;($A397+16/24),tData[Langligger01],1)</f>
        <v/>
      </c>
      <c r="U397" s="20">
        <f>COUNTIFS(tData[SEHTrajectPeriodeDatumTijdVan],"&lt;="&amp;($A397+17/24),tData[SEHTrajectPeriodeDatumTijdTotEnMet],"&gt;"&amp;($A397+17/24),tData[Langligger01],1)</f>
        <v/>
      </c>
      <c r="V397" s="20">
        <f>COUNTIFS(tData[SEHTrajectPeriodeDatumTijdVan],"&lt;="&amp;($A397+18/24),tData[SEHTrajectPeriodeDatumTijdTotEnMet],"&gt;"&amp;($A397+18/24),tData[Langligger01],1)</f>
        <v/>
      </c>
      <c r="W397" s="20">
        <f>COUNTIFS(tData[SEHTrajectPeriodeDatumTijdVan],"&lt;="&amp;($A397+19/24),tData[SEHTrajectPeriodeDatumTijdTotEnMet],"&gt;"&amp;($A397+19/24),tData[Langligger01],1)</f>
        <v/>
      </c>
      <c r="X397" s="20">
        <f>COUNTIFS(tData[SEHTrajectPeriodeDatumTijdVan],"&lt;="&amp;($A397+20/24),tData[SEHTrajectPeriodeDatumTijdTotEnMet],"&gt;"&amp;($A397+20/24),tData[Langligger01],1)</f>
        <v/>
      </c>
      <c r="Y397" s="20">
        <f>COUNTIFS(tData[SEHTrajectPeriodeDatumTijdVan],"&lt;="&amp;($A397+21/24),tData[SEHTrajectPeriodeDatumTijdTotEnMet],"&gt;"&amp;($A397+21/24),tData[Langligger01],1)</f>
        <v/>
      </c>
      <c r="Z397" s="20">
        <f>COUNTIFS(tData[SEHTrajectPeriodeDatumTijdVan],"&lt;="&amp;($A397+22/24),tData[SEHTrajectPeriodeDatumTijdTotEnMet],"&gt;"&amp;($A397+22/24),tData[Langligger01],1)</f>
        <v/>
      </c>
      <c r="AA397" s="20">
        <f>COUNTIFS(tData[SEHTrajectPeriodeDatumTijdVan],"&lt;="&amp;($A397+23/24),tData[SEHTrajectPeriodeDatumTijdTotEnMet],"&gt;"&amp;($A397+23/24),tData[Langligger01],1)</f>
        <v/>
      </c>
    </row>
    <row r="398">
      <c r="A398" s="19" t="n">
        <v>45686</v>
      </c>
      <c r="B398" s="15">
        <f>WEEKDAY($A398,2)</f>
        <v/>
      </c>
      <c r="C398" s="15">
        <f>IF(AND($A398&gt;=INT(Instellingen!$B$5),$A398&lt;=INT(Instellingen!$B$6)),1,0)</f>
        <v/>
      </c>
      <c r="D398" s="20">
        <f>COUNTIFS(tData[SEHTrajectPeriodeDatumTijdVan],"&lt;="&amp;($A398+0/24),tData[SEHTrajectPeriodeDatumTijdTotEnMet],"&gt;"&amp;($A398+0/24),tData[Langligger01],1)</f>
        <v/>
      </c>
      <c r="E398" s="20">
        <f>COUNTIFS(tData[SEHTrajectPeriodeDatumTijdVan],"&lt;="&amp;($A398+1/24),tData[SEHTrajectPeriodeDatumTijdTotEnMet],"&gt;"&amp;($A398+1/24),tData[Langligger01],1)</f>
        <v/>
      </c>
      <c r="F398" s="20">
        <f>COUNTIFS(tData[SEHTrajectPeriodeDatumTijdVan],"&lt;="&amp;($A398+2/24),tData[SEHTrajectPeriodeDatumTijdTotEnMet],"&gt;"&amp;($A398+2/24),tData[Langligger01],1)</f>
        <v/>
      </c>
      <c r="G398" s="20">
        <f>COUNTIFS(tData[SEHTrajectPeriodeDatumTijdVan],"&lt;="&amp;($A398+3/24),tData[SEHTrajectPeriodeDatumTijdTotEnMet],"&gt;"&amp;($A398+3/24),tData[Langligger01],1)</f>
        <v/>
      </c>
      <c r="H398" s="20">
        <f>COUNTIFS(tData[SEHTrajectPeriodeDatumTijdVan],"&lt;="&amp;($A398+4/24),tData[SEHTrajectPeriodeDatumTijdTotEnMet],"&gt;"&amp;($A398+4/24),tData[Langligger01],1)</f>
        <v/>
      </c>
      <c r="I398" s="20">
        <f>COUNTIFS(tData[SEHTrajectPeriodeDatumTijdVan],"&lt;="&amp;($A398+5/24),tData[SEHTrajectPeriodeDatumTijdTotEnMet],"&gt;"&amp;($A398+5/24),tData[Langligger01],1)</f>
        <v/>
      </c>
      <c r="J398" s="20">
        <f>COUNTIFS(tData[SEHTrajectPeriodeDatumTijdVan],"&lt;="&amp;($A398+6/24),tData[SEHTrajectPeriodeDatumTijdTotEnMet],"&gt;"&amp;($A398+6/24),tData[Langligger01],1)</f>
        <v/>
      </c>
      <c r="K398" s="20">
        <f>COUNTIFS(tData[SEHTrajectPeriodeDatumTijdVan],"&lt;="&amp;($A398+7/24),tData[SEHTrajectPeriodeDatumTijdTotEnMet],"&gt;"&amp;($A398+7/24),tData[Langligger01],1)</f>
        <v/>
      </c>
      <c r="L398" s="20">
        <f>COUNTIFS(tData[SEHTrajectPeriodeDatumTijdVan],"&lt;="&amp;($A398+8/24),tData[SEHTrajectPeriodeDatumTijdTotEnMet],"&gt;"&amp;($A398+8/24),tData[Langligger01],1)</f>
        <v/>
      </c>
      <c r="M398" s="20">
        <f>COUNTIFS(tData[SEHTrajectPeriodeDatumTijdVan],"&lt;="&amp;($A398+9/24),tData[SEHTrajectPeriodeDatumTijdTotEnMet],"&gt;"&amp;($A398+9/24),tData[Langligger01],1)</f>
        <v/>
      </c>
      <c r="N398" s="20">
        <f>COUNTIFS(tData[SEHTrajectPeriodeDatumTijdVan],"&lt;="&amp;($A398+10/24),tData[SEHTrajectPeriodeDatumTijdTotEnMet],"&gt;"&amp;($A398+10/24),tData[Langligger01],1)</f>
        <v/>
      </c>
      <c r="O398" s="20">
        <f>COUNTIFS(tData[SEHTrajectPeriodeDatumTijdVan],"&lt;="&amp;($A398+11/24),tData[SEHTrajectPeriodeDatumTijdTotEnMet],"&gt;"&amp;($A398+11/24),tData[Langligger01],1)</f>
        <v/>
      </c>
      <c r="P398" s="20">
        <f>COUNTIFS(tData[SEHTrajectPeriodeDatumTijdVan],"&lt;="&amp;($A398+12/24),tData[SEHTrajectPeriodeDatumTijdTotEnMet],"&gt;"&amp;($A398+12/24),tData[Langligger01],1)</f>
        <v/>
      </c>
      <c r="Q398" s="20">
        <f>COUNTIFS(tData[SEHTrajectPeriodeDatumTijdVan],"&lt;="&amp;($A398+13/24),tData[SEHTrajectPeriodeDatumTijdTotEnMet],"&gt;"&amp;($A398+13/24),tData[Langligger01],1)</f>
        <v/>
      </c>
      <c r="R398" s="20">
        <f>COUNTIFS(tData[SEHTrajectPeriodeDatumTijdVan],"&lt;="&amp;($A398+14/24),tData[SEHTrajectPeriodeDatumTijdTotEnMet],"&gt;"&amp;($A398+14/24),tData[Langligger01],1)</f>
        <v/>
      </c>
      <c r="S398" s="20">
        <f>COUNTIFS(tData[SEHTrajectPeriodeDatumTijdVan],"&lt;="&amp;($A398+15/24),tData[SEHTrajectPeriodeDatumTijdTotEnMet],"&gt;"&amp;($A398+15/24),tData[Langligger01],1)</f>
        <v/>
      </c>
      <c r="T398" s="20">
        <f>COUNTIFS(tData[SEHTrajectPeriodeDatumTijdVan],"&lt;="&amp;($A398+16/24),tData[SEHTrajectPeriodeDatumTijdTotEnMet],"&gt;"&amp;($A398+16/24),tData[Langligger01],1)</f>
        <v/>
      </c>
      <c r="U398" s="20">
        <f>COUNTIFS(tData[SEHTrajectPeriodeDatumTijdVan],"&lt;="&amp;($A398+17/24),tData[SEHTrajectPeriodeDatumTijdTotEnMet],"&gt;"&amp;($A398+17/24),tData[Langligger01],1)</f>
        <v/>
      </c>
      <c r="V398" s="20">
        <f>COUNTIFS(tData[SEHTrajectPeriodeDatumTijdVan],"&lt;="&amp;($A398+18/24),tData[SEHTrajectPeriodeDatumTijdTotEnMet],"&gt;"&amp;($A398+18/24),tData[Langligger01],1)</f>
        <v/>
      </c>
      <c r="W398" s="20">
        <f>COUNTIFS(tData[SEHTrajectPeriodeDatumTijdVan],"&lt;="&amp;($A398+19/24),tData[SEHTrajectPeriodeDatumTijdTotEnMet],"&gt;"&amp;($A398+19/24),tData[Langligger01],1)</f>
        <v/>
      </c>
      <c r="X398" s="20">
        <f>COUNTIFS(tData[SEHTrajectPeriodeDatumTijdVan],"&lt;="&amp;($A398+20/24),tData[SEHTrajectPeriodeDatumTijdTotEnMet],"&gt;"&amp;($A398+20/24),tData[Langligger01],1)</f>
        <v/>
      </c>
      <c r="Y398" s="20">
        <f>COUNTIFS(tData[SEHTrajectPeriodeDatumTijdVan],"&lt;="&amp;($A398+21/24),tData[SEHTrajectPeriodeDatumTijdTotEnMet],"&gt;"&amp;($A398+21/24),tData[Langligger01],1)</f>
        <v/>
      </c>
      <c r="Z398" s="20">
        <f>COUNTIFS(tData[SEHTrajectPeriodeDatumTijdVan],"&lt;="&amp;($A398+22/24),tData[SEHTrajectPeriodeDatumTijdTotEnMet],"&gt;"&amp;($A398+22/24),tData[Langligger01],1)</f>
        <v/>
      </c>
      <c r="AA398" s="20">
        <f>COUNTIFS(tData[SEHTrajectPeriodeDatumTijdVan],"&lt;="&amp;($A398+23/24),tData[SEHTrajectPeriodeDatumTijdTotEnMet],"&gt;"&amp;($A398+23/24),tData[Langligger01],1)</f>
        <v/>
      </c>
    </row>
    <row r="399">
      <c r="A399" s="19" t="n">
        <v>45687</v>
      </c>
      <c r="B399" s="15">
        <f>WEEKDAY($A399,2)</f>
        <v/>
      </c>
      <c r="C399" s="15">
        <f>IF(AND($A399&gt;=INT(Instellingen!$B$5),$A399&lt;=INT(Instellingen!$B$6)),1,0)</f>
        <v/>
      </c>
      <c r="D399" s="20">
        <f>COUNTIFS(tData[SEHTrajectPeriodeDatumTijdVan],"&lt;="&amp;($A399+0/24),tData[SEHTrajectPeriodeDatumTijdTotEnMet],"&gt;"&amp;($A399+0/24),tData[Langligger01],1)</f>
        <v/>
      </c>
      <c r="E399" s="20">
        <f>COUNTIFS(tData[SEHTrajectPeriodeDatumTijdVan],"&lt;="&amp;($A399+1/24),tData[SEHTrajectPeriodeDatumTijdTotEnMet],"&gt;"&amp;($A399+1/24),tData[Langligger01],1)</f>
        <v/>
      </c>
      <c r="F399" s="20">
        <f>COUNTIFS(tData[SEHTrajectPeriodeDatumTijdVan],"&lt;="&amp;($A399+2/24),tData[SEHTrajectPeriodeDatumTijdTotEnMet],"&gt;"&amp;($A399+2/24),tData[Langligger01],1)</f>
        <v/>
      </c>
      <c r="G399" s="20">
        <f>COUNTIFS(tData[SEHTrajectPeriodeDatumTijdVan],"&lt;="&amp;($A399+3/24),tData[SEHTrajectPeriodeDatumTijdTotEnMet],"&gt;"&amp;($A399+3/24),tData[Langligger01],1)</f>
        <v/>
      </c>
      <c r="H399" s="20">
        <f>COUNTIFS(tData[SEHTrajectPeriodeDatumTijdVan],"&lt;="&amp;($A399+4/24),tData[SEHTrajectPeriodeDatumTijdTotEnMet],"&gt;"&amp;($A399+4/24),tData[Langligger01],1)</f>
        <v/>
      </c>
      <c r="I399" s="20">
        <f>COUNTIFS(tData[SEHTrajectPeriodeDatumTijdVan],"&lt;="&amp;($A399+5/24),tData[SEHTrajectPeriodeDatumTijdTotEnMet],"&gt;"&amp;($A399+5/24),tData[Langligger01],1)</f>
        <v/>
      </c>
      <c r="J399" s="20">
        <f>COUNTIFS(tData[SEHTrajectPeriodeDatumTijdVan],"&lt;="&amp;($A399+6/24),tData[SEHTrajectPeriodeDatumTijdTotEnMet],"&gt;"&amp;($A399+6/24),tData[Langligger01],1)</f>
        <v/>
      </c>
      <c r="K399" s="20">
        <f>COUNTIFS(tData[SEHTrajectPeriodeDatumTijdVan],"&lt;="&amp;($A399+7/24),tData[SEHTrajectPeriodeDatumTijdTotEnMet],"&gt;"&amp;($A399+7/24),tData[Langligger01],1)</f>
        <v/>
      </c>
      <c r="L399" s="20">
        <f>COUNTIFS(tData[SEHTrajectPeriodeDatumTijdVan],"&lt;="&amp;($A399+8/24),tData[SEHTrajectPeriodeDatumTijdTotEnMet],"&gt;"&amp;($A399+8/24),tData[Langligger01],1)</f>
        <v/>
      </c>
      <c r="M399" s="20">
        <f>COUNTIFS(tData[SEHTrajectPeriodeDatumTijdVan],"&lt;="&amp;($A399+9/24),tData[SEHTrajectPeriodeDatumTijdTotEnMet],"&gt;"&amp;($A399+9/24),tData[Langligger01],1)</f>
        <v/>
      </c>
      <c r="N399" s="20">
        <f>COUNTIFS(tData[SEHTrajectPeriodeDatumTijdVan],"&lt;="&amp;($A399+10/24),tData[SEHTrajectPeriodeDatumTijdTotEnMet],"&gt;"&amp;($A399+10/24),tData[Langligger01],1)</f>
        <v/>
      </c>
      <c r="O399" s="20">
        <f>COUNTIFS(tData[SEHTrajectPeriodeDatumTijdVan],"&lt;="&amp;($A399+11/24),tData[SEHTrajectPeriodeDatumTijdTotEnMet],"&gt;"&amp;($A399+11/24),tData[Langligger01],1)</f>
        <v/>
      </c>
      <c r="P399" s="20">
        <f>COUNTIFS(tData[SEHTrajectPeriodeDatumTijdVan],"&lt;="&amp;($A399+12/24),tData[SEHTrajectPeriodeDatumTijdTotEnMet],"&gt;"&amp;($A399+12/24),tData[Langligger01],1)</f>
        <v/>
      </c>
      <c r="Q399" s="20">
        <f>COUNTIFS(tData[SEHTrajectPeriodeDatumTijdVan],"&lt;="&amp;($A399+13/24),tData[SEHTrajectPeriodeDatumTijdTotEnMet],"&gt;"&amp;($A399+13/24),tData[Langligger01],1)</f>
        <v/>
      </c>
      <c r="R399" s="20">
        <f>COUNTIFS(tData[SEHTrajectPeriodeDatumTijdVan],"&lt;="&amp;($A399+14/24),tData[SEHTrajectPeriodeDatumTijdTotEnMet],"&gt;"&amp;($A399+14/24),tData[Langligger01],1)</f>
        <v/>
      </c>
      <c r="S399" s="20">
        <f>COUNTIFS(tData[SEHTrajectPeriodeDatumTijdVan],"&lt;="&amp;($A399+15/24),tData[SEHTrajectPeriodeDatumTijdTotEnMet],"&gt;"&amp;($A399+15/24),tData[Langligger01],1)</f>
        <v/>
      </c>
      <c r="T399" s="20">
        <f>COUNTIFS(tData[SEHTrajectPeriodeDatumTijdVan],"&lt;="&amp;($A399+16/24),tData[SEHTrajectPeriodeDatumTijdTotEnMet],"&gt;"&amp;($A399+16/24),tData[Langligger01],1)</f>
        <v/>
      </c>
      <c r="U399" s="20">
        <f>COUNTIFS(tData[SEHTrajectPeriodeDatumTijdVan],"&lt;="&amp;($A399+17/24),tData[SEHTrajectPeriodeDatumTijdTotEnMet],"&gt;"&amp;($A399+17/24),tData[Langligger01],1)</f>
        <v/>
      </c>
      <c r="V399" s="20">
        <f>COUNTIFS(tData[SEHTrajectPeriodeDatumTijdVan],"&lt;="&amp;($A399+18/24),tData[SEHTrajectPeriodeDatumTijdTotEnMet],"&gt;"&amp;($A399+18/24),tData[Langligger01],1)</f>
        <v/>
      </c>
      <c r="W399" s="20">
        <f>COUNTIFS(tData[SEHTrajectPeriodeDatumTijdVan],"&lt;="&amp;($A399+19/24),tData[SEHTrajectPeriodeDatumTijdTotEnMet],"&gt;"&amp;($A399+19/24),tData[Langligger01],1)</f>
        <v/>
      </c>
      <c r="X399" s="20">
        <f>COUNTIFS(tData[SEHTrajectPeriodeDatumTijdVan],"&lt;="&amp;($A399+20/24),tData[SEHTrajectPeriodeDatumTijdTotEnMet],"&gt;"&amp;($A399+20/24),tData[Langligger01],1)</f>
        <v/>
      </c>
      <c r="Y399" s="20">
        <f>COUNTIFS(tData[SEHTrajectPeriodeDatumTijdVan],"&lt;="&amp;($A399+21/24),tData[SEHTrajectPeriodeDatumTijdTotEnMet],"&gt;"&amp;($A399+21/24),tData[Langligger01],1)</f>
        <v/>
      </c>
      <c r="Z399" s="20">
        <f>COUNTIFS(tData[SEHTrajectPeriodeDatumTijdVan],"&lt;="&amp;($A399+22/24),tData[SEHTrajectPeriodeDatumTijdTotEnMet],"&gt;"&amp;($A399+22/24),tData[Langligger01],1)</f>
        <v/>
      </c>
      <c r="AA399" s="20">
        <f>COUNTIFS(tData[SEHTrajectPeriodeDatumTijdVan],"&lt;="&amp;($A399+23/24),tData[SEHTrajectPeriodeDatumTijdTotEnMet],"&gt;"&amp;($A399+23/24),tData[Langligger01],1)</f>
        <v/>
      </c>
    </row>
    <row r="400">
      <c r="A400" s="19" t="n">
        <v>45688</v>
      </c>
      <c r="B400" s="15">
        <f>WEEKDAY($A400,2)</f>
        <v/>
      </c>
      <c r="C400" s="15">
        <f>IF(AND($A400&gt;=INT(Instellingen!$B$5),$A400&lt;=INT(Instellingen!$B$6)),1,0)</f>
        <v/>
      </c>
      <c r="D400" s="20">
        <f>COUNTIFS(tData[SEHTrajectPeriodeDatumTijdVan],"&lt;="&amp;($A400+0/24),tData[SEHTrajectPeriodeDatumTijdTotEnMet],"&gt;"&amp;($A400+0/24),tData[Langligger01],1)</f>
        <v/>
      </c>
      <c r="E400" s="20">
        <f>COUNTIFS(tData[SEHTrajectPeriodeDatumTijdVan],"&lt;="&amp;($A400+1/24),tData[SEHTrajectPeriodeDatumTijdTotEnMet],"&gt;"&amp;($A400+1/24),tData[Langligger01],1)</f>
        <v/>
      </c>
      <c r="F400" s="20">
        <f>COUNTIFS(tData[SEHTrajectPeriodeDatumTijdVan],"&lt;="&amp;($A400+2/24),tData[SEHTrajectPeriodeDatumTijdTotEnMet],"&gt;"&amp;($A400+2/24),tData[Langligger01],1)</f>
        <v/>
      </c>
      <c r="G400" s="20">
        <f>COUNTIFS(tData[SEHTrajectPeriodeDatumTijdVan],"&lt;="&amp;($A400+3/24),tData[SEHTrajectPeriodeDatumTijdTotEnMet],"&gt;"&amp;($A400+3/24),tData[Langligger01],1)</f>
        <v/>
      </c>
      <c r="H400" s="20">
        <f>COUNTIFS(tData[SEHTrajectPeriodeDatumTijdVan],"&lt;="&amp;($A400+4/24),tData[SEHTrajectPeriodeDatumTijdTotEnMet],"&gt;"&amp;($A400+4/24),tData[Langligger01],1)</f>
        <v/>
      </c>
      <c r="I400" s="20">
        <f>COUNTIFS(tData[SEHTrajectPeriodeDatumTijdVan],"&lt;="&amp;($A400+5/24),tData[SEHTrajectPeriodeDatumTijdTotEnMet],"&gt;"&amp;($A400+5/24),tData[Langligger01],1)</f>
        <v/>
      </c>
      <c r="J400" s="20">
        <f>COUNTIFS(tData[SEHTrajectPeriodeDatumTijdVan],"&lt;="&amp;($A400+6/24),tData[SEHTrajectPeriodeDatumTijdTotEnMet],"&gt;"&amp;($A400+6/24),tData[Langligger01],1)</f>
        <v/>
      </c>
      <c r="K400" s="20">
        <f>COUNTIFS(tData[SEHTrajectPeriodeDatumTijdVan],"&lt;="&amp;($A400+7/24),tData[SEHTrajectPeriodeDatumTijdTotEnMet],"&gt;"&amp;($A400+7/24),tData[Langligger01],1)</f>
        <v/>
      </c>
      <c r="L400" s="20">
        <f>COUNTIFS(tData[SEHTrajectPeriodeDatumTijdVan],"&lt;="&amp;($A400+8/24),tData[SEHTrajectPeriodeDatumTijdTotEnMet],"&gt;"&amp;($A400+8/24),tData[Langligger01],1)</f>
        <v/>
      </c>
      <c r="M400" s="20">
        <f>COUNTIFS(tData[SEHTrajectPeriodeDatumTijdVan],"&lt;="&amp;($A400+9/24),tData[SEHTrajectPeriodeDatumTijdTotEnMet],"&gt;"&amp;($A400+9/24),tData[Langligger01],1)</f>
        <v/>
      </c>
      <c r="N400" s="20">
        <f>COUNTIFS(tData[SEHTrajectPeriodeDatumTijdVan],"&lt;="&amp;($A400+10/24),tData[SEHTrajectPeriodeDatumTijdTotEnMet],"&gt;"&amp;($A400+10/24),tData[Langligger01],1)</f>
        <v/>
      </c>
      <c r="O400" s="20">
        <f>COUNTIFS(tData[SEHTrajectPeriodeDatumTijdVan],"&lt;="&amp;($A400+11/24),tData[SEHTrajectPeriodeDatumTijdTotEnMet],"&gt;"&amp;($A400+11/24),tData[Langligger01],1)</f>
        <v/>
      </c>
      <c r="P400" s="20">
        <f>COUNTIFS(tData[SEHTrajectPeriodeDatumTijdVan],"&lt;="&amp;($A400+12/24),tData[SEHTrajectPeriodeDatumTijdTotEnMet],"&gt;"&amp;($A400+12/24),tData[Langligger01],1)</f>
        <v/>
      </c>
      <c r="Q400" s="20">
        <f>COUNTIFS(tData[SEHTrajectPeriodeDatumTijdVan],"&lt;="&amp;($A400+13/24),tData[SEHTrajectPeriodeDatumTijdTotEnMet],"&gt;"&amp;($A400+13/24),tData[Langligger01],1)</f>
        <v/>
      </c>
      <c r="R400" s="20">
        <f>COUNTIFS(tData[SEHTrajectPeriodeDatumTijdVan],"&lt;="&amp;($A400+14/24),tData[SEHTrajectPeriodeDatumTijdTotEnMet],"&gt;"&amp;($A400+14/24),tData[Langligger01],1)</f>
        <v/>
      </c>
      <c r="S400" s="20">
        <f>COUNTIFS(tData[SEHTrajectPeriodeDatumTijdVan],"&lt;="&amp;($A400+15/24),tData[SEHTrajectPeriodeDatumTijdTotEnMet],"&gt;"&amp;($A400+15/24),tData[Langligger01],1)</f>
        <v/>
      </c>
      <c r="T400" s="20">
        <f>COUNTIFS(tData[SEHTrajectPeriodeDatumTijdVan],"&lt;="&amp;($A400+16/24),tData[SEHTrajectPeriodeDatumTijdTotEnMet],"&gt;"&amp;($A400+16/24),tData[Langligger01],1)</f>
        <v/>
      </c>
      <c r="U400" s="20">
        <f>COUNTIFS(tData[SEHTrajectPeriodeDatumTijdVan],"&lt;="&amp;($A400+17/24),tData[SEHTrajectPeriodeDatumTijdTotEnMet],"&gt;"&amp;($A400+17/24),tData[Langligger01],1)</f>
        <v/>
      </c>
      <c r="V400" s="20">
        <f>COUNTIFS(tData[SEHTrajectPeriodeDatumTijdVan],"&lt;="&amp;($A400+18/24),tData[SEHTrajectPeriodeDatumTijdTotEnMet],"&gt;"&amp;($A400+18/24),tData[Langligger01],1)</f>
        <v/>
      </c>
      <c r="W400" s="20">
        <f>COUNTIFS(tData[SEHTrajectPeriodeDatumTijdVan],"&lt;="&amp;($A400+19/24),tData[SEHTrajectPeriodeDatumTijdTotEnMet],"&gt;"&amp;($A400+19/24),tData[Langligger01],1)</f>
        <v/>
      </c>
      <c r="X400" s="20">
        <f>COUNTIFS(tData[SEHTrajectPeriodeDatumTijdVan],"&lt;="&amp;($A400+20/24),tData[SEHTrajectPeriodeDatumTijdTotEnMet],"&gt;"&amp;($A400+20/24),tData[Langligger01],1)</f>
        <v/>
      </c>
      <c r="Y400" s="20">
        <f>COUNTIFS(tData[SEHTrajectPeriodeDatumTijdVan],"&lt;="&amp;($A400+21/24),tData[SEHTrajectPeriodeDatumTijdTotEnMet],"&gt;"&amp;($A400+21/24),tData[Langligger01],1)</f>
        <v/>
      </c>
      <c r="Z400" s="20">
        <f>COUNTIFS(tData[SEHTrajectPeriodeDatumTijdVan],"&lt;="&amp;($A400+22/24),tData[SEHTrajectPeriodeDatumTijdTotEnMet],"&gt;"&amp;($A400+22/24),tData[Langligger01],1)</f>
        <v/>
      </c>
      <c r="AA400" s="20">
        <f>COUNTIFS(tData[SEHTrajectPeriodeDatumTijdVan],"&lt;="&amp;($A400+23/24),tData[SEHTrajectPeriodeDatumTijdTotEnMet],"&gt;"&amp;($A400+23/24),tData[Langligger01],1)</f>
        <v/>
      </c>
    </row>
    <row r="401">
      <c r="A401" s="19" t="n">
        <v>45689</v>
      </c>
      <c r="B401" s="15">
        <f>WEEKDAY($A401,2)</f>
        <v/>
      </c>
      <c r="C401" s="15">
        <f>IF(AND($A401&gt;=INT(Instellingen!$B$5),$A401&lt;=INT(Instellingen!$B$6)),1,0)</f>
        <v/>
      </c>
      <c r="D401" s="20">
        <f>COUNTIFS(tData[SEHTrajectPeriodeDatumTijdVan],"&lt;="&amp;($A401+0/24),tData[SEHTrajectPeriodeDatumTijdTotEnMet],"&gt;"&amp;($A401+0/24),tData[Langligger01],1)</f>
        <v/>
      </c>
      <c r="E401" s="20">
        <f>COUNTIFS(tData[SEHTrajectPeriodeDatumTijdVan],"&lt;="&amp;($A401+1/24),tData[SEHTrajectPeriodeDatumTijdTotEnMet],"&gt;"&amp;($A401+1/24),tData[Langligger01],1)</f>
        <v/>
      </c>
      <c r="F401" s="20">
        <f>COUNTIFS(tData[SEHTrajectPeriodeDatumTijdVan],"&lt;="&amp;($A401+2/24),tData[SEHTrajectPeriodeDatumTijdTotEnMet],"&gt;"&amp;($A401+2/24),tData[Langligger01],1)</f>
        <v/>
      </c>
      <c r="G401" s="20">
        <f>COUNTIFS(tData[SEHTrajectPeriodeDatumTijdVan],"&lt;="&amp;($A401+3/24),tData[SEHTrajectPeriodeDatumTijdTotEnMet],"&gt;"&amp;($A401+3/24),tData[Langligger01],1)</f>
        <v/>
      </c>
      <c r="H401" s="20">
        <f>COUNTIFS(tData[SEHTrajectPeriodeDatumTijdVan],"&lt;="&amp;($A401+4/24),tData[SEHTrajectPeriodeDatumTijdTotEnMet],"&gt;"&amp;($A401+4/24),tData[Langligger01],1)</f>
        <v/>
      </c>
      <c r="I401" s="20">
        <f>COUNTIFS(tData[SEHTrajectPeriodeDatumTijdVan],"&lt;="&amp;($A401+5/24),tData[SEHTrajectPeriodeDatumTijdTotEnMet],"&gt;"&amp;($A401+5/24),tData[Langligger01],1)</f>
        <v/>
      </c>
      <c r="J401" s="20">
        <f>COUNTIFS(tData[SEHTrajectPeriodeDatumTijdVan],"&lt;="&amp;($A401+6/24),tData[SEHTrajectPeriodeDatumTijdTotEnMet],"&gt;"&amp;($A401+6/24),tData[Langligger01],1)</f>
        <v/>
      </c>
      <c r="K401" s="20">
        <f>COUNTIFS(tData[SEHTrajectPeriodeDatumTijdVan],"&lt;="&amp;($A401+7/24),tData[SEHTrajectPeriodeDatumTijdTotEnMet],"&gt;"&amp;($A401+7/24),tData[Langligger01],1)</f>
        <v/>
      </c>
      <c r="L401" s="20">
        <f>COUNTIFS(tData[SEHTrajectPeriodeDatumTijdVan],"&lt;="&amp;($A401+8/24),tData[SEHTrajectPeriodeDatumTijdTotEnMet],"&gt;"&amp;($A401+8/24),tData[Langligger01],1)</f>
        <v/>
      </c>
      <c r="M401" s="20">
        <f>COUNTIFS(tData[SEHTrajectPeriodeDatumTijdVan],"&lt;="&amp;($A401+9/24),tData[SEHTrajectPeriodeDatumTijdTotEnMet],"&gt;"&amp;($A401+9/24),tData[Langligger01],1)</f>
        <v/>
      </c>
      <c r="N401" s="20">
        <f>COUNTIFS(tData[SEHTrajectPeriodeDatumTijdVan],"&lt;="&amp;($A401+10/24),tData[SEHTrajectPeriodeDatumTijdTotEnMet],"&gt;"&amp;($A401+10/24),tData[Langligger01],1)</f>
        <v/>
      </c>
      <c r="O401" s="20">
        <f>COUNTIFS(tData[SEHTrajectPeriodeDatumTijdVan],"&lt;="&amp;($A401+11/24),tData[SEHTrajectPeriodeDatumTijdTotEnMet],"&gt;"&amp;($A401+11/24),tData[Langligger01],1)</f>
        <v/>
      </c>
      <c r="P401" s="20">
        <f>COUNTIFS(tData[SEHTrajectPeriodeDatumTijdVan],"&lt;="&amp;($A401+12/24),tData[SEHTrajectPeriodeDatumTijdTotEnMet],"&gt;"&amp;($A401+12/24),tData[Langligger01],1)</f>
        <v/>
      </c>
      <c r="Q401" s="20">
        <f>COUNTIFS(tData[SEHTrajectPeriodeDatumTijdVan],"&lt;="&amp;($A401+13/24),tData[SEHTrajectPeriodeDatumTijdTotEnMet],"&gt;"&amp;($A401+13/24),tData[Langligger01],1)</f>
        <v/>
      </c>
      <c r="R401" s="20">
        <f>COUNTIFS(tData[SEHTrajectPeriodeDatumTijdVan],"&lt;="&amp;($A401+14/24),tData[SEHTrajectPeriodeDatumTijdTotEnMet],"&gt;"&amp;($A401+14/24),tData[Langligger01],1)</f>
        <v/>
      </c>
      <c r="S401" s="20">
        <f>COUNTIFS(tData[SEHTrajectPeriodeDatumTijdVan],"&lt;="&amp;($A401+15/24),tData[SEHTrajectPeriodeDatumTijdTotEnMet],"&gt;"&amp;($A401+15/24),tData[Langligger01],1)</f>
        <v/>
      </c>
      <c r="T401" s="20">
        <f>COUNTIFS(tData[SEHTrajectPeriodeDatumTijdVan],"&lt;="&amp;($A401+16/24),tData[SEHTrajectPeriodeDatumTijdTotEnMet],"&gt;"&amp;($A401+16/24),tData[Langligger01],1)</f>
        <v/>
      </c>
      <c r="U401" s="20">
        <f>COUNTIFS(tData[SEHTrajectPeriodeDatumTijdVan],"&lt;="&amp;($A401+17/24),tData[SEHTrajectPeriodeDatumTijdTotEnMet],"&gt;"&amp;($A401+17/24),tData[Langligger01],1)</f>
        <v/>
      </c>
      <c r="V401" s="20">
        <f>COUNTIFS(tData[SEHTrajectPeriodeDatumTijdVan],"&lt;="&amp;($A401+18/24),tData[SEHTrajectPeriodeDatumTijdTotEnMet],"&gt;"&amp;($A401+18/24),tData[Langligger01],1)</f>
        <v/>
      </c>
      <c r="W401" s="20">
        <f>COUNTIFS(tData[SEHTrajectPeriodeDatumTijdVan],"&lt;="&amp;($A401+19/24),tData[SEHTrajectPeriodeDatumTijdTotEnMet],"&gt;"&amp;($A401+19/24),tData[Langligger01],1)</f>
        <v/>
      </c>
      <c r="X401" s="20">
        <f>COUNTIFS(tData[SEHTrajectPeriodeDatumTijdVan],"&lt;="&amp;($A401+20/24),tData[SEHTrajectPeriodeDatumTijdTotEnMet],"&gt;"&amp;($A401+20/24),tData[Langligger01],1)</f>
        <v/>
      </c>
      <c r="Y401" s="20">
        <f>COUNTIFS(tData[SEHTrajectPeriodeDatumTijdVan],"&lt;="&amp;($A401+21/24),tData[SEHTrajectPeriodeDatumTijdTotEnMet],"&gt;"&amp;($A401+21/24),tData[Langligger01],1)</f>
        <v/>
      </c>
      <c r="Z401" s="20">
        <f>COUNTIFS(tData[SEHTrajectPeriodeDatumTijdVan],"&lt;="&amp;($A401+22/24),tData[SEHTrajectPeriodeDatumTijdTotEnMet],"&gt;"&amp;($A401+22/24),tData[Langligger01],1)</f>
        <v/>
      </c>
      <c r="AA401" s="20">
        <f>COUNTIFS(tData[SEHTrajectPeriodeDatumTijdVan],"&lt;="&amp;($A401+23/24),tData[SEHTrajectPeriodeDatumTijdTotEnMet],"&gt;"&amp;($A401+23/24),tData[Langligger01],1)</f>
        <v/>
      </c>
    </row>
    <row r="402">
      <c r="A402" s="19" t="n">
        <v>45690</v>
      </c>
      <c r="B402" s="15">
        <f>WEEKDAY($A402,2)</f>
        <v/>
      </c>
      <c r="C402" s="15">
        <f>IF(AND($A402&gt;=INT(Instellingen!$B$5),$A402&lt;=INT(Instellingen!$B$6)),1,0)</f>
        <v/>
      </c>
      <c r="D402" s="20">
        <f>COUNTIFS(tData[SEHTrajectPeriodeDatumTijdVan],"&lt;="&amp;($A402+0/24),tData[SEHTrajectPeriodeDatumTijdTotEnMet],"&gt;"&amp;($A402+0/24),tData[Langligger01],1)</f>
        <v/>
      </c>
      <c r="E402" s="20">
        <f>COUNTIFS(tData[SEHTrajectPeriodeDatumTijdVan],"&lt;="&amp;($A402+1/24),tData[SEHTrajectPeriodeDatumTijdTotEnMet],"&gt;"&amp;($A402+1/24),tData[Langligger01],1)</f>
        <v/>
      </c>
      <c r="F402" s="20">
        <f>COUNTIFS(tData[SEHTrajectPeriodeDatumTijdVan],"&lt;="&amp;($A402+2/24),tData[SEHTrajectPeriodeDatumTijdTotEnMet],"&gt;"&amp;($A402+2/24),tData[Langligger01],1)</f>
        <v/>
      </c>
      <c r="G402" s="20">
        <f>COUNTIFS(tData[SEHTrajectPeriodeDatumTijdVan],"&lt;="&amp;($A402+3/24),tData[SEHTrajectPeriodeDatumTijdTotEnMet],"&gt;"&amp;($A402+3/24),tData[Langligger01],1)</f>
        <v/>
      </c>
      <c r="H402" s="20">
        <f>COUNTIFS(tData[SEHTrajectPeriodeDatumTijdVan],"&lt;="&amp;($A402+4/24),tData[SEHTrajectPeriodeDatumTijdTotEnMet],"&gt;"&amp;($A402+4/24),tData[Langligger01],1)</f>
        <v/>
      </c>
      <c r="I402" s="20">
        <f>COUNTIFS(tData[SEHTrajectPeriodeDatumTijdVan],"&lt;="&amp;($A402+5/24),tData[SEHTrajectPeriodeDatumTijdTotEnMet],"&gt;"&amp;($A402+5/24),tData[Langligger01],1)</f>
        <v/>
      </c>
      <c r="J402" s="20">
        <f>COUNTIFS(tData[SEHTrajectPeriodeDatumTijdVan],"&lt;="&amp;($A402+6/24),tData[SEHTrajectPeriodeDatumTijdTotEnMet],"&gt;"&amp;($A402+6/24),tData[Langligger01],1)</f>
        <v/>
      </c>
      <c r="K402" s="20">
        <f>COUNTIFS(tData[SEHTrajectPeriodeDatumTijdVan],"&lt;="&amp;($A402+7/24),tData[SEHTrajectPeriodeDatumTijdTotEnMet],"&gt;"&amp;($A402+7/24),tData[Langligger01],1)</f>
        <v/>
      </c>
      <c r="L402" s="20">
        <f>COUNTIFS(tData[SEHTrajectPeriodeDatumTijdVan],"&lt;="&amp;($A402+8/24),tData[SEHTrajectPeriodeDatumTijdTotEnMet],"&gt;"&amp;($A402+8/24),tData[Langligger01],1)</f>
        <v/>
      </c>
      <c r="M402" s="20">
        <f>COUNTIFS(tData[SEHTrajectPeriodeDatumTijdVan],"&lt;="&amp;($A402+9/24),tData[SEHTrajectPeriodeDatumTijdTotEnMet],"&gt;"&amp;($A402+9/24),tData[Langligger01],1)</f>
        <v/>
      </c>
      <c r="N402" s="20">
        <f>COUNTIFS(tData[SEHTrajectPeriodeDatumTijdVan],"&lt;="&amp;($A402+10/24),tData[SEHTrajectPeriodeDatumTijdTotEnMet],"&gt;"&amp;($A402+10/24),tData[Langligger01],1)</f>
        <v/>
      </c>
      <c r="O402" s="20">
        <f>COUNTIFS(tData[SEHTrajectPeriodeDatumTijdVan],"&lt;="&amp;($A402+11/24),tData[SEHTrajectPeriodeDatumTijdTotEnMet],"&gt;"&amp;($A402+11/24),tData[Langligger01],1)</f>
        <v/>
      </c>
      <c r="P402" s="20">
        <f>COUNTIFS(tData[SEHTrajectPeriodeDatumTijdVan],"&lt;="&amp;($A402+12/24),tData[SEHTrajectPeriodeDatumTijdTotEnMet],"&gt;"&amp;($A402+12/24),tData[Langligger01],1)</f>
        <v/>
      </c>
      <c r="Q402" s="20">
        <f>COUNTIFS(tData[SEHTrajectPeriodeDatumTijdVan],"&lt;="&amp;($A402+13/24),tData[SEHTrajectPeriodeDatumTijdTotEnMet],"&gt;"&amp;($A402+13/24),tData[Langligger01],1)</f>
        <v/>
      </c>
      <c r="R402" s="20">
        <f>COUNTIFS(tData[SEHTrajectPeriodeDatumTijdVan],"&lt;="&amp;($A402+14/24),tData[SEHTrajectPeriodeDatumTijdTotEnMet],"&gt;"&amp;($A402+14/24),tData[Langligger01],1)</f>
        <v/>
      </c>
      <c r="S402" s="20">
        <f>COUNTIFS(tData[SEHTrajectPeriodeDatumTijdVan],"&lt;="&amp;($A402+15/24),tData[SEHTrajectPeriodeDatumTijdTotEnMet],"&gt;"&amp;($A402+15/24),tData[Langligger01],1)</f>
        <v/>
      </c>
      <c r="T402" s="20">
        <f>COUNTIFS(tData[SEHTrajectPeriodeDatumTijdVan],"&lt;="&amp;($A402+16/24),tData[SEHTrajectPeriodeDatumTijdTotEnMet],"&gt;"&amp;($A402+16/24),tData[Langligger01],1)</f>
        <v/>
      </c>
      <c r="U402" s="20">
        <f>COUNTIFS(tData[SEHTrajectPeriodeDatumTijdVan],"&lt;="&amp;($A402+17/24),tData[SEHTrajectPeriodeDatumTijdTotEnMet],"&gt;"&amp;($A402+17/24),tData[Langligger01],1)</f>
        <v/>
      </c>
      <c r="V402" s="20">
        <f>COUNTIFS(tData[SEHTrajectPeriodeDatumTijdVan],"&lt;="&amp;($A402+18/24),tData[SEHTrajectPeriodeDatumTijdTotEnMet],"&gt;"&amp;($A402+18/24),tData[Langligger01],1)</f>
        <v/>
      </c>
      <c r="W402" s="20">
        <f>COUNTIFS(tData[SEHTrajectPeriodeDatumTijdVan],"&lt;="&amp;($A402+19/24),tData[SEHTrajectPeriodeDatumTijdTotEnMet],"&gt;"&amp;($A402+19/24),tData[Langligger01],1)</f>
        <v/>
      </c>
      <c r="X402" s="20">
        <f>COUNTIFS(tData[SEHTrajectPeriodeDatumTijdVan],"&lt;="&amp;($A402+20/24),tData[SEHTrajectPeriodeDatumTijdTotEnMet],"&gt;"&amp;($A402+20/24),tData[Langligger01],1)</f>
        <v/>
      </c>
      <c r="Y402" s="20">
        <f>COUNTIFS(tData[SEHTrajectPeriodeDatumTijdVan],"&lt;="&amp;($A402+21/24),tData[SEHTrajectPeriodeDatumTijdTotEnMet],"&gt;"&amp;($A402+21/24),tData[Langligger01],1)</f>
        <v/>
      </c>
      <c r="Z402" s="20">
        <f>COUNTIFS(tData[SEHTrajectPeriodeDatumTijdVan],"&lt;="&amp;($A402+22/24),tData[SEHTrajectPeriodeDatumTijdTotEnMet],"&gt;"&amp;($A402+22/24),tData[Langligger01],1)</f>
        <v/>
      </c>
      <c r="AA402" s="20">
        <f>COUNTIFS(tData[SEHTrajectPeriodeDatumTijdVan],"&lt;="&amp;($A402+23/24),tData[SEHTrajectPeriodeDatumTijdTotEnMet],"&gt;"&amp;($A402+23/24),tData[Langligger01],1)</f>
        <v/>
      </c>
    </row>
    <row r="403">
      <c r="A403" s="19" t="n">
        <v>45691</v>
      </c>
      <c r="B403" s="15">
        <f>WEEKDAY($A403,2)</f>
        <v/>
      </c>
      <c r="C403" s="15">
        <f>IF(AND($A403&gt;=INT(Instellingen!$B$5),$A403&lt;=INT(Instellingen!$B$6)),1,0)</f>
        <v/>
      </c>
      <c r="D403" s="20">
        <f>COUNTIFS(tData[SEHTrajectPeriodeDatumTijdVan],"&lt;="&amp;($A403+0/24),tData[SEHTrajectPeriodeDatumTijdTotEnMet],"&gt;"&amp;($A403+0/24),tData[Langligger01],1)</f>
        <v/>
      </c>
      <c r="E403" s="20">
        <f>COUNTIFS(tData[SEHTrajectPeriodeDatumTijdVan],"&lt;="&amp;($A403+1/24),tData[SEHTrajectPeriodeDatumTijdTotEnMet],"&gt;"&amp;($A403+1/24),tData[Langligger01],1)</f>
        <v/>
      </c>
      <c r="F403" s="20">
        <f>COUNTIFS(tData[SEHTrajectPeriodeDatumTijdVan],"&lt;="&amp;($A403+2/24),tData[SEHTrajectPeriodeDatumTijdTotEnMet],"&gt;"&amp;($A403+2/24),tData[Langligger01],1)</f>
        <v/>
      </c>
      <c r="G403" s="20">
        <f>COUNTIFS(tData[SEHTrajectPeriodeDatumTijdVan],"&lt;="&amp;($A403+3/24),tData[SEHTrajectPeriodeDatumTijdTotEnMet],"&gt;"&amp;($A403+3/24),tData[Langligger01],1)</f>
        <v/>
      </c>
      <c r="H403" s="20">
        <f>COUNTIFS(tData[SEHTrajectPeriodeDatumTijdVan],"&lt;="&amp;($A403+4/24),tData[SEHTrajectPeriodeDatumTijdTotEnMet],"&gt;"&amp;($A403+4/24),tData[Langligger01],1)</f>
        <v/>
      </c>
      <c r="I403" s="20">
        <f>COUNTIFS(tData[SEHTrajectPeriodeDatumTijdVan],"&lt;="&amp;($A403+5/24),tData[SEHTrajectPeriodeDatumTijdTotEnMet],"&gt;"&amp;($A403+5/24),tData[Langligger01],1)</f>
        <v/>
      </c>
      <c r="J403" s="20">
        <f>COUNTIFS(tData[SEHTrajectPeriodeDatumTijdVan],"&lt;="&amp;($A403+6/24),tData[SEHTrajectPeriodeDatumTijdTotEnMet],"&gt;"&amp;($A403+6/24),tData[Langligger01],1)</f>
        <v/>
      </c>
      <c r="K403" s="20">
        <f>COUNTIFS(tData[SEHTrajectPeriodeDatumTijdVan],"&lt;="&amp;($A403+7/24),tData[SEHTrajectPeriodeDatumTijdTotEnMet],"&gt;"&amp;($A403+7/24),tData[Langligger01],1)</f>
        <v/>
      </c>
      <c r="L403" s="20">
        <f>COUNTIFS(tData[SEHTrajectPeriodeDatumTijdVan],"&lt;="&amp;($A403+8/24),tData[SEHTrajectPeriodeDatumTijdTotEnMet],"&gt;"&amp;($A403+8/24),tData[Langligger01],1)</f>
        <v/>
      </c>
      <c r="M403" s="20">
        <f>COUNTIFS(tData[SEHTrajectPeriodeDatumTijdVan],"&lt;="&amp;($A403+9/24),tData[SEHTrajectPeriodeDatumTijdTotEnMet],"&gt;"&amp;($A403+9/24),tData[Langligger01],1)</f>
        <v/>
      </c>
      <c r="N403" s="20">
        <f>COUNTIFS(tData[SEHTrajectPeriodeDatumTijdVan],"&lt;="&amp;($A403+10/24),tData[SEHTrajectPeriodeDatumTijdTotEnMet],"&gt;"&amp;($A403+10/24),tData[Langligger01],1)</f>
        <v/>
      </c>
      <c r="O403" s="20">
        <f>COUNTIFS(tData[SEHTrajectPeriodeDatumTijdVan],"&lt;="&amp;($A403+11/24),tData[SEHTrajectPeriodeDatumTijdTotEnMet],"&gt;"&amp;($A403+11/24),tData[Langligger01],1)</f>
        <v/>
      </c>
      <c r="P403" s="20">
        <f>COUNTIFS(tData[SEHTrajectPeriodeDatumTijdVan],"&lt;="&amp;($A403+12/24),tData[SEHTrajectPeriodeDatumTijdTotEnMet],"&gt;"&amp;($A403+12/24),tData[Langligger01],1)</f>
        <v/>
      </c>
      <c r="Q403" s="20">
        <f>COUNTIFS(tData[SEHTrajectPeriodeDatumTijdVan],"&lt;="&amp;($A403+13/24),tData[SEHTrajectPeriodeDatumTijdTotEnMet],"&gt;"&amp;($A403+13/24),tData[Langligger01],1)</f>
        <v/>
      </c>
      <c r="R403" s="20">
        <f>COUNTIFS(tData[SEHTrajectPeriodeDatumTijdVan],"&lt;="&amp;($A403+14/24),tData[SEHTrajectPeriodeDatumTijdTotEnMet],"&gt;"&amp;($A403+14/24),tData[Langligger01],1)</f>
        <v/>
      </c>
      <c r="S403" s="20">
        <f>COUNTIFS(tData[SEHTrajectPeriodeDatumTijdVan],"&lt;="&amp;($A403+15/24),tData[SEHTrajectPeriodeDatumTijdTotEnMet],"&gt;"&amp;($A403+15/24),tData[Langligger01],1)</f>
        <v/>
      </c>
      <c r="T403" s="20">
        <f>COUNTIFS(tData[SEHTrajectPeriodeDatumTijdVan],"&lt;="&amp;($A403+16/24),tData[SEHTrajectPeriodeDatumTijdTotEnMet],"&gt;"&amp;($A403+16/24),tData[Langligger01],1)</f>
        <v/>
      </c>
      <c r="U403" s="20">
        <f>COUNTIFS(tData[SEHTrajectPeriodeDatumTijdVan],"&lt;="&amp;($A403+17/24),tData[SEHTrajectPeriodeDatumTijdTotEnMet],"&gt;"&amp;($A403+17/24),tData[Langligger01],1)</f>
        <v/>
      </c>
      <c r="V403" s="20">
        <f>COUNTIFS(tData[SEHTrajectPeriodeDatumTijdVan],"&lt;="&amp;($A403+18/24),tData[SEHTrajectPeriodeDatumTijdTotEnMet],"&gt;"&amp;($A403+18/24),tData[Langligger01],1)</f>
        <v/>
      </c>
      <c r="W403" s="20">
        <f>COUNTIFS(tData[SEHTrajectPeriodeDatumTijdVan],"&lt;="&amp;($A403+19/24),tData[SEHTrajectPeriodeDatumTijdTotEnMet],"&gt;"&amp;($A403+19/24),tData[Langligger01],1)</f>
        <v/>
      </c>
      <c r="X403" s="20">
        <f>COUNTIFS(tData[SEHTrajectPeriodeDatumTijdVan],"&lt;="&amp;($A403+20/24),tData[SEHTrajectPeriodeDatumTijdTotEnMet],"&gt;"&amp;($A403+20/24),tData[Langligger01],1)</f>
        <v/>
      </c>
      <c r="Y403" s="20">
        <f>COUNTIFS(tData[SEHTrajectPeriodeDatumTijdVan],"&lt;="&amp;($A403+21/24),tData[SEHTrajectPeriodeDatumTijdTotEnMet],"&gt;"&amp;($A403+21/24),tData[Langligger01],1)</f>
        <v/>
      </c>
      <c r="Z403" s="20">
        <f>COUNTIFS(tData[SEHTrajectPeriodeDatumTijdVan],"&lt;="&amp;($A403+22/24),tData[SEHTrajectPeriodeDatumTijdTotEnMet],"&gt;"&amp;($A403+22/24),tData[Langligger01],1)</f>
        <v/>
      </c>
      <c r="AA403" s="20">
        <f>COUNTIFS(tData[SEHTrajectPeriodeDatumTijdVan],"&lt;="&amp;($A403+23/24),tData[SEHTrajectPeriodeDatumTijdTotEnMet],"&gt;"&amp;($A403+23/24),tData[Langligger01],1)</f>
        <v/>
      </c>
    </row>
    <row r="404">
      <c r="A404" s="19" t="n">
        <v>45692</v>
      </c>
      <c r="B404" s="15">
        <f>WEEKDAY($A404,2)</f>
        <v/>
      </c>
      <c r="C404" s="15">
        <f>IF(AND($A404&gt;=INT(Instellingen!$B$5),$A404&lt;=INT(Instellingen!$B$6)),1,0)</f>
        <v/>
      </c>
      <c r="D404" s="20">
        <f>COUNTIFS(tData[SEHTrajectPeriodeDatumTijdVan],"&lt;="&amp;($A404+0/24),tData[SEHTrajectPeriodeDatumTijdTotEnMet],"&gt;"&amp;($A404+0/24),tData[Langligger01],1)</f>
        <v/>
      </c>
      <c r="E404" s="20">
        <f>COUNTIFS(tData[SEHTrajectPeriodeDatumTijdVan],"&lt;="&amp;($A404+1/24),tData[SEHTrajectPeriodeDatumTijdTotEnMet],"&gt;"&amp;($A404+1/24),tData[Langligger01],1)</f>
        <v/>
      </c>
      <c r="F404" s="20">
        <f>COUNTIFS(tData[SEHTrajectPeriodeDatumTijdVan],"&lt;="&amp;($A404+2/24),tData[SEHTrajectPeriodeDatumTijdTotEnMet],"&gt;"&amp;($A404+2/24),tData[Langligger01],1)</f>
        <v/>
      </c>
      <c r="G404" s="20">
        <f>COUNTIFS(tData[SEHTrajectPeriodeDatumTijdVan],"&lt;="&amp;($A404+3/24),tData[SEHTrajectPeriodeDatumTijdTotEnMet],"&gt;"&amp;($A404+3/24),tData[Langligger01],1)</f>
        <v/>
      </c>
      <c r="H404" s="20">
        <f>COUNTIFS(tData[SEHTrajectPeriodeDatumTijdVan],"&lt;="&amp;($A404+4/24),tData[SEHTrajectPeriodeDatumTijdTotEnMet],"&gt;"&amp;($A404+4/24),tData[Langligger01],1)</f>
        <v/>
      </c>
      <c r="I404" s="20">
        <f>COUNTIFS(tData[SEHTrajectPeriodeDatumTijdVan],"&lt;="&amp;($A404+5/24),tData[SEHTrajectPeriodeDatumTijdTotEnMet],"&gt;"&amp;($A404+5/24),tData[Langligger01],1)</f>
        <v/>
      </c>
      <c r="J404" s="20">
        <f>COUNTIFS(tData[SEHTrajectPeriodeDatumTijdVan],"&lt;="&amp;($A404+6/24),tData[SEHTrajectPeriodeDatumTijdTotEnMet],"&gt;"&amp;($A404+6/24),tData[Langligger01],1)</f>
        <v/>
      </c>
      <c r="K404" s="20">
        <f>COUNTIFS(tData[SEHTrajectPeriodeDatumTijdVan],"&lt;="&amp;($A404+7/24),tData[SEHTrajectPeriodeDatumTijdTotEnMet],"&gt;"&amp;($A404+7/24),tData[Langligger01],1)</f>
        <v/>
      </c>
      <c r="L404" s="20">
        <f>COUNTIFS(tData[SEHTrajectPeriodeDatumTijdVan],"&lt;="&amp;($A404+8/24),tData[SEHTrajectPeriodeDatumTijdTotEnMet],"&gt;"&amp;($A404+8/24),tData[Langligger01],1)</f>
        <v/>
      </c>
      <c r="M404" s="20">
        <f>COUNTIFS(tData[SEHTrajectPeriodeDatumTijdVan],"&lt;="&amp;($A404+9/24),tData[SEHTrajectPeriodeDatumTijdTotEnMet],"&gt;"&amp;($A404+9/24),tData[Langligger01],1)</f>
        <v/>
      </c>
      <c r="N404" s="20">
        <f>COUNTIFS(tData[SEHTrajectPeriodeDatumTijdVan],"&lt;="&amp;($A404+10/24),tData[SEHTrajectPeriodeDatumTijdTotEnMet],"&gt;"&amp;($A404+10/24),tData[Langligger01],1)</f>
        <v/>
      </c>
      <c r="O404" s="20">
        <f>COUNTIFS(tData[SEHTrajectPeriodeDatumTijdVan],"&lt;="&amp;($A404+11/24),tData[SEHTrajectPeriodeDatumTijdTotEnMet],"&gt;"&amp;($A404+11/24),tData[Langligger01],1)</f>
        <v/>
      </c>
      <c r="P404" s="20">
        <f>COUNTIFS(tData[SEHTrajectPeriodeDatumTijdVan],"&lt;="&amp;($A404+12/24),tData[SEHTrajectPeriodeDatumTijdTotEnMet],"&gt;"&amp;($A404+12/24),tData[Langligger01],1)</f>
        <v/>
      </c>
      <c r="Q404" s="20">
        <f>COUNTIFS(tData[SEHTrajectPeriodeDatumTijdVan],"&lt;="&amp;($A404+13/24),tData[SEHTrajectPeriodeDatumTijdTotEnMet],"&gt;"&amp;($A404+13/24),tData[Langligger01],1)</f>
        <v/>
      </c>
      <c r="R404" s="20">
        <f>COUNTIFS(tData[SEHTrajectPeriodeDatumTijdVan],"&lt;="&amp;($A404+14/24),tData[SEHTrajectPeriodeDatumTijdTotEnMet],"&gt;"&amp;($A404+14/24),tData[Langligger01],1)</f>
        <v/>
      </c>
      <c r="S404" s="20">
        <f>COUNTIFS(tData[SEHTrajectPeriodeDatumTijdVan],"&lt;="&amp;($A404+15/24),tData[SEHTrajectPeriodeDatumTijdTotEnMet],"&gt;"&amp;($A404+15/24),tData[Langligger01],1)</f>
        <v/>
      </c>
      <c r="T404" s="20">
        <f>COUNTIFS(tData[SEHTrajectPeriodeDatumTijdVan],"&lt;="&amp;($A404+16/24),tData[SEHTrajectPeriodeDatumTijdTotEnMet],"&gt;"&amp;($A404+16/24),tData[Langligger01],1)</f>
        <v/>
      </c>
      <c r="U404" s="20">
        <f>COUNTIFS(tData[SEHTrajectPeriodeDatumTijdVan],"&lt;="&amp;($A404+17/24),tData[SEHTrajectPeriodeDatumTijdTotEnMet],"&gt;"&amp;($A404+17/24),tData[Langligger01],1)</f>
        <v/>
      </c>
      <c r="V404" s="20">
        <f>COUNTIFS(tData[SEHTrajectPeriodeDatumTijdVan],"&lt;="&amp;($A404+18/24),tData[SEHTrajectPeriodeDatumTijdTotEnMet],"&gt;"&amp;($A404+18/24),tData[Langligger01],1)</f>
        <v/>
      </c>
      <c r="W404" s="20">
        <f>COUNTIFS(tData[SEHTrajectPeriodeDatumTijdVan],"&lt;="&amp;($A404+19/24),tData[SEHTrajectPeriodeDatumTijdTotEnMet],"&gt;"&amp;($A404+19/24),tData[Langligger01],1)</f>
        <v/>
      </c>
      <c r="X404" s="20">
        <f>COUNTIFS(tData[SEHTrajectPeriodeDatumTijdVan],"&lt;="&amp;($A404+20/24),tData[SEHTrajectPeriodeDatumTijdTotEnMet],"&gt;"&amp;($A404+20/24),tData[Langligger01],1)</f>
        <v/>
      </c>
      <c r="Y404" s="20">
        <f>COUNTIFS(tData[SEHTrajectPeriodeDatumTijdVan],"&lt;="&amp;($A404+21/24),tData[SEHTrajectPeriodeDatumTijdTotEnMet],"&gt;"&amp;($A404+21/24),tData[Langligger01],1)</f>
        <v/>
      </c>
      <c r="Z404" s="20">
        <f>COUNTIFS(tData[SEHTrajectPeriodeDatumTijdVan],"&lt;="&amp;($A404+22/24),tData[SEHTrajectPeriodeDatumTijdTotEnMet],"&gt;"&amp;($A404+22/24),tData[Langligger01],1)</f>
        <v/>
      </c>
      <c r="AA404" s="20">
        <f>COUNTIFS(tData[SEHTrajectPeriodeDatumTijdVan],"&lt;="&amp;($A404+23/24),tData[SEHTrajectPeriodeDatumTijdTotEnMet],"&gt;"&amp;($A404+23/24),tData[Langligger01],1)</f>
        <v/>
      </c>
    </row>
    <row r="405">
      <c r="A405" s="19" t="n">
        <v>45693</v>
      </c>
      <c r="B405" s="15">
        <f>WEEKDAY($A405,2)</f>
        <v/>
      </c>
      <c r="C405" s="15">
        <f>IF(AND($A405&gt;=INT(Instellingen!$B$5),$A405&lt;=INT(Instellingen!$B$6)),1,0)</f>
        <v/>
      </c>
      <c r="D405" s="20">
        <f>COUNTIFS(tData[SEHTrajectPeriodeDatumTijdVan],"&lt;="&amp;($A405+0/24),tData[SEHTrajectPeriodeDatumTijdTotEnMet],"&gt;"&amp;($A405+0/24),tData[Langligger01],1)</f>
        <v/>
      </c>
      <c r="E405" s="20">
        <f>COUNTIFS(tData[SEHTrajectPeriodeDatumTijdVan],"&lt;="&amp;($A405+1/24),tData[SEHTrajectPeriodeDatumTijdTotEnMet],"&gt;"&amp;($A405+1/24),tData[Langligger01],1)</f>
        <v/>
      </c>
      <c r="F405" s="20">
        <f>COUNTIFS(tData[SEHTrajectPeriodeDatumTijdVan],"&lt;="&amp;($A405+2/24),tData[SEHTrajectPeriodeDatumTijdTotEnMet],"&gt;"&amp;($A405+2/24),tData[Langligger01],1)</f>
        <v/>
      </c>
      <c r="G405" s="20">
        <f>COUNTIFS(tData[SEHTrajectPeriodeDatumTijdVan],"&lt;="&amp;($A405+3/24),tData[SEHTrajectPeriodeDatumTijdTotEnMet],"&gt;"&amp;($A405+3/24),tData[Langligger01],1)</f>
        <v/>
      </c>
      <c r="H405" s="20">
        <f>COUNTIFS(tData[SEHTrajectPeriodeDatumTijdVan],"&lt;="&amp;($A405+4/24),tData[SEHTrajectPeriodeDatumTijdTotEnMet],"&gt;"&amp;($A405+4/24),tData[Langligger01],1)</f>
        <v/>
      </c>
      <c r="I405" s="20">
        <f>COUNTIFS(tData[SEHTrajectPeriodeDatumTijdVan],"&lt;="&amp;($A405+5/24),tData[SEHTrajectPeriodeDatumTijdTotEnMet],"&gt;"&amp;($A405+5/24),tData[Langligger01],1)</f>
        <v/>
      </c>
      <c r="J405" s="20">
        <f>COUNTIFS(tData[SEHTrajectPeriodeDatumTijdVan],"&lt;="&amp;($A405+6/24),tData[SEHTrajectPeriodeDatumTijdTotEnMet],"&gt;"&amp;($A405+6/24),tData[Langligger01],1)</f>
        <v/>
      </c>
      <c r="K405" s="20">
        <f>COUNTIFS(tData[SEHTrajectPeriodeDatumTijdVan],"&lt;="&amp;($A405+7/24),tData[SEHTrajectPeriodeDatumTijdTotEnMet],"&gt;"&amp;($A405+7/24),tData[Langligger01],1)</f>
        <v/>
      </c>
      <c r="L405" s="20">
        <f>COUNTIFS(tData[SEHTrajectPeriodeDatumTijdVan],"&lt;="&amp;($A405+8/24),tData[SEHTrajectPeriodeDatumTijdTotEnMet],"&gt;"&amp;($A405+8/24),tData[Langligger01],1)</f>
        <v/>
      </c>
      <c r="M405" s="20">
        <f>COUNTIFS(tData[SEHTrajectPeriodeDatumTijdVan],"&lt;="&amp;($A405+9/24),tData[SEHTrajectPeriodeDatumTijdTotEnMet],"&gt;"&amp;($A405+9/24),tData[Langligger01],1)</f>
        <v/>
      </c>
      <c r="N405" s="20">
        <f>COUNTIFS(tData[SEHTrajectPeriodeDatumTijdVan],"&lt;="&amp;($A405+10/24),tData[SEHTrajectPeriodeDatumTijdTotEnMet],"&gt;"&amp;($A405+10/24),tData[Langligger01],1)</f>
        <v/>
      </c>
      <c r="O405" s="20">
        <f>COUNTIFS(tData[SEHTrajectPeriodeDatumTijdVan],"&lt;="&amp;($A405+11/24),tData[SEHTrajectPeriodeDatumTijdTotEnMet],"&gt;"&amp;($A405+11/24),tData[Langligger01],1)</f>
        <v/>
      </c>
      <c r="P405" s="20">
        <f>COUNTIFS(tData[SEHTrajectPeriodeDatumTijdVan],"&lt;="&amp;($A405+12/24),tData[SEHTrajectPeriodeDatumTijdTotEnMet],"&gt;"&amp;($A405+12/24),tData[Langligger01],1)</f>
        <v/>
      </c>
      <c r="Q405" s="20">
        <f>COUNTIFS(tData[SEHTrajectPeriodeDatumTijdVan],"&lt;="&amp;($A405+13/24),tData[SEHTrajectPeriodeDatumTijdTotEnMet],"&gt;"&amp;($A405+13/24),tData[Langligger01],1)</f>
        <v/>
      </c>
      <c r="R405" s="20">
        <f>COUNTIFS(tData[SEHTrajectPeriodeDatumTijdVan],"&lt;="&amp;($A405+14/24),tData[SEHTrajectPeriodeDatumTijdTotEnMet],"&gt;"&amp;($A405+14/24),tData[Langligger01],1)</f>
        <v/>
      </c>
      <c r="S405" s="20">
        <f>COUNTIFS(tData[SEHTrajectPeriodeDatumTijdVan],"&lt;="&amp;($A405+15/24),tData[SEHTrajectPeriodeDatumTijdTotEnMet],"&gt;"&amp;($A405+15/24),tData[Langligger01],1)</f>
        <v/>
      </c>
      <c r="T405" s="20">
        <f>COUNTIFS(tData[SEHTrajectPeriodeDatumTijdVan],"&lt;="&amp;($A405+16/24),tData[SEHTrajectPeriodeDatumTijdTotEnMet],"&gt;"&amp;($A405+16/24),tData[Langligger01],1)</f>
        <v/>
      </c>
      <c r="U405" s="20">
        <f>COUNTIFS(tData[SEHTrajectPeriodeDatumTijdVan],"&lt;="&amp;($A405+17/24),tData[SEHTrajectPeriodeDatumTijdTotEnMet],"&gt;"&amp;($A405+17/24),tData[Langligger01],1)</f>
        <v/>
      </c>
      <c r="V405" s="20">
        <f>COUNTIFS(tData[SEHTrajectPeriodeDatumTijdVan],"&lt;="&amp;($A405+18/24),tData[SEHTrajectPeriodeDatumTijdTotEnMet],"&gt;"&amp;($A405+18/24),tData[Langligger01],1)</f>
        <v/>
      </c>
      <c r="W405" s="20">
        <f>COUNTIFS(tData[SEHTrajectPeriodeDatumTijdVan],"&lt;="&amp;($A405+19/24),tData[SEHTrajectPeriodeDatumTijdTotEnMet],"&gt;"&amp;($A405+19/24),tData[Langligger01],1)</f>
        <v/>
      </c>
      <c r="X405" s="20">
        <f>COUNTIFS(tData[SEHTrajectPeriodeDatumTijdVan],"&lt;="&amp;($A405+20/24),tData[SEHTrajectPeriodeDatumTijdTotEnMet],"&gt;"&amp;($A405+20/24),tData[Langligger01],1)</f>
        <v/>
      </c>
      <c r="Y405" s="20">
        <f>COUNTIFS(tData[SEHTrajectPeriodeDatumTijdVan],"&lt;="&amp;($A405+21/24),tData[SEHTrajectPeriodeDatumTijdTotEnMet],"&gt;"&amp;($A405+21/24),tData[Langligger01],1)</f>
        <v/>
      </c>
      <c r="Z405" s="20">
        <f>COUNTIFS(tData[SEHTrajectPeriodeDatumTijdVan],"&lt;="&amp;($A405+22/24),tData[SEHTrajectPeriodeDatumTijdTotEnMet],"&gt;"&amp;($A405+22/24),tData[Langligger01],1)</f>
        <v/>
      </c>
      <c r="AA405" s="20">
        <f>COUNTIFS(tData[SEHTrajectPeriodeDatumTijdVan],"&lt;="&amp;($A405+23/24),tData[SEHTrajectPeriodeDatumTijdTotEnMet],"&gt;"&amp;($A405+23/24),tData[Langligger01],1)</f>
        <v/>
      </c>
    </row>
    <row r="406">
      <c r="A406" s="19" t="n">
        <v>45694</v>
      </c>
      <c r="B406" s="15">
        <f>WEEKDAY($A406,2)</f>
        <v/>
      </c>
      <c r="C406" s="15">
        <f>IF(AND($A406&gt;=INT(Instellingen!$B$5),$A406&lt;=INT(Instellingen!$B$6)),1,0)</f>
        <v/>
      </c>
      <c r="D406" s="20">
        <f>COUNTIFS(tData[SEHTrajectPeriodeDatumTijdVan],"&lt;="&amp;($A406+0/24),tData[SEHTrajectPeriodeDatumTijdTotEnMet],"&gt;"&amp;($A406+0/24),tData[Langligger01],1)</f>
        <v/>
      </c>
      <c r="E406" s="20">
        <f>COUNTIFS(tData[SEHTrajectPeriodeDatumTijdVan],"&lt;="&amp;($A406+1/24),tData[SEHTrajectPeriodeDatumTijdTotEnMet],"&gt;"&amp;($A406+1/24),tData[Langligger01],1)</f>
        <v/>
      </c>
      <c r="F406" s="20">
        <f>COUNTIFS(tData[SEHTrajectPeriodeDatumTijdVan],"&lt;="&amp;($A406+2/24),tData[SEHTrajectPeriodeDatumTijdTotEnMet],"&gt;"&amp;($A406+2/24),tData[Langligger01],1)</f>
        <v/>
      </c>
      <c r="G406" s="20">
        <f>COUNTIFS(tData[SEHTrajectPeriodeDatumTijdVan],"&lt;="&amp;($A406+3/24),tData[SEHTrajectPeriodeDatumTijdTotEnMet],"&gt;"&amp;($A406+3/24),tData[Langligger01],1)</f>
        <v/>
      </c>
      <c r="H406" s="20">
        <f>COUNTIFS(tData[SEHTrajectPeriodeDatumTijdVan],"&lt;="&amp;($A406+4/24),tData[SEHTrajectPeriodeDatumTijdTotEnMet],"&gt;"&amp;($A406+4/24),tData[Langligger01],1)</f>
        <v/>
      </c>
      <c r="I406" s="20">
        <f>COUNTIFS(tData[SEHTrajectPeriodeDatumTijdVan],"&lt;="&amp;($A406+5/24),tData[SEHTrajectPeriodeDatumTijdTotEnMet],"&gt;"&amp;($A406+5/24),tData[Langligger01],1)</f>
        <v/>
      </c>
      <c r="J406" s="20">
        <f>COUNTIFS(tData[SEHTrajectPeriodeDatumTijdVan],"&lt;="&amp;($A406+6/24),tData[SEHTrajectPeriodeDatumTijdTotEnMet],"&gt;"&amp;($A406+6/24),tData[Langligger01],1)</f>
        <v/>
      </c>
      <c r="K406" s="20">
        <f>COUNTIFS(tData[SEHTrajectPeriodeDatumTijdVan],"&lt;="&amp;($A406+7/24),tData[SEHTrajectPeriodeDatumTijdTotEnMet],"&gt;"&amp;($A406+7/24),tData[Langligger01],1)</f>
        <v/>
      </c>
      <c r="L406" s="20">
        <f>COUNTIFS(tData[SEHTrajectPeriodeDatumTijdVan],"&lt;="&amp;($A406+8/24),tData[SEHTrajectPeriodeDatumTijdTotEnMet],"&gt;"&amp;($A406+8/24),tData[Langligger01],1)</f>
        <v/>
      </c>
      <c r="M406" s="20">
        <f>COUNTIFS(tData[SEHTrajectPeriodeDatumTijdVan],"&lt;="&amp;($A406+9/24),tData[SEHTrajectPeriodeDatumTijdTotEnMet],"&gt;"&amp;($A406+9/24),tData[Langligger01],1)</f>
        <v/>
      </c>
      <c r="N406" s="20">
        <f>COUNTIFS(tData[SEHTrajectPeriodeDatumTijdVan],"&lt;="&amp;($A406+10/24),tData[SEHTrajectPeriodeDatumTijdTotEnMet],"&gt;"&amp;($A406+10/24),tData[Langligger01],1)</f>
        <v/>
      </c>
      <c r="O406" s="20">
        <f>COUNTIFS(tData[SEHTrajectPeriodeDatumTijdVan],"&lt;="&amp;($A406+11/24),tData[SEHTrajectPeriodeDatumTijdTotEnMet],"&gt;"&amp;($A406+11/24),tData[Langligger01],1)</f>
        <v/>
      </c>
      <c r="P406" s="20">
        <f>COUNTIFS(tData[SEHTrajectPeriodeDatumTijdVan],"&lt;="&amp;($A406+12/24),tData[SEHTrajectPeriodeDatumTijdTotEnMet],"&gt;"&amp;($A406+12/24),tData[Langligger01],1)</f>
        <v/>
      </c>
      <c r="Q406" s="20">
        <f>COUNTIFS(tData[SEHTrajectPeriodeDatumTijdVan],"&lt;="&amp;($A406+13/24),tData[SEHTrajectPeriodeDatumTijdTotEnMet],"&gt;"&amp;($A406+13/24),tData[Langligger01],1)</f>
        <v/>
      </c>
      <c r="R406" s="20">
        <f>COUNTIFS(tData[SEHTrajectPeriodeDatumTijdVan],"&lt;="&amp;($A406+14/24),tData[SEHTrajectPeriodeDatumTijdTotEnMet],"&gt;"&amp;($A406+14/24),tData[Langligger01],1)</f>
        <v/>
      </c>
      <c r="S406" s="20">
        <f>COUNTIFS(tData[SEHTrajectPeriodeDatumTijdVan],"&lt;="&amp;($A406+15/24),tData[SEHTrajectPeriodeDatumTijdTotEnMet],"&gt;"&amp;($A406+15/24),tData[Langligger01],1)</f>
        <v/>
      </c>
      <c r="T406" s="20">
        <f>COUNTIFS(tData[SEHTrajectPeriodeDatumTijdVan],"&lt;="&amp;($A406+16/24),tData[SEHTrajectPeriodeDatumTijdTotEnMet],"&gt;"&amp;($A406+16/24),tData[Langligger01],1)</f>
        <v/>
      </c>
      <c r="U406" s="20">
        <f>COUNTIFS(tData[SEHTrajectPeriodeDatumTijdVan],"&lt;="&amp;($A406+17/24),tData[SEHTrajectPeriodeDatumTijdTotEnMet],"&gt;"&amp;($A406+17/24),tData[Langligger01],1)</f>
        <v/>
      </c>
      <c r="V406" s="20">
        <f>COUNTIFS(tData[SEHTrajectPeriodeDatumTijdVan],"&lt;="&amp;($A406+18/24),tData[SEHTrajectPeriodeDatumTijdTotEnMet],"&gt;"&amp;($A406+18/24),tData[Langligger01],1)</f>
        <v/>
      </c>
      <c r="W406" s="20">
        <f>COUNTIFS(tData[SEHTrajectPeriodeDatumTijdVan],"&lt;="&amp;($A406+19/24),tData[SEHTrajectPeriodeDatumTijdTotEnMet],"&gt;"&amp;($A406+19/24),tData[Langligger01],1)</f>
        <v/>
      </c>
      <c r="X406" s="20">
        <f>COUNTIFS(tData[SEHTrajectPeriodeDatumTijdVan],"&lt;="&amp;($A406+20/24),tData[SEHTrajectPeriodeDatumTijdTotEnMet],"&gt;"&amp;($A406+20/24),tData[Langligger01],1)</f>
        <v/>
      </c>
      <c r="Y406" s="20">
        <f>COUNTIFS(tData[SEHTrajectPeriodeDatumTijdVan],"&lt;="&amp;($A406+21/24),tData[SEHTrajectPeriodeDatumTijdTotEnMet],"&gt;"&amp;($A406+21/24),tData[Langligger01],1)</f>
        <v/>
      </c>
      <c r="Z406" s="20">
        <f>COUNTIFS(tData[SEHTrajectPeriodeDatumTijdVan],"&lt;="&amp;($A406+22/24),tData[SEHTrajectPeriodeDatumTijdTotEnMet],"&gt;"&amp;($A406+22/24),tData[Langligger01],1)</f>
        <v/>
      </c>
      <c r="AA406" s="20">
        <f>COUNTIFS(tData[SEHTrajectPeriodeDatumTijdVan],"&lt;="&amp;($A406+23/24),tData[SEHTrajectPeriodeDatumTijdTotEnMet],"&gt;"&amp;($A406+23/24),tData[Langligger01],1)</f>
        <v/>
      </c>
    </row>
    <row r="407">
      <c r="A407" s="19" t="n">
        <v>45695</v>
      </c>
      <c r="B407" s="15">
        <f>WEEKDAY($A407,2)</f>
        <v/>
      </c>
      <c r="C407" s="15">
        <f>IF(AND($A407&gt;=INT(Instellingen!$B$5),$A407&lt;=INT(Instellingen!$B$6)),1,0)</f>
        <v/>
      </c>
      <c r="D407" s="20">
        <f>COUNTIFS(tData[SEHTrajectPeriodeDatumTijdVan],"&lt;="&amp;($A407+0/24),tData[SEHTrajectPeriodeDatumTijdTotEnMet],"&gt;"&amp;($A407+0/24),tData[Langligger01],1)</f>
        <v/>
      </c>
      <c r="E407" s="20">
        <f>COUNTIFS(tData[SEHTrajectPeriodeDatumTijdVan],"&lt;="&amp;($A407+1/24),tData[SEHTrajectPeriodeDatumTijdTotEnMet],"&gt;"&amp;($A407+1/24),tData[Langligger01],1)</f>
        <v/>
      </c>
      <c r="F407" s="20">
        <f>COUNTIFS(tData[SEHTrajectPeriodeDatumTijdVan],"&lt;="&amp;($A407+2/24),tData[SEHTrajectPeriodeDatumTijdTotEnMet],"&gt;"&amp;($A407+2/24),tData[Langligger01],1)</f>
        <v/>
      </c>
      <c r="G407" s="20">
        <f>COUNTIFS(tData[SEHTrajectPeriodeDatumTijdVan],"&lt;="&amp;($A407+3/24),tData[SEHTrajectPeriodeDatumTijdTotEnMet],"&gt;"&amp;($A407+3/24),tData[Langligger01],1)</f>
        <v/>
      </c>
      <c r="H407" s="20">
        <f>COUNTIFS(tData[SEHTrajectPeriodeDatumTijdVan],"&lt;="&amp;($A407+4/24),tData[SEHTrajectPeriodeDatumTijdTotEnMet],"&gt;"&amp;($A407+4/24),tData[Langligger01],1)</f>
        <v/>
      </c>
      <c r="I407" s="20">
        <f>COUNTIFS(tData[SEHTrajectPeriodeDatumTijdVan],"&lt;="&amp;($A407+5/24),tData[SEHTrajectPeriodeDatumTijdTotEnMet],"&gt;"&amp;($A407+5/24),tData[Langligger01],1)</f>
        <v/>
      </c>
      <c r="J407" s="20">
        <f>COUNTIFS(tData[SEHTrajectPeriodeDatumTijdVan],"&lt;="&amp;($A407+6/24),tData[SEHTrajectPeriodeDatumTijdTotEnMet],"&gt;"&amp;($A407+6/24),tData[Langligger01],1)</f>
        <v/>
      </c>
      <c r="K407" s="20">
        <f>COUNTIFS(tData[SEHTrajectPeriodeDatumTijdVan],"&lt;="&amp;($A407+7/24),tData[SEHTrajectPeriodeDatumTijdTotEnMet],"&gt;"&amp;($A407+7/24),tData[Langligger01],1)</f>
        <v/>
      </c>
      <c r="L407" s="20">
        <f>COUNTIFS(tData[SEHTrajectPeriodeDatumTijdVan],"&lt;="&amp;($A407+8/24),tData[SEHTrajectPeriodeDatumTijdTotEnMet],"&gt;"&amp;($A407+8/24),tData[Langligger01],1)</f>
        <v/>
      </c>
      <c r="M407" s="20">
        <f>COUNTIFS(tData[SEHTrajectPeriodeDatumTijdVan],"&lt;="&amp;($A407+9/24),tData[SEHTrajectPeriodeDatumTijdTotEnMet],"&gt;"&amp;($A407+9/24),tData[Langligger01],1)</f>
        <v/>
      </c>
      <c r="N407" s="20">
        <f>COUNTIFS(tData[SEHTrajectPeriodeDatumTijdVan],"&lt;="&amp;($A407+10/24),tData[SEHTrajectPeriodeDatumTijdTotEnMet],"&gt;"&amp;($A407+10/24),tData[Langligger01],1)</f>
        <v/>
      </c>
      <c r="O407" s="20">
        <f>COUNTIFS(tData[SEHTrajectPeriodeDatumTijdVan],"&lt;="&amp;($A407+11/24),tData[SEHTrajectPeriodeDatumTijdTotEnMet],"&gt;"&amp;($A407+11/24),tData[Langligger01],1)</f>
        <v/>
      </c>
      <c r="P407" s="20">
        <f>COUNTIFS(tData[SEHTrajectPeriodeDatumTijdVan],"&lt;="&amp;($A407+12/24),tData[SEHTrajectPeriodeDatumTijdTotEnMet],"&gt;"&amp;($A407+12/24),tData[Langligger01],1)</f>
        <v/>
      </c>
      <c r="Q407" s="20">
        <f>COUNTIFS(tData[SEHTrajectPeriodeDatumTijdVan],"&lt;="&amp;($A407+13/24),tData[SEHTrajectPeriodeDatumTijdTotEnMet],"&gt;"&amp;($A407+13/24),tData[Langligger01],1)</f>
        <v/>
      </c>
      <c r="R407" s="20">
        <f>COUNTIFS(tData[SEHTrajectPeriodeDatumTijdVan],"&lt;="&amp;($A407+14/24),tData[SEHTrajectPeriodeDatumTijdTotEnMet],"&gt;"&amp;($A407+14/24),tData[Langligger01],1)</f>
        <v/>
      </c>
      <c r="S407" s="20">
        <f>COUNTIFS(tData[SEHTrajectPeriodeDatumTijdVan],"&lt;="&amp;($A407+15/24),tData[SEHTrajectPeriodeDatumTijdTotEnMet],"&gt;"&amp;($A407+15/24),tData[Langligger01],1)</f>
        <v/>
      </c>
      <c r="T407" s="20">
        <f>COUNTIFS(tData[SEHTrajectPeriodeDatumTijdVan],"&lt;="&amp;($A407+16/24),tData[SEHTrajectPeriodeDatumTijdTotEnMet],"&gt;"&amp;($A407+16/24),tData[Langligger01],1)</f>
        <v/>
      </c>
      <c r="U407" s="20">
        <f>COUNTIFS(tData[SEHTrajectPeriodeDatumTijdVan],"&lt;="&amp;($A407+17/24),tData[SEHTrajectPeriodeDatumTijdTotEnMet],"&gt;"&amp;($A407+17/24),tData[Langligger01],1)</f>
        <v/>
      </c>
      <c r="V407" s="20">
        <f>COUNTIFS(tData[SEHTrajectPeriodeDatumTijdVan],"&lt;="&amp;($A407+18/24),tData[SEHTrajectPeriodeDatumTijdTotEnMet],"&gt;"&amp;($A407+18/24),tData[Langligger01],1)</f>
        <v/>
      </c>
      <c r="W407" s="20">
        <f>COUNTIFS(tData[SEHTrajectPeriodeDatumTijdVan],"&lt;="&amp;($A407+19/24),tData[SEHTrajectPeriodeDatumTijdTotEnMet],"&gt;"&amp;($A407+19/24),tData[Langligger01],1)</f>
        <v/>
      </c>
      <c r="X407" s="20">
        <f>COUNTIFS(tData[SEHTrajectPeriodeDatumTijdVan],"&lt;="&amp;($A407+20/24),tData[SEHTrajectPeriodeDatumTijdTotEnMet],"&gt;"&amp;($A407+20/24),tData[Langligger01],1)</f>
        <v/>
      </c>
      <c r="Y407" s="20">
        <f>COUNTIFS(tData[SEHTrajectPeriodeDatumTijdVan],"&lt;="&amp;($A407+21/24),tData[SEHTrajectPeriodeDatumTijdTotEnMet],"&gt;"&amp;($A407+21/24),tData[Langligger01],1)</f>
        <v/>
      </c>
      <c r="Z407" s="20">
        <f>COUNTIFS(tData[SEHTrajectPeriodeDatumTijdVan],"&lt;="&amp;($A407+22/24),tData[SEHTrajectPeriodeDatumTijdTotEnMet],"&gt;"&amp;($A407+22/24),tData[Langligger01],1)</f>
        <v/>
      </c>
      <c r="AA407" s="20">
        <f>COUNTIFS(tData[SEHTrajectPeriodeDatumTijdVan],"&lt;="&amp;($A407+23/24),tData[SEHTrajectPeriodeDatumTijdTotEnMet],"&gt;"&amp;($A407+23/24),tData[Langligger01],1)</f>
        <v/>
      </c>
    </row>
    <row r="408">
      <c r="A408" s="19" t="n">
        <v>45696</v>
      </c>
      <c r="B408" s="15">
        <f>WEEKDAY($A408,2)</f>
        <v/>
      </c>
      <c r="C408" s="15">
        <f>IF(AND($A408&gt;=INT(Instellingen!$B$5),$A408&lt;=INT(Instellingen!$B$6)),1,0)</f>
        <v/>
      </c>
      <c r="D408" s="20">
        <f>COUNTIFS(tData[SEHTrajectPeriodeDatumTijdVan],"&lt;="&amp;($A408+0/24),tData[SEHTrajectPeriodeDatumTijdTotEnMet],"&gt;"&amp;($A408+0/24),tData[Langligger01],1)</f>
        <v/>
      </c>
      <c r="E408" s="20">
        <f>COUNTIFS(tData[SEHTrajectPeriodeDatumTijdVan],"&lt;="&amp;($A408+1/24),tData[SEHTrajectPeriodeDatumTijdTotEnMet],"&gt;"&amp;($A408+1/24),tData[Langligger01],1)</f>
        <v/>
      </c>
      <c r="F408" s="20">
        <f>COUNTIFS(tData[SEHTrajectPeriodeDatumTijdVan],"&lt;="&amp;($A408+2/24),tData[SEHTrajectPeriodeDatumTijdTotEnMet],"&gt;"&amp;($A408+2/24),tData[Langligger01],1)</f>
        <v/>
      </c>
      <c r="G408" s="20">
        <f>COUNTIFS(tData[SEHTrajectPeriodeDatumTijdVan],"&lt;="&amp;($A408+3/24),tData[SEHTrajectPeriodeDatumTijdTotEnMet],"&gt;"&amp;($A408+3/24),tData[Langligger01],1)</f>
        <v/>
      </c>
      <c r="H408" s="20">
        <f>COUNTIFS(tData[SEHTrajectPeriodeDatumTijdVan],"&lt;="&amp;($A408+4/24),tData[SEHTrajectPeriodeDatumTijdTotEnMet],"&gt;"&amp;($A408+4/24),tData[Langligger01],1)</f>
        <v/>
      </c>
      <c r="I408" s="20">
        <f>COUNTIFS(tData[SEHTrajectPeriodeDatumTijdVan],"&lt;="&amp;($A408+5/24),tData[SEHTrajectPeriodeDatumTijdTotEnMet],"&gt;"&amp;($A408+5/24),tData[Langligger01],1)</f>
        <v/>
      </c>
      <c r="J408" s="20">
        <f>COUNTIFS(tData[SEHTrajectPeriodeDatumTijdVan],"&lt;="&amp;($A408+6/24),tData[SEHTrajectPeriodeDatumTijdTotEnMet],"&gt;"&amp;($A408+6/24),tData[Langligger01],1)</f>
        <v/>
      </c>
      <c r="K408" s="20">
        <f>COUNTIFS(tData[SEHTrajectPeriodeDatumTijdVan],"&lt;="&amp;($A408+7/24),tData[SEHTrajectPeriodeDatumTijdTotEnMet],"&gt;"&amp;($A408+7/24),tData[Langligger01],1)</f>
        <v/>
      </c>
      <c r="L408" s="20">
        <f>COUNTIFS(tData[SEHTrajectPeriodeDatumTijdVan],"&lt;="&amp;($A408+8/24),tData[SEHTrajectPeriodeDatumTijdTotEnMet],"&gt;"&amp;($A408+8/24),tData[Langligger01],1)</f>
        <v/>
      </c>
      <c r="M408" s="20">
        <f>COUNTIFS(tData[SEHTrajectPeriodeDatumTijdVan],"&lt;="&amp;($A408+9/24),tData[SEHTrajectPeriodeDatumTijdTotEnMet],"&gt;"&amp;($A408+9/24),tData[Langligger01],1)</f>
        <v/>
      </c>
      <c r="N408" s="20">
        <f>COUNTIFS(tData[SEHTrajectPeriodeDatumTijdVan],"&lt;="&amp;($A408+10/24),tData[SEHTrajectPeriodeDatumTijdTotEnMet],"&gt;"&amp;($A408+10/24),tData[Langligger01],1)</f>
        <v/>
      </c>
      <c r="O408" s="20">
        <f>COUNTIFS(tData[SEHTrajectPeriodeDatumTijdVan],"&lt;="&amp;($A408+11/24),tData[SEHTrajectPeriodeDatumTijdTotEnMet],"&gt;"&amp;($A408+11/24),tData[Langligger01],1)</f>
        <v/>
      </c>
      <c r="P408" s="20">
        <f>COUNTIFS(tData[SEHTrajectPeriodeDatumTijdVan],"&lt;="&amp;($A408+12/24),tData[SEHTrajectPeriodeDatumTijdTotEnMet],"&gt;"&amp;($A408+12/24),tData[Langligger01],1)</f>
        <v/>
      </c>
      <c r="Q408" s="20">
        <f>COUNTIFS(tData[SEHTrajectPeriodeDatumTijdVan],"&lt;="&amp;($A408+13/24),tData[SEHTrajectPeriodeDatumTijdTotEnMet],"&gt;"&amp;($A408+13/24),tData[Langligger01],1)</f>
        <v/>
      </c>
      <c r="R408" s="20">
        <f>COUNTIFS(tData[SEHTrajectPeriodeDatumTijdVan],"&lt;="&amp;($A408+14/24),tData[SEHTrajectPeriodeDatumTijdTotEnMet],"&gt;"&amp;($A408+14/24),tData[Langligger01],1)</f>
        <v/>
      </c>
      <c r="S408" s="20">
        <f>COUNTIFS(tData[SEHTrajectPeriodeDatumTijdVan],"&lt;="&amp;($A408+15/24),tData[SEHTrajectPeriodeDatumTijdTotEnMet],"&gt;"&amp;($A408+15/24),tData[Langligger01],1)</f>
        <v/>
      </c>
      <c r="T408" s="20">
        <f>COUNTIFS(tData[SEHTrajectPeriodeDatumTijdVan],"&lt;="&amp;($A408+16/24),tData[SEHTrajectPeriodeDatumTijdTotEnMet],"&gt;"&amp;($A408+16/24),tData[Langligger01],1)</f>
        <v/>
      </c>
      <c r="U408" s="20">
        <f>COUNTIFS(tData[SEHTrajectPeriodeDatumTijdVan],"&lt;="&amp;($A408+17/24),tData[SEHTrajectPeriodeDatumTijdTotEnMet],"&gt;"&amp;($A408+17/24),tData[Langligger01],1)</f>
        <v/>
      </c>
      <c r="V408" s="20">
        <f>COUNTIFS(tData[SEHTrajectPeriodeDatumTijdVan],"&lt;="&amp;($A408+18/24),tData[SEHTrajectPeriodeDatumTijdTotEnMet],"&gt;"&amp;($A408+18/24),tData[Langligger01],1)</f>
        <v/>
      </c>
      <c r="W408" s="20">
        <f>COUNTIFS(tData[SEHTrajectPeriodeDatumTijdVan],"&lt;="&amp;($A408+19/24),tData[SEHTrajectPeriodeDatumTijdTotEnMet],"&gt;"&amp;($A408+19/24),tData[Langligger01],1)</f>
        <v/>
      </c>
      <c r="X408" s="20">
        <f>COUNTIFS(tData[SEHTrajectPeriodeDatumTijdVan],"&lt;="&amp;($A408+20/24),tData[SEHTrajectPeriodeDatumTijdTotEnMet],"&gt;"&amp;($A408+20/24),tData[Langligger01],1)</f>
        <v/>
      </c>
      <c r="Y408" s="20">
        <f>COUNTIFS(tData[SEHTrajectPeriodeDatumTijdVan],"&lt;="&amp;($A408+21/24),tData[SEHTrajectPeriodeDatumTijdTotEnMet],"&gt;"&amp;($A408+21/24),tData[Langligger01],1)</f>
        <v/>
      </c>
      <c r="Z408" s="20">
        <f>COUNTIFS(tData[SEHTrajectPeriodeDatumTijdVan],"&lt;="&amp;($A408+22/24),tData[SEHTrajectPeriodeDatumTijdTotEnMet],"&gt;"&amp;($A408+22/24),tData[Langligger01],1)</f>
        <v/>
      </c>
      <c r="AA408" s="20">
        <f>COUNTIFS(tData[SEHTrajectPeriodeDatumTijdVan],"&lt;="&amp;($A408+23/24),tData[SEHTrajectPeriodeDatumTijdTotEnMet],"&gt;"&amp;($A408+23/24),tData[Langligger01],1)</f>
        <v/>
      </c>
    </row>
    <row r="409">
      <c r="A409" s="19" t="n">
        <v>45697</v>
      </c>
      <c r="B409" s="15">
        <f>WEEKDAY($A409,2)</f>
        <v/>
      </c>
      <c r="C409" s="15">
        <f>IF(AND($A409&gt;=INT(Instellingen!$B$5),$A409&lt;=INT(Instellingen!$B$6)),1,0)</f>
        <v/>
      </c>
      <c r="D409" s="20">
        <f>COUNTIFS(tData[SEHTrajectPeriodeDatumTijdVan],"&lt;="&amp;($A409+0/24),tData[SEHTrajectPeriodeDatumTijdTotEnMet],"&gt;"&amp;($A409+0/24),tData[Langligger01],1)</f>
        <v/>
      </c>
      <c r="E409" s="20">
        <f>COUNTIFS(tData[SEHTrajectPeriodeDatumTijdVan],"&lt;="&amp;($A409+1/24),tData[SEHTrajectPeriodeDatumTijdTotEnMet],"&gt;"&amp;($A409+1/24),tData[Langligger01],1)</f>
        <v/>
      </c>
      <c r="F409" s="20">
        <f>COUNTIFS(tData[SEHTrajectPeriodeDatumTijdVan],"&lt;="&amp;($A409+2/24),tData[SEHTrajectPeriodeDatumTijdTotEnMet],"&gt;"&amp;($A409+2/24),tData[Langligger01],1)</f>
        <v/>
      </c>
      <c r="G409" s="20">
        <f>COUNTIFS(tData[SEHTrajectPeriodeDatumTijdVan],"&lt;="&amp;($A409+3/24),tData[SEHTrajectPeriodeDatumTijdTotEnMet],"&gt;"&amp;($A409+3/24),tData[Langligger01],1)</f>
        <v/>
      </c>
      <c r="H409" s="20">
        <f>COUNTIFS(tData[SEHTrajectPeriodeDatumTijdVan],"&lt;="&amp;($A409+4/24),tData[SEHTrajectPeriodeDatumTijdTotEnMet],"&gt;"&amp;($A409+4/24),tData[Langligger01],1)</f>
        <v/>
      </c>
      <c r="I409" s="20">
        <f>COUNTIFS(tData[SEHTrajectPeriodeDatumTijdVan],"&lt;="&amp;($A409+5/24),tData[SEHTrajectPeriodeDatumTijdTotEnMet],"&gt;"&amp;($A409+5/24),tData[Langligger01],1)</f>
        <v/>
      </c>
      <c r="J409" s="20">
        <f>COUNTIFS(tData[SEHTrajectPeriodeDatumTijdVan],"&lt;="&amp;($A409+6/24),tData[SEHTrajectPeriodeDatumTijdTotEnMet],"&gt;"&amp;($A409+6/24),tData[Langligger01],1)</f>
        <v/>
      </c>
      <c r="K409" s="20">
        <f>COUNTIFS(tData[SEHTrajectPeriodeDatumTijdVan],"&lt;="&amp;($A409+7/24),tData[SEHTrajectPeriodeDatumTijdTotEnMet],"&gt;"&amp;($A409+7/24),tData[Langligger01],1)</f>
        <v/>
      </c>
      <c r="L409" s="20">
        <f>COUNTIFS(tData[SEHTrajectPeriodeDatumTijdVan],"&lt;="&amp;($A409+8/24),tData[SEHTrajectPeriodeDatumTijdTotEnMet],"&gt;"&amp;($A409+8/24),tData[Langligger01],1)</f>
        <v/>
      </c>
      <c r="M409" s="20">
        <f>COUNTIFS(tData[SEHTrajectPeriodeDatumTijdVan],"&lt;="&amp;($A409+9/24),tData[SEHTrajectPeriodeDatumTijdTotEnMet],"&gt;"&amp;($A409+9/24),tData[Langligger01],1)</f>
        <v/>
      </c>
      <c r="N409" s="20">
        <f>COUNTIFS(tData[SEHTrajectPeriodeDatumTijdVan],"&lt;="&amp;($A409+10/24),tData[SEHTrajectPeriodeDatumTijdTotEnMet],"&gt;"&amp;($A409+10/24),tData[Langligger01],1)</f>
        <v/>
      </c>
      <c r="O409" s="20">
        <f>COUNTIFS(tData[SEHTrajectPeriodeDatumTijdVan],"&lt;="&amp;($A409+11/24),tData[SEHTrajectPeriodeDatumTijdTotEnMet],"&gt;"&amp;($A409+11/24),tData[Langligger01],1)</f>
        <v/>
      </c>
      <c r="P409" s="20">
        <f>COUNTIFS(tData[SEHTrajectPeriodeDatumTijdVan],"&lt;="&amp;($A409+12/24),tData[SEHTrajectPeriodeDatumTijdTotEnMet],"&gt;"&amp;($A409+12/24),tData[Langligger01],1)</f>
        <v/>
      </c>
      <c r="Q409" s="20">
        <f>COUNTIFS(tData[SEHTrajectPeriodeDatumTijdVan],"&lt;="&amp;($A409+13/24),tData[SEHTrajectPeriodeDatumTijdTotEnMet],"&gt;"&amp;($A409+13/24),tData[Langligger01],1)</f>
        <v/>
      </c>
      <c r="R409" s="20">
        <f>COUNTIFS(tData[SEHTrajectPeriodeDatumTijdVan],"&lt;="&amp;($A409+14/24),tData[SEHTrajectPeriodeDatumTijdTotEnMet],"&gt;"&amp;($A409+14/24),tData[Langligger01],1)</f>
        <v/>
      </c>
      <c r="S409" s="20">
        <f>COUNTIFS(tData[SEHTrajectPeriodeDatumTijdVan],"&lt;="&amp;($A409+15/24),tData[SEHTrajectPeriodeDatumTijdTotEnMet],"&gt;"&amp;($A409+15/24),tData[Langligger01],1)</f>
        <v/>
      </c>
      <c r="T409" s="20">
        <f>COUNTIFS(tData[SEHTrajectPeriodeDatumTijdVan],"&lt;="&amp;($A409+16/24),tData[SEHTrajectPeriodeDatumTijdTotEnMet],"&gt;"&amp;($A409+16/24),tData[Langligger01],1)</f>
        <v/>
      </c>
      <c r="U409" s="20">
        <f>COUNTIFS(tData[SEHTrajectPeriodeDatumTijdVan],"&lt;="&amp;($A409+17/24),tData[SEHTrajectPeriodeDatumTijdTotEnMet],"&gt;"&amp;($A409+17/24),tData[Langligger01],1)</f>
        <v/>
      </c>
      <c r="V409" s="20">
        <f>COUNTIFS(tData[SEHTrajectPeriodeDatumTijdVan],"&lt;="&amp;($A409+18/24),tData[SEHTrajectPeriodeDatumTijdTotEnMet],"&gt;"&amp;($A409+18/24),tData[Langligger01],1)</f>
        <v/>
      </c>
      <c r="W409" s="20">
        <f>COUNTIFS(tData[SEHTrajectPeriodeDatumTijdVan],"&lt;="&amp;($A409+19/24),tData[SEHTrajectPeriodeDatumTijdTotEnMet],"&gt;"&amp;($A409+19/24),tData[Langligger01],1)</f>
        <v/>
      </c>
      <c r="X409" s="20">
        <f>COUNTIFS(tData[SEHTrajectPeriodeDatumTijdVan],"&lt;="&amp;($A409+20/24),tData[SEHTrajectPeriodeDatumTijdTotEnMet],"&gt;"&amp;($A409+20/24),tData[Langligger01],1)</f>
        <v/>
      </c>
      <c r="Y409" s="20">
        <f>COUNTIFS(tData[SEHTrajectPeriodeDatumTijdVan],"&lt;="&amp;($A409+21/24),tData[SEHTrajectPeriodeDatumTijdTotEnMet],"&gt;"&amp;($A409+21/24),tData[Langligger01],1)</f>
        <v/>
      </c>
      <c r="Z409" s="20">
        <f>COUNTIFS(tData[SEHTrajectPeriodeDatumTijdVan],"&lt;="&amp;($A409+22/24),tData[SEHTrajectPeriodeDatumTijdTotEnMet],"&gt;"&amp;($A409+22/24),tData[Langligger01],1)</f>
        <v/>
      </c>
      <c r="AA409" s="20">
        <f>COUNTIFS(tData[SEHTrajectPeriodeDatumTijdVan],"&lt;="&amp;($A409+23/24),tData[SEHTrajectPeriodeDatumTijdTotEnMet],"&gt;"&amp;($A409+23/24),tData[Langligger01],1)</f>
        <v/>
      </c>
    </row>
    <row r="410">
      <c r="A410" s="19" t="n">
        <v>45698</v>
      </c>
      <c r="B410" s="15">
        <f>WEEKDAY($A410,2)</f>
        <v/>
      </c>
      <c r="C410" s="15">
        <f>IF(AND($A410&gt;=INT(Instellingen!$B$5),$A410&lt;=INT(Instellingen!$B$6)),1,0)</f>
        <v/>
      </c>
      <c r="D410" s="20">
        <f>COUNTIFS(tData[SEHTrajectPeriodeDatumTijdVan],"&lt;="&amp;($A410+0/24),tData[SEHTrajectPeriodeDatumTijdTotEnMet],"&gt;"&amp;($A410+0/24),tData[Langligger01],1)</f>
        <v/>
      </c>
      <c r="E410" s="20">
        <f>COUNTIFS(tData[SEHTrajectPeriodeDatumTijdVan],"&lt;="&amp;($A410+1/24),tData[SEHTrajectPeriodeDatumTijdTotEnMet],"&gt;"&amp;($A410+1/24),tData[Langligger01],1)</f>
        <v/>
      </c>
      <c r="F410" s="20">
        <f>COUNTIFS(tData[SEHTrajectPeriodeDatumTijdVan],"&lt;="&amp;($A410+2/24),tData[SEHTrajectPeriodeDatumTijdTotEnMet],"&gt;"&amp;($A410+2/24),tData[Langligger01],1)</f>
        <v/>
      </c>
      <c r="G410" s="20">
        <f>COUNTIFS(tData[SEHTrajectPeriodeDatumTijdVan],"&lt;="&amp;($A410+3/24),tData[SEHTrajectPeriodeDatumTijdTotEnMet],"&gt;"&amp;($A410+3/24),tData[Langligger01],1)</f>
        <v/>
      </c>
      <c r="H410" s="20">
        <f>COUNTIFS(tData[SEHTrajectPeriodeDatumTijdVan],"&lt;="&amp;($A410+4/24),tData[SEHTrajectPeriodeDatumTijdTotEnMet],"&gt;"&amp;($A410+4/24),tData[Langligger01],1)</f>
        <v/>
      </c>
      <c r="I410" s="20">
        <f>COUNTIFS(tData[SEHTrajectPeriodeDatumTijdVan],"&lt;="&amp;($A410+5/24),tData[SEHTrajectPeriodeDatumTijdTotEnMet],"&gt;"&amp;($A410+5/24),tData[Langligger01],1)</f>
        <v/>
      </c>
      <c r="J410" s="20">
        <f>COUNTIFS(tData[SEHTrajectPeriodeDatumTijdVan],"&lt;="&amp;($A410+6/24),tData[SEHTrajectPeriodeDatumTijdTotEnMet],"&gt;"&amp;($A410+6/24),tData[Langligger01],1)</f>
        <v/>
      </c>
      <c r="K410" s="20">
        <f>COUNTIFS(tData[SEHTrajectPeriodeDatumTijdVan],"&lt;="&amp;($A410+7/24),tData[SEHTrajectPeriodeDatumTijdTotEnMet],"&gt;"&amp;($A410+7/24),tData[Langligger01],1)</f>
        <v/>
      </c>
      <c r="L410" s="20">
        <f>COUNTIFS(tData[SEHTrajectPeriodeDatumTijdVan],"&lt;="&amp;($A410+8/24),tData[SEHTrajectPeriodeDatumTijdTotEnMet],"&gt;"&amp;($A410+8/24),tData[Langligger01],1)</f>
        <v/>
      </c>
      <c r="M410" s="20">
        <f>COUNTIFS(tData[SEHTrajectPeriodeDatumTijdVan],"&lt;="&amp;($A410+9/24),tData[SEHTrajectPeriodeDatumTijdTotEnMet],"&gt;"&amp;($A410+9/24),tData[Langligger01],1)</f>
        <v/>
      </c>
      <c r="N410" s="20">
        <f>COUNTIFS(tData[SEHTrajectPeriodeDatumTijdVan],"&lt;="&amp;($A410+10/24),tData[SEHTrajectPeriodeDatumTijdTotEnMet],"&gt;"&amp;($A410+10/24),tData[Langligger01],1)</f>
        <v/>
      </c>
      <c r="O410" s="20">
        <f>COUNTIFS(tData[SEHTrajectPeriodeDatumTijdVan],"&lt;="&amp;($A410+11/24),tData[SEHTrajectPeriodeDatumTijdTotEnMet],"&gt;"&amp;($A410+11/24),tData[Langligger01],1)</f>
        <v/>
      </c>
      <c r="P410" s="20">
        <f>COUNTIFS(tData[SEHTrajectPeriodeDatumTijdVan],"&lt;="&amp;($A410+12/24),tData[SEHTrajectPeriodeDatumTijdTotEnMet],"&gt;"&amp;($A410+12/24),tData[Langligger01],1)</f>
        <v/>
      </c>
      <c r="Q410" s="20">
        <f>COUNTIFS(tData[SEHTrajectPeriodeDatumTijdVan],"&lt;="&amp;($A410+13/24),tData[SEHTrajectPeriodeDatumTijdTotEnMet],"&gt;"&amp;($A410+13/24),tData[Langligger01],1)</f>
        <v/>
      </c>
      <c r="R410" s="20">
        <f>COUNTIFS(tData[SEHTrajectPeriodeDatumTijdVan],"&lt;="&amp;($A410+14/24),tData[SEHTrajectPeriodeDatumTijdTotEnMet],"&gt;"&amp;($A410+14/24),tData[Langligger01],1)</f>
        <v/>
      </c>
      <c r="S410" s="20">
        <f>COUNTIFS(tData[SEHTrajectPeriodeDatumTijdVan],"&lt;="&amp;($A410+15/24),tData[SEHTrajectPeriodeDatumTijdTotEnMet],"&gt;"&amp;($A410+15/24),tData[Langligger01],1)</f>
        <v/>
      </c>
      <c r="T410" s="20">
        <f>COUNTIFS(tData[SEHTrajectPeriodeDatumTijdVan],"&lt;="&amp;($A410+16/24),tData[SEHTrajectPeriodeDatumTijdTotEnMet],"&gt;"&amp;($A410+16/24),tData[Langligger01],1)</f>
        <v/>
      </c>
      <c r="U410" s="20">
        <f>COUNTIFS(tData[SEHTrajectPeriodeDatumTijdVan],"&lt;="&amp;($A410+17/24),tData[SEHTrajectPeriodeDatumTijdTotEnMet],"&gt;"&amp;($A410+17/24),tData[Langligger01],1)</f>
        <v/>
      </c>
      <c r="V410" s="20">
        <f>COUNTIFS(tData[SEHTrajectPeriodeDatumTijdVan],"&lt;="&amp;($A410+18/24),tData[SEHTrajectPeriodeDatumTijdTotEnMet],"&gt;"&amp;($A410+18/24),tData[Langligger01],1)</f>
        <v/>
      </c>
      <c r="W410" s="20">
        <f>COUNTIFS(tData[SEHTrajectPeriodeDatumTijdVan],"&lt;="&amp;($A410+19/24),tData[SEHTrajectPeriodeDatumTijdTotEnMet],"&gt;"&amp;($A410+19/24),tData[Langligger01],1)</f>
        <v/>
      </c>
      <c r="X410" s="20">
        <f>COUNTIFS(tData[SEHTrajectPeriodeDatumTijdVan],"&lt;="&amp;($A410+20/24),tData[SEHTrajectPeriodeDatumTijdTotEnMet],"&gt;"&amp;($A410+20/24),tData[Langligger01],1)</f>
        <v/>
      </c>
      <c r="Y410" s="20">
        <f>COUNTIFS(tData[SEHTrajectPeriodeDatumTijdVan],"&lt;="&amp;($A410+21/24),tData[SEHTrajectPeriodeDatumTijdTotEnMet],"&gt;"&amp;($A410+21/24),tData[Langligger01],1)</f>
        <v/>
      </c>
      <c r="Z410" s="20">
        <f>COUNTIFS(tData[SEHTrajectPeriodeDatumTijdVan],"&lt;="&amp;($A410+22/24),tData[SEHTrajectPeriodeDatumTijdTotEnMet],"&gt;"&amp;($A410+22/24),tData[Langligger01],1)</f>
        <v/>
      </c>
      <c r="AA410" s="20">
        <f>COUNTIFS(tData[SEHTrajectPeriodeDatumTijdVan],"&lt;="&amp;($A410+23/24),tData[SEHTrajectPeriodeDatumTijdTotEnMet],"&gt;"&amp;($A410+23/24),tData[Langligger01],1)</f>
        <v/>
      </c>
    </row>
    <row r="411">
      <c r="A411" s="19" t="n">
        <v>45699</v>
      </c>
      <c r="B411" s="15">
        <f>WEEKDAY($A411,2)</f>
        <v/>
      </c>
      <c r="C411" s="15">
        <f>IF(AND($A411&gt;=INT(Instellingen!$B$5),$A411&lt;=INT(Instellingen!$B$6)),1,0)</f>
        <v/>
      </c>
      <c r="D411" s="20">
        <f>COUNTIFS(tData[SEHTrajectPeriodeDatumTijdVan],"&lt;="&amp;($A411+0/24),tData[SEHTrajectPeriodeDatumTijdTotEnMet],"&gt;"&amp;($A411+0/24),tData[Langligger01],1)</f>
        <v/>
      </c>
      <c r="E411" s="20">
        <f>COUNTIFS(tData[SEHTrajectPeriodeDatumTijdVan],"&lt;="&amp;($A411+1/24),tData[SEHTrajectPeriodeDatumTijdTotEnMet],"&gt;"&amp;($A411+1/24),tData[Langligger01],1)</f>
        <v/>
      </c>
      <c r="F411" s="20">
        <f>COUNTIFS(tData[SEHTrajectPeriodeDatumTijdVan],"&lt;="&amp;($A411+2/24),tData[SEHTrajectPeriodeDatumTijdTotEnMet],"&gt;"&amp;($A411+2/24),tData[Langligger01],1)</f>
        <v/>
      </c>
      <c r="G411" s="20">
        <f>COUNTIFS(tData[SEHTrajectPeriodeDatumTijdVan],"&lt;="&amp;($A411+3/24),tData[SEHTrajectPeriodeDatumTijdTotEnMet],"&gt;"&amp;($A411+3/24),tData[Langligger01],1)</f>
        <v/>
      </c>
      <c r="H411" s="20">
        <f>COUNTIFS(tData[SEHTrajectPeriodeDatumTijdVan],"&lt;="&amp;($A411+4/24),tData[SEHTrajectPeriodeDatumTijdTotEnMet],"&gt;"&amp;($A411+4/24),tData[Langligger01],1)</f>
        <v/>
      </c>
      <c r="I411" s="20">
        <f>COUNTIFS(tData[SEHTrajectPeriodeDatumTijdVan],"&lt;="&amp;($A411+5/24),tData[SEHTrajectPeriodeDatumTijdTotEnMet],"&gt;"&amp;($A411+5/24),tData[Langligger01],1)</f>
        <v/>
      </c>
      <c r="J411" s="20">
        <f>COUNTIFS(tData[SEHTrajectPeriodeDatumTijdVan],"&lt;="&amp;($A411+6/24),tData[SEHTrajectPeriodeDatumTijdTotEnMet],"&gt;"&amp;($A411+6/24),tData[Langligger01],1)</f>
        <v/>
      </c>
      <c r="K411" s="20">
        <f>COUNTIFS(tData[SEHTrajectPeriodeDatumTijdVan],"&lt;="&amp;($A411+7/24),tData[SEHTrajectPeriodeDatumTijdTotEnMet],"&gt;"&amp;($A411+7/24),tData[Langligger01],1)</f>
        <v/>
      </c>
      <c r="L411" s="20">
        <f>COUNTIFS(tData[SEHTrajectPeriodeDatumTijdVan],"&lt;="&amp;($A411+8/24),tData[SEHTrajectPeriodeDatumTijdTotEnMet],"&gt;"&amp;($A411+8/24),tData[Langligger01],1)</f>
        <v/>
      </c>
      <c r="M411" s="20">
        <f>COUNTIFS(tData[SEHTrajectPeriodeDatumTijdVan],"&lt;="&amp;($A411+9/24),tData[SEHTrajectPeriodeDatumTijdTotEnMet],"&gt;"&amp;($A411+9/24),tData[Langligger01],1)</f>
        <v/>
      </c>
      <c r="N411" s="20">
        <f>COUNTIFS(tData[SEHTrajectPeriodeDatumTijdVan],"&lt;="&amp;($A411+10/24),tData[SEHTrajectPeriodeDatumTijdTotEnMet],"&gt;"&amp;($A411+10/24),tData[Langligger01],1)</f>
        <v/>
      </c>
      <c r="O411" s="20">
        <f>COUNTIFS(tData[SEHTrajectPeriodeDatumTijdVan],"&lt;="&amp;($A411+11/24),tData[SEHTrajectPeriodeDatumTijdTotEnMet],"&gt;"&amp;($A411+11/24),tData[Langligger01],1)</f>
        <v/>
      </c>
      <c r="P411" s="20">
        <f>COUNTIFS(tData[SEHTrajectPeriodeDatumTijdVan],"&lt;="&amp;($A411+12/24),tData[SEHTrajectPeriodeDatumTijdTotEnMet],"&gt;"&amp;($A411+12/24),tData[Langligger01],1)</f>
        <v/>
      </c>
      <c r="Q411" s="20">
        <f>COUNTIFS(tData[SEHTrajectPeriodeDatumTijdVan],"&lt;="&amp;($A411+13/24),tData[SEHTrajectPeriodeDatumTijdTotEnMet],"&gt;"&amp;($A411+13/24),tData[Langligger01],1)</f>
        <v/>
      </c>
      <c r="R411" s="20">
        <f>COUNTIFS(tData[SEHTrajectPeriodeDatumTijdVan],"&lt;="&amp;($A411+14/24),tData[SEHTrajectPeriodeDatumTijdTotEnMet],"&gt;"&amp;($A411+14/24),tData[Langligger01],1)</f>
        <v/>
      </c>
      <c r="S411" s="20">
        <f>COUNTIFS(tData[SEHTrajectPeriodeDatumTijdVan],"&lt;="&amp;($A411+15/24),tData[SEHTrajectPeriodeDatumTijdTotEnMet],"&gt;"&amp;($A411+15/24),tData[Langligger01],1)</f>
        <v/>
      </c>
      <c r="T411" s="20">
        <f>COUNTIFS(tData[SEHTrajectPeriodeDatumTijdVan],"&lt;="&amp;($A411+16/24),tData[SEHTrajectPeriodeDatumTijdTotEnMet],"&gt;"&amp;($A411+16/24),tData[Langligger01],1)</f>
        <v/>
      </c>
      <c r="U411" s="20">
        <f>COUNTIFS(tData[SEHTrajectPeriodeDatumTijdVan],"&lt;="&amp;($A411+17/24),tData[SEHTrajectPeriodeDatumTijdTotEnMet],"&gt;"&amp;($A411+17/24),tData[Langligger01],1)</f>
        <v/>
      </c>
      <c r="V411" s="20">
        <f>COUNTIFS(tData[SEHTrajectPeriodeDatumTijdVan],"&lt;="&amp;($A411+18/24),tData[SEHTrajectPeriodeDatumTijdTotEnMet],"&gt;"&amp;($A411+18/24),tData[Langligger01],1)</f>
        <v/>
      </c>
      <c r="W411" s="20">
        <f>COUNTIFS(tData[SEHTrajectPeriodeDatumTijdVan],"&lt;="&amp;($A411+19/24),tData[SEHTrajectPeriodeDatumTijdTotEnMet],"&gt;"&amp;($A411+19/24),tData[Langligger01],1)</f>
        <v/>
      </c>
      <c r="X411" s="20">
        <f>COUNTIFS(tData[SEHTrajectPeriodeDatumTijdVan],"&lt;="&amp;($A411+20/24),tData[SEHTrajectPeriodeDatumTijdTotEnMet],"&gt;"&amp;($A411+20/24),tData[Langligger01],1)</f>
        <v/>
      </c>
      <c r="Y411" s="20">
        <f>COUNTIFS(tData[SEHTrajectPeriodeDatumTijdVan],"&lt;="&amp;($A411+21/24),tData[SEHTrajectPeriodeDatumTijdTotEnMet],"&gt;"&amp;($A411+21/24),tData[Langligger01],1)</f>
        <v/>
      </c>
      <c r="Z411" s="20">
        <f>COUNTIFS(tData[SEHTrajectPeriodeDatumTijdVan],"&lt;="&amp;($A411+22/24),tData[SEHTrajectPeriodeDatumTijdTotEnMet],"&gt;"&amp;($A411+22/24),tData[Langligger01],1)</f>
        <v/>
      </c>
      <c r="AA411" s="20">
        <f>COUNTIFS(tData[SEHTrajectPeriodeDatumTijdVan],"&lt;="&amp;($A411+23/24),tData[SEHTrajectPeriodeDatumTijdTotEnMet],"&gt;"&amp;($A411+23/24),tData[Langligger01],1)</f>
        <v/>
      </c>
    </row>
    <row r="412">
      <c r="A412" s="19" t="n">
        <v>45700</v>
      </c>
      <c r="B412" s="15">
        <f>WEEKDAY($A412,2)</f>
        <v/>
      </c>
      <c r="C412" s="15">
        <f>IF(AND($A412&gt;=INT(Instellingen!$B$5),$A412&lt;=INT(Instellingen!$B$6)),1,0)</f>
        <v/>
      </c>
      <c r="D412" s="20">
        <f>COUNTIFS(tData[SEHTrajectPeriodeDatumTijdVan],"&lt;="&amp;($A412+0/24),tData[SEHTrajectPeriodeDatumTijdTotEnMet],"&gt;"&amp;($A412+0/24),tData[Langligger01],1)</f>
        <v/>
      </c>
      <c r="E412" s="20">
        <f>COUNTIFS(tData[SEHTrajectPeriodeDatumTijdVan],"&lt;="&amp;($A412+1/24),tData[SEHTrajectPeriodeDatumTijdTotEnMet],"&gt;"&amp;($A412+1/24),tData[Langligger01],1)</f>
        <v/>
      </c>
      <c r="F412" s="20">
        <f>COUNTIFS(tData[SEHTrajectPeriodeDatumTijdVan],"&lt;="&amp;($A412+2/24),tData[SEHTrajectPeriodeDatumTijdTotEnMet],"&gt;"&amp;($A412+2/24),tData[Langligger01],1)</f>
        <v/>
      </c>
      <c r="G412" s="20">
        <f>COUNTIFS(tData[SEHTrajectPeriodeDatumTijdVan],"&lt;="&amp;($A412+3/24),tData[SEHTrajectPeriodeDatumTijdTotEnMet],"&gt;"&amp;($A412+3/24),tData[Langligger01],1)</f>
        <v/>
      </c>
      <c r="H412" s="20">
        <f>COUNTIFS(tData[SEHTrajectPeriodeDatumTijdVan],"&lt;="&amp;($A412+4/24),tData[SEHTrajectPeriodeDatumTijdTotEnMet],"&gt;"&amp;($A412+4/24),tData[Langligger01],1)</f>
        <v/>
      </c>
      <c r="I412" s="20">
        <f>COUNTIFS(tData[SEHTrajectPeriodeDatumTijdVan],"&lt;="&amp;($A412+5/24),tData[SEHTrajectPeriodeDatumTijdTotEnMet],"&gt;"&amp;($A412+5/24),tData[Langligger01],1)</f>
        <v/>
      </c>
      <c r="J412" s="20">
        <f>COUNTIFS(tData[SEHTrajectPeriodeDatumTijdVan],"&lt;="&amp;($A412+6/24),tData[SEHTrajectPeriodeDatumTijdTotEnMet],"&gt;"&amp;($A412+6/24),tData[Langligger01],1)</f>
        <v/>
      </c>
      <c r="K412" s="20">
        <f>COUNTIFS(tData[SEHTrajectPeriodeDatumTijdVan],"&lt;="&amp;($A412+7/24),tData[SEHTrajectPeriodeDatumTijdTotEnMet],"&gt;"&amp;($A412+7/24),tData[Langligger01],1)</f>
        <v/>
      </c>
      <c r="L412" s="20">
        <f>COUNTIFS(tData[SEHTrajectPeriodeDatumTijdVan],"&lt;="&amp;($A412+8/24),tData[SEHTrajectPeriodeDatumTijdTotEnMet],"&gt;"&amp;($A412+8/24),tData[Langligger01],1)</f>
        <v/>
      </c>
      <c r="M412" s="20">
        <f>COUNTIFS(tData[SEHTrajectPeriodeDatumTijdVan],"&lt;="&amp;($A412+9/24),tData[SEHTrajectPeriodeDatumTijdTotEnMet],"&gt;"&amp;($A412+9/24),tData[Langligger01],1)</f>
        <v/>
      </c>
      <c r="N412" s="20">
        <f>COUNTIFS(tData[SEHTrajectPeriodeDatumTijdVan],"&lt;="&amp;($A412+10/24),tData[SEHTrajectPeriodeDatumTijdTotEnMet],"&gt;"&amp;($A412+10/24),tData[Langligger01],1)</f>
        <v/>
      </c>
      <c r="O412" s="20">
        <f>COUNTIFS(tData[SEHTrajectPeriodeDatumTijdVan],"&lt;="&amp;($A412+11/24),tData[SEHTrajectPeriodeDatumTijdTotEnMet],"&gt;"&amp;($A412+11/24),tData[Langligger01],1)</f>
        <v/>
      </c>
      <c r="P412" s="20">
        <f>COUNTIFS(tData[SEHTrajectPeriodeDatumTijdVan],"&lt;="&amp;($A412+12/24),tData[SEHTrajectPeriodeDatumTijdTotEnMet],"&gt;"&amp;($A412+12/24),tData[Langligger01],1)</f>
        <v/>
      </c>
      <c r="Q412" s="20">
        <f>COUNTIFS(tData[SEHTrajectPeriodeDatumTijdVan],"&lt;="&amp;($A412+13/24),tData[SEHTrajectPeriodeDatumTijdTotEnMet],"&gt;"&amp;($A412+13/24),tData[Langligger01],1)</f>
        <v/>
      </c>
      <c r="R412" s="20">
        <f>COUNTIFS(tData[SEHTrajectPeriodeDatumTijdVan],"&lt;="&amp;($A412+14/24),tData[SEHTrajectPeriodeDatumTijdTotEnMet],"&gt;"&amp;($A412+14/24),tData[Langligger01],1)</f>
        <v/>
      </c>
      <c r="S412" s="20">
        <f>COUNTIFS(tData[SEHTrajectPeriodeDatumTijdVan],"&lt;="&amp;($A412+15/24),tData[SEHTrajectPeriodeDatumTijdTotEnMet],"&gt;"&amp;($A412+15/24),tData[Langligger01],1)</f>
        <v/>
      </c>
      <c r="T412" s="20">
        <f>COUNTIFS(tData[SEHTrajectPeriodeDatumTijdVan],"&lt;="&amp;($A412+16/24),tData[SEHTrajectPeriodeDatumTijdTotEnMet],"&gt;"&amp;($A412+16/24),tData[Langligger01],1)</f>
        <v/>
      </c>
      <c r="U412" s="20">
        <f>COUNTIFS(tData[SEHTrajectPeriodeDatumTijdVan],"&lt;="&amp;($A412+17/24),tData[SEHTrajectPeriodeDatumTijdTotEnMet],"&gt;"&amp;($A412+17/24),tData[Langligger01],1)</f>
        <v/>
      </c>
      <c r="V412" s="20">
        <f>COUNTIFS(tData[SEHTrajectPeriodeDatumTijdVan],"&lt;="&amp;($A412+18/24),tData[SEHTrajectPeriodeDatumTijdTotEnMet],"&gt;"&amp;($A412+18/24),tData[Langligger01],1)</f>
        <v/>
      </c>
      <c r="W412" s="20">
        <f>COUNTIFS(tData[SEHTrajectPeriodeDatumTijdVan],"&lt;="&amp;($A412+19/24),tData[SEHTrajectPeriodeDatumTijdTotEnMet],"&gt;"&amp;($A412+19/24),tData[Langligger01],1)</f>
        <v/>
      </c>
      <c r="X412" s="20">
        <f>COUNTIFS(tData[SEHTrajectPeriodeDatumTijdVan],"&lt;="&amp;($A412+20/24),tData[SEHTrajectPeriodeDatumTijdTotEnMet],"&gt;"&amp;($A412+20/24),tData[Langligger01],1)</f>
        <v/>
      </c>
      <c r="Y412" s="20">
        <f>COUNTIFS(tData[SEHTrajectPeriodeDatumTijdVan],"&lt;="&amp;($A412+21/24),tData[SEHTrajectPeriodeDatumTijdTotEnMet],"&gt;"&amp;($A412+21/24),tData[Langligger01],1)</f>
        <v/>
      </c>
      <c r="Z412" s="20">
        <f>COUNTIFS(tData[SEHTrajectPeriodeDatumTijdVan],"&lt;="&amp;($A412+22/24),tData[SEHTrajectPeriodeDatumTijdTotEnMet],"&gt;"&amp;($A412+22/24),tData[Langligger01],1)</f>
        <v/>
      </c>
      <c r="AA412" s="20">
        <f>COUNTIFS(tData[SEHTrajectPeriodeDatumTijdVan],"&lt;="&amp;($A412+23/24),tData[SEHTrajectPeriodeDatumTijdTotEnMet],"&gt;"&amp;($A412+23/24),tData[Langligger01],1)</f>
        <v/>
      </c>
    </row>
    <row r="413">
      <c r="A413" s="19" t="n">
        <v>45701</v>
      </c>
      <c r="B413" s="15">
        <f>WEEKDAY($A413,2)</f>
        <v/>
      </c>
      <c r="C413" s="15">
        <f>IF(AND($A413&gt;=INT(Instellingen!$B$5),$A413&lt;=INT(Instellingen!$B$6)),1,0)</f>
        <v/>
      </c>
      <c r="D413" s="20">
        <f>COUNTIFS(tData[SEHTrajectPeriodeDatumTijdVan],"&lt;="&amp;($A413+0/24),tData[SEHTrajectPeriodeDatumTijdTotEnMet],"&gt;"&amp;($A413+0/24),tData[Langligger01],1)</f>
        <v/>
      </c>
      <c r="E413" s="20">
        <f>COUNTIFS(tData[SEHTrajectPeriodeDatumTijdVan],"&lt;="&amp;($A413+1/24),tData[SEHTrajectPeriodeDatumTijdTotEnMet],"&gt;"&amp;($A413+1/24),tData[Langligger01],1)</f>
        <v/>
      </c>
      <c r="F413" s="20">
        <f>COUNTIFS(tData[SEHTrajectPeriodeDatumTijdVan],"&lt;="&amp;($A413+2/24),tData[SEHTrajectPeriodeDatumTijdTotEnMet],"&gt;"&amp;($A413+2/24),tData[Langligger01],1)</f>
        <v/>
      </c>
      <c r="G413" s="20">
        <f>COUNTIFS(tData[SEHTrajectPeriodeDatumTijdVan],"&lt;="&amp;($A413+3/24),tData[SEHTrajectPeriodeDatumTijdTotEnMet],"&gt;"&amp;($A413+3/24),tData[Langligger01],1)</f>
        <v/>
      </c>
      <c r="H413" s="20">
        <f>COUNTIFS(tData[SEHTrajectPeriodeDatumTijdVan],"&lt;="&amp;($A413+4/24),tData[SEHTrajectPeriodeDatumTijdTotEnMet],"&gt;"&amp;($A413+4/24),tData[Langligger01],1)</f>
        <v/>
      </c>
      <c r="I413" s="20">
        <f>COUNTIFS(tData[SEHTrajectPeriodeDatumTijdVan],"&lt;="&amp;($A413+5/24),tData[SEHTrajectPeriodeDatumTijdTotEnMet],"&gt;"&amp;($A413+5/24),tData[Langligger01],1)</f>
        <v/>
      </c>
      <c r="J413" s="20">
        <f>COUNTIFS(tData[SEHTrajectPeriodeDatumTijdVan],"&lt;="&amp;($A413+6/24),tData[SEHTrajectPeriodeDatumTijdTotEnMet],"&gt;"&amp;($A413+6/24),tData[Langligger01],1)</f>
        <v/>
      </c>
      <c r="K413" s="20">
        <f>COUNTIFS(tData[SEHTrajectPeriodeDatumTijdVan],"&lt;="&amp;($A413+7/24),tData[SEHTrajectPeriodeDatumTijdTotEnMet],"&gt;"&amp;($A413+7/24),tData[Langligger01],1)</f>
        <v/>
      </c>
      <c r="L413" s="20">
        <f>COUNTIFS(tData[SEHTrajectPeriodeDatumTijdVan],"&lt;="&amp;($A413+8/24),tData[SEHTrajectPeriodeDatumTijdTotEnMet],"&gt;"&amp;($A413+8/24),tData[Langligger01],1)</f>
        <v/>
      </c>
      <c r="M413" s="20">
        <f>COUNTIFS(tData[SEHTrajectPeriodeDatumTijdVan],"&lt;="&amp;($A413+9/24),tData[SEHTrajectPeriodeDatumTijdTotEnMet],"&gt;"&amp;($A413+9/24),tData[Langligger01],1)</f>
        <v/>
      </c>
      <c r="N413" s="20">
        <f>COUNTIFS(tData[SEHTrajectPeriodeDatumTijdVan],"&lt;="&amp;($A413+10/24),tData[SEHTrajectPeriodeDatumTijdTotEnMet],"&gt;"&amp;($A413+10/24),tData[Langligger01],1)</f>
        <v/>
      </c>
      <c r="O413" s="20">
        <f>COUNTIFS(tData[SEHTrajectPeriodeDatumTijdVan],"&lt;="&amp;($A413+11/24),tData[SEHTrajectPeriodeDatumTijdTotEnMet],"&gt;"&amp;($A413+11/24),tData[Langligger01],1)</f>
        <v/>
      </c>
      <c r="P413" s="20">
        <f>COUNTIFS(tData[SEHTrajectPeriodeDatumTijdVan],"&lt;="&amp;($A413+12/24),tData[SEHTrajectPeriodeDatumTijdTotEnMet],"&gt;"&amp;($A413+12/24),tData[Langligger01],1)</f>
        <v/>
      </c>
      <c r="Q413" s="20">
        <f>COUNTIFS(tData[SEHTrajectPeriodeDatumTijdVan],"&lt;="&amp;($A413+13/24),tData[SEHTrajectPeriodeDatumTijdTotEnMet],"&gt;"&amp;($A413+13/24),tData[Langligger01],1)</f>
        <v/>
      </c>
      <c r="R413" s="20">
        <f>COUNTIFS(tData[SEHTrajectPeriodeDatumTijdVan],"&lt;="&amp;($A413+14/24),tData[SEHTrajectPeriodeDatumTijdTotEnMet],"&gt;"&amp;($A413+14/24),tData[Langligger01],1)</f>
        <v/>
      </c>
      <c r="S413" s="20">
        <f>COUNTIFS(tData[SEHTrajectPeriodeDatumTijdVan],"&lt;="&amp;($A413+15/24),tData[SEHTrajectPeriodeDatumTijdTotEnMet],"&gt;"&amp;($A413+15/24),tData[Langligger01],1)</f>
        <v/>
      </c>
      <c r="T413" s="20">
        <f>COUNTIFS(tData[SEHTrajectPeriodeDatumTijdVan],"&lt;="&amp;($A413+16/24),tData[SEHTrajectPeriodeDatumTijdTotEnMet],"&gt;"&amp;($A413+16/24),tData[Langligger01],1)</f>
        <v/>
      </c>
      <c r="U413" s="20">
        <f>COUNTIFS(tData[SEHTrajectPeriodeDatumTijdVan],"&lt;="&amp;($A413+17/24),tData[SEHTrajectPeriodeDatumTijdTotEnMet],"&gt;"&amp;($A413+17/24),tData[Langligger01],1)</f>
        <v/>
      </c>
      <c r="V413" s="20">
        <f>COUNTIFS(tData[SEHTrajectPeriodeDatumTijdVan],"&lt;="&amp;($A413+18/24),tData[SEHTrajectPeriodeDatumTijdTotEnMet],"&gt;"&amp;($A413+18/24),tData[Langligger01],1)</f>
        <v/>
      </c>
      <c r="W413" s="20">
        <f>COUNTIFS(tData[SEHTrajectPeriodeDatumTijdVan],"&lt;="&amp;($A413+19/24),tData[SEHTrajectPeriodeDatumTijdTotEnMet],"&gt;"&amp;($A413+19/24),tData[Langligger01],1)</f>
        <v/>
      </c>
      <c r="X413" s="20">
        <f>COUNTIFS(tData[SEHTrajectPeriodeDatumTijdVan],"&lt;="&amp;($A413+20/24),tData[SEHTrajectPeriodeDatumTijdTotEnMet],"&gt;"&amp;($A413+20/24),tData[Langligger01],1)</f>
        <v/>
      </c>
      <c r="Y413" s="20">
        <f>COUNTIFS(tData[SEHTrajectPeriodeDatumTijdVan],"&lt;="&amp;($A413+21/24),tData[SEHTrajectPeriodeDatumTijdTotEnMet],"&gt;"&amp;($A413+21/24),tData[Langligger01],1)</f>
        <v/>
      </c>
      <c r="Z413" s="20">
        <f>COUNTIFS(tData[SEHTrajectPeriodeDatumTijdVan],"&lt;="&amp;($A413+22/24),tData[SEHTrajectPeriodeDatumTijdTotEnMet],"&gt;"&amp;($A413+22/24),tData[Langligger01],1)</f>
        <v/>
      </c>
      <c r="AA413" s="20">
        <f>COUNTIFS(tData[SEHTrajectPeriodeDatumTijdVan],"&lt;="&amp;($A413+23/24),tData[SEHTrajectPeriodeDatumTijdTotEnMet],"&gt;"&amp;($A413+23/24),tData[Langligger01],1)</f>
        <v/>
      </c>
    </row>
    <row r="414">
      <c r="A414" s="19" t="n">
        <v>45702</v>
      </c>
      <c r="B414" s="15">
        <f>WEEKDAY($A414,2)</f>
        <v/>
      </c>
      <c r="C414" s="15">
        <f>IF(AND($A414&gt;=INT(Instellingen!$B$5),$A414&lt;=INT(Instellingen!$B$6)),1,0)</f>
        <v/>
      </c>
      <c r="D414" s="20">
        <f>COUNTIFS(tData[SEHTrajectPeriodeDatumTijdVan],"&lt;="&amp;($A414+0/24),tData[SEHTrajectPeriodeDatumTijdTotEnMet],"&gt;"&amp;($A414+0/24),tData[Langligger01],1)</f>
        <v/>
      </c>
      <c r="E414" s="20">
        <f>COUNTIFS(tData[SEHTrajectPeriodeDatumTijdVan],"&lt;="&amp;($A414+1/24),tData[SEHTrajectPeriodeDatumTijdTotEnMet],"&gt;"&amp;($A414+1/24),tData[Langligger01],1)</f>
        <v/>
      </c>
      <c r="F414" s="20">
        <f>COUNTIFS(tData[SEHTrajectPeriodeDatumTijdVan],"&lt;="&amp;($A414+2/24),tData[SEHTrajectPeriodeDatumTijdTotEnMet],"&gt;"&amp;($A414+2/24),tData[Langligger01],1)</f>
        <v/>
      </c>
      <c r="G414" s="20">
        <f>COUNTIFS(tData[SEHTrajectPeriodeDatumTijdVan],"&lt;="&amp;($A414+3/24),tData[SEHTrajectPeriodeDatumTijdTotEnMet],"&gt;"&amp;($A414+3/24),tData[Langligger01],1)</f>
        <v/>
      </c>
      <c r="H414" s="20">
        <f>COUNTIFS(tData[SEHTrajectPeriodeDatumTijdVan],"&lt;="&amp;($A414+4/24),tData[SEHTrajectPeriodeDatumTijdTotEnMet],"&gt;"&amp;($A414+4/24),tData[Langligger01],1)</f>
        <v/>
      </c>
      <c r="I414" s="20">
        <f>COUNTIFS(tData[SEHTrajectPeriodeDatumTijdVan],"&lt;="&amp;($A414+5/24),tData[SEHTrajectPeriodeDatumTijdTotEnMet],"&gt;"&amp;($A414+5/24),tData[Langligger01],1)</f>
        <v/>
      </c>
      <c r="J414" s="20">
        <f>COUNTIFS(tData[SEHTrajectPeriodeDatumTijdVan],"&lt;="&amp;($A414+6/24),tData[SEHTrajectPeriodeDatumTijdTotEnMet],"&gt;"&amp;($A414+6/24),tData[Langligger01],1)</f>
        <v/>
      </c>
      <c r="K414" s="20">
        <f>COUNTIFS(tData[SEHTrajectPeriodeDatumTijdVan],"&lt;="&amp;($A414+7/24),tData[SEHTrajectPeriodeDatumTijdTotEnMet],"&gt;"&amp;($A414+7/24),tData[Langligger01],1)</f>
        <v/>
      </c>
      <c r="L414" s="20">
        <f>COUNTIFS(tData[SEHTrajectPeriodeDatumTijdVan],"&lt;="&amp;($A414+8/24),tData[SEHTrajectPeriodeDatumTijdTotEnMet],"&gt;"&amp;($A414+8/24),tData[Langligger01],1)</f>
        <v/>
      </c>
      <c r="M414" s="20">
        <f>COUNTIFS(tData[SEHTrajectPeriodeDatumTijdVan],"&lt;="&amp;($A414+9/24),tData[SEHTrajectPeriodeDatumTijdTotEnMet],"&gt;"&amp;($A414+9/24),tData[Langligger01],1)</f>
        <v/>
      </c>
      <c r="N414" s="20">
        <f>COUNTIFS(tData[SEHTrajectPeriodeDatumTijdVan],"&lt;="&amp;($A414+10/24),tData[SEHTrajectPeriodeDatumTijdTotEnMet],"&gt;"&amp;($A414+10/24),tData[Langligger01],1)</f>
        <v/>
      </c>
      <c r="O414" s="20">
        <f>COUNTIFS(tData[SEHTrajectPeriodeDatumTijdVan],"&lt;="&amp;($A414+11/24),tData[SEHTrajectPeriodeDatumTijdTotEnMet],"&gt;"&amp;($A414+11/24),tData[Langligger01],1)</f>
        <v/>
      </c>
      <c r="P414" s="20">
        <f>COUNTIFS(tData[SEHTrajectPeriodeDatumTijdVan],"&lt;="&amp;($A414+12/24),tData[SEHTrajectPeriodeDatumTijdTotEnMet],"&gt;"&amp;($A414+12/24),tData[Langligger01],1)</f>
        <v/>
      </c>
      <c r="Q414" s="20">
        <f>COUNTIFS(tData[SEHTrajectPeriodeDatumTijdVan],"&lt;="&amp;($A414+13/24),tData[SEHTrajectPeriodeDatumTijdTotEnMet],"&gt;"&amp;($A414+13/24),tData[Langligger01],1)</f>
        <v/>
      </c>
      <c r="R414" s="20">
        <f>COUNTIFS(tData[SEHTrajectPeriodeDatumTijdVan],"&lt;="&amp;($A414+14/24),tData[SEHTrajectPeriodeDatumTijdTotEnMet],"&gt;"&amp;($A414+14/24),tData[Langligger01],1)</f>
        <v/>
      </c>
      <c r="S414" s="20">
        <f>COUNTIFS(tData[SEHTrajectPeriodeDatumTijdVan],"&lt;="&amp;($A414+15/24),tData[SEHTrajectPeriodeDatumTijdTotEnMet],"&gt;"&amp;($A414+15/24),tData[Langligger01],1)</f>
        <v/>
      </c>
      <c r="T414" s="20">
        <f>COUNTIFS(tData[SEHTrajectPeriodeDatumTijdVan],"&lt;="&amp;($A414+16/24),tData[SEHTrajectPeriodeDatumTijdTotEnMet],"&gt;"&amp;($A414+16/24),tData[Langligger01],1)</f>
        <v/>
      </c>
      <c r="U414" s="20">
        <f>COUNTIFS(tData[SEHTrajectPeriodeDatumTijdVan],"&lt;="&amp;($A414+17/24),tData[SEHTrajectPeriodeDatumTijdTotEnMet],"&gt;"&amp;($A414+17/24),tData[Langligger01],1)</f>
        <v/>
      </c>
      <c r="V414" s="20">
        <f>COUNTIFS(tData[SEHTrajectPeriodeDatumTijdVan],"&lt;="&amp;($A414+18/24),tData[SEHTrajectPeriodeDatumTijdTotEnMet],"&gt;"&amp;($A414+18/24),tData[Langligger01],1)</f>
        <v/>
      </c>
      <c r="W414" s="20">
        <f>COUNTIFS(tData[SEHTrajectPeriodeDatumTijdVan],"&lt;="&amp;($A414+19/24),tData[SEHTrajectPeriodeDatumTijdTotEnMet],"&gt;"&amp;($A414+19/24),tData[Langligger01],1)</f>
        <v/>
      </c>
      <c r="X414" s="20">
        <f>COUNTIFS(tData[SEHTrajectPeriodeDatumTijdVan],"&lt;="&amp;($A414+20/24),tData[SEHTrajectPeriodeDatumTijdTotEnMet],"&gt;"&amp;($A414+20/24),tData[Langligger01],1)</f>
        <v/>
      </c>
      <c r="Y414" s="20">
        <f>COUNTIFS(tData[SEHTrajectPeriodeDatumTijdVan],"&lt;="&amp;($A414+21/24),tData[SEHTrajectPeriodeDatumTijdTotEnMet],"&gt;"&amp;($A414+21/24),tData[Langligger01],1)</f>
        <v/>
      </c>
      <c r="Z414" s="20">
        <f>COUNTIFS(tData[SEHTrajectPeriodeDatumTijdVan],"&lt;="&amp;($A414+22/24),tData[SEHTrajectPeriodeDatumTijdTotEnMet],"&gt;"&amp;($A414+22/24),tData[Langligger01],1)</f>
        <v/>
      </c>
      <c r="AA414" s="20">
        <f>COUNTIFS(tData[SEHTrajectPeriodeDatumTijdVan],"&lt;="&amp;($A414+23/24),tData[SEHTrajectPeriodeDatumTijdTotEnMet],"&gt;"&amp;($A414+23/24),tData[Langligger01],1)</f>
        <v/>
      </c>
    </row>
    <row r="415">
      <c r="A415" s="19" t="n">
        <v>45703</v>
      </c>
      <c r="B415" s="15">
        <f>WEEKDAY($A415,2)</f>
        <v/>
      </c>
      <c r="C415" s="15">
        <f>IF(AND($A415&gt;=INT(Instellingen!$B$5),$A415&lt;=INT(Instellingen!$B$6)),1,0)</f>
        <v/>
      </c>
      <c r="D415" s="20">
        <f>COUNTIFS(tData[SEHTrajectPeriodeDatumTijdVan],"&lt;="&amp;($A415+0/24),tData[SEHTrajectPeriodeDatumTijdTotEnMet],"&gt;"&amp;($A415+0/24),tData[Langligger01],1)</f>
        <v/>
      </c>
      <c r="E415" s="20">
        <f>COUNTIFS(tData[SEHTrajectPeriodeDatumTijdVan],"&lt;="&amp;($A415+1/24),tData[SEHTrajectPeriodeDatumTijdTotEnMet],"&gt;"&amp;($A415+1/24),tData[Langligger01],1)</f>
        <v/>
      </c>
      <c r="F415" s="20">
        <f>COUNTIFS(tData[SEHTrajectPeriodeDatumTijdVan],"&lt;="&amp;($A415+2/24),tData[SEHTrajectPeriodeDatumTijdTotEnMet],"&gt;"&amp;($A415+2/24),tData[Langligger01],1)</f>
        <v/>
      </c>
      <c r="G415" s="20">
        <f>COUNTIFS(tData[SEHTrajectPeriodeDatumTijdVan],"&lt;="&amp;($A415+3/24),tData[SEHTrajectPeriodeDatumTijdTotEnMet],"&gt;"&amp;($A415+3/24),tData[Langligger01],1)</f>
        <v/>
      </c>
      <c r="H415" s="20">
        <f>COUNTIFS(tData[SEHTrajectPeriodeDatumTijdVan],"&lt;="&amp;($A415+4/24),tData[SEHTrajectPeriodeDatumTijdTotEnMet],"&gt;"&amp;($A415+4/24),tData[Langligger01],1)</f>
        <v/>
      </c>
      <c r="I415" s="20">
        <f>COUNTIFS(tData[SEHTrajectPeriodeDatumTijdVan],"&lt;="&amp;($A415+5/24),tData[SEHTrajectPeriodeDatumTijdTotEnMet],"&gt;"&amp;($A415+5/24),tData[Langligger01],1)</f>
        <v/>
      </c>
      <c r="J415" s="20">
        <f>COUNTIFS(tData[SEHTrajectPeriodeDatumTijdVan],"&lt;="&amp;($A415+6/24),tData[SEHTrajectPeriodeDatumTijdTotEnMet],"&gt;"&amp;($A415+6/24),tData[Langligger01],1)</f>
        <v/>
      </c>
      <c r="K415" s="20">
        <f>COUNTIFS(tData[SEHTrajectPeriodeDatumTijdVan],"&lt;="&amp;($A415+7/24),tData[SEHTrajectPeriodeDatumTijdTotEnMet],"&gt;"&amp;($A415+7/24),tData[Langligger01],1)</f>
        <v/>
      </c>
      <c r="L415" s="20">
        <f>COUNTIFS(tData[SEHTrajectPeriodeDatumTijdVan],"&lt;="&amp;($A415+8/24),tData[SEHTrajectPeriodeDatumTijdTotEnMet],"&gt;"&amp;($A415+8/24),tData[Langligger01],1)</f>
        <v/>
      </c>
      <c r="M415" s="20">
        <f>COUNTIFS(tData[SEHTrajectPeriodeDatumTijdVan],"&lt;="&amp;($A415+9/24),tData[SEHTrajectPeriodeDatumTijdTotEnMet],"&gt;"&amp;($A415+9/24),tData[Langligger01],1)</f>
        <v/>
      </c>
      <c r="N415" s="20">
        <f>COUNTIFS(tData[SEHTrajectPeriodeDatumTijdVan],"&lt;="&amp;($A415+10/24),tData[SEHTrajectPeriodeDatumTijdTotEnMet],"&gt;"&amp;($A415+10/24),tData[Langligger01],1)</f>
        <v/>
      </c>
      <c r="O415" s="20">
        <f>COUNTIFS(tData[SEHTrajectPeriodeDatumTijdVan],"&lt;="&amp;($A415+11/24),tData[SEHTrajectPeriodeDatumTijdTotEnMet],"&gt;"&amp;($A415+11/24),tData[Langligger01],1)</f>
        <v/>
      </c>
      <c r="P415" s="20">
        <f>COUNTIFS(tData[SEHTrajectPeriodeDatumTijdVan],"&lt;="&amp;($A415+12/24),tData[SEHTrajectPeriodeDatumTijdTotEnMet],"&gt;"&amp;($A415+12/24),tData[Langligger01],1)</f>
        <v/>
      </c>
      <c r="Q415" s="20">
        <f>COUNTIFS(tData[SEHTrajectPeriodeDatumTijdVan],"&lt;="&amp;($A415+13/24),tData[SEHTrajectPeriodeDatumTijdTotEnMet],"&gt;"&amp;($A415+13/24),tData[Langligger01],1)</f>
        <v/>
      </c>
      <c r="R415" s="20">
        <f>COUNTIFS(tData[SEHTrajectPeriodeDatumTijdVan],"&lt;="&amp;($A415+14/24),tData[SEHTrajectPeriodeDatumTijdTotEnMet],"&gt;"&amp;($A415+14/24),tData[Langligger01],1)</f>
        <v/>
      </c>
      <c r="S415" s="20">
        <f>COUNTIFS(tData[SEHTrajectPeriodeDatumTijdVan],"&lt;="&amp;($A415+15/24),tData[SEHTrajectPeriodeDatumTijdTotEnMet],"&gt;"&amp;($A415+15/24),tData[Langligger01],1)</f>
        <v/>
      </c>
      <c r="T415" s="20">
        <f>COUNTIFS(tData[SEHTrajectPeriodeDatumTijdVan],"&lt;="&amp;($A415+16/24),tData[SEHTrajectPeriodeDatumTijdTotEnMet],"&gt;"&amp;($A415+16/24),tData[Langligger01],1)</f>
        <v/>
      </c>
      <c r="U415" s="20">
        <f>COUNTIFS(tData[SEHTrajectPeriodeDatumTijdVan],"&lt;="&amp;($A415+17/24),tData[SEHTrajectPeriodeDatumTijdTotEnMet],"&gt;"&amp;($A415+17/24),tData[Langligger01],1)</f>
        <v/>
      </c>
      <c r="V415" s="20">
        <f>COUNTIFS(tData[SEHTrajectPeriodeDatumTijdVan],"&lt;="&amp;($A415+18/24),tData[SEHTrajectPeriodeDatumTijdTotEnMet],"&gt;"&amp;($A415+18/24),tData[Langligger01],1)</f>
        <v/>
      </c>
      <c r="W415" s="20">
        <f>COUNTIFS(tData[SEHTrajectPeriodeDatumTijdVan],"&lt;="&amp;($A415+19/24),tData[SEHTrajectPeriodeDatumTijdTotEnMet],"&gt;"&amp;($A415+19/24),tData[Langligger01],1)</f>
        <v/>
      </c>
      <c r="X415" s="20">
        <f>COUNTIFS(tData[SEHTrajectPeriodeDatumTijdVan],"&lt;="&amp;($A415+20/24),tData[SEHTrajectPeriodeDatumTijdTotEnMet],"&gt;"&amp;($A415+20/24),tData[Langligger01],1)</f>
        <v/>
      </c>
      <c r="Y415" s="20">
        <f>COUNTIFS(tData[SEHTrajectPeriodeDatumTijdVan],"&lt;="&amp;($A415+21/24),tData[SEHTrajectPeriodeDatumTijdTotEnMet],"&gt;"&amp;($A415+21/24),tData[Langligger01],1)</f>
        <v/>
      </c>
      <c r="Z415" s="20">
        <f>COUNTIFS(tData[SEHTrajectPeriodeDatumTijdVan],"&lt;="&amp;($A415+22/24),tData[SEHTrajectPeriodeDatumTijdTotEnMet],"&gt;"&amp;($A415+22/24),tData[Langligger01],1)</f>
        <v/>
      </c>
      <c r="AA415" s="20">
        <f>COUNTIFS(tData[SEHTrajectPeriodeDatumTijdVan],"&lt;="&amp;($A415+23/24),tData[SEHTrajectPeriodeDatumTijdTotEnMet],"&gt;"&amp;($A415+23/24),tData[Langligger01],1)</f>
        <v/>
      </c>
    </row>
    <row r="416">
      <c r="A416" s="19" t="n">
        <v>45704</v>
      </c>
      <c r="B416" s="15">
        <f>WEEKDAY($A416,2)</f>
        <v/>
      </c>
      <c r="C416" s="15">
        <f>IF(AND($A416&gt;=INT(Instellingen!$B$5),$A416&lt;=INT(Instellingen!$B$6)),1,0)</f>
        <v/>
      </c>
      <c r="D416" s="20">
        <f>COUNTIFS(tData[SEHTrajectPeriodeDatumTijdVan],"&lt;="&amp;($A416+0/24),tData[SEHTrajectPeriodeDatumTijdTotEnMet],"&gt;"&amp;($A416+0/24),tData[Langligger01],1)</f>
        <v/>
      </c>
      <c r="E416" s="20">
        <f>COUNTIFS(tData[SEHTrajectPeriodeDatumTijdVan],"&lt;="&amp;($A416+1/24),tData[SEHTrajectPeriodeDatumTijdTotEnMet],"&gt;"&amp;($A416+1/24),tData[Langligger01],1)</f>
        <v/>
      </c>
      <c r="F416" s="20">
        <f>COUNTIFS(tData[SEHTrajectPeriodeDatumTijdVan],"&lt;="&amp;($A416+2/24),tData[SEHTrajectPeriodeDatumTijdTotEnMet],"&gt;"&amp;($A416+2/24),tData[Langligger01],1)</f>
        <v/>
      </c>
      <c r="G416" s="20">
        <f>COUNTIFS(tData[SEHTrajectPeriodeDatumTijdVan],"&lt;="&amp;($A416+3/24),tData[SEHTrajectPeriodeDatumTijdTotEnMet],"&gt;"&amp;($A416+3/24),tData[Langligger01],1)</f>
        <v/>
      </c>
      <c r="H416" s="20">
        <f>COUNTIFS(tData[SEHTrajectPeriodeDatumTijdVan],"&lt;="&amp;($A416+4/24),tData[SEHTrajectPeriodeDatumTijdTotEnMet],"&gt;"&amp;($A416+4/24),tData[Langligger01],1)</f>
        <v/>
      </c>
      <c r="I416" s="20">
        <f>COUNTIFS(tData[SEHTrajectPeriodeDatumTijdVan],"&lt;="&amp;($A416+5/24),tData[SEHTrajectPeriodeDatumTijdTotEnMet],"&gt;"&amp;($A416+5/24),tData[Langligger01],1)</f>
        <v/>
      </c>
      <c r="J416" s="20">
        <f>COUNTIFS(tData[SEHTrajectPeriodeDatumTijdVan],"&lt;="&amp;($A416+6/24),tData[SEHTrajectPeriodeDatumTijdTotEnMet],"&gt;"&amp;($A416+6/24),tData[Langligger01],1)</f>
        <v/>
      </c>
      <c r="K416" s="20">
        <f>COUNTIFS(tData[SEHTrajectPeriodeDatumTijdVan],"&lt;="&amp;($A416+7/24),tData[SEHTrajectPeriodeDatumTijdTotEnMet],"&gt;"&amp;($A416+7/24),tData[Langligger01],1)</f>
        <v/>
      </c>
      <c r="L416" s="20">
        <f>COUNTIFS(tData[SEHTrajectPeriodeDatumTijdVan],"&lt;="&amp;($A416+8/24),tData[SEHTrajectPeriodeDatumTijdTotEnMet],"&gt;"&amp;($A416+8/24),tData[Langligger01],1)</f>
        <v/>
      </c>
      <c r="M416" s="20">
        <f>COUNTIFS(tData[SEHTrajectPeriodeDatumTijdVan],"&lt;="&amp;($A416+9/24),tData[SEHTrajectPeriodeDatumTijdTotEnMet],"&gt;"&amp;($A416+9/24),tData[Langligger01],1)</f>
        <v/>
      </c>
      <c r="N416" s="20">
        <f>COUNTIFS(tData[SEHTrajectPeriodeDatumTijdVan],"&lt;="&amp;($A416+10/24),tData[SEHTrajectPeriodeDatumTijdTotEnMet],"&gt;"&amp;($A416+10/24),tData[Langligger01],1)</f>
        <v/>
      </c>
      <c r="O416" s="20">
        <f>COUNTIFS(tData[SEHTrajectPeriodeDatumTijdVan],"&lt;="&amp;($A416+11/24),tData[SEHTrajectPeriodeDatumTijdTotEnMet],"&gt;"&amp;($A416+11/24),tData[Langligger01],1)</f>
        <v/>
      </c>
      <c r="P416" s="20">
        <f>COUNTIFS(tData[SEHTrajectPeriodeDatumTijdVan],"&lt;="&amp;($A416+12/24),tData[SEHTrajectPeriodeDatumTijdTotEnMet],"&gt;"&amp;($A416+12/24),tData[Langligger01],1)</f>
        <v/>
      </c>
      <c r="Q416" s="20">
        <f>COUNTIFS(tData[SEHTrajectPeriodeDatumTijdVan],"&lt;="&amp;($A416+13/24),tData[SEHTrajectPeriodeDatumTijdTotEnMet],"&gt;"&amp;($A416+13/24),tData[Langligger01],1)</f>
        <v/>
      </c>
      <c r="R416" s="20">
        <f>COUNTIFS(tData[SEHTrajectPeriodeDatumTijdVan],"&lt;="&amp;($A416+14/24),tData[SEHTrajectPeriodeDatumTijdTotEnMet],"&gt;"&amp;($A416+14/24),tData[Langligger01],1)</f>
        <v/>
      </c>
      <c r="S416" s="20">
        <f>COUNTIFS(tData[SEHTrajectPeriodeDatumTijdVan],"&lt;="&amp;($A416+15/24),tData[SEHTrajectPeriodeDatumTijdTotEnMet],"&gt;"&amp;($A416+15/24),tData[Langligger01],1)</f>
        <v/>
      </c>
      <c r="T416" s="20">
        <f>COUNTIFS(tData[SEHTrajectPeriodeDatumTijdVan],"&lt;="&amp;($A416+16/24),tData[SEHTrajectPeriodeDatumTijdTotEnMet],"&gt;"&amp;($A416+16/24),tData[Langligger01],1)</f>
        <v/>
      </c>
      <c r="U416" s="20">
        <f>COUNTIFS(tData[SEHTrajectPeriodeDatumTijdVan],"&lt;="&amp;($A416+17/24),tData[SEHTrajectPeriodeDatumTijdTotEnMet],"&gt;"&amp;($A416+17/24),tData[Langligger01],1)</f>
        <v/>
      </c>
      <c r="V416" s="20">
        <f>COUNTIFS(tData[SEHTrajectPeriodeDatumTijdVan],"&lt;="&amp;($A416+18/24),tData[SEHTrajectPeriodeDatumTijdTotEnMet],"&gt;"&amp;($A416+18/24),tData[Langligger01],1)</f>
        <v/>
      </c>
      <c r="W416" s="20">
        <f>COUNTIFS(tData[SEHTrajectPeriodeDatumTijdVan],"&lt;="&amp;($A416+19/24),tData[SEHTrajectPeriodeDatumTijdTotEnMet],"&gt;"&amp;($A416+19/24),tData[Langligger01],1)</f>
        <v/>
      </c>
      <c r="X416" s="20">
        <f>COUNTIFS(tData[SEHTrajectPeriodeDatumTijdVan],"&lt;="&amp;($A416+20/24),tData[SEHTrajectPeriodeDatumTijdTotEnMet],"&gt;"&amp;($A416+20/24),tData[Langligger01],1)</f>
        <v/>
      </c>
      <c r="Y416" s="20">
        <f>COUNTIFS(tData[SEHTrajectPeriodeDatumTijdVan],"&lt;="&amp;($A416+21/24),tData[SEHTrajectPeriodeDatumTijdTotEnMet],"&gt;"&amp;($A416+21/24),tData[Langligger01],1)</f>
        <v/>
      </c>
      <c r="Z416" s="20">
        <f>COUNTIFS(tData[SEHTrajectPeriodeDatumTijdVan],"&lt;="&amp;($A416+22/24),tData[SEHTrajectPeriodeDatumTijdTotEnMet],"&gt;"&amp;($A416+22/24),tData[Langligger01],1)</f>
        <v/>
      </c>
      <c r="AA416" s="20">
        <f>COUNTIFS(tData[SEHTrajectPeriodeDatumTijdVan],"&lt;="&amp;($A416+23/24),tData[SEHTrajectPeriodeDatumTijdTotEnMet],"&gt;"&amp;($A416+23/24),tData[Langligger01],1)</f>
        <v/>
      </c>
    </row>
    <row r="417">
      <c r="A417" s="19" t="n">
        <v>45705</v>
      </c>
      <c r="B417" s="15">
        <f>WEEKDAY($A417,2)</f>
        <v/>
      </c>
      <c r="C417" s="15">
        <f>IF(AND($A417&gt;=INT(Instellingen!$B$5),$A417&lt;=INT(Instellingen!$B$6)),1,0)</f>
        <v/>
      </c>
      <c r="D417" s="20">
        <f>COUNTIFS(tData[SEHTrajectPeriodeDatumTijdVan],"&lt;="&amp;($A417+0/24),tData[SEHTrajectPeriodeDatumTijdTotEnMet],"&gt;"&amp;($A417+0/24),tData[Langligger01],1)</f>
        <v/>
      </c>
      <c r="E417" s="20">
        <f>COUNTIFS(tData[SEHTrajectPeriodeDatumTijdVan],"&lt;="&amp;($A417+1/24),tData[SEHTrajectPeriodeDatumTijdTotEnMet],"&gt;"&amp;($A417+1/24),tData[Langligger01],1)</f>
        <v/>
      </c>
      <c r="F417" s="20">
        <f>COUNTIFS(tData[SEHTrajectPeriodeDatumTijdVan],"&lt;="&amp;($A417+2/24),tData[SEHTrajectPeriodeDatumTijdTotEnMet],"&gt;"&amp;($A417+2/24),tData[Langligger01],1)</f>
        <v/>
      </c>
      <c r="G417" s="20">
        <f>COUNTIFS(tData[SEHTrajectPeriodeDatumTijdVan],"&lt;="&amp;($A417+3/24),tData[SEHTrajectPeriodeDatumTijdTotEnMet],"&gt;"&amp;($A417+3/24),tData[Langligger01],1)</f>
        <v/>
      </c>
      <c r="H417" s="20">
        <f>COUNTIFS(tData[SEHTrajectPeriodeDatumTijdVan],"&lt;="&amp;($A417+4/24),tData[SEHTrajectPeriodeDatumTijdTotEnMet],"&gt;"&amp;($A417+4/24),tData[Langligger01],1)</f>
        <v/>
      </c>
      <c r="I417" s="20">
        <f>COUNTIFS(tData[SEHTrajectPeriodeDatumTijdVan],"&lt;="&amp;($A417+5/24),tData[SEHTrajectPeriodeDatumTijdTotEnMet],"&gt;"&amp;($A417+5/24),tData[Langligger01],1)</f>
        <v/>
      </c>
      <c r="J417" s="20">
        <f>COUNTIFS(tData[SEHTrajectPeriodeDatumTijdVan],"&lt;="&amp;($A417+6/24),tData[SEHTrajectPeriodeDatumTijdTotEnMet],"&gt;"&amp;($A417+6/24),tData[Langligger01],1)</f>
        <v/>
      </c>
      <c r="K417" s="20">
        <f>COUNTIFS(tData[SEHTrajectPeriodeDatumTijdVan],"&lt;="&amp;($A417+7/24),tData[SEHTrajectPeriodeDatumTijdTotEnMet],"&gt;"&amp;($A417+7/24),tData[Langligger01],1)</f>
        <v/>
      </c>
      <c r="L417" s="20">
        <f>COUNTIFS(tData[SEHTrajectPeriodeDatumTijdVan],"&lt;="&amp;($A417+8/24),tData[SEHTrajectPeriodeDatumTijdTotEnMet],"&gt;"&amp;($A417+8/24),tData[Langligger01],1)</f>
        <v/>
      </c>
      <c r="M417" s="20">
        <f>COUNTIFS(tData[SEHTrajectPeriodeDatumTijdVan],"&lt;="&amp;($A417+9/24),tData[SEHTrajectPeriodeDatumTijdTotEnMet],"&gt;"&amp;($A417+9/24),tData[Langligger01],1)</f>
        <v/>
      </c>
      <c r="N417" s="20">
        <f>COUNTIFS(tData[SEHTrajectPeriodeDatumTijdVan],"&lt;="&amp;($A417+10/24),tData[SEHTrajectPeriodeDatumTijdTotEnMet],"&gt;"&amp;($A417+10/24),tData[Langligger01],1)</f>
        <v/>
      </c>
      <c r="O417" s="20">
        <f>COUNTIFS(tData[SEHTrajectPeriodeDatumTijdVan],"&lt;="&amp;($A417+11/24),tData[SEHTrajectPeriodeDatumTijdTotEnMet],"&gt;"&amp;($A417+11/24),tData[Langligger01],1)</f>
        <v/>
      </c>
      <c r="P417" s="20">
        <f>COUNTIFS(tData[SEHTrajectPeriodeDatumTijdVan],"&lt;="&amp;($A417+12/24),tData[SEHTrajectPeriodeDatumTijdTotEnMet],"&gt;"&amp;($A417+12/24),tData[Langligger01],1)</f>
        <v/>
      </c>
      <c r="Q417" s="20">
        <f>COUNTIFS(tData[SEHTrajectPeriodeDatumTijdVan],"&lt;="&amp;($A417+13/24),tData[SEHTrajectPeriodeDatumTijdTotEnMet],"&gt;"&amp;($A417+13/24),tData[Langligger01],1)</f>
        <v/>
      </c>
      <c r="R417" s="20">
        <f>COUNTIFS(tData[SEHTrajectPeriodeDatumTijdVan],"&lt;="&amp;($A417+14/24),tData[SEHTrajectPeriodeDatumTijdTotEnMet],"&gt;"&amp;($A417+14/24),tData[Langligger01],1)</f>
        <v/>
      </c>
      <c r="S417" s="20">
        <f>COUNTIFS(tData[SEHTrajectPeriodeDatumTijdVan],"&lt;="&amp;($A417+15/24),tData[SEHTrajectPeriodeDatumTijdTotEnMet],"&gt;"&amp;($A417+15/24),tData[Langligger01],1)</f>
        <v/>
      </c>
      <c r="T417" s="20">
        <f>COUNTIFS(tData[SEHTrajectPeriodeDatumTijdVan],"&lt;="&amp;($A417+16/24),tData[SEHTrajectPeriodeDatumTijdTotEnMet],"&gt;"&amp;($A417+16/24),tData[Langligger01],1)</f>
        <v/>
      </c>
      <c r="U417" s="20">
        <f>COUNTIFS(tData[SEHTrajectPeriodeDatumTijdVan],"&lt;="&amp;($A417+17/24),tData[SEHTrajectPeriodeDatumTijdTotEnMet],"&gt;"&amp;($A417+17/24),tData[Langligger01],1)</f>
        <v/>
      </c>
      <c r="V417" s="20">
        <f>COUNTIFS(tData[SEHTrajectPeriodeDatumTijdVan],"&lt;="&amp;($A417+18/24),tData[SEHTrajectPeriodeDatumTijdTotEnMet],"&gt;"&amp;($A417+18/24),tData[Langligger01],1)</f>
        <v/>
      </c>
      <c r="W417" s="20">
        <f>COUNTIFS(tData[SEHTrajectPeriodeDatumTijdVan],"&lt;="&amp;($A417+19/24),tData[SEHTrajectPeriodeDatumTijdTotEnMet],"&gt;"&amp;($A417+19/24),tData[Langligger01],1)</f>
        <v/>
      </c>
      <c r="X417" s="20">
        <f>COUNTIFS(tData[SEHTrajectPeriodeDatumTijdVan],"&lt;="&amp;($A417+20/24),tData[SEHTrajectPeriodeDatumTijdTotEnMet],"&gt;"&amp;($A417+20/24),tData[Langligger01],1)</f>
        <v/>
      </c>
      <c r="Y417" s="20">
        <f>COUNTIFS(tData[SEHTrajectPeriodeDatumTijdVan],"&lt;="&amp;($A417+21/24),tData[SEHTrajectPeriodeDatumTijdTotEnMet],"&gt;"&amp;($A417+21/24),tData[Langligger01],1)</f>
        <v/>
      </c>
      <c r="Z417" s="20">
        <f>COUNTIFS(tData[SEHTrajectPeriodeDatumTijdVan],"&lt;="&amp;($A417+22/24),tData[SEHTrajectPeriodeDatumTijdTotEnMet],"&gt;"&amp;($A417+22/24),tData[Langligger01],1)</f>
        <v/>
      </c>
      <c r="AA417" s="20">
        <f>COUNTIFS(tData[SEHTrajectPeriodeDatumTijdVan],"&lt;="&amp;($A417+23/24),tData[SEHTrajectPeriodeDatumTijdTotEnMet],"&gt;"&amp;($A417+23/24),tData[Langligger01],1)</f>
        <v/>
      </c>
    </row>
    <row r="418">
      <c r="A418" s="19" t="n">
        <v>45706</v>
      </c>
      <c r="B418" s="15">
        <f>WEEKDAY($A418,2)</f>
        <v/>
      </c>
      <c r="C418" s="15">
        <f>IF(AND($A418&gt;=INT(Instellingen!$B$5),$A418&lt;=INT(Instellingen!$B$6)),1,0)</f>
        <v/>
      </c>
      <c r="D418" s="20">
        <f>COUNTIFS(tData[SEHTrajectPeriodeDatumTijdVan],"&lt;="&amp;($A418+0/24),tData[SEHTrajectPeriodeDatumTijdTotEnMet],"&gt;"&amp;($A418+0/24),tData[Langligger01],1)</f>
        <v/>
      </c>
      <c r="E418" s="20">
        <f>COUNTIFS(tData[SEHTrajectPeriodeDatumTijdVan],"&lt;="&amp;($A418+1/24),tData[SEHTrajectPeriodeDatumTijdTotEnMet],"&gt;"&amp;($A418+1/24),tData[Langligger01],1)</f>
        <v/>
      </c>
      <c r="F418" s="20">
        <f>COUNTIFS(tData[SEHTrajectPeriodeDatumTijdVan],"&lt;="&amp;($A418+2/24),tData[SEHTrajectPeriodeDatumTijdTotEnMet],"&gt;"&amp;($A418+2/24),tData[Langligger01],1)</f>
        <v/>
      </c>
      <c r="G418" s="20">
        <f>COUNTIFS(tData[SEHTrajectPeriodeDatumTijdVan],"&lt;="&amp;($A418+3/24),tData[SEHTrajectPeriodeDatumTijdTotEnMet],"&gt;"&amp;($A418+3/24),tData[Langligger01],1)</f>
        <v/>
      </c>
      <c r="H418" s="20">
        <f>COUNTIFS(tData[SEHTrajectPeriodeDatumTijdVan],"&lt;="&amp;($A418+4/24),tData[SEHTrajectPeriodeDatumTijdTotEnMet],"&gt;"&amp;($A418+4/24),tData[Langligger01],1)</f>
        <v/>
      </c>
      <c r="I418" s="20">
        <f>COUNTIFS(tData[SEHTrajectPeriodeDatumTijdVan],"&lt;="&amp;($A418+5/24),tData[SEHTrajectPeriodeDatumTijdTotEnMet],"&gt;"&amp;($A418+5/24),tData[Langligger01],1)</f>
        <v/>
      </c>
      <c r="J418" s="20">
        <f>COUNTIFS(tData[SEHTrajectPeriodeDatumTijdVan],"&lt;="&amp;($A418+6/24),tData[SEHTrajectPeriodeDatumTijdTotEnMet],"&gt;"&amp;($A418+6/24),tData[Langligger01],1)</f>
        <v/>
      </c>
      <c r="K418" s="20">
        <f>COUNTIFS(tData[SEHTrajectPeriodeDatumTijdVan],"&lt;="&amp;($A418+7/24),tData[SEHTrajectPeriodeDatumTijdTotEnMet],"&gt;"&amp;($A418+7/24),tData[Langligger01],1)</f>
        <v/>
      </c>
      <c r="L418" s="20">
        <f>COUNTIFS(tData[SEHTrajectPeriodeDatumTijdVan],"&lt;="&amp;($A418+8/24),tData[SEHTrajectPeriodeDatumTijdTotEnMet],"&gt;"&amp;($A418+8/24),tData[Langligger01],1)</f>
        <v/>
      </c>
      <c r="M418" s="20">
        <f>COUNTIFS(tData[SEHTrajectPeriodeDatumTijdVan],"&lt;="&amp;($A418+9/24),tData[SEHTrajectPeriodeDatumTijdTotEnMet],"&gt;"&amp;($A418+9/24),tData[Langligger01],1)</f>
        <v/>
      </c>
      <c r="N418" s="20">
        <f>COUNTIFS(tData[SEHTrajectPeriodeDatumTijdVan],"&lt;="&amp;($A418+10/24),tData[SEHTrajectPeriodeDatumTijdTotEnMet],"&gt;"&amp;($A418+10/24),tData[Langligger01],1)</f>
        <v/>
      </c>
      <c r="O418" s="20">
        <f>COUNTIFS(tData[SEHTrajectPeriodeDatumTijdVan],"&lt;="&amp;($A418+11/24),tData[SEHTrajectPeriodeDatumTijdTotEnMet],"&gt;"&amp;($A418+11/24),tData[Langligger01],1)</f>
        <v/>
      </c>
      <c r="P418" s="20">
        <f>COUNTIFS(tData[SEHTrajectPeriodeDatumTijdVan],"&lt;="&amp;($A418+12/24),tData[SEHTrajectPeriodeDatumTijdTotEnMet],"&gt;"&amp;($A418+12/24),tData[Langligger01],1)</f>
        <v/>
      </c>
      <c r="Q418" s="20">
        <f>COUNTIFS(tData[SEHTrajectPeriodeDatumTijdVan],"&lt;="&amp;($A418+13/24),tData[SEHTrajectPeriodeDatumTijdTotEnMet],"&gt;"&amp;($A418+13/24),tData[Langligger01],1)</f>
        <v/>
      </c>
      <c r="R418" s="20">
        <f>COUNTIFS(tData[SEHTrajectPeriodeDatumTijdVan],"&lt;="&amp;($A418+14/24),tData[SEHTrajectPeriodeDatumTijdTotEnMet],"&gt;"&amp;($A418+14/24),tData[Langligger01],1)</f>
        <v/>
      </c>
      <c r="S418" s="20">
        <f>COUNTIFS(tData[SEHTrajectPeriodeDatumTijdVan],"&lt;="&amp;($A418+15/24),tData[SEHTrajectPeriodeDatumTijdTotEnMet],"&gt;"&amp;($A418+15/24),tData[Langligger01],1)</f>
        <v/>
      </c>
      <c r="T418" s="20">
        <f>COUNTIFS(tData[SEHTrajectPeriodeDatumTijdVan],"&lt;="&amp;($A418+16/24),tData[SEHTrajectPeriodeDatumTijdTotEnMet],"&gt;"&amp;($A418+16/24),tData[Langligger01],1)</f>
        <v/>
      </c>
      <c r="U418" s="20">
        <f>COUNTIFS(tData[SEHTrajectPeriodeDatumTijdVan],"&lt;="&amp;($A418+17/24),tData[SEHTrajectPeriodeDatumTijdTotEnMet],"&gt;"&amp;($A418+17/24),tData[Langligger01],1)</f>
        <v/>
      </c>
      <c r="V418" s="20">
        <f>COUNTIFS(tData[SEHTrajectPeriodeDatumTijdVan],"&lt;="&amp;($A418+18/24),tData[SEHTrajectPeriodeDatumTijdTotEnMet],"&gt;"&amp;($A418+18/24),tData[Langligger01],1)</f>
        <v/>
      </c>
      <c r="W418" s="20">
        <f>COUNTIFS(tData[SEHTrajectPeriodeDatumTijdVan],"&lt;="&amp;($A418+19/24),tData[SEHTrajectPeriodeDatumTijdTotEnMet],"&gt;"&amp;($A418+19/24),tData[Langligger01],1)</f>
        <v/>
      </c>
      <c r="X418" s="20">
        <f>COUNTIFS(tData[SEHTrajectPeriodeDatumTijdVan],"&lt;="&amp;($A418+20/24),tData[SEHTrajectPeriodeDatumTijdTotEnMet],"&gt;"&amp;($A418+20/24),tData[Langligger01],1)</f>
        <v/>
      </c>
      <c r="Y418" s="20">
        <f>COUNTIFS(tData[SEHTrajectPeriodeDatumTijdVan],"&lt;="&amp;($A418+21/24),tData[SEHTrajectPeriodeDatumTijdTotEnMet],"&gt;"&amp;($A418+21/24),tData[Langligger01],1)</f>
        <v/>
      </c>
      <c r="Z418" s="20">
        <f>COUNTIFS(tData[SEHTrajectPeriodeDatumTijdVan],"&lt;="&amp;($A418+22/24),tData[SEHTrajectPeriodeDatumTijdTotEnMet],"&gt;"&amp;($A418+22/24),tData[Langligger01],1)</f>
        <v/>
      </c>
      <c r="AA418" s="20">
        <f>COUNTIFS(tData[SEHTrajectPeriodeDatumTijdVan],"&lt;="&amp;($A418+23/24),tData[SEHTrajectPeriodeDatumTijdTotEnMet],"&gt;"&amp;($A418+23/24),tData[Langligger01],1)</f>
        <v/>
      </c>
    </row>
    <row r="419">
      <c r="A419" s="19" t="n">
        <v>45707</v>
      </c>
      <c r="B419" s="15">
        <f>WEEKDAY($A419,2)</f>
        <v/>
      </c>
      <c r="C419" s="15">
        <f>IF(AND($A419&gt;=INT(Instellingen!$B$5),$A419&lt;=INT(Instellingen!$B$6)),1,0)</f>
        <v/>
      </c>
      <c r="D419" s="20">
        <f>COUNTIFS(tData[SEHTrajectPeriodeDatumTijdVan],"&lt;="&amp;($A419+0/24),tData[SEHTrajectPeriodeDatumTijdTotEnMet],"&gt;"&amp;($A419+0/24),tData[Langligger01],1)</f>
        <v/>
      </c>
      <c r="E419" s="20">
        <f>COUNTIFS(tData[SEHTrajectPeriodeDatumTijdVan],"&lt;="&amp;($A419+1/24),tData[SEHTrajectPeriodeDatumTijdTotEnMet],"&gt;"&amp;($A419+1/24),tData[Langligger01],1)</f>
        <v/>
      </c>
      <c r="F419" s="20">
        <f>COUNTIFS(tData[SEHTrajectPeriodeDatumTijdVan],"&lt;="&amp;($A419+2/24),tData[SEHTrajectPeriodeDatumTijdTotEnMet],"&gt;"&amp;($A419+2/24),tData[Langligger01],1)</f>
        <v/>
      </c>
      <c r="G419" s="20">
        <f>COUNTIFS(tData[SEHTrajectPeriodeDatumTijdVan],"&lt;="&amp;($A419+3/24),tData[SEHTrajectPeriodeDatumTijdTotEnMet],"&gt;"&amp;($A419+3/24),tData[Langligger01],1)</f>
        <v/>
      </c>
      <c r="H419" s="20">
        <f>COUNTIFS(tData[SEHTrajectPeriodeDatumTijdVan],"&lt;="&amp;($A419+4/24),tData[SEHTrajectPeriodeDatumTijdTotEnMet],"&gt;"&amp;($A419+4/24),tData[Langligger01],1)</f>
        <v/>
      </c>
      <c r="I419" s="20">
        <f>COUNTIFS(tData[SEHTrajectPeriodeDatumTijdVan],"&lt;="&amp;($A419+5/24),tData[SEHTrajectPeriodeDatumTijdTotEnMet],"&gt;"&amp;($A419+5/24),tData[Langligger01],1)</f>
        <v/>
      </c>
      <c r="J419" s="20">
        <f>COUNTIFS(tData[SEHTrajectPeriodeDatumTijdVan],"&lt;="&amp;($A419+6/24),tData[SEHTrajectPeriodeDatumTijdTotEnMet],"&gt;"&amp;($A419+6/24),tData[Langligger01],1)</f>
        <v/>
      </c>
      <c r="K419" s="20">
        <f>COUNTIFS(tData[SEHTrajectPeriodeDatumTijdVan],"&lt;="&amp;($A419+7/24),tData[SEHTrajectPeriodeDatumTijdTotEnMet],"&gt;"&amp;($A419+7/24),tData[Langligger01],1)</f>
        <v/>
      </c>
      <c r="L419" s="20">
        <f>COUNTIFS(tData[SEHTrajectPeriodeDatumTijdVan],"&lt;="&amp;($A419+8/24),tData[SEHTrajectPeriodeDatumTijdTotEnMet],"&gt;"&amp;($A419+8/24),tData[Langligger01],1)</f>
        <v/>
      </c>
      <c r="M419" s="20">
        <f>COUNTIFS(tData[SEHTrajectPeriodeDatumTijdVan],"&lt;="&amp;($A419+9/24),tData[SEHTrajectPeriodeDatumTijdTotEnMet],"&gt;"&amp;($A419+9/24),tData[Langligger01],1)</f>
        <v/>
      </c>
      <c r="N419" s="20">
        <f>COUNTIFS(tData[SEHTrajectPeriodeDatumTijdVan],"&lt;="&amp;($A419+10/24),tData[SEHTrajectPeriodeDatumTijdTotEnMet],"&gt;"&amp;($A419+10/24),tData[Langligger01],1)</f>
        <v/>
      </c>
      <c r="O419" s="20">
        <f>COUNTIFS(tData[SEHTrajectPeriodeDatumTijdVan],"&lt;="&amp;($A419+11/24),tData[SEHTrajectPeriodeDatumTijdTotEnMet],"&gt;"&amp;($A419+11/24),tData[Langligger01],1)</f>
        <v/>
      </c>
      <c r="P419" s="20">
        <f>COUNTIFS(tData[SEHTrajectPeriodeDatumTijdVan],"&lt;="&amp;($A419+12/24),tData[SEHTrajectPeriodeDatumTijdTotEnMet],"&gt;"&amp;($A419+12/24),tData[Langligger01],1)</f>
        <v/>
      </c>
      <c r="Q419" s="20">
        <f>COUNTIFS(tData[SEHTrajectPeriodeDatumTijdVan],"&lt;="&amp;($A419+13/24),tData[SEHTrajectPeriodeDatumTijdTotEnMet],"&gt;"&amp;($A419+13/24),tData[Langligger01],1)</f>
        <v/>
      </c>
      <c r="R419" s="20">
        <f>COUNTIFS(tData[SEHTrajectPeriodeDatumTijdVan],"&lt;="&amp;($A419+14/24),tData[SEHTrajectPeriodeDatumTijdTotEnMet],"&gt;"&amp;($A419+14/24),tData[Langligger01],1)</f>
        <v/>
      </c>
      <c r="S419" s="20">
        <f>COUNTIFS(tData[SEHTrajectPeriodeDatumTijdVan],"&lt;="&amp;($A419+15/24),tData[SEHTrajectPeriodeDatumTijdTotEnMet],"&gt;"&amp;($A419+15/24),tData[Langligger01],1)</f>
        <v/>
      </c>
      <c r="T419" s="20">
        <f>COUNTIFS(tData[SEHTrajectPeriodeDatumTijdVan],"&lt;="&amp;($A419+16/24),tData[SEHTrajectPeriodeDatumTijdTotEnMet],"&gt;"&amp;($A419+16/24),tData[Langligger01],1)</f>
        <v/>
      </c>
      <c r="U419" s="20">
        <f>COUNTIFS(tData[SEHTrajectPeriodeDatumTijdVan],"&lt;="&amp;($A419+17/24),tData[SEHTrajectPeriodeDatumTijdTotEnMet],"&gt;"&amp;($A419+17/24),tData[Langligger01],1)</f>
        <v/>
      </c>
      <c r="V419" s="20">
        <f>COUNTIFS(tData[SEHTrajectPeriodeDatumTijdVan],"&lt;="&amp;($A419+18/24),tData[SEHTrajectPeriodeDatumTijdTotEnMet],"&gt;"&amp;($A419+18/24),tData[Langligger01],1)</f>
        <v/>
      </c>
      <c r="W419" s="20">
        <f>COUNTIFS(tData[SEHTrajectPeriodeDatumTijdVan],"&lt;="&amp;($A419+19/24),tData[SEHTrajectPeriodeDatumTijdTotEnMet],"&gt;"&amp;($A419+19/24),tData[Langligger01],1)</f>
        <v/>
      </c>
      <c r="X419" s="20">
        <f>COUNTIFS(tData[SEHTrajectPeriodeDatumTijdVan],"&lt;="&amp;($A419+20/24),tData[SEHTrajectPeriodeDatumTijdTotEnMet],"&gt;"&amp;($A419+20/24),tData[Langligger01],1)</f>
        <v/>
      </c>
      <c r="Y419" s="20">
        <f>COUNTIFS(tData[SEHTrajectPeriodeDatumTijdVan],"&lt;="&amp;($A419+21/24),tData[SEHTrajectPeriodeDatumTijdTotEnMet],"&gt;"&amp;($A419+21/24),tData[Langligger01],1)</f>
        <v/>
      </c>
      <c r="Z419" s="20">
        <f>COUNTIFS(tData[SEHTrajectPeriodeDatumTijdVan],"&lt;="&amp;($A419+22/24),tData[SEHTrajectPeriodeDatumTijdTotEnMet],"&gt;"&amp;($A419+22/24),tData[Langligger01],1)</f>
        <v/>
      </c>
      <c r="AA419" s="20">
        <f>COUNTIFS(tData[SEHTrajectPeriodeDatumTijdVan],"&lt;="&amp;($A419+23/24),tData[SEHTrajectPeriodeDatumTijdTotEnMet],"&gt;"&amp;($A419+23/24),tData[Langligger01],1)</f>
        <v/>
      </c>
    </row>
    <row r="420">
      <c r="A420" s="19" t="n">
        <v>45708</v>
      </c>
      <c r="B420" s="15">
        <f>WEEKDAY($A420,2)</f>
        <v/>
      </c>
      <c r="C420" s="15">
        <f>IF(AND($A420&gt;=INT(Instellingen!$B$5),$A420&lt;=INT(Instellingen!$B$6)),1,0)</f>
        <v/>
      </c>
      <c r="D420" s="20">
        <f>COUNTIFS(tData[SEHTrajectPeriodeDatumTijdVan],"&lt;="&amp;($A420+0/24),tData[SEHTrajectPeriodeDatumTijdTotEnMet],"&gt;"&amp;($A420+0/24),tData[Langligger01],1)</f>
        <v/>
      </c>
      <c r="E420" s="20">
        <f>COUNTIFS(tData[SEHTrajectPeriodeDatumTijdVan],"&lt;="&amp;($A420+1/24),tData[SEHTrajectPeriodeDatumTijdTotEnMet],"&gt;"&amp;($A420+1/24),tData[Langligger01],1)</f>
        <v/>
      </c>
      <c r="F420" s="20">
        <f>COUNTIFS(tData[SEHTrajectPeriodeDatumTijdVan],"&lt;="&amp;($A420+2/24),tData[SEHTrajectPeriodeDatumTijdTotEnMet],"&gt;"&amp;($A420+2/24),tData[Langligger01],1)</f>
        <v/>
      </c>
      <c r="G420" s="20">
        <f>COUNTIFS(tData[SEHTrajectPeriodeDatumTijdVan],"&lt;="&amp;($A420+3/24),tData[SEHTrajectPeriodeDatumTijdTotEnMet],"&gt;"&amp;($A420+3/24),tData[Langligger01],1)</f>
        <v/>
      </c>
      <c r="H420" s="20">
        <f>COUNTIFS(tData[SEHTrajectPeriodeDatumTijdVan],"&lt;="&amp;($A420+4/24),tData[SEHTrajectPeriodeDatumTijdTotEnMet],"&gt;"&amp;($A420+4/24),tData[Langligger01],1)</f>
        <v/>
      </c>
      <c r="I420" s="20">
        <f>COUNTIFS(tData[SEHTrajectPeriodeDatumTijdVan],"&lt;="&amp;($A420+5/24),tData[SEHTrajectPeriodeDatumTijdTotEnMet],"&gt;"&amp;($A420+5/24),tData[Langligger01],1)</f>
        <v/>
      </c>
      <c r="J420" s="20">
        <f>COUNTIFS(tData[SEHTrajectPeriodeDatumTijdVan],"&lt;="&amp;($A420+6/24),tData[SEHTrajectPeriodeDatumTijdTotEnMet],"&gt;"&amp;($A420+6/24),tData[Langligger01],1)</f>
        <v/>
      </c>
      <c r="K420" s="20">
        <f>COUNTIFS(tData[SEHTrajectPeriodeDatumTijdVan],"&lt;="&amp;($A420+7/24),tData[SEHTrajectPeriodeDatumTijdTotEnMet],"&gt;"&amp;($A420+7/24),tData[Langligger01],1)</f>
        <v/>
      </c>
      <c r="L420" s="20">
        <f>COUNTIFS(tData[SEHTrajectPeriodeDatumTijdVan],"&lt;="&amp;($A420+8/24),tData[SEHTrajectPeriodeDatumTijdTotEnMet],"&gt;"&amp;($A420+8/24),tData[Langligger01],1)</f>
        <v/>
      </c>
      <c r="M420" s="20">
        <f>COUNTIFS(tData[SEHTrajectPeriodeDatumTijdVan],"&lt;="&amp;($A420+9/24),tData[SEHTrajectPeriodeDatumTijdTotEnMet],"&gt;"&amp;($A420+9/24),tData[Langligger01],1)</f>
        <v/>
      </c>
      <c r="N420" s="20">
        <f>COUNTIFS(tData[SEHTrajectPeriodeDatumTijdVan],"&lt;="&amp;($A420+10/24),tData[SEHTrajectPeriodeDatumTijdTotEnMet],"&gt;"&amp;($A420+10/24),tData[Langligger01],1)</f>
        <v/>
      </c>
      <c r="O420" s="20">
        <f>COUNTIFS(tData[SEHTrajectPeriodeDatumTijdVan],"&lt;="&amp;($A420+11/24),tData[SEHTrajectPeriodeDatumTijdTotEnMet],"&gt;"&amp;($A420+11/24),tData[Langligger01],1)</f>
        <v/>
      </c>
      <c r="P420" s="20">
        <f>COUNTIFS(tData[SEHTrajectPeriodeDatumTijdVan],"&lt;="&amp;($A420+12/24),tData[SEHTrajectPeriodeDatumTijdTotEnMet],"&gt;"&amp;($A420+12/24),tData[Langligger01],1)</f>
        <v/>
      </c>
      <c r="Q420" s="20">
        <f>COUNTIFS(tData[SEHTrajectPeriodeDatumTijdVan],"&lt;="&amp;($A420+13/24),tData[SEHTrajectPeriodeDatumTijdTotEnMet],"&gt;"&amp;($A420+13/24),tData[Langligger01],1)</f>
        <v/>
      </c>
      <c r="R420" s="20">
        <f>COUNTIFS(tData[SEHTrajectPeriodeDatumTijdVan],"&lt;="&amp;($A420+14/24),tData[SEHTrajectPeriodeDatumTijdTotEnMet],"&gt;"&amp;($A420+14/24),tData[Langligger01],1)</f>
        <v/>
      </c>
      <c r="S420" s="20">
        <f>COUNTIFS(tData[SEHTrajectPeriodeDatumTijdVan],"&lt;="&amp;($A420+15/24),tData[SEHTrajectPeriodeDatumTijdTotEnMet],"&gt;"&amp;($A420+15/24),tData[Langligger01],1)</f>
        <v/>
      </c>
      <c r="T420" s="20">
        <f>COUNTIFS(tData[SEHTrajectPeriodeDatumTijdVan],"&lt;="&amp;($A420+16/24),tData[SEHTrajectPeriodeDatumTijdTotEnMet],"&gt;"&amp;($A420+16/24),tData[Langligger01],1)</f>
        <v/>
      </c>
      <c r="U420" s="20">
        <f>COUNTIFS(tData[SEHTrajectPeriodeDatumTijdVan],"&lt;="&amp;($A420+17/24),tData[SEHTrajectPeriodeDatumTijdTotEnMet],"&gt;"&amp;($A420+17/24),tData[Langligger01],1)</f>
        <v/>
      </c>
      <c r="V420" s="20">
        <f>COUNTIFS(tData[SEHTrajectPeriodeDatumTijdVan],"&lt;="&amp;($A420+18/24),tData[SEHTrajectPeriodeDatumTijdTotEnMet],"&gt;"&amp;($A420+18/24),tData[Langligger01],1)</f>
        <v/>
      </c>
      <c r="W420" s="20">
        <f>COUNTIFS(tData[SEHTrajectPeriodeDatumTijdVan],"&lt;="&amp;($A420+19/24),tData[SEHTrajectPeriodeDatumTijdTotEnMet],"&gt;"&amp;($A420+19/24),tData[Langligger01],1)</f>
        <v/>
      </c>
      <c r="X420" s="20">
        <f>COUNTIFS(tData[SEHTrajectPeriodeDatumTijdVan],"&lt;="&amp;($A420+20/24),tData[SEHTrajectPeriodeDatumTijdTotEnMet],"&gt;"&amp;($A420+20/24),tData[Langligger01],1)</f>
        <v/>
      </c>
      <c r="Y420" s="20">
        <f>COUNTIFS(tData[SEHTrajectPeriodeDatumTijdVan],"&lt;="&amp;($A420+21/24),tData[SEHTrajectPeriodeDatumTijdTotEnMet],"&gt;"&amp;($A420+21/24),tData[Langligger01],1)</f>
        <v/>
      </c>
      <c r="Z420" s="20">
        <f>COUNTIFS(tData[SEHTrajectPeriodeDatumTijdVan],"&lt;="&amp;($A420+22/24),tData[SEHTrajectPeriodeDatumTijdTotEnMet],"&gt;"&amp;($A420+22/24),tData[Langligger01],1)</f>
        <v/>
      </c>
      <c r="AA420" s="20">
        <f>COUNTIFS(tData[SEHTrajectPeriodeDatumTijdVan],"&lt;="&amp;($A420+23/24),tData[SEHTrajectPeriodeDatumTijdTotEnMet],"&gt;"&amp;($A420+23/24),tData[Langligger01],1)</f>
        <v/>
      </c>
    </row>
    <row r="421">
      <c r="A421" s="19" t="n">
        <v>45709</v>
      </c>
      <c r="B421" s="15">
        <f>WEEKDAY($A421,2)</f>
        <v/>
      </c>
      <c r="C421" s="15">
        <f>IF(AND($A421&gt;=INT(Instellingen!$B$5),$A421&lt;=INT(Instellingen!$B$6)),1,0)</f>
        <v/>
      </c>
      <c r="D421" s="20">
        <f>COUNTIFS(tData[SEHTrajectPeriodeDatumTijdVan],"&lt;="&amp;($A421+0/24),tData[SEHTrajectPeriodeDatumTijdTotEnMet],"&gt;"&amp;($A421+0/24),tData[Langligger01],1)</f>
        <v/>
      </c>
      <c r="E421" s="20">
        <f>COUNTIFS(tData[SEHTrajectPeriodeDatumTijdVan],"&lt;="&amp;($A421+1/24),tData[SEHTrajectPeriodeDatumTijdTotEnMet],"&gt;"&amp;($A421+1/24),tData[Langligger01],1)</f>
        <v/>
      </c>
      <c r="F421" s="20">
        <f>COUNTIFS(tData[SEHTrajectPeriodeDatumTijdVan],"&lt;="&amp;($A421+2/24),tData[SEHTrajectPeriodeDatumTijdTotEnMet],"&gt;"&amp;($A421+2/24),tData[Langligger01],1)</f>
        <v/>
      </c>
      <c r="G421" s="20">
        <f>COUNTIFS(tData[SEHTrajectPeriodeDatumTijdVan],"&lt;="&amp;($A421+3/24),tData[SEHTrajectPeriodeDatumTijdTotEnMet],"&gt;"&amp;($A421+3/24),tData[Langligger01],1)</f>
        <v/>
      </c>
      <c r="H421" s="20">
        <f>COUNTIFS(tData[SEHTrajectPeriodeDatumTijdVan],"&lt;="&amp;($A421+4/24),tData[SEHTrajectPeriodeDatumTijdTotEnMet],"&gt;"&amp;($A421+4/24),tData[Langligger01],1)</f>
        <v/>
      </c>
      <c r="I421" s="20">
        <f>COUNTIFS(tData[SEHTrajectPeriodeDatumTijdVan],"&lt;="&amp;($A421+5/24),tData[SEHTrajectPeriodeDatumTijdTotEnMet],"&gt;"&amp;($A421+5/24),tData[Langligger01],1)</f>
        <v/>
      </c>
      <c r="J421" s="20">
        <f>COUNTIFS(tData[SEHTrajectPeriodeDatumTijdVan],"&lt;="&amp;($A421+6/24),tData[SEHTrajectPeriodeDatumTijdTotEnMet],"&gt;"&amp;($A421+6/24),tData[Langligger01],1)</f>
        <v/>
      </c>
      <c r="K421" s="20">
        <f>COUNTIFS(tData[SEHTrajectPeriodeDatumTijdVan],"&lt;="&amp;($A421+7/24),tData[SEHTrajectPeriodeDatumTijdTotEnMet],"&gt;"&amp;($A421+7/24),tData[Langligger01],1)</f>
        <v/>
      </c>
      <c r="L421" s="20">
        <f>COUNTIFS(tData[SEHTrajectPeriodeDatumTijdVan],"&lt;="&amp;($A421+8/24),tData[SEHTrajectPeriodeDatumTijdTotEnMet],"&gt;"&amp;($A421+8/24),tData[Langligger01],1)</f>
        <v/>
      </c>
      <c r="M421" s="20">
        <f>COUNTIFS(tData[SEHTrajectPeriodeDatumTijdVan],"&lt;="&amp;($A421+9/24),tData[SEHTrajectPeriodeDatumTijdTotEnMet],"&gt;"&amp;($A421+9/24),tData[Langligger01],1)</f>
        <v/>
      </c>
      <c r="N421" s="20">
        <f>COUNTIFS(tData[SEHTrajectPeriodeDatumTijdVan],"&lt;="&amp;($A421+10/24),tData[SEHTrajectPeriodeDatumTijdTotEnMet],"&gt;"&amp;($A421+10/24),tData[Langligger01],1)</f>
        <v/>
      </c>
      <c r="O421" s="20">
        <f>COUNTIFS(tData[SEHTrajectPeriodeDatumTijdVan],"&lt;="&amp;($A421+11/24),tData[SEHTrajectPeriodeDatumTijdTotEnMet],"&gt;"&amp;($A421+11/24),tData[Langligger01],1)</f>
        <v/>
      </c>
      <c r="P421" s="20">
        <f>COUNTIFS(tData[SEHTrajectPeriodeDatumTijdVan],"&lt;="&amp;($A421+12/24),tData[SEHTrajectPeriodeDatumTijdTotEnMet],"&gt;"&amp;($A421+12/24),tData[Langligger01],1)</f>
        <v/>
      </c>
      <c r="Q421" s="20">
        <f>COUNTIFS(tData[SEHTrajectPeriodeDatumTijdVan],"&lt;="&amp;($A421+13/24),tData[SEHTrajectPeriodeDatumTijdTotEnMet],"&gt;"&amp;($A421+13/24),tData[Langligger01],1)</f>
        <v/>
      </c>
      <c r="R421" s="20">
        <f>COUNTIFS(tData[SEHTrajectPeriodeDatumTijdVan],"&lt;="&amp;($A421+14/24),tData[SEHTrajectPeriodeDatumTijdTotEnMet],"&gt;"&amp;($A421+14/24),tData[Langligger01],1)</f>
        <v/>
      </c>
      <c r="S421" s="20">
        <f>COUNTIFS(tData[SEHTrajectPeriodeDatumTijdVan],"&lt;="&amp;($A421+15/24),tData[SEHTrajectPeriodeDatumTijdTotEnMet],"&gt;"&amp;($A421+15/24),tData[Langligger01],1)</f>
        <v/>
      </c>
      <c r="T421" s="20">
        <f>COUNTIFS(tData[SEHTrajectPeriodeDatumTijdVan],"&lt;="&amp;($A421+16/24),tData[SEHTrajectPeriodeDatumTijdTotEnMet],"&gt;"&amp;($A421+16/24),tData[Langligger01],1)</f>
        <v/>
      </c>
      <c r="U421" s="20">
        <f>COUNTIFS(tData[SEHTrajectPeriodeDatumTijdVan],"&lt;="&amp;($A421+17/24),tData[SEHTrajectPeriodeDatumTijdTotEnMet],"&gt;"&amp;($A421+17/24),tData[Langligger01],1)</f>
        <v/>
      </c>
      <c r="V421" s="20">
        <f>COUNTIFS(tData[SEHTrajectPeriodeDatumTijdVan],"&lt;="&amp;($A421+18/24),tData[SEHTrajectPeriodeDatumTijdTotEnMet],"&gt;"&amp;($A421+18/24),tData[Langligger01],1)</f>
        <v/>
      </c>
      <c r="W421" s="20">
        <f>COUNTIFS(tData[SEHTrajectPeriodeDatumTijdVan],"&lt;="&amp;($A421+19/24),tData[SEHTrajectPeriodeDatumTijdTotEnMet],"&gt;"&amp;($A421+19/24),tData[Langligger01],1)</f>
        <v/>
      </c>
      <c r="X421" s="20">
        <f>COUNTIFS(tData[SEHTrajectPeriodeDatumTijdVan],"&lt;="&amp;($A421+20/24),tData[SEHTrajectPeriodeDatumTijdTotEnMet],"&gt;"&amp;($A421+20/24),tData[Langligger01],1)</f>
        <v/>
      </c>
      <c r="Y421" s="20">
        <f>COUNTIFS(tData[SEHTrajectPeriodeDatumTijdVan],"&lt;="&amp;($A421+21/24),tData[SEHTrajectPeriodeDatumTijdTotEnMet],"&gt;"&amp;($A421+21/24),tData[Langligger01],1)</f>
        <v/>
      </c>
      <c r="Z421" s="20">
        <f>COUNTIFS(tData[SEHTrajectPeriodeDatumTijdVan],"&lt;="&amp;($A421+22/24),tData[SEHTrajectPeriodeDatumTijdTotEnMet],"&gt;"&amp;($A421+22/24),tData[Langligger01],1)</f>
        <v/>
      </c>
      <c r="AA421" s="20">
        <f>COUNTIFS(tData[SEHTrajectPeriodeDatumTijdVan],"&lt;="&amp;($A421+23/24),tData[SEHTrajectPeriodeDatumTijdTotEnMet],"&gt;"&amp;($A421+23/24),tData[Langligger01],1)</f>
        <v/>
      </c>
    </row>
    <row r="422">
      <c r="A422" s="19" t="n">
        <v>45710</v>
      </c>
      <c r="B422" s="15">
        <f>WEEKDAY($A422,2)</f>
        <v/>
      </c>
      <c r="C422" s="15">
        <f>IF(AND($A422&gt;=INT(Instellingen!$B$5),$A422&lt;=INT(Instellingen!$B$6)),1,0)</f>
        <v/>
      </c>
      <c r="D422" s="20">
        <f>COUNTIFS(tData[SEHTrajectPeriodeDatumTijdVan],"&lt;="&amp;($A422+0/24),tData[SEHTrajectPeriodeDatumTijdTotEnMet],"&gt;"&amp;($A422+0/24),tData[Langligger01],1)</f>
        <v/>
      </c>
      <c r="E422" s="20">
        <f>COUNTIFS(tData[SEHTrajectPeriodeDatumTijdVan],"&lt;="&amp;($A422+1/24),tData[SEHTrajectPeriodeDatumTijdTotEnMet],"&gt;"&amp;($A422+1/24),tData[Langligger01],1)</f>
        <v/>
      </c>
      <c r="F422" s="20">
        <f>COUNTIFS(tData[SEHTrajectPeriodeDatumTijdVan],"&lt;="&amp;($A422+2/24),tData[SEHTrajectPeriodeDatumTijdTotEnMet],"&gt;"&amp;($A422+2/24),tData[Langligger01],1)</f>
        <v/>
      </c>
      <c r="G422" s="20">
        <f>COUNTIFS(tData[SEHTrajectPeriodeDatumTijdVan],"&lt;="&amp;($A422+3/24),tData[SEHTrajectPeriodeDatumTijdTotEnMet],"&gt;"&amp;($A422+3/24),tData[Langligger01],1)</f>
        <v/>
      </c>
      <c r="H422" s="20">
        <f>COUNTIFS(tData[SEHTrajectPeriodeDatumTijdVan],"&lt;="&amp;($A422+4/24),tData[SEHTrajectPeriodeDatumTijdTotEnMet],"&gt;"&amp;($A422+4/24),tData[Langligger01],1)</f>
        <v/>
      </c>
      <c r="I422" s="20">
        <f>COUNTIFS(tData[SEHTrajectPeriodeDatumTijdVan],"&lt;="&amp;($A422+5/24),tData[SEHTrajectPeriodeDatumTijdTotEnMet],"&gt;"&amp;($A422+5/24),tData[Langligger01],1)</f>
        <v/>
      </c>
      <c r="J422" s="20">
        <f>COUNTIFS(tData[SEHTrajectPeriodeDatumTijdVan],"&lt;="&amp;($A422+6/24),tData[SEHTrajectPeriodeDatumTijdTotEnMet],"&gt;"&amp;($A422+6/24),tData[Langligger01],1)</f>
        <v/>
      </c>
      <c r="K422" s="20">
        <f>COUNTIFS(tData[SEHTrajectPeriodeDatumTijdVan],"&lt;="&amp;($A422+7/24),tData[SEHTrajectPeriodeDatumTijdTotEnMet],"&gt;"&amp;($A422+7/24),tData[Langligger01],1)</f>
        <v/>
      </c>
      <c r="L422" s="20">
        <f>COUNTIFS(tData[SEHTrajectPeriodeDatumTijdVan],"&lt;="&amp;($A422+8/24),tData[SEHTrajectPeriodeDatumTijdTotEnMet],"&gt;"&amp;($A422+8/24),tData[Langligger01],1)</f>
        <v/>
      </c>
      <c r="M422" s="20">
        <f>COUNTIFS(tData[SEHTrajectPeriodeDatumTijdVan],"&lt;="&amp;($A422+9/24),tData[SEHTrajectPeriodeDatumTijdTotEnMet],"&gt;"&amp;($A422+9/24),tData[Langligger01],1)</f>
        <v/>
      </c>
      <c r="N422" s="20">
        <f>COUNTIFS(tData[SEHTrajectPeriodeDatumTijdVan],"&lt;="&amp;($A422+10/24),tData[SEHTrajectPeriodeDatumTijdTotEnMet],"&gt;"&amp;($A422+10/24),tData[Langligger01],1)</f>
        <v/>
      </c>
      <c r="O422" s="20">
        <f>COUNTIFS(tData[SEHTrajectPeriodeDatumTijdVan],"&lt;="&amp;($A422+11/24),tData[SEHTrajectPeriodeDatumTijdTotEnMet],"&gt;"&amp;($A422+11/24),tData[Langligger01],1)</f>
        <v/>
      </c>
      <c r="P422" s="20">
        <f>COUNTIFS(tData[SEHTrajectPeriodeDatumTijdVan],"&lt;="&amp;($A422+12/24),tData[SEHTrajectPeriodeDatumTijdTotEnMet],"&gt;"&amp;($A422+12/24),tData[Langligger01],1)</f>
        <v/>
      </c>
      <c r="Q422" s="20">
        <f>COUNTIFS(tData[SEHTrajectPeriodeDatumTijdVan],"&lt;="&amp;($A422+13/24),tData[SEHTrajectPeriodeDatumTijdTotEnMet],"&gt;"&amp;($A422+13/24),tData[Langligger01],1)</f>
        <v/>
      </c>
      <c r="R422" s="20">
        <f>COUNTIFS(tData[SEHTrajectPeriodeDatumTijdVan],"&lt;="&amp;($A422+14/24),tData[SEHTrajectPeriodeDatumTijdTotEnMet],"&gt;"&amp;($A422+14/24),tData[Langligger01],1)</f>
        <v/>
      </c>
      <c r="S422" s="20">
        <f>COUNTIFS(tData[SEHTrajectPeriodeDatumTijdVan],"&lt;="&amp;($A422+15/24),tData[SEHTrajectPeriodeDatumTijdTotEnMet],"&gt;"&amp;($A422+15/24),tData[Langligger01],1)</f>
        <v/>
      </c>
      <c r="T422" s="20">
        <f>COUNTIFS(tData[SEHTrajectPeriodeDatumTijdVan],"&lt;="&amp;($A422+16/24),tData[SEHTrajectPeriodeDatumTijdTotEnMet],"&gt;"&amp;($A422+16/24),tData[Langligger01],1)</f>
        <v/>
      </c>
      <c r="U422" s="20">
        <f>COUNTIFS(tData[SEHTrajectPeriodeDatumTijdVan],"&lt;="&amp;($A422+17/24),tData[SEHTrajectPeriodeDatumTijdTotEnMet],"&gt;"&amp;($A422+17/24),tData[Langligger01],1)</f>
        <v/>
      </c>
      <c r="V422" s="20">
        <f>COUNTIFS(tData[SEHTrajectPeriodeDatumTijdVan],"&lt;="&amp;($A422+18/24),tData[SEHTrajectPeriodeDatumTijdTotEnMet],"&gt;"&amp;($A422+18/24),tData[Langligger01],1)</f>
        <v/>
      </c>
      <c r="W422" s="20">
        <f>COUNTIFS(tData[SEHTrajectPeriodeDatumTijdVan],"&lt;="&amp;($A422+19/24),tData[SEHTrajectPeriodeDatumTijdTotEnMet],"&gt;"&amp;($A422+19/24),tData[Langligger01],1)</f>
        <v/>
      </c>
      <c r="X422" s="20">
        <f>COUNTIFS(tData[SEHTrajectPeriodeDatumTijdVan],"&lt;="&amp;($A422+20/24),tData[SEHTrajectPeriodeDatumTijdTotEnMet],"&gt;"&amp;($A422+20/24),tData[Langligger01],1)</f>
        <v/>
      </c>
      <c r="Y422" s="20">
        <f>COUNTIFS(tData[SEHTrajectPeriodeDatumTijdVan],"&lt;="&amp;($A422+21/24),tData[SEHTrajectPeriodeDatumTijdTotEnMet],"&gt;"&amp;($A422+21/24),tData[Langligger01],1)</f>
        <v/>
      </c>
      <c r="Z422" s="20">
        <f>COUNTIFS(tData[SEHTrajectPeriodeDatumTijdVan],"&lt;="&amp;($A422+22/24),tData[SEHTrajectPeriodeDatumTijdTotEnMet],"&gt;"&amp;($A422+22/24),tData[Langligger01],1)</f>
        <v/>
      </c>
      <c r="AA422" s="20">
        <f>COUNTIFS(tData[SEHTrajectPeriodeDatumTijdVan],"&lt;="&amp;($A422+23/24),tData[SEHTrajectPeriodeDatumTijdTotEnMet],"&gt;"&amp;($A422+23/24),tData[Langligger01],1)</f>
        <v/>
      </c>
    </row>
    <row r="423">
      <c r="A423" s="19" t="n">
        <v>45711</v>
      </c>
      <c r="B423" s="15">
        <f>WEEKDAY($A423,2)</f>
        <v/>
      </c>
      <c r="C423" s="15">
        <f>IF(AND($A423&gt;=INT(Instellingen!$B$5),$A423&lt;=INT(Instellingen!$B$6)),1,0)</f>
        <v/>
      </c>
      <c r="D423" s="20">
        <f>COUNTIFS(tData[SEHTrajectPeriodeDatumTijdVan],"&lt;="&amp;($A423+0/24),tData[SEHTrajectPeriodeDatumTijdTotEnMet],"&gt;"&amp;($A423+0/24),tData[Langligger01],1)</f>
        <v/>
      </c>
      <c r="E423" s="20">
        <f>COUNTIFS(tData[SEHTrajectPeriodeDatumTijdVan],"&lt;="&amp;($A423+1/24),tData[SEHTrajectPeriodeDatumTijdTotEnMet],"&gt;"&amp;($A423+1/24),tData[Langligger01],1)</f>
        <v/>
      </c>
      <c r="F423" s="20">
        <f>COUNTIFS(tData[SEHTrajectPeriodeDatumTijdVan],"&lt;="&amp;($A423+2/24),tData[SEHTrajectPeriodeDatumTijdTotEnMet],"&gt;"&amp;($A423+2/24),tData[Langligger01],1)</f>
        <v/>
      </c>
      <c r="G423" s="20">
        <f>COUNTIFS(tData[SEHTrajectPeriodeDatumTijdVan],"&lt;="&amp;($A423+3/24),tData[SEHTrajectPeriodeDatumTijdTotEnMet],"&gt;"&amp;($A423+3/24),tData[Langligger01],1)</f>
        <v/>
      </c>
      <c r="H423" s="20">
        <f>COUNTIFS(tData[SEHTrajectPeriodeDatumTijdVan],"&lt;="&amp;($A423+4/24),tData[SEHTrajectPeriodeDatumTijdTotEnMet],"&gt;"&amp;($A423+4/24),tData[Langligger01],1)</f>
        <v/>
      </c>
      <c r="I423" s="20">
        <f>COUNTIFS(tData[SEHTrajectPeriodeDatumTijdVan],"&lt;="&amp;($A423+5/24),tData[SEHTrajectPeriodeDatumTijdTotEnMet],"&gt;"&amp;($A423+5/24),tData[Langligger01],1)</f>
        <v/>
      </c>
      <c r="J423" s="20">
        <f>COUNTIFS(tData[SEHTrajectPeriodeDatumTijdVan],"&lt;="&amp;($A423+6/24),tData[SEHTrajectPeriodeDatumTijdTotEnMet],"&gt;"&amp;($A423+6/24),tData[Langligger01],1)</f>
        <v/>
      </c>
      <c r="K423" s="20">
        <f>COUNTIFS(tData[SEHTrajectPeriodeDatumTijdVan],"&lt;="&amp;($A423+7/24),tData[SEHTrajectPeriodeDatumTijdTotEnMet],"&gt;"&amp;($A423+7/24),tData[Langligger01],1)</f>
        <v/>
      </c>
      <c r="L423" s="20">
        <f>COUNTIFS(tData[SEHTrajectPeriodeDatumTijdVan],"&lt;="&amp;($A423+8/24),tData[SEHTrajectPeriodeDatumTijdTotEnMet],"&gt;"&amp;($A423+8/24),tData[Langligger01],1)</f>
        <v/>
      </c>
      <c r="M423" s="20">
        <f>COUNTIFS(tData[SEHTrajectPeriodeDatumTijdVan],"&lt;="&amp;($A423+9/24),tData[SEHTrajectPeriodeDatumTijdTotEnMet],"&gt;"&amp;($A423+9/24),tData[Langligger01],1)</f>
        <v/>
      </c>
      <c r="N423" s="20">
        <f>COUNTIFS(tData[SEHTrajectPeriodeDatumTijdVan],"&lt;="&amp;($A423+10/24),tData[SEHTrajectPeriodeDatumTijdTotEnMet],"&gt;"&amp;($A423+10/24),tData[Langligger01],1)</f>
        <v/>
      </c>
      <c r="O423" s="20">
        <f>COUNTIFS(tData[SEHTrajectPeriodeDatumTijdVan],"&lt;="&amp;($A423+11/24),tData[SEHTrajectPeriodeDatumTijdTotEnMet],"&gt;"&amp;($A423+11/24),tData[Langligger01],1)</f>
        <v/>
      </c>
      <c r="P423" s="20">
        <f>COUNTIFS(tData[SEHTrajectPeriodeDatumTijdVan],"&lt;="&amp;($A423+12/24),tData[SEHTrajectPeriodeDatumTijdTotEnMet],"&gt;"&amp;($A423+12/24),tData[Langligger01],1)</f>
        <v/>
      </c>
      <c r="Q423" s="20">
        <f>COUNTIFS(tData[SEHTrajectPeriodeDatumTijdVan],"&lt;="&amp;($A423+13/24),tData[SEHTrajectPeriodeDatumTijdTotEnMet],"&gt;"&amp;($A423+13/24),tData[Langligger01],1)</f>
        <v/>
      </c>
      <c r="R423" s="20">
        <f>COUNTIFS(tData[SEHTrajectPeriodeDatumTijdVan],"&lt;="&amp;($A423+14/24),tData[SEHTrajectPeriodeDatumTijdTotEnMet],"&gt;"&amp;($A423+14/24),tData[Langligger01],1)</f>
        <v/>
      </c>
      <c r="S423" s="20">
        <f>COUNTIFS(tData[SEHTrajectPeriodeDatumTijdVan],"&lt;="&amp;($A423+15/24),tData[SEHTrajectPeriodeDatumTijdTotEnMet],"&gt;"&amp;($A423+15/24),tData[Langligger01],1)</f>
        <v/>
      </c>
      <c r="T423" s="20">
        <f>COUNTIFS(tData[SEHTrajectPeriodeDatumTijdVan],"&lt;="&amp;($A423+16/24),tData[SEHTrajectPeriodeDatumTijdTotEnMet],"&gt;"&amp;($A423+16/24),tData[Langligger01],1)</f>
        <v/>
      </c>
      <c r="U423" s="20">
        <f>COUNTIFS(tData[SEHTrajectPeriodeDatumTijdVan],"&lt;="&amp;($A423+17/24),tData[SEHTrajectPeriodeDatumTijdTotEnMet],"&gt;"&amp;($A423+17/24),tData[Langligger01],1)</f>
        <v/>
      </c>
      <c r="V423" s="20">
        <f>COUNTIFS(tData[SEHTrajectPeriodeDatumTijdVan],"&lt;="&amp;($A423+18/24),tData[SEHTrajectPeriodeDatumTijdTotEnMet],"&gt;"&amp;($A423+18/24),tData[Langligger01],1)</f>
        <v/>
      </c>
      <c r="W423" s="20">
        <f>COUNTIFS(tData[SEHTrajectPeriodeDatumTijdVan],"&lt;="&amp;($A423+19/24),tData[SEHTrajectPeriodeDatumTijdTotEnMet],"&gt;"&amp;($A423+19/24),tData[Langligger01],1)</f>
        <v/>
      </c>
      <c r="X423" s="20">
        <f>COUNTIFS(tData[SEHTrajectPeriodeDatumTijdVan],"&lt;="&amp;($A423+20/24),tData[SEHTrajectPeriodeDatumTijdTotEnMet],"&gt;"&amp;($A423+20/24),tData[Langligger01],1)</f>
        <v/>
      </c>
      <c r="Y423" s="20">
        <f>COUNTIFS(tData[SEHTrajectPeriodeDatumTijdVan],"&lt;="&amp;($A423+21/24),tData[SEHTrajectPeriodeDatumTijdTotEnMet],"&gt;"&amp;($A423+21/24),tData[Langligger01],1)</f>
        <v/>
      </c>
      <c r="Z423" s="20">
        <f>COUNTIFS(tData[SEHTrajectPeriodeDatumTijdVan],"&lt;="&amp;($A423+22/24),tData[SEHTrajectPeriodeDatumTijdTotEnMet],"&gt;"&amp;($A423+22/24),tData[Langligger01],1)</f>
        <v/>
      </c>
      <c r="AA423" s="20">
        <f>COUNTIFS(tData[SEHTrajectPeriodeDatumTijdVan],"&lt;="&amp;($A423+23/24),tData[SEHTrajectPeriodeDatumTijdTotEnMet],"&gt;"&amp;($A423+23/24),tData[Langligger01],1)</f>
        <v/>
      </c>
    </row>
    <row r="424">
      <c r="A424" s="19" t="n">
        <v>45712</v>
      </c>
      <c r="B424" s="15">
        <f>WEEKDAY($A424,2)</f>
        <v/>
      </c>
      <c r="C424" s="15">
        <f>IF(AND($A424&gt;=INT(Instellingen!$B$5),$A424&lt;=INT(Instellingen!$B$6)),1,0)</f>
        <v/>
      </c>
      <c r="D424" s="20">
        <f>COUNTIFS(tData[SEHTrajectPeriodeDatumTijdVan],"&lt;="&amp;($A424+0/24),tData[SEHTrajectPeriodeDatumTijdTotEnMet],"&gt;"&amp;($A424+0/24),tData[Langligger01],1)</f>
        <v/>
      </c>
      <c r="E424" s="20">
        <f>COUNTIFS(tData[SEHTrajectPeriodeDatumTijdVan],"&lt;="&amp;($A424+1/24),tData[SEHTrajectPeriodeDatumTijdTotEnMet],"&gt;"&amp;($A424+1/24),tData[Langligger01],1)</f>
        <v/>
      </c>
      <c r="F424" s="20">
        <f>COUNTIFS(tData[SEHTrajectPeriodeDatumTijdVan],"&lt;="&amp;($A424+2/24),tData[SEHTrajectPeriodeDatumTijdTotEnMet],"&gt;"&amp;($A424+2/24),tData[Langligger01],1)</f>
        <v/>
      </c>
      <c r="G424" s="20">
        <f>COUNTIFS(tData[SEHTrajectPeriodeDatumTijdVan],"&lt;="&amp;($A424+3/24),tData[SEHTrajectPeriodeDatumTijdTotEnMet],"&gt;"&amp;($A424+3/24),tData[Langligger01],1)</f>
        <v/>
      </c>
      <c r="H424" s="20">
        <f>COUNTIFS(tData[SEHTrajectPeriodeDatumTijdVan],"&lt;="&amp;($A424+4/24),tData[SEHTrajectPeriodeDatumTijdTotEnMet],"&gt;"&amp;($A424+4/24),tData[Langligger01],1)</f>
        <v/>
      </c>
      <c r="I424" s="20">
        <f>COUNTIFS(tData[SEHTrajectPeriodeDatumTijdVan],"&lt;="&amp;($A424+5/24),tData[SEHTrajectPeriodeDatumTijdTotEnMet],"&gt;"&amp;($A424+5/24),tData[Langligger01],1)</f>
        <v/>
      </c>
      <c r="J424" s="20">
        <f>COUNTIFS(tData[SEHTrajectPeriodeDatumTijdVan],"&lt;="&amp;($A424+6/24),tData[SEHTrajectPeriodeDatumTijdTotEnMet],"&gt;"&amp;($A424+6/24),tData[Langligger01],1)</f>
        <v/>
      </c>
      <c r="K424" s="20">
        <f>COUNTIFS(tData[SEHTrajectPeriodeDatumTijdVan],"&lt;="&amp;($A424+7/24),tData[SEHTrajectPeriodeDatumTijdTotEnMet],"&gt;"&amp;($A424+7/24),tData[Langligger01],1)</f>
        <v/>
      </c>
      <c r="L424" s="20">
        <f>COUNTIFS(tData[SEHTrajectPeriodeDatumTijdVan],"&lt;="&amp;($A424+8/24),tData[SEHTrajectPeriodeDatumTijdTotEnMet],"&gt;"&amp;($A424+8/24),tData[Langligger01],1)</f>
        <v/>
      </c>
      <c r="M424" s="20">
        <f>COUNTIFS(tData[SEHTrajectPeriodeDatumTijdVan],"&lt;="&amp;($A424+9/24),tData[SEHTrajectPeriodeDatumTijdTotEnMet],"&gt;"&amp;($A424+9/24),tData[Langligger01],1)</f>
        <v/>
      </c>
      <c r="N424" s="20">
        <f>COUNTIFS(tData[SEHTrajectPeriodeDatumTijdVan],"&lt;="&amp;($A424+10/24),tData[SEHTrajectPeriodeDatumTijdTotEnMet],"&gt;"&amp;($A424+10/24),tData[Langligger01],1)</f>
        <v/>
      </c>
      <c r="O424" s="20">
        <f>COUNTIFS(tData[SEHTrajectPeriodeDatumTijdVan],"&lt;="&amp;($A424+11/24),tData[SEHTrajectPeriodeDatumTijdTotEnMet],"&gt;"&amp;($A424+11/24),tData[Langligger01],1)</f>
        <v/>
      </c>
      <c r="P424" s="20">
        <f>COUNTIFS(tData[SEHTrajectPeriodeDatumTijdVan],"&lt;="&amp;($A424+12/24),tData[SEHTrajectPeriodeDatumTijdTotEnMet],"&gt;"&amp;($A424+12/24),tData[Langligger01],1)</f>
        <v/>
      </c>
      <c r="Q424" s="20">
        <f>COUNTIFS(tData[SEHTrajectPeriodeDatumTijdVan],"&lt;="&amp;($A424+13/24),tData[SEHTrajectPeriodeDatumTijdTotEnMet],"&gt;"&amp;($A424+13/24),tData[Langligger01],1)</f>
        <v/>
      </c>
      <c r="R424" s="20">
        <f>COUNTIFS(tData[SEHTrajectPeriodeDatumTijdVan],"&lt;="&amp;($A424+14/24),tData[SEHTrajectPeriodeDatumTijdTotEnMet],"&gt;"&amp;($A424+14/24),tData[Langligger01],1)</f>
        <v/>
      </c>
      <c r="S424" s="20">
        <f>COUNTIFS(tData[SEHTrajectPeriodeDatumTijdVan],"&lt;="&amp;($A424+15/24),tData[SEHTrajectPeriodeDatumTijdTotEnMet],"&gt;"&amp;($A424+15/24),tData[Langligger01],1)</f>
        <v/>
      </c>
      <c r="T424" s="20">
        <f>COUNTIFS(tData[SEHTrajectPeriodeDatumTijdVan],"&lt;="&amp;($A424+16/24),tData[SEHTrajectPeriodeDatumTijdTotEnMet],"&gt;"&amp;($A424+16/24),tData[Langligger01],1)</f>
        <v/>
      </c>
      <c r="U424" s="20">
        <f>COUNTIFS(tData[SEHTrajectPeriodeDatumTijdVan],"&lt;="&amp;($A424+17/24),tData[SEHTrajectPeriodeDatumTijdTotEnMet],"&gt;"&amp;($A424+17/24),tData[Langligger01],1)</f>
        <v/>
      </c>
      <c r="V424" s="20">
        <f>COUNTIFS(tData[SEHTrajectPeriodeDatumTijdVan],"&lt;="&amp;($A424+18/24),tData[SEHTrajectPeriodeDatumTijdTotEnMet],"&gt;"&amp;($A424+18/24),tData[Langligger01],1)</f>
        <v/>
      </c>
      <c r="W424" s="20">
        <f>COUNTIFS(tData[SEHTrajectPeriodeDatumTijdVan],"&lt;="&amp;($A424+19/24),tData[SEHTrajectPeriodeDatumTijdTotEnMet],"&gt;"&amp;($A424+19/24),tData[Langligger01],1)</f>
        <v/>
      </c>
      <c r="X424" s="20">
        <f>COUNTIFS(tData[SEHTrajectPeriodeDatumTijdVan],"&lt;="&amp;($A424+20/24),tData[SEHTrajectPeriodeDatumTijdTotEnMet],"&gt;"&amp;($A424+20/24),tData[Langligger01],1)</f>
        <v/>
      </c>
      <c r="Y424" s="20">
        <f>COUNTIFS(tData[SEHTrajectPeriodeDatumTijdVan],"&lt;="&amp;($A424+21/24),tData[SEHTrajectPeriodeDatumTijdTotEnMet],"&gt;"&amp;($A424+21/24),tData[Langligger01],1)</f>
        <v/>
      </c>
      <c r="Z424" s="20">
        <f>COUNTIFS(tData[SEHTrajectPeriodeDatumTijdVan],"&lt;="&amp;($A424+22/24),tData[SEHTrajectPeriodeDatumTijdTotEnMet],"&gt;"&amp;($A424+22/24),tData[Langligger01],1)</f>
        <v/>
      </c>
      <c r="AA424" s="20">
        <f>COUNTIFS(tData[SEHTrajectPeriodeDatumTijdVan],"&lt;="&amp;($A424+23/24),tData[SEHTrajectPeriodeDatumTijdTotEnMet],"&gt;"&amp;($A424+23/24),tData[Langligger01],1)</f>
        <v/>
      </c>
    </row>
    <row r="425">
      <c r="A425" s="19" t="n">
        <v>45713</v>
      </c>
      <c r="B425" s="15">
        <f>WEEKDAY($A425,2)</f>
        <v/>
      </c>
      <c r="C425" s="15">
        <f>IF(AND($A425&gt;=INT(Instellingen!$B$5),$A425&lt;=INT(Instellingen!$B$6)),1,0)</f>
        <v/>
      </c>
      <c r="D425" s="20">
        <f>COUNTIFS(tData[SEHTrajectPeriodeDatumTijdVan],"&lt;="&amp;($A425+0/24),tData[SEHTrajectPeriodeDatumTijdTotEnMet],"&gt;"&amp;($A425+0/24),tData[Langligger01],1)</f>
        <v/>
      </c>
      <c r="E425" s="20">
        <f>COUNTIFS(tData[SEHTrajectPeriodeDatumTijdVan],"&lt;="&amp;($A425+1/24),tData[SEHTrajectPeriodeDatumTijdTotEnMet],"&gt;"&amp;($A425+1/24),tData[Langligger01],1)</f>
        <v/>
      </c>
      <c r="F425" s="20">
        <f>COUNTIFS(tData[SEHTrajectPeriodeDatumTijdVan],"&lt;="&amp;($A425+2/24),tData[SEHTrajectPeriodeDatumTijdTotEnMet],"&gt;"&amp;($A425+2/24),tData[Langligger01],1)</f>
        <v/>
      </c>
      <c r="G425" s="20">
        <f>COUNTIFS(tData[SEHTrajectPeriodeDatumTijdVan],"&lt;="&amp;($A425+3/24),tData[SEHTrajectPeriodeDatumTijdTotEnMet],"&gt;"&amp;($A425+3/24),tData[Langligger01],1)</f>
        <v/>
      </c>
      <c r="H425" s="20">
        <f>COUNTIFS(tData[SEHTrajectPeriodeDatumTijdVan],"&lt;="&amp;($A425+4/24),tData[SEHTrajectPeriodeDatumTijdTotEnMet],"&gt;"&amp;($A425+4/24),tData[Langligger01],1)</f>
        <v/>
      </c>
      <c r="I425" s="20">
        <f>COUNTIFS(tData[SEHTrajectPeriodeDatumTijdVan],"&lt;="&amp;($A425+5/24),tData[SEHTrajectPeriodeDatumTijdTotEnMet],"&gt;"&amp;($A425+5/24),tData[Langligger01],1)</f>
        <v/>
      </c>
      <c r="J425" s="20">
        <f>COUNTIFS(tData[SEHTrajectPeriodeDatumTijdVan],"&lt;="&amp;($A425+6/24),tData[SEHTrajectPeriodeDatumTijdTotEnMet],"&gt;"&amp;($A425+6/24),tData[Langligger01],1)</f>
        <v/>
      </c>
      <c r="K425" s="20">
        <f>COUNTIFS(tData[SEHTrajectPeriodeDatumTijdVan],"&lt;="&amp;($A425+7/24),tData[SEHTrajectPeriodeDatumTijdTotEnMet],"&gt;"&amp;($A425+7/24),tData[Langligger01],1)</f>
        <v/>
      </c>
      <c r="L425" s="20">
        <f>COUNTIFS(tData[SEHTrajectPeriodeDatumTijdVan],"&lt;="&amp;($A425+8/24),tData[SEHTrajectPeriodeDatumTijdTotEnMet],"&gt;"&amp;($A425+8/24),tData[Langligger01],1)</f>
        <v/>
      </c>
      <c r="M425" s="20">
        <f>COUNTIFS(tData[SEHTrajectPeriodeDatumTijdVan],"&lt;="&amp;($A425+9/24),tData[SEHTrajectPeriodeDatumTijdTotEnMet],"&gt;"&amp;($A425+9/24),tData[Langligger01],1)</f>
        <v/>
      </c>
      <c r="N425" s="20">
        <f>COUNTIFS(tData[SEHTrajectPeriodeDatumTijdVan],"&lt;="&amp;($A425+10/24),tData[SEHTrajectPeriodeDatumTijdTotEnMet],"&gt;"&amp;($A425+10/24),tData[Langligger01],1)</f>
        <v/>
      </c>
      <c r="O425" s="20">
        <f>COUNTIFS(tData[SEHTrajectPeriodeDatumTijdVan],"&lt;="&amp;($A425+11/24),tData[SEHTrajectPeriodeDatumTijdTotEnMet],"&gt;"&amp;($A425+11/24),tData[Langligger01],1)</f>
        <v/>
      </c>
      <c r="P425" s="20">
        <f>COUNTIFS(tData[SEHTrajectPeriodeDatumTijdVan],"&lt;="&amp;($A425+12/24),tData[SEHTrajectPeriodeDatumTijdTotEnMet],"&gt;"&amp;($A425+12/24),tData[Langligger01],1)</f>
        <v/>
      </c>
      <c r="Q425" s="20">
        <f>COUNTIFS(tData[SEHTrajectPeriodeDatumTijdVan],"&lt;="&amp;($A425+13/24),tData[SEHTrajectPeriodeDatumTijdTotEnMet],"&gt;"&amp;($A425+13/24),tData[Langligger01],1)</f>
        <v/>
      </c>
      <c r="R425" s="20">
        <f>COUNTIFS(tData[SEHTrajectPeriodeDatumTijdVan],"&lt;="&amp;($A425+14/24),tData[SEHTrajectPeriodeDatumTijdTotEnMet],"&gt;"&amp;($A425+14/24),tData[Langligger01],1)</f>
        <v/>
      </c>
      <c r="S425" s="20">
        <f>COUNTIFS(tData[SEHTrajectPeriodeDatumTijdVan],"&lt;="&amp;($A425+15/24),tData[SEHTrajectPeriodeDatumTijdTotEnMet],"&gt;"&amp;($A425+15/24),tData[Langligger01],1)</f>
        <v/>
      </c>
      <c r="T425" s="20">
        <f>COUNTIFS(tData[SEHTrajectPeriodeDatumTijdVan],"&lt;="&amp;($A425+16/24),tData[SEHTrajectPeriodeDatumTijdTotEnMet],"&gt;"&amp;($A425+16/24),tData[Langligger01],1)</f>
        <v/>
      </c>
      <c r="U425" s="20">
        <f>COUNTIFS(tData[SEHTrajectPeriodeDatumTijdVan],"&lt;="&amp;($A425+17/24),tData[SEHTrajectPeriodeDatumTijdTotEnMet],"&gt;"&amp;($A425+17/24),tData[Langligger01],1)</f>
        <v/>
      </c>
      <c r="V425" s="20">
        <f>COUNTIFS(tData[SEHTrajectPeriodeDatumTijdVan],"&lt;="&amp;($A425+18/24),tData[SEHTrajectPeriodeDatumTijdTotEnMet],"&gt;"&amp;($A425+18/24),tData[Langligger01],1)</f>
        <v/>
      </c>
      <c r="W425" s="20">
        <f>COUNTIFS(tData[SEHTrajectPeriodeDatumTijdVan],"&lt;="&amp;($A425+19/24),tData[SEHTrajectPeriodeDatumTijdTotEnMet],"&gt;"&amp;($A425+19/24),tData[Langligger01],1)</f>
        <v/>
      </c>
      <c r="X425" s="20">
        <f>COUNTIFS(tData[SEHTrajectPeriodeDatumTijdVan],"&lt;="&amp;($A425+20/24),tData[SEHTrajectPeriodeDatumTijdTotEnMet],"&gt;"&amp;($A425+20/24),tData[Langligger01],1)</f>
        <v/>
      </c>
      <c r="Y425" s="20">
        <f>COUNTIFS(tData[SEHTrajectPeriodeDatumTijdVan],"&lt;="&amp;($A425+21/24),tData[SEHTrajectPeriodeDatumTijdTotEnMet],"&gt;"&amp;($A425+21/24),tData[Langligger01],1)</f>
        <v/>
      </c>
      <c r="Z425" s="20">
        <f>COUNTIFS(tData[SEHTrajectPeriodeDatumTijdVan],"&lt;="&amp;($A425+22/24),tData[SEHTrajectPeriodeDatumTijdTotEnMet],"&gt;"&amp;($A425+22/24),tData[Langligger01],1)</f>
        <v/>
      </c>
      <c r="AA425" s="20">
        <f>COUNTIFS(tData[SEHTrajectPeriodeDatumTijdVan],"&lt;="&amp;($A425+23/24),tData[SEHTrajectPeriodeDatumTijdTotEnMet],"&gt;"&amp;($A425+23/24),tData[Langligger01],1)</f>
        <v/>
      </c>
    </row>
    <row r="426">
      <c r="A426" s="19" t="n">
        <v>45714</v>
      </c>
      <c r="B426" s="15">
        <f>WEEKDAY($A426,2)</f>
        <v/>
      </c>
      <c r="C426" s="15">
        <f>IF(AND($A426&gt;=INT(Instellingen!$B$5),$A426&lt;=INT(Instellingen!$B$6)),1,0)</f>
        <v/>
      </c>
      <c r="D426" s="20">
        <f>COUNTIFS(tData[SEHTrajectPeriodeDatumTijdVan],"&lt;="&amp;($A426+0/24),tData[SEHTrajectPeriodeDatumTijdTotEnMet],"&gt;"&amp;($A426+0/24),tData[Langligger01],1)</f>
        <v/>
      </c>
      <c r="E426" s="20">
        <f>COUNTIFS(tData[SEHTrajectPeriodeDatumTijdVan],"&lt;="&amp;($A426+1/24),tData[SEHTrajectPeriodeDatumTijdTotEnMet],"&gt;"&amp;($A426+1/24),tData[Langligger01],1)</f>
        <v/>
      </c>
      <c r="F426" s="20">
        <f>COUNTIFS(tData[SEHTrajectPeriodeDatumTijdVan],"&lt;="&amp;($A426+2/24),tData[SEHTrajectPeriodeDatumTijdTotEnMet],"&gt;"&amp;($A426+2/24),tData[Langligger01],1)</f>
        <v/>
      </c>
      <c r="G426" s="20">
        <f>COUNTIFS(tData[SEHTrajectPeriodeDatumTijdVan],"&lt;="&amp;($A426+3/24),tData[SEHTrajectPeriodeDatumTijdTotEnMet],"&gt;"&amp;($A426+3/24),tData[Langligger01],1)</f>
        <v/>
      </c>
      <c r="H426" s="20">
        <f>COUNTIFS(tData[SEHTrajectPeriodeDatumTijdVan],"&lt;="&amp;($A426+4/24),tData[SEHTrajectPeriodeDatumTijdTotEnMet],"&gt;"&amp;($A426+4/24),tData[Langligger01],1)</f>
        <v/>
      </c>
      <c r="I426" s="20">
        <f>COUNTIFS(tData[SEHTrajectPeriodeDatumTijdVan],"&lt;="&amp;($A426+5/24),tData[SEHTrajectPeriodeDatumTijdTotEnMet],"&gt;"&amp;($A426+5/24),tData[Langligger01],1)</f>
        <v/>
      </c>
      <c r="J426" s="20">
        <f>COUNTIFS(tData[SEHTrajectPeriodeDatumTijdVan],"&lt;="&amp;($A426+6/24),tData[SEHTrajectPeriodeDatumTijdTotEnMet],"&gt;"&amp;($A426+6/24),tData[Langligger01],1)</f>
        <v/>
      </c>
      <c r="K426" s="20">
        <f>COUNTIFS(tData[SEHTrajectPeriodeDatumTijdVan],"&lt;="&amp;($A426+7/24),tData[SEHTrajectPeriodeDatumTijdTotEnMet],"&gt;"&amp;($A426+7/24),tData[Langligger01],1)</f>
        <v/>
      </c>
      <c r="L426" s="20">
        <f>COUNTIFS(tData[SEHTrajectPeriodeDatumTijdVan],"&lt;="&amp;($A426+8/24),tData[SEHTrajectPeriodeDatumTijdTotEnMet],"&gt;"&amp;($A426+8/24),tData[Langligger01],1)</f>
        <v/>
      </c>
      <c r="M426" s="20">
        <f>COUNTIFS(tData[SEHTrajectPeriodeDatumTijdVan],"&lt;="&amp;($A426+9/24),tData[SEHTrajectPeriodeDatumTijdTotEnMet],"&gt;"&amp;($A426+9/24),tData[Langligger01],1)</f>
        <v/>
      </c>
      <c r="N426" s="20">
        <f>COUNTIFS(tData[SEHTrajectPeriodeDatumTijdVan],"&lt;="&amp;($A426+10/24),tData[SEHTrajectPeriodeDatumTijdTotEnMet],"&gt;"&amp;($A426+10/24),tData[Langligger01],1)</f>
        <v/>
      </c>
      <c r="O426" s="20">
        <f>COUNTIFS(tData[SEHTrajectPeriodeDatumTijdVan],"&lt;="&amp;($A426+11/24),tData[SEHTrajectPeriodeDatumTijdTotEnMet],"&gt;"&amp;($A426+11/24),tData[Langligger01],1)</f>
        <v/>
      </c>
      <c r="P426" s="20">
        <f>COUNTIFS(tData[SEHTrajectPeriodeDatumTijdVan],"&lt;="&amp;($A426+12/24),tData[SEHTrajectPeriodeDatumTijdTotEnMet],"&gt;"&amp;($A426+12/24),tData[Langligger01],1)</f>
        <v/>
      </c>
      <c r="Q426" s="20">
        <f>COUNTIFS(tData[SEHTrajectPeriodeDatumTijdVan],"&lt;="&amp;($A426+13/24),tData[SEHTrajectPeriodeDatumTijdTotEnMet],"&gt;"&amp;($A426+13/24),tData[Langligger01],1)</f>
        <v/>
      </c>
      <c r="R426" s="20">
        <f>COUNTIFS(tData[SEHTrajectPeriodeDatumTijdVan],"&lt;="&amp;($A426+14/24),tData[SEHTrajectPeriodeDatumTijdTotEnMet],"&gt;"&amp;($A426+14/24),tData[Langligger01],1)</f>
        <v/>
      </c>
      <c r="S426" s="20">
        <f>COUNTIFS(tData[SEHTrajectPeriodeDatumTijdVan],"&lt;="&amp;($A426+15/24),tData[SEHTrajectPeriodeDatumTijdTotEnMet],"&gt;"&amp;($A426+15/24),tData[Langligger01],1)</f>
        <v/>
      </c>
      <c r="T426" s="20">
        <f>COUNTIFS(tData[SEHTrajectPeriodeDatumTijdVan],"&lt;="&amp;($A426+16/24),tData[SEHTrajectPeriodeDatumTijdTotEnMet],"&gt;"&amp;($A426+16/24),tData[Langligger01],1)</f>
        <v/>
      </c>
      <c r="U426" s="20">
        <f>COUNTIFS(tData[SEHTrajectPeriodeDatumTijdVan],"&lt;="&amp;($A426+17/24),tData[SEHTrajectPeriodeDatumTijdTotEnMet],"&gt;"&amp;($A426+17/24),tData[Langligger01],1)</f>
        <v/>
      </c>
      <c r="V426" s="20">
        <f>COUNTIFS(tData[SEHTrajectPeriodeDatumTijdVan],"&lt;="&amp;($A426+18/24),tData[SEHTrajectPeriodeDatumTijdTotEnMet],"&gt;"&amp;($A426+18/24),tData[Langligger01],1)</f>
        <v/>
      </c>
      <c r="W426" s="20">
        <f>COUNTIFS(tData[SEHTrajectPeriodeDatumTijdVan],"&lt;="&amp;($A426+19/24),tData[SEHTrajectPeriodeDatumTijdTotEnMet],"&gt;"&amp;($A426+19/24),tData[Langligger01],1)</f>
        <v/>
      </c>
      <c r="X426" s="20">
        <f>COUNTIFS(tData[SEHTrajectPeriodeDatumTijdVan],"&lt;="&amp;($A426+20/24),tData[SEHTrajectPeriodeDatumTijdTotEnMet],"&gt;"&amp;($A426+20/24),tData[Langligger01],1)</f>
        <v/>
      </c>
      <c r="Y426" s="20">
        <f>COUNTIFS(tData[SEHTrajectPeriodeDatumTijdVan],"&lt;="&amp;($A426+21/24),tData[SEHTrajectPeriodeDatumTijdTotEnMet],"&gt;"&amp;($A426+21/24),tData[Langligger01],1)</f>
        <v/>
      </c>
      <c r="Z426" s="20">
        <f>COUNTIFS(tData[SEHTrajectPeriodeDatumTijdVan],"&lt;="&amp;($A426+22/24),tData[SEHTrajectPeriodeDatumTijdTotEnMet],"&gt;"&amp;($A426+22/24),tData[Langligger01],1)</f>
        <v/>
      </c>
      <c r="AA426" s="20">
        <f>COUNTIFS(tData[SEHTrajectPeriodeDatumTijdVan],"&lt;="&amp;($A426+23/24),tData[SEHTrajectPeriodeDatumTijdTotEnMet],"&gt;"&amp;($A426+23/24),tData[Langligger01],1)</f>
        <v/>
      </c>
    </row>
    <row r="427">
      <c r="A427" s="19" t="n">
        <v>45715</v>
      </c>
      <c r="B427" s="15">
        <f>WEEKDAY($A427,2)</f>
        <v/>
      </c>
      <c r="C427" s="15">
        <f>IF(AND($A427&gt;=INT(Instellingen!$B$5),$A427&lt;=INT(Instellingen!$B$6)),1,0)</f>
        <v/>
      </c>
      <c r="D427" s="20">
        <f>COUNTIFS(tData[SEHTrajectPeriodeDatumTijdVan],"&lt;="&amp;($A427+0/24),tData[SEHTrajectPeriodeDatumTijdTotEnMet],"&gt;"&amp;($A427+0/24),tData[Langligger01],1)</f>
        <v/>
      </c>
      <c r="E427" s="20">
        <f>COUNTIFS(tData[SEHTrajectPeriodeDatumTijdVan],"&lt;="&amp;($A427+1/24),tData[SEHTrajectPeriodeDatumTijdTotEnMet],"&gt;"&amp;($A427+1/24),tData[Langligger01],1)</f>
        <v/>
      </c>
      <c r="F427" s="20">
        <f>COUNTIFS(tData[SEHTrajectPeriodeDatumTijdVan],"&lt;="&amp;($A427+2/24),tData[SEHTrajectPeriodeDatumTijdTotEnMet],"&gt;"&amp;($A427+2/24),tData[Langligger01],1)</f>
        <v/>
      </c>
      <c r="G427" s="20">
        <f>COUNTIFS(tData[SEHTrajectPeriodeDatumTijdVan],"&lt;="&amp;($A427+3/24),tData[SEHTrajectPeriodeDatumTijdTotEnMet],"&gt;"&amp;($A427+3/24),tData[Langligger01],1)</f>
        <v/>
      </c>
      <c r="H427" s="20">
        <f>COUNTIFS(tData[SEHTrajectPeriodeDatumTijdVan],"&lt;="&amp;($A427+4/24),tData[SEHTrajectPeriodeDatumTijdTotEnMet],"&gt;"&amp;($A427+4/24),tData[Langligger01],1)</f>
        <v/>
      </c>
      <c r="I427" s="20">
        <f>COUNTIFS(tData[SEHTrajectPeriodeDatumTijdVan],"&lt;="&amp;($A427+5/24),tData[SEHTrajectPeriodeDatumTijdTotEnMet],"&gt;"&amp;($A427+5/24),tData[Langligger01],1)</f>
        <v/>
      </c>
      <c r="J427" s="20">
        <f>COUNTIFS(tData[SEHTrajectPeriodeDatumTijdVan],"&lt;="&amp;($A427+6/24),tData[SEHTrajectPeriodeDatumTijdTotEnMet],"&gt;"&amp;($A427+6/24),tData[Langligger01],1)</f>
        <v/>
      </c>
      <c r="K427" s="20">
        <f>COUNTIFS(tData[SEHTrajectPeriodeDatumTijdVan],"&lt;="&amp;($A427+7/24),tData[SEHTrajectPeriodeDatumTijdTotEnMet],"&gt;"&amp;($A427+7/24),tData[Langligger01],1)</f>
        <v/>
      </c>
      <c r="L427" s="20">
        <f>COUNTIFS(tData[SEHTrajectPeriodeDatumTijdVan],"&lt;="&amp;($A427+8/24),tData[SEHTrajectPeriodeDatumTijdTotEnMet],"&gt;"&amp;($A427+8/24),tData[Langligger01],1)</f>
        <v/>
      </c>
      <c r="M427" s="20">
        <f>COUNTIFS(tData[SEHTrajectPeriodeDatumTijdVan],"&lt;="&amp;($A427+9/24),tData[SEHTrajectPeriodeDatumTijdTotEnMet],"&gt;"&amp;($A427+9/24),tData[Langligger01],1)</f>
        <v/>
      </c>
      <c r="N427" s="20">
        <f>COUNTIFS(tData[SEHTrajectPeriodeDatumTijdVan],"&lt;="&amp;($A427+10/24),tData[SEHTrajectPeriodeDatumTijdTotEnMet],"&gt;"&amp;($A427+10/24),tData[Langligger01],1)</f>
        <v/>
      </c>
      <c r="O427" s="20">
        <f>COUNTIFS(tData[SEHTrajectPeriodeDatumTijdVan],"&lt;="&amp;($A427+11/24),tData[SEHTrajectPeriodeDatumTijdTotEnMet],"&gt;"&amp;($A427+11/24),tData[Langligger01],1)</f>
        <v/>
      </c>
      <c r="P427" s="20">
        <f>COUNTIFS(tData[SEHTrajectPeriodeDatumTijdVan],"&lt;="&amp;($A427+12/24),tData[SEHTrajectPeriodeDatumTijdTotEnMet],"&gt;"&amp;($A427+12/24),tData[Langligger01],1)</f>
        <v/>
      </c>
      <c r="Q427" s="20">
        <f>COUNTIFS(tData[SEHTrajectPeriodeDatumTijdVan],"&lt;="&amp;($A427+13/24),tData[SEHTrajectPeriodeDatumTijdTotEnMet],"&gt;"&amp;($A427+13/24),tData[Langligger01],1)</f>
        <v/>
      </c>
      <c r="R427" s="20">
        <f>COUNTIFS(tData[SEHTrajectPeriodeDatumTijdVan],"&lt;="&amp;($A427+14/24),tData[SEHTrajectPeriodeDatumTijdTotEnMet],"&gt;"&amp;($A427+14/24),tData[Langligger01],1)</f>
        <v/>
      </c>
      <c r="S427" s="20">
        <f>COUNTIFS(tData[SEHTrajectPeriodeDatumTijdVan],"&lt;="&amp;($A427+15/24),tData[SEHTrajectPeriodeDatumTijdTotEnMet],"&gt;"&amp;($A427+15/24),tData[Langligger01],1)</f>
        <v/>
      </c>
      <c r="T427" s="20">
        <f>COUNTIFS(tData[SEHTrajectPeriodeDatumTijdVan],"&lt;="&amp;($A427+16/24),tData[SEHTrajectPeriodeDatumTijdTotEnMet],"&gt;"&amp;($A427+16/24),tData[Langligger01],1)</f>
        <v/>
      </c>
      <c r="U427" s="20">
        <f>COUNTIFS(tData[SEHTrajectPeriodeDatumTijdVan],"&lt;="&amp;($A427+17/24),tData[SEHTrajectPeriodeDatumTijdTotEnMet],"&gt;"&amp;($A427+17/24),tData[Langligger01],1)</f>
        <v/>
      </c>
      <c r="V427" s="20">
        <f>COUNTIFS(tData[SEHTrajectPeriodeDatumTijdVan],"&lt;="&amp;($A427+18/24),tData[SEHTrajectPeriodeDatumTijdTotEnMet],"&gt;"&amp;($A427+18/24),tData[Langligger01],1)</f>
        <v/>
      </c>
      <c r="W427" s="20">
        <f>COUNTIFS(tData[SEHTrajectPeriodeDatumTijdVan],"&lt;="&amp;($A427+19/24),tData[SEHTrajectPeriodeDatumTijdTotEnMet],"&gt;"&amp;($A427+19/24),tData[Langligger01],1)</f>
        <v/>
      </c>
      <c r="X427" s="20">
        <f>COUNTIFS(tData[SEHTrajectPeriodeDatumTijdVan],"&lt;="&amp;($A427+20/24),tData[SEHTrajectPeriodeDatumTijdTotEnMet],"&gt;"&amp;($A427+20/24),tData[Langligger01],1)</f>
        <v/>
      </c>
      <c r="Y427" s="20">
        <f>COUNTIFS(tData[SEHTrajectPeriodeDatumTijdVan],"&lt;="&amp;($A427+21/24),tData[SEHTrajectPeriodeDatumTijdTotEnMet],"&gt;"&amp;($A427+21/24),tData[Langligger01],1)</f>
        <v/>
      </c>
      <c r="Z427" s="20">
        <f>COUNTIFS(tData[SEHTrajectPeriodeDatumTijdVan],"&lt;="&amp;($A427+22/24),tData[SEHTrajectPeriodeDatumTijdTotEnMet],"&gt;"&amp;($A427+22/24),tData[Langligger01],1)</f>
        <v/>
      </c>
      <c r="AA427" s="20">
        <f>COUNTIFS(tData[SEHTrajectPeriodeDatumTijdVan],"&lt;="&amp;($A427+23/24),tData[SEHTrajectPeriodeDatumTijdTotEnMet],"&gt;"&amp;($A427+23/24),tData[Langligger01],1)</f>
        <v/>
      </c>
    </row>
    <row r="428">
      <c r="A428" s="19" t="n">
        <v>45716</v>
      </c>
      <c r="B428" s="15">
        <f>WEEKDAY($A428,2)</f>
        <v/>
      </c>
      <c r="C428" s="15">
        <f>IF(AND($A428&gt;=INT(Instellingen!$B$5),$A428&lt;=INT(Instellingen!$B$6)),1,0)</f>
        <v/>
      </c>
      <c r="D428" s="20">
        <f>COUNTIFS(tData[SEHTrajectPeriodeDatumTijdVan],"&lt;="&amp;($A428+0/24),tData[SEHTrajectPeriodeDatumTijdTotEnMet],"&gt;"&amp;($A428+0/24),tData[Langligger01],1)</f>
        <v/>
      </c>
      <c r="E428" s="20">
        <f>COUNTIFS(tData[SEHTrajectPeriodeDatumTijdVan],"&lt;="&amp;($A428+1/24),tData[SEHTrajectPeriodeDatumTijdTotEnMet],"&gt;"&amp;($A428+1/24),tData[Langligger01],1)</f>
        <v/>
      </c>
      <c r="F428" s="20">
        <f>COUNTIFS(tData[SEHTrajectPeriodeDatumTijdVan],"&lt;="&amp;($A428+2/24),tData[SEHTrajectPeriodeDatumTijdTotEnMet],"&gt;"&amp;($A428+2/24),tData[Langligger01],1)</f>
        <v/>
      </c>
      <c r="G428" s="20">
        <f>COUNTIFS(tData[SEHTrajectPeriodeDatumTijdVan],"&lt;="&amp;($A428+3/24),tData[SEHTrajectPeriodeDatumTijdTotEnMet],"&gt;"&amp;($A428+3/24),tData[Langligger01],1)</f>
        <v/>
      </c>
      <c r="H428" s="20">
        <f>COUNTIFS(tData[SEHTrajectPeriodeDatumTijdVan],"&lt;="&amp;($A428+4/24),tData[SEHTrajectPeriodeDatumTijdTotEnMet],"&gt;"&amp;($A428+4/24),tData[Langligger01],1)</f>
        <v/>
      </c>
      <c r="I428" s="20">
        <f>COUNTIFS(tData[SEHTrajectPeriodeDatumTijdVan],"&lt;="&amp;($A428+5/24),tData[SEHTrajectPeriodeDatumTijdTotEnMet],"&gt;"&amp;($A428+5/24),tData[Langligger01],1)</f>
        <v/>
      </c>
      <c r="J428" s="20">
        <f>COUNTIFS(tData[SEHTrajectPeriodeDatumTijdVan],"&lt;="&amp;($A428+6/24),tData[SEHTrajectPeriodeDatumTijdTotEnMet],"&gt;"&amp;($A428+6/24),tData[Langligger01],1)</f>
        <v/>
      </c>
      <c r="K428" s="20">
        <f>COUNTIFS(tData[SEHTrajectPeriodeDatumTijdVan],"&lt;="&amp;($A428+7/24),tData[SEHTrajectPeriodeDatumTijdTotEnMet],"&gt;"&amp;($A428+7/24),tData[Langligger01],1)</f>
        <v/>
      </c>
      <c r="L428" s="20">
        <f>COUNTIFS(tData[SEHTrajectPeriodeDatumTijdVan],"&lt;="&amp;($A428+8/24),tData[SEHTrajectPeriodeDatumTijdTotEnMet],"&gt;"&amp;($A428+8/24),tData[Langligger01],1)</f>
        <v/>
      </c>
      <c r="M428" s="20">
        <f>COUNTIFS(tData[SEHTrajectPeriodeDatumTijdVan],"&lt;="&amp;($A428+9/24),tData[SEHTrajectPeriodeDatumTijdTotEnMet],"&gt;"&amp;($A428+9/24),tData[Langligger01],1)</f>
        <v/>
      </c>
      <c r="N428" s="20">
        <f>COUNTIFS(tData[SEHTrajectPeriodeDatumTijdVan],"&lt;="&amp;($A428+10/24),tData[SEHTrajectPeriodeDatumTijdTotEnMet],"&gt;"&amp;($A428+10/24),tData[Langligger01],1)</f>
        <v/>
      </c>
      <c r="O428" s="20">
        <f>COUNTIFS(tData[SEHTrajectPeriodeDatumTijdVan],"&lt;="&amp;($A428+11/24),tData[SEHTrajectPeriodeDatumTijdTotEnMet],"&gt;"&amp;($A428+11/24),tData[Langligger01],1)</f>
        <v/>
      </c>
      <c r="P428" s="20">
        <f>COUNTIFS(tData[SEHTrajectPeriodeDatumTijdVan],"&lt;="&amp;($A428+12/24),tData[SEHTrajectPeriodeDatumTijdTotEnMet],"&gt;"&amp;($A428+12/24),tData[Langligger01],1)</f>
        <v/>
      </c>
      <c r="Q428" s="20">
        <f>COUNTIFS(tData[SEHTrajectPeriodeDatumTijdVan],"&lt;="&amp;($A428+13/24),tData[SEHTrajectPeriodeDatumTijdTotEnMet],"&gt;"&amp;($A428+13/24),tData[Langligger01],1)</f>
        <v/>
      </c>
      <c r="R428" s="20">
        <f>COUNTIFS(tData[SEHTrajectPeriodeDatumTijdVan],"&lt;="&amp;($A428+14/24),tData[SEHTrajectPeriodeDatumTijdTotEnMet],"&gt;"&amp;($A428+14/24),tData[Langligger01],1)</f>
        <v/>
      </c>
      <c r="S428" s="20">
        <f>COUNTIFS(tData[SEHTrajectPeriodeDatumTijdVan],"&lt;="&amp;($A428+15/24),tData[SEHTrajectPeriodeDatumTijdTotEnMet],"&gt;"&amp;($A428+15/24),tData[Langligger01],1)</f>
        <v/>
      </c>
      <c r="T428" s="20">
        <f>COUNTIFS(tData[SEHTrajectPeriodeDatumTijdVan],"&lt;="&amp;($A428+16/24),tData[SEHTrajectPeriodeDatumTijdTotEnMet],"&gt;"&amp;($A428+16/24),tData[Langligger01],1)</f>
        <v/>
      </c>
      <c r="U428" s="20">
        <f>COUNTIFS(tData[SEHTrajectPeriodeDatumTijdVan],"&lt;="&amp;($A428+17/24),tData[SEHTrajectPeriodeDatumTijdTotEnMet],"&gt;"&amp;($A428+17/24),tData[Langligger01],1)</f>
        <v/>
      </c>
      <c r="V428" s="20">
        <f>COUNTIFS(tData[SEHTrajectPeriodeDatumTijdVan],"&lt;="&amp;($A428+18/24),tData[SEHTrajectPeriodeDatumTijdTotEnMet],"&gt;"&amp;($A428+18/24),tData[Langligger01],1)</f>
        <v/>
      </c>
      <c r="W428" s="20">
        <f>COUNTIFS(tData[SEHTrajectPeriodeDatumTijdVan],"&lt;="&amp;($A428+19/24),tData[SEHTrajectPeriodeDatumTijdTotEnMet],"&gt;"&amp;($A428+19/24),tData[Langligger01],1)</f>
        <v/>
      </c>
      <c r="X428" s="20">
        <f>COUNTIFS(tData[SEHTrajectPeriodeDatumTijdVan],"&lt;="&amp;($A428+20/24),tData[SEHTrajectPeriodeDatumTijdTotEnMet],"&gt;"&amp;($A428+20/24),tData[Langligger01],1)</f>
        <v/>
      </c>
      <c r="Y428" s="20">
        <f>COUNTIFS(tData[SEHTrajectPeriodeDatumTijdVan],"&lt;="&amp;($A428+21/24),tData[SEHTrajectPeriodeDatumTijdTotEnMet],"&gt;"&amp;($A428+21/24),tData[Langligger01],1)</f>
        <v/>
      </c>
      <c r="Z428" s="20">
        <f>COUNTIFS(tData[SEHTrajectPeriodeDatumTijdVan],"&lt;="&amp;($A428+22/24),tData[SEHTrajectPeriodeDatumTijdTotEnMet],"&gt;"&amp;($A428+22/24),tData[Langligger01],1)</f>
        <v/>
      </c>
      <c r="AA428" s="20">
        <f>COUNTIFS(tData[SEHTrajectPeriodeDatumTijdVan],"&lt;="&amp;($A428+23/24),tData[SEHTrajectPeriodeDatumTijdTotEnMet],"&gt;"&amp;($A428+23/24),tData[Langligger01],1)</f>
        <v/>
      </c>
    </row>
    <row r="429">
      <c r="A429" s="19" t="n">
        <v>45717</v>
      </c>
      <c r="B429" s="15">
        <f>WEEKDAY($A429,2)</f>
        <v/>
      </c>
      <c r="C429" s="15">
        <f>IF(AND($A429&gt;=INT(Instellingen!$B$5),$A429&lt;=INT(Instellingen!$B$6)),1,0)</f>
        <v/>
      </c>
      <c r="D429" s="20">
        <f>COUNTIFS(tData[SEHTrajectPeriodeDatumTijdVan],"&lt;="&amp;($A429+0/24),tData[SEHTrajectPeriodeDatumTijdTotEnMet],"&gt;"&amp;($A429+0/24),tData[Langligger01],1)</f>
        <v/>
      </c>
      <c r="E429" s="20">
        <f>COUNTIFS(tData[SEHTrajectPeriodeDatumTijdVan],"&lt;="&amp;($A429+1/24),tData[SEHTrajectPeriodeDatumTijdTotEnMet],"&gt;"&amp;($A429+1/24),tData[Langligger01],1)</f>
        <v/>
      </c>
      <c r="F429" s="20">
        <f>COUNTIFS(tData[SEHTrajectPeriodeDatumTijdVan],"&lt;="&amp;($A429+2/24),tData[SEHTrajectPeriodeDatumTijdTotEnMet],"&gt;"&amp;($A429+2/24),tData[Langligger01],1)</f>
        <v/>
      </c>
      <c r="G429" s="20">
        <f>COUNTIFS(tData[SEHTrajectPeriodeDatumTijdVan],"&lt;="&amp;($A429+3/24),tData[SEHTrajectPeriodeDatumTijdTotEnMet],"&gt;"&amp;($A429+3/24),tData[Langligger01],1)</f>
        <v/>
      </c>
      <c r="H429" s="20">
        <f>COUNTIFS(tData[SEHTrajectPeriodeDatumTijdVan],"&lt;="&amp;($A429+4/24),tData[SEHTrajectPeriodeDatumTijdTotEnMet],"&gt;"&amp;($A429+4/24),tData[Langligger01],1)</f>
        <v/>
      </c>
      <c r="I429" s="20">
        <f>COUNTIFS(tData[SEHTrajectPeriodeDatumTijdVan],"&lt;="&amp;($A429+5/24),tData[SEHTrajectPeriodeDatumTijdTotEnMet],"&gt;"&amp;($A429+5/24),tData[Langligger01],1)</f>
        <v/>
      </c>
      <c r="J429" s="20">
        <f>COUNTIFS(tData[SEHTrajectPeriodeDatumTijdVan],"&lt;="&amp;($A429+6/24),tData[SEHTrajectPeriodeDatumTijdTotEnMet],"&gt;"&amp;($A429+6/24),tData[Langligger01],1)</f>
        <v/>
      </c>
      <c r="K429" s="20">
        <f>COUNTIFS(tData[SEHTrajectPeriodeDatumTijdVan],"&lt;="&amp;($A429+7/24),tData[SEHTrajectPeriodeDatumTijdTotEnMet],"&gt;"&amp;($A429+7/24),tData[Langligger01],1)</f>
        <v/>
      </c>
      <c r="L429" s="20">
        <f>COUNTIFS(tData[SEHTrajectPeriodeDatumTijdVan],"&lt;="&amp;($A429+8/24),tData[SEHTrajectPeriodeDatumTijdTotEnMet],"&gt;"&amp;($A429+8/24),tData[Langligger01],1)</f>
        <v/>
      </c>
      <c r="M429" s="20">
        <f>COUNTIFS(tData[SEHTrajectPeriodeDatumTijdVan],"&lt;="&amp;($A429+9/24),tData[SEHTrajectPeriodeDatumTijdTotEnMet],"&gt;"&amp;($A429+9/24),tData[Langligger01],1)</f>
        <v/>
      </c>
      <c r="N429" s="20">
        <f>COUNTIFS(tData[SEHTrajectPeriodeDatumTijdVan],"&lt;="&amp;($A429+10/24),tData[SEHTrajectPeriodeDatumTijdTotEnMet],"&gt;"&amp;($A429+10/24),tData[Langligger01],1)</f>
        <v/>
      </c>
      <c r="O429" s="20">
        <f>COUNTIFS(tData[SEHTrajectPeriodeDatumTijdVan],"&lt;="&amp;($A429+11/24),tData[SEHTrajectPeriodeDatumTijdTotEnMet],"&gt;"&amp;($A429+11/24),tData[Langligger01],1)</f>
        <v/>
      </c>
      <c r="P429" s="20">
        <f>COUNTIFS(tData[SEHTrajectPeriodeDatumTijdVan],"&lt;="&amp;($A429+12/24),tData[SEHTrajectPeriodeDatumTijdTotEnMet],"&gt;"&amp;($A429+12/24),tData[Langligger01],1)</f>
        <v/>
      </c>
      <c r="Q429" s="20">
        <f>COUNTIFS(tData[SEHTrajectPeriodeDatumTijdVan],"&lt;="&amp;($A429+13/24),tData[SEHTrajectPeriodeDatumTijdTotEnMet],"&gt;"&amp;($A429+13/24),tData[Langligger01],1)</f>
        <v/>
      </c>
      <c r="R429" s="20">
        <f>COUNTIFS(tData[SEHTrajectPeriodeDatumTijdVan],"&lt;="&amp;($A429+14/24),tData[SEHTrajectPeriodeDatumTijdTotEnMet],"&gt;"&amp;($A429+14/24),tData[Langligger01],1)</f>
        <v/>
      </c>
      <c r="S429" s="20">
        <f>COUNTIFS(tData[SEHTrajectPeriodeDatumTijdVan],"&lt;="&amp;($A429+15/24),tData[SEHTrajectPeriodeDatumTijdTotEnMet],"&gt;"&amp;($A429+15/24),tData[Langligger01],1)</f>
        <v/>
      </c>
      <c r="T429" s="20">
        <f>COUNTIFS(tData[SEHTrajectPeriodeDatumTijdVan],"&lt;="&amp;($A429+16/24),tData[SEHTrajectPeriodeDatumTijdTotEnMet],"&gt;"&amp;($A429+16/24),tData[Langligger01],1)</f>
        <v/>
      </c>
      <c r="U429" s="20">
        <f>COUNTIFS(tData[SEHTrajectPeriodeDatumTijdVan],"&lt;="&amp;($A429+17/24),tData[SEHTrajectPeriodeDatumTijdTotEnMet],"&gt;"&amp;($A429+17/24),tData[Langligger01],1)</f>
        <v/>
      </c>
      <c r="V429" s="20">
        <f>COUNTIFS(tData[SEHTrajectPeriodeDatumTijdVan],"&lt;="&amp;($A429+18/24),tData[SEHTrajectPeriodeDatumTijdTotEnMet],"&gt;"&amp;($A429+18/24),tData[Langligger01],1)</f>
        <v/>
      </c>
      <c r="W429" s="20">
        <f>COUNTIFS(tData[SEHTrajectPeriodeDatumTijdVan],"&lt;="&amp;($A429+19/24),tData[SEHTrajectPeriodeDatumTijdTotEnMet],"&gt;"&amp;($A429+19/24),tData[Langligger01],1)</f>
        <v/>
      </c>
      <c r="X429" s="20">
        <f>COUNTIFS(tData[SEHTrajectPeriodeDatumTijdVan],"&lt;="&amp;($A429+20/24),tData[SEHTrajectPeriodeDatumTijdTotEnMet],"&gt;"&amp;($A429+20/24),tData[Langligger01],1)</f>
        <v/>
      </c>
      <c r="Y429" s="20">
        <f>COUNTIFS(tData[SEHTrajectPeriodeDatumTijdVan],"&lt;="&amp;($A429+21/24),tData[SEHTrajectPeriodeDatumTijdTotEnMet],"&gt;"&amp;($A429+21/24),tData[Langligger01],1)</f>
        <v/>
      </c>
      <c r="Z429" s="20">
        <f>COUNTIFS(tData[SEHTrajectPeriodeDatumTijdVan],"&lt;="&amp;($A429+22/24),tData[SEHTrajectPeriodeDatumTijdTotEnMet],"&gt;"&amp;($A429+22/24),tData[Langligger01],1)</f>
        <v/>
      </c>
      <c r="AA429" s="20">
        <f>COUNTIFS(tData[SEHTrajectPeriodeDatumTijdVan],"&lt;="&amp;($A429+23/24),tData[SEHTrajectPeriodeDatumTijdTotEnMet],"&gt;"&amp;($A429+23/24),tData[Langligger01],1)</f>
        <v/>
      </c>
    </row>
    <row r="430">
      <c r="A430" s="19" t="n">
        <v>45718</v>
      </c>
      <c r="B430" s="15">
        <f>WEEKDAY($A430,2)</f>
        <v/>
      </c>
      <c r="C430" s="15">
        <f>IF(AND($A430&gt;=INT(Instellingen!$B$5),$A430&lt;=INT(Instellingen!$B$6)),1,0)</f>
        <v/>
      </c>
      <c r="D430" s="20">
        <f>COUNTIFS(tData[SEHTrajectPeriodeDatumTijdVan],"&lt;="&amp;($A430+0/24),tData[SEHTrajectPeriodeDatumTijdTotEnMet],"&gt;"&amp;($A430+0/24),tData[Langligger01],1)</f>
        <v/>
      </c>
      <c r="E430" s="20">
        <f>COUNTIFS(tData[SEHTrajectPeriodeDatumTijdVan],"&lt;="&amp;($A430+1/24),tData[SEHTrajectPeriodeDatumTijdTotEnMet],"&gt;"&amp;($A430+1/24),tData[Langligger01],1)</f>
        <v/>
      </c>
      <c r="F430" s="20">
        <f>COUNTIFS(tData[SEHTrajectPeriodeDatumTijdVan],"&lt;="&amp;($A430+2/24),tData[SEHTrajectPeriodeDatumTijdTotEnMet],"&gt;"&amp;($A430+2/24),tData[Langligger01],1)</f>
        <v/>
      </c>
      <c r="G430" s="20">
        <f>COUNTIFS(tData[SEHTrajectPeriodeDatumTijdVan],"&lt;="&amp;($A430+3/24),tData[SEHTrajectPeriodeDatumTijdTotEnMet],"&gt;"&amp;($A430+3/24),tData[Langligger01],1)</f>
        <v/>
      </c>
      <c r="H430" s="20">
        <f>COUNTIFS(tData[SEHTrajectPeriodeDatumTijdVan],"&lt;="&amp;($A430+4/24),tData[SEHTrajectPeriodeDatumTijdTotEnMet],"&gt;"&amp;($A430+4/24),tData[Langligger01],1)</f>
        <v/>
      </c>
      <c r="I430" s="20">
        <f>COUNTIFS(tData[SEHTrajectPeriodeDatumTijdVan],"&lt;="&amp;($A430+5/24),tData[SEHTrajectPeriodeDatumTijdTotEnMet],"&gt;"&amp;($A430+5/24),tData[Langligger01],1)</f>
        <v/>
      </c>
      <c r="J430" s="20">
        <f>COUNTIFS(tData[SEHTrajectPeriodeDatumTijdVan],"&lt;="&amp;($A430+6/24),tData[SEHTrajectPeriodeDatumTijdTotEnMet],"&gt;"&amp;($A430+6/24),tData[Langligger01],1)</f>
        <v/>
      </c>
      <c r="K430" s="20">
        <f>COUNTIFS(tData[SEHTrajectPeriodeDatumTijdVan],"&lt;="&amp;($A430+7/24),tData[SEHTrajectPeriodeDatumTijdTotEnMet],"&gt;"&amp;($A430+7/24),tData[Langligger01],1)</f>
        <v/>
      </c>
      <c r="L430" s="20">
        <f>COUNTIFS(tData[SEHTrajectPeriodeDatumTijdVan],"&lt;="&amp;($A430+8/24),tData[SEHTrajectPeriodeDatumTijdTotEnMet],"&gt;"&amp;($A430+8/24),tData[Langligger01],1)</f>
        <v/>
      </c>
      <c r="M430" s="20">
        <f>COUNTIFS(tData[SEHTrajectPeriodeDatumTijdVan],"&lt;="&amp;($A430+9/24),tData[SEHTrajectPeriodeDatumTijdTotEnMet],"&gt;"&amp;($A430+9/24),tData[Langligger01],1)</f>
        <v/>
      </c>
      <c r="N430" s="20">
        <f>COUNTIFS(tData[SEHTrajectPeriodeDatumTijdVan],"&lt;="&amp;($A430+10/24),tData[SEHTrajectPeriodeDatumTijdTotEnMet],"&gt;"&amp;($A430+10/24),tData[Langligger01],1)</f>
        <v/>
      </c>
      <c r="O430" s="20">
        <f>COUNTIFS(tData[SEHTrajectPeriodeDatumTijdVan],"&lt;="&amp;($A430+11/24),tData[SEHTrajectPeriodeDatumTijdTotEnMet],"&gt;"&amp;($A430+11/24),tData[Langligger01],1)</f>
        <v/>
      </c>
      <c r="P430" s="20">
        <f>COUNTIFS(tData[SEHTrajectPeriodeDatumTijdVan],"&lt;="&amp;($A430+12/24),tData[SEHTrajectPeriodeDatumTijdTotEnMet],"&gt;"&amp;($A430+12/24),tData[Langligger01],1)</f>
        <v/>
      </c>
      <c r="Q430" s="20">
        <f>COUNTIFS(tData[SEHTrajectPeriodeDatumTijdVan],"&lt;="&amp;($A430+13/24),tData[SEHTrajectPeriodeDatumTijdTotEnMet],"&gt;"&amp;($A430+13/24),tData[Langligger01],1)</f>
        <v/>
      </c>
      <c r="R430" s="20">
        <f>COUNTIFS(tData[SEHTrajectPeriodeDatumTijdVan],"&lt;="&amp;($A430+14/24),tData[SEHTrajectPeriodeDatumTijdTotEnMet],"&gt;"&amp;($A430+14/24),tData[Langligger01],1)</f>
        <v/>
      </c>
      <c r="S430" s="20">
        <f>COUNTIFS(tData[SEHTrajectPeriodeDatumTijdVan],"&lt;="&amp;($A430+15/24),tData[SEHTrajectPeriodeDatumTijdTotEnMet],"&gt;"&amp;($A430+15/24),tData[Langligger01],1)</f>
        <v/>
      </c>
      <c r="T430" s="20">
        <f>COUNTIFS(tData[SEHTrajectPeriodeDatumTijdVan],"&lt;="&amp;($A430+16/24),tData[SEHTrajectPeriodeDatumTijdTotEnMet],"&gt;"&amp;($A430+16/24),tData[Langligger01],1)</f>
        <v/>
      </c>
      <c r="U430" s="20">
        <f>COUNTIFS(tData[SEHTrajectPeriodeDatumTijdVan],"&lt;="&amp;($A430+17/24),tData[SEHTrajectPeriodeDatumTijdTotEnMet],"&gt;"&amp;($A430+17/24),tData[Langligger01],1)</f>
        <v/>
      </c>
      <c r="V430" s="20">
        <f>COUNTIFS(tData[SEHTrajectPeriodeDatumTijdVan],"&lt;="&amp;($A430+18/24),tData[SEHTrajectPeriodeDatumTijdTotEnMet],"&gt;"&amp;($A430+18/24),tData[Langligger01],1)</f>
        <v/>
      </c>
      <c r="W430" s="20">
        <f>COUNTIFS(tData[SEHTrajectPeriodeDatumTijdVan],"&lt;="&amp;($A430+19/24),tData[SEHTrajectPeriodeDatumTijdTotEnMet],"&gt;"&amp;($A430+19/24),tData[Langligger01],1)</f>
        <v/>
      </c>
      <c r="X430" s="20">
        <f>COUNTIFS(tData[SEHTrajectPeriodeDatumTijdVan],"&lt;="&amp;($A430+20/24),tData[SEHTrajectPeriodeDatumTijdTotEnMet],"&gt;"&amp;($A430+20/24),tData[Langligger01],1)</f>
        <v/>
      </c>
      <c r="Y430" s="20">
        <f>COUNTIFS(tData[SEHTrajectPeriodeDatumTijdVan],"&lt;="&amp;($A430+21/24),tData[SEHTrajectPeriodeDatumTijdTotEnMet],"&gt;"&amp;($A430+21/24),tData[Langligger01],1)</f>
        <v/>
      </c>
      <c r="Z430" s="20">
        <f>COUNTIFS(tData[SEHTrajectPeriodeDatumTijdVan],"&lt;="&amp;($A430+22/24),tData[SEHTrajectPeriodeDatumTijdTotEnMet],"&gt;"&amp;($A430+22/24),tData[Langligger01],1)</f>
        <v/>
      </c>
      <c r="AA430" s="20">
        <f>COUNTIFS(tData[SEHTrajectPeriodeDatumTijdVan],"&lt;="&amp;($A430+23/24),tData[SEHTrajectPeriodeDatumTijdTotEnMet],"&gt;"&amp;($A430+23/24),tData[Langligger01],1)</f>
        <v/>
      </c>
    </row>
    <row r="431">
      <c r="A431" s="19" t="n">
        <v>45719</v>
      </c>
      <c r="B431" s="15">
        <f>WEEKDAY($A431,2)</f>
        <v/>
      </c>
      <c r="C431" s="15">
        <f>IF(AND($A431&gt;=INT(Instellingen!$B$5),$A431&lt;=INT(Instellingen!$B$6)),1,0)</f>
        <v/>
      </c>
      <c r="D431" s="20">
        <f>COUNTIFS(tData[SEHTrajectPeriodeDatumTijdVan],"&lt;="&amp;($A431+0/24),tData[SEHTrajectPeriodeDatumTijdTotEnMet],"&gt;"&amp;($A431+0/24),tData[Langligger01],1)</f>
        <v/>
      </c>
      <c r="E431" s="20">
        <f>COUNTIFS(tData[SEHTrajectPeriodeDatumTijdVan],"&lt;="&amp;($A431+1/24),tData[SEHTrajectPeriodeDatumTijdTotEnMet],"&gt;"&amp;($A431+1/24),tData[Langligger01],1)</f>
        <v/>
      </c>
      <c r="F431" s="20">
        <f>COUNTIFS(tData[SEHTrajectPeriodeDatumTijdVan],"&lt;="&amp;($A431+2/24),tData[SEHTrajectPeriodeDatumTijdTotEnMet],"&gt;"&amp;($A431+2/24),tData[Langligger01],1)</f>
        <v/>
      </c>
      <c r="G431" s="20">
        <f>COUNTIFS(tData[SEHTrajectPeriodeDatumTijdVan],"&lt;="&amp;($A431+3/24),tData[SEHTrajectPeriodeDatumTijdTotEnMet],"&gt;"&amp;($A431+3/24),tData[Langligger01],1)</f>
        <v/>
      </c>
      <c r="H431" s="20">
        <f>COUNTIFS(tData[SEHTrajectPeriodeDatumTijdVan],"&lt;="&amp;($A431+4/24),tData[SEHTrajectPeriodeDatumTijdTotEnMet],"&gt;"&amp;($A431+4/24),tData[Langligger01],1)</f>
        <v/>
      </c>
      <c r="I431" s="20">
        <f>COUNTIFS(tData[SEHTrajectPeriodeDatumTijdVan],"&lt;="&amp;($A431+5/24),tData[SEHTrajectPeriodeDatumTijdTotEnMet],"&gt;"&amp;($A431+5/24),tData[Langligger01],1)</f>
        <v/>
      </c>
      <c r="J431" s="20">
        <f>COUNTIFS(tData[SEHTrajectPeriodeDatumTijdVan],"&lt;="&amp;($A431+6/24),tData[SEHTrajectPeriodeDatumTijdTotEnMet],"&gt;"&amp;($A431+6/24),tData[Langligger01],1)</f>
        <v/>
      </c>
      <c r="K431" s="20">
        <f>COUNTIFS(tData[SEHTrajectPeriodeDatumTijdVan],"&lt;="&amp;($A431+7/24),tData[SEHTrajectPeriodeDatumTijdTotEnMet],"&gt;"&amp;($A431+7/24),tData[Langligger01],1)</f>
        <v/>
      </c>
      <c r="L431" s="20">
        <f>COUNTIFS(tData[SEHTrajectPeriodeDatumTijdVan],"&lt;="&amp;($A431+8/24),tData[SEHTrajectPeriodeDatumTijdTotEnMet],"&gt;"&amp;($A431+8/24),tData[Langligger01],1)</f>
        <v/>
      </c>
      <c r="M431" s="20">
        <f>COUNTIFS(tData[SEHTrajectPeriodeDatumTijdVan],"&lt;="&amp;($A431+9/24),tData[SEHTrajectPeriodeDatumTijdTotEnMet],"&gt;"&amp;($A431+9/24),tData[Langligger01],1)</f>
        <v/>
      </c>
      <c r="N431" s="20">
        <f>COUNTIFS(tData[SEHTrajectPeriodeDatumTijdVan],"&lt;="&amp;($A431+10/24),tData[SEHTrajectPeriodeDatumTijdTotEnMet],"&gt;"&amp;($A431+10/24),tData[Langligger01],1)</f>
        <v/>
      </c>
      <c r="O431" s="20">
        <f>COUNTIFS(tData[SEHTrajectPeriodeDatumTijdVan],"&lt;="&amp;($A431+11/24),tData[SEHTrajectPeriodeDatumTijdTotEnMet],"&gt;"&amp;($A431+11/24),tData[Langligger01],1)</f>
        <v/>
      </c>
      <c r="P431" s="20">
        <f>COUNTIFS(tData[SEHTrajectPeriodeDatumTijdVan],"&lt;="&amp;($A431+12/24),tData[SEHTrajectPeriodeDatumTijdTotEnMet],"&gt;"&amp;($A431+12/24),tData[Langligger01],1)</f>
        <v/>
      </c>
      <c r="Q431" s="20">
        <f>COUNTIFS(tData[SEHTrajectPeriodeDatumTijdVan],"&lt;="&amp;($A431+13/24),tData[SEHTrajectPeriodeDatumTijdTotEnMet],"&gt;"&amp;($A431+13/24),tData[Langligger01],1)</f>
        <v/>
      </c>
      <c r="R431" s="20">
        <f>COUNTIFS(tData[SEHTrajectPeriodeDatumTijdVan],"&lt;="&amp;($A431+14/24),tData[SEHTrajectPeriodeDatumTijdTotEnMet],"&gt;"&amp;($A431+14/24),tData[Langligger01],1)</f>
        <v/>
      </c>
      <c r="S431" s="20">
        <f>COUNTIFS(tData[SEHTrajectPeriodeDatumTijdVan],"&lt;="&amp;($A431+15/24),tData[SEHTrajectPeriodeDatumTijdTotEnMet],"&gt;"&amp;($A431+15/24),tData[Langligger01],1)</f>
        <v/>
      </c>
      <c r="T431" s="20">
        <f>COUNTIFS(tData[SEHTrajectPeriodeDatumTijdVan],"&lt;="&amp;($A431+16/24),tData[SEHTrajectPeriodeDatumTijdTotEnMet],"&gt;"&amp;($A431+16/24),tData[Langligger01],1)</f>
        <v/>
      </c>
      <c r="U431" s="20">
        <f>COUNTIFS(tData[SEHTrajectPeriodeDatumTijdVan],"&lt;="&amp;($A431+17/24),tData[SEHTrajectPeriodeDatumTijdTotEnMet],"&gt;"&amp;($A431+17/24),tData[Langligger01],1)</f>
        <v/>
      </c>
      <c r="V431" s="20">
        <f>COUNTIFS(tData[SEHTrajectPeriodeDatumTijdVan],"&lt;="&amp;($A431+18/24),tData[SEHTrajectPeriodeDatumTijdTotEnMet],"&gt;"&amp;($A431+18/24),tData[Langligger01],1)</f>
        <v/>
      </c>
      <c r="W431" s="20">
        <f>COUNTIFS(tData[SEHTrajectPeriodeDatumTijdVan],"&lt;="&amp;($A431+19/24),tData[SEHTrajectPeriodeDatumTijdTotEnMet],"&gt;"&amp;($A431+19/24),tData[Langligger01],1)</f>
        <v/>
      </c>
      <c r="X431" s="20">
        <f>COUNTIFS(tData[SEHTrajectPeriodeDatumTijdVan],"&lt;="&amp;($A431+20/24),tData[SEHTrajectPeriodeDatumTijdTotEnMet],"&gt;"&amp;($A431+20/24),tData[Langligger01],1)</f>
        <v/>
      </c>
      <c r="Y431" s="20">
        <f>COUNTIFS(tData[SEHTrajectPeriodeDatumTijdVan],"&lt;="&amp;($A431+21/24),tData[SEHTrajectPeriodeDatumTijdTotEnMet],"&gt;"&amp;($A431+21/24),tData[Langligger01],1)</f>
        <v/>
      </c>
      <c r="Z431" s="20">
        <f>COUNTIFS(tData[SEHTrajectPeriodeDatumTijdVan],"&lt;="&amp;($A431+22/24),tData[SEHTrajectPeriodeDatumTijdTotEnMet],"&gt;"&amp;($A431+22/24),tData[Langligger01],1)</f>
        <v/>
      </c>
      <c r="AA431" s="20">
        <f>COUNTIFS(tData[SEHTrajectPeriodeDatumTijdVan],"&lt;="&amp;($A431+23/24),tData[SEHTrajectPeriodeDatumTijdTotEnMet],"&gt;"&amp;($A431+23/24),tData[Langligger01],1)</f>
        <v/>
      </c>
    </row>
    <row r="432">
      <c r="A432" s="19" t="n">
        <v>45720</v>
      </c>
      <c r="B432" s="15">
        <f>WEEKDAY($A432,2)</f>
        <v/>
      </c>
      <c r="C432" s="15">
        <f>IF(AND($A432&gt;=INT(Instellingen!$B$5),$A432&lt;=INT(Instellingen!$B$6)),1,0)</f>
        <v/>
      </c>
      <c r="D432" s="20">
        <f>COUNTIFS(tData[SEHTrajectPeriodeDatumTijdVan],"&lt;="&amp;($A432+0/24),tData[SEHTrajectPeriodeDatumTijdTotEnMet],"&gt;"&amp;($A432+0/24),tData[Langligger01],1)</f>
        <v/>
      </c>
      <c r="E432" s="20">
        <f>COUNTIFS(tData[SEHTrajectPeriodeDatumTijdVan],"&lt;="&amp;($A432+1/24),tData[SEHTrajectPeriodeDatumTijdTotEnMet],"&gt;"&amp;($A432+1/24),tData[Langligger01],1)</f>
        <v/>
      </c>
      <c r="F432" s="20">
        <f>COUNTIFS(tData[SEHTrajectPeriodeDatumTijdVan],"&lt;="&amp;($A432+2/24),tData[SEHTrajectPeriodeDatumTijdTotEnMet],"&gt;"&amp;($A432+2/24),tData[Langligger01],1)</f>
        <v/>
      </c>
      <c r="G432" s="20">
        <f>COUNTIFS(tData[SEHTrajectPeriodeDatumTijdVan],"&lt;="&amp;($A432+3/24),tData[SEHTrajectPeriodeDatumTijdTotEnMet],"&gt;"&amp;($A432+3/24),tData[Langligger01],1)</f>
        <v/>
      </c>
      <c r="H432" s="20">
        <f>COUNTIFS(tData[SEHTrajectPeriodeDatumTijdVan],"&lt;="&amp;($A432+4/24),tData[SEHTrajectPeriodeDatumTijdTotEnMet],"&gt;"&amp;($A432+4/24),tData[Langligger01],1)</f>
        <v/>
      </c>
      <c r="I432" s="20">
        <f>COUNTIFS(tData[SEHTrajectPeriodeDatumTijdVan],"&lt;="&amp;($A432+5/24),tData[SEHTrajectPeriodeDatumTijdTotEnMet],"&gt;"&amp;($A432+5/24),tData[Langligger01],1)</f>
        <v/>
      </c>
      <c r="J432" s="20">
        <f>COUNTIFS(tData[SEHTrajectPeriodeDatumTijdVan],"&lt;="&amp;($A432+6/24),tData[SEHTrajectPeriodeDatumTijdTotEnMet],"&gt;"&amp;($A432+6/24),tData[Langligger01],1)</f>
        <v/>
      </c>
      <c r="K432" s="20">
        <f>COUNTIFS(tData[SEHTrajectPeriodeDatumTijdVan],"&lt;="&amp;($A432+7/24),tData[SEHTrajectPeriodeDatumTijdTotEnMet],"&gt;"&amp;($A432+7/24),tData[Langligger01],1)</f>
        <v/>
      </c>
      <c r="L432" s="20">
        <f>COUNTIFS(tData[SEHTrajectPeriodeDatumTijdVan],"&lt;="&amp;($A432+8/24),tData[SEHTrajectPeriodeDatumTijdTotEnMet],"&gt;"&amp;($A432+8/24),tData[Langligger01],1)</f>
        <v/>
      </c>
      <c r="M432" s="20">
        <f>COUNTIFS(tData[SEHTrajectPeriodeDatumTijdVan],"&lt;="&amp;($A432+9/24),tData[SEHTrajectPeriodeDatumTijdTotEnMet],"&gt;"&amp;($A432+9/24),tData[Langligger01],1)</f>
        <v/>
      </c>
      <c r="N432" s="20">
        <f>COUNTIFS(tData[SEHTrajectPeriodeDatumTijdVan],"&lt;="&amp;($A432+10/24),tData[SEHTrajectPeriodeDatumTijdTotEnMet],"&gt;"&amp;($A432+10/24),tData[Langligger01],1)</f>
        <v/>
      </c>
      <c r="O432" s="20">
        <f>COUNTIFS(tData[SEHTrajectPeriodeDatumTijdVan],"&lt;="&amp;($A432+11/24),tData[SEHTrajectPeriodeDatumTijdTotEnMet],"&gt;"&amp;($A432+11/24),tData[Langligger01],1)</f>
        <v/>
      </c>
      <c r="P432" s="20">
        <f>COUNTIFS(tData[SEHTrajectPeriodeDatumTijdVan],"&lt;="&amp;($A432+12/24),tData[SEHTrajectPeriodeDatumTijdTotEnMet],"&gt;"&amp;($A432+12/24),tData[Langligger01],1)</f>
        <v/>
      </c>
      <c r="Q432" s="20">
        <f>COUNTIFS(tData[SEHTrajectPeriodeDatumTijdVan],"&lt;="&amp;($A432+13/24),tData[SEHTrajectPeriodeDatumTijdTotEnMet],"&gt;"&amp;($A432+13/24),tData[Langligger01],1)</f>
        <v/>
      </c>
      <c r="R432" s="20">
        <f>COUNTIFS(tData[SEHTrajectPeriodeDatumTijdVan],"&lt;="&amp;($A432+14/24),tData[SEHTrajectPeriodeDatumTijdTotEnMet],"&gt;"&amp;($A432+14/24),tData[Langligger01],1)</f>
        <v/>
      </c>
      <c r="S432" s="20">
        <f>COUNTIFS(tData[SEHTrajectPeriodeDatumTijdVan],"&lt;="&amp;($A432+15/24),tData[SEHTrajectPeriodeDatumTijdTotEnMet],"&gt;"&amp;($A432+15/24),tData[Langligger01],1)</f>
        <v/>
      </c>
      <c r="T432" s="20">
        <f>COUNTIFS(tData[SEHTrajectPeriodeDatumTijdVan],"&lt;="&amp;($A432+16/24),tData[SEHTrajectPeriodeDatumTijdTotEnMet],"&gt;"&amp;($A432+16/24),tData[Langligger01],1)</f>
        <v/>
      </c>
      <c r="U432" s="20">
        <f>COUNTIFS(tData[SEHTrajectPeriodeDatumTijdVan],"&lt;="&amp;($A432+17/24),tData[SEHTrajectPeriodeDatumTijdTotEnMet],"&gt;"&amp;($A432+17/24),tData[Langligger01],1)</f>
        <v/>
      </c>
      <c r="V432" s="20">
        <f>COUNTIFS(tData[SEHTrajectPeriodeDatumTijdVan],"&lt;="&amp;($A432+18/24),tData[SEHTrajectPeriodeDatumTijdTotEnMet],"&gt;"&amp;($A432+18/24),tData[Langligger01],1)</f>
        <v/>
      </c>
      <c r="W432" s="20">
        <f>COUNTIFS(tData[SEHTrajectPeriodeDatumTijdVan],"&lt;="&amp;($A432+19/24),tData[SEHTrajectPeriodeDatumTijdTotEnMet],"&gt;"&amp;($A432+19/24),tData[Langligger01],1)</f>
        <v/>
      </c>
      <c r="X432" s="20">
        <f>COUNTIFS(tData[SEHTrajectPeriodeDatumTijdVan],"&lt;="&amp;($A432+20/24),tData[SEHTrajectPeriodeDatumTijdTotEnMet],"&gt;"&amp;($A432+20/24),tData[Langligger01],1)</f>
        <v/>
      </c>
      <c r="Y432" s="20">
        <f>COUNTIFS(tData[SEHTrajectPeriodeDatumTijdVan],"&lt;="&amp;($A432+21/24),tData[SEHTrajectPeriodeDatumTijdTotEnMet],"&gt;"&amp;($A432+21/24),tData[Langligger01],1)</f>
        <v/>
      </c>
      <c r="Z432" s="20">
        <f>COUNTIFS(tData[SEHTrajectPeriodeDatumTijdVan],"&lt;="&amp;($A432+22/24),tData[SEHTrajectPeriodeDatumTijdTotEnMet],"&gt;"&amp;($A432+22/24),tData[Langligger01],1)</f>
        <v/>
      </c>
      <c r="AA432" s="20">
        <f>COUNTIFS(tData[SEHTrajectPeriodeDatumTijdVan],"&lt;="&amp;($A432+23/24),tData[SEHTrajectPeriodeDatumTijdTotEnMet],"&gt;"&amp;($A432+23/24),tData[Langligger01],1)</f>
        <v/>
      </c>
    </row>
    <row r="433">
      <c r="A433" s="19" t="n">
        <v>45721</v>
      </c>
      <c r="B433" s="15">
        <f>WEEKDAY($A433,2)</f>
        <v/>
      </c>
      <c r="C433" s="15">
        <f>IF(AND($A433&gt;=INT(Instellingen!$B$5),$A433&lt;=INT(Instellingen!$B$6)),1,0)</f>
        <v/>
      </c>
      <c r="D433" s="20">
        <f>COUNTIFS(tData[SEHTrajectPeriodeDatumTijdVan],"&lt;="&amp;($A433+0/24),tData[SEHTrajectPeriodeDatumTijdTotEnMet],"&gt;"&amp;($A433+0/24),tData[Langligger01],1)</f>
        <v/>
      </c>
      <c r="E433" s="20">
        <f>COUNTIFS(tData[SEHTrajectPeriodeDatumTijdVan],"&lt;="&amp;($A433+1/24),tData[SEHTrajectPeriodeDatumTijdTotEnMet],"&gt;"&amp;($A433+1/24),tData[Langligger01],1)</f>
        <v/>
      </c>
      <c r="F433" s="20">
        <f>COUNTIFS(tData[SEHTrajectPeriodeDatumTijdVan],"&lt;="&amp;($A433+2/24),tData[SEHTrajectPeriodeDatumTijdTotEnMet],"&gt;"&amp;($A433+2/24),tData[Langligger01],1)</f>
        <v/>
      </c>
      <c r="G433" s="20">
        <f>COUNTIFS(tData[SEHTrajectPeriodeDatumTijdVan],"&lt;="&amp;($A433+3/24),tData[SEHTrajectPeriodeDatumTijdTotEnMet],"&gt;"&amp;($A433+3/24),tData[Langligger01],1)</f>
        <v/>
      </c>
      <c r="H433" s="20">
        <f>COUNTIFS(tData[SEHTrajectPeriodeDatumTijdVan],"&lt;="&amp;($A433+4/24),tData[SEHTrajectPeriodeDatumTijdTotEnMet],"&gt;"&amp;($A433+4/24),tData[Langligger01],1)</f>
        <v/>
      </c>
      <c r="I433" s="20">
        <f>COUNTIFS(tData[SEHTrajectPeriodeDatumTijdVan],"&lt;="&amp;($A433+5/24),tData[SEHTrajectPeriodeDatumTijdTotEnMet],"&gt;"&amp;($A433+5/24),tData[Langligger01],1)</f>
        <v/>
      </c>
      <c r="J433" s="20">
        <f>COUNTIFS(tData[SEHTrajectPeriodeDatumTijdVan],"&lt;="&amp;($A433+6/24),tData[SEHTrajectPeriodeDatumTijdTotEnMet],"&gt;"&amp;($A433+6/24),tData[Langligger01],1)</f>
        <v/>
      </c>
      <c r="K433" s="20">
        <f>COUNTIFS(tData[SEHTrajectPeriodeDatumTijdVan],"&lt;="&amp;($A433+7/24),tData[SEHTrajectPeriodeDatumTijdTotEnMet],"&gt;"&amp;($A433+7/24),tData[Langligger01],1)</f>
        <v/>
      </c>
      <c r="L433" s="20">
        <f>COUNTIFS(tData[SEHTrajectPeriodeDatumTijdVan],"&lt;="&amp;($A433+8/24),tData[SEHTrajectPeriodeDatumTijdTotEnMet],"&gt;"&amp;($A433+8/24),tData[Langligger01],1)</f>
        <v/>
      </c>
      <c r="M433" s="20">
        <f>COUNTIFS(tData[SEHTrajectPeriodeDatumTijdVan],"&lt;="&amp;($A433+9/24),tData[SEHTrajectPeriodeDatumTijdTotEnMet],"&gt;"&amp;($A433+9/24),tData[Langligger01],1)</f>
        <v/>
      </c>
      <c r="N433" s="20">
        <f>COUNTIFS(tData[SEHTrajectPeriodeDatumTijdVan],"&lt;="&amp;($A433+10/24),tData[SEHTrajectPeriodeDatumTijdTotEnMet],"&gt;"&amp;($A433+10/24),tData[Langligger01],1)</f>
        <v/>
      </c>
      <c r="O433" s="20">
        <f>COUNTIFS(tData[SEHTrajectPeriodeDatumTijdVan],"&lt;="&amp;($A433+11/24),tData[SEHTrajectPeriodeDatumTijdTotEnMet],"&gt;"&amp;($A433+11/24),tData[Langligger01],1)</f>
        <v/>
      </c>
      <c r="P433" s="20">
        <f>COUNTIFS(tData[SEHTrajectPeriodeDatumTijdVan],"&lt;="&amp;($A433+12/24),tData[SEHTrajectPeriodeDatumTijdTotEnMet],"&gt;"&amp;($A433+12/24),tData[Langligger01],1)</f>
        <v/>
      </c>
      <c r="Q433" s="20">
        <f>COUNTIFS(tData[SEHTrajectPeriodeDatumTijdVan],"&lt;="&amp;($A433+13/24),tData[SEHTrajectPeriodeDatumTijdTotEnMet],"&gt;"&amp;($A433+13/24),tData[Langligger01],1)</f>
        <v/>
      </c>
      <c r="R433" s="20">
        <f>COUNTIFS(tData[SEHTrajectPeriodeDatumTijdVan],"&lt;="&amp;($A433+14/24),tData[SEHTrajectPeriodeDatumTijdTotEnMet],"&gt;"&amp;($A433+14/24),tData[Langligger01],1)</f>
        <v/>
      </c>
      <c r="S433" s="20">
        <f>COUNTIFS(tData[SEHTrajectPeriodeDatumTijdVan],"&lt;="&amp;($A433+15/24),tData[SEHTrajectPeriodeDatumTijdTotEnMet],"&gt;"&amp;($A433+15/24),tData[Langligger01],1)</f>
        <v/>
      </c>
      <c r="T433" s="20">
        <f>COUNTIFS(tData[SEHTrajectPeriodeDatumTijdVan],"&lt;="&amp;($A433+16/24),tData[SEHTrajectPeriodeDatumTijdTotEnMet],"&gt;"&amp;($A433+16/24),tData[Langligger01],1)</f>
        <v/>
      </c>
      <c r="U433" s="20">
        <f>COUNTIFS(tData[SEHTrajectPeriodeDatumTijdVan],"&lt;="&amp;($A433+17/24),tData[SEHTrajectPeriodeDatumTijdTotEnMet],"&gt;"&amp;($A433+17/24),tData[Langligger01],1)</f>
        <v/>
      </c>
      <c r="V433" s="20">
        <f>COUNTIFS(tData[SEHTrajectPeriodeDatumTijdVan],"&lt;="&amp;($A433+18/24),tData[SEHTrajectPeriodeDatumTijdTotEnMet],"&gt;"&amp;($A433+18/24),tData[Langligger01],1)</f>
        <v/>
      </c>
      <c r="W433" s="20">
        <f>COUNTIFS(tData[SEHTrajectPeriodeDatumTijdVan],"&lt;="&amp;($A433+19/24),tData[SEHTrajectPeriodeDatumTijdTotEnMet],"&gt;"&amp;($A433+19/24),tData[Langligger01],1)</f>
        <v/>
      </c>
      <c r="X433" s="20">
        <f>COUNTIFS(tData[SEHTrajectPeriodeDatumTijdVan],"&lt;="&amp;($A433+20/24),tData[SEHTrajectPeriodeDatumTijdTotEnMet],"&gt;"&amp;($A433+20/24),tData[Langligger01],1)</f>
        <v/>
      </c>
      <c r="Y433" s="20">
        <f>COUNTIFS(tData[SEHTrajectPeriodeDatumTijdVan],"&lt;="&amp;($A433+21/24),tData[SEHTrajectPeriodeDatumTijdTotEnMet],"&gt;"&amp;($A433+21/24),tData[Langligger01],1)</f>
        <v/>
      </c>
      <c r="Z433" s="20">
        <f>COUNTIFS(tData[SEHTrajectPeriodeDatumTijdVan],"&lt;="&amp;($A433+22/24),tData[SEHTrajectPeriodeDatumTijdTotEnMet],"&gt;"&amp;($A433+22/24),tData[Langligger01],1)</f>
        <v/>
      </c>
      <c r="AA433" s="20">
        <f>COUNTIFS(tData[SEHTrajectPeriodeDatumTijdVan],"&lt;="&amp;($A433+23/24),tData[SEHTrajectPeriodeDatumTijdTotEnMet],"&gt;"&amp;($A433+23/24),tData[Langligger01],1)</f>
        <v/>
      </c>
    </row>
    <row r="434">
      <c r="A434" s="19" t="n">
        <v>45722</v>
      </c>
      <c r="B434" s="15">
        <f>WEEKDAY($A434,2)</f>
        <v/>
      </c>
      <c r="C434" s="15">
        <f>IF(AND($A434&gt;=INT(Instellingen!$B$5),$A434&lt;=INT(Instellingen!$B$6)),1,0)</f>
        <v/>
      </c>
      <c r="D434" s="20">
        <f>COUNTIFS(tData[SEHTrajectPeriodeDatumTijdVan],"&lt;="&amp;($A434+0/24),tData[SEHTrajectPeriodeDatumTijdTotEnMet],"&gt;"&amp;($A434+0/24),tData[Langligger01],1)</f>
        <v/>
      </c>
      <c r="E434" s="20">
        <f>COUNTIFS(tData[SEHTrajectPeriodeDatumTijdVan],"&lt;="&amp;($A434+1/24),tData[SEHTrajectPeriodeDatumTijdTotEnMet],"&gt;"&amp;($A434+1/24),tData[Langligger01],1)</f>
        <v/>
      </c>
      <c r="F434" s="20">
        <f>COUNTIFS(tData[SEHTrajectPeriodeDatumTijdVan],"&lt;="&amp;($A434+2/24),tData[SEHTrajectPeriodeDatumTijdTotEnMet],"&gt;"&amp;($A434+2/24),tData[Langligger01],1)</f>
        <v/>
      </c>
      <c r="G434" s="20">
        <f>COUNTIFS(tData[SEHTrajectPeriodeDatumTijdVan],"&lt;="&amp;($A434+3/24),tData[SEHTrajectPeriodeDatumTijdTotEnMet],"&gt;"&amp;($A434+3/24),tData[Langligger01],1)</f>
        <v/>
      </c>
      <c r="H434" s="20">
        <f>COUNTIFS(tData[SEHTrajectPeriodeDatumTijdVan],"&lt;="&amp;($A434+4/24),tData[SEHTrajectPeriodeDatumTijdTotEnMet],"&gt;"&amp;($A434+4/24),tData[Langligger01],1)</f>
        <v/>
      </c>
      <c r="I434" s="20">
        <f>COUNTIFS(tData[SEHTrajectPeriodeDatumTijdVan],"&lt;="&amp;($A434+5/24),tData[SEHTrajectPeriodeDatumTijdTotEnMet],"&gt;"&amp;($A434+5/24),tData[Langligger01],1)</f>
        <v/>
      </c>
      <c r="J434" s="20">
        <f>COUNTIFS(tData[SEHTrajectPeriodeDatumTijdVan],"&lt;="&amp;($A434+6/24),tData[SEHTrajectPeriodeDatumTijdTotEnMet],"&gt;"&amp;($A434+6/24),tData[Langligger01],1)</f>
        <v/>
      </c>
      <c r="K434" s="20">
        <f>COUNTIFS(tData[SEHTrajectPeriodeDatumTijdVan],"&lt;="&amp;($A434+7/24),tData[SEHTrajectPeriodeDatumTijdTotEnMet],"&gt;"&amp;($A434+7/24),tData[Langligger01],1)</f>
        <v/>
      </c>
      <c r="L434" s="20">
        <f>COUNTIFS(tData[SEHTrajectPeriodeDatumTijdVan],"&lt;="&amp;($A434+8/24),tData[SEHTrajectPeriodeDatumTijdTotEnMet],"&gt;"&amp;($A434+8/24),tData[Langligger01],1)</f>
        <v/>
      </c>
      <c r="M434" s="20">
        <f>COUNTIFS(tData[SEHTrajectPeriodeDatumTijdVan],"&lt;="&amp;($A434+9/24),tData[SEHTrajectPeriodeDatumTijdTotEnMet],"&gt;"&amp;($A434+9/24),tData[Langligger01],1)</f>
        <v/>
      </c>
      <c r="N434" s="20">
        <f>COUNTIFS(tData[SEHTrajectPeriodeDatumTijdVan],"&lt;="&amp;($A434+10/24),tData[SEHTrajectPeriodeDatumTijdTotEnMet],"&gt;"&amp;($A434+10/24),tData[Langligger01],1)</f>
        <v/>
      </c>
      <c r="O434" s="20">
        <f>COUNTIFS(tData[SEHTrajectPeriodeDatumTijdVan],"&lt;="&amp;($A434+11/24),tData[SEHTrajectPeriodeDatumTijdTotEnMet],"&gt;"&amp;($A434+11/24),tData[Langligger01],1)</f>
        <v/>
      </c>
      <c r="P434" s="20">
        <f>COUNTIFS(tData[SEHTrajectPeriodeDatumTijdVan],"&lt;="&amp;($A434+12/24),tData[SEHTrajectPeriodeDatumTijdTotEnMet],"&gt;"&amp;($A434+12/24),tData[Langligger01],1)</f>
        <v/>
      </c>
      <c r="Q434" s="20">
        <f>COUNTIFS(tData[SEHTrajectPeriodeDatumTijdVan],"&lt;="&amp;($A434+13/24),tData[SEHTrajectPeriodeDatumTijdTotEnMet],"&gt;"&amp;($A434+13/24),tData[Langligger01],1)</f>
        <v/>
      </c>
      <c r="R434" s="20">
        <f>COUNTIFS(tData[SEHTrajectPeriodeDatumTijdVan],"&lt;="&amp;($A434+14/24),tData[SEHTrajectPeriodeDatumTijdTotEnMet],"&gt;"&amp;($A434+14/24),tData[Langligger01],1)</f>
        <v/>
      </c>
      <c r="S434" s="20">
        <f>COUNTIFS(tData[SEHTrajectPeriodeDatumTijdVan],"&lt;="&amp;($A434+15/24),tData[SEHTrajectPeriodeDatumTijdTotEnMet],"&gt;"&amp;($A434+15/24),tData[Langligger01],1)</f>
        <v/>
      </c>
      <c r="T434" s="20">
        <f>COUNTIFS(tData[SEHTrajectPeriodeDatumTijdVan],"&lt;="&amp;($A434+16/24),tData[SEHTrajectPeriodeDatumTijdTotEnMet],"&gt;"&amp;($A434+16/24),tData[Langligger01],1)</f>
        <v/>
      </c>
      <c r="U434" s="20">
        <f>COUNTIFS(tData[SEHTrajectPeriodeDatumTijdVan],"&lt;="&amp;($A434+17/24),tData[SEHTrajectPeriodeDatumTijdTotEnMet],"&gt;"&amp;($A434+17/24),tData[Langligger01],1)</f>
        <v/>
      </c>
      <c r="V434" s="20">
        <f>COUNTIFS(tData[SEHTrajectPeriodeDatumTijdVan],"&lt;="&amp;($A434+18/24),tData[SEHTrajectPeriodeDatumTijdTotEnMet],"&gt;"&amp;($A434+18/24),tData[Langligger01],1)</f>
        <v/>
      </c>
      <c r="W434" s="20">
        <f>COUNTIFS(tData[SEHTrajectPeriodeDatumTijdVan],"&lt;="&amp;($A434+19/24),tData[SEHTrajectPeriodeDatumTijdTotEnMet],"&gt;"&amp;($A434+19/24),tData[Langligger01],1)</f>
        <v/>
      </c>
      <c r="X434" s="20">
        <f>COUNTIFS(tData[SEHTrajectPeriodeDatumTijdVan],"&lt;="&amp;($A434+20/24),tData[SEHTrajectPeriodeDatumTijdTotEnMet],"&gt;"&amp;($A434+20/24),tData[Langligger01],1)</f>
        <v/>
      </c>
      <c r="Y434" s="20">
        <f>COUNTIFS(tData[SEHTrajectPeriodeDatumTijdVan],"&lt;="&amp;($A434+21/24),tData[SEHTrajectPeriodeDatumTijdTotEnMet],"&gt;"&amp;($A434+21/24),tData[Langligger01],1)</f>
        <v/>
      </c>
      <c r="Z434" s="20">
        <f>COUNTIFS(tData[SEHTrajectPeriodeDatumTijdVan],"&lt;="&amp;($A434+22/24),tData[SEHTrajectPeriodeDatumTijdTotEnMet],"&gt;"&amp;($A434+22/24),tData[Langligger01],1)</f>
        <v/>
      </c>
      <c r="AA434" s="20">
        <f>COUNTIFS(tData[SEHTrajectPeriodeDatumTijdVan],"&lt;="&amp;($A434+23/24),tData[SEHTrajectPeriodeDatumTijdTotEnMet],"&gt;"&amp;($A434+23/24),tData[Langligger01],1)</f>
        <v/>
      </c>
    </row>
    <row r="435">
      <c r="A435" s="19" t="n">
        <v>45723</v>
      </c>
      <c r="B435" s="15">
        <f>WEEKDAY($A435,2)</f>
        <v/>
      </c>
      <c r="C435" s="15">
        <f>IF(AND($A435&gt;=INT(Instellingen!$B$5),$A435&lt;=INT(Instellingen!$B$6)),1,0)</f>
        <v/>
      </c>
      <c r="D435" s="20">
        <f>COUNTIFS(tData[SEHTrajectPeriodeDatumTijdVan],"&lt;="&amp;($A435+0/24),tData[SEHTrajectPeriodeDatumTijdTotEnMet],"&gt;"&amp;($A435+0/24),tData[Langligger01],1)</f>
        <v/>
      </c>
      <c r="E435" s="20">
        <f>COUNTIFS(tData[SEHTrajectPeriodeDatumTijdVan],"&lt;="&amp;($A435+1/24),tData[SEHTrajectPeriodeDatumTijdTotEnMet],"&gt;"&amp;($A435+1/24),tData[Langligger01],1)</f>
        <v/>
      </c>
      <c r="F435" s="20">
        <f>COUNTIFS(tData[SEHTrajectPeriodeDatumTijdVan],"&lt;="&amp;($A435+2/24),tData[SEHTrajectPeriodeDatumTijdTotEnMet],"&gt;"&amp;($A435+2/24),tData[Langligger01],1)</f>
        <v/>
      </c>
      <c r="G435" s="20">
        <f>COUNTIFS(tData[SEHTrajectPeriodeDatumTijdVan],"&lt;="&amp;($A435+3/24),tData[SEHTrajectPeriodeDatumTijdTotEnMet],"&gt;"&amp;($A435+3/24),tData[Langligger01],1)</f>
        <v/>
      </c>
      <c r="H435" s="20">
        <f>COUNTIFS(tData[SEHTrajectPeriodeDatumTijdVan],"&lt;="&amp;($A435+4/24),tData[SEHTrajectPeriodeDatumTijdTotEnMet],"&gt;"&amp;($A435+4/24),tData[Langligger01],1)</f>
        <v/>
      </c>
      <c r="I435" s="20">
        <f>COUNTIFS(tData[SEHTrajectPeriodeDatumTijdVan],"&lt;="&amp;($A435+5/24),tData[SEHTrajectPeriodeDatumTijdTotEnMet],"&gt;"&amp;($A435+5/24),tData[Langligger01],1)</f>
        <v/>
      </c>
      <c r="J435" s="20">
        <f>COUNTIFS(tData[SEHTrajectPeriodeDatumTijdVan],"&lt;="&amp;($A435+6/24),tData[SEHTrajectPeriodeDatumTijdTotEnMet],"&gt;"&amp;($A435+6/24),tData[Langligger01],1)</f>
        <v/>
      </c>
      <c r="K435" s="20">
        <f>COUNTIFS(tData[SEHTrajectPeriodeDatumTijdVan],"&lt;="&amp;($A435+7/24),tData[SEHTrajectPeriodeDatumTijdTotEnMet],"&gt;"&amp;($A435+7/24),tData[Langligger01],1)</f>
        <v/>
      </c>
      <c r="L435" s="20">
        <f>COUNTIFS(tData[SEHTrajectPeriodeDatumTijdVan],"&lt;="&amp;($A435+8/24),tData[SEHTrajectPeriodeDatumTijdTotEnMet],"&gt;"&amp;($A435+8/24),tData[Langligger01],1)</f>
        <v/>
      </c>
      <c r="M435" s="20">
        <f>COUNTIFS(tData[SEHTrajectPeriodeDatumTijdVan],"&lt;="&amp;($A435+9/24),tData[SEHTrajectPeriodeDatumTijdTotEnMet],"&gt;"&amp;($A435+9/24),tData[Langligger01],1)</f>
        <v/>
      </c>
      <c r="N435" s="20">
        <f>COUNTIFS(tData[SEHTrajectPeriodeDatumTijdVan],"&lt;="&amp;($A435+10/24),tData[SEHTrajectPeriodeDatumTijdTotEnMet],"&gt;"&amp;($A435+10/24),tData[Langligger01],1)</f>
        <v/>
      </c>
      <c r="O435" s="20">
        <f>COUNTIFS(tData[SEHTrajectPeriodeDatumTijdVan],"&lt;="&amp;($A435+11/24),tData[SEHTrajectPeriodeDatumTijdTotEnMet],"&gt;"&amp;($A435+11/24),tData[Langligger01],1)</f>
        <v/>
      </c>
      <c r="P435" s="20">
        <f>COUNTIFS(tData[SEHTrajectPeriodeDatumTijdVan],"&lt;="&amp;($A435+12/24),tData[SEHTrajectPeriodeDatumTijdTotEnMet],"&gt;"&amp;($A435+12/24),tData[Langligger01],1)</f>
        <v/>
      </c>
      <c r="Q435" s="20">
        <f>COUNTIFS(tData[SEHTrajectPeriodeDatumTijdVan],"&lt;="&amp;($A435+13/24),tData[SEHTrajectPeriodeDatumTijdTotEnMet],"&gt;"&amp;($A435+13/24),tData[Langligger01],1)</f>
        <v/>
      </c>
      <c r="R435" s="20">
        <f>COUNTIFS(tData[SEHTrajectPeriodeDatumTijdVan],"&lt;="&amp;($A435+14/24),tData[SEHTrajectPeriodeDatumTijdTotEnMet],"&gt;"&amp;($A435+14/24),tData[Langligger01],1)</f>
        <v/>
      </c>
      <c r="S435" s="20">
        <f>COUNTIFS(tData[SEHTrajectPeriodeDatumTijdVan],"&lt;="&amp;($A435+15/24),tData[SEHTrajectPeriodeDatumTijdTotEnMet],"&gt;"&amp;($A435+15/24),tData[Langligger01],1)</f>
        <v/>
      </c>
      <c r="T435" s="20">
        <f>COUNTIFS(tData[SEHTrajectPeriodeDatumTijdVan],"&lt;="&amp;($A435+16/24),tData[SEHTrajectPeriodeDatumTijdTotEnMet],"&gt;"&amp;($A435+16/24),tData[Langligger01],1)</f>
        <v/>
      </c>
      <c r="U435" s="20">
        <f>COUNTIFS(tData[SEHTrajectPeriodeDatumTijdVan],"&lt;="&amp;($A435+17/24),tData[SEHTrajectPeriodeDatumTijdTotEnMet],"&gt;"&amp;($A435+17/24),tData[Langligger01],1)</f>
        <v/>
      </c>
      <c r="V435" s="20">
        <f>COUNTIFS(tData[SEHTrajectPeriodeDatumTijdVan],"&lt;="&amp;($A435+18/24),tData[SEHTrajectPeriodeDatumTijdTotEnMet],"&gt;"&amp;($A435+18/24),tData[Langligger01],1)</f>
        <v/>
      </c>
      <c r="W435" s="20">
        <f>COUNTIFS(tData[SEHTrajectPeriodeDatumTijdVan],"&lt;="&amp;($A435+19/24),tData[SEHTrajectPeriodeDatumTijdTotEnMet],"&gt;"&amp;($A435+19/24),tData[Langligger01],1)</f>
        <v/>
      </c>
      <c r="X435" s="20">
        <f>COUNTIFS(tData[SEHTrajectPeriodeDatumTijdVan],"&lt;="&amp;($A435+20/24),tData[SEHTrajectPeriodeDatumTijdTotEnMet],"&gt;"&amp;($A435+20/24),tData[Langligger01],1)</f>
        <v/>
      </c>
      <c r="Y435" s="20">
        <f>COUNTIFS(tData[SEHTrajectPeriodeDatumTijdVan],"&lt;="&amp;($A435+21/24),tData[SEHTrajectPeriodeDatumTijdTotEnMet],"&gt;"&amp;($A435+21/24),tData[Langligger01],1)</f>
        <v/>
      </c>
      <c r="Z435" s="20">
        <f>COUNTIFS(tData[SEHTrajectPeriodeDatumTijdVan],"&lt;="&amp;($A435+22/24),tData[SEHTrajectPeriodeDatumTijdTotEnMet],"&gt;"&amp;($A435+22/24),tData[Langligger01],1)</f>
        <v/>
      </c>
      <c r="AA435" s="20">
        <f>COUNTIFS(tData[SEHTrajectPeriodeDatumTijdVan],"&lt;="&amp;($A435+23/24),tData[SEHTrajectPeriodeDatumTijdTotEnMet],"&gt;"&amp;($A435+23/24),tData[Langligger01],1)</f>
        <v/>
      </c>
    </row>
    <row r="436">
      <c r="A436" s="19" t="n">
        <v>45724</v>
      </c>
      <c r="B436" s="15">
        <f>WEEKDAY($A436,2)</f>
        <v/>
      </c>
      <c r="C436" s="15">
        <f>IF(AND($A436&gt;=INT(Instellingen!$B$5),$A436&lt;=INT(Instellingen!$B$6)),1,0)</f>
        <v/>
      </c>
      <c r="D436" s="20">
        <f>COUNTIFS(tData[SEHTrajectPeriodeDatumTijdVan],"&lt;="&amp;($A436+0/24),tData[SEHTrajectPeriodeDatumTijdTotEnMet],"&gt;"&amp;($A436+0/24),tData[Langligger01],1)</f>
        <v/>
      </c>
      <c r="E436" s="20">
        <f>COUNTIFS(tData[SEHTrajectPeriodeDatumTijdVan],"&lt;="&amp;($A436+1/24),tData[SEHTrajectPeriodeDatumTijdTotEnMet],"&gt;"&amp;($A436+1/24),tData[Langligger01],1)</f>
        <v/>
      </c>
      <c r="F436" s="20">
        <f>COUNTIFS(tData[SEHTrajectPeriodeDatumTijdVan],"&lt;="&amp;($A436+2/24),tData[SEHTrajectPeriodeDatumTijdTotEnMet],"&gt;"&amp;($A436+2/24),tData[Langligger01],1)</f>
        <v/>
      </c>
      <c r="G436" s="20">
        <f>COUNTIFS(tData[SEHTrajectPeriodeDatumTijdVan],"&lt;="&amp;($A436+3/24),tData[SEHTrajectPeriodeDatumTijdTotEnMet],"&gt;"&amp;($A436+3/24),tData[Langligger01],1)</f>
        <v/>
      </c>
      <c r="H436" s="20">
        <f>COUNTIFS(tData[SEHTrajectPeriodeDatumTijdVan],"&lt;="&amp;($A436+4/24),tData[SEHTrajectPeriodeDatumTijdTotEnMet],"&gt;"&amp;($A436+4/24),tData[Langligger01],1)</f>
        <v/>
      </c>
      <c r="I436" s="20">
        <f>COUNTIFS(tData[SEHTrajectPeriodeDatumTijdVan],"&lt;="&amp;($A436+5/24),tData[SEHTrajectPeriodeDatumTijdTotEnMet],"&gt;"&amp;($A436+5/24),tData[Langligger01],1)</f>
        <v/>
      </c>
      <c r="J436" s="20">
        <f>COUNTIFS(tData[SEHTrajectPeriodeDatumTijdVan],"&lt;="&amp;($A436+6/24),tData[SEHTrajectPeriodeDatumTijdTotEnMet],"&gt;"&amp;($A436+6/24),tData[Langligger01],1)</f>
        <v/>
      </c>
      <c r="K436" s="20">
        <f>COUNTIFS(tData[SEHTrajectPeriodeDatumTijdVan],"&lt;="&amp;($A436+7/24),tData[SEHTrajectPeriodeDatumTijdTotEnMet],"&gt;"&amp;($A436+7/24),tData[Langligger01],1)</f>
        <v/>
      </c>
      <c r="L436" s="20">
        <f>COUNTIFS(tData[SEHTrajectPeriodeDatumTijdVan],"&lt;="&amp;($A436+8/24),tData[SEHTrajectPeriodeDatumTijdTotEnMet],"&gt;"&amp;($A436+8/24),tData[Langligger01],1)</f>
        <v/>
      </c>
      <c r="M436" s="20">
        <f>COUNTIFS(tData[SEHTrajectPeriodeDatumTijdVan],"&lt;="&amp;($A436+9/24),tData[SEHTrajectPeriodeDatumTijdTotEnMet],"&gt;"&amp;($A436+9/24),tData[Langligger01],1)</f>
        <v/>
      </c>
      <c r="N436" s="20">
        <f>COUNTIFS(tData[SEHTrajectPeriodeDatumTijdVan],"&lt;="&amp;($A436+10/24),tData[SEHTrajectPeriodeDatumTijdTotEnMet],"&gt;"&amp;($A436+10/24),tData[Langligger01],1)</f>
        <v/>
      </c>
      <c r="O436" s="20">
        <f>COUNTIFS(tData[SEHTrajectPeriodeDatumTijdVan],"&lt;="&amp;($A436+11/24),tData[SEHTrajectPeriodeDatumTijdTotEnMet],"&gt;"&amp;($A436+11/24),tData[Langligger01],1)</f>
        <v/>
      </c>
      <c r="P436" s="20">
        <f>COUNTIFS(tData[SEHTrajectPeriodeDatumTijdVan],"&lt;="&amp;($A436+12/24),tData[SEHTrajectPeriodeDatumTijdTotEnMet],"&gt;"&amp;($A436+12/24),tData[Langligger01],1)</f>
        <v/>
      </c>
      <c r="Q436" s="20">
        <f>COUNTIFS(tData[SEHTrajectPeriodeDatumTijdVan],"&lt;="&amp;($A436+13/24),tData[SEHTrajectPeriodeDatumTijdTotEnMet],"&gt;"&amp;($A436+13/24),tData[Langligger01],1)</f>
        <v/>
      </c>
      <c r="R436" s="20">
        <f>COUNTIFS(tData[SEHTrajectPeriodeDatumTijdVan],"&lt;="&amp;($A436+14/24),tData[SEHTrajectPeriodeDatumTijdTotEnMet],"&gt;"&amp;($A436+14/24),tData[Langligger01],1)</f>
        <v/>
      </c>
      <c r="S436" s="20">
        <f>COUNTIFS(tData[SEHTrajectPeriodeDatumTijdVan],"&lt;="&amp;($A436+15/24),tData[SEHTrajectPeriodeDatumTijdTotEnMet],"&gt;"&amp;($A436+15/24),tData[Langligger01],1)</f>
        <v/>
      </c>
      <c r="T436" s="20">
        <f>COUNTIFS(tData[SEHTrajectPeriodeDatumTijdVan],"&lt;="&amp;($A436+16/24),tData[SEHTrajectPeriodeDatumTijdTotEnMet],"&gt;"&amp;($A436+16/24),tData[Langligger01],1)</f>
        <v/>
      </c>
      <c r="U436" s="20">
        <f>COUNTIFS(tData[SEHTrajectPeriodeDatumTijdVan],"&lt;="&amp;($A436+17/24),tData[SEHTrajectPeriodeDatumTijdTotEnMet],"&gt;"&amp;($A436+17/24),tData[Langligger01],1)</f>
        <v/>
      </c>
      <c r="V436" s="20">
        <f>COUNTIFS(tData[SEHTrajectPeriodeDatumTijdVan],"&lt;="&amp;($A436+18/24),tData[SEHTrajectPeriodeDatumTijdTotEnMet],"&gt;"&amp;($A436+18/24),tData[Langligger01],1)</f>
        <v/>
      </c>
      <c r="W436" s="20">
        <f>COUNTIFS(tData[SEHTrajectPeriodeDatumTijdVan],"&lt;="&amp;($A436+19/24),tData[SEHTrajectPeriodeDatumTijdTotEnMet],"&gt;"&amp;($A436+19/24),tData[Langligger01],1)</f>
        <v/>
      </c>
      <c r="X436" s="20">
        <f>COUNTIFS(tData[SEHTrajectPeriodeDatumTijdVan],"&lt;="&amp;($A436+20/24),tData[SEHTrajectPeriodeDatumTijdTotEnMet],"&gt;"&amp;($A436+20/24),tData[Langligger01],1)</f>
        <v/>
      </c>
      <c r="Y436" s="20">
        <f>COUNTIFS(tData[SEHTrajectPeriodeDatumTijdVan],"&lt;="&amp;($A436+21/24),tData[SEHTrajectPeriodeDatumTijdTotEnMet],"&gt;"&amp;($A436+21/24),tData[Langligger01],1)</f>
        <v/>
      </c>
      <c r="Z436" s="20">
        <f>COUNTIFS(tData[SEHTrajectPeriodeDatumTijdVan],"&lt;="&amp;($A436+22/24),tData[SEHTrajectPeriodeDatumTijdTotEnMet],"&gt;"&amp;($A436+22/24),tData[Langligger01],1)</f>
        <v/>
      </c>
      <c r="AA436" s="20">
        <f>COUNTIFS(tData[SEHTrajectPeriodeDatumTijdVan],"&lt;="&amp;($A436+23/24),tData[SEHTrajectPeriodeDatumTijdTotEnMet],"&gt;"&amp;($A436+23/24),tData[Langligger01],1)</f>
        <v/>
      </c>
    </row>
    <row r="437">
      <c r="A437" s="19" t="n">
        <v>45725</v>
      </c>
      <c r="B437" s="15">
        <f>WEEKDAY($A437,2)</f>
        <v/>
      </c>
      <c r="C437" s="15">
        <f>IF(AND($A437&gt;=INT(Instellingen!$B$5),$A437&lt;=INT(Instellingen!$B$6)),1,0)</f>
        <v/>
      </c>
      <c r="D437" s="20">
        <f>COUNTIFS(tData[SEHTrajectPeriodeDatumTijdVan],"&lt;="&amp;($A437+0/24),tData[SEHTrajectPeriodeDatumTijdTotEnMet],"&gt;"&amp;($A437+0/24),tData[Langligger01],1)</f>
        <v/>
      </c>
      <c r="E437" s="20">
        <f>COUNTIFS(tData[SEHTrajectPeriodeDatumTijdVan],"&lt;="&amp;($A437+1/24),tData[SEHTrajectPeriodeDatumTijdTotEnMet],"&gt;"&amp;($A437+1/24),tData[Langligger01],1)</f>
        <v/>
      </c>
      <c r="F437" s="20">
        <f>COUNTIFS(tData[SEHTrajectPeriodeDatumTijdVan],"&lt;="&amp;($A437+2/24),tData[SEHTrajectPeriodeDatumTijdTotEnMet],"&gt;"&amp;($A437+2/24),tData[Langligger01],1)</f>
        <v/>
      </c>
      <c r="G437" s="20">
        <f>COUNTIFS(tData[SEHTrajectPeriodeDatumTijdVan],"&lt;="&amp;($A437+3/24),tData[SEHTrajectPeriodeDatumTijdTotEnMet],"&gt;"&amp;($A437+3/24),tData[Langligger01],1)</f>
        <v/>
      </c>
      <c r="H437" s="20">
        <f>COUNTIFS(tData[SEHTrajectPeriodeDatumTijdVan],"&lt;="&amp;($A437+4/24),tData[SEHTrajectPeriodeDatumTijdTotEnMet],"&gt;"&amp;($A437+4/24),tData[Langligger01],1)</f>
        <v/>
      </c>
      <c r="I437" s="20">
        <f>COUNTIFS(tData[SEHTrajectPeriodeDatumTijdVan],"&lt;="&amp;($A437+5/24),tData[SEHTrajectPeriodeDatumTijdTotEnMet],"&gt;"&amp;($A437+5/24),tData[Langligger01],1)</f>
        <v/>
      </c>
      <c r="J437" s="20">
        <f>COUNTIFS(tData[SEHTrajectPeriodeDatumTijdVan],"&lt;="&amp;($A437+6/24),tData[SEHTrajectPeriodeDatumTijdTotEnMet],"&gt;"&amp;($A437+6/24),tData[Langligger01],1)</f>
        <v/>
      </c>
      <c r="K437" s="20">
        <f>COUNTIFS(tData[SEHTrajectPeriodeDatumTijdVan],"&lt;="&amp;($A437+7/24),tData[SEHTrajectPeriodeDatumTijdTotEnMet],"&gt;"&amp;($A437+7/24),tData[Langligger01],1)</f>
        <v/>
      </c>
      <c r="L437" s="20">
        <f>COUNTIFS(tData[SEHTrajectPeriodeDatumTijdVan],"&lt;="&amp;($A437+8/24),tData[SEHTrajectPeriodeDatumTijdTotEnMet],"&gt;"&amp;($A437+8/24),tData[Langligger01],1)</f>
        <v/>
      </c>
      <c r="M437" s="20">
        <f>COUNTIFS(tData[SEHTrajectPeriodeDatumTijdVan],"&lt;="&amp;($A437+9/24),tData[SEHTrajectPeriodeDatumTijdTotEnMet],"&gt;"&amp;($A437+9/24),tData[Langligger01],1)</f>
        <v/>
      </c>
      <c r="N437" s="20">
        <f>COUNTIFS(tData[SEHTrajectPeriodeDatumTijdVan],"&lt;="&amp;($A437+10/24),tData[SEHTrajectPeriodeDatumTijdTotEnMet],"&gt;"&amp;($A437+10/24),tData[Langligger01],1)</f>
        <v/>
      </c>
      <c r="O437" s="20">
        <f>COUNTIFS(tData[SEHTrajectPeriodeDatumTijdVan],"&lt;="&amp;($A437+11/24),tData[SEHTrajectPeriodeDatumTijdTotEnMet],"&gt;"&amp;($A437+11/24),tData[Langligger01],1)</f>
        <v/>
      </c>
      <c r="P437" s="20">
        <f>COUNTIFS(tData[SEHTrajectPeriodeDatumTijdVan],"&lt;="&amp;($A437+12/24),tData[SEHTrajectPeriodeDatumTijdTotEnMet],"&gt;"&amp;($A437+12/24),tData[Langligger01],1)</f>
        <v/>
      </c>
      <c r="Q437" s="20">
        <f>COUNTIFS(tData[SEHTrajectPeriodeDatumTijdVan],"&lt;="&amp;($A437+13/24),tData[SEHTrajectPeriodeDatumTijdTotEnMet],"&gt;"&amp;($A437+13/24),tData[Langligger01],1)</f>
        <v/>
      </c>
      <c r="R437" s="20">
        <f>COUNTIFS(tData[SEHTrajectPeriodeDatumTijdVan],"&lt;="&amp;($A437+14/24),tData[SEHTrajectPeriodeDatumTijdTotEnMet],"&gt;"&amp;($A437+14/24),tData[Langligger01],1)</f>
        <v/>
      </c>
      <c r="S437" s="20">
        <f>COUNTIFS(tData[SEHTrajectPeriodeDatumTijdVan],"&lt;="&amp;($A437+15/24),tData[SEHTrajectPeriodeDatumTijdTotEnMet],"&gt;"&amp;($A437+15/24),tData[Langligger01],1)</f>
        <v/>
      </c>
      <c r="T437" s="20">
        <f>COUNTIFS(tData[SEHTrajectPeriodeDatumTijdVan],"&lt;="&amp;($A437+16/24),tData[SEHTrajectPeriodeDatumTijdTotEnMet],"&gt;"&amp;($A437+16/24),tData[Langligger01],1)</f>
        <v/>
      </c>
      <c r="U437" s="20">
        <f>COUNTIFS(tData[SEHTrajectPeriodeDatumTijdVan],"&lt;="&amp;($A437+17/24),tData[SEHTrajectPeriodeDatumTijdTotEnMet],"&gt;"&amp;($A437+17/24),tData[Langligger01],1)</f>
        <v/>
      </c>
      <c r="V437" s="20">
        <f>COUNTIFS(tData[SEHTrajectPeriodeDatumTijdVan],"&lt;="&amp;($A437+18/24),tData[SEHTrajectPeriodeDatumTijdTotEnMet],"&gt;"&amp;($A437+18/24),tData[Langligger01],1)</f>
        <v/>
      </c>
      <c r="W437" s="20">
        <f>COUNTIFS(tData[SEHTrajectPeriodeDatumTijdVan],"&lt;="&amp;($A437+19/24),tData[SEHTrajectPeriodeDatumTijdTotEnMet],"&gt;"&amp;($A437+19/24),tData[Langligger01],1)</f>
        <v/>
      </c>
      <c r="X437" s="20">
        <f>COUNTIFS(tData[SEHTrajectPeriodeDatumTijdVan],"&lt;="&amp;($A437+20/24),tData[SEHTrajectPeriodeDatumTijdTotEnMet],"&gt;"&amp;($A437+20/24),tData[Langligger01],1)</f>
        <v/>
      </c>
      <c r="Y437" s="20">
        <f>COUNTIFS(tData[SEHTrajectPeriodeDatumTijdVan],"&lt;="&amp;($A437+21/24),tData[SEHTrajectPeriodeDatumTijdTotEnMet],"&gt;"&amp;($A437+21/24),tData[Langligger01],1)</f>
        <v/>
      </c>
      <c r="Z437" s="20">
        <f>COUNTIFS(tData[SEHTrajectPeriodeDatumTijdVan],"&lt;="&amp;($A437+22/24),tData[SEHTrajectPeriodeDatumTijdTotEnMet],"&gt;"&amp;($A437+22/24),tData[Langligger01],1)</f>
        <v/>
      </c>
      <c r="AA437" s="20">
        <f>COUNTIFS(tData[SEHTrajectPeriodeDatumTijdVan],"&lt;="&amp;($A437+23/24),tData[SEHTrajectPeriodeDatumTijdTotEnMet],"&gt;"&amp;($A437+23/24),tData[Langligger01],1)</f>
        <v/>
      </c>
    </row>
    <row r="438">
      <c r="A438" s="19" t="n">
        <v>45726</v>
      </c>
      <c r="B438" s="15">
        <f>WEEKDAY($A438,2)</f>
        <v/>
      </c>
      <c r="C438" s="15">
        <f>IF(AND($A438&gt;=INT(Instellingen!$B$5),$A438&lt;=INT(Instellingen!$B$6)),1,0)</f>
        <v/>
      </c>
      <c r="D438" s="20">
        <f>COUNTIFS(tData[SEHTrajectPeriodeDatumTijdVan],"&lt;="&amp;($A438+0/24),tData[SEHTrajectPeriodeDatumTijdTotEnMet],"&gt;"&amp;($A438+0/24),tData[Langligger01],1)</f>
        <v/>
      </c>
      <c r="E438" s="20">
        <f>COUNTIFS(tData[SEHTrajectPeriodeDatumTijdVan],"&lt;="&amp;($A438+1/24),tData[SEHTrajectPeriodeDatumTijdTotEnMet],"&gt;"&amp;($A438+1/24),tData[Langligger01],1)</f>
        <v/>
      </c>
      <c r="F438" s="20">
        <f>COUNTIFS(tData[SEHTrajectPeriodeDatumTijdVan],"&lt;="&amp;($A438+2/24),tData[SEHTrajectPeriodeDatumTijdTotEnMet],"&gt;"&amp;($A438+2/24),tData[Langligger01],1)</f>
        <v/>
      </c>
      <c r="G438" s="20">
        <f>COUNTIFS(tData[SEHTrajectPeriodeDatumTijdVan],"&lt;="&amp;($A438+3/24),tData[SEHTrajectPeriodeDatumTijdTotEnMet],"&gt;"&amp;($A438+3/24),tData[Langligger01],1)</f>
        <v/>
      </c>
      <c r="H438" s="20">
        <f>COUNTIFS(tData[SEHTrajectPeriodeDatumTijdVan],"&lt;="&amp;($A438+4/24),tData[SEHTrajectPeriodeDatumTijdTotEnMet],"&gt;"&amp;($A438+4/24),tData[Langligger01],1)</f>
        <v/>
      </c>
      <c r="I438" s="20">
        <f>COUNTIFS(tData[SEHTrajectPeriodeDatumTijdVan],"&lt;="&amp;($A438+5/24),tData[SEHTrajectPeriodeDatumTijdTotEnMet],"&gt;"&amp;($A438+5/24),tData[Langligger01],1)</f>
        <v/>
      </c>
      <c r="J438" s="20">
        <f>COUNTIFS(tData[SEHTrajectPeriodeDatumTijdVan],"&lt;="&amp;($A438+6/24),tData[SEHTrajectPeriodeDatumTijdTotEnMet],"&gt;"&amp;($A438+6/24),tData[Langligger01],1)</f>
        <v/>
      </c>
      <c r="K438" s="20">
        <f>COUNTIFS(tData[SEHTrajectPeriodeDatumTijdVan],"&lt;="&amp;($A438+7/24),tData[SEHTrajectPeriodeDatumTijdTotEnMet],"&gt;"&amp;($A438+7/24),tData[Langligger01],1)</f>
        <v/>
      </c>
      <c r="L438" s="20">
        <f>COUNTIFS(tData[SEHTrajectPeriodeDatumTijdVan],"&lt;="&amp;($A438+8/24),tData[SEHTrajectPeriodeDatumTijdTotEnMet],"&gt;"&amp;($A438+8/24),tData[Langligger01],1)</f>
        <v/>
      </c>
      <c r="M438" s="20">
        <f>COUNTIFS(tData[SEHTrajectPeriodeDatumTijdVan],"&lt;="&amp;($A438+9/24),tData[SEHTrajectPeriodeDatumTijdTotEnMet],"&gt;"&amp;($A438+9/24),tData[Langligger01],1)</f>
        <v/>
      </c>
      <c r="N438" s="20">
        <f>COUNTIFS(tData[SEHTrajectPeriodeDatumTijdVan],"&lt;="&amp;($A438+10/24),tData[SEHTrajectPeriodeDatumTijdTotEnMet],"&gt;"&amp;($A438+10/24),tData[Langligger01],1)</f>
        <v/>
      </c>
      <c r="O438" s="20">
        <f>COUNTIFS(tData[SEHTrajectPeriodeDatumTijdVan],"&lt;="&amp;($A438+11/24),tData[SEHTrajectPeriodeDatumTijdTotEnMet],"&gt;"&amp;($A438+11/24),tData[Langligger01],1)</f>
        <v/>
      </c>
      <c r="P438" s="20">
        <f>COUNTIFS(tData[SEHTrajectPeriodeDatumTijdVan],"&lt;="&amp;($A438+12/24),tData[SEHTrajectPeriodeDatumTijdTotEnMet],"&gt;"&amp;($A438+12/24),tData[Langligger01],1)</f>
        <v/>
      </c>
      <c r="Q438" s="20">
        <f>COUNTIFS(tData[SEHTrajectPeriodeDatumTijdVan],"&lt;="&amp;($A438+13/24),tData[SEHTrajectPeriodeDatumTijdTotEnMet],"&gt;"&amp;($A438+13/24),tData[Langligger01],1)</f>
        <v/>
      </c>
      <c r="R438" s="20">
        <f>COUNTIFS(tData[SEHTrajectPeriodeDatumTijdVan],"&lt;="&amp;($A438+14/24),tData[SEHTrajectPeriodeDatumTijdTotEnMet],"&gt;"&amp;($A438+14/24),tData[Langligger01],1)</f>
        <v/>
      </c>
      <c r="S438" s="20">
        <f>COUNTIFS(tData[SEHTrajectPeriodeDatumTijdVan],"&lt;="&amp;($A438+15/24),tData[SEHTrajectPeriodeDatumTijdTotEnMet],"&gt;"&amp;($A438+15/24),tData[Langligger01],1)</f>
        <v/>
      </c>
      <c r="T438" s="20">
        <f>COUNTIFS(tData[SEHTrajectPeriodeDatumTijdVan],"&lt;="&amp;($A438+16/24),tData[SEHTrajectPeriodeDatumTijdTotEnMet],"&gt;"&amp;($A438+16/24),tData[Langligger01],1)</f>
        <v/>
      </c>
      <c r="U438" s="20">
        <f>COUNTIFS(tData[SEHTrajectPeriodeDatumTijdVan],"&lt;="&amp;($A438+17/24),tData[SEHTrajectPeriodeDatumTijdTotEnMet],"&gt;"&amp;($A438+17/24),tData[Langligger01],1)</f>
        <v/>
      </c>
      <c r="V438" s="20">
        <f>COUNTIFS(tData[SEHTrajectPeriodeDatumTijdVan],"&lt;="&amp;($A438+18/24),tData[SEHTrajectPeriodeDatumTijdTotEnMet],"&gt;"&amp;($A438+18/24),tData[Langligger01],1)</f>
        <v/>
      </c>
      <c r="W438" s="20">
        <f>COUNTIFS(tData[SEHTrajectPeriodeDatumTijdVan],"&lt;="&amp;($A438+19/24),tData[SEHTrajectPeriodeDatumTijdTotEnMet],"&gt;"&amp;($A438+19/24),tData[Langligger01],1)</f>
        <v/>
      </c>
      <c r="X438" s="20">
        <f>COUNTIFS(tData[SEHTrajectPeriodeDatumTijdVan],"&lt;="&amp;($A438+20/24),tData[SEHTrajectPeriodeDatumTijdTotEnMet],"&gt;"&amp;($A438+20/24),tData[Langligger01],1)</f>
        <v/>
      </c>
      <c r="Y438" s="20">
        <f>COUNTIFS(tData[SEHTrajectPeriodeDatumTijdVan],"&lt;="&amp;($A438+21/24),tData[SEHTrajectPeriodeDatumTijdTotEnMet],"&gt;"&amp;($A438+21/24),tData[Langligger01],1)</f>
        <v/>
      </c>
      <c r="Z438" s="20">
        <f>COUNTIFS(tData[SEHTrajectPeriodeDatumTijdVan],"&lt;="&amp;($A438+22/24),tData[SEHTrajectPeriodeDatumTijdTotEnMet],"&gt;"&amp;($A438+22/24),tData[Langligger01],1)</f>
        <v/>
      </c>
      <c r="AA438" s="20">
        <f>COUNTIFS(tData[SEHTrajectPeriodeDatumTijdVan],"&lt;="&amp;($A438+23/24),tData[SEHTrajectPeriodeDatumTijdTotEnMet],"&gt;"&amp;($A438+23/24),tData[Langligger01],1)</f>
        <v/>
      </c>
    </row>
    <row r="439">
      <c r="A439" s="19" t="n">
        <v>45727</v>
      </c>
      <c r="B439" s="15">
        <f>WEEKDAY($A439,2)</f>
        <v/>
      </c>
      <c r="C439" s="15">
        <f>IF(AND($A439&gt;=INT(Instellingen!$B$5),$A439&lt;=INT(Instellingen!$B$6)),1,0)</f>
        <v/>
      </c>
      <c r="D439" s="20">
        <f>COUNTIFS(tData[SEHTrajectPeriodeDatumTijdVan],"&lt;="&amp;($A439+0/24),tData[SEHTrajectPeriodeDatumTijdTotEnMet],"&gt;"&amp;($A439+0/24),tData[Langligger01],1)</f>
        <v/>
      </c>
      <c r="E439" s="20">
        <f>COUNTIFS(tData[SEHTrajectPeriodeDatumTijdVan],"&lt;="&amp;($A439+1/24),tData[SEHTrajectPeriodeDatumTijdTotEnMet],"&gt;"&amp;($A439+1/24),tData[Langligger01],1)</f>
        <v/>
      </c>
      <c r="F439" s="20">
        <f>COUNTIFS(tData[SEHTrajectPeriodeDatumTijdVan],"&lt;="&amp;($A439+2/24),tData[SEHTrajectPeriodeDatumTijdTotEnMet],"&gt;"&amp;($A439+2/24),tData[Langligger01],1)</f>
        <v/>
      </c>
      <c r="G439" s="20">
        <f>COUNTIFS(tData[SEHTrajectPeriodeDatumTijdVan],"&lt;="&amp;($A439+3/24),tData[SEHTrajectPeriodeDatumTijdTotEnMet],"&gt;"&amp;($A439+3/24),tData[Langligger01],1)</f>
        <v/>
      </c>
      <c r="H439" s="20">
        <f>COUNTIFS(tData[SEHTrajectPeriodeDatumTijdVan],"&lt;="&amp;($A439+4/24),tData[SEHTrajectPeriodeDatumTijdTotEnMet],"&gt;"&amp;($A439+4/24),tData[Langligger01],1)</f>
        <v/>
      </c>
      <c r="I439" s="20">
        <f>COUNTIFS(tData[SEHTrajectPeriodeDatumTijdVan],"&lt;="&amp;($A439+5/24),tData[SEHTrajectPeriodeDatumTijdTotEnMet],"&gt;"&amp;($A439+5/24),tData[Langligger01],1)</f>
        <v/>
      </c>
      <c r="J439" s="20">
        <f>COUNTIFS(tData[SEHTrajectPeriodeDatumTijdVan],"&lt;="&amp;($A439+6/24),tData[SEHTrajectPeriodeDatumTijdTotEnMet],"&gt;"&amp;($A439+6/24),tData[Langligger01],1)</f>
        <v/>
      </c>
      <c r="K439" s="20">
        <f>COUNTIFS(tData[SEHTrajectPeriodeDatumTijdVan],"&lt;="&amp;($A439+7/24),tData[SEHTrajectPeriodeDatumTijdTotEnMet],"&gt;"&amp;($A439+7/24),tData[Langligger01],1)</f>
        <v/>
      </c>
      <c r="L439" s="20">
        <f>COUNTIFS(tData[SEHTrajectPeriodeDatumTijdVan],"&lt;="&amp;($A439+8/24),tData[SEHTrajectPeriodeDatumTijdTotEnMet],"&gt;"&amp;($A439+8/24),tData[Langligger01],1)</f>
        <v/>
      </c>
      <c r="M439" s="20">
        <f>COUNTIFS(tData[SEHTrajectPeriodeDatumTijdVan],"&lt;="&amp;($A439+9/24),tData[SEHTrajectPeriodeDatumTijdTotEnMet],"&gt;"&amp;($A439+9/24),tData[Langligger01],1)</f>
        <v/>
      </c>
      <c r="N439" s="20">
        <f>COUNTIFS(tData[SEHTrajectPeriodeDatumTijdVan],"&lt;="&amp;($A439+10/24),tData[SEHTrajectPeriodeDatumTijdTotEnMet],"&gt;"&amp;($A439+10/24),tData[Langligger01],1)</f>
        <v/>
      </c>
      <c r="O439" s="20">
        <f>COUNTIFS(tData[SEHTrajectPeriodeDatumTijdVan],"&lt;="&amp;($A439+11/24),tData[SEHTrajectPeriodeDatumTijdTotEnMet],"&gt;"&amp;($A439+11/24),tData[Langligger01],1)</f>
        <v/>
      </c>
      <c r="P439" s="20">
        <f>COUNTIFS(tData[SEHTrajectPeriodeDatumTijdVan],"&lt;="&amp;($A439+12/24),tData[SEHTrajectPeriodeDatumTijdTotEnMet],"&gt;"&amp;($A439+12/24),tData[Langligger01],1)</f>
        <v/>
      </c>
      <c r="Q439" s="20">
        <f>COUNTIFS(tData[SEHTrajectPeriodeDatumTijdVan],"&lt;="&amp;($A439+13/24),tData[SEHTrajectPeriodeDatumTijdTotEnMet],"&gt;"&amp;($A439+13/24),tData[Langligger01],1)</f>
        <v/>
      </c>
      <c r="R439" s="20">
        <f>COUNTIFS(tData[SEHTrajectPeriodeDatumTijdVan],"&lt;="&amp;($A439+14/24),tData[SEHTrajectPeriodeDatumTijdTotEnMet],"&gt;"&amp;($A439+14/24),tData[Langligger01],1)</f>
        <v/>
      </c>
      <c r="S439" s="20">
        <f>COUNTIFS(tData[SEHTrajectPeriodeDatumTijdVan],"&lt;="&amp;($A439+15/24),tData[SEHTrajectPeriodeDatumTijdTotEnMet],"&gt;"&amp;($A439+15/24),tData[Langligger01],1)</f>
        <v/>
      </c>
      <c r="T439" s="20">
        <f>COUNTIFS(tData[SEHTrajectPeriodeDatumTijdVan],"&lt;="&amp;($A439+16/24),tData[SEHTrajectPeriodeDatumTijdTotEnMet],"&gt;"&amp;($A439+16/24),tData[Langligger01],1)</f>
        <v/>
      </c>
      <c r="U439" s="20">
        <f>COUNTIFS(tData[SEHTrajectPeriodeDatumTijdVan],"&lt;="&amp;($A439+17/24),tData[SEHTrajectPeriodeDatumTijdTotEnMet],"&gt;"&amp;($A439+17/24),tData[Langligger01],1)</f>
        <v/>
      </c>
      <c r="V439" s="20">
        <f>COUNTIFS(tData[SEHTrajectPeriodeDatumTijdVan],"&lt;="&amp;($A439+18/24),tData[SEHTrajectPeriodeDatumTijdTotEnMet],"&gt;"&amp;($A439+18/24),tData[Langligger01],1)</f>
        <v/>
      </c>
      <c r="W439" s="20">
        <f>COUNTIFS(tData[SEHTrajectPeriodeDatumTijdVan],"&lt;="&amp;($A439+19/24),tData[SEHTrajectPeriodeDatumTijdTotEnMet],"&gt;"&amp;($A439+19/24),tData[Langligger01],1)</f>
        <v/>
      </c>
      <c r="X439" s="20">
        <f>COUNTIFS(tData[SEHTrajectPeriodeDatumTijdVan],"&lt;="&amp;($A439+20/24),tData[SEHTrajectPeriodeDatumTijdTotEnMet],"&gt;"&amp;($A439+20/24),tData[Langligger01],1)</f>
        <v/>
      </c>
      <c r="Y439" s="20">
        <f>COUNTIFS(tData[SEHTrajectPeriodeDatumTijdVan],"&lt;="&amp;($A439+21/24),tData[SEHTrajectPeriodeDatumTijdTotEnMet],"&gt;"&amp;($A439+21/24),tData[Langligger01],1)</f>
        <v/>
      </c>
      <c r="Z439" s="20">
        <f>COUNTIFS(tData[SEHTrajectPeriodeDatumTijdVan],"&lt;="&amp;($A439+22/24),tData[SEHTrajectPeriodeDatumTijdTotEnMet],"&gt;"&amp;($A439+22/24),tData[Langligger01],1)</f>
        <v/>
      </c>
      <c r="AA439" s="20">
        <f>COUNTIFS(tData[SEHTrajectPeriodeDatumTijdVan],"&lt;="&amp;($A439+23/24),tData[SEHTrajectPeriodeDatumTijdTotEnMet],"&gt;"&amp;($A439+23/24),tData[Langligger01],1)</f>
        <v/>
      </c>
    </row>
    <row r="440">
      <c r="A440" s="19" t="n">
        <v>45728</v>
      </c>
      <c r="B440" s="15">
        <f>WEEKDAY($A440,2)</f>
        <v/>
      </c>
      <c r="C440" s="15">
        <f>IF(AND($A440&gt;=INT(Instellingen!$B$5),$A440&lt;=INT(Instellingen!$B$6)),1,0)</f>
        <v/>
      </c>
      <c r="D440" s="20">
        <f>COUNTIFS(tData[SEHTrajectPeriodeDatumTijdVan],"&lt;="&amp;($A440+0/24),tData[SEHTrajectPeriodeDatumTijdTotEnMet],"&gt;"&amp;($A440+0/24),tData[Langligger01],1)</f>
        <v/>
      </c>
      <c r="E440" s="20">
        <f>COUNTIFS(tData[SEHTrajectPeriodeDatumTijdVan],"&lt;="&amp;($A440+1/24),tData[SEHTrajectPeriodeDatumTijdTotEnMet],"&gt;"&amp;($A440+1/24),tData[Langligger01],1)</f>
        <v/>
      </c>
      <c r="F440" s="20">
        <f>COUNTIFS(tData[SEHTrajectPeriodeDatumTijdVan],"&lt;="&amp;($A440+2/24),tData[SEHTrajectPeriodeDatumTijdTotEnMet],"&gt;"&amp;($A440+2/24),tData[Langligger01],1)</f>
        <v/>
      </c>
      <c r="G440" s="20">
        <f>COUNTIFS(tData[SEHTrajectPeriodeDatumTijdVan],"&lt;="&amp;($A440+3/24),tData[SEHTrajectPeriodeDatumTijdTotEnMet],"&gt;"&amp;($A440+3/24),tData[Langligger01],1)</f>
        <v/>
      </c>
      <c r="H440" s="20">
        <f>COUNTIFS(tData[SEHTrajectPeriodeDatumTijdVan],"&lt;="&amp;($A440+4/24),tData[SEHTrajectPeriodeDatumTijdTotEnMet],"&gt;"&amp;($A440+4/24),tData[Langligger01],1)</f>
        <v/>
      </c>
      <c r="I440" s="20">
        <f>COUNTIFS(tData[SEHTrajectPeriodeDatumTijdVan],"&lt;="&amp;($A440+5/24),tData[SEHTrajectPeriodeDatumTijdTotEnMet],"&gt;"&amp;($A440+5/24),tData[Langligger01],1)</f>
        <v/>
      </c>
      <c r="J440" s="20">
        <f>COUNTIFS(tData[SEHTrajectPeriodeDatumTijdVan],"&lt;="&amp;($A440+6/24),tData[SEHTrajectPeriodeDatumTijdTotEnMet],"&gt;"&amp;($A440+6/24),tData[Langligger01],1)</f>
        <v/>
      </c>
      <c r="K440" s="20">
        <f>COUNTIFS(tData[SEHTrajectPeriodeDatumTijdVan],"&lt;="&amp;($A440+7/24),tData[SEHTrajectPeriodeDatumTijdTotEnMet],"&gt;"&amp;($A440+7/24),tData[Langligger01],1)</f>
        <v/>
      </c>
      <c r="L440" s="20">
        <f>COUNTIFS(tData[SEHTrajectPeriodeDatumTijdVan],"&lt;="&amp;($A440+8/24),tData[SEHTrajectPeriodeDatumTijdTotEnMet],"&gt;"&amp;($A440+8/24),tData[Langligger01],1)</f>
        <v/>
      </c>
      <c r="M440" s="20">
        <f>COUNTIFS(tData[SEHTrajectPeriodeDatumTijdVan],"&lt;="&amp;($A440+9/24),tData[SEHTrajectPeriodeDatumTijdTotEnMet],"&gt;"&amp;($A440+9/24),tData[Langligger01],1)</f>
        <v/>
      </c>
      <c r="N440" s="20">
        <f>COUNTIFS(tData[SEHTrajectPeriodeDatumTijdVan],"&lt;="&amp;($A440+10/24),tData[SEHTrajectPeriodeDatumTijdTotEnMet],"&gt;"&amp;($A440+10/24),tData[Langligger01],1)</f>
        <v/>
      </c>
      <c r="O440" s="20">
        <f>COUNTIFS(tData[SEHTrajectPeriodeDatumTijdVan],"&lt;="&amp;($A440+11/24),tData[SEHTrajectPeriodeDatumTijdTotEnMet],"&gt;"&amp;($A440+11/24),tData[Langligger01],1)</f>
        <v/>
      </c>
      <c r="P440" s="20">
        <f>COUNTIFS(tData[SEHTrajectPeriodeDatumTijdVan],"&lt;="&amp;($A440+12/24),tData[SEHTrajectPeriodeDatumTijdTotEnMet],"&gt;"&amp;($A440+12/24),tData[Langligger01],1)</f>
        <v/>
      </c>
      <c r="Q440" s="20">
        <f>COUNTIFS(tData[SEHTrajectPeriodeDatumTijdVan],"&lt;="&amp;($A440+13/24),tData[SEHTrajectPeriodeDatumTijdTotEnMet],"&gt;"&amp;($A440+13/24),tData[Langligger01],1)</f>
        <v/>
      </c>
      <c r="R440" s="20">
        <f>COUNTIFS(tData[SEHTrajectPeriodeDatumTijdVan],"&lt;="&amp;($A440+14/24),tData[SEHTrajectPeriodeDatumTijdTotEnMet],"&gt;"&amp;($A440+14/24),tData[Langligger01],1)</f>
        <v/>
      </c>
      <c r="S440" s="20">
        <f>COUNTIFS(tData[SEHTrajectPeriodeDatumTijdVan],"&lt;="&amp;($A440+15/24),tData[SEHTrajectPeriodeDatumTijdTotEnMet],"&gt;"&amp;($A440+15/24),tData[Langligger01],1)</f>
        <v/>
      </c>
      <c r="T440" s="20">
        <f>COUNTIFS(tData[SEHTrajectPeriodeDatumTijdVan],"&lt;="&amp;($A440+16/24),tData[SEHTrajectPeriodeDatumTijdTotEnMet],"&gt;"&amp;($A440+16/24),tData[Langligger01],1)</f>
        <v/>
      </c>
      <c r="U440" s="20">
        <f>COUNTIFS(tData[SEHTrajectPeriodeDatumTijdVan],"&lt;="&amp;($A440+17/24),tData[SEHTrajectPeriodeDatumTijdTotEnMet],"&gt;"&amp;($A440+17/24),tData[Langligger01],1)</f>
        <v/>
      </c>
      <c r="V440" s="20">
        <f>COUNTIFS(tData[SEHTrajectPeriodeDatumTijdVan],"&lt;="&amp;($A440+18/24),tData[SEHTrajectPeriodeDatumTijdTotEnMet],"&gt;"&amp;($A440+18/24),tData[Langligger01],1)</f>
        <v/>
      </c>
      <c r="W440" s="20">
        <f>COUNTIFS(tData[SEHTrajectPeriodeDatumTijdVan],"&lt;="&amp;($A440+19/24),tData[SEHTrajectPeriodeDatumTijdTotEnMet],"&gt;"&amp;($A440+19/24),tData[Langligger01],1)</f>
        <v/>
      </c>
      <c r="X440" s="20">
        <f>COUNTIFS(tData[SEHTrajectPeriodeDatumTijdVan],"&lt;="&amp;($A440+20/24),tData[SEHTrajectPeriodeDatumTijdTotEnMet],"&gt;"&amp;($A440+20/24),tData[Langligger01],1)</f>
        <v/>
      </c>
      <c r="Y440" s="20">
        <f>COUNTIFS(tData[SEHTrajectPeriodeDatumTijdVan],"&lt;="&amp;($A440+21/24),tData[SEHTrajectPeriodeDatumTijdTotEnMet],"&gt;"&amp;($A440+21/24),tData[Langligger01],1)</f>
        <v/>
      </c>
      <c r="Z440" s="20">
        <f>COUNTIFS(tData[SEHTrajectPeriodeDatumTijdVan],"&lt;="&amp;($A440+22/24),tData[SEHTrajectPeriodeDatumTijdTotEnMet],"&gt;"&amp;($A440+22/24),tData[Langligger01],1)</f>
        <v/>
      </c>
      <c r="AA440" s="20">
        <f>COUNTIFS(tData[SEHTrajectPeriodeDatumTijdVan],"&lt;="&amp;($A440+23/24),tData[SEHTrajectPeriodeDatumTijdTotEnMet],"&gt;"&amp;($A440+23/24),tData[Langligger01],1)</f>
        <v/>
      </c>
    </row>
    <row r="441">
      <c r="A441" s="19" t="n">
        <v>45729</v>
      </c>
      <c r="B441" s="15">
        <f>WEEKDAY($A441,2)</f>
        <v/>
      </c>
      <c r="C441" s="15">
        <f>IF(AND($A441&gt;=INT(Instellingen!$B$5),$A441&lt;=INT(Instellingen!$B$6)),1,0)</f>
        <v/>
      </c>
      <c r="D441" s="20">
        <f>COUNTIFS(tData[SEHTrajectPeriodeDatumTijdVan],"&lt;="&amp;($A441+0/24),tData[SEHTrajectPeriodeDatumTijdTotEnMet],"&gt;"&amp;($A441+0/24),tData[Langligger01],1)</f>
        <v/>
      </c>
      <c r="E441" s="20">
        <f>COUNTIFS(tData[SEHTrajectPeriodeDatumTijdVan],"&lt;="&amp;($A441+1/24),tData[SEHTrajectPeriodeDatumTijdTotEnMet],"&gt;"&amp;($A441+1/24),tData[Langligger01],1)</f>
        <v/>
      </c>
      <c r="F441" s="20">
        <f>COUNTIFS(tData[SEHTrajectPeriodeDatumTijdVan],"&lt;="&amp;($A441+2/24),tData[SEHTrajectPeriodeDatumTijdTotEnMet],"&gt;"&amp;($A441+2/24),tData[Langligger01],1)</f>
        <v/>
      </c>
      <c r="G441" s="20">
        <f>COUNTIFS(tData[SEHTrajectPeriodeDatumTijdVan],"&lt;="&amp;($A441+3/24),tData[SEHTrajectPeriodeDatumTijdTotEnMet],"&gt;"&amp;($A441+3/24),tData[Langligger01],1)</f>
        <v/>
      </c>
      <c r="H441" s="20">
        <f>COUNTIFS(tData[SEHTrajectPeriodeDatumTijdVan],"&lt;="&amp;($A441+4/24),tData[SEHTrajectPeriodeDatumTijdTotEnMet],"&gt;"&amp;($A441+4/24),tData[Langligger01],1)</f>
        <v/>
      </c>
      <c r="I441" s="20">
        <f>COUNTIFS(tData[SEHTrajectPeriodeDatumTijdVan],"&lt;="&amp;($A441+5/24),tData[SEHTrajectPeriodeDatumTijdTotEnMet],"&gt;"&amp;($A441+5/24),tData[Langligger01],1)</f>
        <v/>
      </c>
      <c r="J441" s="20">
        <f>COUNTIFS(tData[SEHTrajectPeriodeDatumTijdVan],"&lt;="&amp;($A441+6/24),tData[SEHTrajectPeriodeDatumTijdTotEnMet],"&gt;"&amp;($A441+6/24),tData[Langligger01],1)</f>
        <v/>
      </c>
      <c r="K441" s="20">
        <f>COUNTIFS(tData[SEHTrajectPeriodeDatumTijdVan],"&lt;="&amp;($A441+7/24),tData[SEHTrajectPeriodeDatumTijdTotEnMet],"&gt;"&amp;($A441+7/24),tData[Langligger01],1)</f>
        <v/>
      </c>
      <c r="L441" s="20">
        <f>COUNTIFS(tData[SEHTrajectPeriodeDatumTijdVan],"&lt;="&amp;($A441+8/24),tData[SEHTrajectPeriodeDatumTijdTotEnMet],"&gt;"&amp;($A441+8/24),tData[Langligger01],1)</f>
        <v/>
      </c>
      <c r="M441" s="20">
        <f>COUNTIFS(tData[SEHTrajectPeriodeDatumTijdVan],"&lt;="&amp;($A441+9/24),tData[SEHTrajectPeriodeDatumTijdTotEnMet],"&gt;"&amp;($A441+9/24),tData[Langligger01],1)</f>
        <v/>
      </c>
      <c r="N441" s="20">
        <f>COUNTIFS(tData[SEHTrajectPeriodeDatumTijdVan],"&lt;="&amp;($A441+10/24),tData[SEHTrajectPeriodeDatumTijdTotEnMet],"&gt;"&amp;($A441+10/24),tData[Langligger01],1)</f>
        <v/>
      </c>
      <c r="O441" s="20">
        <f>COUNTIFS(tData[SEHTrajectPeriodeDatumTijdVan],"&lt;="&amp;($A441+11/24),tData[SEHTrajectPeriodeDatumTijdTotEnMet],"&gt;"&amp;($A441+11/24),tData[Langligger01],1)</f>
        <v/>
      </c>
      <c r="P441" s="20">
        <f>COUNTIFS(tData[SEHTrajectPeriodeDatumTijdVan],"&lt;="&amp;($A441+12/24),tData[SEHTrajectPeriodeDatumTijdTotEnMet],"&gt;"&amp;($A441+12/24),tData[Langligger01],1)</f>
        <v/>
      </c>
      <c r="Q441" s="20">
        <f>COUNTIFS(tData[SEHTrajectPeriodeDatumTijdVan],"&lt;="&amp;($A441+13/24),tData[SEHTrajectPeriodeDatumTijdTotEnMet],"&gt;"&amp;($A441+13/24),tData[Langligger01],1)</f>
        <v/>
      </c>
      <c r="R441" s="20">
        <f>COUNTIFS(tData[SEHTrajectPeriodeDatumTijdVan],"&lt;="&amp;($A441+14/24),tData[SEHTrajectPeriodeDatumTijdTotEnMet],"&gt;"&amp;($A441+14/24),tData[Langligger01],1)</f>
        <v/>
      </c>
      <c r="S441" s="20">
        <f>COUNTIFS(tData[SEHTrajectPeriodeDatumTijdVan],"&lt;="&amp;($A441+15/24),tData[SEHTrajectPeriodeDatumTijdTotEnMet],"&gt;"&amp;($A441+15/24),tData[Langligger01],1)</f>
        <v/>
      </c>
      <c r="T441" s="20">
        <f>COUNTIFS(tData[SEHTrajectPeriodeDatumTijdVan],"&lt;="&amp;($A441+16/24),tData[SEHTrajectPeriodeDatumTijdTotEnMet],"&gt;"&amp;($A441+16/24),tData[Langligger01],1)</f>
        <v/>
      </c>
      <c r="U441" s="20">
        <f>COUNTIFS(tData[SEHTrajectPeriodeDatumTijdVan],"&lt;="&amp;($A441+17/24),tData[SEHTrajectPeriodeDatumTijdTotEnMet],"&gt;"&amp;($A441+17/24),tData[Langligger01],1)</f>
        <v/>
      </c>
      <c r="V441" s="20">
        <f>COUNTIFS(tData[SEHTrajectPeriodeDatumTijdVan],"&lt;="&amp;($A441+18/24),tData[SEHTrajectPeriodeDatumTijdTotEnMet],"&gt;"&amp;($A441+18/24),tData[Langligger01],1)</f>
        <v/>
      </c>
      <c r="W441" s="20">
        <f>COUNTIFS(tData[SEHTrajectPeriodeDatumTijdVan],"&lt;="&amp;($A441+19/24),tData[SEHTrajectPeriodeDatumTijdTotEnMet],"&gt;"&amp;($A441+19/24),tData[Langligger01],1)</f>
        <v/>
      </c>
      <c r="X441" s="20">
        <f>COUNTIFS(tData[SEHTrajectPeriodeDatumTijdVan],"&lt;="&amp;($A441+20/24),tData[SEHTrajectPeriodeDatumTijdTotEnMet],"&gt;"&amp;($A441+20/24),tData[Langligger01],1)</f>
        <v/>
      </c>
      <c r="Y441" s="20">
        <f>COUNTIFS(tData[SEHTrajectPeriodeDatumTijdVan],"&lt;="&amp;($A441+21/24),tData[SEHTrajectPeriodeDatumTijdTotEnMet],"&gt;"&amp;($A441+21/24),tData[Langligger01],1)</f>
        <v/>
      </c>
      <c r="Z441" s="20">
        <f>COUNTIFS(tData[SEHTrajectPeriodeDatumTijdVan],"&lt;="&amp;($A441+22/24),tData[SEHTrajectPeriodeDatumTijdTotEnMet],"&gt;"&amp;($A441+22/24),tData[Langligger01],1)</f>
        <v/>
      </c>
      <c r="AA441" s="20">
        <f>COUNTIFS(tData[SEHTrajectPeriodeDatumTijdVan],"&lt;="&amp;($A441+23/24),tData[SEHTrajectPeriodeDatumTijdTotEnMet],"&gt;"&amp;($A441+23/24),tData[Langligger01],1)</f>
        <v/>
      </c>
    </row>
    <row r="442">
      <c r="A442" s="19" t="n">
        <v>45730</v>
      </c>
      <c r="B442" s="15">
        <f>WEEKDAY($A442,2)</f>
        <v/>
      </c>
      <c r="C442" s="15">
        <f>IF(AND($A442&gt;=INT(Instellingen!$B$5),$A442&lt;=INT(Instellingen!$B$6)),1,0)</f>
        <v/>
      </c>
      <c r="D442" s="20">
        <f>COUNTIFS(tData[SEHTrajectPeriodeDatumTijdVan],"&lt;="&amp;($A442+0/24),tData[SEHTrajectPeriodeDatumTijdTotEnMet],"&gt;"&amp;($A442+0/24),tData[Langligger01],1)</f>
        <v/>
      </c>
      <c r="E442" s="20">
        <f>COUNTIFS(tData[SEHTrajectPeriodeDatumTijdVan],"&lt;="&amp;($A442+1/24),tData[SEHTrajectPeriodeDatumTijdTotEnMet],"&gt;"&amp;($A442+1/24),tData[Langligger01],1)</f>
        <v/>
      </c>
      <c r="F442" s="20">
        <f>COUNTIFS(tData[SEHTrajectPeriodeDatumTijdVan],"&lt;="&amp;($A442+2/24),tData[SEHTrajectPeriodeDatumTijdTotEnMet],"&gt;"&amp;($A442+2/24),tData[Langligger01],1)</f>
        <v/>
      </c>
      <c r="G442" s="20">
        <f>COUNTIFS(tData[SEHTrajectPeriodeDatumTijdVan],"&lt;="&amp;($A442+3/24),tData[SEHTrajectPeriodeDatumTijdTotEnMet],"&gt;"&amp;($A442+3/24),tData[Langligger01],1)</f>
        <v/>
      </c>
      <c r="H442" s="20">
        <f>COUNTIFS(tData[SEHTrajectPeriodeDatumTijdVan],"&lt;="&amp;($A442+4/24),tData[SEHTrajectPeriodeDatumTijdTotEnMet],"&gt;"&amp;($A442+4/24),tData[Langligger01],1)</f>
        <v/>
      </c>
      <c r="I442" s="20">
        <f>COUNTIFS(tData[SEHTrajectPeriodeDatumTijdVan],"&lt;="&amp;($A442+5/24),tData[SEHTrajectPeriodeDatumTijdTotEnMet],"&gt;"&amp;($A442+5/24),tData[Langligger01],1)</f>
        <v/>
      </c>
      <c r="J442" s="20">
        <f>COUNTIFS(tData[SEHTrajectPeriodeDatumTijdVan],"&lt;="&amp;($A442+6/24),tData[SEHTrajectPeriodeDatumTijdTotEnMet],"&gt;"&amp;($A442+6/24),tData[Langligger01],1)</f>
        <v/>
      </c>
      <c r="K442" s="20">
        <f>COUNTIFS(tData[SEHTrajectPeriodeDatumTijdVan],"&lt;="&amp;($A442+7/24),tData[SEHTrajectPeriodeDatumTijdTotEnMet],"&gt;"&amp;($A442+7/24),tData[Langligger01],1)</f>
        <v/>
      </c>
      <c r="L442" s="20">
        <f>COUNTIFS(tData[SEHTrajectPeriodeDatumTijdVan],"&lt;="&amp;($A442+8/24),tData[SEHTrajectPeriodeDatumTijdTotEnMet],"&gt;"&amp;($A442+8/24),tData[Langligger01],1)</f>
        <v/>
      </c>
      <c r="M442" s="20">
        <f>COUNTIFS(tData[SEHTrajectPeriodeDatumTijdVan],"&lt;="&amp;($A442+9/24),tData[SEHTrajectPeriodeDatumTijdTotEnMet],"&gt;"&amp;($A442+9/24),tData[Langligger01],1)</f>
        <v/>
      </c>
      <c r="N442" s="20">
        <f>COUNTIFS(tData[SEHTrajectPeriodeDatumTijdVan],"&lt;="&amp;($A442+10/24),tData[SEHTrajectPeriodeDatumTijdTotEnMet],"&gt;"&amp;($A442+10/24),tData[Langligger01],1)</f>
        <v/>
      </c>
      <c r="O442" s="20">
        <f>COUNTIFS(tData[SEHTrajectPeriodeDatumTijdVan],"&lt;="&amp;($A442+11/24),tData[SEHTrajectPeriodeDatumTijdTotEnMet],"&gt;"&amp;($A442+11/24),tData[Langligger01],1)</f>
        <v/>
      </c>
      <c r="P442" s="20">
        <f>COUNTIFS(tData[SEHTrajectPeriodeDatumTijdVan],"&lt;="&amp;($A442+12/24),tData[SEHTrajectPeriodeDatumTijdTotEnMet],"&gt;"&amp;($A442+12/24),tData[Langligger01],1)</f>
        <v/>
      </c>
      <c r="Q442" s="20">
        <f>COUNTIFS(tData[SEHTrajectPeriodeDatumTijdVan],"&lt;="&amp;($A442+13/24),tData[SEHTrajectPeriodeDatumTijdTotEnMet],"&gt;"&amp;($A442+13/24),tData[Langligger01],1)</f>
        <v/>
      </c>
      <c r="R442" s="20">
        <f>COUNTIFS(tData[SEHTrajectPeriodeDatumTijdVan],"&lt;="&amp;($A442+14/24),tData[SEHTrajectPeriodeDatumTijdTotEnMet],"&gt;"&amp;($A442+14/24),tData[Langligger01],1)</f>
        <v/>
      </c>
      <c r="S442" s="20">
        <f>COUNTIFS(tData[SEHTrajectPeriodeDatumTijdVan],"&lt;="&amp;($A442+15/24),tData[SEHTrajectPeriodeDatumTijdTotEnMet],"&gt;"&amp;($A442+15/24),tData[Langligger01],1)</f>
        <v/>
      </c>
      <c r="T442" s="20">
        <f>COUNTIFS(tData[SEHTrajectPeriodeDatumTijdVan],"&lt;="&amp;($A442+16/24),tData[SEHTrajectPeriodeDatumTijdTotEnMet],"&gt;"&amp;($A442+16/24),tData[Langligger01],1)</f>
        <v/>
      </c>
      <c r="U442" s="20">
        <f>COUNTIFS(tData[SEHTrajectPeriodeDatumTijdVan],"&lt;="&amp;($A442+17/24),tData[SEHTrajectPeriodeDatumTijdTotEnMet],"&gt;"&amp;($A442+17/24),tData[Langligger01],1)</f>
        <v/>
      </c>
      <c r="V442" s="20">
        <f>COUNTIFS(tData[SEHTrajectPeriodeDatumTijdVan],"&lt;="&amp;($A442+18/24),tData[SEHTrajectPeriodeDatumTijdTotEnMet],"&gt;"&amp;($A442+18/24),tData[Langligger01],1)</f>
        <v/>
      </c>
      <c r="W442" s="20">
        <f>COUNTIFS(tData[SEHTrajectPeriodeDatumTijdVan],"&lt;="&amp;($A442+19/24),tData[SEHTrajectPeriodeDatumTijdTotEnMet],"&gt;"&amp;($A442+19/24),tData[Langligger01],1)</f>
        <v/>
      </c>
      <c r="X442" s="20">
        <f>COUNTIFS(tData[SEHTrajectPeriodeDatumTijdVan],"&lt;="&amp;($A442+20/24),tData[SEHTrajectPeriodeDatumTijdTotEnMet],"&gt;"&amp;($A442+20/24),tData[Langligger01],1)</f>
        <v/>
      </c>
      <c r="Y442" s="20">
        <f>COUNTIFS(tData[SEHTrajectPeriodeDatumTijdVan],"&lt;="&amp;($A442+21/24),tData[SEHTrajectPeriodeDatumTijdTotEnMet],"&gt;"&amp;($A442+21/24),tData[Langligger01],1)</f>
        <v/>
      </c>
      <c r="Z442" s="20">
        <f>COUNTIFS(tData[SEHTrajectPeriodeDatumTijdVan],"&lt;="&amp;($A442+22/24),tData[SEHTrajectPeriodeDatumTijdTotEnMet],"&gt;"&amp;($A442+22/24),tData[Langligger01],1)</f>
        <v/>
      </c>
      <c r="AA442" s="20">
        <f>COUNTIFS(tData[SEHTrajectPeriodeDatumTijdVan],"&lt;="&amp;($A442+23/24),tData[SEHTrajectPeriodeDatumTijdTotEnMet],"&gt;"&amp;($A442+23/24),tData[Langligger01],1)</f>
        <v/>
      </c>
    </row>
    <row r="443">
      <c r="A443" s="19" t="n">
        <v>45731</v>
      </c>
      <c r="B443" s="15">
        <f>WEEKDAY($A443,2)</f>
        <v/>
      </c>
      <c r="C443" s="15">
        <f>IF(AND($A443&gt;=INT(Instellingen!$B$5),$A443&lt;=INT(Instellingen!$B$6)),1,0)</f>
        <v/>
      </c>
      <c r="D443" s="20">
        <f>COUNTIFS(tData[SEHTrajectPeriodeDatumTijdVan],"&lt;="&amp;($A443+0/24),tData[SEHTrajectPeriodeDatumTijdTotEnMet],"&gt;"&amp;($A443+0/24),tData[Langligger01],1)</f>
        <v/>
      </c>
      <c r="E443" s="20">
        <f>COUNTIFS(tData[SEHTrajectPeriodeDatumTijdVan],"&lt;="&amp;($A443+1/24),tData[SEHTrajectPeriodeDatumTijdTotEnMet],"&gt;"&amp;($A443+1/24),tData[Langligger01],1)</f>
        <v/>
      </c>
      <c r="F443" s="20">
        <f>COUNTIFS(tData[SEHTrajectPeriodeDatumTijdVan],"&lt;="&amp;($A443+2/24),tData[SEHTrajectPeriodeDatumTijdTotEnMet],"&gt;"&amp;($A443+2/24),tData[Langligger01],1)</f>
        <v/>
      </c>
      <c r="G443" s="20">
        <f>COUNTIFS(tData[SEHTrajectPeriodeDatumTijdVan],"&lt;="&amp;($A443+3/24),tData[SEHTrajectPeriodeDatumTijdTotEnMet],"&gt;"&amp;($A443+3/24),tData[Langligger01],1)</f>
        <v/>
      </c>
      <c r="H443" s="20">
        <f>COUNTIFS(tData[SEHTrajectPeriodeDatumTijdVan],"&lt;="&amp;($A443+4/24),tData[SEHTrajectPeriodeDatumTijdTotEnMet],"&gt;"&amp;($A443+4/24),tData[Langligger01],1)</f>
        <v/>
      </c>
      <c r="I443" s="20">
        <f>COUNTIFS(tData[SEHTrajectPeriodeDatumTijdVan],"&lt;="&amp;($A443+5/24),tData[SEHTrajectPeriodeDatumTijdTotEnMet],"&gt;"&amp;($A443+5/24),tData[Langligger01],1)</f>
        <v/>
      </c>
      <c r="J443" s="20">
        <f>COUNTIFS(tData[SEHTrajectPeriodeDatumTijdVan],"&lt;="&amp;($A443+6/24),tData[SEHTrajectPeriodeDatumTijdTotEnMet],"&gt;"&amp;($A443+6/24),tData[Langligger01],1)</f>
        <v/>
      </c>
      <c r="K443" s="20">
        <f>COUNTIFS(tData[SEHTrajectPeriodeDatumTijdVan],"&lt;="&amp;($A443+7/24),tData[SEHTrajectPeriodeDatumTijdTotEnMet],"&gt;"&amp;($A443+7/24),tData[Langligger01],1)</f>
        <v/>
      </c>
      <c r="L443" s="20">
        <f>COUNTIFS(tData[SEHTrajectPeriodeDatumTijdVan],"&lt;="&amp;($A443+8/24),tData[SEHTrajectPeriodeDatumTijdTotEnMet],"&gt;"&amp;($A443+8/24),tData[Langligger01],1)</f>
        <v/>
      </c>
      <c r="M443" s="20">
        <f>COUNTIFS(tData[SEHTrajectPeriodeDatumTijdVan],"&lt;="&amp;($A443+9/24),tData[SEHTrajectPeriodeDatumTijdTotEnMet],"&gt;"&amp;($A443+9/24),tData[Langligger01],1)</f>
        <v/>
      </c>
      <c r="N443" s="20">
        <f>COUNTIFS(tData[SEHTrajectPeriodeDatumTijdVan],"&lt;="&amp;($A443+10/24),tData[SEHTrajectPeriodeDatumTijdTotEnMet],"&gt;"&amp;($A443+10/24),tData[Langligger01],1)</f>
        <v/>
      </c>
      <c r="O443" s="20">
        <f>COUNTIFS(tData[SEHTrajectPeriodeDatumTijdVan],"&lt;="&amp;($A443+11/24),tData[SEHTrajectPeriodeDatumTijdTotEnMet],"&gt;"&amp;($A443+11/24),tData[Langligger01],1)</f>
        <v/>
      </c>
      <c r="P443" s="20">
        <f>COUNTIFS(tData[SEHTrajectPeriodeDatumTijdVan],"&lt;="&amp;($A443+12/24),tData[SEHTrajectPeriodeDatumTijdTotEnMet],"&gt;"&amp;($A443+12/24),tData[Langligger01],1)</f>
        <v/>
      </c>
      <c r="Q443" s="20">
        <f>COUNTIFS(tData[SEHTrajectPeriodeDatumTijdVan],"&lt;="&amp;($A443+13/24),tData[SEHTrajectPeriodeDatumTijdTotEnMet],"&gt;"&amp;($A443+13/24),tData[Langligger01],1)</f>
        <v/>
      </c>
      <c r="R443" s="20">
        <f>COUNTIFS(tData[SEHTrajectPeriodeDatumTijdVan],"&lt;="&amp;($A443+14/24),tData[SEHTrajectPeriodeDatumTijdTotEnMet],"&gt;"&amp;($A443+14/24),tData[Langligger01],1)</f>
        <v/>
      </c>
      <c r="S443" s="20">
        <f>COUNTIFS(tData[SEHTrajectPeriodeDatumTijdVan],"&lt;="&amp;($A443+15/24),tData[SEHTrajectPeriodeDatumTijdTotEnMet],"&gt;"&amp;($A443+15/24),tData[Langligger01],1)</f>
        <v/>
      </c>
      <c r="T443" s="20">
        <f>COUNTIFS(tData[SEHTrajectPeriodeDatumTijdVan],"&lt;="&amp;($A443+16/24),tData[SEHTrajectPeriodeDatumTijdTotEnMet],"&gt;"&amp;($A443+16/24),tData[Langligger01],1)</f>
        <v/>
      </c>
      <c r="U443" s="20">
        <f>COUNTIFS(tData[SEHTrajectPeriodeDatumTijdVan],"&lt;="&amp;($A443+17/24),tData[SEHTrajectPeriodeDatumTijdTotEnMet],"&gt;"&amp;($A443+17/24),tData[Langligger01],1)</f>
        <v/>
      </c>
      <c r="V443" s="20">
        <f>COUNTIFS(tData[SEHTrajectPeriodeDatumTijdVan],"&lt;="&amp;($A443+18/24),tData[SEHTrajectPeriodeDatumTijdTotEnMet],"&gt;"&amp;($A443+18/24),tData[Langligger01],1)</f>
        <v/>
      </c>
      <c r="W443" s="20">
        <f>COUNTIFS(tData[SEHTrajectPeriodeDatumTijdVan],"&lt;="&amp;($A443+19/24),tData[SEHTrajectPeriodeDatumTijdTotEnMet],"&gt;"&amp;($A443+19/24),tData[Langligger01],1)</f>
        <v/>
      </c>
      <c r="X443" s="20">
        <f>COUNTIFS(tData[SEHTrajectPeriodeDatumTijdVan],"&lt;="&amp;($A443+20/24),tData[SEHTrajectPeriodeDatumTijdTotEnMet],"&gt;"&amp;($A443+20/24),tData[Langligger01],1)</f>
        <v/>
      </c>
      <c r="Y443" s="20">
        <f>COUNTIFS(tData[SEHTrajectPeriodeDatumTijdVan],"&lt;="&amp;($A443+21/24),tData[SEHTrajectPeriodeDatumTijdTotEnMet],"&gt;"&amp;($A443+21/24),tData[Langligger01],1)</f>
        <v/>
      </c>
      <c r="Z443" s="20">
        <f>COUNTIFS(tData[SEHTrajectPeriodeDatumTijdVan],"&lt;="&amp;($A443+22/24),tData[SEHTrajectPeriodeDatumTijdTotEnMet],"&gt;"&amp;($A443+22/24),tData[Langligger01],1)</f>
        <v/>
      </c>
      <c r="AA443" s="20">
        <f>COUNTIFS(tData[SEHTrajectPeriodeDatumTijdVan],"&lt;="&amp;($A443+23/24),tData[SEHTrajectPeriodeDatumTijdTotEnMet],"&gt;"&amp;($A443+23/24),tData[Langligger01],1)</f>
        <v/>
      </c>
    </row>
    <row r="444">
      <c r="A444" s="19" t="n">
        <v>45732</v>
      </c>
      <c r="B444" s="15">
        <f>WEEKDAY($A444,2)</f>
        <v/>
      </c>
      <c r="C444" s="15">
        <f>IF(AND($A444&gt;=INT(Instellingen!$B$5),$A444&lt;=INT(Instellingen!$B$6)),1,0)</f>
        <v/>
      </c>
      <c r="D444" s="20">
        <f>COUNTIFS(tData[SEHTrajectPeriodeDatumTijdVan],"&lt;="&amp;($A444+0/24),tData[SEHTrajectPeriodeDatumTijdTotEnMet],"&gt;"&amp;($A444+0/24),tData[Langligger01],1)</f>
        <v/>
      </c>
      <c r="E444" s="20">
        <f>COUNTIFS(tData[SEHTrajectPeriodeDatumTijdVan],"&lt;="&amp;($A444+1/24),tData[SEHTrajectPeriodeDatumTijdTotEnMet],"&gt;"&amp;($A444+1/24),tData[Langligger01],1)</f>
        <v/>
      </c>
      <c r="F444" s="20">
        <f>COUNTIFS(tData[SEHTrajectPeriodeDatumTijdVan],"&lt;="&amp;($A444+2/24),tData[SEHTrajectPeriodeDatumTijdTotEnMet],"&gt;"&amp;($A444+2/24),tData[Langligger01],1)</f>
        <v/>
      </c>
      <c r="G444" s="20">
        <f>COUNTIFS(tData[SEHTrajectPeriodeDatumTijdVan],"&lt;="&amp;($A444+3/24),tData[SEHTrajectPeriodeDatumTijdTotEnMet],"&gt;"&amp;($A444+3/24),tData[Langligger01],1)</f>
        <v/>
      </c>
      <c r="H444" s="20">
        <f>COUNTIFS(tData[SEHTrajectPeriodeDatumTijdVan],"&lt;="&amp;($A444+4/24),tData[SEHTrajectPeriodeDatumTijdTotEnMet],"&gt;"&amp;($A444+4/24),tData[Langligger01],1)</f>
        <v/>
      </c>
      <c r="I444" s="20">
        <f>COUNTIFS(tData[SEHTrajectPeriodeDatumTijdVan],"&lt;="&amp;($A444+5/24),tData[SEHTrajectPeriodeDatumTijdTotEnMet],"&gt;"&amp;($A444+5/24),tData[Langligger01],1)</f>
        <v/>
      </c>
      <c r="J444" s="20">
        <f>COUNTIFS(tData[SEHTrajectPeriodeDatumTijdVan],"&lt;="&amp;($A444+6/24),tData[SEHTrajectPeriodeDatumTijdTotEnMet],"&gt;"&amp;($A444+6/24),tData[Langligger01],1)</f>
        <v/>
      </c>
      <c r="K444" s="20">
        <f>COUNTIFS(tData[SEHTrajectPeriodeDatumTijdVan],"&lt;="&amp;($A444+7/24),tData[SEHTrajectPeriodeDatumTijdTotEnMet],"&gt;"&amp;($A444+7/24),tData[Langligger01],1)</f>
        <v/>
      </c>
      <c r="L444" s="20">
        <f>COUNTIFS(tData[SEHTrajectPeriodeDatumTijdVan],"&lt;="&amp;($A444+8/24),tData[SEHTrajectPeriodeDatumTijdTotEnMet],"&gt;"&amp;($A444+8/24),tData[Langligger01],1)</f>
        <v/>
      </c>
      <c r="M444" s="20">
        <f>COUNTIFS(tData[SEHTrajectPeriodeDatumTijdVan],"&lt;="&amp;($A444+9/24),tData[SEHTrajectPeriodeDatumTijdTotEnMet],"&gt;"&amp;($A444+9/24),tData[Langligger01],1)</f>
        <v/>
      </c>
      <c r="N444" s="20">
        <f>COUNTIFS(tData[SEHTrajectPeriodeDatumTijdVan],"&lt;="&amp;($A444+10/24),tData[SEHTrajectPeriodeDatumTijdTotEnMet],"&gt;"&amp;($A444+10/24),tData[Langligger01],1)</f>
        <v/>
      </c>
      <c r="O444" s="20">
        <f>COUNTIFS(tData[SEHTrajectPeriodeDatumTijdVan],"&lt;="&amp;($A444+11/24),tData[SEHTrajectPeriodeDatumTijdTotEnMet],"&gt;"&amp;($A444+11/24),tData[Langligger01],1)</f>
        <v/>
      </c>
      <c r="P444" s="20">
        <f>COUNTIFS(tData[SEHTrajectPeriodeDatumTijdVan],"&lt;="&amp;($A444+12/24),tData[SEHTrajectPeriodeDatumTijdTotEnMet],"&gt;"&amp;($A444+12/24),tData[Langligger01],1)</f>
        <v/>
      </c>
      <c r="Q444" s="20">
        <f>COUNTIFS(tData[SEHTrajectPeriodeDatumTijdVan],"&lt;="&amp;($A444+13/24),tData[SEHTrajectPeriodeDatumTijdTotEnMet],"&gt;"&amp;($A444+13/24),tData[Langligger01],1)</f>
        <v/>
      </c>
      <c r="R444" s="20">
        <f>COUNTIFS(tData[SEHTrajectPeriodeDatumTijdVan],"&lt;="&amp;($A444+14/24),tData[SEHTrajectPeriodeDatumTijdTotEnMet],"&gt;"&amp;($A444+14/24),tData[Langligger01],1)</f>
        <v/>
      </c>
      <c r="S444" s="20">
        <f>COUNTIFS(tData[SEHTrajectPeriodeDatumTijdVan],"&lt;="&amp;($A444+15/24),tData[SEHTrajectPeriodeDatumTijdTotEnMet],"&gt;"&amp;($A444+15/24),tData[Langligger01],1)</f>
        <v/>
      </c>
      <c r="T444" s="20">
        <f>COUNTIFS(tData[SEHTrajectPeriodeDatumTijdVan],"&lt;="&amp;($A444+16/24),tData[SEHTrajectPeriodeDatumTijdTotEnMet],"&gt;"&amp;($A444+16/24),tData[Langligger01],1)</f>
        <v/>
      </c>
      <c r="U444" s="20">
        <f>COUNTIFS(tData[SEHTrajectPeriodeDatumTijdVan],"&lt;="&amp;($A444+17/24),tData[SEHTrajectPeriodeDatumTijdTotEnMet],"&gt;"&amp;($A444+17/24),tData[Langligger01],1)</f>
        <v/>
      </c>
      <c r="V444" s="20">
        <f>COUNTIFS(tData[SEHTrajectPeriodeDatumTijdVan],"&lt;="&amp;($A444+18/24),tData[SEHTrajectPeriodeDatumTijdTotEnMet],"&gt;"&amp;($A444+18/24),tData[Langligger01],1)</f>
        <v/>
      </c>
      <c r="W444" s="20">
        <f>COUNTIFS(tData[SEHTrajectPeriodeDatumTijdVan],"&lt;="&amp;($A444+19/24),tData[SEHTrajectPeriodeDatumTijdTotEnMet],"&gt;"&amp;($A444+19/24),tData[Langligger01],1)</f>
        <v/>
      </c>
      <c r="X444" s="20">
        <f>COUNTIFS(tData[SEHTrajectPeriodeDatumTijdVan],"&lt;="&amp;($A444+20/24),tData[SEHTrajectPeriodeDatumTijdTotEnMet],"&gt;"&amp;($A444+20/24),tData[Langligger01],1)</f>
        <v/>
      </c>
      <c r="Y444" s="20">
        <f>COUNTIFS(tData[SEHTrajectPeriodeDatumTijdVan],"&lt;="&amp;($A444+21/24),tData[SEHTrajectPeriodeDatumTijdTotEnMet],"&gt;"&amp;($A444+21/24),tData[Langligger01],1)</f>
        <v/>
      </c>
      <c r="Z444" s="20">
        <f>COUNTIFS(tData[SEHTrajectPeriodeDatumTijdVan],"&lt;="&amp;($A444+22/24),tData[SEHTrajectPeriodeDatumTijdTotEnMet],"&gt;"&amp;($A444+22/24),tData[Langligger01],1)</f>
        <v/>
      </c>
      <c r="AA444" s="20">
        <f>COUNTIFS(tData[SEHTrajectPeriodeDatumTijdVan],"&lt;="&amp;($A444+23/24),tData[SEHTrajectPeriodeDatumTijdTotEnMet],"&gt;"&amp;($A444+23/24),tData[Langligger01],1)</f>
        <v/>
      </c>
    </row>
    <row r="445">
      <c r="A445" s="19" t="n">
        <v>45733</v>
      </c>
      <c r="B445" s="15">
        <f>WEEKDAY($A445,2)</f>
        <v/>
      </c>
      <c r="C445" s="15">
        <f>IF(AND($A445&gt;=INT(Instellingen!$B$5),$A445&lt;=INT(Instellingen!$B$6)),1,0)</f>
        <v/>
      </c>
      <c r="D445" s="20">
        <f>COUNTIFS(tData[SEHTrajectPeriodeDatumTijdVan],"&lt;="&amp;($A445+0/24),tData[SEHTrajectPeriodeDatumTijdTotEnMet],"&gt;"&amp;($A445+0/24),tData[Langligger01],1)</f>
        <v/>
      </c>
      <c r="E445" s="20">
        <f>COUNTIFS(tData[SEHTrajectPeriodeDatumTijdVan],"&lt;="&amp;($A445+1/24),tData[SEHTrajectPeriodeDatumTijdTotEnMet],"&gt;"&amp;($A445+1/24),tData[Langligger01],1)</f>
        <v/>
      </c>
      <c r="F445" s="20">
        <f>COUNTIFS(tData[SEHTrajectPeriodeDatumTijdVan],"&lt;="&amp;($A445+2/24),tData[SEHTrajectPeriodeDatumTijdTotEnMet],"&gt;"&amp;($A445+2/24),tData[Langligger01],1)</f>
        <v/>
      </c>
      <c r="G445" s="20">
        <f>COUNTIFS(tData[SEHTrajectPeriodeDatumTijdVan],"&lt;="&amp;($A445+3/24),tData[SEHTrajectPeriodeDatumTijdTotEnMet],"&gt;"&amp;($A445+3/24),tData[Langligger01],1)</f>
        <v/>
      </c>
      <c r="H445" s="20">
        <f>COUNTIFS(tData[SEHTrajectPeriodeDatumTijdVan],"&lt;="&amp;($A445+4/24),tData[SEHTrajectPeriodeDatumTijdTotEnMet],"&gt;"&amp;($A445+4/24),tData[Langligger01],1)</f>
        <v/>
      </c>
      <c r="I445" s="20">
        <f>COUNTIFS(tData[SEHTrajectPeriodeDatumTijdVan],"&lt;="&amp;($A445+5/24),tData[SEHTrajectPeriodeDatumTijdTotEnMet],"&gt;"&amp;($A445+5/24),tData[Langligger01],1)</f>
        <v/>
      </c>
      <c r="J445" s="20">
        <f>COUNTIFS(tData[SEHTrajectPeriodeDatumTijdVan],"&lt;="&amp;($A445+6/24),tData[SEHTrajectPeriodeDatumTijdTotEnMet],"&gt;"&amp;($A445+6/24),tData[Langligger01],1)</f>
        <v/>
      </c>
      <c r="K445" s="20">
        <f>COUNTIFS(tData[SEHTrajectPeriodeDatumTijdVan],"&lt;="&amp;($A445+7/24),tData[SEHTrajectPeriodeDatumTijdTotEnMet],"&gt;"&amp;($A445+7/24),tData[Langligger01],1)</f>
        <v/>
      </c>
      <c r="L445" s="20">
        <f>COUNTIFS(tData[SEHTrajectPeriodeDatumTijdVan],"&lt;="&amp;($A445+8/24),tData[SEHTrajectPeriodeDatumTijdTotEnMet],"&gt;"&amp;($A445+8/24),tData[Langligger01],1)</f>
        <v/>
      </c>
      <c r="M445" s="20">
        <f>COUNTIFS(tData[SEHTrajectPeriodeDatumTijdVan],"&lt;="&amp;($A445+9/24),tData[SEHTrajectPeriodeDatumTijdTotEnMet],"&gt;"&amp;($A445+9/24),tData[Langligger01],1)</f>
        <v/>
      </c>
      <c r="N445" s="20">
        <f>COUNTIFS(tData[SEHTrajectPeriodeDatumTijdVan],"&lt;="&amp;($A445+10/24),tData[SEHTrajectPeriodeDatumTijdTotEnMet],"&gt;"&amp;($A445+10/24),tData[Langligger01],1)</f>
        <v/>
      </c>
      <c r="O445" s="20">
        <f>COUNTIFS(tData[SEHTrajectPeriodeDatumTijdVan],"&lt;="&amp;($A445+11/24),tData[SEHTrajectPeriodeDatumTijdTotEnMet],"&gt;"&amp;($A445+11/24),tData[Langligger01],1)</f>
        <v/>
      </c>
      <c r="P445" s="20">
        <f>COUNTIFS(tData[SEHTrajectPeriodeDatumTijdVan],"&lt;="&amp;($A445+12/24),tData[SEHTrajectPeriodeDatumTijdTotEnMet],"&gt;"&amp;($A445+12/24),tData[Langligger01],1)</f>
        <v/>
      </c>
      <c r="Q445" s="20">
        <f>COUNTIFS(tData[SEHTrajectPeriodeDatumTijdVan],"&lt;="&amp;($A445+13/24),tData[SEHTrajectPeriodeDatumTijdTotEnMet],"&gt;"&amp;($A445+13/24),tData[Langligger01],1)</f>
        <v/>
      </c>
      <c r="R445" s="20">
        <f>COUNTIFS(tData[SEHTrajectPeriodeDatumTijdVan],"&lt;="&amp;($A445+14/24),tData[SEHTrajectPeriodeDatumTijdTotEnMet],"&gt;"&amp;($A445+14/24),tData[Langligger01],1)</f>
        <v/>
      </c>
      <c r="S445" s="20">
        <f>COUNTIFS(tData[SEHTrajectPeriodeDatumTijdVan],"&lt;="&amp;($A445+15/24),tData[SEHTrajectPeriodeDatumTijdTotEnMet],"&gt;"&amp;($A445+15/24),tData[Langligger01],1)</f>
        <v/>
      </c>
      <c r="T445" s="20">
        <f>COUNTIFS(tData[SEHTrajectPeriodeDatumTijdVan],"&lt;="&amp;($A445+16/24),tData[SEHTrajectPeriodeDatumTijdTotEnMet],"&gt;"&amp;($A445+16/24),tData[Langligger01],1)</f>
        <v/>
      </c>
      <c r="U445" s="20">
        <f>COUNTIFS(tData[SEHTrajectPeriodeDatumTijdVan],"&lt;="&amp;($A445+17/24),tData[SEHTrajectPeriodeDatumTijdTotEnMet],"&gt;"&amp;($A445+17/24),tData[Langligger01],1)</f>
        <v/>
      </c>
      <c r="V445" s="20">
        <f>COUNTIFS(tData[SEHTrajectPeriodeDatumTijdVan],"&lt;="&amp;($A445+18/24),tData[SEHTrajectPeriodeDatumTijdTotEnMet],"&gt;"&amp;($A445+18/24),tData[Langligger01],1)</f>
        <v/>
      </c>
      <c r="W445" s="20">
        <f>COUNTIFS(tData[SEHTrajectPeriodeDatumTijdVan],"&lt;="&amp;($A445+19/24),tData[SEHTrajectPeriodeDatumTijdTotEnMet],"&gt;"&amp;($A445+19/24),tData[Langligger01],1)</f>
        <v/>
      </c>
      <c r="X445" s="20">
        <f>COUNTIFS(tData[SEHTrajectPeriodeDatumTijdVan],"&lt;="&amp;($A445+20/24),tData[SEHTrajectPeriodeDatumTijdTotEnMet],"&gt;"&amp;($A445+20/24),tData[Langligger01],1)</f>
        <v/>
      </c>
      <c r="Y445" s="20">
        <f>COUNTIFS(tData[SEHTrajectPeriodeDatumTijdVan],"&lt;="&amp;($A445+21/24),tData[SEHTrajectPeriodeDatumTijdTotEnMet],"&gt;"&amp;($A445+21/24),tData[Langligger01],1)</f>
        <v/>
      </c>
      <c r="Z445" s="20">
        <f>COUNTIFS(tData[SEHTrajectPeriodeDatumTijdVan],"&lt;="&amp;($A445+22/24),tData[SEHTrajectPeriodeDatumTijdTotEnMet],"&gt;"&amp;($A445+22/24),tData[Langligger01],1)</f>
        <v/>
      </c>
      <c r="AA445" s="20">
        <f>COUNTIFS(tData[SEHTrajectPeriodeDatumTijdVan],"&lt;="&amp;($A445+23/24),tData[SEHTrajectPeriodeDatumTijdTotEnMet],"&gt;"&amp;($A445+23/24),tData[Langligger01],1)</f>
        <v/>
      </c>
    </row>
    <row r="446">
      <c r="A446" s="19" t="n">
        <v>45734</v>
      </c>
      <c r="B446" s="15">
        <f>WEEKDAY($A446,2)</f>
        <v/>
      </c>
      <c r="C446" s="15">
        <f>IF(AND($A446&gt;=INT(Instellingen!$B$5),$A446&lt;=INT(Instellingen!$B$6)),1,0)</f>
        <v/>
      </c>
      <c r="D446" s="20">
        <f>COUNTIFS(tData[SEHTrajectPeriodeDatumTijdVan],"&lt;="&amp;($A446+0/24),tData[SEHTrajectPeriodeDatumTijdTotEnMet],"&gt;"&amp;($A446+0/24),tData[Langligger01],1)</f>
        <v/>
      </c>
      <c r="E446" s="20">
        <f>COUNTIFS(tData[SEHTrajectPeriodeDatumTijdVan],"&lt;="&amp;($A446+1/24),tData[SEHTrajectPeriodeDatumTijdTotEnMet],"&gt;"&amp;($A446+1/24),tData[Langligger01],1)</f>
        <v/>
      </c>
      <c r="F446" s="20">
        <f>COUNTIFS(tData[SEHTrajectPeriodeDatumTijdVan],"&lt;="&amp;($A446+2/24),tData[SEHTrajectPeriodeDatumTijdTotEnMet],"&gt;"&amp;($A446+2/24),tData[Langligger01],1)</f>
        <v/>
      </c>
      <c r="G446" s="20">
        <f>COUNTIFS(tData[SEHTrajectPeriodeDatumTijdVan],"&lt;="&amp;($A446+3/24),tData[SEHTrajectPeriodeDatumTijdTotEnMet],"&gt;"&amp;($A446+3/24),tData[Langligger01],1)</f>
        <v/>
      </c>
      <c r="H446" s="20">
        <f>COUNTIFS(tData[SEHTrajectPeriodeDatumTijdVan],"&lt;="&amp;($A446+4/24),tData[SEHTrajectPeriodeDatumTijdTotEnMet],"&gt;"&amp;($A446+4/24),tData[Langligger01],1)</f>
        <v/>
      </c>
      <c r="I446" s="20">
        <f>COUNTIFS(tData[SEHTrajectPeriodeDatumTijdVan],"&lt;="&amp;($A446+5/24),tData[SEHTrajectPeriodeDatumTijdTotEnMet],"&gt;"&amp;($A446+5/24),tData[Langligger01],1)</f>
        <v/>
      </c>
      <c r="J446" s="20">
        <f>COUNTIFS(tData[SEHTrajectPeriodeDatumTijdVan],"&lt;="&amp;($A446+6/24),tData[SEHTrajectPeriodeDatumTijdTotEnMet],"&gt;"&amp;($A446+6/24),tData[Langligger01],1)</f>
        <v/>
      </c>
      <c r="K446" s="20">
        <f>COUNTIFS(tData[SEHTrajectPeriodeDatumTijdVan],"&lt;="&amp;($A446+7/24),tData[SEHTrajectPeriodeDatumTijdTotEnMet],"&gt;"&amp;($A446+7/24),tData[Langligger01],1)</f>
        <v/>
      </c>
      <c r="L446" s="20">
        <f>COUNTIFS(tData[SEHTrajectPeriodeDatumTijdVan],"&lt;="&amp;($A446+8/24),tData[SEHTrajectPeriodeDatumTijdTotEnMet],"&gt;"&amp;($A446+8/24),tData[Langligger01],1)</f>
        <v/>
      </c>
      <c r="M446" s="20">
        <f>COUNTIFS(tData[SEHTrajectPeriodeDatumTijdVan],"&lt;="&amp;($A446+9/24),tData[SEHTrajectPeriodeDatumTijdTotEnMet],"&gt;"&amp;($A446+9/24),tData[Langligger01],1)</f>
        <v/>
      </c>
      <c r="N446" s="20">
        <f>COUNTIFS(tData[SEHTrajectPeriodeDatumTijdVan],"&lt;="&amp;($A446+10/24),tData[SEHTrajectPeriodeDatumTijdTotEnMet],"&gt;"&amp;($A446+10/24),tData[Langligger01],1)</f>
        <v/>
      </c>
      <c r="O446" s="20">
        <f>COUNTIFS(tData[SEHTrajectPeriodeDatumTijdVan],"&lt;="&amp;($A446+11/24),tData[SEHTrajectPeriodeDatumTijdTotEnMet],"&gt;"&amp;($A446+11/24),tData[Langligger01],1)</f>
        <v/>
      </c>
      <c r="P446" s="20">
        <f>COUNTIFS(tData[SEHTrajectPeriodeDatumTijdVan],"&lt;="&amp;($A446+12/24),tData[SEHTrajectPeriodeDatumTijdTotEnMet],"&gt;"&amp;($A446+12/24),tData[Langligger01],1)</f>
        <v/>
      </c>
      <c r="Q446" s="20">
        <f>COUNTIFS(tData[SEHTrajectPeriodeDatumTijdVan],"&lt;="&amp;($A446+13/24),tData[SEHTrajectPeriodeDatumTijdTotEnMet],"&gt;"&amp;($A446+13/24),tData[Langligger01],1)</f>
        <v/>
      </c>
      <c r="R446" s="20">
        <f>COUNTIFS(tData[SEHTrajectPeriodeDatumTijdVan],"&lt;="&amp;($A446+14/24),tData[SEHTrajectPeriodeDatumTijdTotEnMet],"&gt;"&amp;($A446+14/24),tData[Langligger01],1)</f>
        <v/>
      </c>
      <c r="S446" s="20">
        <f>COUNTIFS(tData[SEHTrajectPeriodeDatumTijdVan],"&lt;="&amp;($A446+15/24),tData[SEHTrajectPeriodeDatumTijdTotEnMet],"&gt;"&amp;($A446+15/24),tData[Langligger01],1)</f>
        <v/>
      </c>
      <c r="T446" s="20">
        <f>COUNTIFS(tData[SEHTrajectPeriodeDatumTijdVan],"&lt;="&amp;($A446+16/24),tData[SEHTrajectPeriodeDatumTijdTotEnMet],"&gt;"&amp;($A446+16/24),tData[Langligger01],1)</f>
        <v/>
      </c>
      <c r="U446" s="20">
        <f>COUNTIFS(tData[SEHTrajectPeriodeDatumTijdVan],"&lt;="&amp;($A446+17/24),tData[SEHTrajectPeriodeDatumTijdTotEnMet],"&gt;"&amp;($A446+17/24),tData[Langligger01],1)</f>
        <v/>
      </c>
      <c r="V446" s="20">
        <f>COUNTIFS(tData[SEHTrajectPeriodeDatumTijdVan],"&lt;="&amp;($A446+18/24),tData[SEHTrajectPeriodeDatumTijdTotEnMet],"&gt;"&amp;($A446+18/24),tData[Langligger01],1)</f>
        <v/>
      </c>
      <c r="W446" s="20">
        <f>COUNTIFS(tData[SEHTrajectPeriodeDatumTijdVan],"&lt;="&amp;($A446+19/24),tData[SEHTrajectPeriodeDatumTijdTotEnMet],"&gt;"&amp;($A446+19/24),tData[Langligger01],1)</f>
        <v/>
      </c>
      <c r="X446" s="20">
        <f>COUNTIFS(tData[SEHTrajectPeriodeDatumTijdVan],"&lt;="&amp;($A446+20/24),tData[SEHTrajectPeriodeDatumTijdTotEnMet],"&gt;"&amp;($A446+20/24),tData[Langligger01],1)</f>
        <v/>
      </c>
      <c r="Y446" s="20">
        <f>COUNTIFS(tData[SEHTrajectPeriodeDatumTijdVan],"&lt;="&amp;($A446+21/24),tData[SEHTrajectPeriodeDatumTijdTotEnMet],"&gt;"&amp;($A446+21/24),tData[Langligger01],1)</f>
        <v/>
      </c>
      <c r="Z446" s="20">
        <f>COUNTIFS(tData[SEHTrajectPeriodeDatumTijdVan],"&lt;="&amp;($A446+22/24),tData[SEHTrajectPeriodeDatumTijdTotEnMet],"&gt;"&amp;($A446+22/24),tData[Langligger01],1)</f>
        <v/>
      </c>
      <c r="AA446" s="20">
        <f>COUNTIFS(tData[SEHTrajectPeriodeDatumTijdVan],"&lt;="&amp;($A446+23/24),tData[SEHTrajectPeriodeDatumTijdTotEnMet],"&gt;"&amp;($A446+23/24),tData[Langligger01],1)</f>
        <v/>
      </c>
    </row>
    <row r="447">
      <c r="A447" s="19" t="n">
        <v>45735</v>
      </c>
      <c r="B447" s="15">
        <f>WEEKDAY($A447,2)</f>
        <v/>
      </c>
      <c r="C447" s="15">
        <f>IF(AND($A447&gt;=INT(Instellingen!$B$5),$A447&lt;=INT(Instellingen!$B$6)),1,0)</f>
        <v/>
      </c>
      <c r="D447" s="20">
        <f>COUNTIFS(tData[SEHTrajectPeriodeDatumTijdVan],"&lt;="&amp;($A447+0/24),tData[SEHTrajectPeriodeDatumTijdTotEnMet],"&gt;"&amp;($A447+0/24),tData[Langligger01],1)</f>
        <v/>
      </c>
      <c r="E447" s="20">
        <f>COUNTIFS(tData[SEHTrajectPeriodeDatumTijdVan],"&lt;="&amp;($A447+1/24),tData[SEHTrajectPeriodeDatumTijdTotEnMet],"&gt;"&amp;($A447+1/24),tData[Langligger01],1)</f>
        <v/>
      </c>
      <c r="F447" s="20">
        <f>COUNTIFS(tData[SEHTrajectPeriodeDatumTijdVan],"&lt;="&amp;($A447+2/24),tData[SEHTrajectPeriodeDatumTijdTotEnMet],"&gt;"&amp;($A447+2/24),tData[Langligger01],1)</f>
        <v/>
      </c>
      <c r="G447" s="20">
        <f>COUNTIFS(tData[SEHTrajectPeriodeDatumTijdVan],"&lt;="&amp;($A447+3/24),tData[SEHTrajectPeriodeDatumTijdTotEnMet],"&gt;"&amp;($A447+3/24),tData[Langligger01],1)</f>
        <v/>
      </c>
      <c r="H447" s="20">
        <f>COUNTIFS(tData[SEHTrajectPeriodeDatumTijdVan],"&lt;="&amp;($A447+4/24),tData[SEHTrajectPeriodeDatumTijdTotEnMet],"&gt;"&amp;($A447+4/24),tData[Langligger01],1)</f>
        <v/>
      </c>
      <c r="I447" s="20">
        <f>COUNTIFS(tData[SEHTrajectPeriodeDatumTijdVan],"&lt;="&amp;($A447+5/24),tData[SEHTrajectPeriodeDatumTijdTotEnMet],"&gt;"&amp;($A447+5/24),tData[Langligger01],1)</f>
        <v/>
      </c>
      <c r="J447" s="20">
        <f>COUNTIFS(tData[SEHTrajectPeriodeDatumTijdVan],"&lt;="&amp;($A447+6/24),tData[SEHTrajectPeriodeDatumTijdTotEnMet],"&gt;"&amp;($A447+6/24),tData[Langligger01],1)</f>
        <v/>
      </c>
      <c r="K447" s="20">
        <f>COUNTIFS(tData[SEHTrajectPeriodeDatumTijdVan],"&lt;="&amp;($A447+7/24),tData[SEHTrajectPeriodeDatumTijdTotEnMet],"&gt;"&amp;($A447+7/24),tData[Langligger01],1)</f>
        <v/>
      </c>
      <c r="L447" s="20">
        <f>COUNTIFS(tData[SEHTrajectPeriodeDatumTijdVan],"&lt;="&amp;($A447+8/24),tData[SEHTrajectPeriodeDatumTijdTotEnMet],"&gt;"&amp;($A447+8/24),tData[Langligger01],1)</f>
        <v/>
      </c>
      <c r="M447" s="20">
        <f>COUNTIFS(tData[SEHTrajectPeriodeDatumTijdVan],"&lt;="&amp;($A447+9/24),tData[SEHTrajectPeriodeDatumTijdTotEnMet],"&gt;"&amp;($A447+9/24),tData[Langligger01],1)</f>
        <v/>
      </c>
      <c r="N447" s="20">
        <f>COUNTIFS(tData[SEHTrajectPeriodeDatumTijdVan],"&lt;="&amp;($A447+10/24),tData[SEHTrajectPeriodeDatumTijdTotEnMet],"&gt;"&amp;($A447+10/24),tData[Langligger01],1)</f>
        <v/>
      </c>
      <c r="O447" s="20">
        <f>COUNTIFS(tData[SEHTrajectPeriodeDatumTijdVan],"&lt;="&amp;($A447+11/24),tData[SEHTrajectPeriodeDatumTijdTotEnMet],"&gt;"&amp;($A447+11/24),tData[Langligger01],1)</f>
        <v/>
      </c>
      <c r="P447" s="20">
        <f>COUNTIFS(tData[SEHTrajectPeriodeDatumTijdVan],"&lt;="&amp;($A447+12/24),tData[SEHTrajectPeriodeDatumTijdTotEnMet],"&gt;"&amp;($A447+12/24),tData[Langligger01],1)</f>
        <v/>
      </c>
      <c r="Q447" s="20">
        <f>COUNTIFS(tData[SEHTrajectPeriodeDatumTijdVan],"&lt;="&amp;($A447+13/24),tData[SEHTrajectPeriodeDatumTijdTotEnMet],"&gt;"&amp;($A447+13/24),tData[Langligger01],1)</f>
        <v/>
      </c>
      <c r="R447" s="20">
        <f>COUNTIFS(tData[SEHTrajectPeriodeDatumTijdVan],"&lt;="&amp;($A447+14/24),tData[SEHTrajectPeriodeDatumTijdTotEnMet],"&gt;"&amp;($A447+14/24),tData[Langligger01],1)</f>
        <v/>
      </c>
      <c r="S447" s="20">
        <f>COUNTIFS(tData[SEHTrajectPeriodeDatumTijdVan],"&lt;="&amp;($A447+15/24),tData[SEHTrajectPeriodeDatumTijdTotEnMet],"&gt;"&amp;($A447+15/24),tData[Langligger01],1)</f>
        <v/>
      </c>
      <c r="T447" s="20">
        <f>COUNTIFS(tData[SEHTrajectPeriodeDatumTijdVan],"&lt;="&amp;($A447+16/24),tData[SEHTrajectPeriodeDatumTijdTotEnMet],"&gt;"&amp;($A447+16/24),tData[Langligger01],1)</f>
        <v/>
      </c>
      <c r="U447" s="20">
        <f>COUNTIFS(tData[SEHTrajectPeriodeDatumTijdVan],"&lt;="&amp;($A447+17/24),tData[SEHTrajectPeriodeDatumTijdTotEnMet],"&gt;"&amp;($A447+17/24),tData[Langligger01],1)</f>
        <v/>
      </c>
      <c r="V447" s="20">
        <f>COUNTIFS(tData[SEHTrajectPeriodeDatumTijdVan],"&lt;="&amp;($A447+18/24),tData[SEHTrajectPeriodeDatumTijdTotEnMet],"&gt;"&amp;($A447+18/24),tData[Langligger01],1)</f>
        <v/>
      </c>
      <c r="W447" s="20">
        <f>COUNTIFS(tData[SEHTrajectPeriodeDatumTijdVan],"&lt;="&amp;($A447+19/24),tData[SEHTrajectPeriodeDatumTijdTotEnMet],"&gt;"&amp;($A447+19/24),tData[Langligger01],1)</f>
        <v/>
      </c>
      <c r="X447" s="20">
        <f>COUNTIFS(tData[SEHTrajectPeriodeDatumTijdVan],"&lt;="&amp;($A447+20/24),tData[SEHTrajectPeriodeDatumTijdTotEnMet],"&gt;"&amp;($A447+20/24),tData[Langligger01],1)</f>
        <v/>
      </c>
      <c r="Y447" s="20">
        <f>COUNTIFS(tData[SEHTrajectPeriodeDatumTijdVan],"&lt;="&amp;($A447+21/24),tData[SEHTrajectPeriodeDatumTijdTotEnMet],"&gt;"&amp;($A447+21/24),tData[Langligger01],1)</f>
        <v/>
      </c>
      <c r="Z447" s="20">
        <f>COUNTIFS(tData[SEHTrajectPeriodeDatumTijdVan],"&lt;="&amp;($A447+22/24),tData[SEHTrajectPeriodeDatumTijdTotEnMet],"&gt;"&amp;($A447+22/24),tData[Langligger01],1)</f>
        <v/>
      </c>
      <c r="AA447" s="20">
        <f>COUNTIFS(tData[SEHTrajectPeriodeDatumTijdVan],"&lt;="&amp;($A447+23/24),tData[SEHTrajectPeriodeDatumTijdTotEnMet],"&gt;"&amp;($A447+23/24),tData[Langligger01],1)</f>
        <v/>
      </c>
    </row>
    <row r="448">
      <c r="A448" s="19" t="n">
        <v>45736</v>
      </c>
      <c r="B448" s="15">
        <f>WEEKDAY($A448,2)</f>
        <v/>
      </c>
      <c r="C448" s="15">
        <f>IF(AND($A448&gt;=INT(Instellingen!$B$5),$A448&lt;=INT(Instellingen!$B$6)),1,0)</f>
        <v/>
      </c>
      <c r="D448" s="20">
        <f>COUNTIFS(tData[SEHTrajectPeriodeDatumTijdVan],"&lt;="&amp;($A448+0/24),tData[SEHTrajectPeriodeDatumTijdTotEnMet],"&gt;"&amp;($A448+0/24),tData[Langligger01],1)</f>
        <v/>
      </c>
      <c r="E448" s="20">
        <f>COUNTIFS(tData[SEHTrajectPeriodeDatumTijdVan],"&lt;="&amp;($A448+1/24),tData[SEHTrajectPeriodeDatumTijdTotEnMet],"&gt;"&amp;($A448+1/24),tData[Langligger01],1)</f>
        <v/>
      </c>
      <c r="F448" s="20">
        <f>COUNTIFS(tData[SEHTrajectPeriodeDatumTijdVan],"&lt;="&amp;($A448+2/24),tData[SEHTrajectPeriodeDatumTijdTotEnMet],"&gt;"&amp;($A448+2/24),tData[Langligger01],1)</f>
        <v/>
      </c>
      <c r="G448" s="20">
        <f>COUNTIFS(tData[SEHTrajectPeriodeDatumTijdVan],"&lt;="&amp;($A448+3/24),tData[SEHTrajectPeriodeDatumTijdTotEnMet],"&gt;"&amp;($A448+3/24),tData[Langligger01],1)</f>
        <v/>
      </c>
      <c r="H448" s="20">
        <f>COUNTIFS(tData[SEHTrajectPeriodeDatumTijdVan],"&lt;="&amp;($A448+4/24),tData[SEHTrajectPeriodeDatumTijdTotEnMet],"&gt;"&amp;($A448+4/24),tData[Langligger01],1)</f>
        <v/>
      </c>
      <c r="I448" s="20">
        <f>COUNTIFS(tData[SEHTrajectPeriodeDatumTijdVan],"&lt;="&amp;($A448+5/24),tData[SEHTrajectPeriodeDatumTijdTotEnMet],"&gt;"&amp;($A448+5/24),tData[Langligger01],1)</f>
        <v/>
      </c>
      <c r="J448" s="20">
        <f>COUNTIFS(tData[SEHTrajectPeriodeDatumTijdVan],"&lt;="&amp;($A448+6/24),tData[SEHTrajectPeriodeDatumTijdTotEnMet],"&gt;"&amp;($A448+6/24),tData[Langligger01],1)</f>
        <v/>
      </c>
      <c r="K448" s="20">
        <f>COUNTIFS(tData[SEHTrajectPeriodeDatumTijdVan],"&lt;="&amp;($A448+7/24),tData[SEHTrajectPeriodeDatumTijdTotEnMet],"&gt;"&amp;($A448+7/24),tData[Langligger01],1)</f>
        <v/>
      </c>
      <c r="L448" s="20">
        <f>COUNTIFS(tData[SEHTrajectPeriodeDatumTijdVan],"&lt;="&amp;($A448+8/24),tData[SEHTrajectPeriodeDatumTijdTotEnMet],"&gt;"&amp;($A448+8/24),tData[Langligger01],1)</f>
        <v/>
      </c>
      <c r="M448" s="20">
        <f>COUNTIFS(tData[SEHTrajectPeriodeDatumTijdVan],"&lt;="&amp;($A448+9/24),tData[SEHTrajectPeriodeDatumTijdTotEnMet],"&gt;"&amp;($A448+9/24),tData[Langligger01],1)</f>
        <v/>
      </c>
      <c r="N448" s="20">
        <f>COUNTIFS(tData[SEHTrajectPeriodeDatumTijdVan],"&lt;="&amp;($A448+10/24),tData[SEHTrajectPeriodeDatumTijdTotEnMet],"&gt;"&amp;($A448+10/24),tData[Langligger01],1)</f>
        <v/>
      </c>
      <c r="O448" s="20">
        <f>COUNTIFS(tData[SEHTrajectPeriodeDatumTijdVan],"&lt;="&amp;($A448+11/24),tData[SEHTrajectPeriodeDatumTijdTotEnMet],"&gt;"&amp;($A448+11/24),tData[Langligger01],1)</f>
        <v/>
      </c>
      <c r="P448" s="20">
        <f>COUNTIFS(tData[SEHTrajectPeriodeDatumTijdVan],"&lt;="&amp;($A448+12/24),tData[SEHTrajectPeriodeDatumTijdTotEnMet],"&gt;"&amp;($A448+12/24),tData[Langligger01],1)</f>
        <v/>
      </c>
      <c r="Q448" s="20">
        <f>COUNTIFS(tData[SEHTrajectPeriodeDatumTijdVan],"&lt;="&amp;($A448+13/24),tData[SEHTrajectPeriodeDatumTijdTotEnMet],"&gt;"&amp;($A448+13/24),tData[Langligger01],1)</f>
        <v/>
      </c>
      <c r="R448" s="20">
        <f>COUNTIFS(tData[SEHTrajectPeriodeDatumTijdVan],"&lt;="&amp;($A448+14/24),tData[SEHTrajectPeriodeDatumTijdTotEnMet],"&gt;"&amp;($A448+14/24),tData[Langligger01],1)</f>
        <v/>
      </c>
      <c r="S448" s="20">
        <f>COUNTIFS(tData[SEHTrajectPeriodeDatumTijdVan],"&lt;="&amp;($A448+15/24),tData[SEHTrajectPeriodeDatumTijdTotEnMet],"&gt;"&amp;($A448+15/24),tData[Langligger01],1)</f>
        <v/>
      </c>
      <c r="T448" s="20">
        <f>COUNTIFS(tData[SEHTrajectPeriodeDatumTijdVan],"&lt;="&amp;($A448+16/24),tData[SEHTrajectPeriodeDatumTijdTotEnMet],"&gt;"&amp;($A448+16/24),tData[Langligger01],1)</f>
        <v/>
      </c>
      <c r="U448" s="20">
        <f>COUNTIFS(tData[SEHTrajectPeriodeDatumTijdVan],"&lt;="&amp;($A448+17/24),tData[SEHTrajectPeriodeDatumTijdTotEnMet],"&gt;"&amp;($A448+17/24),tData[Langligger01],1)</f>
        <v/>
      </c>
      <c r="V448" s="20">
        <f>COUNTIFS(tData[SEHTrajectPeriodeDatumTijdVan],"&lt;="&amp;($A448+18/24),tData[SEHTrajectPeriodeDatumTijdTotEnMet],"&gt;"&amp;($A448+18/24),tData[Langligger01],1)</f>
        <v/>
      </c>
      <c r="W448" s="20">
        <f>COUNTIFS(tData[SEHTrajectPeriodeDatumTijdVan],"&lt;="&amp;($A448+19/24),tData[SEHTrajectPeriodeDatumTijdTotEnMet],"&gt;"&amp;($A448+19/24),tData[Langligger01],1)</f>
        <v/>
      </c>
      <c r="X448" s="20">
        <f>COUNTIFS(tData[SEHTrajectPeriodeDatumTijdVan],"&lt;="&amp;($A448+20/24),tData[SEHTrajectPeriodeDatumTijdTotEnMet],"&gt;"&amp;($A448+20/24),tData[Langligger01],1)</f>
        <v/>
      </c>
      <c r="Y448" s="20">
        <f>COUNTIFS(tData[SEHTrajectPeriodeDatumTijdVan],"&lt;="&amp;($A448+21/24),tData[SEHTrajectPeriodeDatumTijdTotEnMet],"&gt;"&amp;($A448+21/24),tData[Langligger01],1)</f>
        <v/>
      </c>
      <c r="Z448" s="20">
        <f>COUNTIFS(tData[SEHTrajectPeriodeDatumTijdVan],"&lt;="&amp;($A448+22/24),tData[SEHTrajectPeriodeDatumTijdTotEnMet],"&gt;"&amp;($A448+22/24),tData[Langligger01],1)</f>
        <v/>
      </c>
      <c r="AA448" s="20">
        <f>COUNTIFS(tData[SEHTrajectPeriodeDatumTijdVan],"&lt;="&amp;($A448+23/24),tData[SEHTrajectPeriodeDatumTijdTotEnMet],"&gt;"&amp;($A448+23/24),tData[Langligger01],1)</f>
        <v/>
      </c>
    </row>
    <row r="449">
      <c r="A449" s="19" t="n">
        <v>45737</v>
      </c>
      <c r="B449" s="15">
        <f>WEEKDAY($A449,2)</f>
        <v/>
      </c>
      <c r="C449" s="15">
        <f>IF(AND($A449&gt;=INT(Instellingen!$B$5),$A449&lt;=INT(Instellingen!$B$6)),1,0)</f>
        <v/>
      </c>
      <c r="D449" s="20">
        <f>COUNTIFS(tData[SEHTrajectPeriodeDatumTijdVan],"&lt;="&amp;($A449+0/24),tData[SEHTrajectPeriodeDatumTijdTotEnMet],"&gt;"&amp;($A449+0/24),tData[Langligger01],1)</f>
        <v/>
      </c>
      <c r="E449" s="20">
        <f>COUNTIFS(tData[SEHTrajectPeriodeDatumTijdVan],"&lt;="&amp;($A449+1/24),tData[SEHTrajectPeriodeDatumTijdTotEnMet],"&gt;"&amp;($A449+1/24),tData[Langligger01],1)</f>
        <v/>
      </c>
      <c r="F449" s="20">
        <f>COUNTIFS(tData[SEHTrajectPeriodeDatumTijdVan],"&lt;="&amp;($A449+2/24),tData[SEHTrajectPeriodeDatumTijdTotEnMet],"&gt;"&amp;($A449+2/24),tData[Langligger01],1)</f>
        <v/>
      </c>
      <c r="G449" s="20">
        <f>COUNTIFS(tData[SEHTrajectPeriodeDatumTijdVan],"&lt;="&amp;($A449+3/24),tData[SEHTrajectPeriodeDatumTijdTotEnMet],"&gt;"&amp;($A449+3/24),tData[Langligger01],1)</f>
        <v/>
      </c>
      <c r="H449" s="20">
        <f>COUNTIFS(tData[SEHTrajectPeriodeDatumTijdVan],"&lt;="&amp;($A449+4/24),tData[SEHTrajectPeriodeDatumTijdTotEnMet],"&gt;"&amp;($A449+4/24),tData[Langligger01],1)</f>
        <v/>
      </c>
      <c r="I449" s="20">
        <f>COUNTIFS(tData[SEHTrajectPeriodeDatumTijdVan],"&lt;="&amp;($A449+5/24),tData[SEHTrajectPeriodeDatumTijdTotEnMet],"&gt;"&amp;($A449+5/24),tData[Langligger01],1)</f>
        <v/>
      </c>
      <c r="J449" s="20">
        <f>COUNTIFS(tData[SEHTrajectPeriodeDatumTijdVan],"&lt;="&amp;($A449+6/24),tData[SEHTrajectPeriodeDatumTijdTotEnMet],"&gt;"&amp;($A449+6/24),tData[Langligger01],1)</f>
        <v/>
      </c>
      <c r="K449" s="20">
        <f>COUNTIFS(tData[SEHTrajectPeriodeDatumTijdVan],"&lt;="&amp;($A449+7/24),tData[SEHTrajectPeriodeDatumTijdTotEnMet],"&gt;"&amp;($A449+7/24),tData[Langligger01],1)</f>
        <v/>
      </c>
      <c r="L449" s="20">
        <f>COUNTIFS(tData[SEHTrajectPeriodeDatumTijdVan],"&lt;="&amp;($A449+8/24),tData[SEHTrajectPeriodeDatumTijdTotEnMet],"&gt;"&amp;($A449+8/24),tData[Langligger01],1)</f>
        <v/>
      </c>
      <c r="M449" s="20">
        <f>COUNTIFS(tData[SEHTrajectPeriodeDatumTijdVan],"&lt;="&amp;($A449+9/24),tData[SEHTrajectPeriodeDatumTijdTotEnMet],"&gt;"&amp;($A449+9/24),tData[Langligger01],1)</f>
        <v/>
      </c>
      <c r="N449" s="20">
        <f>COUNTIFS(tData[SEHTrajectPeriodeDatumTijdVan],"&lt;="&amp;($A449+10/24),tData[SEHTrajectPeriodeDatumTijdTotEnMet],"&gt;"&amp;($A449+10/24),tData[Langligger01],1)</f>
        <v/>
      </c>
      <c r="O449" s="20">
        <f>COUNTIFS(tData[SEHTrajectPeriodeDatumTijdVan],"&lt;="&amp;($A449+11/24),tData[SEHTrajectPeriodeDatumTijdTotEnMet],"&gt;"&amp;($A449+11/24),tData[Langligger01],1)</f>
        <v/>
      </c>
      <c r="P449" s="20">
        <f>COUNTIFS(tData[SEHTrajectPeriodeDatumTijdVan],"&lt;="&amp;($A449+12/24),tData[SEHTrajectPeriodeDatumTijdTotEnMet],"&gt;"&amp;($A449+12/24),tData[Langligger01],1)</f>
        <v/>
      </c>
      <c r="Q449" s="20">
        <f>COUNTIFS(tData[SEHTrajectPeriodeDatumTijdVan],"&lt;="&amp;($A449+13/24),tData[SEHTrajectPeriodeDatumTijdTotEnMet],"&gt;"&amp;($A449+13/24),tData[Langligger01],1)</f>
        <v/>
      </c>
      <c r="R449" s="20">
        <f>COUNTIFS(tData[SEHTrajectPeriodeDatumTijdVan],"&lt;="&amp;($A449+14/24),tData[SEHTrajectPeriodeDatumTijdTotEnMet],"&gt;"&amp;($A449+14/24),tData[Langligger01],1)</f>
        <v/>
      </c>
      <c r="S449" s="20">
        <f>COUNTIFS(tData[SEHTrajectPeriodeDatumTijdVan],"&lt;="&amp;($A449+15/24),tData[SEHTrajectPeriodeDatumTijdTotEnMet],"&gt;"&amp;($A449+15/24),tData[Langligger01],1)</f>
        <v/>
      </c>
      <c r="T449" s="20">
        <f>COUNTIFS(tData[SEHTrajectPeriodeDatumTijdVan],"&lt;="&amp;($A449+16/24),tData[SEHTrajectPeriodeDatumTijdTotEnMet],"&gt;"&amp;($A449+16/24),tData[Langligger01],1)</f>
        <v/>
      </c>
      <c r="U449" s="20">
        <f>COUNTIFS(tData[SEHTrajectPeriodeDatumTijdVan],"&lt;="&amp;($A449+17/24),tData[SEHTrajectPeriodeDatumTijdTotEnMet],"&gt;"&amp;($A449+17/24),tData[Langligger01],1)</f>
        <v/>
      </c>
      <c r="V449" s="20">
        <f>COUNTIFS(tData[SEHTrajectPeriodeDatumTijdVan],"&lt;="&amp;($A449+18/24),tData[SEHTrajectPeriodeDatumTijdTotEnMet],"&gt;"&amp;($A449+18/24),tData[Langligger01],1)</f>
        <v/>
      </c>
      <c r="W449" s="20">
        <f>COUNTIFS(tData[SEHTrajectPeriodeDatumTijdVan],"&lt;="&amp;($A449+19/24),tData[SEHTrajectPeriodeDatumTijdTotEnMet],"&gt;"&amp;($A449+19/24),tData[Langligger01],1)</f>
        <v/>
      </c>
      <c r="X449" s="20">
        <f>COUNTIFS(tData[SEHTrajectPeriodeDatumTijdVan],"&lt;="&amp;($A449+20/24),tData[SEHTrajectPeriodeDatumTijdTotEnMet],"&gt;"&amp;($A449+20/24),tData[Langligger01],1)</f>
        <v/>
      </c>
      <c r="Y449" s="20">
        <f>COUNTIFS(tData[SEHTrajectPeriodeDatumTijdVan],"&lt;="&amp;($A449+21/24),tData[SEHTrajectPeriodeDatumTijdTotEnMet],"&gt;"&amp;($A449+21/24),tData[Langligger01],1)</f>
        <v/>
      </c>
      <c r="Z449" s="20">
        <f>COUNTIFS(tData[SEHTrajectPeriodeDatumTijdVan],"&lt;="&amp;($A449+22/24),tData[SEHTrajectPeriodeDatumTijdTotEnMet],"&gt;"&amp;($A449+22/24),tData[Langligger01],1)</f>
        <v/>
      </c>
      <c r="AA449" s="20">
        <f>COUNTIFS(tData[SEHTrajectPeriodeDatumTijdVan],"&lt;="&amp;($A449+23/24),tData[SEHTrajectPeriodeDatumTijdTotEnMet],"&gt;"&amp;($A449+23/24),tData[Langligger01],1)</f>
        <v/>
      </c>
    </row>
    <row r="450">
      <c r="A450" s="19" t="n">
        <v>45738</v>
      </c>
      <c r="B450" s="15">
        <f>WEEKDAY($A450,2)</f>
        <v/>
      </c>
      <c r="C450" s="15">
        <f>IF(AND($A450&gt;=INT(Instellingen!$B$5),$A450&lt;=INT(Instellingen!$B$6)),1,0)</f>
        <v/>
      </c>
      <c r="D450" s="20">
        <f>COUNTIFS(tData[SEHTrajectPeriodeDatumTijdVan],"&lt;="&amp;($A450+0/24),tData[SEHTrajectPeriodeDatumTijdTotEnMet],"&gt;"&amp;($A450+0/24),tData[Langligger01],1)</f>
        <v/>
      </c>
      <c r="E450" s="20">
        <f>COUNTIFS(tData[SEHTrajectPeriodeDatumTijdVan],"&lt;="&amp;($A450+1/24),tData[SEHTrajectPeriodeDatumTijdTotEnMet],"&gt;"&amp;($A450+1/24),tData[Langligger01],1)</f>
        <v/>
      </c>
      <c r="F450" s="20">
        <f>COUNTIFS(tData[SEHTrajectPeriodeDatumTijdVan],"&lt;="&amp;($A450+2/24),tData[SEHTrajectPeriodeDatumTijdTotEnMet],"&gt;"&amp;($A450+2/24),tData[Langligger01],1)</f>
        <v/>
      </c>
      <c r="G450" s="20">
        <f>COUNTIFS(tData[SEHTrajectPeriodeDatumTijdVan],"&lt;="&amp;($A450+3/24),tData[SEHTrajectPeriodeDatumTijdTotEnMet],"&gt;"&amp;($A450+3/24),tData[Langligger01],1)</f>
        <v/>
      </c>
      <c r="H450" s="20">
        <f>COUNTIFS(tData[SEHTrajectPeriodeDatumTijdVan],"&lt;="&amp;($A450+4/24),tData[SEHTrajectPeriodeDatumTijdTotEnMet],"&gt;"&amp;($A450+4/24),tData[Langligger01],1)</f>
        <v/>
      </c>
      <c r="I450" s="20">
        <f>COUNTIFS(tData[SEHTrajectPeriodeDatumTijdVan],"&lt;="&amp;($A450+5/24),tData[SEHTrajectPeriodeDatumTijdTotEnMet],"&gt;"&amp;($A450+5/24),tData[Langligger01],1)</f>
        <v/>
      </c>
      <c r="J450" s="20">
        <f>COUNTIFS(tData[SEHTrajectPeriodeDatumTijdVan],"&lt;="&amp;($A450+6/24),tData[SEHTrajectPeriodeDatumTijdTotEnMet],"&gt;"&amp;($A450+6/24),tData[Langligger01],1)</f>
        <v/>
      </c>
      <c r="K450" s="20">
        <f>COUNTIFS(tData[SEHTrajectPeriodeDatumTijdVan],"&lt;="&amp;($A450+7/24),tData[SEHTrajectPeriodeDatumTijdTotEnMet],"&gt;"&amp;($A450+7/24),tData[Langligger01],1)</f>
        <v/>
      </c>
      <c r="L450" s="20">
        <f>COUNTIFS(tData[SEHTrajectPeriodeDatumTijdVan],"&lt;="&amp;($A450+8/24),tData[SEHTrajectPeriodeDatumTijdTotEnMet],"&gt;"&amp;($A450+8/24),tData[Langligger01],1)</f>
        <v/>
      </c>
      <c r="M450" s="20">
        <f>COUNTIFS(tData[SEHTrajectPeriodeDatumTijdVan],"&lt;="&amp;($A450+9/24),tData[SEHTrajectPeriodeDatumTijdTotEnMet],"&gt;"&amp;($A450+9/24),tData[Langligger01],1)</f>
        <v/>
      </c>
      <c r="N450" s="20">
        <f>COUNTIFS(tData[SEHTrajectPeriodeDatumTijdVan],"&lt;="&amp;($A450+10/24),tData[SEHTrajectPeriodeDatumTijdTotEnMet],"&gt;"&amp;($A450+10/24),tData[Langligger01],1)</f>
        <v/>
      </c>
      <c r="O450" s="20">
        <f>COUNTIFS(tData[SEHTrajectPeriodeDatumTijdVan],"&lt;="&amp;($A450+11/24),tData[SEHTrajectPeriodeDatumTijdTotEnMet],"&gt;"&amp;($A450+11/24),tData[Langligger01],1)</f>
        <v/>
      </c>
      <c r="P450" s="20">
        <f>COUNTIFS(tData[SEHTrajectPeriodeDatumTijdVan],"&lt;="&amp;($A450+12/24),tData[SEHTrajectPeriodeDatumTijdTotEnMet],"&gt;"&amp;($A450+12/24),tData[Langligger01],1)</f>
        <v/>
      </c>
      <c r="Q450" s="20">
        <f>COUNTIFS(tData[SEHTrajectPeriodeDatumTijdVan],"&lt;="&amp;($A450+13/24),tData[SEHTrajectPeriodeDatumTijdTotEnMet],"&gt;"&amp;($A450+13/24),tData[Langligger01],1)</f>
        <v/>
      </c>
      <c r="R450" s="20">
        <f>COUNTIFS(tData[SEHTrajectPeriodeDatumTijdVan],"&lt;="&amp;($A450+14/24),tData[SEHTrajectPeriodeDatumTijdTotEnMet],"&gt;"&amp;($A450+14/24),tData[Langligger01],1)</f>
        <v/>
      </c>
      <c r="S450" s="20">
        <f>COUNTIFS(tData[SEHTrajectPeriodeDatumTijdVan],"&lt;="&amp;($A450+15/24),tData[SEHTrajectPeriodeDatumTijdTotEnMet],"&gt;"&amp;($A450+15/24),tData[Langligger01],1)</f>
        <v/>
      </c>
      <c r="T450" s="20">
        <f>COUNTIFS(tData[SEHTrajectPeriodeDatumTijdVan],"&lt;="&amp;($A450+16/24),tData[SEHTrajectPeriodeDatumTijdTotEnMet],"&gt;"&amp;($A450+16/24),tData[Langligger01],1)</f>
        <v/>
      </c>
      <c r="U450" s="20">
        <f>COUNTIFS(tData[SEHTrajectPeriodeDatumTijdVan],"&lt;="&amp;($A450+17/24),tData[SEHTrajectPeriodeDatumTijdTotEnMet],"&gt;"&amp;($A450+17/24),tData[Langligger01],1)</f>
        <v/>
      </c>
      <c r="V450" s="20">
        <f>COUNTIFS(tData[SEHTrajectPeriodeDatumTijdVan],"&lt;="&amp;($A450+18/24),tData[SEHTrajectPeriodeDatumTijdTotEnMet],"&gt;"&amp;($A450+18/24),tData[Langligger01],1)</f>
        <v/>
      </c>
      <c r="W450" s="20">
        <f>COUNTIFS(tData[SEHTrajectPeriodeDatumTijdVan],"&lt;="&amp;($A450+19/24),tData[SEHTrajectPeriodeDatumTijdTotEnMet],"&gt;"&amp;($A450+19/24),tData[Langligger01],1)</f>
        <v/>
      </c>
      <c r="X450" s="20">
        <f>COUNTIFS(tData[SEHTrajectPeriodeDatumTijdVan],"&lt;="&amp;($A450+20/24),tData[SEHTrajectPeriodeDatumTijdTotEnMet],"&gt;"&amp;($A450+20/24),tData[Langligger01],1)</f>
        <v/>
      </c>
      <c r="Y450" s="20">
        <f>COUNTIFS(tData[SEHTrajectPeriodeDatumTijdVan],"&lt;="&amp;($A450+21/24),tData[SEHTrajectPeriodeDatumTijdTotEnMet],"&gt;"&amp;($A450+21/24),tData[Langligger01],1)</f>
        <v/>
      </c>
      <c r="Z450" s="20">
        <f>COUNTIFS(tData[SEHTrajectPeriodeDatumTijdVan],"&lt;="&amp;($A450+22/24),tData[SEHTrajectPeriodeDatumTijdTotEnMet],"&gt;"&amp;($A450+22/24),tData[Langligger01],1)</f>
        <v/>
      </c>
      <c r="AA450" s="20">
        <f>COUNTIFS(tData[SEHTrajectPeriodeDatumTijdVan],"&lt;="&amp;($A450+23/24),tData[SEHTrajectPeriodeDatumTijdTotEnMet],"&gt;"&amp;($A450+23/24),tData[Langligger01],1)</f>
        <v/>
      </c>
    </row>
    <row r="451">
      <c r="A451" s="19" t="n">
        <v>45739</v>
      </c>
      <c r="B451" s="15">
        <f>WEEKDAY($A451,2)</f>
        <v/>
      </c>
      <c r="C451" s="15">
        <f>IF(AND($A451&gt;=INT(Instellingen!$B$5),$A451&lt;=INT(Instellingen!$B$6)),1,0)</f>
        <v/>
      </c>
      <c r="D451" s="20">
        <f>COUNTIFS(tData[SEHTrajectPeriodeDatumTijdVan],"&lt;="&amp;($A451+0/24),tData[SEHTrajectPeriodeDatumTijdTotEnMet],"&gt;"&amp;($A451+0/24),tData[Langligger01],1)</f>
        <v/>
      </c>
      <c r="E451" s="20">
        <f>COUNTIFS(tData[SEHTrajectPeriodeDatumTijdVan],"&lt;="&amp;($A451+1/24),tData[SEHTrajectPeriodeDatumTijdTotEnMet],"&gt;"&amp;($A451+1/24),tData[Langligger01],1)</f>
        <v/>
      </c>
      <c r="F451" s="20">
        <f>COUNTIFS(tData[SEHTrajectPeriodeDatumTijdVan],"&lt;="&amp;($A451+2/24),tData[SEHTrajectPeriodeDatumTijdTotEnMet],"&gt;"&amp;($A451+2/24),tData[Langligger01],1)</f>
        <v/>
      </c>
      <c r="G451" s="20">
        <f>COUNTIFS(tData[SEHTrajectPeriodeDatumTijdVan],"&lt;="&amp;($A451+3/24),tData[SEHTrajectPeriodeDatumTijdTotEnMet],"&gt;"&amp;($A451+3/24),tData[Langligger01],1)</f>
        <v/>
      </c>
      <c r="H451" s="20">
        <f>COUNTIFS(tData[SEHTrajectPeriodeDatumTijdVan],"&lt;="&amp;($A451+4/24),tData[SEHTrajectPeriodeDatumTijdTotEnMet],"&gt;"&amp;($A451+4/24),tData[Langligger01],1)</f>
        <v/>
      </c>
      <c r="I451" s="20">
        <f>COUNTIFS(tData[SEHTrajectPeriodeDatumTijdVan],"&lt;="&amp;($A451+5/24),tData[SEHTrajectPeriodeDatumTijdTotEnMet],"&gt;"&amp;($A451+5/24),tData[Langligger01],1)</f>
        <v/>
      </c>
      <c r="J451" s="20">
        <f>COUNTIFS(tData[SEHTrajectPeriodeDatumTijdVan],"&lt;="&amp;($A451+6/24),tData[SEHTrajectPeriodeDatumTijdTotEnMet],"&gt;"&amp;($A451+6/24),tData[Langligger01],1)</f>
        <v/>
      </c>
      <c r="K451" s="20">
        <f>COUNTIFS(tData[SEHTrajectPeriodeDatumTijdVan],"&lt;="&amp;($A451+7/24),tData[SEHTrajectPeriodeDatumTijdTotEnMet],"&gt;"&amp;($A451+7/24),tData[Langligger01],1)</f>
        <v/>
      </c>
      <c r="L451" s="20">
        <f>COUNTIFS(tData[SEHTrajectPeriodeDatumTijdVan],"&lt;="&amp;($A451+8/24),tData[SEHTrajectPeriodeDatumTijdTotEnMet],"&gt;"&amp;($A451+8/24),tData[Langligger01],1)</f>
        <v/>
      </c>
      <c r="M451" s="20">
        <f>COUNTIFS(tData[SEHTrajectPeriodeDatumTijdVan],"&lt;="&amp;($A451+9/24),tData[SEHTrajectPeriodeDatumTijdTotEnMet],"&gt;"&amp;($A451+9/24),tData[Langligger01],1)</f>
        <v/>
      </c>
      <c r="N451" s="20">
        <f>COUNTIFS(tData[SEHTrajectPeriodeDatumTijdVan],"&lt;="&amp;($A451+10/24),tData[SEHTrajectPeriodeDatumTijdTotEnMet],"&gt;"&amp;($A451+10/24),tData[Langligger01],1)</f>
        <v/>
      </c>
      <c r="O451" s="20">
        <f>COUNTIFS(tData[SEHTrajectPeriodeDatumTijdVan],"&lt;="&amp;($A451+11/24),tData[SEHTrajectPeriodeDatumTijdTotEnMet],"&gt;"&amp;($A451+11/24),tData[Langligger01],1)</f>
        <v/>
      </c>
      <c r="P451" s="20">
        <f>COUNTIFS(tData[SEHTrajectPeriodeDatumTijdVan],"&lt;="&amp;($A451+12/24),tData[SEHTrajectPeriodeDatumTijdTotEnMet],"&gt;"&amp;($A451+12/24),tData[Langligger01],1)</f>
        <v/>
      </c>
      <c r="Q451" s="20">
        <f>COUNTIFS(tData[SEHTrajectPeriodeDatumTijdVan],"&lt;="&amp;($A451+13/24),tData[SEHTrajectPeriodeDatumTijdTotEnMet],"&gt;"&amp;($A451+13/24),tData[Langligger01],1)</f>
        <v/>
      </c>
      <c r="R451" s="20">
        <f>COUNTIFS(tData[SEHTrajectPeriodeDatumTijdVan],"&lt;="&amp;($A451+14/24),tData[SEHTrajectPeriodeDatumTijdTotEnMet],"&gt;"&amp;($A451+14/24),tData[Langligger01],1)</f>
        <v/>
      </c>
      <c r="S451" s="20">
        <f>COUNTIFS(tData[SEHTrajectPeriodeDatumTijdVan],"&lt;="&amp;($A451+15/24),tData[SEHTrajectPeriodeDatumTijdTotEnMet],"&gt;"&amp;($A451+15/24),tData[Langligger01],1)</f>
        <v/>
      </c>
      <c r="T451" s="20">
        <f>COUNTIFS(tData[SEHTrajectPeriodeDatumTijdVan],"&lt;="&amp;($A451+16/24),tData[SEHTrajectPeriodeDatumTijdTotEnMet],"&gt;"&amp;($A451+16/24),tData[Langligger01],1)</f>
        <v/>
      </c>
      <c r="U451" s="20">
        <f>COUNTIFS(tData[SEHTrajectPeriodeDatumTijdVan],"&lt;="&amp;($A451+17/24),tData[SEHTrajectPeriodeDatumTijdTotEnMet],"&gt;"&amp;($A451+17/24),tData[Langligger01],1)</f>
        <v/>
      </c>
      <c r="V451" s="20">
        <f>COUNTIFS(tData[SEHTrajectPeriodeDatumTijdVan],"&lt;="&amp;($A451+18/24),tData[SEHTrajectPeriodeDatumTijdTotEnMet],"&gt;"&amp;($A451+18/24),tData[Langligger01],1)</f>
        <v/>
      </c>
      <c r="W451" s="20">
        <f>COUNTIFS(tData[SEHTrajectPeriodeDatumTijdVan],"&lt;="&amp;($A451+19/24),tData[SEHTrajectPeriodeDatumTijdTotEnMet],"&gt;"&amp;($A451+19/24),tData[Langligger01],1)</f>
        <v/>
      </c>
      <c r="X451" s="20">
        <f>COUNTIFS(tData[SEHTrajectPeriodeDatumTijdVan],"&lt;="&amp;($A451+20/24),tData[SEHTrajectPeriodeDatumTijdTotEnMet],"&gt;"&amp;($A451+20/24),tData[Langligger01],1)</f>
        <v/>
      </c>
      <c r="Y451" s="20">
        <f>COUNTIFS(tData[SEHTrajectPeriodeDatumTijdVan],"&lt;="&amp;($A451+21/24),tData[SEHTrajectPeriodeDatumTijdTotEnMet],"&gt;"&amp;($A451+21/24),tData[Langligger01],1)</f>
        <v/>
      </c>
      <c r="Z451" s="20">
        <f>COUNTIFS(tData[SEHTrajectPeriodeDatumTijdVan],"&lt;="&amp;($A451+22/24),tData[SEHTrajectPeriodeDatumTijdTotEnMet],"&gt;"&amp;($A451+22/24),tData[Langligger01],1)</f>
        <v/>
      </c>
      <c r="AA451" s="20">
        <f>COUNTIFS(tData[SEHTrajectPeriodeDatumTijdVan],"&lt;="&amp;($A451+23/24),tData[SEHTrajectPeriodeDatumTijdTotEnMet],"&gt;"&amp;($A451+23/24),tData[Langligger01],1)</f>
        <v/>
      </c>
    </row>
    <row r="452">
      <c r="A452" s="19" t="n">
        <v>45740</v>
      </c>
      <c r="B452" s="15">
        <f>WEEKDAY($A452,2)</f>
        <v/>
      </c>
      <c r="C452" s="15">
        <f>IF(AND($A452&gt;=INT(Instellingen!$B$5),$A452&lt;=INT(Instellingen!$B$6)),1,0)</f>
        <v/>
      </c>
      <c r="D452" s="20">
        <f>COUNTIFS(tData[SEHTrajectPeriodeDatumTijdVan],"&lt;="&amp;($A452+0/24),tData[SEHTrajectPeriodeDatumTijdTotEnMet],"&gt;"&amp;($A452+0/24),tData[Langligger01],1)</f>
        <v/>
      </c>
      <c r="E452" s="20">
        <f>COUNTIFS(tData[SEHTrajectPeriodeDatumTijdVan],"&lt;="&amp;($A452+1/24),tData[SEHTrajectPeriodeDatumTijdTotEnMet],"&gt;"&amp;($A452+1/24),tData[Langligger01],1)</f>
        <v/>
      </c>
      <c r="F452" s="20">
        <f>COUNTIFS(tData[SEHTrajectPeriodeDatumTijdVan],"&lt;="&amp;($A452+2/24),tData[SEHTrajectPeriodeDatumTijdTotEnMet],"&gt;"&amp;($A452+2/24),tData[Langligger01],1)</f>
        <v/>
      </c>
      <c r="G452" s="20">
        <f>COUNTIFS(tData[SEHTrajectPeriodeDatumTijdVan],"&lt;="&amp;($A452+3/24),tData[SEHTrajectPeriodeDatumTijdTotEnMet],"&gt;"&amp;($A452+3/24),tData[Langligger01],1)</f>
        <v/>
      </c>
      <c r="H452" s="20">
        <f>COUNTIFS(tData[SEHTrajectPeriodeDatumTijdVan],"&lt;="&amp;($A452+4/24),tData[SEHTrajectPeriodeDatumTijdTotEnMet],"&gt;"&amp;($A452+4/24),tData[Langligger01],1)</f>
        <v/>
      </c>
      <c r="I452" s="20">
        <f>COUNTIFS(tData[SEHTrajectPeriodeDatumTijdVan],"&lt;="&amp;($A452+5/24),tData[SEHTrajectPeriodeDatumTijdTotEnMet],"&gt;"&amp;($A452+5/24),tData[Langligger01],1)</f>
        <v/>
      </c>
      <c r="J452" s="20">
        <f>COUNTIFS(tData[SEHTrajectPeriodeDatumTijdVan],"&lt;="&amp;($A452+6/24),tData[SEHTrajectPeriodeDatumTijdTotEnMet],"&gt;"&amp;($A452+6/24),tData[Langligger01],1)</f>
        <v/>
      </c>
      <c r="K452" s="20">
        <f>COUNTIFS(tData[SEHTrajectPeriodeDatumTijdVan],"&lt;="&amp;($A452+7/24),tData[SEHTrajectPeriodeDatumTijdTotEnMet],"&gt;"&amp;($A452+7/24),tData[Langligger01],1)</f>
        <v/>
      </c>
      <c r="L452" s="20">
        <f>COUNTIFS(tData[SEHTrajectPeriodeDatumTijdVan],"&lt;="&amp;($A452+8/24),tData[SEHTrajectPeriodeDatumTijdTotEnMet],"&gt;"&amp;($A452+8/24),tData[Langligger01],1)</f>
        <v/>
      </c>
      <c r="M452" s="20">
        <f>COUNTIFS(tData[SEHTrajectPeriodeDatumTijdVan],"&lt;="&amp;($A452+9/24),tData[SEHTrajectPeriodeDatumTijdTotEnMet],"&gt;"&amp;($A452+9/24),tData[Langligger01],1)</f>
        <v/>
      </c>
      <c r="N452" s="20">
        <f>COUNTIFS(tData[SEHTrajectPeriodeDatumTijdVan],"&lt;="&amp;($A452+10/24),tData[SEHTrajectPeriodeDatumTijdTotEnMet],"&gt;"&amp;($A452+10/24),tData[Langligger01],1)</f>
        <v/>
      </c>
      <c r="O452" s="20">
        <f>COUNTIFS(tData[SEHTrajectPeriodeDatumTijdVan],"&lt;="&amp;($A452+11/24),tData[SEHTrajectPeriodeDatumTijdTotEnMet],"&gt;"&amp;($A452+11/24),tData[Langligger01],1)</f>
        <v/>
      </c>
      <c r="P452" s="20">
        <f>COUNTIFS(tData[SEHTrajectPeriodeDatumTijdVan],"&lt;="&amp;($A452+12/24),tData[SEHTrajectPeriodeDatumTijdTotEnMet],"&gt;"&amp;($A452+12/24),tData[Langligger01],1)</f>
        <v/>
      </c>
      <c r="Q452" s="20">
        <f>COUNTIFS(tData[SEHTrajectPeriodeDatumTijdVan],"&lt;="&amp;($A452+13/24),tData[SEHTrajectPeriodeDatumTijdTotEnMet],"&gt;"&amp;($A452+13/24),tData[Langligger01],1)</f>
        <v/>
      </c>
      <c r="R452" s="20">
        <f>COUNTIFS(tData[SEHTrajectPeriodeDatumTijdVan],"&lt;="&amp;($A452+14/24),tData[SEHTrajectPeriodeDatumTijdTotEnMet],"&gt;"&amp;($A452+14/24),tData[Langligger01],1)</f>
        <v/>
      </c>
      <c r="S452" s="20">
        <f>COUNTIFS(tData[SEHTrajectPeriodeDatumTijdVan],"&lt;="&amp;($A452+15/24),tData[SEHTrajectPeriodeDatumTijdTotEnMet],"&gt;"&amp;($A452+15/24),tData[Langligger01],1)</f>
        <v/>
      </c>
      <c r="T452" s="20">
        <f>COUNTIFS(tData[SEHTrajectPeriodeDatumTijdVan],"&lt;="&amp;($A452+16/24),tData[SEHTrajectPeriodeDatumTijdTotEnMet],"&gt;"&amp;($A452+16/24),tData[Langligger01],1)</f>
        <v/>
      </c>
      <c r="U452" s="20">
        <f>COUNTIFS(tData[SEHTrajectPeriodeDatumTijdVan],"&lt;="&amp;($A452+17/24),tData[SEHTrajectPeriodeDatumTijdTotEnMet],"&gt;"&amp;($A452+17/24),tData[Langligger01],1)</f>
        <v/>
      </c>
      <c r="V452" s="20">
        <f>COUNTIFS(tData[SEHTrajectPeriodeDatumTijdVan],"&lt;="&amp;($A452+18/24),tData[SEHTrajectPeriodeDatumTijdTotEnMet],"&gt;"&amp;($A452+18/24),tData[Langligger01],1)</f>
        <v/>
      </c>
      <c r="W452" s="20">
        <f>COUNTIFS(tData[SEHTrajectPeriodeDatumTijdVan],"&lt;="&amp;($A452+19/24),tData[SEHTrajectPeriodeDatumTijdTotEnMet],"&gt;"&amp;($A452+19/24),tData[Langligger01],1)</f>
        <v/>
      </c>
      <c r="X452" s="20">
        <f>COUNTIFS(tData[SEHTrajectPeriodeDatumTijdVan],"&lt;="&amp;($A452+20/24),tData[SEHTrajectPeriodeDatumTijdTotEnMet],"&gt;"&amp;($A452+20/24),tData[Langligger01],1)</f>
        <v/>
      </c>
      <c r="Y452" s="20">
        <f>COUNTIFS(tData[SEHTrajectPeriodeDatumTijdVan],"&lt;="&amp;($A452+21/24),tData[SEHTrajectPeriodeDatumTijdTotEnMet],"&gt;"&amp;($A452+21/24),tData[Langligger01],1)</f>
        <v/>
      </c>
      <c r="Z452" s="20">
        <f>COUNTIFS(tData[SEHTrajectPeriodeDatumTijdVan],"&lt;="&amp;($A452+22/24),tData[SEHTrajectPeriodeDatumTijdTotEnMet],"&gt;"&amp;($A452+22/24),tData[Langligger01],1)</f>
        <v/>
      </c>
      <c r="AA452" s="20">
        <f>COUNTIFS(tData[SEHTrajectPeriodeDatumTijdVan],"&lt;="&amp;($A452+23/24),tData[SEHTrajectPeriodeDatumTijdTotEnMet],"&gt;"&amp;($A452+23/24),tData[Langligger01],1)</f>
        <v/>
      </c>
    </row>
    <row r="453">
      <c r="A453" s="19" t="n">
        <v>45741</v>
      </c>
      <c r="B453" s="15">
        <f>WEEKDAY($A453,2)</f>
        <v/>
      </c>
      <c r="C453" s="15">
        <f>IF(AND($A453&gt;=INT(Instellingen!$B$5),$A453&lt;=INT(Instellingen!$B$6)),1,0)</f>
        <v/>
      </c>
      <c r="D453" s="20">
        <f>COUNTIFS(tData[SEHTrajectPeriodeDatumTijdVan],"&lt;="&amp;($A453+0/24),tData[SEHTrajectPeriodeDatumTijdTotEnMet],"&gt;"&amp;($A453+0/24),tData[Langligger01],1)</f>
        <v/>
      </c>
      <c r="E453" s="20">
        <f>COUNTIFS(tData[SEHTrajectPeriodeDatumTijdVan],"&lt;="&amp;($A453+1/24),tData[SEHTrajectPeriodeDatumTijdTotEnMet],"&gt;"&amp;($A453+1/24),tData[Langligger01],1)</f>
        <v/>
      </c>
      <c r="F453" s="20">
        <f>COUNTIFS(tData[SEHTrajectPeriodeDatumTijdVan],"&lt;="&amp;($A453+2/24),tData[SEHTrajectPeriodeDatumTijdTotEnMet],"&gt;"&amp;($A453+2/24),tData[Langligger01],1)</f>
        <v/>
      </c>
      <c r="G453" s="20">
        <f>COUNTIFS(tData[SEHTrajectPeriodeDatumTijdVan],"&lt;="&amp;($A453+3/24),tData[SEHTrajectPeriodeDatumTijdTotEnMet],"&gt;"&amp;($A453+3/24),tData[Langligger01],1)</f>
        <v/>
      </c>
      <c r="H453" s="20">
        <f>COUNTIFS(tData[SEHTrajectPeriodeDatumTijdVan],"&lt;="&amp;($A453+4/24),tData[SEHTrajectPeriodeDatumTijdTotEnMet],"&gt;"&amp;($A453+4/24),tData[Langligger01],1)</f>
        <v/>
      </c>
      <c r="I453" s="20">
        <f>COUNTIFS(tData[SEHTrajectPeriodeDatumTijdVan],"&lt;="&amp;($A453+5/24),tData[SEHTrajectPeriodeDatumTijdTotEnMet],"&gt;"&amp;($A453+5/24),tData[Langligger01],1)</f>
        <v/>
      </c>
      <c r="J453" s="20">
        <f>COUNTIFS(tData[SEHTrajectPeriodeDatumTijdVan],"&lt;="&amp;($A453+6/24),tData[SEHTrajectPeriodeDatumTijdTotEnMet],"&gt;"&amp;($A453+6/24),tData[Langligger01],1)</f>
        <v/>
      </c>
      <c r="K453" s="20">
        <f>COUNTIFS(tData[SEHTrajectPeriodeDatumTijdVan],"&lt;="&amp;($A453+7/24),tData[SEHTrajectPeriodeDatumTijdTotEnMet],"&gt;"&amp;($A453+7/24),tData[Langligger01],1)</f>
        <v/>
      </c>
      <c r="L453" s="20">
        <f>COUNTIFS(tData[SEHTrajectPeriodeDatumTijdVan],"&lt;="&amp;($A453+8/24),tData[SEHTrajectPeriodeDatumTijdTotEnMet],"&gt;"&amp;($A453+8/24),tData[Langligger01],1)</f>
        <v/>
      </c>
      <c r="M453" s="20">
        <f>COUNTIFS(tData[SEHTrajectPeriodeDatumTijdVan],"&lt;="&amp;($A453+9/24),tData[SEHTrajectPeriodeDatumTijdTotEnMet],"&gt;"&amp;($A453+9/24),tData[Langligger01],1)</f>
        <v/>
      </c>
      <c r="N453" s="20">
        <f>COUNTIFS(tData[SEHTrajectPeriodeDatumTijdVan],"&lt;="&amp;($A453+10/24),tData[SEHTrajectPeriodeDatumTijdTotEnMet],"&gt;"&amp;($A453+10/24),tData[Langligger01],1)</f>
        <v/>
      </c>
      <c r="O453" s="20">
        <f>COUNTIFS(tData[SEHTrajectPeriodeDatumTijdVan],"&lt;="&amp;($A453+11/24),tData[SEHTrajectPeriodeDatumTijdTotEnMet],"&gt;"&amp;($A453+11/24),tData[Langligger01],1)</f>
        <v/>
      </c>
      <c r="P453" s="20">
        <f>COUNTIFS(tData[SEHTrajectPeriodeDatumTijdVan],"&lt;="&amp;($A453+12/24),tData[SEHTrajectPeriodeDatumTijdTotEnMet],"&gt;"&amp;($A453+12/24),tData[Langligger01],1)</f>
        <v/>
      </c>
      <c r="Q453" s="20">
        <f>COUNTIFS(tData[SEHTrajectPeriodeDatumTijdVan],"&lt;="&amp;($A453+13/24),tData[SEHTrajectPeriodeDatumTijdTotEnMet],"&gt;"&amp;($A453+13/24),tData[Langligger01],1)</f>
        <v/>
      </c>
      <c r="R453" s="20">
        <f>COUNTIFS(tData[SEHTrajectPeriodeDatumTijdVan],"&lt;="&amp;($A453+14/24),tData[SEHTrajectPeriodeDatumTijdTotEnMet],"&gt;"&amp;($A453+14/24),tData[Langligger01],1)</f>
        <v/>
      </c>
      <c r="S453" s="20">
        <f>COUNTIFS(tData[SEHTrajectPeriodeDatumTijdVan],"&lt;="&amp;($A453+15/24),tData[SEHTrajectPeriodeDatumTijdTotEnMet],"&gt;"&amp;($A453+15/24),tData[Langligger01],1)</f>
        <v/>
      </c>
      <c r="T453" s="20">
        <f>COUNTIFS(tData[SEHTrajectPeriodeDatumTijdVan],"&lt;="&amp;($A453+16/24),tData[SEHTrajectPeriodeDatumTijdTotEnMet],"&gt;"&amp;($A453+16/24),tData[Langligger01],1)</f>
        <v/>
      </c>
      <c r="U453" s="20">
        <f>COUNTIFS(tData[SEHTrajectPeriodeDatumTijdVan],"&lt;="&amp;($A453+17/24),tData[SEHTrajectPeriodeDatumTijdTotEnMet],"&gt;"&amp;($A453+17/24),tData[Langligger01],1)</f>
        <v/>
      </c>
      <c r="V453" s="20">
        <f>COUNTIFS(tData[SEHTrajectPeriodeDatumTijdVan],"&lt;="&amp;($A453+18/24),tData[SEHTrajectPeriodeDatumTijdTotEnMet],"&gt;"&amp;($A453+18/24),tData[Langligger01],1)</f>
        <v/>
      </c>
      <c r="W453" s="20">
        <f>COUNTIFS(tData[SEHTrajectPeriodeDatumTijdVan],"&lt;="&amp;($A453+19/24),tData[SEHTrajectPeriodeDatumTijdTotEnMet],"&gt;"&amp;($A453+19/24),tData[Langligger01],1)</f>
        <v/>
      </c>
      <c r="X453" s="20">
        <f>COUNTIFS(tData[SEHTrajectPeriodeDatumTijdVan],"&lt;="&amp;($A453+20/24),tData[SEHTrajectPeriodeDatumTijdTotEnMet],"&gt;"&amp;($A453+20/24),tData[Langligger01],1)</f>
        <v/>
      </c>
      <c r="Y453" s="20">
        <f>COUNTIFS(tData[SEHTrajectPeriodeDatumTijdVan],"&lt;="&amp;($A453+21/24),tData[SEHTrajectPeriodeDatumTijdTotEnMet],"&gt;"&amp;($A453+21/24),tData[Langligger01],1)</f>
        <v/>
      </c>
      <c r="Z453" s="20">
        <f>COUNTIFS(tData[SEHTrajectPeriodeDatumTijdVan],"&lt;="&amp;($A453+22/24),tData[SEHTrajectPeriodeDatumTijdTotEnMet],"&gt;"&amp;($A453+22/24),tData[Langligger01],1)</f>
        <v/>
      </c>
      <c r="AA453" s="20">
        <f>COUNTIFS(tData[SEHTrajectPeriodeDatumTijdVan],"&lt;="&amp;($A453+23/24),tData[SEHTrajectPeriodeDatumTijdTotEnMet],"&gt;"&amp;($A453+23/24),tData[Langligger01],1)</f>
        <v/>
      </c>
    </row>
    <row r="454">
      <c r="A454" s="19" t="n">
        <v>45742</v>
      </c>
      <c r="B454" s="15">
        <f>WEEKDAY($A454,2)</f>
        <v/>
      </c>
      <c r="C454" s="15">
        <f>IF(AND($A454&gt;=INT(Instellingen!$B$5),$A454&lt;=INT(Instellingen!$B$6)),1,0)</f>
        <v/>
      </c>
      <c r="D454" s="20">
        <f>COUNTIFS(tData[SEHTrajectPeriodeDatumTijdVan],"&lt;="&amp;($A454+0/24),tData[SEHTrajectPeriodeDatumTijdTotEnMet],"&gt;"&amp;($A454+0/24),tData[Langligger01],1)</f>
        <v/>
      </c>
      <c r="E454" s="20">
        <f>COUNTIFS(tData[SEHTrajectPeriodeDatumTijdVan],"&lt;="&amp;($A454+1/24),tData[SEHTrajectPeriodeDatumTijdTotEnMet],"&gt;"&amp;($A454+1/24),tData[Langligger01],1)</f>
        <v/>
      </c>
      <c r="F454" s="20">
        <f>COUNTIFS(tData[SEHTrajectPeriodeDatumTijdVan],"&lt;="&amp;($A454+2/24),tData[SEHTrajectPeriodeDatumTijdTotEnMet],"&gt;"&amp;($A454+2/24),tData[Langligger01],1)</f>
        <v/>
      </c>
      <c r="G454" s="20">
        <f>COUNTIFS(tData[SEHTrajectPeriodeDatumTijdVan],"&lt;="&amp;($A454+3/24),tData[SEHTrajectPeriodeDatumTijdTotEnMet],"&gt;"&amp;($A454+3/24),tData[Langligger01],1)</f>
        <v/>
      </c>
      <c r="H454" s="20">
        <f>COUNTIFS(tData[SEHTrajectPeriodeDatumTijdVan],"&lt;="&amp;($A454+4/24),tData[SEHTrajectPeriodeDatumTijdTotEnMet],"&gt;"&amp;($A454+4/24),tData[Langligger01],1)</f>
        <v/>
      </c>
      <c r="I454" s="20">
        <f>COUNTIFS(tData[SEHTrajectPeriodeDatumTijdVan],"&lt;="&amp;($A454+5/24),tData[SEHTrajectPeriodeDatumTijdTotEnMet],"&gt;"&amp;($A454+5/24),tData[Langligger01],1)</f>
        <v/>
      </c>
      <c r="J454" s="20">
        <f>COUNTIFS(tData[SEHTrajectPeriodeDatumTijdVan],"&lt;="&amp;($A454+6/24),tData[SEHTrajectPeriodeDatumTijdTotEnMet],"&gt;"&amp;($A454+6/24),tData[Langligger01],1)</f>
        <v/>
      </c>
      <c r="K454" s="20">
        <f>COUNTIFS(tData[SEHTrajectPeriodeDatumTijdVan],"&lt;="&amp;($A454+7/24),tData[SEHTrajectPeriodeDatumTijdTotEnMet],"&gt;"&amp;($A454+7/24),tData[Langligger01],1)</f>
        <v/>
      </c>
      <c r="L454" s="20">
        <f>COUNTIFS(tData[SEHTrajectPeriodeDatumTijdVan],"&lt;="&amp;($A454+8/24),tData[SEHTrajectPeriodeDatumTijdTotEnMet],"&gt;"&amp;($A454+8/24),tData[Langligger01],1)</f>
        <v/>
      </c>
      <c r="M454" s="20">
        <f>COUNTIFS(tData[SEHTrajectPeriodeDatumTijdVan],"&lt;="&amp;($A454+9/24),tData[SEHTrajectPeriodeDatumTijdTotEnMet],"&gt;"&amp;($A454+9/24),tData[Langligger01],1)</f>
        <v/>
      </c>
      <c r="N454" s="20">
        <f>COUNTIFS(tData[SEHTrajectPeriodeDatumTijdVan],"&lt;="&amp;($A454+10/24),tData[SEHTrajectPeriodeDatumTijdTotEnMet],"&gt;"&amp;($A454+10/24),tData[Langligger01],1)</f>
        <v/>
      </c>
      <c r="O454" s="20">
        <f>COUNTIFS(tData[SEHTrajectPeriodeDatumTijdVan],"&lt;="&amp;($A454+11/24),tData[SEHTrajectPeriodeDatumTijdTotEnMet],"&gt;"&amp;($A454+11/24),tData[Langligger01],1)</f>
        <v/>
      </c>
      <c r="P454" s="20">
        <f>COUNTIFS(tData[SEHTrajectPeriodeDatumTijdVan],"&lt;="&amp;($A454+12/24),tData[SEHTrajectPeriodeDatumTijdTotEnMet],"&gt;"&amp;($A454+12/24),tData[Langligger01],1)</f>
        <v/>
      </c>
      <c r="Q454" s="20">
        <f>COUNTIFS(tData[SEHTrajectPeriodeDatumTijdVan],"&lt;="&amp;($A454+13/24),tData[SEHTrajectPeriodeDatumTijdTotEnMet],"&gt;"&amp;($A454+13/24),tData[Langligger01],1)</f>
        <v/>
      </c>
      <c r="R454" s="20">
        <f>COUNTIFS(tData[SEHTrajectPeriodeDatumTijdVan],"&lt;="&amp;($A454+14/24),tData[SEHTrajectPeriodeDatumTijdTotEnMet],"&gt;"&amp;($A454+14/24),tData[Langligger01],1)</f>
        <v/>
      </c>
      <c r="S454" s="20">
        <f>COUNTIFS(tData[SEHTrajectPeriodeDatumTijdVan],"&lt;="&amp;($A454+15/24),tData[SEHTrajectPeriodeDatumTijdTotEnMet],"&gt;"&amp;($A454+15/24),tData[Langligger01],1)</f>
        <v/>
      </c>
      <c r="T454" s="20">
        <f>COUNTIFS(tData[SEHTrajectPeriodeDatumTijdVan],"&lt;="&amp;($A454+16/24),tData[SEHTrajectPeriodeDatumTijdTotEnMet],"&gt;"&amp;($A454+16/24),tData[Langligger01],1)</f>
        <v/>
      </c>
      <c r="U454" s="20">
        <f>COUNTIFS(tData[SEHTrajectPeriodeDatumTijdVan],"&lt;="&amp;($A454+17/24),tData[SEHTrajectPeriodeDatumTijdTotEnMet],"&gt;"&amp;($A454+17/24),tData[Langligger01],1)</f>
        <v/>
      </c>
      <c r="V454" s="20">
        <f>COUNTIFS(tData[SEHTrajectPeriodeDatumTijdVan],"&lt;="&amp;($A454+18/24),tData[SEHTrajectPeriodeDatumTijdTotEnMet],"&gt;"&amp;($A454+18/24),tData[Langligger01],1)</f>
        <v/>
      </c>
      <c r="W454" s="20">
        <f>COUNTIFS(tData[SEHTrajectPeriodeDatumTijdVan],"&lt;="&amp;($A454+19/24),tData[SEHTrajectPeriodeDatumTijdTotEnMet],"&gt;"&amp;($A454+19/24),tData[Langligger01],1)</f>
        <v/>
      </c>
      <c r="X454" s="20">
        <f>COUNTIFS(tData[SEHTrajectPeriodeDatumTijdVan],"&lt;="&amp;($A454+20/24),tData[SEHTrajectPeriodeDatumTijdTotEnMet],"&gt;"&amp;($A454+20/24),tData[Langligger01],1)</f>
        <v/>
      </c>
      <c r="Y454" s="20">
        <f>COUNTIFS(tData[SEHTrajectPeriodeDatumTijdVan],"&lt;="&amp;($A454+21/24),tData[SEHTrajectPeriodeDatumTijdTotEnMet],"&gt;"&amp;($A454+21/24),tData[Langligger01],1)</f>
        <v/>
      </c>
      <c r="Z454" s="20">
        <f>COUNTIFS(tData[SEHTrajectPeriodeDatumTijdVan],"&lt;="&amp;($A454+22/24),tData[SEHTrajectPeriodeDatumTijdTotEnMet],"&gt;"&amp;($A454+22/24),tData[Langligger01],1)</f>
        <v/>
      </c>
      <c r="AA454" s="20">
        <f>COUNTIFS(tData[SEHTrajectPeriodeDatumTijdVan],"&lt;="&amp;($A454+23/24),tData[SEHTrajectPeriodeDatumTijdTotEnMet],"&gt;"&amp;($A454+23/24),tData[Langligger01],1)</f>
        <v/>
      </c>
    </row>
    <row r="455">
      <c r="A455" s="19" t="n">
        <v>45743</v>
      </c>
      <c r="B455" s="15">
        <f>WEEKDAY($A455,2)</f>
        <v/>
      </c>
      <c r="C455" s="15">
        <f>IF(AND($A455&gt;=INT(Instellingen!$B$5),$A455&lt;=INT(Instellingen!$B$6)),1,0)</f>
        <v/>
      </c>
      <c r="D455" s="20">
        <f>COUNTIFS(tData[SEHTrajectPeriodeDatumTijdVan],"&lt;="&amp;($A455+0/24),tData[SEHTrajectPeriodeDatumTijdTotEnMet],"&gt;"&amp;($A455+0/24),tData[Langligger01],1)</f>
        <v/>
      </c>
      <c r="E455" s="20">
        <f>COUNTIFS(tData[SEHTrajectPeriodeDatumTijdVan],"&lt;="&amp;($A455+1/24),tData[SEHTrajectPeriodeDatumTijdTotEnMet],"&gt;"&amp;($A455+1/24),tData[Langligger01],1)</f>
        <v/>
      </c>
      <c r="F455" s="20">
        <f>COUNTIFS(tData[SEHTrajectPeriodeDatumTijdVan],"&lt;="&amp;($A455+2/24),tData[SEHTrajectPeriodeDatumTijdTotEnMet],"&gt;"&amp;($A455+2/24),tData[Langligger01],1)</f>
        <v/>
      </c>
      <c r="G455" s="20">
        <f>COUNTIFS(tData[SEHTrajectPeriodeDatumTijdVan],"&lt;="&amp;($A455+3/24),tData[SEHTrajectPeriodeDatumTijdTotEnMet],"&gt;"&amp;($A455+3/24),tData[Langligger01],1)</f>
        <v/>
      </c>
      <c r="H455" s="20">
        <f>COUNTIFS(tData[SEHTrajectPeriodeDatumTijdVan],"&lt;="&amp;($A455+4/24),tData[SEHTrajectPeriodeDatumTijdTotEnMet],"&gt;"&amp;($A455+4/24),tData[Langligger01],1)</f>
        <v/>
      </c>
      <c r="I455" s="20">
        <f>COUNTIFS(tData[SEHTrajectPeriodeDatumTijdVan],"&lt;="&amp;($A455+5/24),tData[SEHTrajectPeriodeDatumTijdTotEnMet],"&gt;"&amp;($A455+5/24),tData[Langligger01],1)</f>
        <v/>
      </c>
      <c r="J455" s="20">
        <f>COUNTIFS(tData[SEHTrajectPeriodeDatumTijdVan],"&lt;="&amp;($A455+6/24),tData[SEHTrajectPeriodeDatumTijdTotEnMet],"&gt;"&amp;($A455+6/24),tData[Langligger01],1)</f>
        <v/>
      </c>
      <c r="K455" s="20">
        <f>COUNTIFS(tData[SEHTrajectPeriodeDatumTijdVan],"&lt;="&amp;($A455+7/24),tData[SEHTrajectPeriodeDatumTijdTotEnMet],"&gt;"&amp;($A455+7/24),tData[Langligger01],1)</f>
        <v/>
      </c>
      <c r="L455" s="20">
        <f>COUNTIFS(tData[SEHTrajectPeriodeDatumTijdVan],"&lt;="&amp;($A455+8/24),tData[SEHTrajectPeriodeDatumTijdTotEnMet],"&gt;"&amp;($A455+8/24),tData[Langligger01],1)</f>
        <v/>
      </c>
      <c r="M455" s="20">
        <f>COUNTIFS(tData[SEHTrajectPeriodeDatumTijdVan],"&lt;="&amp;($A455+9/24),tData[SEHTrajectPeriodeDatumTijdTotEnMet],"&gt;"&amp;($A455+9/24),tData[Langligger01],1)</f>
        <v/>
      </c>
      <c r="N455" s="20">
        <f>COUNTIFS(tData[SEHTrajectPeriodeDatumTijdVan],"&lt;="&amp;($A455+10/24),tData[SEHTrajectPeriodeDatumTijdTotEnMet],"&gt;"&amp;($A455+10/24),tData[Langligger01],1)</f>
        <v/>
      </c>
      <c r="O455" s="20">
        <f>COUNTIFS(tData[SEHTrajectPeriodeDatumTijdVan],"&lt;="&amp;($A455+11/24),tData[SEHTrajectPeriodeDatumTijdTotEnMet],"&gt;"&amp;($A455+11/24),tData[Langligger01],1)</f>
        <v/>
      </c>
      <c r="P455" s="20">
        <f>COUNTIFS(tData[SEHTrajectPeriodeDatumTijdVan],"&lt;="&amp;($A455+12/24),tData[SEHTrajectPeriodeDatumTijdTotEnMet],"&gt;"&amp;($A455+12/24),tData[Langligger01],1)</f>
        <v/>
      </c>
      <c r="Q455" s="20">
        <f>COUNTIFS(tData[SEHTrajectPeriodeDatumTijdVan],"&lt;="&amp;($A455+13/24),tData[SEHTrajectPeriodeDatumTijdTotEnMet],"&gt;"&amp;($A455+13/24),tData[Langligger01],1)</f>
        <v/>
      </c>
      <c r="R455" s="20">
        <f>COUNTIFS(tData[SEHTrajectPeriodeDatumTijdVan],"&lt;="&amp;($A455+14/24),tData[SEHTrajectPeriodeDatumTijdTotEnMet],"&gt;"&amp;($A455+14/24),tData[Langligger01],1)</f>
        <v/>
      </c>
      <c r="S455" s="20">
        <f>COUNTIFS(tData[SEHTrajectPeriodeDatumTijdVan],"&lt;="&amp;($A455+15/24),tData[SEHTrajectPeriodeDatumTijdTotEnMet],"&gt;"&amp;($A455+15/24),tData[Langligger01],1)</f>
        <v/>
      </c>
      <c r="T455" s="20">
        <f>COUNTIFS(tData[SEHTrajectPeriodeDatumTijdVan],"&lt;="&amp;($A455+16/24),tData[SEHTrajectPeriodeDatumTijdTotEnMet],"&gt;"&amp;($A455+16/24),tData[Langligger01],1)</f>
        <v/>
      </c>
      <c r="U455" s="20">
        <f>COUNTIFS(tData[SEHTrajectPeriodeDatumTijdVan],"&lt;="&amp;($A455+17/24),tData[SEHTrajectPeriodeDatumTijdTotEnMet],"&gt;"&amp;($A455+17/24),tData[Langligger01],1)</f>
        <v/>
      </c>
      <c r="V455" s="20">
        <f>COUNTIFS(tData[SEHTrajectPeriodeDatumTijdVan],"&lt;="&amp;($A455+18/24),tData[SEHTrajectPeriodeDatumTijdTotEnMet],"&gt;"&amp;($A455+18/24),tData[Langligger01],1)</f>
        <v/>
      </c>
      <c r="W455" s="20">
        <f>COUNTIFS(tData[SEHTrajectPeriodeDatumTijdVan],"&lt;="&amp;($A455+19/24),tData[SEHTrajectPeriodeDatumTijdTotEnMet],"&gt;"&amp;($A455+19/24),tData[Langligger01],1)</f>
        <v/>
      </c>
      <c r="X455" s="20">
        <f>COUNTIFS(tData[SEHTrajectPeriodeDatumTijdVan],"&lt;="&amp;($A455+20/24),tData[SEHTrajectPeriodeDatumTijdTotEnMet],"&gt;"&amp;($A455+20/24),tData[Langligger01],1)</f>
        <v/>
      </c>
      <c r="Y455" s="20">
        <f>COUNTIFS(tData[SEHTrajectPeriodeDatumTijdVan],"&lt;="&amp;($A455+21/24),tData[SEHTrajectPeriodeDatumTijdTotEnMet],"&gt;"&amp;($A455+21/24),tData[Langligger01],1)</f>
        <v/>
      </c>
      <c r="Z455" s="20">
        <f>COUNTIFS(tData[SEHTrajectPeriodeDatumTijdVan],"&lt;="&amp;($A455+22/24),tData[SEHTrajectPeriodeDatumTijdTotEnMet],"&gt;"&amp;($A455+22/24),tData[Langligger01],1)</f>
        <v/>
      </c>
      <c r="AA455" s="20">
        <f>COUNTIFS(tData[SEHTrajectPeriodeDatumTijdVan],"&lt;="&amp;($A455+23/24),tData[SEHTrajectPeriodeDatumTijdTotEnMet],"&gt;"&amp;($A455+23/24),tData[Langligger01],1)</f>
        <v/>
      </c>
    </row>
    <row r="456">
      <c r="A456" s="19" t="n">
        <v>45744</v>
      </c>
      <c r="B456" s="15">
        <f>WEEKDAY($A456,2)</f>
        <v/>
      </c>
      <c r="C456" s="15">
        <f>IF(AND($A456&gt;=INT(Instellingen!$B$5),$A456&lt;=INT(Instellingen!$B$6)),1,0)</f>
        <v/>
      </c>
      <c r="D456" s="20">
        <f>COUNTIFS(tData[SEHTrajectPeriodeDatumTijdVan],"&lt;="&amp;($A456+0/24),tData[SEHTrajectPeriodeDatumTijdTotEnMet],"&gt;"&amp;($A456+0/24),tData[Langligger01],1)</f>
        <v/>
      </c>
      <c r="E456" s="20">
        <f>COUNTIFS(tData[SEHTrajectPeriodeDatumTijdVan],"&lt;="&amp;($A456+1/24),tData[SEHTrajectPeriodeDatumTijdTotEnMet],"&gt;"&amp;($A456+1/24),tData[Langligger01],1)</f>
        <v/>
      </c>
      <c r="F456" s="20">
        <f>COUNTIFS(tData[SEHTrajectPeriodeDatumTijdVan],"&lt;="&amp;($A456+2/24),tData[SEHTrajectPeriodeDatumTijdTotEnMet],"&gt;"&amp;($A456+2/24),tData[Langligger01],1)</f>
        <v/>
      </c>
      <c r="G456" s="20">
        <f>COUNTIFS(tData[SEHTrajectPeriodeDatumTijdVan],"&lt;="&amp;($A456+3/24),tData[SEHTrajectPeriodeDatumTijdTotEnMet],"&gt;"&amp;($A456+3/24),tData[Langligger01],1)</f>
        <v/>
      </c>
      <c r="H456" s="20">
        <f>COUNTIFS(tData[SEHTrajectPeriodeDatumTijdVan],"&lt;="&amp;($A456+4/24),tData[SEHTrajectPeriodeDatumTijdTotEnMet],"&gt;"&amp;($A456+4/24),tData[Langligger01],1)</f>
        <v/>
      </c>
      <c r="I456" s="20">
        <f>COUNTIFS(tData[SEHTrajectPeriodeDatumTijdVan],"&lt;="&amp;($A456+5/24),tData[SEHTrajectPeriodeDatumTijdTotEnMet],"&gt;"&amp;($A456+5/24),tData[Langligger01],1)</f>
        <v/>
      </c>
      <c r="J456" s="20">
        <f>COUNTIFS(tData[SEHTrajectPeriodeDatumTijdVan],"&lt;="&amp;($A456+6/24),tData[SEHTrajectPeriodeDatumTijdTotEnMet],"&gt;"&amp;($A456+6/24),tData[Langligger01],1)</f>
        <v/>
      </c>
      <c r="K456" s="20">
        <f>COUNTIFS(tData[SEHTrajectPeriodeDatumTijdVan],"&lt;="&amp;($A456+7/24),tData[SEHTrajectPeriodeDatumTijdTotEnMet],"&gt;"&amp;($A456+7/24),tData[Langligger01],1)</f>
        <v/>
      </c>
      <c r="L456" s="20">
        <f>COUNTIFS(tData[SEHTrajectPeriodeDatumTijdVan],"&lt;="&amp;($A456+8/24),tData[SEHTrajectPeriodeDatumTijdTotEnMet],"&gt;"&amp;($A456+8/24),tData[Langligger01],1)</f>
        <v/>
      </c>
      <c r="M456" s="20">
        <f>COUNTIFS(tData[SEHTrajectPeriodeDatumTijdVan],"&lt;="&amp;($A456+9/24),tData[SEHTrajectPeriodeDatumTijdTotEnMet],"&gt;"&amp;($A456+9/24),tData[Langligger01],1)</f>
        <v/>
      </c>
      <c r="N456" s="20">
        <f>COUNTIFS(tData[SEHTrajectPeriodeDatumTijdVan],"&lt;="&amp;($A456+10/24),tData[SEHTrajectPeriodeDatumTijdTotEnMet],"&gt;"&amp;($A456+10/24),tData[Langligger01],1)</f>
        <v/>
      </c>
      <c r="O456" s="20">
        <f>COUNTIFS(tData[SEHTrajectPeriodeDatumTijdVan],"&lt;="&amp;($A456+11/24),tData[SEHTrajectPeriodeDatumTijdTotEnMet],"&gt;"&amp;($A456+11/24),tData[Langligger01],1)</f>
        <v/>
      </c>
      <c r="P456" s="20">
        <f>COUNTIFS(tData[SEHTrajectPeriodeDatumTijdVan],"&lt;="&amp;($A456+12/24),tData[SEHTrajectPeriodeDatumTijdTotEnMet],"&gt;"&amp;($A456+12/24),tData[Langligger01],1)</f>
        <v/>
      </c>
      <c r="Q456" s="20">
        <f>COUNTIFS(tData[SEHTrajectPeriodeDatumTijdVan],"&lt;="&amp;($A456+13/24),tData[SEHTrajectPeriodeDatumTijdTotEnMet],"&gt;"&amp;($A456+13/24),tData[Langligger01],1)</f>
        <v/>
      </c>
      <c r="R456" s="20">
        <f>COUNTIFS(tData[SEHTrajectPeriodeDatumTijdVan],"&lt;="&amp;($A456+14/24),tData[SEHTrajectPeriodeDatumTijdTotEnMet],"&gt;"&amp;($A456+14/24),tData[Langligger01],1)</f>
        <v/>
      </c>
      <c r="S456" s="20">
        <f>COUNTIFS(tData[SEHTrajectPeriodeDatumTijdVan],"&lt;="&amp;($A456+15/24),tData[SEHTrajectPeriodeDatumTijdTotEnMet],"&gt;"&amp;($A456+15/24),tData[Langligger01],1)</f>
        <v/>
      </c>
      <c r="T456" s="20">
        <f>COUNTIFS(tData[SEHTrajectPeriodeDatumTijdVan],"&lt;="&amp;($A456+16/24),tData[SEHTrajectPeriodeDatumTijdTotEnMet],"&gt;"&amp;($A456+16/24),tData[Langligger01],1)</f>
        <v/>
      </c>
      <c r="U456" s="20">
        <f>COUNTIFS(tData[SEHTrajectPeriodeDatumTijdVan],"&lt;="&amp;($A456+17/24),tData[SEHTrajectPeriodeDatumTijdTotEnMet],"&gt;"&amp;($A456+17/24),tData[Langligger01],1)</f>
        <v/>
      </c>
      <c r="V456" s="20">
        <f>COUNTIFS(tData[SEHTrajectPeriodeDatumTijdVan],"&lt;="&amp;($A456+18/24),tData[SEHTrajectPeriodeDatumTijdTotEnMet],"&gt;"&amp;($A456+18/24),tData[Langligger01],1)</f>
        <v/>
      </c>
      <c r="W456" s="20">
        <f>COUNTIFS(tData[SEHTrajectPeriodeDatumTijdVan],"&lt;="&amp;($A456+19/24),tData[SEHTrajectPeriodeDatumTijdTotEnMet],"&gt;"&amp;($A456+19/24),tData[Langligger01],1)</f>
        <v/>
      </c>
      <c r="X456" s="20">
        <f>COUNTIFS(tData[SEHTrajectPeriodeDatumTijdVan],"&lt;="&amp;($A456+20/24),tData[SEHTrajectPeriodeDatumTijdTotEnMet],"&gt;"&amp;($A456+20/24),tData[Langligger01],1)</f>
        <v/>
      </c>
      <c r="Y456" s="20">
        <f>COUNTIFS(tData[SEHTrajectPeriodeDatumTijdVan],"&lt;="&amp;($A456+21/24),tData[SEHTrajectPeriodeDatumTijdTotEnMet],"&gt;"&amp;($A456+21/24),tData[Langligger01],1)</f>
        <v/>
      </c>
      <c r="Z456" s="20">
        <f>COUNTIFS(tData[SEHTrajectPeriodeDatumTijdVan],"&lt;="&amp;($A456+22/24),tData[SEHTrajectPeriodeDatumTijdTotEnMet],"&gt;"&amp;($A456+22/24),tData[Langligger01],1)</f>
        <v/>
      </c>
      <c r="AA456" s="20">
        <f>COUNTIFS(tData[SEHTrajectPeriodeDatumTijdVan],"&lt;="&amp;($A456+23/24),tData[SEHTrajectPeriodeDatumTijdTotEnMet],"&gt;"&amp;($A456+23/24),tData[Langligger01],1)</f>
        <v/>
      </c>
    </row>
    <row r="457">
      <c r="A457" s="19" t="n">
        <v>45745</v>
      </c>
      <c r="B457" s="15">
        <f>WEEKDAY($A457,2)</f>
        <v/>
      </c>
      <c r="C457" s="15">
        <f>IF(AND($A457&gt;=INT(Instellingen!$B$5),$A457&lt;=INT(Instellingen!$B$6)),1,0)</f>
        <v/>
      </c>
      <c r="D457" s="20">
        <f>COUNTIFS(tData[SEHTrajectPeriodeDatumTijdVan],"&lt;="&amp;($A457+0/24),tData[SEHTrajectPeriodeDatumTijdTotEnMet],"&gt;"&amp;($A457+0/24),tData[Langligger01],1)</f>
        <v/>
      </c>
      <c r="E457" s="20">
        <f>COUNTIFS(tData[SEHTrajectPeriodeDatumTijdVan],"&lt;="&amp;($A457+1/24),tData[SEHTrajectPeriodeDatumTijdTotEnMet],"&gt;"&amp;($A457+1/24),tData[Langligger01],1)</f>
        <v/>
      </c>
      <c r="F457" s="20">
        <f>COUNTIFS(tData[SEHTrajectPeriodeDatumTijdVan],"&lt;="&amp;($A457+2/24),tData[SEHTrajectPeriodeDatumTijdTotEnMet],"&gt;"&amp;($A457+2/24),tData[Langligger01],1)</f>
        <v/>
      </c>
      <c r="G457" s="20">
        <f>COUNTIFS(tData[SEHTrajectPeriodeDatumTijdVan],"&lt;="&amp;($A457+3/24),tData[SEHTrajectPeriodeDatumTijdTotEnMet],"&gt;"&amp;($A457+3/24),tData[Langligger01],1)</f>
        <v/>
      </c>
      <c r="H457" s="20">
        <f>COUNTIFS(tData[SEHTrajectPeriodeDatumTijdVan],"&lt;="&amp;($A457+4/24),tData[SEHTrajectPeriodeDatumTijdTotEnMet],"&gt;"&amp;($A457+4/24),tData[Langligger01],1)</f>
        <v/>
      </c>
      <c r="I457" s="20">
        <f>COUNTIFS(tData[SEHTrajectPeriodeDatumTijdVan],"&lt;="&amp;($A457+5/24),tData[SEHTrajectPeriodeDatumTijdTotEnMet],"&gt;"&amp;($A457+5/24),tData[Langligger01],1)</f>
        <v/>
      </c>
      <c r="J457" s="20">
        <f>COUNTIFS(tData[SEHTrajectPeriodeDatumTijdVan],"&lt;="&amp;($A457+6/24),tData[SEHTrajectPeriodeDatumTijdTotEnMet],"&gt;"&amp;($A457+6/24),tData[Langligger01],1)</f>
        <v/>
      </c>
      <c r="K457" s="20">
        <f>COUNTIFS(tData[SEHTrajectPeriodeDatumTijdVan],"&lt;="&amp;($A457+7/24),tData[SEHTrajectPeriodeDatumTijdTotEnMet],"&gt;"&amp;($A457+7/24),tData[Langligger01],1)</f>
        <v/>
      </c>
      <c r="L457" s="20">
        <f>COUNTIFS(tData[SEHTrajectPeriodeDatumTijdVan],"&lt;="&amp;($A457+8/24),tData[SEHTrajectPeriodeDatumTijdTotEnMet],"&gt;"&amp;($A457+8/24),tData[Langligger01],1)</f>
        <v/>
      </c>
      <c r="M457" s="20">
        <f>COUNTIFS(tData[SEHTrajectPeriodeDatumTijdVan],"&lt;="&amp;($A457+9/24),tData[SEHTrajectPeriodeDatumTijdTotEnMet],"&gt;"&amp;($A457+9/24),tData[Langligger01],1)</f>
        <v/>
      </c>
      <c r="N457" s="20">
        <f>COUNTIFS(tData[SEHTrajectPeriodeDatumTijdVan],"&lt;="&amp;($A457+10/24),tData[SEHTrajectPeriodeDatumTijdTotEnMet],"&gt;"&amp;($A457+10/24),tData[Langligger01],1)</f>
        <v/>
      </c>
      <c r="O457" s="20">
        <f>COUNTIFS(tData[SEHTrajectPeriodeDatumTijdVan],"&lt;="&amp;($A457+11/24),tData[SEHTrajectPeriodeDatumTijdTotEnMet],"&gt;"&amp;($A457+11/24),tData[Langligger01],1)</f>
        <v/>
      </c>
      <c r="P457" s="20">
        <f>COUNTIFS(tData[SEHTrajectPeriodeDatumTijdVan],"&lt;="&amp;($A457+12/24),tData[SEHTrajectPeriodeDatumTijdTotEnMet],"&gt;"&amp;($A457+12/24),tData[Langligger01],1)</f>
        <v/>
      </c>
      <c r="Q457" s="20">
        <f>COUNTIFS(tData[SEHTrajectPeriodeDatumTijdVan],"&lt;="&amp;($A457+13/24),tData[SEHTrajectPeriodeDatumTijdTotEnMet],"&gt;"&amp;($A457+13/24),tData[Langligger01],1)</f>
        <v/>
      </c>
      <c r="R457" s="20">
        <f>COUNTIFS(tData[SEHTrajectPeriodeDatumTijdVan],"&lt;="&amp;($A457+14/24),tData[SEHTrajectPeriodeDatumTijdTotEnMet],"&gt;"&amp;($A457+14/24),tData[Langligger01],1)</f>
        <v/>
      </c>
      <c r="S457" s="20">
        <f>COUNTIFS(tData[SEHTrajectPeriodeDatumTijdVan],"&lt;="&amp;($A457+15/24),tData[SEHTrajectPeriodeDatumTijdTotEnMet],"&gt;"&amp;($A457+15/24),tData[Langligger01],1)</f>
        <v/>
      </c>
      <c r="T457" s="20">
        <f>COUNTIFS(tData[SEHTrajectPeriodeDatumTijdVan],"&lt;="&amp;($A457+16/24),tData[SEHTrajectPeriodeDatumTijdTotEnMet],"&gt;"&amp;($A457+16/24),tData[Langligger01],1)</f>
        <v/>
      </c>
      <c r="U457" s="20">
        <f>COUNTIFS(tData[SEHTrajectPeriodeDatumTijdVan],"&lt;="&amp;($A457+17/24),tData[SEHTrajectPeriodeDatumTijdTotEnMet],"&gt;"&amp;($A457+17/24),tData[Langligger01],1)</f>
        <v/>
      </c>
      <c r="V457" s="20">
        <f>COUNTIFS(tData[SEHTrajectPeriodeDatumTijdVan],"&lt;="&amp;($A457+18/24),tData[SEHTrajectPeriodeDatumTijdTotEnMet],"&gt;"&amp;($A457+18/24),tData[Langligger01],1)</f>
        <v/>
      </c>
      <c r="W457" s="20">
        <f>COUNTIFS(tData[SEHTrajectPeriodeDatumTijdVan],"&lt;="&amp;($A457+19/24),tData[SEHTrajectPeriodeDatumTijdTotEnMet],"&gt;"&amp;($A457+19/24),tData[Langligger01],1)</f>
        <v/>
      </c>
      <c r="X457" s="20">
        <f>COUNTIFS(tData[SEHTrajectPeriodeDatumTijdVan],"&lt;="&amp;($A457+20/24),tData[SEHTrajectPeriodeDatumTijdTotEnMet],"&gt;"&amp;($A457+20/24),tData[Langligger01],1)</f>
        <v/>
      </c>
      <c r="Y457" s="20">
        <f>COUNTIFS(tData[SEHTrajectPeriodeDatumTijdVan],"&lt;="&amp;($A457+21/24),tData[SEHTrajectPeriodeDatumTijdTotEnMet],"&gt;"&amp;($A457+21/24),tData[Langligger01],1)</f>
        <v/>
      </c>
      <c r="Z457" s="20">
        <f>COUNTIFS(tData[SEHTrajectPeriodeDatumTijdVan],"&lt;="&amp;($A457+22/24),tData[SEHTrajectPeriodeDatumTijdTotEnMet],"&gt;"&amp;($A457+22/24),tData[Langligger01],1)</f>
        <v/>
      </c>
      <c r="AA457" s="20">
        <f>COUNTIFS(tData[SEHTrajectPeriodeDatumTijdVan],"&lt;="&amp;($A457+23/24),tData[SEHTrajectPeriodeDatumTijdTotEnMet],"&gt;"&amp;($A457+23/24),tData[Langligger01],1)</f>
        <v/>
      </c>
    </row>
    <row r="458">
      <c r="A458" s="19" t="n">
        <v>45746</v>
      </c>
      <c r="B458" s="15">
        <f>WEEKDAY($A458,2)</f>
        <v/>
      </c>
      <c r="C458" s="15">
        <f>IF(AND($A458&gt;=INT(Instellingen!$B$5),$A458&lt;=INT(Instellingen!$B$6)),1,0)</f>
        <v/>
      </c>
      <c r="D458" s="20">
        <f>COUNTIFS(tData[SEHTrajectPeriodeDatumTijdVan],"&lt;="&amp;($A458+0/24),tData[SEHTrajectPeriodeDatumTijdTotEnMet],"&gt;"&amp;($A458+0/24),tData[Langligger01],1)</f>
        <v/>
      </c>
      <c r="E458" s="20">
        <f>COUNTIFS(tData[SEHTrajectPeriodeDatumTijdVan],"&lt;="&amp;($A458+1/24),tData[SEHTrajectPeriodeDatumTijdTotEnMet],"&gt;"&amp;($A458+1/24),tData[Langligger01],1)</f>
        <v/>
      </c>
      <c r="F458" s="20">
        <f>COUNTIFS(tData[SEHTrajectPeriodeDatumTijdVan],"&lt;="&amp;($A458+2/24),tData[SEHTrajectPeriodeDatumTijdTotEnMet],"&gt;"&amp;($A458+2/24),tData[Langligger01],1)</f>
        <v/>
      </c>
      <c r="G458" s="20">
        <f>COUNTIFS(tData[SEHTrajectPeriodeDatumTijdVan],"&lt;="&amp;($A458+3/24),tData[SEHTrajectPeriodeDatumTijdTotEnMet],"&gt;"&amp;($A458+3/24),tData[Langligger01],1)</f>
        <v/>
      </c>
      <c r="H458" s="20">
        <f>COUNTIFS(tData[SEHTrajectPeriodeDatumTijdVan],"&lt;="&amp;($A458+4/24),tData[SEHTrajectPeriodeDatumTijdTotEnMet],"&gt;"&amp;($A458+4/24),tData[Langligger01],1)</f>
        <v/>
      </c>
      <c r="I458" s="20">
        <f>COUNTIFS(tData[SEHTrajectPeriodeDatumTijdVan],"&lt;="&amp;($A458+5/24),tData[SEHTrajectPeriodeDatumTijdTotEnMet],"&gt;"&amp;($A458+5/24),tData[Langligger01],1)</f>
        <v/>
      </c>
      <c r="J458" s="20">
        <f>COUNTIFS(tData[SEHTrajectPeriodeDatumTijdVan],"&lt;="&amp;($A458+6/24),tData[SEHTrajectPeriodeDatumTijdTotEnMet],"&gt;"&amp;($A458+6/24),tData[Langligger01],1)</f>
        <v/>
      </c>
      <c r="K458" s="20">
        <f>COUNTIFS(tData[SEHTrajectPeriodeDatumTijdVan],"&lt;="&amp;($A458+7/24),tData[SEHTrajectPeriodeDatumTijdTotEnMet],"&gt;"&amp;($A458+7/24),tData[Langligger01],1)</f>
        <v/>
      </c>
      <c r="L458" s="20">
        <f>COUNTIFS(tData[SEHTrajectPeriodeDatumTijdVan],"&lt;="&amp;($A458+8/24),tData[SEHTrajectPeriodeDatumTijdTotEnMet],"&gt;"&amp;($A458+8/24),tData[Langligger01],1)</f>
        <v/>
      </c>
      <c r="M458" s="20">
        <f>COUNTIFS(tData[SEHTrajectPeriodeDatumTijdVan],"&lt;="&amp;($A458+9/24),tData[SEHTrajectPeriodeDatumTijdTotEnMet],"&gt;"&amp;($A458+9/24),tData[Langligger01],1)</f>
        <v/>
      </c>
      <c r="N458" s="20">
        <f>COUNTIFS(tData[SEHTrajectPeriodeDatumTijdVan],"&lt;="&amp;($A458+10/24),tData[SEHTrajectPeriodeDatumTijdTotEnMet],"&gt;"&amp;($A458+10/24),tData[Langligger01],1)</f>
        <v/>
      </c>
      <c r="O458" s="20">
        <f>COUNTIFS(tData[SEHTrajectPeriodeDatumTijdVan],"&lt;="&amp;($A458+11/24),tData[SEHTrajectPeriodeDatumTijdTotEnMet],"&gt;"&amp;($A458+11/24),tData[Langligger01],1)</f>
        <v/>
      </c>
      <c r="P458" s="20">
        <f>COUNTIFS(tData[SEHTrajectPeriodeDatumTijdVan],"&lt;="&amp;($A458+12/24),tData[SEHTrajectPeriodeDatumTijdTotEnMet],"&gt;"&amp;($A458+12/24),tData[Langligger01],1)</f>
        <v/>
      </c>
      <c r="Q458" s="20">
        <f>COUNTIFS(tData[SEHTrajectPeriodeDatumTijdVan],"&lt;="&amp;($A458+13/24),tData[SEHTrajectPeriodeDatumTijdTotEnMet],"&gt;"&amp;($A458+13/24),tData[Langligger01],1)</f>
        <v/>
      </c>
      <c r="R458" s="20">
        <f>COUNTIFS(tData[SEHTrajectPeriodeDatumTijdVan],"&lt;="&amp;($A458+14/24),tData[SEHTrajectPeriodeDatumTijdTotEnMet],"&gt;"&amp;($A458+14/24),tData[Langligger01],1)</f>
        <v/>
      </c>
      <c r="S458" s="20">
        <f>COUNTIFS(tData[SEHTrajectPeriodeDatumTijdVan],"&lt;="&amp;($A458+15/24),tData[SEHTrajectPeriodeDatumTijdTotEnMet],"&gt;"&amp;($A458+15/24),tData[Langligger01],1)</f>
        <v/>
      </c>
      <c r="T458" s="20">
        <f>COUNTIFS(tData[SEHTrajectPeriodeDatumTijdVan],"&lt;="&amp;($A458+16/24),tData[SEHTrajectPeriodeDatumTijdTotEnMet],"&gt;"&amp;($A458+16/24),tData[Langligger01],1)</f>
        <v/>
      </c>
      <c r="U458" s="20">
        <f>COUNTIFS(tData[SEHTrajectPeriodeDatumTijdVan],"&lt;="&amp;($A458+17/24),tData[SEHTrajectPeriodeDatumTijdTotEnMet],"&gt;"&amp;($A458+17/24),tData[Langligger01],1)</f>
        <v/>
      </c>
      <c r="V458" s="20">
        <f>COUNTIFS(tData[SEHTrajectPeriodeDatumTijdVan],"&lt;="&amp;($A458+18/24),tData[SEHTrajectPeriodeDatumTijdTotEnMet],"&gt;"&amp;($A458+18/24),tData[Langligger01],1)</f>
        <v/>
      </c>
      <c r="W458" s="20">
        <f>COUNTIFS(tData[SEHTrajectPeriodeDatumTijdVan],"&lt;="&amp;($A458+19/24),tData[SEHTrajectPeriodeDatumTijdTotEnMet],"&gt;"&amp;($A458+19/24),tData[Langligger01],1)</f>
        <v/>
      </c>
      <c r="X458" s="20">
        <f>COUNTIFS(tData[SEHTrajectPeriodeDatumTijdVan],"&lt;="&amp;($A458+20/24),tData[SEHTrajectPeriodeDatumTijdTotEnMet],"&gt;"&amp;($A458+20/24),tData[Langligger01],1)</f>
        <v/>
      </c>
      <c r="Y458" s="20">
        <f>COUNTIFS(tData[SEHTrajectPeriodeDatumTijdVan],"&lt;="&amp;($A458+21/24),tData[SEHTrajectPeriodeDatumTijdTotEnMet],"&gt;"&amp;($A458+21/24),tData[Langligger01],1)</f>
        <v/>
      </c>
      <c r="Z458" s="20">
        <f>COUNTIFS(tData[SEHTrajectPeriodeDatumTijdVan],"&lt;="&amp;($A458+22/24),tData[SEHTrajectPeriodeDatumTijdTotEnMet],"&gt;"&amp;($A458+22/24),tData[Langligger01],1)</f>
        <v/>
      </c>
      <c r="AA458" s="20">
        <f>COUNTIFS(tData[SEHTrajectPeriodeDatumTijdVan],"&lt;="&amp;($A458+23/24),tData[SEHTrajectPeriodeDatumTijdTotEnMet],"&gt;"&amp;($A458+23/24),tData[Langligger01],1)</f>
        <v/>
      </c>
    </row>
    <row r="459">
      <c r="A459" s="19" t="n">
        <v>45747</v>
      </c>
      <c r="B459" s="15">
        <f>WEEKDAY($A459,2)</f>
        <v/>
      </c>
      <c r="C459" s="15">
        <f>IF(AND($A459&gt;=INT(Instellingen!$B$5),$A459&lt;=INT(Instellingen!$B$6)),1,0)</f>
        <v/>
      </c>
      <c r="D459" s="20">
        <f>COUNTIFS(tData[SEHTrajectPeriodeDatumTijdVan],"&lt;="&amp;($A459+0/24),tData[SEHTrajectPeriodeDatumTijdTotEnMet],"&gt;"&amp;($A459+0/24),tData[Langligger01],1)</f>
        <v/>
      </c>
      <c r="E459" s="20">
        <f>COUNTIFS(tData[SEHTrajectPeriodeDatumTijdVan],"&lt;="&amp;($A459+1/24),tData[SEHTrajectPeriodeDatumTijdTotEnMet],"&gt;"&amp;($A459+1/24),tData[Langligger01],1)</f>
        <v/>
      </c>
      <c r="F459" s="20">
        <f>COUNTIFS(tData[SEHTrajectPeriodeDatumTijdVan],"&lt;="&amp;($A459+2/24),tData[SEHTrajectPeriodeDatumTijdTotEnMet],"&gt;"&amp;($A459+2/24),tData[Langligger01],1)</f>
        <v/>
      </c>
      <c r="G459" s="20">
        <f>COUNTIFS(tData[SEHTrajectPeriodeDatumTijdVan],"&lt;="&amp;($A459+3/24),tData[SEHTrajectPeriodeDatumTijdTotEnMet],"&gt;"&amp;($A459+3/24),tData[Langligger01],1)</f>
        <v/>
      </c>
      <c r="H459" s="20">
        <f>COUNTIFS(tData[SEHTrajectPeriodeDatumTijdVan],"&lt;="&amp;($A459+4/24),tData[SEHTrajectPeriodeDatumTijdTotEnMet],"&gt;"&amp;($A459+4/24),tData[Langligger01],1)</f>
        <v/>
      </c>
      <c r="I459" s="20">
        <f>COUNTIFS(tData[SEHTrajectPeriodeDatumTijdVan],"&lt;="&amp;($A459+5/24),tData[SEHTrajectPeriodeDatumTijdTotEnMet],"&gt;"&amp;($A459+5/24),tData[Langligger01],1)</f>
        <v/>
      </c>
      <c r="J459" s="20">
        <f>COUNTIFS(tData[SEHTrajectPeriodeDatumTijdVan],"&lt;="&amp;($A459+6/24),tData[SEHTrajectPeriodeDatumTijdTotEnMet],"&gt;"&amp;($A459+6/24),tData[Langligger01],1)</f>
        <v/>
      </c>
      <c r="K459" s="20">
        <f>COUNTIFS(tData[SEHTrajectPeriodeDatumTijdVan],"&lt;="&amp;($A459+7/24),tData[SEHTrajectPeriodeDatumTijdTotEnMet],"&gt;"&amp;($A459+7/24),tData[Langligger01],1)</f>
        <v/>
      </c>
      <c r="L459" s="20">
        <f>COUNTIFS(tData[SEHTrajectPeriodeDatumTijdVan],"&lt;="&amp;($A459+8/24),tData[SEHTrajectPeriodeDatumTijdTotEnMet],"&gt;"&amp;($A459+8/24),tData[Langligger01],1)</f>
        <v/>
      </c>
      <c r="M459" s="20">
        <f>COUNTIFS(tData[SEHTrajectPeriodeDatumTijdVan],"&lt;="&amp;($A459+9/24),tData[SEHTrajectPeriodeDatumTijdTotEnMet],"&gt;"&amp;($A459+9/24),tData[Langligger01],1)</f>
        <v/>
      </c>
      <c r="N459" s="20">
        <f>COUNTIFS(tData[SEHTrajectPeriodeDatumTijdVan],"&lt;="&amp;($A459+10/24),tData[SEHTrajectPeriodeDatumTijdTotEnMet],"&gt;"&amp;($A459+10/24),tData[Langligger01],1)</f>
        <v/>
      </c>
      <c r="O459" s="20">
        <f>COUNTIFS(tData[SEHTrajectPeriodeDatumTijdVan],"&lt;="&amp;($A459+11/24),tData[SEHTrajectPeriodeDatumTijdTotEnMet],"&gt;"&amp;($A459+11/24),tData[Langligger01],1)</f>
        <v/>
      </c>
      <c r="P459" s="20">
        <f>COUNTIFS(tData[SEHTrajectPeriodeDatumTijdVan],"&lt;="&amp;($A459+12/24),tData[SEHTrajectPeriodeDatumTijdTotEnMet],"&gt;"&amp;($A459+12/24),tData[Langligger01],1)</f>
        <v/>
      </c>
      <c r="Q459" s="20">
        <f>COUNTIFS(tData[SEHTrajectPeriodeDatumTijdVan],"&lt;="&amp;($A459+13/24),tData[SEHTrajectPeriodeDatumTijdTotEnMet],"&gt;"&amp;($A459+13/24),tData[Langligger01],1)</f>
        <v/>
      </c>
      <c r="R459" s="20">
        <f>COUNTIFS(tData[SEHTrajectPeriodeDatumTijdVan],"&lt;="&amp;($A459+14/24),tData[SEHTrajectPeriodeDatumTijdTotEnMet],"&gt;"&amp;($A459+14/24),tData[Langligger01],1)</f>
        <v/>
      </c>
      <c r="S459" s="20">
        <f>COUNTIFS(tData[SEHTrajectPeriodeDatumTijdVan],"&lt;="&amp;($A459+15/24),tData[SEHTrajectPeriodeDatumTijdTotEnMet],"&gt;"&amp;($A459+15/24),tData[Langligger01],1)</f>
        <v/>
      </c>
      <c r="T459" s="20">
        <f>COUNTIFS(tData[SEHTrajectPeriodeDatumTijdVan],"&lt;="&amp;($A459+16/24),tData[SEHTrajectPeriodeDatumTijdTotEnMet],"&gt;"&amp;($A459+16/24),tData[Langligger01],1)</f>
        <v/>
      </c>
      <c r="U459" s="20">
        <f>COUNTIFS(tData[SEHTrajectPeriodeDatumTijdVan],"&lt;="&amp;($A459+17/24),tData[SEHTrajectPeriodeDatumTijdTotEnMet],"&gt;"&amp;($A459+17/24),tData[Langligger01],1)</f>
        <v/>
      </c>
      <c r="V459" s="20">
        <f>COUNTIFS(tData[SEHTrajectPeriodeDatumTijdVan],"&lt;="&amp;($A459+18/24),tData[SEHTrajectPeriodeDatumTijdTotEnMet],"&gt;"&amp;($A459+18/24),tData[Langligger01],1)</f>
        <v/>
      </c>
      <c r="W459" s="20">
        <f>COUNTIFS(tData[SEHTrajectPeriodeDatumTijdVan],"&lt;="&amp;($A459+19/24),tData[SEHTrajectPeriodeDatumTijdTotEnMet],"&gt;"&amp;($A459+19/24),tData[Langligger01],1)</f>
        <v/>
      </c>
      <c r="X459" s="20">
        <f>COUNTIFS(tData[SEHTrajectPeriodeDatumTijdVan],"&lt;="&amp;($A459+20/24),tData[SEHTrajectPeriodeDatumTijdTotEnMet],"&gt;"&amp;($A459+20/24),tData[Langligger01],1)</f>
        <v/>
      </c>
      <c r="Y459" s="20">
        <f>COUNTIFS(tData[SEHTrajectPeriodeDatumTijdVan],"&lt;="&amp;($A459+21/24),tData[SEHTrajectPeriodeDatumTijdTotEnMet],"&gt;"&amp;($A459+21/24),tData[Langligger01],1)</f>
        <v/>
      </c>
      <c r="Z459" s="20">
        <f>COUNTIFS(tData[SEHTrajectPeriodeDatumTijdVan],"&lt;="&amp;($A459+22/24),tData[SEHTrajectPeriodeDatumTijdTotEnMet],"&gt;"&amp;($A459+22/24),tData[Langligger01],1)</f>
        <v/>
      </c>
      <c r="AA459" s="20">
        <f>COUNTIFS(tData[SEHTrajectPeriodeDatumTijdVan],"&lt;="&amp;($A459+23/24),tData[SEHTrajectPeriodeDatumTijdTotEnMet],"&gt;"&amp;($A459+23/24),tData[Langligger01],1)</f>
        <v/>
      </c>
    </row>
    <row r="460">
      <c r="A460" s="19" t="n">
        <v>45748</v>
      </c>
      <c r="B460" s="15">
        <f>WEEKDAY($A460,2)</f>
        <v/>
      </c>
      <c r="C460" s="15">
        <f>IF(AND($A460&gt;=INT(Instellingen!$B$5),$A460&lt;=INT(Instellingen!$B$6)),1,0)</f>
        <v/>
      </c>
      <c r="D460" s="20">
        <f>COUNTIFS(tData[SEHTrajectPeriodeDatumTijdVan],"&lt;="&amp;($A460+0/24),tData[SEHTrajectPeriodeDatumTijdTotEnMet],"&gt;"&amp;($A460+0/24),tData[Langligger01],1)</f>
        <v/>
      </c>
      <c r="E460" s="20">
        <f>COUNTIFS(tData[SEHTrajectPeriodeDatumTijdVan],"&lt;="&amp;($A460+1/24),tData[SEHTrajectPeriodeDatumTijdTotEnMet],"&gt;"&amp;($A460+1/24),tData[Langligger01],1)</f>
        <v/>
      </c>
      <c r="F460" s="20">
        <f>COUNTIFS(tData[SEHTrajectPeriodeDatumTijdVan],"&lt;="&amp;($A460+2/24),tData[SEHTrajectPeriodeDatumTijdTotEnMet],"&gt;"&amp;($A460+2/24),tData[Langligger01],1)</f>
        <v/>
      </c>
      <c r="G460" s="20">
        <f>COUNTIFS(tData[SEHTrajectPeriodeDatumTijdVan],"&lt;="&amp;($A460+3/24),tData[SEHTrajectPeriodeDatumTijdTotEnMet],"&gt;"&amp;($A460+3/24),tData[Langligger01],1)</f>
        <v/>
      </c>
      <c r="H460" s="20">
        <f>COUNTIFS(tData[SEHTrajectPeriodeDatumTijdVan],"&lt;="&amp;($A460+4/24),tData[SEHTrajectPeriodeDatumTijdTotEnMet],"&gt;"&amp;($A460+4/24),tData[Langligger01],1)</f>
        <v/>
      </c>
      <c r="I460" s="20">
        <f>COUNTIFS(tData[SEHTrajectPeriodeDatumTijdVan],"&lt;="&amp;($A460+5/24),tData[SEHTrajectPeriodeDatumTijdTotEnMet],"&gt;"&amp;($A460+5/24),tData[Langligger01],1)</f>
        <v/>
      </c>
      <c r="J460" s="20">
        <f>COUNTIFS(tData[SEHTrajectPeriodeDatumTijdVan],"&lt;="&amp;($A460+6/24),tData[SEHTrajectPeriodeDatumTijdTotEnMet],"&gt;"&amp;($A460+6/24),tData[Langligger01],1)</f>
        <v/>
      </c>
      <c r="K460" s="20">
        <f>COUNTIFS(tData[SEHTrajectPeriodeDatumTijdVan],"&lt;="&amp;($A460+7/24),tData[SEHTrajectPeriodeDatumTijdTotEnMet],"&gt;"&amp;($A460+7/24),tData[Langligger01],1)</f>
        <v/>
      </c>
      <c r="L460" s="20">
        <f>COUNTIFS(tData[SEHTrajectPeriodeDatumTijdVan],"&lt;="&amp;($A460+8/24),tData[SEHTrajectPeriodeDatumTijdTotEnMet],"&gt;"&amp;($A460+8/24),tData[Langligger01],1)</f>
        <v/>
      </c>
      <c r="M460" s="20">
        <f>COUNTIFS(tData[SEHTrajectPeriodeDatumTijdVan],"&lt;="&amp;($A460+9/24),tData[SEHTrajectPeriodeDatumTijdTotEnMet],"&gt;"&amp;($A460+9/24),tData[Langligger01],1)</f>
        <v/>
      </c>
      <c r="N460" s="20">
        <f>COUNTIFS(tData[SEHTrajectPeriodeDatumTijdVan],"&lt;="&amp;($A460+10/24),tData[SEHTrajectPeriodeDatumTijdTotEnMet],"&gt;"&amp;($A460+10/24),tData[Langligger01],1)</f>
        <v/>
      </c>
      <c r="O460" s="20">
        <f>COUNTIFS(tData[SEHTrajectPeriodeDatumTijdVan],"&lt;="&amp;($A460+11/24),tData[SEHTrajectPeriodeDatumTijdTotEnMet],"&gt;"&amp;($A460+11/24),tData[Langligger01],1)</f>
        <v/>
      </c>
      <c r="P460" s="20">
        <f>COUNTIFS(tData[SEHTrajectPeriodeDatumTijdVan],"&lt;="&amp;($A460+12/24),tData[SEHTrajectPeriodeDatumTijdTotEnMet],"&gt;"&amp;($A460+12/24),tData[Langligger01],1)</f>
        <v/>
      </c>
      <c r="Q460" s="20">
        <f>COUNTIFS(tData[SEHTrajectPeriodeDatumTijdVan],"&lt;="&amp;($A460+13/24),tData[SEHTrajectPeriodeDatumTijdTotEnMet],"&gt;"&amp;($A460+13/24),tData[Langligger01],1)</f>
        <v/>
      </c>
      <c r="R460" s="20">
        <f>COUNTIFS(tData[SEHTrajectPeriodeDatumTijdVan],"&lt;="&amp;($A460+14/24),tData[SEHTrajectPeriodeDatumTijdTotEnMet],"&gt;"&amp;($A460+14/24),tData[Langligger01],1)</f>
        <v/>
      </c>
      <c r="S460" s="20">
        <f>COUNTIFS(tData[SEHTrajectPeriodeDatumTijdVan],"&lt;="&amp;($A460+15/24),tData[SEHTrajectPeriodeDatumTijdTotEnMet],"&gt;"&amp;($A460+15/24),tData[Langligger01],1)</f>
        <v/>
      </c>
      <c r="T460" s="20">
        <f>COUNTIFS(tData[SEHTrajectPeriodeDatumTijdVan],"&lt;="&amp;($A460+16/24),tData[SEHTrajectPeriodeDatumTijdTotEnMet],"&gt;"&amp;($A460+16/24),tData[Langligger01],1)</f>
        <v/>
      </c>
      <c r="U460" s="20">
        <f>COUNTIFS(tData[SEHTrajectPeriodeDatumTijdVan],"&lt;="&amp;($A460+17/24),tData[SEHTrajectPeriodeDatumTijdTotEnMet],"&gt;"&amp;($A460+17/24),tData[Langligger01],1)</f>
        <v/>
      </c>
      <c r="V460" s="20">
        <f>COUNTIFS(tData[SEHTrajectPeriodeDatumTijdVan],"&lt;="&amp;($A460+18/24),tData[SEHTrajectPeriodeDatumTijdTotEnMet],"&gt;"&amp;($A460+18/24),tData[Langligger01],1)</f>
        <v/>
      </c>
      <c r="W460" s="20">
        <f>COUNTIFS(tData[SEHTrajectPeriodeDatumTijdVan],"&lt;="&amp;($A460+19/24),tData[SEHTrajectPeriodeDatumTijdTotEnMet],"&gt;"&amp;($A460+19/24),tData[Langligger01],1)</f>
        <v/>
      </c>
      <c r="X460" s="20">
        <f>COUNTIFS(tData[SEHTrajectPeriodeDatumTijdVan],"&lt;="&amp;($A460+20/24),tData[SEHTrajectPeriodeDatumTijdTotEnMet],"&gt;"&amp;($A460+20/24),tData[Langligger01],1)</f>
        <v/>
      </c>
      <c r="Y460" s="20">
        <f>COUNTIFS(tData[SEHTrajectPeriodeDatumTijdVan],"&lt;="&amp;($A460+21/24),tData[SEHTrajectPeriodeDatumTijdTotEnMet],"&gt;"&amp;($A460+21/24),tData[Langligger01],1)</f>
        <v/>
      </c>
      <c r="Z460" s="20">
        <f>COUNTIFS(tData[SEHTrajectPeriodeDatumTijdVan],"&lt;="&amp;($A460+22/24),tData[SEHTrajectPeriodeDatumTijdTotEnMet],"&gt;"&amp;($A460+22/24),tData[Langligger01],1)</f>
        <v/>
      </c>
      <c r="AA460" s="20">
        <f>COUNTIFS(tData[SEHTrajectPeriodeDatumTijdVan],"&lt;="&amp;($A460+23/24),tData[SEHTrajectPeriodeDatumTijdTotEnMet],"&gt;"&amp;($A460+23/24),tData[Langligger01],1)</f>
        <v/>
      </c>
    </row>
    <row r="461">
      <c r="A461" s="19" t="n">
        <v>45749</v>
      </c>
      <c r="B461" s="15">
        <f>WEEKDAY($A461,2)</f>
        <v/>
      </c>
      <c r="C461" s="15">
        <f>IF(AND($A461&gt;=INT(Instellingen!$B$5),$A461&lt;=INT(Instellingen!$B$6)),1,0)</f>
        <v/>
      </c>
      <c r="D461" s="20">
        <f>COUNTIFS(tData[SEHTrajectPeriodeDatumTijdVan],"&lt;="&amp;($A461+0/24),tData[SEHTrajectPeriodeDatumTijdTotEnMet],"&gt;"&amp;($A461+0/24),tData[Langligger01],1)</f>
        <v/>
      </c>
      <c r="E461" s="20">
        <f>COUNTIFS(tData[SEHTrajectPeriodeDatumTijdVan],"&lt;="&amp;($A461+1/24),tData[SEHTrajectPeriodeDatumTijdTotEnMet],"&gt;"&amp;($A461+1/24),tData[Langligger01],1)</f>
        <v/>
      </c>
      <c r="F461" s="20">
        <f>COUNTIFS(tData[SEHTrajectPeriodeDatumTijdVan],"&lt;="&amp;($A461+2/24),tData[SEHTrajectPeriodeDatumTijdTotEnMet],"&gt;"&amp;($A461+2/24),tData[Langligger01],1)</f>
        <v/>
      </c>
      <c r="G461" s="20">
        <f>COUNTIFS(tData[SEHTrajectPeriodeDatumTijdVan],"&lt;="&amp;($A461+3/24),tData[SEHTrajectPeriodeDatumTijdTotEnMet],"&gt;"&amp;($A461+3/24),tData[Langligger01],1)</f>
        <v/>
      </c>
      <c r="H461" s="20">
        <f>COUNTIFS(tData[SEHTrajectPeriodeDatumTijdVan],"&lt;="&amp;($A461+4/24),tData[SEHTrajectPeriodeDatumTijdTotEnMet],"&gt;"&amp;($A461+4/24),tData[Langligger01],1)</f>
        <v/>
      </c>
      <c r="I461" s="20">
        <f>COUNTIFS(tData[SEHTrajectPeriodeDatumTijdVan],"&lt;="&amp;($A461+5/24),tData[SEHTrajectPeriodeDatumTijdTotEnMet],"&gt;"&amp;($A461+5/24),tData[Langligger01],1)</f>
        <v/>
      </c>
      <c r="J461" s="20">
        <f>COUNTIFS(tData[SEHTrajectPeriodeDatumTijdVan],"&lt;="&amp;($A461+6/24),tData[SEHTrajectPeriodeDatumTijdTotEnMet],"&gt;"&amp;($A461+6/24),tData[Langligger01],1)</f>
        <v/>
      </c>
      <c r="K461" s="20">
        <f>COUNTIFS(tData[SEHTrajectPeriodeDatumTijdVan],"&lt;="&amp;($A461+7/24),tData[SEHTrajectPeriodeDatumTijdTotEnMet],"&gt;"&amp;($A461+7/24),tData[Langligger01],1)</f>
        <v/>
      </c>
      <c r="L461" s="20">
        <f>COUNTIFS(tData[SEHTrajectPeriodeDatumTijdVan],"&lt;="&amp;($A461+8/24),tData[SEHTrajectPeriodeDatumTijdTotEnMet],"&gt;"&amp;($A461+8/24),tData[Langligger01],1)</f>
        <v/>
      </c>
      <c r="M461" s="20">
        <f>COUNTIFS(tData[SEHTrajectPeriodeDatumTijdVan],"&lt;="&amp;($A461+9/24),tData[SEHTrajectPeriodeDatumTijdTotEnMet],"&gt;"&amp;($A461+9/24),tData[Langligger01],1)</f>
        <v/>
      </c>
      <c r="N461" s="20">
        <f>COUNTIFS(tData[SEHTrajectPeriodeDatumTijdVan],"&lt;="&amp;($A461+10/24),tData[SEHTrajectPeriodeDatumTijdTotEnMet],"&gt;"&amp;($A461+10/24),tData[Langligger01],1)</f>
        <v/>
      </c>
      <c r="O461" s="20">
        <f>COUNTIFS(tData[SEHTrajectPeriodeDatumTijdVan],"&lt;="&amp;($A461+11/24),tData[SEHTrajectPeriodeDatumTijdTotEnMet],"&gt;"&amp;($A461+11/24),tData[Langligger01],1)</f>
        <v/>
      </c>
      <c r="P461" s="20">
        <f>COUNTIFS(tData[SEHTrajectPeriodeDatumTijdVan],"&lt;="&amp;($A461+12/24),tData[SEHTrajectPeriodeDatumTijdTotEnMet],"&gt;"&amp;($A461+12/24),tData[Langligger01],1)</f>
        <v/>
      </c>
      <c r="Q461" s="20">
        <f>COUNTIFS(tData[SEHTrajectPeriodeDatumTijdVan],"&lt;="&amp;($A461+13/24),tData[SEHTrajectPeriodeDatumTijdTotEnMet],"&gt;"&amp;($A461+13/24),tData[Langligger01],1)</f>
        <v/>
      </c>
      <c r="R461" s="20">
        <f>COUNTIFS(tData[SEHTrajectPeriodeDatumTijdVan],"&lt;="&amp;($A461+14/24),tData[SEHTrajectPeriodeDatumTijdTotEnMet],"&gt;"&amp;($A461+14/24),tData[Langligger01],1)</f>
        <v/>
      </c>
      <c r="S461" s="20">
        <f>COUNTIFS(tData[SEHTrajectPeriodeDatumTijdVan],"&lt;="&amp;($A461+15/24),tData[SEHTrajectPeriodeDatumTijdTotEnMet],"&gt;"&amp;($A461+15/24),tData[Langligger01],1)</f>
        <v/>
      </c>
      <c r="T461" s="20">
        <f>COUNTIFS(tData[SEHTrajectPeriodeDatumTijdVan],"&lt;="&amp;($A461+16/24),tData[SEHTrajectPeriodeDatumTijdTotEnMet],"&gt;"&amp;($A461+16/24),tData[Langligger01],1)</f>
        <v/>
      </c>
      <c r="U461" s="20">
        <f>COUNTIFS(tData[SEHTrajectPeriodeDatumTijdVan],"&lt;="&amp;($A461+17/24),tData[SEHTrajectPeriodeDatumTijdTotEnMet],"&gt;"&amp;($A461+17/24),tData[Langligger01],1)</f>
        <v/>
      </c>
      <c r="V461" s="20">
        <f>COUNTIFS(tData[SEHTrajectPeriodeDatumTijdVan],"&lt;="&amp;($A461+18/24),tData[SEHTrajectPeriodeDatumTijdTotEnMet],"&gt;"&amp;($A461+18/24),tData[Langligger01],1)</f>
        <v/>
      </c>
      <c r="W461" s="20">
        <f>COUNTIFS(tData[SEHTrajectPeriodeDatumTijdVan],"&lt;="&amp;($A461+19/24),tData[SEHTrajectPeriodeDatumTijdTotEnMet],"&gt;"&amp;($A461+19/24),tData[Langligger01],1)</f>
        <v/>
      </c>
      <c r="X461" s="20">
        <f>COUNTIFS(tData[SEHTrajectPeriodeDatumTijdVan],"&lt;="&amp;($A461+20/24),tData[SEHTrajectPeriodeDatumTijdTotEnMet],"&gt;"&amp;($A461+20/24),tData[Langligger01],1)</f>
        <v/>
      </c>
      <c r="Y461" s="20">
        <f>COUNTIFS(tData[SEHTrajectPeriodeDatumTijdVan],"&lt;="&amp;($A461+21/24),tData[SEHTrajectPeriodeDatumTijdTotEnMet],"&gt;"&amp;($A461+21/24),tData[Langligger01],1)</f>
        <v/>
      </c>
      <c r="Z461" s="20">
        <f>COUNTIFS(tData[SEHTrajectPeriodeDatumTijdVan],"&lt;="&amp;($A461+22/24),tData[SEHTrajectPeriodeDatumTijdTotEnMet],"&gt;"&amp;($A461+22/24),tData[Langligger01],1)</f>
        <v/>
      </c>
      <c r="AA461" s="20">
        <f>COUNTIFS(tData[SEHTrajectPeriodeDatumTijdVan],"&lt;="&amp;($A461+23/24),tData[SEHTrajectPeriodeDatumTijdTotEnMet],"&gt;"&amp;($A461+23/24),tData[Langligger01],1)</f>
        <v/>
      </c>
    </row>
    <row r="462">
      <c r="A462" s="19" t="n">
        <v>45750</v>
      </c>
      <c r="B462" s="15">
        <f>WEEKDAY($A462,2)</f>
        <v/>
      </c>
      <c r="C462" s="15">
        <f>IF(AND($A462&gt;=INT(Instellingen!$B$5),$A462&lt;=INT(Instellingen!$B$6)),1,0)</f>
        <v/>
      </c>
      <c r="D462" s="20">
        <f>COUNTIFS(tData[SEHTrajectPeriodeDatumTijdVan],"&lt;="&amp;($A462+0/24),tData[SEHTrajectPeriodeDatumTijdTotEnMet],"&gt;"&amp;($A462+0/24),tData[Langligger01],1)</f>
        <v/>
      </c>
      <c r="E462" s="20">
        <f>COUNTIFS(tData[SEHTrajectPeriodeDatumTijdVan],"&lt;="&amp;($A462+1/24),tData[SEHTrajectPeriodeDatumTijdTotEnMet],"&gt;"&amp;($A462+1/24),tData[Langligger01],1)</f>
        <v/>
      </c>
      <c r="F462" s="20">
        <f>COUNTIFS(tData[SEHTrajectPeriodeDatumTijdVan],"&lt;="&amp;($A462+2/24),tData[SEHTrajectPeriodeDatumTijdTotEnMet],"&gt;"&amp;($A462+2/24),tData[Langligger01],1)</f>
        <v/>
      </c>
      <c r="G462" s="20">
        <f>COUNTIFS(tData[SEHTrajectPeriodeDatumTijdVan],"&lt;="&amp;($A462+3/24),tData[SEHTrajectPeriodeDatumTijdTotEnMet],"&gt;"&amp;($A462+3/24),tData[Langligger01],1)</f>
        <v/>
      </c>
      <c r="H462" s="20">
        <f>COUNTIFS(tData[SEHTrajectPeriodeDatumTijdVan],"&lt;="&amp;($A462+4/24),tData[SEHTrajectPeriodeDatumTijdTotEnMet],"&gt;"&amp;($A462+4/24),tData[Langligger01],1)</f>
        <v/>
      </c>
      <c r="I462" s="20">
        <f>COUNTIFS(tData[SEHTrajectPeriodeDatumTijdVan],"&lt;="&amp;($A462+5/24),tData[SEHTrajectPeriodeDatumTijdTotEnMet],"&gt;"&amp;($A462+5/24),tData[Langligger01],1)</f>
        <v/>
      </c>
      <c r="J462" s="20">
        <f>COUNTIFS(tData[SEHTrajectPeriodeDatumTijdVan],"&lt;="&amp;($A462+6/24),tData[SEHTrajectPeriodeDatumTijdTotEnMet],"&gt;"&amp;($A462+6/24),tData[Langligger01],1)</f>
        <v/>
      </c>
      <c r="K462" s="20">
        <f>COUNTIFS(tData[SEHTrajectPeriodeDatumTijdVan],"&lt;="&amp;($A462+7/24),tData[SEHTrajectPeriodeDatumTijdTotEnMet],"&gt;"&amp;($A462+7/24),tData[Langligger01],1)</f>
        <v/>
      </c>
      <c r="L462" s="20">
        <f>COUNTIFS(tData[SEHTrajectPeriodeDatumTijdVan],"&lt;="&amp;($A462+8/24),tData[SEHTrajectPeriodeDatumTijdTotEnMet],"&gt;"&amp;($A462+8/24),tData[Langligger01],1)</f>
        <v/>
      </c>
      <c r="M462" s="20">
        <f>COUNTIFS(tData[SEHTrajectPeriodeDatumTijdVan],"&lt;="&amp;($A462+9/24),tData[SEHTrajectPeriodeDatumTijdTotEnMet],"&gt;"&amp;($A462+9/24),tData[Langligger01],1)</f>
        <v/>
      </c>
      <c r="N462" s="20">
        <f>COUNTIFS(tData[SEHTrajectPeriodeDatumTijdVan],"&lt;="&amp;($A462+10/24),tData[SEHTrajectPeriodeDatumTijdTotEnMet],"&gt;"&amp;($A462+10/24),tData[Langligger01],1)</f>
        <v/>
      </c>
      <c r="O462" s="20">
        <f>COUNTIFS(tData[SEHTrajectPeriodeDatumTijdVan],"&lt;="&amp;($A462+11/24),tData[SEHTrajectPeriodeDatumTijdTotEnMet],"&gt;"&amp;($A462+11/24),tData[Langligger01],1)</f>
        <v/>
      </c>
      <c r="P462" s="20">
        <f>COUNTIFS(tData[SEHTrajectPeriodeDatumTijdVan],"&lt;="&amp;($A462+12/24),tData[SEHTrajectPeriodeDatumTijdTotEnMet],"&gt;"&amp;($A462+12/24),tData[Langligger01],1)</f>
        <v/>
      </c>
      <c r="Q462" s="20">
        <f>COUNTIFS(tData[SEHTrajectPeriodeDatumTijdVan],"&lt;="&amp;($A462+13/24),tData[SEHTrajectPeriodeDatumTijdTotEnMet],"&gt;"&amp;($A462+13/24),tData[Langligger01],1)</f>
        <v/>
      </c>
      <c r="R462" s="20">
        <f>COUNTIFS(tData[SEHTrajectPeriodeDatumTijdVan],"&lt;="&amp;($A462+14/24),tData[SEHTrajectPeriodeDatumTijdTotEnMet],"&gt;"&amp;($A462+14/24),tData[Langligger01],1)</f>
        <v/>
      </c>
      <c r="S462" s="20">
        <f>COUNTIFS(tData[SEHTrajectPeriodeDatumTijdVan],"&lt;="&amp;($A462+15/24),tData[SEHTrajectPeriodeDatumTijdTotEnMet],"&gt;"&amp;($A462+15/24),tData[Langligger01],1)</f>
        <v/>
      </c>
      <c r="T462" s="20">
        <f>COUNTIFS(tData[SEHTrajectPeriodeDatumTijdVan],"&lt;="&amp;($A462+16/24),tData[SEHTrajectPeriodeDatumTijdTotEnMet],"&gt;"&amp;($A462+16/24),tData[Langligger01],1)</f>
        <v/>
      </c>
      <c r="U462" s="20">
        <f>COUNTIFS(tData[SEHTrajectPeriodeDatumTijdVan],"&lt;="&amp;($A462+17/24),tData[SEHTrajectPeriodeDatumTijdTotEnMet],"&gt;"&amp;($A462+17/24),tData[Langligger01],1)</f>
        <v/>
      </c>
      <c r="V462" s="20">
        <f>COUNTIFS(tData[SEHTrajectPeriodeDatumTijdVan],"&lt;="&amp;($A462+18/24),tData[SEHTrajectPeriodeDatumTijdTotEnMet],"&gt;"&amp;($A462+18/24),tData[Langligger01],1)</f>
        <v/>
      </c>
      <c r="W462" s="20">
        <f>COUNTIFS(tData[SEHTrajectPeriodeDatumTijdVan],"&lt;="&amp;($A462+19/24),tData[SEHTrajectPeriodeDatumTijdTotEnMet],"&gt;"&amp;($A462+19/24),tData[Langligger01],1)</f>
        <v/>
      </c>
      <c r="X462" s="20">
        <f>COUNTIFS(tData[SEHTrajectPeriodeDatumTijdVan],"&lt;="&amp;($A462+20/24),tData[SEHTrajectPeriodeDatumTijdTotEnMet],"&gt;"&amp;($A462+20/24),tData[Langligger01],1)</f>
        <v/>
      </c>
      <c r="Y462" s="20">
        <f>COUNTIFS(tData[SEHTrajectPeriodeDatumTijdVan],"&lt;="&amp;($A462+21/24),tData[SEHTrajectPeriodeDatumTijdTotEnMet],"&gt;"&amp;($A462+21/24),tData[Langligger01],1)</f>
        <v/>
      </c>
      <c r="Z462" s="20">
        <f>COUNTIFS(tData[SEHTrajectPeriodeDatumTijdVan],"&lt;="&amp;($A462+22/24),tData[SEHTrajectPeriodeDatumTijdTotEnMet],"&gt;"&amp;($A462+22/24),tData[Langligger01],1)</f>
        <v/>
      </c>
      <c r="AA462" s="20">
        <f>COUNTIFS(tData[SEHTrajectPeriodeDatumTijdVan],"&lt;="&amp;($A462+23/24),tData[SEHTrajectPeriodeDatumTijdTotEnMet],"&gt;"&amp;($A462+23/24),tData[Langligger01],1)</f>
        <v/>
      </c>
    </row>
    <row r="463">
      <c r="A463" s="19" t="n">
        <v>45751</v>
      </c>
      <c r="B463" s="15">
        <f>WEEKDAY($A463,2)</f>
        <v/>
      </c>
      <c r="C463" s="15">
        <f>IF(AND($A463&gt;=INT(Instellingen!$B$5),$A463&lt;=INT(Instellingen!$B$6)),1,0)</f>
        <v/>
      </c>
      <c r="D463" s="20">
        <f>COUNTIFS(tData[SEHTrajectPeriodeDatumTijdVan],"&lt;="&amp;($A463+0/24),tData[SEHTrajectPeriodeDatumTijdTotEnMet],"&gt;"&amp;($A463+0/24),tData[Langligger01],1)</f>
        <v/>
      </c>
      <c r="E463" s="20">
        <f>COUNTIFS(tData[SEHTrajectPeriodeDatumTijdVan],"&lt;="&amp;($A463+1/24),tData[SEHTrajectPeriodeDatumTijdTotEnMet],"&gt;"&amp;($A463+1/24),tData[Langligger01],1)</f>
        <v/>
      </c>
      <c r="F463" s="20">
        <f>COUNTIFS(tData[SEHTrajectPeriodeDatumTijdVan],"&lt;="&amp;($A463+2/24),tData[SEHTrajectPeriodeDatumTijdTotEnMet],"&gt;"&amp;($A463+2/24),tData[Langligger01],1)</f>
        <v/>
      </c>
      <c r="G463" s="20">
        <f>COUNTIFS(tData[SEHTrajectPeriodeDatumTijdVan],"&lt;="&amp;($A463+3/24),tData[SEHTrajectPeriodeDatumTijdTotEnMet],"&gt;"&amp;($A463+3/24),tData[Langligger01],1)</f>
        <v/>
      </c>
      <c r="H463" s="20">
        <f>COUNTIFS(tData[SEHTrajectPeriodeDatumTijdVan],"&lt;="&amp;($A463+4/24),tData[SEHTrajectPeriodeDatumTijdTotEnMet],"&gt;"&amp;($A463+4/24),tData[Langligger01],1)</f>
        <v/>
      </c>
      <c r="I463" s="20">
        <f>COUNTIFS(tData[SEHTrajectPeriodeDatumTijdVan],"&lt;="&amp;($A463+5/24),tData[SEHTrajectPeriodeDatumTijdTotEnMet],"&gt;"&amp;($A463+5/24),tData[Langligger01],1)</f>
        <v/>
      </c>
      <c r="J463" s="20">
        <f>COUNTIFS(tData[SEHTrajectPeriodeDatumTijdVan],"&lt;="&amp;($A463+6/24),tData[SEHTrajectPeriodeDatumTijdTotEnMet],"&gt;"&amp;($A463+6/24),tData[Langligger01],1)</f>
        <v/>
      </c>
      <c r="K463" s="20">
        <f>COUNTIFS(tData[SEHTrajectPeriodeDatumTijdVan],"&lt;="&amp;($A463+7/24),tData[SEHTrajectPeriodeDatumTijdTotEnMet],"&gt;"&amp;($A463+7/24),tData[Langligger01],1)</f>
        <v/>
      </c>
      <c r="L463" s="20">
        <f>COUNTIFS(tData[SEHTrajectPeriodeDatumTijdVan],"&lt;="&amp;($A463+8/24),tData[SEHTrajectPeriodeDatumTijdTotEnMet],"&gt;"&amp;($A463+8/24),tData[Langligger01],1)</f>
        <v/>
      </c>
      <c r="M463" s="20">
        <f>COUNTIFS(tData[SEHTrajectPeriodeDatumTijdVan],"&lt;="&amp;($A463+9/24),tData[SEHTrajectPeriodeDatumTijdTotEnMet],"&gt;"&amp;($A463+9/24),tData[Langligger01],1)</f>
        <v/>
      </c>
      <c r="N463" s="20">
        <f>COUNTIFS(tData[SEHTrajectPeriodeDatumTijdVan],"&lt;="&amp;($A463+10/24),tData[SEHTrajectPeriodeDatumTijdTotEnMet],"&gt;"&amp;($A463+10/24),tData[Langligger01],1)</f>
        <v/>
      </c>
      <c r="O463" s="20">
        <f>COUNTIFS(tData[SEHTrajectPeriodeDatumTijdVan],"&lt;="&amp;($A463+11/24),tData[SEHTrajectPeriodeDatumTijdTotEnMet],"&gt;"&amp;($A463+11/24),tData[Langligger01],1)</f>
        <v/>
      </c>
      <c r="P463" s="20">
        <f>COUNTIFS(tData[SEHTrajectPeriodeDatumTijdVan],"&lt;="&amp;($A463+12/24),tData[SEHTrajectPeriodeDatumTijdTotEnMet],"&gt;"&amp;($A463+12/24),tData[Langligger01],1)</f>
        <v/>
      </c>
      <c r="Q463" s="20">
        <f>COUNTIFS(tData[SEHTrajectPeriodeDatumTijdVan],"&lt;="&amp;($A463+13/24),tData[SEHTrajectPeriodeDatumTijdTotEnMet],"&gt;"&amp;($A463+13/24),tData[Langligger01],1)</f>
        <v/>
      </c>
      <c r="R463" s="20">
        <f>COUNTIFS(tData[SEHTrajectPeriodeDatumTijdVan],"&lt;="&amp;($A463+14/24),tData[SEHTrajectPeriodeDatumTijdTotEnMet],"&gt;"&amp;($A463+14/24),tData[Langligger01],1)</f>
        <v/>
      </c>
      <c r="S463" s="20">
        <f>COUNTIFS(tData[SEHTrajectPeriodeDatumTijdVan],"&lt;="&amp;($A463+15/24),tData[SEHTrajectPeriodeDatumTijdTotEnMet],"&gt;"&amp;($A463+15/24),tData[Langligger01],1)</f>
        <v/>
      </c>
      <c r="T463" s="20">
        <f>COUNTIFS(tData[SEHTrajectPeriodeDatumTijdVan],"&lt;="&amp;($A463+16/24),tData[SEHTrajectPeriodeDatumTijdTotEnMet],"&gt;"&amp;($A463+16/24),tData[Langligger01],1)</f>
        <v/>
      </c>
      <c r="U463" s="20">
        <f>COUNTIFS(tData[SEHTrajectPeriodeDatumTijdVan],"&lt;="&amp;($A463+17/24),tData[SEHTrajectPeriodeDatumTijdTotEnMet],"&gt;"&amp;($A463+17/24),tData[Langligger01],1)</f>
        <v/>
      </c>
      <c r="V463" s="20">
        <f>COUNTIFS(tData[SEHTrajectPeriodeDatumTijdVan],"&lt;="&amp;($A463+18/24),tData[SEHTrajectPeriodeDatumTijdTotEnMet],"&gt;"&amp;($A463+18/24),tData[Langligger01],1)</f>
        <v/>
      </c>
      <c r="W463" s="20">
        <f>COUNTIFS(tData[SEHTrajectPeriodeDatumTijdVan],"&lt;="&amp;($A463+19/24),tData[SEHTrajectPeriodeDatumTijdTotEnMet],"&gt;"&amp;($A463+19/24),tData[Langligger01],1)</f>
        <v/>
      </c>
      <c r="X463" s="20">
        <f>COUNTIFS(tData[SEHTrajectPeriodeDatumTijdVan],"&lt;="&amp;($A463+20/24),tData[SEHTrajectPeriodeDatumTijdTotEnMet],"&gt;"&amp;($A463+20/24),tData[Langligger01],1)</f>
        <v/>
      </c>
      <c r="Y463" s="20">
        <f>COUNTIFS(tData[SEHTrajectPeriodeDatumTijdVan],"&lt;="&amp;($A463+21/24),tData[SEHTrajectPeriodeDatumTijdTotEnMet],"&gt;"&amp;($A463+21/24),tData[Langligger01],1)</f>
        <v/>
      </c>
      <c r="Z463" s="20">
        <f>COUNTIFS(tData[SEHTrajectPeriodeDatumTijdVan],"&lt;="&amp;($A463+22/24),tData[SEHTrajectPeriodeDatumTijdTotEnMet],"&gt;"&amp;($A463+22/24),tData[Langligger01],1)</f>
        <v/>
      </c>
      <c r="AA463" s="20">
        <f>COUNTIFS(tData[SEHTrajectPeriodeDatumTijdVan],"&lt;="&amp;($A463+23/24),tData[SEHTrajectPeriodeDatumTijdTotEnMet],"&gt;"&amp;($A463+23/24),tData[Langligger01],1)</f>
        <v/>
      </c>
    </row>
    <row r="464">
      <c r="A464" s="19" t="n">
        <v>45752</v>
      </c>
      <c r="B464" s="15">
        <f>WEEKDAY($A464,2)</f>
        <v/>
      </c>
      <c r="C464" s="15">
        <f>IF(AND($A464&gt;=INT(Instellingen!$B$5),$A464&lt;=INT(Instellingen!$B$6)),1,0)</f>
        <v/>
      </c>
      <c r="D464" s="20">
        <f>COUNTIFS(tData[SEHTrajectPeriodeDatumTijdVan],"&lt;="&amp;($A464+0/24),tData[SEHTrajectPeriodeDatumTijdTotEnMet],"&gt;"&amp;($A464+0/24),tData[Langligger01],1)</f>
        <v/>
      </c>
      <c r="E464" s="20">
        <f>COUNTIFS(tData[SEHTrajectPeriodeDatumTijdVan],"&lt;="&amp;($A464+1/24),tData[SEHTrajectPeriodeDatumTijdTotEnMet],"&gt;"&amp;($A464+1/24),tData[Langligger01],1)</f>
        <v/>
      </c>
      <c r="F464" s="20">
        <f>COUNTIFS(tData[SEHTrajectPeriodeDatumTijdVan],"&lt;="&amp;($A464+2/24),tData[SEHTrajectPeriodeDatumTijdTotEnMet],"&gt;"&amp;($A464+2/24),tData[Langligger01],1)</f>
        <v/>
      </c>
      <c r="G464" s="20">
        <f>COUNTIFS(tData[SEHTrajectPeriodeDatumTijdVan],"&lt;="&amp;($A464+3/24),tData[SEHTrajectPeriodeDatumTijdTotEnMet],"&gt;"&amp;($A464+3/24),tData[Langligger01],1)</f>
        <v/>
      </c>
      <c r="H464" s="20">
        <f>COUNTIFS(tData[SEHTrajectPeriodeDatumTijdVan],"&lt;="&amp;($A464+4/24),tData[SEHTrajectPeriodeDatumTijdTotEnMet],"&gt;"&amp;($A464+4/24),tData[Langligger01],1)</f>
        <v/>
      </c>
      <c r="I464" s="20">
        <f>COUNTIFS(tData[SEHTrajectPeriodeDatumTijdVan],"&lt;="&amp;($A464+5/24),tData[SEHTrajectPeriodeDatumTijdTotEnMet],"&gt;"&amp;($A464+5/24),tData[Langligger01],1)</f>
        <v/>
      </c>
      <c r="J464" s="20">
        <f>COUNTIFS(tData[SEHTrajectPeriodeDatumTijdVan],"&lt;="&amp;($A464+6/24),tData[SEHTrajectPeriodeDatumTijdTotEnMet],"&gt;"&amp;($A464+6/24),tData[Langligger01],1)</f>
        <v/>
      </c>
      <c r="K464" s="20">
        <f>COUNTIFS(tData[SEHTrajectPeriodeDatumTijdVan],"&lt;="&amp;($A464+7/24),tData[SEHTrajectPeriodeDatumTijdTotEnMet],"&gt;"&amp;($A464+7/24),tData[Langligger01],1)</f>
        <v/>
      </c>
      <c r="L464" s="20">
        <f>COUNTIFS(tData[SEHTrajectPeriodeDatumTijdVan],"&lt;="&amp;($A464+8/24),tData[SEHTrajectPeriodeDatumTijdTotEnMet],"&gt;"&amp;($A464+8/24),tData[Langligger01],1)</f>
        <v/>
      </c>
      <c r="M464" s="20">
        <f>COUNTIFS(tData[SEHTrajectPeriodeDatumTijdVan],"&lt;="&amp;($A464+9/24),tData[SEHTrajectPeriodeDatumTijdTotEnMet],"&gt;"&amp;($A464+9/24),tData[Langligger01],1)</f>
        <v/>
      </c>
      <c r="N464" s="20">
        <f>COUNTIFS(tData[SEHTrajectPeriodeDatumTijdVan],"&lt;="&amp;($A464+10/24),tData[SEHTrajectPeriodeDatumTijdTotEnMet],"&gt;"&amp;($A464+10/24),tData[Langligger01],1)</f>
        <v/>
      </c>
      <c r="O464" s="20">
        <f>COUNTIFS(tData[SEHTrajectPeriodeDatumTijdVan],"&lt;="&amp;($A464+11/24),tData[SEHTrajectPeriodeDatumTijdTotEnMet],"&gt;"&amp;($A464+11/24),tData[Langligger01],1)</f>
        <v/>
      </c>
      <c r="P464" s="20">
        <f>COUNTIFS(tData[SEHTrajectPeriodeDatumTijdVan],"&lt;="&amp;($A464+12/24),tData[SEHTrajectPeriodeDatumTijdTotEnMet],"&gt;"&amp;($A464+12/24),tData[Langligger01],1)</f>
        <v/>
      </c>
      <c r="Q464" s="20">
        <f>COUNTIFS(tData[SEHTrajectPeriodeDatumTijdVan],"&lt;="&amp;($A464+13/24),tData[SEHTrajectPeriodeDatumTijdTotEnMet],"&gt;"&amp;($A464+13/24),tData[Langligger01],1)</f>
        <v/>
      </c>
      <c r="R464" s="20">
        <f>COUNTIFS(tData[SEHTrajectPeriodeDatumTijdVan],"&lt;="&amp;($A464+14/24),tData[SEHTrajectPeriodeDatumTijdTotEnMet],"&gt;"&amp;($A464+14/24),tData[Langligger01],1)</f>
        <v/>
      </c>
      <c r="S464" s="20">
        <f>COUNTIFS(tData[SEHTrajectPeriodeDatumTijdVan],"&lt;="&amp;($A464+15/24),tData[SEHTrajectPeriodeDatumTijdTotEnMet],"&gt;"&amp;($A464+15/24),tData[Langligger01],1)</f>
        <v/>
      </c>
      <c r="T464" s="20">
        <f>COUNTIFS(tData[SEHTrajectPeriodeDatumTijdVan],"&lt;="&amp;($A464+16/24),tData[SEHTrajectPeriodeDatumTijdTotEnMet],"&gt;"&amp;($A464+16/24),tData[Langligger01],1)</f>
        <v/>
      </c>
      <c r="U464" s="20">
        <f>COUNTIFS(tData[SEHTrajectPeriodeDatumTijdVan],"&lt;="&amp;($A464+17/24),tData[SEHTrajectPeriodeDatumTijdTotEnMet],"&gt;"&amp;($A464+17/24),tData[Langligger01],1)</f>
        <v/>
      </c>
      <c r="V464" s="20">
        <f>COUNTIFS(tData[SEHTrajectPeriodeDatumTijdVan],"&lt;="&amp;($A464+18/24),tData[SEHTrajectPeriodeDatumTijdTotEnMet],"&gt;"&amp;($A464+18/24),tData[Langligger01],1)</f>
        <v/>
      </c>
      <c r="W464" s="20">
        <f>COUNTIFS(tData[SEHTrajectPeriodeDatumTijdVan],"&lt;="&amp;($A464+19/24),tData[SEHTrajectPeriodeDatumTijdTotEnMet],"&gt;"&amp;($A464+19/24),tData[Langligger01],1)</f>
        <v/>
      </c>
      <c r="X464" s="20">
        <f>COUNTIFS(tData[SEHTrajectPeriodeDatumTijdVan],"&lt;="&amp;($A464+20/24),tData[SEHTrajectPeriodeDatumTijdTotEnMet],"&gt;"&amp;($A464+20/24),tData[Langligger01],1)</f>
        <v/>
      </c>
      <c r="Y464" s="20">
        <f>COUNTIFS(tData[SEHTrajectPeriodeDatumTijdVan],"&lt;="&amp;($A464+21/24),tData[SEHTrajectPeriodeDatumTijdTotEnMet],"&gt;"&amp;($A464+21/24),tData[Langligger01],1)</f>
        <v/>
      </c>
      <c r="Z464" s="20">
        <f>COUNTIFS(tData[SEHTrajectPeriodeDatumTijdVan],"&lt;="&amp;($A464+22/24),tData[SEHTrajectPeriodeDatumTijdTotEnMet],"&gt;"&amp;($A464+22/24),tData[Langligger01],1)</f>
        <v/>
      </c>
      <c r="AA464" s="20">
        <f>COUNTIFS(tData[SEHTrajectPeriodeDatumTijdVan],"&lt;="&amp;($A464+23/24),tData[SEHTrajectPeriodeDatumTijdTotEnMet],"&gt;"&amp;($A464+23/24),tData[Langligger01],1)</f>
        <v/>
      </c>
    </row>
    <row r="465">
      <c r="A465" s="19" t="n">
        <v>45753</v>
      </c>
      <c r="B465" s="15">
        <f>WEEKDAY($A465,2)</f>
        <v/>
      </c>
      <c r="C465" s="15">
        <f>IF(AND($A465&gt;=INT(Instellingen!$B$5),$A465&lt;=INT(Instellingen!$B$6)),1,0)</f>
        <v/>
      </c>
      <c r="D465" s="20">
        <f>COUNTIFS(tData[SEHTrajectPeriodeDatumTijdVan],"&lt;="&amp;($A465+0/24),tData[SEHTrajectPeriodeDatumTijdTotEnMet],"&gt;"&amp;($A465+0/24),tData[Langligger01],1)</f>
        <v/>
      </c>
      <c r="E465" s="20">
        <f>COUNTIFS(tData[SEHTrajectPeriodeDatumTijdVan],"&lt;="&amp;($A465+1/24),tData[SEHTrajectPeriodeDatumTijdTotEnMet],"&gt;"&amp;($A465+1/24),tData[Langligger01],1)</f>
        <v/>
      </c>
      <c r="F465" s="20">
        <f>COUNTIFS(tData[SEHTrajectPeriodeDatumTijdVan],"&lt;="&amp;($A465+2/24),tData[SEHTrajectPeriodeDatumTijdTotEnMet],"&gt;"&amp;($A465+2/24),tData[Langligger01],1)</f>
        <v/>
      </c>
      <c r="G465" s="20">
        <f>COUNTIFS(tData[SEHTrajectPeriodeDatumTijdVan],"&lt;="&amp;($A465+3/24),tData[SEHTrajectPeriodeDatumTijdTotEnMet],"&gt;"&amp;($A465+3/24),tData[Langligger01],1)</f>
        <v/>
      </c>
      <c r="H465" s="20">
        <f>COUNTIFS(tData[SEHTrajectPeriodeDatumTijdVan],"&lt;="&amp;($A465+4/24),tData[SEHTrajectPeriodeDatumTijdTotEnMet],"&gt;"&amp;($A465+4/24),tData[Langligger01],1)</f>
        <v/>
      </c>
      <c r="I465" s="20">
        <f>COUNTIFS(tData[SEHTrajectPeriodeDatumTijdVan],"&lt;="&amp;($A465+5/24),tData[SEHTrajectPeriodeDatumTijdTotEnMet],"&gt;"&amp;($A465+5/24),tData[Langligger01],1)</f>
        <v/>
      </c>
      <c r="J465" s="20">
        <f>COUNTIFS(tData[SEHTrajectPeriodeDatumTijdVan],"&lt;="&amp;($A465+6/24),tData[SEHTrajectPeriodeDatumTijdTotEnMet],"&gt;"&amp;($A465+6/24),tData[Langligger01],1)</f>
        <v/>
      </c>
      <c r="K465" s="20">
        <f>COUNTIFS(tData[SEHTrajectPeriodeDatumTijdVan],"&lt;="&amp;($A465+7/24),tData[SEHTrajectPeriodeDatumTijdTotEnMet],"&gt;"&amp;($A465+7/24),tData[Langligger01],1)</f>
        <v/>
      </c>
      <c r="L465" s="20">
        <f>COUNTIFS(tData[SEHTrajectPeriodeDatumTijdVan],"&lt;="&amp;($A465+8/24),tData[SEHTrajectPeriodeDatumTijdTotEnMet],"&gt;"&amp;($A465+8/24),tData[Langligger01],1)</f>
        <v/>
      </c>
      <c r="M465" s="20">
        <f>COUNTIFS(tData[SEHTrajectPeriodeDatumTijdVan],"&lt;="&amp;($A465+9/24),tData[SEHTrajectPeriodeDatumTijdTotEnMet],"&gt;"&amp;($A465+9/24),tData[Langligger01],1)</f>
        <v/>
      </c>
      <c r="N465" s="20">
        <f>COUNTIFS(tData[SEHTrajectPeriodeDatumTijdVan],"&lt;="&amp;($A465+10/24),tData[SEHTrajectPeriodeDatumTijdTotEnMet],"&gt;"&amp;($A465+10/24),tData[Langligger01],1)</f>
        <v/>
      </c>
      <c r="O465" s="20">
        <f>COUNTIFS(tData[SEHTrajectPeriodeDatumTijdVan],"&lt;="&amp;($A465+11/24),tData[SEHTrajectPeriodeDatumTijdTotEnMet],"&gt;"&amp;($A465+11/24),tData[Langligger01],1)</f>
        <v/>
      </c>
      <c r="P465" s="20">
        <f>COUNTIFS(tData[SEHTrajectPeriodeDatumTijdVan],"&lt;="&amp;($A465+12/24),tData[SEHTrajectPeriodeDatumTijdTotEnMet],"&gt;"&amp;($A465+12/24),tData[Langligger01],1)</f>
        <v/>
      </c>
      <c r="Q465" s="20">
        <f>COUNTIFS(tData[SEHTrajectPeriodeDatumTijdVan],"&lt;="&amp;($A465+13/24),tData[SEHTrajectPeriodeDatumTijdTotEnMet],"&gt;"&amp;($A465+13/24),tData[Langligger01],1)</f>
        <v/>
      </c>
      <c r="R465" s="20">
        <f>COUNTIFS(tData[SEHTrajectPeriodeDatumTijdVan],"&lt;="&amp;($A465+14/24),tData[SEHTrajectPeriodeDatumTijdTotEnMet],"&gt;"&amp;($A465+14/24),tData[Langligger01],1)</f>
        <v/>
      </c>
      <c r="S465" s="20">
        <f>COUNTIFS(tData[SEHTrajectPeriodeDatumTijdVan],"&lt;="&amp;($A465+15/24),tData[SEHTrajectPeriodeDatumTijdTotEnMet],"&gt;"&amp;($A465+15/24),tData[Langligger01],1)</f>
        <v/>
      </c>
      <c r="T465" s="20">
        <f>COUNTIFS(tData[SEHTrajectPeriodeDatumTijdVan],"&lt;="&amp;($A465+16/24),tData[SEHTrajectPeriodeDatumTijdTotEnMet],"&gt;"&amp;($A465+16/24),tData[Langligger01],1)</f>
        <v/>
      </c>
      <c r="U465" s="20">
        <f>COUNTIFS(tData[SEHTrajectPeriodeDatumTijdVan],"&lt;="&amp;($A465+17/24),tData[SEHTrajectPeriodeDatumTijdTotEnMet],"&gt;"&amp;($A465+17/24),tData[Langligger01],1)</f>
        <v/>
      </c>
      <c r="V465" s="20">
        <f>COUNTIFS(tData[SEHTrajectPeriodeDatumTijdVan],"&lt;="&amp;($A465+18/24),tData[SEHTrajectPeriodeDatumTijdTotEnMet],"&gt;"&amp;($A465+18/24),tData[Langligger01],1)</f>
        <v/>
      </c>
      <c r="W465" s="20">
        <f>COUNTIFS(tData[SEHTrajectPeriodeDatumTijdVan],"&lt;="&amp;($A465+19/24),tData[SEHTrajectPeriodeDatumTijdTotEnMet],"&gt;"&amp;($A465+19/24),tData[Langligger01],1)</f>
        <v/>
      </c>
      <c r="X465" s="20">
        <f>COUNTIFS(tData[SEHTrajectPeriodeDatumTijdVan],"&lt;="&amp;($A465+20/24),tData[SEHTrajectPeriodeDatumTijdTotEnMet],"&gt;"&amp;($A465+20/24),tData[Langligger01],1)</f>
        <v/>
      </c>
      <c r="Y465" s="20">
        <f>COUNTIFS(tData[SEHTrajectPeriodeDatumTijdVan],"&lt;="&amp;($A465+21/24),tData[SEHTrajectPeriodeDatumTijdTotEnMet],"&gt;"&amp;($A465+21/24),tData[Langligger01],1)</f>
        <v/>
      </c>
      <c r="Z465" s="20">
        <f>COUNTIFS(tData[SEHTrajectPeriodeDatumTijdVan],"&lt;="&amp;($A465+22/24),tData[SEHTrajectPeriodeDatumTijdTotEnMet],"&gt;"&amp;($A465+22/24),tData[Langligger01],1)</f>
        <v/>
      </c>
      <c r="AA465" s="20">
        <f>COUNTIFS(tData[SEHTrajectPeriodeDatumTijdVan],"&lt;="&amp;($A465+23/24),tData[SEHTrajectPeriodeDatumTijdTotEnMet],"&gt;"&amp;($A465+23/24),tData[Langligger01],1)</f>
        <v/>
      </c>
    </row>
    <row r="466">
      <c r="A466" s="19" t="n">
        <v>45754</v>
      </c>
      <c r="B466" s="15">
        <f>WEEKDAY($A466,2)</f>
        <v/>
      </c>
      <c r="C466" s="15">
        <f>IF(AND($A466&gt;=INT(Instellingen!$B$5),$A466&lt;=INT(Instellingen!$B$6)),1,0)</f>
        <v/>
      </c>
      <c r="D466" s="20">
        <f>COUNTIFS(tData[SEHTrajectPeriodeDatumTijdVan],"&lt;="&amp;($A466+0/24),tData[SEHTrajectPeriodeDatumTijdTotEnMet],"&gt;"&amp;($A466+0/24),tData[Langligger01],1)</f>
        <v/>
      </c>
      <c r="E466" s="20">
        <f>COUNTIFS(tData[SEHTrajectPeriodeDatumTijdVan],"&lt;="&amp;($A466+1/24),tData[SEHTrajectPeriodeDatumTijdTotEnMet],"&gt;"&amp;($A466+1/24),tData[Langligger01],1)</f>
        <v/>
      </c>
      <c r="F466" s="20">
        <f>COUNTIFS(tData[SEHTrajectPeriodeDatumTijdVan],"&lt;="&amp;($A466+2/24),tData[SEHTrajectPeriodeDatumTijdTotEnMet],"&gt;"&amp;($A466+2/24),tData[Langligger01],1)</f>
        <v/>
      </c>
      <c r="G466" s="20">
        <f>COUNTIFS(tData[SEHTrajectPeriodeDatumTijdVan],"&lt;="&amp;($A466+3/24),tData[SEHTrajectPeriodeDatumTijdTotEnMet],"&gt;"&amp;($A466+3/24),tData[Langligger01],1)</f>
        <v/>
      </c>
      <c r="H466" s="20">
        <f>COUNTIFS(tData[SEHTrajectPeriodeDatumTijdVan],"&lt;="&amp;($A466+4/24),tData[SEHTrajectPeriodeDatumTijdTotEnMet],"&gt;"&amp;($A466+4/24),tData[Langligger01],1)</f>
        <v/>
      </c>
      <c r="I466" s="20">
        <f>COUNTIFS(tData[SEHTrajectPeriodeDatumTijdVan],"&lt;="&amp;($A466+5/24),tData[SEHTrajectPeriodeDatumTijdTotEnMet],"&gt;"&amp;($A466+5/24),tData[Langligger01],1)</f>
        <v/>
      </c>
      <c r="J466" s="20">
        <f>COUNTIFS(tData[SEHTrajectPeriodeDatumTijdVan],"&lt;="&amp;($A466+6/24),tData[SEHTrajectPeriodeDatumTijdTotEnMet],"&gt;"&amp;($A466+6/24),tData[Langligger01],1)</f>
        <v/>
      </c>
      <c r="K466" s="20">
        <f>COUNTIFS(tData[SEHTrajectPeriodeDatumTijdVan],"&lt;="&amp;($A466+7/24),tData[SEHTrajectPeriodeDatumTijdTotEnMet],"&gt;"&amp;($A466+7/24),tData[Langligger01],1)</f>
        <v/>
      </c>
      <c r="L466" s="20">
        <f>COUNTIFS(tData[SEHTrajectPeriodeDatumTijdVan],"&lt;="&amp;($A466+8/24),tData[SEHTrajectPeriodeDatumTijdTotEnMet],"&gt;"&amp;($A466+8/24),tData[Langligger01],1)</f>
        <v/>
      </c>
      <c r="M466" s="20">
        <f>COUNTIFS(tData[SEHTrajectPeriodeDatumTijdVan],"&lt;="&amp;($A466+9/24),tData[SEHTrajectPeriodeDatumTijdTotEnMet],"&gt;"&amp;($A466+9/24),tData[Langligger01],1)</f>
        <v/>
      </c>
      <c r="N466" s="20">
        <f>COUNTIFS(tData[SEHTrajectPeriodeDatumTijdVan],"&lt;="&amp;($A466+10/24),tData[SEHTrajectPeriodeDatumTijdTotEnMet],"&gt;"&amp;($A466+10/24),tData[Langligger01],1)</f>
        <v/>
      </c>
      <c r="O466" s="20">
        <f>COUNTIFS(tData[SEHTrajectPeriodeDatumTijdVan],"&lt;="&amp;($A466+11/24),tData[SEHTrajectPeriodeDatumTijdTotEnMet],"&gt;"&amp;($A466+11/24),tData[Langligger01],1)</f>
        <v/>
      </c>
      <c r="P466" s="20">
        <f>COUNTIFS(tData[SEHTrajectPeriodeDatumTijdVan],"&lt;="&amp;($A466+12/24),tData[SEHTrajectPeriodeDatumTijdTotEnMet],"&gt;"&amp;($A466+12/24),tData[Langligger01],1)</f>
        <v/>
      </c>
      <c r="Q466" s="20">
        <f>COUNTIFS(tData[SEHTrajectPeriodeDatumTijdVan],"&lt;="&amp;($A466+13/24),tData[SEHTrajectPeriodeDatumTijdTotEnMet],"&gt;"&amp;($A466+13/24),tData[Langligger01],1)</f>
        <v/>
      </c>
      <c r="R466" s="20">
        <f>COUNTIFS(tData[SEHTrajectPeriodeDatumTijdVan],"&lt;="&amp;($A466+14/24),tData[SEHTrajectPeriodeDatumTijdTotEnMet],"&gt;"&amp;($A466+14/24),tData[Langligger01],1)</f>
        <v/>
      </c>
      <c r="S466" s="20">
        <f>COUNTIFS(tData[SEHTrajectPeriodeDatumTijdVan],"&lt;="&amp;($A466+15/24),tData[SEHTrajectPeriodeDatumTijdTotEnMet],"&gt;"&amp;($A466+15/24),tData[Langligger01],1)</f>
        <v/>
      </c>
      <c r="T466" s="20">
        <f>COUNTIFS(tData[SEHTrajectPeriodeDatumTijdVan],"&lt;="&amp;($A466+16/24),tData[SEHTrajectPeriodeDatumTijdTotEnMet],"&gt;"&amp;($A466+16/24),tData[Langligger01],1)</f>
        <v/>
      </c>
      <c r="U466" s="20">
        <f>COUNTIFS(tData[SEHTrajectPeriodeDatumTijdVan],"&lt;="&amp;($A466+17/24),tData[SEHTrajectPeriodeDatumTijdTotEnMet],"&gt;"&amp;($A466+17/24),tData[Langligger01],1)</f>
        <v/>
      </c>
      <c r="V466" s="20">
        <f>COUNTIFS(tData[SEHTrajectPeriodeDatumTijdVan],"&lt;="&amp;($A466+18/24),tData[SEHTrajectPeriodeDatumTijdTotEnMet],"&gt;"&amp;($A466+18/24),tData[Langligger01],1)</f>
        <v/>
      </c>
      <c r="W466" s="20">
        <f>COUNTIFS(tData[SEHTrajectPeriodeDatumTijdVan],"&lt;="&amp;($A466+19/24),tData[SEHTrajectPeriodeDatumTijdTotEnMet],"&gt;"&amp;($A466+19/24),tData[Langligger01],1)</f>
        <v/>
      </c>
      <c r="X466" s="20">
        <f>COUNTIFS(tData[SEHTrajectPeriodeDatumTijdVan],"&lt;="&amp;($A466+20/24),tData[SEHTrajectPeriodeDatumTijdTotEnMet],"&gt;"&amp;($A466+20/24),tData[Langligger01],1)</f>
        <v/>
      </c>
      <c r="Y466" s="20">
        <f>COUNTIFS(tData[SEHTrajectPeriodeDatumTijdVan],"&lt;="&amp;($A466+21/24),tData[SEHTrajectPeriodeDatumTijdTotEnMet],"&gt;"&amp;($A466+21/24),tData[Langligger01],1)</f>
        <v/>
      </c>
      <c r="Z466" s="20">
        <f>COUNTIFS(tData[SEHTrajectPeriodeDatumTijdVan],"&lt;="&amp;($A466+22/24),tData[SEHTrajectPeriodeDatumTijdTotEnMet],"&gt;"&amp;($A466+22/24),tData[Langligger01],1)</f>
        <v/>
      </c>
      <c r="AA466" s="20">
        <f>COUNTIFS(tData[SEHTrajectPeriodeDatumTijdVan],"&lt;="&amp;($A466+23/24),tData[SEHTrajectPeriodeDatumTijdTotEnMet],"&gt;"&amp;($A466+23/24),tData[Langligger01],1)</f>
        <v/>
      </c>
    </row>
    <row r="467">
      <c r="A467" s="19" t="n">
        <v>45755</v>
      </c>
      <c r="B467" s="15">
        <f>WEEKDAY($A467,2)</f>
        <v/>
      </c>
      <c r="C467" s="15">
        <f>IF(AND($A467&gt;=INT(Instellingen!$B$5),$A467&lt;=INT(Instellingen!$B$6)),1,0)</f>
        <v/>
      </c>
      <c r="D467" s="20">
        <f>COUNTIFS(tData[SEHTrajectPeriodeDatumTijdVan],"&lt;="&amp;($A467+0/24),tData[SEHTrajectPeriodeDatumTijdTotEnMet],"&gt;"&amp;($A467+0/24),tData[Langligger01],1)</f>
        <v/>
      </c>
      <c r="E467" s="20">
        <f>COUNTIFS(tData[SEHTrajectPeriodeDatumTijdVan],"&lt;="&amp;($A467+1/24),tData[SEHTrajectPeriodeDatumTijdTotEnMet],"&gt;"&amp;($A467+1/24),tData[Langligger01],1)</f>
        <v/>
      </c>
      <c r="F467" s="20">
        <f>COUNTIFS(tData[SEHTrajectPeriodeDatumTijdVan],"&lt;="&amp;($A467+2/24),tData[SEHTrajectPeriodeDatumTijdTotEnMet],"&gt;"&amp;($A467+2/24),tData[Langligger01],1)</f>
        <v/>
      </c>
      <c r="G467" s="20">
        <f>COUNTIFS(tData[SEHTrajectPeriodeDatumTijdVan],"&lt;="&amp;($A467+3/24),tData[SEHTrajectPeriodeDatumTijdTotEnMet],"&gt;"&amp;($A467+3/24),tData[Langligger01],1)</f>
        <v/>
      </c>
      <c r="H467" s="20">
        <f>COUNTIFS(tData[SEHTrajectPeriodeDatumTijdVan],"&lt;="&amp;($A467+4/24),tData[SEHTrajectPeriodeDatumTijdTotEnMet],"&gt;"&amp;($A467+4/24),tData[Langligger01],1)</f>
        <v/>
      </c>
      <c r="I467" s="20">
        <f>COUNTIFS(tData[SEHTrajectPeriodeDatumTijdVan],"&lt;="&amp;($A467+5/24),tData[SEHTrajectPeriodeDatumTijdTotEnMet],"&gt;"&amp;($A467+5/24),tData[Langligger01],1)</f>
        <v/>
      </c>
      <c r="J467" s="20">
        <f>COUNTIFS(tData[SEHTrajectPeriodeDatumTijdVan],"&lt;="&amp;($A467+6/24),tData[SEHTrajectPeriodeDatumTijdTotEnMet],"&gt;"&amp;($A467+6/24),tData[Langligger01],1)</f>
        <v/>
      </c>
      <c r="K467" s="20">
        <f>COUNTIFS(tData[SEHTrajectPeriodeDatumTijdVan],"&lt;="&amp;($A467+7/24),tData[SEHTrajectPeriodeDatumTijdTotEnMet],"&gt;"&amp;($A467+7/24),tData[Langligger01],1)</f>
        <v/>
      </c>
      <c r="L467" s="20">
        <f>COUNTIFS(tData[SEHTrajectPeriodeDatumTijdVan],"&lt;="&amp;($A467+8/24),tData[SEHTrajectPeriodeDatumTijdTotEnMet],"&gt;"&amp;($A467+8/24),tData[Langligger01],1)</f>
        <v/>
      </c>
      <c r="M467" s="20">
        <f>COUNTIFS(tData[SEHTrajectPeriodeDatumTijdVan],"&lt;="&amp;($A467+9/24),tData[SEHTrajectPeriodeDatumTijdTotEnMet],"&gt;"&amp;($A467+9/24),tData[Langligger01],1)</f>
        <v/>
      </c>
      <c r="N467" s="20">
        <f>COUNTIFS(tData[SEHTrajectPeriodeDatumTijdVan],"&lt;="&amp;($A467+10/24),tData[SEHTrajectPeriodeDatumTijdTotEnMet],"&gt;"&amp;($A467+10/24),tData[Langligger01],1)</f>
        <v/>
      </c>
      <c r="O467" s="20">
        <f>COUNTIFS(tData[SEHTrajectPeriodeDatumTijdVan],"&lt;="&amp;($A467+11/24),tData[SEHTrajectPeriodeDatumTijdTotEnMet],"&gt;"&amp;($A467+11/24),tData[Langligger01],1)</f>
        <v/>
      </c>
      <c r="P467" s="20">
        <f>COUNTIFS(tData[SEHTrajectPeriodeDatumTijdVan],"&lt;="&amp;($A467+12/24),tData[SEHTrajectPeriodeDatumTijdTotEnMet],"&gt;"&amp;($A467+12/24),tData[Langligger01],1)</f>
        <v/>
      </c>
      <c r="Q467" s="20">
        <f>COUNTIFS(tData[SEHTrajectPeriodeDatumTijdVan],"&lt;="&amp;($A467+13/24),tData[SEHTrajectPeriodeDatumTijdTotEnMet],"&gt;"&amp;($A467+13/24),tData[Langligger01],1)</f>
        <v/>
      </c>
      <c r="R467" s="20">
        <f>COUNTIFS(tData[SEHTrajectPeriodeDatumTijdVan],"&lt;="&amp;($A467+14/24),tData[SEHTrajectPeriodeDatumTijdTotEnMet],"&gt;"&amp;($A467+14/24),tData[Langligger01],1)</f>
        <v/>
      </c>
      <c r="S467" s="20">
        <f>COUNTIFS(tData[SEHTrajectPeriodeDatumTijdVan],"&lt;="&amp;($A467+15/24),tData[SEHTrajectPeriodeDatumTijdTotEnMet],"&gt;"&amp;($A467+15/24),tData[Langligger01],1)</f>
        <v/>
      </c>
      <c r="T467" s="20">
        <f>COUNTIFS(tData[SEHTrajectPeriodeDatumTijdVan],"&lt;="&amp;($A467+16/24),tData[SEHTrajectPeriodeDatumTijdTotEnMet],"&gt;"&amp;($A467+16/24),tData[Langligger01],1)</f>
        <v/>
      </c>
      <c r="U467" s="20">
        <f>COUNTIFS(tData[SEHTrajectPeriodeDatumTijdVan],"&lt;="&amp;($A467+17/24),tData[SEHTrajectPeriodeDatumTijdTotEnMet],"&gt;"&amp;($A467+17/24),tData[Langligger01],1)</f>
        <v/>
      </c>
      <c r="V467" s="20">
        <f>COUNTIFS(tData[SEHTrajectPeriodeDatumTijdVan],"&lt;="&amp;($A467+18/24),tData[SEHTrajectPeriodeDatumTijdTotEnMet],"&gt;"&amp;($A467+18/24),tData[Langligger01],1)</f>
        <v/>
      </c>
      <c r="W467" s="20">
        <f>COUNTIFS(tData[SEHTrajectPeriodeDatumTijdVan],"&lt;="&amp;($A467+19/24),tData[SEHTrajectPeriodeDatumTijdTotEnMet],"&gt;"&amp;($A467+19/24),tData[Langligger01],1)</f>
        <v/>
      </c>
      <c r="X467" s="20">
        <f>COUNTIFS(tData[SEHTrajectPeriodeDatumTijdVan],"&lt;="&amp;($A467+20/24),tData[SEHTrajectPeriodeDatumTijdTotEnMet],"&gt;"&amp;($A467+20/24),tData[Langligger01],1)</f>
        <v/>
      </c>
      <c r="Y467" s="20">
        <f>COUNTIFS(tData[SEHTrajectPeriodeDatumTijdVan],"&lt;="&amp;($A467+21/24),tData[SEHTrajectPeriodeDatumTijdTotEnMet],"&gt;"&amp;($A467+21/24),tData[Langligger01],1)</f>
        <v/>
      </c>
      <c r="Z467" s="20">
        <f>COUNTIFS(tData[SEHTrajectPeriodeDatumTijdVan],"&lt;="&amp;($A467+22/24),tData[SEHTrajectPeriodeDatumTijdTotEnMet],"&gt;"&amp;($A467+22/24),tData[Langligger01],1)</f>
        <v/>
      </c>
      <c r="AA467" s="20">
        <f>COUNTIFS(tData[SEHTrajectPeriodeDatumTijdVan],"&lt;="&amp;($A467+23/24),tData[SEHTrajectPeriodeDatumTijdTotEnMet],"&gt;"&amp;($A467+23/24),tData[Langligger01],1)</f>
        <v/>
      </c>
    </row>
    <row r="468">
      <c r="A468" s="19" t="n">
        <v>45756</v>
      </c>
      <c r="B468" s="15">
        <f>WEEKDAY($A468,2)</f>
        <v/>
      </c>
      <c r="C468" s="15">
        <f>IF(AND($A468&gt;=INT(Instellingen!$B$5),$A468&lt;=INT(Instellingen!$B$6)),1,0)</f>
        <v/>
      </c>
      <c r="D468" s="20">
        <f>COUNTIFS(tData[SEHTrajectPeriodeDatumTijdVan],"&lt;="&amp;($A468+0/24),tData[SEHTrajectPeriodeDatumTijdTotEnMet],"&gt;"&amp;($A468+0/24),tData[Langligger01],1)</f>
        <v/>
      </c>
      <c r="E468" s="20">
        <f>COUNTIFS(tData[SEHTrajectPeriodeDatumTijdVan],"&lt;="&amp;($A468+1/24),tData[SEHTrajectPeriodeDatumTijdTotEnMet],"&gt;"&amp;($A468+1/24),tData[Langligger01],1)</f>
        <v/>
      </c>
      <c r="F468" s="20">
        <f>COUNTIFS(tData[SEHTrajectPeriodeDatumTijdVan],"&lt;="&amp;($A468+2/24),tData[SEHTrajectPeriodeDatumTijdTotEnMet],"&gt;"&amp;($A468+2/24),tData[Langligger01],1)</f>
        <v/>
      </c>
      <c r="G468" s="20">
        <f>COUNTIFS(tData[SEHTrajectPeriodeDatumTijdVan],"&lt;="&amp;($A468+3/24),tData[SEHTrajectPeriodeDatumTijdTotEnMet],"&gt;"&amp;($A468+3/24),tData[Langligger01],1)</f>
        <v/>
      </c>
      <c r="H468" s="20">
        <f>COUNTIFS(tData[SEHTrajectPeriodeDatumTijdVan],"&lt;="&amp;($A468+4/24),tData[SEHTrajectPeriodeDatumTijdTotEnMet],"&gt;"&amp;($A468+4/24),tData[Langligger01],1)</f>
        <v/>
      </c>
      <c r="I468" s="20">
        <f>COUNTIFS(tData[SEHTrajectPeriodeDatumTijdVan],"&lt;="&amp;($A468+5/24),tData[SEHTrajectPeriodeDatumTijdTotEnMet],"&gt;"&amp;($A468+5/24),tData[Langligger01],1)</f>
        <v/>
      </c>
      <c r="J468" s="20">
        <f>COUNTIFS(tData[SEHTrajectPeriodeDatumTijdVan],"&lt;="&amp;($A468+6/24),tData[SEHTrajectPeriodeDatumTijdTotEnMet],"&gt;"&amp;($A468+6/24),tData[Langligger01],1)</f>
        <v/>
      </c>
      <c r="K468" s="20">
        <f>COUNTIFS(tData[SEHTrajectPeriodeDatumTijdVan],"&lt;="&amp;($A468+7/24),tData[SEHTrajectPeriodeDatumTijdTotEnMet],"&gt;"&amp;($A468+7/24),tData[Langligger01],1)</f>
        <v/>
      </c>
      <c r="L468" s="20">
        <f>COUNTIFS(tData[SEHTrajectPeriodeDatumTijdVan],"&lt;="&amp;($A468+8/24),tData[SEHTrajectPeriodeDatumTijdTotEnMet],"&gt;"&amp;($A468+8/24),tData[Langligger01],1)</f>
        <v/>
      </c>
      <c r="M468" s="20">
        <f>COUNTIFS(tData[SEHTrajectPeriodeDatumTijdVan],"&lt;="&amp;($A468+9/24),tData[SEHTrajectPeriodeDatumTijdTotEnMet],"&gt;"&amp;($A468+9/24),tData[Langligger01],1)</f>
        <v/>
      </c>
      <c r="N468" s="20">
        <f>COUNTIFS(tData[SEHTrajectPeriodeDatumTijdVan],"&lt;="&amp;($A468+10/24),tData[SEHTrajectPeriodeDatumTijdTotEnMet],"&gt;"&amp;($A468+10/24),tData[Langligger01],1)</f>
        <v/>
      </c>
      <c r="O468" s="20">
        <f>COUNTIFS(tData[SEHTrajectPeriodeDatumTijdVan],"&lt;="&amp;($A468+11/24),tData[SEHTrajectPeriodeDatumTijdTotEnMet],"&gt;"&amp;($A468+11/24),tData[Langligger01],1)</f>
        <v/>
      </c>
      <c r="P468" s="20">
        <f>COUNTIFS(tData[SEHTrajectPeriodeDatumTijdVan],"&lt;="&amp;($A468+12/24),tData[SEHTrajectPeriodeDatumTijdTotEnMet],"&gt;"&amp;($A468+12/24),tData[Langligger01],1)</f>
        <v/>
      </c>
      <c r="Q468" s="20">
        <f>COUNTIFS(tData[SEHTrajectPeriodeDatumTijdVan],"&lt;="&amp;($A468+13/24),tData[SEHTrajectPeriodeDatumTijdTotEnMet],"&gt;"&amp;($A468+13/24),tData[Langligger01],1)</f>
        <v/>
      </c>
      <c r="R468" s="20">
        <f>COUNTIFS(tData[SEHTrajectPeriodeDatumTijdVan],"&lt;="&amp;($A468+14/24),tData[SEHTrajectPeriodeDatumTijdTotEnMet],"&gt;"&amp;($A468+14/24),tData[Langligger01],1)</f>
        <v/>
      </c>
      <c r="S468" s="20">
        <f>COUNTIFS(tData[SEHTrajectPeriodeDatumTijdVan],"&lt;="&amp;($A468+15/24),tData[SEHTrajectPeriodeDatumTijdTotEnMet],"&gt;"&amp;($A468+15/24),tData[Langligger01],1)</f>
        <v/>
      </c>
      <c r="T468" s="20">
        <f>COUNTIFS(tData[SEHTrajectPeriodeDatumTijdVan],"&lt;="&amp;($A468+16/24),tData[SEHTrajectPeriodeDatumTijdTotEnMet],"&gt;"&amp;($A468+16/24),tData[Langligger01],1)</f>
        <v/>
      </c>
      <c r="U468" s="20">
        <f>COUNTIFS(tData[SEHTrajectPeriodeDatumTijdVan],"&lt;="&amp;($A468+17/24),tData[SEHTrajectPeriodeDatumTijdTotEnMet],"&gt;"&amp;($A468+17/24),tData[Langligger01],1)</f>
        <v/>
      </c>
      <c r="V468" s="20">
        <f>COUNTIFS(tData[SEHTrajectPeriodeDatumTijdVan],"&lt;="&amp;($A468+18/24),tData[SEHTrajectPeriodeDatumTijdTotEnMet],"&gt;"&amp;($A468+18/24),tData[Langligger01],1)</f>
        <v/>
      </c>
      <c r="W468" s="20">
        <f>COUNTIFS(tData[SEHTrajectPeriodeDatumTijdVan],"&lt;="&amp;($A468+19/24),tData[SEHTrajectPeriodeDatumTijdTotEnMet],"&gt;"&amp;($A468+19/24),tData[Langligger01],1)</f>
        <v/>
      </c>
      <c r="X468" s="20">
        <f>COUNTIFS(tData[SEHTrajectPeriodeDatumTijdVan],"&lt;="&amp;($A468+20/24),tData[SEHTrajectPeriodeDatumTijdTotEnMet],"&gt;"&amp;($A468+20/24),tData[Langligger01],1)</f>
        <v/>
      </c>
      <c r="Y468" s="20">
        <f>COUNTIFS(tData[SEHTrajectPeriodeDatumTijdVan],"&lt;="&amp;($A468+21/24),tData[SEHTrajectPeriodeDatumTijdTotEnMet],"&gt;"&amp;($A468+21/24),tData[Langligger01],1)</f>
        <v/>
      </c>
      <c r="Z468" s="20">
        <f>COUNTIFS(tData[SEHTrajectPeriodeDatumTijdVan],"&lt;="&amp;($A468+22/24),tData[SEHTrajectPeriodeDatumTijdTotEnMet],"&gt;"&amp;($A468+22/24),tData[Langligger01],1)</f>
        <v/>
      </c>
      <c r="AA468" s="20">
        <f>COUNTIFS(tData[SEHTrajectPeriodeDatumTijdVan],"&lt;="&amp;($A468+23/24),tData[SEHTrajectPeriodeDatumTijdTotEnMet],"&gt;"&amp;($A468+23/24),tData[Langligger01],1)</f>
        <v/>
      </c>
    </row>
    <row r="469">
      <c r="A469" s="19" t="n">
        <v>45757</v>
      </c>
      <c r="B469" s="15">
        <f>WEEKDAY($A469,2)</f>
        <v/>
      </c>
      <c r="C469" s="15">
        <f>IF(AND($A469&gt;=INT(Instellingen!$B$5),$A469&lt;=INT(Instellingen!$B$6)),1,0)</f>
        <v/>
      </c>
      <c r="D469" s="20">
        <f>COUNTIFS(tData[SEHTrajectPeriodeDatumTijdVan],"&lt;="&amp;($A469+0/24),tData[SEHTrajectPeriodeDatumTijdTotEnMet],"&gt;"&amp;($A469+0/24),tData[Langligger01],1)</f>
        <v/>
      </c>
      <c r="E469" s="20">
        <f>COUNTIFS(tData[SEHTrajectPeriodeDatumTijdVan],"&lt;="&amp;($A469+1/24),tData[SEHTrajectPeriodeDatumTijdTotEnMet],"&gt;"&amp;($A469+1/24),tData[Langligger01],1)</f>
        <v/>
      </c>
      <c r="F469" s="20">
        <f>COUNTIFS(tData[SEHTrajectPeriodeDatumTijdVan],"&lt;="&amp;($A469+2/24),tData[SEHTrajectPeriodeDatumTijdTotEnMet],"&gt;"&amp;($A469+2/24),tData[Langligger01],1)</f>
        <v/>
      </c>
      <c r="G469" s="20">
        <f>COUNTIFS(tData[SEHTrajectPeriodeDatumTijdVan],"&lt;="&amp;($A469+3/24),tData[SEHTrajectPeriodeDatumTijdTotEnMet],"&gt;"&amp;($A469+3/24),tData[Langligger01],1)</f>
        <v/>
      </c>
      <c r="H469" s="20">
        <f>COUNTIFS(tData[SEHTrajectPeriodeDatumTijdVan],"&lt;="&amp;($A469+4/24),tData[SEHTrajectPeriodeDatumTijdTotEnMet],"&gt;"&amp;($A469+4/24),tData[Langligger01],1)</f>
        <v/>
      </c>
      <c r="I469" s="20">
        <f>COUNTIFS(tData[SEHTrajectPeriodeDatumTijdVan],"&lt;="&amp;($A469+5/24),tData[SEHTrajectPeriodeDatumTijdTotEnMet],"&gt;"&amp;($A469+5/24),tData[Langligger01],1)</f>
        <v/>
      </c>
      <c r="J469" s="20">
        <f>COUNTIFS(tData[SEHTrajectPeriodeDatumTijdVan],"&lt;="&amp;($A469+6/24),tData[SEHTrajectPeriodeDatumTijdTotEnMet],"&gt;"&amp;($A469+6/24),tData[Langligger01],1)</f>
        <v/>
      </c>
      <c r="K469" s="20">
        <f>COUNTIFS(tData[SEHTrajectPeriodeDatumTijdVan],"&lt;="&amp;($A469+7/24),tData[SEHTrajectPeriodeDatumTijdTotEnMet],"&gt;"&amp;($A469+7/24),tData[Langligger01],1)</f>
        <v/>
      </c>
      <c r="L469" s="20">
        <f>COUNTIFS(tData[SEHTrajectPeriodeDatumTijdVan],"&lt;="&amp;($A469+8/24),tData[SEHTrajectPeriodeDatumTijdTotEnMet],"&gt;"&amp;($A469+8/24),tData[Langligger01],1)</f>
        <v/>
      </c>
      <c r="M469" s="20">
        <f>COUNTIFS(tData[SEHTrajectPeriodeDatumTijdVan],"&lt;="&amp;($A469+9/24),tData[SEHTrajectPeriodeDatumTijdTotEnMet],"&gt;"&amp;($A469+9/24),tData[Langligger01],1)</f>
        <v/>
      </c>
      <c r="N469" s="20">
        <f>COUNTIFS(tData[SEHTrajectPeriodeDatumTijdVan],"&lt;="&amp;($A469+10/24),tData[SEHTrajectPeriodeDatumTijdTotEnMet],"&gt;"&amp;($A469+10/24),tData[Langligger01],1)</f>
        <v/>
      </c>
      <c r="O469" s="20">
        <f>COUNTIFS(tData[SEHTrajectPeriodeDatumTijdVan],"&lt;="&amp;($A469+11/24),tData[SEHTrajectPeriodeDatumTijdTotEnMet],"&gt;"&amp;($A469+11/24),tData[Langligger01],1)</f>
        <v/>
      </c>
      <c r="P469" s="20">
        <f>COUNTIFS(tData[SEHTrajectPeriodeDatumTijdVan],"&lt;="&amp;($A469+12/24),tData[SEHTrajectPeriodeDatumTijdTotEnMet],"&gt;"&amp;($A469+12/24),tData[Langligger01],1)</f>
        <v/>
      </c>
      <c r="Q469" s="20">
        <f>COUNTIFS(tData[SEHTrajectPeriodeDatumTijdVan],"&lt;="&amp;($A469+13/24),tData[SEHTrajectPeriodeDatumTijdTotEnMet],"&gt;"&amp;($A469+13/24),tData[Langligger01],1)</f>
        <v/>
      </c>
      <c r="R469" s="20">
        <f>COUNTIFS(tData[SEHTrajectPeriodeDatumTijdVan],"&lt;="&amp;($A469+14/24),tData[SEHTrajectPeriodeDatumTijdTotEnMet],"&gt;"&amp;($A469+14/24),tData[Langligger01],1)</f>
        <v/>
      </c>
      <c r="S469" s="20">
        <f>COUNTIFS(tData[SEHTrajectPeriodeDatumTijdVan],"&lt;="&amp;($A469+15/24),tData[SEHTrajectPeriodeDatumTijdTotEnMet],"&gt;"&amp;($A469+15/24),tData[Langligger01],1)</f>
        <v/>
      </c>
      <c r="T469" s="20">
        <f>COUNTIFS(tData[SEHTrajectPeriodeDatumTijdVan],"&lt;="&amp;($A469+16/24),tData[SEHTrajectPeriodeDatumTijdTotEnMet],"&gt;"&amp;($A469+16/24),tData[Langligger01],1)</f>
        <v/>
      </c>
      <c r="U469" s="20">
        <f>COUNTIFS(tData[SEHTrajectPeriodeDatumTijdVan],"&lt;="&amp;($A469+17/24),tData[SEHTrajectPeriodeDatumTijdTotEnMet],"&gt;"&amp;($A469+17/24),tData[Langligger01],1)</f>
        <v/>
      </c>
      <c r="V469" s="20">
        <f>COUNTIFS(tData[SEHTrajectPeriodeDatumTijdVan],"&lt;="&amp;($A469+18/24),tData[SEHTrajectPeriodeDatumTijdTotEnMet],"&gt;"&amp;($A469+18/24),tData[Langligger01],1)</f>
        <v/>
      </c>
      <c r="W469" s="20">
        <f>COUNTIFS(tData[SEHTrajectPeriodeDatumTijdVan],"&lt;="&amp;($A469+19/24),tData[SEHTrajectPeriodeDatumTijdTotEnMet],"&gt;"&amp;($A469+19/24),tData[Langligger01],1)</f>
        <v/>
      </c>
      <c r="X469" s="20">
        <f>COUNTIFS(tData[SEHTrajectPeriodeDatumTijdVan],"&lt;="&amp;($A469+20/24),tData[SEHTrajectPeriodeDatumTijdTotEnMet],"&gt;"&amp;($A469+20/24),tData[Langligger01],1)</f>
        <v/>
      </c>
      <c r="Y469" s="20">
        <f>COUNTIFS(tData[SEHTrajectPeriodeDatumTijdVan],"&lt;="&amp;($A469+21/24),tData[SEHTrajectPeriodeDatumTijdTotEnMet],"&gt;"&amp;($A469+21/24),tData[Langligger01],1)</f>
        <v/>
      </c>
      <c r="Z469" s="20">
        <f>COUNTIFS(tData[SEHTrajectPeriodeDatumTijdVan],"&lt;="&amp;($A469+22/24),tData[SEHTrajectPeriodeDatumTijdTotEnMet],"&gt;"&amp;($A469+22/24),tData[Langligger01],1)</f>
        <v/>
      </c>
      <c r="AA469" s="20">
        <f>COUNTIFS(tData[SEHTrajectPeriodeDatumTijdVan],"&lt;="&amp;($A469+23/24),tData[SEHTrajectPeriodeDatumTijdTotEnMet],"&gt;"&amp;($A469+23/24),tData[Langligger01],1)</f>
        <v/>
      </c>
    </row>
    <row r="470">
      <c r="A470" s="19" t="n">
        <v>45758</v>
      </c>
      <c r="B470" s="15">
        <f>WEEKDAY($A470,2)</f>
        <v/>
      </c>
      <c r="C470" s="15">
        <f>IF(AND($A470&gt;=INT(Instellingen!$B$5),$A470&lt;=INT(Instellingen!$B$6)),1,0)</f>
        <v/>
      </c>
      <c r="D470" s="20">
        <f>COUNTIFS(tData[SEHTrajectPeriodeDatumTijdVan],"&lt;="&amp;($A470+0/24),tData[SEHTrajectPeriodeDatumTijdTotEnMet],"&gt;"&amp;($A470+0/24),tData[Langligger01],1)</f>
        <v/>
      </c>
      <c r="E470" s="20">
        <f>COUNTIFS(tData[SEHTrajectPeriodeDatumTijdVan],"&lt;="&amp;($A470+1/24),tData[SEHTrajectPeriodeDatumTijdTotEnMet],"&gt;"&amp;($A470+1/24),tData[Langligger01],1)</f>
        <v/>
      </c>
      <c r="F470" s="20">
        <f>COUNTIFS(tData[SEHTrajectPeriodeDatumTijdVan],"&lt;="&amp;($A470+2/24),tData[SEHTrajectPeriodeDatumTijdTotEnMet],"&gt;"&amp;($A470+2/24),tData[Langligger01],1)</f>
        <v/>
      </c>
      <c r="G470" s="20">
        <f>COUNTIFS(tData[SEHTrajectPeriodeDatumTijdVan],"&lt;="&amp;($A470+3/24),tData[SEHTrajectPeriodeDatumTijdTotEnMet],"&gt;"&amp;($A470+3/24),tData[Langligger01],1)</f>
        <v/>
      </c>
      <c r="H470" s="20">
        <f>COUNTIFS(tData[SEHTrajectPeriodeDatumTijdVan],"&lt;="&amp;($A470+4/24),tData[SEHTrajectPeriodeDatumTijdTotEnMet],"&gt;"&amp;($A470+4/24),tData[Langligger01],1)</f>
        <v/>
      </c>
      <c r="I470" s="20">
        <f>COUNTIFS(tData[SEHTrajectPeriodeDatumTijdVan],"&lt;="&amp;($A470+5/24),tData[SEHTrajectPeriodeDatumTijdTotEnMet],"&gt;"&amp;($A470+5/24),tData[Langligger01],1)</f>
        <v/>
      </c>
      <c r="J470" s="20">
        <f>COUNTIFS(tData[SEHTrajectPeriodeDatumTijdVan],"&lt;="&amp;($A470+6/24),tData[SEHTrajectPeriodeDatumTijdTotEnMet],"&gt;"&amp;($A470+6/24),tData[Langligger01],1)</f>
        <v/>
      </c>
      <c r="K470" s="20">
        <f>COUNTIFS(tData[SEHTrajectPeriodeDatumTijdVan],"&lt;="&amp;($A470+7/24),tData[SEHTrajectPeriodeDatumTijdTotEnMet],"&gt;"&amp;($A470+7/24),tData[Langligger01],1)</f>
        <v/>
      </c>
      <c r="L470" s="20">
        <f>COUNTIFS(tData[SEHTrajectPeriodeDatumTijdVan],"&lt;="&amp;($A470+8/24),tData[SEHTrajectPeriodeDatumTijdTotEnMet],"&gt;"&amp;($A470+8/24),tData[Langligger01],1)</f>
        <v/>
      </c>
      <c r="M470" s="20">
        <f>COUNTIFS(tData[SEHTrajectPeriodeDatumTijdVan],"&lt;="&amp;($A470+9/24),tData[SEHTrajectPeriodeDatumTijdTotEnMet],"&gt;"&amp;($A470+9/24),tData[Langligger01],1)</f>
        <v/>
      </c>
      <c r="N470" s="20">
        <f>COUNTIFS(tData[SEHTrajectPeriodeDatumTijdVan],"&lt;="&amp;($A470+10/24),tData[SEHTrajectPeriodeDatumTijdTotEnMet],"&gt;"&amp;($A470+10/24),tData[Langligger01],1)</f>
        <v/>
      </c>
      <c r="O470" s="20">
        <f>COUNTIFS(tData[SEHTrajectPeriodeDatumTijdVan],"&lt;="&amp;($A470+11/24),tData[SEHTrajectPeriodeDatumTijdTotEnMet],"&gt;"&amp;($A470+11/24),tData[Langligger01],1)</f>
        <v/>
      </c>
      <c r="P470" s="20">
        <f>COUNTIFS(tData[SEHTrajectPeriodeDatumTijdVan],"&lt;="&amp;($A470+12/24),tData[SEHTrajectPeriodeDatumTijdTotEnMet],"&gt;"&amp;($A470+12/24),tData[Langligger01],1)</f>
        <v/>
      </c>
      <c r="Q470" s="20">
        <f>COUNTIFS(tData[SEHTrajectPeriodeDatumTijdVan],"&lt;="&amp;($A470+13/24),tData[SEHTrajectPeriodeDatumTijdTotEnMet],"&gt;"&amp;($A470+13/24),tData[Langligger01],1)</f>
        <v/>
      </c>
      <c r="R470" s="20">
        <f>COUNTIFS(tData[SEHTrajectPeriodeDatumTijdVan],"&lt;="&amp;($A470+14/24),tData[SEHTrajectPeriodeDatumTijdTotEnMet],"&gt;"&amp;($A470+14/24),tData[Langligger01],1)</f>
        <v/>
      </c>
      <c r="S470" s="20">
        <f>COUNTIFS(tData[SEHTrajectPeriodeDatumTijdVan],"&lt;="&amp;($A470+15/24),tData[SEHTrajectPeriodeDatumTijdTotEnMet],"&gt;"&amp;($A470+15/24),tData[Langligger01],1)</f>
        <v/>
      </c>
      <c r="T470" s="20">
        <f>COUNTIFS(tData[SEHTrajectPeriodeDatumTijdVan],"&lt;="&amp;($A470+16/24),tData[SEHTrajectPeriodeDatumTijdTotEnMet],"&gt;"&amp;($A470+16/24),tData[Langligger01],1)</f>
        <v/>
      </c>
      <c r="U470" s="20">
        <f>COUNTIFS(tData[SEHTrajectPeriodeDatumTijdVan],"&lt;="&amp;($A470+17/24),tData[SEHTrajectPeriodeDatumTijdTotEnMet],"&gt;"&amp;($A470+17/24),tData[Langligger01],1)</f>
        <v/>
      </c>
      <c r="V470" s="20">
        <f>COUNTIFS(tData[SEHTrajectPeriodeDatumTijdVan],"&lt;="&amp;($A470+18/24),tData[SEHTrajectPeriodeDatumTijdTotEnMet],"&gt;"&amp;($A470+18/24),tData[Langligger01],1)</f>
        <v/>
      </c>
      <c r="W470" s="20">
        <f>COUNTIFS(tData[SEHTrajectPeriodeDatumTijdVan],"&lt;="&amp;($A470+19/24),tData[SEHTrajectPeriodeDatumTijdTotEnMet],"&gt;"&amp;($A470+19/24),tData[Langligger01],1)</f>
        <v/>
      </c>
      <c r="X470" s="20">
        <f>COUNTIFS(tData[SEHTrajectPeriodeDatumTijdVan],"&lt;="&amp;($A470+20/24),tData[SEHTrajectPeriodeDatumTijdTotEnMet],"&gt;"&amp;($A470+20/24),tData[Langligger01],1)</f>
        <v/>
      </c>
      <c r="Y470" s="20">
        <f>COUNTIFS(tData[SEHTrajectPeriodeDatumTijdVan],"&lt;="&amp;($A470+21/24),tData[SEHTrajectPeriodeDatumTijdTotEnMet],"&gt;"&amp;($A470+21/24),tData[Langligger01],1)</f>
        <v/>
      </c>
      <c r="Z470" s="20">
        <f>COUNTIFS(tData[SEHTrajectPeriodeDatumTijdVan],"&lt;="&amp;($A470+22/24),tData[SEHTrajectPeriodeDatumTijdTotEnMet],"&gt;"&amp;($A470+22/24),tData[Langligger01],1)</f>
        <v/>
      </c>
      <c r="AA470" s="20">
        <f>COUNTIFS(tData[SEHTrajectPeriodeDatumTijdVan],"&lt;="&amp;($A470+23/24),tData[SEHTrajectPeriodeDatumTijdTotEnMet],"&gt;"&amp;($A470+23/24),tData[Langligger01],1)</f>
        <v/>
      </c>
    </row>
    <row r="471">
      <c r="A471" s="19" t="n">
        <v>45759</v>
      </c>
      <c r="B471" s="15">
        <f>WEEKDAY($A471,2)</f>
        <v/>
      </c>
      <c r="C471" s="15">
        <f>IF(AND($A471&gt;=INT(Instellingen!$B$5),$A471&lt;=INT(Instellingen!$B$6)),1,0)</f>
        <v/>
      </c>
      <c r="D471" s="20">
        <f>COUNTIFS(tData[SEHTrajectPeriodeDatumTijdVan],"&lt;="&amp;($A471+0/24),tData[SEHTrajectPeriodeDatumTijdTotEnMet],"&gt;"&amp;($A471+0/24),tData[Langligger01],1)</f>
        <v/>
      </c>
      <c r="E471" s="20">
        <f>COUNTIFS(tData[SEHTrajectPeriodeDatumTijdVan],"&lt;="&amp;($A471+1/24),tData[SEHTrajectPeriodeDatumTijdTotEnMet],"&gt;"&amp;($A471+1/24),tData[Langligger01],1)</f>
        <v/>
      </c>
      <c r="F471" s="20">
        <f>COUNTIFS(tData[SEHTrajectPeriodeDatumTijdVan],"&lt;="&amp;($A471+2/24),tData[SEHTrajectPeriodeDatumTijdTotEnMet],"&gt;"&amp;($A471+2/24),tData[Langligger01],1)</f>
        <v/>
      </c>
      <c r="G471" s="20">
        <f>COUNTIFS(tData[SEHTrajectPeriodeDatumTijdVan],"&lt;="&amp;($A471+3/24),tData[SEHTrajectPeriodeDatumTijdTotEnMet],"&gt;"&amp;($A471+3/24),tData[Langligger01],1)</f>
        <v/>
      </c>
      <c r="H471" s="20">
        <f>COUNTIFS(tData[SEHTrajectPeriodeDatumTijdVan],"&lt;="&amp;($A471+4/24),tData[SEHTrajectPeriodeDatumTijdTotEnMet],"&gt;"&amp;($A471+4/24),tData[Langligger01],1)</f>
        <v/>
      </c>
      <c r="I471" s="20">
        <f>COUNTIFS(tData[SEHTrajectPeriodeDatumTijdVan],"&lt;="&amp;($A471+5/24),tData[SEHTrajectPeriodeDatumTijdTotEnMet],"&gt;"&amp;($A471+5/24),tData[Langligger01],1)</f>
        <v/>
      </c>
      <c r="J471" s="20">
        <f>COUNTIFS(tData[SEHTrajectPeriodeDatumTijdVan],"&lt;="&amp;($A471+6/24),tData[SEHTrajectPeriodeDatumTijdTotEnMet],"&gt;"&amp;($A471+6/24),tData[Langligger01],1)</f>
        <v/>
      </c>
      <c r="K471" s="20">
        <f>COUNTIFS(tData[SEHTrajectPeriodeDatumTijdVan],"&lt;="&amp;($A471+7/24),tData[SEHTrajectPeriodeDatumTijdTotEnMet],"&gt;"&amp;($A471+7/24),tData[Langligger01],1)</f>
        <v/>
      </c>
      <c r="L471" s="20">
        <f>COUNTIFS(tData[SEHTrajectPeriodeDatumTijdVan],"&lt;="&amp;($A471+8/24),tData[SEHTrajectPeriodeDatumTijdTotEnMet],"&gt;"&amp;($A471+8/24),tData[Langligger01],1)</f>
        <v/>
      </c>
      <c r="M471" s="20">
        <f>COUNTIFS(tData[SEHTrajectPeriodeDatumTijdVan],"&lt;="&amp;($A471+9/24),tData[SEHTrajectPeriodeDatumTijdTotEnMet],"&gt;"&amp;($A471+9/24),tData[Langligger01],1)</f>
        <v/>
      </c>
      <c r="N471" s="20">
        <f>COUNTIFS(tData[SEHTrajectPeriodeDatumTijdVan],"&lt;="&amp;($A471+10/24),tData[SEHTrajectPeriodeDatumTijdTotEnMet],"&gt;"&amp;($A471+10/24),tData[Langligger01],1)</f>
        <v/>
      </c>
      <c r="O471" s="20">
        <f>COUNTIFS(tData[SEHTrajectPeriodeDatumTijdVan],"&lt;="&amp;($A471+11/24),tData[SEHTrajectPeriodeDatumTijdTotEnMet],"&gt;"&amp;($A471+11/24),tData[Langligger01],1)</f>
        <v/>
      </c>
      <c r="P471" s="20">
        <f>COUNTIFS(tData[SEHTrajectPeriodeDatumTijdVan],"&lt;="&amp;($A471+12/24),tData[SEHTrajectPeriodeDatumTijdTotEnMet],"&gt;"&amp;($A471+12/24),tData[Langligger01],1)</f>
        <v/>
      </c>
      <c r="Q471" s="20">
        <f>COUNTIFS(tData[SEHTrajectPeriodeDatumTijdVan],"&lt;="&amp;($A471+13/24),tData[SEHTrajectPeriodeDatumTijdTotEnMet],"&gt;"&amp;($A471+13/24),tData[Langligger01],1)</f>
        <v/>
      </c>
      <c r="R471" s="20">
        <f>COUNTIFS(tData[SEHTrajectPeriodeDatumTijdVan],"&lt;="&amp;($A471+14/24),tData[SEHTrajectPeriodeDatumTijdTotEnMet],"&gt;"&amp;($A471+14/24),tData[Langligger01],1)</f>
        <v/>
      </c>
      <c r="S471" s="20">
        <f>COUNTIFS(tData[SEHTrajectPeriodeDatumTijdVan],"&lt;="&amp;($A471+15/24),tData[SEHTrajectPeriodeDatumTijdTotEnMet],"&gt;"&amp;($A471+15/24),tData[Langligger01],1)</f>
        <v/>
      </c>
      <c r="T471" s="20">
        <f>COUNTIFS(tData[SEHTrajectPeriodeDatumTijdVan],"&lt;="&amp;($A471+16/24),tData[SEHTrajectPeriodeDatumTijdTotEnMet],"&gt;"&amp;($A471+16/24),tData[Langligger01],1)</f>
        <v/>
      </c>
      <c r="U471" s="20">
        <f>COUNTIFS(tData[SEHTrajectPeriodeDatumTijdVan],"&lt;="&amp;($A471+17/24),tData[SEHTrajectPeriodeDatumTijdTotEnMet],"&gt;"&amp;($A471+17/24),tData[Langligger01],1)</f>
        <v/>
      </c>
      <c r="V471" s="20">
        <f>COUNTIFS(tData[SEHTrajectPeriodeDatumTijdVan],"&lt;="&amp;($A471+18/24),tData[SEHTrajectPeriodeDatumTijdTotEnMet],"&gt;"&amp;($A471+18/24),tData[Langligger01],1)</f>
        <v/>
      </c>
      <c r="W471" s="20">
        <f>COUNTIFS(tData[SEHTrajectPeriodeDatumTijdVan],"&lt;="&amp;($A471+19/24),tData[SEHTrajectPeriodeDatumTijdTotEnMet],"&gt;"&amp;($A471+19/24),tData[Langligger01],1)</f>
        <v/>
      </c>
      <c r="X471" s="20">
        <f>COUNTIFS(tData[SEHTrajectPeriodeDatumTijdVan],"&lt;="&amp;($A471+20/24),tData[SEHTrajectPeriodeDatumTijdTotEnMet],"&gt;"&amp;($A471+20/24),tData[Langligger01],1)</f>
        <v/>
      </c>
      <c r="Y471" s="20">
        <f>COUNTIFS(tData[SEHTrajectPeriodeDatumTijdVan],"&lt;="&amp;($A471+21/24),tData[SEHTrajectPeriodeDatumTijdTotEnMet],"&gt;"&amp;($A471+21/24),tData[Langligger01],1)</f>
        <v/>
      </c>
      <c r="Z471" s="20">
        <f>COUNTIFS(tData[SEHTrajectPeriodeDatumTijdVan],"&lt;="&amp;($A471+22/24),tData[SEHTrajectPeriodeDatumTijdTotEnMet],"&gt;"&amp;($A471+22/24),tData[Langligger01],1)</f>
        <v/>
      </c>
      <c r="AA471" s="20">
        <f>COUNTIFS(tData[SEHTrajectPeriodeDatumTijdVan],"&lt;="&amp;($A471+23/24),tData[SEHTrajectPeriodeDatumTijdTotEnMet],"&gt;"&amp;($A471+23/24),tData[Langligger01],1)</f>
        <v/>
      </c>
    </row>
    <row r="472">
      <c r="A472" s="19" t="n">
        <v>45760</v>
      </c>
      <c r="B472" s="15">
        <f>WEEKDAY($A472,2)</f>
        <v/>
      </c>
      <c r="C472" s="15">
        <f>IF(AND($A472&gt;=INT(Instellingen!$B$5),$A472&lt;=INT(Instellingen!$B$6)),1,0)</f>
        <v/>
      </c>
      <c r="D472" s="20">
        <f>COUNTIFS(tData[SEHTrajectPeriodeDatumTijdVan],"&lt;="&amp;($A472+0/24),tData[SEHTrajectPeriodeDatumTijdTotEnMet],"&gt;"&amp;($A472+0/24),tData[Langligger01],1)</f>
        <v/>
      </c>
      <c r="E472" s="20">
        <f>COUNTIFS(tData[SEHTrajectPeriodeDatumTijdVan],"&lt;="&amp;($A472+1/24),tData[SEHTrajectPeriodeDatumTijdTotEnMet],"&gt;"&amp;($A472+1/24),tData[Langligger01],1)</f>
        <v/>
      </c>
      <c r="F472" s="20">
        <f>COUNTIFS(tData[SEHTrajectPeriodeDatumTijdVan],"&lt;="&amp;($A472+2/24),tData[SEHTrajectPeriodeDatumTijdTotEnMet],"&gt;"&amp;($A472+2/24),tData[Langligger01],1)</f>
        <v/>
      </c>
      <c r="G472" s="20">
        <f>COUNTIFS(tData[SEHTrajectPeriodeDatumTijdVan],"&lt;="&amp;($A472+3/24),tData[SEHTrajectPeriodeDatumTijdTotEnMet],"&gt;"&amp;($A472+3/24),tData[Langligger01],1)</f>
        <v/>
      </c>
      <c r="H472" s="20">
        <f>COUNTIFS(tData[SEHTrajectPeriodeDatumTijdVan],"&lt;="&amp;($A472+4/24),tData[SEHTrajectPeriodeDatumTijdTotEnMet],"&gt;"&amp;($A472+4/24),tData[Langligger01],1)</f>
        <v/>
      </c>
      <c r="I472" s="20">
        <f>COUNTIFS(tData[SEHTrajectPeriodeDatumTijdVan],"&lt;="&amp;($A472+5/24),tData[SEHTrajectPeriodeDatumTijdTotEnMet],"&gt;"&amp;($A472+5/24),tData[Langligger01],1)</f>
        <v/>
      </c>
      <c r="J472" s="20">
        <f>COUNTIFS(tData[SEHTrajectPeriodeDatumTijdVan],"&lt;="&amp;($A472+6/24),tData[SEHTrajectPeriodeDatumTijdTotEnMet],"&gt;"&amp;($A472+6/24),tData[Langligger01],1)</f>
        <v/>
      </c>
      <c r="K472" s="20">
        <f>COUNTIFS(tData[SEHTrajectPeriodeDatumTijdVan],"&lt;="&amp;($A472+7/24),tData[SEHTrajectPeriodeDatumTijdTotEnMet],"&gt;"&amp;($A472+7/24),tData[Langligger01],1)</f>
        <v/>
      </c>
      <c r="L472" s="20">
        <f>COUNTIFS(tData[SEHTrajectPeriodeDatumTijdVan],"&lt;="&amp;($A472+8/24),tData[SEHTrajectPeriodeDatumTijdTotEnMet],"&gt;"&amp;($A472+8/24),tData[Langligger01],1)</f>
        <v/>
      </c>
      <c r="M472" s="20">
        <f>COUNTIFS(tData[SEHTrajectPeriodeDatumTijdVan],"&lt;="&amp;($A472+9/24),tData[SEHTrajectPeriodeDatumTijdTotEnMet],"&gt;"&amp;($A472+9/24),tData[Langligger01],1)</f>
        <v/>
      </c>
      <c r="N472" s="20">
        <f>COUNTIFS(tData[SEHTrajectPeriodeDatumTijdVan],"&lt;="&amp;($A472+10/24),tData[SEHTrajectPeriodeDatumTijdTotEnMet],"&gt;"&amp;($A472+10/24),tData[Langligger01],1)</f>
        <v/>
      </c>
      <c r="O472" s="20">
        <f>COUNTIFS(tData[SEHTrajectPeriodeDatumTijdVan],"&lt;="&amp;($A472+11/24),tData[SEHTrajectPeriodeDatumTijdTotEnMet],"&gt;"&amp;($A472+11/24),tData[Langligger01],1)</f>
        <v/>
      </c>
      <c r="P472" s="20">
        <f>COUNTIFS(tData[SEHTrajectPeriodeDatumTijdVan],"&lt;="&amp;($A472+12/24),tData[SEHTrajectPeriodeDatumTijdTotEnMet],"&gt;"&amp;($A472+12/24),tData[Langligger01],1)</f>
        <v/>
      </c>
      <c r="Q472" s="20">
        <f>COUNTIFS(tData[SEHTrajectPeriodeDatumTijdVan],"&lt;="&amp;($A472+13/24),tData[SEHTrajectPeriodeDatumTijdTotEnMet],"&gt;"&amp;($A472+13/24),tData[Langligger01],1)</f>
        <v/>
      </c>
      <c r="R472" s="20">
        <f>COUNTIFS(tData[SEHTrajectPeriodeDatumTijdVan],"&lt;="&amp;($A472+14/24),tData[SEHTrajectPeriodeDatumTijdTotEnMet],"&gt;"&amp;($A472+14/24),tData[Langligger01],1)</f>
        <v/>
      </c>
      <c r="S472" s="20">
        <f>COUNTIFS(tData[SEHTrajectPeriodeDatumTijdVan],"&lt;="&amp;($A472+15/24),tData[SEHTrajectPeriodeDatumTijdTotEnMet],"&gt;"&amp;($A472+15/24),tData[Langligger01],1)</f>
        <v/>
      </c>
      <c r="T472" s="20">
        <f>COUNTIFS(tData[SEHTrajectPeriodeDatumTijdVan],"&lt;="&amp;($A472+16/24),tData[SEHTrajectPeriodeDatumTijdTotEnMet],"&gt;"&amp;($A472+16/24),tData[Langligger01],1)</f>
        <v/>
      </c>
      <c r="U472" s="20">
        <f>COUNTIFS(tData[SEHTrajectPeriodeDatumTijdVan],"&lt;="&amp;($A472+17/24),tData[SEHTrajectPeriodeDatumTijdTotEnMet],"&gt;"&amp;($A472+17/24),tData[Langligger01],1)</f>
        <v/>
      </c>
      <c r="V472" s="20">
        <f>COUNTIFS(tData[SEHTrajectPeriodeDatumTijdVan],"&lt;="&amp;($A472+18/24),tData[SEHTrajectPeriodeDatumTijdTotEnMet],"&gt;"&amp;($A472+18/24),tData[Langligger01],1)</f>
        <v/>
      </c>
      <c r="W472" s="20">
        <f>COUNTIFS(tData[SEHTrajectPeriodeDatumTijdVan],"&lt;="&amp;($A472+19/24),tData[SEHTrajectPeriodeDatumTijdTotEnMet],"&gt;"&amp;($A472+19/24),tData[Langligger01],1)</f>
        <v/>
      </c>
      <c r="X472" s="20">
        <f>COUNTIFS(tData[SEHTrajectPeriodeDatumTijdVan],"&lt;="&amp;($A472+20/24),tData[SEHTrajectPeriodeDatumTijdTotEnMet],"&gt;"&amp;($A472+20/24),tData[Langligger01],1)</f>
        <v/>
      </c>
      <c r="Y472" s="20">
        <f>COUNTIFS(tData[SEHTrajectPeriodeDatumTijdVan],"&lt;="&amp;($A472+21/24),tData[SEHTrajectPeriodeDatumTijdTotEnMet],"&gt;"&amp;($A472+21/24),tData[Langligger01],1)</f>
        <v/>
      </c>
      <c r="Z472" s="20">
        <f>COUNTIFS(tData[SEHTrajectPeriodeDatumTijdVan],"&lt;="&amp;($A472+22/24),tData[SEHTrajectPeriodeDatumTijdTotEnMet],"&gt;"&amp;($A472+22/24),tData[Langligger01],1)</f>
        <v/>
      </c>
      <c r="AA472" s="20">
        <f>COUNTIFS(tData[SEHTrajectPeriodeDatumTijdVan],"&lt;="&amp;($A472+23/24),tData[SEHTrajectPeriodeDatumTijdTotEnMet],"&gt;"&amp;($A472+23/24),tData[Langligger01],1)</f>
        <v/>
      </c>
    </row>
    <row r="473">
      <c r="A473" s="19" t="n">
        <v>45761</v>
      </c>
      <c r="B473" s="15">
        <f>WEEKDAY($A473,2)</f>
        <v/>
      </c>
      <c r="C473" s="15">
        <f>IF(AND($A473&gt;=INT(Instellingen!$B$5),$A473&lt;=INT(Instellingen!$B$6)),1,0)</f>
        <v/>
      </c>
      <c r="D473" s="20">
        <f>COUNTIFS(tData[SEHTrajectPeriodeDatumTijdVan],"&lt;="&amp;($A473+0/24),tData[SEHTrajectPeriodeDatumTijdTotEnMet],"&gt;"&amp;($A473+0/24),tData[Langligger01],1)</f>
        <v/>
      </c>
      <c r="E473" s="20">
        <f>COUNTIFS(tData[SEHTrajectPeriodeDatumTijdVan],"&lt;="&amp;($A473+1/24),tData[SEHTrajectPeriodeDatumTijdTotEnMet],"&gt;"&amp;($A473+1/24),tData[Langligger01],1)</f>
        <v/>
      </c>
      <c r="F473" s="20">
        <f>COUNTIFS(tData[SEHTrajectPeriodeDatumTijdVan],"&lt;="&amp;($A473+2/24),tData[SEHTrajectPeriodeDatumTijdTotEnMet],"&gt;"&amp;($A473+2/24),tData[Langligger01],1)</f>
        <v/>
      </c>
      <c r="G473" s="20">
        <f>COUNTIFS(tData[SEHTrajectPeriodeDatumTijdVan],"&lt;="&amp;($A473+3/24),tData[SEHTrajectPeriodeDatumTijdTotEnMet],"&gt;"&amp;($A473+3/24),tData[Langligger01],1)</f>
        <v/>
      </c>
      <c r="H473" s="20">
        <f>COUNTIFS(tData[SEHTrajectPeriodeDatumTijdVan],"&lt;="&amp;($A473+4/24),tData[SEHTrajectPeriodeDatumTijdTotEnMet],"&gt;"&amp;($A473+4/24),tData[Langligger01],1)</f>
        <v/>
      </c>
      <c r="I473" s="20">
        <f>COUNTIFS(tData[SEHTrajectPeriodeDatumTijdVan],"&lt;="&amp;($A473+5/24),tData[SEHTrajectPeriodeDatumTijdTotEnMet],"&gt;"&amp;($A473+5/24),tData[Langligger01],1)</f>
        <v/>
      </c>
      <c r="J473" s="20">
        <f>COUNTIFS(tData[SEHTrajectPeriodeDatumTijdVan],"&lt;="&amp;($A473+6/24),tData[SEHTrajectPeriodeDatumTijdTotEnMet],"&gt;"&amp;($A473+6/24),tData[Langligger01],1)</f>
        <v/>
      </c>
      <c r="K473" s="20">
        <f>COUNTIFS(tData[SEHTrajectPeriodeDatumTijdVan],"&lt;="&amp;($A473+7/24),tData[SEHTrajectPeriodeDatumTijdTotEnMet],"&gt;"&amp;($A473+7/24),tData[Langligger01],1)</f>
        <v/>
      </c>
      <c r="L473" s="20">
        <f>COUNTIFS(tData[SEHTrajectPeriodeDatumTijdVan],"&lt;="&amp;($A473+8/24),tData[SEHTrajectPeriodeDatumTijdTotEnMet],"&gt;"&amp;($A473+8/24),tData[Langligger01],1)</f>
        <v/>
      </c>
      <c r="M473" s="20">
        <f>COUNTIFS(tData[SEHTrajectPeriodeDatumTijdVan],"&lt;="&amp;($A473+9/24),tData[SEHTrajectPeriodeDatumTijdTotEnMet],"&gt;"&amp;($A473+9/24),tData[Langligger01],1)</f>
        <v/>
      </c>
      <c r="N473" s="20">
        <f>COUNTIFS(tData[SEHTrajectPeriodeDatumTijdVan],"&lt;="&amp;($A473+10/24),tData[SEHTrajectPeriodeDatumTijdTotEnMet],"&gt;"&amp;($A473+10/24),tData[Langligger01],1)</f>
        <v/>
      </c>
      <c r="O473" s="20">
        <f>COUNTIFS(tData[SEHTrajectPeriodeDatumTijdVan],"&lt;="&amp;($A473+11/24),tData[SEHTrajectPeriodeDatumTijdTotEnMet],"&gt;"&amp;($A473+11/24),tData[Langligger01],1)</f>
        <v/>
      </c>
      <c r="P473" s="20">
        <f>COUNTIFS(tData[SEHTrajectPeriodeDatumTijdVan],"&lt;="&amp;($A473+12/24),tData[SEHTrajectPeriodeDatumTijdTotEnMet],"&gt;"&amp;($A473+12/24),tData[Langligger01],1)</f>
        <v/>
      </c>
      <c r="Q473" s="20">
        <f>COUNTIFS(tData[SEHTrajectPeriodeDatumTijdVan],"&lt;="&amp;($A473+13/24),tData[SEHTrajectPeriodeDatumTijdTotEnMet],"&gt;"&amp;($A473+13/24),tData[Langligger01],1)</f>
        <v/>
      </c>
      <c r="R473" s="20">
        <f>COUNTIFS(tData[SEHTrajectPeriodeDatumTijdVan],"&lt;="&amp;($A473+14/24),tData[SEHTrajectPeriodeDatumTijdTotEnMet],"&gt;"&amp;($A473+14/24),tData[Langligger01],1)</f>
        <v/>
      </c>
      <c r="S473" s="20">
        <f>COUNTIFS(tData[SEHTrajectPeriodeDatumTijdVan],"&lt;="&amp;($A473+15/24),tData[SEHTrajectPeriodeDatumTijdTotEnMet],"&gt;"&amp;($A473+15/24),tData[Langligger01],1)</f>
        <v/>
      </c>
      <c r="T473" s="20">
        <f>COUNTIFS(tData[SEHTrajectPeriodeDatumTijdVan],"&lt;="&amp;($A473+16/24),tData[SEHTrajectPeriodeDatumTijdTotEnMet],"&gt;"&amp;($A473+16/24),tData[Langligger01],1)</f>
        <v/>
      </c>
      <c r="U473" s="20">
        <f>COUNTIFS(tData[SEHTrajectPeriodeDatumTijdVan],"&lt;="&amp;($A473+17/24),tData[SEHTrajectPeriodeDatumTijdTotEnMet],"&gt;"&amp;($A473+17/24),tData[Langligger01],1)</f>
        <v/>
      </c>
      <c r="V473" s="20">
        <f>COUNTIFS(tData[SEHTrajectPeriodeDatumTijdVan],"&lt;="&amp;($A473+18/24),tData[SEHTrajectPeriodeDatumTijdTotEnMet],"&gt;"&amp;($A473+18/24),tData[Langligger01],1)</f>
        <v/>
      </c>
      <c r="W473" s="20">
        <f>COUNTIFS(tData[SEHTrajectPeriodeDatumTijdVan],"&lt;="&amp;($A473+19/24),tData[SEHTrajectPeriodeDatumTijdTotEnMet],"&gt;"&amp;($A473+19/24),tData[Langligger01],1)</f>
        <v/>
      </c>
      <c r="X473" s="20">
        <f>COUNTIFS(tData[SEHTrajectPeriodeDatumTijdVan],"&lt;="&amp;($A473+20/24),tData[SEHTrajectPeriodeDatumTijdTotEnMet],"&gt;"&amp;($A473+20/24),tData[Langligger01],1)</f>
        <v/>
      </c>
      <c r="Y473" s="20">
        <f>COUNTIFS(tData[SEHTrajectPeriodeDatumTijdVan],"&lt;="&amp;($A473+21/24),tData[SEHTrajectPeriodeDatumTijdTotEnMet],"&gt;"&amp;($A473+21/24),tData[Langligger01],1)</f>
        <v/>
      </c>
      <c r="Z473" s="20">
        <f>COUNTIFS(tData[SEHTrajectPeriodeDatumTijdVan],"&lt;="&amp;($A473+22/24),tData[SEHTrajectPeriodeDatumTijdTotEnMet],"&gt;"&amp;($A473+22/24),tData[Langligger01],1)</f>
        <v/>
      </c>
      <c r="AA473" s="20">
        <f>COUNTIFS(tData[SEHTrajectPeriodeDatumTijdVan],"&lt;="&amp;($A473+23/24),tData[SEHTrajectPeriodeDatumTijdTotEnMet],"&gt;"&amp;($A473+23/24),tData[Langligger01],1)</f>
        <v/>
      </c>
    </row>
    <row r="474">
      <c r="A474" s="19" t="n">
        <v>45762</v>
      </c>
      <c r="B474" s="15">
        <f>WEEKDAY($A474,2)</f>
        <v/>
      </c>
      <c r="C474" s="15">
        <f>IF(AND($A474&gt;=INT(Instellingen!$B$5),$A474&lt;=INT(Instellingen!$B$6)),1,0)</f>
        <v/>
      </c>
      <c r="D474" s="20">
        <f>COUNTIFS(tData[SEHTrajectPeriodeDatumTijdVan],"&lt;="&amp;($A474+0/24),tData[SEHTrajectPeriodeDatumTijdTotEnMet],"&gt;"&amp;($A474+0/24),tData[Langligger01],1)</f>
        <v/>
      </c>
      <c r="E474" s="20">
        <f>COUNTIFS(tData[SEHTrajectPeriodeDatumTijdVan],"&lt;="&amp;($A474+1/24),tData[SEHTrajectPeriodeDatumTijdTotEnMet],"&gt;"&amp;($A474+1/24),tData[Langligger01],1)</f>
        <v/>
      </c>
      <c r="F474" s="20">
        <f>COUNTIFS(tData[SEHTrajectPeriodeDatumTijdVan],"&lt;="&amp;($A474+2/24),tData[SEHTrajectPeriodeDatumTijdTotEnMet],"&gt;"&amp;($A474+2/24),tData[Langligger01],1)</f>
        <v/>
      </c>
      <c r="G474" s="20">
        <f>COUNTIFS(tData[SEHTrajectPeriodeDatumTijdVan],"&lt;="&amp;($A474+3/24),tData[SEHTrajectPeriodeDatumTijdTotEnMet],"&gt;"&amp;($A474+3/24),tData[Langligger01],1)</f>
        <v/>
      </c>
      <c r="H474" s="20">
        <f>COUNTIFS(tData[SEHTrajectPeriodeDatumTijdVan],"&lt;="&amp;($A474+4/24),tData[SEHTrajectPeriodeDatumTijdTotEnMet],"&gt;"&amp;($A474+4/24),tData[Langligger01],1)</f>
        <v/>
      </c>
      <c r="I474" s="20">
        <f>COUNTIFS(tData[SEHTrajectPeriodeDatumTijdVan],"&lt;="&amp;($A474+5/24),tData[SEHTrajectPeriodeDatumTijdTotEnMet],"&gt;"&amp;($A474+5/24),tData[Langligger01],1)</f>
        <v/>
      </c>
      <c r="J474" s="20">
        <f>COUNTIFS(tData[SEHTrajectPeriodeDatumTijdVan],"&lt;="&amp;($A474+6/24),tData[SEHTrajectPeriodeDatumTijdTotEnMet],"&gt;"&amp;($A474+6/24),tData[Langligger01],1)</f>
        <v/>
      </c>
      <c r="K474" s="20">
        <f>COUNTIFS(tData[SEHTrajectPeriodeDatumTijdVan],"&lt;="&amp;($A474+7/24),tData[SEHTrajectPeriodeDatumTijdTotEnMet],"&gt;"&amp;($A474+7/24),tData[Langligger01],1)</f>
        <v/>
      </c>
      <c r="L474" s="20">
        <f>COUNTIFS(tData[SEHTrajectPeriodeDatumTijdVan],"&lt;="&amp;($A474+8/24),tData[SEHTrajectPeriodeDatumTijdTotEnMet],"&gt;"&amp;($A474+8/24),tData[Langligger01],1)</f>
        <v/>
      </c>
      <c r="M474" s="20">
        <f>COUNTIFS(tData[SEHTrajectPeriodeDatumTijdVan],"&lt;="&amp;($A474+9/24),tData[SEHTrajectPeriodeDatumTijdTotEnMet],"&gt;"&amp;($A474+9/24),tData[Langligger01],1)</f>
        <v/>
      </c>
      <c r="N474" s="20">
        <f>COUNTIFS(tData[SEHTrajectPeriodeDatumTijdVan],"&lt;="&amp;($A474+10/24),tData[SEHTrajectPeriodeDatumTijdTotEnMet],"&gt;"&amp;($A474+10/24),tData[Langligger01],1)</f>
        <v/>
      </c>
      <c r="O474" s="20">
        <f>COUNTIFS(tData[SEHTrajectPeriodeDatumTijdVan],"&lt;="&amp;($A474+11/24),tData[SEHTrajectPeriodeDatumTijdTotEnMet],"&gt;"&amp;($A474+11/24),tData[Langligger01],1)</f>
        <v/>
      </c>
      <c r="P474" s="20">
        <f>COUNTIFS(tData[SEHTrajectPeriodeDatumTijdVan],"&lt;="&amp;($A474+12/24),tData[SEHTrajectPeriodeDatumTijdTotEnMet],"&gt;"&amp;($A474+12/24),tData[Langligger01],1)</f>
        <v/>
      </c>
      <c r="Q474" s="20">
        <f>COUNTIFS(tData[SEHTrajectPeriodeDatumTijdVan],"&lt;="&amp;($A474+13/24),tData[SEHTrajectPeriodeDatumTijdTotEnMet],"&gt;"&amp;($A474+13/24),tData[Langligger01],1)</f>
        <v/>
      </c>
      <c r="R474" s="20">
        <f>COUNTIFS(tData[SEHTrajectPeriodeDatumTijdVan],"&lt;="&amp;($A474+14/24),tData[SEHTrajectPeriodeDatumTijdTotEnMet],"&gt;"&amp;($A474+14/24),tData[Langligger01],1)</f>
        <v/>
      </c>
      <c r="S474" s="20">
        <f>COUNTIFS(tData[SEHTrajectPeriodeDatumTijdVan],"&lt;="&amp;($A474+15/24),tData[SEHTrajectPeriodeDatumTijdTotEnMet],"&gt;"&amp;($A474+15/24),tData[Langligger01],1)</f>
        <v/>
      </c>
      <c r="T474" s="20">
        <f>COUNTIFS(tData[SEHTrajectPeriodeDatumTijdVan],"&lt;="&amp;($A474+16/24),tData[SEHTrajectPeriodeDatumTijdTotEnMet],"&gt;"&amp;($A474+16/24),tData[Langligger01],1)</f>
        <v/>
      </c>
      <c r="U474" s="20">
        <f>COUNTIFS(tData[SEHTrajectPeriodeDatumTijdVan],"&lt;="&amp;($A474+17/24),tData[SEHTrajectPeriodeDatumTijdTotEnMet],"&gt;"&amp;($A474+17/24),tData[Langligger01],1)</f>
        <v/>
      </c>
      <c r="V474" s="20">
        <f>COUNTIFS(tData[SEHTrajectPeriodeDatumTijdVan],"&lt;="&amp;($A474+18/24),tData[SEHTrajectPeriodeDatumTijdTotEnMet],"&gt;"&amp;($A474+18/24),tData[Langligger01],1)</f>
        <v/>
      </c>
      <c r="W474" s="20">
        <f>COUNTIFS(tData[SEHTrajectPeriodeDatumTijdVan],"&lt;="&amp;($A474+19/24),tData[SEHTrajectPeriodeDatumTijdTotEnMet],"&gt;"&amp;($A474+19/24),tData[Langligger01],1)</f>
        <v/>
      </c>
      <c r="X474" s="20">
        <f>COUNTIFS(tData[SEHTrajectPeriodeDatumTijdVan],"&lt;="&amp;($A474+20/24),tData[SEHTrajectPeriodeDatumTijdTotEnMet],"&gt;"&amp;($A474+20/24),tData[Langligger01],1)</f>
        <v/>
      </c>
      <c r="Y474" s="20">
        <f>COUNTIFS(tData[SEHTrajectPeriodeDatumTijdVan],"&lt;="&amp;($A474+21/24),tData[SEHTrajectPeriodeDatumTijdTotEnMet],"&gt;"&amp;($A474+21/24),tData[Langligger01],1)</f>
        <v/>
      </c>
      <c r="Z474" s="20">
        <f>COUNTIFS(tData[SEHTrajectPeriodeDatumTijdVan],"&lt;="&amp;($A474+22/24),tData[SEHTrajectPeriodeDatumTijdTotEnMet],"&gt;"&amp;($A474+22/24),tData[Langligger01],1)</f>
        <v/>
      </c>
      <c r="AA474" s="20">
        <f>COUNTIFS(tData[SEHTrajectPeriodeDatumTijdVan],"&lt;="&amp;($A474+23/24),tData[SEHTrajectPeriodeDatumTijdTotEnMet],"&gt;"&amp;($A474+23/24),tData[Langligger01],1)</f>
        <v/>
      </c>
    </row>
    <row r="475">
      <c r="A475" s="19" t="n">
        <v>45763</v>
      </c>
      <c r="B475" s="15">
        <f>WEEKDAY($A475,2)</f>
        <v/>
      </c>
      <c r="C475" s="15">
        <f>IF(AND($A475&gt;=INT(Instellingen!$B$5),$A475&lt;=INT(Instellingen!$B$6)),1,0)</f>
        <v/>
      </c>
      <c r="D475" s="20">
        <f>COUNTIFS(tData[SEHTrajectPeriodeDatumTijdVan],"&lt;="&amp;($A475+0/24),tData[SEHTrajectPeriodeDatumTijdTotEnMet],"&gt;"&amp;($A475+0/24),tData[Langligger01],1)</f>
        <v/>
      </c>
      <c r="E475" s="20">
        <f>COUNTIFS(tData[SEHTrajectPeriodeDatumTijdVan],"&lt;="&amp;($A475+1/24),tData[SEHTrajectPeriodeDatumTijdTotEnMet],"&gt;"&amp;($A475+1/24),tData[Langligger01],1)</f>
        <v/>
      </c>
      <c r="F475" s="20">
        <f>COUNTIFS(tData[SEHTrajectPeriodeDatumTijdVan],"&lt;="&amp;($A475+2/24),tData[SEHTrajectPeriodeDatumTijdTotEnMet],"&gt;"&amp;($A475+2/24),tData[Langligger01],1)</f>
        <v/>
      </c>
      <c r="G475" s="20">
        <f>COUNTIFS(tData[SEHTrajectPeriodeDatumTijdVan],"&lt;="&amp;($A475+3/24),tData[SEHTrajectPeriodeDatumTijdTotEnMet],"&gt;"&amp;($A475+3/24),tData[Langligger01],1)</f>
        <v/>
      </c>
      <c r="H475" s="20">
        <f>COUNTIFS(tData[SEHTrajectPeriodeDatumTijdVan],"&lt;="&amp;($A475+4/24),tData[SEHTrajectPeriodeDatumTijdTotEnMet],"&gt;"&amp;($A475+4/24),tData[Langligger01],1)</f>
        <v/>
      </c>
      <c r="I475" s="20">
        <f>COUNTIFS(tData[SEHTrajectPeriodeDatumTijdVan],"&lt;="&amp;($A475+5/24),tData[SEHTrajectPeriodeDatumTijdTotEnMet],"&gt;"&amp;($A475+5/24),tData[Langligger01],1)</f>
        <v/>
      </c>
      <c r="J475" s="20">
        <f>COUNTIFS(tData[SEHTrajectPeriodeDatumTijdVan],"&lt;="&amp;($A475+6/24),tData[SEHTrajectPeriodeDatumTijdTotEnMet],"&gt;"&amp;($A475+6/24),tData[Langligger01],1)</f>
        <v/>
      </c>
      <c r="K475" s="20">
        <f>COUNTIFS(tData[SEHTrajectPeriodeDatumTijdVan],"&lt;="&amp;($A475+7/24),tData[SEHTrajectPeriodeDatumTijdTotEnMet],"&gt;"&amp;($A475+7/24),tData[Langligger01],1)</f>
        <v/>
      </c>
      <c r="L475" s="20">
        <f>COUNTIFS(tData[SEHTrajectPeriodeDatumTijdVan],"&lt;="&amp;($A475+8/24),tData[SEHTrajectPeriodeDatumTijdTotEnMet],"&gt;"&amp;($A475+8/24),tData[Langligger01],1)</f>
        <v/>
      </c>
      <c r="M475" s="20">
        <f>COUNTIFS(tData[SEHTrajectPeriodeDatumTijdVan],"&lt;="&amp;($A475+9/24),tData[SEHTrajectPeriodeDatumTijdTotEnMet],"&gt;"&amp;($A475+9/24),tData[Langligger01],1)</f>
        <v/>
      </c>
      <c r="N475" s="20">
        <f>COUNTIFS(tData[SEHTrajectPeriodeDatumTijdVan],"&lt;="&amp;($A475+10/24),tData[SEHTrajectPeriodeDatumTijdTotEnMet],"&gt;"&amp;($A475+10/24),tData[Langligger01],1)</f>
        <v/>
      </c>
      <c r="O475" s="20">
        <f>COUNTIFS(tData[SEHTrajectPeriodeDatumTijdVan],"&lt;="&amp;($A475+11/24),tData[SEHTrajectPeriodeDatumTijdTotEnMet],"&gt;"&amp;($A475+11/24),tData[Langligger01],1)</f>
        <v/>
      </c>
      <c r="P475" s="20">
        <f>COUNTIFS(tData[SEHTrajectPeriodeDatumTijdVan],"&lt;="&amp;($A475+12/24),tData[SEHTrajectPeriodeDatumTijdTotEnMet],"&gt;"&amp;($A475+12/24),tData[Langligger01],1)</f>
        <v/>
      </c>
      <c r="Q475" s="20">
        <f>COUNTIFS(tData[SEHTrajectPeriodeDatumTijdVan],"&lt;="&amp;($A475+13/24),tData[SEHTrajectPeriodeDatumTijdTotEnMet],"&gt;"&amp;($A475+13/24),tData[Langligger01],1)</f>
        <v/>
      </c>
      <c r="R475" s="20">
        <f>COUNTIFS(tData[SEHTrajectPeriodeDatumTijdVan],"&lt;="&amp;($A475+14/24),tData[SEHTrajectPeriodeDatumTijdTotEnMet],"&gt;"&amp;($A475+14/24),tData[Langligger01],1)</f>
        <v/>
      </c>
      <c r="S475" s="20">
        <f>COUNTIFS(tData[SEHTrajectPeriodeDatumTijdVan],"&lt;="&amp;($A475+15/24),tData[SEHTrajectPeriodeDatumTijdTotEnMet],"&gt;"&amp;($A475+15/24),tData[Langligger01],1)</f>
        <v/>
      </c>
      <c r="T475" s="20">
        <f>COUNTIFS(tData[SEHTrajectPeriodeDatumTijdVan],"&lt;="&amp;($A475+16/24),tData[SEHTrajectPeriodeDatumTijdTotEnMet],"&gt;"&amp;($A475+16/24),tData[Langligger01],1)</f>
        <v/>
      </c>
      <c r="U475" s="20">
        <f>COUNTIFS(tData[SEHTrajectPeriodeDatumTijdVan],"&lt;="&amp;($A475+17/24),tData[SEHTrajectPeriodeDatumTijdTotEnMet],"&gt;"&amp;($A475+17/24),tData[Langligger01],1)</f>
        <v/>
      </c>
      <c r="V475" s="20">
        <f>COUNTIFS(tData[SEHTrajectPeriodeDatumTijdVan],"&lt;="&amp;($A475+18/24),tData[SEHTrajectPeriodeDatumTijdTotEnMet],"&gt;"&amp;($A475+18/24),tData[Langligger01],1)</f>
        <v/>
      </c>
      <c r="W475" s="20">
        <f>COUNTIFS(tData[SEHTrajectPeriodeDatumTijdVan],"&lt;="&amp;($A475+19/24),tData[SEHTrajectPeriodeDatumTijdTotEnMet],"&gt;"&amp;($A475+19/24),tData[Langligger01],1)</f>
        <v/>
      </c>
      <c r="X475" s="20">
        <f>COUNTIFS(tData[SEHTrajectPeriodeDatumTijdVan],"&lt;="&amp;($A475+20/24),tData[SEHTrajectPeriodeDatumTijdTotEnMet],"&gt;"&amp;($A475+20/24),tData[Langligger01],1)</f>
        <v/>
      </c>
      <c r="Y475" s="20">
        <f>COUNTIFS(tData[SEHTrajectPeriodeDatumTijdVan],"&lt;="&amp;($A475+21/24),tData[SEHTrajectPeriodeDatumTijdTotEnMet],"&gt;"&amp;($A475+21/24),tData[Langligger01],1)</f>
        <v/>
      </c>
      <c r="Z475" s="20">
        <f>COUNTIFS(tData[SEHTrajectPeriodeDatumTijdVan],"&lt;="&amp;($A475+22/24),tData[SEHTrajectPeriodeDatumTijdTotEnMet],"&gt;"&amp;($A475+22/24),tData[Langligger01],1)</f>
        <v/>
      </c>
      <c r="AA475" s="20">
        <f>COUNTIFS(tData[SEHTrajectPeriodeDatumTijdVan],"&lt;="&amp;($A475+23/24),tData[SEHTrajectPeriodeDatumTijdTotEnMet],"&gt;"&amp;($A475+23/24),tData[Langligger01],1)</f>
        <v/>
      </c>
    </row>
    <row r="476">
      <c r="A476" s="19" t="n">
        <v>45764</v>
      </c>
      <c r="B476" s="15">
        <f>WEEKDAY($A476,2)</f>
        <v/>
      </c>
      <c r="C476" s="15">
        <f>IF(AND($A476&gt;=INT(Instellingen!$B$5),$A476&lt;=INT(Instellingen!$B$6)),1,0)</f>
        <v/>
      </c>
      <c r="D476" s="20">
        <f>COUNTIFS(tData[SEHTrajectPeriodeDatumTijdVan],"&lt;="&amp;($A476+0/24),tData[SEHTrajectPeriodeDatumTijdTotEnMet],"&gt;"&amp;($A476+0/24),tData[Langligger01],1)</f>
        <v/>
      </c>
      <c r="E476" s="20">
        <f>COUNTIFS(tData[SEHTrajectPeriodeDatumTijdVan],"&lt;="&amp;($A476+1/24),tData[SEHTrajectPeriodeDatumTijdTotEnMet],"&gt;"&amp;($A476+1/24),tData[Langligger01],1)</f>
        <v/>
      </c>
      <c r="F476" s="20">
        <f>COUNTIFS(tData[SEHTrajectPeriodeDatumTijdVan],"&lt;="&amp;($A476+2/24),tData[SEHTrajectPeriodeDatumTijdTotEnMet],"&gt;"&amp;($A476+2/24),tData[Langligger01],1)</f>
        <v/>
      </c>
      <c r="G476" s="20">
        <f>COUNTIFS(tData[SEHTrajectPeriodeDatumTijdVan],"&lt;="&amp;($A476+3/24),tData[SEHTrajectPeriodeDatumTijdTotEnMet],"&gt;"&amp;($A476+3/24),tData[Langligger01],1)</f>
        <v/>
      </c>
      <c r="H476" s="20">
        <f>COUNTIFS(tData[SEHTrajectPeriodeDatumTijdVan],"&lt;="&amp;($A476+4/24),tData[SEHTrajectPeriodeDatumTijdTotEnMet],"&gt;"&amp;($A476+4/24),tData[Langligger01],1)</f>
        <v/>
      </c>
      <c r="I476" s="20">
        <f>COUNTIFS(tData[SEHTrajectPeriodeDatumTijdVan],"&lt;="&amp;($A476+5/24),tData[SEHTrajectPeriodeDatumTijdTotEnMet],"&gt;"&amp;($A476+5/24),tData[Langligger01],1)</f>
        <v/>
      </c>
      <c r="J476" s="20">
        <f>COUNTIFS(tData[SEHTrajectPeriodeDatumTijdVan],"&lt;="&amp;($A476+6/24),tData[SEHTrajectPeriodeDatumTijdTotEnMet],"&gt;"&amp;($A476+6/24),tData[Langligger01],1)</f>
        <v/>
      </c>
      <c r="K476" s="20">
        <f>COUNTIFS(tData[SEHTrajectPeriodeDatumTijdVan],"&lt;="&amp;($A476+7/24),tData[SEHTrajectPeriodeDatumTijdTotEnMet],"&gt;"&amp;($A476+7/24),tData[Langligger01],1)</f>
        <v/>
      </c>
      <c r="L476" s="20">
        <f>COUNTIFS(tData[SEHTrajectPeriodeDatumTijdVan],"&lt;="&amp;($A476+8/24),tData[SEHTrajectPeriodeDatumTijdTotEnMet],"&gt;"&amp;($A476+8/24),tData[Langligger01],1)</f>
        <v/>
      </c>
      <c r="M476" s="20">
        <f>COUNTIFS(tData[SEHTrajectPeriodeDatumTijdVan],"&lt;="&amp;($A476+9/24),tData[SEHTrajectPeriodeDatumTijdTotEnMet],"&gt;"&amp;($A476+9/24),tData[Langligger01],1)</f>
        <v/>
      </c>
      <c r="N476" s="20">
        <f>COUNTIFS(tData[SEHTrajectPeriodeDatumTijdVan],"&lt;="&amp;($A476+10/24),tData[SEHTrajectPeriodeDatumTijdTotEnMet],"&gt;"&amp;($A476+10/24),tData[Langligger01],1)</f>
        <v/>
      </c>
      <c r="O476" s="20">
        <f>COUNTIFS(tData[SEHTrajectPeriodeDatumTijdVan],"&lt;="&amp;($A476+11/24),tData[SEHTrajectPeriodeDatumTijdTotEnMet],"&gt;"&amp;($A476+11/24),tData[Langligger01],1)</f>
        <v/>
      </c>
      <c r="P476" s="20">
        <f>COUNTIFS(tData[SEHTrajectPeriodeDatumTijdVan],"&lt;="&amp;($A476+12/24),tData[SEHTrajectPeriodeDatumTijdTotEnMet],"&gt;"&amp;($A476+12/24),tData[Langligger01],1)</f>
        <v/>
      </c>
      <c r="Q476" s="20">
        <f>COUNTIFS(tData[SEHTrajectPeriodeDatumTijdVan],"&lt;="&amp;($A476+13/24),tData[SEHTrajectPeriodeDatumTijdTotEnMet],"&gt;"&amp;($A476+13/24),tData[Langligger01],1)</f>
        <v/>
      </c>
      <c r="R476" s="20">
        <f>COUNTIFS(tData[SEHTrajectPeriodeDatumTijdVan],"&lt;="&amp;($A476+14/24),tData[SEHTrajectPeriodeDatumTijdTotEnMet],"&gt;"&amp;($A476+14/24),tData[Langligger01],1)</f>
        <v/>
      </c>
      <c r="S476" s="20">
        <f>COUNTIFS(tData[SEHTrajectPeriodeDatumTijdVan],"&lt;="&amp;($A476+15/24),tData[SEHTrajectPeriodeDatumTijdTotEnMet],"&gt;"&amp;($A476+15/24),tData[Langligger01],1)</f>
        <v/>
      </c>
      <c r="T476" s="20">
        <f>COUNTIFS(tData[SEHTrajectPeriodeDatumTijdVan],"&lt;="&amp;($A476+16/24),tData[SEHTrajectPeriodeDatumTijdTotEnMet],"&gt;"&amp;($A476+16/24),tData[Langligger01],1)</f>
        <v/>
      </c>
      <c r="U476" s="20">
        <f>COUNTIFS(tData[SEHTrajectPeriodeDatumTijdVan],"&lt;="&amp;($A476+17/24),tData[SEHTrajectPeriodeDatumTijdTotEnMet],"&gt;"&amp;($A476+17/24),tData[Langligger01],1)</f>
        <v/>
      </c>
      <c r="V476" s="20">
        <f>COUNTIFS(tData[SEHTrajectPeriodeDatumTijdVan],"&lt;="&amp;($A476+18/24),tData[SEHTrajectPeriodeDatumTijdTotEnMet],"&gt;"&amp;($A476+18/24),tData[Langligger01],1)</f>
        <v/>
      </c>
      <c r="W476" s="20">
        <f>COUNTIFS(tData[SEHTrajectPeriodeDatumTijdVan],"&lt;="&amp;($A476+19/24),tData[SEHTrajectPeriodeDatumTijdTotEnMet],"&gt;"&amp;($A476+19/24),tData[Langligger01],1)</f>
        <v/>
      </c>
      <c r="X476" s="20">
        <f>COUNTIFS(tData[SEHTrajectPeriodeDatumTijdVan],"&lt;="&amp;($A476+20/24),tData[SEHTrajectPeriodeDatumTijdTotEnMet],"&gt;"&amp;($A476+20/24),tData[Langligger01],1)</f>
        <v/>
      </c>
      <c r="Y476" s="20">
        <f>COUNTIFS(tData[SEHTrajectPeriodeDatumTijdVan],"&lt;="&amp;($A476+21/24),tData[SEHTrajectPeriodeDatumTijdTotEnMet],"&gt;"&amp;($A476+21/24),tData[Langligger01],1)</f>
        <v/>
      </c>
      <c r="Z476" s="20">
        <f>COUNTIFS(tData[SEHTrajectPeriodeDatumTijdVan],"&lt;="&amp;($A476+22/24),tData[SEHTrajectPeriodeDatumTijdTotEnMet],"&gt;"&amp;($A476+22/24),tData[Langligger01],1)</f>
        <v/>
      </c>
      <c r="AA476" s="20">
        <f>COUNTIFS(tData[SEHTrajectPeriodeDatumTijdVan],"&lt;="&amp;($A476+23/24),tData[SEHTrajectPeriodeDatumTijdTotEnMet],"&gt;"&amp;($A476+23/24),tData[Langligger01],1)</f>
        <v/>
      </c>
    </row>
    <row r="477">
      <c r="A477" s="19" t="n">
        <v>45765</v>
      </c>
      <c r="B477" s="15">
        <f>WEEKDAY($A477,2)</f>
        <v/>
      </c>
      <c r="C477" s="15">
        <f>IF(AND($A477&gt;=INT(Instellingen!$B$5),$A477&lt;=INT(Instellingen!$B$6)),1,0)</f>
        <v/>
      </c>
      <c r="D477" s="20">
        <f>COUNTIFS(tData[SEHTrajectPeriodeDatumTijdVan],"&lt;="&amp;($A477+0/24),tData[SEHTrajectPeriodeDatumTijdTotEnMet],"&gt;"&amp;($A477+0/24),tData[Langligger01],1)</f>
        <v/>
      </c>
      <c r="E477" s="20">
        <f>COUNTIFS(tData[SEHTrajectPeriodeDatumTijdVan],"&lt;="&amp;($A477+1/24),tData[SEHTrajectPeriodeDatumTijdTotEnMet],"&gt;"&amp;($A477+1/24),tData[Langligger01],1)</f>
        <v/>
      </c>
      <c r="F477" s="20">
        <f>COUNTIFS(tData[SEHTrajectPeriodeDatumTijdVan],"&lt;="&amp;($A477+2/24),tData[SEHTrajectPeriodeDatumTijdTotEnMet],"&gt;"&amp;($A477+2/24),tData[Langligger01],1)</f>
        <v/>
      </c>
      <c r="G477" s="20">
        <f>COUNTIFS(tData[SEHTrajectPeriodeDatumTijdVan],"&lt;="&amp;($A477+3/24),tData[SEHTrajectPeriodeDatumTijdTotEnMet],"&gt;"&amp;($A477+3/24),tData[Langligger01],1)</f>
        <v/>
      </c>
      <c r="H477" s="20">
        <f>COUNTIFS(tData[SEHTrajectPeriodeDatumTijdVan],"&lt;="&amp;($A477+4/24),tData[SEHTrajectPeriodeDatumTijdTotEnMet],"&gt;"&amp;($A477+4/24),tData[Langligger01],1)</f>
        <v/>
      </c>
      <c r="I477" s="20">
        <f>COUNTIFS(tData[SEHTrajectPeriodeDatumTijdVan],"&lt;="&amp;($A477+5/24),tData[SEHTrajectPeriodeDatumTijdTotEnMet],"&gt;"&amp;($A477+5/24),tData[Langligger01],1)</f>
        <v/>
      </c>
      <c r="J477" s="20">
        <f>COUNTIFS(tData[SEHTrajectPeriodeDatumTijdVan],"&lt;="&amp;($A477+6/24),tData[SEHTrajectPeriodeDatumTijdTotEnMet],"&gt;"&amp;($A477+6/24),tData[Langligger01],1)</f>
        <v/>
      </c>
      <c r="K477" s="20">
        <f>COUNTIFS(tData[SEHTrajectPeriodeDatumTijdVan],"&lt;="&amp;($A477+7/24),tData[SEHTrajectPeriodeDatumTijdTotEnMet],"&gt;"&amp;($A477+7/24),tData[Langligger01],1)</f>
        <v/>
      </c>
      <c r="L477" s="20">
        <f>COUNTIFS(tData[SEHTrajectPeriodeDatumTijdVan],"&lt;="&amp;($A477+8/24),tData[SEHTrajectPeriodeDatumTijdTotEnMet],"&gt;"&amp;($A477+8/24),tData[Langligger01],1)</f>
        <v/>
      </c>
      <c r="M477" s="20">
        <f>COUNTIFS(tData[SEHTrajectPeriodeDatumTijdVan],"&lt;="&amp;($A477+9/24),tData[SEHTrajectPeriodeDatumTijdTotEnMet],"&gt;"&amp;($A477+9/24),tData[Langligger01],1)</f>
        <v/>
      </c>
      <c r="N477" s="20">
        <f>COUNTIFS(tData[SEHTrajectPeriodeDatumTijdVan],"&lt;="&amp;($A477+10/24),tData[SEHTrajectPeriodeDatumTijdTotEnMet],"&gt;"&amp;($A477+10/24),tData[Langligger01],1)</f>
        <v/>
      </c>
      <c r="O477" s="20">
        <f>COUNTIFS(tData[SEHTrajectPeriodeDatumTijdVan],"&lt;="&amp;($A477+11/24),tData[SEHTrajectPeriodeDatumTijdTotEnMet],"&gt;"&amp;($A477+11/24),tData[Langligger01],1)</f>
        <v/>
      </c>
      <c r="P477" s="20">
        <f>COUNTIFS(tData[SEHTrajectPeriodeDatumTijdVan],"&lt;="&amp;($A477+12/24),tData[SEHTrajectPeriodeDatumTijdTotEnMet],"&gt;"&amp;($A477+12/24),tData[Langligger01],1)</f>
        <v/>
      </c>
      <c r="Q477" s="20">
        <f>COUNTIFS(tData[SEHTrajectPeriodeDatumTijdVan],"&lt;="&amp;($A477+13/24),tData[SEHTrajectPeriodeDatumTijdTotEnMet],"&gt;"&amp;($A477+13/24),tData[Langligger01],1)</f>
        <v/>
      </c>
      <c r="R477" s="20">
        <f>COUNTIFS(tData[SEHTrajectPeriodeDatumTijdVan],"&lt;="&amp;($A477+14/24),tData[SEHTrajectPeriodeDatumTijdTotEnMet],"&gt;"&amp;($A477+14/24),tData[Langligger01],1)</f>
        <v/>
      </c>
      <c r="S477" s="20">
        <f>COUNTIFS(tData[SEHTrajectPeriodeDatumTijdVan],"&lt;="&amp;($A477+15/24),tData[SEHTrajectPeriodeDatumTijdTotEnMet],"&gt;"&amp;($A477+15/24),tData[Langligger01],1)</f>
        <v/>
      </c>
      <c r="T477" s="20">
        <f>COUNTIFS(tData[SEHTrajectPeriodeDatumTijdVan],"&lt;="&amp;($A477+16/24),tData[SEHTrajectPeriodeDatumTijdTotEnMet],"&gt;"&amp;($A477+16/24),tData[Langligger01],1)</f>
        <v/>
      </c>
      <c r="U477" s="20">
        <f>COUNTIFS(tData[SEHTrajectPeriodeDatumTijdVan],"&lt;="&amp;($A477+17/24),tData[SEHTrajectPeriodeDatumTijdTotEnMet],"&gt;"&amp;($A477+17/24),tData[Langligger01],1)</f>
        <v/>
      </c>
      <c r="V477" s="20">
        <f>COUNTIFS(tData[SEHTrajectPeriodeDatumTijdVan],"&lt;="&amp;($A477+18/24),tData[SEHTrajectPeriodeDatumTijdTotEnMet],"&gt;"&amp;($A477+18/24),tData[Langligger01],1)</f>
        <v/>
      </c>
      <c r="W477" s="20">
        <f>COUNTIFS(tData[SEHTrajectPeriodeDatumTijdVan],"&lt;="&amp;($A477+19/24),tData[SEHTrajectPeriodeDatumTijdTotEnMet],"&gt;"&amp;($A477+19/24),tData[Langligger01],1)</f>
        <v/>
      </c>
      <c r="X477" s="20">
        <f>COUNTIFS(tData[SEHTrajectPeriodeDatumTijdVan],"&lt;="&amp;($A477+20/24),tData[SEHTrajectPeriodeDatumTijdTotEnMet],"&gt;"&amp;($A477+20/24),tData[Langligger01],1)</f>
        <v/>
      </c>
      <c r="Y477" s="20">
        <f>COUNTIFS(tData[SEHTrajectPeriodeDatumTijdVan],"&lt;="&amp;($A477+21/24),tData[SEHTrajectPeriodeDatumTijdTotEnMet],"&gt;"&amp;($A477+21/24),tData[Langligger01],1)</f>
        <v/>
      </c>
      <c r="Z477" s="20">
        <f>COUNTIFS(tData[SEHTrajectPeriodeDatumTijdVan],"&lt;="&amp;($A477+22/24),tData[SEHTrajectPeriodeDatumTijdTotEnMet],"&gt;"&amp;($A477+22/24),tData[Langligger01],1)</f>
        <v/>
      </c>
      <c r="AA477" s="20">
        <f>COUNTIFS(tData[SEHTrajectPeriodeDatumTijdVan],"&lt;="&amp;($A477+23/24),tData[SEHTrajectPeriodeDatumTijdTotEnMet],"&gt;"&amp;($A477+23/24),tData[Langligger01],1)</f>
        <v/>
      </c>
    </row>
    <row r="478">
      <c r="A478" s="19" t="n">
        <v>45766</v>
      </c>
      <c r="B478" s="15">
        <f>WEEKDAY($A478,2)</f>
        <v/>
      </c>
      <c r="C478" s="15">
        <f>IF(AND($A478&gt;=INT(Instellingen!$B$5),$A478&lt;=INT(Instellingen!$B$6)),1,0)</f>
        <v/>
      </c>
      <c r="D478" s="20">
        <f>COUNTIFS(tData[SEHTrajectPeriodeDatumTijdVan],"&lt;="&amp;($A478+0/24),tData[SEHTrajectPeriodeDatumTijdTotEnMet],"&gt;"&amp;($A478+0/24),tData[Langligger01],1)</f>
        <v/>
      </c>
      <c r="E478" s="20">
        <f>COUNTIFS(tData[SEHTrajectPeriodeDatumTijdVan],"&lt;="&amp;($A478+1/24),tData[SEHTrajectPeriodeDatumTijdTotEnMet],"&gt;"&amp;($A478+1/24),tData[Langligger01],1)</f>
        <v/>
      </c>
      <c r="F478" s="20">
        <f>COUNTIFS(tData[SEHTrajectPeriodeDatumTijdVan],"&lt;="&amp;($A478+2/24),tData[SEHTrajectPeriodeDatumTijdTotEnMet],"&gt;"&amp;($A478+2/24),tData[Langligger01],1)</f>
        <v/>
      </c>
      <c r="G478" s="20">
        <f>COUNTIFS(tData[SEHTrajectPeriodeDatumTijdVan],"&lt;="&amp;($A478+3/24),tData[SEHTrajectPeriodeDatumTijdTotEnMet],"&gt;"&amp;($A478+3/24),tData[Langligger01],1)</f>
        <v/>
      </c>
      <c r="H478" s="20">
        <f>COUNTIFS(tData[SEHTrajectPeriodeDatumTijdVan],"&lt;="&amp;($A478+4/24),tData[SEHTrajectPeriodeDatumTijdTotEnMet],"&gt;"&amp;($A478+4/24),tData[Langligger01],1)</f>
        <v/>
      </c>
      <c r="I478" s="20">
        <f>COUNTIFS(tData[SEHTrajectPeriodeDatumTijdVan],"&lt;="&amp;($A478+5/24),tData[SEHTrajectPeriodeDatumTijdTotEnMet],"&gt;"&amp;($A478+5/24),tData[Langligger01],1)</f>
        <v/>
      </c>
      <c r="J478" s="20">
        <f>COUNTIFS(tData[SEHTrajectPeriodeDatumTijdVan],"&lt;="&amp;($A478+6/24),tData[SEHTrajectPeriodeDatumTijdTotEnMet],"&gt;"&amp;($A478+6/24),tData[Langligger01],1)</f>
        <v/>
      </c>
      <c r="K478" s="20">
        <f>COUNTIFS(tData[SEHTrajectPeriodeDatumTijdVan],"&lt;="&amp;($A478+7/24),tData[SEHTrajectPeriodeDatumTijdTotEnMet],"&gt;"&amp;($A478+7/24),tData[Langligger01],1)</f>
        <v/>
      </c>
      <c r="L478" s="20">
        <f>COUNTIFS(tData[SEHTrajectPeriodeDatumTijdVan],"&lt;="&amp;($A478+8/24),tData[SEHTrajectPeriodeDatumTijdTotEnMet],"&gt;"&amp;($A478+8/24),tData[Langligger01],1)</f>
        <v/>
      </c>
      <c r="M478" s="20">
        <f>COUNTIFS(tData[SEHTrajectPeriodeDatumTijdVan],"&lt;="&amp;($A478+9/24),tData[SEHTrajectPeriodeDatumTijdTotEnMet],"&gt;"&amp;($A478+9/24),tData[Langligger01],1)</f>
        <v/>
      </c>
      <c r="N478" s="20">
        <f>COUNTIFS(tData[SEHTrajectPeriodeDatumTijdVan],"&lt;="&amp;($A478+10/24),tData[SEHTrajectPeriodeDatumTijdTotEnMet],"&gt;"&amp;($A478+10/24),tData[Langligger01],1)</f>
        <v/>
      </c>
      <c r="O478" s="20">
        <f>COUNTIFS(tData[SEHTrajectPeriodeDatumTijdVan],"&lt;="&amp;($A478+11/24),tData[SEHTrajectPeriodeDatumTijdTotEnMet],"&gt;"&amp;($A478+11/24),tData[Langligger01],1)</f>
        <v/>
      </c>
      <c r="P478" s="20">
        <f>COUNTIFS(tData[SEHTrajectPeriodeDatumTijdVan],"&lt;="&amp;($A478+12/24),tData[SEHTrajectPeriodeDatumTijdTotEnMet],"&gt;"&amp;($A478+12/24),tData[Langligger01],1)</f>
        <v/>
      </c>
      <c r="Q478" s="20">
        <f>COUNTIFS(tData[SEHTrajectPeriodeDatumTijdVan],"&lt;="&amp;($A478+13/24),tData[SEHTrajectPeriodeDatumTijdTotEnMet],"&gt;"&amp;($A478+13/24),tData[Langligger01],1)</f>
        <v/>
      </c>
      <c r="R478" s="20">
        <f>COUNTIFS(tData[SEHTrajectPeriodeDatumTijdVan],"&lt;="&amp;($A478+14/24),tData[SEHTrajectPeriodeDatumTijdTotEnMet],"&gt;"&amp;($A478+14/24),tData[Langligger01],1)</f>
        <v/>
      </c>
      <c r="S478" s="20">
        <f>COUNTIFS(tData[SEHTrajectPeriodeDatumTijdVan],"&lt;="&amp;($A478+15/24),tData[SEHTrajectPeriodeDatumTijdTotEnMet],"&gt;"&amp;($A478+15/24),tData[Langligger01],1)</f>
        <v/>
      </c>
      <c r="T478" s="20">
        <f>COUNTIFS(tData[SEHTrajectPeriodeDatumTijdVan],"&lt;="&amp;($A478+16/24),tData[SEHTrajectPeriodeDatumTijdTotEnMet],"&gt;"&amp;($A478+16/24),tData[Langligger01],1)</f>
        <v/>
      </c>
      <c r="U478" s="20">
        <f>COUNTIFS(tData[SEHTrajectPeriodeDatumTijdVan],"&lt;="&amp;($A478+17/24),tData[SEHTrajectPeriodeDatumTijdTotEnMet],"&gt;"&amp;($A478+17/24),tData[Langligger01],1)</f>
        <v/>
      </c>
      <c r="V478" s="20">
        <f>COUNTIFS(tData[SEHTrajectPeriodeDatumTijdVan],"&lt;="&amp;($A478+18/24),tData[SEHTrajectPeriodeDatumTijdTotEnMet],"&gt;"&amp;($A478+18/24),tData[Langligger01],1)</f>
        <v/>
      </c>
      <c r="W478" s="20">
        <f>COUNTIFS(tData[SEHTrajectPeriodeDatumTijdVan],"&lt;="&amp;($A478+19/24),tData[SEHTrajectPeriodeDatumTijdTotEnMet],"&gt;"&amp;($A478+19/24),tData[Langligger01],1)</f>
        <v/>
      </c>
      <c r="X478" s="20">
        <f>COUNTIFS(tData[SEHTrajectPeriodeDatumTijdVan],"&lt;="&amp;($A478+20/24),tData[SEHTrajectPeriodeDatumTijdTotEnMet],"&gt;"&amp;($A478+20/24),tData[Langligger01],1)</f>
        <v/>
      </c>
      <c r="Y478" s="20">
        <f>COUNTIFS(tData[SEHTrajectPeriodeDatumTijdVan],"&lt;="&amp;($A478+21/24),tData[SEHTrajectPeriodeDatumTijdTotEnMet],"&gt;"&amp;($A478+21/24),tData[Langligger01],1)</f>
        <v/>
      </c>
      <c r="Z478" s="20">
        <f>COUNTIFS(tData[SEHTrajectPeriodeDatumTijdVan],"&lt;="&amp;($A478+22/24),tData[SEHTrajectPeriodeDatumTijdTotEnMet],"&gt;"&amp;($A478+22/24),tData[Langligger01],1)</f>
        <v/>
      </c>
      <c r="AA478" s="20">
        <f>COUNTIFS(tData[SEHTrajectPeriodeDatumTijdVan],"&lt;="&amp;($A478+23/24),tData[SEHTrajectPeriodeDatumTijdTotEnMet],"&gt;"&amp;($A478+23/24),tData[Langligger01],1)</f>
        <v/>
      </c>
    </row>
    <row r="479">
      <c r="A479" s="19" t="n">
        <v>45767</v>
      </c>
      <c r="B479" s="15">
        <f>WEEKDAY($A479,2)</f>
        <v/>
      </c>
      <c r="C479" s="15">
        <f>IF(AND($A479&gt;=INT(Instellingen!$B$5),$A479&lt;=INT(Instellingen!$B$6)),1,0)</f>
        <v/>
      </c>
      <c r="D479" s="20">
        <f>COUNTIFS(tData[SEHTrajectPeriodeDatumTijdVan],"&lt;="&amp;($A479+0/24),tData[SEHTrajectPeriodeDatumTijdTotEnMet],"&gt;"&amp;($A479+0/24),tData[Langligger01],1)</f>
        <v/>
      </c>
      <c r="E479" s="20">
        <f>COUNTIFS(tData[SEHTrajectPeriodeDatumTijdVan],"&lt;="&amp;($A479+1/24),tData[SEHTrajectPeriodeDatumTijdTotEnMet],"&gt;"&amp;($A479+1/24),tData[Langligger01],1)</f>
        <v/>
      </c>
      <c r="F479" s="20">
        <f>COUNTIFS(tData[SEHTrajectPeriodeDatumTijdVan],"&lt;="&amp;($A479+2/24),tData[SEHTrajectPeriodeDatumTijdTotEnMet],"&gt;"&amp;($A479+2/24),tData[Langligger01],1)</f>
        <v/>
      </c>
      <c r="G479" s="20">
        <f>COUNTIFS(tData[SEHTrajectPeriodeDatumTijdVan],"&lt;="&amp;($A479+3/24),tData[SEHTrajectPeriodeDatumTijdTotEnMet],"&gt;"&amp;($A479+3/24),tData[Langligger01],1)</f>
        <v/>
      </c>
      <c r="H479" s="20">
        <f>COUNTIFS(tData[SEHTrajectPeriodeDatumTijdVan],"&lt;="&amp;($A479+4/24),tData[SEHTrajectPeriodeDatumTijdTotEnMet],"&gt;"&amp;($A479+4/24),tData[Langligger01],1)</f>
        <v/>
      </c>
      <c r="I479" s="20">
        <f>COUNTIFS(tData[SEHTrajectPeriodeDatumTijdVan],"&lt;="&amp;($A479+5/24),tData[SEHTrajectPeriodeDatumTijdTotEnMet],"&gt;"&amp;($A479+5/24),tData[Langligger01],1)</f>
        <v/>
      </c>
      <c r="J479" s="20">
        <f>COUNTIFS(tData[SEHTrajectPeriodeDatumTijdVan],"&lt;="&amp;($A479+6/24),tData[SEHTrajectPeriodeDatumTijdTotEnMet],"&gt;"&amp;($A479+6/24),tData[Langligger01],1)</f>
        <v/>
      </c>
      <c r="K479" s="20">
        <f>COUNTIFS(tData[SEHTrajectPeriodeDatumTijdVan],"&lt;="&amp;($A479+7/24),tData[SEHTrajectPeriodeDatumTijdTotEnMet],"&gt;"&amp;($A479+7/24),tData[Langligger01],1)</f>
        <v/>
      </c>
      <c r="L479" s="20">
        <f>COUNTIFS(tData[SEHTrajectPeriodeDatumTijdVan],"&lt;="&amp;($A479+8/24),tData[SEHTrajectPeriodeDatumTijdTotEnMet],"&gt;"&amp;($A479+8/24),tData[Langligger01],1)</f>
        <v/>
      </c>
      <c r="M479" s="20">
        <f>COUNTIFS(tData[SEHTrajectPeriodeDatumTijdVan],"&lt;="&amp;($A479+9/24),tData[SEHTrajectPeriodeDatumTijdTotEnMet],"&gt;"&amp;($A479+9/24),tData[Langligger01],1)</f>
        <v/>
      </c>
      <c r="N479" s="20">
        <f>COUNTIFS(tData[SEHTrajectPeriodeDatumTijdVan],"&lt;="&amp;($A479+10/24),tData[SEHTrajectPeriodeDatumTijdTotEnMet],"&gt;"&amp;($A479+10/24),tData[Langligger01],1)</f>
        <v/>
      </c>
      <c r="O479" s="20">
        <f>COUNTIFS(tData[SEHTrajectPeriodeDatumTijdVan],"&lt;="&amp;($A479+11/24),tData[SEHTrajectPeriodeDatumTijdTotEnMet],"&gt;"&amp;($A479+11/24),tData[Langligger01],1)</f>
        <v/>
      </c>
      <c r="P479" s="20">
        <f>COUNTIFS(tData[SEHTrajectPeriodeDatumTijdVan],"&lt;="&amp;($A479+12/24),tData[SEHTrajectPeriodeDatumTijdTotEnMet],"&gt;"&amp;($A479+12/24),tData[Langligger01],1)</f>
        <v/>
      </c>
      <c r="Q479" s="20">
        <f>COUNTIFS(tData[SEHTrajectPeriodeDatumTijdVan],"&lt;="&amp;($A479+13/24),tData[SEHTrajectPeriodeDatumTijdTotEnMet],"&gt;"&amp;($A479+13/24),tData[Langligger01],1)</f>
        <v/>
      </c>
      <c r="R479" s="20">
        <f>COUNTIFS(tData[SEHTrajectPeriodeDatumTijdVan],"&lt;="&amp;($A479+14/24),tData[SEHTrajectPeriodeDatumTijdTotEnMet],"&gt;"&amp;($A479+14/24),tData[Langligger01],1)</f>
        <v/>
      </c>
      <c r="S479" s="20">
        <f>COUNTIFS(tData[SEHTrajectPeriodeDatumTijdVan],"&lt;="&amp;($A479+15/24),tData[SEHTrajectPeriodeDatumTijdTotEnMet],"&gt;"&amp;($A479+15/24),tData[Langligger01],1)</f>
        <v/>
      </c>
      <c r="T479" s="20">
        <f>COUNTIFS(tData[SEHTrajectPeriodeDatumTijdVan],"&lt;="&amp;($A479+16/24),tData[SEHTrajectPeriodeDatumTijdTotEnMet],"&gt;"&amp;($A479+16/24),tData[Langligger01],1)</f>
        <v/>
      </c>
      <c r="U479" s="20">
        <f>COUNTIFS(tData[SEHTrajectPeriodeDatumTijdVan],"&lt;="&amp;($A479+17/24),tData[SEHTrajectPeriodeDatumTijdTotEnMet],"&gt;"&amp;($A479+17/24),tData[Langligger01],1)</f>
        <v/>
      </c>
      <c r="V479" s="20">
        <f>COUNTIFS(tData[SEHTrajectPeriodeDatumTijdVan],"&lt;="&amp;($A479+18/24),tData[SEHTrajectPeriodeDatumTijdTotEnMet],"&gt;"&amp;($A479+18/24),tData[Langligger01],1)</f>
        <v/>
      </c>
      <c r="W479" s="20">
        <f>COUNTIFS(tData[SEHTrajectPeriodeDatumTijdVan],"&lt;="&amp;($A479+19/24),tData[SEHTrajectPeriodeDatumTijdTotEnMet],"&gt;"&amp;($A479+19/24),tData[Langligger01],1)</f>
        <v/>
      </c>
      <c r="X479" s="20">
        <f>COUNTIFS(tData[SEHTrajectPeriodeDatumTijdVan],"&lt;="&amp;($A479+20/24),tData[SEHTrajectPeriodeDatumTijdTotEnMet],"&gt;"&amp;($A479+20/24),tData[Langligger01],1)</f>
        <v/>
      </c>
      <c r="Y479" s="20">
        <f>COUNTIFS(tData[SEHTrajectPeriodeDatumTijdVan],"&lt;="&amp;($A479+21/24),tData[SEHTrajectPeriodeDatumTijdTotEnMet],"&gt;"&amp;($A479+21/24),tData[Langligger01],1)</f>
        <v/>
      </c>
      <c r="Z479" s="20">
        <f>COUNTIFS(tData[SEHTrajectPeriodeDatumTijdVan],"&lt;="&amp;($A479+22/24),tData[SEHTrajectPeriodeDatumTijdTotEnMet],"&gt;"&amp;($A479+22/24),tData[Langligger01],1)</f>
        <v/>
      </c>
      <c r="AA479" s="20">
        <f>COUNTIFS(tData[SEHTrajectPeriodeDatumTijdVan],"&lt;="&amp;($A479+23/24),tData[SEHTrajectPeriodeDatumTijdTotEnMet],"&gt;"&amp;($A479+23/24),tData[Langligger01],1)</f>
        <v/>
      </c>
    </row>
    <row r="480">
      <c r="A480" s="19" t="n">
        <v>45768</v>
      </c>
      <c r="B480" s="15">
        <f>WEEKDAY($A480,2)</f>
        <v/>
      </c>
      <c r="C480" s="15">
        <f>IF(AND($A480&gt;=INT(Instellingen!$B$5),$A480&lt;=INT(Instellingen!$B$6)),1,0)</f>
        <v/>
      </c>
      <c r="D480" s="20">
        <f>COUNTIFS(tData[SEHTrajectPeriodeDatumTijdVan],"&lt;="&amp;($A480+0/24),tData[SEHTrajectPeriodeDatumTijdTotEnMet],"&gt;"&amp;($A480+0/24),tData[Langligger01],1)</f>
        <v/>
      </c>
      <c r="E480" s="20">
        <f>COUNTIFS(tData[SEHTrajectPeriodeDatumTijdVan],"&lt;="&amp;($A480+1/24),tData[SEHTrajectPeriodeDatumTijdTotEnMet],"&gt;"&amp;($A480+1/24),tData[Langligger01],1)</f>
        <v/>
      </c>
      <c r="F480" s="20">
        <f>COUNTIFS(tData[SEHTrajectPeriodeDatumTijdVan],"&lt;="&amp;($A480+2/24),tData[SEHTrajectPeriodeDatumTijdTotEnMet],"&gt;"&amp;($A480+2/24),tData[Langligger01],1)</f>
        <v/>
      </c>
      <c r="G480" s="20">
        <f>COUNTIFS(tData[SEHTrajectPeriodeDatumTijdVan],"&lt;="&amp;($A480+3/24),tData[SEHTrajectPeriodeDatumTijdTotEnMet],"&gt;"&amp;($A480+3/24),tData[Langligger01],1)</f>
        <v/>
      </c>
      <c r="H480" s="20">
        <f>COUNTIFS(tData[SEHTrajectPeriodeDatumTijdVan],"&lt;="&amp;($A480+4/24),tData[SEHTrajectPeriodeDatumTijdTotEnMet],"&gt;"&amp;($A480+4/24),tData[Langligger01],1)</f>
        <v/>
      </c>
      <c r="I480" s="20">
        <f>COUNTIFS(tData[SEHTrajectPeriodeDatumTijdVan],"&lt;="&amp;($A480+5/24),tData[SEHTrajectPeriodeDatumTijdTotEnMet],"&gt;"&amp;($A480+5/24),tData[Langligger01],1)</f>
        <v/>
      </c>
      <c r="J480" s="20">
        <f>COUNTIFS(tData[SEHTrajectPeriodeDatumTijdVan],"&lt;="&amp;($A480+6/24),tData[SEHTrajectPeriodeDatumTijdTotEnMet],"&gt;"&amp;($A480+6/24),tData[Langligger01],1)</f>
        <v/>
      </c>
      <c r="K480" s="20">
        <f>COUNTIFS(tData[SEHTrajectPeriodeDatumTijdVan],"&lt;="&amp;($A480+7/24),tData[SEHTrajectPeriodeDatumTijdTotEnMet],"&gt;"&amp;($A480+7/24),tData[Langligger01],1)</f>
        <v/>
      </c>
      <c r="L480" s="20">
        <f>COUNTIFS(tData[SEHTrajectPeriodeDatumTijdVan],"&lt;="&amp;($A480+8/24),tData[SEHTrajectPeriodeDatumTijdTotEnMet],"&gt;"&amp;($A480+8/24),tData[Langligger01],1)</f>
        <v/>
      </c>
      <c r="M480" s="20">
        <f>COUNTIFS(tData[SEHTrajectPeriodeDatumTijdVan],"&lt;="&amp;($A480+9/24),tData[SEHTrajectPeriodeDatumTijdTotEnMet],"&gt;"&amp;($A480+9/24),tData[Langligger01],1)</f>
        <v/>
      </c>
      <c r="N480" s="20">
        <f>COUNTIFS(tData[SEHTrajectPeriodeDatumTijdVan],"&lt;="&amp;($A480+10/24),tData[SEHTrajectPeriodeDatumTijdTotEnMet],"&gt;"&amp;($A480+10/24),tData[Langligger01],1)</f>
        <v/>
      </c>
      <c r="O480" s="20">
        <f>COUNTIFS(tData[SEHTrajectPeriodeDatumTijdVan],"&lt;="&amp;($A480+11/24),tData[SEHTrajectPeriodeDatumTijdTotEnMet],"&gt;"&amp;($A480+11/24),tData[Langligger01],1)</f>
        <v/>
      </c>
      <c r="P480" s="20">
        <f>COUNTIFS(tData[SEHTrajectPeriodeDatumTijdVan],"&lt;="&amp;($A480+12/24),tData[SEHTrajectPeriodeDatumTijdTotEnMet],"&gt;"&amp;($A480+12/24),tData[Langligger01],1)</f>
        <v/>
      </c>
      <c r="Q480" s="20">
        <f>COUNTIFS(tData[SEHTrajectPeriodeDatumTijdVan],"&lt;="&amp;($A480+13/24),tData[SEHTrajectPeriodeDatumTijdTotEnMet],"&gt;"&amp;($A480+13/24),tData[Langligger01],1)</f>
        <v/>
      </c>
      <c r="R480" s="20">
        <f>COUNTIFS(tData[SEHTrajectPeriodeDatumTijdVan],"&lt;="&amp;($A480+14/24),tData[SEHTrajectPeriodeDatumTijdTotEnMet],"&gt;"&amp;($A480+14/24),tData[Langligger01],1)</f>
        <v/>
      </c>
      <c r="S480" s="20">
        <f>COUNTIFS(tData[SEHTrajectPeriodeDatumTijdVan],"&lt;="&amp;($A480+15/24),tData[SEHTrajectPeriodeDatumTijdTotEnMet],"&gt;"&amp;($A480+15/24),tData[Langligger01],1)</f>
        <v/>
      </c>
      <c r="T480" s="20">
        <f>COUNTIFS(tData[SEHTrajectPeriodeDatumTijdVan],"&lt;="&amp;($A480+16/24),tData[SEHTrajectPeriodeDatumTijdTotEnMet],"&gt;"&amp;($A480+16/24),tData[Langligger01],1)</f>
        <v/>
      </c>
      <c r="U480" s="20">
        <f>COUNTIFS(tData[SEHTrajectPeriodeDatumTijdVan],"&lt;="&amp;($A480+17/24),tData[SEHTrajectPeriodeDatumTijdTotEnMet],"&gt;"&amp;($A480+17/24),tData[Langligger01],1)</f>
        <v/>
      </c>
      <c r="V480" s="20">
        <f>COUNTIFS(tData[SEHTrajectPeriodeDatumTijdVan],"&lt;="&amp;($A480+18/24),tData[SEHTrajectPeriodeDatumTijdTotEnMet],"&gt;"&amp;($A480+18/24),tData[Langligger01],1)</f>
        <v/>
      </c>
      <c r="W480" s="20">
        <f>COUNTIFS(tData[SEHTrajectPeriodeDatumTijdVan],"&lt;="&amp;($A480+19/24),tData[SEHTrajectPeriodeDatumTijdTotEnMet],"&gt;"&amp;($A480+19/24),tData[Langligger01],1)</f>
        <v/>
      </c>
      <c r="X480" s="20">
        <f>COUNTIFS(tData[SEHTrajectPeriodeDatumTijdVan],"&lt;="&amp;($A480+20/24),tData[SEHTrajectPeriodeDatumTijdTotEnMet],"&gt;"&amp;($A480+20/24),tData[Langligger01],1)</f>
        <v/>
      </c>
      <c r="Y480" s="20">
        <f>COUNTIFS(tData[SEHTrajectPeriodeDatumTijdVan],"&lt;="&amp;($A480+21/24),tData[SEHTrajectPeriodeDatumTijdTotEnMet],"&gt;"&amp;($A480+21/24),tData[Langligger01],1)</f>
        <v/>
      </c>
      <c r="Z480" s="20">
        <f>COUNTIFS(tData[SEHTrajectPeriodeDatumTijdVan],"&lt;="&amp;($A480+22/24),tData[SEHTrajectPeriodeDatumTijdTotEnMet],"&gt;"&amp;($A480+22/24),tData[Langligger01],1)</f>
        <v/>
      </c>
      <c r="AA480" s="20">
        <f>COUNTIFS(tData[SEHTrajectPeriodeDatumTijdVan],"&lt;="&amp;($A480+23/24),tData[SEHTrajectPeriodeDatumTijdTotEnMet],"&gt;"&amp;($A480+23/24),tData[Langligger01],1)</f>
        <v/>
      </c>
    </row>
    <row r="481">
      <c r="A481" s="19" t="n">
        <v>45769</v>
      </c>
      <c r="B481" s="15">
        <f>WEEKDAY($A481,2)</f>
        <v/>
      </c>
      <c r="C481" s="15">
        <f>IF(AND($A481&gt;=INT(Instellingen!$B$5),$A481&lt;=INT(Instellingen!$B$6)),1,0)</f>
        <v/>
      </c>
      <c r="D481" s="20">
        <f>COUNTIFS(tData[SEHTrajectPeriodeDatumTijdVan],"&lt;="&amp;($A481+0/24),tData[SEHTrajectPeriodeDatumTijdTotEnMet],"&gt;"&amp;($A481+0/24),tData[Langligger01],1)</f>
        <v/>
      </c>
      <c r="E481" s="20">
        <f>COUNTIFS(tData[SEHTrajectPeriodeDatumTijdVan],"&lt;="&amp;($A481+1/24),tData[SEHTrajectPeriodeDatumTijdTotEnMet],"&gt;"&amp;($A481+1/24),tData[Langligger01],1)</f>
        <v/>
      </c>
      <c r="F481" s="20">
        <f>COUNTIFS(tData[SEHTrajectPeriodeDatumTijdVan],"&lt;="&amp;($A481+2/24),tData[SEHTrajectPeriodeDatumTijdTotEnMet],"&gt;"&amp;($A481+2/24),tData[Langligger01],1)</f>
        <v/>
      </c>
      <c r="G481" s="20">
        <f>COUNTIFS(tData[SEHTrajectPeriodeDatumTijdVan],"&lt;="&amp;($A481+3/24),tData[SEHTrajectPeriodeDatumTijdTotEnMet],"&gt;"&amp;($A481+3/24),tData[Langligger01],1)</f>
        <v/>
      </c>
      <c r="H481" s="20">
        <f>COUNTIFS(tData[SEHTrajectPeriodeDatumTijdVan],"&lt;="&amp;($A481+4/24),tData[SEHTrajectPeriodeDatumTijdTotEnMet],"&gt;"&amp;($A481+4/24),tData[Langligger01],1)</f>
        <v/>
      </c>
      <c r="I481" s="20">
        <f>COUNTIFS(tData[SEHTrajectPeriodeDatumTijdVan],"&lt;="&amp;($A481+5/24),tData[SEHTrajectPeriodeDatumTijdTotEnMet],"&gt;"&amp;($A481+5/24),tData[Langligger01],1)</f>
        <v/>
      </c>
      <c r="J481" s="20">
        <f>COUNTIFS(tData[SEHTrajectPeriodeDatumTijdVan],"&lt;="&amp;($A481+6/24),tData[SEHTrajectPeriodeDatumTijdTotEnMet],"&gt;"&amp;($A481+6/24),tData[Langligger01],1)</f>
        <v/>
      </c>
      <c r="K481" s="20">
        <f>COUNTIFS(tData[SEHTrajectPeriodeDatumTijdVan],"&lt;="&amp;($A481+7/24),tData[SEHTrajectPeriodeDatumTijdTotEnMet],"&gt;"&amp;($A481+7/24),tData[Langligger01],1)</f>
        <v/>
      </c>
      <c r="L481" s="20">
        <f>COUNTIFS(tData[SEHTrajectPeriodeDatumTijdVan],"&lt;="&amp;($A481+8/24),tData[SEHTrajectPeriodeDatumTijdTotEnMet],"&gt;"&amp;($A481+8/24),tData[Langligger01],1)</f>
        <v/>
      </c>
      <c r="M481" s="20">
        <f>COUNTIFS(tData[SEHTrajectPeriodeDatumTijdVan],"&lt;="&amp;($A481+9/24),tData[SEHTrajectPeriodeDatumTijdTotEnMet],"&gt;"&amp;($A481+9/24),tData[Langligger01],1)</f>
        <v/>
      </c>
      <c r="N481" s="20">
        <f>COUNTIFS(tData[SEHTrajectPeriodeDatumTijdVan],"&lt;="&amp;($A481+10/24),tData[SEHTrajectPeriodeDatumTijdTotEnMet],"&gt;"&amp;($A481+10/24),tData[Langligger01],1)</f>
        <v/>
      </c>
      <c r="O481" s="20">
        <f>COUNTIFS(tData[SEHTrajectPeriodeDatumTijdVan],"&lt;="&amp;($A481+11/24),tData[SEHTrajectPeriodeDatumTijdTotEnMet],"&gt;"&amp;($A481+11/24),tData[Langligger01],1)</f>
        <v/>
      </c>
      <c r="P481" s="20">
        <f>COUNTIFS(tData[SEHTrajectPeriodeDatumTijdVan],"&lt;="&amp;($A481+12/24),tData[SEHTrajectPeriodeDatumTijdTotEnMet],"&gt;"&amp;($A481+12/24),tData[Langligger01],1)</f>
        <v/>
      </c>
      <c r="Q481" s="20">
        <f>COUNTIFS(tData[SEHTrajectPeriodeDatumTijdVan],"&lt;="&amp;($A481+13/24),tData[SEHTrajectPeriodeDatumTijdTotEnMet],"&gt;"&amp;($A481+13/24),tData[Langligger01],1)</f>
        <v/>
      </c>
      <c r="R481" s="20">
        <f>COUNTIFS(tData[SEHTrajectPeriodeDatumTijdVan],"&lt;="&amp;($A481+14/24),tData[SEHTrajectPeriodeDatumTijdTotEnMet],"&gt;"&amp;($A481+14/24),tData[Langligger01],1)</f>
        <v/>
      </c>
      <c r="S481" s="20">
        <f>COUNTIFS(tData[SEHTrajectPeriodeDatumTijdVan],"&lt;="&amp;($A481+15/24),tData[SEHTrajectPeriodeDatumTijdTotEnMet],"&gt;"&amp;($A481+15/24),tData[Langligger01],1)</f>
        <v/>
      </c>
      <c r="T481" s="20">
        <f>COUNTIFS(tData[SEHTrajectPeriodeDatumTijdVan],"&lt;="&amp;($A481+16/24),tData[SEHTrajectPeriodeDatumTijdTotEnMet],"&gt;"&amp;($A481+16/24),tData[Langligger01],1)</f>
        <v/>
      </c>
      <c r="U481" s="20">
        <f>COUNTIFS(tData[SEHTrajectPeriodeDatumTijdVan],"&lt;="&amp;($A481+17/24),tData[SEHTrajectPeriodeDatumTijdTotEnMet],"&gt;"&amp;($A481+17/24),tData[Langligger01],1)</f>
        <v/>
      </c>
      <c r="V481" s="20">
        <f>COUNTIFS(tData[SEHTrajectPeriodeDatumTijdVan],"&lt;="&amp;($A481+18/24),tData[SEHTrajectPeriodeDatumTijdTotEnMet],"&gt;"&amp;($A481+18/24),tData[Langligger01],1)</f>
        <v/>
      </c>
      <c r="W481" s="20">
        <f>COUNTIFS(tData[SEHTrajectPeriodeDatumTijdVan],"&lt;="&amp;($A481+19/24),tData[SEHTrajectPeriodeDatumTijdTotEnMet],"&gt;"&amp;($A481+19/24),tData[Langligger01],1)</f>
        <v/>
      </c>
      <c r="X481" s="20">
        <f>COUNTIFS(tData[SEHTrajectPeriodeDatumTijdVan],"&lt;="&amp;($A481+20/24),tData[SEHTrajectPeriodeDatumTijdTotEnMet],"&gt;"&amp;($A481+20/24),tData[Langligger01],1)</f>
        <v/>
      </c>
      <c r="Y481" s="20">
        <f>COUNTIFS(tData[SEHTrajectPeriodeDatumTijdVan],"&lt;="&amp;($A481+21/24),tData[SEHTrajectPeriodeDatumTijdTotEnMet],"&gt;"&amp;($A481+21/24),tData[Langligger01],1)</f>
        <v/>
      </c>
      <c r="Z481" s="20">
        <f>COUNTIFS(tData[SEHTrajectPeriodeDatumTijdVan],"&lt;="&amp;($A481+22/24),tData[SEHTrajectPeriodeDatumTijdTotEnMet],"&gt;"&amp;($A481+22/24),tData[Langligger01],1)</f>
        <v/>
      </c>
      <c r="AA481" s="20">
        <f>COUNTIFS(tData[SEHTrajectPeriodeDatumTijdVan],"&lt;="&amp;($A481+23/24),tData[SEHTrajectPeriodeDatumTijdTotEnMet],"&gt;"&amp;($A481+23/24),tData[Langligger01],1)</f>
        <v/>
      </c>
    </row>
    <row r="482">
      <c r="A482" s="19" t="n">
        <v>45770</v>
      </c>
      <c r="B482" s="15">
        <f>WEEKDAY($A482,2)</f>
        <v/>
      </c>
      <c r="C482" s="15">
        <f>IF(AND($A482&gt;=INT(Instellingen!$B$5),$A482&lt;=INT(Instellingen!$B$6)),1,0)</f>
        <v/>
      </c>
      <c r="D482" s="20">
        <f>COUNTIFS(tData[SEHTrajectPeriodeDatumTijdVan],"&lt;="&amp;($A482+0/24),tData[SEHTrajectPeriodeDatumTijdTotEnMet],"&gt;"&amp;($A482+0/24),tData[Langligger01],1)</f>
        <v/>
      </c>
      <c r="E482" s="20">
        <f>COUNTIFS(tData[SEHTrajectPeriodeDatumTijdVan],"&lt;="&amp;($A482+1/24),tData[SEHTrajectPeriodeDatumTijdTotEnMet],"&gt;"&amp;($A482+1/24),tData[Langligger01],1)</f>
        <v/>
      </c>
      <c r="F482" s="20">
        <f>COUNTIFS(tData[SEHTrajectPeriodeDatumTijdVan],"&lt;="&amp;($A482+2/24),tData[SEHTrajectPeriodeDatumTijdTotEnMet],"&gt;"&amp;($A482+2/24),tData[Langligger01],1)</f>
        <v/>
      </c>
      <c r="G482" s="20">
        <f>COUNTIFS(tData[SEHTrajectPeriodeDatumTijdVan],"&lt;="&amp;($A482+3/24),tData[SEHTrajectPeriodeDatumTijdTotEnMet],"&gt;"&amp;($A482+3/24),tData[Langligger01],1)</f>
        <v/>
      </c>
      <c r="H482" s="20">
        <f>COUNTIFS(tData[SEHTrajectPeriodeDatumTijdVan],"&lt;="&amp;($A482+4/24),tData[SEHTrajectPeriodeDatumTijdTotEnMet],"&gt;"&amp;($A482+4/24),tData[Langligger01],1)</f>
        <v/>
      </c>
      <c r="I482" s="20">
        <f>COUNTIFS(tData[SEHTrajectPeriodeDatumTijdVan],"&lt;="&amp;($A482+5/24),tData[SEHTrajectPeriodeDatumTijdTotEnMet],"&gt;"&amp;($A482+5/24),tData[Langligger01],1)</f>
        <v/>
      </c>
      <c r="J482" s="20">
        <f>COUNTIFS(tData[SEHTrajectPeriodeDatumTijdVan],"&lt;="&amp;($A482+6/24),tData[SEHTrajectPeriodeDatumTijdTotEnMet],"&gt;"&amp;($A482+6/24),tData[Langligger01],1)</f>
        <v/>
      </c>
      <c r="K482" s="20">
        <f>COUNTIFS(tData[SEHTrajectPeriodeDatumTijdVan],"&lt;="&amp;($A482+7/24),tData[SEHTrajectPeriodeDatumTijdTotEnMet],"&gt;"&amp;($A482+7/24),tData[Langligger01],1)</f>
        <v/>
      </c>
      <c r="L482" s="20">
        <f>COUNTIFS(tData[SEHTrajectPeriodeDatumTijdVan],"&lt;="&amp;($A482+8/24),tData[SEHTrajectPeriodeDatumTijdTotEnMet],"&gt;"&amp;($A482+8/24),tData[Langligger01],1)</f>
        <v/>
      </c>
      <c r="M482" s="20">
        <f>COUNTIFS(tData[SEHTrajectPeriodeDatumTijdVan],"&lt;="&amp;($A482+9/24),tData[SEHTrajectPeriodeDatumTijdTotEnMet],"&gt;"&amp;($A482+9/24),tData[Langligger01],1)</f>
        <v/>
      </c>
      <c r="N482" s="20">
        <f>COUNTIFS(tData[SEHTrajectPeriodeDatumTijdVan],"&lt;="&amp;($A482+10/24),tData[SEHTrajectPeriodeDatumTijdTotEnMet],"&gt;"&amp;($A482+10/24),tData[Langligger01],1)</f>
        <v/>
      </c>
      <c r="O482" s="20">
        <f>COUNTIFS(tData[SEHTrajectPeriodeDatumTijdVan],"&lt;="&amp;($A482+11/24),tData[SEHTrajectPeriodeDatumTijdTotEnMet],"&gt;"&amp;($A482+11/24),tData[Langligger01],1)</f>
        <v/>
      </c>
      <c r="P482" s="20">
        <f>COUNTIFS(tData[SEHTrajectPeriodeDatumTijdVan],"&lt;="&amp;($A482+12/24),tData[SEHTrajectPeriodeDatumTijdTotEnMet],"&gt;"&amp;($A482+12/24),tData[Langligger01],1)</f>
        <v/>
      </c>
      <c r="Q482" s="20">
        <f>COUNTIFS(tData[SEHTrajectPeriodeDatumTijdVan],"&lt;="&amp;($A482+13/24),tData[SEHTrajectPeriodeDatumTijdTotEnMet],"&gt;"&amp;($A482+13/24),tData[Langligger01],1)</f>
        <v/>
      </c>
      <c r="R482" s="20">
        <f>COUNTIFS(tData[SEHTrajectPeriodeDatumTijdVan],"&lt;="&amp;($A482+14/24),tData[SEHTrajectPeriodeDatumTijdTotEnMet],"&gt;"&amp;($A482+14/24),tData[Langligger01],1)</f>
        <v/>
      </c>
      <c r="S482" s="20">
        <f>COUNTIFS(tData[SEHTrajectPeriodeDatumTijdVan],"&lt;="&amp;($A482+15/24),tData[SEHTrajectPeriodeDatumTijdTotEnMet],"&gt;"&amp;($A482+15/24),tData[Langligger01],1)</f>
        <v/>
      </c>
      <c r="T482" s="20">
        <f>COUNTIFS(tData[SEHTrajectPeriodeDatumTijdVan],"&lt;="&amp;($A482+16/24),tData[SEHTrajectPeriodeDatumTijdTotEnMet],"&gt;"&amp;($A482+16/24),tData[Langligger01],1)</f>
        <v/>
      </c>
      <c r="U482" s="20">
        <f>COUNTIFS(tData[SEHTrajectPeriodeDatumTijdVan],"&lt;="&amp;($A482+17/24),tData[SEHTrajectPeriodeDatumTijdTotEnMet],"&gt;"&amp;($A482+17/24),tData[Langligger01],1)</f>
        <v/>
      </c>
      <c r="V482" s="20">
        <f>COUNTIFS(tData[SEHTrajectPeriodeDatumTijdVan],"&lt;="&amp;($A482+18/24),tData[SEHTrajectPeriodeDatumTijdTotEnMet],"&gt;"&amp;($A482+18/24),tData[Langligger01],1)</f>
        <v/>
      </c>
      <c r="W482" s="20">
        <f>COUNTIFS(tData[SEHTrajectPeriodeDatumTijdVan],"&lt;="&amp;($A482+19/24),tData[SEHTrajectPeriodeDatumTijdTotEnMet],"&gt;"&amp;($A482+19/24),tData[Langligger01],1)</f>
        <v/>
      </c>
      <c r="X482" s="20">
        <f>COUNTIFS(tData[SEHTrajectPeriodeDatumTijdVan],"&lt;="&amp;($A482+20/24),tData[SEHTrajectPeriodeDatumTijdTotEnMet],"&gt;"&amp;($A482+20/24),tData[Langligger01],1)</f>
        <v/>
      </c>
      <c r="Y482" s="20">
        <f>COUNTIFS(tData[SEHTrajectPeriodeDatumTijdVan],"&lt;="&amp;($A482+21/24),tData[SEHTrajectPeriodeDatumTijdTotEnMet],"&gt;"&amp;($A482+21/24),tData[Langligger01],1)</f>
        <v/>
      </c>
      <c r="Z482" s="20">
        <f>COUNTIFS(tData[SEHTrajectPeriodeDatumTijdVan],"&lt;="&amp;($A482+22/24),tData[SEHTrajectPeriodeDatumTijdTotEnMet],"&gt;"&amp;($A482+22/24),tData[Langligger01],1)</f>
        <v/>
      </c>
      <c r="AA482" s="20">
        <f>COUNTIFS(tData[SEHTrajectPeriodeDatumTijdVan],"&lt;="&amp;($A482+23/24),tData[SEHTrajectPeriodeDatumTijdTotEnMet],"&gt;"&amp;($A482+23/24),tData[Langligger01],1)</f>
        <v/>
      </c>
    </row>
    <row r="483">
      <c r="A483" s="19" t="n">
        <v>45771</v>
      </c>
      <c r="B483" s="15">
        <f>WEEKDAY($A483,2)</f>
        <v/>
      </c>
      <c r="C483" s="15">
        <f>IF(AND($A483&gt;=INT(Instellingen!$B$5),$A483&lt;=INT(Instellingen!$B$6)),1,0)</f>
        <v/>
      </c>
      <c r="D483" s="20">
        <f>COUNTIFS(tData[SEHTrajectPeriodeDatumTijdVan],"&lt;="&amp;($A483+0/24),tData[SEHTrajectPeriodeDatumTijdTotEnMet],"&gt;"&amp;($A483+0/24),tData[Langligger01],1)</f>
        <v/>
      </c>
      <c r="E483" s="20">
        <f>COUNTIFS(tData[SEHTrajectPeriodeDatumTijdVan],"&lt;="&amp;($A483+1/24),tData[SEHTrajectPeriodeDatumTijdTotEnMet],"&gt;"&amp;($A483+1/24),tData[Langligger01],1)</f>
        <v/>
      </c>
      <c r="F483" s="20">
        <f>COUNTIFS(tData[SEHTrajectPeriodeDatumTijdVan],"&lt;="&amp;($A483+2/24),tData[SEHTrajectPeriodeDatumTijdTotEnMet],"&gt;"&amp;($A483+2/24),tData[Langligger01],1)</f>
        <v/>
      </c>
      <c r="G483" s="20">
        <f>COUNTIFS(tData[SEHTrajectPeriodeDatumTijdVan],"&lt;="&amp;($A483+3/24),tData[SEHTrajectPeriodeDatumTijdTotEnMet],"&gt;"&amp;($A483+3/24),tData[Langligger01],1)</f>
        <v/>
      </c>
      <c r="H483" s="20">
        <f>COUNTIFS(tData[SEHTrajectPeriodeDatumTijdVan],"&lt;="&amp;($A483+4/24),tData[SEHTrajectPeriodeDatumTijdTotEnMet],"&gt;"&amp;($A483+4/24),tData[Langligger01],1)</f>
        <v/>
      </c>
      <c r="I483" s="20">
        <f>COUNTIFS(tData[SEHTrajectPeriodeDatumTijdVan],"&lt;="&amp;($A483+5/24),tData[SEHTrajectPeriodeDatumTijdTotEnMet],"&gt;"&amp;($A483+5/24),tData[Langligger01],1)</f>
        <v/>
      </c>
      <c r="J483" s="20">
        <f>COUNTIFS(tData[SEHTrajectPeriodeDatumTijdVan],"&lt;="&amp;($A483+6/24),tData[SEHTrajectPeriodeDatumTijdTotEnMet],"&gt;"&amp;($A483+6/24),tData[Langligger01],1)</f>
        <v/>
      </c>
      <c r="K483" s="20">
        <f>COUNTIFS(tData[SEHTrajectPeriodeDatumTijdVan],"&lt;="&amp;($A483+7/24),tData[SEHTrajectPeriodeDatumTijdTotEnMet],"&gt;"&amp;($A483+7/24),tData[Langligger01],1)</f>
        <v/>
      </c>
      <c r="L483" s="20">
        <f>COUNTIFS(tData[SEHTrajectPeriodeDatumTijdVan],"&lt;="&amp;($A483+8/24),tData[SEHTrajectPeriodeDatumTijdTotEnMet],"&gt;"&amp;($A483+8/24),tData[Langligger01],1)</f>
        <v/>
      </c>
      <c r="M483" s="20">
        <f>COUNTIFS(tData[SEHTrajectPeriodeDatumTijdVan],"&lt;="&amp;($A483+9/24),tData[SEHTrajectPeriodeDatumTijdTotEnMet],"&gt;"&amp;($A483+9/24),tData[Langligger01],1)</f>
        <v/>
      </c>
      <c r="N483" s="20">
        <f>COUNTIFS(tData[SEHTrajectPeriodeDatumTijdVan],"&lt;="&amp;($A483+10/24),tData[SEHTrajectPeriodeDatumTijdTotEnMet],"&gt;"&amp;($A483+10/24),tData[Langligger01],1)</f>
        <v/>
      </c>
      <c r="O483" s="20">
        <f>COUNTIFS(tData[SEHTrajectPeriodeDatumTijdVan],"&lt;="&amp;($A483+11/24),tData[SEHTrajectPeriodeDatumTijdTotEnMet],"&gt;"&amp;($A483+11/24),tData[Langligger01],1)</f>
        <v/>
      </c>
      <c r="P483" s="20">
        <f>COUNTIFS(tData[SEHTrajectPeriodeDatumTijdVan],"&lt;="&amp;($A483+12/24),tData[SEHTrajectPeriodeDatumTijdTotEnMet],"&gt;"&amp;($A483+12/24),tData[Langligger01],1)</f>
        <v/>
      </c>
      <c r="Q483" s="20">
        <f>COUNTIFS(tData[SEHTrajectPeriodeDatumTijdVan],"&lt;="&amp;($A483+13/24),tData[SEHTrajectPeriodeDatumTijdTotEnMet],"&gt;"&amp;($A483+13/24),tData[Langligger01],1)</f>
        <v/>
      </c>
      <c r="R483" s="20">
        <f>COUNTIFS(tData[SEHTrajectPeriodeDatumTijdVan],"&lt;="&amp;($A483+14/24),tData[SEHTrajectPeriodeDatumTijdTotEnMet],"&gt;"&amp;($A483+14/24),tData[Langligger01],1)</f>
        <v/>
      </c>
      <c r="S483" s="20">
        <f>COUNTIFS(tData[SEHTrajectPeriodeDatumTijdVan],"&lt;="&amp;($A483+15/24),tData[SEHTrajectPeriodeDatumTijdTotEnMet],"&gt;"&amp;($A483+15/24),tData[Langligger01],1)</f>
        <v/>
      </c>
      <c r="T483" s="20">
        <f>COUNTIFS(tData[SEHTrajectPeriodeDatumTijdVan],"&lt;="&amp;($A483+16/24),tData[SEHTrajectPeriodeDatumTijdTotEnMet],"&gt;"&amp;($A483+16/24),tData[Langligger01],1)</f>
        <v/>
      </c>
      <c r="U483" s="20">
        <f>COUNTIFS(tData[SEHTrajectPeriodeDatumTijdVan],"&lt;="&amp;($A483+17/24),tData[SEHTrajectPeriodeDatumTijdTotEnMet],"&gt;"&amp;($A483+17/24),tData[Langligger01],1)</f>
        <v/>
      </c>
      <c r="V483" s="20">
        <f>COUNTIFS(tData[SEHTrajectPeriodeDatumTijdVan],"&lt;="&amp;($A483+18/24),tData[SEHTrajectPeriodeDatumTijdTotEnMet],"&gt;"&amp;($A483+18/24),tData[Langligger01],1)</f>
        <v/>
      </c>
      <c r="W483" s="20">
        <f>COUNTIFS(tData[SEHTrajectPeriodeDatumTijdVan],"&lt;="&amp;($A483+19/24),tData[SEHTrajectPeriodeDatumTijdTotEnMet],"&gt;"&amp;($A483+19/24),tData[Langligger01],1)</f>
        <v/>
      </c>
      <c r="X483" s="20">
        <f>COUNTIFS(tData[SEHTrajectPeriodeDatumTijdVan],"&lt;="&amp;($A483+20/24),tData[SEHTrajectPeriodeDatumTijdTotEnMet],"&gt;"&amp;($A483+20/24),tData[Langligger01],1)</f>
        <v/>
      </c>
      <c r="Y483" s="20">
        <f>COUNTIFS(tData[SEHTrajectPeriodeDatumTijdVan],"&lt;="&amp;($A483+21/24),tData[SEHTrajectPeriodeDatumTijdTotEnMet],"&gt;"&amp;($A483+21/24),tData[Langligger01],1)</f>
        <v/>
      </c>
      <c r="Z483" s="20">
        <f>COUNTIFS(tData[SEHTrajectPeriodeDatumTijdVan],"&lt;="&amp;($A483+22/24),tData[SEHTrajectPeriodeDatumTijdTotEnMet],"&gt;"&amp;($A483+22/24),tData[Langligger01],1)</f>
        <v/>
      </c>
      <c r="AA483" s="20">
        <f>COUNTIFS(tData[SEHTrajectPeriodeDatumTijdVan],"&lt;="&amp;($A483+23/24),tData[SEHTrajectPeriodeDatumTijdTotEnMet],"&gt;"&amp;($A483+23/24),tData[Langligger01],1)</f>
        <v/>
      </c>
    </row>
    <row r="484">
      <c r="A484" s="19" t="n">
        <v>45772</v>
      </c>
      <c r="B484" s="15">
        <f>WEEKDAY($A484,2)</f>
        <v/>
      </c>
      <c r="C484" s="15">
        <f>IF(AND($A484&gt;=INT(Instellingen!$B$5),$A484&lt;=INT(Instellingen!$B$6)),1,0)</f>
        <v/>
      </c>
      <c r="D484" s="20">
        <f>COUNTIFS(tData[SEHTrajectPeriodeDatumTijdVan],"&lt;="&amp;($A484+0/24),tData[SEHTrajectPeriodeDatumTijdTotEnMet],"&gt;"&amp;($A484+0/24),tData[Langligger01],1)</f>
        <v/>
      </c>
      <c r="E484" s="20">
        <f>COUNTIFS(tData[SEHTrajectPeriodeDatumTijdVan],"&lt;="&amp;($A484+1/24),tData[SEHTrajectPeriodeDatumTijdTotEnMet],"&gt;"&amp;($A484+1/24),tData[Langligger01],1)</f>
        <v/>
      </c>
      <c r="F484" s="20">
        <f>COUNTIFS(tData[SEHTrajectPeriodeDatumTijdVan],"&lt;="&amp;($A484+2/24),tData[SEHTrajectPeriodeDatumTijdTotEnMet],"&gt;"&amp;($A484+2/24),tData[Langligger01],1)</f>
        <v/>
      </c>
      <c r="G484" s="20">
        <f>COUNTIFS(tData[SEHTrajectPeriodeDatumTijdVan],"&lt;="&amp;($A484+3/24),tData[SEHTrajectPeriodeDatumTijdTotEnMet],"&gt;"&amp;($A484+3/24),tData[Langligger01],1)</f>
        <v/>
      </c>
      <c r="H484" s="20">
        <f>COUNTIFS(tData[SEHTrajectPeriodeDatumTijdVan],"&lt;="&amp;($A484+4/24),tData[SEHTrajectPeriodeDatumTijdTotEnMet],"&gt;"&amp;($A484+4/24),tData[Langligger01],1)</f>
        <v/>
      </c>
      <c r="I484" s="20">
        <f>COUNTIFS(tData[SEHTrajectPeriodeDatumTijdVan],"&lt;="&amp;($A484+5/24),tData[SEHTrajectPeriodeDatumTijdTotEnMet],"&gt;"&amp;($A484+5/24),tData[Langligger01],1)</f>
        <v/>
      </c>
      <c r="J484" s="20">
        <f>COUNTIFS(tData[SEHTrajectPeriodeDatumTijdVan],"&lt;="&amp;($A484+6/24),tData[SEHTrajectPeriodeDatumTijdTotEnMet],"&gt;"&amp;($A484+6/24),tData[Langligger01],1)</f>
        <v/>
      </c>
      <c r="K484" s="20">
        <f>COUNTIFS(tData[SEHTrajectPeriodeDatumTijdVan],"&lt;="&amp;($A484+7/24),tData[SEHTrajectPeriodeDatumTijdTotEnMet],"&gt;"&amp;($A484+7/24),tData[Langligger01],1)</f>
        <v/>
      </c>
      <c r="L484" s="20">
        <f>COUNTIFS(tData[SEHTrajectPeriodeDatumTijdVan],"&lt;="&amp;($A484+8/24),tData[SEHTrajectPeriodeDatumTijdTotEnMet],"&gt;"&amp;($A484+8/24),tData[Langligger01],1)</f>
        <v/>
      </c>
      <c r="M484" s="20">
        <f>COUNTIFS(tData[SEHTrajectPeriodeDatumTijdVan],"&lt;="&amp;($A484+9/24),tData[SEHTrajectPeriodeDatumTijdTotEnMet],"&gt;"&amp;($A484+9/24),tData[Langligger01],1)</f>
        <v/>
      </c>
      <c r="N484" s="20">
        <f>COUNTIFS(tData[SEHTrajectPeriodeDatumTijdVan],"&lt;="&amp;($A484+10/24),tData[SEHTrajectPeriodeDatumTijdTotEnMet],"&gt;"&amp;($A484+10/24),tData[Langligger01],1)</f>
        <v/>
      </c>
      <c r="O484" s="20">
        <f>COUNTIFS(tData[SEHTrajectPeriodeDatumTijdVan],"&lt;="&amp;($A484+11/24),tData[SEHTrajectPeriodeDatumTijdTotEnMet],"&gt;"&amp;($A484+11/24),tData[Langligger01],1)</f>
        <v/>
      </c>
      <c r="P484" s="20">
        <f>COUNTIFS(tData[SEHTrajectPeriodeDatumTijdVan],"&lt;="&amp;($A484+12/24),tData[SEHTrajectPeriodeDatumTijdTotEnMet],"&gt;"&amp;($A484+12/24),tData[Langligger01],1)</f>
        <v/>
      </c>
      <c r="Q484" s="20">
        <f>COUNTIFS(tData[SEHTrajectPeriodeDatumTijdVan],"&lt;="&amp;($A484+13/24),tData[SEHTrajectPeriodeDatumTijdTotEnMet],"&gt;"&amp;($A484+13/24),tData[Langligger01],1)</f>
        <v/>
      </c>
      <c r="R484" s="20">
        <f>COUNTIFS(tData[SEHTrajectPeriodeDatumTijdVan],"&lt;="&amp;($A484+14/24),tData[SEHTrajectPeriodeDatumTijdTotEnMet],"&gt;"&amp;($A484+14/24),tData[Langligger01],1)</f>
        <v/>
      </c>
      <c r="S484" s="20">
        <f>COUNTIFS(tData[SEHTrajectPeriodeDatumTijdVan],"&lt;="&amp;($A484+15/24),tData[SEHTrajectPeriodeDatumTijdTotEnMet],"&gt;"&amp;($A484+15/24),tData[Langligger01],1)</f>
        <v/>
      </c>
      <c r="T484" s="20">
        <f>COUNTIFS(tData[SEHTrajectPeriodeDatumTijdVan],"&lt;="&amp;($A484+16/24),tData[SEHTrajectPeriodeDatumTijdTotEnMet],"&gt;"&amp;($A484+16/24),tData[Langligger01],1)</f>
        <v/>
      </c>
      <c r="U484" s="20">
        <f>COUNTIFS(tData[SEHTrajectPeriodeDatumTijdVan],"&lt;="&amp;($A484+17/24),tData[SEHTrajectPeriodeDatumTijdTotEnMet],"&gt;"&amp;($A484+17/24),tData[Langligger01],1)</f>
        <v/>
      </c>
      <c r="V484" s="20">
        <f>COUNTIFS(tData[SEHTrajectPeriodeDatumTijdVan],"&lt;="&amp;($A484+18/24),tData[SEHTrajectPeriodeDatumTijdTotEnMet],"&gt;"&amp;($A484+18/24),tData[Langligger01],1)</f>
        <v/>
      </c>
      <c r="W484" s="20">
        <f>COUNTIFS(tData[SEHTrajectPeriodeDatumTijdVan],"&lt;="&amp;($A484+19/24),tData[SEHTrajectPeriodeDatumTijdTotEnMet],"&gt;"&amp;($A484+19/24),tData[Langligger01],1)</f>
        <v/>
      </c>
      <c r="X484" s="20">
        <f>COUNTIFS(tData[SEHTrajectPeriodeDatumTijdVan],"&lt;="&amp;($A484+20/24),tData[SEHTrajectPeriodeDatumTijdTotEnMet],"&gt;"&amp;($A484+20/24),tData[Langligger01],1)</f>
        <v/>
      </c>
      <c r="Y484" s="20">
        <f>COUNTIFS(tData[SEHTrajectPeriodeDatumTijdVan],"&lt;="&amp;($A484+21/24),tData[SEHTrajectPeriodeDatumTijdTotEnMet],"&gt;"&amp;($A484+21/24),tData[Langligger01],1)</f>
        <v/>
      </c>
      <c r="Z484" s="20">
        <f>COUNTIFS(tData[SEHTrajectPeriodeDatumTijdVan],"&lt;="&amp;($A484+22/24),tData[SEHTrajectPeriodeDatumTijdTotEnMet],"&gt;"&amp;($A484+22/24),tData[Langligger01],1)</f>
        <v/>
      </c>
      <c r="AA484" s="20">
        <f>COUNTIFS(tData[SEHTrajectPeriodeDatumTijdVan],"&lt;="&amp;($A484+23/24),tData[SEHTrajectPeriodeDatumTijdTotEnMet],"&gt;"&amp;($A484+23/24),tData[Langligger01],1)</f>
        <v/>
      </c>
    </row>
    <row r="485">
      <c r="A485" s="19" t="n">
        <v>45773</v>
      </c>
      <c r="B485" s="15">
        <f>WEEKDAY($A485,2)</f>
        <v/>
      </c>
      <c r="C485" s="15">
        <f>IF(AND($A485&gt;=INT(Instellingen!$B$5),$A485&lt;=INT(Instellingen!$B$6)),1,0)</f>
        <v/>
      </c>
      <c r="D485" s="20">
        <f>COUNTIFS(tData[SEHTrajectPeriodeDatumTijdVan],"&lt;="&amp;($A485+0/24),tData[SEHTrajectPeriodeDatumTijdTotEnMet],"&gt;"&amp;($A485+0/24),tData[Langligger01],1)</f>
        <v/>
      </c>
      <c r="E485" s="20">
        <f>COUNTIFS(tData[SEHTrajectPeriodeDatumTijdVan],"&lt;="&amp;($A485+1/24),tData[SEHTrajectPeriodeDatumTijdTotEnMet],"&gt;"&amp;($A485+1/24),tData[Langligger01],1)</f>
        <v/>
      </c>
      <c r="F485" s="20">
        <f>COUNTIFS(tData[SEHTrajectPeriodeDatumTijdVan],"&lt;="&amp;($A485+2/24),tData[SEHTrajectPeriodeDatumTijdTotEnMet],"&gt;"&amp;($A485+2/24),tData[Langligger01],1)</f>
        <v/>
      </c>
      <c r="G485" s="20">
        <f>COUNTIFS(tData[SEHTrajectPeriodeDatumTijdVan],"&lt;="&amp;($A485+3/24),tData[SEHTrajectPeriodeDatumTijdTotEnMet],"&gt;"&amp;($A485+3/24),tData[Langligger01],1)</f>
        <v/>
      </c>
      <c r="H485" s="20">
        <f>COUNTIFS(tData[SEHTrajectPeriodeDatumTijdVan],"&lt;="&amp;($A485+4/24),tData[SEHTrajectPeriodeDatumTijdTotEnMet],"&gt;"&amp;($A485+4/24),tData[Langligger01],1)</f>
        <v/>
      </c>
      <c r="I485" s="20">
        <f>COUNTIFS(tData[SEHTrajectPeriodeDatumTijdVan],"&lt;="&amp;($A485+5/24),tData[SEHTrajectPeriodeDatumTijdTotEnMet],"&gt;"&amp;($A485+5/24),tData[Langligger01],1)</f>
        <v/>
      </c>
      <c r="J485" s="20">
        <f>COUNTIFS(tData[SEHTrajectPeriodeDatumTijdVan],"&lt;="&amp;($A485+6/24),tData[SEHTrajectPeriodeDatumTijdTotEnMet],"&gt;"&amp;($A485+6/24),tData[Langligger01],1)</f>
        <v/>
      </c>
      <c r="K485" s="20">
        <f>COUNTIFS(tData[SEHTrajectPeriodeDatumTijdVan],"&lt;="&amp;($A485+7/24),tData[SEHTrajectPeriodeDatumTijdTotEnMet],"&gt;"&amp;($A485+7/24),tData[Langligger01],1)</f>
        <v/>
      </c>
      <c r="L485" s="20">
        <f>COUNTIFS(tData[SEHTrajectPeriodeDatumTijdVan],"&lt;="&amp;($A485+8/24),tData[SEHTrajectPeriodeDatumTijdTotEnMet],"&gt;"&amp;($A485+8/24),tData[Langligger01],1)</f>
        <v/>
      </c>
      <c r="M485" s="20">
        <f>COUNTIFS(tData[SEHTrajectPeriodeDatumTijdVan],"&lt;="&amp;($A485+9/24),tData[SEHTrajectPeriodeDatumTijdTotEnMet],"&gt;"&amp;($A485+9/24),tData[Langligger01],1)</f>
        <v/>
      </c>
      <c r="N485" s="20">
        <f>COUNTIFS(tData[SEHTrajectPeriodeDatumTijdVan],"&lt;="&amp;($A485+10/24),tData[SEHTrajectPeriodeDatumTijdTotEnMet],"&gt;"&amp;($A485+10/24),tData[Langligger01],1)</f>
        <v/>
      </c>
      <c r="O485" s="20">
        <f>COUNTIFS(tData[SEHTrajectPeriodeDatumTijdVan],"&lt;="&amp;($A485+11/24),tData[SEHTrajectPeriodeDatumTijdTotEnMet],"&gt;"&amp;($A485+11/24),tData[Langligger01],1)</f>
        <v/>
      </c>
      <c r="P485" s="20">
        <f>COUNTIFS(tData[SEHTrajectPeriodeDatumTijdVan],"&lt;="&amp;($A485+12/24),tData[SEHTrajectPeriodeDatumTijdTotEnMet],"&gt;"&amp;($A485+12/24),tData[Langligger01],1)</f>
        <v/>
      </c>
      <c r="Q485" s="20">
        <f>COUNTIFS(tData[SEHTrajectPeriodeDatumTijdVan],"&lt;="&amp;($A485+13/24),tData[SEHTrajectPeriodeDatumTijdTotEnMet],"&gt;"&amp;($A485+13/24),tData[Langligger01],1)</f>
        <v/>
      </c>
      <c r="R485" s="20">
        <f>COUNTIFS(tData[SEHTrajectPeriodeDatumTijdVan],"&lt;="&amp;($A485+14/24),tData[SEHTrajectPeriodeDatumTijdTotEnMet],"&gt;"&amp;($A485+14/24),tData[Langligger01],1)</f>
        <v/>
      </c>
      <c r="S485" s="20">
        <f>COUNTIFS(tData[SEHTrajectPeriodeDatumTijdVan],"&lt;="&amp;($A485+15/24),tData[SEHTrajectPeriodeDatumTijdTotEnMet],"&gt;"&amp;($A485+15/24),tData[Langligger01],1)</f>
        <v/>
      </c>
      <c r="T485" s="20">
        <f>COUNTIFS(tData[SEHTrajectPeriodeDatumTijdVan],"&lt;="&amp;($A485+16/24),tData[SEHTrajectPeriodeDatumTijdTotEnMet],"&gt;"&amp;($A485+16/24),tData[Langligger01],1)</f>
        <v/>
      </c>
      <c r="U485" s="20">
        <f>COUNTIFS(tData[SEHTrajectPeriodeDatumTijdVan],"&lt;="&amp;($A485+17/24),tData[SEHTrajectPeriodeDatumTijdTotEnMet],"&gt;"&amp;($A485+17/24),tData[Langligger01],1)</f>
        <v/>
      </c>
      <c r="V485" s="20">
        <f>COUNTIFS(tData[SEHTrajectPeriodeDatumTijdVan],"&lt;="&amp;($A485+18/24),tData[SEHTrajectPeriodeDatumTijdTotEnMet],"&gt;"&amp;($A485+18/24),tData[Langligger01],1)</f>
        <v/>
      </c>
      <c r="W485" s="20">
        <f>COUNTIFS(tData[SEHTrajectPeriodeDatumTijdVan],"&lt;="&amp;($A485+19/24),tData[SEHTrajectPeriodeDatumTijdTotEnMet],"&gt;"&amp;($A485+19/24),tData[Langligger01],1)</f>
        <v/>
      </c>
      <c r="X485" s="20">
        <f>COUNTIFS(tData[SEHTrajectPeriodeDatumTijdVan],"&lt;="&amp;($A485+20/24),tData[SEHTrajectPeriodeDatumTijdTotEnMet],"&gt;"&amp;($A485+20/24),tData[Langligger01],1)</f>
        <v/>
      </c>
      <c r="Y485" s="20">
        <f>COUNTIFS(tData[SEHTrajectPeriodeDatumTijdVan],"&lt;="&amp;($A485+21/24),tData[SEHTrajectPeriodeDatumTijdTotEnMet],"&gt;"&amp;($A485+21/24),tData[Langligger01],1)</f>
        <v/>
      </c>
      <c r="Z485" s="20">
        <f>COUNTIFS(tData[SEHTrajectPeriodeDatumTijdVan],"&lt;="&amp;($A485+22/24),tData[SEHTrajectPeriodeDatumTijdTotEnMet],"&gt;"&amp;($A485+22/24),tData[Langligger01],1)</f>
        <v/>
      </c>
      <c r="AA485" s="20">
        <f>COUNTIFS(tData[SEHTrajectPeriodeDatumTijdVan],"&lt;="&amp;($A485+23/24),tData[SEHTrajectPeriodeDatumTijdTotEnMet],"&gt;"&amp;($A485+23/24),tData[Langligger01],1)</f>
        <v/>
      </c>
    </row>
    <row r="486">
      <c r="A486" s="19" t="n">
        <v>45774</v>
      </c>
      <c r="B486" s="15">
        <f>WEEKDAY($A486,2)</f>
        <v/>
      </c>
      <c r="C486" s="15">
        <f>IF(AND($A486&gt;=INT(Instellingen!$B$5),$A486&lt;=INT(Instellingen!$B$6)),1,0)</f>
        <v/>
      </c>
      <c r="D486" s="20">
        <f>COUNTIFS(tData[SEHTrajectPeriodeDatumTijdVan],"&lt;="&amp;($A486+0/24),tData[SEHTrajectPeriodeDatumTijdTotEnMet],"&gt;"&amp;($A486+0/24),tData[Langligger01],1)</f>
        <v/>
      </c>
      <c r="E486" s="20">
        <f>COUNTIFS(tData[SEHTrajectPeriodeDatumTijdVan],"&lt;="&amp;($A486+1/24),tData[SEHTrajectPeriodeDatumTijdTotEnMet],"&gt;"&amp;($A486+1/24),tData[Langligger01],1)</f>
        <v/>
      </c>
      <c r="F486" s="20">
        <f>COUNTIFS(tData[SEHTrajectPeriodeDatumTijdVan],"&lt;="&amp;($A486+2/24),tData[SEHTrajectPeriodeDatumTijdTotEnMet],"&gt;"&amp;($A486+2/24),tData[Langligger01],1)</f>
        <v/>
      </c>
      <c r="G486" s="20">
        <f>COUNTIFS(tData[SEHTrajectPeriodeDatumTijdVan],"&lt;="&amp;($A486+3/24),tData[SEHTrajectPeriodeDatumTijdTotEnMet],"&gt;"&amp;($A486+3/24),tData[Langligger01],1)</f>
        <v/>
      </c>
      <c r="H486" s="20">
        <f>COUNTIFS(tData[SEHTrajectPeriodeDatumTijdVan],"&lt;="&amp;($A486+4/24),tData[SEHTrajectPeriodeDatumTijdTotEnMet],"&gt;"&amp;($A486+4/24),tData[Langligger01],1)</f>
        <v/>
      </c>
      <c r="I486" s="20">
        <f>COUNTIFS(tData[SEHTrajectPeriodeDatumTijdVan],"&lt;="&amp;($A486+5/24),tData[SEHTrajectPeriodeDatumTijdTotEnMet],"&gt;"&amp;($A486+5/24),tData[Langligger01],1)</f>
        <v/>
      </c>
      <c r="J486" s="20">
        <f>COUNTIFS(tData[SEHTrajectPeriodeDatumTijdVan],"&lt;="&amp;($A486+6/24),tData[SEHTrajectPeriodeDatumTijdTotEnMet],"&gt;"&amp;($A486+6/24),tData[Langligger01],1)</f>
        <v/>
      </c>
      <c r="K486" s="20">
        <f>COUNTIFS(tData[SEHTrajectPeriodeDatumTijdVan],"&lt;="&amp;($A486+7/24),tData[SEHTrajectPeriodeDatumTijdTotEnMet],"&gt;"&amp;($A486+7/24),tData[Langligger01],1)</f>
        <v/>
      </c>
      <c r="L486" s="20">
        <f>COUNTIFS(tData[SEHTrajectPeriodeDatumTijdVan],"&lt;="&amp;($A486+8/24),tData[SEHTrajectPeriodeDatumTijdTotEnMet],"&gt;"&amp;($A486+8/24),tData[Langligger01],1)</f>
        <v/>
      </c>
      <c r="M486" s="20">
        <f>COUNTIFS(tData[SEHTrajectPeriodeDatumTijdVan],"&lt;="&amp;($A486+9/24),tData[SEHTrajectPeriodeDatumTijdTotEnMet],"&gt;"&amp;($A486+9/24),tData[Langligger01],1)</f>
        <v/>
      </c>
      <c r="N486" s="20">
        <f>COUNTIFS(tData[SEHTrajectPeriodeDatumTijdVan],"&lt;="&amp;($A486+10/24),tData[SEHTrajectPeriodeDatumTijdTotEnMet],"&gt;"&amp;($A486+10/24),tData[Langligger01],1)</f>
        <v/>
      </c>
      <c r="O486" s="20">
        <f>COUNTIFS(tData[SEHTrajectPeriodeDatumTijdVan],"&lt;="&amp;($A486+11/24),tData[SEHTrajectPeriodeDatumTijdTotEnMet],"&gt;"&amp;($A486+11/24),tData[Langligger01],1)</f>
        <v/>
      </c>
      <c r="P486" s="20">
        <f>COUNTIFS(tData[SEHTrajectPeriodeDatumTijdVan],"&lt;="&amp;($A486+12/24),tData[SEHTrajectPeriodeDatumTijdTotEnMet],"&gt;"&amp;($A486+12/24),tData[Langligger01],1)</f>
        <v/>
      </c>
      <c r="Q486" s="20">
        <f>COUNTIFS(tData[SEHTrajectPeriodeDatumTijdVan],"&lt;="&amp;($A486+13/24),tData[SEHTrajectPeriodeDatumTijdTotEnMet],"&gt;"&amp;($A486+13/24),tData[Langligger01],1)</f>
        <v/>
      </c>
      <c r="R486" s="20">
        <f>COUNTIFS(tData[SEHTrajectPeriodeDatumTijdVan],"&lt;="&amp;($A486+14/24),tData[SEHTrajectPeriodeDatumTijdTotEnMet],"&gt;"&amp;($A486+14/24),tData[Langligger01],1)</f>
        <v/>
      </c>
      <c r="S486" s="20">
        <f>COUNTIFS(tData[SEHTrajectPeriodeDatumTijdVan],"&lt;="&amp;($A486+15/24),tData[SEHTrajectPeriodeDatumTijdTotEnMet],"&gt;"&amp;($A486+15/24),tData[Langligger01],1)</f>
        <v/>
      </c>
      <c r="T486" s="20">
        <f>COUNTIFS(tData[SEHTrajectPeriodeDatumTijdVan],"&lt;="&amp;($A486+16/24),tData[SEHTrajectPeriodeDatumTijdTotEnMet],"&gt;"&amp;($A486+16/24),tData[Langligger01],1)</f>
        <v/>
      </c>
      <c r="U486" s="20">
        <f>COUNTIFS(tData[SEHTrajectPeriodeDatumTijdVan],"&lt;="&amp;($A486+17/24),tData[SEHTrajectPeriodeDatumTijdTotEnMet],"&gt;"&amp;($A486+17/24),tData[Langligger01],1)</f>
        <v/>
      </c>
      <c r="V486" s="20">
        <f>COUNTIFS(tData[SEHTrajectPeriodeDatumTijdVan],"&lt;="&amp;($A486+18/24),tData[SEHTrajectPeriodeDatumTijdTotEnMet],"&gt;"&amp;($A486+18/24),tData[Langligger01],1)</f>
        <v/>
      </c>
      <c r="W486" s="20">
        <f>COUNTIFS(tData[SEHTrajectPeriodeDatumTijdVan],"&lt;="&amp;($A486+19/24),tData[SEHTrajectPeriodeDatumTijdTotEnMet],"&gt;"&amp;($A486+19/24),tData[Langligger01],1)</f>
        <v/>
      </c>
      <c r="X486" s="20">
        <f>COUNTIFS(tData[SEHTrajectPeriodeDatumTijdVan],"&lt;="&amp;($A486+20/24),tData[SEHTrajectPeriodeDatumTijdTotEnMet],"&gt;"&amp;($A486+20/24),tData[Langligger01],1)</f>
        <v/>
      </c>
      <c r="Y486" s="20">
        <f>COUNTIFS(tData[SEHTrajectPeriodeDatumTijdVan],"&lt;="&amp;($A486+21/24),tData[SEHTrajectPeriodeDatumTijdTotEnMet],"&gt;"&amp;($A486+21/24),tData[Langligger01],1)</f>
        <v/>
      </c>
      <c r="Z486" s="20">
        <f>COUNTIFS(tData[SEHTrajectPeriodeDatumTijdVan],"&lt;="&amp;($A486+22/24),tData[SEHTrajectPeriodeDatumTijdTotEnMet],"&gt;"&amp;($A486+22/24),tData[Langligger01],1)</f>
        <v/>
      </c>
      <c r="AA486" s="20">
        <f>COUNTIFS(tData[SEHTrajectPeriodeDatumTijdVan],"&lt;="&amp;($A486+23/24),tData[SEHTrajectPeriodeDatumTijdTotEnMet],"&gt;"&amp;($A486+23/24),tData[Langligger01],1)</f>
        <v/>
      </c>
    </row>
    <row r="487">
      <c r="A487" s="19" t="n">
        <v>45775</v>
      </c>
      <c r="B487" s="15">
        <f>WEEKDAY($A487,2)</f>
        <v/>
      </c>
      <c r="C487" s="15">
        <f>IF(AND($A487&gt;=INT(Instellingen!$B$5),$A487&lt;=INT(Instellingen!$B$6)),1,0)</f>
        <v/>
      </c>
      <c r="D487" s="20">
        <f>COUNTIFS(tData[SEHTrajectPeriodeDatumTijdVan],"&lt;="&amp;($A487+0/24),tData[SEHTrajectPeriodeDatumTijdTotEnMet],"&gt;"&amp;($A487+0/24),tData[Langligger01],1)</f>
        <v/>
      </c>
      <c r="E487" s="20">
        <f>COUNTIFS(tData[SEHTrajectPeriodeDatumTijdVan],"&lt;="&amp;($A487+1/24),tData[SEHTrajectPeriodeDatumTijdTotEnMet],"&gt;"&amp;($A487+1/24),tData[Langligger01],1)</f>
        <v/>
      </c>
      <c r="F487" s="20">
        <f>COUNTIFS(tData[SEHTrajectPeriodeDatumTijdVan],"&lt;="&amp;($A487+2/24),tData[SEHTrajectPeriodeDatumTijdTotEnMet],"&gt;"&amp;($A487+2/24),tData[Langligger01],1)</f>
        <v/>
      </c>
      <c r="G487" s="20">
        <f>COUNTIFS(tData[SEHTrajectPeriodeDatumTijdVan],"&lt;="&amp;($A487+3/24),tData[SEHTrajectPeriodeDatumTijdTotEnMet],"&gt;"&amp;($A487+3/24),tData[Langligger01],1)</f>
        <v/>
      </c>
      <c r="H487" s="20">
        <f>COUNTIFS(tData[SEHTrajectPeriodeDatumTijdVan],"&lt;="&amp;($A487+4/24),tData[SEHTrajectPeriodeDatumTijdTotEnMet],"&gt;"&amp;($A487+4/24),tData[Langligger01],1)</f>
        <v/>
      </c>
      <c r="I487" s="20">
        <f>COUNTIFS(tData[SEHTrajectPeriodeDatumTijdVan],"&lt;="&amp;($A487+5/24),tData[SEHTrajectPeriodeDatumTijdTotEnMet],"&gt;"&amp;($A487+5/24),tData[Langligger01],1)</f>
        <v/>
      </c>
      <c r="J487" s="20">
        <f>COUNTIFS(tData[SEHTrajectPeriodeDatumTijdVan],"&lt;="&amp;($A487+6/24),tData[SEHTrajectPeriodeDatumTijdTotEnMet],"&gt;"&amp;($A487+6/24),tData[Langligger01],1)</f>
        <v/>
      </c>
      <c r="K487" s="20">
        <f>COUNTIFS(tData[SEHTrajectPeriodeDatumTijdVan],"&lt;="&amp;($A487+7/24),tData[SEHTrajectPeriodeDatumTijdTotEnMet],"&gt;"&amp;($A487+7/24),tData[Langligger01],1)</f>
        <v/>
      </c>
      <c r="L487" s="20">
        <f>COUNTIFS(tData[SEHTrajectPeriodeDatumTijdVan],"&lt;="&amp;($A487+8/24),tData[SEHTrajectPeriodeDatumTijdTotEnMet],"&gt;"&amp;($A487+8/24),tData[Langligger01],1)</f>
        <v/>
      </c>
      <c r="M487" s="20">
        <f>COUNTIFS(tData[SEHTrajectPeriodeDatumTijdVan],"&lt;="&amp;($A487+9/24),tData[SEHTrajectPeriodeDatumTijdTotEnMet],"&gt;"&amp;($A487+9/24),tData[Langligger01],1)</f>
        <v/>
      </c>
      <c r="N487" s="20">
        <f>COUNTIFS(tData[SEHTrajectPeriodeDatumTijdVan],"&lt;="&amp;($A487+10/24),tData[SEHTrajectPeriodeDatumTijdTotEnMet],"&gt;"&amp;($A487+10/24),tData[Langligger01],1)</f>
        <v/>
      </c>
      <c r="O487" s="20">
        <f>COUNTIFS(tData[SEHTrajectPeriodeDatumTijdVan],"&lt;="&amp;($A487+11/24),tData[SEHTrajectPeriodeDatumTijdTotEnMet],"&gt;"&amp;($A487+11/24),tData[Langligger01],1)</f>
        <v/>
      </c>
      <c r="P487" s="20">
        <f>COUNTIFS(tData[SEHTrajectPeriodeDatumTijdVan],"&lt;="&amp;($A487+12/24),tData[SEHTrajectPeriodeDatumTijdTotEnMet],"&gt;"&amp;($A487+12/24),tData[Langligger01],1)</f>
        <v/>
      </c>
      <c r="Q487" s="20">
        <f>COUNTIFS(tData[SEHTrajectPeriodeDatumTijdVan],"&lt;="&amp;($A487+13/24),tData[SEHTrajectPeriodeDatumTijdTotEnMet],"&gt;"&amp;($A487+13/24),tData[Langligger01],1)</f>
        <v/>
      </c>
      <c r="R487" s="20">
        <f>COUNTIFS(tData[SEHTrajectPeriodeDatumTijdVan],"&lt;="&amp;($A487+14/24),tData[SEHTrajectPeriodeDatumTijdTotEnMet],"&gt;"&amp;($A487+14/24),tData[Langligger01],1)</f>
        <v/>
      </c>
      <c r="S487" s="20">
        <f>COUNTIFS(tData[SEHTrajectPeriodeDatumTijdVan],"&lt;="&amp;($A487+15/24),tData[SEHTrajectPeriodeDatumTijdTotEnMet],"&gt;"&amp;($A487+15/24),tData[Langligger01],1)</f>
        <v/>
      </c>
      <c r="T487" s="20">
        <f>COUNTIFS(tData[SEHTrajectPeriodeDatumTijdVan],"&lt;="&amp;($A487+16/24),tData[SEHTrajectPeriodeDatumTijdTotEnMet],"&gt;"&amp;($A487+16/24),tData[Langligger01],1)</f>
        <v/>
      </c>
      <c r="U487" s="20">
        <f>COUNTIFS(tData[SEHTrajectPeriodeDatumTijdVan],"&lt;="&amp;($A487+17/24),tData[SEHTrajectPeriodeDatumTijdTotEnMet],"&gt;"&amp;($A487+17/24),tData[Langligger01],1)</f>
        <v/>
      </c>
      <c r="V487" s="20">
        <f>COUNTIFS(tData[SEHTrajectPeriodeDatumTijdVan],"&lt;="&amp;($A487+18/24),tData[SEHTrajectPeriodeDatumTijdTotEnMet],"&gt;"&amp;($A487+18/24),tData[Langligger01],1)</f>
        <v/>
      </c>
      <c r="W487" s="20">
        <f>COUNTIFS(tData[SEHTrajectPeriodeDatumTijdVan],"&lt;="&amp;($A487+19/24),tData[SEHTrajectPeriodeDatumTijdTotEnMet],"&gt;"&amp;($A487+19/24),tData[Langligger01],1)</f>
        <v/>
      </c>
      <c r="X487" s="20">
        <f>COUNTIFS(tData[SEHTrajectPeriodeDatumTijdVan],"&lt;="&amp;($A487+20/24),tData[SEHTrajectPeriodeDatumTijdTotEnMet],"&gt;"&amp;($A487+20/24),tData[Langligger01],1)</f>
        <v/>
      </c>
      <c r="Y487" s="20">
        <f>COUNTIFS(tData[SEHTrajectPeriodeDatumTijdVan],"&lt;="&amp;($A487+21/24),tData[SEHTrajectPeriodeDatumTijdTotEnMet],"&gt;"&amp;($A487+21/24),tData[Langligger01],1)</f>
        <v/>
      </c>
      <c r="Z487" s="20">
        <f>COUNTIFS(tData[SEHTrajectPeriodeDatumTijdVan],"&lt;="&amp;($A487+22/24),tData[SEHTrajectPeriodeDatumTijdTotEnMet],"&gt;"&amp;($A487+22/24),tData[Langligger01],1)</f>
        <v/>
      </c>
      <c r="AA487" s="20">
        <f>COUNTIFS(tData[SEHTrajectPeriodeDatumTijdVan],"&lt;="&amp;($A487+23/24),tData[SEHTrajectPeriodeDatumTijdTotEnMet],"&gt;"&amp;($A487+23/24),tData[Langligger01],1)</f>
        <v/>
      </c>
    </row>
    <row r="488">
      <c r="A488" s="19" t="n">
        <v>45776</v>
      </c>
      <c r="B488" s="15">
        <f>WEEKDAY($A488,2)</f>
        <v/>
      </c>
      <c r="C488" s="15">
        <f>IF(AND($A488&gt;=INT(Instellingen!$B$5),$A488&lt;=INT(Instellingen!$B$6)),1,0)</f>
        <v/>
      </c>
      <c r="D488" s="20">
        <f>COUNTIFS(tData[SEHTrajectPeriodeDatumTijdVan],"&lt;="&amp;($A488+0/24),tData[SEHTrajectPeriodeDatumTijdTotEnMet],"&gt;"&amp;($A488+0/24),tData[Langligger01],1)</f>
        <v/>
      </c>
      <c r="E488" s="20">
        <f>COUNTIFS(tData[SEHTrajectPeriodeDatumTijdVan],"&lt;="&amp;($A488+1/24),tData[SEHTrajectPeriodeDatumTijdTotEnMet],"&gt;"&amp;($A488+1/24),tData[Langligger01],1)</f>
        <v/>
      </c>
      <c r="F488" s="20">
        <f>COUNTIFS(tData[SEHTrajectPeriodeDatumTijdVan],"&lt;="&amp;($A488+2/24),tData[SEHTrajectPeriodeDatumTijdTotEnMet],"&gt;"&amp;($A488+2/24),tData[Langligger01],1)</f>
        <v/>
      </c>
      <c r="G488" s="20">
        <f>COUNTIFS(tData[SEHTrajectPeriodeDatumTijdVan],"&lt;="&amp;($A488+3/24),tData[SEHTrajectPeriodeDatumTijdTotEnMet],"&gt;"&amp;($A488+3/24),tData[Langligger01],1)</f>
        <v/>
      </c>
      <c r="H488" s="20">
        <f>COUNTIFS(tData[SEHTrajectPeriodeDatumTijdVan],"&lt;="&amp;($A488+4/24),tData[SEHTrajectPeriodeDatumTijdTotEnMet],"&gt;"&amp;($A488+4/24),tData[Langligger01],1)</f>
        <v/>
      </c>
      <c r="I488" s="20">
        <f>COUNTIFS(tData[SEHTrajectPeriodeDatumTijdVan],"&lt;="&amp;($A488+5/24),tData[SEHTrajectPeriodeDatumTijdTotEnMet],"&gt;"&amp;($A488+5/24),tData[Langligger01],1)</f>
        <v/>
      </c>
      <c r="J488" s="20">
        <f>COUNTIFS(tData[SEHTrajectPeriodeDatumTijdVan],"&lt;="&amp;($A488+6/24),tData[SEHTrajectPeriodeDatumTijdTotEnMet],"&gt;"&amp;($A488+6/24),tData[Langligger01],1)</f>
        <v/>
      </c>
      <c r="K488" s="20">
        <f>COUNTIFS(tData[SEHTrajectPeriodeDatumTijdVan],"&lt;="&amp;($A488+7/24),tData[SEHTrajectPeriodeDatumTijdTotEnMet],"&gt;"&amp;($A488+7/24),tData[Langligger01],1)</f>
        <v/>
      </c>
      <c r="L488" s="20">
        <f>COUNTIFS(tData[SEHTrajectPeriodeDatumTijdVan],"&lt;="&amp;($A488+8/24),tData[SEHTrajectPeriodeDatumTijdTotEnMet],"&gt;"&amp;($A488+8/24),tData[Langligger01],1)</f>
        <v/>
      </c>
      <c r="M488" s="20">
        <f>COUNTIFS(tData[SEHTrajectPeriodeDatumTijdVan],"&lt;="&amp;($A488+9/24),tData[SEHTrajectPeriodeDatumTijdTotEnMet],"&gt;"&amp;($A488+9/24),tData[Langligger01],1)</f>
        <v/>
      </c>
      <c r="N488" s="20">
        <f>COUNTIFS(tData[SEHTrajectPeriodeDatumTijdVan],"&lt;="&amp;($A488+10/24),tData[SEHTrajectPeriodeDatumTijdTotEnMet],"&gt;"&amp;($A488+10/24),tData[Langligger01],1)</f>
        <v/>
      </c>
      <c r="O488" s="20">
        <f>COUNTIFS(tData[SEHTrajectPeriodeDatumTijdVan],"&lt;="&amp;($A488+11/24),tData[SEHTrajectPeriodeDatumTijdTotEnMet],"&gt;"&amp;($A488+11/24),tData[Langligger01],1)</f>
        <v/>
      </c>
      <c r="P488" s="20">
        <f>COUNTIFS(tData[SEHTrajectPeriodeDatumTijdVan],"&lt;="&amp;($A488+12/24),tData[SEHTrajectPeriodeDatumTijdTotEnMet],"&gt;"&amp;($A488+12/24),tData[Langligger01],1)</f>
        <v/>
      </c>
      <c r="Q488" s="20">
        <f>COUNTIFS(tData[SEHTrajectPeriodeDatumTijdVan],"&lt;="&amp;($A488+13/24),tData[SEHTrajectPeriodeDatumTijdTotEnMet],"&gt;"&amp;($A488+13/24),tData[Langligger01],1)</f>
        <v/>
      </c>
      <c r="R488" s="20">
        <f>COUNTIFS(tData[SEHTrajectPeriodeDatumTijdVan],"&lt;="&amp;($A488+14/24),tData[SEHTrajectPeriodeDatumTijdTotEnMet],"&gt;"&amp;($A488+14/24),tData[Langligger01],1)</f>
        <v/>
      </c>
      <c r="S488" s="20">
        <f>COUNTIFS(tData[SEHTrajectPeriodeDatumTijdVan],"&lt;="&amp;($A488+15/24),tData[SEHTrajectPeriodeDatumTijdTotEnMet],"&gt;"&amp;($A488+15/24),tData[Langligger01],1)</f>
        <v/>
      </c>
      <c r="T488" s="20">
        <f>COUNTIFS(tData[SEHTrajectPeriodeDatumTijdVan],"&lt;="&amp;($A488+16/24),tData[SEHTrajectPeriodeDatumTijdTotEnMet],"&gt;"&amp;($A488+16/24),tData[Langligger01],1)</f>
        <v/>
      </c>
      <c r="U488" s="20">
        <f>COUNTIFS(tData[SEHTrajectPeriodeDatumTijdVan],"&lt;="&amp;($A488+17/24),tData[SEHTrajectPeriodeDatumTijdTotEnMet],"&gt;"&amp;($A488+17/24),tData[Langligger01],1)</f>
        <v/>
      </c>
      <c r="V488" s="20">
        <f>COUNTIFS(tData[SEHTrajectPeriodeDatumTijdVan],"&lt;="&amp;($A488+18/24),tData[SEHTrajectPeriodeDatumTijdTotEnMet],"&gt;"&amp;($A488+18/24),tData[Langligger01],1)</f>
        <v/>
      </c>
      <c r="W488" s="20">
        <f>COUNTIFS(tData[SEHTrajectPeriodeDatumTijdVan],"&lt;="&amp;($A488+19/24),tData[SEHTrajectPeriodeDatumTijdTotEnMet],"&gt;"&amp;($A488+19/24),tData[Langligger01],1)</f>
        <v/>
      </c>
      <c r="X488" s="20">
        <f>COUNTIFS(tData[SEHTrajectPeriodeDatumTijdVan],"&lt;="&amp;($A488+20/24),tData[SEHTrajectPeriodeDatumTijdTotEnMet],"&gt;"&amp;($A488+20/24),tData[Langligger01],1)</f>
        <v/>
      </c>
      <c r="Y488" s="20">
        <f>COUNTIFS(tData[SEHTrajectPeriodeDatumTijdVan],"&lt;="&amp;($A488+21/24),tData[SEHTrajectPeriodeDatumTijdTotEnMet],"&gt;"&amp;($A488+21/24),tData[Langligger01],1)</f>
        <v/>
      </c>
      <c r="Z488" s="20">
        <f>COUNTIFS(tData[SEHTrajectPeriodeDatumTijdVan],"&lt;="&amp;($A488+22/24),tData[SEHTrajectPeriodeDatumTijdTotEnMet],"&gt;"&amp;($A488+22/24),tData[Langligger01],1)</f>
        <v/>
      </c>
      <c r="AA488" s="20">
        <f>COUNTIFS(tData[SEHTrajectPeriodeDatumTijdVan],"&lt;="&amp;($A488+23/24),tData[SEHTrajectPeriodeDatumTijdTotEnMet],"&gt;"&amp;($A488+23/24),tData[Langligger01],1)</f>
        <v/>
      </c>
    </row>
    <row r="489">
      <c r="A489" s="19" t="n">
        <v>45777</v>
      </c>
      <c r="B489" s="15">
        <f>WEEKDAY($A489,2)</f>
        <v/>
      </c>
      <c r="C489" s="15">
        <f>IF(AND($A489&gt;=INT(Instellingen!$B$5),$A489&lt;=INT(Instellingen!$B$6)),1,0)</f>
        <v/>
      </c>
      <c r="D489" s="20">
        <f>COUNTIFS(tData[SEHTrajectPeriodeDatumTijdVan],"&lt;="&amp;($A489+0/24),tData[SEHTrajectPeriodeDatumTijdTotEnMet],"&gt;"&amp;($A489+0/24),tData[Langligger01],1)</f>
        <v/>
      </c>
      <c r="E489" s="20">
        <f>COUNTIFS(tData[SEHTrajectPeriodeDatumTijdVan],"&lt;="&amp;($A489+1/24),tData[SEHTrajectPeriodeDatumTijdTotEnMet],"&gt;"&amp;($A489+1/24),tData[Langligger01],1)</f>
        <v/>
      </c>
      <c r="F489" s="20">
        <f>COUNTIFS(tData[SEHTrajectPeriodeDatumTijdVan],"&lt;="&amp;($A489+2/24),tData[SEHTrajectPeriodeDatumTijdTotEnMet],"&gt;"&amp;($A489+2/24),tData[Langligger01],1)</f>
        <v/>
      </c>
      <c r="G489" s="20">
        <f>COUNTIFS(tData[SEHTrajectPeriodeDatumTijdVan],"&lt;="&amp;($A489+3/24),tData[SEHTrajectPeriodeDatumTijdTotEnMet],"&gt;"&amp;($A489+3/24),tData[Langligger01],1)</f>
        <v/>
      </c>
      <c r="H489" s="20">
        <f>COUNTIFS(tData[SEHTrajectPeriodeDatumTijdVan],"&lt;="&amp;($A489+4/24),tData[SEHTrajectPeriodeDatumTijdTotEnMet],"&gt;"&amp;($A489+4/24),tData[Langligger01],1)</f>
        <v/>
      </c>
      <c r="I489" s="20">
        <f>COUNTIFS(tData[SEHTrajectPeriodeDatumTijdVan],"&lt;="&amp;($A489+5/24),tData[SEHTrajectPeriodeDatumTijdTotEnMet],"&gt;"&amp;($A489+5/24),tData[Langligger01],1)</f>
        <v/>
      </c>
      <c r="J489" s="20">
        <f>COUNTIFS(tData[SEHTrajectPeriodeDatumTijdVan],"&lt;="&amp;($A489+6/24),tData[SEHTrajectPeriodeDatumTijdTotEnMet],"&gt;"&amp;($A489+6/24),tData[Langligger01],1)</f>
        <v/>
      </c>
      <c r="K489" s="20">
        <f>COUNTIFS(tData[SEHTrajectPeriodeDatumTijdVan],"&lt;="&amp;($A489+7/24),tData[SEHTrajectPeriodeDatumTijdTotEnMet],"&gt;"&amp;($A489+7/24),tData[Langligger01],1)</f>
        <v/>
      </c>
      <c r="L489" s="20">
        <f>COUNTIFS(tData[SEHTrajectPeriodeDatumTijdVan],"&lt;="&amp;($A489+8/24),tData[SEHTrajectPeriodeDatumTijdTotEnMet],"&gt;"&amp;($A489+8/24),tData[Langligger01],1)</f>
        <v/>
      </c>
      <c r="M489" s="20">
        <f>COUNTIFS(tData[SEHTrajectPeriodeDatumTijdVan],"&lt;="&amp;($A489+9/24),tData[SEHTrajectPeriodeDatumTijdTotEnMet],"&gt;"&amp;($A489+9/24),tData[Langligger01],1)</f>
        <v/>
      </c>
      <c r="N489" s="20">
        <f>COUNTIFS(tData[SEHTrajectPeriodeDatumTijdVan],"&lt;="&amp;($A489+10/24),tData[SEHTrajectPeriodeDatumTijdTotEnMet],"&gt;"&amp;($A489+10/24),tData[Langligger01],1)</f>
        <v/>
      </c>
      <c r="O489" s="20">
        <f>COUNTIFS(tData[SEHTrajectPeriodeDatumTijdVan],"&lt;="&amp;($A489+11/24),tData[SEHTrajectPeriodeDatumTijdTotEnMet],"&gt;"&amp;($A489+11/24),tData[Langligger01],1)</f>
        <v/>
      </c>
      <c r="P489" s="20">
        <f>COUNTIFS(tData[SEHTrajectPeriodeDatumTijdVan],"&lt;="&amp;($A489+12/24),tData[SEHTrajectPeriodeDatumTijdTotEnMet],"&gt;"&amp;($A489+12/24),tData[Langligger01],1)</f>
        <v/>
      </c>
      <c r="Q489" s="20">
        <f>COUNTIFS(tData[SEHTrajectPeriodeDatumTijdVan],"&lt;="&amp;($A489+13/24),tData[SEHTrajectPeriodeDatumTijdTotEnMet],"&gt;"&amp;($A489+13/24),tData[Langligger01],1)</f>
        <v/>
      </c>
      <c r="R489" s="20">
        <f>COUNTIFS(tData[SEHTrajectPeriodeDatumTijdVan],"&lt;="&amp;($A489+14/24),tData[SEHTrajectPeriodeDatumTijdTotEnMet],"&gt;"&amp;($A489+14/24),tData[Langligger01],1)</f>
        <v/>
      </c>
      <c r="S489" s="20">
        <f>COUNTIFS(tData[SEHTrajectPeriodeDatumTijdVan],"&lt;="&amp;($A489+15/24),tData[SEHTrajectPeriodeDatumTijdTotEnMet],"&gt;"&amp;($A489+15/24),tData[Langligger01],1)</f>
        <v/>
      </c>
      <c r="T489" s="20">
        <f>COUNTIFS(tData[SEHTrajectPeriodeDatumTijdVan],"&lt;="&amp;($A489+16/24),tData[SEHTrajectPeriodeDatumTijdTotEnMet],"&gt;"&amp;($A489+16/24),tData[Langligger01],1)</f>
        <v/>
      </c>
      <c r="U489" s="20">
        <f>COUNTIFS(tData[SEHTrajectPeriodeDatumTijdVan],"&lt;="&amp;($A489+17/24),tData[SEHTrajectPeriodeDatumTijdTotEnMet],"&gt;"&amp;($A489+17/24),tData[Langligger01],1)</f>
        <v/>
      </c>
      <c r="V489" s="20">
        <f>COUNTIFS(tData[SEHTrajectPeriodeDatumTijdVan],"&lt;="&amp;($A489+18/24),tData[SEHTrajectPeriodeDatumTijdTotEnMet],"&gt;"&amp;($A489+18/24),tData[Langligger01],1)</f>
        <v/>
      </c>
      <c r="W489" s="20">
        <f>COUNTIFS(tData[SEHTrajectPeriodeDatumTijdVan],"&lt;="&amp;($A489+19/24),tData[SEHTrajectPeriodeDatumTijdTotEnMet],"&gt;"&amp;($A489+19/24),tData[Langligger01],1)</f>
        <v/>
      </c>
      <c r="X489" s="20">
        <f>COUNTIFS(tData[SEHTrajectPeriodeDatumTijdVan],"&lt;="&amp;($A489+20/24),tData[SEHTrajectPeriodeDatumTijdTotEnMet],"&gt;"&amp;($A489+20/24),tData[Langligger01],1)</f>
        <v/>
      </c>
      <c r="Y489" s="20">
        <f>COUNTIFS(tData[SEHTrajectPeriodeDatumTijdVan],"&lt;="&amp;($A489+21/24),tData[SEHTrajectPeriodeDatumTijdTotEnMet],"&gt;"&amp;($A489+21/24),tData[Langligger01],1)</f>
        <v/>
      </c>
      <c r="Z489" s="20">
        <f>COUNTIFS(tData[SEHTrajectPeriodeDatumTijdVan],"&lt;="&amp;($A489+22/24),tData[SEHTrajectPeriodeDatumTijdTotEnMet],"&gt;"&amp;($A489+22/24),tData[Langligger01],1)</f>
        <v/>
      </c>
      <c r="AA489" s="20">
        <f>COUNTIFS(tData[SEHTrajectPeriodeDatumTijdVan],"&lt;="&amp;($A489+23/24),tData[SEHTrajectPeriodeDatumTijdTotEnMet],"&gt;"&amp;($A489+23/24),tData[Langligger01],1)</f>
        <v/>
      </c>
    </row>
    <row r="490">
      <c r="A490" s="19" t="n">
        <v>45778</v>
      </c>
      <c r="B490" s="15">
        <f>WEEKDAY($A490,2)</f>
        <v/>
      </c>
      <c r="C490" s="15">
        <f>IF(AND($A490&gt;=INT(Instellingen!$B$5),$A490&lt;=INT(Instellingen!$B$6)),1,0)</f>
        <v/>
      </c>
      <c r="D490" s="20">
        <f>COUNTIFS(tData[SEHTrajectPeriodeDatumTijdVan],"&lt;="&amp;($A490+0/24),tData[SEHTrajectPeriodeDatumTijdTotEnMet],"&gt;"&amp;($A490+0/24),tData[Langligger01],1)</f>
        <v/>
      </c>
      <c r="E490" s="20">
        <f>COUNTIFS(tData[SEHTrajectPeriodeDatumTijdVan],"&lt;="&amp;($A490+1/24),tData[SEHTrajectPeriodeDatumTijdTotEnMet],"&gt;"&amp;($A490+1/24),tData[Langligger01],1)</f>
        <v/>
      </c>
      <c r="F490" s="20">
        <f>COUNTIFS(tData[SEHTrajectPeriodeDatumTijdVan],"&lt;="&amp;($A490+2/24),tData[SEHTrajectPeriodeDatumTijdTotEnMet],"&gt;"&amp;($A490+2/24),tData[Langligger01],1)</f>
        <v/>
      </c>
      <c r="G490" s="20">
        <f>COUNTIFS(tData[SEHTrajectPeriodeDatumTijdVan],"&lt;="&amp;($A490+3/24),tData[SEHTrajectPeriodeDatumTijdTotEnMet],"&gt;"&amp;($A490+3/24),tData[Langligger01],1)</f>
        <v/>
      </c>
      <c r="H490" s="20">
        <f>COUNTIFS(tData[SEHTrajectPeriodeDatumTijdVan],"&lt;="&amp;($A490+4/24),tData[SEHTrajectPeriodeDatumTijdTotEnMet],"&gt;"&amp;($A490+4/24),tData[Langligger01],1)</f>
        <v/>
      </c>
      <c r="I490" s="20">
        <f>COUNTIFS(tData[SEHTrajectPeriodeDatumTijdVan],"&lt;="&amp;($A490+5/24),tData[SEHTrajectPeriodeDatumTijdTotEnMet],"&gt;"&amp;($A490+5/24),tData[Langligger01],1)</f>
        <v/>
      </c>
      <c r="J490" s="20">
        <f>COUNTIFS(tData[SEHTrajectPeriodeDatumTijdVan],"&lt;="&amp;($A490+6/24),tData[SEHTrajectPeriodeDatumTijdTotEnMet],"&gt;"&amp;($A490+6/24),tData[Langligger01],1)</f>
        <v/>
      </c>
      <c r="K490" s="20">
        <f>COUNTIFS(tData[SEHTrajectPeriodeDatumTijdVan],"&lt;="&amp;($A490+7/24),tData[SEHTrajectPeriodeDatumTijdTotEnMet],"&gt;"&amp;($A490+7/24),tData[Langligger01],1)</f>
        <v/>
      </c>
      <c r="L490" s="20">
        <f>COUNTIFS(tData[SEHTrajectPeriodeDatumTijdVan],"&lt;="&amp;($A490+8/24),tData[SEHTrajectPeriodeDatumTijdTotEnMet],"&gt;"&amp;($A490+8/24),tData[Langligger01],1)</f>
        <v/>
      </c>
      <c r="M490" s="20">
        <f>COUNTIFS(tData[SEHTrajectPeriodeDatumTijdVan],"&lt;="&amp;($A490+9/24),tData[SEHTrajectPeriodeDatumTijdTotEnMet],"&gt;"&amp;($A490+9/24),tData[Langligger01],1)</f>
        <v/>
      </c>
      <c r="N490" s="20">
        <f>COUNTIFS(tData[SEHTrajectPeriodeDatumTijdVan],"&lt;="&amp;($A490+10/24),tData[SEHTrajectPeriodeDatumTijdTotEnMet],"&gt;"&amp;($A490+10/24),tData[Langligger01],1)</f>
        <v/>
      </c>
      <c r="O490" s="20">
        <f>COUNTIFS(tData[SEHTrajectPeriodeDatumTijdVan],"&lt;="&amp;($A490+11/24),tData[SEHTrajectPeriodeDatumTijdTotEnMet],"&gt;"&amp;($A490+11/24),tData[Langligger01],1)</f>
        <v/>
      </c>
      <c r="P490" s="20">
        <f>COUNTIFS(tData[SEHTrajectPeriodeDatumTijdVan],"&lt;="&amp;($A490+12/24),tData[SEHTrajectPeriodeDatumTijdTotEnMet],"&gt;"&amp;($A490+12/24),tData[Langligger01],1)</f>
        <v/>
      </c>
      <c r="Q490" s="20">
        <f>COUNTIFS(tData[SEHTrajectPeriodeDatumTijdVan],"&lt;="&amp;($A490+13/24),tData[SEHTrajectPeriodeDatumTijdTotEnMet],"&gt;"&amp;($A490+13/24),tData[Langligger01],1)</f>
        <v/>
      </c>
      <c r="R490" s="20">
        <f>COUNTIFS(tData[SEHTrajectPeriodeDatumTijdVan],"&lt;="&amp;($A490+14/24),tData[SEHTrajectPeriodeDatumTijdTotEnMet],"&gt;"&amp;($A490+14/24),tData[Langligger01],1)</f>
        <v/>
      </c>
      <c r="S490" s="20">
        <f>COUNTIFS(tData[SEHTrajectPeriodeDatumTijdVan],"&lt;="&amp;($A490+15/24),tData[SEHTrajectPeriodeDatumTijdTotEnMet],"&gt;"&amp;($A490+15/24),tData[Langligger01],1)</f>
        <v/>
      </c>
      <c r="T490" s="20">
        <f>COUNTIFS(tData[SEHTrajectPeriodeDatumTijdVan],"&lt;="&amp;($A490+16/24),tData[SEHTrajectPeriodeDatumTijdTotEnMet],"&gt;"&amp;($A490+16/24),tData[Langligger01],1)</f>
        <v/>
      </c>
      <c r="U490" s="20">
        <f>COUNTIFS(tData[SEHTrajectPeriodeDatumTijdVan],"&lt;="&amp;($A490+17/24),tData[SEHTrajectPeriodeDatumTijdTotEnMet],"&gt;"&amp;($A490+17/24),tData[Langligger01],1)</f>
        <v/>
      </c>
      <c r="V490" s="20">
        <f>COUNTIFS(tData[SEHTrajectPeriodeDatumTijdVan],"&lt;="&amp;($A490+18/24),tData[SEHTrajectPeriodeDatumTijdTotEnMet],"&gt;"&amp;($A490+18/24),tData[Langligger01],1)</f>
        <v/>
      </c>
      <c r="W490" s="20">
        <f>COUNTIFS(tData[SEHTrajectPeriodeDatumTijdVan],"&lt;="&amp;($A490+19/24),tData[SEHTrajectPeriodeDatumTijdTotEnMet],"&gt;"&amp;($A490+19/24),tData[Langligger01],1)</f>
        <v/>
      </c>
      <c r="X490" s="20">
        <f>COUNTIFS(tData[SEHTrajectPeriodeDatumTijdVan],"&lt;="&amp;($A490+20/24),tData[SEHTrajectPeriodeDatumTijdTotEnMet],"&gt;"&amp;($A490+20/24),tData[Langligger01],1)</f>
        <v/>
      </c>
      <c r="Y490" s="20">
        <f>COUNTIFS(tData[SEHTrajectPeriodeDatumTijdVan],"&lt;="&amp;($A490+21/24),tData[SEHTrajectPeriodeDatumTijdTotEnMet],"&gt;"&amp;($A490+21/24),tData[Langligger01],1)</f>
        <v/>
      </c>
      <c r="Z490" s="20">
        <f>COUNTIFS(tData[SEHTrajectPeriodeDatumTijdVan],"&lt;="&amp;($A490+22/24),tData[SEHTrajectPeriodeDatumTijdTotEnMet],"&gt;"&amp;($A490+22/24),tData[Langligger01],1)</f>
        <v/>
      </c>
      <c r="AA490" s="20">
        <f>COUNTIFS(tData[SEHTrajectPeriodeDatumTijdVan],"&lt;="&amp;($A490+23/24),tData[SEHTrajectPeriodeDatumTijdTotEnMet],"&gt;"&amp;($A490+23/24),tData[Langligger01],1)</f>
        <v/>
      </c>
    </row>
    <row r="491">
      <c r="A491" s="19" t="n">
        <v>45779</v>
      </c>
      <c r="B491" s="15">
        <f>WEEKDAY($A491,2)</f>
        <v/>
      </c>
      <c r="C491" s="15">
        <f>IF(AND($A491&gt;=INT(Instellingen!$B$5),$A491&lt;=INT(Instellingen!$B$6)),1,0)</f>
        <v/>
      </c>
      <c r="D491" s="20">
        <f>COUNTIFS(tData[SEHTrajectPeriodeDatumTijdVan],"&lt;="&amp;($A491+0/24),tData[SEHTrajectPeriodeDatumTijdTotEnMet],"&gt;"&amp;($A491+0/24),tData[Langligger01],1)</f>
        <v/>
      </c>
      <c r="E491" s="20">
        <f>COUNTIFS(tData[SEHTrajectPeriodeDatumTijdVan],"&lt;="&amp;($A491+1/24),tData[SEHTrajectPeriodeDatumTijdTotEnMet],"&gt;"&amp;($A491+1/24),tData[Langligger01],1)</f>
        <v/>
      </c>
      <c r="F491" s="20">
        <f>COUNTIFS(tData[SEHTrajectPeriodeDatumTijdVan],"&lt;="&amp;($A491+2/24),tData[SEHTrajectPeriodeDatumTijdTotEnMet],"&gt;"&amp;($A491+2/24),tData[Langligger01],1)</f>
        <v/>
      </c>
      <c r="G491" s="20">
        <f>COUNTIFS(tData[SEHTrajectPeriodeDatumTijdVan],"&lt;="&amp;($A491+3/24),tData[SEHTrajectPeriodeDatumTijdTotEnMet],"&gt;"&amp;($A491+3/24),tData[Langligger01],1)</f>
        <v/>
      </c>
      <c r="H491" s="20">
        <f>COUNTIFS(tData[SEHTrajectPeriodeDatumTijdVan],"&lt;="&amp;($A491+4/24),tData[SEHTrajectPeriodeDatumTijdTotEnMet],"&gt;"&amp;($A491+4/24),tData[Langligger01],1)</f>
        <v/>
      </c>
      <c r="I491" s="20">
        <f>COUNTIFS(tData[SEHTrajectPeriodeDatumTijdVan],"&lt;="&amp;($A491+5/24),tData[SEHTrajectPeriodeDatumTijdTotEnMet],"&gt;"&amp;($A491+5/24),tData[Langligger01],1)</f>
        <v/>
      </c>
      <c r="J491" s="20">
        <f>COUNTIFS(tData[SEHTrajectPeriodeDatumTijdVan],"&lt;="&amp;($A491+6/24),tData[SEHTrajectPeriodeDatumTijdTotEnMet],"&gt;"&amp;($A491+6/24),tData[Langligger01],1)</f>
        <v/>
      </c>
      <c r="K491" s="20">
        <f>COUNTIFS(tData[SEHTrajectPeriodeDatumTijdVan],"&lt;="&amp;($A491+7/24),tData[SEHTrajectPeriodeDatumTijdTotEnMet],"&gt;"&amp;($A491+7/24),tData[Langligger01],1)</f>
        <v/>
      </c>
      <c r="L491" s="20">
        <f>COUNTIFS(tData[SEHTrajectPeriodeDatumTijdVan],"&lt;="&amp;($A491+8/24),tData[SEHTrajectPeriodeDatumTijdTotEnMet],"&gt;"&amp;($A491+8/24),tData[Langligger01],1)</f>
        <v/>
      </c>
      <c r="M491" s="20">
        <f>COUNTIFS(tData[SEHTrajectPeriodeDatumTijdVan],"&lt;="&amp;($A491+9/24),tData[SEHTrajectPeriodeDatumTijdTotEnMet],"&gt;"&amp;($A491+9/24),tData[Langligger01],1)</f>
        <v/>
      </c>
      <c r="N491" s="20">
        <f>COUNTIFS(tData[SEHTrajectPeriodeDatumTijdVan],"&lt;="&amp;($A491+10/24),tData[SEHTrajectPeriodeDatumTijdTotEnMet],"&gt;"&amp;($A491+10/24),tData[Langligger01],1)</f>
        <v/>
      </c>
      <c r="O491" s="20">
        <f>COUNTIFS(tData[SEHTrajectPeriodeDatumTijdVan],"&lt;="&amp;($A491+11/24),tData[SEHTrajectPeriodeDatumTijdTotEnMet],"&gt;"&amp;($A491+11/24),tData[Langligger01],1)</f>
        <v/>
      </c>
      <c r="P491" s="20">
        <f>COUNTIFS(tData[SEHTrajectPeriodeDatumTijdVan],"&lt;="&amp;($A491+12/24),tData[SEHTrajectPeriodeDatumTijdTotEnMet],"&gt;"&amp;($A491+12/24),tData[Langligger01],1)</f>
        <v/>
      </c>
      <c r="Q491" s="20">
        <f>COUNTIFS(tData[SEHTrajectPeriodeDatumTijdVan],"&lt;="&amp;($A491+13/24),tData[SEHTrajectPeriodeDatumTijdTotEnMet],"&gt;"&amp;($A491+13/24),tData[Langligger01],1)</f>
        <v/>
      </c>
      <c r="R491" s="20">
        <f>COUNTIFS(tData[SEHTrajectPeriodeDatumTijdVan],"&lt;="&amp;($A491+14/24),tData[SEHTrajectPeriodeDatumTijdTotEnMet],"&gt;"&amp;($A491+14/24),tData[Langligger01],1)</f>
        <v/>
      </c>
      <c r="S491" s="20">
        <f>COUNTIFS(tData[SEHTrajectPeriodeDatumTijdVan],"&lt;="&amp;($A491+15/24),tData[SEHTrajectPeriodeDatumTijdTotEnMet],"&gt;"&amp;($A491+15/24),tData[Langligger01],1)</f>
        <v/>
      </c>
      <c r="T491" s="20">
        <f>COUNTIFS(tData[SEHTrajectPeriodeDatumTijdVan],"&lt;="&amp;($A491+16/24),tData[SEHTrajectPeriodeDatumTijdTotEnMet],"&gt;"&amp;($A491+16/24),tData[Langligger01],1)</f>
        <v/>
      </c>
      <c r="U491" s="20">
        <f>COUNTIFS(tData[SEHTrajectPeriodeDatumTijdVan],"&lt;="&amp;($A491+17/24),tData[SEHTrajectPeriodeDatumTijdTotEnMet],"&gt;"&amp;($A491+17/24),tData[Langligger01],1)</f>
        <v/>
      </c>
      <c r="V491" s="20">
        <f>COUNTIFS(tData[SEHTrajectPeriodeDatumTijdVan],"&lt;="&amp;($A491+18/24),tData[SEHTrajectPeriodeDatumTijdTotEnMet],"&gt;"&amp;($A491+18/24),tData[Langligger01],1)</f>
        <v/>
      </c>
      <c r="W491" s="20">
        <f>COUNTIFS(tData[SEHTrajectPeriodeDatumTijdVan],"&lt;="&amp;($A491+19/24),tData[SEHTrajectPeriodeDatumTijdTotEnMet],"&gt;"&amp;($A491+19/24),tData[Langligger01],1)</f>
        <v/>
      </c>
      <c r="X491" s="20">
        <f>COUNTIFS(tData[SEHTrajectPeriodeDatumTijdVan],"&lt;="&amp;($A491+20/24),tData[SEHTrajectPeriodeDatumTijdTotEnMet],"&gt;"&amp;($A491+20/24),tData[Langligger01],1)</f>
        <v/>
      </c>
      <c r="Y491" s="20">
        <f>COUNTIFS(tData[SEHTrajectPeriodeDatumTijdVan],"&lt;="&amp;($A491+21/24),tData[SEHTrajectPeriodeDatumTijdTotEnMet],"&gt;"&amp;($A491+21/24),tData[Langligger01],1)</f>
        <v/>
      </c>
      <c r="Z491" s="20">
        <f>COUNTIFS(tData[SEHTrajectPeriodeDatumTijdVan],"&lt;="&amp;($A491+22/24),tData[SEHTrajectPeriodeDatumTijdTotEnMet],"&gt;"&amp;($A491+22/24),tData[Langligger01],1)</f>
        <v/>
      </c>
      <c r="AA491" s="20">
        <f>COUNTIFS(tData[SEHTrajectPeriodeDatumTijdVan],"&lt;="&amp;($A491+23/24),tData[SEHTrajectPeriodeDatumTijdTotEnMet],"&gt;"&amp;($A491+23/24),tData[Langligger01],1)</f>
        <v/>
      </c>
    </row>
    <row r="492">
      <c r="A492" s="19" t="n">
        <v>45780</v>
      </c>
      <c r="B492" s="15">
        <f>WEEKDAY($A492,2)</f>
        <v/>
      </c>
      <c r="C492" s="15">
        <f>IF(AND($A492&gt;=INT(Instellingen!$B$5),$A492&lt;=INT(Instellingen!$B$6)),1,0)</f>
        <v/>
      </c>
      <c r="D492" s="20">
        <f>COUNTIFS(tData[SEHTrajectPeriodeDatumTijdVan],"&lt;="&amp;($A492+0/24),tData[SEHTrajectPeriodeDatumTijdTotEnMet],"&gt;"&amp;($A492+0/24),tData[Langligger01],1)</f>
        <v/>
      </c>
      <c r="E492" s="20">
        <f>COUNTIFS(tData[SEHTrajectPeriodeDatumTijdVan],"&lt;="&amp;($A492+1/24),tData[SEHTrajectPeriodeDatumTijdTotEnMet],"&gt;"&amp;($A492+1/24),tData[Langligger01],1)</f>
        <v/>
      </c>
      <c r="F492" s="20">
        <f>COUNTIFS(tData[SEHTrajectPeriodeDatumTijdVan],"&lt;="&amp;($A492+2/24),tData[SEHTrajectPeriodeDatumTijdTotEnMet],"&gt;"&amp;($A492+2/24),tData[Langligger01],1)</f>
        <v/>
      </c>
      <c r="G492" s="20">
        <f>COUNTIFS(tData[SEHTrajectPeriodeDatumTijdVan],"&lt;="&amp;($A492+3/24),tData[SEHTrajectPeriodeDatumTijdTotEnMet],"&gt;"&amp;($A492+3/24),tData[Langligger01],1)</f>
        <v/>
      </c>
      <c r="H492" s="20">
        <f>COUNTIFS(tData[SEHTrajectPeriodeDatumTijdVan],"&lt;="&amp;($A492+4/24),tData[SEHTrajectPeriodeDatumTijdTotEnMet],"&gt;"&amp;($A492+4/24),tData[Langligger01],1)</f>
        <v/>
      </c>
      <c r="I492" s="20">
        <f>COUNTIFS(tData[SEHTrajectPeriodeDatumTijdVan],"&lt;="&amp;($A492+5/24),tData[SEHTrajectPeriodeDatumTijdTotEnMet],"&gt;"&amp;($A492+5/24),tData[Langligger01],1)</f>
        <v/>
      </c>
      <c r="J492" s="20">
        <f>COUNTIFS(tData[SEHTrajectPeriodeDatumTijdVan],"&lt;="&amp;($A492+6/24),tData[SEHTrajectPeriodeDatumTijdTotEnMet],"&gt;"&amp;($A492+6/24),tData[Langligger01],1)</f>
        <v/>
      </c>
      <c r="K492" s="20">
        <f>COUNTIFS(tData[SEHTrajectPeriodeDatumTijdVan],"&lt;="&amp;($A492+7/24),tData[SEHTrajectPeriodeDatumTijdTotEnMet],"&gt;"&amp;($A492+7/24),tData[Langligger01],1)</f>
        <v/>
      </c>
      <c r="L492" s="20">
        <f>COUNTIFS(tData[SEHTrajectPeriodeDatumTijdVan],"&lt;="&amp;($A492+8/24),tData[SEHTrajectPeriodeDatumTijdTotEnMet],"&gt;"&amp;($A492+8/24),tData[Langligger01],1)</f>
        <v/>
      </c>
      <c r="M492" s="20">
        <f>COUNTIFS(tData[SEHTrajectPeriodeDatumTijdVan],"&lt;="&amp;($A492+9/24),tData[SEHTrajectPeriodeDatumTijdTotEnMet],"&gt;"&amp;($A492+9/24),tData[Langligger01],1)</f>
        <v/>
      </c>
      <c r="N492" s="20">
        <f>COUNTIFS(tData[SEHTrajectPeriodeDatumTijdVan],"&lt;="&amp;($A492+10/24),tData[SEHTrajectPeriodeDatumTijdTotEnMet],"&gt;"&amp;($A492+10/24),tData[Langligger01],1)</f>
        <v/>
      </c>
      <c r="O492" s="20">
        <f>COUNTIFS(tData[SEHTrajectPeriodeDatumTijdVan],"&lt;="&amp;($A492+11/24),tData[SEHTrajectPeriodeDatumTijdTotEnMet],"&gt;"&amp;($A492+11/24),tData[Langligger01],1)</f>
        <v/>
      </c>
      <c r="P492" s="20">
        <f>COUNTIFS(tData[SEHTrajectPeriodeDatumTijdVan],"&lt;="&amp;($A492+12/24),tData[SEHTrajectPeriodeDatumTijdTotEnMet],"&gt;"&amp;($A492+12/24),tData[Langligger01],1)</f>
        <v/>
      </c>
      <c r="Q492" s="20">
        <f>COUNTIFS(tData[SEHTrajectPeriodeDatumTijdVan],"&lt;="&amp;($A492+13/24),tData[SEHTrajectPeriodeDatumTijdTotEnMet],"&gt;"&amp;($A492+13/24),tData[Langligger01],1)</f>
        <v/>
      </c>
      <c r="R492" s="20">
        <f>COUNTIFS(tData[SEHTrajectPeriodeDatumTijdVan],"&lt;="&amp;($A492+14/24),tData[SEHTrajectPeriodeDatumTijdTotEnMet],"&gt;"&amp;($A492+14/24),tData[Langligger01],1)</f>
        <v/>
      </c>
      <c r="S492" s="20">
        <f>COUNTIFS(tData[SEHTrajectPeriodeDatumTijdVan],"&lt;="&amp;($A492+15/24),tData[SEHTrajectPeriodeDatumTijdTotEnMet],"&gt;"&amp;($A492+15/24),tData[Langligger01],1)</f>
        <v/>
      </c>
      <c r="T492" s="20">
        <f>COUNTIFS(tData[SEHTrajectPeriodeDatumTijdVan],"&lt;="&amp;($A492+16/24),tData[SEHTrajectPeriodeDatumTijdTotEnMet],"&gt;"&amp;($A492+16/24),tData[Langligger01],1)</f>
        <v/>
      </c>
      <c r="U492" s="20">
        <f>COUNTIFS(tData[SEHTrajectPeriodeDatumTijdVan],"&lt;="&amp;($A492+17/24),tData[SEHTrajectPeriodeDatumTijdTotEnMet],"&gt;"&amp;($A492+17/24),tData[Langligger01],1)</f>
        <v/>
      </c>
      <c r="V492" s="20">
        <f>COUNTIFS(tData[SEHTrajectPeriodeDatumTijdVan],"&lt;="&amp;($A492+18/24),tData[SEHTrajectPeriodeDatumTijdTotEnMet],"&gt;"&amp;($A492+18/24),tData[Langligger01],1)</f>
        <v/>
      </c>
      <c r="W492" s="20">
        <f>COUNTIFS(tData[SEHTrajectPeriodeDatumTijdVan],"&lt;="&amp;($A492+19/24),tData[SEHTrajectPeriodeDatumTijdTotEnMet],"&gt;"&amp;($A492+19/24),tData[Langligger01],1)</f>
        <v/>
      </c>
      <c r="X492" s="20">
        <f>COUNTIFS(tData[SEHTrajectPeriodeDatumTijdVan],"&lt;="&amp;($A492+20/24),tData[SEHTrajectPeriodeDatumTijdTotEnMet],"&gt;"&amp;($A492+20/24),tData[Langligger01],1)</f>
        <v/>
      </c>
      <c r="Y492" s="20">
        <f>COUNTIFS(tData[SEHTrajectPeriodeDatumTijdVan],"&lt;="&amp;($A492+21/24),tData[SEHTrajectPeriodeDatumTijdTotEnMet],"&gt;"&amp;($A492+21/24),tData[Langligger01],1)</f>
        <v/>
      </c>
      <c r="Z492" s="20">
        <f>COUNTIFS(tData[SEHTrajectPeriodeDatumTijdVan],"&lt;="&amp;($A492+22/24),tData[SEHTrajectPeriodeDatumTijdTotEnMet],"&gt;"&amp;($A492+22/24),tData[Langligger01],1)</f>
        <v/>
      </c>
      <c r="AA492" s="20">
        <f>COUNTIFS(tData[SEHTrajectPeriodeDatumTijdVan],"&lt;="&amp;($A492+23/24),tData[SEHTrajectPeriodeDatumTijdTotEnMet],"&gt;"&amp;($A492+23/24),tData[Langligger01],1)</f>
        <v/>
      </c>
    </row>
    <row r="493">
      <c r="A493" s="19" t="n">
        <v>45781</v>
      </c>
      <c r="B493" s="15">
        <f>WEEKDAY($A493,2)</f>
        <v/>
      </c>
      <c r="C493" s="15">
        <f>IF(AND($A493&gt;=INT(Instellingen!$B$5),$A493&lt;=INT(Instellingen!$B$6)),1,0)</f>
        <v/>
      </c>
      <c r="D493" s="20">
        <f>COUNTIFS(tData[SEHTrajectPeriodeDatumTijdVan],"&lt;="&amp;($A493+0/24),tData[SEHTrajectPeriodeDatumTijdTotEnMet],"&gt;"&amp;($A493+0/24),tData[Langligger01],1)</f>
        <v/>
      </c>
      <c r="E493" s="20">
        <f>COUNTIFS(tData[SEHTrajectPeriodeDatumTijdVan],"&lt;="&amp;($A493+1/24),tData[SEHTrajectPeriodeDatumTijdTotEnMet],"&gt;"&amp;($A493+1/24),tData[Langligger01],1)</f>
        <v/>
      </c>
      <c r="F493" s="20">
        <f>COUNTIFS(tData[SEHTrajectPeriodeDatumTijdVan],"&lt;="&amp;($A493+2/24),tData[SEHTrajectPeriodeDatumTijdTotEnMet],"&gt;"&amp;($A493+2/24),tData[Langligger01],1)</f>
        <v/>
      </c>
      <c r="G493" s="20">
        <f>COUNTIFS(tData[SEHTrajectPeriodeDatumTijdVan],"&lt;="&amp;($A493+3/24),tData[SEHTrajectPeriodeDatumTijdTotEnMet],"&gt;"&amp;($A493+3/24),tData[Langligger01],1)</f>
        <v/>
      </c>
      <c r="H493" s="20">
        <f>COUNTIFS(tData[SEHTrajectPeriodeDatumTijdVan],"&lt;="&amp;($A493+4/24),tData[SEHTrajectPeriodeDatumTijdTotEnMet],"&gt;"&amp;($A493+4/24),tData[Langligger01],1)</f>
        <v/>
      </c>
      <c r="I493" s="20">
        <f>COUNTIFS(tData[SEHTrajectPeriodeDatumTijdVan],"&lt;="&amp;($A493+5/24),tData[SEHTrajectPeriodeDatumTijdTotEnMet],"&gt;"&amp;($A493+5/24),tData[Langligger01],1)</f>
        <v/>
      </c>
      <c r="J493" s="20">
        <f>COUNTIFS(tData[SEHTrajectPeriodeDatumTijdVan],"&lt;="&amp;($A493+6/24),tData[SEHTrajectPeriodeDatumTijdTotEnMet],"&gt;"&amp;($A493+6/24),tData[Langligger01],1)</f>
        <v/>
      </c>
      <c r="K493" s="20">
        <f>COUNTIFS(tData[SEHTrajectPeriodeDatumTijdVan],"&lt;="&amp;($A493+7/24),tData[SEHTrajectPeriodeDatumTijdTotEnMet],"&gt;"&amp;($A493+7/24),tData[Langligger01],1)</f>
        <v/>
      </c>
      <c r="L493" s="20">
        <f>COUNTIFS(tData[SEHTrajectPeriodeDatumTijdVan],"&lt;="&amp;($A493+8/24),tData[SEHTrajectPeriodeDatumTijdTotEnMet],"&gt;"&amp;($A493+8/24),tData[Langligger01],1)</f>
        <v/>
      </c>
      <c r="M493" s="20">
        <f>COUNTIFS(tData[SEHTrajectPeriodeDatumTijdVan],"&lt;="&amp;($A493+9/24),tData[SEHTrajectPeriodeDatumTijdTotEnMet],"&gt;"&amp;($A493+9/24),tData[Langligger01],1)</f>
        <v/>
      </c>
      <c r="N493" s="20">
        <f>COUNTIFS(tData[SEHTrajectPeriodeDatumTijdVan],"&lt;="&amp;($A493+10/24),tData[SEHTrajectPeriodeDatumTijdTotEnMet],"&gt;"&amp;($A493+10/24),tData[Langligger01],1)</f>
        <v/>
      </c>
      <c r="O493" s="20">
        <f>COUNTIFS(tData[SEHTrajectPeriodeDatumTijdVan],"&lt;="&amp;($A493+11/24),tData[SEHTrajectPeriodeDatumTijdTotEnMet],"&gt;"&amp;($A493+11/24),tData[Langligger01],1)</f>
        <v/>
      </c>
      <c r="P493" s="20">
        <f>COUNTIFS(tData[SEHTrajectPeriodeDatumTijdVan],"&lt;="&amp;($A493+12/24),tData[SEHTrajectPeriodeDatumTijdTotEnMet],"&gt;"&amp;($A493+12/24),tData[Langligger01],1)</f>
        <v/>
      </c>
      <c r="Q493" s="20">
        <f>COUNTIFS(tData[SEHTrajectPeriodeDatumTijdVan],"&lt;="&amp;($A493+13/24),tData[SEHTrajectPeriodeDatumTijdTotEnMet],"&gt;"&amp;($A493+13/24),tData[Langligger01],1)</f>
        <v/>
      </c>
      <c r="R493" s="20">
        <f>COUNTIFS(tData[SEHTrajectPeriodeDatumTijdVan],"&lt;="&amp;($A493+14/24),tData[SEHTrajectPeriodeDatumTijdTotEnMet],"&gt;"&amp;($A493+14/24),tData[Langligger01],1)</f>
        <v/>
      </c>
      <c r="S493" s="20">
        <f>COUNTIFS(tData[SEHTrajectPeriodeDatumTijdVan],"&lt;="&amp;($A493+15/24),tData[SEHTrajectPeriodeDatumTijdTotEnMet],"&gt;"&amp;($A493+15/24),tData[Langligger01],1)</f>
        <v/>
      </c>
      <c r="T493" s="20">
        <f>COUNTIFS(tData[SEHTrajectPeriodeDatumTijdVan],"&lt;="&amp;($A493+16/24),tData[SEHTrajectPeriodeDatumTijdTotEnMet],"&gt;"&amp;($A493+16/24),tData[Langligger01],1)</f>
        <v/>
      </c>
      <c r="U493" s="20">
        <f>COUNTIFS(tData[SEHTrajectPeriodeDatumTijdVan],"&lt;="&amp;($A493+17/24),tData[SEHTrajectPeriodeDatumTijdTotEnMet],"&gt;"&amp;($A493+17/24),tData[Langligger01],1)</f>
        <v/>
      </c>
      <c r="V493" s="20">
        <f>COUNTIFS(tData[SEHTrajectPeriodeDatumTijdVan],"&lt;="&amp;($A493+18/24),tData[SEHTrajectPeriodeDatumTijdTotEnMet],"&gt;"&amp;($A493+18/24),tData[Langligger01],1)</f>
        <v/>
      </c>
      <c r="W493" s="20">
        <f>COUNTIFS(tData[SEHTrajectPeriodeDatumTijdVan],"&lt;="&amp;($A493+19/24),tData[SEHTrajectPeriodeDatumTijdTotEnMet],"&gt;"&amp;($A493+19/24),tData[Langligger01],1)</f>
        <v/>
      </c>
      <c r="X493" s="20">
        <f>COUNTIFS(tData[SEHTrajectPeriodeDatumTijdVan],"&lt;="&amp;($A493+20/24),tData[SEHTrajectPeriodeDatumTijdTotEnMet],"&gt;"&amp;($A493+20/24),tData[Langligger01],1)</f>
        <v/>
      </c>
      <c r="Y493" s="20">
        <f>COUNTIFS(tData[SEHTrajectPeriodeDatumTijdVan],"&lt;="&amp;($A493+21/24),tData[SEHTrajectPeriodeDatumTijdTotEnMet],"&gt;"&amp;($A493+21/24),tData[Langligger01],1)</f>
        <v/>
      </c>
      <c r="Z493" s="20">
        <f>COUNTIFS(tData[SEHTrajectPeriodeDatumTijdVan],"&lt;="&amp;($A493+22/24),tData[SEHTrajectPeriodeDatumTijdTotEnMet],"&gt;"&amp;($A493+22/24),tData[Langligger01],1)</f>
        <v/>
      </c>
      <c r="AA493" s="20">
        <f>COUNTIFS(tData[SEHTrajectPeriodeDatumTijdVan],"&lt;="&amp;($A493+23/24),tData[SEHTrajectPeriodeDatumTijdTotEnMet],"&gt;"&amp;($A493+23/24),tData[Langligger01],1)</f>
        <v/>
      </c>
    </row>
    <row r="494">
      <c r="A494" s="19" t="n">
        <v>45782</v>
      </c>
      <c r="B494" s="15">
        <f>WEEKDAY($A494,2)</f>
        <v/>
      </c>
      <c r="C494" s="15">
        <f>IF(AND($A494&gt;=INT(Instellingen!$B$5),$A494&lt;=INT(Instellingen!$B$6)),1,0)</f>
        <v/>
      </c>
      <c r="D494" s="20">
        <f>COUNTIFS(tData[SEHTrajectPeriodeDatumTijdVan],"&lt;="&amp;($A494+0/24),tData[SEHTrajectPeriodeDatumTijdTotEnMet],"&gt;"&amp;($A494+0/24),tData[Langligger01],1)</f>
        <v/>
      </c>
      <c r="E494" s="20">
        <f>COUNTIFS(tData[SEHTrajectPeriodeDatumTijdVan],"&lt;="&amp;($A494+1/24),tData[SEHTrajectPeriodeDatumTijdTotEnMet],"&gt;"&amp;($A494+1/24),tData[Langligger01],1)</f>
        <v/>
      </c>
      <c r="F494" s="20">
        <f>COUNTIFS(tData[SEHTrajectPeriodeDatumTijdVan],"&lt;="&amp;($A494+2/24),tData[SEHTrajectPeriodeDatumTijdTotEnMet],"&gt;"&amp;($A494+2/24),tData[Langligger01],1)</f>
        <v/>
      </c>
      <c r="G494" s="20">
        <f>COUNTIFS(tData[SEHTrajectPeriodeDatumTijdVan],"&lt;="&amp;($A494+3/24),tData[SEHTrajectPeriodeDatumTijdTotEnMet],"&gt;"&amp;($A494+3/24),tData[Langligger01],1)</f>
        <v/>
      </c>
      <c r="H494" s="20">
        <f>COUNTIFS(tData[SEHTrajectPeriodeDatumTijdVan],"&lt;="&amp;($A494+4/24),tData[SEHTrajectPeriodeDatumTijdTotEnMet],"&gt;"&amp;($A494+4/24),tData[Langligger01],1)</f>
        <v/>
      </c>
      <c r="I494" s="20">
        <f>COUNTIFS(tData[SEHTrajectPeriodeDatumTijdVan],"&lt;="&amp;($A494+5/24),tData[SEHTrajectPeriodeDatumTijdTotEnMet],"&gt;"&amp;($A494+5/24),tData[Langligger01],1)</f>
        <v/>
      </c>
      <c r="J494" s="20">
        <f>COUNTIFS(tData[SEHTrajectPeriodeDatumTijdVan],"&lt;="&amp;($A494+6/24),tData[SEHTrajectPeriodeDatumTijdTotEnMet],"&gt;"&amp;($A494+6/24),tData[Langligger01],1)</f>
        <v/>
      </c>
      <c r="K494" s="20">
        <f>COUNTIFS(tData[SEHTrajectPeriodeDatumTijdVan],"&lt;="&amp;($A494+7/24),tData[SEHTrajectPeriodeDatumTijdTotEnMet],"&gt;"&amp;($A494+7/24),tData[Langligger01],1)</f>
        <v/>
      </c>
      <c r="L494" s="20">
        <f>COUNTIFS(tData[SEHTrajectPeriodeDatumTijdVan],"&lt;="&amp;($A494+8/24),tData[SEHTrajectPeriodeDatumTijdTotEnMet],"&gt;"&amp;($A494+8/24),tData[Langligger01],1)</f>
        <v/>
      </c>
      <c r="M494" s="20">
        <f>COUNTIFS(tData[SEHTrajectPeriodeDatumTijdVan],"&lt;="&amp;($A494+9/24),tData[SEHTrajectPeriodeDatumTijdTotEnMet],"&gt;"&amp;($A494+9/24),tData[Langligger01],1)</f>
        <v/>
      </c>
      <c r="N494" s="20">
        <f>COUNTIFS(tData[SEHTrajectPeriodeDatumTijdVan],"&lt;="&amp;($A494+10/24),tData[SEHTrajectPeriodeDatumTijdTotEnMet],"&gt;"&amp;($A494+10/24),tData[Langligger01],1)</f>
        <v/>
      </c>
      <c r="O494" s="20">
        <f>COUNTIFS(tData[SEHTrajectPeriodeDatumTijdVan],"&lt;="&amp;($A494+11/24),tData[SEHTrajectPeriodeDatumTijdTotEnMet],"&gt;"&amp;($A494+11/24),tData[Langligger01],1)</f>
        <v/>
      </c>
      <c r="P494" s="20">
        <f>COUNTIFS(tData[SEHTrajectPeriodeDatumTijdVan],"&lt;="&amp;($A494+12/24),tData[SEHTrajectPeriodeDatumTijdTotEnMet],"&gt;"&amp;($A494+12/24),tData[Langligger01],1)</f>
        <v/>
      </c>
      <c r="Q494" s="20">
        <f>COUNTIFS(tData[SEHTrajectPeriodeDatumTijdVan],"&lt;="&amp;($A494+13/24),tData[SEHTrajectPeriodeDatumTijdTotEnMet],"&gt;"&amp;($A494+13/24),tData[Langligger01],1)</f>
        <v/>
      </c>
      <c r="R494" s="20">
        <f>COUNTIFS(tData[SEHTrajectPeriodeDatumTijdVan],"&lt;="&amp;($A494+14/24),tData[SEHTrajectPeriodeDatumTijdTotEnMet],"&gt;"&amp;($A494+14/24),tData[Langligger01],1)</f>
        <v/>
      </c>
      <c r="S494" s="20">
        <f>COUNTIFS(tData[SEHTrajectPeriodeDatumTijdVan],"&lt;="&amp;($A494+15/24),tData[SEHTrajectPeriodeDatumTijdTotEnMet],"&gt;"&amp;($A494+15/24),tData[Langligger01],1)</f>
        <v/>
      </c>
      <c r="T494" s="20">
        <f>COUNTIFS(tData[SEHTrajectPeriodeDatumTijdVan],"&lt;="&amp;($A494+16/24),tData[SEHTrajectPeriodeDatumTijdTotEnMet],"&gt;"&amp;($A494+16/24),tData[Langligger01],1)</f>
        <v/>
      </c>
      <c r="U494" s="20">
        <f>COUNTIFS(tData[SEHTrajectPeriodeDatumTijdVan],"&lt;="&amp;($A494+17/24),tData[SEHTrajectPeriodeDatumTijdTotEnMet],"&gt;"&amp;($A494+17/24),tData[Langligger01],1)</f>
        <v/>
      </c>
      <c r="V494" s="20">
        <f>COUNTIFS(tData[SEHTrajectPeriodeDatumTijdVan],"&lt;="&amp;($A494+18/24),tData[SEHTrajectPeriodeDatumTijdTotEnMet],"&gt;"&amp;($A494+18/24),tData[Langligger01],1)</f>
        <v/>
      </c>
      <c r="W494" s="20">
        <f>COUNTIFS(tData[SEHTrajectPeriodeDatumTijdVan],"&lt;="&amp;($A494+19/24),tData[SEHTrajectPeriodeDatumTijdTotEnMet],"&gt;"&amp;($A494+19/24),tData[Langligger01],1)</f>
        <v/>
      </c>
      <c r="X494" s="20">
        <f>COUNTIFS(tData[SEHTrajectPeriodeDatumTijdVan],"&lt;="&amp;($A494+20/24),tData[SEHTrajectPeriodeDatumTijdTotEnMet],"&gt;"&amp;($A494+20/24),tData[Langligger01],1)</f>
        <v/>
      </c>
      <c r="Y494" s="20">
        <f>COUNTIFS(tData[SEHTrajectPeriodeDatumTijdVan],"&lt;="&amp;($A494+21/24),tData[SEHTrajectPeriodeDatumTijdTotEnMet],"&gt;"&amp;($A494+21/24),tData[Langligger01],1)</f>
        <v/>
      </c>
      <c r="Z494" s="20">
        <f>COUNTIFS(tData[SEHTrajectPeriodeDatumTijdVan],"&lt;="&amp;($A494+22/24),tData[SEHTrajectPeriodeDatumTijdTotEnMet],"&gt;"&amp;($A494+22/24),tData[Langligger01],1)</f>
        <v/>
      </c>
      <c r="AA494" s="20">
        <f>COUNTIFS(tData[SEHTrajectPeriodeDatumTijdVan],"&lt;="&amp;($A494+23/24),tData[SEHTrajectPeriodeDatumTijdTotEnMet],"&gt;"&amp;($A494+23/24),tData[Langligger01],1)</f>
        <v/>
      </c>
    </row>
    <row r="495">
      <c r="A495" s="19" t="n">
        <v>45783</v>
      </c>
      <c r="B495" s="15">
        <f>WEEKDAY($A495,2)</f>
        <v/>
      </c>
      <c r="C495" s="15">
        <f>IF(AND($A495&gt;=INT(Instellingen!$B$5),$A495&lt;=INT(Instellingen!$B$6)),1,0)</f>
        <v/>
      </c>
      <c r="D495" s="20">
        <f>COUNTIFS(tData[SEHTrajectPeriodeDatumTijdVan],"&lt;="&amp;($A495+0/24),tData[SEHTrajectPeriodeDatumTijdTotEnMet],"&gt;"&amp;($A495+0/24),tData[Langligger01],1)</f>
        <v/>
      </c>
      <c r="E495" s="20">
        <f>COUNTIFS(tData[SEHTrajectPeriodeDatumTijdVan],"&lt;="&amp;($A495+1/24),tData[SEHTrajectPeriodeDatumTijdTotEnMet],"&gt;"&amp;($A495+1/24),tData[Langligger01],1)</f>
        <v/>
      </c>
      <c r="F495" s="20">
        <f>COUNTIFS(tData[SEHTrajectPeriodeDatumTijdVan],"&lt;="&amp;($A495+2/24),tData[SEHTrajectPeriodeDatumTijdTotEnMet],"&gt;"&amp;($A495+2/24),tData[Langligger01],1)</f>
        <v/>
      </c>
      <c r="G495" s="20">
        <f>COUNTIFS(tData[SEHTrajectPeriodeDatumTijdVan],"&lt;="&amp;($A495+3/24),tData[SEHTrajectPeriodeDatumTijdTotEnMet],"&gt;"&amp;($A495+3/24),tData[Langligger01],1)</f>
        <v/>
      </c>
      <c r="H495" s="20">
        <f>COUNTIFS(tData[SEHTrajectPeriodeDatumTijdVan],"&lt;="&amp;($A495+4/24),tData[SEHTrajectPeriodeDatumTijdTotEnMet],"&gt;"&amp;($A495+4/24),tData[Langligger01],1)</f>
        <v/>
      </c>
      <c r="I495" s="20">
        <f>COUNTIFS(tData[SEHTrajectPeriodeDatumTijdVan],"&lt;="&amp;($A495+5/24),tData[SEHTrajectPeriodeDatumTijdTotEnMet],"&gt;"&amp;($A495+5/24),tData[Langligger01],1)</f>
        <v/>
      </c>
      <c r="J495" s="20">
        <f>COUNTIFS(tData[SEHTrajectPeriodeDatumTijdVan],"&lt;="&amp;($A495+6/24),tData[SEHTrajectPeriodeDatumTijdTotEnMet],"&gt;"&amp;($A495+6/24),tData[Langligger01],1)</f>
        <v/>
      </c>
      <c r="K495" s="20">
        <f>COUNTIFS(tData[SEHTrajectPeriodeDatumTijdVan],"&lt;="&amp;($A495+7/24),tData[SEHTrajectPeriodeDatumTijdTotEnMet],"&gt;"&amp;($A495+7/24),tData[Langligger01],1)</f>
        <v/>
      </c>
      <c r="L495" s="20">
        <f>COUNTIFS(tData[SEHTrajectPeriodeDatumTijdVan],"&lt;="&amp;($A495+8/24),tData[SEHTrajectPeriodeDatumTijdTotEnMet],"&gt;"&amp;($A495+8/24),tData[Langligger01],1)</f>
        <v/>
      </c>
      <c r="M495" s="20">
        <f>COUNTIFS(tData[SEHTrajectPeriodeDatumTijdVan],"&lt;="&amp;($A495+9/24),tData[SEHTrajectPeriodeDatumTijdTotEnMet],"&gt;"&amp;($A495+9/24),tData[Langligger01],1)</f>
        <v/>
      </c>
      <c r="N495" s="20">
        <f>COUNTIFS(tData[SEHTrajectPeriodeDatumTijdVan],"&lt;="&amp;($A495+10/24),tData[SEHTrajectPeriodeDatumTijdTotEnMet],"&gt;"&amp;($A495+10/24),tData[Langligger01],1)</f>
        <v/>
      </c>
      <c r="O495" s="20">
        <f>COUNTIFS(tData[SEHTrajectPeriodeDatumTijdVan],"&lt;="&amp;($A495+11/24),tData[SEHTrajectPeriodeDatumTijdTotEnMet],"&gt;"&amp;($A495+11/24),tData[Langligger01],1)</f>
        <v/>
      </c>
      <c r="P495" s="20">
        <f>COUNTIFS(tData[SEHTrajectPeriodeDatumTijdVan],"&lt;="&amp;($A495+12/24),tData[SEHTrajectPeriodeDatumTijdTotEnMet],"&gt;"&amp;($A495+12/24),tData[Langligger01],1)</f>
        <v/>
      </c>
      <c r="Q495" s="20">
        <f>COUNTIFS(tData[SEHTrajectPeriodeDatumTijdVan],"&lt;="&amp;($A495+13/24),tData[SEHTrajectPeriodeDatumTijdTotEnMet],"&gt;"&amp;($A495+13/24),tData[Langligger01],1)</f>
        <v/>
      </c>
      <c r="R495" s="20">
        <f>COUNTIFS(tData[SEHTrajectPeriodeDatumTijdVan],"&lt;="&amp;($A495+14/24),tData[SEHTrajectPeriodeDatumTijdTotEnMet],"&gt;"&amp;($A495+14/24),tData[Langligger01],1)</f>
        <v/>
      </c>
      <c r="S495" s="20">
        <f>COUNTIFS(tData[SEHTrajectPeriodeDatumTijdVan],"&lt;="&amp;($A495+15/24),tData[SEHTrajectPeriodeDatumTijdTotEnMet],"&gt;"&amp;($A495+15/24),tData[Langligger01],1)</f>
        <v/>
      </c>
      <c r="T495" s="20">
        <f>COUNTIFS(tData[SEHTrajectPeriodeDatumTijdVan],"&lt;="&amp;($A495+16/24),tData[SEHTrajectPeriodeDatumTijdTotEnMet],"&gt;"&amp;($A495+16/24),tData[Langligger01],1)</f>
        <v/>
      </c>
      <c r="U495" s="20">
        <f>COUNTIFS(tData[SEHTrajectPeriodeDatumTijdVan],"&lt;="&amp;($A495+17/24),tData[SEHTrajectPeriodeDatumTijdTotEnMet],"&gt;"&amp;($A495+17/24),tData[Langligger01],1)</f>
        <v/>
      </c>
      <c r="V495" s="20">
        <f>COUNTIFS(tData[SEHTrajectPeriodeDatumTijdVan],"&lt;="&amp;($A495+18/24),tData[SEHTrajectPeriodeDatumTijdTotEnMet],"&gt;"&amp;($A495+18/24),tData[Langligger01],1)</f>
        <v/>
      </c>
      <c r="W495" s="20">
        <f>COUNTIFS(tData[SEHTrajectPeriodeDatumTijdVan],"&lt;="&amp;($A495+19/24),tData[SEHTrajectPeriodeDatumTijdTotEnMet],"&gt;"&amp;($A495+19/24),tData[Langligger01],1)</f>
        <v/>
      </c>
      <c r="X495" s="20">
        <f>COUNTIFS(tData[SEHTrajectPeriodeDatumTijdVan],"&lt;="&amp;($A495+20/24),tData[SEHTrajectPeriodeDatumTijdTotEnMet],"&gt;"&amp;($A495+20/24),tData[Langligger01],1)</f>
        <v/>
      </c>
      <c r="Y495" s="20">
        <f>COUNTIFS(tData[SEHTrajectPeriodeDatumTijdVan],"&lt;="&amp;($A495+21/24),tData[SEHTrajectPeriodeDatumTijdTotEnMet],"&gt;"&amp;($A495+21/24),tData[Langligger01],1)</f>
        <v/>
      </c>
      <c r="Z495" s="20">
        <f>COUNTIFS(tData[SEHTrajectPeriodeDatumTijdVan],"&lt;="&amp;($A495+22/24),tData[SEHTrajectPeriodeDatumTijdTotEnMet],"&gt;"&amp;($A495+22/24),tData[Langligger01],1)</f>
        <v/>
      </c>
      <c r="AA495" s="20">
        <f>COUNTIFS(tData[SEHTrajectPeriodeDatumTijdVan],"&lt;="&amp;($A495+23/24),tData[SEHTrajectPeriodeDatumTijdTotEnMet],"&gt;"&amp;($A495+23/24),tData[Langligger01],1)</f>
        <v/>
      </c>
    </row>
    <row r="496">
      <c r="A496" s="19" t="n">
        <v>45784</v>
      </c>
      <c r="B496" s="15">
        <f>WEEKDAY($A496,2)</f>
        <v/>
      </c>
      <c r="C496" s="15">
        <f>IF(AND($A496&gt;=INT(Instellingen!$B$5),$A496&lt;=INT(Instellingen!$B$6)),1,0)</f>
        <v/>
      </c>
      <c r="D496" s="20">
        <f>COUNTIFS(tData[SEHTrajectPeriodeDatumTijdVan],"&lt;="&amp;($A496+0/24),tData[SEHTrajectPeriodeDatumTijdTotEnMet],"&gt;"&amp;($A496+0/24),tData[Langligger01],1)</f>
        <v/>
      </c>
      <c r="E496" s="20">
        <f>COUNTIFS(tData[SEHTrajectPeriodeDatumTijdVan],"&lt;="&amp;($A496+1/24),tData[SEHTrajectPeriodeDatumTijdTotEnMet],"&gt;"&amp;($A496+1/24),tData[Langligger01],1)</f>
        <v/>
      </c>
      <c r="F496" s="20">
        <f>COUNTIFS(tData[SEHTrajectPeriodeDatumTijdVan],"&lt;="&amp;($A496+2/24),tData[SEHTrajectPeriodeDatumTijdTotEnMet],"&gt;"&amp;($A496+2/24),tData[Langligger01],1)</f>
        <v/>
      </c>
      <c r="G496" s="20">
        <f>COUNTIFS(tData[SEHTrajectPeriodeDatumTijdVan],"&lt;="&amp;($A496+3/24),tData[SEHTrajectPeriodeDatumTijdTotEnMet],"&gt;"&amp;($A496+3/24),tData[Langligger01],1)</f>
        <v/>
      </c>
      <c r="H496" s="20">
        <f>COUNTIFS(tData[SEHTrajectPeriodeDatumTijdVan],"&lt;="&amp;($A496+4/24),tData[SEHTrajectPeriodeDatumTijdTotEnMet],"&gt;"&amp;($A496+4/24),tData[Langligger01],1)</f>
        <v/>
      </c>
      <c r="I496" s="20">
        <f>COUNTIFS(tData[SEHTrajectPeriodeDatumTijdVan],"&lt;="&amp;($A496+5/24),tData[SEHTrajectPeriodeDatumTijdTotEnMet],"&gt;"&amp;($A496+5/24),tData[Langligger01],1)</f>
        <v/>
      </c>
      <c r="J496" s="20">
        <f>COUNTIFS(tData[SEHTrajectPeriodeDatumTijdVan],"&lt;="&amp;($A496+6/24),tData[SEHTrajectPeriodeDatumTijdTotEnMet],"&gt;"&amp;($A496+6/24),tData[Langligger01],1)</f>
        <v/>
      </c>
      <c r="K496" s="20">
        <f>COUNTIFS(tData[SEHTrajectPeriodeDatumTijdVan],"&lt;="&amp;($A496+7/24),tData[SEHTrajectPeriodeDatumTijdTotEnMet],"&gt;"&amp;($A496+7/24),tData[Langligger01],1)</f>
        <v/>
      </c>
      <c r="L496" s="20">
        <f>COUNTIFS(tData[SEHTrajectPeriodeDatumTijdVan],"&lt;="&amp;($A496+8/24),tData[SEHTrajectPeriodeDatumTijdTotEnMet],"&gt;"&amp;($A496+8/24),tData[Langligger01],1)</f>
        <v/>
      </c>
      <c r="M496" s="20">
        <f>COUNTIFS(tData[SEHTrajectPeriodeDatumTijdVan],"&lt;="&amp;($A496+9/24),tData[SEHTrajectPeriodeDatumTijdTotEnMet],"&gt;"&amp;($A496+9/24),tData[Langligger01],1)</f>
        <v/>
      </c>
      <c r="N496" s="20">
        <f>COUNTIFS(tData[SEHTrajectPeriodeDatumTijdVan],"&lt;="&amp;($A496+10/24),tData[SEHTrajectPeriodeDatumTijdTotEnMet],"&gt;"&amp;($A496+10/24),tData[Langligger01],1)</f>
        <v/>
      </c>
      <c r="O496" s="20">
        <f>COUNTIFS(tData[SEHTrajectPeriodeDatumTijdVan],"&lt;="&amp;($A496+11/24),tData[SEHTrajectPeriodeDatumTijdTotEnMet],"&gt;"&amp;($A496+11/24),tData[Langligger01],1)</f>
        <v/>
      </c>
      <c r="P496" s="20">
        <f>COUNTIFS(tData[SEHTrajectPeriodeDatumTijdVan],"&lt;="&amp;($A496+12/24),tData[SEHTrajectPeriodeDatumTijdTotEnMet],"&gt;"&amp;($A496+12/24),tData[Langligger01],1)</f>
        <v/>
      </c>
      <c r="Q496" s="20">
        <f>COUNTIFS(tData[SEHTrajectPeriodeDatumTijdVan],"&lt;="&amp;($A496+13/24),tData[SEHTrajectPeriodeDatumTijdTotEnMet],"&gt;"&amp;($A496+13/24),tData[Langligger01],1)</f>
        <v/>
      </c>
      <c r="R496" s="20">
        <f>COUNTIFS(tData[SEHTrajectPeriodeDatumTijdVan],"&lt;="&amp;($A496+14/24),tData[SEHTrajectPeriodeDatumTijdTotEnMet],"&gt;"&amp;($A496+14/24),tData[Langligger01],1)</f>
        <v/>
      </c>
      <c r="S496" s="20">
        <f>COUNTIFS(tData[SEHTrajectPeriodeDatumTijdVan],"&lt;="&amp;($A496+15/24),tData[SEHTrajectPeriodeDatumTijdTotEnMet],"&gt;"&amp;($A496+15/24),tData[Langligger01],1)</f>
        <v/>
      </c>
      <c r="T496" s="20">
        <f>COUNTIFS(tData[SEHTrajectPeriodeDatumTijdVan],"&lt;="&amp;($A496+16/24),tData[SEHTrajectPeriodeDatumTijdTotEnMet],"&gt;"&amp;($A496+16/24),tData[Langligger01],1)</f>
        <v/>
      </c>
      <c r="U496" s="20">
        <f>COUNTIFS(tData[SEHTrajectPeriodeDatumTijdVan],"&lt;="&amp;($A496+17/24),tData[SEHTrajectPeriodeDatumTijdTotEnMet],"&gt;"&amp;($A496+17/24),tData[Langligger01],1)</f>
        <v/>
      </c>
      <c r="V496" s="20">
        <f>COUNTIFS(tData[SEHTrajectPeriodeDatumTijdVan],"&lt;="&amp;($A496+18/24),tData[SEHTrajectPeriodeDatumTijdTotEnMet],"&gt;"&amp;($A496+18/24),tData[Langligger01],1)</f>
        <v/>
      </c>
      <c r="W496" s="20">
        <f>COUNTIFS(tData[SEHTrajectPeriodeDatumTijdVan],"&lt;="&amp;($A496+19/24),tData[SEHTrajectPeriodeDatumTijdTotEnMet],"&gt;"&amp;($A496+19/24),tData[Langligger01],1)</f>
        <v/>
      </c>
      <c r="X496" s="20">
        <f>COUNTIFS(tData[SEHTrajectPeriodeDatumTijdVan],"&lt;="&amp;($A496+20/24),tData[SEHTrajectPeriodeDatumTijdTotEnMet],"&gt;"&amp;($A496+20/24),tData[Langligger01],1)</f>
        <v/>
      </c>
      <c r="Y496" s="20">
        <f>COUNTIFS(tData[SEHTrajectPeriodeDatumTijdVan],"&lt;="&amp;($A496+21/24),tData[SEHTrajectPeriodeDatumTijdTotEnMet],"&gt;"&amp;($A496+21/24),tData[Langligger01],1)</f>
        <v/>
      </c>
      <c r="Z496" s="20">
        <f>COUNTIFS(tData[SEHTrajectPeriodeDatumTijdVan],"&lt;="&amp;($A496+22/24),tData[SEHTrajectPeriodeDatumTijdTotEnMet],"&gt;"&amp;($A496+22/24),tData[Langligger01],1)</f>
        <v/>
      </c>
      <c r="AA496" s="20">
        <f>COUNTIFS(tData[SEHTrajectPeriodeDatumTijdVan],"&lt;="&amp;($A496+23/24),tData[SEHTrajectPeriodeDatumTijdTotEnMet],"&gt;"&amp;($A496+23/24),tData[Langligger01],1)</f>
        <v/>
      </c>
    </row>
    <row r="497">
      <c r="A497" s="19" t="n">
        <v>45785</v>
      </c>
      <c r="B497" s="15">
        <f>WEEKDAY($A497,2)</f>
        <v/>
      </c>
      <c r="C497" s="15">
        <f>IF(AND($A497&gt;=INT(Instellingen!$B$5),$A497&lt;=INT(Instellingen!$B$6)),1,0)</f>
        <v/>
      </c>
      <c r="D497" s="20">
        <f>COUNTIFS(tData[SEHTrajectPeriodeDatumTijdVan],"&lt;="&amp;($A497+0/24),tData[SEHTrajectPeriodeDatumTijdTotEnMet],"&gt;"&amp;($A497+0/24),tData[Langligger01],1)</f>
        <v/>
      </c>
      <c r="E497" s="20">
        <f>COUNTIFS(tData[SEHTrajectPeriodeDatumTijdVan],"&lt;="&amp;($A497+1/24),tData[SEHTrajectPeriodeDatumTijdTotEnMet],"&gt;"&amp;($A497+1/24),tData[Langligger01],1)</f>
        <v/>
      </c>
      <c r="F497" s="20">
        <f>COUNTIFS(tData[SEHTrajectPeriodeDatumTijdVan],"&lt;="&amp;($A497+2/24),tData[SEHTrajectPeriodeDatumTijdTotEnMet],"&gt;"&amp;($A497+2/24),tData[Langligger01],1)</f>
        <v/>
      </c>
      <c r="G497" s="20">
        <f>COUNTIFS(tData[SEHTrajectPeriodeDatumTijdVan],"&lt;="&amp;($A497+3/24),tData[SEHTrajectPeriodeDatumTijdTotEnMet],"&gt;"&amp;($A497+3/24),tData[Langligger01],1)</f>
        <v/>
      </c>
      <c r="H497" s="20">
        <f>COUNTIFS(tData[SEHTrajectPeriodeDatumTijdVan],"&lt;="&amp;($A497+4/24),tData[SEHTrajectPeriodeDatumTijdTotEnMet],"&gt;"&amp;($A497+4/24),tData[Langligger01],1)</f>
        <v/>
      </c>
      <c r="I497" s="20">
        <f>COUNTIFS(tData[SEHTrajectPeriodeDatumTijdVan],"&lt;="&amp;($A497+5/24),tData[SEHTrajectPeriodeDatumTijdTotEnMet],"&gt;"&amp;($A497+5/24),tData[Langligger01],1)</f>
        <v/>
      </c>
      <c r="J497" s="20">
        <f>COUNTIFS(tData[SEHTrajectPeriodeDatumTijdVan],"&lt;="&amp;($A497+6/24),tData[SEHTrajectPeriodeDatumTijdTotEnMet],"&gt;"&amp;($A497+6/24),tData[Langligger01],1)</f>
        <v/>
      </c>
      <c r="K497" s="20">
        <f>COUNTIFS(tData[SEHTrajectPeriodeDatumTijdVan],"&lt;="&amp;($A497+7/24),tData[SEHTrajectPeriodeDatumTijdTotEnMet],"&gt;"&amp;($A497+7/24),tData[Langligger01],1)</f>
        <v/>
      </c>
      <c r="L497" s="20">
        <f>COUNTIFS(tData[SEHTrajectPeriodeDatumTijdVan],"&lt;="&amp;($A497+8/24),tData[SEHTrajectPeriodeDatumTijdTotEnMet],"&gt;"&amp;($A497+8/24),tData[Langligger01],1)</f>
        <v/>
      </c>
      <c r="M497" s="20">
        <f>COUNTIFS(tData[SEHTrajectPeriodeDatumTijdVan],"&lt;="&amp;($A497+9/24),tData[SEHTrajectPeriodeDatumTijdTotEnMet],"&gt;"&amp;($A497+9/24),tData[Langligger01],1)</f>
        <v/>
      </c>
      <c r="N497" s="20">
        <f>COUNTIFS(tData[SEHTrajectPeriodeDatumTijdVan],"&lt;="&amp;($A497+10/24),tData[SEHTrajectPeriodeDatumTijdTotEnMet],"&gt;"&amp;($A497+10/24),tData[Langligger01],1)</f>
        <v/>
      </c>
      <c r="O497" s="20">
        <f>COUNTIFS(tData[SEHTrajectPeriodeDatumTijdVan],"&lt;="&amp;($A497+11/24),tData[SEHTrajectPeriodeDatumTijdTotEnMet],"&gt;"&amp;($A497+11/24),tData[Langligger01],1)</f>
        <v/>
      </c>
      <c r="P497" s="20">
        <f>COUNTIFS(tData[SEHTrajectPeriodeDatumTijdVan],"&lt;="&amp;($A497+12/24),tData[SEHTrajectPeriodeDatumTijdTotEnMet],"&gt;"&amp;($A497+12/24),tData[Langligger01],1)</f>
        <v/>
      </c>
      <c r="Q497" s="20">
        <f>COUNTIFS(tData[SEHTrajectPeriodeDatumTijdVan],"&lt;="&amp;($A497+13/24),tData[SEHTrajectPeriodeDatumTijdTotEnMet],"&gt;"&amp;($A497+13/24),tData[Langligger01],1)</f>
        <v/>
      </c>
      <c r="R497" s="20">
        <f>COUNTIFS(tData[SEHTrajectPeriodeDatumTijdVan],"&lt;="&amp;($A497+14/24),tData[SEHTrajectPeriodeDatumTijdTotEnMet],"&gt;"&amp;($A497+14/24),tData[Langligger01],1)</f>
        <v/>
      </c>
      <c r="S497" s="20">
        <f>COUNTIFS(tData[SEHTrajectPeriodeDatumTijdVan],"&lt;="&amp;($A497+15/24),tData[SEHTrajectPeriodeDatumTijdTotEnMet],"&gt;"&amp;($A497+15/24),tData[Langligger01],1)</f>
        <v/>
      </c>
      <c r="T497" s="20">
        <f>COUNTIFS(tData[SEHTrajectPeriodeDatumTijdVan],"&lt;="&amp;($A497+16/24),tData[SEHTrajectPeriodeDatumTijdTotEnMet],"&gt;"&amp;($A497+16/24),tData[Langligger01],1)</f>
        <v/>
      </c>
      <c r="U497" s="20">
        <f>COUNTIFS(tData[SEHTrajectPeriodeDatumTijdVan],"&lt;="&amp;($A497+17/24),tData[SEHTrajectPeriodeDatumTijdTotEnMet],"&gt;"&amp;($A497+17/24),tData[Langligger01],1)</f>
        <v/>
      </c>
      <c r="V497" s="20">
        <f>COUNTIFS(tData[SEHTrajectPeriodeDatumTijdVan],"&lt;="&amp;($A497+18/24),tData[SEHTrajectPeriodeDatumTijdTotEnMet],"&gt;"&amp;($A497+18/24),tData[Langligger01],1)</f>
        <v/>
      </c>
      <c r="W497" s="20">
        <f>COUNTIFS(tData[SEHTrajectPeriodeDatumTijdVan],"&lt;="&amp;($A497+19/24),tData[SEHTrajectPeriodeDatumTijdTotEnMet],"&gt;"&amp;($A497+19/24),tData[Langligger01],1)</f>
        <v/>
      </c>
      <c r="X497" s="20">
        <f>COUNTIFS(tData[SEHTrajectPeriodeDatumTijdVan],"&lt;="&amp;($A497+20/24),tData[SEHTrajectPeriodeDatumTijdTotEnMet],"&gt;"&amp;($A497+20/24),tData[Langligger01],1)</f>
        <v/>
      </c>
      <c r="Y497" s="20">
        <f>COUNTIFS(tData[SEHTrajectPeriodeDatumTijdVan],"&lt;="&amp;($A497+21/24),tData[SEHTrajectPeriodeDatumTijdTotEnMet],"&gt;"&amp;($A497+21/24),tData[Langligger01],1)</f>
        <v/>
      </c>
      <c r="Z497" s="20">
        <f>COUNTIFS(tData[SEHTrajectPeriodeDatumTijdVan],"&lt;="&amp;($A497+22/24),tData[SEHTrajectPeriodeDatumTijdTotEnMet],"&gt;"&amp;($A497+22/24),tData[Langligger01],1)</f>
        <v/>
      </c>
      <c r="AA497" s="20">
        <f>COUNTIFS(tData[SEHTrajectPeriodeDatumTijdVan],"&lt;="&amp;($A497+23/24),tData[SEHTrajectPeriodeDatumTijdTotEnMet],"&gt;"&amp;($A497+23/24),tData[Langligger01],1)</f>
        <v/>
      </c>
    </row>
    <row r="498">
      <c r="A498" s="19" t="n">
        <v>45786</v>
      </c>
      <c r="B498" s="15">
        <f>WEEKDAY($A498,2)</f>
        <v/>
      </c>
      <c r="C498" s="15">
        <f>IF(AND($A498&gt;=INT(Instellingen!$B$5),$A498&lt;=INT(Instellingen!$B$6)),1,0)</f>
        <v/>
      </c>
      <c r="D498" s="20">
        <f>COUNTIFS(tData[SEHTrajectPeriodeDatumTijdVan],"&lt;="&amp;($A498+0/24),tData[SEHTrajectPeriodeDatumTijdTotEnMet],"&gt;"&amp;($A498+0/24),tData[Langligger01],1)</f>
        <v/>
      </c>
      <c r="E498" s="20">
        <f>COUNTIFS(tData[SEHTrajectPeriodeDatumTijdVan],"&lt;="&amp;($A498+1/24),tData[SEHTrajectPeriodeDatumTijdTotEnMet],"&gt;"&amp;($A498+1/24),tData[Langligger01],1)</f>
        <v/>
      </c>
      <c r="F498" s="20">
        <f>COUNTIFS(tData[SEHTrajectPeriodeDatumTijdVan],"&lt;="&amp;($A498+2/24),tData[SEHTrajectPeriodeDatumTijdTotEnMet],"&gt;"&amp;($A498+2/24),tData[Langligger01],1)</f>
        <v/>
      </c>
      <c r="G498" s="20">
        <f>COUNTIFS(tData[SEHTrajectPeriodeDatumTijdVan],"&lt;="&amp;($A498+3/24),tData[SEHTrajectPeriodeDatumTijdTotEnMet],"&gt;"&amp;($A498+3/24),tData[Langligger01],1)</f>
        <v/>
      </c>
      <c r="H498" s="20">
        <f>COUNTIFS(tData[SEHTrajectPeriodeDatumTijdVan],"&lt;="&amp;($A498+4/24),tData[SEHTrajectPeriodeDatumTijdTotEnMet],"&gt;"&amp;($A498+4/24),tData[Langligger01],1)</f>
        <v/>
      </c>
      <c r="I498" s="20">
        <f>COUNTIFS(tData[SEHTrajectPeriodeDatumTijdVan],"&lt;="&amp;($A498+5/24),tData[SEHTrajectPeriodeDatumTijdTotEnMet],"&gt;"&amp;($A498+5/24),tData[Langligger01],1)</f>
        <v/>
      </c>
      <c r="J498" s="20">
        <f>COUNTIFS(tData[SEHTrajectPeriodeDatumTijdVan],"&lt;="&amp;($A498+6/24),tData[SEHTrajectPeriodeDatumTijdTotEnMet],"&gt;"&amp;($A498+6/24),tData[Langligger01],1)</f>
        <v/>
      </c>
      <c r="K498" s="20">
        <f>COUNTIFS(tData[SEHTrajectPeriodeDatumTijdVan],"&lt;="&amp;($A498+7/24),tData[SEHTrajectPeriodeDatumTijdTotEnMet],"&gt;"&amp;($A498+7/24),tData[Langligger01],1)</f>
        <v/>
      </c>
      <c r="L498" s="20">
        <f>COUNTIFS(tData[SEHTrajectPeriodeDatumTijdVan],"&lt;="&amp;($A498+8/24),tData[SEHTrajectPeriodeDatumTijdTotEnMet],"&gt;"&amp;($A498+8/24),tData[Langligger01],1)</f>
        <v/>
      </c>
      <c r="M498" s="20">
        <f>COUNTIFS(tData[SEHTrajectPeriodeDatumTijdVan],"&lt;="&amp;($A498+9/24),tData[SEHTrajectPeriodeDatumTijdTotEnMet],"&gt;"&amp;($A498+9/24),tData[Langligger01],1)</f>
        <v/>
      </c>
      <c r="N498" s="20">
        <f>COUNTIFS(tData[SEHTrajectPeriodeDatumTijdVan],"&lt;="&amp;($A498+10/24),tData[SEHTrajectPeriodeDatumTijdTotEnMet],"&gt;"&amp;($A498+10/24),tData[Langligger01],1)</f>
        <v/>
      </c>
      <c r="O498" s="20">
        <f>COUNTIFS(tData[SEHTrajectPeriodeDatumTijdVan],"&lt;="&amp;($A498+11/24),tData[SEHTrajectPeriodeDatumTijdTotEnMet],"&gt;"&amp;($A498+11/24),tData[Langligger01],1)</f>
        <v/>
      </c>
      <c r="P498" s="20">
        <f>COUNTIFS(tData[SEHTrajectPeriodeDatumTijdVan],"&lt;="&amp;($A498+12/24),tData[SEHTrajectPeriodeDatumTijdTotEnMet],"&gt;"&amp;($A498+12/24),tData[Langligger01],1)</f>
        <v/>
      </c>
      <c r="Q498" s="20">
        <f>COUNTIFS(tData[SEHTrajectPeriodeDatumTijdVan],"&lt;="&amp;($A498+13/24),tData[SEHTrajectPeriodeDatumTijdTotEnMet],"&gt;"&amp;($A498+13/24),tData[Langligger01],1)</f>
        <v/>
      </c>
      <c r="R498" s="20">
        <f>COUNTIFS(tData[SEHTrajectPeriodeDatumTijdVan],"&lt;="&amp;($A498+14/24),tData[SEHTrajectPeriodeDatumTijdTotEnMet],"&gt;"&amp;($A498+14/24),tData[Langligger01],1)</f>
        <v/>
      </c>
      <c r="S498" s="20">
        <f>COUNTIFS(tData[SEHTrajectPeriodeDatumTijdVan],"&lt;="&amp;($A498+15/24),tData[SEHTrajectPeriodeDatumTijdTotEnMet],"&gt;"&amp;($A498+15/24),tData[Langligger01],1)</f>
        <v/>
      </c>
      <c r="T498" s="20">
        <f>COUNTIFS(tData[SEHTrajectPeriodeDatumTijdVan],"&lt;="&amp;($A498+16/24),tData[SEHTrajectPeriodeDatumTijdTotEnMet],"&gt;"&amp;($A498+16/24),tData[Langligger01],1)</f>
        <v/>
      </c>
      <c r="U498" s="20">
        <f>COUNTIFS(tData[SEHTrajectPeriodeDatumTijdVan],"&lt;="&amp;($A498+17/24),tData[SEHTrajectPeriodeDatumTijdTotEnMet],"&gt;"&amp;($A498+17/24),tData[Langligger01],1)</f>
        <v/>
      </c>
      <c r="V498" s="20">
        <f>COUNTIFS(tData[SEHTrajectPeriodeDatumTijdVan],"&lt;="&amp;($A498+18/24),tData[SEHTrajectPeriodeDatumTijdTotEnMet],"&gt;"&amp;($A498+18/24),tData[Langligger01],1)</f>
        <v/>
      </c>
      <c r="W498" s="20">
        <f>COUNTIFS(tData[SEHTrajectPeriodeDatumTijdVan],"&lt;="&amp;($A498+19/24),tData[SEHTrajectPeriodeDatumTijdTotEnMet],"&gt;"&amp;($A498+19/24),tData[Langligger01],1)</f>
        <v/>
      </c>
      <c r="X498" s="20">
        <f>COUNTIFS(tData[SEHTrajectPeriodeDatumTijdVan],"&lt;="&amp;($A498+20/24),tData[SEHTrajectPeriodeDatumTijdTotEnMet],"&gt;"&amp;($A498+20/24),tData[Langligger01],1)</f>
        <v/>
      </c>
      <c r="Y498" s="20">
        <f>COUNTIFS(tData[SEHTrajectPeriodeDatumTijdVan],"&lt;="&amp;($A498+21/24),tData[SEHTrajectPeriodeDatumTijdTotEnMet],"&gt;"&amp;($A498+21/24),tData[Langligger01],1)</f>
        <v/>
      </c>
      <c r="Z498" s="20">
        <f>COUNTIFS(tData[SEHTrajectPeriodeDatumTijdVan],"&lt;="&amp;($A498+22/24),tData[SEHTrajectPeriodeDatumTijdTotEnMet],"&gt;"&amp;($A498+22/24),tData[Langligger01],1)</f>
        <v/>
      </c>
      <c r="AA498" s="20">
        <f>COUNTIFS(tData[SEHTrajectPeriodeDatumTijdVan],"&lt;="&amp;($A498+23/24),tData[SEHTrajectPeriodeDatumTijdTotEnMet],"&gt;"&amp;($A498+23/24),tData[Langligger01],1)</f>
        <v/>
      </c>
    </row>
    <row r="499">
      <c r="A499" s="19" t="n">
        <v>45787</v>
      </c>
      <c r="B499" s="15">
        <f>WEEKDAY($A499,2)</f>
        <v/>
      </c>
      <c r="C499" s="15">
        <f>IF(AND($A499&gt;=INT(Instellingen!$B$5),$A499&lt;=INT(Instellingen!$B$6)),1,0)</f>
        <v/>
      </c>
      <c r="D499" s="20">
        <f>COUNTIFS(tData[SEHTrajectPeriodeDatumTijdVan],"&lt;="&amp;($A499+0/24),tData[SEHTrajectPeriodeDatumTijdTotEnMet],"&gt;"&amp;($A499+0/24),tData[Langligger01],1)</f>
        <v/>
      </c>
      <c r="E499" s="20">
        <f>COUNTIFS(tData[SEHTrajectPeriodeDatumTijdVan],"&lt;="&amp;($A499+1/24),tData[SEHTrajectPeriodeDatumTijdTotEnMet],"&gt;"&amp;($A499+1/24),tData[Langligger01],1)</f>
        <v/>
      </c>
      <c r="F499" s="20">
        <f>COUNTIFS(tData[SEHTrajectPeriodeDatumTijdVan],"&lt;="&amp;($A499+2/24),tData[SEHTrajectPeriodeDatumTijdTotEnMet],"&gt;"&amp;($A499+2/24),tData[Langligger01],1)</f>
        <v/>
      </c>
      <c r="G499" s="20">
        <f>COUNTIFS(tData[SEHTrajectPeriodeDatumTijdVan],"&lt;="&amp;($A499+3/24),tData[SEHTrajectPeriodeDatumTijdTotEnMet],"&gt;"&amp;($A499+3/24),tData[Langligger01],1)</f>
        <v/>
      </c>
      <c r="H499" s="20">
        <f>COUNTIFS(tData[SEHTrajectPeriodeDatumTijdVan],"&lt;="&amp;($A499+4/24),tData[SEHTrajectPeriodeDatumTijdTotEnMet],"&gt;"&amp;($A499+4/24),tData[Langligger01],1)</f>
        <v/>
      </c>
      <c r="I499" s="20">
        <f>COUNTIFS(tData[SEHTrajectPeriodeDatumTijdVan],"&lt;="&amp;($A499+5/24),tData[SEHTrajectPeriodeDatumTijdTotEnMet],"&gt;"&amp;($A499+5/24),tData[Langligger01],1)</f>
        <v/>
      </c>
      <c r="J499" s="20">
        <f>COUNTIFS(tData[SEHTrajectPeriodeDatumTijdVan],"&lt;="&amp;($A499+6/24),tData[SEHTrajectPeriodeDatumTijdTotEnMet],"&gt;"&amp;($A499+6/24),tData[Langligger01],1)</f>
        <v/>
      </c>
      <c r="K499" s="20">
        <f>COUNTIFS(tData[SEHTrajectPeriodeDatumTijdVan],"&lt;="&amp;($A499+7/24),tData[SEHTrajectPeriodeDatumTijdTotEnMet],"&gt;"&amp;($A499+7/24),tData[Langligger01],1)</f>
        <v/>
      </c>
      <c r="L499" s="20">
        <f>COUNTIFS(tData[SEHTrajectPeriodeDatumTijdVan],"&lt;="&amp;($A499+8/24),tData[SEHTrajectPeriodeDatumTijdTotEnMet],"&gt;"&amp;($A499+8/24),tData[Langligger01],1)</f>
        <v/>
      </c>
      <c r="M499" s="20">
        <f>COUNTIFS(tData[SEHTrajectPeriodeDatumTijdVan],"&lt;="&amp;($A499+9/24),tData[SEHTrajectPeriodeDatumTijdTotEnMet],"&gt;"&amp;($A499+9/24),tData[Langligger01],1)</f>
        <v/>
      </c>
      <c r="N499" s="20">
        <f>COUNTIFS(tData[SEHTrajectPeriodeDatumTijdVan],"&lt;="&amp;($A499+10/24),tData[SEHTrajectPeriodeDatumTijdTotEnMet],"&gt;"&amp;($A499+10/24),tData[Langligger01],1)</f>
        <v/>
      </c>
      <c r="O499" s="20">
        <f>COUNTIFS(tData[SEHTrajectPeriodeDatumTijdVan],"&lt;="&amp;($A499+11/24),tData[SEHTrajectPeriodeDatumTijdTotEnMet],"&gt;"&amp;($A499+11/24),tData[Langligger01],1)</f>
        <v/>
      </c>
      <c r="P499" s="20">
        <f>COUNTIFS(tData[SEHTrajectPeriodeDatumTijdVan],"&lt;="&amp;($A499+12/24),tData[SEHTrajectPeriodeDatumTijdTotEnMet],"&gt;"&amp;($A499+12/24),tData[Langligger01],1)</f>
        <v/>
      </c>
      <c r="Q499" s="20">
        <f>COUNTIFS(tData[SEHTrajectPeriodeDatumTijdVan],"&lt;="&amp;($A499+13/24),tData[SEHTrajectPeriodeDatumTijdTotEnMet],"&gt;"&amp;($A499+13/24),tData[Langligger01],1)</f>
        <v/>
      </c>
      <c r="R499" s="20">
        <f>COUNTIFS(tData[SEHTrajectPeriodeDatumTijdVan],"&lt;="&amp;($A499+14/24),tData[SEHTrajectPeriodeDatumTijdTotEnMet],"&gt;"&amp;($A499+14/24),tData[Langligger01],1)</f>
        <v/>
      </c>
      <c r="S499" s="20">
        <f>COUNTIFS(tData[SEHTrajectPeriodeDatumTijdVan],"&lt;="&amp;($A499+15/24),tData[SEHTrajectPeriodeDatumTijdTotEnMet],"&gt;"&amp;($A499+15/24),tData[Langligger01],1)</f>
        <v/>
      </c>
      <c r="T499" s="20">
        <f>COUNTIFS(tData[SEHTrajectPeriodeDatumTijdVan],"&lt;="&amp;($A499+16/24),tData[SEHTrajectPeriodeDatumTijdTotEnMet],"&gt;"&amp;($A499+16/24),tData[Langligger01],1)</f>
        <v/>
      </c>
      <c r="U499" s="20">
        <f>COUNTIFS(tData[SEHTrajectPeriodeDatumTijdVan],"&lt;="&amp;($A499+17/24),tData[SEHTrajectPeriodeDatumTijdTotEnMet],"&gt;"&amp;($A499+17/24),tData[Langligger01],1)</f>
        <v/>
      </c>
      <c r="V499" s="20">
        <f>COUNTIFS(tData[SEHTrajectPeriodeDatumTijdVan],"&lt;="&amp;($A499+18/24),tData[SEHTrajectPeriodeDatumTijdTotEnMet],"&gt;"&amp;($A499+18/24),tData[Langligger01],1)</f>
        <v/>
      </c>
      <c r="W499" s="20">
        <f>COUNTIFS(tData[SEHTrajectPeriodeDatumTijdVan],"&lt;="&amp;($A499+19/24),tData[SEHTrajectPeriodeDatumTijdTotEnMet],"&gt;"&amp;($A499+19/24),tData[Langligger01],1)</f>
        <v/>
      </c>
      <c r="X499" s="20">
        <f>COUNTIFS(tData[SEHTrajectPeriodeDatumTijdVan],"&lt;="&amp;($A499+20/24),tData[SEHTrajectPeriodeDatumTijdTotEnMet],"&gt;"&amp;($A499+20/24),tData[Langligger01],1)</f>
        <v/>
      </c>
      <c r="Y499" s="20">
        <f>COUNTIFS(tData[SEHTrajectPeriodeDatumTijdVan],"&lt;="&amp;($A499+21/24),tData[SEHTrajectPeriodeDatumTijdTotEnMet],"&gt;"&amp;($A499+21/24),tData[Langligger01],1)</f>
        <v/>
      </c>
      <c r="Z499" s="20">
        <f>COUNTIFS(tData[SEHTrajectPeriodeDatumTijdVan],"&lt;="&amp;($A499+22/24),tData[SEHTrajectPeriodeDatumTijdTotEnMet],"&gt;"&amp;($A499+22/24),tData[Langligger01],1)</f>
        <v/>
      </c>
      <c r="AA499" s="20">
        <f>COUNTIFS(tData[SEHTrajectPeriodeDatumTijdVan],"&lt;="&amp;($A499+23/24),tData[SEHTrajectPeriodeDatumTijdTotEnMet],"&gt;"&amp;($A499+23/24),tData[Langligger01],1)</f>
        <v/>
      </c>
    </row>
    <row r="500">
      <c r="A500" s="19" t="n">
        <v>45788</v>
      </c>
      <c r="B500" s="15">
        <f>WEEKDAY($A500,2)</f>
        <v/>
      </c>
      <c r="C500" s="15">
        <f>IF(AND($A500&gt;=INT(Instellingen!$B$5),$A500&lt;=INT(Instellingen!$B$6)),1,0)</f>
        <v/>
      </c>
      <c r="D500" s="20">
        <f>COUNTIFS(tData[SEHTrajectPeriodeDatumTijdVan],"&lt;="&amp;($A500+0/24),tData[SEHTrajectPeriodeDatumTijdTotEnMet],"&gt;"&amp;($A500+0/24),tData[Langligger01],1)</f>
        <v/>
      </c>
      <c r="E500" s="20">
        <f>COUNTIFS(tData[SEHTrajectPeriodeDatumTijdVan],"&lt;="&amp;($A500+1/24),tData[SEHTrajectPeriodeDatumTijdTotEnMet],"&gt;"&amp;($A500+1/24),tData[Langligger01],1)</f>
        <v/>
      </c>
      <c r="F500" s="20">
        <f>COUNTIFS(tData[SEHTrajectPeriodeDatumTijdVan],"&lt;="&amp;($A500+2/24),tData[SEHTrajectPeriodeDatumTijdTotEnMet],"&gt;"&amp;($A500+2/24),tData[Langligger01],1)</f>
        <v/>
      </c>
      <c r="G500" s="20">
        <f>COUNTIFS(tData[SEHTrajectPeriodeDatumTijdVan],"&lt;="&amp;($A500+3/24),tData[SEHTrajectPeriodeDatumTijdTotEnMet],"&gt;"&amp;($A500+3/24),tData[Langligger01],1)</f>
        <v/>
      </c>
      <c r="H500" s="20">
        <f>COUNTIFS(tData[SEHTrajectPeriodeDatumTijdVan],"&lt;="&amp;($A500+4/24),tData[SEHTrajectPeriodeDatumTijdTotEnMet],"&gt;"&amp;($A500+4/24),tData[Langligger01],1)</f>
        <v/>
      </c>
      <c r="I500" s="20">
        <f>COUNTIFS(tData[SEHTrajectPeriodeDatumTijdVan],"&lt;="&amp;($A500+5/24),tData[SEHTrajectPeriodeDatumTijdTotEnMet],"&gt;"&amp;($A500+5/24),tData[Langligger01],1)</f>
        <v/>
      </c>
      <c r="J500" s="20">
        <f>COUNTIFS(tData[SEHTrajectPeriodeDatumTijdVan],"&lt;="&amp;($A500+6/24),tData[SEHTrajectPeriodeDatumTijdTotEnMet],"&gt;"&amp;($A500+6/24),tData[Langligger01],1)</f>
        <v/>
      </c>
      <c r="K500" s="20">
        <f>COUNTIFS(tData[SEHTrajectPeriodeDatumTijdVan],"&lt;="&amp;($A500+7/24),tData[SEHTrajectPeriodeDatumTijdTotEnMet],"&gt;"&amp;($A500+7/24),tData[Langligger01],1)</f>
        <v/>
      </c>
      <c r="L500" s="20">
        <f>COUNTIFS(tData[SEHTrajectPeriodeDatumTijdVan],"&lt;="&amp;($A500+8/24),tData[SEHTrajectPeriodeDatumTijdTotEnMet],"&gt;"&amp;($A500+8/24),tData[Langligger01],1)</f>
        <v/>
      </c>
      <c r="M500" s="20">
        <f>COUNTIFS(tData[SEHTrajectPeriodeDatumTijdVan],"&lt;="&amp;($A500+9/24),tData[SEHTrajectPeriodeDatumTijdTotEnMet],"&gt;"&amp;($A500+9/24),tData[Langligger01],1)</f>
        <v/>
      </c>
      <c r="N500" s="20">
        <f>COUNTIFS(tData[SEHTrajectPeriodeDatumTijdVan],"&lt;="&amp;($A500+10/24),tData[SEHTrajectPeriodeDatumTijdTotEnMet],"&gt;"&amp;($A500+10/24),tData[Langligger01],1)</f>
        <v/>
      </c>
      <c r="O500" s="20">
        <f>COUNTIFS(tData[SEHTrajectPeriodeDatumTijdVan],"&lt;="&amp;($A500+11/24),tData[SEHTrajectPeriodeDatumTijdTotEnMet],"&gt;"&amp;($A500+11/24),tData[Langligger01],1)</f>
        <v/>
      </c>
      <c r="P500" s="20">
        <f>COUNTIFS(tData[SEHTrajectPeriodeDatumTijdVan],"&lt;="&amp;($A500+12/24),tData[SEHTrajectPeriodeDatumTijdTotEnMet],"&gt;"&amp;($A500+12/24),tData[Langligger01],1)</f>
        <v/>
      </c>
      <c r="Q500" s="20">
        <f>COUNTIFS(tData[SEHTrajectPeriodeDatumTijdVan],"&lt;="&amp;($A500+13/24),tData[SEHTrajectPeriodeDatumTijdTotEnMet],"&gt;"&amp;($A500+13/24),tData[Langligger01],1)</f>
        <v/>
      </c>
      <c r="R500" s="20">
        <f>COUNTIFS(tData[SEHTrajectPeriodeDatumTijdVan],"&lt;="&amp;($A500+14/24),tData[SEHTrajectPeriodeDatumTijdTotEnMet],"&gt;"&amp;($A500+14/24),tData[Langligger01],1)</f>
        <v/>
      </c>
      <c r="S500" s="20">
        <f>COUNTIFS(tData[SEHTrajectPeriodeDatumTijdVan],"&lt;="&amp;($A500+15/24),tData[SEHTrajectPeriodeDatumTijdTotEnMet],"&gt;"&amp;($A500+15/24),tData[Langligger01],1)</f>
        <v/>
      </c>
      <c r="T500" s="20">
        <f>COUNTIFS(tData[SEHTrajectPeriodeDatumTijdVan],"&lt;="&amp;($A500+16/24),tData[SEHTrajectPeriodeDatumTijdTotEnMet],"&gt;"&amp;($A500+16/24),tData[Langligger01],1)</f>
        <v/>
      </c>
      <c r="U500" s="20">
        <f>COUNTIFS(tData[SEHTrajectPeriodeDatumTijdVan],"&lt;="&amp;($A500+17/24),tData[SEHTrajectPeriodeDatumTijdTotEnMet],"&gt;"&amp;($A500+17/24),tData[Langligger01],1)</f>
        <v/>
      </c>
      <c r="V500" s="20">
        <f>COUNTIFS(tData[SEHTrajectPeriodeDatumTijdVan],"&lt;="&amp;($A500+18/24),tData[SEHTrajectPeriodeDatumTijdTotEnMet],"&gt;"&amp;($A500+18/24),tData[Langligger01],1)</f>
        <v/>
      </c>
      <c r="W500" s="20">
        <f>COUNTIFS(tData[SEHTrajectPeriodeDatumTijdVan],"&lt;="&amp;($A500+19/24),tData[SEHTrajectPeriodeDatumTijdTotEnMet],"&gt;"&amp;($A500+19/24),tData[Langligger01],1)</f>
        <v/>
      </c>
      <c r="X500" s="20">
        <f>COUNTIFS(tData[SEHTrajectPeriodeDatumTijdVan],"&lt;="&amp;($A500+20/24),tData[SEHTrajectPeriodeDatumTijdTotEnMet],"&gt;"&amp;($A500+20/24),tData[Langligger01],1)</f>
        <v/>
      </c>
      <c r="Y500" s="20">
        <f>COUNTIFS(tData[SEHTrajectPeriodeDatumTijdVan],"&lt;="&amp;($A500+21/24),tData[SEHTrajectPeriodeDatumTijdTotEnMet],"&gt;"&amp;($A500+21/24),tData[Langligger01],1)</f>
        <v/>
      </c>
      <c r="Z500" s="20">
        <f>COUNTIFS(tData[SEHTrajectPeriodeDatumTijdVan],"&lt;="&amp;($A500+22/24),tData[SEHTrajectPeriodeDatumTijdTotEnMet],"&gt;"&amp;($A500+22/24),tData[Langligger01],1)</f>
        <v/>
      </c>
      <c r="AA500" s="20">
        <f>COUNTIFS(tData[SEHTrajectPeriodeDatumTijdVan],"&lt;="&amp;($A500+23/24),tData[SEHTrajectPeriodeDatumTijdTotEnMet],"&gt;"&amp;($A500+23/24),tData[Langligger01],1)</f>
        <v/>
      </c>
    </row>
    <row r="501">
      <c r="A501" s="19" t="n">
        <v>45789</v>
      </c>
      <c r="B501" s="15">
        <f>WEEKDAY($A501,2)</f>
        <v/>
      </c>
      <c r="C501" s="15">
        <f>IF(AND($A501&gt;=INT(Instellingen!$B$5),$A501&lt;=INT(Instellingen!$B$6)),1,0)</f>
        <v/>
      </c>
      <c r="D501" s="20">
        <f>COUNTIFS(tData[SEHTrajectPeriodeDatumTijdVan],"&lt;="&amp;($A501+0/24),tData[SEHTrajectPeriodeDatumTijdTotEnMet],"&gt;"&amp;($A501+0/24),tData[Langligger01],1)</f>
        <v/>
      </c>
      <c r="E501" s="20">
        <f>COUNTIFS(tData[SEHTrajectPeriodeDatumTijdVan],"&lt;="&amp;($A501+1/24),tData[SEHTrajectPeriodeDatumTijdTotEnMet],"&gt;"&amp;($A501+1/24),tData[Langligger01],1)</f>
        <v/>
      </c>
      <c r="F501" s="20">
        <f>COUNTIFS(tData[SEHTrajectPeriodeDatumTijdVan],"&lt;="&amp;($A501+2/24),tData[SEHTrajectPeriodeDatumTijdTotEnMet],"&gt;"&amp;($A501+2/24),tData[Langligger01],1)</f>
        <v/>
      </c>
      <c r="G501" s="20">
        <f>COUNTIFS(tData[SEHTrajectPeriodeDatumTijdVan],"&lt;="&amp;($A501+3/24),tData[SEHTrajectPeriodeDatumTijdTotEnMet],"&gt;"&amp;($A501+3/24),tData[Langligger01],1)</f>
        <v/>
      </c>
      <c r="H501" s="20">
        <f>COUNTIFS(tData[SEHTrajectPeriodeDatumTijdVan],"&lt;="&amp;($A501+4/24),tData[SEHTrajectPeriodeDatumTijdTotEnMet],"&gt;"&amp;($A501+4/24),tData[Langligger01],1)</f>
        <v/>
      </c>
      <c r="I501" s="20">
        <f>COUNTIFS(tData[SEHTrajectPeriodeDatumTijdVan],"&lt;="&amp;($A501+5/24),tData[SEHTrajectPeriodeDatumTijdTotEnMet],"&gt;"&amp;($A501+5/24),tData[Langligger01],1)</f>
        <v/>
      </c>
      <c r="J501" s="20">
        <f>COUNTIFS(tData[SEHTrajectPeriodeDatumTijdVan],"&lt;="&amp;($A501+6/24),tData[SEHTrajectPeriodeDatumTijdTotEnMet],"&gt;"&amp;($A501+6/24),tData[Langligger01],1)</f>
        <v/>
      </c>
      <c r="K501" s="20">
        <f>COUNTIFS(tData[SEHTrajectPeriodeDatumTijdVan],"&lt;="&amp;($A501+7/24),tData[SEHTrajectPeriodeDatumTijdTotEnMet],"&gt;"&amp;($A501+7/24),tData[Langligger01],1)</f>
        <v/>
      </c>
      <c r="L501" s="20">
        <f>COUNTIFS(tData[SEHTrajectPeriodeDatumTijdVan],"&lt;="&amp;($A501+8/24),tData[SEHTrajectPeriodeDatumTijdTotEnMet],"&gt;"&amp;($A501+8/24),tData[Langligger01],1)</f>
        <v/>
      </c>
      <c r="M501" s="20">
        <f>COUNTIFS(tData[SEHTrajectPeriodeDatumTijdVan],"&lt;="&amp;($A501+9/24),tData[SEHTrajectPeriodeDatumTijdTotEnMet],"&gt;"&amp;($A501+9/24),tData[Langligger01],1)</f>
        <v/>
      </c>
      <c r="N501" s="20">
        <f>COUNTIFS(tData[SEHTrajectPeriodeDatumTijdVan],"&lt;="&amp;($A501+10/24),tData[SEHTrajectPeriodeDatumTijdTotEnMet],"&gt;"&amp;($A501+10/24),tData[Langligger01],1)</f>
        <v/>
      </c>
      <c r="O501" s="20">
        <f>COUNTIFS(tData[SEHTrajectPeriodeDatumTijdVan],"&lt;="&amp;($A501+11/24),tData[SEHTrajectPeriodeDatumTijdTotEnMet],"&gt;"&amp;($A501+11/24),tData[Langligger01],1)</f>
        <v/>
      </c>
      <c r="P501" s="20">
        <f>COUNTIFS(tData[SEHTrajectPeriodeDatumTijdVan],"&lt;="&amp;($A501+12/24),tData[SEHTrajectPeriodeDatumTijdTotEnMet],"&gt;"&amp;($A501+12/24),tData[Langligger01],1)</f>
        <v/>
      </c>
      <c r="Q501" s="20">
        <f>COUNTIFS(tData[SEHTrajectPeriodeDatumTijdVan],"&lt;="&amp;($A501+13/24),tData[SEHTrajectPeriodeDatumTijdTotEnMet],"&gt;"&amp;($A501+13/24),tData[Langligger01],1)</f>
        <v/>
      </c>
      <c r="R501" s="20">
        <f>COUNTIFS(tData[SEHTrajectPeriodeDatumTijdVan],"&lt;="&amp;($A501+14/24),tData[SEHTrajectPeriodeDatumTijdTotEnMet],"&gt;"&amp;($A501+14/24),tData[Langligger01],1)</f>
        <v/>
      </c>
      <c r="S501" s="20">
        <f>COUNTIFS(tData[SEHTrajectPeriodeDatumTijdVan],"&lt;="&amp;($A501+15/24),tData[SEHTrajectPeriodeDatumTijdTotEnMet],"&gt;"&amp;($A501+15/24),tData[Langligger01],1)</f>
        <v/>
      </c>
      <c r="T501" s="20">
        <f>COUNTIFS(tData[SEHTrajectPeriodeDatumTijdVan],"&lt;="&amp;($A501+16/24),tData[SEHTrajectPeriodeDatumTijdTotEnMet],"&gt;"&amp;($A501+16/24),tData[Langligger01],1)</f>
        <v/>
      </c>
      <c r="U501" s="20">
        <f>COUNTIFS(tData[SEHTrajectPeriodeDatumTijdVan],"&lt;="&amp;($A501+17/24),tData[SEHTrajectPeriodeDatumTijdTotEnMet],"&gt;"&amp;($A501+17/24),tData[Langligger01],1)</f>
        <v/>
      </c>
      <c r="V501" s="20">
        <f>COUNTIFS(tData[SEHTrajectPeriodeDatumTijdVan],"&lt;="&amp;($A501+18/24),tData[SEHTrajectPeriodeDatumTijdTotEnMet],"&gt;"&amp;($A501+18/24),tData[Langligger01],1)</f>
        <v/>
      </c>
      <c r="W501" s="20">
        <f>COUNTIFS(tData[SEHTrajectPeriodeDatumTijdVan],"&lt;="&amp;($A501+19/24),tData[SEHTrajectPeriodeDatumTijdTotEnMet],"&gt;"&amp;($A501+19/24),tData[Langligger01],1)</f>
        <v/>
      </c>
      <c r="X501" s="20">
        <f>COUNTIFS(tData[SEHTrajectPeriodeDatumTijdVan],"&lt;="&amp;($A501+20/24),tData[SEHTrajectPeriodeDatumTijdTotEnMet],"&gt;"&amp;($A501+20/24),tData[Langligger01],1)</f>
        <v/>
      </c>
      <c r="Y501" s="20">
        <f>COUNTIFS(tData[SEHTrajectPeriodeDatumTijdVan],"&lt;="&amp;($A501+21/24),tData[SEHTrajectPeriodeDatumTijdTotEnMet],"&gt;"&amp;($A501+21/24),tData[Langligger01],1)</f>
        <v/>
      </c>
      <c r="Z501" s="20">
        <f>COUNTIFS(tData[SEHTrajectPeriodeDatumTijdVan],"&lt;="&amp;($A501+22/24),tData[SEHTrajectPeriodeDatumTijdTotEnMet],"&gt;"&amp;($A501+22/24),tData[Langligger01],1)</f>
        <v/>
      </c>
      <c r="AA501" s="20">
        <f>COUNTIFS(tData[SEHTrajectPeriodeDatumTijdVan],"&lt;="&amp;($A501+23/24),tData[SEHTrajectPeriodeDatumTijdTotEnMet],"&gt;"&amp;($A501+23/24),tData[Langligger01],1)</f>
        <v/>
      </c>
    </row>
    <row r="502">
      <c r="A502" s="19" t="n">
        <v>45790</v>
      </c>
      <c r="B502" s="15">
        <f>WEEKDAY($A502,2)</f>
        <v/>
      </c>
      <c r="C502" s="15">
        <f>IF(AND($A502&gt;=INT(Instellingen!$B$5),$A502&lt;=INT(Instellingen!$B$6)),1,0)</f>
        <v/>
      </c>
      <c r="D502" s="20">
        <f>COUNTIFS(tData[SEHTrajectPeriodeDatumTijdVan],"&lt;="&amp;($A502+0/24),tData[SEHTrajectPeriodeDatumTijdTotEnMet],"&gt;"&amp;($A502+0/24),tData[Langligger01],1)</f>
        <v/>
      </c>
      <c r="E502" s="20">
        <f>COUNTIFS(tData[SEHTrajectPeriodeDatumTijdVan],"&lt;="&amp;($A502+1/24),tData[SEHTrajectPeriodeDatumTijdTotEnMet],"&gt;"&amp;($A502+1/24),tData[Langligger01],1)</f>
        <v/>
      </c>
      <c r="F502" s="20">
        <f>COUNTIFS(tData[SEHTrajectPeriodeDatumTijdVan],"&lt;="&amp;($A502+2/24),tData[SEHTrajectPeriodeDatumTijdTotEnMet],"&gt;"&amp;($A502+2/24),tData[Langligger01],1)</f>
        <v/>
      </c>
      <c r="G502" s="20">
        <f>COUNTIFS(tData[SEHTrajectPeriodeDatumTijdVan],"&lt;="&amp;($A502+3/24),tData[SEHTrajectPeriodeDatumTijdTotEnMet],"&gt;"&amp;($A502+3/24),tData[Langligger01],1)</f>
        <v/>
      </c>
      <c r="H502" s="20">
        <f>COUNTIFS(tData[SEHTrajectPeriodeDatumTijdVan],"&lt;="&amp;($A502+4/24),tData[SEHTrajectPeriodeDatumTijdTotEnMet],"&gt;"&amp;($A502+4/24),tData[Langligger01],1)</f>
        <v/>
      </c>
      <c r="I502" s="20">
        <f>COUNTIFS(tData[SEHTrajectPeriodeDatumTijdVan],"&lt;="&amp;($A502+5/24),tData[SEHTrajectPeriodeDatumTijdTotEnMet],"&gt;"&amp;($A502+5/24),tData[Langligger01],1)</f>
        <v/>
      </c>
      <c r="J502" s="20">
        <f>COUNTIFS(tData[SEHTrajectPeriodeDatumTijdVan],"&lt;="&amp;($A502+6/24),tData[SEHTrajectPeriodeDatumTijdTotEnMet],"&gt;"&amp;($A502+6/24),tData[Langligger01],1)</f>
        <v/>
      </c>
      <c r="K502" s="20">
        <f>COUNTIFS(tData[SEHTrajectPeriodeDatumTijdVan],"&lt;="&amp;($A502+7/24),tData[SEHTrajectPeriodeDatumTijdTotEnMet],"&gt;"&amp;($A502+7/24),tData[Langligger01],1)</f>
        <v/>
      </c>
      <c r="L502" s="20">
        <f>COUNTIFS(tData[SEHTrajectPeriodeDatumTijdVan],"&lt;="&amp;($A502+8/24),tData[SEHTrajectPeriodeDatumTijdTotEnMet],"&gt;"&amp;($A502+8/24),tData[Langligger01],1)</f>
        <v/>
      </c>
      <c r="M502" s="20">
        <f>COUNTIFS(tData[SEHTrajectPeriodeDatumTijdVan],"&lt;="&amp;($A502+9/24),tData[SEHTrajectPeriodeDatumTijdTotEnMet],"&gt;"&amp;($A502+9/24),tData[Langligger01],1)</f>
        <v/>
      </c>
      <c r="N502" s="20">
        <f>COUNTIFS(tData[SEHTrajectPeriodeDatumTijdVan],"&lt;="&amp;($A502+10/24),tData[SEHTrajectPeriodeDatumTijdTotEnMet],"&gt;"&amp;($A502+10/24),tData[Langligger01],1)</f>
        <v/>
      </c>
      <c r="O502" s="20">
        <f>COUNTIFS(tData[SEHTrajectPeriodeDatumTijdVan],"&lt;="&amp;($A502+11/24),tData[SEHTrajectPeriodeDatumTijdTotEnMet],"&gt;"&amp;($A502+11/24),tData[Langligger01],1)</f>
        <v/>
      </c>
      <c r="P502" s="20">
        <f>COUNTIFS(tData[SEHTrajectPeriodeDatumTijdVan],"&lt;="&amp;($A502+12/24),tData[SEHTrajectPeriodeDatumTijdTotEnMet],"&gt;"&amp;($A502+12/24),tData[Langligger01],1)</f>
        <v/>
      </c>
      <c r="Q502" s="20">
        <f>COUNTIFS(tData[SEHTrajectPeriodeDatumTijdVan],"&lt;="&amp;($A502+13/24),tData[SEHTrajectPeriodeDatumTijdTotEnMet],"&gt;"&amp;($A502+13/24),tData[Langligger01],1)</f>
        <v/>
      </c>
      <c r="R502" s="20">
        <f>COUNTIFS(tData[SEHTrajectPeriodeDatumTijdVan],"&lt;="&amp;($A502+14/24),tData[SEHTrajectPeriodeDatumTijdTotEnMet],"&gt;"&amp;($A502+14/24),tData[Langligger01],1)</f>
        <v/>
      </c>
      <c r="S502" s="20">
        <f>COUNTIFS(tData[SEHTrajectPeriodeDatumTijdVan],"&lt;="&amp;($A502+15/24),tData[SEHTrajectPeriodeDatumTijdTotEnMet],"&gt;"&amp;($A502+15/24),tData[Langligger01],1)</f>
        <v/>
      </c>
      <c r="T502" s="20">
        <f>COUNTIFS(tData[SEHTrajectPeriodeDatumTijdVan],"&lt;="&amp;($A502+16/24),tData[SEHTrajectPeriodeDatumTijdTotEnMet],"&gt;"&amp;($A502+16/24),tData[Langligger01],1)</f>
        <v/>
      </c>
      <c r="U502" s="20">
        <f>COUNTIFS(tData[SEHTrajectPeriodeDatumTijdVan],"&lt;="&amp;($A502+17/24),tData[SEHTrajectPeriodeDatumTijdTotEnMet],"&gt;"&amp;($A502+17/24),tData[Langligger01],1)</f>
        <v/>
      </c>
      <c r="V502" s="20">
        <f>COUNTIFS(tData[SEHTrajectPeriodeDatumTijdVan],"&lt;="&amp;($A502+18/24),tData[SEHTrajectPeriodeDatumTijdTotEnMet],"&gt;"&amp;($A502+18/24),tData[Langligger01],1)</f>
        <v/>
      </c>
      <c r="W502" s="20">
        <f>COUNTIFS(tData[SEHTrajectPeriodeDatumTijdVan],"&lt;="&amp;($A502+19/24),tData[SEHTrajectPeriodeDatumTijdTotEnMet],"&gt;"&amp;($A502+19/24),tData[Langligger01],1)</f>
        <v/>
      </c>
      <c r="X502" s="20">
        <f>COUNTIFS(tData[SEHTrajectPeriodeDatumTijdVan],"&lt;="&amp;($A502+20/24),tData[SEHTrajectPeriodeDatumTijdTotEnMet],"&gt;"&amp;($A502+20/24),tData[Langligger01],1)</f>
        <v/>
      </c>
      <c r="Y502" s="20">
        <f>COUNTIFS(tData[SEHTrajectPeriodeDatumTijdVan],"&lt;="&amp;($A502+21/24),tData[SEHTrajectPeriodeDatumTijdTotEnMet],"&gt;"&amp;($A502+21/24),tData[Langligger01],1)</f>
        <v/>
      </c>
      <c r="Z502" s="20">
        <f>COUNTIFS(tData[SEHTrajectPeriodeDatumTijdVan],"&lt;="&amp;($A502+22/24),tData[SEHTrajectPeriodeDatumTijdTotEnMet],"&gt;"&amp;($A502+22/24),tData[Langligger01],1)</f>
        <v/>
      </c>
      <c r="AA502" s="20">
        <f>COUNTIFS(tData[SEHTrajectPeriodeDatumTijdVan],"&lt;="&amp;($A502+23/24),tData[SEHTrajectPeriodeDatumTijdTotEnMet],"&gt;"&amp;($A502+23/24),tData[Langligger01],1)</f>
        <v/>
      </c>
    </row>
    <row r="503">
      <c r="A503" s="19" t="n">
        <v>45791</v>
      </c>
      <c r="B503" s="15">
        <f>WEEKDAY($A503,2)</f>
        <v/>
      </c>
      <c r="C503" s="15">
        <f>IF(AND($A503&gt;=INT(Instellingen!$B$5),$A503&lt;=INT(Instellingen!$B$6)),1,0)</f>
        <v/>
      </c>
      <c r="D503" s="20">
        <f>COUNTIFS(tData[SEHTrajectPeriodeDatumTijdVan],"&lt;="&amp;($A503+0/24),tData[SEHTrajectPeriodeDatumTijdTotEnMet],"&gt;"&amp;($A503+0/24),tData[Langligger01],1)</f>
        <v/>
      </c>
      <c r="E503" s="20">
        <f>COUNTIFS(tData[SEHTrajectPeriodeDatumTijdVan],"&lt;="&amp;($A503+1/24),tData[SEHTrajectPeriodeDatumTijdTotEnMet],"&gt;"&amp;($A503+1/24),tData[Langligger01],1)</f>
        <v/>
      </c>
      <c r="F503" s="20">
        <f>COUNTIFS(tData[SEHTrajectPeriodeDatumTijdVan],"&lt;="&amp;($A503+2/24),tData[SEHTrajectPeriodeDatumTijdTotEnMet],"&gt;"&amp;($A503+2/24),tData[Langligger01],1)</f>
        <v/>
      </c>
      <c r="G503" s="20">
        <f>COUNTIFS(tData[SEHTrajectPeriodeDatumTijdVan],"&lt;="&amp;($A503+3/24),tData[SEHTrajectPeriodeDatumTijdTotEnMet],"&gt;"&amp;($A503+3/24),tData[Langligger01],1)</f>
        <v/>
      </c>
      <c r="H503" s="20">
        <f>COUNTIFS(tData[SEHTrajectPeriodeDatumTijdVan],"&lt;="&amp;($A503+4/24),tData[SEHTrajectPeriodeDatumTijdTotEnMet],"&gt;"&amp;($A503+4/24),tData[Langligger01],1)</f>
        <v/>
      </c>
      <c r="I503" s="20">
        <f>COUNTIFS(tData[SEHTrajectPeriodeDatumTijdVan],"&lt;="&amp;($A503+5/24),tData[SEHTrajectPeriodeDatumTijdTotEnMet],"&gt;"&amp;($A503+5/24),tData[Langligger01],1)</f>
        <v/>
      </c>
      <c r="J503" s="20">
        <f>COUNTIFS(tData[SEHTrajectPeriodeDatumTijdVan],"&lt;="&amp;($A503+6/24),tData[SEHTrajectPeriodeDatumTijdTotEnMet],"&gt;"&amp;($A503+6/24),tData[Langligger01],1)</f>
        <v/>
      </c>
      <c r="K503" s="20">
        <f>COUNTIFS(tData[SEHTrajectPeriodeDatumTijdVan],"&lt;="&amp;($A503+7/24),tData[SEHTrajectPeriodeDatumTijdTotEnMet],"&gt;"&amp;($A503+7/24),tData[Langligger01],1)</f>
        <v/>
      </c>
      <c r="L503" s="20">
        <f>COUNTIFS(tData[SEHTrajectPeriodeDatumTijdVan],"&lt;="&amp;($A503+8/24),tData[SEHTrajectPeriodeDatumTijdTotEnMet],"&gt;"&amp;($A503+8/24),tData[Langligger01],1)</f>
        <v/>
      </c>
      <c r="M503" s="20">
        <f>COUNTIFS(tData[SEHTrajectPeriodeDatumTijdVan],"&lt;="&amp;($A503+9/24),tData[SEHTrajectPeriodeDatumTijdTotEnMet],"&gt;"&amp;($A503+9/24),tData[Langligger01],1)</f>
        <v/>
      </c>
      <c r="N503" s="20">
        <f>COUNTIFS(tData[SEHTrajectPeriodeDatumTijdVan],"&lt;="&amp;($A503+10/24),tData[SEHTrajectPeriodeDatumTijdTotEnMet],"&gt;"&amp;($A503+10/24),tData[Langligger01],1)</f>
        <v/>
      </c>
      <c r="O503" s="20">
        <f>COUNTIFS(tData[SEHTrajectPeriodeDatumTijdVan],"&lt;="&amp;($A503+11/24),tData[SEHTrajectPeriodeDatumTijdTotEnMet],"&gt;"&amp;($A503+11/24),tData[Langligger01],1)</f>
        <v/>
      </c>
      <c r="P503" s="20">
        <f>COUNTIFS(tData[SEHTrajectPeriodeDatumTijdVan],"&lt;="&amp;($A503+12/24),tData[SEHTrajectPeriodeDatumTijdTotEnMet],"&gt;"&amp;($A503+12/24),tData[Langligger01],1)</f>
        <v/>
      </c>
      <c r="Q503" s="20">
        <f>COUNTIFS(tData[SEHTrajectPeriodeDatumTijdVan],"&lt;="&amp;($A503+13/24),tData[SEHTrajectPeriodeDatumTijdTotEnMet],"&gt;"&amp;($A503+13/24),tData[Langligger01],1)</f>
        <v/>
      </c>
      <c r="R503" s="20">
        <f>COUNTIFS(tData[SEHTrajectPeriodeDatumTijdVan],"&lt;="&amp;($A503+14/24),tData[SEHTrajectPeriodeDatumTijdTotEnMet],"&gt;"&amp;($A503+14/24),tData[Langligger01],1)</f>
        <v/>
      </c>
      <c r="S503" s="20">
        <f>COUNTIFS(tData[SEHTrajectPeriodeDatumTijdVan],"&lt;="&amp;($A503+15/24),tData[SEHTrajectPeriodeDatumTijdTotEnMet],"&gt;"&amp;($A503+15/24),tData[Langligger01],1)</f>
        <v/>
      </c>
      <c r="T503" s="20">
        <f>COUNTIFS(tData[SEHTrajectPeriodeDatumTijdVan],"&lt;="&amp;($A503+16/24),tData[SEHTrajectPeriodeDatumTijdTotEnMet],"&gt;"&amp;($A503+16/24),tData[Langligger01],1)</f>
        <v/>
      </c>
      <c r="U503" s="20">
        <f>COUNTIFS(tData[SEHTrajectPeriodeDatumTijdVan],"&lt;="&amp;($A503+17/24),tData[SEHTrajectPeriodeDatumTijdTotEnMet],"&gt;"&amp;($A503+17/24),tData[Langligger01],1)</f>
        <v/>
      </c>
      <c r="V503" s="20">
        <f>COUNTIFS(tData[SEHTrajectPeriodeDatumTijdVan],"&lt;="&amp;($A503+18/24),tData[SEHTrajectPeriodeDatumTijdTotEnMet],"&gt;"&amp;($A503+18/24),tData[Langligger01],1)</f>
        <v/>
      </c>
      <c r="W503" s="20">
        <f>COUNTIFS(tData[SEHTrajectPeriodeDatumTijdVan],"&lt;="&amp;($A503+19/24),tData[SEHTrajectPeriodeDatumTijdTotEnMet],"&gt;"&amp;($A503+19/24),tData[Langligger01],1)</f>
        <v/>
      </c>
      <c r="X503" s="20">
        <f>COUNTIFS(tData[SEHTrajectPeriodeDatumTijdVan],"&lt;="&amp;($A503+20/24),tData[SEHTrajectPeriodeDatumTijdTotEnMet],"&gt;"&amp;($A503+20/24),tData[Langligger01],1)</f>
        <v/>
      </c>
      <c r="Y503" s="20">
        <f>COUNTIFS(tData[SEHTrajectPeriodeDatumTijdVan],"&lt;="&amp;($A503+21/24),tData[SEHTrajectPeriodeDatumTijdTotEnMet],"&gt;"&amp;($A503+21/24),tData[Langligger01],1)</f>
        <v/>
      </c>
      <c r="Z503" s="20">
        <f>COUNTIFS(tData[SEHTrajectPeriodeDatumTijdVan],"&lt;="&amp;($A503+22/24),tData[SEHTrajectPeriodeDatumTijdTotEnMet],"&gt;"&amp;($A503+22/24),tData[Langligger01],1)</f>
        <v/>
      </c>
      <c r="AA503" s="20">
        <f>COUNTIFS(tData[SEHTrajectPeriodeDatumTijdVan],"&lt;="&amp;($A503+23/24),tData[SEHTrajectPeriodeDatumTijdTotEnMet],"&gt;"&amp;($A503+23/24),tData[Langligger01],1)</f>
        <v/>
      </c>
    </row>
    <row r="504">
      <c r="A504" s="19" t="n">
        <v>45792</v>
      </c>
      <c r="B504" s="15">
        <f>WEEKDAY($A504,2)</f>
        <v/>
      </c>
      <c r="C504" s="15">
        <f>IF(AND($A504&gt;=INT(Instellingen!$B$5),$A504&lt;=INT(Instellingen!$B$6)),1,0)</f>
        <v/>
      </c>
      <c r="D504" s="20">
        <f>COUNTIFS(tData[SEHTrajectPeriodeDatumTijdVan],"&lt;="&amp;($A504+0/24),tData[SEHTrajectPeriodeDatumTijdTotEnMet],"&gt;"&amp;($A504+0/24),tData[Langligger01],1)</f>
        <v/>
      </c>
      <c r="E504" s="20">
        <f>COUNTIFS(tData[SEHTrajectPeriodeDatumTijdVan],"&lt;="&amp;($A504+1/24),tData[SEHTrajectPeriodeDatumTijdTotEnMet],"&gt;"&amp;($A504+1/24),tData[Langligger01],1)</f>
        <v/>
      </c>
      <c r="F504" s="20">
        <f>COUNTIFS(tData[SEHTrajectPeriodeDatumTijdVan],"&lt;="&amp;($A504+2/24),tData[SEHTrajectPeriodeDatumTijdTotEnMet],"&gt;"&amp;($A504+2/24),tData[Langligger01],1)</f>
        <v/>
      </c>
      <c r="G504" s="20">
        <f>COUNTIFS(tData[SEHTrajectPeriodeDatumTijdVan],"&lt;="&amp;($A504+3/24),tData[SEHTrajectPeriodeDatumTijdTotEnMet],"&gt;"&amp;($A504+3/24),tData[Langligger01],1)</f>
        <v/>
      </c>
      <c r="H504" s="20">
        <f>COUNTIFS(tData[SEHTrajectPeriodeDatumTijdVan],"&lt;="&amp;($A504+4/24),tData[SEHTrajectPeriodeDatumTijdTotEnMet],"&gt;"&amp;($A504+4/24),tData[Langligger01],1)</f>
        <v/>
      </c>
      <c r="I504" s="20">
        <f>COUNTIFS(tData[SEHTrajectPeriodeDatumTijdVan],"&lt;="&amp;($A504+5/24),tData[SEHTrajectPeriodeDatumTijdTotEnMet],"&gt;"&amp;($A504+5/24),tData[Langligger01],1)</f>
        <v/>
      </c>
      <c r="J504" s="20">
        <f>COUNTIFS(tData[SEHTrajectPeriodeDatumTijdVan],"&lt;="&amp;($A504+6/24),tData[SEHTrajectPeriodeDatumTijdTotEnMet],"&gt;"&amp;($A504+6/24),tData[Langligger01],1)</f>
        <v/>
      </c>
      <c r="K504" s="20">
        <f>COUNTIFS(tData[SEHTrajectPeriodeDatumTijdVan],"&lt;="&amp;($A504+7/24),tData[SEHTrajectPeriodeDatumTijdTotEnMet],"&gt;"&amp;($A504+7/24),tData[Langligger01],1)</f>
        <v/>
      </c>
      <c r="L504" s="20">
        <f>COUNTIFS(tData[SEHTrajectPeriodeDatumTijdVan],"&lt;="&amp;($A504+8/24),tData[SEHTrajectPeriodeDatumTijdTotEnMet],"&gt;"&amp;($A504+8/24),tData[Langligger01],1)</f>
        <v/>
      </c>
      <c r="M504" s="20">
        <f>COUNTIFS(tData[SEHTrajectPeriodeDatumTijdVan],"&lt;="&amp;($A504+9/24),tData[SEHTrajectPeriodeDatumTijdTotEnMet],"&gt;"&amp;($A504+9/24),tData[Langligger01],1)</f>
        <v/>
      </c>
      <c r="N504" s="20">
        <f>COUNTIFS(tData[SEHTrajectPeriodeDatumTijdVan],"&lt;="&amp;($A504+10/24),tData[SEHTrajectPeriodeDatumTijdTotEnMet],"&gt;"&amp;($A504+10/24),tData[Langligger01],1)</f>
        <v/>
      </c>
      <c r="O504" s="20">
        <f>COUNTIFS(tData[SEHTrajectPeriodeDatumTijdVan],"&lt;="&amp;($A504+11/24),tData[SEHTrajectPeriodeDatumTijdTotEnMet],"&gt;"&amp;($A504+11/24),tData[Langligger01],1)</f>
        <v/>
      </c>
      <c r="P504" s="20">
        <f>COUNTIFS(tData[SEHTrajectPeriodeDatumTijdVan],"&lt;="&amp;($A504+12/24),tData[SEHTrajectPeriodeDatumTijdTotEnMet],"&gt;"&amp;($A504+12/24),tData[Langligger01],1)</f>
        <v/>
      </c>
      <c r="Q504" s="20">
        <f>COUNTIFS(tData[SEHTrajectPeriodeDatumTijdVan],"&lt;="&amp;($A504+13/24),tData[SEHTrajectPeriodeDatumTijdTotEnMet],"&gt;"&amp;($A504+13/24),tData[Langligger01],1)</f>
        <v/>
      </c>
      <c r="R504" s="20">
        <f>COUNTIFS(tData[SEHTrajectPeriodeDatumTijdVan],"&lt;="&amp;($A504+14/24),tData[SEHTrajectPeriodeDatumTijdTotEnMet],"&gt;"&amp;($A504+14/24),tData[Langligger01],1)</f>
        <v/>
      </c>
      <c r="S504" s="20">
        <f>COUNTIFS(tData[SEHTrajectPeriodeDatumTijdVan],"&lt;="&amp;($A504+15/24),tData[SEHTrajectPeriodeDatumTijdTotEnMet],"&gt;"&amp;($A504+15/24),tData[Langligger01],1)</f>
        <v/>
      </c>
      <c r="T504" s="20">
        <f>COUNTIFS(tData[SEHTrajectPeriodeDatumTijdVan],"&lt;="&amp;($A504+16/24),tData[SEHTrajectPeriodeDatumTijdTotEnMet],"&gt;"&amp;($A504+16/24),tData[Langligger01],1)</f>
        <v/>
      </c>
      <c r="U504" s="20">
        <f>COUNTIFS(tData[SEHTrajectPeriodeDatumTijdVan],"&lt;="&amp;($A504+17/24),tData[SEHTrajectPeriodeDatumTijdTotEnMet],"&gt;"&amp;($A504+17/24),tData[Langligger01],1)</f>
        <v/>
      </c>
      <c r="V504" s="20">
        <f>COUNTIFS(tData[SEHTrajectPeriodeDatumTijdVan],"&lt;="&amp;($A504+18/24),tData[SEHTrajectPeriodeDatumTijdTotEnMet],"&gt;"&amp;($A504+18/24),tData[Langligger01],1)</f>
        <v/>
      </c>
      <c r="W504" s="20">
        <f>COUNTIFS(tData[SEHTrajectPeriodeDatumTijdVan],"&lt;="&amp;($A504+19/24),tData[SEHTrajectPeriodeDatumTijdTotEnMet],"&gt;"&amp;($A504+19/24),tData[Langligger01],1)</f>
        <v/>
      </c>
      <c r="X504" s="20">
        <f>COUNTIFS(tData[SEHTrajectPeriodeDatumTijdVan],"&lt;="&amp;($A504+20/24),tData[SEHTrajectPeriodeDatumTijdTotEnMet],"&gt;"&amp;($A504+20/24),tData[Langligger01],1)</f>
        <v/>
      </c>
      <c r="Y504" s="20">
        <f>COUNTIFS(tData[SEHTrajectPeriodeDatumTijdVan],"&lt;="&amp;($A504+21/24),tData[SEHTrajectPeriodeDatumTijdTotEnMet],"&gt;"&amp;($A504+21/24),tData[Langligger01],1)</f>
        <v/>
      </c>
      <c r="Z504" s="20">
        <f>COUNTIFS(tData[SEHTrajectPeriodeDatumTijdVan],"&lt;="&amp;($A504+22/24),tData[SEHTrajectPeriodeDatumTijdTotEnMet],"&gt;"&amp;($A504+22/24),tData[Langligger01],1)</f>
        <v/>
      </c>
      <c r="AA504" s="20">
        <f>COUNTIFS(tData[SEHTrajectPeriodeDatumTijdVan],"&lt;="&amp;($A504+23/24),tData[SEHTrajectPeriodeDatumTijdTotEnMet],"&gt;"&amp;($A504+23/24),tData[Langligger01],1)</f>
        <v/>
      </c>
    </row>
    <row r="505">
      <c r="A505" s="19" t="n">
        <v>45793</v>
      </c>
      <c r="B505" s="15">
        <f>WEEKDAY($A505,2)</f>
        <v/>
      </c>
      <c r="C505" s="15">
        <f>IF(AND($A505&gt;=INT(Instellingen!$B$5),$A505&lt;=INT(Instellingen!$B$6)),1,0)</f>
        <v/>
      </c>
      <c r="D505" s="20">
        <f>COUNTIFS(tData[SEHTrajectPeriodeDatumTijdVan],"&lt;="&amp;($A505+0/24),tData[SEHTrajectPeriodeDatumTijdTotEnMet],"&gt;"&amp;($A505+0/24),tData[Langligger01],1)</f>
        <v/>
      </c>
      <c r="E505" s="20">
        <f>COUNTIFS(tData[SEHTrajectPeriodeDatumTijdVan],"&lt;="&amp;($A505+1/24),tData[SEHTrajectPeriodeDatumTijdTotEnMet],"&gt;"&amp;($A505+1/24),tData[Langligger01],1)</f>
        <v/>
      </c>
      <c r="F505" s="20">
        <f>COUNTIFS(tData[SEHTrajectPeriodeDatumTijdVan],"&lt;="&amp;($A505+2/24),tData[SEHTrajectPeriodeDatumTijdTotEnMet],"&gt;"&amp;($A505+2/24),tData[Langligger01],1)</f>
        <v/>
      </c>
      <c r="G505" s="20">
        <f>COUNTIFS(tData[SEHTrajectPeriodeDatumTijdVan],"&lt;="&amp;($A505+3/24),tData[SEHTrajectPeriodeDatumTijdTotEnMet],"&gt;"&amp;($A505+3/24),tData[Langligger01],1)</f>
        <v/>
      </c>
      <c r="H505" s="20">
        <f>COUNTIFS(tData[SEHTrajectPeriodeDatumTijdVan],"&lt;="&amp;($A505+4/24),tData[SEHTrajectPeriodeDatumTijdTotEnMet],"&gt;"&amp;($A505+4/24),tData[Langligger01],1)</f>
        <v/>
      </c>
      <c r="I505" s="20">
        <f>COUNTIFS(tData[SEHTrajectPeriodeDatumTijdVan],"&lt;="&amp;($A505+5/24),tData[SEHTrajectPeriodeDatumTijdTotEnMet],"&gt;"&amp;($A505+5/24),tData[Langligger01],1)</f>
        <v/>
      </c>
      <c r="J505" s="20">
        <f>COUNTIFS(tData[SEHTrajectPeriodeDatumTijdVan],"&lt;="&amp;($A505+6/24),tData[SEHTrajectPeriodeDatumTijdTotEnMet],"&gt;"&amp;($A505+6/24),tData[Langligger01],1)</f>
        <v/>
      </c>
      <c r="K505" s="20">
        <f>COUNTIFS(tData[SEHTrajectPeriodeDatumTijdVan],"&lt;="&amp;($A505+7/24),tData[SEHTrajectPeriodeDatumTijdTotEnMet],"&gt;"&amp;($A505+7/24),tData[Langligger01],1)</f>
        <v/>
      </c>
      <c r="L505" s="20">
        <f>COUNTIFS(tData[SEHTrajectPeriodeDatumTijdVan],"&lt;="&amp;($A505+8/24),tData[SEHTrajectPeriodeDatumTijdTotEnMet],"&gt;"&amp;($A505+8/24),tData[Langligger01],1)</f>
        <v/>
      </c>
      <c r="M505" s="20">
        <f>COUNTIFS(tData[SEHTrajectPeriodeDatumTijdVan],"&lt;="&amp;($A505+9/24),tData[SEHTrajectPeriodeDatumTijdTotEnMet],"&gt;"&amp;($A505+9/24),tData[Langligger01],1)</f>
        <v/>
      </c>
      <c r="N505" s="20">
        <f>COUNTIFS(tData[SEHTrajectPeriodeDatumTijdVan],"&lt;="&amp;($A505+10/24),tData[SEHTrajectPeriodeDatumTijdTotEnMet],"&gt;"&amp;($A505+10/24),tData[Langligger01],1)</f>
        <v/>
      </c>
      <c r="O505" s="20">
        <f>COUNTIFS(tData[SEHTrajectPeriodeDatumTijdVan],"&lt;="&amp;($A505+11/24),tData[SEHTrajectPeriodeDatumTijdTotEnMet],"&gt;"&amp;($A505+11/24),tData[Langligger01],1)</f>
        <v/>
      </c>
      <c r="P505" s="20">
        <f>COUNTIFS(tData[SEHTrajectPeriodeDatumTijdVan],"&lt;="&amp;($A505+12/24),tData[SEHTrajectPeriodeDatumTijdTotEnMet],"&gt;"&amp;($A505+12/24),tData[Langligger01],1)</f>
        <v/>
      </c>
      <c r="Q505" s="20">
        <f>COUNTIFS(tData[SEHTrajectPeriodeDatumTijdVan],"&lt;="&amp;($A505+13/24),tData[SEHTrajectPeriodeDatumTijdTotEnMet],"&gt;"&amp;($A505+13/24),tData[Langligger01],1)</f>
        <v/>
      </c>
      <c r="R505" s="20">
        <f>COUNTIFS(tData[SEHTrajectPeriodeDatumTijdVan],"&lt;="&amp;($A505+14/24),tData[SEHTrajectPeriodeDatumTijdTotEnMet],"&gt;"&amp;($A505+14/24),tData[Langligger01],1)</f>
        <v/>
      </c>
      <c r="S505" s="20">
        <f>COUNTIFS(tData[SEHTrajectPeriodeDatumTijdVan],"&lt;="&amp;($A505+15/24),tData[SEHTrajectPeriodeDatumTijdTotEnMet],"&gt;"&amp;($A505+15/24),tData[Langligger01],1)</f>
        <v/>
      </c>
      <c r="T505" s="20">
        <f>COUNTIFS(tData[SEHTrajectPeriodeDatumTijdVan],"&lt;="&amp;($A505+16/24),tData[SEHTrajectPeriodeDatumTijdTotEnMet],"&gt;"&amp;($A505+16/24),tData[Langligger01],1)</f>
        <v/>
      </c>
      <c r="U505" s="20">
        <f>COUNTIFS(tData[SEHTrajectPeriodeDatumTijdVan],"&lt;="&amp;($A505+17/24),tData[SEHTrajectPeriodeDatumTijdTotEnMet],"&gt;"&amp;($A505+17/24),tData[Langligger01],1)</f>
        <v/>
      </c>
      <c r="V505" s="20">
        <f>COUNTIFS(tData[SEHTrajectPeriodeDatumTijdVan],"&lt;="&amp;($A505+18/24),tData[SEHTrajectPeriodeDatumTijdTotEnMet],"&gt;"&amp;($A505+18/24),tData[Langligger01],1)</f>
        <v/>
      </c>
      <c r="W505" s="20">
        <f>COUNTIFS(tData[SEHTrajectPeriodeDatumTijdVan],"&lt;="&amp;($A505+19/24),tData[SEHTrajectPeriodeDatumTijdTotEnMet],"&gt;"&amp;($A505+19/24),tData[Langligger01],1)</f>
        <v/>
      </c>
      <c r="X505" s="20">
        <f>COUNTIFS(tData[SEHTrajectPeriodeDatumTijdVan],"&lt;="&amp;($A505+20/24),tData[SEHTrajectPeriodeDatumTijdTotEnMet],"&gt;"&amp;($A505+20/24),tData[Langligger01],1)</f>
        <v/>
      </c>
      <c r="Y505" s="20">
        <f>COUNTIFS(tData[SEHTrajectPeriodeDatumTijdVan],"&lt;="&amp;($A505+21/24),tData[SEHTrajectPeriodeDatumTijdTotEnMet],"&gt;"&amp;($A505+21/24),tData[Langligger01],1)</f>
        <v/>
      </c>
      <c r="Z505" s="20">
        <f>COUNTIFS(tData[SEHTrajectPeriodeDatumTijdVan],"&lt;="&amp;($A505+22/24),tData[SEHTrajectPeriodeDatumTijdTotEnMet],"&gt;"&amp;($A505+22/24),tData[Langligger01],1)</f>
        <v/>
      </c>
      <c r="AA505" s="20">
        <f>COUNTIFS(tData[SEHTrajectPeriodeDatumTijdVan],"&lt;="&amp;($A505+23/24),tData[SEHTrajectPeriodeDatumTijdTotEnMet],"&gt;"&amp;($A505+23/24),tData[Langligger01],1)</f>
        <v/>
      </c>
    </row>
    <row r="506">
      <c r="A506" s="19" t="n">
        <v>45794</v>
      </c>
      <c r="B506" s="15">
        <f>WEEKDAY($A506,2)</f>
        <v/>
      </c>
      <c r="C506" s="15">
        <f>IF(AND($A506&gt;=INT(Instellingen!$B$5),$A506&lt;=INT(Instellingen!$B$6)),1,0)</f>
        <v/>
      </c>
      <c r="D506" s="20">
        <f>COUNTIFS(tData[SEHTrajectPeriodeDatumTijdVan],"&lt;="&amp;($A506+0/24),tData[SEHTrajectPeriodeDatumTijdTotEnMet],"&gt;"&amp;($A506+0/24),tData[Langligger01],1)</f>
        <v/>
      </c>
      <c r="E506" s="20">
        <f>COUNTIFS(tData[SEHTrajectPeriodeDatumTijdVan],"&lt;="&amp;($A506+1/24),tData[SEHTrajectPeriodeDatumTijdTotEnMet],"&gt;"&amp;($A506+1/24),tData[Langligger01],1)</f>
        <v/>
      </c>
      <c r="F506" s="20">
        <f>COUNTIFS(tData[SEHTrajectPeriodeDatumTijdVan],"&lt;="&amp;($A506+2/24),tData[SEHTrajectPeriodeDatumTijdTotEnMet],"&gt;"&amp;($A506+2/24),tData[Langligger01],1)</f>
        <v/>
      </c>
      <c r="G506" s="20">
        <f>COUNTIFS(tData[SEHTrajectPeriodeDatumTijdVan],"&lt;="&amp;($A506+3/24),tData[SEHTrajectPeriodeDatumTijdTotEnMet],"&gt;"&amp;($A506+3/24),tData[Langligger01],1)</f>
        <v/>
      </c>
      <c r="H506" s="20">
        <f>COUNTIFS(tData[SEHTrajectPeriodeDatumTijdVan],"&lt;="&amp;($A506+4/24),tData[SEHTrajectPeriodeDatumTijdTotEnMet],"&gt;"&amp;($A506+4/24),tData[Langligger01],1)</f>
        <v/>
      </c>
      <c r="I506" s="20">
        <f>COUNTIFS(tData[SEHTrajectPeriodeDatumTijdVan],"&lt;="&amp;($A506+5/24),tData[SEHTrajectPeriodeDatumTijdTotEnMet],"&gt;"&amp;($A506+5/24),tData[Langligger01],1)</f>
        <v/>
      </c>
      <c r="J506" s="20">
        <f>COUNTIFS(tData[SEHTrajectPeriodeDatumTijdVan],"&lt;="&amp;($A506+6/24),tData[SEHTrajectPeriodeDatumTijdTotEnMet],"&gt;"&amp;($A506+6/24),tData[Langligger01],1)</f>
        <v/>
      </c>
      <c r="K506" s="20">
        <f>COUNTIFS(tData[SEHTrajectPeriodeDatumTijdVan],"&lt;="&amp;($A506+7/24),tData[SEHTrajectPeriodeDatumTijdTotEnMet],"&gt;"&amp;($A506+7/24),tData[Langligger01],1)</f>
        <v/>
      </c>
      <c r="L506" s="20">
        <f>COUNTIFS(tData[SEHTrajectPeriodeDatumTijdVan],"&lt;="&amp;($A506+8/24),tData[SEHTrajectPeriodeDatumTijdTotEnMet],"&gt;"&amp;($A506+8/24),tData[Langligger01],1)</f>
        <v/>
      </c>
      <c r="M506" s="20">
        <f>COUNTIFS(tData[SEHTrajectPeriodeDatumTijdVan],"&lt;="&amp;($A506+9/24),tData[SEHTrajectPeriodeDatumTijdTotEnMet],"&gt;"&amp;($A506+9/24),tData[Langligger01],1)</f>
        <v/>
      </c>
      <c r="N506" s="20">
        <f>COUNTIFS(tData[SEHTrajectPeriodeDatumTijdVan],"&lt;="&amp;($A506+10/24),tData[SEHTrajectPeriodeDatumTijdTotEnMet],"&gt;"&amp;($A506+10/24),tData[Langligger01],1)</f>
        <v/>
      </c>
      <c r="O506" s="20">
        <f>COUNTIFS(tData[SEHTrajectPeriodeDatumTijdVan],"&lt;="&amp;($A506+11/24),tData[SEHTrajectPeriodeDatumTijdTotEnMet],"&gt;"&amp;($A506+11/24),tData[Langligger01],1)</f>
        <v/>
      </c>
      <c r="P506" s="20">
        <f>COUNTIFS(tData[SEHTrajectPeriodeDatumTijdVan],"&lt;="&amp;($A506+12/24),tData[SEHTrajectPeriodeDatumTijdTotEnMet],"&gt;"&amp;($A506+12/24),tData[Langligger01],1)</f>
        <v/>
      </c>
      <c r="Q506" s="20">
        <f>COUNTIFS(tData[SEHTrajectPeriodeDatumTijdVan],"&lt;="&amp;($A506+13/24),tData[SEHTrajectPeriodeDatumTijdTotEnMet],"&gt;"&amp;($A506+13/24),tData[Langligger01],1)</f>
        <v/>
      </c>
      <c r="R506" s="20">
        <f>COUNTIFS(tData[SEHTrajectPeriodeDatumTijdVan],"&lt;="&amp;($A506+14/24),tData[SEHTrajectPeriodeDatumTijdTotEnMet],"&gt;"&amp;($A506+14/24),tData[Langligger01],1)</f>
        <v/>
      </c>
      <c r="S506" s="20">
        <f>COUNTIFS(tData[SEHTrajectPeriodeDatumTijdVan],"&lt;="&amp;($A506+15/24),tData[SEHTrajectPeriodeDatumTijdTotEnMet],"&gt;"&amp;($A506+15/24),tData[Langligger01],1)</f>
        <v/>
      </c>
      <c r="T506" s="20">
        <f>COUNTIFS(tData[SEHTrajectPeriodeDatumTijdVan],"&lt;="&amp;($A506+16/24),tData[SEHTrajectPeriodeDatumTijdTotEnMet],"&gt;"&amp;($A506+16/24),tData[Langligger01],1)</f>
        <v/>
      </c>
      <c r="U506" s="20">
        <f>COUNTIFS(tData[SEHTrajectPeriodeDatumTijdVan],"&lt;="&amp;($A506+17/24),tData[SEHTrajectPeriodeDatumTijdTotEnMet],"&gt;"&amp;($A506+17/24),tData[Langligger01],1)</f>
        <v/>
      </c>
      <c r="V506" s="20">
        <f>COUNTIFS(tData[SEHTrajectPeriodeDatumTijdVan],"&lt;="&amp;($A506+18/24),tData[SEHTrajectPeriodeDatumTijdTotEnMet],"&gt;"&amp;($A506+18/24),tData[Langligger01],1)</f>
        <v/>
      </c>
      <c r="W506" s="20">
        <f>COUNTIFS(tData[SEHTrajectPeriodeDatumTijdVan],"&lt;="&amp;($A506+19/24),tData[SEHTrajectPeriodeDatumTijdTotEnMet],"&gt;"&amp;($A506+19/24),tData[Langligger01],1)</f>
        <v/>
      </c>
      <c r="X506" s="20">
        <f>COUNTIFS(tData[SEHTrajectPeriodeDatumTijdVan],"&lt;="&amp;($A506+20/24),tData[SEHTrajectPeriodeDatumTijdTotEnMet],"&gt;"&amp;($A506+20/24),tData[Langligger01],1)</f>
        <v/>
      </c>
      <c r="Y506" s="20">
        <f>COUNTIFS(tData[SEHTrajectPeriodeDatumTijdVan],"&lt;="&amp;($A506+21/24),tData[SEHTrajectPeriodeDatumTijdTotEnMet],"&gt;"&amp;($A506+21/24),tData[Langligger01],1)</f>
        <v/>
      </c>
      <c r="Z506" s="20">
        <f>COUNTIFS(tData[SEHTrajectPeriodeDatumTijdVan],"&lt;="&amp;($A506+22/24),tData[SEHTrajectPeriodeDatumTijdTotEnMet],"&gt;"&amp;($A506+22/24),tData[Langligger01],1)</f>
        <v/>
      </c>
      <c r="AA506" s="20">
        <f>COUNTIFS(tData[SEHTrajectPeriodeDatumTijdVan],"&lt;="&amp;($A506+23/24),tData[SEHTrajectPeriodeDatumTijdTotEnMet],"&gt;"&amp;($A506+23/24),tData[Langligger01],1)</f>
        <v/>
      </c>
    </row>
    <row r="507">
      <c r="A507" s="19" t="n">
        <v>45795</v>
      </c>
      <c r="B507" s="15">
        <f>WEEKDAY($A507,2)</f>
        <v/>
      </c>
      <c r="C507" s="15">
        <f>IF(AND($A507&gt;=INT(Instellingen!$B$5),$A507&lt;=INT(Instellingen!$B$6)),1,0)</f>
        <v/>
      </c>
      <c r="D507" s="20">
        <f>COUNTIFS(tData[SEHTrajectPeriodeDatumTijdVan],"&lt;="&amp;($A507+0/24),tData[SEHTrajectPeriodeDatumTijdTotEnMet],"&gt;"&amp;($A507+0/24),tData[Langligger01],1)</f>
        <v/>
      </c>
      <c r="E507" s="20">
        <f>COUNTIFS(tData[SEHTrajectPeriodeDatumTijdVan],"&lt;="&amp;($A507+1/24),tData[SEHTrajectPeriodeDatumTijdTotEnMet],"&gt;"&amp;($A507+1/24),tData[Langligger01],1)</f>
        <v/>
      </c>
      <c r="F507" s="20">
        <f>COUNTIFS(tData[SEHTrajectPeriodeDatumTijdVan],"&lt;="&amp;($A507+2/24),tData[SEHTrajectPeriodeDatumTijdTotEnMet],"&gt;"&amp;($A507+2/24),tData[Langligger01],1)</f>
        <v/>
      </c>
      <c r="G507" s="20">
        <f>COUNTIFS(tData[SEHTrajectPeriodeDatumTijdVan],"&lt;="&amp;($A507+3/24),tData[SEHTrajectPeriodeDatumTijdTotEnMet],"&gt;"&amp;($A507+3/24),tData[Langligger01],1)</f>
        <v/>
      </c>
      <c r="H507" s="20">
        <f>COUNTIFS(tData[SEHTrajectPeriodeDatumTijdVan],"&lt;="&amp;($A507+4/24),tData[SEHTrajectPeriodeDatumTijdTotEnMet],"&gt;"&amp;($A507+4/24),tData[Langligger01],1)</f>
        <v/>
      </c>
      <c r="I507" s="20">
        <f>COUNTIFS(tData[SEHTrajectPeriodeDatumTijdVan],"&lt;="&amp;($A507+5/24),tData[SEHTrajectPeriodeDatumTijdTotEnMet],"&gt;"&amp;($A507+5/24),tData[Langligger01],1)</f>
        <v/>
      </c>
      <c r="J507" s="20">
        <f>COUNTIFS(tData[SEHTrajectPeriodeDatumTijdVan],"&lt;="&amp;($A507+6/24),tData[SEHTrajectPeriodeDatumTijdTotEnMet],"&gt;"&amp;($A507+6/24),tData[Langligger01],1)</f>
        <v/>
      </c>
      <c r="K507" s="20">
        <f>COUNTIFS(tData[SEHTrajectPeriodeDatumTijdVan],"&lt;="&amp;($A507+7/24),tData[SEHTrajectPeriodeDatumTijdTotEnMet],"&gt;"&amp;($A507+7/24),tData[Langligger01],1)</f>
        <v/>
      </c>
      <c r="L507" s="20">
        <f>COUNTIFS(tData[SEHTrajectPeriodeDatumTijdVan],"&lt;="&amp;($A507+8/24),tData[SEHTrajectPeriodeDatumTijdTotEnMet],"&gt;"&amp;($A507+8/24),tData[Langligger01],1)</f>
        <v/>
      </c>
      <c r="M507" s="20">
        <f>COUNTIFS(tData[SEHTrajectPeriodeDatumTijdVan],"&lt;="&amp;($A507+9/24),tData[SEHTrajectPeriodeDatumTijdTotEnMet],"&gt;"&amp;($A507+9/24),tData[Langligger01],1)</f>
        <v/>
      </c>
      <c r="N507" s="20">
        <f>COUNTIFS(tData[SEHTrajectPeriodeDatumTijdVan],"&lt;="&amp;($A507+10/24),tData[SEHTrajectPeriodeDatumTijdTotEnMet],"&gt;"&amp;($A507+10/24),tData[Langligger01],1)</f>
        <v/>
      </c>
      <c r="O507" s="20">
        <f>COUNTIFS(tData[SEHTrajectPeriodeDatumTijdVan],"&lt;="&amp;($A507+11/24),tData[SEHTrajectPeriodeDatumTijdTotEnMet],"&gt;"&amp;($A507+11/24),tData[Langligger01],1)</f>
        <v/>
      </c>
      <c r="P507" s="20">
        <f>COUNTIFS(tData[SEHTrajectPeriodeDatumTijdVan],"&lt;="&amp;($A507+12/24),tData[SEHTrajectPeriodeDatumTijdTotEnMet],"&gt;"&amp;($A507+12/24),tData[Langligger01],1)</f>
        <v/>
      </c>
      <c r="Q507" s="20">
        <f>COUNTIFS(tData[SEHTrajectPeriodeDatumTijdVan],"&lt;="&amp;($A507+13/24),tData[SEHTrajectPeriodeDatumTijdTotEnMet],"&gt;"&amp;($A507+13/24),tData[Langligger01],1)</f>
        <v/>
      </c>
      <c r="R507" s="20">
        <f>COUNTIFS(tData[SEHTrajectPeriodeDatumTijdVan],"&lt;="&amp;($A507+14/24),tData[SEHTrajectPeriodeDatumTijdTotEnMet],"&gt;"&amp;($A507+14/24),tData[Langligger01],1)</f>
        <v/>
      </c>
      <c r="S507" s="20">
        <f>COUNTIFS(tData[SEHTrajectPeriodeDatumTijdVan],"&lt;="&amp;($A507+15/24),tData[SEHTrajectPeriodeDatumTijdTotEnMet],"&gt;"&amp;($A507+15/24),tData[Langligger01],1)</f>
        <v/>
      </c>
      <c r="T507" s="20">
        <f>COUNTIFS(tData[SEHTrajectPeriodeDatumTijdVan],"&lt;="&amp;($A507+16/24),tData[SEHTrajectPeriodeDatumTijdTotEnMet],"&gt;"&amp;($A507+16/24),tData[Langligger01],1)</f>
        <v/>
      </c>
      <c r="U507" s="20">
        <f>COUNTIFS(tData[SEHTrajectPeriodeDatumTijdVan],"&lt;="&amp;($A507+17/24),tData[SEHTrajectPeriodeDatumTijdTotEnMet],"&gt;"&amp;($A507+17/24),tData[Langligger01],1)</f>
        <v/>
      </c>
      <c r="V507" s="20">
        <f>COUNTIFS(tData[SEHTrajectPeriodeDatumTijdVan],"&lt;="&amp;($A507+18/24),tData[SEHTrajectPeriodeDatumTijdTotEnMet],"&gt;"&amp;($A507+18/24),tData[Langligger01],1)</f>
        <v/>
      </c>
      <c r="W507" s="20">
        <f>COUNTIFS(tData[SEHTrajectPeriodeDatumTijdVan],"&lt;="&amp;($A507+19/24),tData[SEHTrajectPeriodeDatumTijdTotEnMet],"&gt;"&amp;($A507+19/24),tData[Langligger01],1)</f>
        <v/>
      </c>
      <c r="X507" s="20">
        <f>COUNTIFS(tData[SEHTrajectPeriodeDatumTijdVan],"&lt;="&amp;($A507+20/24),tData[SEHTrajectPeriodeDatumTijdTotEnMet],"&gt;"&amp;($A507+20/24),tData[Langligger01],1)</f>
        <v/>
      </c>
      <c r="Y507" s="20">
        <f>COUNTIFS(tData[SEHTrajectPeriodeDatumTijdVan],"&lt;="&amp;($A507+21/24),tData[SEHTrajectPeriodeDatumTijdTotEnMet],"&gt;"&amp;($A507+21/24),tData[Langligger01],1)</f>
        <v/>
      </c>
      <c r="Z507" s="20">
        <f>COUNTIFS(tData[SEHTrajectPeriodeDatumTijdVan],"&lt;="&amp;($A507+22/24),tData[SEHTrajectPeriodeDatumTijdTotEnMet],"&gt;"&amp;($A507+22/24),tData[Langligger01],1)</f>
        <v/>
      </c>
      <c r="AA507" s="20">
        <f>COUNTIFS(tData[SEHTrajectPeriodeDatumTijdVan],"&lt;="&amp;($A507+23/24),tData[SEHTrajectPeriodeDatumTijdTotEnMet],"&gt;"&amp;($A507+23/24),tData[Langligger01],1)</f>
        <v/>
      </c>
    </row>
    <row r="508">
      <c r="A508" s="19" t="n">
        <v>45796</v>
      </c>
      <c r="B508" s="15">
        <f>WEEKDAY($A508,2)</f>
        <v/>
      </c>
      <c r="C508" s="15">
        <f>IF(AND($A508&gt;=INT(Instellingen!$B$5),$A508&lt;=INT(Instellingen!$B$6)),1,0)</f>
        <v/>
      </c>
      <c r="D508" s="20">
        <f>COUNTIFS(tData[SEHTrajectPeriodeDatumTijdVan],"&lt;="&amp;($A508+0/24),tData[SEHTrajectPeriodeDatumTijdTotEnMet],"&gt;"&amp;($A508+0/24),tData[Langligger01],1)</f>
        <v/>
      </c>
      <c r="E508" s="20">
        <f>COUNTIFS(tData[SEHTrajectPeriodeDatumTijdVan],"&lt;="&amp;($A508+1/24),tData[SEHTrajectPeriodeDatumTijdTotEnMet],"&gt;"&amp;($A508+1/24),tData[Langligger01],1)</f>
        <v/>
      </c>
      <c r="F508" s="20">
        <f>COUNTIFS(tData[SEHTrajectPeriodeDatumTijdVan],"&lt;="&amp;($A508+2/24),tData[SEHTrajectPeriodeDatumTijdTotEnMet],"&gt;"&amp;($A508+2/24),tData[Langligger01],1)</f>
        <v/>
      </c>
      <c r="G508" s="20">
        <f>COUNTIFS(tData[SEHTrajectPeriodeDatumTijdVan],"&lt;="&amp;($A508+3/24),tData[SEHTrajectPeriodeDatumTijdTotEnMet],"&gt;"&amp;($A508+3/24),tData[Langligger01],1)</f>
        <v/>
      </c>
      <c r="H508" s="20">
        <f>COUNTIFS(tData[SEHTrajectPeriodeDatumTijdVan],"&lt;="&amp;($A508+4/24),tData[SEHTrajectPeriodeDatumTijdTotEnMet],"&gt;"&amp;($A508+4/24),tData[Langligger01],1)</f>
        <v/>
      </c>
      <c r="I508" s="20">
        <f>COUNTIFS(tData[SEHTrajectPeriodeDatumTijdVan],"&lt;="&amp;($A508+5/24),tData[SEHTrajectPeriodeDatumTijdTotEnMet],"&gt;"&amp;($A508+5/24),tData[Langligger01],1)</f>
        <v/>
      </c>
      <c r="J508" s="20">
        <f>COUNTIFS(tData[SEHTrajectPeriodeDatumTijdVan],"&lt;="&amp;($A508+6/24),tData[SEHTrajectPeriodeDatumTijdTotEnMet],"&gt;"&amp;($A508+6/24),tData[Langligger01],1)</f>
        <v/>
      </c>
      <c r="K508" s="20">
        <f>COUNTIFS(tData[SEHTrajectPeriodeDatumTijdVan],"&lt;="&amp;($A508+7/24),tData[SEHTrajectPeriodeDatumTijdTotEnMet],"&gt;"&amp;($A508+7/24),tData[Langligger01],1)</f>
        <v/>
      </c>
      <c r="L508" s="20">
        <f>COUNTIFS(tData[SEHTrajectPeriodeDatumTijdVan],"&lt;="&amp;($A508+8/24),tData[SEHTrajectPeriodeDatumTijdTotEnMet],"&gt;"&amp;($A508+8/24),tData[Langligger01],1)</f>
        <v/>
      </c>
      <c r="M508" s="20">
        <f>COUNTIFS(tData[SEHTrajectPeriodeDatumTijdVan],"&lt;="&amp;($A508+9/24),tData[SEHTrajectPeriodeDatumTijdTotEnMet],"&gt;"&amp;($A508+9/24),tData[Langligger01],1)</f>
        <v/>
      </c>
      <c r="N508" s="20">
        <f>COUNTIFS(tData[SEHTrajectPeriodeDatumTijdVan],"&lt;="&amp;($A508+10/24),tData[SEHTrajectPeriodeDatumTijdTotEnMet],"&gt;"&amp;($A508+10/24),tData[Langligger01],1)</f>
        <v/>
      </c>
      <c r="O508" s="20">
        <f>COUNTIFS(tData[SEHTrajectPeriodeDatumTijdVan],"&lt;="&amp;($A508+11/24),tData[SEHTrajectPeriodeDatumTijdTotEnMet],"&gt;"&amp;($A508+11/24),tData[Langligger01],1)</f>
        <v/>
      </c>
      <c r="P508" s="20">
        <f>COUNTIFS(tData[SEHTrajectPeriodeDatumTijdVan],"&lt;="&amp;($A508+12/24),tData[SEHTrajectPeriodeDatumTijdTotEnMet],"&gt;"&amp;($A508+12/24),tData[Langligger01],1)</f>
        <v/>
      </c>
      <c r="Q508" s="20">
        <f>COUNTIFS(tData[SEHTrajectPeriodeDatumTijdVan],"&lt;="&amp;($A508+13/24),tData[SEHTrajectPeriodeDatumTijdTotEnMet],"&gt;"&amp;($A508+13/24),tData[Langligger01],1)</f>
        <v/>
      </c>
      <c r="R508" s="20">
        <f>COUNTIFS(tData[SEHTrajectPeriodeDatumTijdVan],"&lt;="&amp;($A508+14/24),tData[SEHTrajectPeriodeDatumTijdTotEnMet],"&gt;"&amp;($A508+14/24),tData[Langligger01],1)</f>
        <v/>
      </c>
      <c r="S508" s="20">
        <f>COUNTIFS(tData[SEHTrajectPeriodeDatumTijdVan],"&lt;="&amp;($A508+15/24),tData[SEHTrajectPeriodeDatumTijdTotEnMet],"&gt;"&amp;($A508+15/24),tData[Langligger01],1)</f>
        <v/>
      </c>
      <c r="T508" s="20">
        <f>COUNTIFS(tData[SEHTrajectPeriodeDatumTijdVan],"&lt;="&amp;($A508+16/24),tData[SEHTrajectPeriodeDatumTijdTotEnMet],"&gt;"&amp;($A508+16/24),tData[Langligger01],1)</f>
        <v/>
      </c>
      <c r="U508" s="20">
        <f>COUNTIFS(tData[SEHTrajectPeriodeDatumTijdVan],"&lt;="&amp;($A508+17/24),tData[SEHTrajectPeriodeDatumTijdTotEnMet],"&gt;"&amp;($A508+17/24),tData[Langligger01],1)</f>
        <v/>
      </c>
      <c r="V508" s="20">
        <f>COUNTIFS(tData[SEHTrajectPeriodeDatumTijdVan],"&lt;="&amp;($A508+18/24),tData[SEHTrajectPeriodeDatumTijdTotEnMet],"&gt;"&amp;($A508+18/24),tData[Langligger01],1)</f>
        <v/>
      </c>
      <c r="W508" s="20">
        <f>COUNTIFS(tData[SEHTrajectPeriodeDatumTijdVan],"&lt;="&amp;($A508+19/24),tData[SEHTrajectPeriodeDatumTijdTotEnMet],"&gt;"&amp;($A508+19/24),tData[Langligger01],1)</f>
        <v/>
      </c>
      <c r="X508" s="20">
        <f>COUNTIFS(tData[SEHTrajectPeriodeDatumTijdVan],"&lt;="&amp;($A508+20/24),tData[SEHTrajectPeriodeDatumTijdTotEnMet],"&gt;"&amp;($A508+20/24),tData[Langligger01],1)</f>
        <v/>
      </c>
      <c r="Y508" s="20">
        <f>COUNTIFS(tData[SEHTrajectPeriodeDatumTijdVan],"&lt;="&amp;($A508+21/24),tData[SEHTrajectPeriodeDatumTijdTotEnMet],"&gt;"&amp;($A508+21/24),tData[Langligger01],1)</f>
        <v/>
      </c>
      <c r="Z508" s="20">
        <f>COUNTIFS(tData[SEHTrajectPeriodeDatumTijdVan],"&lt;="&amp;($A508+22/24),tData[SEHTrajectPeriodeDatumTijdTotEnMet],"&gt;"&amp;($A508+22/24),tData[Langligger01],1)</f>
        <v/>
      </c>
      <c r="AA508" s="20">
        <f>COUNTIFS(tData[SEHTrajectPeriodeDatumTijdVan],"&lt;="&amp;($A508+23/24),tData[SEHTrajectPeriodeDatumTijdTotEnMet],"&gt;"&amp;($A508+23/24),tData[Langligger01],1)</f>
        <v/>
      </c>
    </row>
    <row r="509">
      <c r="A509" s="19" t="n">
        <v>45797</v>
      </c>
      <c r="B509" s="15">
        <f>WEEKDAY($A509,2)</f>
        <v/>
      </c>
      <c r="C509" s="15">
        <f>IF(AND($A509&gt;=INT(Instellingen!$B$5),$A509&lt;=INT(Instellingen!$B$6)),1,0)</f>
        <v/>
      </c>
      <c r="D509" s="20">
        <f>COUNTIFS(tData[SEHTrajectPeriodeDatumTijdVan],"&lt;="&amp;($A509+0/24),tData[SEHTrajectPeriodeDatumTijdTotEnMet],"&gt;"&amp;($A509+0/24),tData[Langligger01],1)</f>
        <v/>
      </c>
      <c r="E509" s="20">
        <f>COUNTIFS(tData[SEHTrajectPeriodeDatumTijdVan],"&lt;="&amp;($A509+1/24),tData[SEHTrajectPeriodeDatumTijdTotEnMet],"&gt;"&amp;($A509+1/24),tData[Langligger01],1)</f>
        <v/>
      </c>
      <c r="F509" s="20">
        <f>COUNTIFS(tData[SEHTrajectPeriodeDatumTijdVan],"&lt;="&amp;($A509+2/24),tData[SEHTrajectPeriodeDatumTijdTotEnMet],"&gt;"&amp;($A509+2/24),tData[Langligger01],1)</f>
        <v/>
      </c>
      <c r="G509" s="20">
        <f>COUNTIFS(tData[SEHTrajectPeriodeDatumTijdVan],"&lt;="&amp;($A509+3/24),tData[SEHTrajectPeriodeDatumTijdTotEnMet],"&gt;"&amp;($A509+3/24),tData[Langligger01],1)</f>
        <v/>
      </c>
      <c r="H509" s="20">
        <f>COUNTIFS(tData[SEHTrajectPeriodeDatumTijdVan],"&lt;="&amp;($A509+4/24),tData[SEHTrajectPeriodeDatumTijdTotEnMet],"&gt;"&amp;($A509+4/24),tData[Langligger01],1)</f>
        <v/>
      </c>
      <c r="I509" s="20">
        <f>COUNTIFS(tData[SEHTrajectPeriodeDatumTijdVan],"&lt;="&amp;($A509+5/24),tData[SEHTrajectPeriodeDatumTijdTotEnMet],"&gt;"&amp;($A509+5/24),tData[Langligger01],1)</f>
        <v/>
      </c>
      <c r="J509" s="20">
        <f>COUNTIFS(tData[SEHTrajectPeriodeDatumTijdVan],"&lt;="&amp;($A509+6/24),tData[SEHTrajectPeriodeDatumTijdTotEnMet],"&gt;"&amp;($A509+6/24),tData[Langligger01],1)</f>
        <v/>
      </c>
      <c r="K509" s="20">
        <f>COUNTIFS(tData[SEHTrajectPeriodeDatumTijdVan],"&lt;="&amp;($A509+7/24),tData[SEHTrajectPeriodeDatumTijdTotEnMet],"&gt;"&amp;($A509+7/24),tData[Langligger01],1)</f>
        <v/>
      </c>
      <c r="L509" s="20">
        <f>COUNTIFS(tData[SEHTrajectPeriodeDatumTijdVan],"&lt;="&amp;($A509+8/24),tData[SEHTrajectPeriodeDatumTijdTotEnMet],"&gt;"&amp;($A509+8/24),tData[Langligger01],1)</f>
        <v/>
      </c>
      <c r="M509" s="20">
        <f>COUNTIFS(tData[SEHTrajectPeriodeDatumTijdVan],"&lt;="&amp;($A509+9/24),tData[SEHTrajectPeriodeDatumTijdTotEnMet],"&gt;"&amp;($A509+9/24),tData[Langligger01],1)</f>
        <v/>
      </c>
      <c r="N509" s="20">
        <f>COUNTIFS(tData[SEHTrajectPeriodeDatumTijdVan],"&lt;="&amp;($A509+10/24),tData[SEHTrajectPeriodeDatumTijdTotEnMet],"&gt;"&amp;($A509+10/24),tData[Langligger01],1)</f>
        <v/>
      </c>
      <c r="O509" s="20">
        <f>COUNTIFS(tData[SEHTrajectPeriodeDatumTijdVan],"&lt;="&amp;($A509+11/24),tData[SEHTrajectPeriodeDatumTijdTotEnMet],"&gt;"&amp;($A509+11/24),tData[Langligger01],1)</f>
        <v/>
      </c>
      <c r="P509" s="20">
        <f>COUNTIFS(tData[SEHTrajectPeriodeDatumTijdVan],"&lt;="&amp;($A509+12/24),tData[SEHTrajectPeriodeDatumTijdTotEnMet],"&gt;"&amp;($A509+12/24),tData[Langligger01],1)</f>
        <v/>
      </c>
      <c r="Q509" s="20">
        <f>COUNTIFS(tData[SEHTrajectPeriodeDatumTijdVan],"&lt;="&amp;($A509+13/24),tData[SEHTrajectPeriodeDatumTijdTotEnMet],"&gt;"&amp;($A509+13/24),tData[Langligger01],1)</f>
        <v/>
      </c>
      <c r="R509" s="20">
        <f>COUNTIFS(tData[SEHTrajectPeriodeDatumTijdVan],"&lt;="&amp;($A509+14/24),tData[SEHTrajectPeriodeDatumTijdTotEnMet],"&gt;"&amp;($A509+14/24),tData[Langligger01],1)</f>
        <v/>
      </c>
      <c r="S509" s="20">
        <f>COUNTIFS(tData[SEHTrajectPeriodeDatumTijdVan],"&lt;="&amp;($A509+15/24),tData[SEHTrajectPeriodeDatumTijdTotEnMet],"&gt;"&amp;($A509+15/24),tData[Langligger01],1)</f>
        <v/>
      </c>
      <c r="T509" s="20">
        <f>COUNTIFS(tData[SEHTrajectPeriodeDatumTijdVan],"&lt;="&amp;($A509+16/24),tData[SEHTrajectPeriodeDatumTijdTotEnMet],"&gt;"&amp;($A509+16/24),tData[Langligger01],1)</f>
        <v/>
      </c>
      <c r="U509" s="20">
        <f>COUNTIFS(tData[SEHTrajectPeriodeDatumTijdVan],"&lt;="&amp;($A509+17/24),tData[SEHTrajectPeriodeDatumTijdTotEnMet],"&gt;"&amp;($A509+17/24),tData[Langligger01],1)</f>
        <v/>
      </c>
      <c r="V509" s="20">
        <f>COUNTIFS(tData[SEHTrajectPeriodeDatumTijdVan],"&lt;="&amp;($A509+18/24),tData[SEHTrajectPeriodeDatumTijdTotEnMet],"&gt;"&amp;($A509+18/24),tData[Langligger01],1)</f>
        <v/>
      </c>
      <c r="W509" s="20">
        <f>COUNTIFS(tData[SEHTrajectPeriodeDatumTijdVan],"&lt;="&amp;($A509+19/24),tData[SEHTrajectPeriodeDatumTijdTotEnMet],"&gt;"&amp;($A509+19/24),tData[Langligger01],1)</f>
        <v/>
      </c>
      <c r="X509" s="20">
        <f>COUNTIFS(tData[SEHTrajectPeriodeDatumTijdVan],"&lt;="&amp;($A509+20/24),tData[SEHTrajectPeriodeDatumTijdTotEnMet],"&gt;"&amp;($A509+20/24),tData[Langligger01],1)</f>
        <v/>
      </c>
      <c r="Y509" s="20">
        <f>COUNTIFS(tData[SEHTrajectPeriodeDatumTijdVan],"&lt;="&amp;($A509+21/24),tData[SEHTrajectPeriodeDatumTijdTotEnMet],"&gt;"&amp;($A509+21/24),tData[Langligger01],1)</f>
        <v/>
      </c>
      <c r="Z509" s="20">
        <f>COUNTIFS(tData[SEHTrajectPeriodeDatumTijdVan],"&lt;="&amp;($A509+22/24),tData[SEHTrajectPeriodeDatumTijdTotEnMet],"&gt;"&amp;($A509+22/24),tData[Langligger01],1)</f>
        <v/>
      </c>
      <c r="AA509" s="20">
        <f>COUNTIFS(tData[SEHTrajectPeriodeDatumTijdVan],"&lt;="&amp;($A509+23/24),tData[SEHTrajectPeriodeDatumTijdTotEnMet],"&gt;"&amp;($A509+23/24),tData[Langligger01],1)</f>
        <v/>
      </c>
    </row>
    <row r="510">
      <c r="A510" s="19" t="n">
        <v>45798</v>
      </c>
      <c r="B510" s="15">
        <f>WEEKDAY($A510,2)</f>
        <v/>
      </c>
      <c r="C510" s="15">
        <f>IF(AND($A510&gt;=INT(Instellingen!$B$5),$A510&lt;=INT(Instellingen!$B$6)),1,0)</f>
        <v/>
      </c>
      <c r="D510" s="20">
        <f>COUNTIFS(tData[SEHTrajectPeriodeDatumTijdVan],"&lt;="&amp;($A510+0/24),tData[SEHTrajectPeriodeDatumTijdTotEnMet],"&gt;"&amp;($A510+0/24),tData[Langligger01],1)</f>
        <v/>
      </c>
      <c r="E510" s="20">
        <f>COUNTIFS(tData[SEHTrajectPeriodeDatumTijdVan],"&lt;="&amp;($A510+1/24),tData[SEHTrajectPeriodeDatumTijdTotEnMet],"&gt;"&amp;($A510+1/24),tData[Langligger01],1)</f>
        <v/>
      </c>
      <c r="F510" s="20">
        <f>COUNTIFS(tData[SEHTrajectPeriodeDatumTijdVan],"&lt;="&amp;($A510+2/24),tData[SEHTrajectPeriodeDatumTijdTotEnMet],"&gt;"&amp;($A510+2/24),tData[Langligger01],1)</f>
        <v/>
      </c>
      <c r="G510" s="20">
        <f>COUNTIFS(tData[SEHTrajectPeriodeDatumTijdVan],"&lt;="&amp;($A510+3/24),tData[SEHTrajectPeriodeDatumTijdTotEnMet],"&gt;"&amp;($A510+3/24),tData[Langligger01],1)</f>
        <v/>
      </c>
      <c r="H510" s="20">
        <f>COUNTIFS(tData[SEHTrajectPeriodeDatumTijdVan],"&lt;="&amp;($A510+4/24),tData[SEHTrajectPeriodeDatumTijdTotEnMet],"&gt;"&amp;($A510+4/24),tData[Langligger01],1)</f>
        <v/>
      </c>
      <c r="I510" s="20">
        <f>COUNTIFS(tData[SEHTrajectPeriodeDatumTijdVan],"&lt;="&amp;($A510+5/24),tData[SEHTrajectPeriodeDatumTijdTotEnMet],"&gt;"&amp;($A510+5/24),tData[Langligger01],1)</f>
        <v/>
      </c>
      <c r="J510" s="20">
        <f>COUNTIFS(tData[SEHTrajectPeriodeDatumTijdVan],"&lt;="&amp;($A510+6/24),tData[SEHTrajectPeriodeDatumTijdTotEnMet],"&gt;"&amp;($A510+6/24),tData[Langligger01],1)</f>
        <v/>
      </c>
      <c r="K510" s="20">
        <f>COUNTIFS(tData[SEHTrajectPeriodeDatumTijdVan],"&lt;="&amp;($A510+7/24),tData[SEHTrajectPeriodeDatumTijdTotEnMet],"&gt;"&amp;($A510+7/24),tData[Langligger01],1)</f>
        <v/>
      </c>
      <c r="L510" s="20">
        <f>COUNTIFS(tData[SEHTrajectPeriodeDatumTijdVan],"&lt;="&amp;($A510+8/24),tData[SEHTrajectPeriodeDatumTijdTotEnMet],"&gt;"&amp;($A510+8/24),tData[Langligger01],1)</f>
        <v/>
      </c>
      <c r="M510" s="20">
        <f>COUNTIFS(tData[SEHTrajectPeriodeDatumTijdVan],"&lt;="&amp;($A510+9/24),tData[SEHTrajectPeriodeDatumTijdTotEnMet],"&gt;"&amp;($A510+9/24),tData[Langligger01],1)</f>
        <v/>
      </c>
      <c r="N510" s="20">
        <f>COUNTIFS(tData[SEHTrajectPeriodeDatumTijdVan],"&lt;="&amp;($A510+10/24),tData[SEHTrajectPeriodeDatumTijdTotEnMet],"&gt;"&amp;($A510+10/24),tData[Langligger01],1)</f>
        <v/>
      </c>
      <c r="O510" s="20">
        <f>COUNTIFS(tData[SEHTrajectPeriodeDatumTijdVan],"&lt;="&amp;($A510+11/24),tData[SEHTrajectPeriodeDatumTijdTotEnMet],"&gt;"&amp;($A510+11/24),tData[Langligger01],1)</f>
        <v/>
      </c>
      <c r="P510" s="20">
        <f>COUNTIFS(tData[SEHTrajectPeriodeDatumTijdVan],"&lt;="&amp;($A510+12/24),tData[SEHTrajectPeriodeDatumTijdTotEnMet],"&gt;"&amp;($A510+12/24),tData[Langligger01],1)</f>
        <v/>
      </c>
      <c r="Q510" s="20">
        <f>COUNTIFS(tData[SEHTrajectPeriodeDatumTijdVan],"&lt;="&amp;($A510+13/24),tData[SEHTrajectPeriodeDatumTijdTotEnMet],"&gt;"&amp;($A510+13/24),tData[Langligger01],1)</f>
        <v/>
      </c>
      <c r="R510" s="20">
        <f>COUNTIFS(tData[SEHTrajectPeriodeDatumTijdVan],"&lt;="&amp;($A510+14/24),tData[SEHTrajectPeriodeDatumTijdTotEnMet],"&gt;"&amp;($A510+14/24),tData[Langligger01],1)</f>
        <v/>
      </c>
      <c r="S510" s="20">
        <f>COUNTIFS(tData[SEHTrajectPeriodeDatumTijdVan],"&lt;="&amp;($A510+15/24),tData[SEHTrajectPeriodeDatumTijdTotEnMet],"&gt;"&amp;($A510+15/24),tData[Langligger01],1)</f>
        <v/>
      </c>
      <c r="T510" s="20">
        <f>COUNTIFS(tData[SEHTrajectPeriodeDatumTijdVan],"&lt;="&amp;($A510+16/24),tData[SEHTrajectPeriodeDatumTijdTotEnMet],"&gt;"&amp;($A510+16/24),tData[Langligger01],1)</f>
        <v/>
      </c>
      <c r="U510" s="20">
        <f>COUNTIFS(tData[SEHTrajectPeriodeDatumTijdVan],"&lt;="&amp;($A510+17/24),tData[SEHTrajectPeriodeDatumTijdTotEnMet],"&gt;"&amp;($A510+17/24),tData[Langligger01],1)</f>
        <v/>
      </c>
      <c r="V510" s="20">
        <f>COUNTIFS(tData[SEHTrajectPeriodeDatumTijdVan],"&lt;="&amp;($A510+18/24),tData[SEHTrajectPeriodeDatumTijdTotEnMet],"&gt;"&amp;($A510+18/24),tData[Langligger01],1)</f>
        <v/>
      </c>
      <c r="W510" s="20">
        <f>COUNTIFS(tData[SEHTrajectPeriodeDatumTijdVan],"&lt;="&amp;($A510+19/24),tData[SEHTrajectPeriodeDatumTijdTotEnMet],"&gt;"&amp;($A510+19/24),tData[Langligger01],1)</f>
        <v/>
      </c>
      <c r="X510" s="20">
        <f>COUNTIFS(tData[SEHTrajectPeriodeDatumTijdVan],"&lt;="&amp;($A510+20/24),tData[SEHTrajectPeriodeDatumTijdTotEnMet],"&gt;"&amp;($A510+20/24),tData[Langligger01],1)</f>
        <v/>
      </c>
      <c r="Y510" s="20">
        <f>COUNTIFS(tData[SEHTrajectPeriodeDatumTijdVan],"&lt;="&amp;($A510+21/24),tData[SEHTrajectPeriodeDatumTijdTotEnMet],"&gt;"&amp;($A510+21/24),tData[Langligger01],1)</f>
        <v/>
      </c>
      <c r="Z510" s="20">
        <f>COUNTIFS(tData[SEHTrajectPeriodeDatumTijdVan],"&lt;="&amp;($A510+22/24),tData[SEHTrajectPeriodeDatumTijdTotEnMet],"&gt;"&amp;($A510+22/24),tData[Langligger01],1)</f>
        <v/>
      </c>
      <c r="AA510" s="20">
        <f>COUNTIFS(tData[SEHTrajectPeriodeDatumTijdVan],"&lt;="&amp;($A510+23/24),tData[SEHTrajectPeriodeDatumTijdTotEnMet],"&gt;"&amp;($A510+23/24),tData[Langligger01],1)</f>
        <v/>
      </c>
    </row>
    <row r="511">
      <c r="A511" s="19" t="n">
        <v>45799</v>
      </c>
      <c r="B511" s="15">
        <f>WEEKDAY($A511,2)</f>
        <v/>
      </c>
      <c r="C511" s="15">
        <f>IF(AND($A511&gt;=INT(Instellingen!$B$5),$A511&lt;=INT(Instellingen!$B$6)),1,0)</f>
        <v/>
      </c>
      <c r="D511" s="20">
        <f>COUNTIFS(tData[SEHTrajectPeriodeDatumTijdVan],"&lt;="&amp;($A511+0/24),tData[SEHTrajectPeriodeDatumTijdTotEnMet],"&gt;"&amp;($A511+0/24),tData[Langligger01],1)</f>
        <v/>
      </c>
      <c r="E511" s="20">
        <f>COUNTIFS(tData[SEHTrajectPeriodeDatumTijdVan],"&lt;="&amp;($A511+1/24),tData[SEHTrajectPeriodeDatumTijdTotEnMet],"&gt;"&amp;($A511+1/24),tData[Langligger01],1)</f>
        <v/>
      </c>
      <c r="F511" s="20">
        <f>COUNTIFS(tData[SEHTrajectPeriodeDatumTijdVan],"&lt;="&amp;($A511+2/24),tData[SEHTrajectPeriodeDatumTijdTotEnMet],"&gt;"&amp;($A511+2/24),tData[Langligger01],1)</f>
        <v/>
      </c>
      <c r="G511" s="20">
        <f>COUNTIFS(tData[SEHTrajectPeriodeDatumTijdVan],"&lt;="&amp;($A511+3/24),tData[SEHTrajectPeriodeDatumTijdTotEnMet],"&gt;"&amp;($A511+3/24),tData[Langligger01],1)</f>
        <v/>
      </c>
      <c r="H511" s="20">
        <f>COUNTIFS(tData[SEHTrajectPeriodeDatumTijdVan],"&lt;="&amp;($A511+4/24),tData[SEHTrajectPeriodeDatumTijdTotEnMet],"&gt;"&amp;($A511+4/24),tData[Langligger01],1)</f>
        <v/>
      </c>
      <c r="I511" s="20">
        <f>COUNTIFS(tData[SEHTrajectPeriodeDatumTijdVan],"&lt;="&amp;($A511+5/24),tData[SEHTrajectPeriodeDatumTijdTotEnMet],"&gt;"&amp;($A511+5/24),tData[Langligger01],1)</f>
        <v/>
      </c>
      <c r="J511" s="20">
        <f>COUNTIFS(tData[SEHTrajectPeriodeDatumTijdVan],"&lt;="&amp;($A511+6/24),tData[SEHTrajectPeriodeDatumTijdTotEnMet],"&gt;"&amp;($A511+6/24),tData[Langligger01],1)</f>
        <v/>
      </c>
      <c r="K511" s="20">
        <f>COUNTIFS(tData[SEHTrajectPeriodeDatumTijdVan],"&lt;="&amp;($A511+7/24),tData[SEHTrajectPeriodeDatumTijdTotEnMet],"&gt;"&amp;($A511+7/24),tData[Langligger01],1)</f>
        <v/>
      </c>
      <c r="L511" s="20">
        <f>COUNTIFS(tData[SEHTrajectPeriodeDatumTijdVan],"&lt;="&amp;($A511+8/24),tData[SEHTrajectPeriodeDatumTijdTotEnMet],"&gt;"&amp;($A511+8/24),tData[Langligger01],1)</f>
        <v/>
      </c>
      <c r="M511" s="20">
        <f>COUNTIFS(tData[SEHTrajectPeriodeDatumTijdVan],"&lt;="&amp;($A511+9/24),tData[SEHTrajectPeriodeDatumTijdTotEnMet],"&gt;"&amp;($A511+9/24),tData[Langligger01],1)</f>
        <v/>
      </c>
      <c r="N511" s="20">
        <f>COUNTIFS(tData[SEHTrajectPeriodeDatumTijdVan],"&lt;="&amp;($A511+10/24),tData[SEHTrajectPeriodeDatumTijdTotEnMet],"&gt;"&amp;($A511+10/24),tData[Langligger01],1)</f>
        <v/>
      </c>
      <c r="O511" s="20">
        <f>COUNTIFS(tData[SEHTrajectPeriodeDatumTijdVan],"&lt;="&amp;($A511+11/24),tData[SEHTrajectPeriodeDatumTijdTotEnMet],"&gt;"&amp;($A511+11/24),tData[Langligger01],1)</f>
        <v/>
      </c>
      <c r="P511" s="20">
        <f>COUNTIFS(tData[SEHTrajectPeriodeDatumTijdVan],"&lt;="&amp;($A511+12/24),tData[SEHTrajectPeriodeDatumTijdTotEnMet],"&gt;"&amp;($A511+12/24),tData[Langligger01],1)</f>
        <v/>
      </c>
      <c r="Q511" s="20">
        <f>COUNTIFS(tData[SEHTrajectPeriodeDatumTijdVan],"&lt;="&amp;($A511+13/24),tData[SEHTrajectPeriodeDatumTijdTotEnMet],"&gt;"&amp;($A511+13/24),tData[Langligger01],1)</f>
        <v/>
      </c>
      <c r="R511" s="20">
        <f>COUNTIFS(tData[SEHTrajectPeriodeDatumTijdVan],"&lt;="&amp;($A511+14/24),tData[SEHTrajectPeriodeDatumTijdTotEnMet],"&gt;"&amp;($A511+14/24),tData[Langligger01],1)</f>
        <v/>
      </c>
      <c r="S511" s="20">
        <f>COUNTIFS(tData[SEHTrajectPeriodeDatumTijdVan],"&lt;="&amp;($A511+15/24),tData[SEHTrajectPeriodeDatumTijdTotEnMet],"&gt;"&amp;($A511+15/24),tData[Langligger01],1)</f>
        <v/>
      </c>
      <c r="T511" s="20">
        <f>COUNTIFS(tData[SEHTrajectPeriodeDatumTijdVan],"&lt;="&amp;($A511+16/24),tData[SEHTrajectPeriodeDatumTijdTotEnMet],"&gt;"&amp;($A511+16/24),tData[Langligger01],1)</f>
        <v/>
      </c>
      <c r="U511" s="20">
        <f>COUNTIFS(tData[SEHTrajectPeriodeDatumTijdVan],"&lt;="&amp;($A511+17/24),tData[SEHTrajectPeriodeDatumTijdTotEnMet],"&gt;"&amp;($A511+17/24),tData[Langligger01],1)</f>
        <v/>
      </c>
      <c r="V511" s="20">
        <f>COUNTIFS(tData[SEHTrajectPeriodeDatumTijdVan],"&lt;="&amp;($A511+18/24),tData[SEHTrajectPeriodeDatumTijdTotEnMet],"&gt;"&amp;($A511+18/24),tData[Langligger01],1)</f>
        <v/>
      </c>
      <c r="W511" s="20">
        <f>COUNTIFS(tData[SEHTrajectPeriodeDatumTijdVan],"&lt;="&amp;($A511+19/24),tData[SEHTrajectPeriodeDatumTijdTotEnMet],"&gt;"&amp;($A511+19/24),tData[Langligger01],1)</f>
        <v/>
      </c>
      <c r="X511" s="20">
        <f>COUNTIFS(tData[SEHTrajectPeriodeDatumTijdVan],"&lt;="&amp;($A511+20/24),tData[SEHTrajectPeriodeDatumTijdTotEnMet],"&gt;"&amp;($A511+20/24),tData[Langligger01],1)</f>
        <v/>
      </c>
      <c r="Y511" s="20">
        <f>COUNTIFS(tData[SEHTrajectPeriodeDatumTijdVan],"&lt;="&amp;($A511+21/24),tData[SEHTrajectPeriodeDatumTijdTotEnMet],"&gt;"&amp;($A511+21/24),tData[Langligger01],1)</f>
        <v/>
      </c>
      <c r="Z511" s="20">
        <f>COUNTIFS(tData[SEHTrajectPeriodeDatumTijdVan],"&lt;="&amp;($A511+22/24),tData[SEHTrajectPeriodeDatumTijdTotEnMet],"&gt;"&amp;($A511+22/24),tData[Langligger01],1)</f>
        <v/>
      </c>
      <c r="AA511" s="20">
        <f>COUNTIFS(tData[SEHTrajectPeriodeDatumTijdVan],"&lt;="&amp;($A511+23/24),tData[SEHTrajectPeriodeDatumTijdTotEnMet],"&gt;"&amp;($A511+23/24),tData[Langligger01],1)</f>
        <v/>
      </c>
    </row>
    <row r="512">
      <c r="A512" s="19" t="n">
        <v>45800</v>
      </c>
      <c r="B512" s="15">
        <f>WEEKDAY($A512,2)</f>
        <v/>
      </c>
      <c r="C512" s="15">
        <f>IF(AND($A512&gt;=INT(Instellingen!$B$5),$A512&lt;=INT(Instellingen!$B$6)),1,0)</f>
        <v/>
      </c>
      <c r="D512" s="20">
        <f>COUNTIFS(tData[SEHTrajectPeriodeDatumTijdVan],"&lt;="&amp;($A512+0/24),tData[SEHTrajectPeriodeDatumTijdTotEnMet],"&gt;"&amp;($A512+0/24),tData[Langligger01],1)</f>
        <v/>
      </c>
      <c r="E512" s="20">
        <f>COUNTIFS(tData[SEHTrajectPeriodeDatumTijdVan],"&lt;="&amp;($A512+1/24),tData[SEHTrajectPeriodeDatumTijdTotEnMet],"&gt;"&amp;($A512+1/24),tData[Langligger01],1)</f>
        <v/>
      </c>
      <c r="F512" s="20">
        <f>COUNTIFS(tData[SEHTrajectPeriodeDatumTijdVan],"&lt;="&amp;($A512+2/24),tData[SEHTrajectPeriodeDatumTijdTotEnMet],"&gt;"&amp;($A512+2/24),tData[Langligger01],1)</f>
        <v/>
      </c>
      <c r="G512" s="20">
        <f>COUNTIFS(tData[SEHTrajectPeriodeDatumTijdVan],"&lt;="&amp;($A512+3/24),tData[SEHTrajectPeriodeDatumTijdTotEnMet],"&gt;"&amp;($A512+3/24),tData[Langligger01],1)</f>
        <v/>
      </c>
      <c r="H512" s="20">
        <f>COUNTIFS(tData[SEHTrajectPeriodeDatumTijdVan],"&lt;="&amp;($A512+4/24),tData[SEHTrajectPeriodeDatumTijdTotEnMet],"&gt;"&amp;($A512+4/24),tData[Langligger01],1)</f>
        <v/>
      </c>
      <c r="I512" s="20">
        <f>COUNTIFS(tData[SEHTrajectPeriodeDatumTijdVan],"&lt;="&amp;($A512+5/24),tData[SEHTrajectPeriodeDatumTijdTotEnMet],"&gt;"&amp;($A512+5/24),tData[Langligger01],1)</f>
        <v/>
      </c>
      <c r="J512" s="20">
        <f>COUNTIFS(tData[SEHTrajectPeriodeDatumTijdVan],"&lt;="&amp;($A512+6/24),tData[SEHTrajectPeriodeDatumTijdTotEnMet],"&gt;"&amp;($A512+6/24),tData[Langligger01],1)</f>
        <v/>
      </c>
      <c r="K512" s="20">
        <f>COUNTIFS(tData[SEHTrajectPeriodeDatumTijdVan],"&lt;="&amp;($A512+7/24),tData[SEHTrajectPeriodeDatumTijdTotEnMet],"&gt;"&amp;($A512+7/24),tData[Langligger01],1)</f>
        <v/>
      </c>
      <c r="L512" s="20">
        <f>COUNTIFS(tData[SEHTrajectPeriodeDatumTijdVan],"&lt;="&amp;($A512+8/24),tData[SEHTrajectPeriodeDatumTijdTotEnMet],"&gt;"&amp;($A512+8/24),tData[Langligger01],1)</f>
        <v/>
      </c>
      <c r="M512" s="20">
        <f>COUNTIFS(tData[SEHTrajectPeriodeDatumTijdVan],"&lt;="&amp;($A512+9/24),tData[SEHTrajectPeriodeDatumTijdTotEnMet],"&gt;"&amp;($A512+9/24),tData[Langligger01],1)</f>
        <v/>
      </c>
      <c r="N512" s="20">
        <f>COUNTIFS(tData[SEHTrajectPeriodeDatumTijdVan],"&lt;="&amp;($A512+10/24),tData[SEHTrajectPeriodeDatumTijdTotEnMet],"&gt;"&amp;($A512+10/24),tData[Langligger01],1)</f>
        <v/>
      </c>
      <c r="O512" s="20">
        <f>COUNTIFS(tData[SEHTrajectPeriodeDatumTijdVan],"&lt;="&amp;($A512+11/24),tData[SEHTrajectPeriodeDatumTijdTotEnMet],"&gt;"&amp;($A512+11/24),tData[Langligger01],1)</f>
        <v/>
      </c>
      <c r="P512" s="20">
        <f>COUNTIFS(tData[SEHTrajectPeriodeDatumTijdVan],"&lt;="&amp;($A512+12/24),tData[SEHTrajectPeriodeDatumTijdTotEnMet],"&gt;"&amp;($A512+12/24),tData[Langligger01],1)</f>
        <v/>
      </c>
      <c r="Q512" s="20">
        <f>COUNTIFS(tData[SEHTrajectPeriodeDatumTijdVan],"&lt;="&amp;($A512+13/24),tData[SEHTrajectPeriodeDatumTijdTotEnMet],"&gt;"&amp;($A512+13/24),tData[Langligger01],1)</f>
        <v/>
      </c>
      <c r="R512" s="20">
        <f>COUNTIFS(tData[SEHTrajectPeriodeDatumTijdVan],"&lt;="&amp;($A512+14/24),tData[SEHTrajectPeriodeDatumTijdTotEnMet],"&gt;"&amp;($A512+14/24),tData[Langligger01],1)</f>
        <v/>
      </c>
      <c r="S512" s="20">
        <f>COUNTIFS(tData[SEHTrajectPeriodeDatumTijdVan],"&lt;="&amp;($A512+15/24),tData[SEHTrajectPeriodeDatumTijdTotEnMet],"&gt;"&amp;($A512+15/24),tData[Langligger01],1)</f>
        <v/>
      </c>
      <c r="T512" s="20">
        <f>COUNTIFS(tData[SEHTrajectPeriodeDatumTijdVan],"&lt;="&amp;($A512+16/24),tData[SEHTrajectPeriodeDatumTijdTotEnMet],"&gt;"&amp;($A512+16/24),tData[Langligger01],1)</f>
        <v/>
      </c>
      <c r="U512" s="20">
        <f>COUNTIFS(tData[SEHTrajectPeriodeDatumTijdVan],"&lt;="&amp;($A512+17/24),tData[SEHTrajectPeriodeDatumTijdTotEnMet],"&gt;"&amp;($A512+17/24),tData[Langligger01],1)</f>
        <v/>
      </c>
      <c r="V512" s="20">
        <f>COUNTIFS(tData[SEHTrajectPeriodeDatumTijdVan],"&lt;="&amp;($A512+18/24),tData[SEHTrajectPeriodeDatumTijdTotEnMet],"&gt;"&amp;($A512+18/24),tData[Langligger01],1)</f>
        <v/>
      </c>
      <c r="W512" s="20">
        <f>COUNTIFS(tData[SEHTrajectPeriodeDatumTijdVan],"&lt;="&amp;($A512+19/24),tData[SEHTrajectPeriodeDatumTijdTotEnMet],"&gt;"&amp;($A512+19/24),tData[Langligger01],1)</f>
        <v/>
      </c>
      <c r="X512" s="20">
        <f>COUNTIFS(tData[SEHTrajectPeriodeDatumTijdVan],"&lt;="&amp;($A512+20/24),tData[SEHTrajectPeriodeDatumTijdTotEnMet],"&gt;"&amp;($A512+20/24),tData[Langligger01],1)</f>
        <v/>
      </c>
      <c r="Y512" s="20">
        <f>COUNTIFS(tData[SEHTrajectPeriodeDatumTijdVan],"&lt;="&amp;($A512+21/24),tData[SEHTrajectPeriodeDatumTijdTotEnMet],"&gt;"&amp;($A512+21/24),tData[Langligger01],1)</f>
        <v/>
      </c>
      <c r="Z512" s="20">
        <f>COUNTIFS(tData[SEHTrajectPeriodeDatumTijdVan],"&lt;="&amp;($A512+22/24),tData[SEHTrajectPeriodeDatumTijdTotEnMet],"&gt;"&amp;($A512+22/24),tData[Langligger01],1)</f>
        <v/>
      </c>
      <c r="AA512" s="20">
        <f>COUNTIFS(tData[SEHTrajectPeriodeDatumTijdVan],"&lt;="&amp;($A512+23/24),tData[SEHTrajectPeriodeDatumTijdTotEnMet],"&gt;"&amp;($A512+23/24),tData[Langligger01],1)</f>
        <v/>
      </c>
    </row>
    <row r="513">
      <c r="A513" s="19" t="n">
        <v>45801</v>
      </c>
      <c r="B513" s="15">
        <f>WEEKDAY($A513,2)</f>
        <v/>
      </c>
      <c r="C513" s="15">
        <f>IF(AND($A513&gt;=INT(Instellingen!$B$5),$A513&lt;=INT(Instellingen!$B$6)),1,0)</f>
        <v/>
      </c>
      <c r="D513" s="20">
        <f>COUNTIFS(tData[SEHTrajectPeriodeDatumTijdVan],"&lt;="&amp;($A513+0/24),tData[SEHTrajectPeriodeDatumTijdTotEnMet],"&gt;"&amp;($A513+0/24),tData[Langligger01],1)</f>
        <v/>
      </c>
      <c r="E513" s="20">
        <f>COUNTIFS(tData[SEHTrajectPeriodeDatumTijdVan],"&lt;="&amp;($A513+1/24),tData[SEHTrajectPeriodeDatumTijdTotEnMet],"&gt;"&amp;($A513+1/24),tData[Langligger01],1)</f>
        <v/>
      </c>
      <c r="F513" s="20">
        <f>COUNTIFS(tData[SEHTrajectPeriodeDatumTijdVan],"&lt;="&amp;($A513+2/24),tData[SEHTrajectPeriodeDatumTijdTotEnMet],"&gt;"&amp;($A513+2/24),tData[Langligger01],1)</f>
        <v/>
      </c>
      <c r="G513" s="20">
        <f>COUNTIFS(tData[SEHTrajectPeriodeDatumTijdVan],"&lt;="&amp;($A513+3/24),tData[SEHTrajectPeriodeDatumTijdTotEnMet],"&gt;"&amp;($A513+3/24),tData[Langligger01],1)</f>
        <v/>
      </c>
      <c r="H513" s="20">
        <f>COUNTIFS(tData[SEHTrajectPeriodeDatumTijdVan],"&lt;="&amp;($A513+4/24),tData[SEHTrajectPeriodeDatumTijdTotEnMet],"&gt;"&amp;($A513+4/24),tData[Langligger01],1)</f>
        <v/>
      </c>
      <c r="I513" s="20">
        <f>COUNTIFS(tData[SEHTrajectPeriodeDatumTijdVan],"&lt;="&amp;($A513+5/24),tData[SEHTrajectPeriodeDatumTijdTotEnMet],"&gt;"&amp;($A513+5/24),tData[Langligger01],1)</f>
        <v/>
      </c>
      <c r="J513" s="20">
        <f>COUNTIFS(tData[SEHTrajectPeriodeDatumTijdVan],"&lt;="&amp;($A513+6/24),tData[SEHTrajectPeriodeDatumTijdTotEnMet],"&gt;"&amp;($A513+6/24),tData[Langligger01],1)</f>
        <v/>
      </c>
      <c r="K513" s="20">
        <f>COUNTIFS(tData[SEHTrajectPeriodeDatumTijdVan],"&lt;="&amp;($A513+7/24),tData[SEHTrajectPeriodeDatumTijdTotEnMet],"&gt;"&amp;($A513+7/24),tData[Langligger01],1)</f>
        <v/>
      </c>
      <c r="L513" s="20">
        <f>COUNTIFS(tData[SEHTrajectPeriodeDatumTijdVan],"&lt;="&amp;($A513+8/24),tData[SEHTrajectPeriodeDatumTijdTotEnMet],"&gt;"&amp;($A513+8/24),tData[Langligger01],1)</f>
        <v/>
      </c>
      <c r="M513" s="20">
        <f>COUNTIFS(tData[SEHTrajectPeriodeDatumTijdVan],"&lt;="&amp;($A513+9/24),tData[SEHTrajectPeriodeDatumTijdTotEnMet],"&gt;"&amp;($A513+9/24),tData[Langligger01],1)</f>
        <v/>
      </c>
      <c r="N513" s="20">
        <f>COUNTIFS(tData[SEHTrajectPeriodeDatumTijdVan],"&lt;="&amp;($A513+10/24),tData[SEHTrajectPeriodeDatumTijdTotEnMet],"&gt;"&amp;($A513+10/24),tData[Langligger01],1)</f>
        <v/>
      </c>
      <c r="O513" s="20">
        <f>COUNTIFS(tData[SEHTrajectPeriodeDatumTijdVan],"&lt;="&amp;($A513+11/24),tData[SEHTrajectPeriodeDatumTijdTotEnMet],"&gt;"&amp;($A513+11/24),tData[Langligger01],1)</f>
        <v/>
      </c>
      <c r="P513" s="20">
        <f>COUNTIFS(tData[SEHTrajectPeriodeDatumTijdVan],"&lt;="&amp;($A513+12/24),tData[SEHTrajectPeriodeDatumTijdTotEnMet],"&gt;"&amp;($A513+12/24),tData[Langligger01],1)</f>
        <v/>
      </c>
      <c r="Q513" s="20">
        <f>COUNTIFS(tData[SEHTrajectPeriodeDatumTijdVan],"&lt;="&amp;($A513+13/24),tData[SEHTrajectPeriodeDatumTijdTotEnMet],"&gt;"&amp;($A513+13/24),tData[Langligger01],1)</f>
        <v/>
      </c>
      <c r="R513" s="20">
        <f>COUNTIFS(tData[SEHTrajectPeriodeDatumTijdVan],"&lt;="&amp;($A513+14/24),tData[SEHTrajectPeriodeDatumTijdTotEnMet],"&gt;"&amp;($A513+14/24),tData[Langligger01],1)</f>
        <v/>
      </c>
      <c r="S513" s="20">
        <f>COUNTIFS(tData[SEHTrajectPeriodeDatumTijdVan],"&lt;="&amp;($A513+15/24),tData[SEHTrajectPeriodeDatumTijdTotEnMet],"&gt;"&amp;($A513+15/24),tData[Langligger01],1)</f>
        <v/>
      </c>
      <c r="T513" s="20">
        <f>COUNTIFS(tData[SEHTrajectPeriodeDatumTijdVan],"&lt;="&amp;($A513+16/24),tData[SEHTrajectPeriodeDatumTijdTotEnMet],"&gt;"&amp;($A513+16/24),tData[Langligger01],1)</f>
        <v/>
      </c>
      <c r="U513" s="20">
        <f>COUNTIFS(tData[SEHTrajectPeriodeDatumTijdVan],"&lt;="&amp;($A513+17/24),tData[SEHTrajectPeriodeDatumTijdTotEnMet],"&gt;"&amp;($A513+17/24),tData[Langligger01],1)</f>
        <v/>
      </c>
      <c r="V513" s="20">
        <f>COUNTIFS(tData[SEHTrajectPeriodeDatumTijdVan],"&lt;="&amp;($A513+18/24),tData[SEHTrajectPeriodeDatumTijdTotEnMet],"&gt;"&amp;($A513+18/24),tData[Langligger01],1)</f>
        <v/>
      </c>
      <c r="W513" s="20">
        <f>COUNTIFS(tData[SEHTrajectPeriodeDatumTijdVan],"&lt;="&amp;($A513+19/24),tData[SEHTrajectPeriodeDatumTijdTotEnMet],"&gt;"&amp;($A513+19/24),tData[Langligger01],1)</f>
        <v/>
      </c>
      <c r="X513" s="20">
        <f>COUNTIFS(tData[SEHTrajectPeriodeDatumTijdVan],"&lt;="&amp;($A513+20/24),tData[SEHTrajectPeriodeDatumTijdTotEnMet],"&gt;"&amp;($A513+20/24),tData[Langligger01],1)</f>
        <v/>
      </c>
      <c r="Y513" s="20">
        <f>COUNTIFS(tData[SEHTrajectPeriodeDatumTijdVan],"&lt;="&amp;($A513+21/24),tData[SEHTrajectPeriodeDatumTijdTotEnMet],"&gt;"&amp;($A513+21/24),tData[Langligger01],1)</f>
        <v/>
      </c>
      <c r="Z513" s="20">
        <f>COUNTIFS(tData[SEHTrajectPeriodeDatumTijdVan],"&lt;="&amp;($A513+22/24),tData[SEHTrajectPeriodeDatumTijdTotEnMet],"&gt;"&amp;($A513+22/24),tData[Langligger01],1)</f>
        <v/>
      </c>
      <c r="AA513" s="20">
        <f>COUNTIFS(tData[SEHTrajectPeriodeDatumTijdVan],"&lt;="&amp;($A513+23/24),tData[SEHTrajectPeriodeDatumTijdTotEnMet],"&gt;"&amp;($A513+23/24),tData[Langligger01],1)</f>
        <v/>
      </c>
    </row>
    <row r="514">
      <c r="A514" s="19" t="n">
        <v>45802</v>
      </c>
      <c r="B514" s="15">
        <f>WEEKDAY($A514,2)</f>
        <v/>
      </c>
      <c r="C514" s="15">
        <f>IF(AND($A514&gt;=INT(Instellingen!$B$5),$A514&lt;=INT(Instellingen!$B$6)),1,0)</f>
        <v/>
      </c>
      <c r="D514" s="20">
        <f>COUNTIFS(tData[SEHTrajectPeriodeDatumTijdVan],"&lt;="&amp;($A514+0/24),tData[SEHTrajectPeriodeDatumTijdTotEnMet],"&gt;"&amp;($A514+0/24),tData[Langligger01],1)</f>
        <v/>
      </c>
      <c r="E514" s="20">
        <f>COUNTIFS(tData[SEHTrajectPeriodeDatumTijdVan],"&lt;="&amp;($A514+1/24),tData[SEHTrajectPeriodeDatumTijdTotEnMet],"&gt;"&amp;($A514+1/24),tData[Langligger01],1)</f>
        <v/>
      </c>
      <c r="F514" s="20">
        <f>COUNTIFS(tData[SEHTrajectPeriodeDatumTijdVan],"&lt;="&amp;($A514+2/24),tData[SEHTrajectPeriodeDatumTijdTotEnMet],"&gt;"&amp;($A514+2/24),tData[Langligger01],1)</f>
        <v/>
      </c>
      <c r="G514" s="20">
        <f>COUNTIFS(tData[SEHTrajectPeriodeDatumTijdVan],"&lt;="&amp;($A514+3/24),tData[SEHTrajectPeriodeDatumTijdTotEnMet],"&gt;"&amp;($A514+3/24),tData[Langligger01],1)</f>
        <v/>
      </c>
      <c r="H514" s="20">
        <f>COUNTIFS(tData[SEHTrajectPeriodeDatumTijdVan],"&lt;="&amp;($A514+4/24),tData[SEHTrajectPeriodeDatumTijdTotEnMet],"&gt;"&amp;($A514+4/24),tData[Langligger01],1)</f>
        <v/>
      </c>
      <c r="I514" s="20">
        <f>COUNTIFS(tData[SEHTrajectPeriodeDatumTijdVan],"&lt;="&amp;($A514+5/24),tData[SEHTrajectPeriodeDatumTijdTotEnMet],"&gt;"&amp;($A514+5/24),tData[Langligger01],1)</f>
        <v/>
      </c>
      <c r="J514" s="20">
        <f>COUNTIFS(tData[SEHTrajectPeriodeDatumTijdVan],"&lt;="&amp;($A514+6/24),tData[SEHTrajectPeriodeDatumTijdTotEnMet],"&gt;"&amp;($A514+6/24),tData[Langligger01],1)</f>
        <v/>
      </c>
      <c r="K514" s="20">
        <f>COUNTIFS(tData[SEHTrajectPeriodeDatumTijdVan],"&lt;="&amp;($A514+7/24),tData[SEHTrajectPeriodeDatumTijdTotEnMet],"&gt;"&amp;($A514+7/24),tData[Langligger01],1)</f>
        <v/>
      </c>
      <c r="L514" s="20">
        <f>COUNTIFS(tData[SEHTrajectPeriodeDatumTijdVan],"&lt;="&amp;($A514+8/24),tData[SEHTrajectPeriodeDatumTijdTotEnMet],"&gt;"&amp;($A514+8/24),tData[Langligger01],1)</f>
        <v/>
      </c>
      <c r="M514" s="20">
        <f>COUNTIFS(tData[SEHTrajectPeriodeDatumTijdVan],"&lt;="&amp;($A514+9/24),tData[SEHTrajectPeriodeDatumTijdTotEnMet],"&gt;"&amp;($A514+9/24),tData[Langligger01],1)</f>
        <v/>
      </c>
      <c r="N514" s="20">
        <f>COUNTIFS(tData[SEHTrajectPeriodeDatumTijdVan],"&lt;="&amp;($A514+10/24),tData[SEHTrajectPeriodeDatumTijdTotEnMet],"&gt;"&amp;($A514+10/24),tData[Langligger01],1)</f>
        <v/>
      </c>
      <c r="O514" s="20">
        <f>COUNTIFS(tData[SEHTrajectPeriodeDatumTijdVan],"&lt;="&amp;($A514+11/24),tData[SEHTrajectPeriodeDatumTijdTotEnMet],"&gt;"&amp;($A514+11/24),tData[Langligger01],1)</f>
        <v/>
      </c>
      <c r="P514" s="20">
        <f>COUNTIFS(tData[SEHTrajectPeriodeDatumTijdVan],"&lt;="&amp;($A514+12/24),tData[SEHTrajectPeriodeDatumTijdTotEnMet],"&gt;"&amp;($A514+12/24),tData[Langligger01],1)</f>
        <v/>
      </c>
      <c r="Q514" s="20">
        <f>COUNTIFS(tData[SEHTrajectPeriodeDatumTijdVan],"&lt;="&amp;($A514+13/24),tData[SEHTrajectPeriodeDatumTijdTotEnMet],"&gt;"&amp;($A514+13/24),tData[Langligger01],1)</f>
        <v/>
      </c>
      <c r="R514" s="20">
        <f>COUNTIFS(tData[SEHTrajectPeriodeDatumTijdVan],"&lt;="&amp;($A514+14/24),tData[SEHTrajectPeriodeDatumTijdTotEnMet],"&gt;"&amp;($A514+14/24),tData[Langligger01],1)</f>
        <v/>
      </c>
      <c r="S514" s="20">
        <f>COUNTIFS(tData[SEHTrajectPeriodeDatumTijdVan],"&lt;="&amp;($A514+15/24),tData[SEHTrajectPeriodeDatumTijdTotEnMet],"&gt;"&amp;($A514+15/24),tData[Langligger01],1)</f>
        <v/>
      </c>
      <c r="T514" s="20">
        <f>COUNTIFS(tData[SEHTrajectPeriodeDatumTijdVan],"&lt;="&amp;($A514+16/24),tData[SEHTrajectPeriodeDatumTijdTotEnMet],"&gt;"&amp;($A514+16/24),tData[Langligger01],1)</f>
        <v/>
      </c>
      <c r="U514" s="20">
        <f>COUNTIFS(tData[SEHTrajectPeriodeDatumTijdVan],"&lt;="&amp;($A514+17/24),tData[SEHTrajectPeriodeDatumTijdTotEnMet],"&gt;"&amp;($A514+17/24),tData[Langligger01],1)</f>
        <v/>
      </c>
      <c r="V514" s="20">
        <f>COUNTIFS(tData[SEHTrajectPeriodeDatumTijdVan],"&lt;="&amp;($A514+18/24),tData[SEHTrajectPeriodeDatumTijdTotEnMet],"&gt;"&amp;($A514+18/24),tData[Langligger01],1)</f>
        <v/>
      </c>
      <c r="W514" s="20">
        <f>COUNTIFS(tData[SEHTrajectPeriodeDatumTijdVan],"&lt;="&amp;($A514+19/24),tData[SEHTrajectPeriodeDatumTijdTotEnMet],"&gt;"&amp;($A514+19/24),tData[Langligger01],1)</f>
        <v/>
      </c>
      <c r="X514" s="20">
        <f>COUNTIFS(tData[SEHTrajectPeriodeDatumTijdVan],"&lt;="&amp;($A514+20/24),tData[SEHTrajectPeriodeDatumTijdTotEnMet],"&gt;"&amp;($A514+20/24),tData[Langligger01],1)</f>
        <v/>
      </c>
      <c r="Y514" s="20">
        <f>COUNTIFS(tData[SEHTrajectPeriodeDatumTijdVan],"&lt;="&amp;($A514+21/24),tData[SEHTrajectPeriodeDatumTijdTotEnMet],"&gt;"&amp;($A514+21/24),tData[Langligger01],1)</f>
        <v/>
      </c>
      <c r="Z514" s="20">
        <f>COUNTIFS(tData[SEHTrajectPeriodeDatumTijdVan],"&lt;="&amp;($A514+22/24),tData[SEHTrajectPeriodeDatumTijdTotEnMet],"&gt;"&amp;($A514+22/24),tData[Langligger01],1)</f>
        <v/>
      </c>
      <c r="AA514" s="20">
        <f>COUNTIFS(tData[SEHTrajectPeriodeDatumTijdVan],"&lt;="&amp;($A514+23/24),tData[SEHTrajectPeriodeDatumTijdTotEnMet],"&gt;"&amp;($A514+23/24),tData[Langligger01],1)</f>
        <v/>
      </c>
    </row>
    <row r="515">
      <c r="A515" s="19" t="n">
        <v>45803</v>
      </c>
      <c r="B515" s="15">
        <f>WEEKDAY($A515,2)</f>
        <v/>
      </c>
      <c r="C515" s="15">
        <f>IF(AND($A515&gt;=INT(Instellingen!$B$5),$A515&lt;=INT(Instellingen!$B$6)),1,0)</f>
        <v/>
      </c>
      <c r="D515" s="20">
        <f>COUNTIFS(tData[SEHTrajectPeriodeDatumTijdVan],"&lt;="&amp;($A515+0/24),tData[SEHTrajectPeriodeDatumTijdTotEnMet],"&gt;"&amp;($A515+0/24),tData[Langligger01],1)</f>
        <v/>
      </c>
      <c r="E515" s="20">
        <f>COUNTIFS(tData[SEHTrajectPeriodeDatumTijdVan],"&lt;="&amp;($A515+1/24),tData[SEHTrajectPeriodeDatumTijdTotEnMet],"&gt;"&amp;($A515+1/24),tData[Langligger01],1)</f>
        <v/>
      </c>
      <c r="F515" s="20">
        <f>COUNTIFS(tData[SEHTrajectPeriodeDatumTijdVan],"&lt;="&amp;($A515+2/24),tData[SEHTrajectPeriodeDatumTijdTotEnMet],"&gt;"&amp;($A515+2/24),tData[Langligger01],1)</f>
        <v/>
      </c>
      <c r="G515" s="20">
        <f>COUNTIFS(tData[SEHTrajectPeriodeDatumTijdVan],"&lt;="&amp;($A515+3/24),tData[SEHTrajectPeriodeDatumTijdTotEnMet],"&gt;"&amp;($A515+3/24),tData[Langligger01],1)</f>
        <v/>
      </c>
      <c r="H515" s="20">
        <f>COUNTIFS(tData[SEHTrajectPeriodeDatumTijdVan],"&lt;="&amp;($A515+4/24),tData[SEHTrajectPeriodeDatumTijdTotEnMet],"&gt;"&amp;($A515+4/24),tData[Langligger01],1)</f>
        <v/>
      </c>
      <c r="I515" s="20">
        <f>COUNTIFS(tData[SEHTrajectPeriodeDatumTijdVan],"&lt;="&amp;($A515+5/24),tData[SEHTrajectPeriodeDatumTijdTotEnMet],"&gt;"&amp;($A515+5/24),tData[Langligger01],1)</f>
        <v/>
      </c>
      <c r="J515" s="20">
        <f>COUNTIFS(tData[SEHTrajectPeriodeDatumTijdVan],"&lt;="&amp;($A515+6/24),tData[SEHTrajectPeriodeDatumTijdTotEnMet],"&gt;"&amp;($A515+6/24),tData[Langligger01],1)</f>
        <v/>
      </c>
      <c r="K515" s="20">
        <f>COUNTIFS(tData[SEHTrajectPeriodeDatumTijdVan],"&lt;="&amp;($A515+7/24),tData[SEHTrajectPeriodeDatumTijdTotEnMet],"&gt;"&amp;($A515+7/24),tData[Langligger01],1)</f>
        <v/>
      </c>
      <c r="L515" s="20">
        <f>COUNTIFS(tData[SEHTrajectPeriodeDatumTijdVan],"&lt;="&amp;($A515+8/24),tData[SEHTrajectPeriodeDatumTijdTotEnMet],"&gt;"&amp;($A515+8/24),tData[Langligger01],1)</f>
        <v/>
      </c>
      <c r="M515" s="20">
        <f>COUNTIFS(tData[SEHTrajectPeriodeDatumTijdVan],"&lt;="&amp;($A515+9/24),tData[SEHTrajectPeriodeDatumTijdTotEnMet],"&gt;"&amp;($A515+9/24),tData[Langligger01],1)</f>
        <v/>
      </c>
      <c r="N515" s="20">
        <f>COUNTIFS(tData[SEHTrajectPeriodeDatumTijdVan],"&lt;="&amp;($A515+10/24),tData[SEHTrajectPeriodeDatumTijdTotEnMet],"&gt;"&amp;($A515+10/24),tData[Langligger01],1)</f>
        <v/>
      </c>
      <c r="O515" s="20">
        <f>COUNTIFS(tData[SEHTrajectPeriodeDatumTijdVan],"&lt;="&amp;($A515+11/24),tData[SEHTrajectPeriodeDatumTijdTotEnMet],"&gt;"&amp;($A515+11/24),tData[Langligger01],1)</f>
        <v/>
      </c>
      <c r="P515" s="20">
        <f>COUNTIFS(tData[SEHTrajectPeriodeDatumTijdVan],"&lt;="&amp;($A515+12/24),tData[SEHTrajectPeriodeDatumTijdTotEnMet],"&gt;"&amp;($A515+12/24),tData[Langligger01],1)</f>
        <v/>
      </c>
      <c r="Q515" s="20">
        <f>COUNTIFS(tData[SEHTrajectPeriodeDatumTijdVan],"&lt;="&amp;($A515+13/24),tData[SEHTrajectPeriodeDatumTijdTotEnMet],"&gt;"&amp;($A515+13/24),tData[Langligger01],1)</f>
        <v/>
      </c>
      <c r="R515" s="20">
        <f>COUNTIFS(tData[SEHTrajectPeriodeDatumTijdVan],"&lt;="&amp;($A515+14/24),tData[SEHTrajectPeriodeDatumTijdTotEnMet],"&gt;"&amp;($A515+14/24),tData[Langligger01],1)</f>
        <v/>
      </c>
      <c r="S515" s="20">
        <f>COUNTIFS(tData[SEHTrajectPeriodeDatumTijdVan],"&lt;="&amp;($A515+15/24),tData[SEHTrajectPeriodeDatumTijdTotEnMet],"&gt;"&amp;($A515+15/24),tData[Langligger01],1)</f>
        <v/>
      </c>
      <c r="T515" s="20">
        <f>COUNTIFS(tData[SEHTrajectPeriodeDatumTijdVan],"&lt;="&amp;($A515+16/24),tData[SEHTrajectPeriodeDatumTijdTotEnMet],"&gt;"&amp;($A515+16/24),tData[Langligger01],1)</f>
        <v/>
      </c>
      <c r="U515" s="20">
        <f>COUNTIFS(tData[SEHTrajectPeriodeDatumTijdVan],"&lt;="&amp;($A515+17/24),tData[SEHTrajectPeriodeDatumTijdTotEnMet],"&gt;"&amp;($A515+17/24),tData[Langligger01],1)</f>
        <v/>
      </c>
      <c r="V515" s="20">
        <f>COUNTIFS(tData[SEHTrajectPeriodeDatumTijdVan],"&lt;="&amp;($A515+18/24),tData[SEHTrajectPeriodeDatumTijdTotEnMet],"&gt;"&amp;($A515+18/24),tData[Langligger01],1)</f>
        <v/>
      </c>
      <c r="W515" s="20">
        <f>COUNTIFS(tData[SEHTrajectPeriodeDatumTijdVan],"&lt;="&amp;($A515+19/24),tData[SEHTrajectPeriodeDatumTijdTotEnMet],"&gt;"&amp;($A515+19/24),tData[Langligger01],1)</f>
        <v/>
      </c>
      <c r="X515" s="20">
        <f>COUNTIFS(tData[SEHTrajectPeriodeDatumTijdVan],"&lt;="&amp;($A515+20/24),tData[SEHTrajectPeriodeDatumTijdTotEnMet],"&gt;"&amp;($A515+20/24),tData[Langligger01],1)</f>
        <v/>
      </c>
      <c r="Y515" s="20">
        <f>COUNTIFS(tData[SEHTrajectPeriodeDatumTijdVan],"&lt;="&amp;($A515+21/24),tData[SEHTrajectPeriodeDatumTijdTotEnMet],"&gt;"&amp;($A515+21/24),tData[Langligger01],1)</f>
        <v/>
      </c>
      <c r="Z515" s="20">
        <f>COUNTIFS(tData[SEHTrajectPeriodeDatumTijdVan],"&lt;="&amp;($A515+22/24),tData[SEHTrajectPeriodeDatumTijdTotEnMet],"&gt;"&amp;($A515+22/24),tData[Langligger01],1)</f>
        <v/>
      </c>
      <c r="AA515" s="20">
        <f>COUNTIFS(tData[SEHTrajectPeriodeDatumTijdVan],"&lt;="&amp;($A515+23/24),tData[SEHTrajectPeriodeDatumTijdTotEnMet],"&gt;"&amp;($A515+23/24),tData[Langligger01],1)</f>
        <v/>
      </c>
    </row>
    <row r="516">
      <c r="A516" s="19" t="n">
        <v>45804</v>
      </c>
      <c r="B516" s="15">
        <f>WEEKDAY($A516,2)</f>
        <v/>
      </c>
      <c r="C516" s="15">
        <f>IF(AND($A516&gt;=INT(Instellingen!$B$5),$A516&lt;=INT(Instellingen!$B$6)),1,0)</f>
        <v/>
      </c>
      <c r="D516" s="20">
        <f>COUNTIFS(tData[SEHTrajectPeriodeDatumTijdVan],"&lt;="&amp;($A516+0/24),tData[SEHTrajectPeriodeDatumTijdTotEnMet],"&gt;"&amp;($A516+0/24),tData[Langligger01],1)</f>
        <v/>
      </c>
      <c r="E516" s="20">
        <f>COUNTIFS(tData[SEHTrajectPeriodeDatumTijdVan],"&lt;="&amp;($A516+1/24),tData[SEHTrajectPeriodeDatumTijdTotEnMet],"&gt;"&amp;($A516+1/24),tData[Langligger01],1)</f>
        <v/>
      </c>
      <c r="F516" s="20">
        <f>COUNTIFS(tData[SEHTrajectPeriodeDatumTijdVan],"&lt;="&amp;($A516+2/24),tData[SEHTrajectPeriodeDatumTijdTotEnMet],"&gt;"&amp;($A516+2/24),tData[Langligger01],1)</f>
        <v/>
      </c>
      <c r="G516" s="20">
        <f>COUNTIFS(tData[SEHTrajectPeriodeDatumTijdVan],"&lt;="&amp;($A516+3/24),tData[SEHTrajectPeriodeDatumTijdTotEnMet],"&gt;"&amp;($A516+3/24),tData[Langligger01],1)</f>
        <v/>
      </c>
      <c r="H516" s="20">
        <f>COUNTIFS(tData[SEHTrajectPeriodeDatumTijdVan],"&lt;="&amp;($A516+4/24),tData[SEHTrajectPeriodeDatumTijdTotEnMet],"&gt;"&amp;($A516+4/24),tData[Langligger01],1)</f>
        <v/>
      </c>
      <c r="I516" s="20">
        <f>COUNTIFS(tData[SEHTrajectPeriodeDatumTijdVan],"&lt;="&amp;($A516+5/24),tData[SEHTrajectPeriodeDatumTijdTotEnMet],"&gt;"&amp;($A516+5/24),tData[Langligger01],1)</f>
        <v/>
      </c>
      <c r="J516" s="20">
        <f>COUNTIFS(tData[SEHTrajectPeriodeDatumTijdVan],"&lt;="&amp;($A516+6/24),tData[SEHTrajectPeriodeDatumTijdTotEnMet],"&gt;"&amp;($A516+6/24),tData[Langligger01],1)</f>
        <v/>
      </c>
      <c r="K516" s="20">
        <f>COUNTIFS(tData[SEHTrajectPeriodeDatumTijdVan],"&lt;="&amp;($A516+7/24),tData[SEHTrajectPeriodeDatumTijdTotEnMet],"&gt;"&amp;($A516+7/24),tData[Langligger01],1)</f>
        <v/>
      </c>
      <c r="L516" s="20">
        <f>COUNTIFS(tData[SEHTrajectPeriodeDatumTijdVan],"&lt;="&amp;($A516+8/24),tData[SEHTrajectPeriodeDatumTijdTotEnMet],"&gt;"&amp;($A516+8/24),tData[Langligger01],1)</f>
        <v/>
      </c>
      <c r="M516" s="20">
        <f>COUNTIFS(tData[SEHTrajectPeriodeDatumTijdVan],"&lt;="&amp;($A516+9/24),tData[SEHTrajectPeriodeDatumTijdTotEnMet],"&gt;"&amp;($A516+9/24),tData[Langligger01],1)</f>
        <v/>
      </c>
      <c r="N516" s="20">
        <f>COUNTIFS(tData[SEHTrajectPeriodeDatumTijdVan],"&lt;="&amp;($A516+10/24),tData[SEHTrajectPeriodeDatumTijdTotEnMet],"&gt;"&amp;($A516+10/24),tData[Langligger01],1)</f>
        <v/>
      </c>
      <c r="O516" s="20">
        <f>COUNTIFS(tData[SEHTrajectPeriodeDatumTijdVan],"&lt;="&amp;($A516+11/24),tData[SEHTrajectPeriodeDatumTijdTotEnMet],"&gt;"&amp;($A516+11/24),tData[Langligger01],1)</f>
        <v/>
      </c>
      <c r="P516" s="20">
        <f>COUNTIFS(tData[SEHTrajectPeriodeDatumTijdVan],"&lt;="&amp;($A516+12/24),tData[SEHTrajectPeriodeDatumTijdTotEnMet],"&gt;"&amp;($A516+12/24),tData[Langligger01],1)</f>
        <v/>
      </c>
      <c r="Q516" s="20">
        <f>COUNTIFS(tData[SEHTrajectPeriodeDatumTijdVan],"&lt;="&amp;($A516+13/24),tData[SEHTrajectPeriodeDatumTijdTotEnMet],"&gt;"&amp;($A516+13/24),tData[Langligger01],1)</f>
        <v/>
      </c>
      <c r="R516" s="20">
        <f>COUNTIFS(tData[SEHTrajectPeriodeDatumTijdVan],"&lt;="&amp;($A516+14/24),tData[SEHTrajectPeriodeDatumTijdTotEnMet],"&gt;"&amp;($A516+14/24),tData[Langligger01],1)</f>
        <v/>
      </c>
      <c r="S516" s="20">
        <f>COUNTIFS(tData[SEHTrajectPeriodeDatumTijdVan],"&lt;="&amp;($A516+15/24),tData[SEHTrajectPeriodeDatumTijdTotEnMet],"&gt;"&amp;($A516+15/24),tData[Langligger01],1)</f>
        <v/>
      </c>
      <c r="T516" s="20">
        <f>COUNTIFS(tData[SEHTrajectPeriodeDatumTijdVan],"&lt;="&amp;($A516+16/24),tData[SEHTrajectPeriodeDatumTijdTotEnMet],"&gt;"&amp;($A516+16/24),tData[Langligger01],1)</f>
        <v/>
      </c>
      <c r="U516" s="20">
        <f>COUNTIFS(tData[SEHTrajectPeriodeDatumTijdVan],"&lt;="&amp;($A516+17/24),tData[SEHTrajectPeriodeDatumTijdTotEnMet],"&gt;"&amp;($A516+17/24),tData[Langligger01],1)</f>
        <v/>
      </c>
      <c r="V516" s="20">
        <f>COUNTIFS(tData[SEHTrajectPeriodeDatumTijdVan],"&lt;="&amp;($A516+18/24),tData[SEHTrajectPeriodeDatumTijdTotEnMet],"&gt;"&amp;($A516+18/24),tData[Langligger01],1)</f>
        <v/>
      </c>
      <c r="W516" s="20">
        <f>COUNTIFS(tData[SEHTrajectPeriodeDatumTijdVan],"&lt;="&amp;($A516+19/24),tData[SEHTrajectPeriodeDatumTijdTotEnMet],"&gt;"&amp;($A516+19/24),tData[Langligger01],1)</f>
        <v/>
      </c>
      <c r="X516" s="20">
        <f>COUNTIFS(tData[SEHTrajectPeriodeDatumTijdVan],"&lt;="&amp;($A516+20/24),tData[SEHTrajectPeriodeDatumTijdTotEnMet],"&gt;"&amp;($A516+20/24),tData[Langligger01],1)</f>
        <v/>
      </c>
      <c r="Y516" s="20">
        <f>COUNTIFS(tData[SEHTrajectPeriodeDatumTijdVan],"&lt;="&amp;($A516+21/24),tData[SEHTrajectPeriodeDatumTijdTotEnMet],"&gt;"&amp;($A516+21/24),tData[Langligger01],1)</f>
        <v/>
      </c>
      <c r="Z516" s="20">
        <f>COUNTIFS(tData[SEHTrajectPeriodeDatumTijdVan],"&lt;="&amp;($A516+22/24),tData[SEHTrajectPeriodeDatumTijdTotEnMet],"&gt;"&amp;($A516+22/24),tData[Langligger01],1)</f>
        <v/>
      </c>
      <c r="AA516" s="20">
        <f>COUNTIFS(tData[SEHTrajectPeriodeDatumTijdVan],"&lt;="&amp;($A516+23/24),tData[SEHTrajectPeriodeDatumTijdTotEnMet],"&gt;"&amp;($A516+23/24),tData[Langligger01],1)</f>
        <v/>
      </c>
    </row>
    <row r="517">
      <c r="A517" s="19" t="n">
        <v>45805</v>
      </c>
      <c r="B517" s="15">
        <f>WEEKDAY($A517,2)</f>
        <v/>
      </c>
      <c r="C517" s="15">
        <f>IF(AND($A517&gt;=INT(Instellingen!$B$5),$A517&lt;=INT(Instellingen!$B$6)),1,0)</f>
        <v/>
      </c>
      <c r="D517" s="20">
        <f>COUNTIFS(tData[SEHTrajectPeriodeDatumTijdVan],"&lt;="&amp;($A517+0/24),tData[SEHTrajectPeriodeDatumTijdTotEnMet],"&gt;"&amp;($A517+0/24),tData[Langligger01],1)</f>
        <v/>
      </c>
      <c r="E517" s="20">
        <f>COUNTIFS(tData[SEHTrajectPeriodeDatumTijdVan],"&lt;="&amp;($A517+1/24),tData[SEHTrajectPeriodeDatumTijdTotEnMet],"&gt;"&amp;($A517+1/24),tData[Langligger01],1)</f>
        <v/>
      </c>
      <c r="F517" s="20">
        <f>COUNTIFS(tData[SEHTrajectPeriodeDatumTijdVan],"&lt;="&amp;($A517+2/24),tData[SEHTrajectPeriodeDatumTijdTotEnMet],"&gt;"&amp;($A517+2/24),tData[Langligger01],1)</f>
        <v/>
      </c>
      <c r="G517" s="20">
        <f>COUNTIFS(tData[SEHTrajectPeriodeDatumTijdVan],"&lt;="&amp;($A517+3/24),tData[SEHTrajectPeriodeDatumTijdTotEnMet],"&gt;"&amp;($A517+3/24),tData[Langligger01],1)</f>
        <v/>
      </c>
      <c r="H517" s="20">
        <f>COUNTIFS(tData[SEHTrajectPeriodeDatumTijdVan],"&lt;="&amp;($A517+4/24),tData[SEHTrajectPeriodeDatumTijdTotEnMet],"&gt;"&amp;($A517+4/24),tData[Langligger01],1)</f>
        <v/>
      </c>
      <c r="I517" s="20">
        <f>COUNTIFS(tData[SEHTrajectPeriodeDatumTijdVan],"&lt;="&amp;($A517+5/24),tData[SEHTrajectPeriodeDatumTijdTotEnMet],"&gt;"&amp;($A517+5/24),tData[Langligger01],1)</f>
        <v/>
      </c>
      <c r="J517" s="20">
        <f>COUNTIFS(tData[SEHTrajectPeriodeDatumTijdVan],"&lt;="&amp;($A517+6/24),tData[SEHTrajectPeriodeDatumTijdTotEnMet],"&gt;"&amp;($A517+6/24),tData[Langligger01],1)</f>
        <v/>
      </c>
      <c r="K517" s="20">
        <f>COUNTIFS(tData[SEHTrajectPeriodeDatumTijdVan],"&lt;="&amp;($A517+7/24),tData[SEHTrajectPeriodeDatumTijdTotEnMet],"&gt;"&amp;($A517+7/24),tData[Langligger01],1)</f>
        <v/>
      </c>
      <c r="L517" s="20">
        <f>COUNTIFS(tData[SEHTrajectPeriodeDatumTijdVan],"&lt;="&amp;($A517+8/24),tData[SEHTrajectPeriodeDatumTijdTotEnMet],"&gt;"&amp;($A517+8/24),tData[Langligger01],1)</f>
        <v/>
      </c>
      <c r="M517" s="20">
        <f>COUNTIFS(tData[SEHTrajectPeriodeDatumTijdVan],"&lt;="&amp;($A517+9/24),tData[SEHTrajectPeriodeDatumTijdTotEnMet],"&gt;"&amp;($A517+9/24),tData[Langligger01],1)</f>
        <v/>
      </c>
      <c r="N517" s="20">
        <f>COUNTIFS(tData[SEHTrajectPeriodeDatumTijdVan],"&lt;="&amp;($A517+10/24),tData[SEHTrajectPeriodeDatumTijdTotEnMet],"&gt;"&amp;($A517+10/24),tData[Langligger01],1)</f>
        <v/>
      </c>
      <c r="O517" s="20">
        <f>COUNTIFS(tData[SEHTrajectPeriodeDatumTijdVan],"&lt;="&amp;($A517+11/24),tData[SEHTrajectPeriodeDatumTijdTotEnMet],"&gt;"&amp;($A517+11/24),tData[Langligger01],1)</f>
        <v/>
      </c>
      <c r="P517" s="20">
        <f>COUNTIFS(tData[SEHTrajectPeriodeDatumTijdVan],"&lt;="&amp;($A517+12/24),tData[SEHTrajectPeriodeDatumTijdTotEnMet],"&gt;"&amp;($A517+12/24),tData[Langligger01],1)</f>
        <v/>
      </c>
      <c r="Q517" s="20">
        <f>COUNTIFS(tData[SEHTrajectPeriodeDatumTijdVan],"&lt;="&amp;($A517+13/24),tData[SEHTrajectPeriodeDatumTijdTotEnMet],"&gt;"&amp;($A517+13/24),tData[Langligger01],1)</f>
        <v/>
      </c>
      <c r="R517" s="20">
        <f>COUNTIFS(tData[SEHTrajectPeriodeDatumTijdVan],"&lt;="&amp;($A517+14/24),tData[SEHTrajectPeriodeDatumTijdTotEnMet],"&gt;"&amp;($A517+14/24),tData[Langligger01],1)</f>
        <v/>
      </c>
      <c r="S517" s="20">
        <f>COUNTIFS(tData[SEHTrajectPeriodeDatumTijdVan],"&lt;="&amp;($A517+15/24),tData[SEHTrajectPeriodeDatumTijdTotEnMet],"&gt;"&amp;($A517+15/24),tData[Langligger01],1)</f>
        <v/>
      </c>
      <c r="T517" s="20">
        <f>COUNTIFS(tData[SEHTrajectPeriodeDatumTijdVan],"&lt;="&amp;($A517+16/24),tData[SEHTrajectPeriodeDatumTijdTotEnMet],"&gt;"&amp;($A517+16/24),tData[Langligger01],1)</f>
        <v/>
      </c>
      <c r="U517" s="20">
        <f>COUNTIFS(tData[SEHTrajectPeriodeDatumTijdVan],"&lt;="&amp;($A517+17/24),tData[SEHTrajectPeriodeDatumTijdTotEnMet],"&gt;"&amp;($A517+17/24),tData[Langligger01],1)</f>
        <v/>
      </c>
      <c r="V517" s="20">
        <f>COUNTIFS(tData[SEHTrajectPeriodeDatumTijdVan],"&lt;="&amp;($A517+18/24),tData[SEHTrajectPeriodeDatumTijdTotEnMet],"&gt;"&amp;($A517+18/24),tData[Langligger01],1)</f>
        <v/>
      </c>
      <c r="W517" s="20">
        <f>COUNTIFS(tData[SEHTrajectPeriodeDatumTijdVan],"&lt;="&amp;($A517+19/24),tData[SEHTrajectPeriodeDatumTijdTotEnMet],"&gt;"&amp;($A517+19/24),tData[Langligger01],1)</f>
        <v/>
      </c>
      <c r="X517" s="20">
        <f>COUNTIFS(tData[SEHTrajectPeriodeDatumTijdVan],"&lt;="&amp;($A517+20/24),tData[SEHTrajectPeriodeDatumTijdTotEnMet],"&gt;"&amp;($A517+20/24),tData[Langligger01],1)</f>
        <v/>
      </c>
      <c r="Y517" s="20">
        <f>COUNTIFS(tData[SEHTrajectPeriodeDatumTijdVan],"&lt;="&amp;($A517+21/24),tData[SEHTrajectPeriodeDatumTijdTotEnMet],"&gt;"&amp;($A517+21/24),tData[Langligger01],1)</f>
        <v/>
      </c>
      <c r="Z517" s="20">
        <f>COUNTIFS(tData[SEHTrajectPeriodeDatumTijdVan],"&lt;="&amp;($A517+22/24),tData[SEHTrajectPeriodeDatumTijdTotEnMet],"&gt;"&amp;($A517+22/24),tData[Langligger01],1)</f>
        <v/>
      </c>
      <c r="AA517" s="20">
        <f>COUNTIFS(tData[SEHTrajectPeriodeDatumTijdVan],"&lt;="&amp;($A517+23/24),tData[SEHTrajectPeriodeDatumTijdTotEnMet],"&gt;"&amp;($A517+23/24),tData[Langligger01],1)</f>
        <v/>
      </c>
    </row>
    <row r="518">
      <c r="A518" s="19" t="n">
        <v>45806</v>
      </c>
      <c r="B518" s="15">
        <f>WEEKDAY($A518,2)</f>
        <v/>
      </c>
      <c r="C518" s="15">
        <f>IF(AND($A518&gt;=INT(Instellingen!$B$5),$A518&lt;=INT(Instellingen!$B$6)),1,0)</f>
        <v/>
      </c>
      <c r="D518" s="20">
        <f>COUNTIFS(tData[SEHTrajectPeriodeDatumTijdVan],"&lt;="&amp;($A518+0/24),tData[SEHTrajectPeriodeDatumTijdTotEnMet],"&gt;"&amp;($A518+0/24),tData[Langligger01],1)</f>
        <v/>
      </c>
      <c r="E518" s="20">
        <f>COUNTIFS(tData[SEHTrajectPeriodeDatumTijdVan],"&lt;="&amp;($A518+1/24),tData[SEHTrajectPeriodeDatumTijdTotEnMet],"&gt;"&amp;($A518+1/24),tData[Langligger01],1)</f>
        <v/>
      </c>
      <c r="F518" s="20">
        <f>COUNTIFS(tData[SEHTrajectPeriodeDatumTijdVan],"&lt;="&amp;($A518+2/24),tData[SEHTrajectPeriodeDatumTijdTotEnMet],"&gt;"&amp;($A518+2/24),tData[Langligger01],1)</f>
        <v/>
      </c>
      <c r="G518" s="20">
        <f>COUNTIFS(tData[SEHTrajectPeriodeDatumTijdVan],"&lt;="&amp;($A518+3/24),tData[SEHTrajectPeriodeDatumTijdTotEnMet],"&gt;"&amp;($A518+3/24),tData[Langligger01],1)</f>
        <v/>
      </c>
      <c r="H518" s="20">
        <f>COUNTIFS(tData[SEHTrajectPeriodeDatumTijdVan],"&lt;="&amp;($A518+4/24),tData[SEHTrajectPeriodeDatumTijdTotEnMet],"&gt;"&amp;($A518+4/24),tData[Langligger01],1)</f>
        <v/>
      </c>
      <c r="I518" s="20">
        <f>COUNTIFS(tData[SEHTrajectPeriodeDatumTijdVan],"&lt;="&amp;($A518+5/24),tData[SEHTrajectPeriodeDatumTijdTotEnMet],"&gt;"&amp;($A518+5/24),tData[Langligger01],1)</f>
        <v/>
      </c>
      <c r="J518" s="20">
        <f>COUNTIFS(tData[SEHTrajectPeriodeDatumTijdVan],"&lt;="&amp;($A518+6/24),tData[SEHTrajectPeriodeDatumTijdTotEnMet],"&gt;"&amp;($A518+6/24),tData[Langligger01],1)</f>
        <v/>
      </c>
      <c r="K518" s="20">
        <f>COUNTIFS(tData[SEHTrajectPeriodeDatumTijdVan],"&lt;="&amp;($A518+7/24),tData[SEHTrajectPeriodeDatumTijdTotEnMet],"&gt;"&amp;($A518+7/24),tData[Langligger01],1)</f>
        <v/>
      </c>
      <c r="L518" s="20">
        <f>COUNTIFS(tData[SEHTrajectPeriodeDatumTijdVan],"&lt;="&amp;($A518+8/24),tData[SEHTrajectPeriodeDatumTijdTotEnMet],"&gt;"&amp;($A518+8/24),tData[Langligger01],1)</f>
        <v/>
      </c>
      <c r="M518" s="20">
        <f>COUNTIFS(tData[SEHTrajectPeriodeDatumTijdVan],"&lt;="&amp;($A518+9/24),tData[SEHTrajectPeriodeDatumTijdTotEnMet],"&gt;"&amp;($A518+9/24),tData[Langligger01],1)</f>
        <v/>
      </c>
      <c r="N518" s="20">
        <f>COUNTIFS(tData[SEHTrajectPeriodeDatumTijdVan],"&lt;="&amp;($A518+10/24),tData[SEHTrajectPeriodeDatumTijdTotEnMet],"&gt;"&amp;($A518+10/24),tData[Langligger01],1)</f>
        <v/>
      </c>
      <c r="O518" s="20">
        <f>COUNTIFS(tData[SEHTrajectPeriodeDatumTijdVan],"&lt;="&amp;($A518+11/24),tData[SEHTrajectPeriodeDatumTijdTotEnMet],"&gt;"&amp;($A518+11/24),tData[Langligger01],1)</f>
        <v/>
      </c>
      <c r="P518" s="20">
        <f>COUNTIFS(tData[SEHTrajectPeriodeDatumTijdVan],"&lt;="&amp;($A518+12/24),tData[SEHTrajectPeriodeDatumTijdTotEnMet],"&gt;"&amp;($A518+12/24),tData[Langligger01],1)</f>
        <v/>
      </c>
      <c r="Q518" s="20">
        <f>COUNTIFS(tData[SEHTrajectPeriodeDatumTijdVan],"&lt;="&amp;($A518+13/24),tData[SEHTrajectPeriodeDatumTijdTotEnMet],"&gt;"&amp;($A518+13/24),tData[Langligger01],1)</f>
        <v/>
      </c>
      <c r="R518" s="20">
        <f>COUNTIFS(tData[SEHTrajectPeriodeDatumTijdVan],"&lt;="&amp;($A518+14/24),tData[SEHTrajectPeriodeDatumTijdTotEnMet],"&gt;"&amp;($A518+14/24),tData[Langligger01],1)</f>
        <v/>
      </c>
      <c r="S518" s="20">
        <f>COUNTIFS(tData[SEHTrajectPeriodeDatumTijdVan],"&lt;="&amp;($A518+15/24),tData[SEHTrajectPeriodeDatumTijdTotEnMet],"&gt;"&amp;($A518+15/24),tData[Langligger01],1)</f>
        <v/>
      </c>
      <c r="T518" s="20">
        <f>COUNTIFS(tData[SEHTrajectPeriodeDatumTijdVan],"&lt;="&amp;($A518+16/24),tData[SEHTrajectPeriodeDatumTijdTotEnMet],"&gt;"&amp;($A518+16/24),tData[Langligger01],1)</f>
        <v/>
      </c>
      <c r="U518" s="20">
        <f>COUNTIFS(tData[SEHTrajectPeriodeDatumTijdVan],"&lt;="&amp;($A518+17/24),tData[SEHTrajectPeriodeDatumTijdTotEnMet],"&gt;"&amp;($A518+17/24),tData[Langligger01],1)</f>
        <v/>
      </c>
      <c r="V518" s="20">
        <f>COUNTIFS(tData[SEHTrajectPeriodeDatumTijdVan],"&lt;="&amp;($A518+18/24),tData[SEHTrajectPeriodeDatumTijdTotEnMet],"&gt;"&amp;($A518+18/24),tData[Langligger01],1)</f>
        <v/>
      </c>
      <c r="W518" s="20">
        <f>COUNTIFS(tData[SEHTrajectPeriodeDatumTijdVan],"&lt;="&amp;($A518+19/24),tData[SEHTrajectPeriodeDatumTijdTotEnMet],"&gt;"&amp;($A518+19/24),tData[Langligger01],1)</f>
        <v/>
      </c>
      <c r="X518" s="20">
        <f>COUNTIFS(tData[SEHTrajectPeriodeDatumTijdVan],"&lt;="&amp;($A518+20/24),tData[SEHTrajectPeriodeDatumTijdTotEnMet],"&gt;"&amp;($A518+20/24),tData[Langligger01],1)</f>
        <v/>
      </c>
      <c r="Y518" s="20">
        <f>COUNTIFS(tData[SEHTrajectPeriodeDatumTijdVan],"&lt;="&amp;($A518+21/24),tData[SEHTrajectPeriodeDatumTijdTotEnMet],"&gt;"&amp;($A518+21/24),tData[Langligger01],1)</f>
        <v/>
      </c>
      <c r="Z518" s="20">
        <f>COUNTIFS(tData[SEHTrajectPeriodeDatumTijdVan],"&lt;="&amp;($A518+22/24),tData[SEHTrajectPeriodeDatumTijdTotEnMet],"&gt;"&amp;($A518+22/24),tData[Langligger01],1)</f>
        <v/>
      </c>
      <c r="AA518" s="20">
        <f>COUNTIFS(tData[SEHTrajectPeriodeDatumTijdVan],"&lt;="&amp;($A518+23/24),tData[SEHTrajectPeriodeDatumTijdTotEnMet],"&gt;"&amp;($A518+23/24),tData[Langligger01],1)</f>
        <v/>
      </c>
    </row>
    <row r="519">
      <c r="A519" s="19" t="n">
        <v>45807</v>
      </c>
      <c r="B519" s="15">
        <f>WEEKDAY($A519,2)</f>
        <v/>
      </c>
      <c r="C519" s="15">
        <f>IF(AND($A519&gt;=INT(Instellingen!$B$5),$A519&lt;=INT(Instellingen!$B$6)),1,0)</f>
        <v/>
      </c>
      <c r="D519" s="20">
        <f>COUNTIFS(tData[SEHTrajectPeriodeDatumTijdVan],"&lt;="&amp;($A519+0/24),tData[SEHTrajectPeriodeDatumTijdTotEnMet],"&gt;"&amp;($A519+0/24),tData[Langligger01],1)</f>
        <v/>
      </c>
      <c r="E519" s="20">
        <f>COUNTIFS(tData[SEHTrajectPeriodeDatumTijdVan],"&lt;="&amp;($A519+1/24),tData[SEHTrajectPeriodeDatumTijdTotEnMet],"&gt;"&amp;($A519+1/24),tData[Langligger01],1)</f>
        <v/>
      </c>
      <c r="F519" s="20">
        <f>COUNTIFS(tData[SEHTrajectPeriodeDatumTijdVan],"&lt;="&amp;($A519+2/24),tData[SEHTrajectPeriodeDatumTijdTotEnMet],"&gt;"&amp;($A519+2/24),tData[Langligger01],1)</f>
        <v/>
      </c>
      <c r="G519" s="20">
        <f>COUNTIFS(tData[SEHTrajectPeriodeDatumTijdVan],"&lt;="&amp;($A519+3/24),tData[SEHTrajectPeriodeDatumTijdTotEnMet],"&gt;"&amp;($A519+3/24),tData[Langligger01],1)</f>
        <v/>
      </c>
      <c r="H519" s="20">
        <f>COUNTIFS(tData[SEHTrajectPeriodeDatumTijdVan],"&lt;="&amp;($A519+4/24),tData[SEHTrajectPeriodeDatumTijdTotEnMet],"&gt;"&amp;($A519+4/24),tData[Langligger01],1)</f>
        <v/>
      </c>
      <c r="I519" s="20">
        <f>COUNTIFS(tData[SEHTrajectPeriodeDatumTijdVan],"&lt;="&amp;($A519+5/24),tData[SEHTrajectPeriodeDatumTijdTotEnMet],"&gt;"&amp;($A519+5/24),tData[Langligger01],1)</f>
        <v/>
      </c>
      <c r="J519" s="20">
        <f>COUNTIFS(tData[SEHTrajectPeriodeDatumTijdVan],"&lt;="&amp;($A519+6/24),tData[SEHTrajectPeriodeDatumTijdTotEnMet],"&gt;"&amp;($A519+6/24),tData[Langligger01],1)</f>
        <v/>
      </c>
      <c r="K519" s="20">
        <f>COUNTIFS(tData[SEHTrajectPeriodeDatumTijdVan],"&lt;="&amp;($A519+7/24),tData[SEHTrajectPeriodeDatumTijdTotEnMet],"&gt;"&amp;($A519+7/24),tData[Langligger01],1)</f>
        <v/>
      </c>
      <c r="L519" s="20">
        <f>COUNTIFS(tData[SEHTrajectPeriodeDatumTijdVan],"&lt;="&amp;($A519+8/24),tData[SEHTrajectPeriodeDatumTijdTotEnMet],"&gt;"&amp;($A519+8/24),tData[Langligger01],1)</f>
        <v/>
      </c>
      <c r="M519" s="20">
        <f>COUNTIFS(tData[SEHTrajectPeriodeDatumTijdVan],"&lt;="&amp;($A519+9/24),tData[SEHTrajectPeriodeDatumTijdTotEnMet],"&gt;"&amp;($A519+9/24),tData[Langligger01],1)</f>
        <v/>
      </c>
      <c r="N519" s="20">
        <f>COUNTIFS(tData[SEHTrajectPeriodeDatumTijdVan],"&lt;="&amp;($A519+10/24),tData[SEHTrajectPeriodeDatumTijdTotEnMet],"&gt;"&amp;($A519+10/24),tData[Langligger01],1)</f>
        <v/>
      </c>
      <c r="O519" s="20">
        <f>COUNTIFS(tData[SEHTrajectPeriodeDatumTijdVan],"&lt;="&amp;($A519+11/24),tData[SEHTrajectPeriodeDatumTijdTotEnMet],"&gt;"&amp;($A519+11/24),tData[Langligger01],1)</f>
        <v/>
      </c>
      <c r="P519" s="20">
        <f>COUNTIFS(tData[SEHTrajectPeriodeDatumTijdVan],"&lt;="&amp;($A519+12/24),tData[SEHTrajectPeriodeDatumTijdTotEnMet],"&gt;"&amp;($A519+12/24),tData[Langligger01],1)</f>
        <v/>
      </c>
      <c r="Q519" s="20">
        <f>COUNTIFS(tData[SEHTrajectPeriodeDatumTijdVan],"&lt;="&amp;($A519+13/24),tData[SEHTrajectPeriodeDatumTijdTotEnMet],"&gt;"&amp;($A519+13/24),tData[Langligger01],1)</f>
        <v/>
      </c>
      <c r="R519" s="20">
        <f>COUNTIFS(tData[SEHTrajectPeriodeDatumTijdVan],"&lt;="&amp;($A519+14/24),tData[SEHTrajectPeriodeDatumTijdTotEnMet],"&gt;"&amp;($A519+14/24),tData[Langligger01],1)</f>
        <v/>
      </c>
      <c r="S519" s="20">
        <f>COUNTIFS(tData[SEHTrajectPeriodeDatumTijdVan],"&lt;="&amp;($A519+15/24),tData[SEHTrajectPeriodeDatumTijdTotEnMet],"&gt;"&amp;($A519+15/24),tData[Langligger01],1)</f>
        <v/>
      </c>
      <c r="T519" s="20">
        <f>COUNTIFS(tData[SEHTrajectPeriodeDatumTijdVan],"&lt;="&amp;($A519+16/24),tData[SEHTrajectPeriodeDatumTijdTotEnMet],"&gt;"&amp;($A519+16/24),tData[Langligger01],1)</f>
        <v/>
      </c>
      <c r="U519" s="20">
        <f>COUNTIFS(tData[SEHTrajectPeriodeDatumTijdVan],"&lt;="&amp;($A519+17/24),tData[SEHTrajectPeriodeDatumTijdTotEnMet],"&gt;"&amp;($A519+17/24),tData[Langligger01],1)</f>
        <v/>
      </c>
      <c r="V519" s="20">
        <f>COUNTIFS(tData[SEHTrajectPeriodeDatumTijdVan],"&lt;="&amp;($A519+18/24),tData[SEHTrajectPeriodeDatumTijdTotEnMet],"&gt;"&amp;($A519+18/24),tData[Langligger01],1)</f>
        <v/>
      </c>
      <c r="W519" s="20">
        <f>COUNTIFS(tData[SEHTrajectPeriodeDatumTijdVan],"&lt;="&amp;($A519+19/24),tData[SEHTrajectPeriodeDatumTijdTotEnMet],"&gt;"&amp;($A519+19/24),tData[Langligger01],1)</f>
        <v/>
      </c>
      <c r="X519" s="20">
        <f>COUNTIFS(tData[SEHTrajectPeriodeDatumTijdVan],"&lt;="&amp;($A519+20/24),tData[SEHTrajectPeriodeDatumTijdTotEnMet],"&gt;"&amp;($A519+20/24),tData[Langligger01],1)</f>
        <v/>
      </c>
      <c r="Y519" s="20">
        <f>COUNTIFS(tData[SEHTrajectPeriodeDatumTijdVan],"&lt;="&amp;($A519+21/24),tData[SEHTrajectPeriodeDatumTijdTotEnMet],"&gt;"&amp;($A519+21/24),tData[Langligger01],1)</f>
        <v/>
      </c>
      <c r="Z519" s="20">
        <f>COUNTIFS(tData[SEHTrajectPeriodeDatumTijdVan],"&lt;="&amp;($A519+22/24),tData[SEHTrajectPeriodeDatumTijdTotEnMet],"&gt;"&amp;($A519+22/24),tData[Langligger01],1)</f>
        <v/>
      </c>
      <c r="AA519" s="20">
        <f>COUNTIFS(tData[SEHTrajectPeriodeDatumTijdVan],"&lt;="&amp;($A519+23/24),tData[SEHTrajectPeriodeDatumTijdTotEnMet],"&gt;"&amp;($A519+23/24),tData[Langligger01],1)</f>
        <v/>
      </c>
    </row>
    <row r="520">
      <c r="A520" s="19" t="n">
        <v>45808</v>
      </c>
      <c r="B520" s="15">
        <f>WEEKDAY($A520,2)</f>
        <v/>
      </c>
      <c r="C520" s="15">
        <f>IF(AND($A520&gt;=INT(Instellingen!$B$5),$A520&lt;=INT(Instellingen!$B$6)),1,0)</f>
        <v/>
      </c>
      <c r="D520" s="20">
        <f>COUNTIFS(tData[SEHTrajectPeriodeDatumTijdVan],"&lt;="&amp;($A520+0/24),tData[SEHTrajectPeriodeDatumTijdTotEnMet],"&gt;"&amp;($A520+0/24),tData[Langligger01],1)</f>
        <v/>
      </c>
      <c r="E520" s="20">
        <f>COUNTIFS(tData[SEHTrajectPeriodeDatumTijdVan],"&lt;="&amp;($A520+1/24),tData[SEHTrajectPeriodeDatumTijdTotEnMet],"&gt;"&amp;($A520+1/24),tData[Langligger01],1)</f>
        <v/>
      </c>
      <c r="F520" s="20">
        <f>COUNTIFS(tData[SEHTrajectPeriodeDatumTijdVan],"&lt;="&amp;($A520+2/24),tData[SEHTrajectPeriodeDatumTijdTotEnMet],"&gt;"&amp;($A520+2/24),tData[Langligger01],1)</f>
        <v/>
      </c>
      <c r="G520" s="20">
        <f>COUNTIFS(tData[SEHTrajectPeriodeDatumTijdVan],"&lt;="&amp;($A520+3/24),tData[SEHTrajectPeriodeDatumTijdTotEnMet],"&gt;"&amp;($A520+3/24),tData[Langligger01],1)</f>
        <v/>
      </c>
      <c r="H520" s="20">
        <f>COUNTIFS(tData[SEHTrajectPeriodeDatumTijdVan],"&lt;="&amp;($A520+4/24),tData[SEHTrajectPeriodeDatumTijdTotEnMet],"&gt;"&amp;($A520+4/24),tData[Langligger01],1)</f>
        <v/>
      </c>
      <c r="I520" s="20">
        <f>COUNTIFS(tData[SEHTrajectPeriodeDatumTijdVan],"&lt;="&amp;($A520+5/24),tData[SEHTrajectPeriodeDatumTijdTotEnMet],"&gt;"&amp;($A520+5/24),tData[Langligger01],1)</f>
        <v/>
      </c>
      <c r="J520" s="20">
        <f>COUNTIFS(tData[SEHTrajectPeriodeDatumTijdVan],"&lt;="&amp;($A520+6/24),tData[SEHTrajectPeriodeDatumTijdTotEnMet],"&gt;"&amp;($A520+6/24),tData[Langligger01],1)</f>
        <v/>
      </c>
      <c r="K520" s="20">
        <f>COUNTIFS(tData[SEHTrajectPeriodeDatumTijdVan],"&lt;="&amp;($A520+7/24),tData[SEHTrajectPeriodeDatumTijdTotEnMet],"&gt;"&amp;($A520+7/24),tData[Langligger01],1)</f>
        <v/>
      </c>
      <c r="L520" s="20">
        <f>COUNTIFS(tData[SEHTrajectPeriodeDatumTijdVan],"&lt;="&amp;($A520+8/24),tData[SEHTrajectPeriodeDatumTijdTotEnMet],"&gt;"&amp;($A520+8/24),tData[Langligger01],1)</f>
        <v/>
      </c>
      <c r="M520" s="20">
        <f>COUNTIFS(tData[SEHTrajectPeriodeDatumTijdVan],"&lt;="&amp;($A520+9/24),tData[SEHTrajectPeriodeDatumTijdTotEnMet],"&gt;"&amp;($A520+9/24),tData[Langligger01],1)</f>
        <v/>
      </c>
      <c r="N520" s="20">
        <f>COUNTIFS(tData[SEHTrajectPeriodeDatumTijdVan],"&lt;="&amp;($A520+10/24),tData[SEHTrajectPeriodeDatumTijdTotEnMet],"&gt;"&amp;($A520+10/24),tData[Langligger01],1)</f>
        <v/>
      </c>
      <c r="O520" s="20">
        <f>COUNTIFS(tData[SEHTrajectPeriodeDatumTijdVan],"&lt;="&amp;($A520+11/24),tData[SEHTrajectPeriodeDatumTijdTotEnMet],"&gt;"&amp;($A520+11/24),tData[Langligger01],1)</f>
        <v/>
      </c>
      <c r="P520" s="20">
        <f>COUNTIFS(tData[SEHTrajectPeriodeDatumTijdVan],"&lt;="&amp;($A520+12/24),tData[SEHTrajectPeriodeDatumTijdTotEnMet],"&gt;"&amp;($A520+12/24),tData[Langligger01],1)</f>
        <v/>
      </c>
      <c r="Q520" s="20">
        <f>COUNTIFS(tData[SEHTrajectPeriodeDatumTijdVan],"&lt;="&amp;($A520+13/24),tData[SEHTrajectPeriodeDatumTijdTotEnMet],"&gt;"&amp;($A520+13/24),tData[Langligger01],1)</f>
        <v/>
      </c>
      <c r="R520" s="20">
        <f>COUNTIFS(tData[SEHTrajectPeriodeDatumTijdVan],"&lt;="&amp;($A520+14/24),tData[SEHTrajectPeriodeDatumTijdTotEnMet],"&gt;"&amp;($A520+14/24),tData[Langligger01],1)</f>
        <v/>
      </c>
      <c r="S520" s="20">
        <f>COUNTIFS(tData[SEHTrajectPeriodeDatumTijdVan],"&lt;="&amp;($A520+15/24),tData[SEHTrajectPeriodeDatumTijdTotEnMet],"&gt;"&amp;($A520+15/24),tData[Langligger01],1)</f>
        <v/>
      </c>
      <c r="T520" s="20">
        <f>COUNTIFS(tData[SEHTrajectPeriodeDatumTijdVan],"&lt;="&amp;($A520+16/24),tData[SEHTrajectPeriodeDatumTijdTotEnMet],"&gt;"&amp;($A520+16/24),tData[Langligger01],1)</f>
        <v/>
      </c>
      <c r="U520" s="20">
        <f>COUNTIFS(tData[SEHTrajectPeriodeDatumTijdVan],"&lt;="&amp;($A520+17/24),tData[SEHTrajectPeriodeDatumTijdTotEnMet],"&gt;"&amp;($A520+17/24),tData[Langligger01],1)</f>
        <v/>
      </c>
      <c r="V520" s="20">
        <f>COUNTIFS(tData[SEHTrajectPeriodeDatumTijdVan],"&lt;="&amp;($A520+18/24),tData[SEHTrajectPeriodeDatumTijdTotEnMet],"&gt;"&amp;($A520+18/24),tData[Langligger01],1)</f>
        <v/>
      </c>
      <c r="W520" s="20">
        <f>COUNTIFS(tData[SEHTrajectPeriodeDatumTijdVan],"&lt;="&amp;($A520+19/24),tData[SEHTrajectPeriodeDatumTijdTotEnMet],"&gt;"&amp;($A520+19/24),tData[Langligger01],1)</f>
        <v/>
      </c>
      <c r="X520" s="20">
        <f>COUNTIFS(tData[SEHTrajectPeriodeDatumTijdVan],"&lt;="&amp;($A520+20/24),tData[SEHTrajectPeriodeDatumTijdTotEnMet],"&gt;"&amp;($A520+20/24),tData[Langligger01],1)</f>
        <v/>
      </c>
      <c r="Y520" s="20">
        <f>COUNTIFS(tData[SEHTrajectPeriodeDatumTijdVan],"&lt;="&amp;($A520+21/24),tData[SEHTrajectPeriodeDatumTijdTotEnMet],"&gt;"&amp;($A520+21/24),tData[Langligger01],1)</f>
        <v/>
      </c>
      <c r="Z520" s="20">
        <f>COUNTIFS(tData[SEHTrajectPeriodeDatumTijdVan],"&lt;="&amp;($A520+22/24),tData[SEHTrajectPeriodeDatumTijdTotEnMet],"&gt;"&amp;($A520+22/24),tData[Langligger01],1)</f>
        <v/>
      </c>
      <c r="AA520" s="20">
        <f>COUNTIFS(tData[SEHTrajectPeriodeDatumTijdVan],"&lt;="&amp;($A520+23/24),tData[SEHTrajectPeriodeDatumTijdTotEnMet],"&gt;"&amp;($A520+23/24),tData[Langligger01],1)</f>
        <v/>
      </c>
    </row>
    <row r="521">
      <c r="A521" s="19" t="n">
        <v>45809</v>
      </c>
      <c r="B521" s="15">
        <f>WEEKDAY($A521,2)</f>
        <v/>
      </c>
      <c r="C521" s="15">
        <f>IF(AND($A521&gt;=INT(Instellingen!$B$5),$A521&lt;=INT(Instellingen!$B$6)),1,0)</f>
        <v/>
      </c>
      <c r="D521" s="20">
        <f>COUNTIFS(tData[SEHTrajectPeriodeDatumTijdVan],"&lt;="&amp;($A521+0/24),tData[SEHTrajectPeriodeDatumTijdTotEnMet],"&gt;"&amp;($A521+0/24),tData[Langligger01],1)</f>
        <v/>
      </c>
      <c r="E521" s="20">
        <f>COUNTIFS(tData[SEHTrajectPeriodeDatumTijdVan],"&lt;="&amp;($A521+1/24),tData[SEHTrajectPeriodeDatumTijdTotEnMet],"&gt;"&amp;($A521+1/24),tData[Langligger01],1)</f>
        <v/>
      </c>
      <c r="F521" s="20">
        <f>COUNTIFS(tData[SEHTrajectPeriodeDatumTijdVan],"&lt;="&amp;($A521+2/24),tData[SEHTrajectPeriodeDatumTijdTotEnMet],"&gt;"&amp;($A521+2/24),tData[Langligger01],1)</f>
        <v/>
      </c>
      <c r="G521" s="20">
        <f>COUNTIFS(tData[SEHTrajectPeriodeDatumTijdVan],"&lt;="&amp;($A521+3/24),tData[SEHTrajectPeriodeDatumTijdTotEnMet],"&gt;"&amp;($A521+3/24),tData[Langligger01],1)</f>
        <v/>
      </c>
      <c r="H521" s="20">
        <f>COUNTIFS(tData[SEHTrajectPeriodeDatumTijdVan],"&lt;="&amp;($A521+4/24),tData[SEHTrajectPeriodeDatumTijdTotEnMet],"&gt;"&amp;($A521+4/24),tData[Langligger01],1)</f>
        <v/>
      </c>
      <c r="I521" s="20">
        <f>COUNTIFS(tData[SEHTrajectPeriodeDatumTijdVan],"&lt;="&amp;($A521+5/24),tData[SEHTrajectPeriodeDatumTijdTotEnMet],"&gt;"&amp;($A521+5/24),tData[Langligger01],1)</f>
        <v/>
      </c>
      <c r="J521" s="20">
        <f>COUNTIFS(tData[SEHTrajectPeriodeDatumTijdVan],"&lt;="&amp;($A521+6/24),tData[SEHTrajectPeriodeDatumTijdTotEnMet],"&gt;"&amp;($A521+6/24),tData[Langligger01],1)</f>
        <v/>
      </c>
      <c r="K521" s="20">
        <f>COUNTIFS(tData[SEHTrajectPeriodeDatumTijdVan],"&lt;="&amp;($A521+7/24),tData[SEHTrajectPeriodeDatumTijdTotEnMet],"&gt;"&amp;($A521+7/24),tData[Langligger01],1)</f>
        <v/>
      </c>
      <c r="L521" s="20">
        <f>COUNTIFS(tData[SEHTrajectPeriodeDatumTijdVan],"&lt;="&amp;($A521+8/24),tData[SEHTrajectPeriodeDatumTijdTotEnMet],"&gt;"&amp;($A521+8/24),tData[Langligger01],1)</f>
        <v/>
      </c>
      <c r="M521" s="20">
        <f>COUNTIFS(tData[SEHTrajectPeriodeDatumTijdVan],"&lt;="&amp;($A521+9/24),tData[SEHTrajectPeriodeDatumTijdTotEnMet],"&gt;"&amp;($A521+9/24),tData[Langligger01],1)</f>
        <v/>
      </c>
      <c r="N521" s="20">
        <f>COUNTIFS(tData[SEHTrajectPeriodeDatumTijdVan],"&lt;="&amp;($A521+10/24),tData[SEHTrajectPeriodeDatumTijdTotEnMet],"&gt;"&amp;($A521+10/24),tData[Langligger01],1)</f>
        <v/>
      </c>
      <c r="O521" s="20">
        <f>COUNTIFS(tData[SEHTrajectPeriodeDatumTijdVan],"&lt;="&amp;($A521+11/24),tData[SEHTrajectPeriodeDatumTijdTotEnMet],"&gt;"&amp;($A521+11/24),tData[Langligger01],1)</f>
        <v/>
      </c>
      <c r="P521" s="20">
        <f>COUNTIFS(tData[SEHTrajectPeriodeDatumTijdVan],"&lt;="&amp;($A521+12/24),tData[SEHTrajectPeriodeDatumTijdTotEnMet],"&gt;"&amp;($A521+12/24),tData[Langligger01],1)</f>
        <v/>
      </c>
      <c r="Q521" s="20">
        <f>COUNTIFS(tData[SEHTrajectPeriodeDatumTijdVan],"&lt;="&amp;($A521+13/24),tData[SEHTrajectPeriodeDatumTijdTotEnMet],"&gt;"&amp;($A521+13/24),tData[Langligger01],1)</f>
        <v/>
      </c>
      <c r="R521" s="20">
        <f>COUNTIFS(tData[SEHTrajectPeriodeDatumTijdVan],"&lt;="&amp;($A521+14/24),tData[SEHTrajectPeriodeDatumTijdTotEnMet],"&gt;"&amp;($A521+14/24),tData[Langligger01],1)</f>
        <v/>
      </c>
      <c r="S521" s="20">
        <f>COUNTIFS(tData[SEHTrajectPeriodeDatumTijdVan],"&lt;="&amp;($A521+15/24),tData[SEHTrajectPeriodeDatumTijdTotEnMet],"&gt;"&amp;($A521+15/24),tData[Langligger01],1)</f>
        <v/>
      </c>
      <c r="T521" s="20">
        <f>COUNTIFS(tData[SEHTrajectPeriodeDatumTijdVan],"&lt;="&amp;($A521+16/24),tData[SEHTrajectPeriodeDatumTijdTotEnMet],"&gt;"&amp;($A521+16/24),tData[Langligger01],1)</f>
        <v/>
      </c>
      <c r="U521" s="20">
        <f>COUNTIFS(tData[SEHTrajectPeriodeDatumTijdVan],"&lt;="&amp;($A521+17/24),tData[SEHTrajectPeriodeDatumTijdTotEnMet],"&gt;"&amp;($A521+17/24),tData[Langligger01],1)</f>
        <v/>
      </c>
      <c r="V521" s="20">
        <f>COUNTIFS(tData[SEHTrajectPeriodeDatumTijdVan],"&lt;="&amp;($A521+18/24),tData[SEHTrajectPeriodeDatumTijdTotEnMet],"&gt;"&amp;($A521+18/24),tData[Langligger01],1)</f>
        <v/>
      </c>
      <c r="W521" s="20">
        <f>COUNTIFS(tData[SEHTrajectPeriodeDatumTijdVan],"&lt;="&amp;($A521+19/24),tData[SEHTrajectPeriodeDatumTijdTotEnMet],"&gt;"&amp;($A521+19/24),tData[Langligger01],1)</f>
        <v/>
      </c>
      <c r="X521" s="20">
        <f>COUNTIFS(tData[SEHTrajectPeriodeDatumTijdVan],"&lt;="&amp;($A521+20/24),tData[SEHTrajectPeriodeDatumTijdTotEnMet],"&gt;"&amp;($A521+20/24),tData[Langligger01],1)</f>
        <v/>
      </c>
      <c r="Y521" s="20">
        <f>COUNTIFS(tData[SEHTrajectPeriodeDatumTijdVan],"&lt;="&amp;($A521+21/24),tData[SEHTrajectPeriodeDatumTijdTotEnMet],"&gt;"&amp;($A521+21/24),tData[Langligger01],1)</f>
        <v/>
      </c>
      <c r="Z521" s="20">
        <f>COUNTIFS(tData[SEHTrajectPeriodeDatumTijdVan],"&lt;="&amp;($A521+22/24),tData[SEHTrajectPeriodeDatumTijdTotEnMet],"&gt;"&amp;($A521+22/24),tData[Langligger01],1)</f>
        <v/>
      </c>
      <c r="AA521" s="20">
        <f>COUNTIFS(tData[SEHTrajectPeriodeDatumTijdVan],"&lt;="&amp;($A521+23/24),tData[SEHTrajectPeriodeDatumTijdTotEnMet],"&gt;"&amp;($A521+23/24),tData[Langligger01],1)</f>
        <v/>
      </c>
    </row>
    <row r="522">
      <c r="A522" s="19" t="n">
        <v>45810</v>
      </c>
      <c r="B522" s="15">
        <f>WEEKDAY($A522,2)</f>
        <v/>
      </c>
      <c r="C522" s="15">
        <f>IF(AND($A522&gt;=INT(Instellingen!$B$5),$A522&lt;=INT(Instellingen!$B$6)),1,0)</f>
        <v/>
      </c>
      <c r="D522" s="20">
        <f>COUNTIFS(tData[SEHTrajectPeriodeDatumTijdVan],"&lt;="&amp;($A522+0/24),tData[SEHTrajectPeriodeDatumTijdTotEnMet],"&gt;"&amp;($A522+0/24),tData[Langligger01],1)</f>
        <v/>
      </c>
      <c r="E522" s="20">
        <f>COUNTIFS(tData[SEHTrajectPeriodeDatumTijdVan],"&lt;="&amp;($A522+1/24),tData[SEHTrajectPeriodeDatumTijdTotEnMet],"&gt;"&amp;($A522+1/24),tData[Langligger01],1)</f>
        <v/>
      </c>
      <c r="F522" s="20">
        <f>COUNTIFS(tData[SEHTrajectPeriodeDatumTijdVan],"&lt;="&amp;($A522+2/24),tData[SEHTrajectPeriodeDatumTijdTotEnMet],"&gt;"&amp;($A522+2/24),tData[Langligger01],1)</f>
        <v/>
      </c>
      <c r="G522" s="20">
        <f>COUNTIFS(tData[SEHTrajectPeriodeDatumTijdVan],"&lt;="&amp;($A522+3/24),tData[SEHTrajectPeriodeDatumTijdTotEnMet],"&gt;"&amp;($A522+3/24),tData[Langligger01],1)</f>
        <v/>
      </c>
      <c r="H522" s="20">
        <f>COUNTIFS(tData[SEHTrajectPeriodeDatumTijdVan],"&lt;="&amp;($A522+4/24),tData[SEHTrajectPeriodeDatumTijdTotEnMet],"&gt;"&amp;($A522+4/24),tData[Langligger01],1)</f>
        <v/>
      </c>
      <c r="I522" s="20">
        <f>COUNTIFS(tData[SEHTrajectPeriodeDatumTijdVan],"&lt;="&amp;($A522+5/24),tData[SEHTrajectPeriodeDatumTijdTotEnMet],"&gt;"&amp;($A522+5/24),tData[Langligger01],1)</f>
        <v/>
      </c>
      <c r="J522" s="20">
        <f>COUNTIFS(tData[SEHTrajectPeriodeDatumTijdVan],"&lt;="&amp;($A522+6/24),tData[SEHTrajectPeriodeDatumTijdTotEnMet],"&gt;"&amp;($A522+6/24),tData[Langligger01],1)</f>
        <v/>
      </c>
      <c r="K522" s="20">
        <f>COUNTIFS(tData[SEHTrajectPeriodeDatumTijdVan],"&lt;="&amp;($A522+7/24),tData[SEHTrajectPeriodeDatumTijdTotEnMet],"&gt;"&amp;($A522+7/24),tData[Langligger01],1)</f>
        <v/>
      </c>
      <c r="L522" s="20">
        <f>COUNTIFS(tData[SEHTrajectPeriodeDatumTijdVan],"&lt;="&amp;($A522+8/24),tData[SEHTrajectPeriodeDatumTijdTotEnMet],"&gt;"&amp;($A522+8/24),tData[Langligger01],1)</f>
        <v/>
      </c>
      <c r="M522" s="20">
        <f>COUNTIFS(tData[SEHTrajectPeriodeDatumTijdVan],"&lt;="&amp;($A522+9/24),tData[SEHTrajectPeriodeDatumTijdTotEnMet],"&gt;"&amp;($A522+9/24),tData[Langligger01],1)</f>
        <v/>
      </c>
      <c r="N522" s="20">
        <f>COUNTIFS(tData[SEHTrajectPeriodeDatumTijdVan],"&lt;="&amp;($A522+10/24),tData[SEHTrajectPeriodeDatumTijdTotEnMet],"&gt;"&amp;($A522+10/24),tData[Langligger01],1)</f>
        <v/>
      </c>
      <c r="O522" s="20">
        <f>COUNTIFS(tData[SEHTrajectPeriodeDatumTijdVan],"&lt;="&amp;($A522+11/24),tData[SEHTrajectPeriodeDatumTijdTotEnMet],"&gt;"&amp;($A522+11/24),tData[Langligger01],1)</f>
        <v/>
      </c>
      <c r="P522" s="20">
        <f>COUNTIFS(tData[SEHTrajectPeriodeDatumTijdVan],"&lt;="&amp;($A522+12/24),tData[SEHTrajectPeriodeDatumTijdTotEnMet],"&gt;"&amp;($A522+12/24),tData[Langligger01],1)</f>
        <v/>
      </c>
      <c r="Q522" s="20">
        <f>COUNTIFS(tData[SEHTrajectPeriodeDatumTijdVan],"&lt;="&amp;($A522+13/24),tData[SEHTrajectPeriodeDatumTijdTotEnMet],"&gt;"&amp;($A522+13/24),tData[Langligger01],1)</f>
        <v/>
      </c>
      <c r="R522" s="20">
        <f>COUNTIFS(tData[SEHTrajectPeriodeDatumTijdVan],"&lt;="&amp;($A522+14/24),tData[SEHTrajectPeriodeDatumTijdTotEnMet],"&gt;"&amp;($A522+14/24),tData[Langligger01],1)</f>
        <v/>
      </c>
      <c r="S522" s="20">
        <f>COUNTIFS(tData[SEHTrajectPeriodeDatumTijdVan],"&lt;="&amp;($A522+15/24),tData[SEHTrajectPeriodeDatumTijdTotEnMet],"&gt;"&amp;($A522+15/24),tData[Langligger01],1)</f>
        <v/>
      </c>
      <c r="T522" s="20">
        <f>COUNTIFS(tData[SEHTrajectPeriodeDatumTijdVan],"&lt;="&amp;($A522+16/24),tData[SEHTrajectPeriodeDatumTijdTotEnMet],"&gt;"&amp;($A522+16/24),tData[Langligger01],1)</f>
        <v/>
      </c>
      <c r="U522" s="20">
        <f>COUNTIFS(tData[SEHTrajectPeriodeDatumTijdVan],"&lt;="&amp;($A522+17/24),tData[SEHTrajectPeriodeDatumTijdTotEnMet],"&gt;"&amp;($A522+17/24),tData[Langligger01],1)</f>
        <v/>
      </c>
      <c r="V522" s="20">
        <f>COUNTIFS(tData[SEHTrajectPeriodeDatumTijdVan],"&lt;="&amp;($A522+18/24),tData[SEHTrajectPeriodeDatumTijdTotEnMet],"&gt;"&amp;($A522+18/24),tData[Langligger01],1)</f>
        <v/>
      </c>
      <c r="W522" s="20">
        <f>COUNTIFS(tData[SEHTrajectPeriodeDatumTijdVan],"&lt;="&amp;($A522+19/24),tData[SEHTrajectPeriodeDatumTijdTotEnMet],"&gt;"&amp;($A522+19/24),tData[Langligger01],1)</f>
        <v/>
      </c>
      <c r="X522" s="20">
        <f>COUNTIFS(tData[SEHTrajectPeriodeDatumTijdVan],"&lt;="&amp;($A522+20/24),tData[SEHTrajectPeriodeDatumTijdTotEnMet],"&gt;"&amp;($A522+20/24),tData[Langligger01],1)</f>
        <v/>
      </c>
      <c r="Y522" s="20">
        <f>COUNTIFS(tData[SEHTrajectPeriodeDatumTijdVan],"&lt;="&amp;($A522+21/24),tData[SEHTrajectPeriodeDatumTijdTotEnMet],"&gt;"&amp;($A522+21/24),tData[Langligger01],1)</f>
        <v/>
      </c>
      <c r="Z522" s="20">
        <f>COUNTIFS(tData[SEHTrajectPeriodeDatumTijdVan],"&lt;="&amp;($A522+22/24),tData[SEHTrajectPeriodeDatumTijdTotEnMet],"&gt;"&amp;($A522+22/24),tData[Langligger01],1)</f>
        <v/>
      </c>
      <c r="AA522" s="20">
        <f>COUNTIFS(tData[SEHTrajectPeriodeDatumTijdVan],"&lt;="&amp;($A522+23/24),tData[SEHTrajectPeriodeDatumTijdTotEnMet],"&gt;"&amp;($A522+23/24),tData[Langligger01],1)</f>
        <v/>
      </c>
    </row>
    <row r="523">
      <c r="A523" s="19" t="n">
        <v>45811</v>
      </c>
      <c r="B523" s="15">
        <f>WEEKDAY($A523,2)</f>
        <v/>
      </c>
      <c r="C523" s="15">
        <f>IF(AND($A523&gt;=INT(Instellingen!$B$5),$A523&lt;=INT(Instellingen!$B$6)),1,0)</f>
        <v/>
      </c>
      <c r="D523" s="20">
        <f>COUNTIFS(tData[SEHTrajectPeriodeDatumTijdVan],"&lt;="&amp;($A523+0/24),tData[SEHTrajectPeriodeDatumTijdTotEnMet],"&gt;"&amp;($A523+0/24),tData[Langligger01],1)</f>
        <v/>
      </c>
      <c r="E523" s="20">
        <f>COUNTIFS(tData[SEHTrajectPeriodeDatumTijdVan],"&lt;="&amp;($A523+1/24),tData[SEHTrajectPeriodeDatumTijdTotEnMet],"&gt;"&amp;($A523+1/24),tData[Langligger01],1)</f>
        <v/>
      </c>
      <c r="F523" s="20">
        <f>COUNTIFS(tData[SEHTrajectPeriodeDatumTijdVan],"&lt;="&amp;($A523+2/24),tData[SEHTrajectPeriodeDatumTijdTotEnMet],"&gt;"&amp;($A523+2/24),tData[Langligger01],1)</f>
        <v/>
      </c>
      <c r="G523" s="20">
        <f>COUNTIFS(tData[SEHTrajectPeriodeDatumTijdVan],"&lt;="&amp;($A523+3/24),tData[SEHTrajectPeriodeDatumTijdTotEnMet],"&gt;"&amp;($A523+3/24),tData[Langligger01],1)</f>
        <v/>
      </c>
      <c r="H523" s="20">
        <f>COUNTIFS(tData[SEHTrajectPeriodeDatumTijdVan],"&lt;="&amp;($A523+4/24),tData[SEHTrajectPeriodeDatumTijdTotEnMet],"&gt;"&amp;($A523+4/24),tData[Langligger01],1)</f>
        <v/>
      </c>
      <c r="I523" s="20">
        <f>COUNTIFS(tData[SEHTrajectPeriodeDatumTijdVan],"&lt;="&amp;($A523+5/24),tData[SEHTrajectPeriodeDatumTijdTotEnMet],"&gt;"&amp;($A523+5/24),tData[Langligger01],1)</f>
        <v/>
      </c>
      <c r="J523" s="20">
        <f>COUNTIFS(tData[SEHTrajectPeriodeDatumTijdVan],"&lt;="&amp;($A523+6/24),tData[SEHTrajectPeriodeDatumTijdTotEnMet],"&gt;"&amp;($A523+6/24),tData[Langligger01],1)</f>
        <v/>
      </c>
      <c r="K523" s="20">
        <f>COUNTIFS(tData[SEHTrajectPeriodeDatumTijdVan],"&lt;="&amp;($A523+7/24),tData[SEHTrajectPeriodeDatumTijdTotEnMet],"&gt;"&amp;($A523+7/24),tData[Langligger01],1)</f>
        <v/>
      </c>
      <c r="L523" s="20">
        <f>COUNTIFS(tData[SEHTrajectPeriodeDatumTijdVan],"&lt;="&amp;($A523+8/24),tData[SEHTrajectPeriodeDatumTijdTotEnMet],"&gt;"&amp;($A523+8/24),tData[Langligger01],1)</f>
        <v/>
      </c>
      <c r="M523" s="20">
        <f>COUNTIFS(tData[SEHTrajectPeriodeDatumTijdVan],"&lt;="&amp;($A523+9/24),tData[SEHTrajectPeriodeDatumTijdTotEnMet],"&gt;"&amp;($A523+9/24),tData[Langligger01],1)</f>
        <v/>
      </c>
      <c r="N523" s="20">
        <f>COUNTIFS(tData[SEHTrajectPeriodeDatumTijdVan],"&lt;="&amp;($A523+10/24),tData[SEHTrajectPeriodeDatumTijdTotEnMet],"&gt;"&amp;($A523+10/24),tData[Langligger01],1)</f>
        <v/>
      </c>
      <c r="O523" s="20">
        <f>COUNTIFS(tData[SEHTrajectPeriodeDatumTijdVan],"&lt;="&amp;($A523+11/24),tData[SEHTrajectPeriodeDatumTijdTotEnMet],"&gt;"&amp;($A523+11/24),tData[Langligger01],1)</f>
        <v/>
      </c>
      <c r="P523" s="20">
        <f>COUNTIFS(tData[SEHTrajectPeriodeDatumTijdVan],"&lt;="&amp;($A523+12/24),tData[SEHTrajectPeriodeDatumTijdTotEnMet],"&gt;"&amp;($A523+12/24),tData[Langligger01],1)</f>
        <v/>
      </c>
      <c r="Q523" s="20">
        <f>COUNTIFS(tData[SEHTrajectPeriodeDatumTijdVan],"&lt;="&amp;($A523+13/24),tData[SEHTrajectPeriodeDatumTijdTotEnMet],"&gt;"&amp;($A523+13/24),tData[Langligger01],1)</f>
        <v/>
      </c>
      <c r="R523" s="20">
        <f>COUNTIFS(tData[SEHTrajectPeriodeDatumTijdVan],"&lt;="&amp;($A523+14/24),tData[SEHTrajectPeriodeDatumTijdTotEnMet],"&gt;"&amp;($A523+14/24),tData[Langligger01],1)</f>
        <v/>
      </c>
      <c r="S523" s="20">
        <f>COUNTIFS(tData[SEHTrajectPeriodeDatumTijdVan],"&lt;="&amp;($A523+15/24),tData[SEHTrajectPeriodeDatumTijdTotEnMet],"&gt;"&amp;($A523+15/24),tData[Langligger01],1)</f>
        <v/>
      </c>
      <c r="T523" s="20">
        <f>COUNTIFS(tData[SEHTrajectPeriodeDatumTijdVan],"&lt;="&amp;($A523+16/24),tData[SEHTrajectPeriodeDatumTijdTotEnMet],"&gt;"&amp;($A523+16/24),tData[Langligger01],1)</f>
        <v/>
      </c>
      <c r="U523" s="20">
        <f>COUNTIFS(tData[SEHTrajectPeriodeDatumTijdVan],"&lt;="&amp;($A523+17/24),tData[SEHTrajectPeriodeDatumTijdTotEnMet],"&gt;"&amp;($A523+17/24),tData[Langligger01],1)</f>
        <v/>
      </c>
      <c r="V523" s="20">
        <f>COUNTIFS(tData[SEHTrajectPeriodeDatumTijdVan],"&lt;="&amp;($A523+18/24),tData[SEHTrajectPeriodeDatumTijdTotEnMet],"&gt;"&amp;($A523+18/24),tData[Langligger01],1)</f>
        <v/>
      </c>
      <c r="W523" s="20">
        <f>COUNTIFS(tData[SEHTrajectPeriodeDatumTijdVan],"&lt;="&amp;($A523+19/24),tData[SEHTrajectPeriodeDatumTijdTotEnMet],"&gt;"&amp;($A523+19/24),tData[Langligger01],1)</f>
        <v/>
      </c>
      <c r="X523" s="20">
        <f>COUNTIFS(tData[SEHTrajectPeriodeDatumTijdVan],"&lt;="&amp;($A523+20/24),tData[SEHTrajectPeriodeDatumTijdTotEnMet],"&gt;"&amp;($A523+20/24),tData[Langligger01],1)</f>
        <v/>
      </c>
      <c r="Y523" s="20">
        <f>COUNTIFS(tData[SEHTrajectPeriodeDatumTijdVan],"&lt;="&amp;($A523+21/24),tData[SEHTrajectPeriodeDatumTijdTotEnMet],"&gt;"&amp;($A523+21/24),tData[Langligger01],1)</f>
        <v/>
      </c>
      <c r="Z523" s="20">
        <f>COUNTIFS(tData[SEHTrajectPeriodeDatumTijdVan],"&lt;="&amp;($A523+22/24),tData[SEHTrajectPeriodeDatumTijdTotEnMet],"&gt;"&amp;($A523+22/24),tData[Langligger01],1)</f>
        <v/>
      </c>
      <c r="AA523" s="20">
        <f>COUNTIFS(tData[SEHTrajectPeriodeDatumTijdVan],"&lt;="&amp;($A523+23/24),tData[SEHTrajectPeriodeDatumTijdTotEnMet],"&gt;"&amp;($A523+23/24),tData[Langligger01],1)</f>
        <v/>
      </c>
    </row>
    <row r="524">
      <c r="A524" s="19" t="n">
        <v>45812</v>
      </c>
      <c r="B524" s="15">
        <f>WEEKDAY($A524,2)</f>
        <v/>
      </c>
      <c r="C524" s="15">
        <f>IF(AND($A524&gt;=INT(Instellingen!$B$5),$A524&lt;=INT(Instellingen!$B$6)),1,0)</f>
        <v/>
      </c>
      <c r="D524" s="20">
        <f>COUNTIFS(tData[SEHTrajectPeriodeDatumTijdVan],"&lt;="&amp;($A524+0/24),tData[SEHTrajectPeriodeDatumTijdTotEnMet],"&gt;"&amp;($A524+0/24),tData[Langligger01],1)</f>
        <v/>
      </c>
      <c r="E524" s="20">
        <f>COUNTIFS(tData[SEHTrajectPeriodeDatumTijdVan],"&lt;="&amp;($A524+1/24),tData[SEHTrajectPeriodeDatumTijdTotEnMet],"&gt;"&amp;($A524+1/24),tData[Langligger01],1)</f>
        <v/>
      </c>
      <c r="F524" s="20">
        <f>COUNTIFS(tData[SEHTrajectPeriodeDatumTijdVan],"&lt;="&amp;($A524+2/24),tData[SEHTrajectPeriodeDatumTijdTotEnMet],"&gt;"&amp;($A524+2/24),tData[Langligger01],1)</f>
        <v/>
      </c>
      <c r="G524" s="20">
        <f>COUNTIFS(tData[SEHTrajectPeriodeDatumTijdVan],"&lt;="&amp;($A524+3/24),tData[SEHTrajectPeriodeDatumTijdTotEnMet],"&gt;"&amp;($A524+3/24),tData[Langligger01],1)</f>
        <v/>
      </c>
      <c r="H524" s="20">
        <f>COUNTIFS(tData[SEHTrajectPeriodeDatumTijdVan],"&lt;="&amp;($A524+4/24),tData[SEHTrajectPeriodeDatumTijdTotEnMet],"&gt;"&amp;($A524+4/24),tData[Langligger01],1)</f>
        <v/>
      </c>
      <c r="I524" s="20">
        <f>COUNTIFS(tData[SEHTrajectPeriodeDatumTijdVan],"&lt;="&amp;($A524+5/24),tData[SEHTrajectPeriodeDatumTijdTotEnMet],"&gt;"&amp;($A524+5/24),tData[Langligger01],1)</f>
        <v/>
      </c>
      <c r="J524" s="20">
        <f>COUNTIFS(tData[SEHTrajectPeriodeDatumTijdVan],"&lt;="&amp;($A524+6/24),tData[SEHTrajectPeriodeDatumTijdTotEnMet],"&gt;"&amp;($A524+6/24),tData[Langligger01],1)</f>
        <v/>
      </c>
      <c r="K524" s="20">
        <f>COUNTIFS(tData[SEHTrajectPeriodeDatumTijdVan],"&lt;="&amp;($A524+7/24),tData[SEHTrajectPeriodeDatumTijdTotEnMet],"&gt;"&amp;($A524+7/24),tData[Langligger01],1)</f>
        <v/>
      </c>
      <c r="L524" s="20">
        <f>COUNTIFS(tData[SEHTrajectPeriodeDatumTijdVan],"&lt;="&amp;($A524+8/24),tData[SEHTrajectPeriodeDatumTijdTotEnMet],"&gt;"&amp;($A524+8/24),tData[Langligger01],1)</f>
        <v/>
      </c>
      <c r="M524" s="20">
        <f>COUNTIFS(tData[SEHTrajectPeriodeDatumTijdVan],"&lt;="&amp;($A524+9/24),tData[SEHTrajectPeriodeDatumTijdTotEnMet],"&gt;"&amp;($A524+9/24),tData[Langligger01],1)</f>
        <v/>
      </c>
      <c r="N524" s="20">
        <f>COUNTIFS(tData[SEHTrajectPeriodeDatumTijdVan],"&lt;="&amp;($A524+10/24),tData[SEHTrajectPeriodeDatumTijdTotEnMet],"&gt;"&amp;($A524+10/24),tData[Langligger01],1)</f>
        <v/>
      </c>
      <c r="O524" s="20">
        <f>COUNTIFS(tData[SEHTrajectPeriodeDatumTijdVan],"&lt;="&amp;($A524+11/24),tData[SEHTrajectPeriodeDatumTijdTotEnMet],"&gt;"&amp;($A524+11/24),tData[Langligger01],1)</f>
        <v/>
      </c>
      <c r="P524" s="20">
        <f>COUNTIFS(tData[SEHTrajectPeriodeDatumTijdVan],"&lt;="&amp;($A524+12/24),tData[SEHTrajectPeriodeDatumTijdTotEnMet],"&gt;"&amp;($A524+12/24),tData[Langligger01],1)</f>
        <v/>
      </c>
      <c r="Q524" s="20">
        <f>COUNTIFS(tData[SEHTrajectPeriodeDatumTijdVan],"&lt;="&amp;($A524+13/24),tData[SEHTrajectPeriodeDatumTijdTotEnMet],"&gt;"&amp;($A524+13/24),tData[Langligger01],1)</f>
        <v/>
      </c>
      <c r="R524" s="20">
        <f>COUNTIFS(tData[SEHTrajectPeriodeDatumTijdVan],"&lt;="&amp;($A524+14/24),tData[SEHTrajectPeriodeDatumTijdTotEnMet],"&gt;"&amp;($A524+14/24),tData[Langligger01],1)</f>
        <v/>
      </c>
      <c r="S524" s="20">
        <f>COUNTIFS(tData[SEHTrajectPeriodeDatumTijdVan],"&lt;="&amp;($A524+15/24),tData[SEHTrajectPeriodeDatumTijdTotEnMet],"&gt;"&amp;($A524+15/24),tData[Langligger01],1)</f>
        <v/>
      </c>
      <c r="T524" s="20">
        <f>COUNTIFS(tData[SEHTrajectPeriodeDatumTijdVan],"&lt;="&amp;($A524+16/24),tData[SEHTrajectPeriodeDatumTijdTotEnMet],"&gt;"&amp;($A524+16/24),tData[Langligger01],1)</f>
        <v/>
      </c>
      <c r="U524" s="20">
        <f>COUNTIFS(tData[SEHTrajectPeriodeDatumTijdVan],"&lt;="&amp;($A524+17/24),tData[SEHTrajectPeriodeDatumTijdTotEnMet],"&gt;"&amp;($A524+17/24),tData[Langligger01],1)</f>
        <v/>
      </c>
      <c r="V524" s="20">
        <f>COUNTIFS(tData[SEHTrajectPeriodeDatumTijdVan],"&lt;="&amp;($A524+18/24),tData[SEHTrajectPeriodeDatumTijdTotEnMet],"&gt;"&amp;($A524+18/24),tData[Langligger01],1)</f>
        <v/>
      </c>
      <c r="W524" s="20">
        <f>COUNTIFS(tData[SEHTrajectPeriodeDatumTijdVan],"&lt;="&amp;($A524+19/24),tData[SEHTrajectPeriodeDatumTijdTotEnMet],"&gt;"&amp;($A524+19/24),tData[Langligger01],1)</f>
        <v/>
      </c>
      <c r="X524" s="20">
        <f>COUNTIFS(tData[SEHTrajectPeriodeDatumTijdVan],"&lt;="&amp;($A524+20/24),tData[SEHTrajectPeriodeDatumTijdTotEnMet],"&gt;"&amp;($A524+20/24),tData[Langligger01],1)</f>
        <v/>
      </c>
      <c r="Y524" s="20">
        <f>COUNTIFS(tData[SEHTrajectPeriodeDatumTijdVan],"&lt;="&amp;($A524+21/24),tData[SEHTrajectPeriodeDatumTijdTotEnMet],"&gt;"&amp;($A524+21/24),tData[Langligger01],1)</f>
        <v/>
      </c>
      <c r="Z524" s="20">
        <f>COUNTIFS(tData[SEHTrajectPeriodeDatumTijdVan],"&lt;="&amp;($A524+22/24),tData[SEHTrajectPeriodeDatumTijdTotEnMet],"&gt;"&amp;($A524+22/24),tData[Langligger01],1)</f>
        <v/>
      </c>
      <c r="AA524" s="20">
        <f>COUNTIFS(tData[SEHTrajectPeriodeDatumTijdVan],"&lt;="&amp;($A524+23/24),tData[SEHTrajectPeriodeDatumTijdTotEnMet],"&gt;"&amp;($A524+23/24),tData[Langligger01],1)</f>
        <v/>
      </c>
    </row>
    <row r="525">
      <c r="A525" s="19" t="n">
        <v>45813</v>
      </c>
      <c r="B525" s="15">
        <f>WEEKDAY($A525,2)</f>
        <v/>
      </c>
      <c r="C525" s="15">
        <f>IF(AND($A525&gt;=INT(Instellingen!$B$5),$A525&lt;=INT(Instellingen!$B$6)),1,0)</f>
        <v/>
      </c>
      <c r="D525" s="20">
        <f>COUNTIFS(tData[SEHTrajectPeriodeDatumTijdVan],"&lt;="&amp;($A525+0/24),tData[SEHTrajectPeriodeDatumTijdTotEnMet],"&gt;"&amp;($A525+0/24),tData[Langligger01],1)</f>
        <v/>
      </c>
      <c r="E525" s="20">
        <f>COUNTIFS(tData[SEHTrajectPeriodeDatumTijdVan],"&lt;="&amp;($A525+1/24),tData[SEHTrajectPeriodeDatumTijdTotEnMet],"&gt;"&amp;($A525+1/24),tData[Langligger01],1)</f>
        <v/>
      </c>
      <c r="F525" s="20">
        <f>COUNTIFS(tData[SEHTrajectPeriodeDatumTijdVan],"&lt;="&amp;($A525+2/24),tData[SEHTrajectPeriodeDatumTijdTotEnMet],"&gt;"&amp;($A525+2/24),tData[Langligger01],1)</f>
        <v/>
      </c>
      <c r="G525" s="20">
        <f>COUNTIFS(tData[SEHTrajectPeriodeDatumTijdVan],"&lt;="&amp;($A525+3/24),tData[SEHTrajectPeriodeDatumTijdTotEnMet],"&gt;"&amp;($A525+3/24),tData[Langligger01],1)</f>
        <v/>
      </c>
      <c r="H525" s="20">
        <f>COUNTIFS(tData[SEHTrajectPeriodeDatumTijdVan],"&lt;="&amp;($A525+4/24),tData[SEHTrajectPeriodeDatumTijdTotEnMet],"&gt;"&amp;($A525+4/24),tData[Langligger01],1)</f>
        <v/>
      </c>
      <c r="I525" s="20">
        <f>COUNTIFS(tData[SEHTrajectPeriodeDatumTijdVan],"&lt;="&amp;($A525+5/24),tData[SEHTrajectPeriodeDatumTijdTotEnMet],"&gt;"&amp;($A525+5/24),tData[Langligger01],1)</f>
        <v/>
      </c>
      <c r="J525" s="20">
        <f>COUNTIFS(tData[SEHTrajectPeriodeDatumTijdVan],"&lt;="&amp;($A525+6/24),tData[SEHTrajectPeriodeDatumTijdTotEnMet],"&gt;"&amp;($A525+6/24),tData[Langligger01],1)</f>
        <v/>
      </c>
      <c r="K525" s="20">
        <f>COUNTIFS(tData[SEHTrajectPeriodeDatumTijdVan],"&lt;="&amp;($A525+7/24),tData[SEHTrajectPeriodeDatumTijdTotEnMet],"&gt;"&amp;($A525+7/24),tData[Langligger01],1)</f>
        <v/>
      </c>
      <c r="L525" s="20">
        <f>COUNTIFS(tData[SEHTrajectPeriodeDatumTijdVan],"&lt;="&amp;($A525+8/24),tData[SEHTrajectPeriodeDatumTijdTotEnMet],"&gt;"&amp;($A525+8/24),tData[Langligger01],1)</f>
        <v/>
      </c>
      <c r="M525" s="20">
        <f>COUNTIFS(tData[SEHTrajectPeriodeDatumTijdVan],"&lt;="&amp;($A525+9/24),tData[SEHTrajectPeriodeDatumTijdTotEnMet],"&gt;"&amp;($A525+9/24),tData[Langligger01],1)</f>
        <v/>
      </c>
      <c r="N525" s="20">
        <f>COUNTIFS(tData[SEHTrajectPeriodeDatumTijdVan],"&lt;="&amp;($A525+10/24),tData[SEHTrajectPeriodeDatumTijdTotEnMet],"&gt;"&amp;($A525+10/24),tData[Langligger01],1)</f>
        <v/>
      </c>
      <c r="O525" s="20">
        <f>COUNTIFS(tData[SEHTrajectPeriodeDatumTijdVan],"&lt;="&amp;($A525+11/24),tData[SEHTrajectPeriodeDatumTijdTotEnMet],"&gt;"&amp;($A525+11/24),tData[Langligger01],1)</f>
        <v/>
      </c>
      <c r="P525" s="20">
        <f>COUNTIFS(tData[SEHTrajectPeriodeDatumTijdVan],"&lt;="&amp;($A525+12/24),tData[SEHTrajectPeriodeDatumTijdTotEnMet],"&gt;"&amp;($A525+12/24),tData[Langligger01],1)</f>
        <v/>
      </c>
      <c r="Q525" s="20">
        <f>COUNTIFS(tData[SEHTrajectPeriodeDatumTijdVan],"&lt;="&amp;($A525+13/24),tData[SEHTrajectPeriodeDatumTijdTotEnMet],"&gt;"&amp;($A525+13/24),tData[Langligger01],1)</f>
        <v/>
      </c>
      <c r="R525" s="20">
        <f>COUNTIFS(tData[SEHTrajectPeriodeDatumTijdVan],"&lt;="&amp;($A525+14/24),tData[SEHTrajectPeriodeDatumTijdTotEnMet],"&gt;"&amp;($A525+14/24),tData[Langligger01],1)</f>
        <v/>
      </c>
      <c r="S525" s="20">
        <f>COUNTIFS(tData[SEHTrajectPeriodeDatumTijdVan],"&lt;="&amp;($A525+15/24),tData[SEHTrajectPeriodeDatumTijdTotEnMet],"&gt;"&amp;($A525+15/24),tData[Langligger01],1)</f>
        <v/>
      </c>
      <c r="T525" s="20">
        <f>COUNTIFS(tData[SEHTrajectPeriodeDatumTijdVan],"&lt;="&amp;($A525+16/24),tData[SEHTrajectPeriodeDatumTijdTotEnMet],"&gt;"&amp;($A525+16/24),tData[Langligger01],1)</f>
        <v/>
      </c>
      <c r="U525" s="20">
        <f>COUNTIFS(tData[SEHTrajectPeriodeDatumTijdVan],"&lt;="&amp;($A525+17/24),tData[SEHTrajectPeriodeDatumTijdTotEnMet],"&gt;"&amp;($A525+17/24),tData[Langligger01],1)</f>
        <v/>
      </c>
      <c r="V525" s="20">
        <f>COUNTIFS(tData[SEHTrajectPeriodeDatumTijdVan],"&lt;="&amp;($A525+18/24),tData[SEHTrajectPeriodeDatumTijdTotEnMet],"&gt;"&amp;($A525+18/24),tData[Langligger01],1)</f>
        <v/>
      </c>
      <c r="W525" s="20">
        <f>COUNTIFS(tData[SEHTrajectPeriodeDatumTijdVan],"&lt;="&amp;($A525+19/24),tData[SEHTrajectPeriodeDatumTijdTotEnMet],"&gt;"&amp;($A525+19/24),tData[Langligger01],1)</f>
        <v/>
      </c>
      <c r="X525" s="20">
        <f>COUNTIFS(tData[SEHTrajectPeriodeDatumTijdVan],"&lt;="&amp;($A525+20/24),tData[SEHTrajectPeriodeDatumTijdTotEnMet],"&gt;"&amp;($A525+20/24),tData[Langligger01],1)</f>
        <v/>
      </c>
      <c r="Y525" s="20">
        <f>COUNTIFS(tData[SEHTrajectPeriodeDatumTijdVan],"&lt;="&amp;($A525+21/24),tData[SEHTrajectPeriodeDatumTijdTotEnMet],"&gt;"&amp;($A525+21/24),tData[Langligger01],1)</f>
        <v/>
      </c>
      <c r="Z525" s="20">
        <f>COUNTIFS(tData[SEHTrajectPeriodeDatumTijdVan],"&lt;="&amp;($A525+22/24),tData[SEHTrajectPeriodeDatumTijdTotEnMet],"&gt;"&amp;($A525+22/24),tData[Langligger01],1)</f>
        <v/>
      </c>
      <c r="AA525" s="20">
        <f>COUNTIFS(tData[SEHTrajectPeriodeDatumTijdVan],"&lt;="&amp;($A525+23/24),tData[SEHTrajectPeriodeDatumTijdTotEnMet],"&gt;"&amp;($A525+23/24),tData[Langligger01],1)</f>
        <v/>
      </c>
    </row>
    <row r="526">
      <c r="A526" s="19" t="n">
        <v>45814</v>
      </c>
      <c r="B526" s="15">
        <f>WEEKDAY($A526,2)</f>
        <v/>
      </c>
      <c r="C526" s="15">
        <f>IF(AND($A526&gt;=INT(Instellingen!$B$5),$A526&lt;=INT(Instellingen!$B$6)),1,0)</f>
        <v/>
      </c>
      <c r="D526" s="20">
        <f>COUNTIFS(tData[SEHTrajectPeriodeDatumTijdVan],"&lt;="&amp;($A526+0/24),tData[SEHTrajectPeriodeDatumTijdTotEnMet],"&gt;"&amp;($A526+0/24),tData[Langligger01],1)</f>
        <v/>
      </c>
      <c r="E526" s="20">
        <f>COUNTIFS(tData[SEHTrajectPeriodeDatumTijdVan],"&lt;="&amp;($A526+1/24),tData[SEHTrajectPeriodeDatumTijdTotEnMet],"&gt;"&amp;($A526+1/24),tData[Langligger01],1)</f>
        <v/>
      </c>
      <c r="F526" s="20">
        <f>COUNTIFS(tData[SEHTrajectPeriodeDatumTijdVan],"&lt;="&amp;($A526+2/24),tData[SEHTrajectPeriodeDatumTijdTotEnMet],"&gt;"&amp;($A526+2/24),tData[Langligger01],1)</f>
        <v/>
      </c>
      <c r="G526" s="20">
        <f>COUNTIFS(tData[SEHTrajectPeriodeDatumTijdVan],"&lt;="&amp;($A526+3/24),tData[SEHTrajectPeriodeDatumTijdTotEnMet],"&gt;"&amp;($A526+3/24),tData[Langligger01],1)</f>
        <v/>
      </c>
      <c r="H526" s="20">
        <f>COUNTIFS(tData[SEHTrajectPeriodeDatumTijdVan],"&lt;="&amp;($A526+4/24),tData[SEHTrajectPeriodeDatumTijdTotEnMet],"&gt;"&amp;($A526+4/24),tData[Langligger01],1)</f>
        <v/>
      </c>
      <c r="I526" s="20">
        <f>COUNTIFS(tData[SEHTrajectPeriodeDatumTijdVan],"&lt;="&amp;($A526+5/24),tData[SEHTrajectPeriodeDatumTijdTotEnMet],"&gt;"&amp;($A526+5/24),tData[Langligger01],1)</f>
        <v/>
      </c>
      <c r="J526" s="20">
        <f>COUNTIFS(tData[SEHTrajectPeriodeDatumTijdVan],"&lt;="&amp;($A526+6/24),tData[SEHTrajectPeriodeDatumTijdTotEnMet],"&gt;"&amp;($A526+6/24),tData[Langligger01],1)</f>
        <v/>
      </c>
      <c r="K526" s="20">
        <f>COUNTIFS(tData[SEHTrajectPeriodeDatumTijdVan],"&lt;="&amp;($A526+7/24),tData[SEHTrajectPeriodeDatumTijdTotEnMet],"&gt;"&amp;($A526+7/24),tData[Langligger01],1)</f>
        <v/>
      </c>
      <c r="L526" s="20">
        <f>COUNTIFS(tData[SEHTrajectPeriodeDatumTijdVan],"&lt;="&amp;($A526+8/24),tData[SEHTrajectPeriodeDatumTijdTotEnMet],"&gt;"&amp;($A526+8/24),tData[Langligger01],1)</f>
        <v/>
      </c>
      <c r="M526" s="20">
        <f>COUNTIFS(tData[SEHTrajectPeriodeDatumTijdVan],"&lt;="&amp;($A526+9/24),tData[SEHTrajectPeriodeDatumTijdTotEnMet],"&gt;"&amp;($A526+9/24),tData[Langligger01],1)</f>
        <v/>
      </c>
      <c r="N526" s="20">
        <f>COUNTIFS(tData[SEHTrajectPeriodeDatumTijdVan],"&lt;="&amp;($A526+10/24),tData[SEHTrajectPeriodeDatumTijdTotEnMet],"&gt;"&amp;($A526+10/24),tData[Langligger01],1)</f>
        <v/>
      </c>
      <c r="O526" s="20">
        <f>COUNTIFS(tData[SEHTrajectPeriodeDatumTijdVan],"&lt;="&amp;($A526+11/24),tData[SEHTrajectPeriodeDatumTijdTotEnMet],"&gt;"&amp;($A526+11/24),tData[Langligger01],1)</f>
        <v/>
      </c>
      <c r="P526" s="20">
        <f>COUNTIFS(tData[SEHTrajectPeriodeDatumTijdVan],"&lt;="&amp;($A526+12/24),tData[SEHTrajectPeriodeDatumTijdTotEnMet],"&gt;"&amp;($A526+12/24),tData[Langligger01],1)</f>
        <v/>
      </c>
      <c r="Q526" s="20">
        <f>COUNTIFS(tData[SEHTrajectPeriodeDatumTijdVan],"&lt;="&amp;($A526+13/24),tData[SEHTrajectPeriodeDatumTijdTotEnMet],"&gt;"&amp;($A526+13/24),tData[Langligger01],1)</f>
        <v/>
      </c>
      <c r="R526" s="20">
        <f>COUNTIFS(tData[SEHTrajectPeriodeDatumTijdVan],"&lt;="&amp;($A526+14/24),tData[SEHTrajectPeriodeDatumTijdTotEnMet],"&gt;"&amp;($A526+14/24),tData[Langligger01],1)</f>
        <v/>
      </c>
      <c r="S526" s="20">
        <f>COUNTIFS(tData[SEHTrajectPeriodeDatumTijdVan],"&lt;="&amp;($A526+15/24),tData[SEHTrajectPeriodeDatumTijdTotEnMet],"&gt;"&amp;($A526+15/24),tData[Langligger01],1)</f>
        <v/>
      </c>
      <c r="T526" s="20">
        <f>COUNTIFS(tData[SEHTrajectPeriodeDatumTijdVan],"&lt;="&amp;($A526+16/24),tData[SEHTrajectPeriodeDatumTijdTotEnMet],"&gt;"&amp;($A526+16/24),tData[Langligger01],1)</f>
        <v/>
      </c>
      <c r="U526" s="20">
        <f>COUNTIFS(tData[SEHTrajectPeriodeDatumTijdVan],"&lt;="&amp;($A526+17/24),tData[SEHTrajectPeriodeDatumTijdTotEnMet],"&gt;"&amp;($A526+17/24),tData[Langligger01],1)</f>
        <v/>
      </c>
      <c r="V526" s="20">
        <f>COUNTIFS(tData[SEHTrajectPeriodeDatumTijdVan],"&lt;="&amp;($A526+18/24),tData[SEHTrajectPeriodeDatumTijdTotEnMet],"&gt;"&amp;($A526+18/24),tData[Langligger01],1)</f>
        <v/>
      </c>
      <c r="W526" s="20">
        <f>COUNTIFS(tData[SEHTrajectPeriodeDatumTijdVan],"&lt;="&amp;($A526+19/24),tData[SEHTrajectPeriodeDatumTijdTotEnMet],"&gt;"&amp;($A526+19/24),tData[Langligger01],1)</f>
        <v/>
      </c>
      <c r="X526" s="20">
        <f>COUNTIFS(tData[SEHTrajectPeriodeDatumTijdVan],"&lt;="&amp;($A526+20/24),tData[SEHTrajectPeriodeDatumTijdTotEnMet],"&gt;"&amp;($A526+20/24),tData[Langligger01],1)</f>
        <v/>
      </c>
      <c r="Y526" s="20">
        <f>COUNTIFS(tData[SEHTrajectPeriodeDatumTijdVan],"&lt;="&amp;($A526+21/24),tData[SEHTrajectPeriodeDatumTijdTotEnMet],"&gt;"&amp;($A526+21/24),tData[Langligger01],1)</f>
        <v/>
      </c>
      <c r="Z526" s="20">
        <f>COUNTIFS(tData[SEHTrajectPeriodeDatumTijdVan],"&lt;="&amp;($A526+22/24),tData[SEHTrajectPeriodeDatumTijdTotEnMet],"&gt;"&amp;($A526+22/24),tData[Langligger01],1)</f>
        <v/>
      </c>
      <c r="AA526" s="20">
        <f>COUNTIFS(tData[SEHTrajectPeriodeDatumTijdVan],"&lt;="&amp;($A526+23/24),tData[SEHTrajectPeriodeDatumTijdTotEnMet],"&gt;"&amp;($A526+23/24),tData[Langligger01],1)</f>
        <v/>
      </c>
    </row>
    <row r="527">
      <c r="A527" s="19" t="n">
        <v>45815</v>
      </c>
      <c r="B527" s="15">
        <f>WEEKDAY($A527,2)</f>
        <v/>
      </c>
      <c r="C527" s="15">
        <f>IF(AND($A527&gt;=INT(Instellingen!$B$5),$A527&lt;=INT(Instellingen!$B$6)),1,0)</f>
        <v/>
      </c>
      <c r="D527" s="20">
        <f>COUNTIFS(tData[SEHTrajectPeriodeDatumTijdVan],"&lt;="&amp;($A527+0/24),tData[SEHTrajectPeriodeDatumTijdTotEnMet],"&gt;"&amp;($A527+0/24),tData[Langligger01],1)</f>
        <v/>
      </c>
      <c r="E527" s="20">
        <f>COUNTIFS(tData[SEHTrajectPeriodeDatumTijdVan],"&lt;="&amp;($A527+1/24),tData[SEHTrajectPeriodeDatumTijdTotEnMet],"&gt;"&amp;($A527+1/24),tData[Langligger01],1)</f>
        <v/>
      </c>
      <c r="F527" s="20">
        <f>COUNTIFS(tData[SEHTrajectPeriodeDatumTijdVan],"&lt;="&amp;($A527+2/24),tData[SEHTrajectPeriodeDatumTijdTotEnMet],"&gt;"&amp;($A527+2/24),tData[Langligger01],1)</f>
        <v/>
      </c>
      <c r="G527" s="20">
        <f>COUNTIFS(tData[SEHTrajectPeriodeDatumTijdVan],"&lt;="&amp;($A527+3/24),tData[SEHTrajectPeriodeDatumTijdTotEnMet],"&gt;"&amp;($A527+3/24),tData[Langligger01],1)</f>
        <v/>
      </c>
      <c r="H527" s="20">
        <f>COUNTIFS(tData[SEHTrajectPeriodeDatumTijdVan],"&lt;="&amp;($A527+4/24),tData[SEHTrajectPeriodeDatumTijdTotEnMet],"&gt;"&amp;($A527+4/24),tData[Langligger01],1)</f>
        <v/>
      </c>
      <c r="I527" s="20">
        <f>COUNTIFS(tData[SEHTrajectPeriodeDatumTijdVan],"&lt;="&amp;($A527+5/24),tData[SEHTrajectPeriodeDatumTijdTotEnMet],"&gt;"&amp;($A527+5/24),tData[Langligger01],1)</f>
        <v/>
      </c>
      <c r="J527" s="20">
        <f>COUNTIFS(tData[SEHTrajectPeriodeDatumTijdVan],"&lt;="&amp;($A527+6/24),tData[SEHTrajectPeriodeDatumTijdTotEnMet],"&gt;"&amp;($A527+6/24),tData[Langligger01],1)</f>
        <v/>
      </c>
      <c r="K527" s="20">
        <f>COUNTIFS(tData[SEHTrajectPeriodeDatumTijdVan],"&lt;="&amp;($A527+7/24),tData[SEHTrajectPeriodeDatumTijdTotEnMet],"&gt;"&amp;($A527+7/24),tData[Langligger01],1)</f>
        <v/>
      </c>
      <c r="L527" s="20">
        <f>COUNTIFS(tData[SEHTrajectPeriodeDatumTijdVan],"&lt;="&amp;($A527+8/24),tData[SEHTrajectPeriodeDatumTijdTotEnMet],"&gt;"&amp;($A527+8/24),tData[Langligger01],1)</f>
        <v/>
      </c>
      <c r="M527" s="20">
        <f>COUNTIFS(tData[SEHTrajectPeriodeDatumTijdVan],"&lt;="&amp;($A527+9/24),tData[SEHTrajectPeriodeDatumTijdTotEnMet],"&gt;"&amp;($A527+9/24),tData[Langligger01],1)</f>
        <v/>
      </c>
      <c r="N527" s="20">
        <f>COUNTIFS(tData[SEHTrajectPeriodeDatumTijdVan],"&lt;="&amp;($A527+10/24),tData[SEHTrajectPeriodeDatumTijdTotEnMet],"&gt;"&amp;($A527+10/24),tData[Langligger01],1)</f>
        <v/>
      </c>
      <c r="O527" s="20">
        <f>COUNTIFS(tData[SEHTrajectPeriodeDatumTijdVan],"&lt;="&amp;($A527+11/24),tData[SEHTrajectPeriodeDatumTijdTotEnMet],"&gt;"&amp;($A527+11/24),tData[Langligger01],1)</f>
        <v/>
      </c>
      <c r="P527" s="20">
        <f>COUNTIFS(tData[SEHTrajectPeriodeDatumTijdVan],"&lt;="&amp;($A527+12/24),tData[SEHTrajectPeriodeDatumTijdTotEnMet],"&gt;"&amp;($A527+12/24),tData[Langligger01],1)</f>
        <v/>
      </c>
      <c r="Q527" s="20">
        <f>COUNTIFS(tData[SEHTrajectPeriodeDatumTijdVan],"&lt;="&amp;($A527+13/24),tData[SEHTrajectPeriodeDatumTijdTotEnMet],"&gt;"&amp;($A527+13/24),tData[Langligger01],1)</f>
        <v/>
      </c>
      <c r="R527" s="20">
        <f>COUNTIFS(tData[SEHTrajectPeriodeDatumTijdVan],"&lt;="&amp;($A527+14/24),tData[SEHTrajectPeriodeDatumTijdTotEnMet],"&gt;"&amp;($A527+14/24),tData[Langligger01],1)</f>
        <v/>
      </c>
      <c r="S527" s="20">
        <f>COUNTIFS(tData[SEHTrajectPeriodeDatumTijdVan],"&lt;="&amp;($A527+15/24),tData[SEHTrajectPeriodeDatumTijdTotEnMet],"&gt;"&amp;($A527+15/24),tData[Langligger01],1)</f>
        <v/>
      </c>
      <c r="T527" s="20">
        <f>COUNTIFS(tData[SEHTrajectPeriodeDatumTijdVan],"&lt;="&amp;($A527+16/24),tData[SEHTrajectPeriodeDatumTijdTotEnMet],"&gt;"&amp;($A527+16/24),tData[Langligger01],1)</f>
        <v/>
      </c>
      <c r="U527" s="20">
        <f>COUNTIFS(tData[SEHTrajectPeriodeDatumTijdVan],"&lt;="&amp;($A527+17/24),tData[SEHTrajectPeriodeDatumTijdTotEnMet],"&gt;"&amp;($A527+17/24),tData[Langligger01],1)</f>
        <v/>
      </c>
      <c r="V527" s="20">
        <f>COUNTIFS(tData[SEHTrajectPeriodeDatumTijdVan],"&lt;="&amp;($A527+18/24),tData[SEHTrajectPeriodeDatumTijdTotEnMet],"&gt;"&amp;($A527+18/24),tData[Langligger01],1)</f>
        <v/>
      </c>
      <c r="W527" s="20">
        <f>COUNTIFS(tData[SEHTrajectPeriodeDatumTijdVan],"&lt;="&amp;($A527+19/24),tData[SEHTrajectPeriodeDatumTijdTotEnMet],"&gt;"&amp;($A527+19/24),tData[Langligger01],1)</f>
        <v/>
      </c>
      <c r="X527" s="20">
        <f>COUNTIFS(tData[SEHTrajectPeriodeDatumTijdVan],"&lt;="&amp;($A527+20/24),tData[SEHTrajectPeriodeDatumTijdTotEnMet],"&gt;"&amp;($A527+20/24),tData[Langligger01],1)</f>
        <v/>
      </c>
      <c r="Y527" s="20">
        <f>COUNTIFS(tData[SEHTrajectPeriodeDatumTijdVan],"&lt;="&amp;($A527+21/24),tData[SEHTrajectPeriodeDatumTijdTotEnMet],"&gt;"&amp;($A527+21/24),tData[Langligger01],1)</f>
        <v/>
      </c>
      <c r="Z527" s="20">
        <f>COUNTIFS(tData[SEHTrajectPeriodeDatumTijdVan],"&lt;="&amp;($A527+22/24),tData[SEHTrajectPeriodeDatumTijdTotEnMet],"&gt;"&amp;($A527+22/24),tData[Langligger01],1)</f>
        <v/>
      </c>
      <c r="AA527" s="20">
        <f>COUNTIFS(tData[SEHTrajectPeriodeDatumTijdVan],"&lt;="&amp;($A527+23/24),tData[SEHTrajectPeriodeDatumTijdTotEnMet],"&gt;"&amp;($A527+23/24),tData[Langligger01],1)</f>
        <v/>
      </c>
    </row>
    <row r="528">
      <c r="A528" s="19" t="n">
        <v>45816</v>
      </c>
      <c r="B528" s="15">
        <f>WEEKDAY($A528,2)</f>
        <v/>
      </c>
      <c r="C528" s="15">
        <f>IF(AND($A528&gt;=INT(Instellingen!$B$5),$A528&lt;=INT(Instellingen!$B$6)),1,0)</f>
        <v/>
      </c>
      <c r="D528" s="20">
        <f>COUNTIFS(tData[SEHTrajectPeriodeDatumTijdVan],"&lt;="&amp;($A528+0/24),tData[SEHTrajectPeriodeDatumTijdTotEnMet],"&gt;"&amp;($A528+0/24),tData[Langligger01],1)</f>
        <v/>
      </c>
      <c r="E528" s="20">
        <f>COUNTIFS(tData[SEHTrajectPeriodeDatumTijdVan],"&lt;="&amp;($A528+1/24),tData[SEHTrajectPeriodeDatumTijdTotEnMet],"&gt;"&amp;($A528+1/24),tData[Langligger01],1)</f>
        <v/>
      </c>
      <c r="F528" s="20">
        <f>COUNTIFS(tData[SEHTrajectPeriodeDatumTijdVan],"&lt;="&amp;($A528+2/24),tData[SEHTrajectPeriodeDatumTijdTotEnMet],"&gt;"&amp;($A528+2/24),tData[Langligger01],1)</f>
        <v/>
      </c>
      <c r="G528" s="20">
        <f>COUNTIFS(tData[SEHTrajectPeriodeDatumTijdVan],"&lt;="&amp;($A528+3/24),tData[SEHTrajectPeriodeDatumTijdTotEnMet],"&gt;"&amp;($A528+3/24),tData[Langligger01],1)</f>
        <v/>
      </c>
      <c r="H528" s="20">
        <f>COUNTIFS(tData[SEHTrajectPeriodeDatumTijdVan],"&lt;="&amp;($A528+4/24),tData[SEHTrajectPeriodeDatumTijdTotEnMet],"&gt;"&amp;($A528+4/24),tData[Langligger01],1)</f>
        <v/>
      </c>
      <c r="I528" s="20">
        <f>COUNTIFS(tData[SEHTrajectPeriodeDatumTijdVan],"&lt;="&amp;($A528+5/24),tData[SEHTrajectPeriodeDatumTijdTotEnMet],"&gt;"&amp;($A528+5/24),tData[Langligger01],1)</f>
        <v/>
      </c>
      <c r="J528" s="20">
        <f>COUNTIFS(tData[SEHTrajectPeriodeDatumTijdVan],"&lt;="&amp;($A528+6/24),tData[SEHTrajectPeriodeDatumTijdTotEnMet],"&gt;"&amp;($A528+6/24),tData[Langligger01],1)</f>
        <v/>
      </c>
      <c r="K528" s="20">
        <f>COUNTIFS(tData[SEHTrajectPeriodeDatumTijdVan],"&lt;="&amp;($A528+7/24),tData[SEHTrajectPeriodeDatumTijdTotEnMet],"&gt;"&amp;($A528+7/24),tData[Langligger01],1)</f>
        <v/>
      </c>
      <c r="L528" s="20">
        <f>COUNTIFS(tData[SEHTrajectPeriodeDatumTijdVan],"&lt;="&amp;($A528+8/24),tData[SEHTrajectPeriodeDatumTijdTotEnMet],"&gt;"&amp;($A528+8/24),tData[Langligger01],1)</f>
        <v/>
      </c>
      <c r="M528" s="20">
        <f>COUNTIFS(tData[SEHTrajectPeriodeDatumTijdVan],"&lt;="&amp;($A528+9/24),tData[SEHTrajectPeriodeDatumTijdTotEnMet],"&gt;"&amp;($A528+9/24),tData[Langligger01],1)</f>
        <v/>
      </c>
      <c r="N528" s="20">
        <f>COUNTIFS(tData[SEHTrajectPeriodeDatumTijdVan],"&lt;="&amp;($A528+10/24),tData[SEHTrajectPeriodeDatumTijdTotEnMet],"&gt;"&amp;($A528+10/24),tData[Langligger01],1)</f>
        <v/>
      </c>
      <c r="O528" s="20">
        <f>COUNTIFS(tData[SEHTrajectPeriodeDatumTijdVan],"&lt;="&amp;($A528+11/24),tData[SEHTrajectPeriodeDatumTijdTotEnMet],"&gt;"&amp;($A528+11/24),tData[Langligger01],1)</f>
        <v/>
      </c>
      <c r="P528" s="20">
        <f>COUNTIFS(tData[SEHTrajectPeriodeDatumTijdVan],"&lt;="&amp;($A528+12/24),tData[SEHTrajectPeriodeDatumTijdTotEnMet],"&gt;"&amp;($A528+12/24),tData[Langligger01],1)</f>
        <v/>
      </c>
      <c r="Q528" s="20">
        <f>COUNTIFS(tData[SEHTrajectPeriodeDatumTijdVan],"&lt;="&amp;($A528+13/24),tData[SEHTrajectPeriodeDatumTijdTotEnMet],"&gt;"&amp;($A528+13/24),tData[Langligger01],1)</f>
        <v/>
      </c>
      <c r="R528" s="20">
        <f>COUNTIFS(tData[SEHTrajectPeriodeDatumTijdVan],"&lt;="&amp;($A528+14/24),tData[SEHTrajectPeriodeDatumTijdTotEnMet],"&gt;"&amp;($A528+14/24),tData[Langligger01],1)</f>
        <v/>
      </c>
      <c r="S528" s="20">
        <f>COUNTIFS(tData[SEHTrajectPeriodeDatumTijdVan],"&lt;="&amp;($A528+15/24),tData[SEHTrajectPeriodeDatumTijdTotEnMet],"&gt;"&amp;($A528+15/24),tData[Langligger01],1)</f>
        <v/>
      </c>
      <c r="T528" s="20">
        <f>COUNTIFS(tData[SEHTrajectPeriodeDatumTijdVan],"&lt;="&amp;($A528+16/24),tData[SEHTrajectPeriodeDatumTijdTotEnMet],"&gt;"&amp;($A528+16/24),tData[Langligger01],1)</f>
        <v/>
      </c>
      <c r="U528" s="20">
        <f>COUNTIFS(tData[SEHTrajectPeriodeDatumTijdVan],"&lt;="&amp;($A528+17/24),tData[SEHTrajectPeriodeDatumTijdTotEnMet],"&gt;"&amp;($A528+17/24),tData[Langligger01],1)</f>
        <v/>
      </c>
      <c r="V528" s="20">
        <f>COUNTIFS(tData[SEHTrajectPeriodeDatumTijdVan],"&lt;="&amp;($A528+18/24),tData[SEHTrajectPeriodeDatumTijdTotEnMet],"&gt;"&amp;($A528+18/24),tData[Langligger01],1)</f>
        <v/>
      </c>
      <c r="W528" s="20">
        <f>COUNTIFS(tData[SEHTrajectPeriodeDatumTijdVan],"&lt;="&amp;($A528+19/24),tData[SEHTrajectPeriodeDatumTijdTotEnMet],"&gt;"&amp;($A528+19/24),tData[Langligger01],1)</f>
        <v/>
      </c>
      <c r="X528" s="20">
        <f>COUNTIFS(tData[SEHTrajectPeriodeDatumTijdVan],"&lt;="&amp;($A528+20/24),tData[SEHTrajectPeriodeDatumTijdTotEnMet],"&gt;"&amp;($A528+20/24),tData[Langligger01],1)</f>
        <v/>
      </c>
      <c r="Y528" s="20">
        <f>COUNTIFS(tData[SEHTrajectPeriodeDatumTijdVan],"&lt;="&amp;($A528+21/24),tData[SEHTrajectPeriodeDatumTijdTotEnMet],"&gt;"&amp;($A528+21/24),tData[Langligger01],1)</f>
        <v/>
      </c>
      <c r="Z528" s="20">
        <f>COUNTIFS(tData[SEHTrajectPeriodeDatumTijdVan],"&lt;="&amp;($A528+22/24),tData[SEHTrajectPeriodeDatumTijdTotEnMet],"&gt;"&amp;($A528+22/24),tData[Langligger01],1)</f>
        <v/>
      </c>
      <c r="AA528" s="20">
        <f>COUNTIFS(tData[SEHTrajectPeriodeDatumTijdVan],"&lt;="&amp;($A528+23/24),tData[SEHTrajectPeriodeDatumTijdTotEnMet],"&gt;"&amp;($A528+23/24),tData[Langligger01],1)</f>
        <v/>
      </c>
    </row>
    <row r="529">
      <c r="A529" s="19" t="n">
        <v>45817</v>
      </c>
      <c r="B529" s="15">
        <f>WEEKDAY($A529,2)</f>
        <v/>
      </c>
      <c r="C529" s="15">
        <f>IF(AND($A529&gt;=INT(Instellingen!$B$5),$A529&lt;=INT(Instellingen!$B$6)),1,0)</f>
        <v/>
      </c>
      <c r="D529" s="20">
        <f>COUNTIFS(tData[SEHTrajectPeriodeDatumTijdVan],"&lt;="&amp;($A529+0/24),tData[SEHTrajectPeriodeDatumTijdTotEnMet],"&gt;"&amp;($A529+0/24),tData[Langligger01],1)</f>
        <v/>
      </c>
      <c r="E529" s="20">
        <f>COUNTIFS(tData[SEHTrajectPeriodeDatumTijdVan],"&lt;="&amp;($A529+1/24),tData[SEHTrajectPeriodeDatumTijdTotEnMet],"&gt;"&amp;($A529+1/24),tData[Langligger01],1)</f>
        <v/>
      </c>
      <c r="F529" s="20">
        <f>COUNTIFS(tData[SEHTrajectPeriodeDatumTijdVan],"&lt;="&amp;($A529+2/24),tData[SEHTrajectPeriodeDatumTijdTotEnMet],"&gt;"&amp;($A529+2/24),tData[Langligger01],1)</f>
        <v/>
      </c>
      <c r="G529" s="20">
        <f>COUNTIFS(tData[SEHTrajectPeriodeDatumTijdVan],"&lt;="&amp;($A529+3/24),tData[SEHTrajectPeriodeDatumTijdTotEnMet],"&gt;"&amp;($A529+3/24),tData[Langligger01],1)</f>
        <v/>
      </c>
      <c r="H529" s="20">
        <f>COUNTIFS(tData[SEHTrajectPeriodeDatumTijdVan],"&lt;="&amp;($A529+4/24),tData[SEHTrajectPeriodeDatumTijdTotEnMet],"&gt;"&amp;($A529+4/24),tData[Langligger01],1)</f>
        <v/>
      </c>
      <c r="I529" s="20">
        <f>COUNTIFS(tData[SEHTrajectPeriodeDatumTijdVan],"&lt;="&amp;($A529+5/24),tData[SEHTrajectPeriodeDatumTijdTotEnMet],"&gt;"&amp;($A529+5/24),tData[Langligger01],1)</f>
        <v/>
      </c>
      <c r="J529" s="20">
        <f>COUNTIFS(tData[SEHTrajectPeriodeDatumTijdVan],"&lt;="&amp;($A529+6/24),tData[SEHTrajectPeriodeDatumTijdTotEnMet],"&gt;"&amp;($A529+6/24),tData[Langligger01],1)</f>
        <v/>
      </c>
      <c r="K529" s="20">
        <f>COUNTIFS(tData[SEHTrajectPeriodeDatumTijdVan],"&lt;="&amp;($A529+7/24),tData[SEHTrajectPeriodeDatumTijdTotEnMet],"&gt;"&amp;($A529+7/24),tData[Langligger01],1)</f>
        <v/>
      </c>
      <c r="L529" s="20">
        <f>COUNTIFS(tData[SEHTrajectPeriodeDatumTijdVan],"&lt;="&amp;($A529+8/24),tData[SEHTrajectPeriodeDatumTijdTotEnMet],"&gt;"&amp;($A529+8/24),tData[Langligger01],1)</f>
        <v/>
      </c>
      <c r="M529" s="20">
        <f>COUNTIFS(tData[SEHTrajectPeriodeDatumTijdVan],"&lt;="&amp;($A529+9/24),tData[SEHTrajectPeriodeDatumTijdTotEnMet],"&gt;"&amp;($A529+9/24),tData[Langligger01],1)</f>
        <v/>
      </c>
      <c r="N529" s="20">
        <f>COUNTIFS(tData[SEHTrajectPeriodeDatumTijdVan],"&lt;="&amp;($A529+10/24),tData[SEHTrajectPeriodeDatumTijdTotEnMet],"&gt;"&amp;($A529+10/24),tData[Langligger01],1)</f>
        <v/>
      </c>
      <c r="O529" s="20">
        <f>COUNTIFS(tData[SEHTrajectPeriodeDatumTijdVan],"&lt;="&amp;($A529+11/24),tData[SEHTrajectPeriodeDatumTijdTotEnMet],"&gt;"&amp;($A529+11/24),tData[Langligger01],1)</f>
        <v/>
      </c>
      <c r="P529" s="20">
        <f>COUNTIFS(tData[SEHTrajectPeriodeDatumTijdVan],"&lt;="&amp;($A529+12/24),tData[SEHTrajectPeriodeDatumTijdTotEnMet],"&gt;"&amp;($A529+12/24),tData[Langligger01],1)</f>
        <v/>
      </c>
      <c r="Q529" s="20">
        <f>COUNTIFS(tData[SEHTrajectPeriodeDatumTijdVan],"&lt;="&amp;($A529+13/24),tData[SEHTrajectPeriodeDatumTijdTotEnMet],"&gt;"&amp;($A529+13/24),tData[Langligger01],1)</f>
        <v/>
      </c>
      <c r="R529" s="20">
        <f>COUNTIFS(tData[SEHTrajectPeriodeDatumTijdVan],"&lt;="&amp;($A529+14/24),tData[SEHTrajectPeriodeDatumTijdTotEnMet],"&gt;"&amp;($A529+14/24),tData[Langligger01],1)</f>
        <v/>
      </c>
      <c r="S529" s="20">
        <f>COUNTIFS(tData[SEHTrajectPeriodeDatumTijdVan],"&lt;="&amp;($A529+15/24),tData[SEHTrajectPeriodeDatumTijdTotEnMet],"&gt;"&amp;($A529+15/24),tData[Langligger01],1)</f>
        <v/>
      </c>
      <c r="T529" s="20">
        <f>COUNTIFS(tData[SEHTrajectPeriodeDatumTijdVan],"&lt;="&amp;($A529+16/24),tData[SEHTrajectPeriodeDatumTijdTotEnMet],"&gt;"&amp;($A529+16/24),tData[Langligger01],1)</f>
        <v/>
      </c>
      <c r="U529" s="20">
        <f>COUNTIFS(tData[SEHTrajectPeriodeDatumTijdVan],"&lt;="&amp;($A529+17/24),tData[SEHTrajectPeriodeDatumTijdTotEnMet],"&gt;"&amp;($A529+17/24),tData[Langligger01],1)</f>
        <v/>
      </c>
      <c r="V529" s="20">
        <f>COUNTIFS(tData[SEHTrajectPeriodeDatumTijdVan],"&lt;="&amp;($A529+18/24),tData[SEHTrajectPeriodeDatumTijdTotEnMet],"&gt;"&amp;($A529+18/24),tData[Langligger01],1)</f>
        <v/>
      </c>
      <c r="W529" s="20">
        <f>COUNTIFS(tData[SEHTrajectPeriodeDatumTijdVan],"&lt;="&amp;($A529+19/24),tData[SEHTrajectPeriodeDatumTijdTotEnMet],"&gt;"&amp;($A529+19/24),tData[Langligger01],1)</f>
        <v/>
      </c>
      <c r="X529" s="20">
        <f>COUNTIFS(tData[SEHTrajectPeriodeDatumTijdVan],"&lt;="&amp;($A529+20/24),tData[SEHTrajectPeriodeDatumTijdTotEnMet],"&gt;"&amp;($A529+20/24),tData[Langligger01],1)</f>
        <v/>
      </c>
      <c r="Y529" s="20">
        <f>COUNTIFS(tData[SEHTrajectPeriodeDatumTijdVan],"&lt;="&amp;($A529+21/24),tData[SEHTrajectPeriodeDatumTijdTotEnMet],"&gt;"&amp;($A529+21/24),tData[Langligger01],1)</f>
        <v/>
      </c>
      <c r="Z529" s="20">
        <f>COUNTIFS(tData[SEHTrajectPeriodeDatumTijdVan],"&lt;="&amp;($A529+22/24),tData[SEHTrajectPeriodeDatumTijdTotEnMet],"&gt;"&amp;($A529+22/24),tData[Langligger01],1)</f>
        <v/>
      </c>
      <c r="AA529" s="20">
        <f>COUNTIFS(tData[SEHTrajectPeriodeDatumTijdVan],"&lt;="&amp;($A529+23/24),tData[SEHTrajectPeriodeDatumTijdTotEnMet],"&gt;"&amp;($A529+23/24),tData[Langligger01],1)</f>
        <v/>
      </c>
    </row>
    <row r="530">
      <c r="A530" s="19" t="n">
        <v>45818</v>
      </c>
      <c r="B530" s="15">
        <f>WEEKDAY($A530,2)</f>
        <v/>
      </c>
      <c r="C530" s="15">
        <f>IF(AND($A530&gt;=INT(Instellingen!$B$5),$A530&lt;=INT(Instellingen!$B$6)),1,0)</f>
        <v/>
      </c>
      <c r="D530" s="20">
        <f>COUNTIFS(tData[SEHTrajectPeriodeDatumTijdVan],"&lt;="&amp;($A530+0/24),tData[SEHTrajectPeriodeDatumTijdTotEnMet],"&gt;"&amp;($A530+0/24),tData[Langligger01],1)</f>
        <v/>
      </c>
      <c r="E530" s="20">
        <f>COUNTIFS(tData[SEHTrajectPeriodeDatumTijdVan],"&lt;="&amp;($A530+1/24),tData[SEHTrajectPeriodeDatumTijdTotEnMet],"&gt;"&amp;($A530+1/24),tData[Langligger01],1)</f>
        <v/>
      </c>
      <c r="F530" s="20">
        <f>COUNTIFS(tData[SEHTrajectPeriodeDatumTijdVan],"&lt;="&amp;($A530+2/24),tData[SEHTrajectPeriodeDatumTijdTotEnMet],"&gt;"&amp;($A530+2/24),tData[Langligger01],1)</f>
        <v/>
      </c>
      <c r="G530" s="20">
        <f>COUNTIFS(tData[SEHTrajectPeriodeDatumTijdVan],"&lt;="&amp;($A530+3/24),tData[SEHTrajectPeriodeDatumTijdTotEnMet],"&gt;"&amp;($A530+3/24),tData[Langligger01],1)</f>
        <v/>
      </c>
      <c r="H530" s="20">
        <f>COUNTIFS(tData[SEHTrajectPeriodeDatumTijdVan],"&lt;="&amp;($A530+4/24),tData[SEHTrajectPeriodeDatumTijdTotEnMet],"&gt;"&amp;($A530+4/24),tData[Langligger01],1)</f>
        <v/>
      </c>
      <c r="I530" s="20">
        <f>COUNTIFS(tData[SEHTrajectPeriodeDatumTijdVan],"&lt;="&amp;($A530+5/24),tData[SEHTrajectPeriodeDatumTijdTotEnMet],"&gt;"&amp;($A530+5/24),tData[Langligger01],1)</f>
        <v/>
      </c>
      <c r="J530" s="20">
        <f>COUNTIFS(tData[SEHTrajectPeriodeDatumTijdVan],"&lt;="&amp;($A530+6/24),tData[SEHTrajectPeriodeDatumTijdTotEnMet],"&gt;"&amp;($A530+6/24),tData[Langligger01],1)</f>
        <v/>
      </c>
      <c r="K530" s="20">
        <f>COUNTIFS(tData[SEHTrajectPeriodeDatumTijdVan],"&lt;="&amp;($A530+7/24),tData[SEHTrajectPeriodeDatumTijdTotEnMet],"&gt;"&amp;($A530+7/24),tData[Langligger01],1)</f>
        <v/>
      </c>
      <c r="L530" s="20">
        <f>COUNTIFS(tData[SEHTrajectPeriodeDatumTijdVan],"&lt;="&amp;($A530+8/24),tData[SEHTrajectPeriodeDatumTijdTotEnMet],"&gt;"&amp;($A530+8/24),tData[Langligger01],1)</f>
        <v/>
      </c>
      <c r="M530" s="20">
        <f>COUNTIFS(tData[SEHTrajectPeriodeDatumTijdVan],"&lt;="&amp;($A530+9/24),tData[SEHTrajectPeriodeDatumTijdTotEnMet],"&gt;"&amp;($A530+9/24),tData[Langligger01],1)</f>
        <v/>
      </c>
      <c r="N530" s="20">
        <f>COUNTIFS(tData[SEHTrajectPeriodeDatumTijdVan],"&lt;="&amp;($A530+10/24),tData[SEHTrajectPeriodeDatumTijdTotEnMet],"&gt;"&amp;($A530+10/24),tData[Langligger01],1)</f>
        <v/>
      </c>
      <c r="O530" s="20">
        <f>COUNTIFS(tData[SEHTrajectPeriodeDatumTijdVan],"&lt;="&amp;($A530+11/24),tData[SEHTrajectPeriodeDatumTijdTotEnMet],"&gt;"&amp;($A530+11/24),tData[Langligger01],1)</f>
        <v/>
      </c>
      <c r="P530" s="20">
        <f>COUNTIFS(tData[SEHTrajectPeriodeDatumTijdVan],"&lt;="&amp;($A530+12/24),tData[SEHTrajectPeriodeDatumTijdTotEnMet],"&gt;"&amp;($A530+12/24),tData[Langligger01],1)</f>
        <v/>
      </c>
      <c r="Q530" s="20">
        <f>COUNTIFS(tData[SEHTrajectPeriodeDatumTijdVan],"&lt;="&amp;($A530+13/24),tData[SEHTrajectPeriodeDatumTijdTotEnMet],"&gt;"&amp;($A530+13/24),tData[Langligger01],1)</f>
        <v/>
      </c>
      <c r="R530" s="20">
        <f>COUNTIFS(tData[SEHTrajectPeriodeDatumTijdVan],"&lt;="&amp;($A530+14/24),tData[SEHTrajectPeriodeDatumTijdTotEnMet],"&gt;"&amp;($A530+14/24),tData[Langligger01],1)</f>
        <v/>
      </c>
      <c r="S530" s="20">
        <f>COUNTIFS(tData[SEHTrajectPeriodeDatumTijdVan],"&lt;="&amp;($A530+15/24),tData[SEHTrajectPeriodeDatumTijdTotEnMet],"&gt;"&amp;($A530+15/24),tData[Langligger01],1)</f>
        <v/>
      </c>
      <c r="T530" s="20">
        <f>COUNTIFS(tData[SEHTrajectPeriodeDatumTijdVan],"&lt;="&amp;($A530+16/24),tData[SEHTrajectPeriodeDatumTijdTotEnMet],"&gt;"&amp;($A530+16/24),tData[Langligger01],1)</f>
        <v/>
      </c>
      <c r="U530" s="20">
        <f>COUNTIFS(tData[SEHTrajectPeriodeDatumTijdVan],"&lt;="&amp;($A530+17/24),tData[SEHTrajectPeriodeDatumTijdTotEnMet],"&gt;"&amp;($A530+17/24),tData[Langligger01],1)</f>
        <v/>
      </c>
      <c r="V530" s="20">
        <f>COUNTIFS(tData[SEHTrajectPeriodeDatumTijdVan],"&lt;="&amp;($A530+18/24),tData[SEHTrajectPeriodeDatumTijdTotEnMet],"&gt;"&amp;($A530+18/24),tData[Langligger01],1)</f>
        <v/>
      </c>
      <c r="W530" s="20">
        <f>COUNTIFS(tData[SEHTrajectPeriodeDatumTijdVan],"&lt;="&amp;($A530+19/24),tData[SEHTrajectPeriodeDatumTijdTotEnMet],"&gt;"&amp;($A530+19/24),tData[Langligger01],1)</f>
        <v/>
      </c>
      <c r="X530" s="20">
        <f>COUNTIFS(tData[SEHTrajectPeriodeDatumTijdVan],"&lt;="&amp;($A530+20/24),tData[SEHTrajectPeriodeDatumTijdTotEnMet],"&gt;"&amp;($A530+20/24),tData[Langligger01],1)</f>
        <v/>
      </c>
      <c r="Y530" s="20">
        <f>COUNTIFS(tData[SEHTrajectPeriodeDatumTijdVan],"&lt;="&amp;($A530+21/24),tData[SEHTrajectPeriodeDatumTijdTotEnMet],"&gt;"&amp;($A530+21/24),tData[Langligger01],1)</f>
        <v/>
      </c>
      <c r="Z530" s="20">
        <f>COUNTIFS(tData[SEHTrajectPeriodeDatumTijdVan],"&lt;="&amp;($A530+22/24),tData[SEHTrajectPeriodeDatumTijdTotEnMet],"&gt;"&amp;($A530+22/24),tData[Langligger01],1)</f>
        <v/>
      </c>
      <c r="AA530" s="20">
        <f>COUNTIFS(tData[SEHTrajectPeriodeDatumTijdVan],"&lt;="&amp;($A530+23/24),tData[SEHTrajectPeriodeDatumTijdTotEnMet],"&gt;"&amp;($A530+23/24),tData[Langligger01],1)</f>
        <v/>
      </c>
    </row>
    <row r="531">
      <c r="A531" s="19" t="n">
        <v>45819</v>
      </c>
      <c r="B531" s="15">
        <f>WEEKDAY($A531,2)</f>
        <v/>
      </c>
      <c r="C531" s="15">
        <f>IF(AND($A531&gt;=INT(Instellingen!$B$5),$A531&lt;=INT(Instellingen!$B$6)),1,0)</f>
        <v/>
      </c>
      <c r="D531" s="20">
        <f>COUNTIFS(tData[SEHTrajectPeriodeDatumTijdVan],"&lt;="&amp;($A531+0/24),tData[SEHTrajectPeriodeDatumTijdTotEnMet],"&gt;"&amp;($A531+0/24),tData[Langligger01],1)</f>
        <v/>
      </c>
      <c r="E531" s="20">
        <f>COUNTIFS(tData[SEHTrajectPeriodeDatumTijdVan],"&lt;="&amp;($A531+1/24),tData[SEHTrajectPeriodeDatumTijdTotEnMet],"&gt;"&amp;($A531+1/24),tData[Langligger01],1)</f>
        <v/>
      </c>
      <c r="F531" s="20">
        <f>COUNTIFS(tData[SEHTrajectPeriodeDatumTijdVan],"&lt;="&amp;($A531+2/24),tData[SEHTrajectPeriodeDatumTijdTotEnMet],"&gt;"&amp;($A531+2/24),tData[Langligger01],1)</f>
        <v/>
      </c>
      <c r="G531" s="20">
        <f>COUNTIFS(tData[SEHTrajectPeriodeDatumTijdVan],"&lt;="&amp;($A531+3/24),tData[SEHTrajectPeriodeDatumTijdTotEnMet],"&gt;"&amp;($A531+3/24),tData[Langligger01],1)</f>
        <v/>
      </c>
      <c r="H531" s="20">
        <f>COUNTIFS(tData[SEHTrajectPeriodeDatumTijdVan],"&lt;="&amp;($A531+4/24),tData[SEHTrajectPeriodeDatumTijdTotEnMet],"&gt;"&amp;($A531+4/24),tData[Langligger01],1)</f>
        <v/>
      </c>
      <c r="I531" s="20">
        <f>COUNTIFS(tData[SEHTrajectPeriodeDatumTijdVan],"&lt;="&amp;($A531+5/24),tData[SEHTrajectPeriodeDatumTijdTotEnMet],"&gt;"&amp;($A531+5/24),tData[Langligger01],1)</f>
        <v/>
      </c>
      <c r="J531" s="20">
        <f>COUNTIFS(tData[SEHTrajectPeriodeDatumTijdVan],"&lt;="&amp;($A531+6/24),tData[SEHTrajectPeriodeDatumTijdTotEnMet],"&gt;"&amp;($A531+6/24),tData[Langligger01],1)</f>
        <v/>
      </c>
      <c r="K531" s="20">
        <f>COUNTIFS(tData[SEHTrajectPeriodeDatumTijdVan],"&lt;="&amp;($A531+7/24),tData[SEHTrajectPeriodeDatumTijdTotEnMet],"&gt;"&amp;($A531+7/24),tData[Langligger01],1)</f>
        <v/>
      </c>
      <c r="L531" s="20">
        <f>COUNTIFS(tData[SEHTrajectPeriodeDatumTijdVan],"&lt;="&amp;($A531+8/24),tData[SEHTrajectPeriodeDatumTijdTotEnMet],"&gt;"&amp;($A531+8/24),tData[Langligger01],1)</f>
        <v/>
      </c>
      <c r="M531" s="20">
        <f>COUNTIFS(tData[SEHTrajectPeriodeDatumTijdVan],"&lt;="&amp;($A531+9/24),tData[SEHTrajectPeriodeDatumTijdTotEnMet],"&gt;"&amp;($A531+9/24),tData[Langligger01],1)</f>
        <v/>
      </c>
      <c r="N531" s="20">
        <f>COUNTIFS(tData[SEHTrajectPeriodeDatumTijdVan],"&lt;="&amp;($A531+10/24),tData[SEHTrajectPeriodeDatumTijdTotEnMet],"&gt;"&amp;($A531+10/24),tData[Langligger01],1)</f>
        <v/>
      </c>
      <c r="O531" s="20">
        <f>COUNTIFS(tData[SEHTrajectPeriodeDatumTijdVan],"&lt;="&amp;($A531+11/24),tData[SEHTrajectPeriodeDatumTijdTotEnMet],"&gt;"&amp;($A531+11/24),tData[Langligger01],1)</f>
        <v/>
      </c>
      <c r="P531" s="20">
        <f>COUNTIFS(tData[SEHTrajectPeriodeDatumTijdVan],"&lt;="&amp;($A531+12/24),tData[SEHTrajectPeriodeDatumTijdTotEnMet],"&gt;"&amp;($A531+12/24),tData[Langligger01],1)</f>
        <v/>
      </c>
      <c r="Q531" s="20">
        <f>COUNTIFS(tData[SEHTrajectPeriodeDatumTijdVan],"&lt;="&amp;($A531+13/24),tData[SEHTrajectPeriodeDatumTijdTotEnMet],"&gt;"&amp;($A531+13/24),tData[Langligger01],1)</f>
        <v/>
      </c>
      <c r="R531" s="20">
        <f>COUNTIFS(tData[SEHTrajectPeriodeDatumTijdVan],"&lt;="&amp;($A531+14/24),tData[SEHTrajectPeriodeDatumTijdTotEnMet],"&gt;"&amp;($A531+14/24),tData[Langligger01],1)</f>
        <v/>
      </c>
      <c r="S531" s="20">
        <f>COUNTIFS(tData[SEHTrajectPeriodeDatumTijdVan],"&lt;="&amp;($A531+15/24),tData[SEHTrajectPeriodeDatumTijdTotEnMet],"&gt;"&amp;($A531+15/24),tData[Langligger01],1)</f>
        <v/>
      </c>
      <c r="T531" s="20">
        <f>COUNTIFS(tData[SEHTrajectPeriodeDatumTijdVan],"&lt;="&amp;($A531+16/24),tData[SEHTrajectPeriodeDatumTijdTotEnMet],"&gt;"&amp;($A531+16/24),tData[Langligger01],1)</f>
        <v/>
      </c>
      <c r="U531" s="20">
        <f>COUNTIFS(tData[SEHTrajectPeriodeDatumTijdVan],"&lt;="&amp;($A531+17/24),tData[SEHTrajectPeriodeDatumTijdTotEnMet],"&gt;"&amp;($A531+17/24),tData[Langligger01],1)</f>
        <v/>
      </c>
      <c r="V531" s="20">
        <f>COUNTIFS(tData[SEHTrajectPeriodeDatumTijdVan],"&lt;="&amp;($A531+18/24),tData[SEHTrajectPeriodeDatumTijdTotEnMet],"&gt;"&amp;($A531+18/24),tData[Langligger01],1)</f>
        <v/>
      </c>
      <c r="W531" s="20">
        <f>COUNTIFS(tData[SEHTrajectPeriodeDatumTijdVan],"&lt;="&amp;($A531+19/24),tData[SEHTrajectPeriodeDatumTijdTotEnMet],"&gt;"&amp;($A531+19/24),tData[Langligger01],1)</f>
        <v/>
      </c>
      <c r="X531" s="20">
        <f>COUNTIFS(tData[SEHTrajectPeriodeDatumTijdVan],"&lt;="&amp;($A531+20/24),tData[SEHTrajectPeriodeDatumTijdTotEnMet],"&gt;"&amp;($A531+20/24),tData[Langligger01],1)</f>
        <v/>
      </c>
      <c r="Y531" s="20">
        <f>COUNTIFS(tData[SEHTrajectPeriodeDatumTijdVan],"&lt;="&amp;($A531+21/24),tData[SEHTrajectPeriodeDatumTijdTotEnMet],"&gt;"&amp;($A531+21/24),tData[Langligger01],1)</f>
        <v/>
      </c>
      <c r="Z531" s="20">
        <f>COUNTIFS(tData[SEHTrajectPeriodeDatumTijdVan],"&lt;="&amp;($A531+22/24),tData[SEHTrajectPeriodeDatumTijdTotEnMet],"&gt;"&amp;($A531+22/24),tData[Langligger01],1)</f>
        <v/>
      </c>
      <c r="AA531" s="20">
        <f>COUNTIFS(tData[SEHTrajectPeriodeDatumTijdVan],"&lt;="&amp;($A531+23/24),tData[SEHTrajectPeriodeDatumTijdTotEnMet],"&gt;"&amp;($A531+23/24),tData[Langligger01],1)</f>
        <v/>
      </c>
    </row>
    <row r="532">
      <c r="A532" s="19" t="n">
        <v>45820</v>
      </c>
      <c r="B532" s="15">
        <f>WEEKDAY($A532,2)</f>
        <v/>
      </c>
      <c r="C532" s="15">
        <f>IF(AND($A532&gt;=INT(Instellingen!$B$5),$A532&lt;=INT(Instellingen!$B$6)),1,0)</f>
        <v/>
      </c>
      <c r="D532" s="20">
        <f>COUNTIFS(tData[SEHTrajectPeriodeDatumTijdVan],"&lt;="&amp;($A532+0/24),tData[SEHTrajectPeriodeDatumTijdTotEnMet],"&gt;"&amp;($A532+0/24),tData[Langligger01],1)</f>
        <v/>
      </c>
      <c r="E532" s="20">
        <f>COUNTIFS(tData[SEHTrajectPeriodeDatumTijdVan],"&lt;="&amp;($A532+1/24),tData[SEHTrajectPeriodeDatumTijdTotEnMet],"&gt;"&amp;($A532+1/24),tData[Langligger01],1)</f>
        <v/>
      </c>
      <c r="F532" s="20">
        <f>COUNTIFS(tData[SEHTrajectPeriodeDatumTijdVan],"&lt;="&amp;($A532+2/24),tData[SEHTrajectPeriodeDatumTijdTotEnMet],"&gt;"&amp;($A532+2/24),tData[Langligger01],1)</f>
        <v/>
      </c>
      <c r="G532" s="20">
        <f>COUNTIFS(tData[SEHTrajectPeriodeDatumTijdVan],"&lt;="&amp;($A532+3/24),tData[SEHTrajectPeriodeDatumTijdTotEnMet],"&gt;"&amp;($A532+3/24),tData[Langligger01],1)</f>
        <v/>
      </c>
      <c r="H532" s="20">
        <f>COUNTIFS(tData[SEHTrajectPeriodeDatumTijdVan],"&lt;="&amp;($A532+4/24),tData[SEHTrajectPeriodeDatumTijdTotEnMet],"&gt;"&amp;($A532+4/24),tData[Langligger01],1)</f>
        <v/>
      </c>
      <c r="I532" s="20">
        <f>COUNTIFS(tData[SEHTrajectPeriodeDatumTijdVan],"&lt;="&amp;($A532+5/24),tData[SEHTrajectPeriodeDatumTijdTotEnMet],"&gt;"&amp;($A532+5/24),tData[Langligger01],1)</f>
        <v/>
      </c>
      <c r="J532" s="20">
        <f>COUNTIFS(tData[SEHTrajectPeriodeDatumTijdVan],"&lt;="&amp;($A532+6/24),tData[SEHTrajectPeriodeDatumTijdTotEnMet],"&gt;"&amp;($A532+6/24),tData[Langligger01],1)</f>
        <v/>
      </c>
      <c r="K532" s="20">
        <f>COUNTIFS(tData[SEHTrajectPeriodeDatumTijdVan],"&lt;="&amp;($A532+7/24),tData[SEHTrajectPeriodeDatumTijdTotEnMet],"&gt;"&amp;($A532+7/24),tData[Langligger01],1)</f>
        <v/>
      </c>
      <c r="L532" s="20">
        <f>COUNTIFS(tData[SEHTrajectPeriodeDatumTijdVan],"&lt;="&amp;($A532+8/24),tData[SEHTrajectPeriodeDatumTijdTotEnMet],"&gt;"&amp;($A532+8/24),tData[Langligger01],1)</f>
        <v/>
      </c>
      <c r="M532" s="20">
        <f>COUNTIFS(tData[SEHTrajectPeriodeDatumTijdVan],"&lt;="&amp;($A532+9/24),tData[SEHTrajectPeriodeDatumTijdTotEnMet],"&gt;"&amp;($A532+9/24),tData[Langligger01],1)</f>
        <v/>
      </c>
      <c r="N532" s="20">
        <f>COUNTIFS(tData[SEHTrajectPeriodeDatumTijdVan],"&lt;="&amp;($A532+10/24),tData[SEHTrajectPeriodeDatumTijdTotEnMet],"&gt;"&amp;($A532+10/24),tData[Langligger01],1)</f>
        <v/>
      </c>
      <c r="O532" s="20">
        <f>COUNTIFS(tData[SEHTrajectPeriodeDatumTijdVan],"&lt;="&amp;($A532+11/24),tData[SEHTrajectPeriodeDatumTijdTotEnMet],"&gt;"&amp;($A532+11/24),tData[Langligger01],1)</f>
        <v/>
      </c>
      <c r="P532" s="20">
        <f>COUNTIFS(tData[SEHTrajectPeriodeDatumTijdVan],"&lt;="&amp;($A532+12/24),tData[SEHTrajectPeriodeDatumTijdTotEnMet],"&gt;"&amp;($A532+12/24),tData[Langligger01],1)</f>
        <v/>
      </c>
      <c r="Q532" s="20">
        <f>COUNTIFS(tData[SEHTrajectPeriodeDatumTijdVan],"&lt;="&amp;($A532+13/24),tData[SEHTrajectPeriodeDatumTijdTotEnMet],"&gt;"&amp;($A532+13/24),tData[Langligger01],1)</f>
        <v/>
      </c>
      <c r="R532" s="20">
        <f>COUNTIFS(tData[SEHTrajectPeriodeDatumTijdVan],"&lt;="&amp;($A532+14/24),tData[SEHTrajectPeriodeDatumTijdTotEnMet],"&gt;"&amp;($A532+14/24),tData[Langligger01],1)</f>
        <v/>
      </c>
      <c r="S532" s="20">
        <f>COUNTIFS(tData[SEHTrajectPeriodeDatumTijdVan],"&lt;="&amp;($A532+15/24),tData[SEHTrajectPeriodeDatumTijdTotEnMet],"&gt;"&amp;($A532+15/24),tData[Langligger01],1)</f>
        <v/>
      </c>
      <c r="T532" s="20">
        <f>COUNTIFS(tData[SEHTrajectPeriodeDatumTijdVan],"&lt;="&amp;($A532+16/24),tData[SEHTrajectPeriodeDatumTijdTotEnMet],"&gt;"&amp;($A532+16/24),tData[Langligger01],1)</f>
        <v/>
      </c>
      <c r="U532" s="20">
        <f>COUNTIFS(tData[SEHTrajectPeriodeDatumTijdVan],"&lt;="&amp;($A532+17/24),tData[SEHTrajectPeriodeDatumTijdTotEnMet],"&gt;"&amp;($A532+17/24),tData[Langligger01],1)</f>
        <v/>
      </c>
      <c r="V532" s="20">
        <f>COUNTIFS(tData[SEHTrajectPeriodeDatumTijdVan],"&lt;="&amp;($A532+18/24),tData[SEHTrajectPeriodeDatumTijdTotEnMet],"&gt;"&amp;($A532+18/24),tData[Langligger01],1)</f>
        <v/>
      </c>
      <c r="W532" s="20">
        <f>COUNTIFS(tData[SEHTrajectPeriodeDatumTijdVan],"&lt;="&amp;($A532+19/24),tData[SEHTrajectPeriodeDatumTijdTotEnMet],"&gt;"&amp;($A532+19/24),tData[Langligger01],1)</f>
        <v/>
      </c>
      <c r="X532" s="20">
        <f>COUNTIFS(tData[SEHTrajectPeriodeDatumTijdVan],"&lt;="&amp;($A532+20/24),tData[SEHTrajectPeriodeDatumTijdTotEnMet],"&gt;"&amp;($A532+20/24),tData[Langligger01],1)</f>
        <v/>
      </c>
      <c r="Y532" s="20">
        <f>COUNTIFS(tData[SEHTrajectPeriodeDatumTijdVan],"&lt;="&amp;($A532+21/24),tData[SEHTrajectPeriodeDatumTijdTotEnMet],"&gt;"&amp;($A532+21/24),tData[Langligger01],1)</f>
        <v/>
      </c>
      <c r="Z532" s="20">
        <f>COUNTIFS(tData[SEHTrajectPeriodeDatumTijdVan],"&lt;="&amp;($A532+22/24),tData[SEHTrajectPeriodeDatumTijdTotEnMet],"&gt;"&amp;($A532+22/24),tData[Langligger01],1)</f>
        <v/>
      </c>
      <c r="AA532" s="20">
        <f>COUNTIFS(tData[SEHTrajectPeriodeDatumTijdVan],"&lt;="&amp;($A532+23/24),tData[SEHTrajectPeriodeDatumTijdTotEnMet],"&gt;"&amp;($A532+23/24),tData[Langligger01],1)</f>
        <v/>
      </c>
    </row>
    <row r="533">
      <c r="A533" s="19" t="n">
        <v>45821</v>
      </c>
      <c r="B533" s="15">
        <f>WEEKDAY($A533,2)</f>
        <v/>
      </c>
      <c r="C533" s="15">
        <f>IF(AND($A533&gt;=INT(Instellingen!$B$5),$A533&lt;=INT(Instellingen!$B$6)),1,0)</f>
        <v/>
      </c>
      <c r="D533" s="20">
        <f>COUNTIFS(tData[SEHTrajectPeriodeDatumTijdVan],"&lt;="&amp;($A533+0/24),tData[SEHTrajectPeriodeDatumTijdTotEnMet],"&gt;"&amp;($A533+0/24),tData[Langligger01],1)</f>
        <v/>
      </c>
      <c r="E533" s="20">
        <f>COUNTIFS(tData[SEHTrajectPeriodeDatumTijdVan],"&lt;="&amp;($A533+1/24),tData[SEHTrajectPeriodeDatumTijdTotEnMet],"&gt;"&amp;($A533+1/24),tData[Langligger01],1)</f>
        <v/>
      </c>
      <c r="F533" s="20">
        <f>COUNTIFS(tData[SEHTrajectPeriodeDatumTijdVan],"&lt;="&amp;($A533+2/24),tData[SEHTrajectPeriodeDatumTijdTotEnMet],"&gt;"&amp;($A533+2/24),tData[Langligger01],1)</f>
        <v/>
      </c>
      <c r="G533" s="20">
        <f>COUNTIFS(tData[SEHTrajectPeriodeDatumTijdVan],"&lt;="&amp;($A533+3/24),tData[SEHTrajectPeriodeDatumTijdTotEnMet],"&gt;"&amp;($A533+3/24),tData[Langligger01],1)</f>
        <v/>
      </c>
      <c r="H533" s="20">
        <f>COUNTIFS(tData[SEHTrajectPeriodeDatumTijdVan],"&lt;="&amp;($A533+4/24),tData[SEHTrajectPeriodeDatumTijdTotEnMet],"&gt;"&amp;($A533+4/24),tData[Langligger01],1)</f>
        <v/>
      </c>
      <c r="I533" s="20">
        <f>COUNTIFS(tData[SEHTrajectPeriodeDatumTijdVan],"&lt;="&amp;($A533+5/24),tData[SEHTrajectPeriodeDatumTijdTotEnMet],"&gt;"&amp;($A533+5/24),tData[Langligger01],1)</f>
        <v/>
      </c>
      <c r="J533" s="20">
        <f>COUNTIFS(tData[SEHTrajectPeriodeDatumTijdVan],"&lt;="&amp;($A533+6/24),tData[SEHTrajectPeriodeDatumTijdTotEnMet],"&gt;"&amp;($A533+6/24),tData[Langligger01],1)</f>
        <v/>
      </c>
      <c r="K533" s="20">
        <f>COUNTIFS(tData[SEHTrajectPeriodeDatumTijdVan],"&lt;="&amp;($A533+7/24),tData[SEHTrajectPeriodeDatumTijdTotEnMet],"&gt;"&amp;($A533+7/24),tData[Langligger01],1)</f>
        <v/>
      </c>
      <c r="L533" s="20">
        <f>COUNTIFS(tData[SEHTrajectPeriodeDatumTijdVan],"&lt;="&amp;($A533+8/24),tData[SEHTrajectPeriodeDatumTijdTotEnMet],"&gt;"&amp;($A533+8/24),tData[Langligger01],1)</f>
        <v/>
      </c>
      <c r="M533" s="20">
        <f>COUNTIFS(tData[SEHTrajectPeriodeDatumTijdVan],"&lt;="&amp;($A533+9/24),tData[SEHTrajectPeriodeDatumTijdTotEnMet],"&gt;"&amp;($A533+9/24),tData[Langligger01],1)</f>
        <v/>
      </c>
      <c r="N533" s="20">
        <f>COUNTIFS(tData[SEHTrajectPeriodeDatumTijdVan],"&lt;="&amp;($A533+10/24),tData[SEHTrajectPeriodeDatumTijdTotEnMet],"&gt;"&amp;($A533+10/24),tData[Langligger01],1)</f>
        <v/>
      </c>
      <c r="O533" s="20">
        <f>COUNTIFS(tData[SEHTrajectPeriodeDatumTijdVan],"&lt;="&amp;($A533+11/24),tData[SEHTrajectPeriodeDatumTijdTotEnMet],"&gt;"&amp;($A533+11/24),tData[Langligger01],1)</f>
        <v/>
      </c>
      <c r="P533" s="20">
        <f>COUNTIFS(tData[SEHTrajectPeriodeDatumTijdVan],"&lt;="&amp;($A533+12/24),tData[SEHTrajectPeriodeDatumTijdTotEnMet],"&gt;"&amp;($A533+12/24),tData[Langligger01],1)</f>
        <v/>
      </c>
      <c r="Q533" s="20">
        <f>COUNTIFS(tData[SEHTrajectPeriodeDatumTijdVan],"&lt;="&amp;($A533+13/24),tData[SEHTrajectPeriodeDatumTijdTotEnMet],"&gt;"&amp;($A533+13/24),tData[Langligger01],1)</f>
        <v/>
      </c>
      <c r="R533" s="20">
        <f>COUNTIFS(tData[SEHTrajectPeriodeDatumTijdVan],"&lt;="&amp;($A533+14/24),tData[SEHTrajectPeriodeDatumTijdTotEnMet],"&gt;"&amp;($A533+14/24),tData[Langligger01],1)</f>
        <v/>
      </c>
      <c r="S533" s="20">
        <f>COUNTIFS(tData[SEHTrajectPeriodeDatumTijdVan],"&lt;="&amp;($A533+15/24),tData[SEHTrajectPeriodeDatumTijdTotEnMet],"&gt;"&amp;($A533+15/24),tData[Langligger01],1)</f>
        <v/>
      </c>
      <c r="T533" s="20">
        <f>COUNTIFS(tData[SEHTrajectPeriodeDatumTijdVan],"&lt;="&amp;($A533+16/24),tData[SEHTrajectPeriodeDatumTijdTotEnMet],"&gt;"&amp;($A533+16/24),tData[Langligger01],1)</f>
        <v/>
      </c>
      <c r="U533" s="20">
        <f>COUNTIFS(tData[SEHTrajectPeriodeDatumTijdVan],"&lt;="&amp;($A533+17/24),tData[SEHTrajectPeriodeDatumTijdTotEnMet],"&gt;"&amp;($A533+17/24),tData[Langligger01],1)</f>
        <v/>
      </c>
      <c r="V533" s="20">
        <f>COUNTIFS(tData[SEHTrajectPeriodeDatumTijdVan],"&lt;="&amp;($A533+18/24),tData[SEHTrajectPeriodeDatumTijdTotEnMet],"&gt;"&amp;($A533+18/24),tData[Langligger01],1)</f>
        <v/>
      </c>
      <c r="W533" s="20">
        <f>COUNTIFS(tData[SEHTrajectPeriodeDatumTijdVan],"&lt;="&amp;($A533+19/24),tData[SEHTrajectPeriodeDatumTijdTotEnMet],"&gt;"&amp;($A533+19/24),tData[Langligger01],1)</f>
        <v/>
      </c>
      <c r="X533" s="20">
        <f>COUNTIFS(tData[SEHTrajectPeriodeDatumTijdVan],"&lt;="&amp;($A533+20/24),tData[SEHTrajectPeriodeDatumTijdTotEnMet],"&gt;"&amp;($A533+20/24),tData[Langligger01],1)</f>
        <v/>
      </c>
      <c r="Y533" s="20">
        <f>COUNTIFS(tData[SEHTrajectPeriodeDatumTijdVan],"&lt;="&amp;($A533+21/24),tData[SEHTrajectPeriodeDatumTijdTotEnMet],"&gt;"&amp;($A533+21/24),tData[Langligger01],1)</f>
        <v/>
      </c>
      <c r="Z533" s="20">
        <f>COUNTIFS(tData[SEHTrajectPeriodeDatumTijdVan],"&lt;="&amp;($A533+22/24),tData[SEHTrajectPeriodeDatumTijdTotEnMet],"&gt;"&amp;($A533+22/24),tData[Langligger01],1)</f>
        <v/>
      </c>
      <c r="AA533" s="20">
        <f>COUNTIFS(tData[SEHTrajectPeriodeDatumTijdVan],"&lt;="&amp;($A533+23/24),tData[SEHTrajectPeriodeDatumTijdTotEnMet],"&gt;"&amp;($A533+23/24),tData[Langligger01],1)</f>
        <v/>
      </c>
    </row>
    <row r="534">
      <c r="A534" s="19" t="n">
        <v>45822</v>
      </c>
      <c r="B534" s="15">
        <f>WEEKDAY($A534,2)</f>
        <v/>
      </c>
      <c r="C534" s="15">
        <f>IF(AND($A534&gt;=INT(Instellingen!$B$5),$A534&lt;=INT(Instellingen!$B$6)),1,0)</f>
        <v/>
      </c>
      <c r="D534" s="20">
        <f>COUNTIFS(tData[SEHTrajectPeriodeDatumTijdVan],"&lt;="&amp;($A534+0/24),tData[SEHTrajectPeriodeDatumTijdTotEnMet],"&gt;"&amp;($A534+0/24),tData[Langligger01],1)</f>
        <v/>
      </c>
      <c r="E534" s="20">
        <f>COUNTIFS(tData[SEHTrajectPeriodeDatumTijdVan],"&lt;="&amp;($A534+1/24),tData[SEHTrajectPeriodeDatumTijdTotEnMet],"&gt;"&amp;($A534+1/24),tData[Langligger01],1)</f>
        <v/>
      </c>
      <c r="F534" s="20">
        <f>COUNTIFS(tData[SEHTrajectPeriodeDatumTijdVan],"&lt;="&amp;($A534+2/24),tData[SEHTrajectPeriodeDatumTijdTotEnMet],"&gt;"&amp;($A534+2/24),tData[Langligger01],1)</f>
        <v/>
      </c>
      <c r="G534" s="20">
        <f>COUNTIFS(tData[SEHTrajectPeriodeDatumTijdVan],"&lt;="&amp;($A534+3/24),tData[SEHTrajectPeriodeDatumTijdTotEnMet],"&gt;"&amp;($A534+3/24),tData[Langligger01],1)</f>
        <v/>
      </c>
      <c r="H534" s="20">
        <f>COUNTIFS(tData[SEHTrajectPeriodeDatumTijdVan],"&lt;="&amp;($A534+4/24),tData[SEHTrajectPeriodeDatumTijdTotEnMet],"&gt;"&amp;($A534+4/24),tData[Langligger01],1)</f>
        <v/>
      </c>
      <c r="I534" s="20">
        <f>COUNTIFS(tData[SEHTrajectPeriodeDatumTijdVan],"&lt;="&amp;($A534+5/24),tData[SEHTrajectPeriodeDatumTijdTotEnMet],"&gt;"&amp;($A534+5/24),tData[Langligger01],1)</f>
        <v/>
      </c>
      <c r="J534" s="20">
        <f>COUNTIFS(tData[SEHTrajectPeriodeDatumTijdVan],"&lt;="&amp;($A534+6/24),tData[SEHTrajectPeriodeDatumTijdTotEnMet],"&gt;"&amp;($A534+6/24),tData[Langligger01],1)</f>
        <v/>
      </c>
      <c r="K534" s="20">
        <f>COUNTIFS(tData[SEHTrajectPeriodeDatumTijdVan],"&lt;="&amp;($A534+7/24),tData[SEHTrajectPeriodeDatumTijdTotEnMet],"&gt;"&amp;($A534+7/24),tData[Langligger01],1)</f>
        <v/>
      </c>
      <c r="L534" s="20">
        <f>COUNTIFS(tData[SEHTrajectPeriodeDatumTijdVan],"&lt;="&amp;($A534+8/24),tData[SEHTrajectPeriodeDatumTijdTotEnMet],"&gt;"&amp;($A534+8/24),tData[Langligger01],1)</f>
        <v/>
      </c>
      <c r="M534" s="20">
        <f>COUNTIFS(tData[SEHTrajectPeriodeDatumTijdVan],"&lt;="&amp;($A534+9/24),tData[SEHTrajectPeriodeDatumTijdTotEnMet],"&gt;"&amp;($A534+9/24),tData[Langligger01],1)</f>
        <v/>
      </c>
      <c r="N534" s="20">
        <f>COUNTIFS(tData[SEHTrajectPeriodeDatumTijdVan],"&lt;="&amp;($A534+10/24),tData[SEHTrajectPeriodeDatumTijdTotEnMet],"&gt;"&amp;($A534+10/24),tData[Langligger01],1)</f>
        <v/>
      </c>
      <c r="O534" s="20">
        <f>COUNTIFS(tData[SEHTrajectPeriodeDatumTijdVan],"&lt;="&amp;($A534+11/24),tData[SEHTrajectPeriodeDatumTijdTotEnMet],"&gt;"&amp;($A534+11/24),tData[Langligger01],1)</f>
        <v/>
      </c>
      <c r="P534" s="20">
        <f>COUNTIFS(tData[SEHTrajectPeriodeDatumTijdVan],"&lt;="&amp;($A534+12/24),tData[SEHTrajectPeriodeDatumTijdTotEnMet],"&gt;"&amp;($A534+12/24),tData[Langligger01],1)</f>
        <v/>
      </c>
      <c r="Q534" s="20">
        <f>COUNTIFS(tData[SEHTrajectPeriodeDatumTijdVan],"&lt;="&amp;($A534+13/24),tData[SEHTrajectPeriodeDatumTijdTotEnMet],"&gt;"&amp;($A534+13/24),tData[Langligger01],1)</f>
        <v/>
      </c>
      <c r="R534" s="20">
        <f>COUNTIFS(tData[SEHTrajectPeriodeDatumTijdVan],"&lt;="&amp;($A534+14/24),tData[SEHTrajectPeriodeDatumTijdTotEnMet],"&gt;"&amp;($A534+14/24),tData[Langligger01],1)</f>
        <v/>
      </c>
      <c r="S534" s="20">
        <f>COUNTIFS(tData[SEHTrajectPeriodeDatumTijdVan],"&lt;="&amp;($A534+15/24),tData[SEHTrajectPeriodeDatumTijdTotEnMet],"&gt;"&amp;($A534+15/24),tData[Langligger01],1)</f>
        <v/>
      </c>
      <c r="T534" s="20">
        <f>COUNTIFS(tData[SEHTrajectPeriodeDatumTijdVan],"&lt;="&amp;($A534+16/24),tData[SEHTrajectPeriodeDatumTijdTotEnMet],"&gt;"&amp;($A534+16/24),tData[Langligger01],1)</f>
        <v/>
      </c>
      <c r="U534" s="20">
        <f>COUNTIFS(tData[SEHTrajectPeriodeDatumTijdVan],"&lt;="&amp;($A534+17/24),tData[SEHTrajectPeriodeDatumTijdTotEnMet],"&gt;"&amp;($A534+17/24),tData[Langligger01],1)</f>
        <v/>
      </c>
      <c r="V534" s="20">
        <f>COUNTIFS(tData[SEHTrajectPeriodeDatumTijdVan],"&lt;="&amp;($A534+18/24),tData[SEHTrajectPeriodeDatumTijdTotEnMet],"&gt;"&amp;($A534+18/24),tData[Langligger01],1)</f>
        <v/>
      </c>
      <c r="W534" s="20">
        <f>COUNTIFS(tData[SEHTrajectPeriodeDatumTijdVan],"&lt;="&amp;($A534+19/24),tData[SEHTrajectPeriodeDatumTijdTotEnMet],"&gt;"&amp;($A534+19/24),tData[Langligger01],1)</f>
        <v/>
      </c>
      <c r="X534" s="20">
        <f>COUNTIFS(tData[SEHTrajectPeriodeDatumTijdVan],"&lt;="&amp;($A534+20/24),tData[SEHTrajectPeriodeDatumTijdTotEnMet],"&gt;"&amp;($A534+20/24),tData[Langligger01],1)</f>
        <v/>
      </c>
      <c r="Y534" s="20">
        <f>COUNTIFS(tData[SEHTrajectPeriodeDatumTijdVan],"&lt;="&amp;($A534+21/24),tData[SEHTrajectPeriodeDatumTijdTotEnMet],"&gt;"&amp;($A534+21/24),tData[Langligger01],1)</f>
        <v/>
      </c>
      <c r="Z534" s="20">
        <f>COUNTIFS(tData[SEHTrajectPeriodeDatumTijdVan],"&lt;="&amp;($A534+22/24),tData[SEHTrajectPeriodeDatumTijdTotEnMet],"&gt;"&amp;($A534+22/24),tData[Langligger01],1)</f>
        <v/>
      </c>
      <c r="AA534" s="20">
        <f>COUNTIFS(tData[SEHTrajectPeriodeDatumTijdVan],"&lt;="&amp;($A534+23/24),tData[SEHTrajectPeriodeDatumTijdTotEnMet],"&gt;"&amp;($A534+23/24),tData[Langligger01],1)</f>
        <v/>
      </c>
    </row>
    <row r="535">
      <c r="A535" s="19" t="n">
        <v>45823</v>
      </c>
      <c r="B535" s="15">
        <f>WEEKDAY($A535,2)</f>
        <v/>
      </c>
      <c r="C535" s="15">
        <f>IF(AND($A535&gt;=INT(Instellingen!$B$5),$A535&lt;=INT(Instellingen!$B$6)),1,0)</f>
        <v/>
      </c>
      <c r="D535" s="20">
        <f>COUNTIFS(tData[SEHTrajectPeriodeDatumTijdVan],"&lt;="&amp;($A535+0/24),tData[SEHTrajectPeriodeDatumTijdTotEnMet],"&gt;"&amp;($A535+0/24),tData[Langligger01],1)</f>
        <v/>
      </c>
      <c r="E535" s="20">
        <f>COUNTIFS(tData[SEHTrajectPeriodeDatumTijdVan],"&lt;="&amp;($A535+1/24),tData[SEHTrajectPeriodeDatumTijdTotEnMet],"&gt;"&amp;($A535+1/24),tData[Langligger01],1)</f>
        <v/>
      </c>
      <c r="F535" s="20">
        <f>COUNTIFS(tData[SEHTrajectPeriodeDatumTijdVan],"&lt;="&amp;($A535+2/24),tData[SEHTrajectPeriodeDatumTijdTotEnMet],"&gt;"&amp;($A535+2/24),tData[Langligger01],1)</f>
        <v/>
      </c>
      <c r="G535" s="20">
        <f>COUNTIFS(tData[SEHTrajectPeriodeDatumTijdVan],"&lt;="&amp;($A535+3/24),tData[SEHTrajectPeriodeDatumTijdTotEnMet],"&gt;"&amp;($A535+3/24),tData[Langligger01],1)</f>
        <v/>
      </c>
      <c r="H535" s="20">
        <f>COUNTIFS(tData[SEHTrajectPeriodeDatumTijdVan],"&lt;="&amp;($A535+4/24),tData[SEHTrajectPeriodeDatumTijdTotEnMet],"&gt;"&amp;($A535+4/24),tData[Langligger01],1)</f>
        <v/>
      </c>
      <c r="I535" s="20">
        <f>COUNTIFS(tData[SEHTrajectPeriodeDatumTijdVan],"&lt;="&amp;($A535+5/24),tData[SEHTrajectPeriodeDatumTijdTotEnMet],"&gt;"&amp;($A535+5/24),tData[Langligger01],1)</f>
        <v/>
      </c>
      <c r="J535" s="20">
        <f>COUNTIFS(tData[SEHTrajectPeriodeDatumTijdVan],"&lt;="&amp;($A535+6/24),tData[SEHTrajectPeriodeDatumTijdTotEnMet],"&gt;"&amp;($A535+6/24),tData[Langligger01],1)</f>
        <v/>
      </c>
      <c r="K535" s="20">
        <f>COUNTIFS(tData[SEHTrajectPeriodeDatumTijdVan],"&lt;="&amp;($A535+7/24),tData[SEHTrajectPeriodeDatumTijdTotEnMet],"&gt;"&amp;($A535+7/24),tData[Langligger01],1)</f>
        <v/>
      </c>
      <c r="L535" s="20">
        <f>COUNTIFS(tData[SEHTrajectPeriodeDatumTijdVan],"&lt;="&amp;($A535+8/24),tData[SEHTrajectPeriodeDatumTijdTotEnMet],"&gt;"&amp;($A535+8/24),tData[Langligger01],1)</f>
        <v/>
      </c>
      <c r="M535" s="20">
        <f>COUNTIFS(tData[SEHTrajectPeriodeDatumTijdVan],"&lt;="&amp;($A535+9/24),tData[SEHTrajectPeriodeDatumTijdTotEnMet],"&gt;"&amp;($A535+9/24),tData[Langligger01],1)</f>
        <v/>
      </c>
      <c r="N535" s="20">
        <f>COUNTIFS(tData[SEHTrajectPeriodeDatumTijdVan],"&lt;="&amp;($A535+10/24),tData[SEHTrajectPeriodeDatumTijdTotEnMet],"&gt;"&amp;($A535+10/24),tData[Langligger01],1)</f>
        <v/>
      </c>
      <c r="O535" s="20">
        <f>COUNTIFS(tData[SEHTrajectPeriodeDatumTijdVan],"&lt;="&amp;($A535+11/24),tData[SEHTrajectPeriodeDatumTijdTotEnMet],"&gt;"&amp;($A535+11/24),tData[Langligger01],1)</f>
        <v/>
      </c>
      <c r="P535" s="20">
        <f>COUNTIFS(tData[SEHTrajectPeriodeDatumTijdVan],"&lt;="&amp;($A535+12/24),tData[SEHTrajectPeriodeDatumTijdTotEnMet],"&gt;"&amp;($A535+12/24),tData[Langligger01],1)</f>
        <v/>
      </c>
      <c r="Q535" s="20">
        <f>COUNTIFS(tData[SEHTrajectPeriodeDatumTijdVan],"&lt;="&amp;($A535+13/24),tData[SEHTrajectPeriodeDatumTijdTotEnMet],"&gt;"&amp;($A535+13/24),tData[Langligger01],1)</f>
        <v/>
      </c>
      <c r="R535" s="20">
        <f>COUNTIFS(tData[SEHTrajectPeriodeDatumTijdVan],"&lt;="&amp;($A535+14/24),tData[SEHTrajectPeriodeDatumTijdTotEnMet],"&gt;"&amp;($A535+14/24),tData[Langligger01],1)</f>
        <v/>
      </c>
      <c r="S535" s="20">
        <f>COUNTIFS(tData[SEHTrajectPeriodeDatumTijdVan],"&lt;="&amp;($A535+15/24),tData[SEHTrajectPeriodeDatumTijdTotEnMet],"&gt;"&amp;($A535+15/24),tData[Langligger01],1)</f>
        <v/>
      </c>
      <c r="T535" s="20">
        <f>COUNTIFS(tData[SEHTrajectPeriodeDatumTijdVan],"&lt;="&amp;($A535+16/24),tData[SEHTrajectPeriodeDatumTijdTotEnMet],"&gt;"&amp;($A535+16/24),tData[Langligger01],1)</f>
        <v/>
      </c>
      <c r="U535" s="20">
        <f>COUNTIFS(tData[SEHTrajectPeriodeDatumTijdVan],"&lt;="&amp;($A535+17/24),tData[SEHTrajectPeriodeDatumTijdTotEnMet],"&gt;"&amp;($A535+17/24),tData[Langligger01],1)</f>
        <v/>
      </c>
      <c r="V535" s="20">
        <f>COUNTIFS(tData[SEHTrajectPeriodeDatumTijdVan],"&lt;="&amp;($A535+18/24),tData[SEHTrajectPeriodeDatumTijdTotEnMet],"&gt;"&amp;($A535+18/24),tData[Langligger01],1)</f>
        <v/>
      </c>
      <c r="W535" s="20">
        <f>COUNTIFS(tData[SEHTrajectPeriodeDatumTijdVan],"&lt;="&amp;($A535+19/24),tData[SEHTrajectPeriodeDatumTijdTotEnMet],"&gt;"&amp;($A535+19/24),tData[Langligger01],1)</f>
        <v/>
      </c>
      <c r="X535" s="20">
        <f>COUNTIFS(tData[SEHTrajectPeriodeDatumTijdVan],"&lt;="&amp;($A535+20/24),tData[SEHTrajectPeriodeDatumTijdTotEnMet],"&gt;"&amp;($A535+20/24),tData[Langligger01],1)</f>
        <v/>
      </c>
      <c r="Y535" s="20">
        <f>COUNTIFS(tData[SEHTrajectPeriodeDatumTijdVan],"&lt;="&amp;($A535+21/24),tData[SEHTrajectPeriodeDatumTijdTotEnMet],"&gt;"&amp;($A535+21/24),tData[Langligger01],1)</f>
        <v/>
      </c>
      <c r="Z535" s="20">
        <f>COUNTIFS(tData[SEHTrajectPeriodeDatumTijdVan],"&lt;="&amp;($A535+22/24),tData[SEHTrajectPeriodeDatumTijdTotEnMet],"&gt;"&amp;($A535+22/24),tData[Langligger01],1)</f>
        <v/>
      </c>
      <c r="AA535" s="20">
        <f>COUNTIFS(tData[SEHTrajectPeriodeDatumTijdVan],"&lt;="&amp;($A535+23/24),tData[SEHTrajectPeriodeDatumTijdTotEnMet],"&gt;"&amp;($A535+23/24),tData[Langligger01],1)</f>
        <v/>
      </c>
    </row>
    <row r="536">
      <c r="A536" s="19" t="n">
        <v>45824</v>
      </c>
      <c r="B536" s="15">
        <f>WEEKDAY($A536,2)</f>
        <v/>
      </c>
      <c r="C536" s="15">
        <f>IF(AND($A536&gt;=INT(Instellingen!$B$5),$A536&lt;=INT(Instellingen!$B$6)),1,0)</f>
        <v/>
      </c>
      <c r="D536" s="20">
        <f>COUNTIFS(tData[SEHTrajectPeriodeDatumTijdVan],"&lt;="&amp;($A536+0/24),tData[SEHTrajectPeriodeDatumTijdTotEnMet],"&gt;"&amp;($A536+0/24),tData[Langligger01],1)</f>
        <v/>
      </c>
      <c r="E536" s="20">
        <f>COUNTIFS(tData[SEHTrajectPeriodeDatumTijdVan],"&lt;="&amp;($A536+1/24),tData[SEHTrajectPeriodeDatumTijdTotEnMet],"&gt;"&amp;($A536+1/24),tData[Langligger01],1)</f>
        <v/>
      </c>
      <c r="F536" s="20">
        <f>COUNTIFS(tData[SEHTrajectPeriodeDatumTijdVan],"&lt;="&amp;($A536+2/24),tData[SEHTrajectPeriodeDatumTijdTotEnMet],"&gt;"&amp;($A536+2/24),tData[Langligger01],1)</f>
        <v/>
      </c>
      <c r="G536" s="20">
        <f>COUNTIFS(tData[SEHTrajectPeriodeDatumTijdVan],"&lt;="&amp;($A536+3/24),tData[SEHTrajectPeriodeDatumTijdTotEnMet],"&gt;"&amp;($A536+3/24),tData[Langligger01],1)</f>
        <v/>
      </c>
      <c r="H536" s="20">
        <f>COUNTIFS(tData[SEHTrajectPeriodeDatumTijdVan],"&lt;="&amp;($A536+4/24),tData[SEHTrajectPeriodeDatumTijdTotEnMet],"&gt;"&amp;($A536+4/24),tData[Langligger01],1)</f>
        <v/>
      </c>
      <c r="I536" s="20">
        <f>COUNTIFS(tData[SEHTrajectPeriodeDatumTijdVan],"&lt;="&amp;($A536+5/24),tData[SEHTrajectPeriodeDatumTijdTotEnMet],"&gt;"&amp;($A536+5/24),tData[Langligger01],1)</f>
        <v/>
      </c>
      <c r="J536" s="20">
        <f>COUNTIFS(tData[SEHTrajectPeriodeDatumTijdVan],"&lt;="&amp;($A536+6/24),tData[SEHTrajectPeriodeDatumTijdTotEnMet],"&gt;"&amp;($A536+6/24),tData[Langligger01],1)</f>
        <v/>
      </c>
      <c r="K536" s="20">
        <f>COUNTIFS(tData[SEHTrajectPeriodeDatumTijdVan],"&lt;="&amp;($A536+7/24),tData[SEHTrajectPeriodeDatumTijdTotEnMet],"&gt;"&amp;($A536+7/24),tData[Langligger01],1)</f>
        <v/>
      </c>
      <c r="L536" s="20">
        <f>COUNTIFS(tData[SEHTrajectPeriodeDatumTijdVan],"&lt;="&amp;($A536+8/24),tData[SEHTrajectPeriodeDatumTijdTotEnMet],"&gt;"&amp;($A536+8/24),tData[Langligger01],1)</f>
        <v/>
      </c>
      <c r="M536" s="20">
        <f>COUNTIFS(tData[SEHTrajectPeriodeDatumTijdVan],"&lt;="&amp;($A536+9/24),tData[SEHTrajectPeriodeDatumTijdTotEnMet],"&gt;"&amp;($A536+9/24),tData[Langligger01],1)</f>
        <v/>
      </c>
      <c r="N536" s="20">
        <f>COUNTIFS(tData[SEHTrajectPeriodeDatumTijdVan],"&lt;="&amp;($A536+10/24),tData[SEHTrajectPeriodeDatumTijdTotEnMet],"&gt;"&amp;($A536+10/24),tData[Langligger01],1)</f>
        <v/>
      </c>
      <c r="O536" s="20">
        <f>COUNTIFS(tData[SEHTrajectPeriodeDatumTijdVan],"&lt;="&amp;($A536+11/24),tData[SEHTrajectPeriodeDatumTijdTotEnMet],"&gt;"&amp;($A536+11/24),tData[Langligger01],1)</f>
        <v/>
      </c>
      <c r="P536" s="20">
        <f>COUNTIFS(tData[SEHTrajectPeriodeDatumTijdVan],"&lt;="&amp;($A536+12/24),tData[SEHTrajectPeriodeDatumTijdTotEnMet],"&gt;"&amp;($A536+12/24),tData[Langligger01],1)</f>
        <v/>
      </c>
      <c r="Q536" s="20">
        <f>COUNTIFS(tData[SEHTrajectPeriodeDatumTijdVan],"&lt;="&amp;($A536+13/24),tData[SEHTrajectPeriodeDatumTijdTotEnMet],"&gt;"&amp;($A536+13/24),tData[Langligger01],1)</f>
        <v/>
      </c>
      <c r="R536" s="20">
        <f>COUNTIFS(tData[SEHTrajectPeriodeDatumTijdVan],"&lt;="&amp;($A536+14/24),tData[SEHTrajectPeriodeDatumTijdTotEnMet],"&gt;"&amp;($A536+14/24),tData[Langligger01],1)</f>
        <v/>
      </c>
      <c r="S536" s="20">
        <f>COUNTIFS(tData[SEHTrajectPeriodeDatumTijdVan],"&lt;="&amp;($A536+15/24),tData[SEHTrajectPeriodeDatumTijdTotEnMet],"&gt;"&amp;($A536+15/24),tData[Langligger01],1)</f>
        <v/>
      </c>
      <c r="T536" s="20">
        <f>COUNTIFS(tData[SEHTrajectPeriodeDatumTijdVan],"&lt;="&amp;($A536+16/24),tData[SEHTrajectPeriodeDatumTijdTotEnMet],"&gt;"&amp;($A536+16/24),tData[Langligger01],1)</f>
        <v/>
      </c>
      <c r="U536" s="20">
        <f>COUNTIFS(tData[SEHTrajectPeriodeDatumTijdVan],"&lt;="&amp;($A536+17/24),tData[SEHTrajectPeriodeDatumTijdTotEnMet],"&gt;"&amp;($A536+17/24),tData[Langligger01],1)</f>
        <v/>
      </c>
      <c r="V536" s="20">
        <f>COUNTIFS(tData[SEHTrajectPeriodeDatumTijdVan],"&lt;="&amp;($A536+18/24),tData[SEHTrajectPeriodeDatumTijdTotEnMet],"&gt;"&amp;($A536+18/24),tData[Langligger01],1)</f>
        <v/>
      </c>
      <c r="W536" s="20">
        <f>COUNTIFS(tData[SEHTrajectPeriodeDatumTijdVan],"&lt;="&amp;($A536+19/24),tData[SEHTrajectPeriodeDatumTijdTotEnMet],"&gt;"&amp;($A536+19/24),tData[Langligger01],1)</f>
        <v/>
      </c>
      <c r="X536" s="20">
        <f>COUNTIFS(tData[SEHTrajectPeriodeDatumTijdVan],"&lt;="&amp;($A536+20/24),tData[SEHTrajectPeriodeDatumTijdTotEnMet],"&gt;"&amp;($A536+20/24),tData[Langligger01],1)</f>
        <v/>
      </c>
      <c r="Y536" s="20">
        <f>COUNTIFS(tData[SEHTrajectPeriodeDatumTijdVan],"&lt;="&amp;($A536+21/24),tData[SEHTrajectPeriodeDatumTijdTotEnMet],"&gt;"&amp;($A536+21/24),tData[Langligger01],1)</f>
        <v/>
      </c>
      <c r="Z536" s="20">
        <f>COUNTIFS(tData[SEHTrajectPeriodeDatumTijdVan],"&lt;="&amp;($A536+22/24),tData[SEHTrajectPeriodeDatumTijdTotEnMet],"&gt;"&amp;($A536+22/24),tData[Langligger01],1)</f>
        <v/>
      </c>
      <c r="AA536" s="20">
        <f>COUNTIFS(tData[SEHTrajectPeriodeDatumTijdVan],"&lt;="&amp;($A536+23/24),tData[SEHTrajectPeriodeDatumTijdTotEnMet],"&gt;"&amp;($A536+23/24),tData[Langligger01],1)</f>
        <v/>
      </c>
    </row>
    <row r="537">
      <c r="A537" s="19" t="n">
        <v>45825</v>
      </c>
      <c r="B537" s="15">
        <f>WEEKDAY($A537,2)</f>
        <v/>
      </c>
      <c r="C537" s="15">
        <f>IF(AND($A537&gt;=INT(Instellingen!$B$5),$A537&lt;=INT(Instellingen!$B$6)),1,0)</f>
        <v/>
      </c>
      <c r="D537" s="20">
        <f>COUNTIFS(tData[SEHTrajectPeriodeDatumTijdVan],"&lt;="&amp;($A537+0/24),tData[SEHTrajectPeriodeDatumTijdTotEnMet],"&gt;"&amp;($A537+0/24),tData[Langligger01],1)</f>
        <v/>
      </c>
      <c r="E537" s="20">
        <f>COUNTIFS(tData[SEHTrajectPeriodeDatumTijdVan],"&lt;="&amp;($A537+1/24),tData[SEHTrajectPeriodeDatumTijdTotEnMet],"&gt;"&amp;($A537+1/24),tData[Langligger01],1)</f>
        <v/>
      </c>
      <c r="F537" s="20">
        <f>COUNTIFS(tData[SEHTrajectPeriodeDatumTijdVan],"&lt;="&amp;($A537+2/24),tData[SEHTrajectPeriodeDatumTijdTotEnMet],"&gt;"&amp;($A537+2/24),tData[Langligger01],1)</f>
        <v/>
      </c>
      <c r="G537" s="20">
        <f>COUNTIFS(tData[SEHTrajectPeriodeDatumTijdVan],"&lt;="&amp;($A537+3/24),tData[SEHTrajectPeriodeDatumTijdTotEnMet],"&gt;"&amp;($A537+3/24),tData[Langligger01],1)</f>
        <v/>
      </c>
      <c r="H537" s="20">
        <f>COUNTIFS(tData[SEHTrajectPeriodeDatumTijdVan],"&lt;="&amp;($A537+4/24),tData[SEHTrajectPeriodeDatumTijdTotEnMet],"&gt;"&amp;($A537+4/24),tData[Langligger01],1)</f>
        <v/>
      </c>
      <c r="I537" s="20">
        <f>COUNTIFS(tData[SEHTrajectPeriodeDatumTijdVan],"&lt;="&amp;($A537+5/24),tData[SEHTrajectPeriodeDatumTijdTotEnMet],"&gt;"&amp;($A537+5/24),tData[Langligger01],1)</f>
        <v/>
      </c>
      <c r="J537" s="20">
        <f>COUNTIFS(tData[SEHTrajectPeriodeDatumTijdVan],"&lt;="&amp;($A537+6/24),tData[SEHTrajectPeriodeDatumTijdTotEnMet],"&gt;"&amp;($A537+6/24),tData[Langligger01],1)</f>
        <v/>
      </c>
      <c r="K537" s="20">
        <f>COUNTIFS(tData[SEHTrajectPeriodeDatumTijdVan],"&lt;="&amp;($A537+7/24),tData[SEHTrajectPeriodeDatumTijdTotEnMet],"&gt;"&amp;($A537+7/24),tData[Langligger01],1)</f>
        <v/>
      </c>
      <c r="L537" s="20">
        <f>COUNTIFS(tData[SEHTrajectPeriodeDatumTijdVan],"&lt;="&amp;($A537+8/24),tData[SEHTrajectPeriodeDatumTijdTotEnMet],"&gt;"&amp;($A537+8/24),tData[Langligger01],1)</f>
        <v/>
      </c>
      <c r="M537" s="20">
        <f>COUNTIFS(tData[SEHTrajectPeriodeDatumTijdVan],"&lt;="&amp;($A537+9/24),tData[SEHTrajectPeriodeDatumTijdTotEnMet],"&gt;"&amp;($A537+9/24),tData[Langligger01],1)</f>
        <v/>
      </c>
      <c r="N537" s="20">
        <f>COUNTIFS(tData[SEHTrajectPeriodeDatumTijdVan],"&lt;="&amp;($A537+10/24),tData[SEHTrajectPeriodeDatumTijdTotEnMet],"&gt;"&amp;($A537+10/24),tData[Langligger01],1)</f>
        <v/>
      </c>
      <c r="O537" s="20">
        <f>COUNTIFS(tData[SEHTrajectPeriodeDatumTijdVan],"&lt;="&amp;($A537+11/24),tData[SEHTrajectPeriodeDatumTijdTotEnMet],"&gt;"&amp;($A537+11/24),tData[Langligger01],1)</f>
        <v/>
      </c>
      <c r="P537" s="20">
        <f>COUNTIFS(tData[SEHTrajectPeriodeDatumTijdVan],"&lt;="&amp;($A537+12/24),tData[SEHTrajectPeriodeDatumTijdTotEnMet],"&gt;"&amp;($A537+12/24),tData[Langligger01],1)</f>
        <v/>
      </c>
      <c r="Q537" s="20">
        <f>COUNTIFS(tData[SEHTrajectPeriodeDatumTijdVan],"&lt;="&amp;($A537+13/24),tData[SEHTrajectPeriodeDatumTijdTotEnMet],"&gt;"&amp;($A537+13/24),tData[Langligger01],1)</f>
        <v/>
      </c>
      <c r="R537" s="20">
        <f>COUNTIFS(tData[SEHTrajectPeriodeDatumTijdVan],"&lt;="&amp;($A537+14/24),tData[SEHTrajectPeriodeDatumTijdTotEnMet],"&gt;"&amp;($A537+14/24),tData[Langligger01],1)</f>
        <v/>
      </c>
      <c r="S537" s="20">
        <f>COUNTIFS(tData[SEHTrajectPeriodeDatumTijdVan],"&lt;="&amp;($A537+15/24),tData[SEHTrajectPeriodeDatumTijdTotEnMet],"&gt;"&amp;($A537+15/24),tData[Langligger01],1)</f>
        <v/>
      </c>
      <c r="T537" s="20">
        <f>COUNTIFS(tData[SEHTrajectPeriodeDatumTijdVan],"&lt;="&amp;($A537+16/24),tData[SEHTrajectPeriodeDatumTijdTotEnMet],"&gt;"&amp;($A537+16/24),tData[Langligger01],1)</f>
        <v/>
      </c>
      <c r="U537" s="20">
        <f>COUNTIFS(tData[SEHTrajectPeriodeDatumTijdVan],"&lt;="&amp;($A537+17/24),tData[SEHTrajectPeriodeDatumTijdTotEnMet],"&gt;"&amp;($A537+17/24),tData[Langligger01],1)</f>
        <v/>
      </c>
      <c r="V537" s="20">
        <f>COUNTIFS(tData[SEHTrajectPeriodeDatumTijdVan],"&lt;="&amp;($A537+18/24),tData[SEHTrajectPeriodeDatumTijdTotEnMet],"&gt;"&amp;($A537+18/24),tData[Langligger01],1)</f>
        <v/>
      </c>
      <c r="W537" s="20">
        <f>COUNTIFS(tData[SEHTrajectPeriodeDatumTijdVan],"&lt;="&amp;($A537+19/24),tData[SEHTrajectPeriodeDatumTijdTotEnMet],"&gt;"&amp;($A537+19/24),tData[Langligger01],1)</f>
        <v/>
      </c>
      <c r="X537" s="20">
        <f>COUNTIFS(tData[SEHTrajectPeriodeDatumTijdVan],"&lt;="&amp;($A537+20/24),tData[SEHTrajectPeriodeDatumTijdTotEnMet],"&gt;"&amp;($A537+20/24),tData[Langligger01],1)</f>
        <v/>
      </c>
      <c r="Y537" s="20">
        <f>COUNTIFS(tData[SEHTrajectPeriodeDatumTijdVan],"&lt;="&amp;($A537+21/24),tData[SEHTrajectPeriodeDatumTijdTotEnMet],"&gt;"&amp;($A537+21/24),tData[Langligger01],1)</f>
        <v/>
      </c>
      <c r="Z537" s="20">
        <f>COUNTIFS(tData[SEHTrajectPeriodeDatumTijdVan],"&lt;="&amp;($A537+22/24),tData[SEHTrajectPeriodeDatumTijdTotEnMet],"&gt;"&amp;($A537+22/24),tData[Langligger01],1)</f>
        <v/>
      </c>
      <c r="AA537" s="20">
        <f>COUNTIFS(tData[SEHTrajectPeriodeDatumTijdVan],"&lt;="&amp;($A537+23/24),tData[SEHTrajectPeriodeDatumTijdTotEnMet],"&gt;"&amp;($A537+23/24),tData[Langligger01],1)</f>
        <v/>
      </c>
    </row>
    <row r="538">
      <c r="A538" s="19" t="n">
        <v>45826</v>
      </c>
      <c r="B538" s="15">
        <f>WEEKDAY($A538,2)</f>
        <v/>
      </c>
      <c r="C538" s="15">
        <f>IF(AND($A538&gt;=INT(Instellingen!$B$5),$A538&lt;=INT(Instellingen!$B$6)),1,0)</f>
        <v/>
      </c>
      <c r="D538" s="20">
        <f>COUNTIFS(tData[SEHTrajectPeriodeDatumTijdVan],"&lt;="&amp;($A538+0/24),tData[SEHTrajectPeriodeDatumTijdTotEnMet],"&gt;"&amp;($A538+0/24),tData[Langligger01],1)</f>
        <v/>
      </c>
      <c r="E538" s="20">
        <f>COUNTIFS(tData[SEHTrajectPeriodeDatumTijdVan],"&lt;="&amp;($A538+1/24),tData[SEHTrajectPeriodeDatumTijdTotEnMet],"&gt;"&amp;($A538+1/24),tData[Langligger01],1)</f>
        <v/>
      </c>
      <c r="F538" s="20">
        <f>COUNTIFS(tData[SEHTrajectPeriodeDatumTijdVan],"&lt;="&amp;($A538+2/24),tData[SEHTrajectPeriodeDatumTijdTotEnMet],"&gt;"&amp;($A538+2/24),tData[Langligger01],1)</f>
        <v/>
      </c>
      <c r="G538" s="20">
        <f>COUNTIFS(tData[SEHTrajectPeriodeDatumTijdVan],"&lt;="&amp;($A538+3/24),tData[SEHTrajectPeriodeDatumTijdTotEnMet],"&gt;"&amp;($A538+3/24),tData[Langligger01],1)</f>
        <v/>
      </c>
      <c r="H538" s="20">
        <f>COUNTIFS(tData[SEHTrajectPeriodeDatumTijdVan],"&lt;="&amp;($A538+4/24),tData[SEHTrajectPeriodeDatumTijdTotEnMet],"&gt;"&amp;($A538+4/24),tData[Langligger01],1)</f>
        <v/>
      </c>
      <c r="I538" s="20">
        <f>COUNTIFS(tData[SEHTrajectPeriodeDatumTijdVan],"&lt;="&amp;($A538+5/24),tData[SEHTrajectPeriodeDatumTijdTotEnMet],"&gt;"&amp;($A538+5/24),tData[Langligger01],1)</f>
        <v/>
      </c>
      <c r="J538" s="20">
        <f>COUNTIFS(tData[SEHTrajectPeriodeDatumTijdVan],"&lt;="&amp;($A538+6/24),tData[SEHTrajectPeriodeDatumTijdTotEnMet],"&gt;"&amp;($A538+6/24),tData[Langligger01],1)</f>
        <v/>
      </c>
      <c r="K538" s="20">
        <f>COUNTIFS(tData[SEHTrajectPeriodeDatumTijdVan],"&lt;="&amp;($A538+7/24),tData[SEHTrajectPeriodeDatumTijdTotEnMet],"&gt;"&amp;($A538+7/24),tData[Langligger01],1)</f>
        <v/>
      </c>
      <c r="L538" s="20">
        <f>COUNTIFS(tData[SEHTrajectPeriodeDatumTijdVan],"&lt;="&amp;($A538+8/24),tData[SEHTrajectPeriodeDatumTijdTotEnMet],"&gt;"&amp;($A538+8/24),tData[Langligger01],1)</f>
        <v/>
      </c>
      <c r="M538" s="20">
        <f>COUNTIFS(tData[SEHTrajectPeriodeDatumTijdVan],"&lt;="&amp;($A538+9/24),tData[SEHTrajectPeriodeDatumTijdTotEnMet],"&gt;"&amp;($A538+9/24),tData[Langligger01],1)</f>
        <v/>
      </c>
      <c r="N538" s="20">
        <f>COUNTIFS(tData[SEHTrajectPeriodeDatumTijdVan],"&lt;="&amp;($A538+10/24),tData[SEHTrajectPeriodeDatumTijdTotEnMet],"&gt;"&amp;($A538+10/24),tData[Langligger01],1)</f>
        <v/>
      </c>
      <c r="O538" s="20">
        <f>COUNTIFS(tData[SEHTrajectPeriodeDatumTijdVan],"&lt;="&amp;($A538+11/24),tData[SEHTrajectPeriodeDatumTijdTotEnMet],"&gt;"&amp;($A538+11/24),tData[Langligger01],1)</f>
        <v/>
      </c>
      <c r="P538" s="20">
        <f>COUNTIFS(tData[SEHTrajectPeriodeDatumTijdVan],"&lt;="&amp;($A538+12/24),tData[SEHTrajectPeriodeDatumTijdTotEnMet],"&gt;"&amp;($A538+12/24),tData[Langligger01],1)</f>
        <v/>
      </c>
      <c r="Q538" s="20">
        <f>COUNTIFS(tData[SEHTrajectPeriodeDatumTijdVan],"&lt;="&amp;($A538+13/24),tData[SEHTrajectPeriodeDatumTijdTotEnMet],"&gt;"&amp;($A538+13/24),tData[Langligger01],1)</f>
        <v/>
      </c>
      <c r="R538" s="20">
        <f>COUNTIFS(tData[SEHTrajectPeriodeDatumTijdVan],"&lt;="&amp;($A538+14/24),tData[SEHTrajectPeriodeDatumTijdTotEnMet],"&gt;"&amp;($A538+14/24),tData[Langligger01],1)</f>
        <v/>
      </c>
      <c r="S538" s="20">
        <f>COUNTIFS(tData[SEHTrajectPeriodeDatumTijdVan],"&lt;="&amp;($A538+15/24),tData[SEHTrajectPeriodeDatumTijdTotEnMet],"&gt;"&amp;($A538+15/24),tData[Langligger01],1)</f>
        <v/>
      </c>
      <c r="T538" s="20">
        <f>COUNTIFS(tData[SEHTrajectPeriodeDatumTijdVan],"&lt;="&amp;($A538+16/24),tData[SEHTrajectPeriodeDatumTijdTotEnMet],"&gt;"&amp;($A538+16/24),tData[Langligger01],1)</f>
        <v/>
      </c>
      <c r="U538" s="20">
        <f>COUNTIFS(tData[SEHTrajectPeriodeDatumTijdVan],"&lt;="&amp;($A538+17/24),tData[SEHTrajectPeriodeDatumTijdTotEnMet],"&gt;"&amp;($A538+17/24),tData[Langligger01],1)</f>
        <v/>
      </c>
      <c r="V538" s="20">
        <f>COUNTIFS(tData[SEHTrajectPeriodeDatumTijdVan],"&lt;="&amp;($A538+18/24),tData[SEHTrajectPeriodeDatumTijdTotEnMet],"&gt;"&amp;($A538+18/24),tData[Langligger01],1)</f>
        <v/>
      </c>
      <c r="W538" s="20">
        <f>COUNTIFS(tData[SEHTrajectPeriodeDatumTijdVan],"&lt;="&amp;($A538+19/24),tData[SEHTrajectPeriodeDatumTijdTotEnMet],"&gt;"&amp;($A538+19/24),tData[Langligger01],1)</f>
        <v/>
      </c>
      <c r="X538" s="20">
        <f>COUNTIFS(tData[SEHTrajectPeriodeDatumTijdVan],"&lt;="&amp;($A538+20/24),tData[SEHTrajectPeriodeDatumTijdTotEnMet],"&gt;"&amp;($A538+20/24),tData[Langligger01],1)</f>
        <v/>
      </c>
      <c r="Y538" s="20">
        <f>COUNTIFS(tData[SEHTrajectPeriodeDatumTijdVan],"&lt;="&amp;($A538+21/24),tData[SEHTrajectPeriodeDatumTijdTotEnMet],"&gt;"&amp;($A538+21/24),tData[Langligger01],1)</f>
        <v/>
      </c>
      <c r="Z538" s="20">
        <f>COUNTIFS(tData[SEHTrajectPeriodeDatumTijdVan],"&lt;="&amp;($A538+22/24),tData[SEHTrajectPeriodeDatumTijdTotEnMet],"&gt;"&amp;($A538+22/24),tData[Langligger01],1)</f>
        <v/>
      </c>
      <c r="AA538" s="20">
        <f>COUNTIFS(tData[SEHTrajectPeriodeDatumTijdVan],"&lt;="&amp;($A538+23/24),tData[SEHTrajectPeriodeDatumTijdTotEnMet],"&gt;"&amp;($A538+23/24),tData[Langligger01],1)</f>
        <v/>
      </c>
    </row>
    <row r="539">
      <c r="A539" s="19" t="n">
        <v>45827</v>
      </c>
      <c r="B539" s="15">
        <f>WEEKDAY($A539,2)</f>
        <v/>
      </c>
      <c r="C539" s="15">
        <f>IF(AND($A539&gt;=INT(Instellingen!$B$5),$A539&lt;=INT(Instellingen!$B$6)),1,0)</f>
        <v/>
      </c>
      <c r="D539" s="20">
        <f>COUNTIFS(tData[SEHTrajectPeriodeDatumTijdVan],"&lt;="&amp;($A539+0/24),tData[SEHTrajectPeriodeDatumTijdTotEnMet],"&gt;"&amp;($A539+0/24),tData[Langligger01],1)</f>
        <v/>
      </c>
      <c r="E539" s="20">
        <f>COUNTIFS(tData[SEHTrajectPeriodeDatumTijdVan],"&lt;="&amp;($A539+1/24),tData[SEHTrajectPeriodeDatumTijdTotEnMet],"&gt;"&amp;($A539+1/24),tData[Langligger01],1)</f>
        <v/>
      </c>
      <c r="F539" s="20">
        <f>COUNTIFS(tData[SEHTrajectPeriodeDatumTijdVan],"&lt;="&amp;($A539+2/24),tData[SEHTrajectPeriodeDatumTijdTotEnMet],"&gt;"&amp;($A539+2/24),tData[Langligger01],1)</f>
        <v/>
      </c>
      <c r="G539" s="20">
        <f>COUNTIFS(tData[SEHTrajectPeriodeDatumTijdVan],"&lt;="&amp;($A539+3/24),tData[SEHTrajectPeriodeDatumTijdTotEnMet],"&gt;"&amp;($A539+3/24),tData[Langligger01],1)</f>
        <v/>
      </c>
      <c r="H539" s="20">
        <f>COUNTIFS(tData[SEHTrajectPeriodeDatumTijdVan],"&lt;="&amp;($A539+4/24),tData[SEHTrajectPeriodeDatumTijdTotEnMet],"&gt;"&amp;($A539+4/24),tData[Langligger01],1)</f>
        <v/>
      </c>
      <c r="I539" s="20">
        <f>COUNTIFS(tData[SEHTrajectPeriodeDatumTijdVan],"&lt;="&amp;($A539+5/24),tData[SEHTrajectPeriodeDatumTijdTotEnMet],"&gt;"&amp;($A539+5/24),tData[Langligger01],1)</f>
        <v/>
      </c>
      <c r="J539" s="20">
        <f>COUNTIFS(tData[SEHTrajectPeriodeDatumTijdVan],"&lt;="&amp;($A539+6/24),tData[SEHTrajectPeriodeDatumTijdTotEnMet],"&gt;"&amp;($A539+6/24),tData[Langligger01],1)</f>
        <v/>
      </c>
      <c r="K539" s="20">
        <f>COUNTIFS(tData[SEHTrajectPeriodeDatumTijdVan],"&lt;="&amp;($A539+7/24),tData[SEHTrajectPeriodeDatumTijdTotEnMet],"&gt;"&amp;($A539+7/24),tData[Langligger01],1)</f>
        <v/>
      </c>
      <c r="L539" s="20">
        <f>COUNTIFS(tData[SEHTrajectPeriodeDatumTijdVan],"&lt;="&amp;($A539+8/24),tData[SEHTrajectPeriodeDatumTijdTotEnMet],"&gt;"&amp;($A539+8/24),tData[Langligger01],1)</f>
        <v/>
      </c>
      <c r="M539" s="20">
        <f>COUNTIFS(tData[SEHTrajectPeriodeDatumTijdVan],"&lt;="&amp;($A539+9/24),tData[SEHTrajectPeriodeDatumTijdTotEnMet],"&gt;"&amp;($A539+9/24),tData[Langligger01],1)</f>
        <v/>
      </c>
      <c r="N539" s="20">
        <f>COUNTIFS(tData[SEHTrajectPeriodeDatumTijdVan],"&lt;="&amp;($A539+10/24),tData[SEHTrajectPeriodeDatumTijdTotEnMet],"&gt;"&amp;($A539+10/24),tData[Langligger01],1)</f>
        <v/>
      </c>
      <c r="O539" s="20">
        <f>COUNTIFS(tData[SEHTrajectPeriodeDatumTijdVan],"&lt;="&amp;($A539+11/24),tData[SEHTrajectPeriodeDatumTijdTotEnMet],"&gt;"&amp;($A539+11/24),tData[Langligger01],1)</f>
        <v/>
      </c>
      <c r="P539" s="20">
        <f>COUNTIFS(tData[SEHTrajectPeriodeDatumTijdVan],"&lt;="&amp;($A539+12/24),tData[SEHTrajectPeriodeDatumTijdTotEnMet],"&gt;"&amp;($A539+12/24),tData[Langligger01],1)</f>
        <v/>
      </c>
      <c r="Q539" s="20">
        <f>COUNTIFS(tData[SEHTrajectPeriodeDatumTijdVan],"&lt;="&amp;($A539+13/24),tData[SEHTrajectPeriodeDatumTijdTotEnMet],"&gt;"&amp;($A539+13/24),tData[Langligger01],1)</f>
        <v/>
      </c>
      <c r="R539" s="20">
        <f>COUNTIFS(tData[SEHTrajectPeriodeDatumTijdVan],"&lt;="&amp;($A539+14/24),tData[SEHTrajectPeriodeDatumTijdTotEnMet],"&gt;"&amp;($A539+14/24),tData[Langligger01],1)</f>
        <v/>
      </c>
      <c r="S539" s="20">
        <f>COUNTIFS(tData[SEHTrajectPeriodeDatumTijdVan],"&lt;="&amp;($A539+15/24),tData[SEHTrajectPeriodeDatumTijdTotEnMet],"&gt;"&amp;($A539+15/24),tData[Langligger01],1)</f>
        <v/>
      </c>
      <c r="T539" s="20">
        <f>COUNTIFS(tData[SEHTrajectPeriodeDatumTijdVan],"&lt;="&amp;($A539+16/24),tData[SEHTrajectPeriodeDatumTijdTotEnMet],"&gt;"&amp;($A539+16/24),tData[Langligger01],1)</f>
        <v/>
      </c>
      <c r="U539" s="20">
        <f>COUNTIFS(tData[SEHTrajectPeriodeDatumTijdVan],"&lt;="&amp;($A539+17/24),tData[SEHTrajectPeriodeDatumTijdTotEnMet],"&gt;"&amp;($A539+17/24),tData[Langligger01],1)</f>
        <v/>
      </c>
      <c r="V539" s="20">
        <f>COUNTIFS(tData[SEHTrajectPeriodeDatumTijdVan],"&lt;="&amp;($A539+18/24),tData[SEHTrajectPeriodeDatumTijdTotEnMet],"&gt;"&amp;($A539+18/24),tData[Langligger01],1)</f>
        <v/>
      </c>
      <c r="W539" s="20">
        <f>COUNTIFS(tData[SEHTrajectPeriodeDatumTijdVan],"&lt;="&amp;($A539+19/24),tData[SEHTrajectPeriodeDatumTijdTotEnMet],"&gt;"&amp;($A539+19/24),tData[Langligger01],1)</f>
        <v/>
      </c>
      <c r="X539" s="20">
        <f>COUNTIFS(tData[SEHTrajectPeriodeDatumTijdVan],"&lt;="&amp;($A539+20/24),tData[SEHTrajectPeriodeDatumTijdTotEnMet],"&gt;"&amp;($A539+20/24),tData[Langligger01],1)</f>
        <v/>
      </c>
      <c r="Y539" s="20">
        <f>COUNTIFS(tData[SEHTrajectPeriodeDatumTijdVan],"&lt;="&amp;($A539+21/24),tData[SEHTrajectPeriodeDatumTijdTotEnMet],"&gt;"&amp;($A539+21/24),tData[Langligger01],1)</f>
        <v/>
      </c>
      <c r="Z539" s="20">
        <f>COUNTIFS(tData[SEHTrajectPeriodeDatumTijdVan],"&lt;="&amp;($A539+22/24),tData[SEHTrajectPeriodeDatumTijdTotEnMet],"&gt;"&amp;($A539+22/24),tData[Langligger01],1)</f>
        <v/>
      </c>
      <c r="AA539" s="20">
        <f>COUNTIFS(tData[SEHTrajectPeriodeDatumTijdVan],"&lt;="&amp;($A539+23/24),tData[SEHTrajectPeriodeDatumTijdTotEnMet],"&gt;"&amp;($A539+23/24),tData[Langligger01],1)</f>
        <v/>
      </c>
    </row>
    <row r="540">
      <c r="A540" s="19" t="n">
        <v>45828</v>
      </c>
      <c r="B540" s="15">
        <f>WEEKDAY($A540,2)</f>
        <v/>
      </c>
      <c r="C540" s="15">
        <f>IF(AND($A540&gt;=INT(Instellingen!$B$5),$A540&lt;=INT(Instellingen!$B$6)),1,0)</f>
        <v/>
      </c>
      <c r="D540" s="20">
        <f>COUNTIFS(tData[SEHTrajectPeriodeDatumTijdVan],"&lt;="&amp;($A540+0/24),tData[SEHTrajectPeriodeDatumTijdTotEnMet],"&gt;"&amp;($A540+0/24),tData[Langligger01],1)</f>
        <v/>
      </c>
      <c r="E540" s="20">
        <f>COUNTIFS(tData[SEHTrajectPeriodeDatumTijdVan],"&lt;="&amp;($A540+1/24),tData[SEHTrajectPeriodeDatumTijdTotEnMet],"&gt;"&amp;($A540+1/24),tData[Langligger01],1)</f>
        <v/>
      </c>
      <c r="F540" s="20">
        <f>COUNTIFS(tData[SEHTrajectPeriodeDatumTijdVan],"&lt;="&amp;($A540+2/24),tData[SEHTrajectPeriodeDatumTijdTotEnMet],"&gt;"&amp;($A540+2/24),tData[Langligger01],1)</f>
        <v/>
      </c>
      <c r="G540" s="20">
        <f>COUNTIFS(tData[SEHTrajectPeriodeDatumTijdVan],"&lt;="&amp;($A540+3/24),tData[SEHTrajectPeriodeDatumTijdTotEnMet],"&gt;"&amp;($A540+3/24),tData[Langligger01],1)</f>
        <v/>
      </c>
      <c r="H540" s="20">
        <f>COUNTIFS(tData[SEHTrajectPeriodeDatumTijdVan],"&lt;="&amp;($A540+4/24),tData[SEHTrajectPeriodeDatumTijdTotEnMet],"&gt;"&amp;($A540+4/24),tData[Langligger01],1)</f>
        <v/>
      </c>
      <c r="I540" s="20">
        <f>COUNTIFS(tData[SEHTrajectPeriodeDatumTijdVan],"&lt;="&amp;($A540+5/24),tData[SEHTrajectPeriodeDatumTijdTotEnMet],"&gt;"&amp;($A540+5/24),tData[Langligger01],1)</f>
        <v/>
      </c>
      <c r="J540" s="20">
        <f>COUNTIFS(tData[SEHTrajectPeriodeDatumTijdVan],"&lt;="&amp;($A540+6/24),tData[SEHTrajectPeriodeDatumTijdTotEnMet],"&gt;"&amp;($A540+6/24),tData[Langligger01],1)</f>
        <v/>
      </c>
      <c r="K540" s="20">
        <f>COUNTIFS(tData[SEHTrajectPeriodeDatumTijdVan],"&lt;="&amp;($A540+7/24),tData[SEHTrajectPeriodeDatumTijdTotEnMet],"&gt;"&amp;($A540+7/24),tData[Langligger01],1)</f>
        <v/>
      </c>
      <c r="L540" s="20">
        <f>COUNTIFS(tData[SEHTrajectPeriodeDatumTijdVan],"&lt;="&amp;($A540+8/24),tData[SEHTrajectPeriodeDatumTijdTotEnMet],"&gt;"&amp;($A540+8/24),tData[Langligger01],1)</f>
        <v/>
      </c>
      <c r="M540" s="20">
        <f>COUNTIFS(tData[SEHTrajectPeriodeDatumTijdVan],"&lt;="&amp;($A540+9/24),tData[SEHTrajectPeriodeDatumTijdTotEnMet],"&gt;"&amp;($A540+9/24),tData[Langligger01],1)</f>
        <v/>
      </c>
      <c r="N540" s="20">
        <f>COUNTIFS(tData[SEHTrajectPeriodeDatumTijdVan],"&lt;="&amp;($A540+10/24),tData[SEHTrajectPeriodeDatumTijdTotEnMet],"&gt;"&amp;($A540+10/24),tData[Langligger01],1)</f>
        <v/>
      </c>
      <c r="O540" s="20">
        <f>COUNTIFS(tData[SEHTrajectPeriodeDatumTijdVan],"&lt;="&amp;($A540+11/24),tData[SEHTrajectPeriodeDatumTijdTotEnMet],"&gt;"&amp;($A540+11/24),tData[Langligger01],1)</f>
        <v/>
      </c>
      <c r="P540" s="20">
        <f>COUNTIFS(tData[SEHTrajectPeriodeDatumTijdVan],"&lt;="&amp;($A540+12/24),tData[SEHTrajectPeriodeDatumTijdTotEnMet],"&gt;"&amp;($A540+12/24),tData[Langligger01],1)</f>
        <v/>
      </c>
      <c r="Q540" s="20">
        <f>COUNTIFS(tData[SEHTrajectPeriodeDatumTijdVan],"&lt;="&amp;($A540+13/24),tData[SEHTrajectPeriodeDatumTijdTotEnMet],"&gt;"&amp;($A540+13/24),tData[Langligger01],1)</f>
        <v/>
      </c>
      <c r="R540" s="20">
        <f>COUNTIFS(tData[SEHTrajectPeriodeDatumTijdVan],"&lt;="&amp;($A540+14/24),tData[SEHTrajectPeriodeDatumTijdTotEnMet],"&gt;"&amp;($A540+14/24),tData[Langligger01],1)</f>
        <v/>
      </c>
      <c r="S540" s="20">
        <f>COUNTIFS(tData[SEHTrajectPeriodeDatumTijdVan],"&lt;="&amp;($A540+15/24),tData[SEHTrajectPeriodeDatumTijdTotEnMet],"&gt;"&amp;($A540+15/24),tData[Langligger01],1)</f>
        <v/>
      </c>
      <c r="T540" s="20">
        <f>COUNTIFS(tData[SEHTrajectPeriodeDatumTijdVan],"&lt;="&amp;($A540+16/24),tData[SEHTrajectPeriodeDatumTijdTotEnMet],"&gt;"&amp;($A540+16/24),tData[Langligger01],1)</f>
        <v/>
      </c>
      <c r="U540" s="20">
        <f>COUNTIFS(tData[SEHTrajectPeriodeDatumTijdVan],"&lt;="&amp;($A540+17/24),tData[SEHTrajectPeriodeDatumTijdTotEnMet],"&gt;"&amp;($A540+17/24),tData[Langligger01],1)</f>
        <v/>
      </c>
      <c r="V540" s="20">
        <f>COUNTIFS(tData[SEHTrajectPeriodeDatumTijdVan],"&lt;="&amp;($A540+18/24),tData[SEHTrajectPeriodeDatumTijdTotEnMet],"&gt;"&amp;($A540+18/24),tData[Langligger01],1)</f>
        <v/>
      </c>
      <c r="W540" s="20">
        <f>COUNTIFS(tData[SEHTrajectPeriodeDatumTijdVan],"&lt;="&amp;($A540+19/24),tData[SEHTrajectPeriodeDatumTijdTotEnMet],"&gt;"&amp;($A540+19/24),tData[Langligger01],1)</f>
        <v/>
      </c>
      <c r="X540" s="20">
        <f>COUNTIFS(tData[SEHTrajectPeriodeDatumTijdVan],"&lt;="&amp;($A540+20/24),tData[SEHTrajectPeriodeDatumTijdTotEnMet],"&gt;"&amp;($A540+20/24),tData[Langligger01],1)</f>
        <v/>
      </c>
      <c r="Y540" s="20">
        <f>COUNTIFS(tData[SEHTrajectPeriodeDatumTijdVan],"&lt;="&amp;($A540+21/24),tData[SEHTrajectPeriodeDatumTijdTotEnMet],"&gt;"&amp;($A540+21/24),tData[Langligger01],1)</f>
        <v/>
      </c>
      <c r="Z540" s="20">
        <f>COUNTIFS(tData[SEHTrajectPeriodeDatumTijdVan],"&lt;="&amp;($A540+22/24),tData[SEHTrajectPeriodeDatumTijdTotEnMet],"&gt;"&amp;($A540+22/24),tData[Langligger01],1)</f>
        <v/>
      </c>
      <c r="AA540" s="20">
        <f>COUNTIFS(tData[SEHTrajectPeriodeDatumTijdVan],"&lt;="&amp;($A540+23/24),tData[SEHTrajectPeriodeDatumTijdTotEnMet],"&gt;"&amp;($A540+23/24),tData[Langligger01],1)</f>
        <v/>
      </c>
    </row>
    <row r="541">
      <c r="A541" s="19" t="n">
        <v>45829</v>
      </c>
      <c r="B541" s="15">
        <f>WEEKDAY($A541,2)</f>
        <v/>
      </c>
      <c r="C541" s="15">
        <f>IF(AND($A541&gt;=INT(Instellingen!$B$5),$A541&lt;=INT(Instellingen!$B$6)),1,0)</f>
        <v/>
      </c>
      <c r="D541" s="20">
        <f>COUNTIFS(tData[SEHTrajectPeriodeDatumTijdVan],"&lt;="&amp;($A541+0/24),tData[SEHTrajectPeriodeDatumTijdTotEnMet],"&gt;"&amp;($A541+0/24),tData[Langligger01],1)</f>
        <v/>
      </c>
      <c r="E541" s="20">
        <f>COUNTIFS(tData[SEHTrajectPeriodeDatumTijdVan],"&lt;="&amp;($A541+1/24),tData[SEHTrajectPeriodeDatumTijdTotEnMet],"&gt;"&amp;($A541+1/24),tData[Langligger01],1)</f>
        <v/>
      </c>
      <c r="F541" s="20">
        <f>COUNTIFS(tData[SEHTrajectPeriodeDatumTijdVan],"&lt;="&amp;($A541+2/24),tData[SEHTrajectPeriodeDatumTijdTotEnMet],"&gt;"&amp;($A541+2/24),tData[Langligger01],1)</f>
        <v/>
      </c>
      <c r="G541" s="20">
        <f>COUNTIFS(tData[SEHTrajectPeriodeDatumTijdVan],"&lt;="&amp;($A541+3/24),tData[SEHTrajectPeriodeDatumTijdTotEnMet],"&gt;"&amp;($A541+3/24),tData[Langligger01],1)</f>
        <v/>
      </c>
      <c r="H541" s="20">
        <f>COUNTIFS(tData[SEHTrajectPeriodeDatumTijdVan],"&lt;="&amp;($A541+4/24),tData[SEHTrajectPeriodeDatumTijdTotEnMet],"&gt;"&amp;($A541+4/24),tData[Langligger01],1)</f>
        <v/>
      </c>
      <c r="I541" s="20">
        <f>COUNTIFS(tData[SEHTrajectPeriodeDatumTijdVan],"&lt;="&amp;($A541+5/24),tData[SEHTrajectPeriodeDatumTijdTotEnMet],"&gt;"&amp;($A541+5/24),tData[Langligger01],1)</f>
        <v/>
      </c>
      <c r="J541" s="20">
        <f>COUNTIFS(tData[SEHTrajectPeriodeDatumTijdVan],"&lt;="&amp;($A541+6/24),tData[SEHTrajectPeriodeDatumTijdTotEnMet],"&gt;"&amp;($A541+6/24),tData[Langligger01],1)</f>
        <v/>
      </c>
      <c r="K541" s="20">
        <f>COUNTIFS(tData[SEHTrajectPeriodeDatumTijdVan],"&lt;="&amp;($A541+7/24),tData[SEHTrajectPeriodeDatumTijdTotEnMet],"&gt;"&amp;($A541+7/24),tData[Langligger01],1)</f>
        <v/>
      </c>
      <c r="L541" s="20">
        <f>COUNTIFS(tData[SEHTrajectPeriodeDatumTijdVan],"&lt;="&amp;($A541+8/24),tData[SEHTrajectPeriodeDatumTijdTotEnMet],"&gt;"&amp;($A541+8/24),tData[Langligger01],1)</f>
        <v/>
      </c>
      <c r="M541" s="20">
        <f>COUNTIFS(tData[SEHTrajectPeriodeDatumTijdVan],"&lt;="&amp;($A541+9/24),tData[SEHTrajectPeriodeDatumTijdTotEnMet],"&gt;"&amp;($A541+9/24),tData[Langligger01],1)</f>
        <v/>
      </c>
      <c r="N541" s="20">
        <f>COUNTIFS(tData[SEHTrajectPeriodeDatumTijdVan],"&lt;="&amp;($A541+10/24),tData[SEHTrajectPeriodeDatumTijdTotEnMet],"&gt;"&amp;($A541+10/24),tData[Langligger01],1)</f>
        <v/>
      </c>
      <c r="O541" s="20">
        <f>COUNTIFS(tData[SEHTrajectPeriodeDatumTijdVan],"&lt;="&amp;($A541+11/24),tData[SEHTrajectPeriodeDatumTijdTotEnMet],"&gt;"&amp;($A541+11/24),tData[Langligger01],1)</f>
        <v/>
      </c>
      <c r="P541" s="20">
        <f>COUNTIFS(tData[SEHTrajectPeriodeDatumTijdVan],"&lt;="&amp;($A541+12/24),tData[SEHTrajectPeriodeDatumTijdTotEnMet],"&gt;"&amp;($A541+12/24),tData[Langligger01],1)</f>
        <v/>
      </c>
      <c r="Q541" s="20">
        <f>COUNTIFS(tData[SEHTrajectPeriodeDatumTijdVan],"&lt;="&amp;($A541+13/24),tData[SEHTrajectPeriodeDatumTijdTotEnMet],"&gt;"&amp;($A541+13/24),tData[Langligger01],1)</f>
        <v/>
      </c>
      <c r="R541" s="20">
        <f>COUNTIFS(tData[SEHTrajectPeriodeDatumTijdVan],"&lt;="&amp;($A541+14/24),tData[SEHTrajectPeriodeDatumTijdTotEnMet],"&gt;"&amp;($A541+14/24),tData[Langligger01],1)</f>
        <v/>
      </c>
      <c r="S541" s="20">
        <f>COUNTIFS(tData[SEHTrajectPeriodeDatumTijdVan],"&lt;="&amp;($A541+15/24),tData[SEHTrajectPeriodeDatumTijdTotEnMet],"&gt;"&amp;($A541+15/24),tData[Langligger01],1)</f>
        <v/>
      </c>
      <c r="T541" s="20">
        <f>COUNTIFS(tData[SEHTrajectPeriodeDatumTijdVan],"&lt;="&amp;($A541+16/24),tData[SEHTrajectPeriodeDatumTijdTotEnMet],"&gt;"&amp;($A541+16/24),tData[Langligger01],1)</f>
        <v/>
      </c>
      <c r="U541" s="20">
        <f>COUNTIFS(tData[SEHTrajectPeriodeDatumTijdVan],"&lt;="&amp;($A541+17/24),tData[SEHTrajectPeriodeDatumTijdTotEnMet],"&gt;"&amp;($A541+17/24),tData[Langligger01],1)</f>
        <v/>
      </c>
      <c r="V541" s="20">
        <f>COUNTIFS(tData[SEHTrajectPeriodeDatumTijdVan],"&lt;="&amp;($A541+18/24),tData[SEHTrajectPeriodeDatumTijdTotEnMet],"&gt;"&amp;($A541+18/24),tData[Langligger01],1)</f>
        <v/>
      </c>
      <c r="W541" s="20">
        <f>COUNTIFS(tData[SEHTrajectPeriodeDatumTijdVan],"&lt;="&amp;($A541+19/24),tData[SEHTrajectPeriodeDatumTijdTotEnMet],"&gt;"&amp;($A541+19/24),tData[Langligger01],1)</f>
        <v/>
      </c>
      <c r="X541" s="20">
        <f>COUNTIFS(tData[SEHTrajectPeriodeDatumTijdVan],"&lt;="&amp;($A541+20/24),tData[SEHTrajectPeriodeDatumTijdTotEnMet],"&gt;"&amp;($A541+20/24),tData[Langligger01],1)</f>
        <v/>
      </c>
      <c r="Y541" s="20">
        <f>COUNTIFS(tData[SEHTrajectPeriodeDatumTijdVan],"&lt;="&amp;($A541+21/24),tData[SEHTrajectPeriodeDatumTijdTotEnMet],"&gt;"&amp;($A541+21/24),tData[Langligger01],1)</f>
        <v/>
      </c>
      <c r="Z541" s="20">
        <f>COUNTIFS(tData[SEHTrajectPeriodeDatumTijdVan],"&lt;="&amp;($A541+22/24),tData[SEHTrajectPeriodeDatumTijdTotEnMet],"&gt;"&amp;($A541+22/24),tData[Langligger01],1)</f>
        <v/>
      </c>
      <c r="AA541" s="20">
        <f>COUNTIFS(tData[SEHTrajectPeriodeDatumTijdVan],"&lt;="&amp;($A541+23/24),tData[SEHTrajectPeriodeDatumTijdTotEnMet],"&gt;"&amp;($A541+23/24),tData[Langligger01],1)</f>
        <v/>
      </c>
    </row>
    <row r="542">
      <c r="A542" s="19" t="n">
        <v>45830</v>
      </c>
      <c r="B542" s="15">
        <f>WEEKDAY($A542,2)</f>
        <v/>
      </c>
      <c r="C542" s="15">
        <f>IF(AND($A542&gt;=INT(Instellingen!$B$5),$A542&lt;=INT(Instellingen!$B$6)),1,0)</f>
        <v/>
      </c>
      <c r="D542" s="20">
        <f>COUNTIFS(tData[SEHTrajectPeriodeDatumTijdVan],"&lt;="&amp;($A542+0/24),tData[SEHTrajectPeriodeDatumTijdTotEnMet],"&gt;"&amp;($A542+0/24),tData[Langligger01],1)</f>
        <v/>
      </c>
      <c r="E542" s="20">
        <f>COUNTIFS(tData[SEHTrajectPeriodeDatumTijdVan],"&lt;="&amp;($A542+1/24),tData[SEHTrajectPeriodeDatumTijdTotEnMet],"&gt;"&amp;($A542+1/24),tData[Langligger01],1)</f>
        <v/>
      </c>
      <c r="F542" s="20">
        <f>COUNTIFS(tData[SEHTrajectPeriodeDatumTijdVan],"&lt;="&amp;($A542+2/24),tData[SEHTrajectPeriodeDatumTijdTotEnMet],"&gt;"&amp;($A542+2/24),tData[Langligger01],1)</f>
        <v/>
      </c>
      <c r="G542" s="20">
        <f>COUNTIFS(tData[SEHTrajectPeriodeDatumTijdVan],"&lt;="&amp;($A542+3/24),tData[SEHTrajectPeriodeDatumTijdTotEnMet],"&gt;"&amp;($A542+3/24),tData[Langligger01],1)</f>
        <v/>
      </c>
      <c r="H542" s="20">
        <f>COUNTIFS(tData[SEHTrajectPeriodeDatumTijdVan],"&lt;="&amp;($A542+4/24),tData[SEHTrajectPeriodeDatumTijdTotEnMet],"&gt;"&amp;($A542+4/24),tData[Langligger01],1)</f>
        <v/>
      </c>
      <c r="I542" s="20">
        <f>COUNTIFS(tData[SEHTrajectPeriodeDatumTijdVan],"&lt;="&amp;($A542+5/24),tData[SEHTrajectPeriodeDatumTijdTotEnMet],"&gt;"&amp;($A542+5/24),tData[Langligger01],1)</f>
        <v/>
      </c>
      <c r="J542" s="20">
        <f>COUNTIFS(tData[SEHTrajectPeriodeDatumTijdVan],"&lt;="&amp;($A542+6/24),tData[SEHTrajectPeriodeDatumTijdTotEnMet],"&gt;"&amp;($A542+6/24),tData[Langligger01],1)</f>
        <v/>
      </c>
      <c r="K542" s="20">
        <f>COUNTIFS(tData[SEHTrajectPeriodeDatumTijdVan],"&lt;="&amp;($A542+7/24),tData[SEHTrajectPeriodeDatumTijdTotEnMet],"&gt;"&amp;($A542+7/24),tData[Langligger01],1)</f>
        <v/>
      </c>
      <c r="L542" s="20">
        <f>COUNTIFS(tData[SEHTrajectPeriodeDatumTijdVan],"&lt;="&amp;($A542+8/24),tData[SEHTrajectPeriodeDatumTijdTotEnMet],"&gt;"&amp;($A542+8/24),tData[Langligger01],1)</f>
        <v/>
      </c>
      <c r="M542" s="20">
        <f>COUNTIFS(tData[SEHTrajectPeriodeDatumTijdVan],"&lt;="&amp;($A542+9/24),tData[SEHTrajectPeriodeDatumTijdTotEnMet],"&gt;"&amp;($A542+9/24),tData[Langligger01],1)</f>
        <v/>
      </c>
      <c r="N542" s="20">
        <f>COUNTIFS(tData[SEHTrajectPeriodeDatumTijdVan],"&lt;="&amp;($A542+10/24),tData[SEHTrajectPeriodeDatumTijdTotEnMet],"&gt;"&amp;($A542+10/24),tData[Langligger01],1)</f>
        <v/>
      </c>
      <c r="O542" s="20">
        <f>COUNTIFS(tData[SEHTrajectPeriodeDatumTijdVan],"&lt;="&amp;($A542+11/24),tData[SEHTrajectPeriodeDatumTijdTotEnMet],"&gt;"&amp;($A542+11/24),tData[Langligger01],1)</f>
        <v/>
      </c>
      <c r="P542" s="20">
        <f>COUNTIFS(tData[SEHTrajectPeriodeDatumTijdVan],"&lt;="&amp;($A542+12/24),tData[SEHTrajectPeriodeDatumTijdTotEnMet],"&gt;"&amp;($A542+12/24),tData[Langligger01],1)</f>
        <v/>
      </c>
      <c r="Q542" s="20">
        <f>COUNTIFS(tData[SEHTrajectPeriodeDatumTijdVan],"&lt;="&amp;($A542+13/24),tData[SEHTrajectPeriodeDatumTijdTotEnMet],"&gt;"&amp;($A542+13/24),tData[Langligger01],1)</f>
        <v/>
      </c>
      <c r="R542" s="20">
        <f>COUNTIFS(tData[SEHTrajectPeriodeDatumTijdVan],"&lt;="&amp;($A542+14/24),tData[SEHTrajectPeriodeDatumTijdTotEnMet],"&gt;"&amp;($A542+14/24),tData[Langligger01],1)</f>
        <v/>
      </c>
      <c r="S542" s="20">
        <f>COUNTIFS(tData[SEHTrajectPeriodeDatumTijdVan],"&lt;="&amp;($A542+15/24),tData[SEHTrajectPeriodeDatumTijdTotEnMet],"&gt;"&amp;($A542+15/24),tData[Langligger01],1)</f>
        <v/>
      </c>
      <c r="T542" s="20">
        <f>COUNTIFS(tData[SEHTrajectPeriodeDatumTijdVan],"&lt;="&amp;($A542+16/24),tData[SEHTrajectPeriodeDatumTijdTotEnMet],"&gt;"&amp;($A542+16/24),tData[Langligger01],1)</f>
        <v/>
      </c>
      <c r="U542" s="20">
        <f>COUNTIFS(tData[SEHTrajectPeriodeDatumTijdVan],"&lt;="&amp;($A542+17/24),tData[SEHTrajectPeriodeDatumTijdTotEnMet],"&gt;"&amp;($A542+17/24),tData[Langligger01],1)</f>
        <v/>
      </c>
      <c r="V542" s="20">
        <f>COUNTIFS(tData[SEHTrajectPeriodeDatumTijdVan],"&lt;="&amp;($A542+18/24),tData[SEHTrajectPeriodeDatumTijdTotEnMet],"&gt;"&amp;($A542+18/24),tData[Langligger01],1)</f>
        <v/>
      </c>
      <c r="W542" s="20">
        <f>COUNTIFS(tData[SEHTrajectPeriodeDatumTijdVan],"&lt;="&amp;($A542+19/24),tData[SEHTrajectPeriodeDatumTijdTotEnMet],"&gt;"&amp;($A542+19/24),tData[Langligger01],1)</f>
        <v/>
      </c>
      <c r="X542" s="20">
        <f>COUNTIFS(tData[SEHTrajectPeriodeDatumTijdVan],"&lt;="&amp;($A542+20/24),tData[SEHTrajectPeriodeDatumTijdTotEnMet],"&gt;"&amp;($A542+20/24),tData[Langligger01],1)</f>
        <v/>
      </c>
      <c r="Y542" s="20">
        <f>COUNTIFS(tData[SEHTrajectPeriodeDatumTijdVan],"&lt;="&amp;($A542+21/24),tData[SEHTrajectPeriodeDatumTijdTotEnMet],"&gt;"&amp;($A542+21/24),tData[Langligger01],1)</f>
        <v/>
      </c>
      <c r="Z542" s="20">
        <f>COUNTIFS(tData[SEHTrajectPeriodeDatumTijdVan],"&lt;="&amp;($A542+22/24),tData[SEHTrajectPeriodeDatumTijdTotEnMet],"&gt;"&amp;($A542+22/24),tData[Langligger01],1)</f>
        <v/>
      </c>
      <c r="AA542" s="20">
        <f>COUNTIFS(tData[SEHTrajectPeriodeDatumTijdVan],"&lt;="&amp;($A542+23/24),tData[SEHTrajectPeriodeDatumTijdTotEnMet],"&gt;"&amp;($A542+23/24),tData[Langligger01],1)</f>
        <v/>
      </c>
    </row>
    <row r="543">
      <c r="A543" s="19" t="n">
        <v>45831</v>
      </c>
      <c r="B543" s="15">
        <f>WEEKDAY($A543,2)</f>
        <v/>
      </c>
      <c r="C543" s="15">
        <f>IF(AND($A543&gt;=INT(Instellingen!$B$5),$A543&lt;=INT(Instellingen!$B$6)),1,0)</f>
        <v/>
      </c>
      <c r="D543" s="20">
        <f>COUNTIFS(tData[SEHTrajectPeriodeDatumTijdVan],"&lt;="&amp;($A543+0/24),tData[SEHTrajectPeriodeDatumTijdTotEnMet],"&gt;"&amp;($A543+0/24),tData[Langligger01],1)</f>
        <v/>
      </c>
      <c r="E543" s="20">
        <f>COUNTIFS(tData[SEHTrajectPeriodeDatumTijdVan],"&lt;="&amp;($A543+1/24),tData[SEHTrajectPeriodeDatumTijdTotEnMet],"&gt;"&amp;($A543+1/24),tData[Langligger01],1)</f>
        <v/>
      </c>
      <c r="F543" s="20">
        <f>COUNTIFS(tData[SEHTrajectPeriodeDatumTijdVan],"&lt;="&amp;($A543+2/24),tData[SEHTrajectPeriodeDatumTijdTotEnMet],"&gt;"&amp;($A543+2/24),tData[Langligger01],1)</f>
        <v/>
      </c>
      <c r="G543" s="20">
        <f>COUNTIFS(tData[SEHTrajectPeriodeDatumTijdVan],"&lt;="&amp;($A543+3/24),tData[SEHTrajectPeriodeDatumTijdTotEnMet],"&gt;"&amp;($A543+3/24),tData[Langligger01],1)</f>
        <v/>
      </c>
      <c r="H543" s="20">
        <f>COUNTIFS(tData[SEHTrajectPeriodeDatumTijdVan],"&lt;="&amp;($A543+4/24),tData[SEHTrajectPeriodeDatumTijdTotEnMet],"&gt;"&amp;($A543+4/24),tData[Langligger01],1)</f>
        <v/>
      </c>
      <c r="I543" s="20">
        <f>COUNTIFS(tData[SEHTrajectPeriodeDatumTijdVan],"&lt;="&amp;($A543+5/24),tData[SEHTrajectPeriodeDatumTijdTotEnMet],"&gt;"&amp;($A543+5/24),tData[Langligger01],1)</f>
        <v/>
      </c>
      <c r="J543" s="20">
        <f>COUNTIFS(tData[SEHTrajectPeriodeDatumTijdVan],"&lt;="&amp;($A543+6/24),tData[SEHTrajectPeriodeDatumTijdTotEnMet],"&gt;"&amp;($A543+6/24),tData[Langligger01],1)</f>
        <v/>
      </c>
      <c r="K543" s="20">
        <f>COUNTIFS(tData[SEHTrajectPeriodeDatumTijdVan],"&lt;="&amp;($A543+7/24),tData[SEHTrajectPeriodeDatumTijdTotEnMet],"&gt;"&amp;($A543+7/24),tData[Langligger01],1)</f>
        <v/>
      </c>
      <c r="L543" s="20">
        <f>COUNTIFS(tData[SEHTrajectPeriodeDatumTijdVan],"&lt;="&amp;($A543+8/24),tData[SEHTrajectPeriodeDatumTijdTotEnMet],"&gt;"&amp;($A543+8/24),tData[Langligger01],1)</f>
        <v/>
      </c>
      <c r="M543" s="20">
        <f>COUNTIFS(tData[SEHTrajectPeriodeDatumTijdVan],"&lt;="&amp;($A543+9/24),tData[SEHTrajectPeriodeDatumTijdTotEnMet],"&gt;"&amp;($A543+9/24),tData[Langligger01],1)</f>
        <v/>
      </c>
      <c r="N543" s="20">
        <f>COUNTIFS(tData[SEHTrajectPeriodeDatumTijdVan],"&lt;="&amp;($A543+10/24),tData[SEHTrajectPeriodeDatumTijdTotEnMet],"&gt;"&amp;($A543+10/24),tData[Langligger01],1)</f>
        <v/>
      </c>
      <c r="O543" s="20">
        <f>COUNTIFS(tData[SEHTrajectPeriodeDatumTijdVan],"&lt;="&amp;($A543+11/24),tData[SEHTrajectPeriodeDatumTijdTotEnMet],"&gt;"&amp;($A543+11/24),tData[Langligger01],1)</f>
        <v/>
      </c>
      <c r="P543" s="20">
        <f>COUNTIFS(tData[SEHTrajectPeriodeDatumTijdVan],"&lt;="&amp;($A543+12/24),tData[SEHTrajectPeriodeDatumTijdTotEnMet],"&gt;"&amp;($A543+12/24),tData[Langligger01],1)</f>
        <v/>
      </c>
      <c r="Q543" s="20">
        <f>COUNTIFS(tData[SEHTrajectPeriodeDatumTijdVan],"&lt;="&amp;($A543+13/24),tData[SEHTrajectPeriodeDatumTijdTotEnMet],"&gt;"&amp;($A543+13/24),tData[Langligger01],1)</f>
        <v/>
      </c>
      <c r="R543" s="20">
        <f>COUNTIFS(tData[SEHTrajectPeriodeDatumTijdVan],"&lt;="&amp;($A543+14/24),tData[SEHTrajectPeriodeDatumTijdTotEnMet],"&gt;"&amp;($A543+14/24),tData[Langligger01],1)</f>
        <v/>
      </c>
      <c r="S543" s="20">
        <f>COUNTIFS(tData[SEHTrajectPeriodeDatumTijdVan],"&lt;="&amp;($A543+15/24),tData[SEHTrajectPeriodeDatumTijdTotEnMet],"&gt;"&amp;($A543+15/24),tData[Langligger01],1)</f>
        <v/>
      </c>
      <c r="T543" s="20">
        <f>COUNTIFS(tData[SEHTrajectPeriodeDatumTijdVan],"&lt;="&amp;($A543+16/24),tData[SEHTrajectPeriodeDatumTijdTotEnMet],"&gt;"&amp;($A543+16/24),tData[Langligger01],1)</f>
        <v/>
      </c>
      <c r="U543" s="20">
        <f>COUNTIFS(tData[SEHTrajectPeriodeDatumTijdVan],"&lt;="&amp;($A543+17/24),tData[SEHTrajectPeriodeDatumTijdTotEnMet],"&gt;"&amp;($A543+17/24),tData[Langligger01],1)</f>
        <v/>
      </c>
      <c r="V543" s="20">
        <f>COUNTIFS(tData[SEHTrajectPeriodeDatumTijdVan],"&lt;="&amp;($A543+18/24),tData[SEHTrajectPeriodeDatumTijdTotEnMet],"&gt;"&amp;($A543+18/24),tData[Langligger01],1)</f>
        <v/>
      </c>
      <c r="W543" s="20">
        <f>COUNTIFS(tData[SEHTrajectPeriodeDatumTijdVan],"&lt;="&amp;($A543+19/24),tData[SEHTrajectPeriodeDatumTijdTotEnMet],"&gt;"&amp;($A543+19/24),tData[Langligger01],1)</f>
        <v/>
      </c>
      <c r="X543" s="20">
        <f>COUNTIFS(tData[SEHTrajectPeriodeDatumTijdVan],"&lt;="&amp;($A543+20/24),tData[SEHTrajectPeriodeDatumTijdTotEnMet],"&gt;"&amp;($A543+20/24),tData[Langligger01],1)</f>
        <v/>
      </c>
      <c r="Y543" s="20">
        <f>COUNTIFS(tData[SEHTrajectPeriodeDatumTijdVan],"&lt;="&amp;($A543+21/24),tData[SEHTrajectPeriodeDatumTijdTotEnMet],"&gt;"&amp;($A543+21/24),tData[Langligger01],1)</f>
        <v/>
      </c>
      <c r="Z543" s="20">
        <f>COUNTIFS(tData[SEHTrajectPeriodeDatumTijdVan],"&lt;="&amp;($A543+22/24),tData[SEHTrajectPeriodeDatumTijdTotEnMet],"&gt;"&amp;($A543+22/24),tData[Langligger01],1)</f>
        <v/>
      </c>
      <c r="AA543" s="20">
        <f>COUNTIFS(tData[SEHTrajectPeriodeDatumTijdVan],"&lt;="&amp;($A543+23/24),tData[SEHTrajectPeriodeDatumTijdTotEnMet],"&gt;"&amp;($A543+23/24),tData[Langligger01],1)</f>
        <v/>
      </c>
    </row>
    <row r="544">
      <c r="A544" s="19" t="n">
        <v>45832</v>
      </c>
      <c r="B544" s="15">
        <f>WEEKDAY($A544,2)</f>
        <v/>
      </c>
      <c r="C544" s="15">
        <f>IF(AND($A544&gt;=INT(Instellingen!$B$5),$A544&lt;=INT(Instellingen!$B$6)),1,0)</f>
        <v/>
      </c>
      <c r="D544" s="20">
        <f>COUNTIFS(tData[SEHTrajectPeriodeDatumTijdVan],"&lt;="&amp;($A544+0/24),tData[SEHTrajectPeriodeDatumTijdTotEnMet],"&gt;"&amp;($A544+0/24),tData[Langligger01],1)</f>
        <v/>
      </c>
      <c r="E544" s="20">
        <f>COUNTIFS(tData[SEHTrajectPeriodeDatumTijdVan],"&lt;="&amp;($A544+1/24),tData[SEHTrajectPeriodeDatumTijdTotEnMet],"&gt;"&amp;($A544+1/24),tData[Langligger01],1)</f>
        <v/>
      </c>
      <c r="F544" s="20">
        <f>COUNTIFS(tData[SEHTrajectPeriodeDatumTijdVan],"&lt;="&amp;($A544+2/24),tData[SEHTrajectPeriodeDatumTijdTotEnMet],"&gt;"&amp;($A544+2/24),tData[Langligger01],1)</f>
        <v/>
      </c>
      <c r="G544" s="20">
        <f>COUNTIFS(tData[SEHTrajectPeriodeDatumTijdVan],"&lt;="&amp;($A544+3/24),tData[SEHTrajectPeriodeDatumTijdTotEnMet],"&gt;"&amp;($A544+3/24),tData[Langligger01],1)</f>
        <v/>
      </c>
      <c r="H544" s="20">
        <f>COUNTIFS(tData[SEHTrajectPeriodeDatumTijdVan],"&lt;="&amp;($A544+4/24),tData[SEHTrajectPeriodeDatumTijdTotEnMet],"&gt;"&amp;($A544+4/24),tData[Langligger01],1)</f>
        <v/>
      </c>
      <c r="I544" s="20">
        <f>COUNTIFS(tData[SEHTrajectPeriodeDatumTijdVan],"&lt;="&amp;($A544+5/24),tData[SEHTrajectPeriodeDatumTijdTotEnMet],"&gt;"&amp;($A544+5/24),tData[Langligger01],1)</f>
        <v/>
      </c>
      <c r="J544" s="20">
        <f>COUNTIFS(tData[SEHTrajectPeriodeDatumTijdVan],"&lt;="&amp;($A544+6/24),tData[SEHTrajectPeriodeDatumTijdTotEnMet],"&gt;"&amp;($A544+6/24),tData[Langligger01],1)</f>
        <v/>
      </c>
      <c r="K544" s="20">
        <f>COUNTIFS(tData[SEHTrajectPeriodeDatumTijdVan],"&lt;="&amp;($A544+7/24),tData[SEHTrajectPeriodeDatumTijdTotEnMet],"&gt;"&amp;($A544+7/24),tData[Langligger01],1)</f>
        <v/>
      </c>
      <c r="L544" s="20">
        <f>COUNTIFS(tData[SEHTrajectPeriodeDatumTijdVan],"&lt;="&amp;($A544+8/24),tData[SEHTrajectPeriodeDatumTijdTotEnMet],"&gt;"&amp;($A544+8/24),tData[Langligger01],1)</f>
        <v/>
      </c>
      <c r="M544" s="20">
        <f>COUNTIFS(tData[SEHTrajectPeriodeDatumTijdVan],"&lt;="&amp;($A544+9/24),tData[SEHTrajectPeriodeDatumTijdTotEnMet],"&gt;"&amp;($A544+9/24),tData[Langligger01],1)</f>
        <v/>
      </c>
      <c r="N544" s="20">
        <f>COUNTIFS(tData[SEHTrajectPeriodeDatumTijdVan],"&lt;="&amp;($A544+10/24),tData[SEHTrajectPeriodeDatumTijdTotEnMet],"&gt;"&amp;($A544+10/24),tData[Langligger01],1)</f>
        <v/>
      </c>
      <c r="O544" s="20">
        <f>COUNTIFS(tData[SEHTrajectPeriodeDatumTijdVan],"&lt;="&amp;($A544+11/24),tData[SEHTrajectPeriodeDatumTijdTotEnMet],"&gt;"&amp;($A544+11/24),tData[Langligger01],1)</f>
        <v/>
      </c>
      <c r="P544" s="20">
        <f>COUNTIFS(tData[SEHTrajectPeriodeDatumTijdVan],"&lt;="&amp;($A544+12/24),tData[SEHTrajectPeriodeDatumTijdTotEnMet],"&gt;"&amp;($A544+12/24),tData[Langligger01],1)</f>
        <v/>
      </c>
      <c r="Q544" s="20">
        <f>COUNTIFS(tData[SEHTrajectPeriodeDatumTijdVan],"&lt;="&amp;($A544+13/24),tData[SEHTrajectPeriodeDatumTijdTotEnMet],"&gt;"&amp;($A544+13/24),tData[Langligger01],1)</f>
        <v/>
      </c>
      <c r="R544" s="20">
        <f>COUNTIFS(tData[SEHTrajectPeriodeDatumTijdVan],"&lt;="&amp;($A544+14/24),tData[SEHTrajectPeriodeDatumTijdTotEnMet],"&gt;"&amp;($A544+14/24),tData[Langligger01],1)</f>
        <v/>
      </c>
      <c r="S544" s="20">
        <f>COUNTIFS(tData[SEHTrajectPeriodeDatumTijdVan],"&lt;="&amp;($A544+15/24),tData[SEHTrajectPeriodeDatumTijdTotEnMet],"&gt;"&amp;($A544+15/24),tData[Langligger01],1)</f>
        <v/>
      </c>
      <c r="T544" s="20">
        <f>COUNTIFS(tData[SEHTrajectPeriodeDatumTijdVan],"&lt;="&amp;($A544+16/24),tData[SEHTrajectPeriodeDatumTijdTotEnMet],"&gt;"&amp;($A544+16/24),tData[Langligger01],1)</f>
        <v/>
      </c>
      <c r="U544" s="20">
        <f>COUNTIFS(tData[SEHTrajectPeriodeDatumTijdVan],"&lt;="&amp;($A544+17/24),tData[SEHTrajectPeriodeDatumTijdTotEnMet],"&gt;"&amp;($A544+17/24),tData[Langligger01],1)</f>
        <v/>
      </c>
      <c r="V544" s="20">
        <f>COUNTIFS(tData[SEHTrajectPeriodeDatumTijdVan],"&lt;="&amp;($A544+18/24),tData[SEHTrajectPeriodeDatumTijdTotEnMet],"&gt;"&amp;($A544+18/24),tData[Langligger01],1)</f>
        <v/>
      </c>
      <c r="W544" s="20">
        <f>COUNTIFS(tData[SEHTrajectPeriodeDatumTijdVan],"&lt;="&amp;($A544+19/24),tData[SEHTrajectPeriodeDatumTijdTotEnMet],"&gt;"&amp;($A544+19/24),tData[Langligger01],1)</f>
        <v/>
      </c>
      <c r="X544" s="20">
        <f>COUNTIFS(tData[SEHTrajectPeriodeDatumTijdVan],"&lt;="&amp;($A544+20/24),tData[SEHTrajectPeriodeDatumTijdTotEnMet],"&gt;"&amp;($A544+20/24),tData[Langligger01],1)</f>
        <v/>
      </c>
      <c r="Y544" s="20">
        <f>COUNTIFS(tData[SEHTrajectPeriodeDatumTijdVan],"&lt;="&amp;($A544+21/24),tData[SEHTrajectPeriodeDatumTijdTotEnMet],"&gt;"&amp;($A544+21/24),tData[Langligger01],1)</f>
        <v/>
      </c>
      <c r="Z544" s="20">
        <f>COUNTIFS(tData[SEHTrajectPeriodeDatumTijdVan],"&lt;="&amp;($A544+22/24),tData[SEHTrajectPeriodeDatumTijdTotEnMet],"&gt;"&amp;($A544+22/24),tData[Langligger01],1)</f>
        <v/>
      </c>
      <c r="AA544" s="20">
        <f>COUNTIFS(tData[SEHTrajectPeriodeDatumTijdVan],"&lt;="&amp;($A544+23/24),tData[SEHTrajectPeriodeDatumTijdTotEnMet],"&gt;"&amp;($A544+23/24),tData[Langligger01],1)</f>
        <v/>
      </c>
    </row>
    <row r="545">
      <c r="A545" s="19" t="n">
        <v>45833</v>
      </c>
      <c r="B545" s="15">
        <f>WEEKDAY($A545,2)</f>
        <v/>
      </c>
      <c r="C545" s="15">
        <f>IF(AND($A545&gt;=INT(Instellingen!$B$5),$A545&lt;=INT(Instellingen!$B$6)),1,0)</f>
        <v/>
      </c>
      <c r="D545" s="20">
        <f>COUNTIFS(tData[SEHTrajectPeriodeDatumTijdVan],"&lt;="&amp;($A545+0/24),tData[SEHTrajectPeriodeDatumTijdTotEnMet],"&gt;"&amp;($A545+0/24),tData[Langligger01],1)</f>
        <v/>
      </c>
      <c r="E545" s="20">
        <f>COUNTIFS(tData[SEHTrajectPeriodeDatumTijdVan],"&lt;="&amp;($A545+1/24),tData[SEHTrajectPeriodeDatumTijdTotEnMet],"&gt;"&amp;($A545+1/24),tData[Langligger01],1)</f>
        <v/>
      </c>
      <c r="F545" s="20">
        <f>COUNTIFS(tData[SEHTrajectPeriodeDatumTijdVan],"&lt;="&amp;($A545+2/24),tData[SEHTrajectPeriodeDatumTijdTotEnMet],"&gt;"&amp;($A545+2/24),tData[Langligger01],1)</f>
        <v/>
      </c>
      <c r="G545" s="20">
        <f>COUNTIFS(tData[SEHTrajectPeriodeDatumTijdVan],"&lt;="&amp;($A545+3/24),tData[SEHTrajectPeriodeDatumTijdTotEnMet],"&gt;"&amp;($A545+3/24),tData[Langligger01],1)</f>
        <v/>
      </c>
      <c r="H545" s="20">
        <f>COUNTIFS(tData[SEHTrajectPeriodeDatumTijdVan],"&lt;="&amp;($A545+4/24),tData[SEHTrajectPeriodeDatumTijdTotEnMet],"&gt;"&amp;($A545+4/24),tData[Langligger01],1)</f>
        <v/>
      </c>
      <c r="I545" s="20">
        <f>COUNTIFS(tData[SEHTrajectPeriodeDatumTijdVan],"&lt;="&amp;($A545+5/24),tData[SEHTrajectPeriodeDatumTijdTotEnMet],"&gt;"&amp;($A545+5/24),tData[Langligger01],1)</f>
        <v/>
      </c>
      <c r="J545" s="20">
        <f>COUNTIFS(tData[SEHTrajectPeriodeDatumTijdVan],"&lt;="&amp;($A545+6/24),tData[SEHTrajectPeriodeDatumTijdTotEnMet],"&gt;"&amp;($A545+6/24),tData[Langligger01],1)</f>
        <v/>
      </c>
      <c r="K545" s="20">
        <f>COUNTIFS(tData[SEHTrajectPeriodeDatumTijdVan],"&lt;="&amp;($A545+7/24),tData[SEHTrajectPeriodeDatumTijdTotEnMet],"&gt;"&amp;($A545+7/24),tData[Langligger01],1)</f>
        <v/>
      </c>
      <c r="L545" s="20">
        <f>COUNTIFS(tData[SEHTrajectPeriodeDatumTijdVan],"&lt;="&amp;($A545+8/24),tData[SEHTrajectPeriodeDatumTijdTotEnMet],"&gt;"&amp;($A545+8/24),tData[Langligger01],1)</f>
        <v/>
      </c>
      <c r="M545" s="20">
        <f>COUNTIFS(tData[SEHTrajectPeriodeDatumTijdVan],"&lt;="&amp;($A545+9/24),tData[SEHTrajectPeriodeDatumTijdTotEnMet],"&gt;"&amp;($A545+9/24),tData[Langligger01],1)</f>
        <v/>
      </c>
      <c r="N545" s="20">
        <f>COUNTIFS(tData[SEHTrajectPeriodeDatumTijdVan],"&lt;="&amp;($A545+10/24),tData[SEHTrajectPeriodeDatumTijdTotEnMet],"&gt;"&amp;($A545+10/24),tData[Langligger01],1)</f>
        <v/>
      </c>
      <c r="O545" s="20">
        <f>COUNTIFS(tData[SEHTrajectPeriodeDatumTijdVan],"&lt;="&amp;($A545+11/24),tData[SEHTrajectPeriodeDatumTijdTotEnMet],"&gt;"&amp;($A545+11/24),tData[Langligger01],1)</f>
        <v/>
      </c>
      <c r="P545" s="20">
        <f>COUNTIFS(tData[SEHTrajectPeriodeDatumTijdVan],"&lt;="&amp;($A545+12/24),tData[SEHTrajectPeriodeDatumTijdTotEnMet],"&gt;"&amp;($A545+12/24),tData[Langligger01],1)</f>
        <v/>
      </c>
      <c r="Q545" s="20">
        <f>COUNTIFS(tData[SEHTrajectPeriodeDatumTijdVan],"&lt;="&amp;($A545+13/24),tData[SEHTrajectPeriodeDatumTijdTotEnMet],"&gt;"&amp;($A545+13/24),tData[Langligger01],1)</f>
        <v/>
      </c>
      <c r="R545" s="20">
        <f>COUNTIFS(tData[SEHTrajectPeriodeDatumTijdVan],"&lt;="&amp;($A545+14/24),tData[SEHTrajectPeriodeDatumTijdTotEnMet],"&gt;"&amp;($A545+14/24),tData[Langligger01],1)</f>
        <v/>
      </c>
      <c r="S545" s="20">
        <f>COUNTIFS(tData[SEHTrajectPeriodeDatumTijdVan],"&lt;="&amp;($A545+15/24),tData[SEHTrajectPeriodeDatumTijdTotEnMet],"&gt;"&amp;($A545+15/24),tData[Langligger01],1)</f>
        <v/>
      </c>
      <c r="T545" s="20">
        <f>COUNTIFS(tData[SEHTrajectPeriodeDatumTijdVan],"&lt;="&amp;($A545+16/24),tData[SEHTrajectPeriodeDatumTijdTotEnMet],"&gt;"&amp;($A545+16/24),tData[Langligger01],1)</f>
        <v/>
      </c>
      <c r="U545" s="20">
        <f>COUNTIFS(tData[SEHTrajectPeriodeDatumTijdVan],"&lt;="&amp;($A545+17/24),tData[SEHTrajectPeriodeDatumTijdTotEnMet],"&gt;"&amp;($A545+17/24),tData[Langligger01],1)</f>
        <v/>
      </c>
      <c r="V545" s="20">
        <f>COUNTIFS(tData[SEHTrajectPeriodeDatumTijdVan],"&lt;="&amp;($A545+18/24),tData[SEHTrajectPeriodeDatumTijdTotEnMet],"&gt;"&amp;($A545+18/24),tData[Langligger01],1)</f>
        <v/>
      </c>
      <c r="W545" s="20">
        <f>COUNTIFS(tData[SEHTrajectPeriodeDatumTijdVan],"&lt;="&amp;($A545+19/24),tData[SEHTrajectPeriodeDatumTijdTotEnMet],"&gt;"&amp;($A545+19/24),tData[Langligger01],1)</f>
        <v/>
      </c>
      <c r="X545" s="20">
        <f>COUNTIFS(tData[SEHTrajectPeriodeDatumTijdVan],"&lt;="&amp;($A545+20/24),tData[SEHTrajectPeriodeDatumTijdTotEnMet],"&gt;"&amp;($A545+20/24),tData[Langligger01],1)</f>
        <v/>
      </c>
      <c r="Y545" s="20">
        <f>COUNTIFS(tData[SEHTrajectPeriodeDatumTijdVan],"&lt;="&amp;($A545+21/24),tData[SEHTrajectPeriodeDatumTijdTotEnMet],"&gt;"&amp;($A545+21/24),tData[Langligger01],1)</f>
        <v/>
      </c>
      <c r="Z545" s="20">
        <f>COUNTIFS(tData[SEHTrajectPeriodeDatumTijdVan],"&lt;="&amp;($A545+22/24),tData[SEHTrajectPeriodeDatumTijdTotEnMet],"&gt;"&amp;($A545+22/24),tData[Langligger01],1)</f>
        <v/>
      </c>
      <c r="AA545" s="20">
        <f>COUNTIFS(tData[SEHTrajectPeriodeDatumTijdVan],"&lt;="&amp;($A545+23/24),tData[SEHTrajectPeriodeDatumTijdTotEnMet],"&gt;"&amp;($A545+23/24),tData[Langligger01],1)</f>
        <v/>
      </c>
    </row>
    <row r="546">
      <c r="A546" s="19" t="n">
        <v>45834</v>
      </c>
      <c r="B546" s="15">
        <f>WEEKDAY($A546,2)</f>
        <v/>
      </c>
      <c r="C546" s="15">
        <f>IF(AND($A546&gt;=INT(Instellingen!$B$5),$A546&lt;=INT(Instellingen!$B$6)),1,0)</f>
        <v/>
      </c>
      <c r="D546" s="20">
        <f>COUNTIFS(tData[SEHTrajectPeriodeDatumTijdVan],"&lt;="&amp;($A546+0/24),tData[SEHTrajectPeriodeDatumTijdTotEnMet],"&gt;"&amp;($A546+0/24),tData[Langligger01],1)</f>
        <v/>
      </c>
      <c r="E546" s="20">
        <f>COUNTIFS(tData[SEHTrajectPeriodeDatumTijdVan],"&lt;="&amp;($A546+1/24),tData[SEHTrajectPeriodeDatumTijdTotEnMet],"&gt;"&amp;($A546+1/24),tData[Langligger01],1)</f>
        <v/>
      </c>
      <c r="F546" s="20">
        <f>COUNTIFS(tData[SEHTrajectPeriodeDatumTijdVan],"&lt;="&amp;($A546+2/24),tData[SEHTrajectPeriodeDatumTijdTotEnMet],"&gt;"&amp;($A546+2/24),tData[Langligger01],1)</f>
        <v/>
      </c>
      <c r="G546" s="20">
        <f>COUNTIFS(tData[SEHTrajectPeriodeDatumTijdVan],"&lt;="&amp;($A546+3/24),tData[SEHTrajectPeriodeDatumTijdTotEnMet],"&gt;"&amp;($A546+3/24),tData[Langligger01],1)</f>
        <v/>
      </c>
      <c r="H546" s="20">
        <f>COUNTIFS(tData[SEHTrajectPeriodeDatumTijdVan],"&lt;="&amp;($A546+4/24),tData[SEHTrajectPeriodeDatumTijdTotEnMet],"&gt;"&amp;($A546+4/24),tData[Langligger01],1)</f>
        <v/>
      </c>
      <c r="I546" s="20">
        <f>COUNTIFS(tData[SEHTrajectPeriodeDatumTijdVan],"&lt;="&amp;($A546+5/24),tData[SEHTrajectPeriodeDatumTijdTotEnMet],"&gt;"&amp;($A546+5/24),tData[Langligger01],1)</f>
        <v/>
      </c>
      <c r="J546" s="20">
        <f>COUNTIFS(tData[SEHTrajectPeriodeDatumTijdVan],"&lt;="&amp;($A546+6/24),tData[SEHTrajectPeriodeDatumTijdTotEnMet],"&gt;"&amp;($A546+6/24),tData[Langligger01],1)</f>
        <v/>
      </c>
      <c r="K546" s="20">
        <f>COUNTIFS(tData[SEHTrajectPeriodeDatumTijdVan],"&lt;="&amp;($A546+7/24),tData[SEHTrajectPeriodeDatumTijdTotEnMet],"&gt;"&amp;($A546+7/24),tData[Langligger01],1)</f>
        <v/>
      </c>
      <c r="L546" s="20">
        <f>COUNTIFS(tData[SEHTrajectPeriodeDatumTijdVan],"&lt;="&amp;($A546+8/24),tData[SEHTrajectPeriodeDatumTijdTotEnMet],"&gt;"&amp;($A546+8/24),tData[Langligger01],1)</f>
        <v/>
      </c>
      <c r="M546" s="20">
        <f>COUNTIFS(tData[SEHTrajectPeriodeDatumTijdVan],"&lt;="&amp;($A546+9/24),tData[SEHTrajectPeriodeDatumTijdTotEnMet],"&gt;"&amp;($A546+9/24),tData[Langligger01],1)</f>
        <v/>
      </c>
      <c r="N546" s="20">
        <f>COUNTIFS(tData[SEHTrajectPeriodeDatumTijdVan],"&lt;="&amp;($A546+10/24),tData[SEHTrajectPeriodeDatumTijdTotEnMet],"&gt;"&amp;($A546+10/24),tData[Langligger01],1)</f>
        <v/>
      </c>
      <c r="O546" s="20">
        <f>COUNTIFS(tData[SEHTrajectPeriodeDatumTijdVan],"&lt;="&amp;($A546+11/24),tData[SEHTrajectPeriodeDatumTijdTotEnMet],"&gt;"&amp;($A546+11/24),tData[Langligger01],1)</f>
        <v/>
      </c>
      <c r="P546" s="20">
        <f>COUNTIFS(tData[SEHTrajectPeriodeDatumTijdVan],"&lt;="&amp;($A546+12/24),tData[SEHTrajectPeriodeDatumTijdTotEnMet],"&gt;"&amp;($A546+12/24),tData[Langligger01],1)</f>
        <v/>
      </c>
      <c r="Q546" s="20">
        <f>COUNTIFS(tData[SEHTrajectPeriodeDatumTijdVan],"&lt;="&amp;($A546+13/24),tData[SEHTrajectPeriodeDatumTijdTotEnMet],"&gt;"&amp;($A546+13/24),tData[Langligger01],1)</f>
        <v/>
      </c>
      <c r="R546" s="20">
        <f>COUNTIFS(tData[SEHTrajectPeriodeDatumTijdVan],"&lt;="&amp;($A546+14/24),tData[SEHTrajectPeriodeDatumTijdTotEnMet],"&gt;"&amp;($A546+14/24),tData[Langligger01],1)</f>
        <v/>
      </c>
      <c r="S546" s="20">
        <f>COUNTIFS(tData[SEHTrajectPeriodeDatumTijdVan],"&lt;="&amp;($A546+15/24),tData[SEHTrajectPeriodeDatumTijdTotEnMet],"&gt;"&amp;($A546+15/24),tData[Langligger01],1)</f>
        <v/>
      </c>
      <c r="T546" s="20">
        <f>COUNTIFS(tData[SEHTrajectPeriodeDatumTijdVan],"&lt;="&amp;($A546+16/24),tData[SEHTrajectPeriodeDatumTijdTotEnMet],"&gt;"&amp;($A546+16/24),tData[Langligger01],1)</f>
        <v/>
      </c>
      <c r="U546" s="20">
        <f>COUNTIFS(tData[SEHTrajectPeriodeDatumTijdVan],"&lt;="&amp;($A546+17/24),tData[SEHTrajectPeriodeDatumTijdTotEnMet],"&gt;"&amp;($A546+17/24),tData[Langligger01],1)</f>
        <v/>
      </c>
      <c r="V546" s="20">
        <f>COUNTIFS(tData[SEHTrajectPeriodeDatumTijdVan],"&lt;="&amp;($A546+18/24),tData[SEHTrajectPeriodeDatumTijdTotEnMet],"&gt;"&amp;($A546+18/24),tData[Langligger01],1)</f>
        <v/>
      </c>
      <c r="W546" s="20">
        <f>COUNTIFS(tData[SEHTrajectPeriodeDatumTijdVan],"&lt;="&amp;($A546+19/24),tData[SEHTrajectPeriodeDatumTijdTotEnMet],"&gt;"&amp;($A546+19/24),tData[Langligger01],1)</f>
        <v/>
      </c>
      <c r="X546" s="20">
        <f>COUNTIFS(tData[SEHTrajectPeriodeDatumTijdVan],"&lt;="&amp;($A546+20/24),tData[SEHTrajectPeriodeDatumTijdTotEnMet],"&gt;"&amp;($A546+20/24),tData[Langligger01],1)</f>
        <v/>
      </c>
      <c r="Y546" s="20">
        <f>COUNTIFS(tData[SEHTrajectPeriodeDatumTijdVan],"&lt;="&amp;($A546+21/24),tData[SEHTrajectPeriodeDatumTijdTotEnMet],"&gt;"&amp;($A546+21/24),tData[Langligger01],1)</f>
        <v/>
      </c>
      <c r="Z546" s="20">
        <f>COUNTIFS(tData[SEHTrajectPeriodeDatumTijdVan],"&lt;="&amp;($A546+22/24),tData[SEHTrajectPeriodeDatumTijdTotEnMet],"&gt;"&amp;($A546+22/24),tData[Langligger01],1)</f>
        <v/>
      </c>
      <c r="AA546" s="20">
        <f>COUNTIFS(tData[SEHTrajectPeriodeDatumTijdVan],"&lt;="&amp;($A546+23/24),tData[SEHTrajectPeriodeDatumTijdTotEnMet],"&gt;"&amp;($A546+23/24),tData[Langligger01],1)</f>
        <v/>
      </c>
    </row>
    <row r="547">
      <c r="A547" s="19" t="n">
        <v>45835</v>
      </c>
      <c r="B547" s="15">
        <f>WEEKDAY($A547,2)</f>
        <v/>
      </c>
      <c r="C547" s="15">
        <f>IF(AND($A547&gt;=INT(Instellingen!$B$5),$A547&lt;=INT(Instellingen!$B$6)),1,0)</f>
        <v/>
      </c>
      <c r="D547" s="20">
        <f>COUNTIFS(tData[SEHTrajectPeriodeDatumTijdVan],"&lt;="&amp;($A547+0/24),tData[SEHTrajectPeriodeDatumTijdTotEnMet],"&gt;"&amp;($A547+0/24),tData[Langligger01],1)</f>
        <v/>
      </c>
      <c r="E547" s="20">
        <f>COUNTIFS(tData[SEHTrajectPeriodeDatumTijdVan],"&lt;="&amp;($A547+1/24),tData[SEHTrajectPeriodeDatumTijdTotEnMet],"&gt;"&amp;($A547+1/24),tData[Langligger01],1)</f>
        <v/>
      </c>
      <c r="F547" s="20">
        <f>COUNTIFS(tData[SEHTrajectPeriodeDatumTijdVan],"&lt;="&amp;($A547+2/24),tData[SEHTrajectPeriodeDatumTijdTotEnMet],"&gt;"&amp;($A547+2/24),tData[Langligger01],1)</f>
        <v/>
      </c>
      <c r="G547" s="20">
        <f>COUNTIFS(tData[SEHTrajectPeriodeDatumTijdVan],"&lt;="&amp;($A547+3/24),tData[SEHTrajectPeriodeDatumTijdTotEnMet],"&gt;"&amp;($A547+3/24),tData[Langligger01],1)</f>
        <v/>
      </c>
      <c r="H547" s="20">
        <f>COUNTIFS(tData[SEHTrajectPeriodeDatumTijdVan],"&lt;="&amp;($A547+4/24),tData[SEHTrajectPeriodeDatumTijdTotEnMet],"&gt;"&amp;($A547+4/24),tData[Langligger01],1)</f>
        <v/>
      </c>
      <c r="I547" s="20">
        <f>COUNTIFS(tData[SEHTrajectPeriodeDatumTijdVan],"&lt;="&amp;($A547+5/24),tData[SEHTrajectPeriodeDatumTijdTotEnMet],"&gt;"&amp;($A547+5/24),tData[Langligger01],1)</f>
        <v/>
      </c>
      <c r="J547" s="20">
        <f>COUNTIFS(tData[SEHTrajectPeriodeDatumTijdVan],"&lt;="&amp;($A547+6/24),tData[SEHTrajectPeriodeDatumTijdTotEnMet],"&gt;"&amp;($A547+6/24),tData[Langligger01],1)</f>
        <v/>
      </c>
      <c r="K547" s="20">
        <f>COUNTIFS(tData[SEHTrajectPeriodeDatumTijdVan],"&lt;="&amp;($A547+7/24),tData[SEHTrajectPeriodeDatumTijdTotEnMet],"&gt;"&amp;($A547+7/24),tData[Langligger01],1)</f>
        <v/>
      </c>
      <c r="L547" s="20">
        <f>COUNTIFS(tData[SEHTrajectPeriodeDatumTijdVan],"&lt;="&amp;($A547+8/24),tData[SEHTrajectPeriodeDatumTijdTotEnMet],"&gt;"&amp;($A547+8/24),tData[Langligger01],1)</f>
        <v/>
      </c>
      <c r="M547" s="20">
        <f>COUNTIFS(tData[SEHTrajectPeriodeDatumTijdVan],"&lt;="&amp;($A547+9/24),tData[SEHTrajectPeriodeDatumTijdTotEnMet],"&gt;"&amp;($A547+9/24),tData[Langligger01],1)</f>
        <v/>
      </c>
      <c r="N547" s="20">
        <f>COUNTIFS(tData[SEHTrajectPeriodeDatumTijdVan],"&lt;="&amp;($A547+10/24),tData[SEHTrajectPeriodeDatumTijdTotEnMet],"&gt;"&amp;($A547+10/24),tData[Langligger01],1)</f>
        <v/>
      </c>
      <c r="O547" s="20">
        <f>COUNTIFS(tData[SEHTrajectPeriodeDatumTijdVan],"&lt;="&amp;($A547+11/24),tData[SEHTrajectPeriodeDatumTijdTotEnMet],"&gt;"&amp;($A547+11/24),tData[Langligger01],1)</f>
        <v/>
      </c>
      <c r="P547" s="20">
        <f>COUNTIFS(tData[SEHTrajectPeriodeDatumTijdVan],"&lt;="&amp;($A547+12/24),tData[SEHTrajectPeriodeDatumTijdTotEnMet],"&gt;"&amp;($A547+12/24),tData[Langligger01],1)</f>
        <v/>
      </c>
      <c r="Q547" s="20">
        <f>COUNTIFS(tData[SEHTrajectPeriodeDatumTijdVan],"&lt;="&amp;($A547+13/24),tData[SEHTrajectPeriodeDatumTijdTotEnMet],"&gt;"&amp;($A547+13/24),tData[Langligger01],1)</f>
        <v/>
      </c>
      <c r="R547" s="20">
        <f>COUNTIFS(tData[SEHTrajectPeriodeDatumTijdVan],"&lt;="&amp;($A547+14/24),tData[SEHTrajectPeriodeDatumTijdTotEnMet],"&gt;"&amp;($A547+14/24),tData[Langligger01],1)</f>
        <v/>
      </c>
      <c r="S547" s="20">
        <f>COUNTIFS(tData[SEHTrajectPeriodeDatumTijdVan],"&lt;="&amp;($A547+15/24),tData[SEHTrajectPeriodeDatumTijdTotEnMet],"&gt;"&amp;($A547+15/24),tData[Langligger01],1)</f>
        <v/>
      </c>
      <c r="T547" s="20">
        <f>COUNTIFS(tData[SEHTrajectPeriodeDatumTijdVan],"&lt;="&amp;($A547+16/24),tData[SEHTrajectPeriodeDatumTijdTotEnMet],"&gt;"&amp;($A547+16/24),tData[Langligger01],1)</f>
        <v/>
      </c>
      <c r="U547" s="20">
        <f>COUNTIFS(tData[SEHTrajectPeriodeDatumTijdVan],"&lt;="&amp;($A547+17/24),tData[SEHTrajectPeriodeDatumTijdTotEnMet],"&gt;"&amp;($A547+17/24),tData[Langligger01],1)</f>
        <v/>
      </c>
      <c r="V547" s="20">
        <f>COUNTIFS(tData[SEHTrajectPeriodeDatumTijdVan],"&lt;="&amp;($A547+18/24),tData[SEHTrajectPeriodeDatumTijdTotEnMet],"&gt;"&amp;($A547+18/24),tData[Langligger01],1)</f>
        <v/>
      </c>
      <c r="W547" s="20">
        <f>COUNTIFS(tData[SEHTrajectPeriodeDatumTijdVan],"&lt;="&amp;($A547+19/24),tData[SEHTrajectPeriodeDatumTijdTotEnMet],"&gt;"&amp;($A547+19/24),tData[Langligger01],1)</f>
        <v/>
      </c>
      <c r="X547" s="20">
        <f>COUNTIFS(tData[SEHTrajectPeriodeDatumTijdVan],"&lt;="&amp;($A547+20/24),tData[SEHTrajectPeriodeDatumTijdTotEnMet],"&gt;"&amp;($A547+20/24),tData[Langligger01],1)</f>
        <v/>
      </c>
      <c r="Y547" s="20">
        <f>COUNTIFS(tData[SEHTrajectPeriodeDatumTijdVan],"&lt;="&amp;($A547+21/24),tData[SEHTrajectPeriodeDatumTijdTotEnMet],"&gt;"&amp;($A547+21/24),tData[Langligger01],1)</f>
        <v/>
      </c>
      <c r="Z547" s="20">
        <f>COUNTIFS(tData[SEHTrajectPeriodeDatumTijdVan],"&lt;="&amp;($A547+22/24),tData[SEHTrajectPeriodeDatumTijdTotEnMet],"&gt;"&amp;($A547+22/24),tData[Langligger01],1)</f>
        <v/>
      </c>
      <c r="AA547" s="20">
        <f>COUNTIFS(tData[SEHTrajectPeriodeDatumTijdVan],"&lt;="&amp;($A547+23/24),tData[SEHTrajectPeriodeDatumTijdTotEnMet],"&gt;"&amp;($A547+23/24),tData[Langligger01],1)</f>
        <v/>
      </c>
    </row>
    <row r="548">
      <c r="A548" s="19" t="n">
        <v>45836</v>
      </c>
      <c r="B548" s="15">
        <f>WEEKDAY($A548,2)</f>
        <v/>
      </c>
      <c r="C548" s="15">
        <f>IF(AND($A548&gt;=INT(Instellingen!$B$5),$A548&lt;=INT(Instellingen!$B$6)),1,0)</f>
        <v/>
      </c>
      <c r="D548" s="20">
        <f>COUNTIFS(tData[SEHTrajectPeriodeDatumTijdVan],"&lt;="&amp;($A548+0/24),tData[SEHTrajectPeriodeDatumTijdTotEnMet],"&gt;"&amp;($A548+0/24),tData[Langligger01],1)</f>
        <v/>
      </c>
      <c r="E548" s="20">
        <f>COUNTIFS(tData[SEHTrajectPeriodeDatumTijdVan],"&lt;="&amp;($A548+1/24),tData[SEHTrajectPeriodeDatumTijdTotEnMet],"&gt;"&amp;($A548+1/24),tData[Langligger01],1)</f>
        <v/>
      </c>
      <c r="F548" s="20">
        <f>COUNTIFS(tData[SEHTrajectPeriodeDatumTijdVan],"&lt;="&amp;($A548+2/24),tData[SEHTrajectPeriodeDatumTijdTotEnMet],"&gt;"&amp;($A548+2/24),tData[Langligger01],1)</f>
        <v/>
      </c>
      <c r="G548" s="20">
        <f>COUNTIFS(tData[SEHTrajectPeriodeDatumTijdVan],"&lt;="&amp;($A548+3/24),tData[SEHTrajectPeriodeDatumTijdTotEnMet],"&gt;"&amp;($A548+3/24),tData[Langligger01],1)</f>
        <v/>
      </c>
      <c r="H548" s="20">
        <f>COUNTIFS(tData[SEHTrajectPeriodeDatumTijdVan],"&lt;="&amp;($A548+4/24),tData[SEHTrajectPeriodeDatumTijdTotEnMet],"&gt;"&amp;($A548+4/24),tData[Langligger01],1)</f>
        <v/>
      </c>
      <c r="I548" s="20">
        <f>COUNTIFS(tData[SEHTrajectPeriodeDatumTijdVan],"&lt;="&amp;($A548+5/24),tData[SEHTrajectPeriodeDatumTijdTotEnMet],"&gt;"&amp;($A548+5/24),tData[Langligger01],1)</f>
        <v/>
      </c>
      <c r="J548" s="20">
        <f>COUNTIFS(tData[SEHTrajectPeriodeDatumTijdVan],"&lt;="&amp;($A548+6/24),tData[SEHTrajectPeriodeDatumTijdTotEnMet],"&gt;"&amp;($A548+6/24),tData[Langligger01],1)</f>
        <v/>
      </c>
      <c r="K548" s="20">
        <f>COUNTIFS(tData[SEHTrajectPeriodeDatumTijdVan],"&lt;="&amp;($A548+7/24),tData[SEHTrajectPeriodeDatumTijdTotEnMet],"&gt;"&amp;($A548+7/24),tData[Langligger01],1)</f>
        <v/>
      </c>
      <c r="L548" s="20">
        <f>COUNTIFS(tData[SEHTrajectPeriodeDatumTijdVan],"&lt;="&amp;($A548+8/24),tData[SEHTrajectPeriodeDatumTijdTotEnMet],"&gt;"&amp;($A548+8/24),tData[Langligger01],1)</f>
        <v/>
      </c>
      <c r="M548" s="20">
        <f>COUNTIFS(tData[SEHTrajectPeriodeDatumTijdVan],"&lt;="&amp;($A548+9/24),tData[SEHTrajectPeriodeDatumTijdTotEnMet],"&gt;"&amp;($A548+9/24),tData[Langligger01],1)</f>
        <v/>
      </c>
      <c r="N548" s="20">
        <f>COUNTIFS(tData[SEHTrajectPeriodeDatumTijdVan],"&lt;="&amp;($A548+10/24),tData[SEHTrajectPeriodeDatumTijdTotEnMet],"&gt;"&amp;($A548+10/24),tData[Langligger01],1)</f>
        <v/>
      </c>
      <c r="O548" s="20">
        <f>COUNTIFS(tData[SEHTrajectPeriodeDatumTijdVan],"&lt;="&amp;($A548+11/24),tData[SEHTrajectPeriodeDatumTijdTotEnMet],"&gt;"&amp;($A548+11/24),tData[Langligger01],1)</f>
        <v/>
      </c>
      <c r="P548" s="20">
        <f>COUNTIFS(tData[SEHTrajectPeriodeDatumTijdVan],"&lt;="&amp;($A548+12/24),tData[SEHTrajectPeriodeDatumTijdTotEnMet],"&gt;"&amp;($A548+12/24),tData[Langligger01],1)</f>
        <v/>
      </c>
      <c r="Q548" s="20">
        <f>COUNTIFS(tData[SEHTrajectPeriodeDatumTijdVan],"&lt;="&amp;($A548+13/24),tData[SEHTrajectPeriodeDatumTijdTotEnMet],"&gt;"&amp;($A548+13/24),tData[Langligger01],1)</f>
        <v/>
      </c>
      <c r="R548" s="20">
        <f>COUNTIFS(tData[SEHTrajectPeriodeDatumTijdVan],"&lt;="&amp;($A548+14/24),tData[SEHTrajectPeriodeDatumTijdTotEnMet],"&gt;"&amp;($A548+14/24),tData[Langligger01],1)</f>
        <v/>
      </c>
      <c r="S548" s="20">
        <f>COUNTIFS(tData[SEHTrajectPeriodeDatumTijdVan],"&lt;="&amp;($A548+15/24),tData[SEHTrajectPeriodeDatumTijdTotEnMet],"&gt;"&amp;($A548+15/24),tData[Langligger01],1)</f>
        <v/>
      </c>
      <c r="T548" s="20">
        <f>COUNTIFS(tData[SEHTrajectPeriodeDatumTijdVan],"&lt;="&amp;($A548+16/24),tData[SEHTrajectPeriodeDatumTijdTotEnMet],"&gt;"&amp;($A548+16/24),tData[Langligger01],1)</f>
        <v/>
      </c>
      <c r="U548" s="20">
        <f>COUNTIFS(tData[SEHTrajectPeriodeDatumTijdVan],"&lt;="&amp;($A548+17/24),tData[SEHTrajectPeriodeDatumTijdTotEnMet],"&gt;"&amp;($A548+17/24),tData[Langligger01],1)</f>
        <v/>
      </c>
      <c r="V548" s="20">
        <f>COUNTIFS(tData[SEHTrajectPeriodeDatumTijdVan],"&lt;="&amp;($A548+18/24),tData[SEHTrajectPeriodeDatumTijdTotEnMet],"&gt;"&amp;($A548+18/24),tData[Langligger01],1)</f>
        <v/>
      </c>
      <c r="W548" s="20">
        <f>COUNTIFS(tData[SEHTrajectPeriodeDatumTijdVan],"&lt;="&amp;($A548+19/24),tData[SEHTrajectPeriodeDatumTijdTotEnMet],"&gt;"&amp;($A548+19/24),tData[Langligger01],1)</f>
        <v/>
      </c>
      <c r="X548" s="20">
        <f>COUNTIFS(tData[SEHTrajectPeriodeDatumTijdVan],"&lt;="&amp;($A548+20/24),tData[SEHTrajectPeriodeDatumTijdTotEnMet],"&gt;"&amp;($A548+20/24),tData[Langligger01],1)</f>
        <v/>
      </c>
      <c r="Y548" s="20">
        <f>COUNTIFS(tData[SEHTrajectPeriodeDatumTijdVan],"&lt;="&amp;($A548+21/24),tData[SEHTrajectPeriodeDatumTijdTotEnMet],"&gt;"&amp;($A548+21/24),tData[Langligger01],1)</f>
        <v/>
      </c>
      <c r="Z548" s="20">
        <f>COUNTIFS(tData[SEHTrajectPeriodeDatumTijdVan],"&lt;="&amp;($A548+22/24),tData[SEHTrajectPeriodeDatumTijdTotEnMet],"&gt;"&amp;($A548+22/24),tData[Langligger01],1)</f>
        <v/>
      </c>
      <c r="AA548" s="20">
        <f>COUNTIFS(tData[SEHTrajectPeriodeDatumTijdVan],"&lt;="&amp;($A548+23/24),tData[SEHTrajectPeriodeDatumTijdTotEnMet],"&gt;"&amp;($A548+23/24),tData[Langligger01],1)</f>
        <v/>
      </c>
    </row>
    <row r="549">
      <c r="A549" s="19" t="n">
        <v>45837</v>
      </c>
      <c r="B549" s="15">
        <f>WEEKDAY($A549,2)</f>
        <v/>
      </c>
      <c r="C549" s="15">
        <f>IF(AND($A549&gt;=INT(Instellingen!$B$5),$A549&lt;=INT(Instellingen!$B$6)),1,0)</f>
        <v/>
      </c>
      <c r="D549" s="20">
        <f>COUNTIFS(tData[SEHTrajectPeriodeDatumTijdVan],"&lt;="&amp;($A549+0/24),tData[SEHTrajectPeriodeDatumTijdTotEnMet],"&gt;"&amp;($A549+0/24),tData[Langligger01],1)</f>
        <v/>
      </c>
      <c r="E549" s="20">
        <f>COUNTIFS(tData[SEHTrajectPeriodeDatumTijdVan],"&lt;="&amp;($A549+1/24),tData[SEHTrajectPeriodeDatumTijdTotEnMet],"&gt;"&amp;($A549+1/24),tData[Langligger01],1)</f>
        <v/>
      </c>
      <c r="F549" s="20">
        <f>COUNTIFS(tData[SEHTrajectPeriodeDatumTijdVan],"&lt;="&amp;($A549+2/24),tData[SEHTrajectPeriodeDatumTijdTotEnMet],"&gt;"&amp;($A549+2/24),tData[Langligger01],1)</f>
        <v/>
      </c>
      <c r="G549" s="20">
        <f>COUNTIFS(tData[SEHTrajectPeriodeDatumTijdVan],"&lt;="&amp;($A549+3/24),tData[SEHTrajectPeriodeDatumTijdTotEnMet],"&gt;"&amp;($A549+3/24),tData[Langligger01],1)</f>
        <v/>
      </c>
      <c r="H549" s="20">
        <f>COUNTIFS(tData[SEHTrajectPeriodeDatumTijdVan],"&lt;="&amp;($A549+4/24),tData[SEHTrajectPeriodeDatumTijdTotEnMet],"&gt;"&amp;($A549+4/24),tData[Langligger01],1)</f>
        <v/>
      </c>
      <c r="I549" s="20">
        <f>COUNTIFS(tData[SEHTrajectPeriodeDatumTijdVan],"&lt;="&amp;($A549+5/24),tData[SEHTrajectPeriodeDatumTijdTotEnMet],"&gt;"&amp;($A549+5/24),tData[Langligger01],1)</f>
        <v/>
      </c>
      <c r="J549" s="20">
        <f>COUNTIFS(tData[SEHTrajectPeriodeDatumTijdVan],"&lt;="&amp;($A549+6/24),tData[SEHTrajectPeriodeDatumTijdTotEnMet],"&gt;"&amp;($A549+6/24),tData[Langligger01],1)</f>
        <v/>
      </c>
      <c r="K549" s="20">
        <f>COUNTIFS(tData[SEHTrajectPeriodeDatumTijdVan],"&lt;="&amp;($A549+7/24),tData[SEHTrajectPeriodeDatumTijdTotEnMet],"&gt;"&amp;($A549+7/24),tData[Langligger01],1)</f>
        <v/>
      </c>
      <c r="L549" s="20">
        <f>COUNTIFS(tData[SEHTrajectPeriodeDatumTijdVan],"&lt;="&amp;($A549+8/24),tData[SEHTrajectPeriodeDatumTijdTotEnMet],"&gt;"&amp;($A549+8/24),tData[Langligger01],1)</f>
        <v/>
      </c>
      <c r="M549" s="20">
        <f>COUNTIFS(tData[SEHTrajectPeriodeDatumTijdVan],"&lt;="&amp;($A549+9/24),tData[SEHTrajectPeriodeDatumTijdTotEnMet],"&gt;"&amp;($A549+9/24),tData[Langligger01],1)</f>
        <v/>
      </c>
      <c r="N549" s="20">
        <f>COUNTIFS(tData[SEHTrajectPeriodeDatumTijdVan],"&lt;="&amp;($A549+10/24),tData[SEHTrajectPeriodeDatumTijdTotEnMet],"&gt;"&amp;($A549+10/24),tData[Langligger01],1)</f>
        <v/>
      </c>
      <c r="O549" s="20">
        <f>COUNTIFS(tData[SEHTrajectPeriodeDatumTijdVan],"&lt;="&amp;($A549+11/24),tData[SEHTrajectPeriodeDatumTijdTotEnMet],"&gt;"&amp;($A549+11/24),tData[Langligger01],1)</f>
        <v/>
      </c>
      <c r="P549" s="20">
        <f>COUNTIFS(tData[SEHTrajectPeriodeDatumTijdVan],"&lt;="&amp;($A549+12/24),tData[SEHTrajectPeriodeDatumTijdTotEnMet],"&gt;"&amp;($A549+12/24),tData[Langligger01],1)</f>
        <v/>
      </c>
      <c r="Q549" s="20">
        <f>COUNTIFS(tData[SEHTrajectPeriodeDatumTijdVan],"&lt;="&amp;($A549+13/24),tData[SEHTrajectPeriodeDatumTijdTotEnMet],"&gt;"&amp;($A549+13/24),tData[Langligger01],1)</f>
        <v/>
      </c>
      <c r="R549" s="20">
        <f>COUNTIFS(tData[SEHTrajectPeriodeDatumTijdVan],"&lt;="&amp;($A549+14/24),tData[SEHTrajectPeriodeDatumTijdTotEnMet],"&gt;"&amp;($A549+14/24),tData[Langligger01],1)</f>
        <v/>
      </c>
      <c r="S549" s="20">
        <f>COUNTIFS(tData[SEHTrajectPeriodeDatumTijdVan],"&lt;="&amp;($A549+15/24),tData[SEHTrajectPeriodeDatumTijdTotEnMet],"&gt;"&amp;($A549+15/24),tData[Langligger01],1)</f>
        <v/>
      </c>
      <c r="T549" s="20">
        <f>COUNTIFS(tData[SEHTrajectPeriodeDatumTijdVan],"&lt;="&amp;($A549+16/24),tData[SEHTrajectPeriodeDatumTijdTotEnMet],"&gt;"&amp;($A549+16/24),tData[Langligger01],1)</f>
        <v/>
      </c>
      <c r="U549" s="20">
        <f>COUNTIFS(tData[SEHTrajectPeriodeDatumTijdVan],"&lt;="&amp;($A549+17/24),tData[SEHTrajectPeriodeDatumTijdTotEnMet],"&gt;"&amp;($A549+17/24),tData[Langligger01],1)</f>
        <v/>
      </c>
      <c r="V549" s="20">
        <f>COUNTIFS(tData[SEHTrajectPeriodeDatumTijdVan],"&lt;="&amp;($A549+18/24),tData[SEHTrajectPeriodeDatumTijdTotEnMet],"&gt;"&amp;($A549+18/24),tData[Langligger01],1)</f>
        <v/>
      </c>
      <c r="W549" s="20">
        <f>COUNTIFS(tData[SEHTrajectPeriodeDatumTijdVan],"&lt;="&amp;($A549+19/24),tData[SEHTrajectPeriodeDatumTijdTotEnMet],"&gt;"&amp;($A549+19/24),tData[Langligger01],1)</f>
        <v/>
      </c>
      <c r="X549" s="20">
        <f>COUNTIFS(tData[SEHTrajectPeriodeDatumTijdVan],"&lt;="&amp;($A549+20/24),tData[SEHTrajectPeriodeDatumTijdTotEnMet],"&gt;"&amp;($A549+20/24),tData[Langligger01],1)</f>
        <v/>
      </c>
      <c r="Y549" s="20">
        <f>COUNTIFS(tData[SEHTrajectPeriodeDatumTijdVan],"&lt;="&amp;($A549+21/24),tData[SEHTrajectPeriodeDatumTijdTotEnMet],"&gt;"&amp;($A549+21/24),tData[Langligger01],1)</f>
        <v/>
      </c>
      <c r="Z549" s="20">
        <f>COUNTIFS(tData[SEHTrajectPeriodeDatumTijdVan],"&lt;="&amp;($A549+22/24),tData[SEHTrajectPeriodeDatumTijdTotEnMet],"&gt;"&amp;($A549+22/24),tData[Langligger01],1)</f>
        <v/>
      </c>
      <c r="AA549" s="20">
        <f>COUNTIFS(tData[SEHTrajectPeriodeDatumTijdVan],"&lt;="&amp;($A549+23/24),tData[SEHTrajectPeriodeDatumTijdTotEnMet],"&gt;"&amp;($A549+23/24),tData[Langligger01],1)</f>
        <v/>
      </c>
    </row>
    <row r="550">
      <c r="A550" s="19" t="n">
        <v>45838</v>
      </c>
      <c r="B550" s="15">
        <f>WEEKDAY($A550,2)</f>
        <v/>
      </c>
      <c r="C550" s="15">
        <f>IF(AND($A550&gt;=INT(Instellingen!$B$5),$A550&lt;=INT(Instellingen!$B$6)),1,0)</f>
        <v/>
      </c>
      <c r="D550" s="20">
        <f>COUNTIFS(tData[SEHTrajectPeriodeDatumTijdVan],"&lt;="&amp;($A550+0/24),tData[SEHTrajectPeriodeDatumTijdTotEnMet],"&gt;"&amp;($A550+0/24),tData[Langligger01],1)</f>
        <v/>
      </c>
      <c r="E550" s="20">
        <f>COUNTIFS(tData[SEHTrajectPeriodeDatumTijdVan],"&lt;="&amp;($A550+1/24),tData[SEHTrajectPeriodeDatumTijdTotEnMet],"&gt;"&amp;($A550+1/24),tData[Langligger01],1)</f>
        <v/>
      </c>
      <c r="F550" s="20">
        <f>COUNTIFS(tData[SEHTrajectPeriodeDatumTijdVan],"&lt;="&amp;($A550+2/24),tData[SEHTrajectPeriodeDatumTijdTotEnMet],"&gt;"&amp;($A550+2/24),tData[Langligger01],1)</f>
        <v/>
      </c>
      <c r="G550" s="20">
        <f>COUNTIFS(tData[SEHTrajectPeriodeDatumTijdVan],"&lt;="&amp;($A550+3/24),tData[SEHTrajectPeriodeDatumTijdTotEnMet],"&gt;"&amp;($A550+3/24),tData[Langligger01],1)</f>
        <v/>
      </c>
      <c r="H550" s="20">
        <f>COUNTIFS(tData[SEHTrajectPeriodeDatumTijdVan],"&lt;="&amp;($A550+4/24),tData[SEHTrajectPeriodeDatumTijdTotEnMet],"&gt;"&amp;($A550+4/24),tData[Langligger01],1)</f>
        <v/>
      </c>
      <c r="I550" s="20">
        <f>COUNTIFS(tData[SEHTrajectPeriodeDatumTijdVan],"&lt;="&amp;($A550+5/24),tData[SEHTrajectPeriodeDatumTijdTotEnMet],"&gt;"&amp;($A550+5/24),tData[Langligger01],1)</f>
        <v/>
      </c>
      <c r="J550" s="20">
        <f>COUNTIFS(tData[SEHTrajectPeriodeDatumTijdVan],"&lt;="&amp;($A550+6/24),tData[SEHTrajectPeriodeDatumTijdTotEnMet],"&gt;"&amp;($A550+6/24),tData[Langligger01],1)</f>
        <v/>
      </c>
      <c r="K550" s="20">
        <f>COUNTIFS(tData[SEHTrajectPeriodeDatumTijdVan],"&lt;="&amp;($A550+7/24),tData[SEHTrajectPeriodeDatumTijdTotEnMet],"&gt;"&amp;($A550+7/24),tData[Langligger01],1)</f>
        <v/>
      </c>
      <c r="L550" s="20">
        <f>COUNTIFS(tData[SEHTrajectPeriodeDatumTijdVan],"&lt;="&amp;($A550+8/24),tData[SEHTrajectPeriodeDatumTijdTotEnMet],"&gt;"&amp;($A550+8/24),tData[Langligger01],1)</f>
        <v/>
      </c>
      <c r="M550" s="20">
        <f>COUNTIFS(tData[SEHTrajectPeriodeDatumTijdVan],"&lt;="&amp;($A550+9/24),tData[SEHTrajectPeriodeDatumTijdTotEnMet],"&gt;"&amp;($A550+9/24),tData[Langligger01],1)</f>
        <v/>
      </c>
      <c r="N550" s="20">
        <f>COUNTIFS(tData[SEHTrajectPeriodeDatumTijdVan],"&lt;="&amp;($A550+10/24),tData[SEHTrajectPeriodeDatumTijdTotEnMet],"&gt;"&amp;($A550+10/24),tData[Langligger01],1)</f>
        <v/>
      </c>
      <c r="O550" s="20">
        <f>COUNTIFS(tData[SEHTrajectPeriodeDatumTijdVan],"&lt;="&amp;($A550+11/24),tData[SEHTrajectPeriodeDatumTijdTotEnMet],"&gt;"&amp;($A550+11/24),tData[Langligger01],1)</f>
        <v/>
      </c>
      <c r="P550" s="20">
        <f>COUNTIFS(tData[SEHTrajectPeriodeDatumTijdVan],"&lt;="&amp;($A550+12/24),tData[SEHTrajectPeriodeDatumTijdTotEnMet],"&gt;"&amp;($A550+12/24),tData[Langligger01],1)</f>
        <v/>
      </c>
      <c r="Q550" s="20">
        <f>COUNTIFS(tData[SEHTrajectPeriodeDatumTijdVan],"&lt;="&amp;($A550+13/24),tData[SEHTrajectPeriodeDatumTijdTotEnMet],"&gt;"&amp;($A550+13/24),tData[Langligger01],1)</f>
        <v/>
      </c>
      <c r="R550" s="20">
        <f>COUNTIFS(tData[SEHTrajectPeriodeDatumTijdVan],"&lt;="&amp;($A550+14/24),tData[SEHTrajectPeriodeDatumTijdTotEnMet],"&gt;"&amp;($A550+14/24),tData[Langligger01],1)</f>
        <v/>
      </c>
      <c r="S550" s="20">
        <f>COUNTIFS(tData[SEHTrajectPeriodeDatumTijdVan],"&lt;="&amp;($A550+15/24),tData[SEHTrajectPeriodeDatumTijdTotEnMet],"&gt;"&amp;($A550+15/24),tData[Langligger01],1)</f>
        <v/>
      </c>
      <c r="T550" s="20">
        <f>COUNTIFS(tData[SEHTrajectPeriodeDatumTijdVan],"&lt;="&amp;($A550+16/24),tData[SEHTrajectPeriodeDatumTijdTotEnMet],"&gt;"&amp;($A550+16/24),tData[Langligger01],1)</f>
        <v/>
      </c>
      <c r="U550" s="20">
        <f>COUNTIFS(tData[SEHTrajectPeriodeDatumTijdVan],"&lt;="&amp;($A550+17/24),tData[SEHTrajectPeriodeDatumTijdTotEnMet],"&gt;"&amp;($A550+17/24),tData[Langligger01],1)</f>
        <v/>
      </c>
      <c r="V550" s="20">
        <f>COUNTIFS(tData[SEHTrajectPeriodeDatumTijdVan],"&lt;="&amp;($A550+18/24),tData[SEHTrajectPeriodeDatumTijdTotEnMet],"&gt;"&amp;($A550+18/24),tData[Langligger01],1)</f>
        <v/>
      </c>
      <c r="W550" s="20">
        <f>COUNTIFS(tData[SEHTrajectPeriodeDatumTijdVan],"&lt;="&amp;($A550+19/24),tData[SEHTrajectPeriodeDatumTijdTotEnMet],"&gt;"&amp;($A550+19/24),tData[Langligger01],1)</f>
        <v/>
      </c>
      <c r="X550" s="20">
        <f>COUNTIFS(tData[SEHTrajectPeriodeDatumTijdVan],"&lt;="&amp;($A550+20/24),tData[SEHTrajectPeriodeDatumTijdTotEnMet],"&gt;"&amp;($A550+20/24),tData[Langligger01],1)</f>
        <v/>
      </c>
      <c r="Y550" s="20">
        <f>COUNTIFS(tData[SEHTrajectPeriodeDatumTijdVan],"&lt;="&amp;($A550+21/24),tData[SEHTrajectPeriodeDatumTijdTotEnMet],"&gt;"&amp;($A550+21/24),tData[Langligger01],1)</f>
        <v/>
      </c>
      <c r="Z550" s="20">
        <f>COUNTIFS(tData[SEHTrajectPeriodeDatumTijdVan],"&lt;="&amp;($A550+22/24),tData[SEHTrajectPeriodeDatumTijdTotEnMet],"&gt;"&amp;($A550+22/24),tData[Langligger01],1)</f>
        <v/>
      </c>
      <c r="AA550" s="20">
        <f>COUNTIFS(tData[SEHTrajectPeriodeDatumTijdVan],"&lt;="&amp;($A550+23/24),tData[SEHTrajectPeriodeDatumTijdTotEnMet],"&gt;"&amp;($A550+23/24),tData[Langligger01],1)</f>
        <v/>
      </c>
    </row>
    <row r="551">
      <c r="A551" s="19" t="n">
        <v>45839</v>
      </c>
      <c r="B551" s="15">
        <f>WEEKDAY($A551,2)</f>
        <v/>
      </c>
      <c r="C551" s="15">
        <f>IF(AND($A551&gt;=INT(Instellingen!$B$5),$A551&lt;=INT(Instellingen!$B$6)),1,0)</f>
        <v/>
      </c>
      <c r="D551" s="20">
        <f>COUNTIFS(tData[SEHTrajectPeriodeDatumTijdVan],"&lt;="&amp;($A551+0/24),tData[SEHTrajectPeriodeDatumTijdTotEnMet],"&gt;"&amp;($A551+0/24),tData[Langligger01],1)</f>
        <v/>
      </c>
      <c r="E551" s="20">
        <f>COUNTIFS(tData[SEHTrajectPeriodeDatumTijdVan],"&lt;="&amp;($A551+1/24),tData[SEHTrajectPeriodeDatumTijdTotEnMet],"&gt;"&amp;($A551+1/24),tData[Langligger01],1)</f>
        <v/>
      </c>
      <c r="F551" s="20">
        <f>COUNTIFS(tData[SEHTrajectPeriodeDatumTijdVan],"&lt;="&amp;($A551+2/24),tData[SEHTrajectPeriodeDatumTijdTotEnMet],"&gt;"&amp;($A551+2/24),tData[Langligger01],1)</f>
        <v/>
      </c>
      <c r="G551" s="20">
        <f>COUNTIFS(tData[SEHTrajectPeriodeDatumTijdVan],"&lt;="&amp;($A551+3/24),tData[SEHTrajectPeriodeDatumTijdTotEnMet],"&gt;"&amp;($A551+3/24),tData[Langligger01],1)</f>
        <v/>
      </c>
      <c r="H551" s="20">
        <f>COUNTIFS(tData[SEHTrajectPeriodeDatumTijdVan],"&lt;="&amp;($A551+4/24),tData[SEHTrajectPeriodeDatumTijdTotEnMet],"&gt;"&amp;($A551+4/24),tData[Langligger01],1)</f>
        <v/>
      </c>
      <c r="I551" s="20">
        <f>COUNTIFS(tData[SEHTrajectPeriodeDatumTijdVan],"&lt;="&amp;($A551+5/24),tData[SEHTrajectPeriodeDatumTijdTotEnMet],"&gt;"&amp;($A551+5/24),tData[Langligger01],1)</f>
        <v/>
      </c>
      <c r="J551" s="20">
        <f>COUNTIFS(tData[SEHTrajectPeriodeDatumTijdVan],"&lt;="&amp;($A551+6/24),tData[SEHTrajectPeriodeDatumTijdTotEnMet],"&gt;"&amp;($A551+6/24),tData[Langligger01],1)</f>
        <v/>
      </c>
      <c r="K551" s="20">
        <f>COUNTIFS(tData[SEHTrajectPeriodeDatumTijdVan],"&lt;="&amp;($A551+7/24),tData[SEHTrajectPeriodeDatumTijdTotEnMet],"&gt;"&amp;($A551+7/24),tData[Langligger01],1)</f>
        <v/>
      </c>
      <c r="L551" s="20">
        <f>COUNTIFS(tData[SEHTrajectPeriodeDatumTijdVan],"&lt;="&amp;($A551+8/24),tData[SEHTrajectPeriodeDatumTijdTotEnMet],"&gt;"&amp;($A551+8/24),tData[Langligger01],1)</f>
        <v/>
      </c>
      <c r="M551" s="20">
        <f>COUNTIFS(tData[SEHTrajectPeriodeDatumTijdVan],"&lt;="&amp;($A551+9/24),tData[SEHTrajectPeriodeDatumTijdTotEnMet],"&gt;"&amp;($A551+9/24),tData[Langligger01],1)</f>
        <v/>
      </c>
      <c r="N551" s="20">
        <f>COUNTIFS(tData[SEHTrajectPeriodeDatumTijdVan],"&lt;="&amp;($A551+10/24),tData[SEHTrajectPeriodeDatumTijdTotEnMet],"&gt;"&amp;($A551+10/24),tData[Langligger01],1)</f>
        <v/>
      </c>
      <c r="O551" s="20">
        <f>COUNTIFS(tData[SEHTrajectPeriodeDatumTijdVan],"&lt;="&amp;($A551+11/24),tData[SEHTrajectPeriodeDatumTijdTotEnMet],"&gt;"&amp;($A551+11/24),tData[Langligger01],1)</f>
        <v/>
      </c>
      <c r="P551" s="20">
        <f>COUNTIFS(tData[SEHTrajectPeriodeDatumTijdVan],"&lt;="&amp;($A551+12/24),tData[SEHTrajectPeriodeDatumTijdTotEnMet],"&gt;"&amp;($A551+12/24),tData[Langligger01],1)</f>
        <v/>
      </c>
      <c r="Q551" s="20">
        <f>COUNTIFS(tData[SEHTrajectPeriodeDatumTijdVan],"&lt;="&amp;($A551+13/24),tData[SEHTrajectPeriodeDatumTijdTotEnMet],"&gt;"&amp;($A551+13/24),tData[Langligger01],1)</f>
        <v/>
      </c>
      <c r="R551" s="20">
        <f>COUNTIFS(tData[SEHTrajectPeriodeDatumTijdVan],"&lt;="&amp;($A551+14/24),tData[SEHTrajectPeriodeDatumTijdTotEnMet],"&gt;"&amp;($A551+14/24),tData[Langligger01],1)</f>
        <v/>
      </c>
      <c r="S551" s="20">
        <f>COUNTIFS(tData[SEHTrajectPeriodeDatumTijdVan],"&lt;="&amp;($A551+15/24),tData[SEHTrajectPeriodeDatumTijdTotEnMet],"&gt;"&amp;($A551+15/24),tData[Langligger01],1)</f>
        <v/>
      </c>
      <c r="T551" s="20">
        <f>COUNTIFS(tData[SEHTrajectPeriodeDatumTijdVan],"&lt;="&amp;($A551+16/24),tData[SEHTrajectPeriodeDatumTijdTotEnMet],"&gt;"&amp;($A551+16/24),tData[Langligger01],1)</f>
        <v/>
      </c>
      <c r="U551" s="20">
        <f>COUNTIFS(tData[SEHTrajectPeriodeDatumTijdVan],"&lt;="&amp;($A551+17/24),tData[SEHTrajectPeriodeDatumTijdTotEnMet],"&gt;"&amp;($A551+17/24),tData[Langligger01],1)</f>
        <v/>
      </c>
      <c r="V551" s="20">
        <f>COUNTIFS(tData[SEHTrajectPeriodeDatumTijdVan],"&lt;="&amp;($A551+18/24),tData[SEHTrajectPeriodeDatumTijdTotEnMet],"&gt;"&amp;($A551+18/24),tData[Langligger01],1)</f>
        <v/>
      </c>
      <c r="W551" s="20">
        <f>COUNTIFS(tData[SEHTrajectPeriodeDatumTijdVan],"&lt;="&amp;($A551+19/24),tData[SEHTrajectPeriodeDatumTijdTotEnMet],"&gt;"&amp;($A551+19/24),tData[Langligger01],1)</f>
        <v/>
      </c>
      <c r="X551" s="20">
        <f>COUNTIFS(tData[SEHTrajectPeriodeDatumTijdVan],"&lt;="&amp;($A551+20/24),tData[SEHTrajectPeriodeDatumTijdTotEnMet],"&gt;"&amp;($A551+20/24),tData[Langligger01],1)</f>
        <v/>
      </c>
      <c r="Y551" s="20">
        <f>COUNTIFS(tData[SEHTrajectPeriodeDatumTijdVan],"&lt;="&amp;($A551+21/24),tData[SEHTrajectPeriodeDatumTijdTotEnMet],"&gt;"&amp;($A551+21/24),tData[Langligger01],1)</f>
        <v/>
      </c>
      <c r="Z551" s="20">
        <f>COUNTIFS(tData[SEHTrajectPeriodeDatumTijdVan],"&lt;="&amp;($A551+22/24),tData[SEHTrajectPeriodeDatumTijdTotEnMet],"&gt;"&amp;($A551+22/24),tData[Langligger01],1)</f>
        <v/>
      </c>
      <c r="AA551" s="20">
        <f>COUNTIFS(tData[SEHTrajectPeriodeDatumTijdVan],"&lt;="&amp;($A551+23/24),tData[SEHTrajectPeriodeDatumTijdTotEnMet],"&gt;"&amp;($A551+23/24),tData[Langligger01],1)</f>
        <v/>
      </c>
    </row>
    <row r="552">
      <c r="A552" s="19" t="n">
        <v>45840</v>
      </c>
      <c r="B552" s="15">
        <f>WEEKDAY($A552,2)</f>
        <v/>
      </c>
      <c r="C552" s="15">
        <f>IF(AND($A552&gt;=INT(Instellingen!$B$5),$A552&lt;=INT(Instellingen!$B$6)),1,0)</f>
        <v/>
      </c>
      <c r="D552" s="20">
        <f>COUNTIFS(tData[SEHTrajectPeriodeDatumTijdVan],"&lt;="&amp;($A552+0/24),tData[SEHTrajectPeriodeDatumTijdTotEnMet],"&gt;"&amp;($A552+0/24),tData[Langligger01],1)</f>
        <v/>
      </c>
      <c r="E552" s="20">
        <f>COUNTIFS(tData[SEHTrajectPeriodeDatumTijdVan],"&lt;="&amp;($A552+1/24),tData[SEHTrajectPeriodeDatumTijdTotEnMet],"&gt;"&amp;($A552+1/24),tData[Langligger01],1)</f>
        <v/>
      </c>
      <c r="F552" s="20">
        <f>COUNTIFS(tData[SEHTrajectPeriodeDatumTijdVan],"&lt;="&amp;($A552+2/24),tData[SEHTrajectPeriodeDatumTijdTotEnMet],"&gt;"&amp;($A552+2/24),tData[Langligger01],1)</f>
        <v/>
      </c>
      <c r="G552" s="20">
        <f>COUNTIFS(tData[SEHTrajectPeriodeDatumTijdVan],"&lt;="&amp;($A552+3/24),tData[SEHTrajectPeriodeDatumTijdTotEnMet],"&gt;"&amp;($A552+3/24),tData[Langligger01],1)</f>
        <v/>
      </c>
      <c r="H552" s="20">
        <f>COUNTIFS(tData[SEHTrajectPeriodeDatumTijdVan],"&lt;="&amp;($A552+4/24),tData[SEHTrajectPeriodeDatumTijdTotEnMet],"&gt;"&amp;($A552+4/24),tData[Langligger01],1)</f>
        <v/>
      </c>
      <c r="I552" s="20">
        <f>COUNTIFS(tData[SEHTrajectPeriodeDatumTijdVan],"&lt;="&amp;($A552+5/24),tData[SEHTrajectPeriodeDatumTijdTotEnMet],"&gt;"&amp;($A552+5/24),tData[Langligger01],1)</f>
        <v/>
      </c>
      <c r="J552" s="20">
        <f>COUNTIFS(tData[SEHTrajectPeriodeDatumTijdVan],"&lt;="&amp;($A552+6/24),tData[SEHTrajectPeriodeDatumTijdTotEnMet],"&gt;"&amp;($A552+6/24),tData[Langligger01],1)</f>
        <v/>
      </c>
      <c r="K552" s="20">
        <f>COUNTIFS(tData[SEHTrajectPeriodeDatumTijdVan],"&lt;="&amp;($A552+7/24),tData[SEHTrajectPeriodeDatumTijdTotEnMet],"&gt;"&amp;($A552+7/24),tData[Langligger01],1)</f>
        <v/>
      </c>
      <c r="L552" s="20">
        <f>COUNTIFS(tData[SEHTrajectPeriodeDatumTijdVan],"&lt;="&amp;($A552+8/24),tData[SEHTrajectPeriodeDatumTijdTotEnMet],"&gt;"&amp;($A552+8/24),tData[Langligger01],1)</f>
        <v/>
      </c>
      <c r="M552" s="20">
        <f>COUNTIFS(tData[SEHTrajectPeriodeDatumTijdVan],"&lt;="&amp;($A552+9/24),tData[SEHTrajectPeriodeDatumTijdTotEnMet],"&gt;"&amp;($A552+9/24),tData[Langligger01],1)</f>
        <v/>
      </c>
      <c r="N552" s="20">
        <f>COUNTIFS(tData[SEHTrajectPeriodeDatumTijdVan],"&lt;="&amp;($A552+10/24),tData[SEHTrajectPeriodeDatumTijdTotEnMet],"&gt;"&amp;($A552+10/24),tData[Langligger01],1)</f>
        <v/>
      </c>
      <c r="O552" s="20">
        <f>COUNTIFS(tData[SEHTrajectPeriodeDatumTijdVan],"&lt;="&amp;($A552+11/24),tData[SEHTrajectPeriodeDatumTijdTotEnMet],"&gt;"&amp;($A552+11/24),tData[Langligger01],1)</f>
        <v/>
      </c>
      <c r="P552" s="20">
        <f>COUNTIFS(tData[SEHTrajectPeriodeDatumTijdVan],"&lt;="&amp;($A552+12/24),tData[SEHTrajectPeriodeDatumTijdTotEnMet],"&gt;"&amp;($A552+12/24),tData[Langligger01],1)</f>
        <v/>
      </c>
      <c r="Q552" s="20">
        <f>COUNTIFS(tData[SEHTrajectPeriodeDatumTijdVan],"&lt;="&amp;($A552+13/24),tData[SEHTrajectPeriodeDatumTijdTotEnMet],"&gt;"&amp;($A552+13/24),tData[Langligger01],1)</f>
        <v/>
      </c>
      <c r="R552" s="20">
        <f>COUNTIFS(tData[SEHTrajectPeriodeDatumTijdVan],"&lt;="&amp;($A552+14/24),tData[SEHTrajectPeriodeDatumTijdTotEnMet],"&gt;"&amp;($A552+14/24),tData[Langligger01],1)</f>
        <v/>
      </c>
      <c r="S552" s="20">
        <f>COUNTIFS(tData[SEHTrajectPeriodeDatumTijdVan],"&lt;="&amp;($A552+15/24),tData[SEHTrajectPeriodeDatumTijdTotEnMet],"&gt;"&amp;($A552+15/24),tData[Langligger01],1)</f>
        <v/>
      </c>
      <c r="T552" s="20">
        <f>COUNTIFS(tData[SEHTrajectPeriodeDatumTijdVan],"&lt;="&amp;($A552+16/24),tData[SEHTrajectPeriodeDatumTijdTotEnMet],"&gt;"&amp;($A552+16/24),tData[Langligger01],1)</f>
        <v/>
      </c>
      <c r="U552" s="20">
        <f>COUNTIFS(tData[SEHTrajectPeriodeDatumTijdVan],"&lt;="&amp;($A552+17/24),tData[SEHTrajectPeriodeDatumTijdTotEnMet],"&gt;"&amp;($A552+17/24),tData[Langligger01],1)</f>
        <v/>
      </c>
      <c r="V552" s="20">
        <f>COUNTIFS(tData[SEHTrajectPeriodeDatumTijdVan],"&lt;="&amp;($A552+18/24),tData[SEHTrajectPeriodeDatumTijdTotEnMet],"&gt;"&amp;($A552+18/24),tData[Langligger01],1)</f>
        <v/>
      </c>
      <c r="W552" s="20">
        <f>COUNTIFS(tData[SEHTrajectPeriodeDatumTijdVan],"&lt;="&amp;($A552+19/24),tData[SEHTrajectPeriodeDatumTijdTotEnMet],"&gt;"&amp;($A552+19/24),tData[Langligger01],1)</f>
        <v/>
      </c>
      <c r="X552" s="20">
        <f>COUNTIFS(tData[SEHTrajectPeriodeDatumTijdVan],"&lt;="&amp;($A552+20/24),tData[SEHTrajectPeriodeDatumTijdTotEnMet],"&gt;"&amp;($A552+20/24),tData[Langligger01],1)</f>
        <v/>
      </c>
      <c r="Y552" s="20">
        <f>COUNTIFS(tData[SEHTrajectPeriodeDatumTijdVan],"&lt;="&amp;($A552+21/24),tData[SEHTrajectPeriodeDatumTijdTotEnMet],"&gt;"&amp;($A552+21/24),tData[Langligger01],1)</f>
        <v/>
      </c>
      <c r="Z552" s="20">
        <f>COUNTIFS(tData[SEHTrajectPeriodeDatumTijdVan],"&lt;="&amp;($A552+22/24),tData[SEHTrajectPeriodeDatumTijdTotEnMet],"&gt;"&amp;($A552+22/24),tData[Langligger01],1)</f>
        <v/>
      </c>
      <c r="AA552" s="20">
        <f>COUNTIFS(tData[SEHTrajectPeriodeDatumTijdVan],"&lt;="&amp;($A552+23/24),tData[SEHTrajectPeriodeDatumTijdTotEnMet],"&gt;"&amp;($A552+23/24),tData[Langligger01],1)</f>
        <v/>
      </c>
    </row>
    <row r="553">
      <c r="A553" s="19" t="n">
        <v>45841</v>
      </c>
      <c r="B553" s="15">
        <f>WEEKDAY($A553,2)</f>
        <v/>
      </c>
      <c r="C553" s="15">
        <f>IF(AND($A553&gt;=INT(Instellingen!$B$5),$A553&lt;=INT(Instellingen!$B$6)),1,0)</f>
        <v/>
      </c>
      <c r="D553" s="20">
        <f>COUNTIFS(tData[SEHTrajectPeriodeDatumTijdVan],"&lt;="&amp;($A553+0/24),tData[SEHTrajectPeriodeDatumTijdTotEnMet],"&gt;"&amp;($A553+0/24),tData[Langligger01],1)</f>
        <v/>
      </c>
      <c r="E553" s="20">
        <f>COUNTIFS(tData[SEHTrajectPeriodeDatumTijdVan],"&lt;="&amp;($A553+1/24),tData[SEHTrajectPeriodeDatumTijdTotEnMet],"&gt;"&amp;($A553+1/24),tData[Langligger01],1)</f>
        <v/>
      </c>
      <c r="F553" s="20">
        <f>COUNTIFS(tData[SEHTrajectPeriodeDatumTijdVan],"&lt;="&amp;($A553+2/24),tData[SEHTrajectPeriodeDatumTijdTotEnMet],"&gt;"&amp;($A553+2/24),tData[Langligger01],1)</f>
        <v/>
      </c>
      <c r="G553" s="20">
        <f>COUNTIFS(tData[SEHTrajectPeriodeDatumTijdVan],"&lt;="&amp;($A553+3/24),tData[SEHTrajectPeriodeDatumTijdTotEnMet],"&gt;"&amp;($A553+3/24),tData[Langligger01],1)</f>
        <v/>
      </c>
      <c r="H553" s="20">
        <f>COUNTIFS(tData[SEHTrajectPeriodeDatumTijdVan],"&lt;="&amp;($A553+4/24),tData[SEHTrajectPeriodeDatumTijdTotEnMet],"&gt;"&amp;($A553+4/24),tData[Langligger01],1)</f>
        <v/>
      </c>
      <c r="I553" s="20">
        <f>COUNTIFS(tData[SEHTrajectPeriodeDatumTijdVan],"&lt;="&amp;($A553+5/24),tData[SEHTrajectPeriodeDatumTijdTotEnMet],"&gt;"&amp;($A553+5/24),tData[Langligger01],1)</f>
        <v/>
      </c>
      <c r="J553" s="20">
        <f>COUNTIFS(tData[SEHTrajectPeriodeDatumTijdVan],"&lt;="&amp;($A553+6/24),tData[SEHTrajectPeriodeDatumTijdTotEnMet],"&gt;"&amp;($A553+6/24),tData[Langligger01],1)</f>
        <v/>
      </c>
      <c r="K553" s="20">
        <f>COUNTIFS(tData[SEHTrajectPeriodeDatumTijdVan],"&lt;="&amp;($A553+7/24),tData[SEHTrajectPeriodeDatumTijdTotEnMet],"&gt;"&amp;($A553+7/24),tData[Langligger01],1)</f>
        <v/>
      </c>
      <c r="L553" s="20">
        <f>COUNTIFS(tData[SEHTrajectPeriodeDatumTijdVan],"&lt;="&amp;($A553+8/24),tData[SEHTrajectPeriodeDatumTijdTotEnMet],"&gt;"&amp;($A553+8/24),tData[Langligger01],1)</f>
        <v/>
      </c>
      <c r="M553" s="20">
        <f>COUNTIFS(tData[SEHTrajectPeriodeDatumTijdVan],"&lt;="&amp;($A553+9/24),tData[SEHTrajectPeriodeDatumTijdTotEnMet],"&gt;"&amp;($A553+9/24),tData[Langligger01],1)</f>
        <v/>
      </c>
      <c r="N553" s="20">
        <f>COUNTIFS(tData[SEHTrajectPeriodeDatumTijdVan],"&lt;="&amp;($A553+10/24),tData[SEHTrajectPeriodeDatumTijdTotEnMet],"&gt;"&amp;($A553+10/24),tData[Langligger01],1)</f>
        <v/>
      </c>
      <c r="O553" s="20">
        <f>COUNTIFS(tData[SEHTrajectPeriodeDatumTijdVan],"&lt;="&amp;($A553+11/24),tData[SEHTrajectPeriodeDatumTijdTotEnMet],"&gt;"&amp;($A553+11/24),tData[Langligger01],1)</f>
        <v/>
      </c>
      <c r="P553" s="20">
        <f>COUNTIFS(tData[SEHTrajectPeriodeDatumTijdVan],"&lt;="&amp;($A553+12/24),tData[SEHTrajectPeriodeDatumTijdTotEnMet],"&gt;"&amp;($A553+12/24),tData[Langligger01],1)</f>
        <v/>
      </c>
      <c r="Q553" s="20">
        <f>COUNTIFS(tData[SEHTrajectPeriodeDatumTijdVan],"&lt;="&amp;($A553+13/24),tData[SEHTrajectPeriodeDatumTijdTotEnMet],"&gt;"&amp;($A553+13/24),tData[Langligger01],1)</f>
        <v/>
      </c>
      <c r="R553" s="20">
        <f>COUNTIFS(tData[SEHTrajectPeriodeDatumTijdVan],"&lt;="&amp;($A553+14/24),tData[SEHTrajectPeriodeDatumTijdTotEnMet],"&gt;"&amp;($A553+14/24),tData[Langligger01],1)</f>
        <v/>
      </c>
      <c r="S553" s="20">
        <f>COUNTIFS(tData[SEHTrajectPeriodeDatumTijdVan],"&lt;="&amp;($A553+15/24),tData[SEHTrajectPeriodeDatumTijdTotEnMet],"&gt;"&amp;($A553+15/24),tData[Langligger01],1)</f>
        <v/>
      </c>
      <c r="T553" s="20">
        <f>COUNTIFS(tData[SEHTrajectPeriodeDatumTijdVan],"&lt;="&amp;($A553+16/24),tData[SEHTrajectPeriodeDatumTijdTotEnMet],"&gt;"&amp;($A553+16/24),tData[Langligger01],1)</f>
        <v/>
      </c>
      <c r="U553" s="20">
        <f>COUNTIFS(tData[SEHTrajectPeriodeDatumTijdVan],"&lt;="&amp;($A553+17/24),tData[SEHTrajectPeriodeDatumTijdTotEnMet],"&gt;"&amp;($A553+17/24),tData[Langligger01],1)</f>
        <v/>
      </c>
      <c r="V553" s="20">
        <f>COUNTIFS(tData[SEHTrajectPeriodeDatumTijdVan],"&lt;="&amp;($A553+18/24),tData[SEHTrajectPeriodeDatumTijdTotEnMet],"&gt;"&amp;($A553+18/24),tData[Langligger01],1)</f>
        <v/>
      </c>
      <c r="W553" s="20">
        <f>COUNTIFS(tData[SEHTrajectPeriodeDatumTijdVan],"&lt;="&amp;($A553+19/24),tData[SEHTrajectPeriodeDatumTijdTotEnMet],"&gt;"&amp;($A553+19/24),tData[Langligger01],1)</f>
        <v/>
      </c>
      <c r="X553" s="20">
        <f>COUNTIFS(tData[SEHTrajectPeriodeDatumTijdVan],"&lt;="&amp;($A553+20/24),tData[SEHTrajectPeriodeDatumTijdTotEnMet],"&gt;"&amp;($A553+20/24),tData[Langligger01],1)</f>
        <v/>
      </c>
      <c r="Y553" s="20">
        <f>COUNTIFS(tData[SEHTrajectPeriodeDatumTijdVan],"&lt;="&amp;($A553+21/24),tData[SEHTrajectPeriodeDatumTijdTotEnMet],"&gt;"&amp;($A553+21/24),tData[Langligger01],1)</f>
        <v/>
      </c>
      <c r="Z553" s="20">
        <f>COUNTIFS(tData[SEHTrajectPeriodeDatumTijdVan],"&lt;="&amp;($A553+22/24),tData[SEHTrajectPeriodeDatumTijdTotEnMet],"&gt;"&amp;($A553+22/24),tData[Langligger01],1)</f>
        <v/>
      </c>
      <c r="AA553" s="20">
        <f>COUNTIFS(tData[SEHTrajectPeriodeDatumTijdVan],"&lt;="&amp;($A553+23/24),tData[SEHTrajectPeriodeDatumTijdTotEnMet],"&gt;"&amp;($A553+23/24),tData[Langligger01],1)</f>
        <v/>
      </c>
    </row>
    <row r="554">
      <c r="A554" s="19" t="n">
        <v>45842</v>
      </c>
      <c r="B554" s="15">
        <f>WEEKDAY($A554,2)</f>
        <v/>
      </c>
      <c r="C554" s="15">
        <f>IF(AND($A554&gt;=INT(Instellingen!$B$5),$A554&lt;=INT(Instellingen!$B$6)),1,0)</f>
        <v/>
      </c>
      <c r="D554" s="20">
        <f>COUNTIFS(tData[SEHTrajectPeriodeDatumTijdVan],"&lt;="&amp;($A554+0/24),tData[SEHTrajectPeriodeDatumTijdTotEnMet],"&gt;"&amp;($A554+0/24),tData[Langligger01],1)</f>
        <v/>
      </c>
      <c r="E554" s="20">
        <f>COUNTIFS(tData[SEHTrajectPeriodeDatumTijdVan],"&lt;="&amp;($A554+1/24),tData[SEHTrajectPeriodeDatumTijdTotEnMet],"&gt;"&amp;($A554+1/24),tData[Langligger01],1)</f>
        <v/>
      </c>
      <c r="F554" s="20">
        <f>COUNTIFS(tData[SEHTrajectPeriodeDatumTijdVan],"&lt;="&amp;($A554+2/24),tData[SEHTrajectPeriodeDatumTijdTotEnMet],"&gt;"&amp;($A554+2/24),tData[Langligger01],1)</f>
        <v/>
      </c>
      <c r="G554" s="20">
        <f>COUNTIFS(tData[SEHTrajectPeriodeDatumTijdVan],"&lt;="&amp;($A554+3/24),tData[SEHTrajectPeriodeDatumTijdTotEnMet],"&gt;"&amp;($A554+3/24),tData[Langligger01],1)</f>
        <v/>
      </c>
      <c r="H554" s="20">
        <f>COUNTIFS(tData[SEHTrajectPeriodeDatumTijdVan],"&lt;="&amp;($A554+4/24),tData[SEHTrajectPeriodeDatumTijdTotEnMet],"&gt;"&amp;($A554+4/24),tData[Langligger01],1)</f>
        <v/>
      </c>
      <c r="I554" s="20">
        <f>COUNTIFS(tData[SEHTrajectPeriodeDatumTijdVan],"&lt;="&amp;($A554+5/24),tData[SEHTrajectPeriodeDatumTijdTotEnMet],"&gt;"&amp;($A554+5/24),tData[Langligger01],1)</f>
        <v/>
      </c>
      <c r="J554" s="20">
        <f>COUNTIFS(tData[SEHTrajectPeriodeDatumTijdVan],"&lt;="&amp;($A554+6/24),tData[SEHTrajectPeriodeDatumTijdTotEnMet],"&gt;"&amp;($A554+6/24),tData[Langligger01],1)</f>
        <v/>
      </c>
      <c r="K554" s="20">
        <f>COUNTIFS(tData[SEHTrajectPeriodeDatumTijdVan],"&lt;="&amp;($A554+7/24),tData[SEHTrajectPeriodeDatumTijdTotEnMet],"&gt;"&amp;($A554+7/24),tData[Langligger01],1)</f>
        <v/>
      </c>
      <c r="L554" s="20">
        <f>COUNTIFS(tData[SEHTrajectPeriodeDatumTijdVan],"&lt;="&amp;($A554+8/24),tData[SEHTrajectPeriodeDatumTijdTotEnMet],"&gt;"&amp;($A554+8/24),tData[Langligger01],1)</f>
        <v/>
      </c>
      <c r="M554" s="20">
        <f>COUNTIFS(tData[SEHTrajectPeriodeDatumTijdVan],"&lt;="&amp;($A554+9/24),tData[SEHTrajectPeriodeDatumTijdTotEnMet],"&gt;"&amp;($A554+9/24),tData[Langligger01],1)</f>
        <v/>
      </c>
      <c r="N554" s="20">
        <f>COUNTIFS(tData[SEHTrajectPeriodeDatumTijdVan],"&lt;="&amp;($A554+10/24),tData[SEHTrajectPeriodeDatumTijdTotEnMet],"&gt;"&amp;($A554+10/24),tData[Langligger01],1)</f>
        <v/>
      </c>
      <c r="O554" s="20">
        <f>COUNTIFS(tData[SEHTrajectPeriodeDatumTijdVan],"&lt;="&amp;($A554+11/24),tData[SEHTrajectPeriodeDatumTijdTotEnMet],"&gt;"&amp;($A554+11/24),tData[Langligger01],1)</f>
        <v/>
      </c>
      <c r="P554" s="20">
        <f>COUNTIFS(tData[SEHTrajectPeriodeDatumTijdVan],"&lt;="&amp;($A554+12/24),tData[SEHTrajectPeriodeDatumTijdTotEnMet],"&gt;"&amp;($A554+12/24),tData[Langligger01],1)</f>
        <v/>
      </c>
      <c r="Q554" s="20">
        <f>COUNTIFS(tData[SEHTrajectPeriodeDatumTijdVan],"&lt;="&amp;($A554+13/24),tData[SEHTrajectPeriodeDatumTijdTotEnMet],"&gt;"&amp;($A554+13/24),tData[Langligger01],1)</f>
        <v/>
      </c>
      <c r="R554" s="20">
        <f>COUNTIFS(tData[SEHTrajectPeriodeDatumTijdVan],"&lt;="&amp;($A554+14/24),tData[SEHTrajectPeriodeDatumTijdTotEnMet],"&gt;"&amp;($A554+14/24),tData[Langligger01],1)</f>
        <v/>
      </c>
      <c r="S554" s="20">
        <f>COUNTIFS(tData[SEHTrajectPeriodeDatumTijdVan],"&lt;="&amp;($A554+15/24),tData[SEHTrajectPeriodeDatumTijdTotEnMet],"&gt;"&amp;($A554+15/24),tData[Langligger01],1)</f>
        <v/>
      </c>
      <c r="T554" s="20">
        <f>COUNTIFS(tData[SEHTrajectPeriodeDatumTijdVan],"&lt;="&amp;($A554+16/24),tData[SEHTrajectPeriodeDatumTijdTotEnMet],"&gt;"&amp;($A554+16/24),tData[Langligger01],1)</f>
        <v/>
      </c>
      <c r="U554" s="20">
        <f>COUNTIFS(tData[SEHTrajectPeriodeDatumTijdVan],"&lt;="&amp;($A554+17/24),tData[SEHTrajectPeriodeDatumTijdTotEnMet],"&gt;"&amp;($A554+17/24),tData[Langligger01],1)</f>
        <v/>
      </c>
      <c r="V554" s="20">
        <f>COUNTIFS(tData[SEHTrajectPeriodeDatumTijdVan],"&lt;="&amp;($A554+18/24),tData[SEHTrajectPeriodeDatumTijdTotEnMet],"&gt;"&amp;($A554+18/24),tData[Langligger01],1)</f>
        <v/>
      </c>
      <c r="W554" s="20">
        <f>COUNTIFS(tData[SEHTrajectPeriodeDatumTijdVan],"&lt;="&amp;($A554+19/24),tData[SEHTrajectPeriodeDatumTijdTotEnMet],"&gt;"&amp;($A554+19/24),tData[Langligger01],1)</f>
        <v/>
      </c>
      <c r="X554" s="20">
        <f>COUNTIFS(tData[SEHTrajectPeriodeDatumTijdVan],"&lt;="&amp;($A554+20/24),tData[SEHTrajectPeriodeDatumTijdTotEnMet],"&gt;"&amp;($A554+20/24),tData[Langligger01],1)</f>
        <v/>
      </c>
      <c r="Y554" s="20">
        <f>COUNTIFS(tData[SEHTrajectPeriodeDatumTijdVan],"&lt;="&amp;($A554+21/24),tData[SEHTrajectPeriodeDatumTijdTotEnMet],"&gt;"&amp;($A554+21/24),tData[Langligger01],1)</f>
        <v/>
      </c>
      <c r="Z554" s="20">
        <f>COUNTIFS(tData[SEHTrajectPeriodeDatumTijdVan],"&lt;="&amp;($A554+22/24),tData[SEHTrajectPeriodeDatumTijdTotEnMet],"&gt;"&amp;($A554+22/24),tData[Langligger01],1)</f>
        <v/>
      </c>
      <c r="AA554" s="20">
        <f>COUNTIFS(tData[SEHTrajectPeriodeDatumTijdVan],"&lt;="&amp;($A554+23/24),tData[SEHTrajectPeriodeDatumTijdTotEnMet],"&gt;"&amp;($A554+23/24),tData[Langligger01],1)</f>
        <v/>
      </c>
    </row>
    <row r="555">
      <c r="A555" s="19" t="n">
        <v>45843</v>
      </c>
      <c r="B555" s="15">
        <f>WEEKDAY($A555,2)</f>
        <v/>
      </c>
      <c r="C555" s="15">
        <f>IF(AND($A555&gt;=INT(Instellingen!$B$5),$A555&lt;=INT(Instellingen!$B$6)),1,0)</f>
        <v/>
      </c>
      <c r="D555" s="20">
        <f>COUNTIFS(tData[SEHTrajectPeriodeDatumTijdVan],"&lt;="&amp;($A555+0/24),tData[SEHTrajectPeriodeDatumTijdTotEnMet],"&gt;"&amp;($A555+0/24),tData[Langligger01],1)</f>
        <v/>
      </c>
      <c r="E555" s="20">
        <f>COUNTIFS(tData[SEHTrajectPeriodeDatumTijdVan],"&lt;="&amp;($A555+1/24),tData[SEHTrajectPeriodeDatumTijdTotEnMet],"&gt;"&amp;($A555+1/24),tData[Langligger01],1)</f>
        <v/>
      </c>
      <c r="F555" s="20">
        <f>COUNTIFS(tData[SEHTrajectPeriodeDatumTijdVan],"&lt;="&amp;($A555+2/24),tData[SEHTrajectPeriodeDatumTijdTotEnMet],"&gt;"&amp;($A555+2/24),tData[Langligger01],1)</f>
        <v/>
      </c>
      <c r="G555" s="20">
        <f>COUNTIFS(tData[SEHTrajectPeriodeDatumTijdVan],"&lt;="&amp;($A555+3/24),tData[SEHTrajectPeriodeDatumTijdTotEnMet],"&gt;"&amp;($A555+3/24),tData[Langligger01],1)</f>
        <v/>
      </c>
      <c r="H555" s="20">
        <f>COUNTIFS(tData[SEHTrajectPeriodeDatumTijdVan],"&lt;="&amp;($A555+4/24),tData[SEHTrajectPeriodeDatumTijdTotEnMet],"&gt;"&amp;($A555+4/24),tData[Langligger01],1)</f>
        <v/>
      </c>
      <c r="I555" s="20">
        <f>COUNTIFS(tData[SEHTrajectPeriodeDatumTijdVan],"&lt;="&amp;($A555+5/24),tData[SEHTrajectPeriodeDatumTijdTotEnMet],"&gt;"&amp;($A555+5/24),tData[Langligger01],1)</f>
        <v/>
      </c>
      <c r="J555" s="20">
        <f>COUNTIFS(tData[SEHTrajectPeriodeDatumTijdVan],"&lt;="&amp;($A555+6/24),tData[SEHTrajectPeriodeDatumTijdTotEnMet],"&gt;"&amp;($A555+6/24),tData[Langligger01],1)</f>
        <v/>
      </c>
      <c r="K555" s="20">
        <f>COUNTIFS(tData[SEHTrajectPeriodeDatumTijdVan],"&lt;="&amp;($A555+7/24),tData[SEHTrajectPeriodeDatumTijdTotEnMet],"&gt;"&amp;($A555+7/24),tData[Langligger01],1)</f>
        <v/>
      </c>
      <c r="L555" s="20">
        <f>COUNTIFS(tData[SEHTrajectPeriodeDatumTijdVan],"&lt;="&amp;($A555+8/24),tData[SEHTrajectPeriodeDatumTijdTotEnMet],"&gt;"&amp;($A555+8/24),tData[Langligger01],1)</f>
        <v/>
      </c>
      <c r="M555" s="20">
        <f>COUNTIFS(tData[SEHTrajectPeriodeDatumTijdVan],"&lt;="&amp;($A555+9/24),tData[SEHTrajectPeriodeDatumTijdTotEnMet],"&gt;"&amp;($A555+9/24),tData[Langligger01],1)</f>
        <v/>
      </c>
      <c r="N555" s="20">
        <f>COUNTIFS(tData[SEHTrajectPeriodeDatumTijdVan],"&lt;="&amp;($A555+10/24),tData[SEHTrajectPeriodeDatumTijdTotEnMet],"&gt;"&amp;($A555+10/24),tData[Langligger01],1)</f>
        <v/>
      </c>
      <c r="O555" s="20">
        <f>COUNTIFS(tData[SEHTrajectPeriodeDatumTijdVan],"&lt;="&amp;($A555+11/24),tData[SEHTrajectPeriodeDatumTijdTotEnMet],"&gt;"&amp;($A555+11/24),tData[Langligger01],1)</f>
        <v/>
      </c>
      <c r="P555" s="20">
        <f>COUNTIFS(tData[SEHTrajectPeriodeDatumTijdVan],"&lt;="&amp;($A555+12/24),tData[SEHTrajectPeriodeDatumTijdTotEnMet],"&gt;"&amp;($A555+12/24),tData[Langligger01],1)</f>
        <v/>
      </c>
      <c r="Q555" s="20">
        <f>COUNTIFS(tData[SEHTrajectPeriodeDatumTijdVan],"&lt;="&amp;($A555+13/24),tData[SEHTrajectPeriodeDatumTijdTotEnMet],"&gt;"&amp;($A555+13/24),tData[Langligger01],1)</f>
        <v/>
      </c>
      <c r="R555" s="20">
        <f>COUNTIFS(tData[SEHTrajectPeriodeDatumTijdVan],"&lt;="&amp;($A555+14/24),tData[SEHTrajectPeriodeDatumTijdTotEnMet],"&gt;"&amp;($A555+14/24),tData[Langligger01],1)</f>
        <v/>
      </c>
      <c r="S555" s="20">
        <f>COUNTIFS(tData[SEHTrajectPeriodeDatumTijdVan],"&lt;="&amp;($A555+15/24),tData[SEHTrajectPeriodeDatumTijdTotEnMet],"&gt;"&amp;($A555+15/24),tData[Langligger01],1)</f>
        <v/>
      </c>
      <c r="T555" s="20">
        <f>COUNTIFS(tData[SEHTrajectPeriodeDatumTijdVan],"&lt;="&amp;($A555+16/24),tData[SEHTrajectPeriodeDatumTijdTotEnMet],"&gt;"&amp;($A555+16/24),tData[Langligger01],1)</f>
        <v/>
      </c>
      <c r="U555" s="20">
        <f>COUNTIFS(tData[SEHTrajectPeriodeDatumTijdVan],"&lt;="&amp;($A555+17/24),tData[SEHTrajectPeriodeDatumTijdTotEnMet],"&gt;"&amp;($A555+17/24),tData[Langligger01],1)</f>
        <v/>
      </c>
      <c r="V555" s="20">
        <f>COUNTIFS(tData[SEHTrajectPeriodeDatumTijdVan],"&lt;="&amp;($A555+18/24),tData[SEHTrajectPeriodeDatumTijdTotEnMet],"&gt;"&amp;($A555+18/24),tData[Langligger01],1)</f>
        <v/>
      </c>
      <c r="W555" s="20">
        <f>COUNTIFS(tData[SEHTrajectPeriodeDatumTijdVan],"&lt;="&amp;($A555+19/24),tData[SEHTrajectPeriodeDatumTijdTotEnMet],"&gt;"&amp;($A555+19/24),tData[Langligger01],1)</f>
        <v/>
      </c>
      <c r="X555" s="20">
        <f>COUNTIFS(tData[SEHTrajectPeriodeDatumTijdVan],"&lt;="&amp;($A555+20/24),tData[SEHTrajectPeriodeDatumTijdTotEnMet],"&gt;"&amp;($A555+20/24),tData[Langligger01],1)</f>
        <v/>
      </c>
      <c r="Y555" s="20">
        <f>COUNTIFS(tData[SEHTrajectPeriodeDatumTijdVan],"&lt;="&amp;($A555+21/24),tData[SEHTrajectPeriodeDatumTijdTotEnMet],"&gt;"&amp;($A555+21/24),tData[Langligger01],1)</f>
        <v/>
      </c>
      <c r="Z555" s="20">
        <f>COUNTIFS(tData[SEHTrajectPeriodeDatumTijdVan],"&lt;="&amp;($A555+22/24),tData[SEHTrajectPeriodeDatumTijdTotEnMet],"&gt;"&amp;($A555+22/24),tData[Langligger01],1)</f>
        <v/>
      </c>
      <c r="AA555" s="20">
        <f>COUNTIFS(tData[SEHTrajectPeriodeDatumTijdVan],"&lt;="&amp;($A555+23/24),tData[SEHTrajectPeriodeDatumTijdTotEnMet],"&gt;"&amp;($A555+23/24),tData[Langligger01],1)</f>
        <v/>
      </c>
    </row>
    <row r="556">
      <c r="A556" s="19" t="n">
        <v>45844</v>
      </c>
      <c r="B556" s="15">
        <f>WEEKDAY($A556,2)</f>
        <v/>
      </c>
      <c r="C556" s="15">
        <f>IF(AND($A556&gt;=INT(Instellingen!$B$5),$A556&lt;=INT(Instellingen!$B$6)),1,0)</f>
        <v/>
      </c>
      <c r="D556" s="20">
        <f>COUNTIFS(tData[SEHTrajectPeriodeDatumTijdVan],"&lt;="&amp;($A556+0/24),tData[SEHTrajectPeriodeDatumTijdTotEnMet],"&gt;"&amp;($A556+0/24),tData[Langligger01],1)</f>
        <v/>
      </c>
      <c r="E556" s="20">
        <f>COUNTIFS(tData[SEHTrajectPeriodeDatumTijdVan],"&lt;="&amp;($A556+1/24),tData[SEHTrajectPeriodeDatumTijdTotEnMet],"&gt;"&amp;($A556+1/24),tData[Langligger01],1)</f>
        <v/>
      </c>
      <c r="F556" s="20">
        <f>COUNTIFS(tData[SEHTrajectPeriodeDatumTijdVan],"&lt;="&amp;($A556+2/24),tData[SEHTrajectPeriodeDatumTijdTotEnMet],"&gt;"&amp;($A556+2/24),tData[Langligger01],1)</f>
        <v/>
      </c>
      <c r="G556" s="20">
        <f>COUNTIFS(tData[SEHTrajectPeriodeDatumTijdVan],"&lt;="&amp;($A556+3/24),tData[SEHTrajectPeriodeDatumTijdTotEnMet],"&gt;"&amp;($A556+3/24),tData[Langligger01],1)</f>
        <v/>
      </c>
      <c r="H556" s="20">
        <f>COUNTIFS(tData[SEHTrajectPeriodeDatumTijdVan],"&lt;="&amp;($A556+4/24),tData[SEHTrajectPeriodeDatumTijdTotEnMet],"&gt;"&amp;($A556+4/24),tData[Langligger01],1)</f>
        <v/>
      </c>
      <c r="I556" s="20">
        <f>COUNTIFS(tData[SEHTrajectPeriodeDatumTijdVan],"&lt;="&amp;($A556+5/24),tData[SEHTrajectPeriodeDatumTijdTotEnMet],"&gt;"&amp;($A556+5/24),tData[Langligger01],1)</f>
        <v/>
      </c>
      <c r="J556" s="20">
        <f>COUNTIFS(tData[SEHTrajectPeriodeDatumTijdVan],"&lt;="&amp;($A556+6/24),tData[SEHTrajectPeriodeDatumTijdTotEnMet],"&gt;"&amp;($A556+6/24),tData[Langligger01],1)</f>
        <v/>
      </c>
      <c r="K556" s="20">
        <f>COUNTIFS(tData[SEHTrajectPeriodeDatumTijdVan],"&lt;="&amp;($A556+7/24),tData[SEHTrajectPeriodeDatumTijdTotEnMet],"&gt;"&amp;($A556+7/24),tData[Langligger01],1)</f>
        <v/>
      </c>
      <c r="L556" s="20">
        <f>COUNTIFS(tData[SEHTrajectPeriodeDatumTijdVan],"&lt;="&amp;($A556+8/24),tData[SEHTrajectPeriodeDatumTijdTotEnMet],"&gt;"&amp;($A556+8/24),tData[Langligger01],1)</f>
        <v/>
      </c>
      <c r="M556" s="20">
        <f>COUNTIFS(tData[SEHTrajectPeriodeDatumTijdVan],"&lt;="&amp;($A556+9/24),tData[SEHTrajectPeriodeDatumTijdTotEnMet],"&gt;"&amp;($A556+9/24),tData[Langligger01],1)</f>
        <v/>
      </c>
      <c r="N556" s="20">
        <f>COUNTIFS(tData[SEHTrajectPeriodeDatumTijdVan],"&lt;="&amp;($A556+10/24),tData[SEHTrajectPeriodeDatumTijdTotEnMet],"&gt;"&amp;($A556+10/24),tData[Langligger01],1)</f>
        <v/>
      </c>
      <c r="O556" s="20">
        <f>COUNTIFS(tData[SEHTrajectPeriodeDatumTijdVan],"&lt;="&amp;($A556+11/24),tData[SEHTrajectPeriodeDatumTijdTotEnMet],"&gt;"&amp;($A556+11/24),tData[Langligger01],1)</f>
        <v/>
      </c>
      <c r="P556" s="20">
        <f>COUNTIFS(tData[SEHTrajectPeriodeDatumTijdVan],"&lt;="&amp;($A556+12/24),tData[SEHTrajectPeriodeDatumTijdTotEnMet],"&gt;"&amp;($A556+12/24),tData[Langligger01],1)</f>
        <v/>
      </c>
      <c r="Q556" s="20">
        <f>COUNTIFS(tData[SEHTrajectPeriodeDatumTijdVan],"&lt;="&amp;($A556+13/24),tData[SEHTrajectPeriodeDatumTijdTotEnMet],"&gt;"&amp;($A556+13/24),tData[Langligger01],1)</f>
        <v/>
      </c>
      <c r="R556" s="20">
        <f>COUNTIFS(tData[SEHTrajectPeriodeDatumTijdVan],"&lt;="&amp;($A556+14/24),tData[SEHTrajectPeriodeDatumTijdTotEnMet],"&gt;"&amp;($A556+14/24),tData[Langligger01],1)</f>
        <v/>
      </c>
      <c r="S556" s="20">
        <f>COUNTIFS(tData[SEHTrajectPeriodeDatumTijdVan],"&lt;="&amp;($A556+15/24),tData[SEHTrajectPeriodeDatumTijdTotEnMet],"&gt;"&amp;($A556+15/24),tData[Langligger01],1)</f>
        <v/>
      </c>
      <c r="T556" s="20">
        <f>COUNTIFS(tData[SEHTrajectPeriodeDatumTijdVan],"&lt;="&amp;($A556+16/24),tData[SEHTrajectPeriodeDatumTijdTotEnMet],"&gt;"&amp;($A556+16/24),tData[Langligger01],1)</f>
        <v/>
      </c>
      <c r="U556" s="20">
        <f>COUNTIFS(tData[SEHTrajectPeriodeDatumTijdVan],"&lt;="&amp;($A556+17/24),tData[SEHTrajectPeriodeDatumTijdTotEnMet],"&gt;"&amp;($A556+17/24),tData[Langligger01],1)</f>
        <v/>
      </c>
      <c r="V556" s="20">
        <f>COUNTIFS(tData[SEHTrajectPeriodeDatumTijdVan],"&lt;="&amp;($A556+18/24),tData[SEHTrajectPeriodeDatumTijdTotEnMet],"&gt;"&amp;($A556+18/24),tData[Langligger01],1)</f>
        <v/>
      </c>
      <c r="W556" s="20">
        <f>COUNTIFS(tData[SEHTrajectPeriodeDatumTijdVan],"&lt;="&amp;($A556+19/24),tData[SEHTrajectPeriodeDatumTijdTotEnMet],"&gt;"&amp;($A556+19/24),tData[Langligger01],1)</f>
        <v/>
      </c>
      <c r="X556" s="20">
        <f>COUNTIFS(tData[SEHTrajectPeriodeDatumTijdVan],"&lt;="&amp;($A556+20/24),tData[SEHTrajectPeriodeDatumTijdTotEnMet],"&gt;"&amp;($A556+20/24),tData[Langligger01],1)</f>
        <v/>
      </c>
      <c r="Y556" s="20">
        <f>COUNTIFS(tData[SEHTrajectPeriodeDatumTijdVan],"&lt;="&amp;($A556+21/24),tData[SEHTrajectPeriodeDatumTijdTotEnMet],"&gt;"&amp;($A556+21/24),tData[Langligger01],1)</f>
        <v/>
      </c>
      <c r="Z556" s="20">
        <f>COUNTIFS(tData[SEHTrajectPeriodeDatumTijdVan],"&lt;="&amp;($A556+22/24),tData[SEHTrajectPeriodeDatumTijdTotEnMet],"&gt;"&amp;($A556+22/24),tData[Langligger01],1)</f>
        <v/>
      </c>
      <c r="AA556" s="20">
        <f>COUNTIFS(tData[SEHTrajectPeriodeDatumTijdVan],"&lt;="&amp;($A556+23/24),tData[SEHTrajectPeriodeDatumTijdTotEnMet],"&gt;"&amp;($A556+23/24),tData[Langligger01],1)</f>
        <v/>
      </c>
    </row>
    <row r="557">
      <c r="A557" s="19" t="n">
        <v>45845</v>
      </c>
      <c r="B557" s="15">
        <f>WEEKDAY($A557,2)</f>
        <v/>
      </c>
      <c r="C557" s="15">
        <f>IF(AND($A557&gt;=INT(Instellingen!$B$5),$A557&lt;=INT(Instellingen!$B$6)),1,0)</f>
        <v/>
      </c>
      <c r="D557" s="20">
        <f>COUNTIFS(tData[SEHTrajectPeriodeDatumTijdVan],"&lt;="&amp;($A557+0/24),tData[SEHTrajectPeriodeDatumTijdTotEnMet],"&gt;"&amp;($A557+0/24),tData[Langligger01],1)</f>
        <v/>
      </c>
      <c r="E557" s="20">
        <f>COUNTIFS(tData[SEHTrajectPeriodeDatumTijdVan],"&lt;="&amp;($A557+1/24),tData[SEHTrajectPeriodeDatumTijdTotEnMet],"&gt;"&amp;($A557+1/24),tData[Langligger01],1)</f>
        <v/>
      </c>
      <c r="F557" s="20">
        <f>COUNTIFS(tData[SEHTrajectPeriodeDatumTijdVan],"&lt;="&amp;($A557+2/24),tData[SEHTrajectPeriodeDatumTijdTotEnMet],"&gt;"&amp;($A557+2/24),tData[Langligger01],1)</f>
        <v/>
      </c>
      <c r="G557" s="20">
        <f>COUNTIFS(tData[SEHTrajectPeriodeDatumTijdVan],"&lt;="&amp;($A557+3/24),tData[SEHTrajectPeriodeDatumTijdTotEnMet],"&gt;"&amp;($A557+3/24),tData[Langligger01],1)</f>
        <v/>
      </c>
      <c r="H557" s="20">
        <f>COUNTIFS(tData[SEHTrajectPeriodeDatumTijdVan],"&lt;="&amp;($A557+4/24),tData[SEHTrajectPeriodeDatumTijdTotEnMet],"&gt;"&amp;($A557+4/24),tData[Langligger01],1)</f>
        <v/>
      </c>
      <c r="I557" s="20">
        <f>COUNTIFS(tData[SEHTrajectPeriodeDatumTijdVan],"&lt;="&amp;($A557+5/24),tData[SEHTrajectPeriodeDatumTijdTotEnMet],"&gt;"&amp;($A557+5/24),tData[Langligger01],1)</f>
        <v/>
      </c>
      <c r="J557" s="20">
        <f>COUNTIFS(tData[SEHTrajectPeriodeDatumTijdVan],"&lt;="&amp;($A557+6/24),tData[SEHTrajectPeriodeDatumTijdTotEnMet],"&gt;"&amp;($A557+6/24),tData[Langligger01],1)</f>
        <v/>
      </c>
      <c r="K557" s="20">
        <f>COUNTIFS(tData[SEHTrajectPeriodeDatumTijdVan],"&lt;="&amp;($A557+7/24),tData[SEHTrajectPeriodeDatumTijdTotEnMet],"&gt;"&amp;($A557+7/24),tData[Langligger01],1)</f>
        <v/>
      </c>
      <c r="L557" s="20">
        <f>COUNTIFS(tData[SEHTrajectPeriodeDatumTijdVan],"&lt;="&amp;($A557+8/24),tData[SEHTrajectPeriodeDatumTijdTotEnMet],"&gt;"&amp;($A557+8/24),tData[Langligger01],1)</f>
        <v/>
      </c>
      <c r="M557" s="20">
        <f>COUNTIFS(tData[SEHTrajectPeriodeDatumTijdVan],"&lt;="&amp;($A557+9/24),tData[SEHTrajectPeriodeDatumTijdTotEnMet],"&gt;"&amp;($A557+9/24),tData[Langligger01],1)</f>
        <v/>
      </c>
      <c r="N557" s="20">
        <f>COUNTIFS(tData[SEHTrajectPeriodeDatumTijdVan],"&lt;="&amp;($A557+10/24),tData[SEHTrajectPeriodeDatumTijdTotEnMet],"&gt;"&amp;($A557+10/24),tData[Langligger01],1)</f>
        <v/>
      </c>
      <c r="O557" s="20">
        <f>COUNTIFS(tData[SEHTrajectPeriodeDatumTijdVan],"&lt;="&amp;($A557+11/24),tData[SEHTrajectPeriodeDatumTijdTotEnMet],"&gt;"&amp;($A557+11/24),tData[Langligger01],1)</f>
        <v/>
      </c>
      <c r="P557" s="20">
        <f>COUNTIFS(tData[SEHTrajectPeriodeDatumTijdVan],"&lt;="&amp;($A557+12/24),tData[SEHTrajectPeriodeDatumTijdTotEnMet],"&gt;"&amp;($A557+12/24),tData[Langligger01],1)</f>
        <v/>
      </c>
      <c r="Q557" s="20">
        <f>COUNTIFS(tData[SEHTrajectPeriodeDatumTijdVan],"&lt;="&amp;($A557+13/24),tData[SEHTrajectPeriodeDatumTijdTotEnMet],"&gt;"&amp;($A557+13/24),tData[Langligger01],1)</f>
        <v/>
      </c>
      <c r="R557" s="20">
        <f>COUNTIFS(tData[SEHTrajectPeriodeDatumTijdVan],"&lt;="&amp;($A557+14/24),tData[SEHTrajectPeriodeDatumTijdTotEnMet],"&gt;"&amp;($A557+14/24),tData[Langligger01],1)</f>
        <v/>
      </c>
      <c r="S557" s="20">
        <f>COUNTIFS(tData[SEHTrajectPeriodeDatumTijdVan],"&lt;="&amp;($A557+15/24),tData[SEHTrajectPeriodeDatumTijdTotEnMet],"&gt;"&amp;($A557+15/24),tData[Langligger01],1)</f>
        <v/>
      </c>
      <c r="T557" s="20">
        <f>COUNTIFS(tData[SEHTrajectPeriodeDatumTijdVan],"&lt;="&amp;($A557+16/24),tData[SEHTrajectPeriodeDatumTijdTotEnMet],"&gt;"&amp;($A557+16/24),tData[Langligger01],1)</f>
        <v/>
      </c>
      <c r="U557" s="20">
        <f>COUNTIFS(tData[SEHTrajectPeriodeDatumTijdVan],"&lt;="&amp;($A557+17/24),tData[SEHTrajectPeriodeDatumTijdTotEnMet],"&gt;"&amp;($A557+17/24),tData[Langligger01],1)</f>
        <v/>
      </c>
      <c r="V557" s="20">
        <f>COUNTIFS(tData[SEHTrajectPeriodeDatumTijdVan],"&lt;="&amp;($A557+18/24),tData[SEHTrajectPeriodeDatumTijdTotEnMet],"&gt;"&amp;($A557+18/24),tData[Langligger01],1)</f>
        <v/>
      </c>
      <c r="W557" s="20">
        <f>COUNTIFS(tData[SEHTrajectPeriodeDatumTijdVan],"&lt;="&amp;($A557+19/24),tData[SEHTrajectPeriodeDatumTijdTotEnMet],"&gt;"&amp;($A557+19/24),tData[Langligger01],1)</f>
        <v/>
      </c>
      <c r="X557" s="20">
        <f>COUNTIFS(tData[SEHTrajectPeriodeDatumTijdVan],"&lt;="&amp;($A557+20/24),tData[SEHTrajectPeriodeDatumTijdTotEnMet],"&gt;"&amp;($A557+20/24),tData[Langligger01],1)</f>
        <v/>
      </c>
      <c r="Y557" s="20">
        <f>COUNTIFS(tData[SEHTrajectPeriodeDatumTijdVan],"&lt;="&amp;($A557+21/24),tData[SEHTrajectPeriodeDatumTijdTotEnMet],"&gt;"&amp;($A557+21/24),tData[Langligger01],1)</f>
        <v/>
      </c>
      <c r="Z557" s="20">
        <f>COUNTIFS(tData[SEHTrajectPeriodeDatumTijdVan],"&lt;="&amp;($A557+22/24),tData[SEHTrajectPeriodeDatumTijdTotEnMet],"&gt;"&amp;($A557+22/24),tData[Langligger01],1)</f>
        <v/>
      </c>
      <c r="AA557" s="20">
        <f>COUNTIFS(tData[SEHTrajectPeriodeDatumTijdVan],"&lt;="&amp;($A557+23/24),tData[SEHTrajectPeriodeDatumTijdTotEnMet],"&gt;"&amp;($A557+23/24),tData[Langligger01],1)</f>
        <v/>
      </c>
    </row>
    <row r="558">
      <c r="A558" s="19" t="n">
        <v>45846</v>
      </c>
      <c r="B558" s="15">
        <f>WEEKDAY($A558,2)</f>
        <v/>
      </c>
      <c r="C558" s="15">
        <f>IF(AND($A558&gt;=INT(Instellingen!$B$5),$A558&lt;=INT(Instellingen!$B$6)),1,0)</f>
        <v/>
      </c>
      <c r="D558" s="20">
        <f>COUNTIFS(tData[SEHTrajectPeriodeDatumTijdVan],"&lt;="&amp;($A558+0/24),tData[SEHTrajectPeriodeDatumTijdTotEnMet],"&gt;"&amp;($A558+0/24),tData[Langligger01],1)</f>
        <v/>
      </c>
      <c r="E558" s="20">
        <f>COUNTIFS(tData[SEHTrajectPeriodeDatumTijdVan],"&lt;="&amp;($A558+1/24),tData[SEHTrajectPeriodeDatumTijdTotEnMet],"&gt;"&amp;($A558+1/24),tData[Langligger01],1)</f>
        <v/>
      </c>
      <c r="F558" s="20">
        <f>COUNTIFS(tData[SEHTrajectPeriodeDatumTijdVan],"&lt;="&amp;($A558+2/24),tData[SEHTrajectPeriodeDatumTijdTotEnMet],"&gt;"&amp;($A558+2/24),tData[Langligger01],1)</f>
        <v/>
      </c>
      <c r="G558" s="20">
        <f>COUNTIFS(tData[SEHTrajectPeriodeDatumTijdVan],"&lt;="&amp;($A558+3/24),tData[SEHTrajectPeriodeDatumTijdTotEnMet],"&gt;"&amp;($A558+3/24),tData[Langligger01],1)</f>
        <v/>
      </c>
      <c r="H558" s="20">
        <f>COUNTIFS(tData[SEHTrajectPeriodeDatumTijdVan],"&lt;="&amp;($A558+4/24),tData[SEHTrajectPeriodeDatumTijdTotEnMet],"&gt;"&amp;($A558+4/24),tData[Langligger01],1)</f>
        <v/>
      </c>
      <c r="I558" s="20">
        <f>COUNTIFS(tData[SEHTrajectPeriodeDatumTijdVan],"&lt;="&amp;($A558+5/24),tData[SEHTrajectPeriodeDatumTijdTotEnMet],"&gt;"&amp;($A558+5/24),tData[Langligger01],1)</f>
        <v/>
      </c>
      <c r="J558" s="20">
        <f>COUNTIFS(tData[SEHTrajectPeriodeDatumTijdVan],"&lt;="&amp;($A558+6/24),tData[SEHTrajectPeriodeDatumTijdTotEnMet],"&gt;"&amp;($A558+6/24),tData[Langligger01],1)</f>
        <v/>
      </c>
      <c r="K558" s="20">
        <f>COUNTIFS(tData[SEHTrajectPeriodeDatumTijdVan],"&lt;="&amp;($A558+7/24),tData[SEHTrajectPeriodeDatumTijdTotEnMet],"&gt;"&amp;($A558+7/24),tData[Langligger01],1)</f>
        <v/>
      </c>
      <c r="L558" s="20">
        <f>COUNTIFS(tData[SEHTrajectPeriodeDatumTijdVan],"&lt;="&amp;($A558+8/24),tData[SEHTrajectPeriodeDatumTijdTotEnMet],"&gt;"&amp;($A558+8/24),tData[Langligger01],1)</f>
        <v/>
      </c>
      <c r="M558" s="20">
        <f>COUNTIFS(tData[SEHTrajectPeriodeDatumTijdVan],"&lt;="&amp;($A558+9/24),tData[SEHTrajectPeriodeDatumTijdTotEnMet],"&gt;"&amp;($A558+9/24),tData[Langligger01],1)</f>
        <v/>
      </c>
      <c r="N558" s="20">
        <f>COUNTIFS(tData[SEHTrajectPeriodeDatumTijdVan],"&lt;="&amp;($A558+10/24),tData[SEHTrajectPeriodeDatumTijdTotEnMet],"&gt;"&amp;($A558+10/24),tData[Langligger01],1)</f>
        <v/>
      </c>
      <c r="O558" s="20">
        <f>COUNTIFS(tData[SEHTrajectPeriodeDatumTijdVan],"&lt;="&amp;($A558+11/24),tData[SEHTrajectPeriodeDatumTijdTotEnMet],"&gt;"&amp;($A558+11/24),tData[Langligger01],1)</f>
        <v/>
      </c>
      <c r="P558" s="20">
        <f>COUNTIFS(tData[SEHTrajectPeriodeDatumTijdVan],"&lt;="&amp;($A558+12/24),tData[SEHTrajectPeriodeDatumTijdTotEnMet],"&gt;"&amp;($A558+12/24),tData[Langligger01],1)</f>
        <v/>
      </c>
      <c r="Q558" s="20">
        <f>COUNTIFS(tData[SEHTrajectPeriodeDatumTijdVan],"&lt;="&amp;($A558+13/24),tData[SEHTrajectPeriodeDatumTijdTotEnMet],"&gt;"&amp;($A558+13/24),tData[Langligger01],1)</f>
        <v/>
      </c>
      <c r="R558" s="20">
        <f>COUNTIFS(tData[SEHTrajectPeriodeDatumTijdVan],"&lt;="&amp;($A558+14/24),tData[SEHTrajectPeriodeDatumTijdTotEnMet],"&gt;"&amp;($A558+14/24),tData[Langligger01],1)</f>
        <v/>
      </c>
      <c r="S558" s="20">
        <f>COUNTIFS(tData[SEHTrajectPeriodeDatumTijdVan],"&lt;="&amp;($A558+15/24),tData[SEHTrajectPeriodeDatumTijdTotEnMet],"&gt;"&amp;($A558+15/24),tData[Langligger01],1)</f>
        <v/>
      </c>
      <c r="T558" s="20">
        <f>COUNTIFS(tData[SEHTrajectPeriodeDatumTijdVan],"&lt;="&amp;($A558+16/24),tData[SEHTrajectPeriodeDatumTijdTotEnMet],"&gt;"&amp;($A558+16/24),tData[Langligger01],1)</f>
        <v/>
      </c>
      <c r="U558" s="20">
        <f>COUNTIFS(tData[SEHTrajectPeriodeDatumTijdVan],"&lt;="&amp;($A558+17/24),tData[SEHTrajectPeriodeDatumTijdTotEnMet],"&gt;"&amp;($A558+17/24),tData[Langligger01],1)</f>
        <v/>
      </c>
      <c r="V558" s="20">
        <f>COUNTIFS(tData[SEHTrajectPeriodeDatumTijdVan],"&lt;="&amp;($A558+18/24),tData[SEHTrajectPeriodeDatumTijdTotEnMet],"&gt;"&amp;($A558+18/24),tData[Langligger01],1)</f>
        <v/>
      </c>
      <c r="W558" s="20">
        <f>COUNTIFS(tData[SEHTrajectPeriodeDatumTijdVan],"&lt;="&amp;($A558+19/24),tData[SEHTrajectPeriodeDatumTijdTotEnMet],"&gt;"&amp;($A558+19/24),tData[Langligger01],1)</f>
        <v/>
      </c>
      <c r="X558" s="20">
        <f>COUNTIFS(tData[SEHTrajectPeriodeDatumTijdVan],"&lt;="&amp;($A558+20/24),tData[SEHTrajectPeriodeDatumTijdTotEnMet],"&gt;"&amp;($A558+20/24),tData[Langligger01],1)</f>
        <v/>
      </c>
      <c r="Y558" s="20">
        <f>COUNTIFS(tData[SEHTrajectPeriodeDatumTijdVan],"&lt;="&amp;($A558+21/24),tData[SEHTrajectPeriodeDatumTijdTotEnMet],"&gt;"&amp;($A558+21/24),tData[Langligger01],1)</f>
        <v/>
      </c>
      <c r="Z558" s="20">
        <f>COUNTIFS(tData[SEHTrajectPeriodeDatumTijdVan],"&lt;="&amp;($A558+22/24),tData[SEHTrajectPeriodeDatumTijdTotEnMet],"&gt;"&amp;($A558+22/24),tData[Langligger01],1)</f>
        <v/>
      </c>
      <c r="AA558" s="20">
        <f>COUNTIFS(tData[SEHTrajectPeriodeDatumTijdVan],"&lt;="&amp;($A558+23/24),tData[SEHTrajectPeriodeDatumTijdTotEnMet],"&gt;"&amp;($A558+23/24),tData[Langligger01],1)</f>
        <v/>
      </c>
    </row>
    <row r="559">
      <c r="A559" s="19" t="n">
        <v>45847</v>
      </c>
      <c r="B559" s="15">
        <f>WEEKDAY($A559,2)</f>
        <v/>
      </c>
      <c r="C559" s="15">
        <f>IF(AND($A559&gt;=INT(Instellingen!$B$5),$A559&lt;=INT(Instellingen!$B$6)),1,0)</f>
        <v/>
      </c>
      <c r="D559" s="20">
        <f>COUNTIFS(tData[SEHTrajectPeriodeDatumTijdVan],"&lt;="&amp;($A559+0/24),tData[SEHTrajectPeriodeDatumTijdTotEnMet],"&gt;"&amp;($A559+0/24),tData[Langligger01],1)</f>
        <v/>
      </c>
      <c r="E559" s="20">
        <f>COUNTIFS(tData[SEHTrajectPeriodeDatumTijdVan],"&lt;="&amp;($A559+1/24),tData[SEHTrajectPeriodeDatumTijdTotEnMet],"&gt;"&amp;($A559+1/24),tData[Langligger01],1)</f>
        <v/>
      </c>
      <c r="F559" s="20">
        <f>COUNTIFS(tData[SEHTrajectPeriodeDatumTijdVan],"&lt;="&amp;($A559+2/24),tData[SEHTrajectPeriodeDatumTijdTotEnMet],"&gt;"&amp;($A559+2/24),tData[Langligger01],1)</f>
        <v/>
      </c>
      <c r="G559" s="20">
        <f>COUNTIFS(tData[SEHTrajectPeriodeDatumTijdVan],"&lt;="&amp;($A559+3/24),tData[SEHTrajectPeriodeDatumTijdTotEnMet],"&gt;"&amp;($A559+3/24),tData[Langligger01],1)</f>
        <v/>
      </c>
      <c r="H559" s="20">
        <f>COUNTIFS(tData[SEHTrajectPeriodeDatumTijdVan],"&lt;="&amp;($A559+4/24),tData[SEHTrajectPeriodeDatumTijdTotEnMet],"&gt;"&amp;($A559+4/24),tData[Langligger01],1)</f>
        <v/>
      </c>
      <c r="I559" s="20">
        <f>COUNTIFS(tData[SEHTrajectPeriodeDatumTijdVan],"&lt;="&amp;($A559+5/24),tData[SEHTrajectPeriodeDatumTijdTotEnMet],"&gt;"&amp;($A559+5/24),tData[Langligger01],1)</f>
        <v/>
      </c>
      <c r="J559" s="20">
        <f>COUNTIFS(tData[SEHTrajectPeriodeDatumTijdVan],"&lt;="&amp;($A559+6/24),tData[SEHTrajectPeriodeDatumTijdTotEnMet],"&gt;"&amp;($A559+6/24),tData[Langligger01],1)</f>
        <v/>
      </c>
      <c r="K559" s="20">
        <f>COUNTIFS(tData[SEHTrajectPeriodeDatumTijdVan],"&lt;="&amp;($A559+7/24),tData[SEHTrajectPeriodeDatumTijdTotEnMet],"&gt;"&amp;($A559+7/24),tData[Langligger01],1)</f>
        <v/>
      </c>
      <c r="L559" s="20">
        <f>COUNTIFS(tData[SEHTrajectPeriodeDatumTijdVan],"&lt;="&amp;($A559+8/24),tData[SEHTrajectPeriodeDatumTijdTotEnMet],"&gt;"&amp;($A559+8/24),tData[Langligger01],1)</f>
        <v/>
      </c>
      <c r="M559" s="20">
        <f>COUNTIFS(tData[SEHTrajectPeriodeDatumTijdVan],"&lt;="&amp;($A559+9/24),tData[SEHTrajectPeriodeDatumTijdTotEnMet],"&gt;"&amp;($A559+9/24),tData[Langligger01],1)</f>
        <v/>
      </c>
      <c r="N559" s="20">
        <f>COUNTIFS(tData[SEHTrajectPeriodeDatumTijdVan],"&lt;="&amp;($A559+10/24),tData[SEHTrajectPeriodeDatumTijdTotEnMet],"&gt;"&amp;($A559+10/24),tData[Langligger01],1)</f>
        <v/>
      </c>
      <c r="O559" s="20">
        <f>COUNTIFS(tData[SEHTrajectPeriodeDatumTijdVan],"&lt;="&amp;($A559+11/24),tData[SEHTrajectPeriodeDatumTijdTotEnMet],"&gt;"&amp;($A559+11/24),tData[Langligger01],1)</f>
        <v/>
      </c>
      <c r="P559" s="20">
        <f>COUNTIFS(tData[SEHTrajectPeriodeDatumTijdVan],"&lt;="&amp;($A559+12/24),tData[SEHTrajectPeriodeDatumTijdTotEnMet],"&gt;"&amp;($A559+12/24),tData[Langligger01],1)</f>
        <v/>
      </c>
      <c r="Q559" s="20">
        <f>COUNTIFS(tData[SEHTrajectPeriodeDatumTijdVan],"&lt;="&amp;($A559+13/24),tData[SEHTrajectPeriodeDatumTijdTotEnMet],"&gt;"&amp;($A559+13/24),tData[Langligger01],1)</f>
        <v/>
      </c>
      <c r="R559" s="20">
        <f>COUNTIFS(tData[SEHTrajectPeriodeDatumTijdVan],"&lt;="&amp;($A559+14/24),tData[SEHTrajectPeriodeDatumTijdTotEnMet],"&gt;"&amp;($A559+14/24),tData[Langligger01],1)</f>
        <v/>
      </c>
      <c r="S559" s="20">
        <f>COUNTIFS(tData[SEHTrajectPeriodeDatumTijdVan],"&lt;="&amp;($A559+15/24),tData[SEHTrajectPeriodeDatumTijdTotEnMet],"&gt;"&amp;($A559+15/24),tData[Langligger01],1)</f>
        <v/>
      </c>
      <c r="T559" s="20">
        <f>COUNTIFS(tData[SEHTrajectPeriodeDatumTijdVan],"&lt;="&amp;($A559+16/24),tData[SEHTrajectPeriodeDatumTijdTotEnMet],"&gt;"&amp;($A559+16/24),tData[Langligger01],1)</f>
        <v/>
      </c>
      <c r="U559" s="20">
        <f>COUNTIFS(tData[SEHTrajectPeriodeDatumTijdVan],"&lt;="&amp;($A559+17/24),tData[SEHTrajectPeriodeDatumTijdTotEnMet],"&gt;"&amp;($A559+17/24),tData[Langligger01],1)</f>
        <v/>
      </c>
      <c r="V559" s="20">
        <f>COUNTIFS(tData[SEHTrajectPeriodeDatumTijdVan],"&lt;="&amp;($A559+18/24),tData[SEHTrajectPeriodeDatumTijdTotEnMet],"&gt;"&amp;($A559+18/24),tData[Langligger01],1)</f>
        <v/>
      </c>
      <c r="W559" s="20">
        <f>COUNTIFS(tData[SEHTrajectPeriodeDatumTijdVan],"&lt;="&amp;($A559+19/24),tData[SEHTrajectPeriodeDatumTijdTotEnMet],"&gt;"&amp;($A559+19/24),tData[Langligger01],1)</f>
        <v/>
      </c>
      <c r="X559" s="20">
        <f>COUNTIFS(tData[SEHTrajectPeriodeDatumTijdVan],"&lt;="&amp;($A559+20/24),tData[SEHTrajectPeriodeDatumTijdTotEnMet],"&gt;"&amp;($A559+20/24),tData[Langligger01],1)</f>
        <v/>
      </c>
      <c r="Y559" s="20">
        <f>COUNTIFS(tData[SEHTrajectPeriodeDatumTijdVan],"&lt;="&amp;($A559+21/24),tData[SEHTrajectPeriodeDatumTijdTotEnMet],"&gt;"&amp;($A559+21/24),tData[Langligger01],1)</f>
        <v/>
      </c>
      <c r="Z559" s="20">
        <f>COUNTIFS(tData[SEHTrajectPeriodeDatumTijdVan],"&lt;="&amp;($A559+22/24),tData[SEHTrajectPeriodeDatumTijdTotEnMet],"&gt;"&amp;($A559+22/24),tData[Langligger01],1)</f>
        <v/>
      </c>
      <c r="AA559" s="20">
        <f>COUNTIFS(tData[SEHTrajectPeriodeDatumTijdVan],"&lt;="&amp;($A559+23/24),tData[SEHTrajectPeriodeDatumTijdTotEnMet],"&gt;"&amp;($A559+23/24),tData[Langligger01],1)</f>
        <v/>
      </c>
    </row>
    <row r="560">
      <c r="A560" s="19" t="n">
        <v>45848</v>
      </c>
      <c r="B560" s="15">
        <f>WEEKDAY($A560,2)</f>
        <v/>
      </c>
      <c r="C560" s="15">
        <f>IF(AND($A560&gt;=INT(Instellingen!$B$5),$A560&lt;=INT(Instellingen!$B$6)),1,0)</f>
        <v/>
      </c>
      <c r="D560" s="20">
        <f>COUNTIFS(tData[SEHTrajectPeriodeDatumTijdVan],"&lt;="&amp;($A560+0/24),tData[SEHTrajectPeriodeDatumTijdTotEnMet],"&gt;"&amp;($A560+0/24),tData[Langligger01],1)</f>
        <v/>
      </c>
      <c r="E560" s="20">
        <f>COUNTIFS(tData[SEHTrajectPeriodeDatumTijdVan],"&lt;="&amp;($A560+1/24),tData[SEHTrajectPeriodeDatumTijdTotEnMet],"&gt;"&amp;($A560+1/24),tData[Langligger01],1)</f>
        <v/>
      </c>
      <c r="F560" s="20">
        <f>COUNTIFS(tData[SEHTrajectPeriodeDatumTijdVan],"&lt;="&amp;($A560+2/24),tData[SEHTrajectPeriodeDatumTijdTotEnMet],"&gt;"&amp;($A560+2/24),tData[Langligger01],1)</f>
        <v/>
      </c>
      <c r="G560" s="20">
        <f>COUNTIFS(tData[SEHTrajectPeriodeDatumTijdVan],"&lt;="&amp;($A560+3/24),tData[SEHTrajectPeriodeDatumTijdTotEnMet],"&gt;"&amp;($A560+3/24),tData[Langligger01],1)</f>
        <v/>
      </c>
      <c r="H560" s="20">
        <f>COUNTIFS(tData[SEHTrajectPeriodeDatumTijdVan],"&lt;="&amp;($A560+4/24),tData[SEHTrajectPeriodeDatumTijdTotEnMet],"&gt;"&amp;($A560+4/24),tData[Langligger01],1)</f>
        <v/>
      </c>
      <c r="I560" s="20">
        <f>COUNTIFS(tData[SEHTrajectPeriodeDatumTijdVan],"&lt;="&amp;($A560+5/24),tData[SEHTrajectPeriodeDatumTijdTotEnMet],"&gt;"&amp;($A560+5/24),tData[Langligger01],1)</f>
        <v/>
      </c>
      <c r="J560" s="20">
        <f>COUNTIFS(tData[SEHTrajectPeriodeDatumTijdVan],"&lt;="&amp;($A560+6/24),tData[SEHTrajectPeriodeDatumTijdTotEnMet],"&gt;"&amp;($A560+6/24),tData[Langligger01],1)</f>
        <v/>
      </c>
      <c r="K560" s="20">
        <f>COUNTIFS(tData[SEHTrajectPeriodeDatumTijdVan],"&lt;="&amp;($A560+7/24),tData[SEHTrajectPeriodeDatumTijdTotEnMet],"&gt;"&amp;($A560+7/24),tData[Langligger01],1)</f>
        <v/>
      </c>
      <c r="L560" s="20">
        <f>COUNTIFS(tData[SEHTrajectPeriodeDatumTijdVan],"&lt;="&amp;($A560+8/24),tData[SEHTrajectPeriodeDatumTijdTotEnMet],"&gt;"&amp;($A560+8/24),tData[Langligger01],1)</f>
        <v/>
      </c>
      <c r="M560" s="20">
        <f>COUNTIFS(tData[SEHTrajectPeriodeDatumTijdVan],"&lt;="&amp;($A560+9/24),tData[SEHTrajectPeriodeDatumTijdTotEnMet],"&gt;"&amp;($A560+9/24),tData[Langligger01],1)</f>
        <v/>
      </c>
      <c r="N560" s="20">
        <f>COUNTIFS(tData[SEHTrajectPeriodeDatumTijdVan],"&lt;="&amp;($A560+10/24),tData[SEHTrajectPeriodeDatumTijdTotEnMet],"&gt;"&amp;($A560+10/24),tData[Langligger01],1)</f>
        <v/>
      </c>
      <c r="O560" s="20">
        <f>COUNTIFS(tData[SEHTrajectPeriodeDatumTijdVan],"&lt;="&amp;($A560+11/24),tData[SEHTrajectPeriodeDatumTijdTotEnMet],"&gt;"&amp;($A560+11/24),tData[Langligger01],1)</f>
        <v/>
      </c>
      <c r="P560" s="20">
        <f>COUNTIFS(tData[SEHTrajectPeriodeDatumTijdVan],"&lt;="&amp;($A560+12/24),tData[SEHTrajectPeriodeDatumTijdTotEnMet],"&gt;"&amp;($A560+12/24),tData[Langligger01],1)</f>
        <v/>
      </c>
      <c r="Q560" s="20">
        <f>COUNTIFS(tData[SEHTrajectPeriodeDatumTijdVan],"&lt;="&amp;($A560+13/24),tData[SEHTrajectPeriodeDatumTijdTotEnMet],"&gt;"&amp;($A560+13/24),tData[Langligger01],1)</f>
        <v/>
      </c>
      <c r="R560" s="20">
        <f>COUNTIFS(tData[SEHTrajectPeriodeDatumTijdVan],"&lt;="&amp;($A560+14/24),tData[SEHTrajectPeriodeDatumTijdTotEnMet],"&gt;"&amp;($A560+14/24),tData[Langligger01],1)</f>
        <v/>
      </c>
      <c r="S560" s="20">
        <f>COUNTIFS(tData[SEHTrajectPeriodeDatumTijdVan],"&lt;="&amp;($A560+15/24),tData[SEHTrajectPeriodeDatumTijdTotEnMet],"&gt;"&amp;($A560+15/24),tData[Langligger01],1)</f>
        <v/>
      </c>
      <c r="T560" s="20">
        <f>COUNTIFS(tData[SEHTrajectPeriodeDatumTijdVan],"&lt;="&amp;($A560+16/24),tData[SEHTrajectPeriodeDatumTijdTotEnMet],"&gt;"&amp;($A560+16/24),tData[Langligger01],1)</f>
        <v/>
      </c>
      <c r="U560" s="20">
        <f>COUNTIFS(tData[SEHTrajectPeriodeDatumTijdVan],"&lt;="&amp;($A560+17/24),tData[SEHTrajectPeriodeDatumTijdTotEnMet],"&gt;"&amp;($A560+17/24),tData[Langligger01],1)</f>
        <v/>
      </c>
      <c r="V560" s="20">
        <f>COUNTIFS(tData[SEHTrajectPeriodeDatumTijdVan],"&lt;="&amp;($A560+18/24),tData[SEHTrajectPeriodeDatumTijdTotEnMet],"&gt;"&amp;($A560+18/24),tData[Langligger01],1)</f>
        <v/>
      </c>
      <c r="W560" s="20">
        <f>COUNTIFS(tData[SEHTrajectPeriodeDatumTijdVan],"&lt;="&amp;($A560+19/24),tData[SEHTrajectPeriodeDatumTijdTotEnMet],"&gt;"&amp;($A560+19/24),tData[Langligger01],1)</f>
        <v/>
      </c>
      <c r="X560" s="20">
        <f>COUNTIFS(tData[SEHTrajectPeriodeDatumTijdVan],"&lt;="&amp;($A560+20/24),tData[SEHTrajectPeriodeDatumTijdTotEnMet],"&gt;"&amp;($A560+20/24),tData[Langligger01],1)</f>
        <v/>
      </c>
      <c r="Y560" s="20">
        <f>COUNTIFS(tData[SEHTrajectPeriodeDatumTijdVan],"&lt;="&amp;($A560+21/24),tData[SEHTrajectPeriodeDatumTijdTotEnMet],"&gt;"&amp;($A560+21/24),tData[Langligger01],1)</f>
        <v/>
      </c>
      <c r="Z560" s="20">
        <f>COUNTIFS(tData[SEHTrajectPeriodeDatumTijdVan],"&lt;="&amp;($A560+22/24),tData[SEHTrajectPeriodeDatumTijdTotEnMet],"&gt;"&amp;($A560+22/24),tData[Langligger01],1)</f>
        <v/>
      </c>
      <c r="AA560" s="20">
        <f>COUNTIFS(tData[SEHTrajectPeriodeDatumTijdVan],"&lt;="&amp;($A560+23/24),tData[SEHTrajectPeriodeDatumTijdTotEnMet],"&gt;"&amp;($A560+23/24),tData[Langligger01],1)</f>
        <v/>
      </c>
    </row>
    <row r="561">
      <c r="A561" s="19" t="n">
        <v>45849</v>
      </c>
      <c r="B561" s="15">
        <f>WEEKDAY($A561,2)</f>
        <v/>
      </c>
      <c r="C561" s="15">
        <f>IF(AND($A561&gt;=INT(Instellingen!$B$5),$A561&lt;=INT(Instellingen!$B$6)),1,0)</f>
        <v/>
      </c>
      <c r="D561" s="20">
        <f>COUNTIFS(tData[SEHTrajectPeriodeDatumTijdVan],"&lt;="&amp;($A561+0/24),tData[SEHTrajectPeriodeDatumTijdTotEnMet],"&gt;"&amp;($A561+0/24),tData[Langligger01],1)</f>
        <v/>
      </c>
      <c r="E561" s="20">
        <f>COUNTIFS(tData[SEHTrajectPeriodeDatumTijdVan],"&lt;="&amp;($A561+1/24),tData[SEHTrajectPeriodeDatumTijdTotEnMet],"&gt;"&amp;($A561+1/24),tData[Langligger01],1)</f>
        <v/>
      </c>
      <c r="F561" s="20">
        <f>COUNTIFS(tData[SEHTrajectPeriodeDatumTijdVan],"&lt;="&amp;($A561+2/24),tData[SEHTrajectPeriodeDatumTijdTotEnMet],"&gt;"&amp;($A561+2/24),tData[Langligger01],1)</f>
        <v/>
      </c>
      <c r="G561" s="20">
        <f>COUNTIFS(tData[SEHTrajectPeriodeDatumTijdVan],"&lt;="&amp;($A561+3/24),tData[SEHTrajectPeriodeDatumTijdTotEnMet],"&gt;"&amp;($A561+3/24),tData[Langligger01],1)</f>
        <v/>
      </c>
      <c r="H561" s="20">
        <f>COUNTIFS(tData[SEHTrajectPeriodeDatumTijdVan],"&lt;="&amp;($A561+4/24),tData[SEHTrajectPeriodeDatumTijdTotEnMet],"&gt;"&amp;($A561+4/24),tData[Langligger01],1)</f>
        <v/>
      </c>
      <c r="I561" s="20">
        <f>COUNTIFS(tData[SEHTrajectPeriodeDatumTijdVan],"&lt;="&amp;($A561+5/24),tData[SEHTrajectPeriodeDatumTijdTotEnMet],"&gt;"&amp;($A561+5/24),tData[Langligger01],1)</f>
        <v/>
      </c>
      <c r="J561" s="20">
        <f>COUNTIFS(tData[SEHTrajectPeriodeDatumTijdVan],"&lt;="&amp;($A561+6/24),tData[SEHTrajectPeriodeDatumTijdTotEnMet],"&gt;"&amp;($A561+6/24),tData[Langligger01],1)</f>
        <v/>
      </c>
      <c r="K561" s="20">
        <f>COUNTIFS(tData[SEHTrajectPeriodeDatumTijdVan],"&lt;="&amp;($A561+7/24),tData[SEHTrajectPeriodeDatumTijdTotEnMet],"&gt;"&amp;($A561+7/24),tData[Langligger01],1)</f>
        <v/>
      </c>
      <c r="L561" s="20">
        <f>COUNTIFS(tData[SEHTrajectPeriodeDatumTijdVan],"&lt;="&amp;($A561+8/24),tData[SEHTrajectPeriodeDatumTijdTotEnMet],"&gt;"&amp;($A561+8/24),tData[Langligger01],1)</f>
        <v/>
      </c>
      <c r="M561" s="20">
        <f>COUNTIFS(tData[SEHTrajectPeriodeDatumTijdVan],"&lt;="&amp;($A561+9/24),tData[SEHTrajectPeriodeDatumTijdTotEnMet],"&gt;"&amp;($A561+9/24),tData[Langligger01],1)</f>
        <v/>
      </c>
      <c r="N561" s="20">
        <f>COUNTIFS(tData[SEHTrajectPeriodeDatumTijdVan],"&lt;="&amp;($A561+10/24),tData[SEHTrajectPeriodeDatumTijdTotEnMet],"&gt;"&amp;($A561+10/24),tData[Langligger01],1)</f>
        <v/>
      </c>
      <c r="O561" s="20">
        <f>COUNTIFS(tData[SEHTrajectPeriodeDatumTijdVan],"&lt;="&amp;($A561+11/24),tData[SEHTrajectPeriodeDatumTijdTotEnMet],"&gt;"&amp;($A561+11/24),tData[Langligger01],1)</f>
        <v/>
      </c>
      <c r="P561" s="20">
        <f>COUNTIFS(tData[SEHTrajectPeriodeDatumTijdVan],"&lt;="&amp;($A561+12/24),tData[SEHTrajectPeriodeDatumTijdTotEnMet],"&gt;"&amp;($A561+12/24),tData[Langligger01],1)</f>
        <v/>
      </c>
      <c r="Q561" s="20">
        <f>COUNTIFS(tData[SEHTrajectPeriodeDatumTijdVan],"&lt;="&amp;($A561+13/24),tData[SEHTrajectPeriodeDatumTijdTotEnMet],"&gt;"&amp;($A561+13/24),tData[Langligger01],1)</f>
        <v/>
      </c>
      <c r="R561" s="20">
        <f>COUNTIFS(tData[SEHTrajectPeriodeDatumTijdVan],"&lt;="&amp;($A561+14/24),tData[SEHTrajectPeriodeDatumTijdTotEnMet],"&gt;"&amp;($A561+14/24),tData[Langligger01],1)</f>
        <v/>
      </c>
      <c r="S561" s="20">
        <f>COUNTIFS(tData[SEHTrajectPeriodeDatumTijdVan],"&lt;="&amp;($A561+15/24),tData[SEHTrajectPeriodeDatumTijdTotEnMet],"&gt;"&amp;($A561+15/24),tData[Langligger01],1)</f>
        <v/>
      </c>
      <c r="T561" s="20">
        <f>COUNTIFS(tData[SEHTrajectPeriodeDatumTijdVan],"&lt;="&amp;($A561+16/24),tData[SEHTrajectPeriodeDatumTijdTotEnMet],"&gt;"&amp;($A561+16/24),tData[Langligger01],1)</f>
        <v/>
      </c>
      <c r="U561" s="20">
        <f>COUNTIFS(tData[SEHTrajectPeriodeDatumTijdVan],"&lt;="&amp;($A561+17/24),tData[SEHTrajectPeriodeDatumTijdTotEnMet],"&gt;"&amp;($A561+17/24),tData[Langligger01],1)</f>
        <v/>
      </c>
      <c r="V561" s="20">
        <f>COUNTIFS(tData[SEHTrajectPeriodeDatumTijdVan],"&lt;="&amp;($A561+18/24),tData[SEHTrajectPeriodeDatumTijdTotEnMet],"&gt;"&amp;($A561+18/24),tData[Langligger01],1)</f>
        <v/>
      </c>
      <c r="W561" s="20">
        <f>COUNTIFS(tData[SEHTrajectPeriodeDatumTijdVan],"&lt;="&amp;($A561+19/24),tData[SEHTrajectPeriodeDatumTijdTotEnMet],"&gt;"&amp;($A561+19/24),tData[Langligger01],1)</f>
        <v/>
      </c>
      <c r="X561" s="20">
        <f>COUNTIFS(tData[SEHTrajectPeriodeDatumTijdVan],"&lt;="&amp;($A561+20/24),tData[SEHTrajectPeriodeDatumTijdTotEnMet],"&gt;"&amp;($A561+20/24),tData[Langligger01],1)</f>
        <v/>
      </c>
      <c r="Y561" s="20">
        <f>COUNTIFS(tData[SEHTrajectPeriodeDatumTijdVan],"&lt;="&amp;($A561+21/24),tData[SEHTrajectPeriodeDatumTijdTotEnMet],"&gt;"&amp;($A561+21/24),tData[Langligger01],1)</f>
        <v/>
      </c>
      <c r="Z561" s="20">
        <f>COUNTIFS(tData[SEHTrajectPeriodeDatumTijdVan],"&lt;="&amp;($A561+22/24),tData[SEHTrajectPeriodeDatumTijdTotEnMet],"&gt;"&amp;($A561+22/24),tData[Langligger01],1)</f>
        <v/>
      </c>
      <c r="AA561" s="20">
        <f>COUNTIFS(tData[SEHTrajectPeriodeDatumTijdVan],"&lt;="&amp;($A561+23/24),tData[SEHTrajectPeriodeDatumTijdTotEnMet],"&gt;"&amp;($A561+23/24),tData[Langligger01],1)</f>
        <v/>
      </c>
    </row>
    <row r="562">
      <c r="A562" s="19" t="n">
        <v>45850</v>
      </c>
      <c r="B562" s="15">
        <f>WEEKDAY($A562,2)</f>
        <v/>
      </c>
      <c r="C562" s="15">
        <f>IF(AND($A562&gt;=INT(Instellingen!$B$5),$A562&lt;=INT(Instellingen!$B$6)),1,0)</f>
        <v/>
      </c>
      <c r="D562" s="20">
        <f>COUNTIFS(tData[SEHTrajectPeriodeDatumTijdVan],"&lt;="&amp;($A562+0/24),tData[SEHTrajectPeriodeDatumTijdTotEnMet],"&gt;"&amp;($A562+0/24),tData[Langligger01],1)</f>
        <v/>
      </c>
      <c r="E562" s="20">
        <f>COUNTIFS(tData[SEHTrajectPeriodeDatumTijdVan],"&lt;="&amp;($A562+1/24),tData[SEHTrajectPeriodeDatumTijdTotEnMet],"&gt;"&amp;($A562+1/24),tData[Langligger01],1)</f>
        <v/>
      </c>
      <c r="F562" s="20">
        <f>COUNTIFS(tData[SEHTrajectPeriodeDatumTijdVan],"&lt;="&amp;($A562+2/24),tData[SEHTrajectPeriodeDatumTijdTotEnMet],"&gt;"&amp;($A562+2/24),tData[Langligger01],1)</f>
        <v/>
      </c>
      <c r="G562" s="20">
        <f>COUNTIFS(tData[SEHTrajectPeriodeDatumTijdVan],"&lt;="&amp;($A562+3/24),tData[SEHTrajectPeriodeDatumTijdTotEnMet],"&gt;"&amp;($A562+3/24),tData[Langligger01],1)</f>
        <v/>
      </c>
      <c r="H562" s="20">
        <f>COUNTIFS(tData[SEHTrajectPeriodeDatumTijdVan],"&lt;="&amp;($A562+4/24),tData[SEHTrajectPeriodeDatumTijdTotEnMet],"&gt;"&amp;($A562+4/24),tData[Langligger01],1)</f>
        <v/>
      </c>
      <c r="I562" s="20">
        <f>COUNTIFS(tData[SEHTrajectPeriodeDatumTijdVan],"&lt;="&amp;($A562+5/24),tData[SEHTrajectPeriodeDatumTijdTotEnMet],"&gt;"&amp;($A562+5/24),tData[Langligger01],1)</f>
        <v/>
      </c>
      <c r="J562" s="20">
        <f>COUNTIFS(tData[SEHTrajectPeriodeDatumTijdVan],"&lt;="&amp;($A562+6/24),tData[SEHTrajectPeriodeDatumTijdTotEnMet],"&gt;"&amp;($A562+6/24),tData[Langligger01],1)</f>
        <v/>
      </c>
      <c r="K562" s="20">
        <f>COUNTIFS(tData[SEHTrajectPeriodeDatumTijdVan],"&lt;="&amp;($A562+7/24),tData[SEHTrajectPeriodeDatumTijdTotEnMet],"&gt;"&amp;($A562+7/24),tData[Langligger01],1)</f>
        <v/>
      </c>
      <c r="L562" s="20">
        <f>COUNTIFS(tData[SEHTrajectPeriodeDatumTijdVan],"&lt;="&amp;($A562+8/24),tData[SEHTrajectPeriodeDatumTijdTotEnMet],"&gt;"&amp;($A562+8/24),tData[Langligger01],1)</f>
        <v/>
      </c>
      <c r="M562" s="20">
        <f>COUNTIFS(tData[SEHTrajectPeriodeDatumTijdVan],"&lt;="&amp;($A562+9/24),tData[SEHTrajectPeriodeDatumTijdTotEnMet],"&gt;"&amp;($A562+9/24),tData[Langligger01],1)</f>
        <v/>
      </c>
      <c r="N562" s="20">
        <f>COUNTIFS(tData[SEHTrajectPeriodeDatumTijdVan],"&lt;="&amp;($A562+10/24),tData[SEHTrajectPeriodeDatumTijdTotEnMet],"&gt;"&amp;($A562+10/24),tData[Langligger01],1)</f>
        <v/>
      </c>
      <c r="O562" s="20">
        <f>COUNTIFS(tData[SEHTrajectPeriodeDatumTijdVan],"&lt;="&amp;($A562+11/24),tData[SEHTrajectPeriodeDatumTijdTotEnMet],"&gt;"&amp;($A562+11/24),tData[Langligger01],1)</f>
        <v/>
      </c>
      <c r="P562" s="20">
        <f>COUNTIFS(tData[SEHTrajectPeriodeDatumTijdVan],"&lt;="&amp;($A562+12/24),tData[SEHTrajectPeriodeDatumTijdTotEnMet],"&gt;"&amp;($A562+12/24),tData[Langligger01],1)</f>
        <v/>
      </c>
      <c r="Q562" s="20">
        <f>COUNTIFS(tData[SEHTrajectPeriodeDatumTijdVan],"&lt;="&amp;($A562+13/24),tData[SEHTrajectPeriodeDatumTijdTotEnMet],"&gt;"&amp;($A562+13/24),tData[Langligger01],1)</f>
        <v/>
      </c>
      <c r="R562" s="20">
        <f>COUNTIFS(tData[SEHTrajectPeriodeDatumTijdVan],"&lt;="&amp;($A562+14/24),tData[SEHTrajectPeriodeDatumTijdTotEnMet],"&gt;"&amp;($A562+14/24),tData[Langligger01],1)</f>
        <v/>
      </c>
      <c r="S562" s="20">
        <f>COUNTIFS(tData[SEHTrajectPeriodeDatumTijdVan],"&lt;="&amp;($A562+15/24),tData[SEHTrajectPeriodeDatumTijdTotEnMet],"&gt;"&amp;($A562+15/24),tData[Langligger01],1)</f>
        <v/>
      </c>
      <c r="T562" s="20">
        <f>COUNTIFS(tData[SEHTrajectPeriodeDatumTijdVan],"&lt;="&amp;($A562+16/24),tData[SEHTrajectPeriodeDatumTijdTotEnMet],"&gt;"&amp;($A562+16/24),tData[Langligger01],1)</f>
        <v/>
      </c>
      <c r="U562" s="20">
        <f>COUNTIFS(tData[SEHTrajectPeriodeDatumTijdVan],"&lt;="&amp;($A562+17/24),tData[SEHTrajectPeriodeDatumTijdTotEnMet],"&gt;"&amp;($A562+17/24),tData[Langligger01],1)</f>
        <v/>
      </c>
      <c r="V562" s="20">
        <f>COUNTIFS(tData[SEHTrajectPeriodeDatumTijdVan],"&lt;="&amp;($A562+18/24),tData[SEHTrajectPeriodeDatumTijdTotEnMet],"&gt;"&amp;($A562+18/24),tData[Langligger01],1)</f>
        <v/>
      </c>
      <c r="W562" s="20">
        <f>COUNTIFS(tData[SEHTrajectPeriodeDatumTijdVan],"&lt;="&amp;($A562+19/24),tData[SEHTrajectPeriodeDatumTijdTotEnMet],"&gt;"&amp;($A562+19/24),tData[Langligger01],1)</f>
        <v/>
      </c>
      <c r="X562" s="20">
        <f>COUNTIFS(tData[SEHTrajectPeriodeDatumTijdVan],"&lt;="&amp;($A562+20/24),tData[SEHTrajectPeriodeDatumTijdTotEnMet],"&gt;"&amp;($A562+20/24),tData[Langligger01],1)</f>
        <v/>
      </c>
      <c r="Y562" s="20">
        <f>COUNTIFS(tData[SEHTrajectPeriodeDatumTijdVan],"&lt;="&amp;($A562+21/24),tData[SEHTrajectPeriodeDatumTijdTotEnMet],"&gt;"&amp;($A562+21/24),tData[Langligger01],1)</f>
        <v/>
      </c>
      <c r="Z562" s="20">
        <f>COUNTIFS(tData[SEHTrajectPeriodeDatumTijdVan],"&lt;="&amp;($A562+22/24),tData[SEHTrajectPeriodeDatumTijdTotEnMet],"&gt;"&amp;($A562+22/24),tData[Langligger01],1)</f>
        <v/>
      </c>
      <c r="AA562" s="20">
        <f>COUNTIFS(tData[SEHTrajectPeriodeDatumTijdVan],"&lt;="&amp;($A562+23/24),tData[SEHTrajectPeriodeDatumTijdTotEnMet],"&gt;"&amp;($A562+23/24),tData[Langligger01],1)</f>
        <v/>
      </c>
    </row>
    <row r="563">
      <c r="A563" s="19" t="n">
        <v>45851</v>
      </c>
      <c r="B563" s="15">
        <f>WEEKDAY($A563,2)</f>
        <v/>
      </c>
      <c r="C563" s="15">
        <f>IF(AND($A563&gt;=INT(Instellingen!$B$5),$A563&lt;=INT(Instellingen!$B$6)),1,0)</f>
        <v/>
      </c>
      <c r="D563" s="20">
        <f>COUNTIFS(tData[SEHTrajectPeriodeDatumTijdVan],"&lt;="&amp;($A563+0/24),tData[SEHTrajectPeriodeDatumTijdTotEnMet],"&gt;"&amp;($A563+0/24),tData[Langligger01],1)</f>
        <v/>
      </c>
      <c r="E563" s="20">
        <f>COUNTIFS(tData[SEHTrajectPeriodeDatumTijdVan],"&lt;="&amp;($A563+1/24),tData[SEHTrajectPeriodeDatumTijdTotEnMet],"&gt;"&amp;($A563+1/24),tData[Langligger01],1)</f>
        <v/>
      </c>
      <c r="F563" s="20">
        <f>COUNTIFS(tData[SEHTrajectPeriodeDatumTijdVan],"&lt;="&amp;($A563+2/24),tData[SEHTrajectPeriodeDatumTijdTotEnMet],"&gt;"&amp;($A563+2/24),tData[Langligger01],1)</f>
        <v/>
      </c>
      <c r="G563" s="20">
        <f>COUNTIFS(tData[SEHTrajectPeriodeDatumTijdVan],"&lt;="&amp;($A563+3/24),tData[SEHTrajectPeriodeDatumTijdTotEnMet],"&gt;"&amp;($A563+3/24),tData[Langligger01],1)</f>
        <v/>
      </c>
      <c r="H563" s="20">
        <f>COUNTIFS(tData[SEHTrajectPeriodeDatumTijdVan],"&lt;="&amp;($A563+4/24),tData[SEHTrajectPeriodeDatumTijdTotEnMet],"&gt;"&amp;($A563+4/24),tData[Langligger01],1)</f>
        <v/>
      </c>
      <c r="I563" s="20">
        <f>COUNTIFS(tData[SEHTrajectPeriodeDatumTijdVan],"&lt;="&amp;($A563+5/24),tData[SEHTrajectPeriodeDatumTijdTotEnMet],"&gt;"&amp;($A563+5/24),tData[Langligger01],1)</f>
        <v/>
      </c>
      <c r="J563" s="20">
        <f>COUNTIFS(tData[SEHTrajectPeriodeDatumTijdVan],"&lt;="&amp;($A563+6/24),tData[SEHTrajectPeriodeDatumTijdTotEnMet],"&gt;"&amp;($A563+6/24),tData[Langligger01],1)</f>
        <v/>
      </c>
      <c r="K563" s="20">
        <f>COUNTIFS(tData[SEHTrajectPeriodeDatumTijdVan],"&lt;="&amp;($A563+7/24),tData[SEHTrajectPeriodeDatumTijdTotEnMet],"&gt;"&amp;($A563+7/24),tData[Langligger01],1)</f>
        <v/>
      </c>
      <c r="L563" s="20">
        <f>COUNTIFS(tData[SEHTrajectPeriodeDatumTijdVan],"&lt;="&amp;($A563+8/24),tData[SEHTrajectPeriodeDatumTijdTotEnMet],"&gt;"&amp;($A563+8/24),tData[Langligger01],1)</f>
        <v/>
      </c>
      <c r="M563" s="20">
        <f>COUNTIFS(tData[SEHTrajectPeriodeDatumTijdVan],"&lt;="&amp;($A563+9/24),tData[SEHTrajectPeriodeDatumTijdTotEnMet],"&gt;"&amp;($A563+9/24),tData[Langligger01],1)</f>
        <v/>
      </c>
      <c r="N563" s="20">
        <f>COUNTIFS(tData[SEHTrajectPeriodeDatumTijdVan],"&lt;="&amp;($A563+10/24),tData[SEHTrajectPeriodeDatumTijdTotEnMet],"&gt;"&amp;($A563+10/24),tData[Langligger01],1)</f>
        <v/>
      </c>
      <c r="O563" s="20">
        <f>COUNTIFS(tData[SEHTrajectPeriodeDatumTijdVan],"&lt;="&amp;($A563+11/24),tData[SEHTrajectPeriodeDatumTijdTotEnMet],"&gt;"&amp;($A563+11/24),tData[Langligger01],1)</f>
        <v/>
      </c>
      <c r="P563" s="20">
        <f>COUNTIFS(tData[SEHTrajectPeriodeDatumTijdVan],"&lt;="&amp;($A563+12/24),tData[SEHTrajectPeriodeDatumTijdTotEnMet],"&gt;"&amp;($A563+12/24),tData[Langligger01],1)</f>
        <v/>
      </c>
      <c r="Q563" s="20">
        <f>COUNTIFS(tData[SEHTrajectPeriodeDatumTijdVan],"&lt;="&amp;($A563+13/24),tData[SEHTrajectPeriodeDatumTijdTotEnMet],"&gt;"&amp;($A563+13/24),tData[Langligger01],1)</f>
        <v/>
      </c>
      <c r="R563" s="20">
        <f>COUNTIFS(tData[SEHTrajectPeriodeDatumTijdVan],"&lt;="&amp;($A563+14/24),tData[SEHTrajectPeriodeDatumTijdTotEnMet],"&gt;"&amp;($A563+14/24),tData[Langligger01],1)</f>
        <v/>
      </c>
      <c r="S563" s="20">
        <f>COUNTIFS(tData[SEHTrajectPeriodeDatumTijdVan],"&lt;="&amp;($A563+15/24),tData[SEHTrajectPeriodeDatumTijdTotEnMet],"&gt;"&amp;($A563+15/24),tData[Langligger01],1)</f>
        <v/>
      </c>
      <c r="T563" s="20">
        <f>COUNTIFS(tData[SEHTrajectPeriodeDatumTijdVan],"&lt;="&amp;($A563+16/24),tData[SEHTrajectPeriodeDatumTijdTotEnMet],"&gt;"&amp;($A563+16/24),tData[Langligger01],1)</f>
        <v/>
      </c>
      <c r="U563" s="20">
        <f>COUNTIFS(tData[SEHTrajectPeriodeDatumTijdVan],"&lt;="&amp;($A563+17/24),tData[SEHTrajectPeriodeDatumTijdTotEnMet],"&gt;"&amp;($A563+17/24),tData[Langligger01],1)</f>
        <v/>
      </c>
      <c r="V563" s="20">
        <f>COUNTIFS(tData[SEHTrajectPeriodeDatumTijdVan],"&lt;="&amp;($A563+18/24),tData[SEHTrajectPeriodeDatumTijdTotEnMet],"&gt;"&amp;($A563+18/24),tData[Langligger01],1)</f>
        <v/>
      </c>
      <c r="W563" s="20">
        <f>COUNTIFS(tData[SEHTrajectPeriodeDatumTijdVan],"&lt;="&amp;($A563+19/24),tData[SEHTrajectPeriodeDatumTijdTotEnMet],"&gt;"&amp;($A563+19/24),tData[Langligger01],1)</f>
        <v/>
      </c>
      <c r="X563" s="20">
        <f>COUNTIFS(tData[SEHTrajectPeriodeDatumTijdVan],"&lt;="&amp;($A563+20/24),tData[SEHTrajectPeriodeDatumTijdTotEnMet],"&gt;"&amp;($A563+20/24),tData[Langligger01],1)</f>
        <v/>
      </c>
      <c r="Y563" s="20">
        <f>COUNTIFS(tData[SEHTrajectPeriodeDatumTijdVan],"&lt;="&amp;($A563+21/24),tData[SEHTrajectPeriodeDatumTijdTotEnMet],"&gt;"&amp;($A563+21/24),tData[Langligger01],1)</f>
        <v/>
      </c>
      <c r="Z563" s="20">
        <f>COUNTIFS(tData[SEHTrajectPeriodeDatumTijdVan],"&lt;="&amp;($A563+22/24),tData[SEHTrajectPeriodeDatumTijdTotEnMet],"&gt;"&amp;($A563+22/24),tData[Langligger01],1)</f>
        <v/>
      </c>
      <c r="AA563" s="20">
        <f>COUNTIFS(tData[SEHTrajectPeriodeDatumTijdVan],"&lt;="&amp;($A563+23/24),tData[SEHTrajectPeriodeDatumTijdTotEnMet],"&gt;"&amp;($A563+23/24),tData[Langligger01],1)</f>
        <v/>
      </c>
    </row>
    <row r="564">
      <c r="A564" s="19" t="n">
        <v>45852</v>
      </c>
      <c r="B564" s="15">
        <f>WEEKDAY($A564,2)</f>
        <v/>
      </c>
      <c r="C564" s="15">
        <f>IF(AND($A564&gt;=INT(Instellingen!$B$5),$A564&lt;=INT(Instellingen!$B$6)),1,0)</f>
        <v/>
      </c>
      <c r="D564" s="20">
        <f>COUNTIFS(tData[SEHTrajectPeriodeDatumTijdVan],"&lt;="&amp;($A564+0/24),tData[SEHTrajectPeriodeDatumTijdTotEnMet],"&gt;"&amp;($A564+0/24),tData[Langligger01],1)</f>
        <v/>
      </c>
      <c r="E564" s="20">
        <f>COUNTIFS(tData[SEHTrajectPeriodeDatumTijdVan],"&lt;="&amp;($A564+1/24),tData[SEHTrajectPeriodeDatumTijdTotEnMet],"&gt;"&amp;($A564+1/24),tData[Langligger01],1)</f>
        <v/>
      </c>
      <c r="F564" s="20">
        <f>COUNTIFS(tData[SEHTrajectPeriodeDatumTijdVan],"&lt;="&amp;($A564+2/24),tData[SEHTrajectPeriodeDatumTijdTotEnMet],"&gt;"&amp;($A564+2/24),tData[Langligger01],1)</f>
        <v/>
      </c>
      <c r="G564" s="20">
        <f>COUNTIFS(tData[SEHTrajectPeriodeDatumTijdVan],"&lt;="&amp;($A564+3/24),tData[SEHTrajectPeriodeDatumTijdTotEnMet],"&gt;"&amp;($A564+3/24),tData[Langligger01],1)</f>
        <v/>
      </c>
      <c r="H564" s="20">
        <f>COUNTIFS(tData[SEHTrajectPeriodeDatumTijdVan],"&lt;="&amp;($A564+4/24),tData[SEHTrajectPeriodeDatumTijdTotEnMet],"&gt;"&amp;($A564+4/24),tData[Langligger01],1)</f>
        <v/>
      </c>
      <c r="I564" s="20">
        <f>COUNTIFS(tData[SEHTrajectPeriodeDatumTijdVan],"&lt;="&amp;($A564+5/24),tData[SEHTrajectPeriodeDatumTijdTotEnMet],"&gt;"&amp;($A564+5/24),tData[Langligger01],1)</f>
        <v/>
      </c>
      <c r="J564" s="20">
        <f>COUNTIFS(tData[SEHTrajectPeriodeDatumTijdVan],"&lt;="&amp;($A564+6/24),tData[SEHTrajectPeriodeDatumTijdTotEnMet],"&gt;"&amp;($A564+6/24),tData[Langligger01],1)</f>
        <v/>
      </c>
      <c r="K564" s="20">
        <f>COUNTIFS(tData[SEHTrajectPeriodeDatumTijdVan],"&lt;="&amp;($A564+7/24),tData[SEHTrajectPeriodeDatumTijdTotEnMet],"&gt;"&amp;($A564+7/24),tData[Langligger01],1)</f>
        <v/>
      </c>
      <c r="L564" s="20">
        <f>COUNTIFS(tData[SEHTrajectPeriodeDatumTijdVan],"&lt;="&amp;($A564+8/24),tData[SEHTrajectPeriodeDatumTijdTotEnMet],"&gt;"&amp;($A564+8/24),tData[Langligger01],1)</f>
        <v/>
      </c>
      <c r="M564" s="20">
        <f>COUNTIFS(tData[SEHTrajectPeriodeDatumTijdVan],"&lt;="&amp;($A564+9/24),tData[SEHTrajectPeriodeDatumTijdTotEnMet],"&gt;"&amp;($A564+9/24),tData[Langligger01],1)</f>
        <v/>
      </c>
      <c r="N564" s="20">
        <f>COUNTIFS(tData[SEHTrajectPeriodeDatumTijdVan],"&lt;="&amp;($A564+10/24),tData[SEHTrajectPeriodeDatumTijdTotEnMet],"&gt;"&amp;($A564+10/24),tData[Langligger01],1)</f>
        <v/>
      </c>
      <c r="O564" s="20">
        <f>COUNTIFS(tData[SEHTrajectPeriodeDatumTijdVan],"&lt;="&amp;($A564+11/24),tData[SEHTrajectPeriodeDatumTijdTotEnMet],"&gt;"&amp;($A564+11/24),tData[Langligger01],1)</f>
        <v/>
      </c>
      <c r="P564" s="20">
        <f>COUNTIFS(tData[SEHTrajectPeriodeDatumTijdVan],"&lt;="&amp;($A564+12/24),tData[SEHTrajectPeriodeDatumTijdTotEnMet],"&gt;"&amp;($A564+12/24),tData[Langligger01],1)</f>
        <v/>
      </c>
      <c r="Q564" s="20">
        <f>COUNTIFS(tData[SEHTrajectPeriodeDatumTijdVan],"&lt;="&amp;($A564+13/24),tData[SEHTrajectPeriodeDatumTijdTotEnMet],"&gt;"&amp;($A564+13/24),tData[Langligger01],1)</f>
        <v/>
      </c>
      <c r="R564" s="20">
        <f>COUNTIFS(tData[SEHTrajectPeriodeDatumTijdVan],"&lt;="&amp;($A564+14/24),tData[SEHTrajectPeriodeDatumTijdTotEnMet],"&gt;"&amp;($A564+14/24),tData[Langligger01],1)</f>
        <v/>
      </c>
      <c r="S564" s="20">
        <f>COUNTIFS(tData[SEHTrajectPeriodeDatumTijdVan],"&lt;="&amp;($A564+15/24),tData[SEHTrajectPeriodeDatumTijdTotEnMet],"&gt;"&amp;($A564+15/24),tData[Langligger01],1)</f>
        <v/>
      </c>
      <c r="T564" s="20">
        <f>COUNTIFS(tData[SEHTrajectPeriodeDatumTijdVan],"&lt;="&amp;($A564+16/24),tData[SEHTrajectPeriodeDatumTijdTotEnMet],"&gt;"&amp;($A564+16/24),tData[Langligger01],1)</f>
        <v/>
      </c>
      <c r="U564" s="20">
        <f>COUNTIFS(tData[SEHTrajectPeriodeDatumTijdVan],"&lt;="&amp;($A564+17/24),tData[SEHTrajectPeriodeDatumTijdTotEnMet],"&gt;"&amp;($A564+17/24),tData[Langligger01],1)</f>
        <v/>
      </c>
      <c r="V564" s="20">
        <f>COUNTIFS(tData[SEHTrajectPeriodeDatumTijdVan],"&lt;="&amp;($A564+18/24),tData[SEHTrajectPeriodeDatumTijdTotEnMet],"&gt;"&amp;($A564+18/24),tData[Langligger01],1)</f>
        <v/>
      </c>
      <c r="W564" s="20">
        <f>COUNTIFS(tData[SEHTrajectPeriodeDatumTijdVan],"&lt;="&amp;($A564+19/24),tData[SEHTrajectPeriodeDatumTijdTotEnMet],"&gt;"&amp;($A564+19/24),tData[Langligger01],1)</f>
        <v/>
      </c>
      <c r="X564" s="20">
        <f>COUNTIFS(tData[SEHTrajectPeriodeDatumTijdVan],"&lt;="&amp;($A564+20/24),tData[SEHTrajectPeriodeDatumTijdTotEnMet],"&gt;"&amp;($A564+20/24),tData[Langligger01],1)</f>
        <v/>
      </c>
      <c r="Y564" s="20">
        <f>COUNTIFS(tData[SEHTrajectPeriodeDatumTijdVan],"&lt;="&amp;($A564+21/24),tData[SEHTrajectPeriodeDatumTijdTotEnMet],"&gt;"&amp;($A564+21/24),tData[Langligger01],1)</f>
        <v/>
      </c>
      <c r="Z564" s="20">
        <f>COUNTIFS(tData[SEHTrajectPeriodeDatumTijdVan],"&lt;="&amp;($A564+22/24),tData[SEHTrajectPeriodeDatumTijdTotEnMet],"&gt;"&amp;($A564+22/24),tData[Langligger01],1)</f>
        <v/>
      </c>
      <c r="AA564" s="20">
        <f>COUNTIFS(tData[SEHTrajectPeriodeDatumTijdVan],"&lt;="&amp;($A564+23/24),tData[SEHTrajectPeriodeDatumTijdTotEnMet],"&gt;"&amp;($A564+23/24),tData[Langligger01],1)</f>
        <v/>
      </c>
    </row>
    <row r="565">
      <c r="A565" s="19" t="n">
        <v>45853</v>
      </c>
      <c r="B565" s="15">
        <f>WEEKDAY($A565,2)</f>
        <v/>
      </c>
      <c r="C565" s="15">
        <f>IF(AND($A565&gt;=INT(Instellingen!$B$5),$A565&lt;=INT(Instellingen!$B$6)),1,0)</f>
        <v/>
      </c>
      <c r="D565" s="20">
        <f>COUNTIFS(tData[SEHTrajectPeriodeDatumTijdVan],"&lt;="&amp;($A565+0/24),tData[SEHTrajectPeriodeDatumTijdTotEnMet],"&gt;"&amp;($A565+0/24),tData[Langligger01],1)</f>
        <v/>
      </c>
      <c r="E565" s="20">
        <f>COUNTIFS(tData[SEHTrajectPeriodeDatumTijdVan],"&lt;="&amp;($A565+1/24),tData[SEHTrajectPeriodeDatumTijdTotEnMet],"&gt;"&amp;($A565+1/24),tData[Langligger01],1)</f>
        <v/>
      </c>
      <c r="F565" s="20">
        <f>COUNTIFS(tData[SEHTrajectPeriodeDatumTijdVan],"&lt;="&amp;($A565+2/24),tData[SEHTrajectPeriodeDatumTijdTotEnMet],"&gt;"&amp;($A565+2/24),tData[Langligger01],1)</f>
        <v/>
      </c>
      <c r="G565" s="20">
        <f>COUNTIFS(tData[SEHTrajectPeriodeDatumTijdVan],"&lt;="&amp;($A565+3/24),tData[SEHTrajectPeriodeDatumTijdTotEnMet],"&gt;"&amp;($A565+3/24),tData[Langligger01],1)</f>
        <v/>
      </c>
      <c r="H565" s="20">
        <f>COUNTIFS(tData[SEHTrajectPeriodeDatumTijdVan],"&lt;="&amp;($A565+4/24),tData[SEHTrajectPeriodeDatumTijdTotEnMet],"&gt;"&amp;($A565+4/24),tData[Langligger01],1)</f>
        <v/>
      </c>
      <c r="I565" s="20">
        <f>COUNTIFS(tData[SEHTrajectPeriodeDatumTijdVan],"&lt;="&amp;($A565+5/24),tData[SEHTrajectPeriodeDatumTijdTotEnMet],"&gt;"&amp;($A565+5/24),tData[Langligger01],1)</f>
        <v/>
      </c>
      <c r="J565" s="20">
        <f>COUNTIFS(tData[SEHTrajectPeriodeDatumTijdVan],"&lt;="&amp;($A565+6/24),tData[SEHTrajectPeriodeDatumTijdTotEnMet],"&gt;"&amp;($A565+6/24),tData[Langligger01],1)</f>
        <v/>
      </c>
      <c r="K565" s="20">
        <f>COUNTIFS(tData[SEHTrajectPeriodeDatumTijdVan],"&lt;="&amp;($A565+7/24),tData[SEHTrajectPeriodeDatumTijdTotEnMet],"&gt;"&amp;($A565+7/24),tData[Langligger01],1)</f>
        <v/>
      </c>
      <c r="L565" s="20">
        <f>COUNTIFS(tData[SEHTrajectPeriodeDatumTijdVan],"&lt;="&amp;($A565+8/24),tData[SEHTrajectPeriodeDatumTijdTotEnMet],"&gt;"&amp;($A565+8/24),tData[Langligger01],1)</f>
        <v/>
      </c>
      <c r="M565" s="20">
        <f>COUNTIFS(tData[SEHTrajectPeriodeDatumTijdVan],"&lt;="&amp;($A565+9/24),tData[SEHTrajectPeriodeDatumTijdTotEnMet],"&gt;"&amp;($A565+9/24),tData[Langligger01],1)</f>
        <v/>
      </c>
      <c r="N565" s="20">
        <f>COUNTIFS(tData[SEHTrajectPeriodeDatumTijdVan],"&lt;="&amp;($A565+10/24),tData[SEHTrajectPeriodeDatumTijdTotEnMet],"&gt;"&amp;($A565+10/24),tData[Langligger01],1)</f>
        <v/>
      </c>
      <c r="O565" s="20">
        <f>COUNTIFS(tData[SEHTrajectPeriodeDatumTijdVan],"&lt;="&amp;($A565+11/24),tData[SEHTrajectPeriodeDatumTijdTotEnMet],"&gt;"&amp;($A565+11/24),tData[Langligger01],1)</f>
        <v/>
      </c>
      <c r="P565" s="20">
        <f>COUNTIFS(tData[SEHTrajectPeriodeDatumTijdVan],"&lt;="&amp;($A565+12/24),tData[SEHTrajectPeriodeDatumTijdTotEnMet],"&gt;"&amp;($A565+12/24),tData[Langligger01],1)</f>
        <v/>
      </c>
      <c r="Q565" s="20">
        <f>COUNTIFS(tData[SEHTrajectPeriodeDatumTijdVan],"&lt;="&amp;($A565+13/24),tData[SEHTrajectPeriodeDatumTijdTotEnMet],"&gt;"&amp;($A565+13/24),tData[Langligger01],1)</f>
        <v/>
      </c>
      <c r="R565" s="20">
        <f>COUNTIFS(tData[SEHTrajectPeriodeDatumTijdVan],"&lt;="&amp;($A565+14/24),tData[SEHTrajectPeriodeDatumTijdTotEnMet],"&gt;"&amp;($A565+14/24),tData[Langligger01],1)</f>
        <v/>
      </c>
      <c r="S565" s="20">
        <f>COUNTIFS(tData[SEHTrajectPeriodeDatumTijdVan],"&lt;="&amp;($A565+15/24),tData[SEHTrajectPeriodeDatumTijdTotEnMet],"&gt;"&amp;($A565+15/24),tData[Langligger01],1)</f>
        <v/>
      </c>
      <c r="T565" s="20">
        <f>COUNTIFS(tData[SEHTrajectPeriodeDatumTijdVan],"&lt;="&amp;($A565+16/24),tData[SEHTrajectPeriodeDatumTijdTotEnMet],"&gt;"&amp;($A565+16/24),tData[Langligger01],1)</f>
        <v/>
      </c>
      <c r="U565" s="20">
        <f>COUNTIFS(tData[SEHTrajectPeriodeDatumTijdVan],"&lt;="&amp;($A565+17/24),tData[SEHTrajectPeriodeDatumTijdTotEnMet],"&gt;"&amp;($A565+17/24),tData[Langligger01],1)</f>
        <v/>
      </c>
      <c r="V565" s="20">
        <f>COUNTIFS(tData[SEHTrajectPeriodeDatumTijdVan],"&lt;="&amp;($A565+18/24),tData[SEHTrajectPeriodeDatumTijdTotEnMet],"&gt;"&amp;($A565+18/24),tData[Langligger01],1)</f>
        <v/>
      </c>
      <c r="W565" s="20">
        <f>COUNTIFS(tData[SEHTrajectPeriodeDatumTijdVan],"&lt;="&amp;($A565+19/24),tData[SEHTrajectPeriodeDatumTijdTotEnMet],"&gt;"&amp;($A565+19/24),tData[Langligger01],1)</f>
        <v/>
      </c>
      <c r="X565" s="20">
        <f>COUNTIFS(tData[SEHTrajectPeriodeDatumTijdVan],"&lt;="&amp;($A565+20/24),tData[SEHTrajectPeriodeDatumTijdTotEnMet],"&gt;"&amp;($A565+20/24),tData[Langligger01],1)</f>
        <v/>
      </c>
      <c r="Y565" s="20">
        <f>COUNTIFS(tData[SEHTrajectPeriodeDatumTijdVan],"&lt;="&amp;($A565+21/24),tData[SEHTrajectPeriodeDatumTijdTotEnMet],"&gt;"&amp;($A565+21/24),tData[Langligger01],1)</f>
        <v/>
      </c>
      <c r="Z565" s="20">
        <f>COUNTIFS(tData[SEHTrajectPeriodeDatumTijdVan],"&lt;="&amp;($A565+22/24),tData[SEHTrajectPeriodeDatumTijdTotEnMet],"&gt;"&amp;($A565+22/24),tData[Langligger01],1)</f>
        <v/>
      </c>
      <c r="AA565" s="20">
        <f>COUNTIFS(tData[SEHTrajectPeriodeDatumTijdVan],"&lt;="&amp;($A565+23/24),tData[SEHTrajectPeriodeDatumTijdTotEnMet],"&gt;"&amp;($A565+23/24),tData[Langligger01],1)</f>
        <v/>
      </c>
    </row>
    <row r="566">
      <c r="A566" s="19" t="n">
        <v>45854</v>
      </c>
      <c r="B566" s="15">
        <f>WEEKDAY($A566,2)</f>
        <v/>
      </c>
      <c r="C566" s="15">
        <f>IF(AND($A566&gt;=INT(Instellingen!$B$5),$A566&lt;=INT(Instellingen!$B$6)),1,0)</f>
        <v/>
      </c>
      <c r="D566" s="20">
        <f>COUNTIFS(tData[SEHTrajectPeriodeDatumTijdVan],"&lt;="&amp;($A566+0/24),tData[SEHTrajectPeriodeDatumTijdTotEnMet],"&gt;"&amp;($A566+0/24),tData[Langligger01],1)</f>
        <v/>
      </c>
      <c r="E566" s="20">
        <f>COUNTIFS(tData[SEHTrajectPeriodeDatumTijdVan],"&lt;="&amp;($A566+1/24),tData[SEHTrajectPeriodeDatumTijdTotEnMet],"&gt;"&amp;($A566+1/24),tData[Langligger01],1)</f>
        <v/>
      </c>
      <c r="F566" s="20">
        <f>COUNTIFS(tData[SEHTrajectPeriodeDatumTijdVan],"&lt;="&amp;($A566+2/24),tData[SEHTrajectPeriodeDatumTijdTotEnMet],"&gt;"&amp;($A566+2/24),tData[Langligger01],1)</f>
        <v/>
      </c>
      <c r="G566" s="20">
        <f>COUNTIFS(tData[SEHTrajectPeriodeDatumTijdVan],"&lt;="&amp;($A566+3/24),tData[SEHTrajectPeriodeDatumTijdTotEnMet],"&gt;"&amp;($A566+3/24),tData[Langligger01],1)</f>
        <v/>
      </c>
      <c r="H566" s="20">
        <f>COUNTIFS(tData[SEHTrajectPeriodeDatumTijdVan],"&lt;="&amp;($A566+4/24),tData[SEHTrajectPeriodeDatumTijdTotEnMet],"&gt;"&amp;($A566+4/24),tData[Langligger01],1)</f>
        <v/>
      </c>
      <c r="I566" s="20">
        <f>COUNTIFS(tData[SEHTrajectPeriodeDatumTijdVan],"&lt;="&amp;($A566+5/24),tData[SEHTrajectPeriodeDatumTijdTotEnMet],"&gt;"&amp;($A566+5/24),tData[Langligger01],1)</f>
        <v/>
      </c>
      <c r="J566" s="20">
        <f>COUNTIFS(tData[SEHTrajectPeriodeDatumTijdVan],"&lt;="&amp;($A566+6/24),tData[SEHTrajectPeriodeDatumTijdTotEnMet],"&gt;"&amp;($A566+6/24),tData[Langligger01],1)</f>
        <v/>
      </c>
      <c r="K566" s="20">
        <f>COUNTIFS(tData[SEHTrajectPeriodeDatumTijdVan],"&lt;="&amp;($A566+7/24),tData[SEHTrajectPeriodeDatumTijdTotEnMet],"&gt;"&amp;($A566+7/24),tData[Langligger01],1)</f>
        <v/>
      </c>
      <c r="L566" s="20">
        <f>COUNTIFS(tData[SEHTrajectPeriodeDatumTijdVan],"&lt;="&amp;($A566+8/24),tData[SEHTrajectPeriodeDatumTijdTotEnMet],"&gt;"&amp;($A566+8/24),tData[Langligger01],1)</f>
        <v/>
      </c>
      <c r="M566" s="20">
        <f>COUNTIFS(tData[SEHTrajectPeriodeDatumTijdVan],"&lt;="&amp;($A566+9/24),tData[SEHTrajectPeriodeDatumTijdTotEnMet],"&gt;"&amp;($A566+9/24),tData[Langligger01],1)</f>
        <v/>
      </c>
      <c r="N566" s="20">
        <f>COUNTIFS(tData[SEHTrajectPeriodeDatumTijdVan],"&lt;="&amp;($A566+10/24),tData[SEHTrajectPeriodeDatumTijdTotEnMet],"&gt;"&amp;($A566+10/24),tData[Langligger01],1)</f>
        <v/>
      </c>
      <c r="O566" s="20">
        <f>COUNTIFS(tData[SEHTrajectPeriodeDatumTijdVan],"&lt;="&amp;($A566+11/24),tData[SEHTrajectPeriodeDatumTijdTotEnMet],"&gt;"&amp;($A566+11/24),tData[Langligger01],1)</f>
        <v/>
      </c>
      <c r="P566" s="20">
        <f>COUNTIFS(tData[SEHTrajectPeriodeDatumTijdVan],"&lt;="&amp;($A566+12/24),tData[SEHTrajectPeriodeDatumTijdTotEnMet],"&gt;"&amp;($A566+12/24),tData[Langligger01],1)</f>
        <v/>
      </c>
      <c r="Q566" s="20">
        <f>COUNTIFS(tData[SEHTrajectPeriodeDatumTijdVan],"&lt;="&amp;($A566+13/24),tData[SEHTrajectPeriodeDatumTijdTotEnMet],"&gt;"&amp;($A566+13/24),tData[Langligger01],1)</f>
        <v/>
      </c>
      <c r="R566" s="20">
        <f>COUNTIFS(tData[SEHTrajectPeriodeDatumTijdVan],"&lt;="&amp;($A566+14/24),tData[SEHTrajectPeriodeDatumTijdTotEnMet],"&gt;"&amp;($A566+14/24),tData[Langligger01],1)</f>
        <v/>
      </c>
      <c r="S566" s="20">
        <f>COUNTIFS(tData[SEHTrajectPeriodeDatumTijdVan],"&lt;="&amp;($A566+15/24),tData[SEHTrajectPeriodeDatumTijdTotEnMet],"&gt;"&amp;($A566+15/24),tData[Langligger01],1)</f>
        <v/>
      </c>
      <c r="T566" s="20">
        <f>COUNTIFS(tData[SEHTrajectPeriodeDatumTijdVan],"&lt;="&amp;($A566+16/24),tData[SEHTrajectPeriodeDatumTijdTotEnMet],"&gt;"&amp;($A566+16/24),tData[Langligger01],1)</f>
        <v/>
      </c>
      <c r="U566" s="20">
        <f>COUNTIFS(tData[SEHTrajectPeriodeDatumTijdVan],"&lt;="&amp;($A566+17/24),tData[SEHTrajectPeriodeDatumTijdTotEnMet],"&gt;"&amp;($A566+17/24),tData[Langligger01],1)</f>
        <v/>
      </c>
      <c r="V566" s="20">
        <f>COUNTIFS(tData[SEHTrajectPeriodeDatumTijdVan],"&lt;="&amp;($A566+18/24),tData[SEHTrajectPeriodeDatumTijdTotEnMet],"&gt;"&amp;($A566+18/24),tData[Langligger01],1)</f>
        <v/>
      </c>
      <c r="W566" s="20">
        <f>COUNTIFS(tData[SEHTrajectPeriodeDatumTijdVan],"&lt;="&amp;($A566+19/24),tData[SEHTrajectPeriodeDatumTijdTotEnMet],"&gt;"&amp;($A566+19/24),tData[Langligger01],1)</f>
        <v/>
      </c>
      <c r="X566" s="20">
        <f>COUNTIFS(tData[SEHTrajectPeriodeDatumTijdVan],"&lt;="&amp;($A566+20/24),tData[SEHTrajectPeriodeDatumTijdTotEnMet],"&gt;"&amp;($A566+20/24),tData[Langligger01],1)</f>
        <v/>
      </c>
      <c r="Y566" s="20">
        <f>COUNTIFS(tData[SEHTrajectPeriodeDatumTijdVan],"&lt;="&amp;($A566+21/24),tData[SEHTrajectPeriodeDatumTijdTotEnMet],"&gt;"&amp;($A566+21/24),tData[Langligger01],1)</f>
        <v/>
      </c>
      <c r="Z566" s="20">
        <f>COUNTIFS(tData[SEHTrajectPeriodeDatumTijdVan],"&lt;="&amp;($A566+22/24),tData[SEHTrajectPeriodeDatumTijdTotEnMet],"&gt;"&amp;($A566+22/24),tData[Langligger01],1)</f>
        <v/>
      </c>
      <c r="AA566" s="20">
        <f>COUNTIFS(tData[SEHTrajectPeriodeDatumTijdVan],"&lt;="&amp;($A566+23/24),tData[SEHTrajectPeriodeDatumTijdTotEnMet],"&gt;"&amp;($A566+23/24),tData[Langligger01],1)</f>
        <v/>
      </c>
    </row>
    <row r="567">
      <c r="A567" s="19" t="n">
        <v>45855</v>
      </c>
      <c r="B567" s="15">
        <f>WEEKDAY($A567,2)</f>
        <v/>
      </c>
      <c r="C567" s="15">
        <f>IF(AND($A567&gt;=INT(Instellingen!$B$5),$A567&lt;=INT(Instellingen!$B$6)),1,0)</f>
        <v/>
      </c>
      <c r="D567" s="20">
        <f>COUNTIFS(tData[SEHTrajectPeriodeDatumTijdVan],"&lt;="&amp;($A567+0/24),tData[SEHTrajectPeriodeDatumTijdTotEnMet],"&gt;"&amp;($A567+0/24),tData[Langligger01],1)</f>
        <v/>
      </c>
      <c r="E567" s="20">
        <f>COUNTIFS(tData[SEHTrajectPeriodeDatumTijdVan],"&lt;="&amp;($A567+1/24),tData[SEHTrajectPeriodeDatumTijdTotEnMet],"&gt;"&amp;($A567+1/24),tData[Langligger01],1)</f>
        <v/>
      </c>
      <c r="F567" s="20">
        <f>COUNTIFS(tData[SEHTrajectPeriodeDatumTijdVan],"&lt;="&amp;($A567+2/24),tData[SEHTrajectPeriodeDatumTijdTotEnMet],"&gt;"&amp;($A567+2/24),tData[Langligger01],1)</f>
        <v/>
      </c>
      <c r="G567" s="20">
        <f>COUNTIFS(tData[SEHTrajectPeriodeDatumTijdVan],"&lt;="&amp;($A567+3/24),tData[SEHTrajectPeriodeDatumTijdTotEnMet],"&gt;"&amp;($A567+3/24),tData[Langligger01],1)</f>
        <v/>
      </c>
      <c r="H567" s="20">
        <f>COUNTIFS(tData[SEHTrajectPeriodeDatumTijdVan],"&lt;="&amp;($A567+4/24),tData[SEHTrajectPeriodeDatumTijdTotEnMet],"&gt;"&amp;($A567+4/24),tData[Langligger01],1)</f>
        <v/>
      </c>
      <c r="I567" s="20">
        <f>COUNTIFS(tData[SEHTrajectPeriodeDatumTijdVan],"&lt;="&amp;($A567+5/24),tData[SEHTrajectPeriodeDatumTijdTotEnMet],"&gt;"&amp;($A567+5/24),tData[Langligger01],1)</f>
        <v/>
      </c>
      <c r="J567" s="20">
        <f>COUNTIFS(tData[SEHTrajectPeriodeDatumTijdVan],"&lt;="&amp;($A567+6/24),tData[SEHTrajectPeriodeDatumTijdTotEnMet],"&gt;"&amp;($A567+6/24),tData[Langligger01],1)</f>
        <v/>
      </c>
      <c r="K567" s="20">
        <f>COUNTIFS(tData[SEHTrajectPeriodeDatumTijdVan],"&lt;="&amp;($A567+7/24),tData[SEHTrajectPeriodeDatumTijdTotEnMet],"&gt;"&amp;($A567+7/24),tData[Langligger01],1)</f>
        <v/>
      </c>
      <c r="L567" s="20">
        <f>COUNTIFS(tData[SEHTrajectPeriodeDatumTijdVan],"&lt;="&amp;($A567+8/24),tData[SEHTrajectPeriodeDatumTijdTotEnMet],"&gt;"&amp;($A567+8/24),tData[Langligger01],1)</f>
        <v/>
      </c>
      <c r="M567" s="20">
        <f>COUNTIFS(tData[SEHTrajectPeriodeDatumTijdVan],"&lt;="&amp;($A567+9/24),tData[SEHTrajectPeriodeDatumTijdTotEnMet],"&gt;"&amp;($A567+9/24),tData[Langligger01],1)</f>
        <v/>
      </c>
      <c r="N567" s="20">
        <f>COUNTIFS(tData[SEHTrajectPeriodeDatumTijdVan],"&lt;="&amp;($A567+10/24),tData[SEHTrajectPeriodeDatumTijdTotEnMet],"&gt;"&amp;($A567+10/24),tData[Langligger01],1)</f>
        <v/>
      </c>
      <c r="O567" s="20">
        <f>COUNTIFS(tData[SEHTrajectPeriodeDatumTijdVan],"&lt;="&amp;($A567+11/24),tData[SEHTrajectPeriodeDatumTijdTotEnMet],"&gt;"&amp;($A567+11/24),tData[Langligger01],1)</f>
        <v/>
      </c>
      <c r="P567" s="20">
        <f>COUNTIFS(tData[SEHTrajectPeriodeDatumTijdVan],"&lt;="&amp;($A567+12/24),tData[SEHTrajectPeriodeDatumTijdTotEnMet],"&gt;"&amp;($A567+12/24),tData[Langligger01],1)</f>
        <v/>
      </c>
      <c r="Q567" s="20">
        <f>COUNTIFS(tData[SEHTrajectPeriodeDatumTijdVan],"&lt;="&amp;($A567+13/24),tData[SEHTrajectPeriodeDatumTijdTotEnMet],"&gt;"&amp;($A567+13/24),tData[Langligger01],1)</f>
        <v/>
      </c>
      <c r="R567" s="20">
        <f>COUNTIFS(tData[SEHTrajectPeriodeDatumTijdVan],"&lt;="&amp;($A567+14/24),tData[SEHTrajectPeriodeDatumTijdTotEnMet],"&gt;"&amp;($A567+14/24),tData[Langligger01],1)</f>
        <v/>
      </c>
      <c r="S567" s="20">
        <f>COUNTIFS(tData[SEHTrajectPeriodeDatumTijdVan],"&lt;="&amp;($A567+15/24),tData[SEHTrajectPeriodeDatumTijdTotEnMet],"&gt;"&amp;($A567+15/24),tData[Langligger01],1)</f>
        <v/>
      </c>
      <c r="T567" s="20">
        <f>COUNTIFS(tData[SEHTrajectPeriodeDatumTijdVan],"&lt;="&amp;($A567+16/24),tData[SEHTrajectPeriodeDatumTijdTotEnMet],"&gt;"&amp;($A567+16/24),tData[Langligger01],1)</f>
        <v/>
      </c>
      <c r="U567" s="20">
        <f>COUNTIFS(tData[SEHTrajectPeriodeDatumTijdVan],"&lt;="&amp;($A567+17/24),tData[SEHTrajectPeriodeDatumTijdTotEnMet],"&gt;"&amp;($A567+17/24),tData[Langligger01],1)</f>
        <v/>
      </c>
      <c r="V567" s="20">
        <f>COUNTIFS(tData[SEHTrajectPeriodeDatumTijdVan],"&lt;="&amp;($A567+18/24),tData[SEHTrajectPeriodeDatumTijdTotEnMet],"&gt;"&amp;($A567+18/24),tData[Langligger01],1)</f>
        <v/>
      </c>
      <c r="W567" s="20">
        <f>COUNTIFS(tData[SEHTrajectPeriodeDatumTijdVan],"&lt;="&amp;($A567+19/24),tData[SEHTrajectPeriodeDatumTijdTotEnMet],"&gt;"&amp;($A567+19/24),tData[Langligger01],1)</f>
        <v/>
      </c>
      <c r="X567" s="20">
        <f>COUNTIFS(tData[SEHTrajectPeriodeDatumTijdVan],"&lt;="&amp;($A567+20/24),tData[SEHTrajectPeriodeDatumTijdTotEnMet],"&gt;"&amp;($A567+20/24),tData[Langligger01],1)</f>
        <v/>
      </c>
      <c r="Y567" s="20">
        <f>COUNTIFS(tData[SEHTrajectPeriodeDatumTijdVan],"&lt;="&amp;($A567+21/24),tData[SEHTrajectPeriodeDatumTijdTotEnMet],"&gt;"&amp;($A567+21/24),tData[Langligger01],1)</f>
        <v/>
      </c>
      <c r="Z567" s="20">
        <f>COUNTIFS(tData[SEHTrajectPeriodeDatumTijdVan],"&lt;="&amp;($A567+22/24),tData[SEHTrajectPeriodeDatumTijdTotEnMet],"&gt;"&amp;($A567+22/24),tData[Langligger01],1)</f>
        <v/>
      </c>
      <c r="AA567" s="20">
        <f>COUNTIFS(tData[SEHTrajectPeriodeDatumTijdVan],"&lt;="&amp;($A567+23/24),tData[SEHTrajectPeriodeDatumTijdTotEnMet],"&gt;"&amp;($A567+23/24),tData[Langligger01],1)</f>
        <v/>
      </c>
    </row>
    <row r="568">
      <c r="A568" s="19" t="n">
        <v>45856</v>
      </c>
      <c r="B568" s="15">
        <f>WEEKDAY($A568,2)</f>
        <v/>
      </c>
      <c r="C568" s="15">
        <f>IF(AND($A568&gt;=INT(Instellingen!$B$5),$A568&lt;=INT(Instellingen!$B$6)),1,0)</f>
        <v/>
      </c>
      <c r="D568" s="20">
        <f>COUNTIFS(tData[SEHTrajectPeriodeDatumTijdVan],"&lt;="&amp;($A568+0/24),tData[SEHTrajectPeriodeDatumTijdTotEnMet],"&gt;"&amp;($A568+0/24),tData[Langligger01],1)</f>
        <v/>
      </c>
      <c r="E568" s="20">
        <f>COUNTIFS(tData[SEHTrajectPeriodeDatumTijdVan],"&lt;="&amp;($A568+1/24),tData[SEHTrajectPeriodeDatumTijdTotEnMet],"&gt;"&amp;($A568+1/24),tData[Langligger01],1)</f>
        <v/>
      </c>
      <c r="F568" s="20">
        <f>COUNTIFS(tData[SEHTrajectPeriodeDatumTijdVan],"&lt;="&amp;($A568+2/24),tData[SEHTrajectPeriodeDatumTijdTotEnMet],"&gt;"&amp;($A568+2/24),tData[Langligger01],1)</f>
        <v/>
      </c>
      <c r="G568" s="20">
        <f>COUNTIFS(tData[SEHTrajectPeriodeDatumTijdVan],"&lt;="&amp;($A568+3/24),tData[SEHTrajectPeriodeDatumTijdTotEnMet],"&gt;"&amp;($A568+3/24),tData[Langligger01],1)</f>
        <v/>
      </c>
      <c r="H568" s="20">
        <f>COUNTIFS(tData[SEHTrajectPeriodeDatumTijdVan],"&lt;="&amp;($A568+4/24),tData[SEHTrajectPeriodeDatumTijdTotEnMet],"&gt;"&amp;($A568+4/24),tData[Langligger01],1)</f>
        <v/>
      </c>
      <c r="I568" s="20">
        <f>COUNTIFS(tData[SEHTrajectPeriodeDatumTijdVan],"&lt;="&amp;($A568+5/24),tData[SEHTrajectPeriodeDatumTijdTotEnMet],"&gt;"&amp;($A568+5/24),tData[Langligger01],1)</f>
        <v/>
      </c>
      <c r="J568" s="20">
        <f>COUNTIFS(tData[SEHTrajectPeriodeDatumTijdVan],"&lt;="&amp;($A568+6/24),tData[SEHTrajectPeriodeDatumTijdTotEnMet],"&gt;"&amp;($A568+6/24),tData[Langligger01],1)</f>
        <v/>
      </c>
      <c r="K568" s="20">
        <f>COUNTIFS(tData[SEHTrajectPeriodeDatumTijdVan],"&lt;="&amp;($A568+7/24),tData[SEHTrajectPeriodeDatumTijdTotEnMet],"&gt;"&amp;($A568+7/24),tData[Langligger01],1)</f>
        <v/>
      </c>
      <c r="L568" s="20">
        <f>COUNTIFS(tData[SEHTrajectPeriodeDatumTijdVan],"&lt;="&amp;($A568+8/24),tData[SEHTrajectPeriodeDatumTijdTotEnMet],"&gt;"&amp;($A568+8/24),tData[Langligger01],1)</f>
        <v/>
      </c>
      <c r="M568" s="20">
        <f>COUNTIFS(tData[SEHTrajectPeriodeDatumTijdVan],"&lt;="&amp;($A568+9/24),tData[SEHTrajectPeriodeDatumTijdTotEnMet],"&gt;"&amp;($A568+9/24),tData[Langligger01],1)</f>
        <v/>
      </c>
      <c r="N568" s="20">
        <f>COUNTIFS(tData[SEHTrajectPeriodeDatumTijdVan],"&lt;="&amp;($A568+10/24),tData[SEHTrajectPeriodeDatumTijdTotEnMet],"&gt;"&amp;($A568+10/24),tData[Langligger01],1)</f>
        <v/>
      </c>
      <c r="O568" s="20">
        <f>COUNTIFS(tData[SEHTrajectPeriodeDatumTijdVan],"&lt;="&amp;($A568+11/24),tData[SEHTrajectPeriodeDatumTijdTotEnMet],"&gt;"&amp;($A568+11/24),tData[Langligger01],1)</f>
        <v/>
      </c>
      <c r="P568" s="20">
        <f>COUNTIFS(tData[SEHTrajectPeriodeDatumTijdVan],"&lt;="&amp;($A568+12/24),tData[SEHTrajectPeriodeDatumTijdTotEnMet],"&gt;"&amp;($A568+12/24),tData[Langligger01],1)</f>
        <v/>
      </c>
      <c r="Q568" s="20">
        <f>COUNTIFS(tData[SEHTrajectPeriodeDatumTijdVan],"&lt;="&amp;($A568+13/24),tData[SEHTrajectPeriodeDatumTijdTotEnMet],"&gt;"&amp;($A568+13/24),tData[Langligger01],1)</f>
        <v/>
      </c>
      <c r="R568" s="20">
        <f>COUNTIFS(tData[SEHTrajectPeriodeDatumTijdVan],"&lt;="&amp;($A568+14/24),tData[SEHTrajectPeriodeDatumTijdTotEnMet],"&gt;"&amp;($A568+14/24),tData[Langligger01],1)</f>
        <v/>
      </c>
      <c r="S568" s="20">
        <f>COUNTIFS(tData[SEHTrajectPeriodeDatumTijdVan],"&lt;="&amp;($A568+15/24),tData[SEHTrajectPeriodeDatumTijdTotEnMet],"&gt;"&amp;($A568+15/24),tData[Langligger01],1)</f>
        <v/>
      </c>
      <c r="T568" s="20">
        <f>COUNTIFS(tData[SEHTrajectPeriodeDatumTijdVan],"&lt;="&amp;($A568+16/24),tData[SEHTrajectPeriodeDatumTijdTotEnMet],"&gt;"&amp;($A568+16/24),tData[Langligger01],1)</f>
        <v/>
      </c>
      <c r="U568" s="20">
        <f>COUNTIFS(tData[SEHTrajectPeriodeDatumTijdVan],"&lt;="&amp;($A568+17/24),tData[SEHTrajectPeriodeDatumTijdTotEnMet],"&gt;"&amp;($A568+17/24),tData[Langligger01],1)</f>
        <v/>
      </c>
      <c r="V568" s="20">
        <f>COUNTIFS(tData[SEHTrajectPeriodeDatumTijdVan],"&lt;="&amp;($A568+18/24),tData[SEHTrajectPeriodeDatumTijdTotEnMet],"&gt;"&amp;($A568+18/24),tData[Langligger01],1)</f>
        <v/>
      </c>
      <c r="W568" s="20">
        <f>COUNTIFS(tData[SEHTrajectPeriodeDatumTijdVan],"&lt;="&amp;($A568+19/24),tData[SEHTrajectPeriodeDatumTijdTotEnMet],"&gt;"&amp;($A568+19/24),tData[Langligger01],1)</f>
        <v/>
      </c>
      <c r="X568" s="20">
        <f>COUNTIFS(tData[SEHTrajectPeriodeDatumTijdVan],"&lt;="&amp;($A568+20/24),tData[SEHTrajectPeriodeDatumTijdTotEnMet],"&gt;"&amp;($A568+20/24),tData[Langligger01],1)</f>
        <v/>
      </c>
      <c r="Y568" s="20">
        <f>COUNTIFS(tData[SEHTrajectPeriodeDatumTijdVan],"&lt;="&amp;($A568+21/24),tData[SEHTrajectPeriodeDatumTijdTotEnMet],"&gt;"&amp;($A568+21/24),tData[Langligger01],1)</f>
        <v/>
      </c>
      <c r="Z568" s="20">
        <f>COUNTIFS(tData[SEHTrajectPeriodeDatumTijdVan],"&lt;="&amp;($A568+22/24),tData[SEHTrajectPeriodeDatumTijdTotEnMet],"&gt;"&amp;($A568+22/24),tData[Langligger01],1)</f>
        <v/>
      </c>
      <c r="AA568" s="20">
        <f>COUNTIFS(tData[SEHTrajectPeriodeDatumTijdVan],"&lt;="&amp;($A568+23/24),tData[SEHTrajectPeriodeDatumTijdTotEnMet],"&gt;"&amp;($A568+23/24),tData[Langligger01],1)</f>
        <v/>
      </c>
    </row>
    <row r="569">
      <c r="A569" s="19" t="n">
        <v>45857</v>
      </c>
      <c r="B569" s="15">
        <f>WEEKDAY($A569,2)</f>
        <v/>
      </c>
      <c r="C569" s="15">
        <f>IF(AND($A569&gt;=INT(Instellingen!$B$5),$A569&lt;=INT(Instellingen!$B$6)),1,0)</f>
        <v/>
      </c>
      <c r="D569" s="20">
        <f>COUNTIFS(tData[SEHTrajectPeriodeDatumTijdVan],"&lt;="&amp;($A569+0/24),tData[SEHTrajectPeriodeDatumTijdTotEnMet],"&gt;"&amp;($A569+0/24),tData[Langligger01],1)</f>
        <v/>
      </c>
      <c r="E569" s="20">
        <f>COUNTIFS(tData[SEHTrajectPeriodeDatumTijdVan],"&lt;="&amp;($A569+1/24),tData[SEHTrajectPeriodeDatumTijdTotEnMet],"&gt;"&amp;($A569+1/24),tData[Langligger01],1)</f>
        <v/>
      </c>
      <c r="F569" s="20">
        <f>COUNTIFS(tData[SEHTrajectPeriodeDatumTijdVan],"&lt;="&amp;($A569+2/24),tData[SEHTrajectPeriodeDatumTijdTotEnMet],"&gt;"&amp;($A569+2/24),tData[Langligger01],1)</f>
        <v/>
      </c>
      <c r="G569" s="20">
        <f>COUNTIFS(tData[SEHTrajectPeriodeDatumTijdVan],"&lt;="&amp;($A569+3/24),tData[SEHTrajectPeriodeDatumTijdTotEnMet],"&gt;"&amp;($A569+3/24),tData[Langligger01],1)</f>
        <v/>
      </c>
      <c r="H569" s="20">
        <f>COUNTIFS(tData[SEHTrajectPeriodeDatumTijdVan],"&lt;="&amp;($A569+4/24),tData[SEHTrajectPeriodeDatumTijdTotEnMet],"&gt;"&amp;($A569+4/24),tData[Langligger01],1)</f>
        <v/>
      </c>
      <c r="I569" s="20">
        <f>COUNTIFS(tData[SEHTrajectPeriodeDatumTijdVan],"&lt;="&amp;($A569+5/24),tData[SEHTrajectPeriodeDatumTijdTotEnMet],"&gt;"&amp;($A569+5/24),tData[Langligger01],1)</f>
        <v/>
      </c>
      <c r="J569" s="20">
        <f>COUNTIFS(tData[SEHTrajectPeriodeDatumTijdVan],"&lt;="&amp;($A569+6/24),tData[SEHTrajectPeriodeDatumTijdTotEnMet],"&gt;"&amp;($A569+6/24),tData[Langligger01],1)</f>
        <v/>
      </c>
      <c r="K569" s="20">
        <f>COUNTIFS(tData[SEHTrajectPeriodeDatumTijdVan],"&lt;="&amp;($A569+7/24),tData[SEHTrajectPeriodeDatumTijdTotEnMet],"&gt;"&amp;($A569+7/24),tData[Langligger01],1)</f>
        <v/>
      </c>
      <c r="L569" s="20">
        <f>COUNTIFS(tData[SEHTrajectPeriodeDatumTijdVan],"&lt;="&amp;($A569+8/24),tData[SEHTrajectPeriodeDatumTijdTotEnMet],"&gt;"&amp;($A569+8/24),tData[Langligger01],1)</f>
        <v/>
      </c>
      <c r="M569" s="20">
        <f>COUNTIFS(tData[SEHTrajectPeriodeDatumTijdVan],"&lt;="&amp;($A569+9/24),tData[SEHTrajectPeriodeDatumTijdTotEnMet],"&gt;"&amp;($A569+9/24),tData[Langligger01],1)</f>
        <v/>
      </c>
      <c r="N569" s="20">
        <f>COUNTIFS(tData[SEHTrajectPeriodeDatumTijdVan],"&lt;="&amp;($A569+10/24),tData[SEHTrajectPeriodeDatumTijdTotEnMet],"&gt;"&amp;($A569+10/24),tData[Langligger01],1)</f>
        <v/>
      </c>
      <c r="O569" s="20">
        <f>COUNTIFS(tData[SEHTrajectPeriodeDatumTijdVan],"&lt;="&amp;($A569+11/24),tData[SEHTrajectPeriodeDatumTijdTotEnMet],"&gt;"&amp;($A569+11/24),tData[Langligger01],1)</f>
        <v/>
      </c>
      <c r="P569" s="20">
        <f>COUNTIFS(tData[SEHTrajectPeriodeDatumTijdVan],"&lt;="&amp;($A569+12/24),tData[SEHTrajectPeriodeDatumTijdTotEnMet],"&gt;"&amp;($A569+12/24),tData[Langligger01],1)</f>
        <v/>
      </c>
      <c r="Q569" s="20">
        <f>COUNTIFS(tData[SEHTrajectPeriodeDatumTijdVan],"&lt;="&amp;($A569+13/24),tData[SEHTrajectPeriodeDatumTijdTotEnMet],"&gt;"&amp;($A569+13/24),tData[Langligger01],1)</f>
        <v/>
      </c>
      <c r="R569" s="20">
        <f>COUNTIFS(tData[SEHTrajectPeriodeDatumTijdVan],"&lt;="&amp;($A569+14/24),tData[SEHTrajectPeriodeDatumTijdTotEnMet],"&gt;"&amp;($A569+14/24),tData[Langligger01],1)</f>
        <v/>
      </c>
      <c r="S569" s="20">
        <f>COUNTIFS(tData[SEHTrajectPeriodeDatumTijdVan],"&lt;="&amp;($A569+15/24),tData[SEHTrajectPeriodeDatumTijdTotEnMet],"&gt;"&amp;($A569+15/24),tData[Langligger01],1)</f>
        <v/>
      </c>
      <c r="T569" s="20">
        <f>COUNTIFS(tData[SEHTrajectPeriodeDatumTijdVan],"&lt;="&amp;($A569+16/24),tData[SEHTrajectPeriodeDatumTijdTotEnMet],"&gt;"&amp;($A569+16/24),tData[Langligger01],1)</f>
        <v/>
      </c>
      <c r="U569" s="20">
        <f>COUNTIFS(tData[SEHTrajectPeriodeDatumTijdVan],"&lt;="&amp;($A569+17/24),tData[SEHTrajectPeriodeDatumTijdTotEnMet],"&gt;"&amp;($A569+17/24),tData[Langligger01],1)</f>
        <v/>
      </c>
      <c r="V569" s="20">
        <f>COUNTIFS(tData[SEHTrajectPeriodeDatumTijdVan],"&lt;="&amp;($A569+18/24),tData[SEHTrajectPeriodeDatumTijdTotEnMet],"&gt;"&amp;($A569+18/24),tData[Langligger01],1)</f>
        <v/>
      </c>
      <c r="W569" s="20">
        <f>COUNTIFS(tData[SEHTrajectPeriodeDatumTijdVan],"&lt;="&amp;($A569+19/24),tData[SEHTrajectPeriodeDatumTijdTotEnMet],"&gt;"&amp;($A569+19/24),tData[Langligger01],1)</f>
        <v/>
      </c>
      <c r="X569" s="20">
        <f>COUNTIFS(tData[SEHTrajectPeriodeDatumTijdVan],"&lt;="&amp;($A569+20/24),tData[SEHTrajectPeriodeDatumTijdTotEnMet],"&gt;"&amp;($A569+20/24),tData[Langligger01],1)</f>
        <v/>
      </c>
      <c r="Y569" s="20">
        <f>COUNTIFS(tData[SEHTrajectPeriodeDatumTijdVan],"&lt;="&amp;($A569+21/24),tData[SEHTrajectPeriodeDatumTijdTotEnMet],"&gt;"&amp;($A569+21/24),tData[Langligger01],1)</f>
        <v/>
      </c>
      <c r="Z569" s="20">
        <f>COUNTIFS(tData[SEHTrajectPeriodeDatumTijdVan],"&lt;="&amp;($A569+22/24),tData[SEHTrajectPeriodeDatumTijdTotEnMet],"&gt;"&amp;($A569+22/24),tData[Langligger01],1)</f>
        <v/>
      </c>
      <c r="AA569" s="20">
        <f>COUNTIFS(tData[SEHTrajectPeriodeDatumTijdVan],"&lt;="&amp;($A569+23/24),tData[SEHTrajectPeriodeDatumTijdTotEnMet],"&gt;"&amp;($A569+23/24),tData[Langligger01],1)</f>
        <v/>
      </c>
    </row>
    <row r="570">
      <c r="A570" s="19" t="n">
        <v>45858</v>
      </c>
      <c r="B570" s="15">
        <f>WEEKDAY($A570,2)</f>
        <v/>
      </c>
      <c r="C570" s="15">
        <f>IF(AND($A570&gt;=INT(Instellingen!$B$5),$A570&lt;=INT(Instellingen!$B$6)),1,0)</f>
        <v/>
      </c>
      <c r="D570" s="20">
        <f>COUNTIFS(tData[SEHTrajectPeriodeDatumTijdVan],"&lt;="&amp;($A570+0/24),tData[SEHTrajectPeriodeDatumTijdTotEnMet],"&gt;"&amp;($A570+0/24),tData[Langligger01],1)</f>
        <v/>
      </c>
      <c r="E570" s="20">
        <f>COUNTIFS(tData[SEHTrajectPeriodeDatumTijdVan],"&lt;="&amp;($A570+1/24),tData[SEHTrajectPeriodeDatumTijdTotEnMet],"&gt;"&amp;($A570+1/24),tData[Langligger01],1)</f>
        <v/>
      </c>
      <c r="F570" s="20">
        <f>COUNTIFS(tData[SEHTrajectPeriodeDatumTijdVan],"&lt;="&amp;($A570+2/24),tData[SEHTrajectPeriodeDatumTijdTotEnMet],"&gt;"&amp;($A570+2/24),tData[Langligger01],1)</f>
        <v/>
      </c>
      <c r="G570" s="20">
        <f>COUNTIFS(tData[SEHTrajectPeriodeDatumTijdVan],"&lt;="&amp;($A570+3/24),tData[SEHTrajectPeriodeDatumTijdTotEnMet],"&gt;"&amp;($A570+3/24),tData[Langligger01],1)</f>
        <v/>
      </c>
      <c r="H570" s="20">
        <f>COUNTIFS(tData[SEHTrajectPeriodeDatumTijdVan],"&lt;="&amp;($A570+4/24),tData[SEHTrajectPeriodeDatumTijdTotEnMet],"&gt;"&amp;($A570+4/24),tData[Langligger01],1)</f>
        <v/>
      </c>
      <c r="I570" s="20">
        <f>COUNTIFS(tData[SEHTrajectPeriodeDatumTijdVan],"&lt;="&amp;($A570+5/24),tData[SEHTrajectPeriodeDatumTijdTotEnMet],"&gt;"&amp;($A570+5/24),tData[Langligger01],1)</f>
        <v/>
      </c>
      <c r="J570" s="20">
        <f>COUNTIFS(tData[SEHTrajectPeriodeDatumTijdVan],"&lt;="&amp;($A570+6/24),tData[SEHTrajectPeriodeDatumTijdTotEnMet],"&gt;"&amp;($A570+6/24),tData[Langligger01],1)</f>
        <v/>
      </c>
      <c r="K570" s="20">
        <f>COUNTIFS(tData[SEHTrajectPeriodeDatumTijdVan],"&lt;="&amp;($A570+7/24),tData[SEHTrajectPeriodeDatumTijdTotEnMet],"&gt;"&amp;($A570+7/24),tData[Langligger01],1)</f>
        <v/>
      </c>
      <c r="L570" s="20">
        <f>COUNTIFS(tData[SEHTrajectPeriodeDatumTijdVan],"&lt;="&amp;($A570+8/24),tData[SEHTrajectPeriodeDatumTijdTotEnMet],"&gt;"&amp;($A570+8/24),tData[Langligger01],1)</f>
        <v/>
      </c>
      <c r="M570" s="20">
        <f>COUNTIFS(tData[SEHTrajectPeriodeDatumTijdVan],"&lt;="&amp;($A570+9/24),tData[SEHTrajectPeriodeDatumTijdTotEnMet],"&gt;"&amp;($A570+9/24),tData[Langligger01],1)</f>
        <v/>
      </c>
      <c r="N570" s="20">
        <f>COUNTIFS(tData[SEHTrajectPeriodeDatumTijdVan],"&lt;="&amp;($A570+10/24),tData[SEHTrajectPeriodeDatumTijdTotEnMet],"&gt;"&amp;($A570+10/24),tData[Langligger01],1)</f>
        <v/>
      </c>
      <c r="O570" s="20">
        <f>COUNTIFS(tData[SEHTrajectPeriodeDatumTijdVan],"&lt;="&amp;($A570+11/24),tData[SEHTrajectPeriodeDatumTijdTotEnMet],"&gt;"&amp;($A570+11/24),tData[Langligger01],1)</f>
        <v/>
      </c>
      <c r="P570" s="20">
        <f>COUNTIFS(tData[SEHTrajectPeriodeDatumTijdVan],"&lt;="&amp;($A570+12/24),tData[SEHTrajectPeriodeDatumTijdTotEnMet],"&gt;"&amp;($A570+12/24),tData[Langligger01],1)</f>
        <v/>
      </c>
      <c r="Q570" s="20">
        <f>COUNTIFS(tData[SEHTrajectPeriodeDatumTijdVan],"&lt;="&amp;($A570+13/24),tData[SEHTrajectPeriodeDatumTijdTotEnMet],"&gt;"&amp;($A570+13/24),tData[Langligger01],1)</f>
        <v/>
      </c>
      <c r="R570" s="20">
        <f>COUNTIFS(tData[SEHTrajectPeriodeDatumTijdVan],"&lt;="&amp;($A570+14/24),tData[SEHTrajectPeriodeDatumTijdTotEnMet],"&gt;"&amp;($A570+14/24),tData[Langligger01],1)</f>
        <v/>
      </c>
      <c r="S570" s="20">
        <f>COUNTIFS(tData[SEHTrajectPeriodeDatumTijdVan],"&lt;="&amp;($A570+15/24),tData[SEHTrajectPeriodeDatumTijdTotEnMet],"&gt;"&amp;($A570+15/24),tData[Langligger01],1)</f>
        <v/>
      </c>
      <c r="T570" s="20">
        <f>COUNTIFS(tData[SEHTrajectPeriodeDatumTijdVan],"&lt;="&amp;($A570+16/24),tData[SEHTrajectPeriodeDatumTijdTotEnMet],"&gt;"&amp;($A570+16/24),tData[Langligger01],1)</f>
        <v/>
      </c>
      <c r="U570" s="20">
        <f>COUNTIFS(tData[SEHTrajectPeriodeDatumTijdVan],"&lt;="&amp;($A570+17/24),tData[SEHTrajectPeriodeDatumTijdTotEnMet],"&gt;"&amp;($A570+17/24),tData[Langligger01],1)</f>
        <v/>
      </c>
      <c r="V570" s="20">
        <f>COUNTIFS(tData[SEHTrajectPeriodeDatumTijdVan],"&lt;="&amp;($A570+18/24),tData[SEHTrajectPeriodeDatumTijdTotEnMet],"&gt;"&amp;($A570+18/24),tData[Langligger01],1)</f>
        <v/>
      </c>
      <c r="W570" s="20">
        <f>COUNTIFS(tData[SEHTrajectPeriodeDatumTijdVan],"&lt;="&amp;($A570+19/24),tData[SEHTrajectPeriodeDatumTijdTotEnMet],"&gt;"&amp;($A570+19/24),tData[Langligger01],1)</f>
        <v/>
      </c>
      <c r="X570" s="20">
        <f>COUNTIFS(tData[SEHTrajectPeriodeDatumTijdVan],"&lt;="&amp;($A570+20/24),tData[SEHTrajectPeriodeDatumTijdTotEnMet],"&gt;"&amp;($A570+20/24),tData[Langligger01],1)</f>
        <v/>
      </c>
      <c r="Y570" s="20">
        <f>COUNTIFS(tData[SEHTrajectPeriodeDatumTijdVan],"&lt;="&amp;($A570+21/24),tData[SEHTrajectPeriodeDatumTijdTotEnMet],"&gt;"&amp;($A570+21/24),tData[Langligger01],1)</f>
        <v/>
      </c>
      <c r="Z570" s="20">
        <f>COUNTIFS(tData[SEHTrajectPeriodeDatumTijdVan],"&lt;="&amp;($A570+22/24),tData[SEHTrajectPeriodeDatumTijdTotEnMet],"&gt;"&amp;($A570+22/24),tData[Langligger01],1)</f>
        <v/>
      </c>
      <c r="AA570" s="20">
        <f>COUNTIFS(tData[SEHTrajectPeriodeDatumTijdVan],"&lt;="&amp;($A570+23/24),tData[SEHTrajectPeriodeDatumTijdTotEnMet],"&gt;"&amp;($A570+23/24),tData[Langligger01],1)</f>
        <v/>
      </c>
    </row>
    <row r="571">
      <c r="A571" s="19" t="n">
        <v>45859</v>
      </c>
      <c r="B571" s="15">
        <f>WEEKDAY($A571,2)</f>
        <v/>
      </c>
      <c r="C571" s="15">
        <f>IF(AND($A571&gt;=INT(Instellingen!$B$5),$A571&lt;=INT(Instellingen!$B$6)),1,0)</f>
        <v/>
      </c>
      <c r="D571" s="20">
        <f>COUNTIFS(tData[SEHTrajectPeriodeDatumTijdVan],"&lt;="&amp;($A571+0/24),tData[SEHTrajectPeriodeDatumTijdTotEnMet],"&gt;"&amp;($A571+0/24),tData[Langligger01],1)</f>
        <v/>
      </c>
      <c r="E571" s="20">
        <f>COUNTIFS(tData[SEHTrajectPeriodeDatumTijdVan],"&lt;="&amp;($A571+1/24),tData[SEHTrajectPeriodeDatumTijdTotEnMet],"&gt;"&amp;($A571+1/24),tData[Langligger01],1)</f>
        <v/>
      </c>
      <c r="F571" s="20">
        <f>COUNTIFS(tData[SEHTrajectPeriodeDatumTijdVan],"&lt;="&amp;($A571+2/24),tData[SEHTrajectPeriodeDatumTijdTotEnMet],"&gt;"&amp;($A571+2/24),tData[Langligger01],1)</f>
        <v/>
      </c>
      <c r="G571" s="20">
        <f>COUNTIFS(tData[SEHTrajectPeriodeDatumTijdVan],"&lt;="&amp;($A571+3/24),tData[SEHTrajectPeriodeDatumTijdTotEnMet],"&gt;"&amp;($A571+3/24),tData[Langligger01],1)</f>
        <v/>
      </c>
      <c r="H571" s="20">
        <f>COUNTIFS(tData[SEHTrajectPeriodeDatumTijdVan],"&lt;="&amp;($A571+4/24),tData[SEHTrajectPeriodeDatumTijdTotEnMet],"&gt;"&amp;($A571+4/24),tData[Langligger01],1)</f>
        <v/>
      </c>
      <c r="I571" s="20">
        <f>COUNTIFS(tData[SEHTrajectPeriodeDatumTijdVan],"&lt;="&amp;($A571+5/24),tData[SEHTrajectPeriodeDatumTijdTotEnMet],"&gt;"&amp;($A571+5/24),tData[Langligger01],1)</f>
        <v/>
      </c>
      <c r="J571" s="20">
        <f>COUNTIFS(tData[SEHTrajectPeriodeDatumTijdVan],"&lt;="&amp;($A571+6/24),tData[SEHTrajectPeriodeDatumTijdTotEnMet],"&gt;"&amp;($A571+6/24),tData[Langligger01],1)</f>
        <v/>
      </c>
      <c r="K571" s="20">
        <f>COUNTIFS(tData[SEHTrajectPeriodeDatumTijdVan],"&lt;="&amp;($A571+7/24),tData[SEHTrajectPeriodeDatumTijdTotEnMet],"&gt;"&amp;($A571+7/24),tData[Langligger01],1)</f>
        <v/>
      </c>
      <c r="L571" s="20">
        <f>COUNTIFS(tData[SEHTrajectPeriodeDatumTijdVan],"&lt;="&amp;($A571+8/24),tData[SEHTrajectPeriodeDatumTijdTotEnMet],"&gt;"&amp;($A571+8/24),tData[Langligger01],1)</f>
        <v/>
      </c>
      <c r="M571" s="20">
        <f>COUNTIFS(tData[SEHTrajectPeriodeDatumTijdVan],"&lt;="&amp;($A571+9/24),tData[SEHTrajectPeriodeDatumTijdTotEnMet],"&gt;"&amp;($A571+9/24),tData[Langligger01],1)</f>
        <v/>
      </c>
      <c r="N571" s="20">
        <f>COUNTIFS(tData[SEHTrajectPeriodeDatumTijdVan],"&lt;="&amp;($A571+10/24),tData[SEHTrajectPeriodeDatumTijdTotEnMet],"&gt;"&amp;($A571+10/24),tData[Langligger01],1)</f>
        <v/>
      </c>
      <c r="O571" s="20">
        <f>COUNTIFS(tData[SEHTrajectPeriodeDatumTijdVan],"&lt;="&amp;($A571+11/24),tData[SEHTrajectPeriodeDatumTijdTotEnMet],"&gt;"&amp;($A571+11/24),tData[Langligger01],1)</f>
        <v/>
      </c>
      <c r="P571" s="20">
        <f>COUNTIFS(tData[SEHTrajectPeriodeDatumTijdVan],"&lt;="&amp;($A571+12/24),tData[SEHTrajectPeriodeDatumTijdTotEnMet],"&gt;"&amp;($A571+12/24),tData[Langligger01],1)</f>
        <v/>
      </c>
      <c r="Q571" s="20">
        <f>COUNTIFS(tData[SEHTrajectPeriodeDatumTijdVan],"&lt;="&amp;($A571+13/24),tData[SEHTrajectPeriodeDatumTijdTotEnMet],"&gt;"&amp;($A571+13/24),tData[Langligger01],1)</f>
        <v/>
      </c>
      <c r="R571" s="20">
        <f>COUNTIFS(tData[SEHTrajectPeriodeDatumTijdVan],"&lt;="&amp;($A571+14/24),tData[SEHTrajectPeriodeDatumTijdTotEnMet],"&gt;"&amp;($A571+14/24),tData[Langligger01],1)</f>
        <v/>
      </c>
      <c r="S571" s="20">
        <f>COUNTIFS(tData[SEHTrajectPeriodeDatumTijdVan],"&lt;="&amp;($A571+15/24),tData[SEHTrajectPeriodeDatumTijdTotEnMet],"&gt;"&amp;($A571+15/24),tData[Langligger01],1)</f>
        <v/>
      </c>
      <c r="T571" s="20">
        <f>COUNTIFS(tData[SEHTrajectPeriodeDatumTijdVan],"&lt;="&amp;($A571+16/24),tData[SEHTrajectPeriodeDatumTijdTotEnMet],"&gt;"&amp;($A571+16/24),tData[Langligger01],1)</f>
        <v/>
      </c>
      <c r="U571" s="20">
        <f>COUNTIFS(tData[SEHTrajectPeriodeDatumTijdVan],"&lt;="&amp;($A571+17/24),tData[SEHTrajectPeriodeDatumTijdTotEnMet],"&gt;"&amp;($A571+17/24),tData[Langligger01],1)</f>
        <v/>
      </c>
      <c r="V571" s="20">
        <f>COUNTIFS(tData[SEHTrajectPeriodeDatumTijdVan],"&lt;="&amp;($A571+18/24),tData[SEHTrajectPeriodeDatumTijdTotEnMet],"&gt;"&amp;($A571+18/24),tData[Langligger01],1)</f>
        <v/>
      </c>
      <c r="W571" s="20">
        <f>COUNTIFS(tData[SEHTrajectPeriodeDatumTijdVan],"&lt;="&amp;($A571+19/24),tData[SEHTrajectPeriodeDatumTijdTotEnMet],"&gt;"&amp;($A571+19/24),tData[Langligger01],1)</f>
        <v/>
      </c>
      <c r="X571" s="20">
        <f>COUNTIFS(tData[SEHTrajectPeriodeDatumTijdVan],"&lt;="&amp;($A571+20/24),tData[SEHTrajectPeriodeDatumTijdTotEnMet],"&gt;"&amp;($A571+20/24),tData[Langligger01],1)</f>
        <v/>
      </c>
      <c r="Y571" s="20">
        <f>COUNTIFS(tData[SEHTrajectPeriodeDatumTijdVan],"&lt;="&amp;($A571+21/24),tData[SEHTrajectPeriodeDatumTijdTotEnMet],"&gt;"&amp;($A571+21/24),tData[Langligger01],1)</f>
        <v/>
      </c>
      <c r="Z571" s="20">
        <f>COUNTIFS(tData[SEHTrajectPeriodeDatumTijdVan],"&lt;="&amp;($A571+22/24),tData[SEHTrajectPeriodeDatumTijdTotEnMet],"&gt;"&amp;($A571+22/24),tData[Langligger01],1)</f>
        <v/>
      </c>
      <c r="AA571" s="20">
        <f>COUNTIFS(tData[SEHTrajectPeriodeDatumTijdVan],"&lt;="&amp;($A571+23/24),tData[SEHTrajectPeriodeDatumTijdTotEnMet],"&gt;"&amp;($A571+23/24),tData[Langligger01],1)</f>
        <v/>
      </c>
    </row>
    <row r="572">
      <c r="A572" s="19" t="n">
        <v>45860</v>
      </c>
      <c r="B572" s="15">
        <f>WEEKDAY($A572,2)</f>
        <v/>
      </c>
      <c r="C572" s="15">
        <f>IF(AND($A572&gt;=INT(Instellingen!$B$5),$A572&lt;=INT(Instellingen!$B$6)),1,0)</f>
        <v/>
      </c>
      <c r="D572" s="20">
        <f>COUNTIFS(tData[SEHTrajectPeriodeDatumTijdVan],"&lt;="&amp;($A572+0/24),tData[SEHTrajectPeriodeDatumTijdTotEnMet],"&gt;"&amp;($A572+0/24),tData[Langligger01],1)</f>
        <v/>
      </c>
      <c r="E572" s="20">
        <f>COUNTIFS(tData[SEHTrajectPeriodeDatumTijdVan],"&lt;="&amp;($A572+1/24),tData[SEHTrajectPeriodeDatumTijdTotEnMet],"&gt;"&amp;($A572+1/24),tData[Langligger01],1)</f>
        <v/>
      </c>
      <c r="F572" s="20">
        <f>COUNTIFS(tData[SEHTrajectPeriodeDatumTijdVan],"&lt;="&amp;($A572+2/24),tData[SEHTrajectPeriodeDatumTijdTotEnMet],"&gt;"&amp;($A572+2/24),tData[Langligger01],1)</f>
        <v/>
      </c>
      <c r="G572" s="20">
        <f>COUNTIFS(tData[SEHTrajectPeriodeDatumTijdVan],"&lt;="&amp;($A572+3/24),tData[SEHTrajectPeriodeDatumTijdTotEnMet],"&gt;"&amp;($A572+3/24),tData[Langligger01],1)</f>
        <v/>
      </c>
      <c r="H572" s="20">
        <f>COUNTIFS(tData[SEHTrajectPeriodeDatumTijdVan],"&lt;="&amp;($A572+4/24),tData[SEHTrajectPeriodeDatumTijdTotEnMet],"&gt;"&amp;($A572+4/24),tData[Langligger01],1)</f>
        <v/>
      </c>
      <c r="I572" s="20">
        <f>COUNTIFS(tData[SEHTrajectPeriodeDatumTijdVan],"&lt;="&amp;($A572+5/24),tData[SEHTrajectPeriodeDatumTijdTotEnMet],"&gt;"&amp;($A572+5/24),tData[Langligger01],1)</f>
        <v/>
      </c>
      <c r="J572" s="20">
        <f>COUNTIFS(tData[SEHTrajectPeriodeDatumTijdVan],"&lt;="&amp;($A572+6/24),tData[SEHTrajectPeriodeDatumTijdTotEnMet],"&gt;"&amp;($A572+6/24),tData[Langligger01],1)</f>
        <v/>
      </c>
      <c r="K572" s="20">
        <f>COUNTIFS(tData[SEHTrajectPeriodeDatumTijdVan],"&lt;="&amp;($A572+7/24),tData[SEHTrajectPeriodeDatumTijdTotEnMet],"&gt;"&amp;($A572+7/24),tData[Langligger01],1)</f>
        <v/>
      </c>
      <c r="L572" s="20">
        <f>COUNTIFS(tData[SEHTrajectPeriodeDatumTijdVan],"&lt;="&amp;($A572+8/24),tData[SEHTrajectPeriodeDatumTijdTotEnMet],"&gt;"&amp;($A572+8/24),tData[Langligger01],1)</f>
        <v/>
      </c>
      <c r="M572" s="20">
        <f>COUNTIFS(tData[SEHTrajectPeriodeDatumTijdVan],"&lt;="&amp;($A572+9/24),tData[SEHTrajectPeriodeDatumTijdTotEnMet],"&gt;"&amp;($A572+9/24),tData[Langligger01],1)</f>
        <v/>
      </c>
      <c r="N572" s="20">
        <f>COUNTIFS(tData[SEHTrajectPeriodeDatumTijdVan],"&lt;="&amp;($A572+10/24),tData[SEHTrajectPeriodeDatumTijdTotEnMet],"&gt;"&amp;($A572+10/24),tData[Langligger01],1)</f>
        <v/>
      </c>
      <c r="O572" s="20">
        <f>COUNTIFS(tData[SEHTrajectPeriodeDatumTijdVan],"&lt;="&amp;($A572+11/24),tData[SEHTrajectPeriodeDatumTijdTotEnMet],"&gt;"&amp;($A572+11/24),tData[Langligger01],1)</f>
        <v/>
      </c>
      <c r="P572" s="20">
        <f>COUNTIFS(tData[SEHTrajectPeriodeDatumTijdVan],"&lt;="&amp;($A572+12/24),tData[SEHTrajectPeriodeDatumTijdTotEnMet],"&gt;"&amp;($A572+12/24),tData[Langligger01],1)</f>
        <v/>
      </c>
      <c r="Q572" s="20">
        <f>COUNTIFS(tData[SEHTrajectPeriodeDatumTijdVan],"&lt;="&amp;($A572+13/24),tData[SEHTrajectPeriodeDatumTijdTotEnMet],"&gt;"&amp;($A572+13/24),tData[Langligger01],1)</f>
        <v/>
      </c>
      <c r="R572" s="20">
        <f>COUNTIFS(tData[SEHTrajectPeriodeDatumTijdVan],"&lt;="&amp;($A572+14/24),tData[SEHTrajectPeriodeDatumTijdTotEnMet],"&gt;"&amp;($A572+14/24),tData[Langligger01],1)</f>
        <v/>
      </c>
      <c r="S572" s="20">
        <f>COUNTIFS(tData[SEHTrajectPeriodeDatumTijdVan],"&lt;="&amp;($A572+15/24),tData[SEHTrajectPeriodeDatumTijdTotEnMet],"&gt;"&amp;($A572+15/24),tData[Langligger01],1)</f>
        <v/>
      </c>
      <c r="T572" s="20">
        <f>COUNTIFS(tData[SEHTrajectPeriodeDatumTijdVan],"&lt;="&amp;($A572+16/24),tData[SEHTrajectPeriodeDatumTijdTotEnMet],"&gt;"&amp;($A572+16/24),tData[Langligger01],1)</f>
        <v/>
      </c>
      <c r="U572" s="20">
        <f>COUNTIFS(tData[SEHTrajectPeriodeDatumTijdVan],"&lt;="&amp;($A572+17/24),tData[SEHTrajectPeriodeDatumTijdTotEnMet],"&gt;"&amp;($A572+17/24),tData[Langligger01],1)</f>
        <v/>
      </c>
      <c r="V572" s="20">
        <f>COUNTIFS(tData[SEHTrajectPeriodeDatumTijdVan],"&lt;="&amp;($A572+18/24),tData[SEHTrajectPeriodeDatumTijdTotEnMet],"&gt;"&amp;($A572+18/24),tData[Langligger01],1)</f>
        <v/>
      </c>
      <c r="W572" s="20">
        <f>COUNTIFS(tData[SEHTrajectPeriodeDatumTijdVan],"&lt;="&amp;($A572+19/24),tData[SEHTrajectPeriodeDatumTijdTotEnMet],"&gt;"&amp;($A572+19/24),tData[Langligger01],1)</f>
        <v/>
      </c>
      <c r="X572" s="20">
        <f>COUNTIFS(tData[SEHTrajectPeriodeDatumTijdVan],"&lt;="&amp;($A572+20/24),tData[SEHTrajectPeriodeDatumTijdTotEnMet],"&gt;"&amp;($A572+20/24),tData[Langligger01],1)</f>
        <v/>
      </c>
      <c r="Y572" s="20">
        <f>COUNTIFS(tData[SEHTrajectPeriodeDatumTijdVan],"&lt;="&amp;($A572+21/24),tData[SEHTrajectPeriodeDatumTijdTotEnMet],"&gt;"&amp;($A572+21/24),tData[Langligger01],1)</f>
        <v/>
      </c>
      <c r="Z572" s="20">
        <f>COUNTIFS(tData[SEHTrajectPeriodeDatumTijdVan],"&lt;="&amp;($A572+22/24),tData[SEHTrajectPeriodeDatumTijdTotEnMet],"&gt;"&amp;($A572+22/24),tData[Langligger01],1)</f>
        <v/>
      </c>
      <c r="AA572" s="20">
        <f>COUNTIFS(tData[SEHTrajectPeriodeDatumTijdVan],"&lt;="&amp;($A572+23/24),tData[SEHTrajectPeriodeDatumTijdTotEnMet],"&gt;"&amp;($A572+23/24),tData[Langligger01],1)</f>
        <v/>
      </c>
    </row>
    <row r="573">
      <c r="A573" s="19" t="n">
        <v>45861</v>
      </c>
      <c r="B573" s="15">
        <f>WEEKDAY($A573,2)</f>
        <v/>
      </c>
      <c r="C573" s="15">
        <f>IF(AND($A573&gt;=INT(Instellingen!$B$5),$A573&lt;=INT(Instellingen!$B$6)),1,0)</f>
        <v/>
      </c>
      <c r="D573" s="20">
        <f>COUNTIFS(tData[SEHTrajectPeriodeDatumTijdVan],"&lt;="&amp;($A573+0/24),tData[SEHTrajectPeriodeDatumTijdTotEnMet],"&gt;"&amp;($A573+0/24),tData[Langligger01],1)</f>
        <v/>
      </c>
      <c r="E573" s="20">
        <f>COUNTIFS(tData[SEHTrajectPeriodeDatumTijdVan],"&lt;="&amp;($A573+1/24),tData[SEHTrajectPeriodeDatumTijdTotEnMet],"&gt;"&amp;($A573+1/24),tData[Langligger01],1)</f>
        <v/>
      </c>
      <c r="F573" s="20">
        <f>COUNTIFS(tData[SEHTrajectPeriodeDatumTijdVan],"&lt;="&amp;($A573+2/24),tData[SEHTrajectPeriodeDatumTijdTotEnMet],"&gt;"&amp;($A573+2/24),tData[Langligger01],1)</f>
        <v/>
      </c>
      <c r="G573" s="20">
        <f>COUNTIFS(tData[SEHTrajectPeriodeDatumTijdVan],"&lt;="&amp;($A573+3/24),tData[SEHTrajectPeriodeDatumTijdTotEnMet],"&gt;"&amp;($A573+3/24),tData[Langligger01],1)</f>
        <v/>
      </c>
      <c r="H573" s="20">
        <f>COUNTIFS(tData[SEHTrajectPeriodeDatumTijdVan],"&lt;="&amp;($A573+4/24),tData[SEHTrajectPeriodeDatumTijdTotEnMet],"&gt;"&amp;($A573+4/24),tData[Langligger01],1)</f>
        <v/>
      </c>
      <c r="I573" s="20">
        <f>COUNTIFS(tData[SEHTrajectPeriodeDatumTijdVan],"&lt;="&amp;($A573+5/24),tData[SEHTrajectPeriodeDatumTijdTotEnMet],"&gt;"&amp;($A573+5/24),tData[Langligger01],1)</f>
        <v/>
      </c>
      <c r="J573" s="20">
        <f>COUNTIFS(tData[SEHTrajectPeriodeDatumTijdVan],"&lt;="&amp;($A573+6/24),tData[SEHTrajectPeriodeDatumTijdTotEnMet],"&gt;"&amp;($A573+6/24),tData[Langligger01],1)</f>
        <v/>
      </c>
      <c r="K573" s="20">
        <f>COUNTIFS(tData[SEHTrajectPeriodeDatumTijdVan],"&lt;="&amp;($A573+7/24),tData[SEHTrajectPeriodeDatumTijdTotEnMet],"&gt;"&amp;($A573+7/24),tData[Langligger01],1)</f>
        <v/>
      </c>
      <c r="L573" s="20">
        <f>COUNTIFS(tData[SEHTrajectPeriodeDatumTijdVan],"&lt;="&amp;($A573+8/24),tData[SEHTrajectPeriodeDatumTijdTotEnMet],"&gt;"&amp;($A573+8/24),tData[Langligger01],1)</f>
        <v/>
      </c>
      <c r="M573" s="20">
        <f>COUNTIFS(tData[SEHTrajectPeriodeDatumTijdVan],"&lt;="&amp;($A573+9/24),tData[SEHTrajectPeriodeDatumTijdTotEnMet],"&gt;"&amp;($A573+9/24),tData[Langligger01],1)</f>
        <v/>
      </c>
      <c r="N573" s="20">
        <f>COUNTIFS(tData[SEHTrajectPeriodeDatumTijdVan],"&lt;="&amp;($A573+10/24),tData[SEHTrajectPeriodeDatumTijdTotEnMet],"&gt;"&amp;($A573+10/24),tData[Langligger01],1)</f>
        <v/>
      </c>
      <c r="O573" s="20">
        <f>COUNTIFS(tData[SEHTrajectPeriodeDatumTijdVan],"&lt;="&amp;($A573+11/24),tData[SEHTrajectPeriodeDatumTijdTotEnMet],"&gt;"&amp;($A573+11/24),tData[Langligger01],1)</f>
        <v/>
      </c>
      <c r="P573" s="20">
        <f>COUNTIFS(tData[SEHTrajectPeriodeDatumTijdVan],"&lt;="&amp;($A573+12/24),tData[SEHTrajectPeriodeDatumTijdTotEnMet],"&gt;"&amp;($A573+12/24),tData[Langligger01],1)</f>
        <v/>
      </c>
      <c r="Q573" s="20">
        <f>COUNTIFS(tData[SEHTrajectPeriodeDatumTijdVan],"&lt;="&amp;($A573+13/24),tData[SEHTrajectPeriodeDatumTijdTotEnMet],"&gt;"&amp;($A573+13/24),tData[Langligger01],1)</f>
        <v/>
      </c>
      <c r="R573" s="20">
        <f>COUNTIFS(tData[SEHTrajectPeriodeDatumTijdVan],"&lt;="&amp;($A573+14/24),tData[SEHTrajectPeriodeDatumTijdTotEnMet],"&gt;"&amp;($A573+14/24),tData[Langligger01],1)</f>
        <v/>
      </c>
      <c r="S573" s="20">
        <f>COUNTIFS(tData[SEHTrajectPeriodeDatumTijdVan],"&lt;="&amp;($A573+15/24),tData[SEHTrajectPeriodeDatumTijdTotEnMet],"&gt;"&amp;($A573+15/24),tData[Langligger01],1)</f>
        <v/>
      </c>
      <c r="T573" s="20">
        <f>COUNTIFS(tData[SEHTrajectPeriodeDatumTijdVan],"&lt;="&amp;($A573+16/24),tData[SEHTrajectPeriodeDatumTijdTotEnMet],"&gt;"&amp;($A573+16/24),tData[Langligger01],1)</f>
        <v/>
      </c>
      <c r="U573" s="20">
        <f>COUNTIFS(tData[SEHTrajectPeriodeDatumTijdVan],"&lt;="&amp;($A573+17/24),tData[SEHTrajectPeriodeDatumTijdTotEnMet],"&gt;"&amp;($A573+17/24),tData[Langligger01],1)</f>
        <v/>
      </c>
      <c r="V573" s="20">
        <f>COUNTIFS(tData[SEHTrajectPeriodeDatumTijdVan],"&lt;="&amp;($A573+18/24),tData[SEHTrajectPeriodeDatumTijdTotEnMet],"&gt;"&amp;($A573+18/24),tData[Langligger01],1)</f>
        <v/>
      </c>
      <c r="W573" s="20">
        <f>COUNTIFS(tData[SEHTrajectPeriodeDatumTijdVan],"&lt;="&amp;($A573+19/24),tData[SEHTrajectPeriodeDatumTijdTotEnMet],"&gt;"&amp;($A573+19/24),tData[Langligger01],1)</f>
        <v/>
      </c>
      <c r="X573" s="20">
        <f>COUNTIFS(tData[SEHTrajectPeriodeDatumTijdVan],"&lt;="&amp;($A573+20/24),tData[SEHTrajectPeriodeDatumTijdTotEnMet],"&gt;"&amp;($A573+20/24),tData[Langligger01],1)</f>
        <v/>
      </c>
      <c r="Y573" s="20">
        <f>COUNTIFS(tData[SEHTrajectPeriodeDatumTijdVan],"&lt;="&amp;($A573+21/24),tData[SEHTrajectPeriodeDatumTijdTotEnMet],"&gt;"&amp;($A573+21/24),tData[Langligger01],1)</f>
        <v/>
      </c>
      <c r="Z573" s="20">
        <f>COUNTIFS(tData[SEHTrajectPeriodeDatumTijdVan],"&lt;="&amp;($A573+22/24),tData[SEHTrajectPeriodeDatumTijdTotEnMet],"&gt;"&amp;($A573+22/24),tData[Langligger01],1)</f>
        <v/>
      </c>
      <c r="AA573" s="20">
        <f>COUNTIFS(tData[SEHTrajectPeriodeDatumTijdVan],"&lt;="&amp;($A573+23/24),tData[SEHTrajectPeriodeDatumTijdTotEnMet],"&gt;"&amp;($A573+23/24),tData[Langligger01],1)</f>
        <v/>
      </c>
    </row>
    <row r="574">
      <c r="A574" s="19" t="n">
        <v>45862</v>
      </c>
      <c r="B574" s="15">
        <f>WEEKDAY($A574,2)</f>
        <v/>
      </c>
      <c r="C574" s="15">
        <f>IF(AND($A574&gt;=INT(Instellingen!$B$5),$A574&lt;=INT(Instellingen!$B$6)),1,0)</f>
        <v/>
      </c>
      <c r="D574" s="20">
        <f>COUNTIFS(tData[SEHTrajectPeriodeDatumTijdVan],"&lt;="&amp;($A574+0/24),tData[SEHTrajectPeriodeDatumTijdTotEnMet],"&gt;"&amp;($A574+0/24),tData[Langligger01],1)</f>
        <v/>
      </c>
      <c r="E574" s="20">
        <f>COUNTIFS(tData[SEHTrajectPeriodeDatumTijdVan],"&lt;="&amp;($A574+1/24),tData[SEHTrajectPeriodeDatumTijdTotEnMet],"&gt;"&amp;($A574+1/24),tData[Langligger01],1)</f>
        <v/>
      </c>
      <c r="F574" s="20">
        <f>COUNTIFS(tData[SEHTrajectPeriodeDatumTijdVan],"&lt;="&amp;($A574+2/24),tData[SEHTrajectPeriodeDatumTijdTotEnMet],"&gt;"&amp;($A574+2/24),tData[Langligger01],1)</f>
        <v/>
      </c>
      <c r="G574" s="20">
        <f>COUNTIFS(tData[SEHTrajectPeriodeDatumTijdVan],"&lt;="&amp;($A574+3/24),tData[SEHTrajectPeriodeDatumTijdTotEnMet],"&gt;"&amp;($A574+3/24),tData[Langligger01],1)</f>
        <v/>
      </c>
      <c r="H574" s="20">
        <f>COUNTIFS(tData[SEHTrajectPeriodeDatumTijdVan],"&lt;="&amp;($A574+4/24),tData[SEHTrajectPeriodeDatumTijdTotEnMet],"&gt;"&amp;($A574+4/24),tData[Langligger01],1)</f>
        <v/>
      </c>
      <c r="I574" s="20">
        <f>COUNTIFS(tData[SEHTrajectPeriodeDatumTijdVan],"&lt;="&amp;($A574+5/24),tData[SEHTrajectPeriodeDatumTijdTotEnMet],"&gt;"&amp;($A574+5/24),tData[Langligger01],1)</f>
        <v/>
      </c>
      <c r="J574" s="20">
        <f>COUNTIFS(tData[SEHTrajectPeriodeDatumTijdVan],"&lt;="&amp;($A574+6/24),tData[SEHTrajectPeriodeDatumTijdTotEnMet],"&gt;"&amp;($A574+6/24),tData[Langligger01],1)</f>
        <v/>
      </c>
      <c r="K574" s="20">
        <f>COUNTIFS(tData[SEHTrajectPeriodeDatumTijdVan],"&lt;="&amp;($A574+7/24),tData[SEHTrajectPeriodeDatumTijdTotEnMet],"&gt;"&amp;($A574+7/24),tData[Langligger01],1)</f>
        <v/>
      </c>
      <c r="L574" s="20">
        <f>COUNTIFS(tData[SEHTrajectPeriodeDatumTijdVan],"&lt;="&amp;($A574+8/24),tData[SEHTrajectPeriodeDatumTijdTotEnMet],"&gt;"&amp;($A574+8/24),tData[Langligger01],1)</f>
        <v/>
      </c>
      <c r="M574" s="20">
        <f>COUNTIFS(tData[SEHTrajectPeriodeDatumTijdVan],"&lt;="&amp;($A574+9/24),tData[SEHTrajectPeriodeDatumTijdTotEnMet],"&gt;"&amp;($A574+9/24),tData[Langligger01],1)</f>
        <v/>
      </c>
      <c r="N574" s="20">
        <f>COUNTIFS(tData[SEHTrajectPeriodeDatumTijdVan],"&lt;="&amp;($A574+10/24),tData[SEHTrajectPeriodeDatumTijdTotEnMet],"&gt;"&amp;($A574+10/24),tData[Langligger01],1)</f>
        <v/>
      </c>
      <c r="O574" s="20">
        <f>COUNTIFS(tData[SEHTrajectPeriodeDatumTijdVan],"&lt;="&amp;($A574+11/24),tData[SEHTrajectPeriodeDatumTijdTotEnMet],"&gt;"&amp;($A574+11/24),tData[Langligger01],1)</f>
        <v/>
      </c>
      <c r="P574" s="20">
        <f>COUNTIFS(tData[SEHTrajectPeriodeDatumTijdVan],"&lt;="&amp;($A574+12/24),tData[SEHTrajectPeriodeDatumTijdTotEnMet],"&gt;"&amp;($A574+12/24),tData[Langligger01],1)</f>
        <v/>
      </c>
      <c r="Q574" s="20">
        <f>COUNTIFS(tData[SEHTrajectPeriodeDatumTijdVan],"&lt;="&amp;($A574+13/24),tData[SEHTrajectPeriodeDatumTijdTotEnMet],"&gt;"&amp;($A574+13/24),tData[Langligger01],1)</f>
        <v/>
      </c>
      <c r="R574" s="20">
        <f>COUNTIFS(tData[SEHTrajectPeriodeDatumTijdVan],"&lt;="&amp;($A574+14/24),tData[SEHTrajectPeriodeDatumTijdTotEnMet],"&gt;"&amp;($A574+14/24),tData[Langligger01],1)</f>
        <v/>
      </c>
      <c r="S574" s="20">
        <f>COUNTIFS(tData[SEHTrajectPeriodeDatumTijdVan],"&lt;="&amp;($A574+15/24),tData[SEHTrajectPeriodeDatumTijdTotEnMet],"&gt;"&amp;($A574+15/24),tData[Langligger01],1)</f>
        <v/>
      </c>
      <c r="T574" s="20">
        <f>COUNTIFS(tData[SEHTrajectPeriodeDatumTijdVan],"&lt;="&amp;($A574+16/24),tData[SEHTrajectPeriodeDatumTijdTotEnMet],"&gt;"&amp;($A574+16/24),tData[Langligger01],1)</f>
        <v/>
      </c>
      <c r="U574" s="20">
        <f>COUNTIFS(tData[SEHTrajectPeriodeDatumTijdVan],"&lt;="&amp;($A574+17/24),tData[SEHTrajectPeriodeDatumTijdTotEnMet],"&gt;"&amp;($A574+17/24),tData[Langligger01],1)</f>
        <v/>
      </c>
      <c r="V574" s="20">
        <f>COUNTIFS(tData[SEHTrajectPeriodeDatumTijdVan],"&lt;="&amp;($A574+18/24),tData[SEHTrajectPeriodeDatumTijdTotEnMet],"&gt;"&amp;($A574+18/24),tData[Langligger01],1)</f>
        <v/>
      </c>
      <c r="W574" s="20">
        <f>COUNTIFS(tData[SEHTrajectPeriodeDatumTijdVan],"&lt;="&amp;($A574+19/24),tData[SEHTrajectPeriodeDatumTijdTotEnMet],"&gt;"&amp;($A574+19/24),tData[Langligger01],1)</f>
        <v/>
      </c>
      <c r="X574" s="20">
        <f>COUNTIFS(tData[SEHTrajectPeriodeDatumTijdVan],"&lt;="&amp;($A574+20/24),tData[SEHTrajectPeriodeDatumTijdTotEnMet],"&gt;"&amp;($A574+20/24),tData[Langligger01],1)</f>
        <v/>
      </c>
      <c r="Y574" s="20">
        <f>COUNTIFS(tData[SEHTrajectPeriodeDatumTijdVan],"&lt;="&amp;($A574+21/24),tData[SEHTrajectPeriodeDatumTijdTotEnMet],"&gt;"&amp;($A574+21/24),tData[Langligger01],1)</f>
        <v/>
      </c>
      <c r="Z574" s="20">
        <f>COUNTIFS(tData[SEHTrajectPeriodeDatumTijdVan],"&lt;="&amp;($A574+22/24),tData[SEHTrajectPeriodeDatumTijdTotEnMet],"&gt;"&amp;($A574+22/24),tData[Langligger01],1)</f>
        <v/>
      </c>
      <c r="AA574" s="20">
        <f>COUNTIFS(tData[SEHTrajectPeriodeDatumTijdVan],"&lt;="&amp;($A574+23/24),tData[SEHTrajectPeriodeDatumTijdTotEnMet],"&gt;"&amp;($A574+23/24),tData[Langligger01],1)</f>
        <v/>
      </c>
    </row>
    <row r="575">
      <c r="A575" s="19" t="n">
        <v>45863</v>
      </c>
      <c r="B575" s="15">
        <f>WEEKDAY($A575,2)</f>
        <v/>
      </c>
      <c r="C575" s="15">
        <f>IF(AND($A575&gt;=INT(Instellingen!$B$5),$A575&lt;=INT(Instellingen!$B$6)),1,0)</f>
        <v/>
      </c>
      <c r="D575" s="20">
        <f>COUNTIFS(tData[SEHTrajectPeriodeDatumTijdVan],"&lt;="&amp;($A575+0/24),tData[SEHTrajectPeriodeDatumTijdTotEnMet],"&gt;"&amp;($A575+0/24),tData[Langligger01],1)</f>
        <v/>
      </c>
      <c r="E575" s="20">
        <f>COUNTIFS(tData[SEHTrajectPeriodeDatumTijdVan],"&lt;="&amp;($A575+1/24),tData[SEHTrajectPeriodeDatumTijdTotEnMet],"&gt;"&amp;($A575+1/24),tData[Langligger01],1)</f>
        <v/>
      </c>
      <c r="F575" s="20">
        <f>COUNTIFS(tData[SEHTrajectPeriodeDatumTijdVan],"&lt;="&amp;($A575+2/24),tData[SEHTrajectPeriodeDatumTijdTotEnMet],"&gt;"&amp;($A575+2/24),tData[Langligger01],1)</f>
        <v/>
      </c>
      <c r="G575" s="20">
        <f>COUNTIFS(tData[SEHTrajectPeriodeDatumTijdVan],"&lt;="&amp;($A575+3/24),tData[SEHTrajectPeriodeDatumTijdTotEnMet],"&gt;"&amp;($A575+3/24),tData[Langligger01],1)</f>
        <v/>
      </c>
      <c r="H575" s="20">
        <f>COUNTIFS(tData[SEHTrajectPeriodeDatumTijdVan],"&lt;="&amp;($A575+4/24),tData[SEHTrajectPeriodeDatumTijdTotEnMet],"&gt;"&amp;($A575+4/24),tData[Langligger01],1)</f>
        <v/>
      </c>
      <c r="I575" s="20">
        <f>COUNTIFS(tData[SEHTrajectPeriodeDatumTijdVan],"&lt;="&amp;($A575+5/24),tData[SEHTrajectPeriodeDatumTijdTotEnMet],"&gt;"&amp;($A575+5/24),tData[Langligger01],1)</f>
        <v/>
      </c>
      <c r="J575" s="20">
        <f>COUNTIFS(tData[SEHTrajectPeriodeDatumTijdVan],"&lt;="&amp;($A575+6/24),tData[SEHTrajectPeriodeDatumTijdTotEnMet],"&gt;"&amp;($A575+6/24),tData[Langligger01],1)</f>
        <v/>
      </c>
      <c r="K575" s="20">
        <f>COUNTIFS(tData[SEHTrajectPeriodeDatumTijdVan],"&lt;="&amp;($A575+7/24),tData[SEHTrajectPeriodeDatumTijdTotEnMet],"&gt;"&amp;($A575+7/24),tData[Langligger01],1)</f>
        <v/>
      </c>
      <c r="L575" s="20">
        <f>COUNTIFS(tData[SEHTrajectPeriodeDatumTijdVan],"&lt;="&amp;($A575+8/24),tData[SEHTrajectPeriodeDatumTijdTotEnMet],"&gt;"&amp;($A575+8/24),tData[Langligger01],1)</f>
        <v/>
      </c>
      <c r="M575" s="20">
        <f>COUNTIFS(tData[SEHTrajectPeriodeDatumTijdVan],"&lt;="&amp;($A575+9/24),tData[SEHTrajectPeriodeDatumTijdTotEnMet],"&gt;"&amp;($A575+9/24),tData[Langligger01],1)</f>
        <v/>
      </c>
      <c r="N575" s="20">
        <f>COUNTIFS(tData[SEHTrajectPeriodeDatumTijdVan],"&lt;="&amp;($A575+10/24),tData[SEHTrajectPeriodeDatumTijdTotEnMet],"&gt;"&amp;($A575+10/24),tData[Langligger01],1)</f>
        <v/>
      </c>
      <c r="O575" s="20">
        <f>COUNTIFS(tData[SEHTrajectPeriodeDatumTijdVan],"&lt;="&amp;($A575+11/24),tData[SEHTrajectPeriodeDatumTijdTotEnMet],"&gt;"&amp;($A575+11/24),tData[Langligger01],1)</f>
        <v/>
      </c>
      <c r="P575" s="20">
        <f>COUNTIFS(tData[SEHTrajectPeriodeDatumTijdVan],"&lt;="&amp;($A575+12/24),tData[SEHTrajectPeriodeDatumTijdTotEnMet],"&gt;"&amp;($A575+12/24),tData[Langligger01],1)</f>
        <v/>
      </c>
      <c r="Q575" s="20">
        <f>COUNTIFS(tData[SEHTrajectPeriodeDatumTijdVan],"&lt;="&amp;($A575+13/24),tData[SEHTrajectPeriodeDatumTijdTotEnMet],"&gt;"&amp;($A575+13/24),tData[Langligger01],1)</f>
        <v/>
      </c>
      <c r="R575" s="20">
        <f>COUNTIFS(tData[SEHTrajectPeriodeDatumTijdVan],"&lt;="&amp;($A575+14/24),tData[SEHTrajectPeriodeDatumTijdTotEnMet],"&gt;"&amp;($A575+14/24),tData[Langligger01],1)</f>
        <v/>
      </c>
      <c r="S575" s="20">
        <f>COUNTIFS(tData[SEHTrajectPeriodeDatumTijdVan],"&lt;="&amp;($A575+15/24),tData[SEHTrajectPeriodeDatumTijdTotEnMet],"&gt;"&amp;($A575+15/24),tData[Langligger01],1)</f>
        <v/>
      </c>
      <c r="T575" s="20">
        <f>COUNTIFS(tData[SEHTrajectPeriodeDatumTijdVan],"&lt;="&amp;($A575+16/24),tData[SEHTrajectPeriodeDatumTijdTotEnMet],"&gt;"&amp;($A575+16/24),tData[Langligger01],1)</f>
        <v/>
      </c>
      <c r="U575" s="20">
        <f>COUNTIFS(tData[SEHTrajectPeriodeDatumTijdVan],"&lt;="&amp;($A575+17/24),tData[SEHTrajectPeriodeDatumTijdTotEnMet],"&gt;"&amp;($A575+17/24),tData[Langligger01],1)</f>
        <v/>
      </c>
      <c r="V575" s="20">
        <f>COUNTIFS(tData[SEHTrajectPeriodeDatumTijdVan],"&lt;="&amp;($A575+18/24),tData[SEHTrajectPeriodeDatumTijdTotEnMet],"&gt;"&amp;($A575+18/24),tData[Langligger01],1)</f>
        <v/>
      </c>
      <c r="W575" s="20">
        <f>COUNTIFS(tData[SEHTrajectPeriodeDatumTijdVan],"&lt;="&amp;($A575+19/24),tData[SEHTrajectPeriodeDatumTijdTotEnMet],"&gt;"&amp;($A575+19/24),tData[Langligger01],1)</f>
        <v/>
      </c>
      <c r="X575" s="20">
        <f>COUNTIFS(tData[SEHTrajectPeriodeDatumTijdVan],"&lt;="&amp;($A575+20/24),tData[SEHTrajectPeriodeDatumTijdTotEnMet],"&gt;"&amp;($A575+20/24),tData[Langligger01],1)</f>
        <v/>
      </c>
      <c r="Y575" s="20">
        <f>COUNTIFS(tData[SEHTrajectPeriodeDatumTijdVan],"&lt;="&amp;($A575+21/24),tData[SEHTrajectPeriodeDatumTijdTotEnMet],"&gt;"&amp;($A575+21/24),tData[Langligger01],1)</f>
        <v/>
      </c>
      <c r="Z575" s="20">
        <f>COUNTIFS(tData[SEHTrajectPeriodeDatumTijdVan],"&lt;="&amp;($A575+22/24),tData[SEHTrajectPeriodeDatumTijdTotEnMet],"&gt;"&amp;($A575+22/24),tData[Langligger01],1)</f>
        <v/>
      </c>
      <c r="AA575" s="20">
        <f>COUNTIFS(tData[SEHTrajectPeriodeDatumTijdVan],"&lt;="&amp;($A575+23/24),tData[SEHTrajectPeriodeDatumTijdTotEnMet],"&gt;"&amp;($A575+23/24),tData[Langligger01],1)</f>
        <v/>
      </c>
    </row>
    <row r="576">
      <c r="A576" s="19" t="n">
        <v>45864</v>
      </c>
      <c r="B576" s="15">
        <f>WEEKDAY($A576,2)</f>
        <v/>
      </c>
      <c r="C576" s="15">
        <f>IF(AND($A576&gt;=INT(Instellingen!$B$5),$A576&lt;=INT(Instellingen!$B$6)),1,0)</f>
        <v/>
      </c>
      <c r="D576" s="20">
        <f>COUNTIFS(tData[SEHTrajectPeriodeDatumTijdVan],"&lt;="&amp;($A576+0/24),tData[SEHTrajectPeriodeDatumTijdTotEnMet],"&gt;"&amp;($A576+0/24),tData[Langligger01],1)</f>
        <v/>
      </c>
      <c r="E576" s="20">
        <f>COUNTIFS(tData[SEHTrajectPeriodeDatumTijdVan],"&lt;="&amp;($A576+1/24),tData[SEHTrajectPeriodeDatumTijdTotEnMet],"&gt;"&amp;($A576+1/24),tData[Langligger01],1)</f>
        <v/>
      </c>
      <c r="F576" s="20">
        <f>COUNTIFS(tData[SEHTrajectPeriodeDatumTijdVan],"&lt;="&amp;($A576+2/24),tData[SEHTrajectPeriodeDatumTijdTotEnMet],"&gt;"&amp;($A576+2/24),tData[Langligger01],1)</f>
        <v/>
      </c>
      <c r="G576" s="20">
        <f>COUNTIFS(tData[SEHTrajectPeriodeDatumTijdVan],"&lt;="&amp;($A576+3/24),tData[SEHTrajectPeriodeDatumTijdTotEnMet],"&gt;"&amp;($A576+3/24),tData[Langligger01],1)</f>
        <v/>
      </c>
      <c r="H576" s="20">
        <f>COUNTIFS(tData[SEHTrajectPeriodeDatumTijdVan],"&lt;="&amp;($A576+4/24),tData[SEHTrajectPeriodeDatumTijdTotEnMet],"&gt;"&amp;($A576+4/24),tData[Langligger01],1)</f>
        <v/>
      </c>
      <c r="I576" s="20">
        <f>COUNTIFS(tData[SEHTrajectPeriodeDatumTijdVan],"&lt;="&amp;($A576+5/24),tData[SEHTrajectPeriodeDatumTijdTotEnMet],"&gt;"&amp;($A576+5/24),tData[Langligger01],1)</f>
        <v/>
      </c>
      <c r="J576" s="20">
        <f>COUNTIFS(tData[SEHTrajectPeriodeDatumTijdVan],"&lt;="&amp;($A576+6/24),tData[SEHTrajectPeriodeDatumTijdTotEnMet],"&gt;"&amp;($A576+6/24),tData[Langligger01],1)</f>
        <v/>
      </c>
      <c r="K576" s="20">
        <f>COUNTIFS(tData[SEHTrajectPeriodeDatumTijdVan],"&lt;="&amp;($A576+7/24),tData[SEHTrajectPeriodeDatumTijdTotEnMet],"&gt;"&amp;($A576+7/24),tData[Langligger01],1)</f>
        <v/>
      </c>
      <c r="L576" s="20">
        <f>COUNTIFS(tData[SEHTrajectPeriodeDatumTijdVan],"&lt;="&amp;($A576+8/24),tData[SEHTrajectPeriodeDatumTijdTotEnMet],"&gt;"&amp;($A576+8/24),tData[Langligger01],1)</f>
        <v/>
      </c>
      <c r="M576" s="20">
        <f>COUNTIFS(tData[SEHTrajectPeriodeDatumTijdVan],"&lt;="&amp;($A576+9/24),tData[SEHTrajectPeriodeDatumTijdTotEnMet],"&gt;"&amp;($A576+9/24),tData[Langligger01],1)</f>
        <v/>
      </c>
      <c r="N576" s="20">
        <f>COUNTIFS(tData[SEHTrajectPeriodeDatumTijdVan],"&lt;="&amp;($A576+10/24),tData[SEHTrajectPeriodeDatumTijdTotEnMet],"&gt;"&amp;($A576+10/24),tData[Langligger01],1)</f>
        <v/>
      </c>
      <c r="O576" s="20">
        <f>COUNTIFS(tData[SEHTrajectPeriodeDatumTijdVan],"&lt;="&amp;($A576+11/24),tData[SEHTrajectPeriodeDatumTijdTotEnMet],"&gt;"&amp;($A576+11/24),tData[Langligger01],1)</f>
        <v/>
      </c>
      <c r="P576" s="20">
        <f>COUNTIFS(tData[SEHTrajectPeriodeDatumTijdVan],"&lt;="&amp;($A576+12/24),tData[SEHTrajectPeriodeDatumTijdTotEnMet],"&gt;"&amp;($A576+12/24),tData[Langligger01],1)</f>
        <v/>
      </c>
      <c r="Q576" s="20">
        <f>COUNTIFS(tData[SEHTrajectPeriodeDatumTijdVan],"&lt;="&amp;($A576+13/24),tData[SEHTrajectPeriodeDatumTijdTotEnMet],"&gt;"&amp;($A576+13/24),tData[Langligger01],1)</f>
        <v/>
      </c>
      <c r="R576" s="20">
        <f>COUNTIFS(tData[SEHTrajectPeriodeDatumTijdVan],"&lt;="&amp;($A576+14/24),tData[SEHTrajectPeriodeDatumTijdTotEnMet],"&gt;"&amp;($A576+14/24),tData[Langligger01],1)</f>
        <v/>
      </c>
      <c r="S576" s="20">
        <f>COUNTIFS(tData[SEHTrajectPeriodeDatumTijdVan],"&lt;="&amp;($A576+15/24),tData[SEHTrajectPeriodeDatumTijdTotEnMet],"&gt;"&amp;($A576+15/24),tData[Langligger01],1)</f>
        <v/>
      </c>
      <c r="T576" s="20">
        <f>COUNTIFS(tData[SEHTrajectPeriodeDatumTijdVan],"&lt;="&amp;($A576+16/24),tData[SEHTrajectPeriodeDatumTijdTotEnMet],"&gt;"&amp;($A576+16/24),tData[Langligger01],1)</f>
        <v/>
      </c>
      <c r="U576" s="20">
        <f>COUNTIFS(tData[SEHTrajectPeriodeDatumTijdVan],"&lt;="&amp;($A576+17/24),tData[SEHTrajectPeriodeDatumTijdTotEnMet],"&gt;"&amp;($A576+17/24),tData[Langligger01],1)</f>
        <v/>
      </c>
      <c r="V576" s="20">
        <f>COUNTIFS(tData[SEHTrajectPeriodeDatumTijdVan],"&lt;="&amp;($A576+18/24),tData[SEHTrajectPeriodeDatumTijdTotEnMet],"&gt;"&amp;($A576+18/24),tData[Langligger01],1)</f>
        <v/>
      </c>
      <c r="W576" s="20">
        <f>COUNTIFS(tData[SEHTrajectPeriodeDatumTijdVan],"&lt;="&amp;($A576+19/24),tData[SEHTrajectPeriodeDatumTijdTotEnMet],"&gt;"&amp;($A576+19/24),tData[Langligger01],1)</f>
        <v/>
      </c>
      <c r="X576" s="20">
        <f>COUNTIFS(tData[SEHTrajectPeriodeDatumTijdVan],"&lt;="&amp;($A576+20/24),tData[SEHTrajectPeriodeDatumTijdTotEnMet],"&gt;"&amp;($A576+20/24),tData[Langligger01],1)</f>
        <v/>
      </c>
      <c r="Y576" s="20">
        <f>COUNTIFS(tData[SEHTrajectPeriodeDatumTijdVan],"&lt;="&amp;($A576+21/24),tData[SEHTrajectPeriodeDatumTijdTotEnMet],"&gt;"&amp;($A576+21/24),tData[Langligger01],1)</f>
        <v/>
      </c>
      <c r="Z576" s="20">
        <f>COUNTIFS(tData[SEHTrajectPeriodeDatumTijdVan],"&lt;="&amp;($A576+22/24),tData[SEHTrajectPeriodeDatumTijdTotEnMet],"&gt;"&amp;($A576+22/24),tData[Langligger01],1)</f>
        <v/>
      </c>
      <c r="AA576" s="20">
        <f>COUNTIFS(tData[SEHTrajectPeriodeDatumTijdVan],"&lt;="&amp;($A576+23/24),tData[SEHTrajectPeriodeDatumTijdTotEnMet],"&gt;"&amp;($A576+23/24),tData[Langligger01],1)</f>
        <v/>
      </c>
    </row>
    <row r="577">
      <c r="A577" s="19" t="n">
        <v>45865</v>
      </c>
      <c r="B577" s="15">
        <f>WEEKDAY($A577,2)</f>
        <v/>
      </c>
      <c r="C577" s="15">
        <f>IF(AND($A577&gt;=INT(Instellingen!$B$5),$A577&lt;=INT(Instellingen!$B$6)),1,0)</f>
        <v/>
      </c>
      <c r="D577" s="20">
        <f>COUNTIFS(tData[SEHTrajectPeriodeDatumTijdVan],"&lt;="&amp;($A577+0/24),tData[SEHTrajectPeriodeDatumTijdTotEnMet],"&gt;"&amp;($A577+0/24),tData[Langligger01],1)</f>
        <v/>
      </c>
      <c r="E577" s="20">
        <f>COUNTIFS(tData[SEHTrajectPeriodeDatumTijdVan],"&lt;="&amp;($A577+1/24),tData[SEHTrajectPeriodeDatumTijdTotEnMet],"&gt;"&amp;($A577+1/24),tData[Langligger01],1)</f>
        <v/>
      </c>
      <c r="F577" s="20">
        <f>COUNTIFS(tData[SEHTrajectPeriodeDatumTijdVan],"&lt;="&amp;($A577+2/24),tData[SEHTrajectPeriodeDatumTijdTotEnMet],"&gt;"&amp;($A577+2/24),tData[Langligger01],1)</f>
        <v/>
      </c>
      <c r="G577" s="20">
        <f>COUNTIFS(tData[SEHTrajectPeriodeDatumTijdVan],"&lt;="&amp;($A577+3/24),tData[SEHTrajectPeriodeDatumTijdTotEnMet],"&gt;"&amp;($A577+3/24),tData[Langligger01],1)</f>
        <v/>
      </c>
      <c r="H577" s="20">
        <f>COUNTIFS(tData[SEHTrajectPeriodeDatumTijdVan],"&lt;="&amp;($A577+4/24),tData[SEHTrajectPeriodeDatumTijdTotEnMet],"&gt;"&amp;($A577+4/24),tData[Langligger01],1)</f>
        <v/>
      </c>
      <c r="I577" s="20">
        <f>COUNTIFS(tData[SEHTrajectPeriodeDatumTijdVan],"&lt;="&amp;($A577+5/24),tData[SEHTrajectPeriodeDatumTijdTotEnMet],"&gt;"&amp;($A577+5/24),tData[Langligger01],1)</f>
        <v/>
      </c>
      <c r="J577" s="20">
        <f>COUNTIFS(tData[SEHTrajectPeriodeDatumTijdVan],"&lt;="&amp;($A577+6/24),tData[SEHTrajectPeriodeDatumTijdTotEnMet],"&gt;"&amp;($A577+6/24),tData[Langligger01],1)</f>
        <v/>
      </c>
      <c r="K577" s="20">
        <f>COUNTIFS(tData[SEHTrajectPeriodeDatumTijdVan],"&lt;="&amp;($A577+7/24),tData[SEHTrajectPeriodeDatumTijdTotEnMet],"&gt;"&amp;($A577+7/24),tData[Langligger01],1)</f>
        <v/>
      </c>
      <c r="L577" s="20">
        <f>COUNTIFS(tData[SEHTrajectPeriodeDatumTijdVan],"&lt;="&amp;($A577+8/24),tData[SEHTrajectPeriodeDatumTijdTotEnMet],"&gt;"&amp;($A577+8/24),tData[Langligger01],1)</f>
        <v/>
      </c>
      <c r="M577" s="20">
        <f>COUNTIFS(tData[SEHTrajectPeriodeDatumTijdVan],"&lt;="&amp;($A577+9/24),tData[SEHTrajectPeriodeDatumTijdTotEnMet],"&gt;"&amp;($A577+9/24),tData[Langligger01],1)</f>
        <v/>
      </c>
      <c r="N577" s="20">
        <f>COUNTIFS(tData[SEHTrajectPeriodeDatumTijdVan],"&lt;="&amp;($A577+10/24),tData[SEHTrajectPeriodeDatumTijdTotEnMet],"&gt;"&amp;($A577+10/24),tData[Langligger01],1)</f>
        <v/>
      </c>
      <c r="O577" s="20">
        <f>COUNTIFS(tData[SEHTrajectPeriodeDatumTijdVan],"&lt;="&amp;($A577+11/24),tData[SEHTrajectPeriodeDatumTijdTotEnMet],"&gt;"&amp;($A577+11/24),tData[Langligger01],1)</f>
        <v/>
      </c>
      <c r="P577" s="20">
        <f>COUNTIFS(tData[SEHTrajectPeriodeDatumTijdVan],"&lt;="&amp;($A577+12/24),tData[SEHTrajectPeriodeDatumTijdTotEnMet],"&gt;"&amp;($A577+12/24),tData[Langligger01],1)</f>
        <v/>
      </c>
      <c r="Q577" s="20">
        <f>COUNTIFS(tData[SEHTrajectPeriodeDatumTijdVan],"&lt;="&amp;($A577+13/24),tData[SEHTrajectPeriodeDatumTijdTotEnMet],"&gt;"&amp;($A577+13/24),tData[Langligger01],1)</f>
        <v/>
      </c>
      <c r="R577" s="20">
        <f>COUNTIFS(tData[SEHTrajectPeriodeDatumTijdVan],"&lt;="&amp;($A577+14/24),tData[SEHTrajectPeriodeDatumTijdTotEnMet],"&gt;"&amp;($A577+14/24),tData[Langligger01],1)</f>
        <v/>
      </c>
      <c r="S577" s="20">
        <f>COUNTIFS(tData[SEHTrajectPeriodeDatumTijdVan],"&lt;="&amp;($A577+15/24),tData[SEHTrajectPeriodeDatumTijdTotEnMet],"&gt;"&amp;($A577+15/24),tData[Langligger01],1)</f>
        <v/>
      </c>
      <c r="T577" s="20">
        <f>COUNTIFS(tData[SEHTrajectPeriodeDatumTijdVan],"&lt;="&amp;($A577+16/24),tData[SEHTrajectPeriodeDatumTijdTotEnMet],"&gt;"&amp;($A577+16/24),tData[Langligger01],1)</f>
        <v/>
      </c>
      <c r="U577" s="20">
        <f>COUNTIFS(tData[SEHTrajectPeriodeDatumTijdVan],"&lt;="&amp;($A577+17/24),tData[SEHTrajectPeriodeDatumTijdTotEnMet],"&gt;"&amp;($A577+17/24),tData[Langligger01],1)</f>
        <v/>
      </c>
      <c r="V577" s="20">
        <f>COUNTIFS(tData[SEHTrajectPeriodeDatumTijdVan],"&lt;="&amp;($A577+18/24),tData[SEHTrajectPeriodeDatumTijdTotEnMet],"&gt;"&amp;($A577+18/24),tData[Langligger01],1)</f>
        <v/>
      </c>
      <c r="W577" s="20">
        <f>COUNTIFS(tData[SEHTrajectPeriodeDatumTijdVan],"&lt;="&amp;($A577+19/24),tData[SEHTrajectPeriodeDatumTijdTotEnMet],"&gt;"&amp;($A577+19/24),tData[Langligger01],1)</f>
        <v/>
      </c>
      <c r="X577" s="20">
        <f>COUNTIFS(tData[SEHTrajectPeriodeDatumTijdVan],"&lt;="&amp;($A577+20/24),tData[SEHTrajectPeriodeDatumTijdTotEnMet],"&gt;"&amp;($A577+20/24),tData[Langligger01],1)</f>
        <v/>
      </c>
      <c r="Y577" s="20">
        <f>COUNTIFS(tData[SEHTrajectPeriodeDatumTijdVan],"&lt;="&amp;($A577+21/24),tData[SEHTrajectPeriodeDatumTijdTotEnMet],"&gt;"&amp;($A577+21/24),tData[Langligger01],1)</f>
        <v/>
      </c>
      <c r="Z577" s="20">
        <f>COUNTIFS(tData[SEHTrajectPeriodeDatumTijdVan],"&lt;="&amp;($A577+22/24),tData[SEHTrajectPeriodeDatumTijdTotEnMet],"&gt;"&amp;($A577+22/24),tData[Langligger01],1)</f>
        <v/>
      </c>
      <c r="AA577" s="20">
        <f>COUNTIFS(tData[SEHTrajectPeriodeDatumTijdVan],"&lt;="&amp;($A577+23/24),tData[SEHTrajectPeriodeDatumTijdTotEnMet],"&gt;"&amp;($A577+23/24),tData[Langligger01],1)</f>
        <v/>
      </c>
    </row>
    <row r="578">
      <c r="A578" s="19" t="n">
        <v>45866</v>
      </c>
      <c r="B578" s="15">
        <f>WEEKDAY($A578,2)</f>
        <v/>
      </c>
      <c r="C578" s="15">
        <f>IF(AND($A578&gt;=INT(Instellingen!$B$5),$A578&lt;=INT(Instellingen!$B$6)),1,0)</f>
        <v/>
      </c>
      <c r="D578" s="20">
        <f>COUNTIFS(tData[SEHTrajectPeriodeDatumTijdVan],"&lt;="&amp;($A578+0/24),tData[SEHTrajectPeriodeDatumTijdTotEnMet],"&gt;"&amp;($A578+0/24),tData[Langligger01],1)</f>
        <v/>
      </c>
      <c r="E578" s="20">
        <f>COUNTIFS(tData[SEHTrajectPeriodeDatumTijdVan],"&lt;="&amp;($A578+1/24),tData[SEHTrajectPeriodeDatumTijdTotEnMet],"&gt;"&amp;($A578+1/24),tData[Langligger01],1)</f>
        <v/>
      </c>
      <c r="F578" s="20">
        <f>COUNTIFS(tData[SEHTrajectPeriodeDatumTijdVan],"&lt;="&amp;($A578+2/24),tData[SEHTrajectPeriodeDatumTijdTotEnMet],"&gt;"&amp;($A578+2/24),tData[Langligger01],1)</f>
        <v/>
      </c>
      <c r="G578" s="20">
        <f>COUNTIFS(tData[SEHTrajectPeriodeDatumTijdVan],"&lt;="&amp;($A578+3/24),tData[SEHTrajectPeriodeDatumTijdTotEnMet],"&gt;"&amp;($A578+3/24),tData[Langligger01],1)</f>
        <v/>
      </c>
      <c r="H578" s="20">
        <f>COUNTIFS(tData[SEHTrajectPeriodeDatumTijdVan],"&lt;="&amp;($A578+4/24),tData[SEHTrajectPeriodeDatumTijdTotEnMet],"&gt;"&amp;($A578+4/24),tData[Langligger01],1)</f>
        <v/>
      </c>
      <c r="I578" s="20">
        <f>COUNTIFS(tData[SEHTrajectPeriodeDatumTijdVan],"&lt;="&amp;($A578+5/24),tData[SEHTrajectPeriodeDatumTijdTotEnMet],"&gt;"&amp;($A578+5/24),tData[Langligger01],1)</f>
        <v/>
      </c>
      <c r="J578" s="20">
        <f>COUNTIFS(tData[SEHTrajectPeriodeDatumTijdVan],"&lt;="&amp;($A578+6/24),tData[SEHTrajectPeriodeDatumTijdTotEnMet],"&gt;"&amp;($A578+6/24),tData[Langligger01],1)</f>
        <v/>
      </c>
      <c r="K578" s="20">
        <f>COUNTIFS(tData[SEHTrajectPeriodeDatumTijdVan],"&lt;="&amp;($A578+7/24),tData[SEHTrajectPeriodeDatumTijdTotEnMet],"&gt;"&amp;($A578+7/24),tData[Langligger01],1)</f>
        <v/>
      </c>
      <c r="L578" s="20">
        <f>COUNTIFS(tData[SEHTrajectPeriodeDatumTijdVan],"&lt;="&amp;($A578+8/24),tData[SEHTrajectPeriodeDatumTijdTotEnMet],"&gt;"&amp;($A578+8/24),tData[Langligger01],1)</f>
        <v/>
      </c>
      <c r="M578" s="20">
        <f>COUNTIFS(tData[SEHTrajectPeriodeDatumTijdVan],"&lt;="&amp;($A578+9/24),tData[SEHTrajectPeriodeDatumTijdTotEnMet],"&gt;"&amp;($A578+9/24),tData[Langligger01],1)</f>
        <v/>
      </c>
      <c r="N578" s="20">
        <f>COUNTIFS(tData[SEHTrajectPeriodeDatumTijdVan],"&lt;="&amp;($A578+10/24),tData[SEHTrajectPeriodeDatumTijdTotEnMet],"&gt;"&amp;($A578+10/24),tData[Langligger01],1)</f>
        <v/>
      </c>
      <c r="O578" s="20">
        <f>COUNTIFS(tData[SEHTrajectPeriodeDatumTijdVan],"&lt;="&amp;($A578+11/24),tData[SEHTrajectPeriodeDatumTijdTotEnMet],"&gt;"&amp;($A578+11/24),tData[Langligger01],1)</f>
        <v/>
      </c>
      <c r="P578" s="20">
        <f>COUNTIFS(tData[SEHTrajectPeriodeDatumTijdVan],"&lt;="&amp;($A578+12/24),tData[SEHTrajectPeriodeDatumTijdTotEnMet],"&gt;"&amp;($A578+12/24),tData[Langligger01],1)</f>
        <v/>
      </c>
      <c r="Q578" s="20">
        <f>COUNTIFS(tData[SEHTrajectPeriodeDatumTijdVan],"&lt;="&amp;($A578+13/24),tData[SEHTrajectPeriodeDatumTijdTotEnMet],"&gt;"&amp;($A578+13/24),tData[Langligger01],1)</f>
        <v/>
      </c>
      <c r="R578" s="20">
        <f>COUNTIFS(tData[SEHTrajectPeriodeDatumTijdVan],"&lt;="&amp;($A578+14/24),tData[SEHTrajectPeriodeDatumTijdTotEnMet],"&gt;"&amp;($A578+14/24),tData[Langligger01],1)</f>
        <v/>
      </c>
      <c r="S578" s="20">
        <f>COUNTIFS(tData[SEHTrajectPeriodeDatumTijdVan],"&lt;="&amp;($A578+15/24),tData[SEHTrajectPeriodeDatumTijdTotEnMet],"&gt;"&amp;($A578+15/24),tData[Langligger01],1)</f>
        <v/>
      </c>
      <c r="T578" s="20">
        <f>COUNTIFS(tData[SEHTrajectPeriodeDatumTijdVan],"&lt;="&amp;($A578+16/24),tData[SEHTrajectPeriodeDatumTijdTotEnMet],"&gt;"&amp;($A578+16/24),tData[Langligger01],1)</f>
        <v/>
      </c>
      <c r="U578" s="20">
        <f>COUNTIFS(tData[SEHTrajectPeriodeDatumTijdVan],"&lt;="&amp;($A578+17/24),tData[SEHTrajectPeriodeDatumTijdTotEnMet],"&gt;"&amp;($A578+17/24),tData[Langligger01],1)</f>
        <v/>
      </c>
      <c r="V578" s="20">
        <f>COUNTIFS(tData[SEHTrajectPeriodeDatumTijdVan],"&lt;="&amp;($A578+18/24),tData[SEHTrajectPeriodeDatumTijdTotEnMet],"&gt;"&amp;($A578+18/24),tData[Langligger01],1)</f>
        <v/>
      </c>
      <c r="W578" s="20">
        <f>COUNTIFS(tData[SEHTrajectPeriodeDatumTijdVan],"&lt;="&amp;($A578+19/24),tData[SEHTrajectPeriodeDatumTijdTotEnMet],"&gt;"&amp;($A578+19/24),tData[Langligger01],1)</f>
        <v/>
      </c>
      <c r="X578" s="20">
        <f>COUNTIFS(tData[SEHTrajectPeriodeDatumTijdVan],"&lt;="&amp;($A578+20/24),tData[SEHTrajectPeriodeDatumTijdTotEnMet],"&gt;"&amp;($A578+20/24),tData[Langligger01],1)</f>
        <v/>
      </c>
      <c r="Y578" s="20">
        <f>COUNTIFS(tData[SEHTrajectPeriodeDatumTijdVan],"&lt;="&amp;($A578+21/24),tData[SEHTrajectPeriodeDatumTijdTotEnMet],"&gt;"&amp;($A578+21/24),tData[Langligger01],1)</f>
        <v/>
      </c>
      <c r="Z578" s="20">
        <f>COUNTIFS(tData[SEHTrajectPeriodeDatumTijdVan],"&lt;="&amp;($A578+22/24),tData[SEHTrajectPeriodeDatumTijdTotEnMet],"&gt;"&amp;($A578+22/24),tData[Langligger01],1)</f>
        <v/>
      </c>
      <c r="AA578" s="20">
        <f>COUNTIFS(tData[SEHTrajectPeriodeDatumTijdVan],"&lt;="&amp;($A578+23/24),tData[SEHTrajectPeriodeDatumTijdTotEnMet],"&gt;"&amp;($A578+23/24),tData[Langligger01],1)</f>
        <v/>
      </c>
    </row>
    <row r="579">
      <c r="A579" s="19" t="n">
        <v>45867</v>
      </c>
      <c r="B579" s="15">
        <f>WEEKDAY($A579,2)</f>
        <v/>
      </c>
      <c r="C579" s="15">
        <f>IF(AND($A579&gt;=INT(Instellingen!$B$5),$A579&lt;=INT(Instellingen!$B$6)),1,0)</f>
        <v/>
      </c>
      <c r="D579" s="20">
        <f>COUNTIFS(tData[SEHTrajectPeriodeDatumTijdVan],"&lt;="&amp;($A579+0/24),tData[SEHTrajectPeriodeDatumTijdTotEnMet],"&gt;"&amp;($A579+0/24),tData[Langligger01],1)</f>
        <v/>
      </c>
      <c r="E579" s="20">
        <f>COUNTIFS(tData[SEHTrajectPeriodeDatumTijdVan],"&lt;="&amp;($A579+1/24),tData[SEHTrajectPeriodeDatumTijdTotEnMet],"&gt;"&amp;($A579+1/24),tData[Langligger01],1)</f>
        <v/>
      </c>
      <c r="F579" s="20">
        <f>COUNTIFS(tData[SEHTrajectPeriodeDatumTijdVan],"&lt;="&amp;($A579+2/24),tData[SEHTrajectPeriodeDatumTijdTotEnMet],"&gt;"&amp;($A579+2/24),tData[Langligger01],1)</f>
        <v/>
      </c>
      <c r="G579" s="20">
        <f>COUNTIFS(tData[SEHTrajectPeriodeDatumTijdVan],"&lt;="&amp;($A579+3/24),tData[SEHTrajectPeriodeDatumTijdTotEnMet],"&gt;"&amp;($A579+3/24),tData[Langligger01],1)</f>
        <v/>
      </c>
      <c r="H579" s="20">
        <f>COUNTIFS(tData[SEHTrajectPeriodeDatumTijdVan],"&lt;="&amp;($A579+4/24),tData[SEHTrajectPeriodeDatumTijdTotEnMet],"&gt;"&amp;($A579+4/24),tData[Langligger01],1)</f>
        <v/>
      </c>
      <c r="I579" s="20">
        <f>COUNTIFS(tData[SEHTrajectPeriodeDatumTijdVan],"&lt;="&amp;($A579+5/24),tData[SEHTrajectPeriodeDatumTijdTotEnMet],"&gt;"&amp;($A579+5/24),tData[Langligger01],1)</f>
        <v/>
      </c>
      <c r="J579" s="20">
        <f>COUNTIFS(tData[SEHTrajectPeriodeDatumTijdVan],"&lt;="&amp;($A579+6/24),tData[SEHTrajectPeriodeDatumTijdTotEnMet],"&gt;"&amp;($A579+6/24),tData[Langligger01],1)</f>
        <v/>
      </c>
      <c r="K579" s="20">
        <f>COUNTIFS(tData[SEHTrajectPeriodeDatumTijdVan],"&lt;="&amp;($A579+7/24),tData[SEHTrajectPeriodeDatumTijdTotEnMet],"&gt;"&amp;($A579+7/24),tData[Langligger01],1)</f>
        <v/>
      </c>
      <c r="L579" s="20">
        <f>COUNTIFS(tData[SEHTrajectPeriodeDatumTijdVan],"&lt;="&amp;($A579+8/24),tData[SEHTrajectPeriodeDatumTijdTotEnMet],"&gt;"&amp;($A579+8/24),tData[Langligger01],1)</f>
        <v/>
      </c>
      <c r="M579" s="20">
        <f>COUNTIFS(tData[SEHTrajectPeriodeDatumTijdVan],"&lt;="&amp;($A579+9/24),tData[SEHTrajectPeriodeDatumTijdTotEnMet],"&gt;"&amp;($A579+9/24),tData[Langligger01],1)</f>
        <v/>
      </c>
      <c r="N579" s="20">
        <f>COUNTIFS(tData[SEHTrajectPeriodeDatumTijdVan],"&lt;="&amp;($A579+10/24),tData[SEHTrajectPeriodeDatumTijdTotEnMet],"&gt;"&amp;($A579+10/24),tData[Langligger01],1)</f>
        <v/>
      </c>
      <c r="O579" s="20">
        <f>COUNTIFS(tData[SEHTrajectPeriodeDatumTijdVan],"&lt;="&amp;($A579+11/24),tData[SEHTrajectPeriodeDatumTijdTotEnMet],"&gt;"&amp;($A579+11/24),tData[Langligger01],1)</f>
        <v/>
      </c>
      <c r="P579" s="20">
        <f>COUNTIFS(tData[SEHTrajectPeriodeDatumTijdVan],"&lt;="&amp;($A579+12/24),tData[SEHTrajectPeriodeDatumTijdTotEnMet],"&gt;"&amp;($A579+12/24),tData[Langligger01],1)</f>
        <v/>
      </c>
      <c r="Q579" s="20">
        <f>COUNTIFS(tData[SEHTrajectPeriodeDatumTijdVan],"&lt;="&amp;($A579+13/24),tData[SEHTrajectPeriodeDatumTijdTotEnMet],"&gt;"&amp;($A579+13/24),tData[Langligger01],1)</f>
        <v/>
      </c>
      <c r="R579" s="20">
        <f>COUNTIFS(tData[SEHTrajectPeriodeDatumTijdVan],"&lt;="&amp;($A579+14/24),tData[SEHTrajectPeriodeDatumTijdTotEnMet],"&gt;"&amp;($A579+14/24),tData[Langligger01],1)</f>
        <v/>
      </c>
      <c r="S579" s="20">
        <f>COUNTIFS(tData[SEHTrajectPeriodeDatumTijdVan],"&lt;="&amp;($A579+15/24),tData[SEHTrajectPeriodeDatumTijdTotEnMet],"&gt;"&amp;($A579+15/24),tData[Langligger01],1)</f>
        <v/>
      </c>
      <c r="T579" s="20">
        <f>COUNTIFS(tData[SEHTrajectPeriodeDatumTijdVan],"&lt;="&amp;($A579+16/24),tData[SEHTrajectPeriodeDatumTijdTotEnMet],"&gt;"&amp;($A579+16/24),tData[Langligger01],1)</f>
        <v/>
      </c>
      <c r="U579" s="20">
        <f>COUNTIFS(tData[SEHTrajectPeriodeDatumTijdVan],"&lt;="&amp;($A579+17/24),tData[SEHTrajectPeriodeDatumTijdTotEnMet],"&gt;"&amp;($A579+17/24),tData[Langligger01],1)</f>
        <v/>
      </c>
      <c r="V579" s="20">
        <f>COUNTIFS(tData[SEHTrajectPeriodeDatumTijdVan],"&lt;="&amp;($A579+18/24),tData[SEHTrajectPeriodeDatumTijdTotEnMet],"&gt;"&amp;($A579+18/24),tData[Langligger01],1)</f>
        <v/>
      </c>
      <c r="W579" s="20">
        <f>COUNTIFS(tData[SEHTrajectPeriodeDatumTijdVan],"&lt;="&amp;($A579+19/24),tData[SEHTrajectPeriodeDatumTijdTotEnMet],"&gt;"&amp;($A579+19/24),tData[Langligger01],1)</f>
        <v/>
      </c>
      <c r="X579" s="20">
        <f>COUNTIFS(tData[SEHTrajectPeriodeDatumTijdVan],"&lt;="&amp;($A579+20/24),tData[SEHTrajectPeriodeDatumTijdTotEnMet],"&gt;"&amp;($A579+20/24),tData[Langligger01],1)</f>
        <v/>
      </c>
      <c r="Y579" s="20">
        <f>COUNTIFS(tData[SEHTrajectPeriodeDatumTijdVan],"&lt;="&amp;($A579+21/24),tData[SEHTrajectPeriodeDatumTijdTotEnMet],"&gt;"&amp;($A579+21/24),tData[Langligger01],1)</f>
        <v/>
      </c>
      <c r="Z579" s="20">
        <f>COUNTIFS(tData[SEHTrajectPeriodeDatumTijdVan],"&lt;="&amp;($A579+22/24),tData[SEHTrajectPeriodeDatumTijdTotEnMet],"&gt;"&amp;($A579+22/24),tData[Langligger01],1)</f>
        <v/>
      </c>
      <c r="AA579" s="20">
        <f>COUNTIFS(tData[SEHTrajectPeriodeDatumTijdVan],"&lt;="&amp;($A579+23/24),tData[SEHTrajectPeriodeDatumTijdTotEnMet],"&gt;"&amp;($A579+23/24),tData[Langligger01],1)</f>
        <v/>
      </c>
    </row>
    <row r="580">
      <c r="A580" s="19" t="n">
        <v>45868</v>
      </c>
      <c r="B580" s="15">
        <f>WEEKDAY($A580,2)</f>
        <v/>
      </c>
      <c r="C580" s="15">
        <f>IF(AND($A580&gt;=INT(Instellingen!$B$5),$A580&lt;=INT(Instellingen!$B$6)),1,0)</f>
        <v/>
      </c>
      <c r="D580" s="20">
        <f>COUNTIFS(tData[SEHTrajectPeriodeDatumTijdVan],"&lt;="&amp;($A580+0/24),tData[SEHTrajectPeriodeDatumTijdTotEnMet],"&gt;"&amp;($A580+0/24),tData[Langligger01],1)</f>
        <v/>
      </c>
      <c r="E580" s="20">
        <f>COUNTIFS(tData[SEHTrajectPeriodeDatumTijdVan],"&lt;="&amp;($A580+1/24),tData[SEHTrajectPeriodeDatumTijdTotEnMet],"&gt;"&amp;($A580+1/24),tData[Langligger01],1)</f>
        <v/>
      </c>
      <c r="F580" s="20">
        <f>COUNTIFS(tData[SEHTrajectPeriodeDatumTijdVan],"&lt;="&amp;($A580+2/24),tData[SEHTrajectPeriodeDatumTijdTotEnMet],"&gt;"&amp;($A580+2/24),tData[Langligger01],1)</f>
        <v/>
      </c>
      <c r="G580" s="20">
        <f>COUNTIFS(tData[SEHTrajectPeriodeDatumTijdVan],"&lt;="&amp;($A580+3/24),tData[SEHTrajectPeriodeDatumTijdTotEnMet],"&gt;"&amp;($A580+3/24),tData[Langligger01],1)</f>
        <v/>
      </c>
      <c r="H580" s="20">
        <f>COUNTIFS(tData[SEHTrajectPeriodeDatumTijdVan],"&lt;="&amp;($A580+4/24),tData[SEHTrajectPeriodeDatumTijdTotEnMet],"&gt;"&amp;($A580+4/24),tData[Langligger01],1)</f>
        <v/>
      </c>
      <c r="I580" s="20">
        <f>COUNTIFS(tData[SEHTrajectPeriodeDatumTijdVan],"&lt;="&amp;($A580+5/24),tData[SEHTrajectPeriodeDatumTijdTotEnMet],"&gt;"&amp;($A580+5/24),tData[Langligger01],1)</f>
        <v/>
      </c>
      <c r="J580" s="20">
        <f>COUNTIFS(tData[SEHTrajectPeriodeDatumTijdVan],"&lt;="&amp;($A580+6/24),tData[SEHTrajectPeriodeDatumTijdTotEnMet],"&gt;"&amp;($A580+6/24),tData[Langligger01],1)</f>
        <v/>
      </c>
      <c r="K580" s="20">
        <f>COUNTIFS(tData[SEHTrajectPeriodeDatumTijdVan],"&lt;="&amp;($A580+7/24),tData[SEHTrajectPeriodeDatumTijdTotEnMet],"&gt;"&amp;($A580+7/24),tData[Langligger01],1)</f>
        <v/>
      </c>
      <c r="L580" s="20">
        <f>COUNTIFS(tData[SEHTrajectPeriodeDatumTijdVan],"&lt;="&amp;($A580+8/24),tData[SEHTrajectPeriodeDatumTijdTotEnMet],"&gt;"&amp;($A580+8/24),tData[Langligger01],1)</f>
        <v/>
      </c>
      <c r="M580" s="20">
        <f>COUNTIFS(tData[SEHTrajectPeriodeDatumTijdVan],"&lt;="&amp;($A580+9/24),tData[SEHTrajectPeriodeDatumTijdTotEnMet],"&gt;"&amp;($A580+9/24),tData[Langligger01],1)</f>
        <v/>
      </c>
      <c r="N580" s="20">
        <f>COUNTIFS(tData[SEHTrajectPeriodeDatumTijdVan],"&lt;="&amp;($A580+10/24),tData[SEHTrajectPeriodeDatumTijdTotEnMet],"&gt;"&amp;($A580+10/24),tData[Langligger01],1)</f>
        <v/>
      </c>
      <c r="O580" s="20">
        <f>COUNTIFS(tData[SEHTrajectPeriodeDatumTijdVan],"&lt;="&amp;($A580+11/24),tData[SEHTrajectPeriodeDatumTijdTotEnMet],"&gt;"&amp;($A580+11/24),tData[Langligger01],1)</f>
        <v/>
      </c>
      <c r="P580" s="20">
        <f>COUNTIFS(tData[SEHTrajectPeriodeDatumTijdVan],"&lt;="&amp;($A580+12/24),tData[SEHTrajectPeriodeDatumTijdTotEnMet],"&gt;"&amp;($A580+12/24),tData[Langligger01],1)</f>
        <v/>
      </c>
      <c r="Q580" s="20">
        <f>COUNTIFS(tData[SEHTrajectPeriodeDatumTijdVan],"&lt;="&amp;($A580+13/24),tData[SEHTrajectPeriodeDatumTijdTotEnMet],"&gt;"&amp;($A580+13/24),tData[Langligger01],1)</f>
        <v/>
      </c>
      <c r="R580" s="20">
        <f>COUNTIFS(tData[SEHTrajectPeriodeDatumTijdVan],"&lt;="&amp;($A580+14/24),tData[SEHTrajectPeriodeDatumTijdTotEnMet],"&gt;"&amp;($A580+14/24),tData[Langligger01],1)</f>
        <v/>
      </c>
      <c r="S580" s="20">
        <f>COUNTIFS(tData[SEHTrajectPeriodeDatumTijdVan],"&lt;="&amp;($A580+15/24),tData[SEHTrajectPeriodeDatumTijdTotEnMet],"&gt;"&amp;($A580+15/24),tData[Langligger01],1)</f>
        <v/>
      </c>
      <c r="T580" s="20">
        <f>COUNTIFS(tData[SEHTrajectPeriodeDatumTijdVan],"&lt;="&amp;($A580+16/24),tData[SEHTrajectPeriodeDatumTijdTotEnMet],"&gt;"&amp;($A580+16/24),tData[Langligger01],1)</f>
        <v/>
      </c>
      <c r="U580" s="20">
        <f>COUNTIFS(tData[SEHTrajectPeriodeDatumTijdVan],"&lt;="&amp;($A580+17/24),tData[SEHTrajectPeriodeDatumTijdTotEnMet],"&gt;"&amp;($A580+17/24),tData[Langligger01],1)</f>
        <v/>
      </c>
      <c r="V580" s="20">
        <f>COUNTIFS(tData[SEHTrajectPeriodeDatumTijdVan],"&lt;="&amp;($A580+18/24),tData[SEHTrajectPeriodeDatumTijdTotEnMet],"&gt;"&amp;($A580+18/24),tData[Langligger01],1)</f>
        <v/>
      </c>
      <c r="W580" s="20">
        <f>COUNTIFS(tData[SEHTrajectPeriodeDatumTijdVan],"&lt;="&amp;($A580+19/24),tData[SEHTrajectPeriodeDatumTijdTotEnMet],"&gt;"&amp;($A580+19/24),tData[Langligger01],1)</f>
        <v/>
      </c>
      <c r="X580" s="20">
        <f>COUNTIFS(tData[SEHTrajectPeriodeDatumTijdVan],"&lt;="&amp;($A580+20/24),tData[SEHTrajectPeriodeDatumTijdTotEnMet],"&gt;"&amp;($A580+20/24),tData[Langligger01],1)</f>
        <v/>
      </c>
      <c r="Y580" s="20">
        <f>COUNTIFS(tData[SEHTrajectPeriodeDatumTijdVan],"&lt;="&amp;($A580+21/24),tData[SEHTrajectPeriodeDatumTijdTotEnMet],"&gt;"&amp;($A580+21/24),tData[Langligger01],1)</f>
        <v/>
      </c>
      <c r="Z580" s="20">
        <f>COUNTIFS(tData[SEHTrajectPeriodeDatumTijdVan],"&lt;="&amp;($A580+22/24),tData[SEHTrajectPeriodeDatumTijdTotEnMet],"&gt;"&amp;($A580+22/24),tData[Langligger01],1)</f>
        <v/>
      </c>
      <c r="AA580" s="20">
        <f>COUNTIFS(tData[SEHTrajectPeriodeDatumTijdVan],"&lt;="&amp;($A580+23/24),tData[SEHTrajectPeriodeDatumTijdTotEnMet],"&gt;"&amp;($A580+23/24),tData[Langligger01],1)</f>
        <v/>
      </c>
    </row>
    <row r="581">
      <c r="A581" s="19" t="n">
        <v>45869</v>
      </c>
      <c r="B581" s="15">
        <f>WEEKDAY($A581,2)</f>
        <v/>
      </c>
      <c r="C581" s="15">
        <f>IF(AND($A581&gt;=INT(Instellingen!$B$5),$A581&lt;=INT(Instellingen!$B$6)),1,0)</f>
        <v/>
      </c>
      <c r="D581" s="20">
        <f>COUNTIFS(tData[SEHTrajectPeriodeDatumTijdVan],"&lt;="&amp;($A581+0/24),tData[SEHTrajectPeriodeDatumTijdTotEnMet],"&gt;"&amp;($A581+0/24),tData[Langligger01],1)</f>
        <v/>
      </c>
      <c r="E581" s="20">
        <f>COUNTIFS(tData[SEHTrajectPeriodeDatumTijdVan],"&lt;="&amp;($A581+1/24),tData[SEHTrajectPeriodeDatumTijdTotEnMet],"&gt;"&amp;($A581+1/24),tData[Langligger01],1)</f>
        <v/>
      </c>
      <c r="F581" s="20">
        <f>COUNTIFS(tData[SEHTrajectPeriodeDatumTijdVan],"&lt;="&amp;($A581+2/24),tData[SEHTrajectPeriodeDatumTijdTotEnMet],"&gt;"&amp;($A581+2/24),tData[Langligger01],1)</f>
        <v/>
      </c>
      <c r="G581" s="20">
        <f>COUNTIFS(tData[SEHTrajectPeriodeDatumTijdVan],"&lt;="&amp;($A581+3/24),tData[SEHTrajectPeriodeDatumTijdTotEnMet],"&gt;"&amp;($A581+3/24),tData[Langligger01],1)</f>
        <v/>
      </c>
      <c r="H581" s="20">
        <f>COUNTIFS(tData[SEHTrajectPeriodeDatumTijdVan],"&lt;="&amp;($A581+4/24),tData[SEHTrajectPeriodeDatumTijdTotEnMet],"&gt;"&amp;($A581+4/24),tData[Langligger01],1)</f>
        <v/>
      </c>
      <c r="I581" s="20">
        <f>COUNTIFS(tData[SEHTrajectPeriodeDatumTijdVan],"&lt;="&amp;($A581+5/24),tData[SEHTrajectPeriodeDatumTijdTotEnMet],"&gt;"&amp;($A581+5/24),tData[Langligger01],1)</f>
        <v/>
      </c>
      <c r="J581" s="20">
        <f>COUNTIFS(tData[SEHTrajectPeriodeDatumTijdVan],"&lt;="&amp;($A581+6/24),tData[SEHTrajectPeriodeDatumTijdTotEnMet],"&gt;"&amp;($A581+6/24),tData[Langligger01],1)</f>
        <v/>
      </c>
      <c r="K581" s="20">
        <f>COUNTIFS(tData[SEHTrajectPeriodeDatumTijdVan],"&lt;="&amp;($A581+7/24),tData[SEHTrajectPeriodeDatumTijdTotEnMet],"&gt;"&amp;($A581+7/24),tData[Langligger01],1)</f>
        <v/>
      </c>
      <c r="L581" s="20">
        <f>COUNTIFS(tData[SEHTrajectPeriodeDatumTijdVan],"&lt;="&amp;($A581+8/24),tData[SEHTrajectPeriodeDatumTijdTotEnMet],"&gt;"&amp;($A581+8/24),tData[Langligger01],1)</f>
        <v/>
      </c>
      <c r="M581" s="20">
        <f>COUNTIFS(tData[SEHTrajectPeriodeDatumTijdVan],"&lt;="&amp;($A581+9/24),tData[SEHTrajectPeriodeDatumTijdTotEnMet],"&gt;"&amp;($A581+9/24),tData[Langligger01],1)</f>
        <v/>
      </c>
      <c r="N581" s="20">
        <f>COUNTIFS(tData[SEHTrajectPeriodeDatumTijdVan],"&lt;="&amp;($A581+10/24),tData[SEHTrajectPeriodeDatumTijdTotEnMet],"&gt;"&amp;($A581+10/24),tData[Langligger01],1)</f>
        <v/>
      </c>
      <c r="O581" s="20">
        <f>COUNTIFS(tData[SEHTrajectPeriodeDatumTijdVan],"&lt;="&amp;($A581+11/24),tData[SEHTrajectPeriodeDatumTijdTotEnMet],"&gt;"&amp;($A581+11/24),tData[Langligger01],1)</f>
        <v/>
      </c>
      <c r="P581" s="20">
        <f>COUNTIFS(tData[SEHTrajectPeriodeDatumTijdVan],"&lt;="&amp;($A581+12/24),tData[SEHTrajectPeriodeDatumTijdTotEnMet],"&gt;"&amp;($A581+12/24),tData[Langligger01],1)</f>
        <v/>
      </c>
      <c r="Q581" s="20">
        <f>COUNTIFS(tData[SEHTrajectPeriodeDatumTijdVan],"&lt;="&amp;($A581+13/24),tData[SEHTrajectPeriodeDatumTijdTotEnMet],"&gt;"&amp;($A581+13/24),tData[Langligger01],1)</f>
        <v/>
      </c>
      <c r="R581" s="20">
        <f>COUNTIFS(tData[SEHTrajectPeriodeDatumTijdVan],"&lt;="&amp;($A581+14/24),tData[SEHTrajectPeriodeDatumTijdTotEnMet],"&gt;"&amp;($A581+14/24),tData[Langligger01],1)</f>
        <v/>
      </c>
      <c r="S581" s="20">
        <f>COUNTIFS(tData[SEHTrajectPeriodeDatumTijdVan],"&lt;="&amp;($A581+15/24),tData[SEHTrajectPeriodeDatumTijdTotEnMet],"&gt;"&amp;($A581+15/24),tData[Langligger01],1)</f>
        <v/>
      </c>
      <c r="T581" s="20">
        <f>COUNTIFS(tData[SEHTrajectPeriodeDatumTijdVan],"&lt;="&amp;($A581+16/24),tData[SEHTrajectPeriodeDatumTijdTotEnMet],"&gt;"&amp;($A581+16/24),tData[Langligger01],1)</f>
        <v/>
      </c>
      <c r="U581" s="20">
        <f>COUNTIFS(tData[SEHTrajectPeriodeDatumTijdVan],"&lt;="&amp;($A581+17/24),tData[SEHTrajectPeriodeDatumTijdTotEnMet],"&gt;"&amp;($A581+17/24),tData[Langligger01],1)</f>
        <v/>
      </c>
      <c r="V581" s="20">
        <f>COUNTIFS(tData[SEHTrajectPeriodeDatumTijdVan],"&lt;="&amp;($A581+18/24),tData[SEHTrajectPeriodeDatumTijdTotEnMet],"&gt;"&amp;($A581+18/24),tData[Langligger01],1)</f>
        <v/>
      </c>
      <c r="W581" s="20">
        <f>COUNTIFS(tData[SEHTrajectPeriodeDatumTijdVan],"&lt;="&amp;($A581+19/24),tData[SEHTrajectPeriodeDatumTijdTotEnMet],"&gt;"&amp;($A581+19/24),tData[Langligger01],1)</f>
        <v/>
      </c>
      <c r="X581" s="20">
        <f>COUNTIFS(tData[SEHTrajectPeriodeDatumTijdVan],"&lt;="&amp;($A581+20/24),tData[SEHTrajectPeriodeDatumTijdTotEnMet],"&gt;"&amp;($A581+20/24),tData[Langligger01],1)</f>
        <v/>
      </c>
      <c r="Y581" s="20">
        <f>COUNTIFS(tData[SEHTrajectPeriodeDatumTijdVan],"&lt;="&amp;($A581+21/24),tData[SEHTrajectPeriodeDatumTijdTotEnMet],"&gt;"&amp;($A581+21/24),tData[Langligger01],1)</f>
        <v/>
      </c>
      <c r="Z581" s="20">
        <f>COUNTIFS(tData[SEHTrajectPeriodeDatumTijdVan],"&lt;="&amp;($A581+22/24),tData[SEHTrajectPeriodeDatumTijdTotEnMet],"&gt;"&amp;($A581+22/24),tData[Langligger01],1)</f>
        <v/>
      </c>
      <c r="AA581" s="20">
        <f>COUNTIFS(tData[SEHTrajectPeriodeDatumTijdVan],"&lt;="&amp;($A581+23/24),tData[SEHTrajectPeriodeDatumTijdTotEnMet],"&gt;"&amp;($A581+23/24),tData[Langligger01],1)</f>
        <v/>
      </c>
    </row>
    <row r="582">
      <c r="A582" s="19" t="n">
        <v>45870</v>
      </c>
      <c r="B582" s="15">
        <f>WEEKDAY($A582,2)</f>
        <v/>
      </c>
      <c r="C582" s="15">
        <f>IF(AND($A582&gt;=INT(Instellingen!$B$5),$A582&lt;=INT(Instellingen!$B$6)),1,0)</f>
        <v/>
      </c>
      <c r="D582" s="20">
        <f>COUNTIFS(tData[SEHTrajectPeriodeDatumTijdVan],"&lt;="&amp;($A582+0/24),tData[SEHTrajectPeriodeDatumTijdTotEnMet],"&gt;"&amp;($A582+0/24),tData[Langligger01],1)</f>
        <v/>
      </c>
      <c r="E582" s="20">
        <f>COUNTIFS(tData[SEHTrajectPeriodeDatumTijdVan],"&lt;="&amp;($A582+1/24),tData[SEHTrajectPeriodeDatumTijdTotEnMet],"&gt;"&amp;($A582+1/24),tData[Langligger01],1)</f>
        <v/>
      </c>
      <c r="F582" s="20">
        <f>COUNTIFS(tData[SEHTrajectPeriodeDatumTijdVan],"&lt;="&amp;($A582+2/24),tData[SEHTrajectPeriodeDatumTijdTotEnMet],"&gt;"&amp;($A582+2/24),tData[Langligger01],1)</f>
        <v/>
      </c>
      <c r="G582" s="20">
        <f>COUNTIFS(tData[SEHTrajectPeriodeDatumTijdVan],"&lt;="&amp;($A582+3/24),tData[SEHTrajectPeriodeDatumTijdTotEnMet],"&gt;"&amp;($A582+3/24),tData[Langligger01],1)</f>
        <v/>
      </c>
      <c r="H582" s="20">
        <f>COUNTIFS(tData[SEHTrajectPeriodeDatumTijdVan],"&lt;="&amp;($A582+4/24),tData[SEHTrajectPeriodeDatumTijdTotEnMet],"&gt;"&amp;($A582+4/24),tData[Langligger01],1)</f>
        <v/>
      </c>
      <c r="I582" s="20">
        <f>COUNTIFS(tData[SEHTrajectPeriodeDatumTijdVan],"&lt;="&amp;($A582+5/24),tData[SEHTrajectPeriodeDatumTijdTotEnMet],"&gt;"&amp;($A582+5/24),tData[Langligger01],1)</f>
        <v/>
      </c>
      <c r="J582" s="20">
        <f>COUNTIFS(tData[SEHTrajectPeriodeDatumTijdVan],"&lt;="&amp;($A582+6/24),tData[SEHTrajectPeriodeDatumTijdTotEnMet],"&gt;"&amp;($A582+6/24),tData[Langligger01],1)</f>
        <v/>
      </c>
      <c r="K582" s="20">
        <f>COUNTIFS(tData[SEHTrajectPeriodeDatumTijdVan],"&lt;="&amp;($A582+7/24),tData[SEHTrajectPeriodeDatumTijdTotEnMet],"&gt;"&amp;($A582+7/24),tData[Langligger01],1)</f>
        <v/>
      </c>
      <c r="L582" s="20">
        <f>COUNTIFS(tData[SEHTrajectPeriodeDatumTijdVan],"&lt;="&amp;($A582+8/24),tData[SEHTrajectPeriodeDatumTijdTotEnMet],"&gt;"&amp;($A582+8/24),tData[Langligger01],1)</f>
        <v/>
      </c>
      <c r="M582" s="20">
        <f>COUNTIFS(tData[SEHTrajectPeriodeDatumTijdVan],"&lt;="&amp;($A582+9/24),tData[SEHTrajectPeriodeDatumTijdTotEnMet],"&gt;"&amp;($A582+9/24),tData[Langligger01],1)</f>
        <v/>
      </c>
      <c r="N582" s="20">
        <f>COUNTIFS(tData[SEHTrajectPeriodeDatumTijdVan],"&lt;="&amp;($A582+10/24),tData[SEHTrajectPeriodeDatumTijdTotEnMet],"&gt;"&amp;($A582+10/24),tData[Langligger01],1)</f>
        <v/>
      </c>
      <c r="O582" s="20">
        <f>COUNTIFS(tData[SEHTrajectPeriodeDatumTijdVan],"&lt;="&amp;($A582+11/24),tData[SEHTrajectPeriodeDatumTijdTotEnMet],"&gt;"&amp;($A582+11/24),tData[Langligger01],1)</f>
        <v/>
      </c>
      <c r="P582" s="20">
        <f>COUNTIFS(tData[SEHTrajectPeriodeDatumTijdVan],"&lt;="&amp;($A582+12/24),tData[SEHTrajectPeriodeDatumTijdTotEnMet],"&gt;"&amp;($A582+12/24),tData[Langligger01],1)</f>
        <v/>
      </c>
      <c r="Q582" s="20">
        <f>COUNTIFS(tData[SEHTrajectPeriodeDatumTijdVan],"&lt;="&amp;($A582+13/24),tData[SEHTrajectPeriodeDatumTijdTotEnMet],"&gt;"&amp;($A582+13/24),tData[Langligger01],1)</f>
        <v/>
      </c>
      <c r="R582" s="20">
        <f>COUNTIFS(tData[SEHTrajectPeriodeDatumTijdVan],"&lt;="&amp;($A582+14/24),tData[SEHTrajectPeriodeDatumTijdTotEnMet],"&gt;"&amp;($A582+14/24),tData[Langligger01],1)</f>
        <v/>
      </c>
      <c r="S582" s="20">
        <f>COUNTIFS(tData[SEHTrajectPeriodeDatumTijdVan],"&lt;="&amp;($A582+15/24),tData[SEHTrajectPeriodeDatumTijdTotEnMet],"&gt;"&amp;($A582+15/24),tData[Langligger01],1)</f>
        <v/>
      </c>
      <c r="T582" s="20">
        <f>COUNTIFS(tData[SEHTrajectPeriodeDatumTijdVan],"&lt;="&amp;($A582+16/24),tData[SEHTrajectPeriodeDatumTijdTotEnMet],"&gt;"&amp;($A582+16/24),tData[Langligger01],1)</f>
        <v/>
      </c>
      <c r="U582" s="20">
        <f>COUNTIFS(tData[SEHTrajectPeriodeDatumTijdVan],"&lt;="&amp;($A582+17/24),tData[SEHTrajectPeriodeDatumTijdTotEnMet],"&gt;"&amp;($A582+17/24),tData[Langligger01],1)</f>
        <v/>
      </c>
      <c r="V582" s="20">
        <f>COUNTIFS(tData[SEHTrajectPeriodeDatumTijdVan],"&lt;="&amp;($A582+18/24),tData[SEHTrajectPeriodeDatumTijdTotEnMet],"&gt;"&amp;($A582+18/24),tData[Langligger01],1)</f>
        <v/>
      </c>
      <c r="W582" s="20">
        <f>COUNTIFS(tData[SEHTrajectPeriodeDatumTijdVan],"&lt;="&amp;($A582+19/24),tData[SEHTrajectPeriodeDatumTijdTotEnMet],"&gt;"&amp;($A582+19/24),tData[Langligger01],1)</f>
        <v/>
      </c>
      <c r="X582" s="20">
        <f>COUNTIFS(tData[SEHTrajectPeriodeDatumTijdVan],"&lt;="&amp;($A582+20/24),tData[SEHTrajectPeriodeDatumTijdTotEnMet],"&gt;"&amp;($A582+20/24),tData[Langligger01],1)</f>
        <v/>
      </c>
      <c r="Y582" s="20">
        <f>COUNTIFS(tData[SEHTrajectPeriodeDatumTijdVan],"&lt;="&amp;($A582+21/24),tData[SEHTrajectPeriodeDatumTijdTotEnMet],"&gt;"&amp;($A582+21/24),tData[Langligger01],1)</f>
        <v/>
      </c>
      <c r="Z582" s="20">
        <f>COUNTIFS(tData[SEHTrajectPeriodeDatumTijdVan],"&lt;="&amp;($A582+22/24),tData[SEHTrajectPeriodeDatumTijdTotEnMet],"&gt;"&amp;($A582+22/24),tData[Langligger01],1)</f>
        <v/>
      </c>
      <c r="AA582" s="20">
        <f>COUNTIFS(tData[SEHTrajectPeriodeDatumTijdVan],"&lt;="&amp;($A582+23/24),tData[SEHTrajectPeriodeDatumTijdTotEnMet],"&gt;"&amp;($A582+23/24),tData[Langligger01],1)</f>
        <v/>
      </c>
    </row>
    <row r="583">
      <c r="A583" s="19" t="n">
        <v>45871</v>
      </c>
      <c r="B583" s="15">
        <f>WEEKDAY($A583,2)</f>
        <v/>
      </c>
      <c r="C583" s="15">
        <f>IF(AND($A583&gt;=INT(Instellingen!$B$5),$A583&lt;=INT(Instellingen!$B$6)),1,0)</f>
        <v/>
      </c>
      <c r="D583" s="20">
        <f>COUNTIFS(tData[SEHTrajectPeriodeDatumTijdVan],"&lt;="&amp;($A583+0/24),tData[SEHTrajectPeriodeDatumTijdTotEnMet],"&gt;"&amp;($A583+0/24),tData[Langligger01],1)</f>
        <v/>
      </c>
      <c r="E583" s="20">
        <f>COUNTIFS(tData[SEHTrajectPeriodeDatumTijdVan],"&lt;="&amp;($A583+1/24),tData[SEHTrajectPeriodeDatumTijdTotEnMet],"&gt;"&amp;($A583+1/24),tData[Langligger01],1)</f>
        <v/>
      </c>
      <c r="F583" s="20">
        <f>COUNTIFS(tData[SEHTrajectPeriodeDatumTijdVan],"&lt;="&amp;($A583+2/24),tData[SEHTrajectPeriodeDatumTijdTotEnMet],"&gt;"&amp;($A583+2/24),tData[Langligger01],1)</f>
        <v/>
      </c>
      <c r="G583" s="20">
        <f>COUNTIFS(tData[SEHTrajectPeriodeDatumTijdVan],"&lt;="&amp;($A583+3/24),tData[SEHTrajectPeriodeDatumTijdTotEnMet],"&gt;"&amp;($A583+3/24),tData[Langligger01],1)</f>
        <v/>
      </c>
      <c r="H583" s="20">
        <f>COUNTIFS(tData[SEHTrajectPeriodeDatumTijdVan],"&lt;="&amp;($A583+4/24),tData[SEHTrajectPeriodeDatumTijdTotEnMet],"&gt;"&amp;($A583+4/24),tData[Langligger01],1)</f>
        <v/>
      </c>
      <c r="I583" s="20">
        <f>COUNTIFS(tData[SEHTrajectPeriodeDatumTijdVan],"&lt;="&amp;($A583+5/24),tData[SEHTrajectPeriodeDatumTijdTotEnMet],"&gt;"&amp;($A583+5/24),tData[Langligger01],1)</f>
        <v/>
      </c>
      <c r="J583" s="20">
        <f>COUNTIFS(tData[SEHTrajectPeriodeDatumTijdVan],"&lt;="&amp;($A583+6/24),tData[SEHTrajectPeriodeDatumTijdTotEnMet],"&gt;"&amp;($A583+6/24),tData[Langligger01],1)</f>
        <v/>
      </c>
      <c r="K583" s="20">
        <f>COUNTIFS(tData[SEHTrajectPeriodeDatumTijdVan],"&lt;="&amp;($A583+7/24),tData[SEHTrajectPeriodeDatumTijdTotEnMet],"&gt;"&amp;($A583+7/24),tData[Langligger01],1)</f>
        <v/>
      </c>
      <c r="L583" s="20">
        <f>COUNTIFS(tData[SEHTrajectPeriodeDatumTijdVan],"&lt;="&amp;($A583+8/24),tData[SEHTrajectPeriodeDatumTijdTotEnMet],"&gt;"&amp;($A583+8/24),tData[Langligger01],1)</f>
        <v/>
      </c>
      <c r="M583" s="20">
        <f>COUNTIFS(tData[SEHTrajectPeriodeDatumTijdVan],"&lt;="&amp;($A583+9/24),tData[SEHTrajectPeriodeDatumTijdTotEnMet],"&gt;"&amp;($A583+9/24),tData[Langligger01],1)</f>
        <v/>
      </c>
      <c r="N583" s="20">
        <f>COUNTIFS(tData[SEHTrajectPeriodeDatumTijdVan],"&lt;="&amp;($A583+10/24),tData[SEHTrajectPeriodeDatumTijdTotEnMet],"&gt;"&amp;($A583+10/24),tData[Langligger01],1)</f>
        <v/>
      </c>
      <c r="O583" s="20">
        <f>COUNTIFS(tData[SEHTrajectPeriodeDatumTijdVan],"&lt;="&amp;($A583+11/24),tData[SEHTrajectPeriodeDatumTijdTotEnMet],"&gt;"&amp;($A583+11/24),tData[Langligger01],1)</f>
        <v/>
      </c>
      <c r="P583" s="20">
        <f>COUNTIFS(tData[SEHTrajectPeriodeDatumTijdVan],"&lt;="&amp;($A583+12/24),tData[SEHTrajectPeriodeDatumTijdTotEnMet],"&gt;"&amp;($A583+12/24),tData[Langligger01],1)</f>
        <v/>
      </c>
      <c r="Q583" s="20">
        <f>COUNTIFS(tData[SEHTrajectPeriodeDatumTijdVan],"&lt;="&amp;($A583+13/24),tData[SEHTrajectPeriodeDatumTijdTotEnMet],"&gt;"&amp;($A583+13/24),tData[Langligger01],1)</f>
        <v/>
      </c>
      <c r="R583" s="20">
        <f>COUNTIFS(tData[SEHTrajectPeriodeDatumTijdVan],"&lt;="&amp;($A583+14/24),tData[SEHTrajectPeriodeDatumTijdTotEnMet],"&gt;"&amp;($A583+14/24),tData[Langligger01],1)</f>
        <v/>
      </c>
      <c r="S583" s="20">
        <f>COUNTIFS(tData[SEHTrajectPeriodeDatumTijdVan],"&lt;="&amp;($A583+15/24),tData[SEHTrajectPeriodeDatumTijdTotEnMet],"&gt;"&amp;($A583+15/24),tData[Langligger01],1)</f>
        <v/>
      </c>
      <c r="T583" s="20">
        <f>COUNTIFS(tData[SEHTrajectPeriodeDatumTijdVan],"&lt;="&amp;($A583+16/24),tData[SEHTrajectPeriodeDatumTijdTotEnMet],"&gt;"&amp;($A583+16/24),tData[Langligger01],1)</f>
        <v/>
      </c>
      <c r="U583" s="20">
        <f>COUNTIFS(tData[SEHTrajectPeriodeDatumTijdVan],"&lt;="&amp;($A583+17/24),tData[SEHTrajectPeriodeDatumTijdTotEnMet],"&gt;"&amp;($A583+17/24),tData[Langligger01],1)</f>
        <v/>
      </c>
      <c r="V583" s="20">
        <f>COUNTIFS(tData[SEHTrajectPeriodeDatumTijdVan],"&lt;="&amp;($A583+18/24),tData[SEHTrajectPeriodeDatumTijdTotEnMet],"&gt;"&amp;($A583+18/24),tData[Langligger01],1)</f>
        <v/>
      </c>
      <c r="W583" s="20">
        <f>COUNTIFS(tData[SEHTrajectPeriodeDatumTijdVan],"&lt;="&amp;($A583+19/24),tData[SEHTrajectPeriodeDatumTijdTotEnMet],"&gt;"&amp;($A583+19/24),tData[Langligger01],1)</f>
        <v/>
      </c>
      <c r="X583" s="20">
        <f>COUNTIFS(tData[SEHTrajectPeriodeDatumTijdVan],"&lt;="&amp;($A583+20/24),tData[SEHTrajectPeriodeDatumTijdTotEnMet],"&gt;"&amp;($A583+20/24),tData[Langligger01],1)</f>
        <v/>
      </c>
      <c r="Y583" s="20">
        <f>COUNTIFS(tData[SEHTrajectPeriodeDatumTijdVan],"&lt;="&amp;($A583+21/24),tData[SEHTrajectPeriodeDatumTijdTotEnMet],"&gt;"&amp;($A583+21/24),tData[Langligger01],1)</f>
        <v/>
      </c>
      <c r="Z583" s="20">
        <f>COUNTIFS(tData[SEHTrajectPeriodeDatumTijdVan],"&lt;="&amp;($A583+22/24),tData[SEHTrajectPeriodeDatumTijdTotEnMet],"&gt;"&amp;($A583+22/24),tData[Langligger01],1)</f>
        <v/>
      </c>
      <c r="AA583" s="20">
        <f>COUNTIFS(tData[SEHTrajectPeriodeDatumTijdVan],"&lt;="&amp;($A583+23/24),tData[SEHTrajectPeriodeDatumTijdTotEnMet],"&gt;"&amp;($A583+23/24),tData[Langligger01],1)</f>
        <v/>
      </c>
    </row>
    <row r="584">
      <c r="A584" s="19" t="n">
        <v>45872</v>
      </c>
      <c r="B584" s="15">
        <f>WEEKDAY($A584,2)</f>
        <v/>
      </c>
      <c r="C584" s="15">
        <f>IF(AND($A584&gt;=INT(Instellingen!$B$5),$A584&lt;=INT(Instellingen!$B$6)),1,0)</f>
        <v/>
      </c>
      <c r="D584" s="20">
        <f>COUNTIFS(tData[SEHTrajectPeriodeDatumTijdVan],"&lt;="&amp;($A584+0/24),tData[SEHTrajectPeriodeDatumTijdTotEnMet],"&gt;"&amp;($A584+0/24),tData[Langligger01],1)</f>
        <v/>
      </c>
      <c r="E584" s="20">
        <f>COUNTIFS(tData[SEHTrajectPeriodeDatumTijdVan],"&lt;="&amp;($A584+1/24),tData[SEHTrajectPeriodeDatumTijdTotEnMet],"&gt;"&amp;($A584+1/24),tData[Langligger01],1)</f>
        <v/>
      </c>
      <c r="F584" s="20">
        <f>COUNTIFS(tData[SEHTrajectPeriodeDatumTijdVan],"&lt;="&amp;($A584+2/24),tData[SEHTrajectPeriodeDatumTijdTotEnMet],"&gt;"&amp;($A584+2/24),tData[Langligger01],1)</f>
        <v/>
      </c>
      <c r="G584" s="20">
        <f>COUNTIFS(tData[SEHTrajectPeriodeDatumTijdVan],"&lt;="&amp;($A584+3/24),tData[SEHTrajectPeriodeDatumTijdTotEnMet],"&gt;"&amp;($A584+3/24),tData[Langligger01],1)</f>
        <v/>
      </c>
      <c r="H584" s="20">
        <f>COUNTIFS(tData[SEHTrajectPeriodeDatumTijdVan],"&lt;="&amp;($A584+4/24),tData[SEHTrajectPeriodeDatumTijdTotEnMet],"&gt;"&amp;($A584+4/24),tData[Langligger01],1)</f>
        <v/>
      </c>
      <c r="I584" s="20">
        <f>COUNTIFS(tData[SEHTrajectPeriodeDatumTijdVan],"&lt;="&amp;($A584+5/24),tData[SEHTrajectPeriodeDatumTijdTotEnMet],"&gt;"&amp;($A584+5/24),tData[Langligger01],1)</f>
        <v/>
      </c>
      <c r="J584" s="20">
        <f>COUNTIFS(tData[SEHTrajectPeriodeDatumTijdVan],"&lt;="&amp;($A584+6/24),tData[SEHTrajectPeriodeDatumTijdTotEnMet],"&gt;"&amp;($A584+6/24),tData[Langligger01],1)</f>
        <v/>
      </c>
      <c r="K584" s="20">
        <f>COUNTIFS(tData[SEHTrajectPeriodeDatumTijdVan],"&lt;="&amp;($A584+7/24),tData[SEHTrajectPeriodeDatumTijdTotEnMet],"&gt;"&amp;($A584+7/24),tData[Langligger01],1)</f>
        <v/>
      </c>
      <c r="L584" s="20">
        <f>COUNTIFS(tData[SEHTrajectPeriodeDatumTijdVan],"&lt;="&amp;($A584+8/24),tData[SEHTrajectPeriodeDatumTijdTotEnMet],"&gt;"&amp;($A584+8/24),tData[Langligger01],1)</f>
        <v/>
      </c>
      <c r="M584" s="20">
        <f>COUNTIFS(tData[SEHTrajectPeriodeDatumTijdVan],"&lt;="&amp;($A584+9/24),tData[SEHTrajectPeriodeDatumTijdTotEnMet],"&gt;"&amp;($A584+9/24),tData[Langligger01],1)</f>
        <v/>
      </c>
      <c r="N584" s="20">
        <f>COUNTIFS(tData[SEHTrajectPeriodeDatumTijdVan],"&lt;="&amp;($A584+10/24),tData[SEHTrajectPeriodeDatumTijdTotEnMet],"&gt;"&amp;($A584+10/24),tData[Langligger01],1)</f>
        <v/>
      </c>
      <c r="O584" s="20">
        <f>COUNTIFS(tData[SEHTrajectPeriodeDatumTijdVan],"&lt;="&amp;($A584+11/24),tData[SEHTrajectPeriodeDatumTijdTotEnMet],"&gt;"&amp;($A584+11/24),tData[Langligger01],1)</f>
        <v/>
      </c>
      <c r="P584" s="20">
        <f>COUNTIFS(tData[SEHTrajectPeriodeDatumTijdVan],"&lt;="&amp;($A584+12/24),tData[SEHTrajectPeriodeDatumTijdTotEnMet],"&gt;"&amp;($A584+12/24),tData[Langligger01],1)</f>
        <v/>
      </c>
      <c r="Q584" s="20">
        <f>COUNTIFS(tData[SEHTrajectPeriodeDatumTijdVan],"&lt;="&amp;($A584+13/24),tData[SEHTrajectPeriodeDatumTijdTotEnMet],"&gt;"&amp;($A584+13/24),tData[Langligger01],1)</f>
        <v/>
      </c>
      <c r="R584" s="20">
        <f>COUNTIFS(tData[SEHTrajectPeriodeDatumTijdVan],"&lt;="&amp;($A584+14/24),tData[SEHTrajectPeriodeDatumTijdTotEnMet],"&gt;"&amp;($A584+14/24),tData[Langligger01],1)</f>
        <v/>
      </c>
      <c r="S584" s="20">
        <f>COUNTIFS(tData[SEHTrajectPeriodeDatumTijdVan],"&lt;="&amp;($A584+15/24),tData[SEHTrajectPeriodeDatumTijdTotEnMet],"&gt;"&amp;($A584+15/24),tData[Langligger01],1)</f>
        <v/>
      </c>
      <c r="T584" s="20">
        <f>COUNTIFS(tData[SEHTrajectPeriodeDatumTijdVan],"&lt;="&amp;($A584+16/24),tData[SEHTrajectPeriodeDatumTijdTotEnMet],"&gt;"&amp;($A584+16/24),tData[Langligger01],1)</f>
        <v/>
      </c>
      <c r="U584" s="20">
        <f>COUNTIFS(tData[SEHTrajectPeriodeDatumTijdVan],"&lt;="&amp;($A584+17/24),tData[SEHTrajectPeriodeDatumTijdTotEnMet],"&gt;"&amp;($A584+17/24),tData[Langligger01],1)</f>
        <v/>
      </c>
      <c r="V584" s="20">
        <f>COUNTIFS(tData[SEHTrajectPeriodeDatumTijdVan],"&lt;="&amp;($A584+18/24),tData[SEHTrajectPeriodeDatumTijdTotEnMet],"&gt;"&amp;($A584+18/24),tData[Langligger01],1)</f>
        <v/>
      </c>
      <c r="W584" s="20">
        <f>COUNTIFS(tData[SEHTrajectPeriodeDatumTijdVan],"&lt;="&amp;($A584+19/24),tData[SEHTrajectPeriodeDatumTijdTotEnMet],"&gt;"&amp;($A584+19/24),tData[Langligger01],1)</f>
        <v/>
      </c>
      <c r="X584" s="20">
        <f>COUNTIFS(tData[SEHTrajectPeriodeDatumTijdVan],"&lt;="&amp;($A584+20/24),tData[SEHTrajectPeriodeDatumTijdTotEnMet],"&gt;"&amp;($A584+20/24),tData[Langligger01],1)</f>
        <v/>
      </c>
      <c r="Y584" s="20">
        <f>COUNTIFS(tData[SEHTrajectPeriodeDatumTijdVan],"&lt;="&amp;($A584+21/24),tData[SEHTrajectPeriodeDatumTijdTotEnMet],"&gt;"&amp;($A584+21/24),tData[Langligger01],1)</f>
        <v/>
      </c>
      <c r="Z584" s="20">
        <f>COUNTIFS(tData[SEHTrajectPeriodeDatumTijdVan],"&lt;="&amp;($A584+22/24),tData[SEHTrajectPeriodeDatumTijdTotEnMet],"&gt;"&amp;($A584+22/24),tData[Langligger01],1)</f>
        <v/>
      </c>
      <c r="AA584" s="20">
        <f>COUNTIFS(tData[SEHTrajectPeriodeDatumTijdVan],"&lt;="&amp;($A584+23/24),tData[SEHTrajectPeriodeDatumTijdTotEnMet],"&gt;"&amp;($A584+23/24),tData[Langligger01],1)</f>
        <v/>
      </c>
    </row>
    <row r="585">
      <c r="A585" s="19" t="n">
        <v>45873</v>
      </c>
      <c r="B585" s="15">
        <f>WEEKDAY($A585,2)</f>
        <v/>
      </c>
      <c r="C585" s="15">
        <f>IF(AND($A585&gt;=INT(Instellingen!$B$5),$A585&lt;=INT(Instellingen!$B$6)),1,0)</f>
        <v/>
      </c>
      <c r="D585" s="20">
        <f>COUNTIFS(tData[SEHTrajectPeriodeDatumTijdVan],"&lt;="&amp;($A585+0/24),tData[SEHTrajectPeriodeDatumTijdTotEnMet],"&gt;"&amp;($A585+0/24),tData[Langligger01],1)</f>
        <v/>
      </c>
      <c r="E585" s="20">
        <f>COUNTIFS(tData[SEHTrajectPeriodeDatumTijdVan],"&lt;="&amp;($A585+1/24),tData[SEHTrajectPeriodeDatumTijdTotEnMet],"&gt;"&amp;($A585+1/24),tData[Langligger01],1)</f>
        <v/>
      </c>
      <c r="F585" s="20">
        <f>COUNTIFS(tData[SEHTrajectPeriodeDatumTijdVan],"&lt;="&amp;($A585+2/24),tData[SEHTrajectPeriodeDatumTijdTotEnMet],"&gt;"&amp;($A585+2/24),tData[Langligger01],1)</f>
        <v/>
      </c>
      <c r="G585" s="20">
        <f>COUNTIFS(tData[SEHTrajectPeriodeDatumTijdVan],"&lt;="&amp;($A585+3/24),tData[SEHTrajectPeriodeDatumTijdTotEnMet],"&gt;"&amp;($A585+3/24),tData[Langligger01],1)</f>
        <v/>
      </c>
      <c r="H585" s="20">
        <f>COUNTIFS(tData[SEHTrajectPeriodeDatumTijdVan],"&lt;="&amp;($A585+4/24),tData[SEHTrajectPeriodeDatumTijdTotEnMet],"&gt;"&amp;($A585+4/24),tData[Langligger01],1)</f>
        <v/>
      </c>
      <c r="I585" s="20">
        <f>COUNTIFS(tData[SEHTrajectPeriodeDatumTijdVan],"&lt;="&amp;($A585+5/24),tData[SEHTrajectPeriodeDatumTijdTotEnMet],"&gt;"&amp;($A585+5/24),tData[Langligger01],1)</f>
        <v/>
      </c>
      <c r="J585" s="20">
        <f>COUNTIFS(tData[SEHTrajectPeriodeDatumTijdVan],"&lt;="&amp;($A585+6/24),tData[SEHTrajectPeriodeDatumTijdTotEnMet],"&gt;"&amp;($A585+6/24),tData[Langligger01],1)</f>
        <v/>
      </c>
      <c r="K585" s="20">
        <f>COUNTIFS(tData[SEHTrajectPeriodeDatumTijdVan],"&lt;="&amp;($A585+7/24),tData[SEHTrajectPeriodeDatumTijdTotEnMet],"&gt;"&amp;($A585+7/24),tData[Langligger01],1)</f>
        <v/>
      </c>
      <c r="L585" s="20">
        <f>COUNTIFS(tData[SEHTrajectPeriodeDatumTijdVan],"&lt;="&amp;($A585+8/24),tData[SEHTrajectPeriodeDatumTijdTotEnMet],"&gt;"&amp;($A585+8/24),tData[Langligger01],1)</f>
        <v/>
      </c>
      <c r="M585" s="20">
        <f>COUNTIFS(tData[SEHTrajectPeriodeDatumTijdVan],"&lt;="&amp;($A585+9/24),tData[SEHTrajectPeriodeDatumTijdTotEnMet],"&gt;"&amp;($A585+9/24),tData[Langligger01],1)</f>
        <v/>
      </c>
      <c r="N585" s="20">
        <f>COUNTIFS(tData[SEHTrajectPeriodeDatumTijdVan],"&lt;="&amp;($A585+10/24),tData[SEHTrajectPeriodeDatumTijdTotEnMet],"&gt;"&amp;($A585+10/24),tData[Langligger01],1)</f>
        <v/>
      </c>
      <c r="O585" s="20">
        <f>COUNTIFS(tData[SEHTrajectPeriodeDatumTijdVan],"&lt;="&amp;($A585+11/24),tData[SEHTrajectPeriodeDatumTijdTotEnMet],"&gt;"&amp;($A585+11/24),tData[Langligger01],1)</f>
        <v/>
      </c>
      <c r="P585" s="20">
        <f>COUNTIFS(tData[SEHTrajectPeriodeDatumTijdVan],"&lt;="&amp;($A585+12/24),tData[SEHTrajectPeriodeDatumTijdTotEnMet],"&gt;"&amp;($A585+12/24),tData[Langligger01],1)</f>
        <v/>
      </c>
      <c r="Q585" s="20">
        <f>COUNTIFS(tData[SEHTrajectPeriodeDatumTijdVan],"&lt;="&amp;($A585+13/24),tData[SEHTrajectPeriodeDatumTijdTotEnMet],"&gt;"&amp;($A585+13/24),tData[Langligger01],1)</f>
        <v/>
      </c>
      <c r="R585" s="20">
        <f>COUNTIFS(tData[SEHTrajectPeriodeDatumTijdVan],"&lt;="&amp;($A585+14/24),tData[SEHTrajectPeriodeDatumTijdTotEnMet],"&gt;"&amp;($A585+14/24),tData[Langligger01],1)</f>
        <v/>
      </c>
      <c r="S585" s="20">
        <f>COUNTIFS(tData[SEHTrajectPeriodeDatumTijdVan],"&lt;="&amp;($A585+15/24),tData[SEHTrajectPeriodeDatumTijdTotEnMet],"&gt;"&amp;($A585+15/24),tData[Langligger01],1)</f>
        <v/>
      </c>
      <c r="T585" s="20">
        <f>COUNTIFS(tData[SEHTrajectPeriodeDatumTijdVan],"&lt;="&amp;($A585+16/24),tData[SEHTrajectPeriodeDatumTijdTotEnMet],"&gt;"&amp;($A585+16/24),tData[Langligger01],1)</f>
        <v/>
      </c>
      <c r="U585" s="20">
        <f>COUNTIFS(tData[SEHTrajectPeriodeDatumTijdVan],"&lt;="&amp;($A585+17/24),tData[SEHTrajectPeriodeDatumTijdTotEnMet],"&gt;"&amp;($A585+17/24),tData[Langligger01],1)</f>
        <v/>
      </c>
      <c r="V585" s="20">
        <f>COUNTIFS(tData[SEHTrajectPeriodeDatumTijdVan],"&lt;="&amp;($A585+18/24),tData[SEHTrajectPeriodeDatumTijdTotEnMet],"&gt;"&amp;($A585+18/24),tData[Langligger01],1)</f>
        <v/>
      </c>
      <c r="W585" s="20">
        <f>COUNTIFS(tData[SEHTrajectPeriodeDatumTijdVan],"&lt;="&amp;($A585+19/24),tData[SEHTrajectPeriodeDatumTijdTotEnMet],"&gt;"&amp;($A585+19/24),tData[Langligger01],1)</f>
        <v/>
      </c>
      <c r="X585" s="20">
        <f>COUNTIFS(tData[SEHTrajectPeriodeDatumTijdVan],"&lt;="&amp;($A585+20/24),tData[SEHTrajectPeriodeDatumTijdTotEnMet],"&gt;"&amp;($A585+20/24),tData[Langligger01],1)</f>
        <v/>
      </c>
      <c r="Y585" s="20">
        <f>COUNTIFS(tData[SEHTrajectPeriodeDatumTijdVan],"&lt;="&amp;($A585+21/24),tData[SEHTrajectPeriodeDatumTijdTotEnMet],"&gt;"&amp;($A585+21/24),tData[Langligger01],1)</f>
        <v/>
      </c>
      <c r="Z585" s="20">
        <f>COUNTIFS(tData[SEHTrajectPeriodeDatumTijdVan],"&lt;="&amp;($A585+22/24),tData[SEHTrajectPeriodeDatumTijdTotEnMet],"&gt;"&amp;($A585+22/24),tData[Langligger01],1)</f>
        <v/>
      </c>
      <c r="AA585" s="20">
        <f>COUNTIFS(tData[SEHTrajectPeriodeDatumTijdVan],"&lt;="&amp;($A585+23/24),tData[SEHTrajectPeriodeDatumTijdTotEnMet],"&gt;"&amp;($A585+23/24),tData[Langligger01],1)</f>
        <v/>
      </c>
    </row>
    <row r="586">
      <c r="A586" s="19" t="n">
        <v>45874</v>
      </c>
      <c r="B586" s="15">
        <f>WEEKDAY($A586,2)</f>
        <v/>
      </c>
      <c r="C586" s="15">
        <f>IF(AND($A586&gt;=INT(Instellingen!$B$5),$A586&lt;=INT(Instellingen!$B$6)),1,0)</f>
        <v/>
      </c>
      <c r="D586" s="20">
        <f>COUNTIFS(tData[SEHTrajectPeriodeDatumTijdVan],"&lt;="&amp;($A586+0/24),tData[SEHTrajectPeriodeDatumTijdTotEnMet],"&gt;"&amp;($A586+0/24),tData[Langligger01],1)</f>
        <v/>
      </c>
      <c r="E586" s="20">
        <f>COUNTIFS(tData[SEHTrajectPeriodeDatumTijdVan],"&lt;="&amp;($A586+1/24),tData[SEHTrajectPeriodeDatumTijdTotEnMet],"&gt;"&amp;($A586+1/24),tData[Langligger01],1)</f>
        <v/>
      </c>
      <c r="F586" s="20">
        <f>COUNTIFS(tData[SEHTrajectPeriodeDatumTijdVan],"&lt;="&amp;($A586+2/24),tData[SEHTrajectPeriodeDatumTijdTotEnMet],"&gt;"&amp;($A586+2/24),tData[Langligger01],1)</f>
        <v/>
      </c>
      <c r="G586" s="20">
        <f>COUNTIFS(tData[SEHTrajectPeriodeDatumTijdVan],"&lt;="&amp;($A586+3/24),tData[SEHTrajectPeriodeDatumTijdTotEnMet],"&gt;"&amp;($A586+3/24),tData[Langligger01],1)</f>
        <v/>
      </c>
      <c r="H586" s="20">
        <f>COUNTIFS(tData[SEHTrajectPeriodeDatumTijdVan],"&lt;="&amp;($A586+4/24),tData[SEHTrajectPeriodeDatumTijdTotEnMet],"&gt;"&amp;($A586+4/24),tData[Langligger01],1)</f>
        <v/>
      </c>
      <c r="I586" s="20">
        <f>COUNTIFS(tData[SEHTrajectPeriodeDatumTijdVan],"&lt;="&amp;($A586+5/24),tData[SEHTrajectPeriodeDatumTijdTotEnMet],"&gt;"&amp;($A586+5/24),tData[Langligger01],1)</f>
        <v/>
      </c>
      <c r="J586" s="20">
        <f>COUNTIFS(tData[SEHTrajectPeriodeDatumTijdVan],"&lt;="&amp;($A586+6/24),tData[SEHTrajectPeriodeDatumTijdTotEnMet],"&gt;"&amp;($A586+6/24),tData[Langligger01],1)</f>
        <v/>
      </c>
      <c r="K586" s="20">
        <f>COUNTIFS(tData[SEHTrajectPeriodeDatumTijdVan],"&lt;="&amp;($A586+7/24),tData[SEHTrajectPeriodeDatumTijdTotEnMet],"&gt;"&amp;($A586+7/24),tData[Langligger01],1)</f>
        <v/>
      </c>
      <c r="L586" s="20">
        <f>COUNTIFS(tData[SEHTrajectPeriodeDatumTijdVan],"&lt;="&amp;($A586+8/24),tData[SEHTrajectPeriodeDatumTijdTotEnMet],"&gt;"&amp;($A586+8/24),tData[Langligger01],1)</f>
        <v/>
      </c>
      <c r="M586" s="20">
        <f>COUNTIFS(tData[SEHTrajectPeriodeDatumTijdVan],"&lt;="&amp;($A586+9/24),tData[SEHTrajectPeriodeDatumTijdTotEnMet],"&gt;"&amp;($A586+9/24),tData[Langligger01],1)</f>
        <v/>
      </c>
      <c r="N586" s="20">
        <f>COUNTIFS(tData[SEHTrajectPeriodeDatumTijdVan],"&lt;="&amp;($A586+10/24),tData[SEHTrajectPeriodeDatumTijdTotEnMet],"&gt;"&amp;($A586+10/24),tData[Langligger01],1)</f>
        <v/>
      </c>
      <c r="O586" s="20">
        <f>COUNTIFS(tData[SEHTrajectPeriodeDatumTijdVan],"&lt;="&amp;($A586+11/24),tData[SEHTrajectPeriodeDatumTijdTotEnMet],"&gt;"&amp;($A586+11/24),tData[Langligger01],1)</f>
        <v/>
      </c>
      <c r="P586" s="20">
        <f>COUNTIFS(tData[SEHTrajectPeriodeDatumTijdVan],"&lt;="&amp;($A586+12/24),tData[SEHTrajectPeriodeDatumTijdTotEnMet],"&gt;"&amp;($A586+12/24),tData[Langligger01],1)</f>
        <v/>
      </c>
      <c r="Q586" s="20">
        <f>COUNTIFS(tData[SEHTrajectPeriodeDatumTijdVan],"&lt;="&amp;($A586+13/24),tData[SEHTrajectPeriodeDatumTijdTotEnMet],"&gt;"&amp;($A586+13/24),tData[Langligger01],1)</f>
        <v/>
      </c>
      <c r="R586" s="20">
        <f>COUNTIFS(tData[SEHTrajectPeriodeDatumTijdVan],"&lt;="&amp;($A586+14/24),tData[SEHTrajectPeriodeDatumTijdTotEnMet],"&gt;"&amp;($A586+14/24),tData[Langligger01],1)</f>
        <v/>
      </c>
      <c r="S586" s="20">
        <f>COUNTIFS(tData[SEHTrajectPeriodeDatumTijdVan],"&lt;="&amp;($A586+15/24),tData[SEHTrajectPeriodeDatumTijdTotEnMet],"&gt;"&amp;($A586+15/24),tData[Langligger01],1)</f>
        <v/>
      </c>
      <c r="T586" s="20">
        <f>COUNTIFS(tData[SEHTrajectPeriodeDatumTijdVan],"&lt;="&amp;($A586+16/24),tData[SEHTrajectPeriodeDatumTijdTotEnMet],"&gt;"&amp;($A586+16/24),tData[Langligger01],1)</f>
        <v/>
      </c>
      <c r="U586" s="20">
        <f>COUNTIFS(tData[SEHTrajectPeriodeDatumTijdVan],"&lt;="&amp;($A586+17/24),tData[SEHTrajectPeriodeDatumTijdTotEnMet],"&gt;"&amp;($A586+17/24),tData[Langligger01],1)</f>
        <v/>
      </c>
      <c r="V586" s="20">
        <f>COUNTIFS(tData[SEHTrajectPeriodeDatumTijdVan],"&lt;="&amp;($A586+18/24),tData[SEHTrajectPeriodeDatumTijdTotEnMet],"&gt;"&amp;($A586+18/24),tData[Langligger01],1)</f>
        <v/>
      </c>
      <c r="W586" s="20">
        <f>COUNTIFS(tData[SEHTrajectPeriodeDatumTijdVan],"&lt;="&amp;($A586+19/24),tData[SEHTrajectPeriodeDatumTijdTotEnMet],"&gt;"&amp;($A586+19/24),tData[Langligger01],1)</f>
        <v/>
      </c>
      <c r="X586" s="20">
        <f>COUNTIFS(tData[SEHTrajectPeriodeDatumTijdVan],"&lt;="&amp;($A586+20/24),tData[SEHTrajectPeriodeDatumTijdTotEnMet],"&gt;"&amp;($A586+20/24),tData[Langligger01],1)</f>
        <v/>
      </c>
      <c r="Y586" s="20">
        <f>COUNTIFS(tData[SEHTrajectPeriodeDatumTijdVan],"&lt;="&amp;($A586+21/24),tData[SEHTrajectPeriodeDatumTijdTotEnMet],"&gt;"&amp;($A586+21/24),tData[Langligger01],1)</f>
        <v/>
      </c>
      <c r="Z586" s="20">
        <f>COUNTIFS(tData[SEHTrajectPeriodeDatumTijdVan],"&lt;="&amp;($A586+22/24),tData[SEHTrajectPeriodeDatumTijdTotEnMet],"&gt;"&amp;($A586+22/24),tData[Langligger01],1)</f>
        <v/>
      </c>
      <c r="AA586" s="20">
        <f>COUNTIFS(tData[SEHTrajectPeriodeDatumTijdVan],"&lt;="&amp;($A586+23/24),tData[SEHTrajectPeriodeDatumTijdTotEnMet],"&gt;"&amp;($A586+23/24),tData[Langligger01],1)</f>
        <v/>
      </c>
    </row>
    <row r="587">
      <c r="A587" s="19" t="n">
        <v>45875</v>
      </c>
      <c r="B587" s="15">
        <f>WEEKDAY($A587,2)</f>
        <v/>
      </c>
      <c r="C587" s="15">
        <f>IF(AND($A587&gt;=INT(Instellingen!$B$5),$A587&lt;=INT(Instellingen!$B$6)),1,0)</f>
        <v/>
      </c>
      <c r="D587" s="20">
        <f>COUNTIFS(tData[SEHTrajectPeriodeDatumTijdVan],"&lt;="&amp;($A587+0/24),tData[SEHTrajectPeriodeDatumTijdTotEnMet],"&gt;"&amp;($A587+0/24),tData[Langligger01],1)</f>
        <v/>
      </c>
      <c r="E587" s="20">
        <f>COUNTIFS(tData[SEHTrajectPeriodeDatumTijdVan],"&lt;="&amp;($A587+1/24),tData[SEHTrajectPeriodeDatumTijdTotEnMet],"&gt;"&amp;($A587+1/24),tData[Langligger01],1)</f>
        <v/>
      </c>
      <c r="F587" s="20">
        <f>COUNTIFS(tData[SEHTrajectPeriodeDatumTijdVan],"&lt;="&amp;($A587+2/24),tData[SEHTrajectPeriodeDatumTijdTotEnMet],"&gt;"&amp;($A587+2/24),tData[Langligger01],1)</f>
        <v/>
      </c>
      <c r="G587" s="20">
        <f>COUNTIFS(tData[SEHTrajectPeriodeDatumTijdVan],"&lt;="&amp;($A587+3/24),tData[SEHTrajectPeriodeDatumTijdTotEnMet],"&gt;"&amp;($A587+3/24),tData[Langligger01],1)</f>
        <v/>
      </c>
      <c r="H587" s="20">
        <f>COUNTIFS(tData[SEHTrajectPeriodeDatumTijdVan],"&lt;="&amp;($A587+4/24),tData[SEHTrajectPeriodeDatumTijdTotEnMet],"&gt;"&amp;($A587+4/24),tData[Langligger01],1)</f>
        <v/>
      </c>
      <c r="I587" s="20">
        <f>COUNTIFS(tData[SEHTrajectPeriodeDatumTijdVan],"&lt;="&amp;($A587+5/24),tData[SEHTrajectPeriodeDatumTijdTotEnMet],"&gt;"&amp;($A587+5/24),tData[Langligger01],1)</f>
        <v/>
      </c>
      <c r="J587" s="20">
        <f>COUNTIFS(tData[SEHTrajectPeriodeDatumTijdVan],"&lt;="&amp;($A587+6/24),tData[SEHTrajectPeriodeDatumTijdTotEnMet],"&gt;"&amp;($A587+6/24),tData[Langligger01],1)</f>
        <v/>
      </c>
      <c r="K587" s="20">
        <f>COUNTIFS(tData[SEHTrajectPeriodeDatumTijdVan],"&lt;="&amp;($A587+7/24),tData[SEHTrajectPeriodeDatumTijdTotEnMet],"&gt;"&amp;($A587+7/24),tData[Langligger01],1)</f>
        <v/>
      </c>
      <c r="L587" s="20">
        <f>COUNTIFS(tData[SEHTrajectPeriodeDatumTijdVan],"&lt;="&amp;($A587+8/24),tData[SEHTrajectPeriodeDatumTijdTotEnMet],"&gt;"&amp;($A587+8/24),tData[Langligger01],1)</f>
        <v/>
      </c>
      <c r="M587" s="20">
        <f>COUNTIFS(tData[SEHTrajectPeriodeDatumTijdVan],"&lt;="&amp;($A587+9/24),tData[SEHTrajectPeriodeDatumTijdTotEnMet],"&gt;"&amp;($A587+9/24),tData[Langligger01],1)</f>
        <v/>
      </c>
      <c r="N587" s="20">
        <f>COUNTIFS(tData[SEHTrajectPeriodeDatumTijdVan],"&lt;="&amp;($A587+10/24),tData[SEHTrajectPeriodeDatumTijdTotEnMet],"&gt;"&amp;($A587+10/24),tData[Langligger01],1)</f>
        <v/>
      </c>
      <c r="O587" s="20">
        <f>COUNTIFS(tData[SEHTrajectPeriodeDatumTijdVan],"&lt;="&amp;($A587+11/24),tData[SEHTrajectPeriodeDatumTijdTotEnMet],"&gt;"&amp;($A587+11/24),tData[Langligger01],1)</f>
        <v/>
      </c>
      <c r="P587" s="20">
        <f>COUNTIFS(tData[SEHTrajectPeriodeDatumTijdVan],"&lt;="&amp;($A587+12/24),tData[SEHTrajectPeriodeDatumTijdTotEnMet],"&gt;"&amp;($A587+12/24),tData[Langligger01],1)</f>
        <v/>
      </c>
      <c r="Q587" s="20">
        <f>COUNTIFS(tData[SEHTrajectPeriodeDatumTijdVan],"&lt;="&amp;($A587+13/24),tData[SEHTrajectPeriodeDatumTijdTotEnMet],"&gt;"&amp;($A587+13/24),tData[Langligger01],1)</f>
        <v/>
      </c>
      <c r="R587" s="20">
        <f>COUNTIFS(tData[SEHTrajectPeriodeDatumTijdVan],"&lt;="&amp;($A587+14/24),tData[SEHTrajectPeriodeDatumTijdTotEnMet],"&gt;"&amp;($A587+14/24),tData[Langligger01],1)</f>
        <v/>
      </c>
      <c r="S587" s="20">
        <f>COUNTIFS(tData[SEHTrajectPeriodeDatumTijdVan],"&lt;="&amp;($A587+15/24),tData[SEHTrajectPeriodeDatumTijdTotEnMet],"&gt;"&amp;($A587+15/24),tData[Langligger01],1)</f>
        <v/>
      </c>
      <c r="T587" s="20">
        <f>COUNTIFS(tData[SEHTrajectPeriodeDatumTijdVan],"&lt;="&amp;($A587+16/24),tData[SEHTrajectPeriodeDatumTijdTotEnMet],"&gt;"&amp;($A587+16/24),tData[Langligger01],1)</f>
        <v/>
      </c>
      <c r="U587" s="20">
        <f>COUNTIFS(tData[SEHTrajectPeriodeDatumTijdVan],"&lt;="&amp;($A587+17/24),tData[SEHTrajectPeriodeDatumTijdTotEnMet],"&gt;"&amp;($A587+17/24),tData[Langligger01],1)</f>
        <v/>
      </c>
      <c r="V587" s="20">
        <f>COUNTIFS(tData[SEHTrajectPeriodeDatumTijdVan],"&lt;="&amp;($A587+18/24),tData[SEHTrajectPeriodeDatumTijdTotEnMet],"&gt;"&amp;($A587+18/24),tData[Langligger01],1)</f>
        <v/>
      </c>
      <c r="W587" s="20">
        <f>COUNTIFS(tData[SEHTrajectPeriodeDatumTijdVan],"&lt;="&amp;($A587+19/24),tData[SEHTrajectPeriodeDatumTijdTotEnMet],"&gt;"&amp;($A587+19/24),tData[Langligger01],1)</f>
        <v/>
      </c>
      <c r="X587" s="20">
        <f>COUNTIFS(tData[SEHTrajectPeriodeDatumTijdVan],"&lt;="&amp;($A587+20/24),tData[SEHTrajectPeriodeDatumTijdTotEnMet],"&gt;"&amp;($A587+20/24),tData[Langligger01],1)</f>
        <v/>
      </c>
      <c r="Y587" s="20">
        <f>COUNTIFS(tData[SEHTrajectPeriodeDatumTijdVan],"&lt;="&amp;($A587+21/24),tData[SEHTrajectPeriodeDatumTijdTotEnMet],"&gt;"&amp;($A587+21/24),tData[Langligger01],1)</f>
        <v/>
      </c>
      <c r="Z587" s="20">
        <f>COUNTIFS(tData[SEHTrajectPeriodeDatumTijdVan],"&lt;="&amp;($A587+22/24),tData[SEHTrajectPeriodeDatumTijdTotEnMet],"&gt;"&amp;($A587+22/24),tData[Langligger01],1)</f>
        <v/>
      </c>
      <c r="AA587" s="20">
        <f>COUNTIFS(tData[SEHTrajectPeriodeDatumTijdVan],"&lt;="&amp;($A587+23/24),tData[SEHTrajectPeriodeDatumTijdTotEnMet],"&gt;"&amp;($A587+23/24),tData[Langligger01],1)</f>
        <v/>
      </c>
    </row>
    <row r="588">
      <c r="A588" s="19" t="n">
        <v>45876</v>
      </c>
      <c r="B588" s="15">
        <f>WEEKDAY($A588,2)</f>
        <v/>
      </c>
      <c r="C588" s="15">
        <f>IF(AND($A588&gt;=INT(Instellingen!$B$5),$A588&lt;=INT(Instellingen!$B$6)),1,0)</f>
        <v/>
      </c>
      <c r="D588" s="20">
        <f>COUNTIFS(tData[SEHTrajectPeriodeDatumTijdVan],"&lt;="&amp;($A588+0/24),tData[SEHTrajectPeriodeDatumTijdTotEnMet],"&gt;"&amp;($A588+0/24),tData[Langligger01],1)</f>
        <v/>
      </c>
      <c r="E588" s="20">
        <f>COUNTIFS(tData[SEHTrajectPeriodeDatumTijdVan],"&lt;="&amp;($A588+1/24),tData[SEHTrajectPeriodeDatumTijdTotEnMet],"&gt;"&amp;($A588+1/24),tData[Langligger01],1)</f>
        <v/>
      </c>
      <c r="F588" s="20">
        <f>COUNTIFS(tData[SEHTrajectPeriodeDatumTijdVan],"&lt;="&amp;($A588+2/24),tData[SEHTrajectPeriodeDatumTijdTotEnMet],"&gt;"&amp;($A588+2/24),tData[Langligger01],1)</f>
        <v/>
      </c>
      <c r="G588" s="20">
        <f>COUNTIFS(tData[SEHTrajectPeriodeDatumTijdVan],"&lt;="&amp;($A588+3/24),tData[SEHTrajectPeriodeDatumTijdTotEnMet],"&gt;"&amp;($A588+3/24),tData[Langligger01],1)</f>
        <v/>
      </c>
      <c r="H588" s="20">
        <f>COUNTIFS(tData[SEHTrajectPeriodeDatumTijdVan],"&lt;="&amp;($A588+4/24),tData[SEHTrajectPeriodeDatumTijdTotEnMet],"&gt;"&amp;($A588+4/24),tData[Langligger01],1)</f>
        <v/>
      </c>
      <c r="I588" s="20">
        <f>COUNTIFS(tData[SEHTrajectPeriodeDatumTijdVan],"&lt;="&amp;($A588+5/24),tData[SEHTrajectPeriodeDatumTijdTotEnMet],"&gt;"&amp;($A588+5/24),tData[Langligger01],1)</f>
        <v/>
      </c>
      <c r="J588" s="20">
        <f>COUNTIFS(tData[SEHTrajectPeriodeDatumTijdVan],"&lt;="&amp;($A588+6/24),tData[SEHTrajectPeriodeDatumTijdTotEnMet],"&gt;"&amp;($A588+6/24),tData[Langligger01],1)</f>
        <v/>
      </c>
      <c r="K588" s="20">
        <f>COUNTIFS(tData[SEHTrajectPeriodeDatumTijdVan],"&lt;="&amp;($A588+7/24),tData[SEHTrajectPeriodeDatumTijdTotEnMet],"&gt;"&amp;($A588+7/24),tData[Langligger01],1)</f>
        <v/>
      </c>
      <c r="L588" s="20">
        <f>COUNTIFS(tData[SEHTrajectPeriodeDatumTijdVan],"&lt;="&amp;($A588+8/24),tData[SEHTrajectPeriodeDatumTijdTotEnMet],"&gt;"&amp;($A588+8/24),tData[Langligger01],1)</f>
        <v/>
      </c>
      <c r="M588" s="20">
        <f>COUNTIFS(tData[SEHTrajectPeriodeDatumTijdVan],"&lt;="&amp;($A588+9/24),tData[SEHTrajectPeriodeDatumTijdTotEnMet],"&gt;"&amp;($A588+9/24),tData[Langligger01],1)</f>
        <v/>
      </c>
      <c r="N588" s="20">
        <f>COUNTIFS(tData[SEHTrajectPeriodeDatumTijdVan],"&lt;="&amp;($A588+10/24),tData[SEHTrajectPeriodeDatumTijdTotEnMet],"&gt;"&amp;($A588+10/24),tData[Langligger01],1)</f>
        <v/>
      </c>
      <c r="O588" s="20">
        <f>COUNTIFS(tData[SEHTrajectPeriodeDatumTijdVan],"&lt;="&amp;($A588+11/24),tData[SEHTrajectPeriodeDatumTijdTotEnMet],"&gt;"&amp;($A588+11/24),tData[Langligger01],1)</f>
        <v/>
      </c>
      <c r="P588" s="20">
        <f>COUNTIFS(tData[SEHTrajectPeriodeDatumTijdVan],"&lt;="&amp;($A588+12/24),tData[SEHTrajectPeriodeDatumTijdTotEnMet],"&gt;"&amp;($A588+12/24),tData[Langligger01],1)</f>
        <v/>
      </c>
      <c r="Q588" s="20">
        <f>COUNTIFS(tData[SEHTrajectPeriodeDatumTijdVan],"&lt;="&amp;($A588+13/24),tData[SEHTrajectPeriodeDatumTijdTotEnMet],"&gt;"&amp;($A588+13/24),tData[Langligger01],1)</f>
        <v/>
      </c>
      <c r="R588" s="20">
        <f>COUNTIFS(tData[SEHTrajectPeriodeDatumTijdVan],"&lt;="&amp;($A588+14/24),tData[SEHTrajectPeriodeDatumTijdTotEnMet],"&gt;"&amp;($A588+14/24),tData[Langligger01],1)</f>
        <v/>
      </c>
      <c r="S588" s="20">
        <f>COUNTIFS(tData[SEHTrajectPeriodeDatumTijdVan],"&lt;="&amp;($A588+15/24),tData[SEHTrajectPeriodeDatumTijdTotEnMet],"&gt;"&amp;($A588+15/24),tData[Langligger01],1)</f>
        <v/>
      </c>
      <c r="T588" s="20">
        <f>COUNTIFS(tData[SEHTrajectPeriodeDatumTijdVan],"&lt;="&amp;($A588+16/24),tData[SEHTrajectPeriodeDatumTijdTotEnMet],"&gt;"&amp;($A588+16/24),tData[Langligger01],1)</f>
        <v/>
      </c>
      <c r="U588" s="20">
        <f>COUNTIFS(tData[SEHTrajectPeriodeDatumTijdVan],"&lt;="&amp;($A588+17/24),tData[SEHTrajectPeriodeDatumTijdTotEnMet],"&gt;"&amp;($A588+17/24),tData[Langligger01],1)</f>
        <v/>
      </c>
      <c r="V588" s="20">
        <f>COUNTIFS(tData[SEHTrajectPeriodeDatumTijdVan],"&lt;="&amp;($A588+18/24),tData[SEHTrajectPeriodeDatumTijdTotEnMet],"&gt;"&amp;($A588+18/24),tData[Langligger01],1)</f>
        <v/>
      </c>
      <c r="W588" s="20">
        <f>COUNTIFS(tData[SEHTrajectPeriodeDatumTijdVan],"&lt;="&amp;($A588+19/24),tData[SEHTrajectPeriodeDatumTijdTotEnMet],"&gt;"&amp;($A588+19/24),tData[Langligger01],1)</f>
        <v/>
      </c>
      <c r="X588" s="20">
        <f>COUNTIFS(tData[SEHTrajectPeriodeDatumTijdVan],"&lt;="&amp;($A588+20/24),tData[SEHTrajectPeriodeDatumTijdTotEnMet],"&gt;"&amp;($A588+20/24),tData[Langligger01],1)</f>
        <v/>
      </c>
      <c r="Y588" s="20">
        <f>COUNTIFS(tData[SEHTrajectPeriodeDatumTijdVan],"&lt;="&amp;($A588+21/24),tData[SEHTrajectPeriodeDatumTijdTotEnMet],"&gt;"&amp;($A588+21/24),tData[Langligger01],1)</f>
        <v/>
      </c>
      <c r="Z588" s="20">
        <f>COUNTIFS(tData[SEHTrajectPeriodeDatumTijdVan],"&lt;="&amp;($A588+22/24),tData[SEHTrajectPeriodeDatumTijdTotEnMet],"&gt;"&amp;($A588+22/24),tData[Langligger01],1)</f>
        <v/>
      </c>
      <c r="AA588" s="20">
        <f>COUNTIFS(tData[SEHTrajectPeriodeDatumTijdVan],"&lt;="&amp;($A588+23/24),tData[SEHTrajectPeriodeDatumTijdTotEnMet],"&gt;"&amp;($A588+23/24),tData[Langligger01],1)</f>
        <v/>
      </c>
    </row>
    <row r="589">
      <c r="A589" s="19" t="n">
        <v>45877</v>
      </c>
      <c r="B589" s="15">
        <f>WEEKDAY($A589,2)</f>
        <v/>
      </c>
      <c r="C589" s="15">
        <f>IF(AND($A589&gt;=INT(Instellingen!$B$5),$A589&lt;=INT(Instellingen!$B$6)),1,0)</f>
        <v/>
      </c>
      <c r="D589" s="20">
        <f>COUNTIFS(tData[SEHTrajectPeriodeDatumTijdVan],"&lt;="&amp;($A589+0/24),tData[SEHTrajectPeriodeDatumTijdTotEnMet],"&gt;"&amp;($A589+0/24),tData[Langligger01],1)</f>
        <v/>
      </c>
      <c r="E589" s="20">
        <f>COUNTIFS(tData[SEHTrajectPeriodeDatumTijdVan],"&lt;="&amp;($A589+1/24),tData[SEHTrajectPeriodeDatumTijdTotEnMet],"&gt;"&amp;($A589+1/24),tData[Langligger01],1)</f>
        <v/>
      </c>
      <c r="F589" s="20">
        <f>COUNTIFS(tData[SEHTrajectPeriodeDatumTijdVan],"&lt;="&amp;($A589+2/24),tData[SEHTrajectPeriodeDatumTijdTotEnMet],"&gt;"&amp;($A589+2/24),tData[Langligger01],1)</f>
        <v/>
      </c>
      <c r="G589" s="20">
        <f>COUNTIFS(tData[SEHTrajectPeriodeDatumTijdVan],"&lt;="&amp;($A589+3/24),tData[SEHTrajectPeriodeDatumTijdTotEnMet],"&gt;"&amp;($A589+3/24),tData[Langligger01],1)</f>
        <v/>
      </c>
      <c r="H589" s="20">
        <f>COUNTIFS(tData[SEHTrajectPeriodeDatumTijdVan],"&lt;="&amp;($A589+4/24),tData[SEHTrajectPeriodeDatumTijdTotEnMet],"&gt;"&amp;($A589+4/24),tData[Langligger01],1)</f>
        <v/>
      </c>
      <c r="I589" s="20">
        <f>COUNTIFS(tData[SEHTrajectPeriodeDatumTijdVan],"&lt;="&amp;($A589+5/24),tData[SEHTrajectPeriodeDatumTijdTotEnMet],"&gt;"&amp;($A589+5/24),tData[Langligger01],1)</f>
        <v/>
      </c>
      <c r="J589" s="20">
        <f>COUNTIFS(tData[SEHTrajectPeriodeDatumTijdVan],"&lt;="&amp;($A589+6/24),tData[SEHTrajectPeriodeDatumTijdTotEnMet],"&gt;"&amp;($A589+6/24),tData[Langligger01],1)</f>
        <v/>
      </c>
      <c r="K589" s="20">
        <f>COUNTIFS(tData[SEHTrajectPeriodeDatumTijdVan],"&lt;="&amp;($A589+7/24),tData[SEHTrajectPeriodeDatumTijdTotEnMet],"&gt;"&amp;($A589+7/24),tData[Langligger01],1)</f>
        <v/>
      </c>
      <c r="L589" s="20">
        <f>COUNTIFS(tData[SEHTrajectPeriodeDatumTijdVan],"&lt;="&amp;($A589+8/24),tData[SEHTrajectPeriodeDatumTijdTotEnMet],"&gt;"&amp;($A589+8/24),tData[Langligger01],1)</f>
        <v/>
      </c>
      <c r="M589" s="20">
        <f>COUNTIFS(tData[SEHTrajectPeriodeDatumTijdVan],"&lt;="&amp;($A589+9/24),tData[SEHTrajectPeriodeDatumTijdTotEnMet],"&gt;"&amp;($A589+9/24),tData[Langligger01],1)</f>
        <v/>
      </c>
      <c r="N589" s="20">
        <f>COUNTIFS(tData[SEHTrajectPeriodeDatumTijdVan],"&lt;="&amp;($A589+10/24),tData[SEHTrajectPeriodeDatumTijdTotEnMet],"&gt;"&amp;($A589+10/24),tData[Langligger01],1)</f>
        <v/>
      </c>
      <c r="O589" s="20">
        <f>COUNTIFS(tData[SEHTrajectPeriodeDatumTijdVan],"&lt;="&amp;($A589+11/24),tData[SEHTrajectPeriodeDatumTijdTotEnMet],"&gt;"&amp;($A589+11/24),tData[Langligger01],1)</f>
        <v/>
      </c>
      <c r="P589" s="20">
        <f>COUNTIFS(tData[SEHTrajectPeriodeDatumTijdVan],"&lt;="&amp;($A589+12/24),tData[SEHTrajectPeriodeDatumTijdTotEnMet],"&gt;"&amp;($A589+12/24),tData[Langligger01],1)</f>
        <v/>
      </c>
      <c r="Q589" s="20">
        <f>COUNTIFS(tData[SEHTrajectPeriodeDatumTijdVan],"&lt;="&amp;($A589+13/24),tData[SEHTrajectPeriodeDatumTijdTotEnMet],"&gt;"&amp;($A589+13/24),tData[Langligger01],1)</f>
        <v/>
      </c>
      <c r="R589" s="20">
        <f>COUNTIFS(tData[SEHTrajectPeriodeDatumTijdVan],"&lt;="&amp;($A589+14/24),tData[SEHTrajectPeriodeDatumTijdTotEnMet],"&gt;"&amp;($A589+14/24),tData[Langligger01],1)</f>
        <v/>
      </c>
      <c r="S589" s="20">
        <f>COUNTIFS(tData[SEHTrajectPeriodeDatumTijdVan],"&lt;="&amp;($A589+15/24),tData[SEHTrajectPeriodeDatumTijdTotEnMet],"&gt;"&amp;($A589+15/24),tData[Langligger01],1)</f>
        <v/>
      </c>
      <c r="T589" s="20">
        <f>COUNTIFS(tData[SEHTrajectPeriodeDatumTijdVan],"&lt;="&amp;($A589+16/24),tData[SEHTrajectPeriodeDatumTijdTotEnMet],"&gt;"&amp;($A589+16/24),tData[Langligger01],1)</f>
        <v/>
      </c>
      <c r="U589" s="20">
        <f>COUNTIFS(tData[SEHTrajectPeriodeDatumTijdVan],"&lt;="&amp;($A589+17/24),tData[SEHTrajectPeriodeDatumTijdTotEnMet],"&gt;"&amp;($A589+17/24),tData[Langligger01],1)</f>
        <v/>
      </c>
      <c r="V589" s="20">
        <f>COUNTIFS(tData[SEHTrajectPeriodeDatumTijdVan],"&lt;="&amp;($A589+18/24),tData[SEHTrajectPeriodeDatumTijdTotEnMet],"&gt;"&amp;($A589+18/24),tData[Langligger01],1)</f>
        <v/>
      </c>
      <c r="W589" s="20">
        <f>COUNTIFS(tData[SEHTrajectPeriodeDatumTijdVan],"&lt;="&amp;($A589+19/24),tData[SEHTrajectPeriodeDatumTijdTotEnMet],"&gt;"&amp;($A589+19/24),tData[Langligger01],1)</f>
        <v/>
      </c>
      <c r="X589" s="20">
        <f>COUNTIFS(tData[SEHTrajectPeriodeDatumTijdVan],"&lt;="&amp;($A589+20/24),tData[SEHTrajectPeriodeDatumTijdTotEnMet],"&gt;"&amp;($A589+20/24),tData[Langligger01],1)</f>
        <v/>
      </c>
      <c r="Y589" s="20">
        <f>COUNTIFS(tData[SEHTrajectPeriodeDatumTijdVan],"&lt;="&amp;($A589+21/24),tData[SEHTrajectPeriodeDatumTijdTotEnMet],"&gt;"&amp;($A589+21/24),tData[Langligger01],1)</f>
        <v/>
      </c>
      <c r="Z589" s="20">
        <f>COUNTIFS(tData[SEHTrajectPeriodeDatumTijdVan],"&lt;="&amp;($A589+22/24),tData[SEHTrajectPeriodeDatumTijdTotEnMet],"&gt;"&amp;($A589+22/24),tData[Langligger01],1)</f>
        <v/>
      </c>
      <c r="AA589" s="20">
        <f>COUNTIFS(tData[SEHTrajectPeriodeDatumTijdVan],"&lt;="&amp;($A589+23/24),tData[SEHTrajectPeriodeDatumTijdTotEnMet],"&gt;"&amp;($A589+23/24),tData[Langligger01],1)</f>
        <v/>
      </c>
    </row>
    <row r="590">
      <c r="A590" s="19" t="n">
        <v>45878</v>
      </c>
      <c r="B590" s="15">
        <f>WEEKDAY($A590,2)</f>
        <v/>
      </c>
      <c r="C590" s="15">
        <f>IF(AND($A590&gt;=INT(Instellingen!$B$5),$A590&lt;=INT(Instellingen!$B$6)),1,0)</f>
        <v/>
      </c>
      <c r="D590" s="20">
        <f>COUNTIFS(tData[SEHTrajectPeriodeDatumTijdVan],"&lt;="&amp;($A590+0/24),tData[SEHTrajectPeriodeDatumTijdTotEnMet],"&gt;"&amp;($A590+0/24),tData[Langligger01],1)</f>
        <v/>
      </c>
      <c r="E590" s="20">
        <f>COUNTIFS(tData[SEHTrajectPeriodeDatumTijdVan],"&lt;="&amp;($A590+1/24),tData[SEHTrajectPeriodeDatumTijdTotEnMet],"&gt;"&amp;($A590+1/24),tData[Langligger01],1)</f>
        <v/>
      </c>
      <c r="F590" s="20">
        <f>COUNTIFS(tData[SEHTrajectPeriodeDatumTijdVan],"&lt;="&amp;($A590+2/24),tData[SEHTrajectPeriodeDatumTijdTotEnMet],"&gt;"&amp;($A590+2/24),tData[Langligger01],1)</f>
        <v/>
      </c>
      <c r="G590" s="20">
        <f>COUNTIFS(tData[SEHTrajectPeriodeDatumTijdVan],"&lt;="&amp;($A590+3/24),tData[SEHTrajectPeriodeDatumTijdTotEnMet],"&gt;"&amp;($A590+3/24),tData[Langligger01],1)</f>
        <v/>
      </c>
      <c r="H590" s="20">
        <f>COUNTIFS(tData[SEHTrajectPeriodeDatumTijdVan],"&lt;="&amp;($A590+4/24),tData[SEHTrajectPeriodeDatumTijdTotEnMet],"&gt;"&amp;($A590+4/24),tData[Langligger01],1)</f>
        <v/>
      </c>
      <c r="I590" s="20">
        <f>COUNTIFS(tData[SEHTrajectPeriodeDatumTijdVan],"&lt;="&amp;($A590+5/24),tData[SEHTrajectPeriodeDatumTijdTotEnMet],"&gt;"&amp;($A590+5/24),tData[Langligger01],1)</f>
        <v/>
      </c>
      <c r="J590" s="20">
        <f>COUNTIFS(tData[SEHTrajectPeriodeDatumTijdVan],"&lt;="&amp;($A590+6/24),tData[SEHTrajectPeriodeDatumTijdTotEnMet],"&gt;"&amp;($A590+6/24),tData[Langligger01],1)</f>
        <v/>
      </c>
      <c r="K590" s="20">
        <f>COUNTIFS(tData[SEHTrajectPeriodeDatumTijdVan],"&lt;="&amp;($A590+7/24),tData[SEHTrajectPeriodeDatumTijdTotEnMet],"&gt;"&amp;($A590+7/24),tData[Langligger01],1)</f>
        <v/>
      </c>
      <c r="L590" s="20">
        <f>COUNTIFS(tData[SEHTrajectPeriodeDatumTijdVan],"&lt;="&amp;($A590+8/24),tData[SEHTrajectPeriodeDatumTijdTotEnMet],"&gt;"&amp;($A590+8/24),tData[Langligger01],1)</f>
        <v/>
      </c>
      <c r="M590" s="20">
        <f>COUNTIFS(tData[SEHTrajectPeriodeDatumTijdVan],"&lt;="&amp;($A590+9/24),tData[SEHTrajectPeriodeDatumTijdTotEnMet],"&gt;"&amp;($A590+9/24),tData[Langligger01],1)</f>
        <v/>
      </c>
      <c r="N590" s="20">
        <f>COUNTIFS(tData[SEHTrajectPeriodeDatumTijdVan],"&lt;="&amp;($A590+10/24),tData[SEHTrajectPeriodeDatumTijdTotEnMet],"&gt;"&amp;($A590+10/24),tData[Langligger01],1)</f>
        <v/>
      </c>
      <c r="O590" s="20">
        <f>COUNTIFS(tData[SEHTrajectPeriodeDatumTijdVan],"&lt;="&amp;($A590+11/24),tData[SEHTrajectPeriodeDatumTijdTotEnMet],"&gt;"&amp;($A590+11/24),tData[Langligger01],1)</f>
        <v/>
      </c>
      <c r="P590" s="20">
        <f>COUNTIFS(tData[SEHTrajectPeriodeDatumTijdVan],"&lt;="&amp;($A590+12/24),tData[SEHTrajectPeriodeDatumTijdTotEnMet],"&gt;"&amp;($A590+12/24),tData[Langligger01],1)</f>
        <v/>
      </c>
      <c r="Q590" s="20">
        <f>COUNTIFS(tData[SEHTrajectPeriodeDatumTijdVan],"&lt;="&amp;($A590+13/24),tData[SEHTrajectPeriodeDatumTijdTotEnMet],"&gt;"&amp;($A590+13/24),tData[Langligger01],1)</f>
        <v/>
      </c>
      <c r="R590" s="20">
        <f>COUNTIFS(tData[SEHTrajectPeriodeDatumTijdVan],"&lt;="&amp;($A590+14/24),tData[SEHTrajectPeriodeDatumTijdTotEnMet],"&gt;"&amp;($A590+14/24),tData[Langligger01],1)</f>
        <v/>
      </c>
      <c r="S590" s="20">
        <f>COUNTIFS(tData[SEHTrajectPeriodeDatumTijdVan],"&lt;="&amp;($A590+15/24),tData[SEHTrajectPeriodeDatumTijdTotEnMet],"&gt;"&amp;($A590+15/24),tData[Langligger01],1)</f>
        <v/>
      </c>
      <c r="T590" s="20">
        <f>COUNTIFS(tData[SEHTrajectPeriodeDatumTijdVan],"&lt;="&amp;($A590+16/24),tData[SEHTrajectPeriodeDatumTijdTotEnMet],"&gt;"&amp;($A590+16/24),tData[Langligger01],1)</f>
        <v/>
      </c>
      <c r="U590" s="20">
        <f>COUNTIFS(tData[SEHTrajectPeriodeDatumTijdVan],"&lt;="&amp;($A590+17/24),tData[SEHTrajectPeriodeDatumTijdTotEnMet],"&gt;"&amp;($A590+17/24),tData[Langligger01],1)</f>
        <v/>
      </c>
      <c r="V590" s="20">
        <f>COUNTIFS(tData[SEHTrajectPeriodeDatumTijdVan],"&lt;="&amp;($A590+18/24),tData[SEHTrajectPeriodeDatumTijdTotEnMet],"&gt;"&amp;($A590+18/24),tData[Langligger01],1)</f>
        <v/>
      </c>
      <c r="W590" s="20">
        <f>COUNTIFS(tData[SEHTrajectPeriodeDatumTijdVan],"&lt;="&amp;($A590+19/24),tData[SEHTrajectPeriodeDatumTijdTotEnMet],"&gt;"&amp;($A590+19/24),tData[Langligger01],1)</f>
        <v/>
      </c>
      <c r="X590" s="20">
        <f>COUNTIFS(tData[SEHTrajectPeriodeDatumTijdVan],"&lt;="&amp;($A590+20/24),tData[SEHTrajectPeriodeDatumTijdTotEnMet],"&gt;"&amp;($A590+20/24),tData[Langligger01],1)</f>
        <v/>
      </c>
      <c r="Y590" s="20">
        <f>COUNTIFS(tData[SEHTrajectPeriodeDatumTijdVan],"&lt;="&amp;($A590+21/24),tData[SEHTrajectPeriodeDatumTijdTotEnMet],"&gt;"&amp;($A590+21/24),tData[Langligger01],1)</f>
        <v/>
      </c>
      <c r="Z590" s="20">
        <f>COUNTIFS(tData[SEHTrajectPeriodeDatumTijdVan],"&lt;="&amp;($A590+22/24),tData[SEHTrajectPeriodeDatumTijdTotEnMet],"&gt;"&amp;($A590+22/24),tData[Langligger01],1)</f>
        <v/>
      </c>
      <c r="AA590" s="20">
        <f>COUNTIFS(tData[SEHTrajectPeriodeDatumTijdVan],"&lt;="&amp;($A590+23/24),tData[SEHTrajectPeriodeDatumTijdTotEnMet],"&gt;"&amp;($A590+23/24),tData[Langligger01],1)</f>
        <v/>
      </c>
    </row>
    <row r="591">
      <c r="A591" s="19" t="n">
        <v>45879</v>
      </c>
      <c r="B591" s="15">
        <f>WEEKDAY($A591,2)</f>
        <v/>
      </c>
      <c r="C591" s="15">
        <f>IF(AND($A591&gt;=INT(Instellingen!$B$5),$A591&lt;=INT(Instellingen!$B$6)),1,0)</f>
        <v/>
      </c>
      <c r="D591" s="20">
        <f>COUNTIFS(tData[SEHTrajectPeriodeDatumTijdVan],"&lt;="&amp;($A591+0/24),tData[SEHTrajectPeriodeDatumTijdTotEnMet],"&gt;"&amp;($A591+0/24),tData[Langligger01],1)</f>
        <v/>
      </c>
      <c r="E591" s="20">
        <f>COUNTIFS(tData[SEHTrajectPeriodeDatumTijdVan],"&lt;="&amp;($A591+1/24),tData[SEHTrajectPeriodeDatumTijdTotEnMet],"&gt;"&amp;($A591+1/24),tData[Langligger01],1)</f>
        <v/>
      </c>
      <c r="F591" s="20">
        <f>COUNTIFS(tData[SEHTrajectPeriodeDatumTijdVan],"&lt;="&amp;($A591+2/24),tData[SEHTrajectPeriodeDatumTijdTotEnMet],"&gt;"&amp;($A591+2/24),tData[Langligger01],1)</f>
        <v/>
      </c>
      <c r="G591" s="20">
        <f>COUNTIFS(tData[SEHTrajectPeriodeDatumTijdVan],"&lt;="&amp;($A591+3/24),tData[SEHTrajectPeriodeDatumTijdTotEnMet],"&gt;"&amp;($A591+3/24),tData[Langligger01],1)</f>
        <v/>
      </c>
      <c r="H591" s="20">
        <f>COUNTIFS(tData[SEHTrajectPeriodeDatumTijdVan],"&lt;="&amp;($A591+4/24),tData[SEHTrajectPeriodeDatumTijdTotEnMet],"&gt;"&amp;($A591+4/24),tData[Langligger01],1)</f>
        <v/>
      </c>
      <c r="I591" s="20">
        <f>COUNTIFS(tData[SEHTrajectPeriodeDatumTijdVan],"&lt;="&amp;($A591+5/24),tData[SEHTrajectPeriodeDatumTijdTotEnMet],"&gt;"&amp;($A591+5/24),tData[Langligger01],1)</f>
        <v/>
      </c>
      <c r="J591" s="20">
        <f>COUNTIFS(tData[SEHTrajectPeriodeDatumTijdVan],"&lt;="&amp;($A591+6/24),tData[SEHTrajectPeriodeDatumTijdTotEnMet],"&gt;"&amp;($A591+6/24),tData[Langligger01],1)</f>
        <v/>
      </c>
      <c r="K591" s="20">
        <f>COUNTIFS(tData[SEHTrajectPeriodeDatumTijdVan],"&lt;="&amp;($A591+7/24),tData[SEHTrajectPeriodeDatumTijdTotEnMet],"&gt;"&amp;($A591+7/24),tData[Langligger01],1)</f>
        <v/>
      </c>
      <c r="L591" s="20">
        <f>COUNTIFS(tData[SEHTrajectPeriodeDatumTijdVan],"&lt;="&amp;($A591+8/24),tData[SEHTrajectPeriodeDatumTijdTotEnMet],"&gt;"&amp;($A591+8/24),tData[Langligger01],1)</f>
        <v/>
      </c>
      <c r="M591" s="20">
        <f>COUNTIFS(tData[SEHTrajectPeriodeDatumTijdVan],"&lt;="&amp;($A591+9/24),tData[SEHTrajectPeriodeDatumTijdTotEnMet],"&gt;"&amp;($A591+9/24),tData[Langligger01],1)</f>
        <v/>
      </c>
      <c r="N591" s="20">
        <f>COUNTIFS(tData[SEHTrajectPeriodeDatumTijdVan],"&lt;="&amp;($A591+10/24),tData[SEHTrajectPeriodeDatumTijdTotEnMet],"&gt;"&amp;($A591+10/24),tData[Langligger01],1)</f>
        <v/>
      </c>
      <c r="O591" s="20">
        <f>COUNTIFS(tData[SEHTrajectPeriodeDatumTijdVan],"&lt;="&amp;($A591+11/24),tData[SEHTrajectPeriodeDatumTijdTotEnMet],"&gt;"&amp;($A591+11/24),tData[Langligger01],1)</f>
        <v/>
      </c>
      <c r="P591" s="20">
        <f>COUNTIFS(tData[SEHTrajectPeriodeDatumTijdVan],"&lt;="&amp;($A591+12/24),tData[SEHTrajectPeriodeDatumTijdTotEnMet],"&gt;"&amp;($A591+12/24),tData[Langligger01],1)</f>
        <v/>
      </c>
      <c r="Q591" s="20">
        <f>COUNTIFS(tData[SEHTrajectPeriodeDatumTijdVan],"&lt;="&amp;($A591+13/24),tData[SEHTrajectPeriodeDatumTijdTotEnMet],"&gt;"&amp;($A591+13/24),tData[Langligger01],1)</f>
        <v/>
      </c>
      <c r="R591" s="20">
        <f>COUNTIFS(tData[SEHTrajectPeriodeDatumTijdVan],"&lt;="&amp;($A591+14/24),tData[SEHTrajectPeriodeDatumTijdTotEnMet],"&gt;"&amp;($A591+14/24),tData[Langligger01],1)</f>
        <v/>
      </c>
      <c r="S591" s="20">
        <f>COUNTIFS(tData[SEHTrajectPeriodeDatumTijdVan],"&lt;="&amp;($A591+15/24),tData[SEHTrajectPeriodeDatumTijdTotEnMet],"&gt;"&amp;($A591+15/24),tData[Langligger01],1)</f>
        <v/>
      </c>
      <c r="T591" s="20">
        <f>COUNTIFS(tData[SEHTrajectPeriodeDatumTijdVan],"&lt;="&amp;($A591+16/24),tData[SEHTrajectPeriodeDatumTijdTotEnMet],"&gt;"&amp;($A591+16/24),tData[Langligger01],1)</f>
        <v/>
      </c>
      <c r="U591" s="20">
        <f>COUNTIFS(tData[SEHTrajectPeriodeDatumTijdVan],"&lt;="&amp;($A591+17/24),tData[SEHTrajectPeriodeDatumTijdTotEnMet],"&gt;"&amp;($A591+17/24),tData[Langligger01],1)</f>
        <v/>
      </c>
      <c r="V591" s="20">
        <f>COUNTIFS(tData[SEHTrajectPeriodeDatumTijdVan],"&lt;="&amp;($A591+18/24),tData[SEHTrajectPeriodeDatumTijdTotEnMet],"&gt;"&amp;($A591+18/24),tData[Langligger01],1)</f>
        <v/>
      </c>
      <c r="W591" s="20">
        <f>COUNTIFS(tData[SEHTrajectPeriodeDatumTijdVan],"&lt;="&amp;($A591+19/24),tData[SEHTrajectPeriodeDatumTijdTotEnMet],"&gt;"&amp;($A591+19/24),tData[Langligger01],1)</f>
        <v/>
      </c>
      <c r="X591" s="20">
        <f>COUNTIFS(tData[SEHTrajectPeriodeDatumTijdVan],"&lt;="&amp;($A591+20/24),tData[SEHTrajectPeriodeDatumTijdTotEnMet],"&gt;"&amp;($A591+20/24),tData[Langligger01],1)</f>
        <v/>
      </c>
      <c r="Y591" s="20">
        <f>COUNTIFS(tData[SEHTrajectPeriodeDatumTijdVan],"&lt;="&amp;($A591+21/24),tData[SEHTrajectPeriodeDatumTijdTotEnMet],"&gt;"&amp;($A591+21/24),tData[Langligger01],1)</f>
        <v/>
      </c>
      <c r="Z591" s="20">
        <f>COUNTIFS(tData[SEHTrajectPeriodeDatumTijdVan],"&lt;="&amp;($A591+22/24),tData[SEHTrajectPeriodeDatumTijdTotEnMet],"&gt;"&amp;($A591+22/24),tData[Langligger01],1)</f>
        <v/>
      </c>
      <c r="AA591" s="20">
        <f>COUNTIFS(tData[SEHTrajectPeriodeDatumTijdVan],"&lt;="&amp;($A591+23/24),tData[SEHTrajectPeriodeDatumTijdTotEnMet],"&gt;"&amp;($A591+23/24),tData[Langligger01],1)</f>
        <v/>
      </c>
    </row>
    <row r="592">
      <c r="A592" s="19" t="n">
        <v>45880</v>
      </c>
      <c r="B592" s="15">
        <f>WEEKDAY($A592,2)</f>
        <v/>
      </c>
      <c r="C592" s="15">
        <f>IF(AND($A592&gt;=INT(Instellingen!$B$5),$A592&lt;=INT(Instellingen!$B$6)),1,0)</f>
        <v/>
      </c>
      <c r="D592" s="20">
        <f>COUNTIFS(tData[SEHTrajectPeriodeDatumTijdVan],"&lt;="&amp;($A592+0/24),tData[SEHTrajectPeriodeDatumTijdTotEnMet],"&gt;"&amp;($A592+0/24),tData[Langligger01],1)</f>
        <v/>
      </c>
      <c r="E592" s="20">
        <f>COUNTIFS(tData[SEHTrajectPeriodeDatumTijdVan],"&lt;="&amp;($A592+1/24),tData[SEHTrajectPeriodeDatumTijdTotEnMet],"&gt;"&amp;($A592+1/24),tData[Langligger01],1)</f>
        <v/>
      </c>
      <c r="F592" s="20">
        <f>COUNTIFS(tData[SEHTrajectPeriodeDatumTijdVan],"&lt;="&amp;($A592+2/24),tData[SEHTrajectPeriodeDatumTijdTotEnMet],"&gt;"&amp;($A592+2/24),tData[Langligger01],1)</f>
        <v/>
      </c>
      <c r="G592" s="20">
        <f>COUNTIFS(tData[SEHTrajectPeriodeDatumTijdVan],"&lt;="&amp;($A592+3/24),tData[SEHTrajectPeriodeDatumTijdTotEnMet],"&gt;"&amp;($A592+3/24),tData[Langligger01],1)</f>
        <v/>
      </c>
      <c r="H592" s="20">
        <f>COUNTIFS(tData[SEHTrajectPeriodeDatumTijdVan],"&lt;="&amp;($A592+4/24),tData[SEHTrajectPeriodeDatumTijdTotEnMet],"&gt;"&amp;($A592+4/24),tData[Langligger01],1)</f>
        <v/>
      </c>
      <c r="I592" s="20">
        <f>COUNTIFS(tData[SEHTrajectPeriodeDatumTijdVan],"&lt;="&amp;($A592+5/24),tData[SEHTrajectPeriodeDatumTijdTotEnMet],"&gt;"&amp;($A592+5/24),tData[Langligger01],1)</f>
        <v/>
      </c>
      <c r="J592" s="20">
        <f>COUNTIFS(tData[SEHTrajectPeriodeDatumTijdVan],"&lt;="&amp;($A592+6/24),tData[SEHTrajectPeriodeDatumTijdTotEnMet],"&gt;"&amp;($A592+6/24),tData[Langligger01],1)</f>
        <v/>
      </c>
      <c r="K592" s="20">
        <f>COUNTIFS(tData[SEHTrajectPeriodeDatumTijdVan],"&lt;="&amp;($A592+7/24),tData[SEHTrajectPeriodeDatumTijdTotEnMet],"&gt;"&amp;($A592+7/24),tData[Langligger01],1)</f>
        <v/>
      </c>
      <c r="L592" s="20">
        <f>COUNTIFS(tData[SEHTrajectPeriodeDatumTijdVan],"&lt;="&amp;($A592+8/24),tData[SEHTrajectPeriodeDatumTijdTotEnMet],"&gt;"&amp;($A592+8/24),tData[Langligger01],1)</f>
        <v/>
      </c>
      <c r="M592" s="20">
        <f>COUNTIFS(tData[SEHTrajectPeriodeDatumTijdVan],"&lt;="&amp;($A592+9/24),tData[SEHTrajectPeriodeDatumTijdTotEnMet],"&gt;"&amp;($A592+9/24),tData[Langligger01],1)</f>
        <v/>
      </c>
      <c r="N592" s="20">
        <f>COUNTIFS(tData[SEHTrajectPeriodeDatumTijdVan],"&lt;="&amp;($A592+10/24),tData[SEHTrajectPeriodeDatumTijdTotEnMet],"&gt;"&amp;($A592+10/24),tData[Langligger01],1)</f>
        <v/>
      </c>
      <c r="O592" s="20">
        <f>COUNTIFS(tData[SEHTrajectPeriodeDatumTijdVan],"&lt;="&amp;($A592+11/24),tData[SEHTrajectPeriodeDatumTijdTotEnMet],"&gt;"&amp;($A592+11/24),tData[Langligger01],1)</f>
        <v/>
      </c>
      <c r="P592" s="20">
        <f>COUNTIFS(tData[SEHTrajectPeriodeDatumTijdVan],"&lt;="&amp;($A592+12/24),tData[SEHTrajectPeriodeDatumTijdTotEnMet],"&gt;"&amp;($A592+12/24),tData[Langligger01],1)</f>
        <v/>
      </c>
      <c r="Q592" s="20">
        <f>COUNTIFS(tData[SEHTrajectPeriodeDatumTijdVan],"&lt;="&amp;($A592+13/24),tData[SEHTrajectPeriodeDatumTijdTotEnMet],"&gt;"&amp;($A592+13/24),tData[Langligger01],1)</f>
        <v/>
      </c>
      <c r="R592" s="20">
        <f>COUNTIFS(tData[SEHTrajectPeriodeDatumTijdVan],"&lt;="&amp;($A592+14/24),tData[SEHTrajectPeriodeDatumTijdTotEnMet],"&gt;"&amp;($A592+14/24),tData[Langligger01],1)</f>
        <v/>
      </c>
      <c r="S592" s="20">
        <f>COUNTIFS(tData[SEHTrajectPeriodeDatumTijdVan],"&lt;="&amp;($A592+15/24),tData[SEHTrajectPeriodeDatumTijdTotEnMet],"&gt;"&amp;($A592+15/24),tData[Langligger01],1)</f>
        <v/>
      </c>
      <c r="T592" s="20">
        <f>COUNTIFS(tData[SEHTrajectPeriodeDatumTijdVan],"&lt;="&amp;($A592+16/24),tData[SEHTrajectPeriodeDatumTijdTotEnMet],"&gt;"&amp;($A592+16/24),tData[Langligger01],1)</f>
        <v/>
      </c>
      <c r="U592" s="20">
        <f>COUNTIFS(tData[SEHTrajectPeriodeDatumTijdVan],"&lt;="&amp;($A592+17/24),tData[SEHTrajectPeriodeDatumTijdTotEnMet],"&gt;"&amp;($A592+17/24),tData[Langligger01],1)</f>
        <v/>
      </c>
      <c r="V592" s="20">
        <f>COUNTIFS(tData[SEHTrajectPeriodeDatumTijdVan],"&lt;="&amp;($A592+18/24),tData[SEHTrajectPeriodeDatumTijdTotEnMet],"&gt;"&amp;($A592+18/24),tData[Langligger01],1)</f>
        <v/>
      </c>
      <c r="W592" s="20">
        <f>COUNTIFS(tData[SEHTrajectPeriodeDatumTijdVan],"&lt;="&amp;($A592+19/24),tData[SEHTrajectPeriodeDatumTijdTotEnMet],"&gt;"&amp;($A592+19/24),tData[Langligger01],1)</f>
        <v/>
      </c>
      <c r="X592" s="20">
        <f>COUNTIFS(tData[SEHTrajectPeriodeDatumTijdVan],"&lt;="&amp;($A592+20/24),tData[SEHTrajectPeriodeDatumTijdTotEnMet],"&gt;"&amp;($A592+20/24),tData[Langligger01],1)</f>
        <v/>
      </c>
      <c r="Y592" s="20">
        <f>COUNTIFS(tData[SEHTrajectPeriodeDatumTijdVan],"&lt;="&amp;($A592+21/24),tData[SEHTrajectPeriodeDatumTijdTotEnMet],"&gt;"&amp;($A592+21/24),tData[Langligger01],1)</f>
        <v/>
      </c>
      <c r="Z592" s="20">
        <f>COUNTIFS(tData[SEHTrajectPeriodeDatumTijdVan],"&lt;="&amp;($A592+22/24),tData[SEHTrajectPeriodeDatumTijdTotEnMet],"&gt;"&amp;($A592+22/24),tData[Langligger01],1)</f>
        <v/>
      </c>
      <c r="AA592" s="20">
        <f>COUNTIFS(tData[SEHTrajectPeriodeDatumTijdVan],"&lt;="&amp;($A592+23/24),tData[SEHTrajectPeriodeDatumTijdTotEnMet],"&gt;"&amp;($A592+23/24),tData[Langligger01],1)</f>
        <v/>
      </c>
    </row>
    <row r="593">
      <c r="A593" s="19" t="n">
        <v>45881</v>
      </c>
      <c r="B593" s="15">
        <f>WEEKDAY($A593,2)</f>
        <v/>
      </c>
      <c r="C593" s="15">
        <f>IF(AND($A593&gt;=INT(Instellingen!$B$5),$A593&lt;=INT(Instellingen!$B$6)),1,0)</f>
        <v/>
      </c>
      <c r="D593" s="20">
        <f>COUNTIFS(tData[SEHTrajectPeriodeDatumTijdVan],"&lt;="&amp;($A593+0/24),tData[SEHTrajectPeriodeDatumTijdTotEnMet],"&gt;"&amp;($A593+0/24),tData[Langligger01],1)</f>
        <v/>
      </c>
      <c r="E593" s="20">
        <f>COUNTIFS(tData[SEHTrajectPeriodeDatumTijdVan],"&lt;="&amp;($A593+1/24),tData[SEHTrajectPeriodeDatumTijdTotEnMet],"&gt;"&amp;($A593+1/24),tData[Langligger01],1)</f>
        <v/>
      </c>
      <c r="F593" s="20">
        <f>COUNTIFS(tData[SEHTrajectPeriodeDatumTijdVan],"&lt;="&amp;($A593+2/24),tData[SEHTrajectPeriodeDatumTijdTotEnMet],"&gt;"&amp;($A593+2/24),tData[Langligger01],1)</f>
        <v/>
      </c>
      <c r="G593" s="20">
        <f>COUNTIFS(tData[SEHTrajectPeriodeDatumTijdVan],"&lt;="&amp;($A593+3/24),tData[SEHTrajectPeriodeDatumTijdTotEnMet],"&gt;"&amp;($A593+3/24),tData[Langligger01],1)</f>
        <v/>
      </c>
      <c r="H593" s="20">
        <f>COUNTIFS(tData[SEHTrajectPeriodeDatumTijdVan],"&lt;="&amp;($A593+4/24),tData[SEHTrajectPeriodeDatumTijdTotEnMet],"&gt;"&amp;($A593+4/24),tData[Langligger01],1)</f>
        <v/>
      </c>
      <c r="I593" s="20">
        <f>COUNTIFS(tData[SEHTrajectPeriodeDatumTijdVan],"&lt;="&amp;($A593+5/24),tData[SEHTrajectPeriodeDatumTijdTotEnMet],"&gt;"&amp;($A593+5/24),tData[Langligger01],1)</f>
        <v/>
      </c>
      <c r="J593" s="20">
        <f>COUNTIFS(tData[SEHTrajectPeriodeDatumTijdVan],"&lt;="&amp;($A593+6/24),tData[SEHTrajectPeriodeDatumTijdTotEnMet],"&gt;"&amp;($A593+6/24),tData[Langligger01],1)</f>
        <v/>
      </c>
      <c r="K593" s="20">
        <f>COUNTIFS(tData[SEHTrajectPeriodeDatumTijdVan],"&lt;="&amp;($A593+7/24),tData[SEHTrajectPeriodeDatumTijdTotEnMet],"&gt;"&amp;($A593+7/24),tData[Langligger01],1)</f>
        <v/>
      </c>
      <c r="L593" s="20">
        <f>COUNTIFS(tData[SEHTrajectPeriodeDatumTijdVan],"&lt;="&amp;($A593+8/24),tData[SEHTrajectPeriodeDatumTijdTotEnMet],"&gt;"&amp;($A593+8/24),tData[Langligger01],1)</f>
        <v/>
      </c>
      <c r="M593" s="20">
        <f>COUNTIFS(tData[SEHTrajectPeriodeDatumTijdVan],"&lt;="&amp;($A593+9/24),tData[SEHTrajectPeriodeDatumTijdTotEnMet],"&gt;"&amp;($A593+9/24),tData[Langligger01],1)</f>
        <v/>
      </c>
      <c r="N593" s="20">
        <f>COUNTIFS(tData[SEHTrajectPeriodeDatumTijdVan],"&lt;="&amp;($A593+10/24),tData[SEHTrajectPeriodeDatumTijdTotEnMet],"&gt;"&amp;($A593+10/24),tData[Langligger01],1)</f>
        <v/>
      </c>
      <c r="O593" s="20">
        <f>COUNTIFS(tData[SEHTrajectPeriodeDatumTijdVan],"&lt;="&amp;($A593+11/24),tData[SEHTrajectPeriodeDatumTijdTotEnMet],"&gt;"&amp;($A593+11/24),tData[Langligger01],1)</f>
        <v/>
      </c>
      <c r="P593" s="20">
        <f>COUNTIFS(tData[SEHTrajectPeriodeDatumTijdVan],"&lt;="&amp;($A593+12/24),tData[SEHTrajectPeriodeDatumTijdTotEnMet],"&gt;"&amp;($A593+12/24),tData[Langligger01],1)</f>
        <v/>
      </c>
      <c r="Q593" s="20">
        <f>COUNTIFS(tData[SEHTrajectPeriodeDatumTijdVan],"&lt;="&amp;($A593+13/24),tData[SEHTrajectPeriodeDatumTijdTotEnMet],"&gt;"&amp;($A593+13/24),tData[Langligger01],1)</f>
        <v/>
      </c>
      <c r="R593" s="20">
        <f>COUNTIFS(tData[SEHTrajectPeriodeDatumTijdVan],"&lt;="&amp;($A593+14/24),tData[SEHTrajectPeriodeDatumTijdTotEnMet],"&gt;"&amp;($A593+14/24),tData[Langligger01],1)</f>
        <v/>
      </c>
      <c r="S593" s="20">
        <f>COUNTIFS(tData[SEHTrajectPeriodeDatumTijdVan],"&lt;="&amp;($A593+15/24),tData[SEHTrajectPeriodeDatumTijdTotEnMet],"&gt;"&amp;($A593+15/24),tData[Langligger01],1)</f>
        <v/>
      </c>
      <c r="T593" s="20">
        <f>COUNTIFS(tData[SEHTrajectPeriodeDatumTijdVan],"&lt;="&amp;($A593+16/24),tData[SEHTrajectPeriodeDatumTijdTotEnMet],"&gt;"&amp;($A593+16/24),tData[Langligger01],1)</f>
        <v/>
      </c>
      <c r="U593" s="20">
        <f>COUNTIFS(tData[SEHTrajectPeriodeDatumTijdVan],"&lt;="&amp;($A593+17/24),tData[SEHTrajectPeriodeDatumTijdTotEnMet],"&gt;"&amp;($A593+17/24),tData[Langligger01],1)</f>
        <v/>
      </c>
      <c r="V593" s="20">
        <f>COUNTIFS(tData[SEHTrajectPeriodeDatumTijdVan],"&lt;="&amp;($A593+18/24),tData[SEHTrajectPeriodeDatumTijdTotEnMet],"&gt;"&amp;($A593+18/24),tData[Langligger01],1)</f>
        <v/>
      </c>
      <c r="W593" s="20">
        <f>COUNTIFS(tData[SEHTrajectPeriodeDatumTijdVan],"&lt;="&amp;($A593+19/24),tData[SEHTrajectPeriodeDatumTijdTotEnMet],"&gt;"&amp;($A593+19/24),tData[Langligger01],1)</f>
        <v/>
      </c>
      <c r="X593" s="20">
        <f>COUNTIFS(tData[SEHTrajectPeriodeDatumTijdVan],"&lt;="&amp;($A593+20/24),tData[SEHTrajectPeriodeDatumTijdTotEnMet],"&gt;"&amp;($A593+20/24),tData[Langligger01],1)</f>
        <v/>
      </c>
      <c r="Y593" s="20">
        <f>COUNTIFS(tData[SEHTrajectPeriodeDatumTijdVan],"&lt;="&amp;($A593+21/24),tData[SEHTrajectPeriodeDatumTijdTotEnMet],"&gt;"&amp;($A593+21/24),tData[Langligger01],1)</f>
        <v/>
      </c>
      <c r="Z593" s="20">
        <f>COUNTIFS(tData[SEHTrajectPeriodeDatumTijdVan],"&lt;="&amp;($A593+22/24),tData[SEHTrajectPeriodeDatumTijdTotEnMet],"&gt;"&amp;($A593+22/24),tData[Langligger01],1)</f>
        <v/>
      </c>
      <c r="AA593" s="20">
        <f>COUNTIFS(tData[SEHTrajectPeriodeDatumTijdVan],"&lt;="&amp;($A593+23/24),tData[SEHTrajectPeriodeDatumTijdTotEnMet],"&gt;"&amp;($A593+23/24),tData[Langligger01],1)</f>
        <v/>
      </c>
    </row>
    <row r="594">
      <c r="A594" s="19" t="n">
        <v>45882</v>
      </c>
      <c r="B594" s="15">
        <f>WEEKDAY($A594,2)</f>
        <v/>
      </c>
      <c r="C594" s="15">
        <f>IF(AND($A594&gt;=INT(Instellingen!$B$5),$A594&lt;=INT(Instellingen!$B$6)),1,0)</f>
        <v/>
      </c>
      <c r="D594" s="20">
        <f>COUNTIFS(tData[SEHTrajectPeriodeDatumTijdVan],"&lt;="&amp;($A594+0/24),tData[SEHTrajectPeriodeDatumTijdTotEnMet],"&gt;"&amp;($A594+0/24),tData[Langligger01],1)</f>
        <v/>
      </c>
      <c r="E594" s="20">
        <f>COUNTIFS(tData[SEHTrajectPeriodeDatumTijdVan],"&lt;="&amp;($A594+1/24),tData[SEHTrajectPeriodeDatumTijdTotEnMet],"&gt;"&amp;($A594+1/24),tData[Langligger01],1)</f>
        <v/>
      </c>
      <c r="F594" s="20">
        <f>COUNTIFS(tData[SEHTrajectPeriodeDatumTijdVan],"&lt;="&amp;($A594+2/24),tData[SEHTrajectPeriodeDatumTijdTotEnMet],"&gt;"&amp;($A594+2/24),tData[Langligger01],1)</f>
        <v/>
      </c>
      <c r="G594" s="20">
        <f>COUNTIFS(tData[SEHTrajectPeriodeDatumTijdVan],"&lt;="&amp;($A594+3/24),tData[SEHTrajectPeriodeDatumTijdTotEnMet],"&gt;"&amp;($A594+3/24),tData[Langligger01],1)</f>
        <v/>
      </c>
      <c r="H594" s="20">
        <f>COUNTIFS(tData[SEHTrajectPeriodeDatumTijdVan],"&lt;="&amp;($A594+4/24),tData[SEHTrajectPeriodeDatumTijdTotEnMet],"&gt;"&amp;($A594+4/24),tData[Langligger01],1)</f>
        <v/>
      </c>
      <c r="I594" s="20">
        <f>COUNTIFS(tData[SEHTrajectPeriodeDatumTijdVan],"&lt;="&amp;($A594+5/24),tData[SEHTrajectPeriodeDatumTijdTotEnMet],"&gt;"&amp;($A594+5/24),tData[Langligger01],1)</f>
        <v/>
      </c>
      <c r="J594" s="20">
        <f>COUNTIFS(tData[SEHTrajectPeriodeDatumTijdVan],"&lt;="&amp;($A594+6/24),tData[SEHTrajectPeriodeDatumTijdTotEnMet],"&gt;"&amp;($A594+6/24),tData[Langligger01],1)</f>
        <v/>
      </c>
      <c r="K594" s="20">
        <f>COUNTIFS(tData[SEHTrajectPeriodeDatumTijdVan],"&lt;="&amp;($A594+7/24),tData[SEHTrajectPeriodeDatumTijdTotEnMet],"&gt;"&amp;($A594+7/24),tData[Langligger01],1)</f>
        <v/>
      </c>
      <c r="L594" s="20">
        <f>COUNTIFS(tData[SEHTrajectPeriodeDatumTijdVan],"&lt;="&amp;($A594+8/24),tData[SEHTrajectPeriodeDatumTijdTotEnMet],"&gt;"&amp;($A594+8/24),tData[Langligger01],1)</f>
        <v/>
      </c>
      <c r="M594" s="20">
        <f>COUNTIFS(tData[SEHTrajectPeriodeDatumTijdVan],"&lt;="&amp;($A594+9/24),tData[SEHTrajectPeriodeDatumTijdTotEnMet],"&gt;"&amp;($A594+9/24),tData[Langligger01],1)</f>
        <v/>
      </c>
      <c r="N594" s="20">
        <f>COUNTIFS(tData[SEHTrajectPeriodeDatumTijdVan],"&lt;="&amp;($A594+10/24),tData[SEHTrajectPeriodeDatumTijdTotEnMet],"&gt;"&amp;($A594+10/24),tData[Langligger01],1)</f>
        <v/>
      </c>
      <c r="O594" s="20">
        <f>COUNTIFS(tData[SEHTrajectPeriodeDatumTijdVan],"&lt;="&amp;($A594+11/24),tData[SEHTrajectPeriodeDatumTijdTotEnMet],"&gt;"&amp;($A594+11/24),tData[Langligger01],1)</f>
        <v/>
      </c>
      <c r="P594" s="20">
        <f>COUNTIFS(tData[SEHTrajectPeriodeDatumTijdVan],"&lt;="&amp;($A594+12/24),tData[SEHTrajectPeriodeDatumTijdTotEnMet],"&gt;"&amp;($A594+12/24),tData[Langligger01],1)</f>
        <v/>
      </c>
      <c r="Q594" s="20">
        <f>COUNTIFS(tData[SEHTrajectPeriodeDatumTijdVan],"&lt;="&amp;($A594+13/24),tData[SEHTrajectPeriodeDatumTijdTotEnMet],"&gt;"&amp;($A594+13/24),tData[Langligger01],1)</f>
        <v/>
      </c>
      <c r="R594" s="20">
        <f>COUNTIFS(tData[SEHTrajectPeriodeDatumTijdVan],"&lt;="&amp;($A594+14/24),tData[SEHTrajectPeriodeDatumTijdTotEnMet],"&gt;"&amp;($A594+14/24),tData[Langligger01],1)</f>
        <v/>
      </c>
      <c r="S594" s="20">
        <f>COUNTIFS(tData[SEHTrajectPeriodeDatumTijdVan],"&lt;="&amp;($A594+15/24),tData[SEHTrajectPeriodeDatumTijdTotEnMet],"&gt;"&amp;($A594+15/24),tData[Langligger01],1)</f>
        <v/>
      </c>
      <c r="T594" s="20">
        <f>COUNTIFS(tData[SEHTrajectPeriodeDatumTijdVan],"&lt;="&amp;($A594+16/24),tData[SEHTrajectPeriodeDatumTijdTotEnMet],"&gt;"&amp;($A594+16/24),tData[Langligger01],1)</f>
        <v/>
      </c>
      <c r="U594" s="20">
        <f>COUNTIFS(tData[SEHTrajectPeriodeDatumTijdVan],"&lt;="&amp;($A594+17/24),tData[SEHTrajectPeriodeDatumTijdTotEnMet],"&gt;"&amp;($A594+17/24),tData[Langligger01],1)</f>
        <v/>
      </c>
      <c r="V594" s="20">
        <f>COUNTIFS(tData[SEHTrajectPeriodeDatumTijdVan],"&lt;="&amp;($A594+18/24),tData[SEHTrajectPeriodeDatumTijdTotEnMet],"&gt;"&amp;($A594+18/24),tData[Langligger01],1)</f>
        <v/>
      </c>
      <c r="W594" s="20">
        <f>COUNTIFS(tData[SEHTrajectPeriodeDatumTijdVan],"&lt;="&amp;($A594+19/24),tData[SEHTrajectPeriodeDatumTijdTotEnMet],"&gt;"&amp;($A594+19/24),tData[Langligger01],1)</f>
        <v/>
      </c>
      <c r="X594" s="20">
        <f>COUNTIFS(tData[SEHTrajectPeriodeDatumTijdVan],"&lt;="&amp;($A594+20/24),tData[SEHTrajectPeriodeDatumTijdTotEnMet],"&gt;"&amp;($A594+20/24),tData[Langligger01],1)</f>
        <v/>
      </c>
      <c r="Y594" s="20">
        <f>COUNTIFS(tData[SEHTrajectPeriodeDatumTijdVan],"&lt;="&amp;($A594+21/24),tData[SEHTrajectPeriodeDatumTijdTotEnMet],"&gt;"&amp;($A594+21/24),tData[Langligger01],1)</f>
        <v/>
      </c>
      <c r="Z594" s="20">
        <f>COUNTIFS(tData[SEHTrajectPeriodeDatumTijdVan],"&lt;="&amp;($A594+22/24),tData[SEHTrajectPeriodeDatumTijdTotEnMet],"&gt;"&amp;($A594+22/24),tData[Langligger01],1)</f>
        <v/>
      </c>
      <c r="AA594" s="20">
        <f>COUNTIFS(tData[SEHTrajectPeriodeDatumTijdVan],"&lt;="&amp;($A594+23/24),tData[SEHTrajectPeriodeDatumTijdTotEnMet],"&gt;"&amp;($A594+23/24),tData[Langligger01],1)</f>
        <v/>
      </c>
    </row>
    <row r="595">
      <c r="A595" s="19" t="n">
        <v>45883</v>
      </c>
      <c r="B595" s="15">
        <f>WEEKDAY($A595,2)</f>
        <v/>
      </c>
      <c r="C595" s="15">
        <f>IF(AND($A595&gt;=INT(Instellingen!$B$5),$A595&lt;=INT(Instellingen!$B$6)),1,0)</f>
        <v/>
      </c>
      <c r="D595" s="20">
        <f>COUNTIFS(tData[SEHTrajectPeriodeDatumTijdVan],"&lt;="&amp;($A595+0/24),tData[SEHTrajectPeriodeDatumTijdTotEnMet],"&gt;"&amp;($A595+0/24),tData[Langligger01],1)</f>
        <v/>
      </c>
      <c r="E595" s="20">
        <f>COUNTIFS(tData[SEHTrajectPeriodeDatumTijdVan],"&lt;="&amp;($A595+1/24),tData[SEHTrajectPeriodeDatumTijdTotEnMet],"&gt;"&amp;($A595+1/24),tData[Langligger01],1)</f>
        <v/>
      </c>
      <c r="F595" s="20">
        <f>COUNTIFS(tData[SEHTrajectPeriodeDatumTijdVan],"&lt;="&amp;($A595+2/24),tData[SEHTrajectPeriodeDatumTijdTotEnMet],"&gt;"&amp;($A595+2/24),tData[Langligger01],1)</f>
        <v/>
      </c>
      <c r="G595" s="20">
        <f>COUNTIFS(tData[SEHTrajectPeriodeDatumTijdVan],"&lt;="&amp;($A595+3/24),tData[SEHTrajectPeriodeDatumTijdTotEnMet],"&gt;"&amp;($A595+3/24),tData[Langligger01],1)</f>
        <v/>
      </c>
      <c r="H595" s="20">
        <f>COUNTIFS(tData[SEHTrajectPeriodeDatumTijdVan],"&lt;="&amp;($A595+4/24),tData[SEHTrajectPeriodeDatumTijdTotEnMet],"&gt;"&amp;($A595+4/24),tData[Langligger01],1)</f>
        <v/>
      </c>
      <c r="I595" s="20">
        <f>COUNTIFS(tData[SEHTrajectPeriodeDatumTijdVan],"&lt;="&amp;($A595+5/24),tData[SEHTrajectPeriodeDatumTijdTotEnMet],"&gt;"&amp;($A595+5/24),tData[Langligger01],1)</f>
        <v/>
      </c>
      <c r="J595" s="20">
        <f>COUNTIFS(tData[SEHTrajectPeriodeDatumTijdVan],"&lt;="&amp;($A595+6/24),tData[SEHTrajectPeriodeDatumTijdTotEnMet],"&gt;"&amp;($A595+6/24),tData[Langligger01],1)</f>
        <v/>
      </c>
      <c r="K595" s="20">
        <f>COUNTIFS(tData[SEHTrajectPeriodeDatumTijdVan],"&lt;="&amp;($A595+7/24),tData[SEHTrajectPeriodeDatumTijdTotEnMet],"&gt;"&amp;($A595+7/24),tData[Langligger01],1)</f>
        <v/>
      </c>
      <c r="L595" s="20">
        <f>COUNTIFS(tData[SEHTrajectPeriodeDatumTijdVan],"&lt;="&amp;($A595+8/24),tData[SEHTrajectPeriodeDatumTijdTotEnMet],"&gt;"&amp;($A595+8/24),tData[Langligger01],1)</f>
        <v/>
      </c>
      <c r="M595" s="20">
        <f>COUNTIFS(tData[SEHTrajectPeriodeDatumTijdVan],"&lt;="&amp;($A595+9/24),tData[SEHTrajectPeriodeDatumTijdTotEnMet],"&gt;"&amp;($A595+9/24),tData[Langligger01],1)</f>
        <v/>
      </c>
      <c r="N595" s="20">
        <f>COUNTIFS(tData[SEHTrajectPeriodeDatumTijdVan],"&lt;="&amp;($A595+10/24),tData[SEHTrajectPeriodeDatumTijdTotEnMet],"&gt;"&amp;($A595+10/24),tData[Langligger01],1)</f>
        <v/>
      </c>
      <c r="O595" s="20">
        <f>COUNTIFS(tData[SEHTrajectPeriodeDatumTijdVan],"&lt;="&amp;($A595+11/24),tData[SEHTrajectPeriodeDatumTijdTotEnMet],"&gt;"&amp;($A595+11/24),tData[Langligger01],1)</f>
        <v/>
      </c>
      <c r="P595" s="20">
        <f>COUNTIFS(tData[SEHTrajectPeriodeDatumTijdVan],"&lt;="&amp;($A595+12/24),tData[SEHTrajectPeriodeDatumTijdTotEnMet],"&gt;"&amp;($A595+12/24),tData[Langligger01],1)</f>
        <v/>
      </c>
      <c r="Q595" s="20">
        <f>COUNTIFS(tData[SEHTrajectPeriodeDatumTijdVan],"&lt;="&amp;($A595+13/24),tData[SEHTrajectPeriodeDatumTijdTotEnMet],"&gt;"&amp;($A595+13/24),tData[Langligger01],1)</f>
        <v/>
      </c>
      <c r="R595" s="20">
        <f>COUNTIFS(tData[SEHTrajectPeriodeDatumTijdVan],"&lt;="&amp;($A595+14/24),tData[SEHTrajectPeriodeDatumTijdTotEnMet],"&gt;"&amp;($A595+14/24),tData[Langligger01],1)</f>
        <v/>
      </c>
      <c r="S595" s="20">
        <f>COUNTIFS(tData[SEHTrajectPeriodeDatumTijdVan],"&lt;="&amp;($A595+15/24),tData[SEHTrajectPeriodeDatumTijdTotEnMet],"&gt;"&amp;($A595+15/24),tData[Langligger01],1)</f>
        <v/>
      </c>
      <c r="T595" s="20">
        <f>COUNTIFS(tData[SEHTrajectPeriodeDatumTijdVan],"&lt;="&amp;($A595+16/24),tData[SEHTrajectPeriodeDatumTijdTotEnMet],"&gt;"&amp;($A595+16/24),tData[Langligger01],1)</f>
        <v/>
      </c>
      <c r="U595" s="20">
        <f>COUNTIFS(tData[SEHTrajectPeriodeDatumTijdVan],"&lt;="&amp;($A595+17/24),tData[SEHTrajectPeriodeDatumTijdTotEnMet],"&gt;"&amp;($A595+17/24),tData[Langligger01],1)</f>
        <v/>
      </c>
      <c r="V595" s="20">
        <f>COUNTIFS(tData[SEHTrajectPeriodeDatumTijdVan],"&lt;="&amp;($A595+18/24),tData[SEHTrajectPeriodeDatumTijdTotEnMet],"&gt;"&amp;($A595+18/24),tData[Langligger01],1)</f>
        <v/>
      </c>
      <c r="W595" s="20">
        <f>COUNTIFS(tData[SEHTrajectPeriodeDatumTijdVan],"&lt;="&amp;($A595+19/24),tData[SEHTrajectPeriodeDatumTijdTotEnMet],"&gt;"&amp;($A595+19/24),tData[Langligger01],1)</f>
        <v/>
      </c>
      <c r="X595" s="20">
        <f>COUNTIFS(tData[SEHTrajectPeriodeDatumTijdVan],"&lt;="&amp;($A595+20/24),tData[SEHTrajectPeriodeDatumTijdTotEnMet],"&gt;"&amp;($A595+20/24),tData[Langligger01],1)</f>
        <v/>
      </c>
      <c r="Y595" s="20">
        <f>COUNTIFS(tData[SEHTrajectPeriodeDatumTijdVan],"&lt;="&amp;($A595+21/24),tData[SEHTrajectPeriodeDatumTijdTotEnMet],"&gt;"&amp;($A595+21/24),tData[Langligger01],1)</f>
        <v/>
      </c>
      <c r="Z595" s="20">
        <f>COUNTIFS(tData[SEHTrajectPeriodeDatumTijdVan],"&lt;="&amp;($A595+22/24),tData[SEHTrajectPeriodeDatumTijdTotEnMet],"&gt;"&amp;($A595+22/24),tData[Langligger01],1)</f>
        <v/>
      </c>
      <c r="AA595" s="20">
        <f>COUNTIFS(tData[SEHTrajectPeriodeDatumTijdVan],"&lt;="&amp;($A595+23/24),tData[SEHTrajectPeriodeDatumTijdTotEnMet],"&gt;"&amp;($A595+23/24),tData[Langligger01],1)</f>
        <v/>
      </c>
    </row>
    <row r="596">
      <c r="A596" s="19" t="n">
        <v>45884</v>
      </c>
      <c r="B596" s="15">
        <f>WEEKDAY($A596,2)</f>
        <v/>
      </c>
      <c r="C596" s="15">
        <f>IF(AND($A596&gt;=INT(Instellingen!$B$5),$A596&lt;=INT(Instellingen!$B$6)),1,0)</f>
        <v/>
      </c>
      <c r="D596" s="20">
        <f>COUNTIFS(tData[SEHTrajectPeriodeDatumTijdVan],"&lt;="&amp;($A596+0/24),tData[SEHTrajectPeriodeDatumTijdTotEnMet],"&gt;"&amp;($A596+0/24),tData[Langligger01],1)</f>
        <v/>
      </c>
      <c r="E596" s="20">
        <f>COUNTIFS(tData[SEHTrajectPeriodeDatumTijdVan],"&lt;="&amp;($A596+1/24),tData[SEHTrajectPeriodeDatumTijdTotEnMet],"&gt;"&amp;($A596+1/24),tData[Langligger01],1)</f>
        <v/>
      </c>
      <c r="F596" s="20">
        <f>COUNTIFS(tData[SEHTrajectPeriodeDatumTijdVan],"&lt;="&amp;($A596+2/24),tData[SEHTrajectPeriodeDatumTijdTotEnMet],"&gt;"&amp;($A596+2/24),tData[Langligger01],1)</f>
        <v/>
      </c>
      <c r="G596" s="20">
        <f>COUNTIFS(tData[SEHTrajectPeriodeDatumTijdVan],"&lt;="&amp;($A596+3/24),tData[SEHTrajectPeriodeDatumTijdTotEnMet],"&gt;"&amp;($A596+3/24),tData[Langligger01],1)</f>
        <v/>
      </c>
      <c r="H596" s="20">
        <f>COUNTIFS(tData[SEHTrajectPeriodeDatumTijdVan],"&lt;="&amp;($A596+4/24),tData[SEHTrajectPeriodeDatumTijdTotEnMet],"&gt;"&amp;($A596+4/24),tData[Langligger01],1)</f>
        <v/>
      </c>
      <c r="I596" s="20">
        <f>COUNTIFS(tData[SEHTrajectPeriodeDatumTijdVan],"&lt;="&amp;($A596+5/24),tData[SEHTrajectPeriodeDatumTijdTotEnMet],"&gt;"&amp;($A596+5/24),tData[Langligger01],1)</f>
        <v/>
      </c>
      <c r="J596" s="20">
        <f>COUNTIFS(tData[SEHTrajectPeriodeDatumTijdVan],"&lt;="&amp;($A596+6/24),tData[SEHTrajectPeriodeDatumTijdTotEnMet],"&gt;"&amp;($A596+6/24),tData[Langligger01],1)</f>
        <v/>
      </c>
      <c r="K596" s="20">
        <f>COUNTIFS(tData[SEHTrajectPeriodeDatumTijdVan],"&lt;="&amp;($A596+7/24),tData[SEHTrajectPeriodeDatumTijdTotEnMet],"&gt;"&amp;($A596+7/24),tData[Langligger01],1)</f>
        <v/>
      </c>
      <c r="L596" s="20">
        <f>COUNTIFS(tData[SEHTrajectPeriodeDatumTijdVan],"&lt;="&amp;($A596+8/24),tData[SEHTrajectPeriodeDatumTijdTotEnMet],"&gt;"&amp;($A596+8/24),tData[Langligger01],1)</f>
        <v/>
      </c>
      <c r="M596" s="20">
        <f>COUNTIFS(tData[SEHTrajectPeriodeDatumTijdVan],"&lt;="&amp;($A596+9/24),tData[SEHTrajectPeriodeDatumTijdTotEnMet],"&gt;"&amp;($A596+9/24),tData[Langligger01],1)</f>
        <v/>
      </c>
      <c r="N596" s="20">
        <f>COUNTIFS(tData[SEHTrajectPeriodeDatumTijdVan],"&lt;="&amp;($A596+10/24),tData[SEHTrajectPeriodeDatumTijdTotEnMet],"&gt;"&amp;($A596+10/24),tData[Langligger01],1)</f>
        <v/>
      </c>
      <c r="O596" s="20">
        <f>COUNTIFS(tData[SEHTrajectPeriodeDatumTijdVan],"&lt;="&amp;($A596+11/24),tData[SEHTrajectPeriodeDatumTijdTotEnMet],"&gt;"&amp;($A596+11/24),tData[Langligger01],1)</f>
        <v/>
      </c>
      <c r="P596" s="20">
        <f>COUNTIFS(tData[SEHTrajectPeriodeDatumTijdVan],"&lt;="&amp;($A596+12/24),tData[SEHTrajectPeriodeDatumTijdTotEnMet],"&gt;"&amp;($A596+12/24),tData[Langligger01],1)</f>
        <v/>
      </c>
      <c r="Q596" s="20">
        <f>COUNTIFS(tData[SEHTrajectPeriodeDatumTijdVan],"&lt;="&amp;($A596+13/24),tData[SEHTrajectPeriodeDatumTijdTotEnMet],"&gt;"&amp;($A596+13/24),tData[Langligger01],1)</f>
        <v/>
      </c>
      <c r="R596" s="20">
        <f>COUNTIFS(tData[SEHTrajectPeriodeDatumTijdVan],"&lt;="&amp;($A596+14/24),tData[SEHTrajectPeriodeDatumTijdTotEnMet],"&gt;"&amp;($A596+14/24),tData[Langligger01],1)</f>
        <v/>
      </c>
      <c r="S596" s="20">
        <f>COUNTIFS(tData[SEHTrajectPeriodeDatumTijdVan],"&lt;="&amp;($A596+15/24),tData[SEHTrajectPeriodeDatumTijdTotEnMet],"&gt;"&amp;($A596+15/24),tData[Langligger01],1)</f>
        <v/>
      </c>
      <c r="T596" s="20">
        <f>COUNTIFS(tData[SEHTrajectPeriodeDatumTijdVan],"&lt;="&amp;($A596+16/24),tData[SEHTrajectPeriodeDatumTijdTotEnMet],"&gt;"&amp;($A596+16/24),tData[Langligger01],1)</f>
        <v/>
      </c>
      <c r="U596" s="20">
        <f>COUNTIFS(tData[SEHTrajectPeriodeDatumTijdVan],"&lt;="&amp;($A596+17/24),tData[SEHTrajectPeriodeDatumTijdTotEnMet],"&gt;"&amp;($A596+17/24),tData[Langligger01],1)</f>
        <v/>
      </c>
      <c r="V596" s="20">
        <f>COUNTIFS(tData[SEHTrajectPeriodeDatumTijdVan],"&lt;="&amp;($A596+18/24),tData[SEHTrajectPeriodeDatumTijdTotEnMet],"&gt;"&amp;($A596+18/24),tData[Langligger01],1)</f>
        <v/>
      </c>
      <c r="W596" s="20">
        <f>COUNTIFS(tData[SEHTrajectPeriodeDatumTijdVan],"&lt;="&amp;($A596+19/24),tData[SEHTrajectPeriodeDatumTijdTotEnMet],"&gt;"&amp;($A596+19/24),tData[Langligger01],1)</f>
        <v/>
      </c>
      <c r="X596" s="20">
        <f>COUNTIFS(tData[SEHTrajectPeriodeDatumTijdVan],"&lt;="&amp;($A596+20/24),tData[SEHTrajectPeriodeDatumTijdTotEnMet],"&gt;"&amp;($A596+20/24),tData[Langligger01],1)</f>
        <v/>
      </c>
      <c r="Y596" s="20">
        <f>COUNTIFS(tData[SEHTrajectPeriodeDatumTijdVan],"&lt;="&amp;($A596+21/24),tData[SEHTrajectPeriodeDatumTijdTotEnMet],"&gt;"&amp;($A596+21/24),tData[Langligger01],1)</f>
        <v/>
      </c>
      <c r="Z596" s="20">
        <f>COUNTIFS(tData[SEHTrajectPeriodeDatumTijdVan],"&lt;="&amp;($A596+22/24),tData[SEHTrajectPeriodeDatumTijdTotEnMet],"&gt;"&amp;($A596+22/24),tData[Langligger01],1)</f>
        <v/>
      </c>
      <c r="AA596" s="20">
        <f>COUNTIFS(tData[SEHTrajectPeriodeDatumTijdVan],"&lt;="&amp;($A596+23/24),tData[SEHTrajectPeriodeDatumTijdTotEnMet],"&gt;"&amp;($A596+23/24),tData[Langligger01],1)</f>
        <v/>
      </c>
    </row>
    <row r="597">
      <c r="A597" s="19" t="n">
        <v>45885</v>
      </c>
      <c r="B597" s="15">
        <f>WEEKDAY($A597,2)</f>
        <v/>
      </c>
      <c r="C597" s="15">
        <f>IF(AND($A597&gt;=INT(Instellingen!$B$5),$A597&lt;=INT(Instellingen!$B$6)),1,0)</f>
        <v/>
      </c>
      <c r="D597" s="20">
        <f>COUNTIFS(tData[SEHTrajectPeriodeDatumTijdVan],"&lt;="&amp;($A597+0/24),tData[SEHTrajectPeriodeDatumTijdTotEnMet],"&gt;"&amp;($A597+0/24),tData[Langligger01],1)</f>
        <v/>
      </c>
      <c r="E597" s="20">
        <f>COUNTIFS(tData[SEHTrajectPeriodeDatumTijdVan],"&lt;="&amp;($A597+1/24),tData[SEHTrajectPeriodeDatumTijdTotEnMet],"&gt;"&amp;($A597+1/24),tData[Langligger01],1)</f>
        <v/>
      </c>
      <c r="F597" s="20">
        <f>COUNTIFS(tData[SEHTrajectPeriodeDatumTijdVan],"&lt;="&amp;($A597+2/24),tData[SEHTrajectPeriodeDatumTijdTotEnMet],"&gt;"&amp;($A597+2/24),tData[Langligger01],1)</f>
        <v/>
      </c>
      <c r="G597" s="20">
        <f>COUNTIFS(tData[SEHTrajectPeriodeDatumTijdVan],"&lt;="&amp;($A597+3/24),tData[SEHTrajectPeriodeDatumTijdTotEnMet],"&gt;"&amp;($A597+3/24),tData[Langligger01],1)</f>
        <v/>
      </c>
      <c r="H597" s="20">
        <f>COUNTIFS(tData[SEHTrajectPeriodeDatumTijdVan],"&lt;="&amp;($A597+4/24),tData[SEHTrajectPeriodeDatumTijdTotEnMet],"&gt;"&amp;($A597+4/24),tData[Langligger01],1)</f>
        <v/>
      </c>
      <c r="I597" s="20">
        <f>COUNTIFS(tData[SEHTrajectPeriodeDatumTijdVan],"&lt;="&amp;($A597+5/24),tData[SEHTrajectPeriodeDatumTijdTotEnMet],"&gt;"&amp;($A597+5/24),tData[Langligger01],1)</f>
        <v/>
      </c>
      <c r="J597" s="20">
        <f>COUNTIFS(tData[SEHTrajectPeriodeDatumTijdVan],"&lt;="&amp;($A597+6/24),tData[SEHTrajectPeriodeDatumTijdTotEnMet],"&gt;"&amp;($A597+6/24),tData[Langligger01],1)</f>
        <v/>
      </c>
      <c r="K597" s="20">
        <f>COUNTIFS(tData[SEHTrajectPeriodeDatumTijdVan],"&lt;="&amp;($A597+7/24),tData[SEHTrajectPeriodeDatumTijdTotEnMet],"&gt;"&amp;($A597+7/24),tData[Langligger01],1)</f>
        <v/>
      </c>
      <c r="L597" s="20">
        <f>COUNTIFS(tData[SEHTrajectPeriodeDatumTijdVan],"&lt;="&amp;($A597+8/24),tData[SEHTrajectPeriodeDatumTijdTotEnMet],"&gt;"&amp;($A597+8/24),tData[Langligger01],1)</f>
        <v/>
      </c>
      <c r="M597" s="20">
        <f>COUNTIFS(tData[SEHTrajectPeriodeDatumTijdVan],"&lt;="&amp;($A597+9/24),tData[SEHTrajectPeriodeDatumTijdTotEnMet],"&gt;"&amp;($A597+9/24),tData[Langligger01],1)</f>
        <v/>
      </c>
      <c r="N597" s="20">
        <f>COUNTIFS(tData[SEHTrajectPeriodeDatumTijdVan],"&lt;="&amp;($A597+10/24),tData[SEHTrajectPeriodeDatumTijdTotEnMet],"&gt;"&amp;($A597+10/24),tData[Langligger01],1)</f>
        <v/>
      </c>
      <c r="O597" s="20">
        <f>COUNTIFS(tData[SEHTrajectPeriodeDatumTijdVan],"&lt;="&amp;($A597+11/24),tData[SEHTrajectPeriodeDatumTijdTotEnMet],"&gt;"&amp;($A597+11/24),tData[Langligger01],1)</f>
        <v/>
      </c>
      <c r="P597" s="20">
        <f>COUNTIFS(tData[SEHTrajectPeriodeDatumTijdVan],"&lt;="&amp;($A597+12/24),tData[SEHTrajectPeriodeDatumTijdTotEnMet],"&gt;"&amp;($A597+12/24),tData[Langligger01],1)</f>
        <v/>
      </c>
      <c r="Q597" s="20">
        <f>COUNTIFS(tData[SEHTrajectPeriodeDatumTijdVan],"&lt;="&amp;($A597+13/24),tData[SEHTrajectPeriodeDatumTijdTotEnMet],"&gt;"&amp;($A597+13/24),tData[Langligger01],1)</f>
        <v/>
      </c>
      <c r="R597" s="20">
        <f>COUNTIFS(tData[SEHTrajectPeriodeDatumTijdVan],"&lt;="&amp;($A597+14/24),tData[SEHTrajectPeriodeDatumTijdTotEnMet],"&gt;"&amp;($A597+14/24),tData[Langligger01],1)</f>
        <v/>
      </c>
      <c r="S597" s="20">
        <f>COUNTIFS(tData[SEHTrajectPeriodeDatumTijdVan],"&lt;="&amp;($A597+15/24),tData[SEHTrajectPeriodeDatumTijdTotEnMet],"&gt;"&amp;($A597+15/24),tData[Langligger01],1)</f>
        <v/>
      </c>
      <c r="T597" s="20">
        <f>COUNTIFS(tData[SEHTrajectPeriodeDatumTijdVan],"&lt;="&amp;($A597+16/24),tData[SEHTrajectPeriodeDatumTijdTotEnMet],"&gt;"&amp;($A597+16/24),tData[Langligger01],1)</f>
        <v/>
      </c>
      <c r="U597" s="20">
        <f>COUNTIFS(tData[SEHTrajectPeriodeDatumTijdVan],"&lt;="&amp;($A597+17/24),tData[SEHTrajectPeriodeDatumTijdTotEnMet],"&gt;"&amp;($A597+17/24),tData[Langligger01],1)</f>
        <v/>
      </c>
      <c r="V597" s="20">
        <f>COUNTIFS(tData[SEHTrajectPeriodeDatumTijdVan],"&lt;="&amp;($A597+18/24),tData[SEHTrajectPeriodeDatumTijdTotEnMet],"&gt;"&amp;($A597+18/24),tData[Langligger01],1)</f>
        <v/>
      </c>
      <c r="W597" s="20">
        <f>COUNTIFS(tData[SEHTrajectPeriodeDatumTijdVan],"&lt;="&amp;($A597+19/24),tData[SEHTrajectPeriodeDatumTijdTotEnMet],"&gt;"&amp;($A597+19/24),tData[Langligger01],1)</f>
        <v/>
      </c>
      <c r="X597" s="20">
        <f>COUNTIFS(tData[SEHTrajectPeriodeDatumTijdVan],"&lt;="&amp;($A597+20/24),tData[SEHTrajectPeriodeDatumTijdTotEnMet],"&gt;"&amp;($A597+20/24),tData[Langligger01],1)</f>
        <v/>
      </c>
      <c r="Y597" s="20">
        <f>COUNTIFS(tData[SEHTrajectPeriodeDatumTijdVan],"&lt;="&amp;($A597+21/24),tData[SEHTrajectPeriodeDatumTijdTotEnMet],"&gt;"&amp;($A597+21/24),tData[Langligger01],1)</f>
        <v/>
      </c>
      <c r="Z597" s="20">
        <f>COUNTIFS(tData[SEHTrajectPeriodeDatumTijdVan],"&lt;="&amp;($A597+22/24),tData[SEHTrajectPeriodeDatumTijdTotEnMet],"&gt;"&amp;($A597+22/24),tData[Langligger01],1)</f>
        <v/>
      </c>
      <c r="AA597" s="20">
        <f>COUNTIFS(tData[SEHTrajectPeriodeDatumTijdVan],"&lt;="&amp;($A597+23/24),tData[SEHTrajectPeriodeDatumTijdTotEnMet],"&gt;"&amp;($A597+23/24),tData[Langligger01],1)</f>
        <v/>
      </c>
    </row>
    <row r="598">
      <c r="A598" s="19" t="n">
        <v>45886</v>
      </c>
      <c r="B598" s="15">
        <f>WEEKDAY($A598,2)</f>
        <v/>
      </c>
      <c r="C598" s="15">
        <f>IF(AND($A598&gt;=INT(Instellingen!$B$5),$A598&lt;=INT(Instellingen!$B$6)),1,0)</f>
        <v/>
      </c>
      <c r="D598" s="20">
        <f>COUNTIFS(tData[SEHTrajectPeriodeDatumTijdVan],"&lt;="&amp;($A598+0/24),tData[SEHTrajectPeriodeDatumTijdTotEnMet],"&gt;"&amp;($A598+0/24),tData[Langligger01],1)</f>
        <v/>
      </c>
      <c r="E598" s="20">
        <f>COUNTIFS(tData[SEHTrajectPeriodeDatumTijdVan],"&lt;="&amp;($A598+1/24),tData[SEHTrajectPeriodeDatumTijdTotEnMet],"&gt;"&amp;($A598+1/24),tData[Langligger01],1)</f>
        <v/>
      </c>
      <c r="F598" s="20">
        <f>COUNTIFS(tData[SEHTrajectPeriodeDatumTijdVan],"&lt;="&amp;($A598+2/24),tData[SEHTrajectPeriodeDatumTijdTotEnMet],"&gt;"&amp;($A598+2/24),tData[Langligger01],1)</f>
        <v/>
      </c>
      <c r="G598" s="20">
        <f>COUNTIFS(tData[SEHTrajectPeriodeDatumTijdVan],"&lt;="&amp;($A598+3/24),tData[SEHTrajectPeriodeDatumTijdTotEnMet],"&gt;"&amp;($A598+3/24),tData[Langligger01],1)</f>
        <v/>
      </c>
      <c r="H598" s="20">
        <f>COUNTIFS(tData[SEHTrajectPeriodeDatumTijdVan],"&lt;="&amp;($A598+4/24),tData[SEHTrajectPeriodeDatumTijdTotEnMet],"&gt;"&amp;($A598+4/24),tData[Langligger01],1)</f>
        <v/>
      </c>
      <c r="I598" s="20">
        <f>COUNTIFS(tData[SEHTrajectPeriodeDatumTijdVan],"&lt;="&amp;($A598+5/24),tData[SEHTrajectPeriodeDatumTijdTotEnMet],"&gt;"&amp;($A598+5/24),tData[Langligger01],1)</f>
        <v/>
      </c>
      <c r="J598" s="20">
        <f>COUNTIFS(tData[SEHTrajectPeriodeDatumTijdVan],"&lt;="&amp;($A598+6/24),tData[SEHTrajectPeriodeDatumTijdTotEnMet],"&gt;"&amp;($A598+6/24),tData[Langligger01],1)</f>
        <v/>
      </c>
      <c r="K598" s="20">
        <f>COUNTIFS(tData[SEHTrajectPeriodeDatumTijdVan],"&lt;="&amp;($A598+7/24),tData[SEHTrajectPeriodeDatumTijdTotEnMet],"&gt;"&amp;($A598+7/24),tData[Langligger01],1)</f>
        <v/>
      </c>
      <c r="L598" s="20">
        <f>COUNTIFS(tData[SEHTrajectPeriodeDatumTijdVan],"&lt;="&amp;($A598+8/24),tData[SEHTrajectPeriodeDatumTijdTotEnMet],"&gt;"&amp;($A598+8/24),tData[Langligger01],1)</f>
        <v/>
      </c>
      <c r="M598" s="20">
        <f>COUNTIFS(tData[SEHTrajectPeriodeDatumTijdVan],"&lt;="&amp;($A598+9/24),tData[SEHTrajectPeriodeDatumTijdTotEnMet],"&gt;"&amp;($A598+9/24),tData[Langligger01],1)</f>
        <v/>
      </c>
      <c r="N598" s="20">
        <f>COUNTIFS(tData[SEHTrajectPeriodeDatumTijdVan],"&lt;="&amp;($A598+10/24),tData[SEHTrajectPeriodeDatumTijdTotEnMet],"&gt;"&amp;($A598+10/24),tData[Langligger01],1)</f>
        <v/>
      </c>
      <c r="O598" s="20">
        <f>COUNTIFS(tData[SEHTrajectPeriodeDatumTijdVan],"&lt;="&amp;($A598+11/24),tData[SEHTrajectPeriodeDatumTijdTotEnMet],"&gt;"&amp;($A598+11/24),tData[Langligger01],1)</f>
        <v/>
      </c>
      <c r="P598" s="20">
        <f>COUNTIFS(tData[SEHTrajectPeriodeDatumTijdVan],"&lt;="&amp;($A598+12/24),tData[SEHTrajectPeriodeDatumTijdTotEnMet],"&gt;"&amp;($A598+12/24),tData[Langligger01],1)</f>
        <v/>
      </c>
      <c r="Q598" s="20">
        <f>COUNTIFS(tData[SEHTrajectPeriodeDatumTijdVan],"&lt;="&amp;($A598+13/24),tData[SEHTrajectPeriodeDatumTijdTotEnMet],"&gt;"&amp;($A598+13/24),tData[Langligger01],1)</f>
        <v/>
      </c>
      <c r="R598" s="20">
        <f>COUNTIFS(tData[SEHTrajectPeriodeDatumTijdVan],"&lt;="&amp;($A598+14/24),tData[SEHTrajectPeriodeDatumTijdTotEnMet],"&gt;"&amp;($A598+14/24),tData[Langligger01],1)</f>
        <v/>
      </c>
      <c r="S598" s="20">
        <f>COUNTIFS(tData[SEHTrajectPeriodeDatumTijdVan],"&lt;="&amp;($A598+15/24),tData[SEHTrajectPeriodeDatumTijdTotEnMet],"&gt;"&amp;($A598+15/24),tData[Langligger01],1)</f>
        <v/>
      </c>
      <c r="T598" s="20">
        <f>COUNTIFS(tData[SEHTrajectPeriodeDatumTijdVan],"&lt;="&amp;($A598+16/24),tData[SEHTrajectPeriodeDatumTijdTotEnMet],"&gt;"&amp;($A598+16/24),tData[Langligger01],1)</f>
        <v/>
      </c>
      <c r="U598" s="20">
        <f>COUNTIFS(tData[SEHTrajectPeriodeDatumTijdVan],"&lt;="&amp;($A598+17/24),tData[SEHTrajectPeriodeDatumTijdTotEnMet],"&gt;"&amp;($A598+17/24),tData[Langligger01],1)</f>
        <v/>
      </c>
      <c r="V598" s="20">
        <f>COUNTIFS(tData[SEHTrajectPeriodeDatumTijdVan],"&lt;="&amp;($A598+18/24),tData[SEHTrajectPeriodeDatumTijdTotEnMet],"&gt;"&amp;($A598+18/24),tData[Langligger01],1)</f>
        <v/>
      </c>
      <c r="W598" s="20">
        <f>COUNTIFS(tData[SEHTrajectPeriodeDatumTijdVan],"&lt;="&amp;($A598+19/24),tData[SEHTrajectPeriodeDatumTijdTotEnMet],"&gt;"&amp;($A598+19/24),tData[Langligger01],1)</f>
        <v/>
      </c>
      <c r="X598" s="20">
        <f>COUNTIFS(tData[SEHTrajectPeriodeDatumTijdVan],"&lt;="&amp;($A598+20/24),tData[SEHTrajectPeriodeDatumTijdTotEnMet],"&gt;"&amp;($A598+20/24),tData[Langligger01],1)</f>
        <v/>
      </c>
      <c r="Y598" s="20">
        <f>COUNTIFS(tData[SEHTrajectPeriodeDatumTijdVan],"&lt;="&amp;($A598+21/24),tData[SEHTrajectPeriodeDatumTijdTotEnMet],"&gt;"&amp;($A598+21/24),tData[Langligger01],1)</f>
        <v/>
      </c>
      <c r="Z598" s="20">
        <f>COUNTIFS(tData[SEHTrajectPeriodeDatumTijdVan],"&lt;="&amp;($A598+22/24),tData[SEHTrajectPeriodeDatumTijdTotEnMet],"&gt;"&amp;($A598+22/24),tData[Langligger01],1)</f>
        <v/>
      </c>
      <c r="AA598" s="20">
        <f>COUNTIFS(tData[SEHTrajectPeriodeDatumTijdVan],"&lt;="&amp;($A598+23/24),tData[SEHTrajectPeriodeDatumTijdTotEnMet],"&gt;"&amp;($A598+23/24),tData[Langligger01],1)</f>
        <v/>
      </c>
    </row>
    <row r="599">
      <c r="A599" s="19" t="n">
        <v>45887</v>
      </c>
      <c r="B599" s="15">
        <f>WEEKDAY($A599,2)</f>
        <v/>
      </c>
      <c r="C599" s="15">
        <f>IF(AND($A599&gt;=INT(Instellingen!$B$5),$A599&lt;=INT(Instellingen!$B$6)),1,0)</f>
        <v/>
      </c>
      <c r="D599" s="20">
        <f>COUNTIFS(tData[SEHTrajectPeriodeDatumTijdVan],"&lt;="&amp;($A599+0/24),tData[SEHTrajectPeriodeDatumTijdTotEnMet],"&gt;"&amp;($A599+0/24),tData[Langligger01],1)</f>
        <v/>
      </c>
      <c r="E599" s="20">
        <f>COUNTIFS(tData[SEHTrajectPeriodeDatumTijdVan],"&lt;="&amp;($A599+1/24),tData[SEHTrajectPeriodeDatumTijdTotEnMet],"&gt;"&amp;($A599+1/24),tData[Langligger01],1)</f>
        <v/>
      </c>
      <c r="F599" s="20">
        <f>COUNTIFS(tData[SEHTrajectPeriodeDatumTijdVan],"&lt;="&amp;($A599+2/24),tData[SEHTrajectPeriodeDatumTijdTotEnMet],"&gt;"&amp;($A599+2/24),tData[Langligger01],1)</f>
        <v/>
      </c>
      <c r="G599" s="20">
        <f>COUNTIFS(tData[SEHTrajectPeriodeDatumTijdVan],"&lt;="&amp;($A599+3/24),tData[SEHTrajectPeriodeDatumTijdTotEnMet],"&gt;"&amp;($A599+3/24),tData[Langligger01],1)</f>
        <v/>
      </c>
      <c r="H599" s="20">
        <f>COUNTIFS(tData[SEHTrajectPeriodeDatumTijdVan],"&lt;="&amp;($A599+4/24),tData[SEHTrajectPeriodeDatumTijdTotEnMet],"&gt;"&amp;($A599+4/24),tData[Langligger01],1)</f>
        <v/>
      </c>
      <c r="I599" s="20">
        <f>COUNTIFS(tData[SEHTrajectPeriodeDatumTijdVan],"&lt;="&amp;($A599+5/24),tData[SEHTrajectPeriodeDatumTijdTotEnMet],"&gt;"&amp;($A599+5/24),tData[Langligger01],1)</f>
        <v/>
      </c>
      <c r="J599" s="20">
        <f>COUNTIFS(tData[SEHTrajectPeriodeDatumTijdVan],"&lt;="&amp;($A599+6/24),tData[SEHTrajectPeriodeDatumTijdTotEnMet],"&gt;"&amp;($A599+6/24),tData[Langligger01],1)</f>
        <v/>
      </c>
      <c r="K599" s="20">
        <f>COUNTIFS(tData[SEHTrajectPeriodeDatumTijdVan],"&lt;="&amp;($A599+7/24),tData[SEHTrajectPeriodeDatumTijdTotEnMet],"&gt;"&amp;($A599+7/24),tData[Langligger01],1)</f>
        <v/>
      </c>
      <c r="L599" s="20">
        <f>COUNTIFS(tData[SEHTrajectPeriodeDatumTijdVan],"&lt;="&amp;($A599+8/24),tData[SEHTrajectPeriodeDatumTijdTotEnMet],"&gt;"&amp;($A599+8/24),tData[Langligger01],1)</f>
        <v/>
      </c>
      <c r="M599" s="20">
        <f>COUNTIFS(tData[SEHTrajectPeriodeDatumTijdVan],"&lt;="&amp;($A599+9/24),tData[SEHTrajectPeriodeDatumTijdTotEnMet],"&gt;"&amp;($A599+9/24),tData[Langligger01],1)</f>
        <v/>
      </c>
      <c r="N599" s="20">
        <f>COUNTIFS(tData[SEHTrajectPeriodeDatumTijdVan],"&lt;="&amp;($A599+10/24),tData[SEHTrajectPeriodeDatumTijdTotEnMet],"&gt;"&amp;($A599+10/24),tData[Langligger01],1)</f>
        <v/>
      </c>
      <c r="O599" s="20">
        <f>COUNTIFS(tData[SEHTrajectPeriodeDatumTijdVan],"&lt;="&amp;($A599+11/24),tData[SEHTrajectPeriodeDatumTijdTotEnMet],"&gt;"&amp;($A599+11/24),tData[Langligger01],1)</f>
        <v/>
      </c>
      <c r="P599" s="20">
        <f>COUNTIFS(tData[SEHTrajectPeriodeDatumTijdVan],"&lt;="&amp;($A599+12/24),tData[SEHTrajectPeriodeDatumTijdTotEnMet],"&gt;"&amp;($A599+12/24),tData[Langligger01],1)</f>
        <v/>
      </c>
      <c r="Q599" s="20">
        <f>COUNTIFS(tData[SEHTrajectPeriodeDatumTijdVan],"&lt;="&amp;($A599+13/24),tData[SEHTrajectPeriodeDatumTijdTotEnMet],"&gt;"&amp;($A599+13/24),tData[Langligger01],1)</f>
        <v/>
      </c>
      <c r="R599" s="20">
        <f>COUNTIFS(tData[SEHTrajectPeriodeDatumTijdVan],"&lt;="&amp;($A599+14/24),tData[SEHTrajectPeriodeDatumTijdTotEnMet],"&gt;"&amp;($A599+14/24),tData[Langligger01],1)</f>
        <v/>
      </c>
      <c r="S599" s="20">
        <f>COUNTIFS(tData[SEHTrajectPeriodeDatumTijdVan],"&lt;="&amp;($A599+15/24),tData[SEHTrajectPeriodeDatumTijdTotEnMet],"&gt;"&amp;($A599+15/24),tData[Langligger01],1)</f>
        <v/>
      </c>
      <c r="T599" s="20">
        <f>COUNTIFS(tData[SEHTrajectPeriodeDatumTijdVan],"&lt;="&amp;($A599+16/24),tData[SEHTrajectPeriodeDatumTijdTotEnMet],"&gt;"&amp;($A599+16/24),tData[Langligger01],1)</f>
        <v/>
      </c>
      <c r="U599" s="20">
        <f>COUNTIFS(tData[SEHTrajectPeriodeDatumTijdVan],"&lt;="&amp;($A599+17/24),tData[SEHTrajectPeriodeDatumTijdTotEnMet],"&gt;"&amp;($A599+17/24),tData[Langligger01],1)</f>
        <v/>
      </c>
      <c r="V599" s="20">
        <f>COUNTIFS(tData[SEHTrajectPeriodeDatumTijdVan],"&lt;="&amp;($A599+18/24),tData[SEHTrajectPeriodeDatumTijdTotEnMet],"&gt;"&amp;($A599+18/24),tData[Langligger01],1)</f>
        <v/>
      </c>
      <c r="W599" s="20">
        <f>COUNTIFS(tData[SEHTrajectPeriodeDatumTijdVan],"&lt;="&amp;($A599+19/24),tData[SEHTrajectPeriodeDatumTijdTotEnMet],"&gt;"&amp;($A599+19/24),tData[Langligger01],1)</f>
        <v/>
      </c>
      <c r="X599" s="20">
        <f>COUNTIFS(tData[SEHTrajectPeriodeDatumTijdVan],"&lt;="&amp;($A599+20/24),tData[SEHTrajectPeriodeDatumTijdTotEnMet],"&gt;"&amp;($A599+20/24),tData[Langligger01],1)</f>
        <v/>
      </c>
      <c r="Y599" s="20">
        <f>COUNTIFS(tData[SEHTrajectPeriodeDatumTijdVan],"&lt;="&amp;($A599+21/24),tData[SEHTrajectPeriodeDatumTijdTotEnMet],"&gt;"&amp;($A599+21/24),tData[Langligger01],1)</f>
        <v/>
      </c>
      <c r="Z599" s="20">
        <f>COUNTIFS(tData[SEHTrajectPeriodeDatumTijdVan],"&lt;="&amp;($A599+22/24),tData[SEHTrajectPeriodeDatumTijdTotEnMet],"&gt;"&amp;($A599+22/24),tData[Langligger01],1)</f>
        <v/>
      </c>
      <c r="AA599" s="20">
        <f>COUNTIFS(tData[SEHTrajectPeriodeDatumTijdVan],"&lt;="&amp;($A599+23/24),tData[SEHTrajectPeriodeDatumTijdTotEnMet],"&gt;"&amp;($A599+23/24),tData[Langligger01],1)</f>
        <v/>
      </c>
    </row>
    <row r="600">
      <c r="A600" s="19" t="n">
        <v>45888</v>
      </c>
      <c r="B600" s="15">
        <f>WEEKDAY($A600,2)</f>
        <v/>
      </c>
      <c r="C600" s="15">
        <f>IF(AND($A600&gt;=INT(Instellingen!$B$5),$A600&lt;=INT(Instellingen!$B$6)),1,0)</f>
        <v/>
      </c>
      <c r="D600" s="20">
        <f>COUNTIFS(tData[SEHTrajectPeriodeDatumTijdVan],"&lt;="&amp;($A600+0/24),tData[SEHTrajectPeriodeDatumTijdTotEnMet],"&gt;"&amp;($A600+0/24),tData[Langligger01],1)</f>
        <v/>
      </c>
      <c r="E600" s="20">
        <f>COUNTIFS(tData[SEHTrajectPeriodeDatumTijdVan],"&lt;="&amp;($A600+1/24),tData[SEHTrajectPeriodeDatumTijdTotEnMet],"&gt;"&amp;($A600+1/24),tData[Langligger01],1)</f>
        <v/>
      </c>
      <c r="F600" s="20">
        <f>COUNTIFS(tData[SEHTrajectPeriodeDatumTijdVan],"&lt;="&amp;($A600+2/24),tData[SEHTrajectPeriodeDatumTijdTotEnMet],"&gt;"&amp;($A600+2/24),tData[Langligger01],1)</f>
        <v/>
      </c>
      <c r="G600" s="20">
        <f>COUNTIFS(tData[SEHTrajectPeriodeDatumTijdVan],"&lt;="&amp;($A600+3/24),tData[SEHTrajectPeriodeDatumTijdTotEnMet],"&gt;"&amp;($A600+3/24),tData[Langligger01],1)</f>
        <v/>
      </c>
      <c r="H600" s="20">
        <f>COUNTIFS(tData[SEHTrajectPeriodeDatumTijdVan],"&lt;="&amp;($A600+4/24),tData[SEHTrajectPeriodeDatumTijdTotEnMet],"&gt;"&amp;($A600+4/24),tData[Langligger01],1)</f>
        <v/>
      </c>
      <c r="I600" s="20">
        <f>COUNTIFS(tData[SEHTrajectPeriodeDatumTijdVan],"&lt;="&amp;($A600+5/24),tData[SEHTrajectPeriodeDatumTijdTotEnMet],"&gt;"&amp;($A600+5/24),tData[Langligger01],1)</f>
        <v/>
      </c>
      <c r="J600" s="20">
        <f>COUNTIFS(tData[SEHTrajectPeriodeDatumTijdVan],"&lt;="&amp;($A600+6/24),tData[SEHTrajectPeriodeDatumTijdTotEnMet],"&gt;"&amp;($A600+6/24),tData[Langligger01],1)</f>
        <v/>
      </c>
      <c r="K600" s="20">
        <f>COUNTIFS(tData[SEHTrajectPeriodeDatumTijdVan],"&lt;="&amp;($A600+7/24),tData[SEHTrajectPeriodeDatumTijdTotEnMet],"&gt;"&amp;($A600+7/24),tData[Langligger01],1)</f>
        <v/>
      </c>
      <c r="L600" s="20">
        <f>COUNTIFS(tData[SEHTrajectPeriodeDatumTijdVan],"&lt;="&amp;($A600+8/24),tData[SEHTrajectPeriodeDatumTijdTotEnMet],"&gt;"&amp;($A600+8/24),tData[Langligger01],1)</f>
        <v/>
      </c>
      <c r="M600" s="20">
        <f>COUNTIFS(tData[SEHTrajectPeriodeDatumTijdVan],"&lt;="&amp;($A600+9/24),tData[SEHTrajectPeriodeDatumTijdTotEnMet],"&gt;"&amp;($A600+9/24),tData[Langligger01],1)</f>
        <v/>
      </c>
      <c r="N600" s="20">
        <f>COUNTIFS(tData[SEHTrajectPeriodeDatumTijdVan],"&lt;="&amp;($A600+10/24),tData[SEHTrajectPeriodeDatumTijdTotEnMet],"&gt;"&amp;($A600+10/24),tData[Langligger01],1)</f>
        <v/>
      </c>
      <c r="O600" s="20">
        <f>COUNTIFS(tData[SEHTrajectPeriodeDatumTijdVan],"&lt;="&amp;($A600+11/24),tData[SEHTrajectPeriodeDatumTijdTotEnMet],"&gt;"&amp;($A600+11/24),tData[Langligger01],1)</f>
        <v/>
      </c>
      <c r="P600" s="20">
        <f>COUNTIFS(tData[SEHTrajectPeriodeDatumTijdVan],"&lt;="&amp;($A600+12/24),tData[SEHTrajectPeriodeDatumTijdTotEnMet],"&gt;"&amp;($A600+12/24),tData[Langligger01],1)</f>
        <v/>
      </c>
      <c r="Q600" s="20">
        <f>COUNTIFS(tData[SEHTrajectPeriodeDatumTijdVan],"&lt;="&amp;($A600+13/24),tData[SEHTrajectPeriodeDatumTijdTotEnMet],"&gt;"&amp;($A600+13/24),tData[Langligger01],1)</f>
        <v/>
      </c>
      <c r="R600" s="20">
        <f>COUNTIFS(tData[SEHTrajectPeriodeDatumTijdVan],"&lt;="&amp;($A600+14/24),tData[SEHTrajectPeriodeDatumTijdTotEnMet],"&gt;"&amp;($A600+14/24),tData[Langligger01],1)</f>
        <v/>
      </c>
      <c r="S600" s="20">
        <f>COUNTIFS(tData[SEHTrajectPeriodeDatumTijdVan],"&lt;="&amp;($A600+15/24),tData[SEHTrajectPeriodeDatumTijdTotEnMet],"&gt;"&amp;($A600+15/24),tData[Langligger01],1)</f>
        <v/>
      </c>
      <c r="T600" s="20">
        <f>COUNTIFS(tData[SEHTrajectPeriodeDatumTijdVan],"&lt;="&amp;($A600+16/24),tData[SEHTrajectPeriodeDatumTijdTotEnMet],"&gt;"&amp;($A600+16/24),tData[Langligger01],1)</f>
        <v/>
      </c>
      <c r="U600" s="20">
        <f>COUNTIFS(tData[SEHTrajectPeriodeDatumTijdVan],"&lt;="&amp;($A600+17/24),tData[SEHTrajectPeriodeDatumTijdTotEnMet],"&gt;"&amp;($A600+17/24),tData[Langligger01],1)</f>
        <v/>
      </c>
      <c r="V600" s="20">
        <f>COUNTIFS(tData[SEHTrajectPeriodeDatumTijdVan],"&lt;="&amp;($A600+18/24),tData[SEHTrajectPeriodeDatumTijdTotEnMet],"&gt;"&amp;($A600+18/24),tData[Langligger01],1)</f>
        <v/>
      </c>
      <c r="W600" s="20">
        <f>COUNTIFS(tData[SEHTrajectPeriodeDatumTijdVan],"&lt;="&amp;($A600+19/24),tData[SEHTrajectPeriodeDatumTijdTotEnMet],"&gt;"&amp;($A600+19/24),tData[Langligger01],1)</f>
        <v/>
      </c>
      <c r="X600" s="20">
        <f>COUNTIFS(tData[SEHTrajectPeriodeDatumTijdVan],"&lt;="&amp;($A600+20/24),tData[SEHTrajectPeriodeDatumTijdTotEnMet],"&gt;"&amp;($A600+20/24),tData[Langligger01],1)</f>
        <v/>
      </c>
      <c r="Y600" s="20">
        <f>COUNTIFS(tData[SEHTrajectPeriodeDatumTijdVan],"&lt;="&amp;($A600+21/24),tData[SEHTrajectPeriodeDatumTijdTotEnMet],"&gt;"&amp;($A600+21/24),tData[Langligger01],1)</f>
        <v/>
      </c>
      <c r="Z600" s="20">
        <f>COUNTIFS(tData[SEHTrajectPeriodeDatumTijdVan],"&lt;="&amp;($A600+22/24),tData[SEHTrajectPeriodeDatumTijdTotEnMet],"&gt;"&amp;($A600+22/24),tData[Langligger01],1)</f>
        <v/>
      </c>
      <c r="AA600" s="20">
        <f>COUNTIFS(tData[SEHTrajectPeriodeDatumTijdVan],"&lt;="&amp;($A600+23/24),tData[SEHTrajectPeriodeDatumTijdTotEnMet],"&gt;"&amp;($A600+23/24),tData[Langligger01],1)</f>
        <v/>
      </c>
    </row>
    <row r="601">
      <c r="A601" s="19" t="n">
        <v>45889</v>
      </c>
      <c r="B601" s="15">
        <f>WEEKDAY($A601,2)</f>
        <v/>
      </c>
      <c r="C601" s="15">
        <f>IF(AND($A601&gt;=INT(Instellingen!$B$5),$A601&lt;=INT(Instellingen!$B$6)),1,0)</f>
        <v/>
      </c>
      <c r="D601" s="20">
        <f>COUNTIFS(tData[SEHTrajectPeriodeDatumTijdVan],"&lt;="&amp;($A601+0/24),tData[SEHTrajectPeriodeDatumTijdTotEnMet],"&gt;"&amp;($A601+0/24),tData[Langligger01],1)</f>
        <v/>
      </c>
      <c r="E601" s="20">
        <f>COUNTIFS(tData[SEHTrajectPeriodeDatumTijdVan],"&lt;="&amp;($A601+1/24),tData[SEHTrajectPeriodeDatumTijdTotEnMet],"&gt;"&amp;($A601+1/24),tData[Langligger01],1)</f>
        <v/>
      </c>
      <c r="F601" s="20">
        <f>COUNTIFS(tData[SEHTrajectPeriodeDatumTijdVan],"&lt;="&amp;($A601+2/24),tData[SEHTrajectPeriodeDatumTijdTotEnMet],"&gt;"&amp;($A601+2/24),tData[Langligger01],1)</f>
        <v/>
      </c>
      <c r="G601" s="20">
        <f>COUNTIFS(tData[SEHTrajectPeriodeDatumTijdVan],"&lt;="&amp;($A601+3/24),tData[SEHTrajectPeriodeDatumTijdTotEnMet],"&gt;"&amp;($A601+3/24),tData[Langligger01],1)</f>
        <v/>
      </c>
      <c r="H601" s="20">
        <f>COUNTIFS(tData[SEHTrajectPeriodeDatumTijdVan],"&lt;="&amp;($A601+4/24),tData[SEHTrajectPeriodeDatumTijdTotEnMet],"&gt;"&amp;($A601+4/24),tData[Langligger01],1)</f>
        <v/>
      </c>
      <c r="I601" s="20">
        <f>COUNTIFS(tData[SEHTrajectPeriodeDatumTijdVan],"&lt;="&amp;($A601+5/24),tData[SEHTrajectPeriodeDatumTijdTotEnMet],"&gt;"&amp;($A601+5/24),tData[Langligger01],1)</f>
        <v/>
      </c>
      <c r="J601" s="20">
        <f>COUNTIFS(tData[SEHTrajectPeriodeDatumTijdVan],"&lt;="&amp;($A601+6/24),tData[SEHTrajectPeriodeDatumTijdTotEnMet],"&gt;"&amp;($A601+6/24),tData[Langligger01],1)</f>
        <v/>
      </c>
      <c r="K601" s="20">
        <f>COUNTIFS(tData[SEHTrajectPeriodeDatumTijdVan],"&lt;="&amp;($A601+7/24),tData[SEHTrajectPeriodeDatumTijdTotEnMet],"&gt;"&amp;($A601+7/24),tData[Langligger01],1)</f>
        <v/>
      </c>
      <c r="L601" s="20">
        <f>COUNTIFS(tData[SEHTrajectPeriodeDatumTijdVan],"&lt;="&amp;($A601+8/24),tData[SEHTrajectPeriodeDatumTijdTotEnMet],"&gt;"&amp;($A601+8/24),tData[Langligger01],1)</f>
        <v/>
      </c>
      <c r="M601" s="20">
        <f>COUNTIFS(tData[SEHTrajectPeriodeDatumTijdVan],"&lt;="&amp;($A601+9/24),tData[SEHTrajectPeriodeDatumTijdTotEnMet],"&gt;"&amp;($A601+9/24),tData[Langligger01],1)</f>
        <v/>
      </c>
      <c r="N601" s="20">
        <f>COUNTIFS(tData[SEHTrajectPeriodeDatumTijdVan],"&lt;="&amp;($A601+10/24),tData[SEHTrajectPeriodeDatumTijdTotEnMet],"&gt;"&amp;($A601+10/24),tData[Langligger01],1)</f>
        <v/>
      </c>
      <c r="O601" s="20">
        <f>COUNTIFS(tData[SEHTrajectPeriodeDatumTijdVan],"&lt;="&amp;($A601+11/24),tData[SEHTrajectPeriodeDatumTijdTotEnMet],"&gt;"&amp;($A601+11/24),tData[Langligger01],1)</f>
        <v/>
      </c>
      <c r="P601" s="20">
        <f>COUNTIFS(tData[SEHTrajectPeriodeDatumTijdVan],"&lt;="&amp;($A601+12/24),tData[SEHTrajectPeriodeDatumTijdTotEnMet],"&gt;"&amp;($A601+12/24),tData[Langligger01],1)</f>
        <v/>
      </c>
      <c r="Q601" s="20">
        <f>COUNTIFS(tData[SEHTrajectPeriodeDatumTijdVan],"&lt;="&amp;($A601+13/24),tData[SEHTrajectPeriodeDatumTijdTotEnMet],"&gt;"&amp;($A601+13/24),tData[Langligger01],1)</f>
        <v/>
      </c>
      <c r="R601" s="20">
        <f>COUNTIFS(tData[SEHTrajectPeriodeDatumTijdVan],"&lt;="&amp;($A601+14/24),tData[SEHTrajectPeriodeDatumTijdTotEnMet],"&gt;"&amp;($A601+14/24),tData[Langligger01],1)</f>
        <v/>
      </c>
      <c r="S601" s="20">
        <f>COUNTIFS(tData[SEHTrajectPeriodeDatumTijdVan],"&lt;="&amp;($A601+15/24),tData[SEHTrajectPeriodeDatumTijdTotEnMet],"&gt;"&amp;($A601+15/24),tData[Langligger01],1)</f>
        <v/>
      </c>
      <c r="T601" s="20">
        <f>COUNTIFS(tData[SEHTrajectPeriodeDatumTijdVan],"&lt;="&amp;($A601+16/24),tData[SEHTrajectPeriodeDatumTijdTotEnMet],"&gt;"&amp;($A601+16/24),tData[Langligger01],1)</f>
        <v/>
      </c>
      <c r="U601" s="20">
        <f>COUNTIFS(tData[SEHTrajectPeriodeDatumTijdVan],"&lt;="&amp;($A601+17/24),tData[SEHTrajectPeriodeDatumTijdTotEnMet],"&gt;"&amp;($A601+17/24),tData[Langligger01],1)</f>
        <v/>
      </c>
      <c r="V601" s="20">
        <f>COUNTIFS(tData[SEHTrajectPeriodeDatumTijdVan],"&lt;="&amp;($A601+18/24),tData[SEHTrajectPeriodeDatumTijdTotEnMet],"&gt;"&amp;($A601+18/24),tData[Langligger01],1)</f>
        <v/>
      </c>
      <c r="W601" s="20">
        <f>COUNTIFS(tData[SEHTrajectPeriodeDatumTijdVan],"&lt;="&amp;($A601+19/24),tData[SEHTrajectPeriodeDatumTijdTotEnMet],"&gt;"&amp;($A601+19/24),tData[Langligger01],1)</f>
        <v/>
      </c>
      <c r="X601" s="20">
        <f>COUNTIFS(tData[SEHTrajectPeriodeDatumTijdVan],"&lt;="&amp;($A601+20/24),tData[SEHTrajectPeriodeDatumTijdTotEnMet],"&gt;"&amp;($A601+20/24),tData[Langligger01],1)</f>
        <v/>
      </c>
      <c r="Y601" s="20">
        <f>COUNTIFS(tData[SEHTrajectPeriodeDatumTijdVan],"&lt;="&amp;($A601+21/24),tData[SEHTrajectPeriodeDatumTijdTotEnMet],"&gt;"&amp;($A601+21/24),tData[Langligger01],1)</f>
        <v/>
      </c>
      <c r="Z601" s="20">
        <f>COUNTIFS(tData[SEHTrajectPeriodeDatumTijdVan],"&lt;="&amp;($A601+22/24),tData[SEHTrajectPeriodeDatumTijdTotEnMet],"&gt;"&amp;($A601+22/24),tData[Langligger01],1)</f>
        <v/>
      </c>
      <c r="AA601" s="20">
        <f>COUNTIFS(tData[SEHTrajectPeriodeDatumTijdVan],"&lt;="&amp;($A601+23/24),tData[SEHTrajectPeriodeDatumTijdTotEnMet],"&gt;"&amp;($A601+23/24),tData[Langligger01],1)</f>
        <v/>
      </c>
    </row>
    <row r="602">
      <c r="A602" s="19" t="n">
        <v>45890</v>
      </c>
      <c r="B602" s="15">
        <f>WEEKDAY($A602,2)</f>
        <v/>
      </c>
      <c r="C602" s="15">
        <f>IF(AND($A602&gt;=INT(Instellingen!$B$5),$A602&lt;=INT(Instellingen!$B$6)),1,0)</f>
        <v/>
      </c>
      <c r="D602" s="20">
        <f>COUNTIFS(tData[SEHTrajectPeriodeDatumTijdVan],"&lt;="&amp;($A602+0/24),tData[SEHTrajectPeriodeDatumTijdTotEnMet],"&gt;"&amp;($A602+0/24),tData[Langligger01],1)</f>
        <v/>
      </c>
      <c r="E602" s="20">
        <f>COUNTIFS(tData[SEHTrajectPeriodeDatumTijdVan],"&lt;="&amp;($A602+1/24),tData[SEHTrajectPeriodeDatumTijdTotEnMet],"&gt;"&amp;($A602+1/24),tData[Langligger01],1)</f>
        <v/>
      </c>
      <c r="F602" s="20">
        <f>COUNTIFS(tData[SEHTrajectPeriodeDatumTijdVan],"&lt;="&amp;($A602+2/24),tData[SEHTrajectPeriodeDatumTijdTotEnMet],"&gt;"&amp;($A602+2/24),tData[Langligger01],1)</f>
        <v/>
      </c>
      <c r="G602" s="20">
        <f>COUNTIFS(tData[SEHTrajectPeriodeDatumTijdVan],"&lt;="&amp;($A602+3/24),tData[SEHTrajectPeriodeDatumTijdTotEnMet],"&gt;"&amp;($A602+3/24),tData[Langligger01],1)</f>
        <v/>
      </c>
      <c r="H602" s="20">
        <f>COUNTIFS(tData[SEHTrajectPeriodeDatumTijdVan],"&lt;="&amp;($A602+4/24),tData[SEHTrajectPeriodeDatumTijdTotEnMet],"&gt;"&amp;($A602+4/24),tData[Langligger01],1)</f>
        <v/>
      </c>
      <c r="I602" s="20">
        <f>COUNTIFS(tData[SEHTrajectPeriodeDatumTijdVan],"&lt;="&amp;($A602+5/24),tData[SEHTrajectPeriodeDatumTijdTotEnMet],"&gt;"&amp;($A602+5/24),tData[Langligger01],1)</f>
        <v/>
      </c>
      <c r="J602" s="20">
        <f>COUNTIFS(tData[SEHTrajectPeriodeDatumTijdVan],"&lt;="&amp;($A602+6/24),tData[SEHTrajectPeriodeDatumTijdTotEnMet],"&gt;"&amp;($A602+6/24),tData[Langligger01],1)</f>
        <v/>
      </c>
      <c r="K602" s="20">
        <f>COUNTIFS(tData[SEHTrajectPeriodeDatumTijdVan],"&lt;="&amp;($A602+7/24),tData[SEHTrajectPeriodeDatumTijdTotEnMet],"&gt;"&amp;($A602+7/24),tData[Langligger01],1)</f>
        <v/>
      </c>
      <c r="L602" s="20">
        <f>COUNTIFS(tData[SEHTrajectPeriodeDatumTijdVan],"&lt;="&amp;($A602+8/24),tData[SEHTrajectPeriodeDatumTijdTotEnMet],"&gt;"&amp;($A602+8/24),tData[Langligger01],1)</f>
        <v/>
      </c>
      <c r="M602" s="20">
        <f>COUNTIFS(tData[SEHTrajectPeriodeDatumTijdVan],"&lt;="&amp;($A602+9/24),tData[SEHTrajectPeriodeDatumTijdTotEnMet],"&gt;"&amp;($A602+9/24),tData[Langligger01],1)</f>
        <v/>
      </c>
      <c r="N602" s="20">
        <f>COUNTIFS(tData[SEHTrajectPeriodeDatumTijdVan],"&lt;="&amp;($A602+10/24),tData[SEHTrajectPeriodeDatumTijdTotEnMet],"&gt;"&amp;($A602+10/24),tData[Langligger01],1)</f>
        <v/>
      </c>
      <c r="O602" s="20">
        <f>COUNTIFS(tData[SEHTrajectPeriodeDatumTijdVan],"&lt;="&amp;($A602+11/24),tData[SEHTrajectPeriodeDatumTijdTotEnMet],"&gt;"&amp;($A602+11/24),tData[Langligger01],1)</f>
        <v/>
      </c>
      <c r="P602" s="20">
        <f>COUNTIFS(tData[SEHTrajectPeriodeDatumTijdVan],"&lt;="&amp;($A602+12/24),tData[SEHTrajectPeriodeDatumTijdTotEnMet],"&gt;"&amp;($A602+12/24),tData[Langligger01],1)</f>
        <v/>
      </c>
      <c r="Q602" s="20">
        <f>COUNTIFS(tData[SEHTrajectPeriodeDatumTijdVan],"&lt;="&amp;($A602+13/24),tData[SEHTrajectPeriodeDatumTijdTotEnMet],"&gt;"&amp;($A602+13/24),tData[Langligger01],1)</f>
        <v/>
      </c>
      <c r="R602" s="20">
        <f>COUNTIFS(tData[SEHTrajectPeriodeDatumTijdVan],"&lt;="&amp;($A602+14/24),tData[SEHTrajectPeriodeDatumTijdTotEnMet],"&gt;"&amp;($A602+14/24),tData[Langligger01],1)</f>
        <v/>
      </c>
      <c r="S602" s="20">
        <f>COUNTIFS(tData[SEHTrajectPeriodeDatumTijdVan],"&lt;="&amp;($A602+15/24),tData[SEHTrajectPeriodeDatumTijdTotEnMet],"&gt;"&amp;($A602+15/24),tData[Langligger01],1)</f>
        <v/>
      </c>
      <c r="T602" s="20">
        <f>COUNTIFS(tData[SEHTrajectPeriodeDatumTijdVan],"&lt;="&amp;($A602+16/24),tData[SEHTrajectPeriodeDatumTijdTotEnMet],"&gt;"&amp;($A602+16/24),tData[Langligger01],1)</f>
        <v/>
      </c>
      <c r="U602" s="20">
        <f>COUNTIFS(tData[SEHTrajectPeriodeDatumTijdVan],"&lt;="&amp;($A602+17/24),tData[SEHTrajectPeriodeDatumTijdTotEnMet],"&gt;"&amp;($A602+17/24),tData[Langligger01],1)</f>
        <v/>
      </c>
      <c r="V602" s="20">
        <f>COUNTIFS(tData[SEHTrajectPeriodeDatumTijdVan],"&lt;="&amp;($A602+18/24),tData[SEHTrajectPeriodeDatumTijdTotEnMet],"&gt;"&amp;($A602+18/24),tData[Langligger01],1)</f>
        <v/>
      </c>
      <c r="W602" s="20">
        <f>COUNTIFS(tData[SEHTrajectPeriodeDatumTijdVan],"&lt;="&amp;($A602+19/24),tData[SEHTrajectPeriodeDatumTijdTotEnMet],"&gt;"&amp;($A602+19/24),tData[Langligger01],1)</f>
        <v/>
      </c>
      <c r="X602" s="20">
        <f>COUNTIFS(tData[SEHTrajectPeriodeDatumTijdVan],"&lt;="&amp;($A602+20/24),tData[SEHTrajectPeriodeDatumTijdTotEnMet],"&gt;"&amp;($A602+20/24),tData[Langligger01],1)</f>
        <v/>
      </c>
      <c r="Y602" s="20">
        <f>COUNTIFS(tData[SEHTrajectPeriodeDatumTijdVan],"&lt;="&amp;($A602+21/24),tData[SEHTrajectPeriodeDatumTijdTotEnMet],"&gt;"&amp;($A602+21/24),tData[Langligger01],1)</f>
        <v/>
      </c>
      <c r="Z602" s="20">
        <f>COUNTIFS(tData[SEHTrajectPeriodeDatumTijdVan],"&lt;="&amp;($A602+22/24),tData[SEHTrajectPeriodeDatumTijdTotEnMet],"&gt;"&amp;($A602+22/24),tData[Langligger01],1)</f>
        <v/>
      </c>
      <c r="AA602" s="20">
        <f>COUNTIFS(tData[SEHTrajectPeriodeDatumTijdVan],"&lt;="&amp;($A602+23/24),tData[SEHTrajectPeriodeDatumTijdTotEnMet],"&gt;"&amp;($A602+23/24),tData[Langligger01],1)</f>
        <v/>
      </c>
    </row>
    <row r="603">
      <c r="A603" s="19" t="n">
        <v>45891</v>
      </c>
      <c r="B603" s="15">
        <f>WEEKDAY($A603,2)</f>
        <v/>
      </c>
      <c r="C603" s="15">
        <f>IF(AND($A603&gt;=INT(Instellingen!$B$5),$A603&lt;=INT(Instellingen!$B$6)),1,0)</f>
        <v/>
      </c>
      <c r="D603" s="20">
        <f>COUNTIFS(tData[SEHTrajectPeriodeDatumTijdVan],"&lt;="&amp;($A603+0/24),tData[SEHTrajectPeriodeDatumTijdTotEnMet],"&gt;"&amp;($A603+0/24),tData[Langligger01],1)</f>
        <v/>
      </c>
      <c r="E603" s="20">
        <f>COUNTIFS(tData[SEHTrajectPeriodeDatumTijdVan],"&lt;="&amp;($A603+1/24),tData[SEHTrajectPeriodeDatumTijdTotEnMet],"&gt;"&amp;($A603+1/24),tData[Langligger01],1)</f>
        <v/>
      </c>
      <c r="F603" s="20">
        <f>COUNTIFS(tData[SEHTrajectPeriodeDatumTijdVan],"&lt;="&amp;($A603+2/24),tData[SEHTrajectPeriodeDatumTijdTotEnMet],"&gt;"&amp;($A603+2/24),tData[Langligger01],1)</f>
        <v/>
      </c>
      <c r="G603" s="20">
        <f>COUNTIFS(tData[SEHTrajectPeriodeDatumTijdVan],"&lt;="&amp;($A603+3/24),tData[SEHTrajectPeriodeDatumTijdTotEnMet],"&gt;"&amp;($A603+3/24),tData[Langligger01],1)</f>
        <v/>
      </c>
      <c r="H603" s="20">
        <f>COUNTIFS(tData[SEHTrajectPeriodeDatumTijdVan],"&lt;="&amp;($A603+4/24),tData[SEHTrajectPeriodeDatumTijdTotEnMet],"&gt;"&amp;($A603+4/24),tData[Langligger01],1)</f>
        <v/>
      </c>
      <c r="I603" s="20">
        <f>COUNTIFS(tData[SEHTrajectPeriodeDatumTijdVan],"&lt;="&amp;($A603+5/24),tData[SEHTrajectPeriodeDatumTijdTotEnMet],"&gt;"&amp;($A603+5/24),tData[Langligger01],1)</f>
        <v/>
      </c>
      <c r="J603" s="20">
        <f>COUNTIFS(tData[SEHTrajectPeriodeDatumTijdVan],"&lt;="&amp;($A603+6/24),tData[SEHTrajectPeriodeDatumTijdTotEnMet],"&gt;"&amp;($A603+6/24),tData[Langligger01],1)</f>
        <v/>
      </c>
      <c r="K603" s="20">
        <f>COUNTIFS(tData[SEHTrajectPeriodeDatumTijdVan],"&lt;="&amp;($A603+7/24),tData[SEHTrajectPeriodeDatumTijdTotEnMet],"&gt;"&amp;($A603+7/24),tData[Langligger01],1)</f>
        <v/>
      </c>
      <c r="L603" s="20">
        <f>COUNTIFS(tData[SEHTrajectPeriodeDatumTijdVan],"&lt;="&amp;($A603+8/24),tData[SEHTrajectPeriodeDatumTijdTotEnMet],"&gt;"&amp;($A603+8/24),tData[Langligger01],1)</f>
        <v/>
      </c>
      <c r="M603" s="20">
        <f>COUNTIFS(tData[SEHTrajectPeriodeDatumTijdVan],"&lt;="&amp;($A603+9/24),tData[SEHTrajectPeriodeDatumTijdTotEnMet],"&gt;"&amp;($A603+9/24),tData[Langligger01],1)</f>
        <v/>
      </c>
      <c r="N603" s="20">
        <f>COUNTIFS(tData[SEHTrajectPeriodeDatumTijdVan],"&lt;="&amp;($A603+10/24),tData[SEHTrajectPeriodeDatumTijdTotEnMet],"&gt;"&amp;($A603+10/24),tData[Langligger01],1)</f>
        <v/>
      </c>
      <c r="O603" s="20">
        <f>COUNTIFS(tData[SEHTrajectPeriodeDatumTijdVan],"&lt;="&amp;($A603+11/24),tData[SEHTrajectPeriodeDatumTijdTotEnMet],"&gt;"&amp;($A603+11/24),tData[Langligger01],1)</f>
        <v/>
      </c>
      <c r="P603" s="20">
        <f>COUNTIFS(tData[SEHTrajectPeriodeDatumTijdVan],"&lt;="&amp;($A603+12/24),tData[SEHTrajectPeriodeDatumTijdTotEnMet],"&gt;"&amp;($A603+12/24),tData[Langligger01],1)</f>
        <v/>
      </c>
      <c r="Q603" s="20">
        <f>COUNTIFS(tData[SEHTrajectPeriodeDatumTijdVan],"&lt;="&amp;($A603+13/24),tData[SEHTrajectPeriodeDatumTijdTotEnMet],"&gt;"&amp;($A603+13/24),tData[Langligger01],1)</f>
        <v/>
      </c>
      <c r="R603" s="20">
        <f>COUNTIFS(tData[SEHTrajectPeriodeDatumTijdVan],"&lt;="&amp;($A603+14/24),tData[SEHTrajectPeriodeDatumTijdTotEnMet],"&gt;"&amp;($A603+14/24),tData[Langligger01],1)</f>
        <v/>
      </c>
      <c r="S603" s="20">
        <f>COUNTIFS(tData[SEHTrajectPeriodeDatumTijdVan],"&lt;="&amp;($A603+15/24),tData[SEHTrajectPeriodeDatumTijdTotEnMet],"&gt;"&amp;($A603+15/24),tData[Langligger01],1)</f>
        <v/>
      </c>
      <c r="T603" s="20">
        <f>COUNTIFS(tData[SEHTrajectPeriodeDatumTijdVan],"&lt;="&amp;($A603+16/24),tData[SEHTrajectPeriodeDatumTijdTotEnMet],"&gt;"&amp;($A603+16/24),tData[Langligger01],1)</f>
        <v/>
      </c>
      <c r="U603" s="20">
        <f>COUNTIFS(tData[SEHTrajectPeriodeDatumTijdVan],"&lt;="&amp;($A603+17/24),tData[SEHTrajectPeriodeDatumTijdTotEnMet],"&gt;"&amp;($A603+17/24),tData[Langligger01],1)</f>
        <v/>
      </c>
      <c r="V603" s="20">
        <f>COUNTIFS(tData[SEHTrajectPeriodeDatumTijdVan],"&lt;="&amp;($A603+18/24),tData[SEHTrajectPeriodeDatumTijdTotEnMet],"&gt;"&amp;($A603+18/24),tData[Langligger01],1)</f>
        <v/>
      </c>
      <c r="W603" s="20">
        <f>COUNTIFS(tData[SEHTrajectPeriodeDatumTijdVan],"&lt;="&amp;($A603+19/24),tData[SEHTrajectPeriodeDatumTijdTotEnMet],"&gt;"&amp;($A603+19/24),tData[Langligger01],1)</f>
        <v/>
      </c>
      <c r="X603" s="20">
        <f>COUNTIFS(tData[SEHTrajectPeriodeDatumTijdVan],"&lt;="&amp;($A603+20/24),tData[SEHTrajectPeriodeDatumTijdTotEnMet],"&gt;"&amp;($A603+20/24),tData[Langligger01],1)</f>
        <v/>
      </c>
      <c r="Y603" s="20">
        <f>COUNTIFS(tData[SEHTrajectPeriodeDatumTijdVan],"&lt;="&amp;($A603+21/24),tData[SEHTrajectPeriodeDatumTijdTotEnMet],"&gt;"&amp;($A603+21/24),tData[Langligger01],1)</f>
        <v/>
      </c>
      <c r="Z603" s="20">
        <f>COUNTIFS(tData[SEHTrajectPeriodeDatumTijdVan],"&lt;="&amp;($A603+22/24),tData[SEHTrajectPeriodeDatumTijdTotEnMet],"&gt;"&amp;($A603+22/24),tData[Langligger01],1)</f>
        <v/>
      </c>
      <c r="AA603" s="20">
        <f>COUNTIFS(tData[SEHTrajectPeriodeDatumTijdVan],"&lt;="&amp;($A603+23/24),tData[SEHTrajectPeriodeDatumTijdTotEnMet],"&gt;"&amp;($A603+23/24),tData[Langligger01],1)</f>
        <v/>
      </c>
    </row>
    <row r="604">
      <c r="A604" s="19" t="n">
        <v>45892</v>
      </c>
      <c r="B604" s="15">
        <f>WEEKDAY($A604,2)</f>
        <v/>
      </c>
      <c r="C604" s="15">
        <f>IF(AND($A604&gt;=INT(Instellingen!$B$5),$A604&lt;=INT(Instellingen!$B$6)),1,0)</f>
        <v/>
      </c>
      <c r="D604" s="20">
        <f>COUNTIFS(tData[SEHTrajectPeriodeDatumTijdVan],"&lt;="&amp;($A604+0/24),tData[SEHTrajectPeriodeDatumTijdTotEnMet],"&gt;"&amp;($A604+0/24),tData[Langligger01],1)</f>
        <v/>
      </c>
      <c r="E604" s="20">
        <f>COUNTIFS(tData[SEHTrajectPeriodeDatumTijdVan],"&lt;="&amp;($A604+1/24),tData[SEHTrajectPeriodeDatumTijdTotEnMet],"&gt;"&amp;($A604+1/24),tData[Langligger01],1)</f>
        <v/>
      </c>
      <c r="F604" s="20">
        <f>COUNTIFS(tData[SEHTrajectPeriodeDatumTijdVan],"&lt;="&amp;($A604+2/24),tData[SEHTrajectPeriodeDatumTijdTotEnMet],"&gt;"&amp;($A604+2/24),tData[Langligger01],1)</f>
        <v/>
      </c>
      <c r="G604" s="20">
        <f>COUNTIFS(tData[SEHTrajectPeriodeDatumTijdVan],"&lt;="&amp;($A604+3/24),tData[SEHTrajectPeriodeDatumTijdTotEnMet],"&gt;"&amp;($A604+3/24),tData[Langligger01],1)</f>
        <v/>
      </c>
      <c r="H604" s="20">
        <f>COUNTIFS(tData[SEHTrajectPeriodeDatumTijdVan],"&lt;="&amp;($A604+4/24),tData[SEHTrajectPeriodeDatumTijdTotEnMet],"&gt;"&amp;($A604+4/24),tData[Langligger01],1)</f>
        <v/>
      </c>
      <c r="I604" s="20">
        <f>COUNTIFS(tData[SEHTrajectPeriodeDatumTijdVan],"&lt;="&amp;($A604+5/24),tData[SEHTrajectPeriodeDatumTijdTotEnMet],"&gt;"&amp;($A604+5/24),tData[Langligger01],1)</f>
        <v/>
      </c>
      <c r="J604" s="20">
        <f>COUNTIFS(tData[SEHTrajectPeriodeDatumTijdVan],"&lt;="&amp;($A604+6/24),tData[SEHTrajectPeriodeDatumTijdTotEnMet],"&gt;"&amp;($A604+6/24),tData[Langligger01],1)</f>
        <v/>
      </c>
      <c r="K604" s="20">
        <f>COUNTIFS(tData[SEHTrajectPeriodeDatumTijdVan],"&lt;="&amp;($A604+7/24),tData[SEHTrajectPeriodeDatumTijdTotEnMet],"&gt;"&amp;($A604+7/24),tData[Langligger01],1)</f>
        <v/>
      </c>
      <c r="L604" s="20">
        <f>COUNTIFS(tData[SEHTrajectPeriodeDatumTijdVan],"&lt;="&amp;($A604+8/24),tData[SEHTrajectPeriodeDatumTijdTotEnMet],"&gt;"&amp;($A604+8/24),tData[Langligger01],1)</f>
        <v/>
      </c>
      <c r="M604" s="20">
        <f>COUNTIFS(tData[SEHTrajectPeriodeDatumTijdVan],"&lt;="&amp;($A604+9/24),tData[SEHTrajectPeriodeDatumTijdTotEnMet],"&gt;"&amp;($A604+9/24),tData[Langligger01],1)</f>
        <v/>
      </c>
      <c r="N604" s="20">
        <f>COUNTIFS(tData[SEHTrajectPeriodeDatumTijdVan],"&lt;="&amp;($A604+10/24),tData[SEHTrajectPeriodeDatumTijdTotEnMet],"&gt;"&amp;($A604+10/24),tData[Langligger01],1)</f>
        <v/>
      </c>
      <c r="O604" s="20">
        <f>COUNTIFS(tData[SEHTrajectPeriodeDatumTijdVan],"&lt;="&amp;($A604+11/24),tData[SEHTrajectPeriodeDatumTijdTotEnMet],"&gt;"&amp;($A604+11/24),tData[Langligger01],1)</f>
        <v/>
      </c>
      <c r="P604" s="20">
        <f>COUNTIFS(tData[SEHTrajectPeriodeDatumTijdVan],"&lt;="&amp;($A604+12/24),tData[SEHTrajectPeriodeDatumTijdTotEnMet],"&gt;"&amp;($A604+12/24),tData[Langligger01],1)</f>
        <v/>
      </c>
      <c r="Q604" s="20">
        <f>COUNTIFS(tData[SEHTrajectPeriodeDatumTijdVan],"&lt;="&amp;($A604+13/24),tData[SEHTrajectPeriodeDatumTijdTotEnMet],"&gt;"&amp;($A604+13/24),tData[Langligger01],1)</f>
        <v/>
      </c>
      <c r="R604" s="20">
        <f>COUNTIFS(tData[SEHTrajectPeriodeDatumTijdVan],"&lt;="&amp;($A604+14/24),tData[SEHTrajectPeriodeDatumTijdTotEnMet],"&gt;"&amp;($A604+14/24),tData[Langligger01],1)</f>
        <v/>
      </c>
      <c r="S604" s="20">
        <f>COUNTIFS(tData[SEHTrajectPeriodeDatumTijdVan],"&lt;="&amp;($A604+15/24),tData[SEHTrajectPeriodeDatumTijdTotEnMet],"&gt;"&amp;($A604+15/24),tData[Langligger01],1)</f>
        <v/>
      </c>
      <c r="T604" s="20">
        <f>COUNTIFS(tData[SEHTrajectPeriodeDatumTijdVan],"&lt;="&amp;($A604+16/24),tData[SEHTrajectPeriodeDatumTijdTotEnMet],"&gt;"&amp;($A604+16/24),tData[Langligger01],1)</f>
        <v/>
      </c>
      <c r="U604" s="20">
        <f>COUNTIFS(tData[SEHTrajectPeriodeDatumTijdVan],"&lt;="&amp;($A604+17/24),tData[SEHTrajectPeriodeDatumTijdTotEnMet],"&gt;"&amp;($A604+17/24),tData[Langligger01],1)</f>
        <v/>
      </c>
      <c r="V604" s="20">
        <f>COUNTIFS(tData[SEHTrajectPeriodeDatumTijdVan],"&lt;="&amp;($A604+18/24),tData[SEHTrajectPeriodeDatumTijdTotEnMet],"&gt;"&amp;($A604+18/24),tData[Langligger01],1)</f>
        <v/>
      </c>
      <c r="W604" s="20">
        <f>COUNTIFS(tData[SEHTrajectPeriodeDatumTijdVan],"&lt;="&amp;($A604+19/24),tData[SEHTrajectPeriodeDatumTijdTotEnMet],"&gt;"&amp;($A604+19/24),tData[Langligger01],1)</f>
        <v/>
      </c>
      <c r="X604" s="20">
        <f>COUNTIFS(tData[SEHTrajectPeriodeDatumTijdVan],"&lt;="&amp;($A604+20/24),tData[SEHTrajectPeriodeDatumTijdTotEnMet],"&gt;"&amp;($A604+20/24),tData[Langligger01],1)</f>
        <v/>
      </c>
      <c r="Y604" s="20">
        <f>COUNTIFS(tData[SEHTrajectPeriodeDatumTijdVan],"&lt;="&amp;($A604+21/24),tData[SEHTrajectPeriodeDatumTijdTotEnMet],"&gt;"&amp;($A604+21/24),tData[Langligger01],1)</f>
        <v/>
      </c>
      <c r="Z604" s="20">
        <f>COUNTIFS(tData[SEHTrajectPeriodeDatumTijdVan],"&lt;="&amp;($A604+22/24),tData[SEHTrajectPeriodeDatumTijdTotEnMet],"&gt;"&amp;($A604+22/24),tData[Langligger01],1)</f>
        <v/>
      </c>
      <c r="AA604" s="20">
        <f>COUNTIFS(tData[SEHTrajectPeriodeDatumTijdVan],"&lt;="&amp;($A604+23/24),tData[SEHTrajectPeriodeDatumTijdTotEnMet],"&gt;"&amp;($A604+23/24),tData[Langligger01],1)</f>
        <v/>
      </c>
    </row>
    <row r="605">
      <c r="A605" s="19" t="n">
        <v>45893</v>
      </c>
      <c r="B605" s="15">
        <f>WEEKDAY($A605,2)</f>
        <v/>
      </c>
      <c r="C605" s="15">
        <f>IF(AND($A605&gt;=INT(Instellingen!$B$5),$A605&lt;=INT(Instellingen!$B$6)),1,0)</f>
        <v/>
      </c>
      <c r="D605" s="20">
        <f>COUNTIFS(tData[SEHTrajectPeriodeDatumTijdVan],"&lt;="&amp;($A605+0/24),tData[SEHTrajectPeriodeDatumTijdTotEnMet],"&gt;"&amp;($A605+0/24),tData[Langligger01],1)</f>
        <v/>
      </c>
      <c r="E605" s="20">
        <f>COUNTIFS(tData[SEHTrajectPeriodeDatumTijdVan],"&lt;="&amp;($A605+1/24),tData[SEHTrajectPeriodeDatumTijdTotEnMet],"&gt;"&amp;($A605+1/24),tData[Langligger01],1)</f>
        <v/>
      </c>
      <c r="F605" s="20">
        <f>COUNTIFS(tData[SEHTrajectPeriodeDatumTijdVan],"&lt;="&amp;($A605+2/24),tData[SEHTrajectPeriodeDatumTijdTotEnMet],"&gt;"&amp;($A605+2/24),tData[Langligger01],1)</f>
        <v/>
      </c>
      <c r="G605" s="20">
        <f>COUNTIFS(tData[SEHTrajectPeriodeDatumTijdVan],"&lt;="&amp;($A605+3/24),tData[SEHTrajectPeriodeDatumTijdTotEnMet],"&gt;"&amp;($A605+3/24),tData[Langligger01],1)</f>
        <v/>
      </c>
      <c r="H605" s="20">
        <f>COUNTIFS(tData[SEHTrajectPeriodeDatumTijdVan],"&lt;="&amp;($A605+4/24),tData[SEHTrajectPeriodeDatumTijdTotEnMet],"&gt;"&amp;($A605+4/24),tData[Langligger01],1)</f>
        <v/>
      </c>
      <c r="I605" s="20">
        <f>COUNTIFS(tData[SEHTrajectPeriodeDatumTijdVan],"&lt;="&amp;($A605+5/24),tData[SEHTrajectPeriodeDatumTijdTotEnMet],"&gt;"&amp;($A605+5/24),tData[Langligger01],1)</f>
        <v/>
      </c>
      <c r="J605" s="20">
        <f>COUNTIFS(tData[SEHTrajectPeriodeDatumTijdVan],"&lt;="&amp;($A605+6/24),tData[SEHTrajectPeriodeDatumTijdTotEnMet],"&gt;"&amp;($A605+6/24),tData[Langligger01],1)</f>
        <v/>
      </c>
      <c r="K605" s="20">
        <f>COUNTIFS(tData[SEHTrajectPeriodeDatumTijdVan],"&lt;="&amp;($A605+7/24),tData[SEHTrajectPeriodeDatumTijdTotEnMet],"&gt;"&amp;($A605+7/24),tData[Langligger01],1)</f>
        <v/>
      </c>
      <c r="L605" s="20">
        <f>COUNTIFS(tData[SEHTrajectPeriodeDatumTijdVan],"&lt;="&amp;($A605+8/24),tData[SEHTrajectPeriodeDatumTijdTotEnMet],"&gt;"&amp;($A605+8/24),tData[Langligger01],1)</f>
        <v/>
      </c>
      <c r="M605" s="20">
        <f>COUNTIFS(tData[SEHTrajectPeriodeDatumTijdVan],"&lt;="&amp;($A605+9/24),tData[SEHTrajectPeriodeDatumTijdTotEnMet],"&gt;"&amp;($A605+9/24),tData[Langligger01],1)</f>
        <v/>
      </c>
      <c r="N605" s="20">
        <f>COUNTIFS(tData[SEHTrajectPeriodeDatumTijdVan],"&lt;="&amp;($A605+10/24),tData[SEHTrajectPeriodeDatumTijdTotEnMet],"&gt;"&amp;($A605+10/24),tData[Langligger01],1)</f>
        <v/>
      </c>
      <c r="O605" s="20">
        <f>COUNTIFS(tData[SEHTrajectPeriodeDatumTijdVan],"&lt;="&amp;($A605+11/24),tData[SEHTrajectPeriodeDatumTijdTotEnMet],"&gt;"&amp;($A605+11/24),tData[Langligger01],1)</f>
        <v/>
      </c>
      <c r="P605" s="20">
        <f>COUNTIFS(tData[SEHTrajectPeriodeDatumTijdVan],"&lt;="&amp;($A605+12/24),tData[SEHTrajectPeriodeDatumTijdTotEnMet],"&gt;"&amp;($A605+12/24),tData[Langligger01],1)</f>
        <v/>
      </c>
      <c r="Q605" s="20">
        <f>COUNTIFS(tData[SEHTrajectPeriodeDatumTijdVan],"&lt;="&amp;($A605+13/24),tData[SEHTrajectPeriodeDatumTijdTotEnMet],"&gt;"&amp;($A605+13/24),tData[Langligger01],1)</f>
        <v/>
      </c>
      <c r="R605" s="20">
        <f>COUNTIFS(tData[SEHTrajectPeriodeDatumTijdVan],"&lt;="&amp;($A605+14/24),tData[SEHTrajectPeriodeDatumTijdTotEnMet],"&gt;"&amp;($A605+14/24),tData[Langligger01],1)</f>
        <v/>
      </c>
      <c r="S605" s="20">
        <f>COUNTIFS(tData[SEHTrajectPeriodeDatumTijdVan],"&lt;="&amp;($A605+15/24),tData[SEHTrajectPeriodeDatumTijdTotEnMet],"&gt;"&amp;($A605+15/24),tData[Langligger01],1)</f>
        <v/>
      </c>
      <c r="T605" s="20">
        <f>COUNTIFS(tData[SEHTrajectPeriodeDatumTijdVan],"&lt;="&amp;($A605+16/24),tData[SEHTrajectPeriodeDatumTijdTotEnMet],"&gt;"&amp;($A605+16/24),tData[Langligger01],1)</f>
        <v/>
      </c>
      <c r="U605" s="20">
        <f>COUNTIFS(tData[SEHTrajectPeriodeDatumTijdVan],"&lt;="&amp;($A605+17/24),tData[SEHTrajectPeriodeDatumTijdTotEnMet],"&gt;"&amp;($A605+17/24),tData[Langligger01],1)</f>
        <v/>
      </c>
      <c r="V605" s="20">
        <f>COUNTIFS(tData[SEHTrajectPeriodeDatumTijdVan],"&lt;="&amp;($A605+18/24),tData[SEHTrajectPeriodeDatumTijdTotEnMet],"&gt;"&amp;($A605+18/24),tData[Langligger01],1)</f>
        <v/>
      </c>
      <c r="W605" s="20">
        <f>COUNTIFS(tData[SEHTrajectPeriodeDatumTijdVan],"&lt;="&amp;($A605+19/24),tData[SEHTrajectPeriodeDatumTijdTotEnMet],"&gt;"&amp;($A605+19/24),tData[Langligger01],1)</f>
        <v/>
      </c>
      <c r="X605" s="20">
        <f>COUNTIFS(tData[SEHTrajectPeriodeDatumTijdVan],"&lt;="&amp;($A605+20/24),tData[SEHTrajectPeriodeDatumTijdTotEnMet],"&gt;"&amp;($A605+20/24),tData[Langligger01],1)</f>
        <v/>
      </c>
      <c r="Y605" s="20">
        <f>COUNTIFS(tData[SEHTrajectPeriodeDatumTijdVan],"&lt;="&amp;($A605+21/24),tData[SEHTrajectPeriodeDatumTijdTotEnMet],"&gt;"&amp;($A605+21/24),tData[Langligger01],1)</f>
        <v/>
      </c>
      <c r="Z605" s="20">
        <f>COUNTIFS(tData[SEHTrajectPeriodeDatumTijdVan],"&lt;="&amp;($A605+22/24),tData[SEHTrajectPeriodeDatumTijdTotEnMet],"&gt;"&amp;($A605+22/24),tData[Langligger01],1)</f>
        <v/>
      </c>
      <c r="AA605" s="20">
        <f>COUNTIFS(tData[SEHTrajectPeriodeDatumTijdVan],"&lt;="&amp;($A605+23/24),tData[SEHTrajectPeriodeDatumTijdTotEnMet],"&gt;"&amp;($A605+23/24),tData[Langligger01],1)</f>
        <v/>
      </c>
    </row>
    <row r="606">
      <c r="A606" s="19" t="n">
        <v>45894</v>
      </c>
      <c r="B606" s="15">
        <f>WEEKDAY($A606,2)</f>
        <v/>
      </c>
      <c r="C606" s="15">
        <f>IF(AND($A606&gt;=INT(Instellingen!$B$5),$A606&lt;=INT(Instellingen!$B$6)),1,0)</f>
        <v/>
      </c>
      <c r="D606" s="20">
        <f>COUNTIFS(tData[SEHTrajectPeriodeDatumTijdVan],"&lt;="&amp;($A606+0/24),tData[SEHTrajectPeriodeDatumTijdTotEnMet],"&gt;"&amp;($A606+0/24),tData[Langligger01],1)</f>
        <v/>
      </c>
      <c r="E606" s="20">
        <f>COUNTIFS(tData[SEHTrajectPeriodeDatumTijdVan],"&lt;="&amp;($A606+1/24),tData[SEHTrajectPeriodeDatumTijdTotEnMet],"&gt;"&amp;($A606+1/24),tData[Langligger01],1)</f>
        <v/>
      </c>
      <c r="F606" s="20">
        <f>COUNTIFS(tData[SEHTrajectPeriodeDatumTijdVan],"&lt;="&amp;($A606+2/24),tData[SEHTrajectPeriodeDatumTijdTotEnMet],"&gt;"&amp;($A606+2/24),tData[Langligger01],1)</f>
        <v/>
      </c>
      <c r="G606" s="20">
        <f>COUNTIFS(tData[SEHTrajectPeriodeDatumTijdVan],"&lt;="&amp;($A606+3/24),tData[SEHTrajectPeriodeDatumTijdTotEnMet],"&gt;"&amp;($A606+3/24),tData[Langligger01],1)</f>
        <v/>
      </c>
      <c r="H606" s="20">
        <f>COUNTIFS(tData[SEHTrajectPeriodeDatumTijdVan],"&lt;="&amp;($A606+4/24),tData[SEHTrajectPeriodeDatumTijdTotEnMet],"&gt;"&amp;($A606+4/24),tData[Langligger01],1)</f>
        <v/>
      </c>
      <c r="I606" s="20">
        <f>COUNTIFS(tData[SEHTrajectPeriodeDatumTijdVan],"&lt;="&amp;($A606+5/24),tData[SEHTrajectPeriodeDatumTijdTotEnMet],"&gt;"&amp;($A606+5/24),tData[Langligger01],1)</f>
        <v/>
      </c>
      <c r="J606" s="20">
        <f>COUNTIFS(tData[SEHTrajectPeriodeDatumTijdVan],"&lt;="&amp;($A606+6/24),tData[SEHTrajectPeriodeDatumTijdTotEnMet],"&gt;"&amp;($A606+6/24),tData[Langligger01],1)</f>
        <v/>
      </c>
      <c r="K606" s="20">
        <f>COUNTIFS(tData[SEHTrajectPeriodeDatumTijdVan],"&lt;="&amp;($A606+7/24),tData[SEHTrajectPeriodeDatumTijdTotEnMet],"&gt;"&amp;($A606+7/24),tData[Langligger01],1)</f>
        <v/>
      </c>
      <c r="L606" s="20">
        <f>COUNTIFS(tData[SEHTrajectPeriodeDatumTijdVan],"&lt;="&amp;($A606+8/24),tData[SEHTrajectPeriodeDatumTijdTotEnMet],"&gt;"&amp;($A606+8/24),tData[Langligger01],1)</f>
        <v/>
      </c>
      <c r="M606" s="20">
        <f>COUNTIFS(tData[SEHTrajectPeriodeDatumTijdVan],"&lt;="&amp;($A606+9/24),tData[SEHTrajectPeriodeDatumTijdTotEnMet],"&gt;"&amp;($A606+9/24),tData[Langligger01],1)</f>
        <v/>
      </c>
      <c r="N606" s="20">
        <f>COUNTIFS(tData[SEHTrajectPeriodeDatumTijdVan],"&lt;="&amp;($A606+10/24),tData[SEHTrajectPeriodeDatumTijdTotEnMet],"&gt;"&amp;($A606+10/24),tData[Langligger01],1)</f>
        <v/>
      </c>
      <c r="O606" s="20">
        <f>COUNTIFS(tData[SEHTrajectPeriodeDatumTijdVan],"&lt;="&amp;($A606+11/24),tData[SEHTrajectPeriodeDatumTijdTotEnMet],"&gt;"&amp;($A606+11/24),tData[Langligger01],1)</f>
        <v/>
      </c>
      <c r="P606" s="20">
        <f>COUNTIFS(tData[SEHTrajectPeriodeDatumTijdVan],"&lt;="&amp;($A606+12/24),tData[SEHTrajectPeriodeDatumTijdTotEnMet],"&gt;"&amp;($A606+12/24),tData[Langligger01],1)</f>
        <v/>
      </c>
      <c r="Q606" s="20">
        <f>COUNTIFS(tData[SEHTrajectPeriodeDatumTijdVan],"&lt;="&amp;($A606+13/24),tData[SEHTrajectPeriodeDatumTijdTotEnMet],"&gt;"&amp;($A606+13/24),tData[Langligger01],1)</f>
        <v/>
      </c>
      <c r="R606" s="20">
        <f>COUNTIFS(tData[SEHTrajectPeriodeDatumTijdVan],"&lt;="&amp;($A606+14/24),tData[SEHTrajectPeriodeDatumTijdTotEnMet],"&gt;"&amp;($A606+14/24),tData[Langligger01],1)</f>
        <v/>
      </c>
      <c r="S606" s="20">
        <f>COUNTIFS(tData[SEHTrajectPeriodeDatumTijdVan],"&lt;="&amp;($A606+15/24),tData[SEHTrajectPeriodeDatumTijdTotEnMet],"&gt;"&amp;($A606+15/24),tData[Langligger01],1)</f>
        <v/>
      </c>
      <c r="T606" s="20">
        <f>COUNTIFS(tData[SEHTrajectPeriodeDatumTijdVan],"&lt;="&amp;($A606+16/24),tData[SEHTrajectPeriodeDatumTijdTotEnMet],"&gt;"&amp;($A606+16/24),tData[Langligger01],1)</f>
        <v/>
      </c>
      <c r="U606" s="20">
        <f>COUNTIFS(tData[SEHTrajectPeriodeDatumTijdVan],"&lt;="&amp;($A606+17/24),tData[SEHTrajectPeriodeDatumTijdTotEnMet],"&gt;"&amp;($A606+17/24),tData[Langligger01],1)</f>
        <v/>
      </c>
      <c r="V606" s="20">
        <f>COUNTIFS(tData[SEHTrajectPeriodeDatumTijdVan],"&lt;="&amp;($A606+18/24),tData[SEHTrajectPeriodeDatumTijdTotEnMet],"&gt;"&amp;($A606+18/24),tData[Langligger01],1)</f>
        <v/>
      </c>
      <c r="W606" s="20">
        <f>COUNTIFS(tData[SEHTrajectPeriodeDatumTijdVan],"&lt;="&amp;($A606+19/24),tData[SEHTrajectPeriodeDatumTijdTotEnMet],"&gt;"&amp;($A606+19/24),tData[Langligger01],1)</f>
        <v/>
      </c>
      <c r="X606" s="20">
        <f>COUNTIFS(tData[SEHTrajectPeriodeDatumTijdVan],"&lt;="&amp;($A606+20/24),tData[SEHTrajectPeriodeDatumTijdTotEnMet],"&gt;"&amp;($A606+20/24),tData[Langligger01],1)</f>
        <v/>
      </c>
      <c r="Y606" s="20">
        <f>COUNTIFS(tData[SEHTrajectPeriodeDatumTijdVan],"&lt;="&amp;($A606+21/24),tData[SEHTrajectPeriodeDatumTijdTotEnMet],"&gt;"&amp;($A606+21/24),tData[Langligger01],1)</f>
        <v/>
      </c>
      <c r="Z606" s="20">
        <f>COUNTIFS(tData[SEHTrajectPeriodeDatumTijdVan],"&lt;="&amp;($A606+22/24),tData[SEHTrajectPeriodeDatumTijdTotEnMet],"&gt;"&amp;($A606+22/24),tData[Langligger01],1)</f>
        <v/>
      </c>
      <c r="AA606" s="20">
        <f>COUNTIFS(tData[SEHTrajectPeriodeDatumTijdVan],"&lt;="&amp;($A606+23/24),tData[SEHTrajectPeriodeDatumTijdTotEnMet],"&gt;"&amp;($A606+23/24),tData[Langligger01],1)</f>
        <v/>
      </c>
    </row>
    <row r="607">
      <c r="A607" s="19" t="n">
        <v>45895</v>
      </c>
      <c r="B607" s="15">
        <f>WEEKDAY($A607,2)</f>
        <v/>
      </c>
      <c r="C607" s="15">
        <f>IF(AND($A607&gt;=INT(Instellingen!$B$5),$A607&lt;=INT(Instellingen!$B$6)),1,0)</f>
        <v/>
      </c>
      <c r="D607" s="20">
        <f>COUNTIFS(tData[SEHTrajectPeriodeDatumTijdVan],"&lt;="&amp;($A607+0/24),tData[SEHTrajectPeriodeDatumTijdTotEnMet],"&gt;"&amp;($A607+0/24),tData[Langligger01],1)</f>
        <v/>
      </c>
      <c r="E607" s="20">
        <f>COUNTIFS(tData[SEHTrajectPeriodeDatumTijdVan],"&lt;="&amp;($A607+1/24),tData[SEHTrajectPeriodeDatumTijdTotEnMet],"&gt;"&amp;($A607+1/24),tData[Langligger01],1)</f>
        <v/>
      </c>
      <c r="F607" s="20">
        <f>COUNTIFS(tData[SEHTrajectPeriodeDatumTijdVan],"&lt;="&amp;($A607+2/24),tData[SEHTrajectPeriodeDatumTijdTotEnMet],"&gt;"&amp;($A607+2/24),tData[Langligger01],1)</f>
        <v/>
      </c>
      <c r="G607" s="20">
        <f>COUNTIFS(tData[SEHTrajectPeriodeDatumTijdVan],"&lt;="&amp;($A607+3/24),tData[SEHTrajectPeriodeDatumTijdTotEnMet],"&gt;"&amp;($A607+3/24),tData[Langligger01],1)</f>
        <v/>
      </c>
      <c r="H607" s="20">
        <f>COUNTIFS(tData[SEHTrajectPeriodeDatumTijdVan],"&lt;="&amp;($A607+4/24),tData[SEHTrajectPeriodeDatumTijdTotEnMet],"&gt;"&amp;($A607+4/24),tData[Langligger01],1)</f>
        <v/>
      </c>
      <c r="I607" s="20">
        <f>COUNTIFS(tData[SEHTrajectPeriodeDatumTijdVan],"&lt;="&amp;($A607+5/24),tData[SEHTrajectPeriodeDatumTijdTotEnMet],"&gt;"&amp;($A607+5/24),tData[Langligger01],1)</f>
        <v/>
      </c>
      <c r="J607" s="20">
        <f>COUNTIFS(tData[SEHTrajectPeriodeDatumTijdVan],"&lt;="&amp;($A607+6/24),tData[SEHTrajectPeriodeDatumTijdTotEnMet],"&gt;"&amp;($A607+6/24),tData[Langligger01],1)</f>
        <v/>
      </c>
      <c r="K607" s="20">
        <f>COUNTIFS(tData[SEHTrajectPeriodeDatumTijdVan],"&lt;="&amp;($A607+7/24),tData[SEHTrajectPeriodeDatumTijdTotEnMet],"&gt;"&amp;($A607+7/24),tData[Langligger01],1)</f>
        <v/>
      </c>
      <c r="L607" s="20">
        <f>COUNTIFS(tData[SEHTrajectPeriodeDatumTijdVan],"&lt;="&amp;($A607+8/24),tData[SEHTrajectPeriodeDatumTijdTotEnMet],"&gt;"&amp;($A607+8/24),tData[Langligger01],1)</f>
        <v/>
      </c>
      <c r="M607" s="20">
        <f>COUNTIFS(tData[SEHTrajectPeriodeDatumTijdVan],"&lt;="&amp;($A607+9/24),tData[SEHTrajectPeriodeDatumTijdTotEnMet],"&gt;"&amp;($A607+9/24),tData[Langligger01],1)</f>
        <v/>
      </c>
      <c r="N607" s="20">
        <f>COUNTIFS(tData[SEHTrajectPeriodeDatumTijdVan],"&lt;="&amp;($A607+10/24),tData[SEHTrajectPeriodeDatumTijdTotEnMet],"&gt;"&amp;($A607+10/24),tData[Langligger01],1)</f>
        <v/>
      </c>
      <c r="O607" s="20">
        <f>COUNTIFS(tData[SEHTrajectPeriodeDatumTijdVan],"&lt;="&amp;($A607+11/24),tData[SEHTrajectPeriodeDatumTijdTotEnMet],"&gt;"&amp;($A607+11/24),tData[Langligger01],1)</f>
        <v/>
      </c>
      <c r="P607" s="20">
        <f>COUNTIFS(tData[SEHTrajectPeriodeDatumTijdVan],"&lt;="&amp;($A607+12/24),tData[SEHTrajectPeriodeDatumTijdTotEnMet],"&gt;"&amp;($A607+12/24),tData[Langligger01],1)</f>
        <v/>
      </c>
      <c r="Q607" s="20">
        <f>COUNTIFS(tData[SEHTrajectPeriodeDatumTijdVan],"&lt;="&amp;($A607+13/24),tData[SEHTrajectPeriodeDatumTijdTotEnMet],"&gt;"&amp;($A607+13/24),tData[Langligger01],1)</f>
        <v/>
      </c>
      <c r="R607" s="20">
        <f>COUNTIFS(tData[SEHTrajectPeriodeDatumTijdVan],"&lt;="&amp;($A607+14/24),tData[SEHTrajectPeriodeDatumTijdTotEnMet],"&gt;"&amp;($A607+14/24),tData[Langligger01],1)</f>
        <v/>
      </c>
      <c r="S607" s="20">
        <f>COUNTIFS(tData[SEHTrajectPeriodeDatumTijdVan],"&lt;="&amp;($A607+15/24),tData[SEHTrajectPeriodeDatumTijdTotEnMet],"&gt;"&amp;($A607+15/24),tData[Langligger01],1)</f>
        <v/>
      </c>
      <c r="T607" s="20">
        <f>COUNTIFS(tData[SEHTrajectPeriodeDatumTijdVan],"&lt;="&amp;($A607+16/24),tData[SEHTrajectPeriodeDatumTijdTotEnMet],"&gt;"&amp;($A607+16/24),tData[Langligger01],1)</f>
        <v/>
      </c>
      <c r="U607" s="20">
        <f>COUNTIFS(tData[SEHTrajectPeriodeDatumTijdVan],"&lt;="&amp;($A607+17/24),tData[SEHTrajectPeriodeDatumTijdTotEnMet],"&gt;"&amp;($A607+17/24),tData[Langligger01],1)</f>
        <v/>
      </c>
      <c r="V607" s="20">
        <f>COUNTIFS(tData[SEHTrajectPeriodeDatumTijdVan],"&lt;="&amp;($A607+18/24),tData[SEHTrajectPeriodeDatumTijdTotEnMet],"&gt;"&amp;($A607+18/24),tData[Langligger01],1)</f>
        <v/>
      </c>
      <c r="W607" s="20">
        <f>COUNTIFS(tData[SEHTrajectPeriodeDatumTijdVan],"&lt;="&amp;($A607+19/24),tData[SEHTrajectPeriodeDatumTijdTotEnMet],"&gt;"&amp;($A607+19/24),tData[Langligger01],1)</f>
        <v/>
      </c>
      <c r="X607" s="20">
        <f>COUNTIFS(tData[SEHTrajectPeriodeDatumTijdVan],"&lt;="&amp;($A607+20/24),tData[SEHTrajectPeriodeDatumTijdTotEnMet],"&gt;"&amp;($A607+20/24),tData[Langligger01],1)</f>
        <v/>
      </c>
      <c r="Y607" s="20">
        <f>COUNTIFS(tData[SEHTrajectPeriodeDatumTijdVan],"&lt;="&amp;($A607+21/24),tData[SEHTrajectPeriodeDatumTijdTotEnMet],"&gt;"&amp;($A607+21/24),tData[Langligger01],1)</f>
        <v/>
      </c>
      <c r="Z607" s="20">
        <f>COUNTIFS(tData[SEHTrajectPeriodeDatumTijdVan],"&lt;="&amp;($A607+22/24),tData[SEHTrajectPeriodeDatumTijdTotEnMet],"&gt;"&amp;($A607+22/24),tData[Langligger01],1)</f>
        <v/>
      </c>
      <c r="AA607" s="20">
        <f>COUNTIFS(tData[SEHTrajectPeriodeDatumTijdVan],"&lt;="&amp;($A607+23/24),tData[SEHTrajectPeriodeDatumTijdTotEnMet],"&gt;"&amp;($A607+23/24),tData[Langligger01],1)</f>
        <v/>
      </c>
    </row>
    <row r="608">
      <c r="A608" s="19" t="n">
        <v>45896</v>
      </c>
      <c r="B608" s="15">
        <f>WEEKDAY($A608,2)</f>
        <v/>
      </c>
      <c r="C608" s="15">
        <f>IF(AND($A608&gt;=INT(Instellingen!$B$5),$A608&lt;=INT(Instellingen!$B$6)),1,0)</f>
        <v/>
      </c>
      <c r="D608" s="20">
        <f>COUNTIFS(tData[SEHTrajectPeriodeDatumTijdVan],"&lt;="&amp;($A608+0/24),tData[SEHTrajectPeriodeDatumTijdTotEnMet],"&gt;"&amp;($A608+0/24),tData[Langligger01],1)</f>
        <v/>
      </c>
      <c r="E608" s="20">
        <f>COUNTIFS(tData[SEHTrajectPeriodeDatumTijdVan],"&lt;="&amp;($A608+1/24),tData[SEHTrajectPeriodeDatumTijdTotEnMet],"&gt;"&amp;($A608+1/24),tData[Langligger01],1)</f>
        <v/>
      </c>
      <c r="F608" s="20">
        <f>COUNTIFS(tData[SEHTrajectPeriodeDatumTijdVan],"&lt;="&amp;($A608+2/24),tData[SEHTrajectPeriodeDatumTijdTotEnMet],"&gt;"&amp;($A608+2/24),tData[Langligger01],1)</f>
        <v/>
      </c>
      <c r="G608" s="20">
        <f>COUNTIFS(tData[SEHTrajectPeriodeDatumTijdVan],"&lt;="&amp;($A608+3/24),tData[SEHTrajectPeriodeDatumTijdTotEnMet],"&gt;"&amp;($A608+3/24),tData[Langligger01],1)</f>
        <v/>
      </c>
      <c r="H608" s="20">
        <f>COUNTIFS(tData[SEHTrajectPeriodeDatumTijdVan],"&lt;="&amp;($A608+4/24),tData[SEHTrajectPeriodeDatumTijdTotEnMet],"&gt;"&amp;($A608+4/24),tData[Langligger01],1)</f>
        <v/>
      </c>
      <c r="I608" s="20">
        <f>COUNTIFS(tData[SEHTrajectPeriodeDatumTijdVan],"&lt;="&amp;($A608+5/24),tData[SEHTrajectPeriodeDatumTijdTotEnMet],"&gt;"&amp;($A608+5/24),tData[Langligger01],1)</f>
        <v/>
      </c>
      <c r="J608" s="20">
        <f>COUNTIFS(tData[SEHTrajectPeriodeDatumTijdVan],"&lt;="&amp;($A608+6/24),tData[SEHTrajectPeriodeDatumTijdTotEnMet],"&gt;"&amp;($A608+6/24),tData[Langligger01],1)</f>
        <v/>
      </c>
      <c r="K608" s="20">
        <f>COUNTIFS(tData[SEHTrajectPeriodeDatumTijdVan],"&lt;="&amp;($A608+7/24),tData[SEHTrajectPeriodeDatumTijdTotEnMet],"&gt;"&amp;($A608+7/24),tData[Langligger01],1)</f>
        <v/>
      </c>
      <c r="L608" s="20">
        <f>COUNTIFS(tData[SEHTrajectPeriodeDatumTijdVan],"&lt;="&amp;($A608+8/24),tData[SEHTrajectPeriodeDatumTijdTotEnMet],"&gt;"&amp;($A608+8/24),tData[Langligger01],1)</f>
        <v/>
      </c>
      <c r="M608" s="20">
        <f>COUNTIFS(tData[SEHTrajectPeriodeDatumTijdVan],"&lt;="&amp;($A608+9/24),tData[SEHTrajectPeriodeDatumTijdTotEnMet],"&gt;"&amp;($A608+9/24),tData[Langligger01],1)</f>
        <v/>
      </c>
      <c r="N608" s="20">
        <f>COUNTIFS(tData[SEHTrajectPeriodeDatumTijdVan],"&lt;="&amp;($A608+10/24),tData[SEHTrajectPeriodeDatumTijdTotEnMet],"&gt;"&amp;($A608+10/24),tData[Langligger01],1)</f>
        <v/>
      </c>
      <c r="O608" s="20">
        <f>COUNTIFS(tData[SEHTrajectPeriodeDatumTijdVan],"&lt;="&amp;($A608+11/24),tData[SEHTrajectPeriodeDatumTijdTotEnMet],"&gt;"&amp;($A608+11/24),tData[Langligger01],1)</f>
        <v/>
      </c>
      <c r="P608" s="20">
        <f>COUNTIFS(tData[SEHTrajectPeriodeDatumTijdVan],"&lt;="&amp;($A608+12/24),tData[SEHTrajectPeriodeDatumTijdTotEnMet],"&gt;"&amp;($A608+12/24),tData[Langligger01],1)</f>
        <v/>
      </c>
      <c r="Q608" s="20">
        <f>COUNTIFS(tData[SEHTrajectPeriodeDatumTijdVan],"&lt;="&amp;($A608+13/24),tData[SEHTrajectPeriodeDatumTijdTotEnMet],"&gt;"&amp;($A608+13/24),tData[Langligger01],1)</f>
        <v/>
      </c>
      <c r="R608" s="20">
        <f>COUNTIFS(tData[SEHTrajectPeriodeDatumTijdVan],"&lt;="&amp;($A608+14/24),tData[SEHTrajectPeriodeDatumTijdTotEnMet],"&gt;"&amp;($A608+14/24),tData[Langligger01],1)</f>
        <v/>
      </c>
      <c r="S608" s="20">
        <f>COUNTIFS(tData[SEHTrajectPeriodeDatumTijdVan],"&lt;="&amp;($A608+15/24),tData[SEHTrajectPeriodeDatumTijdTotEnMet],"&gt;"&amp;($A608+15/24),tData[Langligger01],1)</f>
        <v/>
      </c>
      <c r="T608" s="20">
        <f>COUNTIFS(tData[SEHTrajectPeriodeDatumTijdVan],"&lt;="&amp;($A608+16/24),tData[SEHTrajectPeriodeDatumTijdTotEnMet],"&gt;"&amp;($A608+16/24),tData[Langligger01],1)</f>
        <v/>
      </c>
      <c r="U608" s="20">
        <f>COUNTIFS(tData[SEHTrajectPeriodeDatumTijdVan],"&lt;="&amp;($A608+17/24),tData[SEHTrajectPeriodeDatumTijdTotEnMet],"&gt;"&amp;($A608+17/24),tData[Langligger01],1)</f>
        <v/>
      </c>
      <c r="V608" s="20">
        <f>COUNTIFS(tData[SEHTrajectPeriodeDatumTijdVan],"&lt;="&amp;($A608+18/24),tData[SEHTrajectPeriodeDatumTijdTotEnMet],"&gt;"&amp;($A608+18/24),tData[Langligger01],1)</f>
        <v/>
      </c>
      <c r="W608" s="20">
        <f>COUNTIFS(tData[SEHTrajectPeriodeDatumTijdVan],"&lt;="&amp;($A608+19/24),tData[SEHTrajectPeriodeDatumTijdTotEnMet],"&gt;"&amp;($A608+19/24),tData[Langligger01],1)</f>
        <v/>
      </c>
      <c r="X608" s="20">
        <f>COUNTIFS(tData[SEHTrajectPeriodeDatumTijdVan],"&lt;="&amp;($A608+20/24),tData[SEHTrajectPeriodeDatumTijdTotEnMet],"&gt;"&amp;($A608+20/24),tData[Langligger01],1)</f>
        <v/>
      </c>
      <c r="Y608" s="20">
        <f>COUNTIFS(tData[SEHTrajectPeriodeDatumTijdVan],"&lt;="&amp;($A608+21/24),tData[SEHTrajectPeriodeDatumTijdTotEnMet],"&gt;"&amp;($A608+21/24),tData[Langligger01],1)</f>
        <v/>
      </c>
      <c r="Z608" s="20">
        <f>COUNTIFS(tData[SEHTrajectPeriodeDatumTijdVan],"&lt;="&amp;($A608+22/24),tData[SEHTrajectPeriodeDatumTijdTotEnMet],"&gt;"&amp;($A608+22/24),tData[Langligger01],1)</f>
        <v/>
      </c>
      <c r="AA608" s="20">
        <f>COUNTIFS(tData[SEHTrajectPeriodeDatumTijdVan],"&lt;="&amp;($A608+23/24),tData[SEHTrajectPeriodeDatumTijdTotEnMet],"&gt;"&amp;($A608+23/24),tData[Langligger01],1)</f>
        <v/>
      </c>
    </row>
    <row r="609">
      <c r="A609" s="19" t="n">
        <v>45897</v>
      </c>
      <c r="B609" s="15">
        <f>WEEKDAY($A609,2)</f>
        <v/>
      </c>
      <c r="C609" s="15">
        <f>IF(AND($A609&gt;=INT(Instellingen!$B$5),$A609&lt;=INT(Instellingen!$B$6)),1,0)</f>
        <v/>
      </c>
      <c r="D609" s="20">
        <f>COUNTIFS(tData[SEHTrajectPeriodeDatumTijdVan],"&lt;="&amp;($A609+0/24),tData[SEHTrajectPeriodeDatumTijdTotEnMet],"&gt;"&amp;($A609+0/24),tData[Langligger01],1)</f>
        <v/>
      </c>
      <c r="E609" s="20">
        <f>COUNTIFS(tData[SEHTrajectPeriodeDatumTijdVan],"&lt;="&amp;($A609+1/24),tData[SEHTrajectPeriodeDatumTijdTotEnMet],"&gt;"&amp;($A609+1/24),tData[Langligger01],1)</f>
        <v/>
      </c>
      <c r="F609" s="20">
        <f>COUNTIFS(tData[SEHTrajectPeriodeDatumTijdVan],"&lt;="&amp;($A609+2/24),tData[SEHTrajectPeriodeDatumTijdTotEnMet],"&gt;"&amp;($A609+2/24),tData[Langligger01],1)</f>
        <v/>
      </c>
      <c r="G609" s="20">
        <f>COUNTIFS(tData[SEHTrajectPeriodeDatumTijdVan],"&lt;="&amp;($A609+3/24),tData[SEHTrajectPeriodeDatumTijdTotEnMet],"&gt;"&amp;($A609+3/24),tData[Langligger01],1)</f>
        <v/>
      </c>
      <c r="H609" s="20">
        <f>COUNTIFS(tData[SEHTrajectPeriodeDatumTijdVan],"&lt;="&amp;($A609+4/24),tData[SEHTrajectPeriodeDatumTijdTotEnMet],"&gt;"&amp;($A609+4/24),tData[Langligger01],1)</f>
        <v/>
      </c>
      <c r="I609" s="20">
        <f>COUNTIFS(tData[SEHTrajectPeriodeDatumTijdVan],"&lt;="&amp;($A609+5/24),tData[SEHTrajectPeriodeDatumTijdTotEnMet],"&gt;"&amp;($A609+5/24),tData[Langligger01],1)</f>
        <v/>
      </c>
      <c r="J609" s="20">
        <f>COUNTIFS(tData[SEHTrajectPeriodeDatumTijdVan],"&lt;="&amp;($A609+6/24),tData[SEHTrajectPeriodeDatumTijdTotEnMet],"&gt;"&amp;($A609+6/24),tData[Langligger01],1)</f>
        <v/>
      </c>
      <c r="K609" s="20">
        <f>COUNTIFS(tData[SEHTrajectPeriodeDatumTijdVan],"&lt;="&amp;($A609+7/24),tData[SEHTrajectPeriodeDatumTijdTotEnMet],"&gt;"&amp;($A609+7/24),tData[Langligger01],1)</f>
        <v/>
      </c>
      <c r="L609" s="20">
        <f>COUNTIFS(tData[SEHTrajectPeriodeDatumTijdVan],"&lt;="&amp;($A609+8/24),tData[SEHTrajectPeriodeDatumTijdTotEnMet],"&gt;"&amp;($A609+8/24),tData[Langligger01],1)</f>
        <v/>
      </c>
      <c r="M609" s="20">
        <f>COUNTIFS(tData[SEHTrajectPeriodeDatumTijdVan],"&lt;="&amp;($A609+9/24),tData[SEHTrajectPeriodeDatumTijdTotEnMet],"&gt;"&amp;($A609+9/24),tData[Langligger01],1)</f>
        <v/>
      </c>
      <c r="N609" s="20">
        <f>COUNTIFS(tData[SEHTrajectPeriodeDatumTijdVan],"&lt;="&amp;($A609+10/24),tData[SEHTrajectPeriodeDatumTijdTotEnMet],"&gt;"&amp;($A609+10/24),tData[Langligger01],1)</f>
        <v/>
      </c>
      <c r="O609" s="20">
        <f>COUNTIFS(tData[SEHTrajectPeriodeDatumTijdVan],"&lt;="&amp;($A609+11/24),tData[SEHTrajectPeriodeDatumTijdTotEnMet],"&gt;"&amp;($A609+11/24),tData[Langligger01],1)</f>
        <v/>
      </c>
      <c r="P609" s="20">
        <f>COUNTIFS(tData[SEHTrajectPeriodeDatumTijdVan],"&lt;="&amp;($A609+12/24),tData[SEHTrajectPeriodeDatumTijdTotEnMet],"&gt;"&amp;($A609+12/24),tData[Langligger01],1)</f>
        <v/>
      </c>
      <c r="Q609" s="20">
        <f>COUNTIFS(tData[SEHTrajectPeriodeDatumTijdVan],"&lt;="&amp;($A609+13/24),tData[SEHTrajectPeriodeDatumTijdTotEnMet],"&gt;"&amp;($A609+13/24),tData[Langligger01],1)</f>
        <v/>
      </c>
      <c r="R609" s="20">
        <f>COUNTIFS(tData[SEHTrajectPeriodeDatumTijdVan],"&lt;="&amp;($A609+14/24),tData[SEHTrajectPeriodeDatumTijdTotEnMet],"&gt;"&amp;($A609+14/24),tData[Langligger01],1)</f>
        <v/>
      </c>
      <c r="S609" s="20">
        <f>COUNTIFS(tData[SEHTrajectPeriodeDatumTijdVan],"&lt;="&amp;($A609+15/24),tData[SEHTrajectPeriodeDatumTijdTotEnMet],"&gt;"&amp;($A609+15/24),tData[Langligger01],1)</f>
        <v/>
      </c>
      <c r="T609" s="20">
        <f>COUNTIFS(tData[SEHTrajectPeriodeDatumTijdVan],"&lt;="&amp;($A609+16/24),tData[SEHTrajectPeriodeDatumTijdTotEnMet],"&gt;"&amp;($A609+16/24),tData[Langligger01],1)</f>
        <v/>
      </c>
      <c r="U609" s="20">
        <f>COUNTIFS(tData[SEHTrajectPeriodeDatumTijdVan],"&lt;="&amp;($A609+17/24),tData[SEHTrajectPeriodeDatumTijdTotEnMet],"&gt;"&amp;($A609+17/24),tData[Langligger01],1)</f>
        <v/>
      </c>
      <c r="V609" s="20">
        <f>COUNTIFS(tData[SEHTrajectPeriodeDatumTijdVan],"&lt;="&amp;($A609+18/24),tData[SEHTrajectPeriodeDatumTijdTotEnMet],"&gt;"&amp;($A609+18/24),tData[Langligger01],1)</f>
        <v/>
      </c>
      <c r="W609" s="20">
        <f>COUNTIFS(tData[SEHTrajectPeriodeDatumTijdVan],"&lt;="&amp;($A609+19/24),tData[SEHTrajectPeriodeDatumTijdTotEnMet],"&gt;"&amp;($A609+19/24),tData[Langligger01],1)</f>
        <v/>
      </c>
      <c r="X609" s="20">
        <f>COUNTIFS(tData[SEHTrajectPeriodeDatumTijdVan],"&lt;="&amp;($A609+20/24),tData[SEHTrajectPeriodeDatumTijdTotEnMet],"&gt;"&amp;($A609+20/24),tData[Langligger01],1)</f>
        <v/>
      </c>
      <c r="Y609" s="20">
        <f>COUNTIFS(tData[SEHTrajectPeriodeDatumTijdVan],"&lt;="&amp;($A609+21/24),tData[SEHTrajectPeriodeDatumTijdTotEnMet],"&gt;"&amp;($A609+21/24),tData[Langligger01],1)</f>
        <v/>
      </c>
      <c r="Z609" s="20">
        <f>COUNTIFS(tData[SEHTrajectPeriodeDatumTijdVan],"&lt;="&amp;($A609+22/24),tData[SEHTrajectPeriodeDatumTijdTotEnMet],"&gt;"&amp;($A609+22/24),tData[Langligger01],1)</f>
        <v/>
      </c>
      <c r="AA609" s="20">
        <f>COUNTIFS(tData[SEHTrajectPeriodeDatumTijdVan],"&lt;="&amp;($A609+23/24),tData[SEHTrajectPeriodeDatumTijdTotEnMet],"&gt;"&amp;($A609+23/24),tData[Langligger01],1)</f>
        <v/>
      </c>
    </row>
    <row r="610">
      <c r="A610" s="19" t="n">
        <v>45898</v>
      </c>
      <c r="B610" s="15">
        <f>WEEKDAY($A610,2)</f>
        <v/>
      </c>
      <c r="C610" s="15">
        <f>IF(AND($A610&gt;=INT(Instellingen!$B$5),$A610&lt;=INT(Instellingen!$B$6)),1,0)</f>
        <v/>
      </c>
      <c r="D610" s="20">
        <f>COUNTIFS(tData[SEHTrajectPeriodeDatumTijdVan],"&lt;="&amp;($A610+0/24),tData[SEHTrajectPeriodeDatumTijdTotEnMet],"&gt;"&amp;($A610+0/24),tData[Langligger01],1)</f>
        <v/>
      </c>
      <c r="E610" s="20">
        <f>COUNTIFS(tData[SEHTrajectPeriodeDatumTijdVan],"&lt;="&amp;($A610+1/24),tData[SEHTrajectPeriodeDatumTijdTotEnMet],"&gt;"&amp;($A610+1/24),tData[Langligger01],1)</f>
        <v/>
      </c>
      <c r="F610" s="20">
        <f>COUNTIFS(tData[SEHTrajectPeriodeDatumTijdVan],"&lt;="&amp;($A610+2/24),tData[SEHTrajectPeriodeDatumTijdTotEnMet],"&gt;"&amp;($A610+2/24),tData[Langligger01],1)</f>
        <v/>
      </c>
      <c r="G610" s="20">
        <f>COUNTIFS(tData[SEHTrajectPeriodeDatumTijdVan],"&lt;="&amp;($A610+3/24),tData[SEHTrajectPeriodeDatumTijdTotEnMet],"&gt;"&amp;($A610+3/24),tData[Langligger01],1)</f>
        <v/>
      </c>
      <c r="H610" s="20">
        <f>COUNTIFS(tData[SEHTrajectPeriodeDatumTijdVan],"&lt;="&amp;($A610+4/24),tData[SEHTrajectPeriodeDatumTijdTotEnMet],"&gt;"&amp;($A610+4/24),tData[Langligger01],1)</f>
        <v/>
      </c>
      <c r="I610" s="20">
        <f>COUNTIFS(tData[SEHTrajectPeriodeDatumTijdVan],"&lt;="&amp;($A610+5/24),tData[SEHTrajectPeriodeDatumTijdTotEnMet],"&gt;"&amp;($A610+5/24),tData[Langligger01],1)</f>
        <v/>
      </c>
      <c r="J610" s="20">
        <f>COUNTIFS(tData[SEHTrajectPeriodeDatumTijdVan],"&lt;="&amp;($A610+6/24),tData[SEHTrajectPeriodeDatumTijdTotEnMet],"&gt;"&amp;($A610+6/24),tData[Langligger01],1)</f>
        <v/>
      </c>
      <c r="K610" s="20">
        <f>COUNTIFS(tData[SEHTrajectPeriodeDatumTijdVan],"&lt;="&amp;($A610+7/24),tData[SEHTrajectPeriodeDatumTijdTotEnMet],"&gt;"&amp;($A610+7/24),tData[Langligger01],1)</f>
        <v/>
      </c>
      <c r="L610" s="20">
        <f>COUNTIFS(tData[SEHTrajectPeriodeDatumTijdVan],"&lt;="&amp;($A610+8/24),tData[SEHTrajectPeriodeDatumTijdTotEnMet],"&gt;"&amp;($A610+8/24),tData[Langligger01],1)</f>
        <v/>
      </c>
      <c r="M610" s="20">
        <f>COUNTIFS(tData[SEHTrajectPeriodeDatumTijdVan],"&lt;="&amp;($A610+9/24),tData[SEHTrajectPeriodeDatumTijdTotEnMet],"&gt;"&amp;($A610+9/24),tData[Langligger01],1)</f>
        <v/>
      </c>
      <c r="N610" s="20">
        <f>COUNTIFS(tData[SEHTrajectPeriodeDatumTijdVan],"&lt;="&amp;($A610+10/24),tData[SEHTrajectPeriodeDatumTijdTotEnMet],"&gt;"&amp;($A610+10/24),tData[Langligger01],1)</f>
        <v/>
      </c>
      <c r="O610" s="20">
        <f>COUNTIFS(tData[SEHTrajectPeriodeDatumTijdVan],"&lt;="&amp;($A610+11/24),tData[SEHTrajectPeriodeDatumTijdTotEnMet],"&gt;"&amp;($A610+11/24),tData[Langligger01],1)</f>
        <v/>
      </c>
      <c r="P610" s="20">
        <f>COUNTIFS(tData[SEHTrajectPeriodeDatumTijdVan],"&lt;="&amp;($A610+12/24),tData[SEHTrajectPeriodeDatumTijdTotEnMet],"&gt;"&amp;($A610+12/24),tData[Langligger01],1)</f>
        <v/>
      </c>
      <c r="Q610" s="20">
        <f>COUNTIFS(tData[SEHTrajectPeriodeDatumTijdVan],"&lt;="&amp;($A610+13/24),tData[SEHTrajectPeriodeDatumTijdTotEnMet],"&gt;"&amp;($A610+13/24),tData[Langligger01],1)</f>
        <v/>
      </c>
      <c r="R610" s="20">
        <f>COUNTIFS(tData[SEHTrajectPeriodeDatumTijdVan],"&lt;="&amp;($A610+14/24),tData[SEHTrajectPeriodeDatumTijdTotEnMet],"&gt;"&amp;($A610+14/24),tData[Langligger01],1)</f>
        <v/>
      </c>
      <c r="S610" s="20">
        <f>COUNTIFS(tData[SEHTrajectPeriodeDatumTijdVan],"&lt;="&amp;($A610+15/24),tData[SEHTrajectPeriodeDatumTijdTotEnMet],"&gt;"&amp;($A610+15/24),tData[Langligger01],1)</f>
        <v/>
      </c>
      <c r="T610" s="20">
        <f>COUNTIFS(tData[SEHTrajectPeriodeDatumTijdVan],"&lt;="&amp;($A610+16/24),tData[SEHTrajectPeriodeDatumTijdTotEnMet],"&gt;"&amp;($A610+16/24),tData[Langligger01],1)</f>
        <v/>
      </c>
      <c r="U610" s="20">
        <f>COUNTIFS(tData[SEHTrajectPeriodeDatumTijdVan],"&lt;="&amp;($A610+17/24),tData[SEHTrajectPeriodeDatumTijdTotEnMet],"&gt;"&amp;($A610+17/24),tData[Langligger01],1)</f>
        <v/>
      </c>
      <c r="V610" s="20">
        <f>COUNTIFS(tData[SEHTrajectPeriodeDatumTijdVan],"&lt;="&amp;($A610+18/24),tData[SEHTrajectPeriodeDatumTijdTotEnMet],"&gt;"&amp;($A610+18/24),tData[Langligger01],1)</f>
        <v/>
      </c>
      <c r="W610" s="20">
        <f>COUNTIFS(tData[SEHTrajectPeriodeDatumTijdVan],"&lt;="&amp;($A610+19/24),tData[SEHTrajectPeriodeDatumTijdTotEnMet],"&gt;"&amp;($A610+19/24),tData[Langligger01],1)</f>
        <v/>
      </c>
      <c r="X610" s="20">
        <f>COUNTIFS(tData[SEHTrajectPeriodeDatumTijdVan],"&lt;="&amp;($A610+20/24),tData[SEHTrajectPeriodeDatumTijdTotEnMet],"&gt;"&amp;($A610+20/24),tData[Langligger01],1)</f>
        <v/>
      </c>
      <c r="Y610" s="20">
        <f>COUNTIFS(tData[SEHTrajectPeriodeDatumTijdVan],"&lt;="&amp;($A610+21/24),tData[SEHTrajectPeriodeDatumTijdTotEnMet],"&gt;"&amp;($A610+21/24),tData[Langligger01],1)</f>
        <v/>
      </c>
      <c r="Z610" s="20">
        <f>COUNTIFS(tData[SEHTrajectPeriodeDatumTijdVan],"&lt;="&amp;($A610+22/24),tData[SEHTrajectPeriodeDatumTijdTotEnMet],"&gt;"&amp;($A610+22/24),tData[Langligger01],1)</f>
        <v/>
      </c>
      <c r="AA610" s="20">
        <f>COUNTIFS(tData[SEHTrajectPeriodeDatumTijdVan],"&lt;="&amp;($A610+23/24),tData[SEHTrajectPeriodeDatumTijdTotEnMet],"&gt;"&amp;($A610+23/24),tData[Langligger01],1)</f>
        <v/>
      </c>
    </row>
    <row r="611">
      <c r="A611" s="19" t="n">
        <v>45899</v>
      </c>
      <c r="B611" s="15">
        <f>WEEKDAY($A611,2)</f>
        <v/>
      </c>
      <c r="C611" s="15">
        <f>IF(AND($A611&gt;=INT(Instellingen!$B$5),$A611&lt;=INT(Instellingen!$B$6)),1,0)</f>
        <v/>
      </c>
      <c r="D611" s="20">
        <f>COUNTIFS(tData[SEHTrajectPeriodeDatumTijdVan],"&lt;="&amp;($A611+0/24),tData[SEHTrajectPeriodeDatumTijdTotEnMet],"&gt;"&amp;($A611+0/24),tData[Langligger01],1)</f>
        <v/>
      </c>
      <c r="E611" s="20">
        <f>COUNTIFS(tData[SEHTrajectPeriodeDatumTijdVan],"&lt;="&amp;($A611+1/24),tData[SEHTrajectPeriodeDatumTijdTotEnMet],"&gt;"&amp;($A611+1/24),tData[Langligger01],1)</f>
        <v/>
      </c>
      <c r="F611" s="20">
        <f>COUNTIFS(tData[SEHTrajectPeriodeDatumTijdVan],"&lt;="&amp;($A611+2/24),tData[SEHTrajectPeriodeDatumTijdTotEnMet],"&gt;"&amp;($A611+2/24),tData[Langligger01],1)</f>
        <v/>
      </c>
      <c r="G611" s="20">
        <f>COUNTIFS(tData[SEHTrajectPeriodeDatumTijdVan],"&lt;="&amp;($A611+3/24),tData[SEHTrajectPeriodeDatumTijdTotEnMet],"&gt;"&amp;($A611+3/24),tData[Langligger01],1)</f>
        <v/>
      </c>
      <c r="H611" s="20">
        <f>COUNTIFS(tData[SEHTrajectPeriodeDatumTijdVan],"&lt;="&amp;($A611+4/24),tData[SEHTrajectPeriodeDatumTijdTotEnMet],"&gt;"&amp;($A611+4/24),tData[Langligger01],1)</f>
        <v/>
      </c>
      <c r="I611" s="20">
        <f>COUNTIFS(tData[SEHTrajectPeriodeDatumTijdVan],"&lt;="&amp;($A611+5/24),tData[SEHTrajectPeriodeDatumTijdTotEnMet],"&gt;"&amp;($A611+5/24),tData[Langligger01],1)</f>
        <v/>
      </c>
      <c r="J611" s="20">
        <f>COUNTIFS(tData[SEHTrajectPeriodeDatumTijdVan],"&lt;="&amp;($A611+6/24),tData[SEHTrajectPeriodeDatumTijdTotEnMet],"&gt;"&amp;($A611+6/24),tData[Langligger01],1)</f>
        <v/>
      </c>
      <c r="K611" s="20">
        <f>COUNTIFS(tData[SEHTrajectPeriodeDatumTijdVan],"&lt;="&amp;($A611+7/24),tData[SEHTrajectPeriodeDatumTijdTotEnMet],"&gt;"&amp;($A611+7/24),tData[Langligger01],1)</f>
        <v/>
      </c>
      <c r="L611" s="20">
        <f>COUNTIFS(tData[SEHTrajectPeriodeDatumTijdVan],"&lt;="&amp;($A611+8/24),tData[SEHTrajectPeriodeDatumTijdTotEnMet],"&gt;"&amp;($A611+8/24),tData[Langligger01],1)</f>
        <v/>
      </c>
      <c r="M611" s="20">
        <f>COUNTIFS(tData[SEHTrajectPeriodeDatumTijdVan],"&lt;="&amp;($A611+9/24),tData[SEHTrajectPeriodeDatumTijdTotEnMet],"&gt;"&amp;($A611+9/24),tData[Langligger01],1)</f>
        <v/>
      </c>
      <c r="N611" s="20">
        <f>COUNTIFS(tData[SEHTrajectPeriodeDatumTijdVan],"&lt;="&amp;($A611+10/24),tData[SEHTrajectPeriodeDatumTijdTotEnMet],"&gt;"&amp;($A611+10/24),tData[Langligger01],1)</f>
        <v/>
      </c>
      <c r="O611" s="20">
        <f>COUNTIFS(tData[SEHTrajectPeriodeDatumTijdVan],"&lt;="&amp;($A611+11/24),tData[SEHTrajectPeriodeDatumTijdTotEnMet],"&gt;"&amp;($A611+11/24),tData[Langligger01],1)</f>
        <v/>
      </c>
      <c r="P611" s="20">
        <f>COUNTIFS(tData[SEHTrajectPeriodeDatumTijdVan],"&lt;="&amp;($A611+12/24),tData[SEHTrajectPeriodeDatumTijdTotEnMet],"&gt;"&amp;($A611+12/24),tData[Langligger01],1)</f>
        <v/>
      </c>
      <c r="Q611" s="20">
        <f>COUNTIFS(tData[SEHTrajectPeriodeDatumTijdVan],"&lt;="&amp;($A611+13/24),tData[SEHTrajectPeriodeDatumTijdTotEnMet],"&gt;"&amp;($A611+13/24),tData[Langligger01],1)</f>
        <v/>
      </c>
      <c r="R611" s="20">
        <f>COUNTIFS(tData[SEHTrajectPeriodeDatumTijdVan],"&lt;="&amp;($A611+14/24),tData[SEHTrajectPeriodeDatumTijdTotEnMet],"&gt;"&amp;($A611+14/24),tData[Langligger01],1)</f>
        <v/>
      </c>
      <c r="S611" s="20">
        <f>COUNTIFS(tData[SEHTrajectPeriodeDatumTijdVan],"&lt;="&amp;($A611+15/24),tData[SEHTrajectPeriodeDatumTijdTotEnMet],"&gt;"&amp;($A611+15/24),tData[Langligger01],1)</f>
        <v/>
      </c>
      <c r="T611" s="20">
        <f>COUNTIFS(tData[SEHTrajectPeriodeDatumTijdVan],"&lt;="&amp;($A611+16/24),tData[SEHTrajectPeriodeDatumTijdTotEnMet],"&gt;"&amp;($A611+16/24),tData[Langligger01],1)</f>
        <v/>
      </c>
      <c r="U611" s="20">
        <f>COUNTIFS(tData[SEHTrajectPeriodeDatumTijdVan],"&lt;="&amp;($A611+17/24),tData[SEHTrajectPeriodeDatumTijdTotEnMet],"&gt;"&amp;($A611+17/24),tData[Langligger01],1)</f>
        <v/>
      </c>
      <c r="V611" s="20">
        <f>COUNTIFS(tData[SEHTrajectPeriodeDatumTijdVan],"&lt;="&amp;($A611+18/24),tData[SEHTrajectPeriodeDatumTijdTotEnMet],"&gt;"&amp;($A611+18/24),tData[Langligger01],1)</f>
        <v/>
      </c>
      <c r="W611" s="20">
        <f>COUNTIFS(tData[SEHTrajectPeriodeDatumTijdVan],"&lt;="&amp;($A611+19/24),tData[SEHTrajectPeriodeDatumTijdTotEnMet],"&gt;"&amp;($A611+19/24),tData[Langligger01],1)</f>
        <v/>
      </c>
      <c r="X611" s="20">
        <f>COUNTIFS(tData[SEHTrajectPeriodeDatumTijdVan],"&lt;="&amp;($A611+20/24),tData[SEHTrajectPeriodeDatumTijdTotEnMet],"&gt;"&amp;($A611+20/24),tData[Langligger01],1)</f>
        <v/>
      </c>
      <c r="Y611" s="20">
        <f>COUNTIFS(tData[SEHTrajectPeriodeDatumTijdVan],"&lt;="&amp;($A611+21/24),tData[SEHTrajectPeriodeDatumTijdTotEnMet],"&gt;"&amp;($A611+21/24),tData[Langligger01],1)</f>
        <v/>
      </c>
      <c r="Z611" s="20">
        <f>COUNTIFS(tData[SEHTrajectPeriodeDatumTijdVan],"&lt;="&amp;($A611+22/24),tData[SEHTrajectPeriodeDatumTijdTotEnMet],"&gt;"&amp;($A611+22/24),tData[Langligger01],1)</f>
        <v/>
      </c>
      <c r="AA611" s="20">
        <f>COUNTIFS(tData[SEHTrajectPeriodeDatumTijdVan],"&lt;="&amp;($A611+23/24),tData[SEHTrajectPeriodeDatumTijdTotEnMet],"&gt;"&amp;($A611+23/24),tData[Langligger01],1)</f>
        <v/>
      </c>
    </row>
    <row r="612">
      <c r="A612" s="19" t="n">
        <v>45900</v>
      </c>
      <c r="B612" s="15">
        <f>WEEKDAY($A612,2)</f>
        <v/>
      </c>
      <c r="C612" s="15">
        <f>IF(AND($A612&gt;=INT(Instellingen!$B$5),$A612&lt;=INT(Instellingen!$B$6)),1,0)</f>
        <v/>
      </c>
      <c r="D612" s="20">
        <f>COUNTIFS(tData[SEHTrajectPeriodeDatumTijdVan],"&lt;="&amp;($A612+0/24),tData[SEHTrajectPeriodeDatumTijdTotEnMet],"&gt;"&amp;($A612+0/24),tData[Langligger01],1)</f>
        <v/>
      </c>
      <c r="E612" s="20">
        <f>COUNTIFS(tData[SEHTrajectPeriodeDatumTijdVan],"&lt;="&amp;($A612+1/24),tData[SEHTrajectPeriodeDatumTijdTotEnMet],"&gt;"&amp;($A612+1/24),tData[Langligger01],1)</f>
        <v/>
      </c>
      <c r="F612" s="20">
        <f>COUNTIFS(tData[SEHTrajectPeriodeDatumTijdVan],"&lt;="&amp;($A612+2/24),tData[SEHTrajectPeriodeDatumTijdTotEnMet],"&gt;"&amp;($A612+2/24),tData[Langligger01],1)</f>
        <v/>
      </c>
      <c r="G612" s="20">
        <f>COUNTIFS(tData[SEHTrajectPeriodeDatumTijdVan],"&lt;="&amp;($A612+3/24),tData[SEHTrajectPeriodeDatumTijdTotEnMet],"&gt;"&amp;($A612+3/24),tData[Langligger01],1)</f>
        <v/>
      </c>
      <c r="H612" s="20">
        <f>COUNTIFS(tData[SEHTrajectPeriodeDatumTijdVan],"&lt;="&amp;($A612+4/24),tData[SEHTrajectPeriodeDatumTijdTotEnMet],"&gt;"&amp;($A612+4/24),tData[Langligger01],1)</f>
        <v/>
      </c>
      <c r="I612" s="20">
        <f>COUNTIFS(tData[SEHTrajectPeriodeDatumTijdVan],"&lt;="&amp;($A612+5/24),tData[SEHTrajectPeriodeDatumTijdTotEnMet],"&gt;"&amp;($A612+5/24),tData[Langligger01],1)</f>
        <v/>
      </c>
      <c r="J612" s="20">
        <f>COUNTIFS(tData[SEHTrajectPeriodeDatumTijdVan],"&lt;="&amp;($A612+6/24),tData[SEHTrajectPeriodeDatumTijdTotEnMet],"&gt;"&amp;($A612+6/24),tData[Langligger01],1)</f>
        <v/>
      </c>
      <c r="K612" s="20">
        <f>COUNTIFS(tData[SEHTrajectPeriodeDatumTijdVan],"&lt;="&amp;($A612+7/24),tData[SEHTrajectPeriodeDatumTijdTotEnMet],"&gt;"&amp;($A612+7/24),tData[Langligger01],1)</f>
        <v/>
      </c>
      <c r="L612" s="20">
        <f>COUNTIFS(tData[SEHTrajectPeriodeDatumTijdVan],"&lt;="&amp;($A612+8/24),tData[SEHTrajectPeriodeDatumTijdTotEnMet],"&gt;"&amp;($A612+8/24),tData[Langligger01],1)</f>
        <v/>
      </c>
      <c r="M612" s="20">
        <f>COUNTIFS(tData[SEHTrajectPeriodeDatumTijdVan],"&lt;="&amp;($A612+9/24),tData[SEHTrajectPeriodeDatumTijdTotEnMet],"&gt;"&amp;($A612+9/24),tData[Langligger01],1)</f>
        <v/>
      </c>
      <c r="N612" s="20">
        <f>COUNTIFS(tData[SEHTrajectPeriodeDatumTijdVan],"&lt;="&amp;($A612+10/24),tData[SEHTrajectPeriodeDatumTijdTotEnMet],"&gt;"&amp;($A612+10/24),tData[Langligger01],1)</f>
        <v/>
      </c>
      <c r="O612" s="20">
        <f>COUNTIFS(tData[SEHTrajectPeriodeDatumTijdVan],"&lt;="&amp;($A612+11/24),tData[SEHTrajectPeriodeDatumTijdTotEnMet],"&gt;"&amp;($A612+11/24),tData[Langligger01],1)</f>
        <v/>
      </c>
      <c r="P612" s="20">
        <f>COUNTIFS(tData[SEHTrajectPeriodeDatumTijdVan],"&lt;="&amp;($A612+12/24),tData[SEHTrajectPeriodeDatumTijdTotEnMet],"&gt;"&amp;($A612+12/24),tData[Langligger01],1)</f>
        <v/>
      </c>
      <c r="Q612" s="20">
        <f>COUNTIFS(tData[SEHTrajectPeriodeDatumTijdVan],"&lt;="&amp;($A612+13/24),tData[SEHTrajectPeriodeDatumTijdTotEnMet],"&gt;"&amp;($A612+13/24),tData[Langligger01],1)</f>
        <v/>
      </c>
      <c r="R612" s="20">
        <f>COUNTIFS(tData[SEHTrajectPeriodeDatumTijdVan],"&lt;="&amp;($A612+14/24),tData[SEHTrajectPeriodeDatumTijdTotEnMet],"&gt;"&amp;($A612+14/24),tData[Langligger01],1)</f>
        <v/>
      </c>
      <c r="S612" s="20">
        <f>COUNTIFS(tData[SEHTrajectPeriodeDatumTijdVan],"&lt;="&amp;($A612+15/24),tData[SEHTrajectPeriodeDatumTijdTotEnMet],"&gt;"&amp;($A612+15/24),tData[Langligger01],1)</f>
        <v/>
      </c>
      <c r="T612" s="20">
        <f>COUNTIFS(tData[SEHTrajectPeriodeDatumTijdVan],"&lt;="&amp;($A612+16/24),tData[SEHTrajectPeriodeDatumTijdTotEnMet],"&gt;"&amp;($A612+16/24),tData[Langligger01],1)</f>
        <v/>
      </c>
      <c r="U612" s="20">
        <f>COUNTIFS(tData[SEHTrajectPeriodeDatumTijdVan],"&lt;="&amp;($A612+17/24),tData[SEHTrajectPeriodeDatumTijdTotEnMet],"&gt;"&amp;($A612+17/24),tData[Langligger01],1)</f>
        <v/>
      </c>
      <c r="V612" s="20">
        <f>COUNTIFS(tData[SEHTrajectPeriodeDatumTijdVan],"&lt;="&amp;($A612+18/24),tData[SEHTrajectPeriodeDatumTijdTotEnMet],"&gt;"&amp;($A612+18/24),tData[Langligger01],1)</f>
        <v/>
      </c>
      <c r="W612" s="20">
        <f>COUNTIFS(tData[SEHTrajectPeriodeDatumTijdVan],"&lt;="&amp;($A612+19/24),tData[SEHTrajectPeriodeDatumTijdTotEnMet],"&gt;"&amp;($A612+19/24),tData[Langligger01],1)</f>
        <v/>
      </c>
      <c r="X612" s="20">
        <f>COUNTIFS(tData[SEHTrajectPeriodeDatumTijdVan],"&lt;="&amp;($A612+20/24),tData[SEHTrajectPeriodeDatumTijdTotEnMet],"&gt;"&amp;($A612+20/24),tData[Langligger01],1)</f>
        <v/>
      </c>
      <c r="Y612" s="20">
        <f>COUNTIFS(tData[SEHTrajectPeriodeDatumTijdVan],"&lt;="&amp;($A612+21/24),tData[SEHTrajectPeriodeDatumTijdTotEnMet],"&gt;"&amp;($A612+21/24),tData[Langligger01],1)</f>
        <v/>
      </c>
      <c r="Z612" s="20">
        <f>COUNTIFS(tData[SEHTrajectPeriodeDatumTijdVan],"&lt;="&amp;($A612+22/24),tData[SEHTrajectPeriodeDatumTijdTotEnMet],"&gt;"&amp;($A612+22/24),tData[Langligger01],1)</f>
        <v/>
      </c>
      <c r="AA612" s="20">
        <f>COUNTIFS(tData[SEHTrajectPeriodeDatumTijdVan],"&lt;="&amp;($A612+23/24),tData[SEHTrajectPeriodeDatumTijdTotEnMet],"&gt;"&amp;($A612+23/24),tData[Langligger01],1)</f>
        <v/>
      </c>
    </row>
    <row r="613">
      <c r="A613" s="19" t="n">
        <v>45901</v>
      </c>
      <c r="B613" s="15">
        <f>WEEKDAY($A613,2)</f>
        <v/>
      </c>
      <c r="C613" s="15">
        <f>IF(AND($A613&gt;=INT(Instellingen!$B$5),$A613&lt;=INT(Instellingen!$B$6)),1,0)</f>
        <v/>
      </c>
      <c r="D613" s="20">
        <f>COUNTIFS(tData[SEHTrajectPeriodeDatumTijdVan],"&lt;="&amp;($A613+0/24),tData[SEHTrajectPeriodeDatumTijdTotEnMet],"&gt;"&amp;($A613+0/24),tData[Langligger01],1)</f>
        <v/>
      </c>
      <c r="E613" s="20">
        <f>COUNTIFS(tData[SEHTrajectPeriodeDatumTijdVan],"&lt;="&amp;($A613+1/24),tData[SEHTrajectPeriodeDatumTijdTotEnMet],"&gt;"&amp;($A613+1/24),tData[Langligger01],1)</f>
        <v/>
      </c>
      <c r="F613" s="20">
        <f>COUNTIFS(tData[SEHTrajectPeriodeDatumTijdVan],"&lt;="&amp;($A613+2/24),tData[SEHTrajectPeriodeDatumTijdTotEnMet],"&gt;"&amp;($A613+2/24),tData[Langligger01],1)</f>
        <v/>
      </c>
      <c r="G613" s="20">
        <f>COUNTIFS(tData[SEHTrajectPeriodeDatumTijdVan],"&lt;="&amp;($A613+3/24),tData[SEHTrajectPeriodeDatumTijdTotEnMet],"&gt;"&amp;($A613+3/24),tData[Langligger01],1)</f>
        <v/>
      </c>
      <c r="H613" s="20">
        <f>COUNTIFS(tData[SEHTrajectPeriodeDatumTijdVan],"&lt;="&amp;($A613+4/24),tData[SEHTrajectPeriodeDatumTijdTotEnMet],"&gt;"&amp;($A613+4/24),tData[Langligger01],1)</f>
        <v/>
      </c>
      <c r="I613" s="20">
        <f>COUNTIFS(tData[SEHTrajectPeriodeDatumTijdVan],"&lt;="&amp;($A613+5/24),tData[SEHTrajectPeriodeDatumTijdTotEnMet],"&gt;"&amp;($A613+5/24),tData[Langligger01],1)</f>
        <v/>
      </c>
      <c r="J613" s="20">
        <f>COUNTIFS(tData[SEHTrajectPeriodeDatumTijdVan],"&lt;="&amp;($A613+6/24),tData[SEHTrajectPeriodeDatumTijdTotEnMet],"&gt;"&amp;($A613+6/24),tData[Langligger01],1)</f>
        <v/>
      </c>
      <c r="K613" s="20">
        <f>COUNTIFS(tData[SEHTrajectPeriodeDatumTijdVan],"&lt;="&amp;($A613+7/24),tData[SEHTrajectPeriodeDatumTijdTotEnMet],"&gt;"&amp;($A613+7/24),tData[Langligger01],1)</f>
        <v/>
      </c>
      <c r="L613" s="20">
        <f>COUNTIFS(tData[SEHTrajectPeriodeDatumTijdVan],"&lt;="&amp;($A613+8/24),tData[SEHTrajectPeriodeDatumTijdTotEnMet],"&gt;"&amp;($A613+8/24),tData[Langligger01],1)</f>
        <v/>
      </c>
      <c r="M613" s="20">
        <f>COUNTIFS(tData[SEHTrajectPeriodeDatumTijdVan],"&lt;="&amp;($A613+9/24),tData[SEHTrajectPeriodeDatumTijdTotEnMet],"&gt;"&amp;($A613+9/24),tData[Langligger01],1)</f>
        <v/>
      </c>
      <c r="N613" s="20">
        <f>COUNTIFS(tData[SEHTrajectPeriodeDatumTijdVan],"&lt;="&amp;($A613+10/24),tData[SEHTrajectPeriodeDatumTijdTotEnMet],"&gt;"&amp;($A613+10/24),tData[Langligger01],1)</f>
        <v/>
      </c>
      <c r="O613" s="20">
        <f>COUNTIFS(tData[SEHTrajectPeriodeDatumTijdVan],"&lt;="&amp;($A613+11/24),tData[SEHTrajectPeriodeDatumTijdTotEnMet],"&gt;"&amp;($A613+11/24),tData[Langligger01],1)</f>
        <v/>
      </c>
      <c r="P613" s="20">
        <f>COUNTIFS(tData[SEHTrajectPeriodeDatumTijdVan],"&lt;="&amp;($A613+12/24),tData[SEHTrajectPeriodeDatumTijdTotEnMet],"&gt;"&amp;($A613+12/24),tData[Langligger01],1)</f>
        <v/>
      </c>
      <c r="Q613" s="20">
        <f>COUNTIFS(tData[SEHTrajectPeriodeDatumTijdVan],"&lt;="&amp;($A613+13/24),tData[SEHTrajectPeriodeDatumTijdTotEnMet],"&gt;"&amp;($A613+13/24),tData[Langligger01],1)</f>
        <v/>
      </c>
      <c r="R613" s="20">
        <f>COUNTIFS(tData[SEHTrajectPeriodeDatumTijdVan],"&lt;="&amp;($A613+14/24),tData[SEHTrajectPeriodeDatumTijdTotEnMet],"&gt;"&amp;($A613+14/24),tData[Langligger01],1)</f>
        <v/>
      </c>
      <c r="S613" s="20">
        <f>COUNTIFS(tData[SEHTrajectPeriodeDatumTijdVan],"&lt;="&amp;($A613+15/24),tData[SEHTrajectPeriodeDatumTijdTotEnMet],"&gt;"&amp;($A613+15/24),tData[Langligger01],1)</f>
        <v/>
      </c>
      <c r="T613" s="20">
        <f>COUNTIFS(tData[SEHTrajectPeriodeDatumTijdVan],"&lt;="&amp;($A613+16/24),tData[SEHTrajectPeriodeDatumTijdTotEnMet],"&gt;"&amp;($A613+16/24),tData[Langligger01],1)</f>
        <v/>
      </c>
      <c r="U613" s="20">
        <f>COUNTIFS(tData[SEHTrajectPeriodeDatumTijdVan],"&lt;="&amp;($A613+17/24),tData[SEHTrajectPeriodeDatumTijdTotEnMet],"&gt;"&amp;($A613+17/24),tData[Langligger01],1)</f>
        <v/>
      </c>
      <c r="V613" s="20">
        <f>COUNTIFS(tData[SEHTrajectPeriodeDatumTijdVan],"&lt;="&amp;($A613+18/24),tData[SEHTrajectPeriodeDatumTijdTotEnMet],"&gt;"&amp;($A613+18/24),tData[Langligger01],1)</f>
        <v/>
      </c>
      <c r="W613" s="20">
        <f>COUNTIFS(tData[SEHTrajectPeriodeDatumTijdVan],"&lt;="&amp;($A613+19/24),tData[SEHTrajectPeriodeDatumTijdTotEnMet],"&gt;"&amp;($A613+19/24),tData[Langligger01],1)</f>
        <v/>
      </c>
      <c r="X613" s="20">
        <f>COUNTIFS(tData[SEHTrajectPeriodeDatumTijdVan],"&lt;="&amp;($A613+20/24),tData[SEHTrajectPeriodeDatumTijdTotEnMet],"&gt;"&amp;($A613+20/24),tData[Langligger01],1)</f>
        <v/>
      </c>
      <c r="Y613" s="20">
        <f>COUNTIFS(tData[SEHTrajectPeriodeDatumTijdVan],"&lt;="&amp;($A613+21/24),tData[SEHTrajectPeriodeDatumTijdTotEnMet],"&gt;"&amp;($A613+21/24),tData[Langligger01],1)</f>
        <v/>
      </c>
      <c r="Z613" s="20">
        <f>COUNTIFS(tData[SEHTrajectPeriodeDatumTijdVan],"&lt;="&amp;($A613+22/24),tData[SEHTrajectPeriodeDatumTijdTotEnMet],"&gt;"&amp;($A613+22/24),tData[Langligger01],1)</f>
        <v/>
      </c>
      <c r="AA613" s="20">
        <f>COUNTIFS(tData[SEHTrajectPeriodeDatumTijdVan],"&lt;="&amp;($A613+23/24),tData[SEHTrajectPeriodeDatumTijdTotEnMet],"&gt;"&amp;($A613+23/24),tData[Langligger01],1)</f>
        <v/>
      </c>
    </row>
    <row r="614">
      <c r="A614" s="19" t="n">
        <v>45902</v>
      </c>
      <c r="B614" s="15">
        <f>WEEKDAY($A614,2)</f>
        <v/>
      </c>
      <c r="C614" s="15">
        <f>IF(AND($A614&gt;=INT(Instellingen!$B$5),$A614&lt;=INT(Instellingen!$B$6)),1,0)</f>
        <v/>
      </c>
      <c r="D614" s="20">
        <f>COUNTIFS(tData[SEHTrajectPeriodeDatumTijdVan],"&lt;="&amp;($A614+0/24),tData[SEHTrajectPeriodeDatumTijdTotEnMet],"&gt;"&amp;($A614+0/24),tData[Langligger01],1)</f>
        <v/>
      </c>
      <c r="E614" s="20">
        <f>COUNTIFS(tData[SEHTrajectPeriodeDatumTijdVan],"&lt;="&amp;($A614+1/24),tData[SEHTrajectPeriodeDatumTijdTotEnMet],"&gt;"&amp;($A614+1/24),tData[Langligger01],1)</f>
        <v/>
      </c>
      <c r="F614" s="20">
        <f>COUNTIFS(tData[SEHTrajectPeriodeDatumTijdVan],"&lt;="&amp;($A614+2/24),tData[SEHTrajectPeriodeDatumTijdTotEnMet],"&gt;"&amp;($A614+2/24),tData[Langligger01],1)</f>
        <v/>
      </c>
      <c r="G614" s="20">
        <f>COUNTIFS(tData[SEHTrajectPeriodeDatumTijdVan],"&lt;="&amp;($A614+3/24),tData[SEHTrajectPeriodeDatumTijdTotEnMet],"&gt;"&amp;($A614+3/24),tData[Langligger01],1)</f>
        <v/>
      </c>
      <c r="H614" s="20">
        <f>COUNTIFS(tData[SEHTrajectPeriodeDatumTijdVan],"&lt;="&amp;($A614+4/24),tData[SEHTrajectPeriodeDatumTijdTotEnMet],"&gt;"&amp;($A614+4/24),tData[Langligger01],1)</f>
        <v/>
      </c>
      <c r="I614" s="20">
        <f>COUNTIFS(tData[SEHTrajectPeriodeDatumTijdVan],"&lt;="&amp;($A614+5/24),tData[SEHTrajectPeriodeDatumTijdTotEnMet],"&gt;"&amp;($A614+5/24),tData[Langligger01],1)</f>
        <v/>
      </c>
      <c r="J614" s="20">
        <f>COUNTIFS(tData[SEHTrajectPeriodeDatumTijdVan],"&lt;="&amp;($A614+6/24),tData[SEHTrajectPeriodeDatumTijdTotEnMet],"&gt;"&amp;($A614+6/24),tData[Langligger01],1)</f>
        <v/>
      </c>
      <c r="K614" s="20">
        <f>COUNTIFS(tData[SEHTrajectPeriodeDatumTijdVan],"&lt;="&amp;($A614+7/24),tData[SEHTrajectPeriodeDatumTijdTotEnMet],"&gt;"&amp;($A614+7/24),tData[Langligger01],1)</f>
        <v/>
      </c>
      <c r="L614" s="20">
        <f>COUNTIFS(tData[SEHTrajectPeriodeDatumTijdVan],"&lt;="&amp;($A614+8/24),tData[SEHTrajectPeriodeDatumTijdTotEnMet],"&gt;"&amp;($A614+8/24),tData[Langligger01],1)</f>
        <v/>
      </c>
      <c r="M614" s="20">
        <f>COUNTIFS(tData[SEHTrajectPeriodeDatumTijdVan],"&lt;="&amp;($A614+9/24),tData[SEHTrajectPeriodeDatumTijdTotEnMet],"&gt;"&amp;($A614+9/24),tData[Langligger01],1)</f>
        <v/>
      </c>
      <c r="N614" s="20">
        <f>COUNTIFS(tData[SEHTrajectPeriodeDatumTijdVan],"&lt;="&amp;($A614+10/24),tData[SEHTrajectPeriodeDatumTijdTotEnMet],"&gt;"&amp;($A614+10/24),tData[Langligger01],1)</f>
        <v/>
      </c>
      <c r="O614" s="20">
        <f>COUNTIFS(tData[SEHTrajectPeriodeDatumTijdVan],"&lt;="&amp;($A614+11/24),tData[SEHTrajectPeriodeDatumTijdTotEnMet],"&gt;"&amp;($A614+11/24),tData[Langligger01],1)</f>
        <v/>
      </c>
      <c r="P614" s="20">
        <f>COUNTIFS(tData[SEHTrajectPeriodeDatumTijdVan],"&lt;="&amp;($A614+12/24),tData[SEHTrajectPeriodeDatumTijdTotEnMet],"&gt;"&amp;($A614+12/24),tData[Langligger01],1)</f>
        <v/>
      </c>
      <c r="Q614" s="20">
        <f>COUNTIFS(tData[SEHTrajectPeriodeDatumTijdVan],"&lt;="&amp;($A614+13/24),tData[SEHTrajectPeriodeDatumTijdTotEnMet],"&gt;"&amp;($A614+13/24),tData[Langligger01],1)</f>
        <v/>
      </c>
      <c r="R614" s="20">
        <f>COUNTIFS(tData[SEHTrajectPeriodeDatumTijdVan],"&lt;="&amp;($A614+14/24),tData[SEHTrajectPeriodeDatumTijdTotEnMet],"&gt;"&amp;($A614+14/24),tData[Langligger01],1)</f>
        <v/>
      </c>
      <c r="S614" s="20">
        <f>COUNTIFS(tData[SEHTrajectPeriodeDatumTijdVan],"&lt;="&amp;($A614+15/24),tData[SEHTrajectPeriodeDatumTijdTotEnMet],"&gt;"&amp;($A614+15/24),tData[Langligger01],1)</f>
        <v/>
      </c>
      <c r="T614" s="20">
        <f>COUNTIFS(tData[SEHTrajectPeriodeDatumTijdVan],"&lt;="&amp;($A614+16/24),tData[SEHTrajectPeriodeDatumTijdTotEnMet],"&gt;"&amp;($A614+16/24),tData[Langligger01],1)</f>
        <v/>
      </c>
      <c r="U614" s="20">
        <f>COUNTIFS(tData[SEHTrajectPeriodeDatumTijdVan],"&lt;="&amp;($A614+17/24),tData[SEHTrajectPeriodeDatumTijdTotEnMet],"&gt;"&amp;($A614+17/24),tData[Langligger01],1)</f>
        <v/>
      </c>
      <c r="V614" s="20">
        <f>COUNTIFS(tData[SEHTrajectPeriodeDatumTijdVan],"&lt;="&amp;($A614+18/24),tData[SEHTrajectPeriodeDatumTijdTotEnMet],"&gt;"&amp;($A614+18/24),tData[Langligger01],1)</f>
        <v/>
      </c>
      <c r="W614" s="20">
        <f>COUNTIFS(tData[SEHTrajectPeriodeDatumTijdVan],"&lt;="&amp;($A614+19/24),tData[SEHTrajectPeriodeDatumTijdTotEnMet],"&gt;"&amp;($A614+19/24),tData[Langligger01],1)</f>
        <v/>
      </c>
      <c r="X614" s="20">
        <f>COUNTIFS(tData[SEHTrajectPeriodeDatumTijdVan],"&lt;="&amp;($A614+20/24),tData[SEHTrajectPeriodeDatumTijdTotEnMet],"&gt;"&amp;($A614+20/24),tData[Langligger01],1)</f>
        <v/>
      </c>
      <c r="Y614" s="20">
        <f>COUNTIFS(tData[SEHTrajectPeriodeDatumTijdVan],"&lt;="&amp;($A614+21/24),tData[SEHTrajectPeriodeDatumTijdTotEnMet],"&gt;"&amp;($A614+21/24),tData[Langligger01],1)</f>
        <v/>
      </c>
      <c r="Z614" s="20">
        <f>COUNTIFS(tData[SEHTrajectPeriodeDatumTijdVan],"&lt;="&amp;($A614+22/24),tData[SEHTrajectPeriodeDatumTijdTotEnMet],"&gt;"&amp;($A614+22/24),tData[Langligger01],1)</f>
        <v/>
      </c>
      <c r="AA614" s="20">
        <f>COUNTIFS(tData[SEHTrajectPeriodeDatumTijdVan],"&lt;="&amp;($A614+23/24),tData[SEHTrajectPeriodeDatumTijdTotEnMet],"&gt;"&amp;($A614+23/24),tData[Langligger01],1)</f>
        <v/>
      </c>
    </row>
    <row r="615">
      <c r="A615" s="19" t="n">
        <v>45903</v>
      </c>
      <c r="B615" s="15">
        <f>WEEKDAY($A615,2)</f>
        <v/>
      </c>
      <c r="C615" s="15">
        <f>IF(AND($A615&gt;=INT(Instellingen!$B$5),$A615&lt;=INT(Instellingen!$B$6)),1,0)</f>
        <v/>
      </c>
      <c r="D615" s="20">
        <f>COUNTIFS(tData[SEHTrajectPeriodeDatumTijdVan],"&lt;="&amp;($A615+0/24),tData[SEHTrajectPeriodeDatumTijdTotEnMet],"&gt;"&amp;($A615+0/24),tData[Langligger01],1)</f>
        <v/>
      </c>
      <c r="E615" s="20">
        <f>COUNTIFS(tData[SEHTrajectPeriodeDatumTijdVan],"&lt;="&amp;($A615+1/24),tData[SEHTrajectPeriodeDatumTijdTotEnMet],"&gt;"&amp;($A615+1/24),tData[Langligger01],1)</f>
        <v/>
      </c>
      <c r="F615" s="20">
        <f>COUNTIFS(tData[SEHTrajectPeriodeDatumTijdVan],"&lt;="&amp;($A615+2/24),tData[SEHTrajectPeriodeDatumTijdTotEnMet],"&gt;"&amp;($A615+2/24),tData[Langligger01],1)</f>
        <v/>
      </c>
      <c r="G615" s="20">
        <f>COUNTIFS(tData[SEHTrajectPeriodeDatumTijdVan],"&lt;="&amp;($A615+3/24),tData[SEHTrajectPeriodeDatumTijdTotEnMet],"&gt;"&amp;($A615+3/24),tData[Langligger01],1)</f>
        <v/>
      </c>
      <c r="H615" s="20">
        <f>COUNTIFS(tData[SEHTrajectPeriodeDatumTijdVan],"&lt;="&amp;($A615+4/24),tData[SEHTrajectPeriodeDatumTijdTotEnMet],"&gt;"&amp;($A615+4/24),tData[Langligger01],1)</f>
        <v/>
      </c>
      <c r="I615" s="20">
        <f>COUNTIFS(tData[SEHTrajectPeriodeDatumTijdVan],"&lt;="&amp;($A615+5/24),tData[SEHTrajectPeriodeDatumTijdTotEnMet],"&gt;"&amp;($A615+5/24),tData[Langligger01],1)</f>
        <v/>
      </c>
      <c r="J615" s="20">
        <f>COUNTIFS(tData[SEHTrajectPeriodeDatumTijdVan],"&lt;="&amp;($A615+6/24),tData[SEHTrajectPeriodeDatumTijdTotEnMet],"&gt;"&amp;($A615+6/24),tData[Langligger01],1)</f>
        <v/>
      </c>
      <c r="K615" s="20">
        <f>COUNTIFS(tData[SEHTrajectPeriodeDatumTijdVan],"&lt;="&amp;($A615+7/24),tData[SEHTrajectPeriodeDatumTijdTotEnMet],"&gt;"&amp;($A615+7/24),tData[Langligger01],1)</f>
        <v/>
      </c>
      <c r="L615" s="20">
        <f>COUNTIFS(tData[SEHTrajectPeriodeDatumTijdVan],"&lt;="&amp;($A615+8/24),tData[SEHTrajectPeriodeDatumTijdTotEnMet],"&gt;"&amp;($A615+8/24),tData[Langligger01],1)</f>
        <v/>
      </c>
      <c r="M615" s="20">
        <f>COUNTIFS(tData[SEHTrajectPeriodeDatumTijdVan],"&lt;="&amp;($A615+9/24),tData[SEHTrajectPeriodeDatumTijdTotEnMet],"&gt;"&amp;($A615+9/24),tData[Langligger01],1)</f>
        <v/>
      </c>
      <c r="N615" s="20">
        <f>COUNTIFS(tData[SEHTrajectPeriodeDatumTijdVan],"&lt;="&amp;($A615+10/24),tData[SEHTrajectPeriodeDatumTijdTotEnMet],"&gt;"&amp;($A615+10/24),tData[Langligger01],1)</f>
        <v/>
      </c>
      <c r="O615" s="20">
        <f>COUNTIFS(tData[SEHTrajectPeriodeDatumTijdVan],"&lt;="&amp;($A615+11/24),tData[SEHTrajectPeriodeDatumTijdTotEnMet],"&gt;"&amp;($A615+11/24),tData[Langligger01],1)</f>
        <v/>
      </c>
      <c r="P615" s="20">
        <f>COUNTIFS(tData[SEHTrajectPeriodeDatumTijdVan],"&lt;="&amp;($A615+12/24),tData[SEHTrajectPeriodeDatumTijdTotEnMet],"&gt;"&amp;($A615+12/24),tData[Langligger01],1)</f>
        <v/>
      </c>
      <c r="Q615" s="20">
        <f>COUNTIFS(tData[SEHTrajectPeriodeDatumTijdVan],"&lt;="&amp;($A615+13/24),tData[SEHTrajectPeriodeDatumTijdTotEnMet],"&gt;"&amp;($A615+13/24),tData[Langligger01],1)</f>
        <v/>
      </c>
      <c r="R615" s="20">
        <f>COUNTIFS(tData[SEHTrajectPeriodeDatumTijdVan],"&lt;="&amp;($A615+14/24),tData[SEHTrajectPeriodeDatumTijdTotEnMet],"&gt;"&amp;($A615+14/24),tData[Langligger01],1)</f>
        <v/>
      </c>
      <c r="S615" s="20">
        <f>COUNTIFS(tData[SEHTrajectPeriodeDatumTijdVan],"&lt;="&amp;($A615+15/24),tData[SEHTrajectPeriodeDatumTijdTotEnMet],"&gt;"&amp;($A615+15/24),tData[Langligger01],1)</f>
        <v/>
      </c>
      <c r="T615" s="20">
        <f>COUNTIFS(tData[SEHTrajectPeriodeDatumTijdVan],"&lt;="&amp;($A615+16/24),tData[SEHTrajectPeriodeDatumTijdTotEnMet],"&gt;"&amp;($A615+16/24),tData[Langligger01],1)</f>
        <v/>
      </c>
      <c r="U615" s="20">
        <f>COUNTIFS(tData[SEHTrajectPeriodeDatumTijdVan],"&lt;="&amp;($A615+17/24),tData[SEHTrajectPeriodeDatumTijdTotEnMet],"&gt;"&amp;($A615+17/24),tData[Langligger01],1)</f>
        <v/>
      </c>
      <c r="V615" s="20">
        <f>COUNTIFS(tData[SEHTrajectPeriodeDatumTijdVan],"&lt;="&amp;($A615+18/24),tData[SEHTrajectPeriodeDatumTijdTotEnMet],"&gt;"&amp;($A615+18/24),tData[Langligger01],1)</f>
        <v/>
      </c>
      <c r="W615" s="20">
        <f>COUNTIFS(tData[SEHTrajectPeriodeDatumTijdVan],"&lt;="&amp;($A615+19/24),tData[SEHTrajectPeriodeDatumTijdTotEnMet],"&gt;"&amp;($A615+19/24),tData[Langligger01],1)</f>
        <v/>
      </c>
      <c r="X615" s="20">
        <f>COUNTIFS(tData[SEHTrajectPeriodeDatumTijdVan],"&lt;="&amp;($A615+20/24),tData[SEHTrajectPeriodeDatumTijdTotEnMet],"&gt;"&amp;($A615+20/24),tData[Langligger01],1)</f>
        <v/>
      </c>
      <c r="Y615" s="20">
        <f>COUNTIFS(tData[SEHTrajectPeriodeDatumTijdVan],"&lt;="&amp;($A615+21/24),tData[SEHTrajectPeriodeDatumTijdTotEnMet],"&gt;"&amp;($A615+21/24),tData[Langligger01],1)</f>
        <v/>
      </c>
      <c r="Z615" s="20">
        <f>COUNTIFS(tData[SEHTrajectPeriodeDatumTijdVan],"&lt;="&amp;($A615+22/24),tData[SEHTrajectPeriodeDatumTijdTotEnMet],"&gt;"&amp;($A615+22/24),tData[Langligger01],1)</f>
        <v/>
      </c>
      <c r="AA615" s="20">
        <f>COUNTIFS(tData[SEHTrajectPeriodeDatumTijdVan],"&lt;="&amp;($A615+23/24),tData[SEHTrajectPeriodeDatumTijdTotEnMet],"&gt;"&amp;($A615+23/24),tData[Langligger01],1)</f>
        <v/>
      </c>
    </row>
    <row r="616">
      <c r="A616" s="19" t="n">
        <v>45904</v>
      </c>
      <c r="B616" s="15">
        <f>WEEKDAY($A616,2)</f>
        <v/>
      </c>
      <c r="C616" s="15">
        <f>IF(AND($A616&gt;=INT(Instellingen!$B$5),$A616&lt;=INT(Instellingen!$B$6)),1,0)</f>
        <v/>
      </c>
      <c r="D616" s="20">
        <f>COUNTIFS(tData[SEHTrajectPeriodeDatumTijdVan],"&lt;="&amp;($A616+0/24),tData[SEHTrajectPeriodeDatumTijdTotEnMet],"&gt;"&amp;($A616+0/24),tData[Langligger01],1)</f>
        <v/>
      </c>
      <c r="E616" s="20">
        <f>COUNTIFS(tData[SEHTrajectPeriodeDatumTijdVan],"&lt;="&amp;($A616+1/24),tData[SEHTrajectPeriodeDatumTijdTotEnMet],"&gt;"&amp;($A616+1/24),tData[Langligger01],1)</f>
        <v/>
      </c>
      <c r="F616" s="20">
        <f>COUNTIFS(tData[SEHTrajectPeriodeDatumTijdVan],"&lt;="&amp;($A616+2/24),tData[SEHTrajectPeriodeDatumTijdTotEnMet],"&gt;"&amp;($A616+2/24),tData[Langligger01],1)</f>
        <v/>
      </c>
      <c r="G616" s="20">
        <f>COUNTIFS(tData[SEHTrajectPeriodeDatumTijdVan],"&lt;="&amp;($A616+3/24),tData[SEHTrajectPeriodeDatumTijdTotEnMet],"&gt;"&amp;($A616+3/24),tData[Langligger01],1)</f>
        <v/>
      </c>
      <c r="H616" s="20">
        <f>COUNTIFS(tData[SEHTrajectPeriodeDatumTijdVan],"&lt;="&amp;($A616+4/24),tData[SEHTrajectPeriodeDatumTijdTotEnMet],"&gt;"&amp;($A616+4/24),tData[Langligger01],1)</f>
        <v/>
      </c>
      <c r="I616" s="20">
        <f>COUNTIFS(tData[SEHTrajectPeriodeDatumTijdVan],"&lt;="&amp;($A616+5/24),tData[SEHTrajectPeriodeDatumTijdTotEnMet],"&gt;"&amp;($A616+5/24),tData[Langligger01],1)</f>
        <v/>
      </c>
      <c r="J616" s="20">
        <f>COUNTIFS(tData[SEHTrajectPeriodeDatumTijdVan],"&lt;="&amp;($A616+6/24),tData[SEHTrajectPeriodeDatumTijdTotEnMet],"&gt;"&amp;($A616+6/24),tData[Langligger01],1)</f>
        <v/>
      </c>
      <c r="K616" s="20">
        <f>COUNTIFS(tData[SEHTrajectPeriodeDatumTijdVan],"&lt;="&amp;($A616+7/24),tData[SEHTrajectPeriodeDatumTijdTotEnMet],"&gt;"&amp;($A616+7/24),tData[Langligger01],1)</f>
        <v/>
      </c>
      <c r="L616" s="20">
        <f>COUNTIFS(tData[SEHTrajectPeriodeDatumTijdVan],"&lt;="&amp;($A616+8/24),tData[SEHTrajectPeriodeDatumTijdTotEnMet],"&gt;"&amp;($A616+8/24),tData[Langligger01],1)</f>
        <v/>
      </c>
      <c r="M616" s="20">
        <f>COUNTIFS(tData[SEHTrajectPeriodeDatumTijdVan],"&lt;="&amp;($A616+9/24),tData[SEHTrajectPeriodeDatumTijdTotEnMet],"&gt;"&amp;($A616+9/24),tData[Langligger01],1)</f>
        <v/>
      </c>
      <c r="N616" s="20">
        <f>COUNTIFS(tData[SEHTrajectPeriodeDatumTijdVan],"&lt;="&amp;($A616+10/24),tData[SEHTrajectPeriodeDatumTijdTotEnMet],"&gt;"&amp;($A616+10/24),tData[Langligger01],1)</f>
        <v/>
      </c>
      <c r="O616" s="20">
        <f>COUNTIFS(tData[SEHTrajectPeriodeDatumTijdVan],"&lt;="&amp;($A616+11/24),tData[SEHTrajectPeriodeDatumTijdTotEnMet],"&gt;"&amp;($A616+11/24),tData[Langligger01],1)</f>
        <v/>
      </c>
      <c r="P616" s="20">
        <f>COUNTIFS(tData[SEHTrajectPeriodeDatumTijdVan],"&lt;="&amp;($A616+12/24),tData[SEHTrajectPeriodeDatumTijdTotEnMet],"&gt;"&amp;($A616+12/24),tData[Langligger01],1)</f>
        <v/>
      </c>
      <c r="Q616" s="20">
        <f>COUNTIFS(tData[SEHTrajectPeriodeDatumTijdVan],"&lt;="&amp;($A616+13/24),tData[SEHTrajectPeriodeDatumTijdTotEnMet],"&gt;"&amp;($A616+13/24),tData[Langligger01],1)</f>
        <v/>
      </c>
      <c r="R616" s="20">
        <f>COUNTIFS(tData[SEHTrajectPeriodeDatumTijdVan],"&lt;="&amp;($A616+14/24),tData[SEHTrajectPeriodeDatumTijdTotEnMet],"&gt;"&amp;($A616+14/24),tData[Langligger01],1)</f>
        <v/>
      </c>
      <c r="S616" s="20">
        <f>COUNTIFS(tData[SEHTrajectPeriodeDatumTijdVan],"&lt;="&amp;($A616+15/24),tData[SEHTrajectPeriodeDatumTijdTotEnMet],"&gt;"&amp;($A616+15/24),tData[Langligger01],1)</f>
        <v/>
      </c>
      <c r="T616" s="20">
        <f>COUNTIFS(tData[SEHTrajectPeriodeDatumTijdVan],"&lt;="&amp;($A616+16/24),tData[SEHTrajectPeriodeDatumTijdTotEnMet],"&gt;"&amp;($A616+16/24),tData[Langligger01],1)</f>
        <v/>
      </c>
      <c r="U616" s="20">
        <f>COUNTIFS(tData[SEHTrajectPeriodeDatumTijdVan],"&lt;="&amp;($A616+17/24),tData[SEHTrajectPeriodeDatumTijdTotEnMet],"&gt;"&amp;($A616+17/24),tData[Langligger01],1)</f>
        <v/>
      </c>
      <c r="V616" s="20">
        <f>COUNTIFS(tData[SEHTrajectPeriodeDatumTijdVan],"&lt;="&amp;($A616+18/24),tData[SEHTrajectPeriodeDatumTijdTotEnMet],"&gt;"&amp;($A616+18/24),tData[Langligger01],1)</f>
        <v/>
      </c>
      <c r="W616" s="20">
        <f>COUNTIFS(tData[SEHTrajectPeriodeDatumTijdVan],"&lt;="&amp;($A616+19/24),tData[SEHTrajectPeriodeDatumTijdTotEnMet],"&gt;"&amp;($A616+19/24),tData[Langligger01],1)</f>
        <v/>
      </c>
      <c r="X616" s="20">
        <f>COUNTIFS(tData[SEHTrajectPeriodeDatumTijdVan],"&lt;="&amp;($A616+20/24),tData[SEHTrajectPeriodeDatumTijdTotEnMet],"&gt;"&amp;($A616+20/24),tData[Langligger01],1)</f>
        <v/>
      </c>
      <c r="Y616" s="20">
        <f>COUNTIFS(tData[SEHTrajectPeriodeDatumTijdVan],"&lt;="&amp;($A616+21/24),tData[SEHTrajectPeriodeDatumTijdTotEnMet],"&gt;"&amp;($A616+21/24),tData[Langligger01],1)</f>
        <v/>
      </c>
      <c r="Z616" s="20">
        <f>COUNTIFS(tData[SEHTrajectPeriodeDatumTijdVan],"&lt;="&amp;($A616+22/24),tData[SEHTrajectPeriodeDatumTijdTotEnMet],"&gt;"&amp;($A616+22/24),tData[Langligger01],1)</f>
        <v/>
      </c>
      <c r="AA616" s="20">
        <f>COUNTIFS(tData[SEHTrajectPeriodeDatumTijdVan],"&lt;="&amp;($A616+23/24),tData[SEHTrajectPeriodeDatumTijdTotEnMet],"&gt;"&amp;($A616+23/24),tData[Langligger01],1)</f>
        <v/>
      </c>
    </row>
    <row r="617">
      <c r="A617" s="19" t="n">
        <v>45905</v>
      </c>
      <c r="B617" s="15">
        <f>WEEKDAY($A617,2)</f>
        <v/>
      </c>
      <c r="C617" s="15">
        <f>IF(AND($A617&gt;=INT(Instellingen!$B$5),$A617&lt;=INT(Instellingen!$B$6)),1,0)</f>
        <v/>
      </c>
      <c r="D617" s="20">
        <f>COUNTIFS(tData[SEHTrajectPeriodeDatumTijdVan],"&lt;="&amp;($A617+0/24),tData[SEHTrajectPeriodeDatumTijdTotEnMet],"&gt;"&amp;($A617+0/24),tData[Langligger01],1)</f>
        <v/>
      </c>
      <c r="E617" s="20">
        <f>COUNTIFS(tData[SEHTrajectPeriodeDatumTijdVan],"&lt;="&amp;($A617+1/24),tData[SEHTrajectPeriodeDatumTijdTotEnMet],"&gt;"&amp;($A617+1/24),tData[Langligger01],1)</f>
        <v/>
      </c>
      <c r="F617" s="20">
        <f>COUNTIFS(tData[SEHTrajectPeriodeDatumTijdVan],"&lt;="&amp;($A617+2/24),tData[SEHTrajectPeriodeDatumTijdTotEnMet],"&gt;"&amp;($A617+2/24),tData[Langligger01],1)</f>
        <v/>
      </c>
      <c r="G617" s="20">
        <f>COUNTIFS(tData[SEHTrajectPeriodeDatumTijdVan],"&lt;="&amp;($A617+3/24),tData[SEHTrajectPeriodeDatumTijdTotEnMet],"&gt;"&amp;($A617+3/24),tData[Langligger01],1)</f>
        <v/>
      </c>
      <c r="H617" s="20">
        <f>COUNTIFS(tData[SEHTrajectPeriodeDatumTijdVan],"&lt;="&amp;($A617+4/24),tData[SEHTrajectPeriodeDatumTijdTotEnMet],"&gt;"&amp;($A617+4/24),tData[Langligger01],1)</f>
        <v/>
      </c>
      <c r="I617" s="20">
        <f>COUNTIFS(tData[SEHTrajectPeriodeDatumTijdVan],"&lt;="&amp;($A617+5/24),tData[SEHTrajectPeriodeDatumTijdTotEnMet],"&gt;"&amp;($A617+5/24),tData[Langligger01],1)</f>
        <v/>
      </c>
      <c r="J617" s="20">
        <f>COUNTIFS(tData[SEHTrajectPeriodeDatumTijdVan],"&lt;="&amp;($A617+6/24),tData[SEHTrajectPeriodeDatumTijdTotEnMet],"&gt;"&amp;($A617+6/24),tData[Langligger01],1)</f>
        <v/>
      </c>
      <c r="K617" s="20">
        <f>COUNTIFS(tData[SEHTrajectPeriodeDatumTijdVan],"&lt;="&amp;($A617+7/24),tData[SEHTrajectPeriodeDatumTijdTotEnMet],"&gt;"&amp;($A617+7/24),tData[Langligger01],1)</f>
        <v/>
      </c>
      <c r="L617" s="20">
        <f>COUNTIFS(tData[SEHTrajectPeriodeDatumTijdVan],"&lt;="&amp;($A617+8/24),tData[SEHTrajectPeriodeDatumTijdTotEnMet],"&gt;"&amp;($A617+8/24),tData[Langligger01],1)</f>
        <v/>
      </c>
      <c r="M617" s="20">
        <f>COUNTIFS(tData[SEHTrajectPeriodeDatumTijdVan],"&lt;="&amp;($A617+9/24),tData[SEHTrajectPeriodeDatumTijdTotEnMet],"&gt;"&amp;($A617+9/24),tData[Langligger01],1)</f>
        <v/>
      </c>
      <c r="N617" s="20">
        <f>COUNTIFS(tData[SEHTrajectPeriodeDatumTijdVan],"&lt;="&amp;($A617+10/24),tData[SEHTrajectPeriodeDatumTijdTotEnMet],"&gt;"&amp;($A617+10/24),tData[Langligger01],1)</f>
        <v/>
      </c>
      <c r="O617" s="20">
        <f>COUNTIFS(tData[SEHTrajectPeriodeDatumTijdVan],"&lt;="&amp;($A617+11/24),tData[SEHTrajectPeriodeDatumTijdTotEnMet],"&gt;"&amp;($A617+11/24),tData[Langligger01],1)</f>
        <v/>
      </c>
      <c r="P617" s="20">
        <f>COUNTIFS(tData[SEHTrajectPeriodeDatumTijdVan],"&lt;="&amp;($A617+12/24),tData[SEHTrajectPeriodeDatumTijdTotEnMet],"&gt;"&amp;($A617+12/24),tData[Langligger01],1)</f>
        <v/>
      </c>
      <c r="Q617" s="20">
        <f>COUNTIFS(tData[SEHTrajectPeriodeDatumTijdVan],"&lt;="&amp;($A617+13/24),tData[SEHTrajectPeriodeDatumTijdTotEnMet],"&gt;"&amp;($A617+13/24),tData[Langligger01],1)</f>
        <v/>
      </c>
      <c r="R617" s="20">
        <f>COUNTIFS(tData[SEHTrajectPeriodeDatumTijdVan],"&lt;="&amp;($A617+14/24),tData[SEHTrajectPeriodeDatumTijdTotEnMet],"&gt;"&amp;($A617+14/24),tData[Langligger01],1)</f>
        <v/>
      </c>
      <c r="S617" s="20">
        <f>COUNTIFS(tData[SEHTrajectPeriodeDatumTijdVan],"&lt;="&amp;($A617+15/24),tData[SEHTrajectPeriodeDatumTijdTotEnMet],"&gt;"&amp;($A617+15/24),tData[Langligger01],1)</f>
        <v/>
      </c>
      <c r="T617" s="20">
        <f>COUNTIFS(tData[SEHTrajectPeriodeDatumTijdVan],"&lt;="&amp;($A617+16/24),tData[SEHTrajectPeriodeDatumTijdTotEnMet],"&gt;"&amp;($A617+16/24),tData[Langligger01],1)</f>
        <v/>
      </c>
      <c r="U617" s="20">
        <f>COUNTIFS(tData[SEHTrajectPeriodeDatumTijdVan],"&lt;="&amp;($A617+17/24),tData[SEHTrajectPeriodeDatumTijdTotEnMet],"&gt;"&amp;($A617+17/24),tData[Langligger01],1)</f>
        <v/>
      </c>
      <c r="V617" s="20">
        <f>COUNTIFS(tData[SEHTrajectPeriodeDatumTijdVan],"&lt;="&amp;($A617+18/24),tData[SEHTrajectPeriodeDatumTijdTotEnMet],"&gt;"&amp;($A617+18/24),tData[Langligger01],1)</f>
        <v/>
      </c>
      <c r="W617" s="20">
        <f>COUNTIFS(tData[SEHTrajectPeriodeDatumTijdVan],"&lt;="&amp;($A617+19/24),tData[SEHTrajectPeriodeDatumTijdTotEnMet],"&gt;"&amp;($A617+19/24),tData[Langligger01],1)</f>
        <v/>
      </c>
      <c r="X617" s="20">
        <f>COUNTIFS(tData[SEHTrajectPeriodeDatumTijdVan],"&lt;="&amp;($A617+20/24),tData[SEHTrajectPeriodeDatumTijdTotEnMet],"&gt;"&amp;($A617+20/24),tData[Langligger01],1)</f>
        <v/>
      </c>
      <c r="Y617" s="20">
        <f>COUNTIFS(tData[SEHTrajectPeriodeDatumTijdVan],"&lt;="&amp;($A617+21/24),tData[SEHTrajectPeriodeDatumTijdTotEnMet],"&gt;"&amp;($A617+21/24),tData[Langligger01],1)</f>
        <v/>
      </c>
      <c r="Z617" s="20">
        <f>COUNTIFS(tData[SEHTrajectPeriodeDatumTijdVan],"&lt;="&amp;($A617+22/24),tData[SEHTrajectPeriodeDatumTijdTotEnMet],"&gt;"&amp;($A617+22/24),tData[Langligger01],1)</f>
        <v/>
      </c>
      <c r="AA617" s="20">
        <f>COUNTIFS(tData[SEHTrajectPeriodeDatumTijdVan],"&lt;="&amp;($A617+23/24),tData[SEHTrajectPeriodeDatumTijdTotEnMet],"&gt;"&amp;($A617+23/24),tData[Langligger01],1)</f>
        <v/>
      </c>
    </row>
    <row r="618">
      <c r="A618" s="19" t="n">
        <v>45906</v>
      </c>
      <c r="B618" s="15">
        <f>WEEKDAY($A618,2)</f>
        <v/>
      </c>
      <c r="C618" s="15">
        <f>IF(AND($A618&gt;=INT(Instellingen!$B$5),$A618&lt;=INT(Instellingen!$B$6)),1,0)</f>
        <v/>
      </c>
      <c r="D618" s="20">
        <f>COUNTIFS(tData[SEHTrajectPeriodeDatumTijdVan],"&lt;="&amp;($A618+0/24),tData[SEHTrajectPeriodeDatumTijdTotEnMet],"&gt;"&amp;($A618+0/24),tData[Langligger01],1)</f>
        <v/>
      </c>
      <c r="E618" s="20">
        <f>COUNTIFS(tData[SEHTrajectPeriodeDatumTijdVan],"&lt;="&amp;($A618+1/24),tData[SEHTrajectPeriodeDatumTijdTotEnMet],"&gt;"&amp;($A618+1/24),tData[Langligger01],1)</f>
        <v/>
      </c>
      <c r="F618" s="20">
        <f>COUNTIFS(tData[SEHTrajectPeriodeDatumTijdVan],"&lt;="&amp;($A618+2/24),tData[SEHTrajectPeriodeDatumTijdTotEnMet],"&gt;"&amp;($A618+2/24),tData[Langligger01],1)</f>
        <v/>
      </c>
      <c r="G618" s="20">
        <f>COUNTIFS(tData[SEHTrajectPeriodeDatumTijdVan],"&lt;="&amp;($A618+3/24),tData[SEHTrajectPeriodeDatumTijdTotEnMet],"&gt;"&amp;($A618+3/24),tData[Langligger01],1)</f>
        <v/>
      </c>
      <c r="H618" s="20">
        <f>COUNTIFS(tData[SEHTrajectPeriodeDatumTijdVan],"&lt;="&amp;($A618+4/24),tData[SEHTrajectPeriodeDatumTijdTotEnMet],"&gt;"&amp;($A618+4/24),tData[Langligger01],1)</f>
        <v/>
      </c>
      <c r="I618" s="20">
        <f>COUNTIFS(tData[SEHTrajectPeriodeDatumTijdVan],"&lt;="&amp;($A618+5/24),tData[SEHTrajectPeriodeDatumTijdTotEnMet],"&gt;"&amp;($A618+5/24),tData[Langligger01],1)</f>
        <v/>
      </c>
      <c r="J618" s="20">
        <f>COUNTIFS(tData[SEHTrajectPeriodeDatumTijdVan],"&lt;="&amp;($A618+6/24),tData[SEHTrajectPeriodeDatumTijdTotEnMet],"&gt;"&amp;($A618+6/24),tData[Langligger01],1)</f>
        <v/>
      </c>
      <c r="K618" s="20">
        <f>COUNTIFS(tData[SEHTrajectPeriodeDatumTijdVan],"&lt;="&amp;($A618+7/24),tData[SEHTrajectPeriodeDatumTijdTotEnMet],"&gt;"&amp;($A618+7/24),tData[Langligger01],1)</f>
        <v/>
      </c>
      <c r="L618" s="20">
        <f>COUNTIFS(tData[SEHTrajectPeriodeDatumTijdVan],"&lt;="&amp;($A618+8/24),tData[SEHTrajectPeriodeDatumTijdTotEnMet],"&gt;"&amp;($A618+8/24),tData[Langligger01],1)</f>
        <v/>
      </c>
      <c r="M618" s="20">
        <f>COUNTIFS(tData[SEHTrajectPeriodeDatumTijdVan],"&lt;="&amp;($A618+9/24),tData[SEHTrajectPeriodeDatumTijdTotEnMet],"&gt;"&amp;($A618+9/24),tData[Langligger01],1)</f>
        <v/>
      </c>
      <c r="N618" s="20">
        <f>COUNTIFS(tData[SEHTrajectPeriodeDatumTijdVan],"&lt;="&amp;($A618+10/24),tData[SEHTrajectPeriodeDatumTijdTotEnMet],"&gt;"&amp;($A618+10/24),tData[Langligger01],1)</f>
        <v/>
      </c>
      <c r="O618" s="20">
        <f>COUNTIFS(tData[SEHTrajectPeriodeDatumTijdVan],"&lt;="&amp;($A618+11/24),tData[SEHTrajectPeriodeDatumTijdTotEnMet],"&gt;"&amp;($A618+11/24),tData[Langligger01],1)</f>
        <v/>
      </c>
      <c r="P618" s="20">
        <f>COUNTIFS(tData[SEHTrajectPeriodeDatumTijdVan],"&lt;="&amp;($A618+12/24),tData[SEHTrajectPeriodeDatumTijdTotEnMet],"&gt;"&amp;($A618+12/24),tData[Langligger01],1)</f>
        <v/>
      </c>
      <c r="Q618" s="20">
        <f>COUNTIFS(tData[SEHTrajectPeriodeDatumTijdVan],"&lt;="&amp;($A618+13/24),tData[SEHTrajectPeriodeDatumTijdTotEnMet],"&gt;"&amp;($A618+13/24),tData[Langligger01],1)</f>
        <v/>
      </c>
      <c r="R618" s="20">
        <f>COUNTIFS(tData[SEHTrajectPeriodeDatumTijdVan],"&lt;="&amp;($A618+14/24),tData[SEHTrajectPeriodeDatumTijdTotEnMet],"&gt;"&amp;($A618+14/24),tData[Langligger01],1)</f>
        <v/>
      </c>
      <c r="S618" s="20">
        <f>COUNTIFS(tData[SEHTrajectPeriodeDatumTijdVan],"&lt;="&amp;($A618+15/24),tData[SEHTrajectPeriodeDatumTijdTotEnMet],"&gt;"&amp;($A618+15/24),tData[Langligger01],1)</f>
        <v/>
      </c>
      <c r="T618" s="20">
        <f>COUNTIFS(tData[SEHTrajectPeriodeDatumTijdVan],"&lt;="&amp;($A618+16/24),tData[SEHTrajectPeriodeDatumTijdTotEnMet],"&gt;"&amp;($A618+16/24),tData[Langligger01],1)</f>
        <v/>
      </c>
      <c r="U618" s="20">
        <f>COUNTIFS(tData[SEHTrajectPeriodeDatumTijdVan],"&lt;="&amp;($A618+17/24),tData[SEHTrajectPeriodeDatumTijdTotEnMet],"&gt;"&amp;($A618+17/24),tData[Langligger01],1)</f>
        <v/>
      </c>
      <c r="V618" s="20">
        <f>COUNTIFS(tData[SEHTrajectPeriodeDatumTijdVan],"&lt;="&amp;($A618+18/24),tData[SEHTrajectPeriodeDatumTijdTotEnMet],"&gt;"&amp;($A618+18/24),tData[Langligger01],1)</f>
        <v/>
      </c>
      <c r="W618" s="20">
        <f>COUNTIFS(tData[SEHTrajectPeriodeDatumTijdVan],"&lt;="&amp;($A618+19/24),tData[SEHTrajectPeriodeDatumTijdTotEnMet],"&gt;"&amp;($A618+19/24),tData[Langligger01],1)</f>
        <v/>
      </c>
      <c r="X618" s="20">
        <f>COUNTIFS(tData[SEHTrajectPeriodeDatumTijdVan],"&lt;="&amp;($A618+20/24),tData[SEHTrajectPeriodeDatumTijdTotEnMet],"&gt;"&amp;($A618+20/24),tData[Langligger01],1)</f>
        <v/>
      </c>
      <c r="Y618" s="20">
        <f>COUNTIFS(tData[SEHTrajectPeriodeDatumTijdVan],"&lt;="&amp;($A618+21/24),tData[SEHTrajectPeriodeDatumTijdTotEnMet],"&gt;"&amp;($A618+21/24),tData[Langligger01],1)</f>
        <v/>
      </c>
      <c r="Z618" s="20">
        <f>COUNTIFS(tData[SEHTrajectPeriodeDatumTijdVan],"&lt;="&amp;($A618+22/24),tData[SEHTrajectPeriodeDatumTijdTotEnMet],"&gt;"&amp;($A618+22/24),tData[Langligger01],1)</f>
        <v/>
      </c>
      <c r="AA618" s="20">
        <f>COUNTIFS(tData[SEHTrajectPeriodeDatumTijdVan],"&lt;="&amp;($A618+23/24),tData[SEHTrajectPeriodeDatumTijdTotEnMet],"&gt;"&amp;($A618+23/24),tData[Langligger01],1)</f>
        <v/>
      </c>
    </row>
    <row r="619">
      <c r="A619" s="19" t="n">
        <v>45907</v>
      </c>
      <c r="B619" s="15">
        <f>WEEKDAY($A619,2)</f>
        <v/>
      </c>
      <c r="C619" s="15">
        <f>IF(AND($A619&gt;=INT(Instellingen!$B$5),$A619&lt;=INT(Instellingen!$B$6)),1,0)</f>
        <v/>
      </c>
      <c r="D619" s="20">
        <f>COUNTIFS(tData[SEHTrajectPeriodeDatumTijdVan],"&lt;="&amp;($A619+0/24),tData[SEHTrajectPeriodeDatumTijdTotEnMet],"&gt;"&amp;($A619+0/24),tData[Langligger01],1)</f>
        <v/>
      </c>
      <c r="E619" s="20">
        <f>COUNTIFS(tData[SEHTrajectPeriodeDatumTijdVan],"&lt;="&amp;($A619+1/24),tData[SEHTrajectPeriodeDatumTijdTotEnMet],"&gt;"&amp;($A619+1/24),tData[Langligger01],1)</f>
        <v/>
      </c>
      <c r="F619" s="20">
        <f>COUNTIFS(tData[SEHTrajectPeriodeDatumTijdVan],"&lt;="&amp;($A619+2/24),tData[SEHTrajectPeriodeDatumTijdTotEnMet],"&gt;"&amp;($A619+2/24),tData[Langligger01],1)</f>
        <v/>
      </c>
      <c r="G619" s="20">
        <f>COUNTIFS(tData[SEHTrajectPeriodeDatumTijdVan],"&lt;="&amp;($A619+3/24),tData[SEHTrajectPeriodeDatumTijdTotEnMet],"&gt;"&amp;($A619+3/24),tData[Langligger01],1)</f>
        <v/>
      </c>
      <c r="H619" s="20">
        <f>COUNTIFS(tData[SEHTrajectPeriodeDatumTijdVan],"&lt;="&amp;($A619+4/24),tData[SEHTrajectPeriodeDatumTijdTotEnMet],"&gt;"&amp;($A619+4/24),tData[Langligger01],1)</f>
        <v/>
      </c>
      <c r="I619" s="20">
        <f>COUNTIFS(tData[SEHTrajectPeriodeDatumTijdVan],"&lt;="&amp;($A619+5/24),tData[SEHTrajectPeriodeDatumTijdTotEnMet],"&gt;"&amp;($A619+5/24),tData[Langligger01],1)</f>
        <v/>
      </c>
      <c r="J619" s="20">
        <f>COUNTIFS(tData[SEHTrajectPeriodeDatumTijdVan],"&lt;="&amp;($A619+6/24),tData[SEHTrajectPeriodeDatumTijdTotEnMet],"&gt;"&amp;($A619+6/24),tData[Langligger01],1)</f>
        <v/>
      </c>
      <c r="K619" s="20">
        <f>COUNTIFS(tData[SEHTrajectPeriodeDatumTijdVan],"&lt;="&amp;($A619+7/24),tData[SEHTrajectPeriodeDatumTijdTotEnMet],"&gt;"&amp;($A619+7/24),tData[Langligger01],1)</f>
        <v/>
      </c>
      <c r="L619" s="20">
        <f>COUNTIFS(tData[SEHTrajectPeriodeDatumTijdVan],"&lt;="&amp;($A619+8/24),tData[SEHTrajectPeriodeDatumTijdTotEnMet],"&gt;"&amp;($A619+8/24),tData[Langligger01],1)</f>
        <v/>
      </c>
      <c r="M619" s="20">
        <f>COUNTIFS(tData[SEHTrajectPeriodeDatumTijdVan],"&lt;="&amp;($A619+9/24),tData[SEHTrajectPeriodeDatumTijdTotEnMet],"&gt;"&amp;($A619+9/24),tData[Langligger01],1)</f>
        <v/>
      </c>
      <c r="N619" s="20">
        <f>COUNTIFS(tData[SEHTrajectPeriodeDatumTijdVan],"&lt;="&amp;($A619+10/24),tData[SEHTrajectPeriodeDatumTijdTotEnMet],"&gt;"&amp;($A619+10/24),tData[Langligger01],1)</f>
        <v/>
      </c>
      <c r="O619" s="20">
        <f>COUNTIFS(tData[SEHTrajectPeriodeDatumTijdVan],"&lt;="&amp;($A619+11/24),tData[SEHTrajectPeriodeDatumTijdTotEnMet],"&gt;"&amp;($A619+11/24),tData[Langligger01],1)</f>
        <v/>
      </c>
      <c r="P619" s="20">
        <f>COUNTIFS(tData[SEHTrajectPeriodeDatumTijdVan],"&lt;="&amp;($A619+12/24),tData[SEHTrajectPeriodeDatumTijdTotEnMet],"&gt;"&amp;($A619+12/24),tData[Langligger01],1)</f>
        <v/>
      </c>
      <c r="Q619" s="20">
        <f>COUNTIFS(tData[SEHTrajectPeriodeDatumTijdVan],"&lt;="&amp;($A619+13/24),tData[SEHTrajectPeriodeDatumTijdTotEnMet],"&gt;"&amp;($A619+13/24),tData[Langligger01],1)</f>
        <v/>
      </c>
      <c r="R619" s="20">
        <f>COUNTIFS(tData[SEHTrajectPeriodeDatumTijdVan],"&lt;="&amp;($A619+14/24),tData[SEHTrajectPeriodeDatumTijdTotEnMet],"&gt;"&amp;($A619+14/24),tData[Langligger01],1)</f>
        <v/>
      </c>
      <c r="S619" s="20">
        <f>COUNTIFS(tData[SEHTrajectPeriodeDatumTijdVan],"&lt;="&amp;($A619+15/24),tData[SEHTrajectPeriodeDatumTijdTotEnMet],"&gt;"&amp;($A619+15/24),tData[Langligger01],1)</f>
        <v/>
      </c>
      <c r="T619" s="20">
        <f>COUNTIFS(tData[SEHTrajectPeriodeDatumTijdVan],"&lt;="&amp;($A619+16/24),tData[SEHTrajectPeriodeDatumTijdTotEnMet],"&gt;"&amp;($A619+16/24),tData[Langligger01],1)</f>
        <v/>
      </c>
      <c r="U619" s="20">
        <f>COUNTIFS(tData[SEHTrajectPeriodeDatumTijdVan],"&lt;="&amp;($A619+17/24),tData[SEHTrajectPeriodeDatumTijdTotEnMet],"&gt;"&amp;($A619+17/24),tData[Langligger01],1)</f>
        <v/>
      </c>
      <c r="V619" s="20">
        <f>COUNTIFS(tData[SEHTrajectPeriodeDatumTijdVan],"&lt;="&amp;($A619+18/24),tData[SEHTrajectPeriodeDatumTijdTotEnMet],"&gt;"&amp;($A619+18/24),tData[Langligger01],1)</f>
        <v/>
      </c>
      <c r="W619" s="20">
        <f>COUNTIFS(tData[SEHTrajectPeriodeDatumTijdVan],"&lt;="&amp;($A619+19/24),tData[SEHTrajectPeriodeDatumTijdTotEnMet],"&gt;"&amp;($A619+19/24),tData[Langligger01],1)</f>
        <v/>
      </c>
      <c r="X619" s="20">
        <f>COUNTIFS(tData[SEHTrajectPeriodeDatumTijdVan],"&lt;="&amp;($A619+20/24),tData[SEHTrajectPeriodeDatumTijdTotEnMet],"&gt;"&amp;($A619+20/24),tData[Langligger01],1)</f>
        <v/>
      </c>
      <c r="Y619" s="20">
        <f>COUNTIFS(tData[SEHTrajectPeriodeDatumTijdVan],"&lt;="&amp;($A619+21/24),tData[SEHTrajectPeriodeDatumTijdTotEnMet],"&gt;"&amp;($A619+21/24),tData[Langligger01],1)</f>
        <v/>
      </c>
      <c r="Z619" s="20">
        <f>COUNTIFS(tData[SEHTrajectPeriodeDatumTijdVan],"&lt;="&amp;($A619+22/24),tData[SEHTrajectPeriodeDatumTijdTotEnMet],"&gt;"&amp;($A619+22/24),tData[Langligger01],1)</f>
        <v/>
      </c>
      <c r="AA619" s="20">
        <f>COUNTIFS(tData[SEHTrajectPeriodeDatumTijdVan],"&lt;="&amp;($A619+23/24),tData[SEHTrajectPeriodeDatumTijdTotEnMet],"&gt;"&amp;($A619+23/24),tData[Langligger01],1)</f>
        <v/>
      </c>
    </row>
    <row r="620">
      <c r="A620" s="19" t="n">
        <v>45908</v>
      </c>
      <c r="B620" s="15">
        <f>WEEKDAY($A620,2)</f>
        <v/>
      </c>
      <c r="C620" s="15">
        <f>IF(AND($A620&gt;=INT(Instellingen!$B$5),$A620&lt;=INT(Instellingen!$B$6)),1,0)</f>
        <v/>
      </c>
      <c r="D620" s="20">
        <f>COUNTIFS(tData[SEHTrajectPeriodeDatumTijdVan],"&lt;="&amp;($A620+0/24),tData[SEHTrajectPeriodeDatumTijdTotEnMet],"&gt;"&amp;($A620+0/24),tData[Langligger01],1)</f>
        <v/>
      </c>
      <c r="E620" s="20">
        <f>COUNTIFS(tData[SEHTrajectPeriodeDatumTijdVan],"&lt;="&amp;($A620+1/24),tData[SEHTrajectPeriodeDatumTijdTotEnMet],"&gt;"&amp;($A620+1/24),tData[Langligger01],1)</f>
        <v/>
      </c>
      <c r="F620" s="20">
        <f>COUNTIFS(tData[SEHTrajectPeriodeDatumTijdVan],"&lt;="&amp;($A620+2/24),tData[SEHTrajectPeriodeDatumTijdTotEnMet],"&gt;"&amp;($A620+2/24),tData[Langligger01],1)</f>
        <v/>
      </c>
      <c r="G620" s="20">
        <f>COUNTIFS(tData[SEHTrajectPeriodeDatumTijdVan],"&lt;="&amp;($A620+3/24),tData[SEHTrajectPeriodeDatumTijdTotEnMet],"&gt;"&amp;($A620+3/24),tData[Langligger01],1)</f>
        <v/>
      </c>
      <c r="H620" s="20">
        <f>COUNTIFS(tData[SEHTrajectPeriodeDatumTijdVan],"&lt;="&amp;($A620+4/24),tData[SEHTrajectPeriodeDatumTijdTotEnMet],"&gt;"&amp;($A620+4/24),tData[Langligger01],1)</f>
        <v/>
      </c>
      <c r="I620" s="20">
        <f>COUNTIFS(tData[SEHTrajectPeriodeDatumTijdVan],"&lt;="&amp;($A620+5/24),tData[SEHTrajectPeriodeDatumTijdTotEnMet],"&gt;"&amp;($A620+5/24),tData[Langligger01],1)</f>
        <v/>
      </c>
      <c r="J620" s="20">
        <f>COUNTIFS(tData[SEHTrajectPeriodeDatumTijdVan],"&lt;="&amp;($A620+6/24),tData[SEHTrajectPeriodeDatumTijdTotEnMet],"&gt;"&amp;($A620+6/24),tData[Langligger01],1)</f>
        <v/>
      </c>
      <c r="K620" s="20">
        <f>COUNTIFS(tData[SEHTrajectPeriodeDatumTijdVan],"&lt;="&amp;($A620+7/24),tData[SEHTrajectPeriodeDatumTijdTotEnMet],"&gt;"&amp;($A620+7/24),tData[Langligger01],1)</f>
        <v/>
      </c>
      <c r="L620" s="20">
        <f>COUNTIFS(tData[SEHTrajectPeriodeDatumTijdVan],"&lt;="&amp;($A620+8/24),tData[SEHTrajectPeriodeDatumTijdTotEnMet],"&gt;"&amp;($A620+8/24),tData[Langligger01],1)</f>
        <v/>
      </c>
      <c r="M620" s="20">
        <f>COUNTIFS(tData[SEHTrajectPeriodeDatumTijdVan],"&lt;="&amp;($A620+9/24),tData[SEHTrajectPeriodeDatumTijdTotEnMet],"&gt;"&amp;($A620+9/24),tData[Langligger01],1)</f>
        <v/>
      </c>
      <c r="N620" s="20">
        <f>COUNTIFS(tData[SEHTrajectPeriodeDatumTijdVan],"&lt;="&amp;($A620+10/24),tData[SEHTrajectPeriodeDatumTijdTotEnMet],"&gt;"&amp;($A620+10/24),tData[Langligger01],1)</f>
        <v/>
      </c>
      <c r="O620" s="20">
        <f>COUNTIFS(tData[SEHTrajectPeriodeDatumTijdVan],"&lt;="&amp;($A620+11/24),tData[SEHTrajectPeriodeDatumTijdTotEnMet],"&gt;"&amp;($A620+11/24),tData[Langligger01],1)</f>
        <v/>
      </c>
      <c r="P620" s="20">
        <f>COUNTIFS(tData[SEHTrajectPeriodeDatumTijdVan],"&lt;="&amp;($A620+12/24),tData[SEHTrajectPeriodeDatumTijdTotEnMet],"&gt;"&amp;($A620+12/24),tData[Langligger01],1)</f>
        <v/>
      </c>
      <c r="Q620" s="20">
        <f>COUNTIFS(tData[SEHTrajectPeriodeDatumTijdVan],"&lt;="&amp;($A620+13/24),tData[SEHTrajectPeriodeDatumTijdTotEnMet],"&gt;"&amp;($A620+13/24),tData[Langligger01],1)</f>
        <v/>
      </c>
      <c r="R620" s="20">
        <f>COUNTIFS(tData[SEHTrajectPeriodeDatumTijdVan],"&lt;="&amp;($A620+14/24),tData[SEHTrajectPeriodeDatumTijdTotEnMet],"&gt;"&amp;($A620+14/24),tData[Langligger01],1)</f>
        <v/>
      </c>
      <c r="S620" s="20">
        <f>COUNTIFS(tData[SEHTrajectPeriodeDatumTijdVan],"&lt;="&amp;($A620+15/24),tData[SEHTrajectPeriodeDatumTijdTotEnMet],"&gt;"&amp;($A620+15/24),tData[Langligger01],1)</f>
        <v/>
      </c>
      <c r="T620" s="20">
        <f>COUNTIFS(tData[SEHTrajectPeriodeDatumTijdVan],"&lt;="&amp;($A620+16/24),tData[SEHTrajectPeriodeDatumTijdTotEnMet],"&gt;"&amp;($A620+16/24),tData[Langligger01],1)</f>
        <v/>
      </c>
      <c r="U620" s="20">
        <f>COUNTIFS(tData[SEHTrajectPeriodeDatumTijdVan],"&lt;="&amp;($A620+17/24),tData[SEHTrajectPeriodeDatumTijdTotEnMet],"&gt;"&amp;($A620+17/24),tData[Langligger01],1)</f>
        <v/>
      </c>
      <c r="V620" s="20">
        <f>COUNTIFS(tData[SEHTrajectPeriodeDatumTijdVan],"&lt;="&amp;($A620+18/24),tData[SEHTrajectPeriodeDatumTijdTotEnMet],"&gt;"&amp;($A620+18/24),tData[Langligger01],1)</f>
        <v/>
      </c>
      <c r="W620" s="20">
        <f>COUNTIFS(tData[SEHTrajectPeriodeDatumTijdVan],"&lt;="&amp;($A620+19/24),tData[SEHTrajectPeriodeDatumTijdTotEnMet],"&gt;"&amp;($A620+19/24),tData[Langligger01],1)</f>
        <v/>
      </c>
      <c r="X620" s="20">
        <f>COUNTIFS(tData[SEHTrajectPeriodeDatumTijdVan],"&lt;="&amp;($A620+20/24),tData[SEHTrajectPeriodeDatumTijdTotEnMet],"&gt;"&amp;($A620+20/24),tData[Langligger01],1)</f>
        <v/>
      </c>
      <c r="Y620" s="20">
        <f>COUNTIFS(tData[SEHTrajectPeriodeDatumTijdVan],"&lt;="&amp;($A620+21/24),tData[SEHTrajectPeriodeDatumTijdTotEnMet],"&gt;"&amp;($A620+21/24),tData[Langligger01],1)</f>
        <v/>
      </c>
      <c r="Z620" s="20">
        <f>COUNTIFS(tData[SEHTrajectPeriodeDatumTijdVan],"&lt;="&amp;($A620+22/24),tData[SEHTrajectPeriodeDatumTijdTotEnMet],"&gt;"&amp;($A620+22/24),tData[Langligger01],1)</f>
        <v/>
      </c>
      <c r="AA620" s="20">
        <f>COUNTIFS(tData[SEHTrajectPeriodeDatumTijdVan],"&lt;="&amp;($A620+23/24),tData[SEHTrajectPeriodeDatumTijdTotEnMet],"&gt;"&amp;($A620+23/24),tData[Langligger01],1)</f>
        <v/>
      </c>
    </row>
    <row r="621">
      <c r="A621" s="19" t="n">
        <v>45909</v>
      </c>
      <c r="B621" s="15">
        <f>WEEKDAY($A621,2)</f>
        <v/>
      </c>
      <c r="C621" s="15">
        <f>IF(AND($A621&gt;=INT(Instellingen!$B$5),$A621&lt;=INT(Instellingen!$B$6)),1,0)</f>
        <v/>
      </c>
      <c r="D621" s="20">
        <f>COUNTIFS(tData[SEHTrajectPeriodeDatumTijdVan],"&lt;="&amp;($A621+0/24),tData[SEHTrajectPeriodeDatumTijdTotEnMet],"&gt;"&amp;($A621+0/24),tData[Langligger01],1)</f>
        <v/>
      </c>
      <c r="E621" s="20">
        <f>COUNTIFS(tData[SEHTrajectPeriodeDatumTijdVan],"&lt;="&amp;($A621+1/24),tData[SEHTrajectPeriodeDatumTijdTotEnMet],"&gt;"&amp;($A621+1/24),tData[Langligger01],1)</f>
        <v/>
      </c>
      <c r="F621" s="20">
        <f>COUNTIFS(tData[SEHTrajectPeriodeDatumTijdVan],"&lt;="&amp;($A621+2/24),tData[SEHTrajectPeriodeDatumTijdTotEnMet],"&gt;"&amp;($A621+2/24),tData[Langligger01],1)</f>
        <v/>
      </c>
      <c r="G621" s="20">
        <f>COUNTIFS(tData[SEHTrajectPeriodeDatumTijdVan],"&lt;="&amp;($A621+3/24),tData[SEHTrajectPeriodeDatumTijdTotEnMet],"&gt;"&amp;($A621+3/24),tData[Langligger01],1)</f>
        <v/>
      </c>
      <c r="H621" s="20">
        <f>COUNTIFS(tData[SEHTrajectPeriodeDatumTijdVan],"&lt;="&amp;($A621+4/24),tData[SEHTrajectPeriodeDatumTijdTotEnMet],"&gt;"&amp;($A621+4/24),tData[Langligger01],1)</f>
        <v/>
      </c>
      <c r="I621" s="20">
        <f>COUNTIFS(tData[SEHTrajectPeriodeDatumTijdVan],"&lt;="&amp;($A621+5/24),tData[SEHTrajectPeriodeDatumTijdTotEnMet],"&gt;"&amp;($A621+5/24),tData[Langligger01],1)</f>
        <v/>
      </c>
      <c r="J621" s="20">
        <f>COUNTIFS(tData[SEHTrajectPeriodeDatumTijdVan],"&lt;="&amp;($A621+6/24),tData[SEHTrajectPeriodeDatumTijdTotEnMet],"&gt;"&amp;($A621+6/24),tData[Langligger01],1)</f>
        <v/>
      </c>
      <c r="K621" s="20">
        <f>COUNTIFS(tData[SEHTrajectPeriodeDatumTijdVan],"&lt;="&amp;($A621+7/24),tData[SEHTrajectPeriodeDatumTijdTotEnMet],"&gt;"&amp;($A621+7/24),tData[Langligger01],1)</f>
        <v/>
      </c>
      <c r="L621" s="20">
        <f>COUNTIFS(tData[SEHTrajectPeriodeDatumTijdVan],"&lt;="&amp;($A621+8/24),tData[SEHTrajectPeriodeDatumTijdTotEnMet],"&gt;"&amp;($A621+8/24),tData[Langligger01],1)</f>
        <v/>
      </c>
      <c r="M621" s="20">
        <f>COUNTIFS(tData[SEHTrajectPeriodeDatumTijdVan],"&lt;="&amp;($A621+9/24),tData[SEHTrajectPeriodeDatumTijdTotEnMet],"&gt;"&amp;($A621+9/24),tData[Langligger01],1)</f>
        <v/>
      </c>
      <c r="N621" s="20">
        <f>COUNTIFS(tData[SEHTrajectPeriodeDatumTijdVan],"&lt;="&amp;($A621+10/24),tData[SEHTrajectPeriodeDatumTijdTotEnMet],"&gt;"&amp;($A621+10/24),tData[Langligger01],1)</f>
        <v/>
      </c>
      <c r="O621" s="20">
        <f>COUNTIFS(tData[SEHTrajectPeriodeDatumTijdVan],"&lt;="&amp;($A621+11/24),tData[SEHTrajectPeriodeDatumTijdTotEnMet],"&gt;"&amp;($A621+11/24),tData[Langligger01],1)</f>
        <v/>
      </c>
      <c r="P621" s="20">
        <f>COUNTIFS(tData[SEHTrajectPeriodeDatumTijdVan],"&lt;="&amp;($A621+12/24),tData[SEHTrajectPeriodeDatumTijdTotEnMet],"&gt;"&amp;($A621+12/24),tData[Langligger01],1)</f>
        <v/>
      </c>
      <c r="Q621" s="20">
        <f>COUNTIFS(tData[SEHTrajectPeriodeDatumTijdVan],"&lt;="&amp;($A621+13/24),tData[SEHTrajectPeriodeDatumTijdTotEnMet],"&gt;"&amp;($A621+13/24),tData[Langligger01],1)</f>
        <v/>
      </c>
      <c r="R621" s="20">
        <f>COUNTIFS(tData[SEHTrajectPeriodeDatumTijdVan],"&lt;="&amp;($A621+14/24),tData[SEHTrajectPeriodeDatumTijdTotEnMet],"&gt;"&amp;($A621+14/24),tData[Langligger01],1)</f>
        <v/>
      </c>
      <c r="S621" s="20">
        <f>COUNTIFS(tData[SEHTrajectPeriodeDatumTijdVan],"&lt;="&amp;($A621+15/24),tData[SEHTrajectPeriodeDatumTijdTotEnMet],"&gt;"&amp;($A621+15/24),tData[Langligger01],1)</f>
        <v/>
      </c>
      <c r="T621" s="20">
        <f>COUNTIFS(tData[SEHTrajectPeriodeDatumTijdVan],"&lt;="&amp;($A621+16/24),tData[SEHTrajectPeriodeDatumTijdTotEnMet],"&gt;"&amp;($A621+16/24),tData[Langligger01],1)</f>
        <v/>
      </c>
      <c r="U621" s="20">
        <f>COUNTIFS(tData[SEHTrajectPeriodeDatumTijdVan],"&lt;="&amp;($A621+17/24),tData[SEHTrajectPeriodeDatumTijdTotEnMet],"&gt;"&amp;($A621+17/24),tData[Langligger01],1)</f>
        <v/>
      </c>
      <c r="V621" s="20">
        <f>COUNTIFS(tData[SEHTrajectPeriodeDatumTijdVan],"&lt;="&amp;($A621+18/24),tData[SEHTrajectPeriodeDatumTijdTotEnMet],"&gt;"&amp;($A621+18/24),tData[Langligger01],1)</f>
        <v/>
      </c>
      <c r="W621" s="20">
        <f>COUNTIFS(tData[SEHTrajectPeriodeDatumTijdVan],"&lt;="&amp;($A621+19/24),tData[SEHTrajectPeriodeDatumTijdTotEnMet],"&gt;"&amp;($A621+19/24),tData[Langligger01],1)</f>
        <v/>
      </c>
      <c r="X621" s="20">
        <f>COUNTIFS(tData[SEHTrajectPeriodeDatumTijdVan],"&lt;="&amp;($A621+20/24),tData[SEHTrajectPeriodeDatumTijdTotEnMet],"&gt;"&amp;($A621+20/24),tData[Langligger01],1)</f>
        <v/>
      </c>
      <c r="Y621" s="20">
        <f>COUNTIFS(tData[SEHTrajectPeriodeDatumTijdVan],"&lt;="&amp;($A621+21/24),tData[SEHTrajectPeriodeDatumTijdTotEnMet],"&gt;"&amp;($A621+21/24),tData[Langligger01],1)</f>
        <v/>
      </c>
      <c r="Z621" s="20">
        <f>COUNTIFS(tData[SEHTrajectPeriodeDatumTijdVan],"&lt;="&amp;($A621+22/24),tData[SEHTrajectPeriodeDatumTijdTotEnMet],"&gt;"&amp;($A621+22/24),tData[Langligger01],1)</f>
        <v/>
      </c>
      <c r="AA621" s="20">
        <f>COUNTIFS(tData[SEHTrajectPeriodeDatumTijdVan],"&lt;="&amp;($A621+23/24),tData[SEHTrajectPeriodeDatumTijdTotEnMet],"&gt;"&amp;($A621+23/24),tData[Langligger01],1)</f>
        <v/>
      </c>
    </row>
    <row r="622">
      <c r="A622" s="19" t="n">
        <v>45910</v>
      </c>
      <c r="B622" s="15">
        <f>WEEKDAY($A622,2)</f>
        <v/>
      </c>
      <c r="C622" s="15">
        <f>IF(AND($A622&gt;=INT(Instellingen!$B$5),$A622&lt;=INT(Instellingen!$B$6)),1,0)</f>
        <v/>
      </c>
      <c r="D622" s="20">
        <f>COUNTIFS(tData[SEHTrajectPeriodeDatumTijdVan],"&lt;="&amp;($A622+0/24),tData[SEHTrajectPeriodeDatumTijdTotEnMet],"&gt;"&amp;($A622+0/24),tData[Langligger01],1)</f>
        <v/>
      </c>
      <c r="E622" s="20">
        <f>COUNTIFS(tData[SEHTrajectPeriodeDatumTijdVan],"&lt;="&amp;($A622+1/24),tData[SEHTrajectPeriodeDatumTijdTotEnMet],"&gt;"&amp;($A622+1/24),tData[Langligger01],1)</f>
        <v/>
      </c>
      <c r="F622" s="20">
        <f>COUNTIFS(tData[SEHTrajectPeriodeDatumTijdVan],"&lt;="&amp;($A622+2/24),tData[SEHTrajectPeriodeDatumTijdTotEnMet],"&gt;"&amp;($A622+2/24),tData[Langligger01],1)</f>
        <v/>
      </c>
      <c r="G622" s="20">
        <f>COUNTIFS(tData[SEHTrajectPeriodeDatumTijdVan],"&lt;="&amp;($A622+3/24),tData[SEHTrajectPeriodeDatumTijdTotEnMet],"&gt;"&amp;($A622+3/24),tData[Langligger01],1)</f>
        <v/>
      </c>
      <c r="H622" s="20">
        <f>COUNTIFS(tData[SEHTrajectPeriodeDatumTijdVan],"&lt;="&amp;($A622+4/24),tData[SEHTrajectPeriodeDatumTijdTotEnMet],"&gt;"&amp;($A622+4/24),tData[Langligger01],1)</f>
        <v/>
      </c>
      <c r="I622" s="20">
        <f>COUNTIFS(tData[SEHTrajectPeriodeDatumTijdVan],"&lt;="&amp;($A622+5/24),tData[SEHTrajectPeriodeDatumTijdTotEnMet],"&gt;"&amp;($A622+5/24),tData[Langligger01],1)</f>
        <v/>
      </c>
      <c r="J622" s="20">
        <f>COUNTIFS(tData[SEHTrajectPeriodeDatumTijdVan],"&lt;="&amp;($A622+6/24),tData[SEHTrajectPeriodeDatumTijdTotEnMet],"&gt;"&amp;($A622+6/24),tData[Langligger01],1)</f>
        <v/>
      </c>
      <c r="K622" s="20">
        <f>COUNTIFS(tData[SEHTrajectPeriodeDatumTijdVan],"&lt;="&amp;($A622+7/24),tData[SEHTrajectPeriodeDatumTijdTotEnMet],"&gt;"&amp;($A622+7/24),tData[Langligger01],1)</f>
        <v/>
      </c>
      <c r="L622" s="20">
        <f>COUNTIFS(tData[SEHTrajectPeriodeDatumTijdVan],"&lt;="&amp;($A622+8/24),tData[SEHTrajectPeriodeDatumTijdTotEnMet],"&gt;"&amp;($A622+8/24),tData[Langligger01],1)</f>
        <v/>
      </c>
      <c r="M622" s="20">
        <f>COUNTIFS(tData[SEHTrajectPeriodeDatumTijdVan],"&lt;="&amp;($A622+9/24),tData[SEHTrajectPeriodeDatumTijdTotEnMet],"&gt;"&amp;($A622+9/24),tData[Langligger01],1)</f>
        <v/>
      </c>
      <c r="N622" s="20">
        <f>COUNTIFS(tData[SEHTrajectPeriodeDatumTijdVan],"&lt;="&amp;($A622+10/24),tData[SEHTrajectPeriodeDatumTijdTotEnMet],"&gt;"&amp;($A622+10/24),tData[Langligger01],1)</f>
        <v/>
      </c>
      <c r="O622" s="20">
        <f>COUNTIFS(tData[SEHTrajectPeriodeDatumTijdVan],"&lt;="&amp;($A622+11/24),tData[SEHTrajectPeriodeDatumTijdTotEnMet],"&gt;"&amp;($A622+11/24),tData[Langligger01],1)</f>
        <v/>
      </c>
      <c r="P622" s="20">
        <f>COUNTIFS(tData[SEHTrajectPeriodeDatumTijdVan],"&lt;="&amp;($A622+12/24),tData[SEHTrajectPeriodeDatumTijdTotEnMet],"&gt;"&amp;($A622+12/24),tData[Langligger01],1)</f>
        <v/>
      </c>
      <c r="Q622" s="20">
        <f>COUNTIFS(tData[SEHTrajectPeriodeDatumTijdVan],"&lt;="&amp;($A622+13/24),tData[SEHTrajectPeriodeDatumTijdTotEnMet],"&gt;"&amp;($A622+13/24),tData[Langligger01],1)</f>
        <v/>
      </c>
      <c r="R622" s="20">
        <f>COUNTIFS(tData[SEHTrajectPeriodeDatumTijdVan],"&lt;="&amp;($A622+14/24),tData[SEHTrajectPeriodeDatumTijdTotEnMet],"&gt;"&amp;($A622+14/24),tData[Langligger01],1)</f>
        <v/>
      </c>
      <c r="S622" s="20">
        <f>COUNTIFS(tData[SEHTrajectPeriodeDatumTijdVan],"&lt;="&amp;($A622+15/24),tData[SEHTrajectPeriodeDatumTijdTotEnMet],"&gt;"&amp;($A622+15/24),tData[Langligger01],1)</f>
        <v/>
      </c>
      <c r="T622" s="20">
        <f>COUNTIFS(tData[SEHTrajectPeriodeDatumTijdVan],"&lt;="&amp;($A622+16/24),tData[SEHTrajectPeriodeDatumTijdTotEnMet],"&gt;"&amp;($A622+16/24),tData[Langligger01],1)</f>
        <v/>
      </c>
      <c r="U622" s="20">
        <f>COUNTIFS(tData[SEHTrajectPeriodeDatumTijdVan],"&lt;="&amp;($A622+17/24),tData[SEHTrajectPeriodeDatumTijdTotEnMet],"&gt;"&amp;($A622+17/24),tData[Langligger01],1)</f>
        <v/>
      </c>
      <c r="V622" s="20">
        <f>COUNTIFS(tData[SEHTrajectPeriodeDatumTijdVan],"&lt;="&amp;($A622+18/24),tData[SEHTrajectPeriodeDatumTijdTotEnMet],"&gt;"&amp;($A622+18/24),tData[Langligger01],1)</f>
        <v/>
      </c>
      <c r="W622" s="20">
        <f>COUNTIFS(tData[SEHTrajectPeriodeDatumTijdVan],"&lt;="&amp;($A622+19/24),tData[SEHTrajectPeriodeDatumTijdTotEnMet],"&gt;"&amp;($A622+19/24),tData[Langligger01],1)</f>
        <v/>
      </c>
      <c r="X622" s="20">
        <f>COUNTIFS(tData[SEHTrajectPeriodeDatumTijdVan],"&lt;="&amp;($A622+20/24),tData[SEHTrajectPeriodeDatumTijdTotEnMet],"&gt;"&amp;($A622+20/24),tData[Langligger01],1)</f>
        <v/>
      </c>
      <c r="Y622" s="20">
        <f>COUNTIFS(tData[SEHTrajectPeriodeDatumTijdVan],"&lt;="&amp;($A622+21/24),tData[SEHTrajectPeriodeDatumTijdTotEnMet],"&gt;"&amp;($A622+21/24),tData[Langligger01],1)</f>
        <v/>
      </c>
      <c r="Z622" s="20">
        <f>COUNTIFS(tData[SEHTrajectPeriodeDatumTijdVan],"&lt;="&amp;($A622+22/24),tData[SEHTrajectPeriodeDatumTijdTotEnMet],"&gt;"&amp;($A622+22/24),tData[Langligger01],1)</f>
        <v/>
      </c>
      <c r="AA622" s="20">
        <f>COUNTIFS(tData[SEHTrajectPeriodeDatumTijdVan],"&lt;="&amp;($A622+23/24),tData[SEHTrajectPeriodeDatumTijdTotEnMet],"&gt;"&amp;($A622+23/24),tData[Langligger01],1)</f>
        <v/>
      </c>
    </row>
    <row r="623">
      <c r="A623" s="19" t="n">
        <v>45911</v>
      </c>
      <c r="B623" s="15">
        <f>WEEKDAY($A623,2)</f>
        <v/>
      </c>
      <c r="C623" s="15">
        <f>IF(AND($A623&gt;=INT(Instellingen!$B$5),$A623&lt;=INT(Instellingen!$B$6)),1,0)</f>
        <v/>
      </c>
      <c r="D623" s="20">
        <f>COUNTIFS(tData[SEHTrajectPeriodeDatumTijdVan],"&lt;="&amp;($A623+0/24),tData[SEHTrajectPeriodeDatumTijdTotEnMet],"&gt;"&amp;($A623+0/24),tData[Langligger01],1)</f>
        <v/>
      </c>
      <c r="E623" s="20">
        <f>COUNTIFS(tData[SEHTrajectPeriodeDatumTijdVan],"&lt;="&amp;($A623+1/24),tData[SEHTrajectPeriodeDatumTijdTotEnMet],"&gt;"&amp;($A623+1/24),tData[Langligger01],1)</f>
        <v/>
      </c>
      <c r="F623" s="20">
        <f>COUNTIFS(tData[SEHTrajectPeriodeDatumTijdVan],"&lt;="&amp;($A623+2/24),tData[SEHTrajectPeriodeDatumTijdTotEnMet],"&gt;"&amp;($A623+2/24),tData[Langligger01],1)</f>
        <v/>
      </c>
      <c r="G623" s="20">
        <f>COUNTIFS(tData[SEHTrajectPeriodeDatumTijdVan],"&lt;="&amp;($A623+3/24),tData[SEHTrajectPeriodeDatumTijdTotEnMet],"&gt;"&amp;($A623+3/24),tData[Langligger01],1)</f>
        <v/>
      </c>
      <c r="H623" s="20">
        <f>COUNTIFS(tData[SEHTrajectPeriodeDatumTijdVan],"&lt;="&amp;($A623+4/24),tData[SEHTrajectPeriodeDatumTijdTotEnMet],"&gt;"&amp;($A623+4/24),tData[Langligger01],1)</f>
        <v/>
      </c>
      <c r="I623" s="20">
        <f>COUNTIFS(tData[SEHTrajectPeriodeDatumTijdVan],"&lt;="&amp;($A623+5/24),tData[SEHTrajectPeriodeDatumTijdTotEnMet],"&gt;"&amp;($A623+5/24),tData[Langligger01],1)</f>
        <v/>
      </c>
      <c r="J623" s="20">
        <f>COUNTIFS(tData[SEHTrajectPeriodeDatumTijdVan],"&lt;="&amp;($A623+6/24),tData[SEHTrajectPeriodeDatumTijdTotEnMet],"&gt;"&amp;($A623+6/24),tData[Langligger01],1)</f>
        <v/>
      </c>
      <c r="K623" s="20">
        <f>COUNTIFS(tData[SEHTrajectPeriodeDatumTijdVan],"&lt;="&amp;($A623+7/24),tData[SEHTrajectPeriodeDatumTijdTotEnMet],"&gt;"&amp;($A623+7/24),tData[Langligger01],1)</f>
        <v/>
      </c>
      <c r="L623" s="20">
        <f>COUNTIFS(tData[SEHTrajectPeriodeDatumTijdVan],"&lt;="&amp;($A623+8/24),tData[SEHTrajectPeriodeDatumTijdTotEnMet],"&gt;"&amp;($A623+8/24),tData[Langligger01],1)</f>
        <v/>
      </c>
      <c r="M623" s="20">
        <f>COUNTIFS(tData[SEHTrajectPeriodeDatumTijdVan],"&lt;="&amp;($A623+9/24),tData[SEHTrajectPeriodeDatumTijdTotEnMet],"&gt;"&amp;($A623+9/24),tData[Langligger01],1)</f>
        <v/>
      </c>
      <c r="N623" s="20">
        <f>COUNTIFS(tData[SEHTrajectPeriodeDatumTijdVan],"&lt;="&amp;($A623+10/24),tData[SEHTrajectPeriodeDatumTijdTotEnMet],"&gt;"&amp;($A623+10/24),tData[Langligger01],1)</f>
        <v/>
      </c>
      <c r="O623" s="20">
        <f>COUNTIFS(tData[SEHTrajectPeriodeDatumTijdVan],"&lt;="&amp;($A623+11/24),tData[SEHTrajectPeriodeDatumTijdTotEnMet],"&gt;"&amp;($A623+11/24),tData[Langligger01],1)</f>
        <v/>
      </c>
      <c r="P623" s="20">
        <f>COUNTIFS(tData[SEHTrajectPeriodeDatumTijdVan],"&lt;="&amp;($A623+12/24),tData[SEHTrajectPeriodeDatumTijdTotEnMet],"&gt;"&amp;($A623+12/24),tData[Langligger01],1)</f>
        <v/>
      </c>
      <c r="Q623" s="20">
        <f>COUNTIFS(tData[SEHTrajectPeriodeDatumTijdVan],"&lt;="&amp;($A623+13/24),tData[SEHTrajectPeriodeDatumTijdTotEnMet],"&gt;"&amp;($A623+13/24),tData[Langligger01],1)</f>
        <v/>
      </c>
      <c r="R623" s="20">
        <f>COUNTIFS(tData[SEHTrajectPeriodeDatumTijdVan],"&lt;="&amp;($A623+14/24),tData[SEHTrajectPeriodeDatumTijdTotEnMet],"&gt;"&amp;($A623+14/24),tData[Langligger01],1)</f>
        <v/>
      </c>
      <c r="S623" s="20">
        <f>COUNTIFS(tData[SEHTrajectPeriodeDatumTijdVan],"&lt;="&amp;($A623+15/24),tData[SEHTrajectPeriodeDatumTijdTotEnMet],"&gt;"&amp;($A623+15/24),tData[Langligger01],1)</f>
        <v/>
      </c>
      <c r="T623" s="20">
        <f>COUNTIFS(tData[SEHTrajectPeriodeDatumTijdVan],"&lt;="&amp;($A623+16/24),tData[SEHTrajectPeriodeDatumTijdTotEnMet],"&gt;"&amp;($A623+16/24),tData[Langligger01],1)</f>
        <v/>
      </c>
      <c r="U623" s="20">
        <f>COUNTIFS(tData[SEHTrajectPeriodeDatumTijdVan],"&lt;="&amp;($A623+17/24),tData[SEHTrajectPeriodeDatumTijdTotEnMet],"&gt;"&amp;($A623+17/24),tData[Langligger01],1)</f>
        <v/>
      </c>
      <c r="V623" s="20">
        <f>COUNTIFS(tData[SEHTrajectPeriodeDatumTijdVan],"&lt;="&amp;($A623+18/24),tData[SEHTrajectPeriodeDatumTijdTotEnMet],"&gt;"&amp;($A623+18/24),tData[Langligger01],1)</f>
        <v/>
      </c>
      <c r="W623" s="20">
        <f>COUNTIFS(tData[SEHTrajectPeriodeDatumTijdVan],"&lt;="&amp;($A623+19/24),tData[SEHTrajectPeriodeDatumTijdTotEnMet],"&gt;"&amp;($A623+19/24),tData[Langligger01],1)</f>
        <v/>
      </c>
      <c r="X623" s="20">
        <f>COUNTIFS(tData[SEHTrajectPeriodeDatumTijdVan],"&lt;="&amp;($A623+20/24),tData[SEHTrajectPeriodeDatumTijdTotEnMet],"&gt;"&amp;($A623+20/24),tData[Langligger01],1)</f>
        <v/>
      </c>
      <c r="Y623" s="20">
        <f>COUNTIFS(tData[SEHTrajectPeriodeDatumTijdVan],"&lt;="&amp;($A623+21/24),tData[SEHTrajectPeriodeDatumTijdTotEnMet],"&gt;"&amp;($A623+21/24),tData[Langligger01],1)</f>
        <v/>
      </c>
      <c r="Z623" s="20">
        <f>COUNTIFS(tData[SEHTrajectPeriodeDatumTijdVan],"&lt;="&amp;($A623+22/24),tData[SEHTrajectPeriodeDatumTijdTotEnMet],"&gt;"&amp;($A623+22/24),tData[Langligger01],1)</f>
        <v/>
      </c>
      <c r="AA623" s="20">
        <f>COUNTIFS(tData[SEHTrajectPeriodeDatumTijdVan],"&lt;="&amp;($A623+23/24),tData[SEHTrajectPeriodeDatumTijdTotEnMet],"&gt;"&amp;($A623+23/24),tData[Langligger01],1)</f>
        <v/>
      </c>
    </row>
    <row r="624">
      <c r="A624" s="19" t="n">
        <v>45912</v>
      </c>
      <c r="B624" s="15">
        <f>WEEKDAY($A624,2)</f>
        <v/>
      </c>
      <c r="C624" s="15">
        <f>IF(AND($A624&gt;=INT(Instellingen!$B$5),$A624&lt;=INT(Instellingen!$B$6)),1,0)</f>
        <v/>
      </c>
      <c r="D624" s="20">
        <f>COUNTIFS(tData[SEHTrajectPeriodeDatumTijdVan],"&lt;="&amp;($A624+0/24),tData[SEHTrajectPeriodeDatumTijdTotEnMet],"&gt;"&amp;($A624+0/24),tData[Langligger01],1)</f>
        <v/>
      </c>
      <c r="E624" s="20">
        <f>COUNTIFS(tData[SEHTrajectPeriodeDatumTijdVan],"&lt;="&amp;($A624+1/24),tData[SEHTrajectPeriodeDatumTijdTotEnMet],"&gt;"&amp;($A624+1/24),tData[Langligger01],1)</f>
        <v/>
      </c>
      <c r="F624" s="20">
        <f>COUNTIFS(tData[SEHTrajectPeriodeDatumTijdVan],"&lt;="&amp;($A624+2/24),tData[SEHTrajectPeriodeDatumTijdTotEnMet],"&gt;"&amp;($A624+2/24),tData[Langligger01],1)</f>
        <v/>
      </c>
      <c r="G624" s="20">
        <f>COUNTIFS(tData[SEHTrajectPeriodeDatumTijdVan],"&lt;="&amp;($A624+3/24),tData[SEHTrajectPeriodeDatumTijdTotEnMet],"&gt;"&amp;($A624+3/24),tData[Langligger01],1)</f>
        <v/>
      </c>
      <c r="H624" s="20">
        <f>COUNTIFS(tData[SEHTrajectPeriodeDatumTijdVan],"&lt;="&amp;($A624+4/24),tData[SEHTrajectPeriodeDatumTijdTotEnMet],"&gt;"&amp;($A624+4/24),tData[Langligger01],1)</f>
        <v/>
      </c>
      <c r="I624" s="20">
        <f>COUNTIFS(tData[SEHTrajectPeriodeDatumTijdVan],"&lt;="&amp;($A624+5/24),tData[SEHTrajectPeriodeDatumTijdTotEnMet],"&gt;"&amp;($A624+5/24),tData[Langligger01],1)</f>
        <v/>
      </c>
      <c r="J624" s="20">
        <f>COUNTIFS(tData[SEHTrajectPeriodeDatumTijdVan],"&lt;="&amp;($A624+6/24),tData[SEHTrajectPeriodeDatumTijdTotEnMet],"&gt;"&amp;($A624+6/24),tData[Langligger01],1)</f>
        <v/>
      </c>
      <c r="K624" s="20">
        <f>COUNTIFS(tData[SEHTrajectPeriodeDatumTijdVan],"&lt;="&amp;($A624+7/24),tData[SEHTrajectPeriodeDatumTijdTotEnMet],"&gt;"&amp;($A624+7/24),tData[Langligger01],1)</f>
        <v/>
      </c>
      <c r="L624" s="20">
        <f>COUNTIFS(tData[SEHTrajectPeriodeDatumTijdVan],"&lt;="&amp;($A624+8/24),tData[SEHTrajectPeriodeDatumTijdTotEnMet],"&gt;"&amp;($A624+8/24),tData[Langligger01],1)</f>
        <v/>
      </c>
      <c r="M624" s="20">
        <f>COUNTIFS(tData[SEHTrajectPeriodeDatumTijdVan],"&lt;="&amp;($A624+9/24),tData[SEHTrajectPeriodeDatumTijdTotEnMet],"&gt;"&amp;($A624+9/24),tData[Langligger01],1)</f>
        <v/>
      </c>
      <c r="N624" s="20">
        <f>COUNTIFS(tData[SEHTrajectPeriodeDatumTijdVan],"&lt;="&amp;($A624+10/24),tData[SEHTrajectPeriodeDatumTijdTotEnMet],"&gt;"&amp;($A624+10/24),tData[Langligger01],1)</f>
        <v/>
      </c>
      <c r="O624" s="20">
        <f>COUNTIFS(tData[SEHTrajectPeriodeDatumTijdVan],"&lt;="&amp;($A624+11/24),tData[SEHTrajectPeriodeDatumTijdTotEnMet],"&gt;"&amp;($A624+11/24),tData[Langligger01],1)</f>
        <v/>
      </c>
      <c r="P624" s="20">
        <f>COUNTIFS(tData[SEHTrajectPeriodeDatumTijdVan],"&lt;="&amp;($A624+12/24),tData[SEHTrajectPeriodeDatumTijdTotEnMet],"&gt;"&amp;($A624+12/24),tData[Langligger01],1)</f>
        <v/>
      </c>
      <c r="Q624" s="20">
        <f>COUNTIFS(tData[SEHTrajectPeriodeDatumTijdVan],"&lt;="&amp;($A624+13/24),tData[SEHTrajectPeriodeDatumTijdTotEnMet],"&gt;"&amp;($A624+13/24),tData[Langligger01],1)</f>
        <v/>
      </c>
      <c r="R624" s="20">
        <f>COUNTIFS(tData[SEHTrajectPeriodeDatumTijdVan],"&lt;="&amp;($A624+14/24),tData[SEHTrajectPeriodeDatumTijdTotEnMet],"&gt;"&amp;($A624+14/24),tData[Langligger01],1)</f>
        <v/>
      </c>
      <c r="S624" s="20">
        <f>COUNTIFS(tData[SEHTrajectPeriodeDatumTijdVan],"&lt;="&amp;($A624+15/24),tData[SEHTrajectPeriodeDatumTijdTotEnMet],"&gt;"&amp;($A624+15/24),tData[Langligger01],1)</f>
        <v/>
      </c>
      <c r="T624" s="20">
        <f>COUNTIFS(tData[SEHTrajectPeriodeDatumTijdVan],"&lt;="&amp;($A624+16/24),tData[SEHTrajectPeriodeDatumTijdTotEnMet],"&gt;"&amp;($A624+16/24),tData[Langligger01],1)</f>
        <v/>
      </c>
      <c r="U624" s="20">
        <f>COUNTIFS(tData[SEHTrajectPeriodeDatumTijdVan],"&lt;="&amp;($A624+17/24),tData[SEHTrajectPeriodeDatumTijdTotEnMet],"&gt;"&amp;($A624+17/24),tData[Langligger01],1)</f>
        <v/>
      </c>
      <c r="V624" s="20">
        <f>COUNTIFS(tData[SEHTrajectPeriodeDatumTijdVan],"&lt;="&amp;($A624+18/24),tData[SEHTrajectPeriodeDatumTijdTotEnMet],"&gt;"&amp;($A624+18/24),tData[Langligger01],1)</f>
        <v/>
      </c>
      <c r="W624" s="20">
        <f>COUNTIFS(tData[SEHTrajectPeriodeDatumTijdVan],"&lt;="&amp;($A624+19/24),tData[SEHTrajectPeriodeDatumTijdTotEnMet],"&gt;"&amp;($A624+19/24),tData[Langligger01],1)</f>
        <v/>
      </c>
      <c r="X624" s="20">
        <f>COUNTIFS(tData[SEHTrajectPeriodeDatumTijdVan],"&lt;="&amp;($A624+20/24),tData[SEHTrajectPeriodeDatumTijdTotEnMet],"&gt;"&amp;($A624+20/24),tData[Langligger01],1)</f>
        <v/>
      </c>
      <c r="Y624" s="20">
        <f>COUNTIFS(tData[SEHTrajectPeriodeDatumTijdVan],"&lt;="&amp;($A624+21/24),tData[SEHTrajectPeriodeDatumTijdTotEnMet],"&gt;"&amp;($A624+21/24),tData[Langligger01],1)</f>
        <v/>
      </c>
      <c r="Z624" s="20">
        <f>COUNTIFS(tData[SEHTrajectPeriodeDatumTijdVan],"&lt;="&amp;($A624+22/24),tData[SEHTrajectPeriodeDatumTijdTotEnMet],"&gt;"&amp;($A624+22/24),tData[Langligger01],1)</f>
        <v/>
      </c>
      <c r="AA624" s="20">
        <f>COUNTIFS(tData[SEHTrajectPeriodeDatumTijdVan],"&lt;="&amp;($A624+23/24),tData[SEHTrajectPeriodeDatumTijdTotEnMet],"&gt;"&amp;($A624+23/24),tData[Langligger01],1)</f>
        <v/>
      </c>
    </row>
    <row r="625">
      <c r="A625" s="19" t="n">
        <v>45913</v>
      </c>
      <c r="B625" s="15">
        <f>WEEKDAY($A625,2)</f>
        <v/>
      </c>
      <c r="C625" s="15">
        <f>IF(AND($A625&gt;=INT(Instellingen!$B$5),$A625&lt;=INT(Instellingen!$B$6)),1,0)</f>
        <v/>
      </c>
      <c r="D625" s="20">
        <f>COUNTIFS(tData[SEHTrajectPeriodeDatumTijdVan],"&lt;="&amp;($A625+0/24),tData[SEHTrajectPeriodeDatumTijdTotEnMet],"&gt;"&amp;($A625+0/24),tData[Langligger01],1)</f>
        <v/>
      </c>
      <c r="E625" s="20">
        <f>COUNTIFS(tData[SEHTrajectPeriodeDatumTijdVan],"&lt;="&amp;($A625+1/24),tData[SEHTrajectPeriodeDatumTijdTotEnMet],"&gt;"&amp;($A625+1/24),tData[Langligger01],1)</f>
        <v/>
      </c>
      <c r="F625" s="20">
        <f>COUNTIFS(tData[SEHTrajectPeriodeDatumTijdVan],"&lt;="&amp;($A625+2/24),tData[SEHTrajectPeriodeDatumTijdTotEnMet],"&gt;"&amp;($A625+2/24),tData[Langligger01],1)</f>
        <v/>
      </c>
      <c r="G625" s="20">
        <f>COUNTIFS(tData[SEHTrajectPeriodeDatumTijdVan],"&lt;="&amp;($A625+3/24),tData[SEHTrajectPeriodeDatumTijdTotEnMet],"&gt;"&amp;($A625+3/24),tData[Langligger01],1)</f>
        <v/>
      </c>
      <c r="H625" s="20">
        <f>COUNTIFS(tData[SEHTrajectPeriodeDatumTijdVan],"&lt;="&amp;($A625+4/24),tData[SEHTrajectPeriodeDatumTijdTotEnMet],"&gt;"&amp;($A625+4/24),tData[Langligger01],1)</f>
        <v/>
      </c>
      <c r="I625" s="20">
        <f>COUNTIFS(tData[SEHTrajectPeriodeDatumTijdVan],"&lt;="&amp;($A625+5/24),tData[SEHTrajectPeriodeDatumTijdTotEnMet],"&gt;"&amp;($A625+5/24),tData[Langligger01],1)</f>
        <v/>
      </c>
      <c r="J625" s="20">
        <f>COUNTIFS(tData[SEHTrajectPeriodeDatumTijdVan],"&lt;="&amp;($A625+6/24),tData[SEHTrajectPeriodeDatumTijdTotEnMet],"&gt;"&amp;($A625+6/24),tData[Langligger01],1)</f>
        <v/>
      </c>
      <c r="K625" s="20">
        <f>COUNTIFS(tData[SEHTrajectPeriodeDatumTijdVan],"&lt;="&amp;($A625+7/24),tData[SEHTrajectPeriodeDatumTijdTotEnMet],"&gt;"&amp;($A625+7/24),tData[Langligger01],1)</f>
        <v/>
      </c>
      <c r="L625" s="20">
        <f>COUNTIFS(tData[SEHTrajectPeriodeDatumTijdVan],"&lt;="&amp;($A625+8/24),tData[SEHTrajectPeriodeDatumTijdTotEnMet],"&gt;"&amp;($A625+8/24),tData[Langligger01],1)</f>
        <v/>
      </c>
      <c r="M625" s="20">
        <f>COUNTIFS(tData[SEHTrajectPeriodeDatumTijdVan],"&lt;="&amp;($A625+9/24),tData[SEHTrajectPeriodeDatumTijdTotEnMet],"&gt;"&amp;($A625+9/24),tData[Langligger01],1)</f>
        <v/>
      </c>
      <c r="N625" s="20">
        <f>COUNTIFS(tData[SEHTrajectPeriodeDatumTijdVan],"&lt;="&amp;($A625+10/24),tData[SEHTrajectPeriodeDatumTijdTotEnMet],"&gt;"&amp;($A625+10/24),tData[Langligger01],1)</f>
        <v/>
      </c>
      <c r="O625" s="20">
        <f>COUNTIFS(tData[SEHTrajectPeriodeDatumTijdVan],"&lt;="&amp;($A625+11/24),tData[SEHTrajectPeriodeDatumTijdTotEnMet],"&gt;"&amp;($A625+11/24),tData[Langligger01],1)</f>
        <v/>
      </c>
      <c r="P625" s="20">
        <f>COUNTIFS(tData[SEHTrajectPeriodeDatumTijdVan],"&lt;="&amp;($A625+12/24),tData[SEHTrajectPeriodeDatumTijdTotEnMet],"&gt;"&amp;($A625+12/24),tData[Langligger01],1)</f>
        <v/>
      </c>
      <c r="Q625" s="20">
        <f>COUNTIFS(tData[SEHTrajectPeriodeDatumTijdVan],"&lt;="&amp;($A625+13/24),tData[SEHTrajectPeriodeDatumTijdTotEnMet],"&gt;"&amp;($A625+13/24),tData[Langligger01],1)</f>
        <v/>
      </c>
      <c r="R625" s="20">
        <f>COUNTIFS(tData[SEHTrajectPeriodeDatumTijdVan],"&lt;="&amp;($A625+14/24),tData[SEHTrajectPeriodeDatumTijdTotEnMet],"&gt;"&amp;($A625+14/24),tData[Langligger01],1)</f>
        <v/>
      </c>
      <c r="S625" s="20">
        <f>COUNTIFS(tData[SEHTrajectPeriodeDatumTijdVan],"&lt;="&amp;($A625+15/24),tData[SEHTrajectPeriodeDatumTijdTotEnMet],"&gt;"&amp;($A625+15/24),tData[Langligger01],1)</f>
        <v/>
      </c>
      <c r="T625" s="20">
        <f>COUNTIFS(tData[SEHTrajectPeriodeDatumTijdVan],"&lt;="&amp;($A625+16/24),tData[SEHTrajectPeriodeDatumTijdTotEnMet],"&gt;"&amp;($A625+16/24),tData[Langligger01],1)</f>
        <v/>
      </c>
      <c r="U625" s="20">
        <f>COUNTIFS(tData[SEHTrajectPeriodeDatumTijdVan],"&lt;="&amp;($A625+17/24),tData[SEHTrajectPeriodeDatumTijdTotEnMet],"&gt;"&amp;($A625+17/24),tData[Langligger01],1)</f>
        <v/>
      </c>
      <c r="V625" s="20">
        <f>COUNTIFS(tData[SEHTrajectPeriodeDatumTijdVan],"&lt;="&amp;($A625+18/24),tData[SEHTrajectPeriodeDatumTijdTotEnMet],"&gt;"&amp;($A625+18/24),tData[Langligger01],1)</f>
        <v/>
      </c>
      <c r="W625" s="20">
        <f>COUNTIFS(tData[SEHTrajectPeriodeDatumTijdVan],"&lt;="&amp;($A625+19/24),tData[SEHTrajectPeriodeDatumTijdTotEnMet],"&gt;"&amp;($A625+19/24),tData[Langligger01],1)</f>
        <v/>
      </c>
      <c r="X625" s="20">
        <f>COUNTIFS(tData[SEHTrajectPeriodeDatumTijdVan],"&lt;="&amp;($A625+20/24),tData[SEHTrajectPeriodeDatumTijdTotEnMet],"&gt;"&amp;($A625+20/24),tData[Langligger01],1)</f>
        <v/>
      </c>
      <c r="Y625" s="20">
        <f>COUNTIFS(tData[SEHTrajectPeriodeDatumTijdVan],"&lt;="&amp;($A625+21/24),tData[SEHTrajectPeriodeDatumTijdTotEnMet],"&gt;"&amp;($A625+21/24),tData[Langligger01],1)</f>
        <v/>
      </c>
      <c r="Z625" s="20">
        <f>COUNTIFS(tData[SEHTrajectPeriodeDatumTijdVan],"&lt;="&amp;($A625+22/24),tData[SEHTrajectPeriodeDatumTijdTotEnMet],"&gt;"&amp;($A625+22/24),tData[Langligger01],1)</f>
        <v/>
      </c>
      <c r="AA625" s="20">
        <f>COUNTIFS(tData[SEHTrajectPeriodeDatumTijdVan],"&lt;="&amp;($A625+23/24),tData[SEHTrajectPeriodeDatumTijdTotEnMet],"&gt;"&amp;($A625+23/24),tData[Langligger01],1)</f>
        <v/>
      </c>
    </row>
    <row r="626">
      <c r="A626" s="19" t="n">
        <v>45914</v>
      </c>
      <c r="B626" s="15">
        <f>WEEKDAY($A626,2)</f>
        <v/>
      </c>
      <c r="C626" s="15">
        <f>IF(AND($A626&gt;=INT(Instellingen!$B$5),$A626&lt;=INT(Instellingen!$B$6)),1,0)</f>
        <v/>
      </c>
      <c r="D626" s="20">
        <f>COUNTIFS(tData[SEHTrajectPeriodeDatumTijdVan],"&lt;="&amp;($A626+0/24),tData[SEHTrajectPeriodeDatumTijdTotEnMet],"&gt;"&amp;($A626+0/24),tData[Langligger01],1)</f>
        <v/>
      </c>
      <c r="E626" s="20">
        <f>COUNTIFS(tData[SEHTrajectPeriodeDatumTijdVan],"&lt;="&amp;($A626+1/24),tData[SEHTrajectPeriodeDatumTijdTotEnMet],"&gt;"&amp;($A626+1/24),tData[Langligger01],1)</f>
        <v/>
      </c>
      <c r="F626" s="20">
        <f>COUNTIFS(tData[SEHTrajectPeriodeDatumTijdVan],"&lt;="&amp;($A626+2/24),tData[SEHTrajectPeriodeDatumTijdTotEnMet],"&gt;"&amp;($A626+2/24),tData[Langligger01],1)</f>
        <v/>
      </c>
      <c r="G626" s="20">
        <f>COUNTIFS(tData[SEHTrajectPeriodeDatumTijdVan],"&lt;="&amp;($A626+3/24),tData[SEHTrajectPeriodeDatumTijdTotEnMet],"&gt;"&amp;($A626+3/24),tData[Langligger01],1)</f>
        <v/>
      </c>
      <c r="H626" s="20">
        <f>COUNTIFS(tData[SEHTrajectPeriodeDatumTijdVan],"&lt;="&amp;($A626+4/24),tData[SEHTrajectPeriodeDatumTijdTotEnMet],"&gt;"&amp;($A626+4/24),tData[Langligger01],1)</f>
        <v/>
      </c>
      <c r="I626" s="20">
        <f>COUNTIFS(tData[SEHTrajectPeriodeDatumTijdVan],"&lt;="&amp;($A626+5/24),tData[SEHTrajectPeriodeDatumTijdTotEnMet],"&gt;"&amp;($A626+5/24),tData[Langligger01],1)</f>
        <v/>
      </c>
      <c r="J626" s="20">
        <f>COUNTIFS(tData[SEHTrajectPeriodeDatumTijdVan],"&lt;="&amp;($A626+6/24),tData[SEHTrajectPeriodeDatumTijdTotEnMet],"&gt;"&amp;($A626+6/24),tData[Langligger01],1)</f>
        <v/>
      </c>
      <c r="K626" s="20">
        <f>COUNTIFS(tData[SEHTrajectPeriodeDatumTijdVan],"&lt;="&amp;($A626+7/24),tData[SEHTrajectPeriodeDatumTijdTotEnMet],"&gt;"&amp;($A626+7/24),tData[Langligger01],1)</f>
        <v/>
      </c>
      <c r="L626" s="20">
        <f>COUNTIFS(tData[SEHTrajectPeriodeDatumTijdVan],"&lt;="&amp;($A626+8/24),tData[SEHTrajectPeriodeDatumTijdTotEnMet],"&gt;"&amp;($A626+8/24),tData[Langligger01],1)</f>
        <v/>
      </c>
      <c r="M626" s="20">
        <f>COUNTIFS(tData[SEHTrajectPeriodeDatumTijdVan],"&lt;="&amp;($A626+9/24),tData[SEHTrajectPeriodeDatumTijdTotEnMet],"&gt;"&amp;($A626+9/24),tData[Langligger01],1)</f>
        <v/>
      </c>
      <c r="N626" s="20">
        <f>COUNTIFS(tData[SEHTrajectPeriodeDatumTijdVan],"&lt;="&amp;($A626+10/24),tData[SEHTrajectPeriodeDatumTijdTotEnMet],"&gt;"&amp;($A626+10/24),tData[Langligger01],1)</f>
        <v/>
      </c>
      <c r="O626" s="20">
        <f>COUNTIFS(tData[SEHTrajectPeriodeDatumTijdVan],"&lt;="&amp;($A626+11/24),tData[SEHTrajectPeriodeDatumTijdTotEnMet],"&gt;"&amp;($A626+11/24),tData[Langligger01],1)</f>
        <v/>
      </c>
      <c r="P626" s="20">
        <f>COUNTIFS(tData[SEHTrajectPeriodeDatumTijdVan],"&lt;="&amp;($A626+12/24),tData[SEHTrajectPeriodeDatumTijdTotEnMet],"&gt;"&amp;($A626+12/24),tData[Langligger01],1)</f>
        <v/>
      </c>
      <c r="Q626" s="20">
        <f>COUNTIFS(tData[SEHTrajectPeriodeDatumTijdVan],"&lt;="&amp;($A626+13/24),tData[SEHTrajectPeriodeDatumTijdTotEnMet],"&gt;"&amp;($A626+13/24),tData[Langligger01],1)</f>
        <v/>
      </c>
      <c r="R626" s="20">
        <f>COUNTIFS(tData[SEHTrajectPeriodeDatumTijdVan],"&lt;="&amp;($A626+14/24),tData[SEHTrajectPeriodeDatumTijdTotEnMet],"&gt;"&amp;($A626+14/24),tData[Langligger01],1)</f>
        <v/>
      </c>
      <c r="S626" s="20">
        <f>COUNTIFS(tData[SEHTrajectPeriodeDatumTijdVan],"&lt;="&amp;($A626+15/24),tData[SEHTrajectPeriodeDatumTijdTotEnMet],"&gt;"&amp;($A626+15/24),tData[Langligger01],1)</f>
        <v/>
      </c>
      <c r="T626" s="20">
        <f>COUNTIFS(tData[SEHTrajectPeriodeDatumTijdVan],"&lt;="&amp;($A626+16/24),tData[SEHTrajectPeriodeDatumTijdTotEnMet],"&gt;"&amp;($A626+16/24),tData[Langligger01],1)</f>
        <v/>
      </c>
      <c r="U626" s="20">
        <f>COUNTIFS(tData[SEHTrajectPeriodeDatumTijdVan],"&lt;="&amp;($A626+17/24),tData[SEHTrajectPeriodeDatumTijdTotEnMet],"&gt;"&amp;($A626+17/24),tData[Langligger01],1)</f>
        <v/>
      </c>
      <c r="V626" s="20">
        <f>COUNTIFS(tData[SEHTrajectPeriodeDatumTijdVan],"&lt;="&amp;($A626+18/24),tData[SEHTrajectPeriodeDatumTijdTotEnMet],"&gt;"&amp;($A626+18/24),tData[Langligger01],1)</f>
        <v/>
      </c>
      <c r="W626" s="20">
        <f>COUNTIFS(tData[SEHTrajectPeriodeDatumTijdVan],"&lt;="&amp;($A626+19/24),tData[SEHTrajectPeriodeDatumTijdTotEnMet],"&gt;"&amp;($A626+19/24),tData[Langligger01],1)</f>
        <v/>
      </c>
      <c r="X626" s="20">
        <f>COUNTIFS(tData[SEHTrajectPeriodeDatumTijdVan],"&lt;="&amp;($A626+20/24),tData[SEHTrajectPeriodeDatumTijdTotEnMet],"&gt;"&amp;($A626+20/24),tData[Langligger01],1)</f>
        <v/>
      </c>
      <c r="Y626" s="20">
        <f>COUNTIFS(tData[SEHTrajectPeriodeDatumTijdVan],"&lt;="&amp;($A626+21/24),tData[SEHTrajectPeriodeDatumTijdTotEnMet],"&gt;"&amp;($A626+21/24),tData[Langligger01],1)</f>
        <v/>
      </c>
      <c r="Z626" s="20">
        <f>COUNTIFS(tData[SEHTrajectPeriodeDatumTijdVan],"&lt;="&amp;($A626+22/24),tData[SEHTrajectPeriodeDatumTijdTotEnMet],"&gt;"&amp;($A626+22/24),tData[Langligger01],1)</f>
        <v/>
      </c>
      <c r="AA626" s="20">
        <f>COUNTIFS(tData[SEHTrajectPeriodeDatumTijdVan],"&lt;="&amp;($A626+23/24),tData[SEHTrajectPeriodeDatumTijdTotEnMet],"&gt;"&amp;($A626+23/24),tData[Langligger01],1)</f>
        <v/>
      </c>
    </row>
    <row r="627">
      <c r="A627" s="19" t="n">
        <v>45915</v>
      </c>
      <c r="B627" s="15">
        <f>WEEKDAY($A627,2)</f>
        <v/>
      </c>
      <c r="C627" s="15">
        <f>IF(AND($A627&gt;=INT(Instellingen!$B$5),$A627&lt;=INT(Instellingen!$B$6)),1,0)</f>
        <v/>
      </c>
      <c r="D627" s="20">
        <f>COUNTIFS(tData[SEHTrajectPeriodeDatumTijdVan],"&lt;="&amp;($A627+0/24),tData[SEHTrajectPeriodeDatumTijdTotEnMet],"&gt;"&amp;($A627+0/24),tData[Langligger01],1)</f>
        <v/>
      </c>
      <c r="E627" s="20">
        <f>COUNTIFS(tData[SEHTrajectPeriodeDatumTijdVan],"&lt;="&amp;($A627+1/24),tData[SEHTrajectPeriodeDatumTijdTotEnMet],"&gt;"&amp;($A627+1/24),tData[Langligger01],1)</f>
        <v/>
      </c>
      <c r="F627" s="20">
        <f>COUNTIFS(tData[SEHTrajectPeriodeDatumTijdVan],"&lt;="&amp;($A627+2/24),tData[SEHTrajectPeriodeDatumTijdTotEnMet],"&gt;"&amp;($A627+2/24),tData[Langligger01],1)</f>
        <v/>
      </c>
      <c r="G627" s="20">
        <f>COUNTIFS(tData[SEHTrajectPeriodeDatumTijdVan],"&lt;="&amp;($A627+3/24),tData[SEHTrajectPeriodeDatumTijdTotEnMet],"&gt;"&amp;($A627+3/24),tData[Langligger01],1)</f>
        <v/>
      </c>
      <c r="H627" s="20">
        <f>COUNTIFS(tData[SEHTrajectPeriodeDatumTijdVan],"&lt;="&amp;($A627+4/24),tData[SEHTrajectPeriodeDatumTijdTotEnMet],"&gt;"&amp;($A627+4/24),tData[Langligger01],1)</f>
        <v/>
      </c>
      <c r="I627" s="20">
        <f>COUNTIFS(tData[SEHTrajectPeriodeDatumTijdVan],"&lt;="&amp;($A627+5/24),tData[SEHTrajectPeriodeDatumTijdTotEnMet],"&gt;"&amp;($A627+5/24),tData[Langligger01],1)</f>
        <v/>
      </c>
      <c r="J627" s="20">
        <f>COUNTIFS(tData[SEHTrajectPeriodeDatumTijdVan],"&lt;="&amp;($A627+6/24),tData[SEHTrajectPeriodeDatumTijdTotEnMet],"&gt;"&amp;($A627+6/24),tData[Langligger01],1)</f>
        <v/>
      </c>
      <c r="K627" s="20">
        <f>COUNTIFS(tData[SEHTrajectPeriodeDatumTijdVan],"&lt;="&amp;($A627+7/24),tData[SEHTrajectPeriodeDatumTijdTotEnMet],"&gt;"&amp;($A627+7/24),tData[Langligger01],1)</f>
        <v/>
      </c>
      <c r="L627" s="20">
        <f>COUNTIFS(tData[SEHTrajectPeriodeDatumTijdVan],"&lt;="&amp;($A627+8/24),tData[SEHTrajectPeriodeDatumTijdTotEnMet],"&gt;"&amp;($A627+8/24),tData[Langligger01],1)</f>
        <v/>
      </c>
      <c r="M627" s="20">
        <f>COUNTIFS(tData[SEHTrajectPeriodeDatumTijdVan],"&lt;="&amp;($A627+9/24),tData[SEHTrajectPeriodeDatumTijdTotEnMet],"&gt;"&amp;($A627+9/24),tData[Langligger01],1)</f>
        <v/>
      </c>
      <c r="N627" s="20">
        <f>COUNTIFS(tData[SEHTrajectPeriodeDatumTijdVan],"&lt;="&amp;($A627+10/24),tData[SEHTrajectPeriodeDatumTijdTotEnMet],"&gt;"&amp;($A627+10/24),tData[Langligger01],1)</f>
        <v/>
      </c>
      <c r="O627" s="20">
        <f>COUNTIFS(tData[SEHTrajectPeriodeDatumTijdVan],"&lt;="&amp;($A627+11/24),tData[SEHTrajectPeriodeDatumTijdTotEnMet],"&gt;"&amp;($A627+11/24),tData[Langligger01],1)</f>
        <v/>
      </c>
      <c r="P627" s="20">
        <f>COUNTIFS(tData[SEHTrajectPeriodeDatumTijdVan],"&lt;="&amp;($A627+12/24),tData[SEHTrajectPeriodeDatumTijdTotEnMet],"&gt;"&amp;($A627+12/24),tData[Langligger01],1)</f>
        <v/>
      </c>
      <c r="Q627" s="20">
        <f>COUNTIFS(tData[SEHTrajectPeriodeDatumTijdVan],"&lt;="&amp;($A627+13/24),tData[SEHTrajectPeriodeDatumTijdTotEnMet],"&gt;"&amp;($A627+13/24),tData[Langligger01],1)</f>
        <v/>
      </c>
      <c r="R627" s="20">
        <f>COUNTIFS(tData[SEHTrajectPeriodeDatumTijdVan],"&lt;="&amp;($A627+14/24),tData[SEHTrajectPeriodeDatumTijdTotEnMet],"&gt;"&amp;($A627+14/24),tData[Langligger01],1)</f>
        <v/>
      </c>
      <c r="S627" s="20">
        <f>COUNTIFS(tData[SEHTrajectPeriodeDatumTijdVan],"&lt;="&amp;($A627+15/24),tData[SEHTrajectPeriodeDatumTijdTotEnMet],"&gt;"&amp;($A627+15/24),tData[Langligger01],1)</f>
        <v/>
      </c>
      <c r="T627" s="20">
        <f>COUNTIFS(tData[SEHTrajectPeriodeDatumTijdVan],"&lt;="&amp;($A627+16/24),tData[SEHTrajectPeriodeDatumTijdTotEnMet],"&gt;"&amp;($A627+16/24),tData[Langligger01],1)</f>
        <v/>
      </c>
      <c r="U627" s="20">
        <f>COUNTIFS(tData[SEHTrajectPeriodeDatumTijdVan],"&lt;="&amp;($A627+17/24),tData[SEHTrajectPeriodeDatumTijdTotEnMet],"&gt;"&amp;($A627+17/24),tData[Langligger01],1)</f>
        <v/>
      </c>
      <c r="V627" s="20">
        <f>COUNTIFS(tData[SEHTrajectPeriodeDatumTijdVan],"&lt;="&amp;($A627+18/24),tData[SEHTrajectPeriodeDatumTijdTotEnMet],"&gt;"&amp;($A627+18/24),tData[Langligger01],1)</f>
        <v/>
      </c>
      <c r="W627" s="20">
        <f>COUNTIFS(tData[SEHTrajectPeriodeDatumTijdVan],"&lt;="&amp;($A627+19/24),tData[SEHTrajectPeriodeDatumTijdTotEnMet],"&gt;"&amp;($A627+19/24),tData[Langligger01],1)</f>
        <v/>
      </c>
      <c r="X627" s="20">
        <f>COUNTIFS(tData[SEHTrajectPeriodeDatumTijdVan],"&lt;="&amp;($A627+20/24),tData[SEHTrajectPeriodeDatumTijdTotEnMet],"&gt;"&amp;($A627+20/24),tData[Langligger01],1)</f>
        <v/>
      </c>
      <c r="Y627" s="20">
        <f>COUNTIFS(tData[SEHTrajectPeriodeDatumTijdVan],"&lt;="&amp;($A627+21/24),tData[SEHTrajectPeriodeDatumTijdTotEnMet],"&gt;"&amp;($A627+21/24),tData[Langligger01],1)</f>
        <v/>
      </c>
      <c r="Z627" s="20">
        <f>COUNTIFS(tData[SEHTrajectPeriodeDatumTijdVan],"&lt;="&amp;($A627+22/24),tData[SEHTrajectPeriodeDatumTijdTotEnMet],"&gt;"&amp;($A627+22/24),tData[Langligger01],1)</f>
        <v/>
      </c>
      <c r="AA627" s="20">
        <f>COUNTIFS(tData[SEHTrajectPeriodeDatumTijdVan],"&lt;="&amp;($A627+23/24),tData[SEHTrajectPeriodeDatumTijdTotEnMet],"&gt;"&amp;($A627+23/24),tData[Langligger01],1)</f>
        <v/>
      </c>
    </row>
    <row r="628">
      <c r="A628" s="19" t="n">
        <v>45916</v>
      </c>
      <c r="B628" s="15">
        <f>WEEKDAY($A628,2)</f>
        <v/>
      </c>
      <c r="C628" s="15">
        <f>IF(AND($A628&gt;=INT(Instellingen!$B$5),$A628&lt;=INT(Instellingen!$B$6)),1,0)</f>
        <v/>
      </c>
      <c r="D628" s="20">
        <f>COUNTIFS(tData[SEHTrajectPeriodeDatumTijdVan],"&lt;="&amp;($A628+0/24),tData[SEHTrajectPeriodeDatumTijdTotEnMet],"&gt;"&amp;($A628+0/24),tData[Langligger01],1)</f>
        <v/>
      </c>
      <c r="E628" s="20">
        <f>COUNTIFS(tData[SEHTrajectPeriodeDatumTijdVan],"&lt;="&amp;($A628+1/24),tData[SEHTrajectPeriodeDatumTijdTotEnMet],"&gt;"&amp;($A628+1/24),tData[Langligger01],1)</f>
        <v/>
      </c>
      <c r="F628" s="20">
        <f>COUNTIFS(tData[SEHTrajectPeriodeDatumTijdVan],"&lt;="&amp;($A628+2/24),tData[SEHTrajectPeriodeDatumTijdTotEnMet],"&gt;"&amp;($A628+2/24),tData[Langligger01],1)</f>
        <v/>
      </c>
      <c r="G628" s="20">
        <f>COUNTIFS(tData[SEHTrajectPeriodeDatumTijdVan],"&lt;="&amp;($A628+3/24),tData[SEHTrajectPeriodeDatumTijdTotEnMet],"&gt;"&amp;($A628+3/24),tData[Langligger01],1)</f>
        <v/>
      </c>
      <c r="H628" s="20">
        <f>COUNTIFS(tData[SEHTrajectPeriodeDatumTijdVan],"&lt;="&amp;($A628+4/24),tData[SEHTrajectPeriodeDatumTijdTotEnMet],"&gt;"&amp;($A628+4/24),tData[Langligger01],1)</f>
        <v/>
      </c>
      <c r="I628" s="20">
        <f>COUNTIFS(tData[SEHTrajectPeriodeDatumTijdVan],"&lt;="&amp;($A628+5/24),tData[SEHTrajectPeriodeDatumTijdTotEnMet],"&gt;"&amp;($A628+5/24),tData[Langligger01],1)</f>
        <v/>
      </c>
      <c r="J628" s="20">
        <f>COUNTIFS(tData[SEHTrajectPeriodeDatumTijdVan],"&lt;="&amp;($A628+6/24),tData[SEHTrajectPeriodeDatumTijdTotEnMet],"&gt;"&amp;($A628+6/24),tData[Langligger01],1)</f>
        <v/>
      </c>
      <c r="K628" s="20">
        <f>COUNTIFS(tData[SEHTrajectPeriodeDatumTijdVan],"&lt;="&amp;($A628+7/24),tData[SEHTrajectPeriodeDatumTijdTotEnMet],"&gt;"&amp;($A628+7/24),tData[Langligger01],1)</f>
        <v/>
      </c>
      <c r="L628" s="20">
        <f>COUNTIFS(tData[SEHTrajectPeriodeDatumTijdVan],"&lt;="&amp;($A628+8/24),tData[SEHTrajectPeriodeDatumTijdTotEnMet],"&gt;"&amp;($A628+8/24),tData[Langligger01],1)</f>
        <v/>
      </c>
      <c r="M628" s="20">
        <f>COUNTIFS(tData[SEHTrajectPeriodeDatumTijdVan],"&lt;="&amp;($A628+9/24),tData[SEHTrajectPeriodeDatumTijdTotEnMet],"&gt;"&amp;($A628+9/24),tData[Langligger01],1)</f>
        <v/>
      </c>
      <c r="N628" s="20">
        <f>COUNTIFS(tData[SEHTrajectPeriodeDatumTijdVan],"&lt;="&amp;($A628+10/24),tData[SEHTrajectPeriodeDatumTijdTotEnMet],"&gt;"&amp;($A628+10/24),tData[Langligger01],1)</f>
        <v/>
      </c>
      <c r="O628" s="20">
        <f>COUNTIFS(tData[SEHTrajectPeriodeDatumTijdVan],"&lt;="&amp;($A628+11/24),tData[SEHTrajectPeriodeDatumTijdTotEnMet],"&gt;"&amp;($A628+11/24),tData[Langligger01],1)</f>
        <v/>
      </c>
      <c r="P628" s="20">
        <f>COUNTIFS(tData[SEHTrajectPeriodeDatumTijdVan],"&lt;="&amp;($A628+12/24),tData[SEHTrajectPeriodeDatumTijdTotEnMet],"&gt;"&amp;($A628+12/24),tData[Langligger01],1)</f>
        <v/>
      </c>
      <c r="Q628" s="20">
        <f>COUNTIFS(tData[SEHTrajectPeriodeDatumTijdVan],"&lt;="&amp;($A628+13/24),tData[SEHTrajectPeriodeDatumTijdTotEnMet],"&gt;"&amp;($A628+13/24),tData[Langligger01],1)</f>
        <v/>
      </c>
      <c r="R628" s="20">
        <f>COUNTIFS(tData[SEHTrajectPeriodeDatumTijdVan],"&lt;="&amp;($A628+14/24),tData[SEHTrajectPeriodeDatumTijdTotEnMet],"&gt;"&amp;($A628+14/24),tData[Langligger01],1)</f>
        <v/>
      </c>
      <c r="S628" s="20">
        <f>COUNTIFS(tData[SEHTrajectPeriodeDatumTijdVan],"&lt;="&amp;($A628+15/24),tData[SEHTrajectPeriodeDatumTijdTotEnMet],"&gt;"&amp;($A628+15/24),tData[Langligger01],1)</f>
        <v/>
      </c>
      <c r="T628" s="20">
        <f>COUNTIFS(tData[SEHTrajectPeriodeDatumTijdVan],"&lt;="&amp;($A628+16/24),tData[SEHTrajectPeriodeDatumTijdTotEnMet],"&gt;"&amp;($A628+16/24),tData[Langligger01],1)</f>
        <v/>
      </c>
      <c r="U628" s="20">
        <f>COUNTIFS(tData[SEHTrajectPeriodeDatumTijdVan],"&lt;="&amp;($A628+17/24),tData[SEHTrajectPeriodeDatumTijdTotEnMet],"&gt;"&amp;($A628+17/24),tData[Langligger01],1)</f>
        <v/>
      </c>
      <c r="V628" s="20">
        <f>COUNTIFS(tData[SEHTrajectPeriodeDatumTijdVan],"&lt;="&amp;($A628+18/24),tData[SEHTrajectPeriodeDatumTijdTotEnMet],"&gt;"&amp;($A628+18/24),tData[Langligger01],1)</f>
        <v/>
      </c>
      <c r="W628" s="20">
        <f>COUNTIFS(tData[SEHTrajectPeriodeDatumTijdVan],"&lt;="&amp;($A628+19/24),tData[SEHTrajectPeriodeDatumTijdTotEnMet],"&gt;"&amp;($A628+19/24),tData[Langligger01],1)</f>
        <v/>
      </c>
      <c r="X628" s="20">
        <f>COUNTIFS(tData[SEHTrajectPeriodeDatumTijdVan],"&lt;="&amp;($A628+20/24),tData[SEHTrajectPeriodeDatumTijdTotEnMet],"&gt;"&amp;($A628+20/24),tData[Langligger01],1)</f>
        <v/>
      </c>
      <c r="Y628" s="20">
        <f>COUNTIFS(tData[SEHTrajectPeriodeDatumTijdVan],"&lt;="&amp;($A628+21/24),tData[SEHTrajectPeriodeDatumTijdTotEnMet],"&gt;"&amp;($A628+21/24),tData[Langligger01],1)</f>
        <v/>
      </c>
      <c r="Z628" s="20">
        <f>COUNTIFS(tData[SEHTrajectPeriodeDatumTijdVan],"&lt;="&amp;($A628+22/24),tData[SEHTrajectPeriodeDatumTijdTotEnMet],"&gt;"&amp;($A628+22/24),tData[Langligger01],1)</f>
        <v/>
      </c>
      <c r="AA628" s="20">
        <f>COUNTIFS(tData[SEHTrajectPeriodeDatumTijdVan],"&lt;="&amp;($A628+23/24),tData[SEHTrajectPeriodeDatumTijdTotEnMet],"&gt;"&amp;($A628+23/24),tData[Langligger01],1)</f>
        <v/>
      </c>
    </row>
    <row r="629">
      <c r="A629" s="19" t="n">
        <v>45917</v>
      </c>
      <c r="B629" s="15">
        <f>WEEKDAY($A629,2)</f>
        <v/>
      </c>
      <c r="C629" s="15">
        <f>IF(AND($A629&gt;=INT(Instellingen!$B$5),$A629&lt;=INT(Instellingen!$B$6)),1,0)</f>
        <v/>
      </c>
      <c r="D629" s="20">
        <f>COUNTIFS(tData[SEHTrajectPeriodeDatumTijdVan],"&lt;="&amp;($A629+0/24),tData[SEHTrajectPeriodeDatumTijdTotEnMet],"&gt;"&amp;($A629+0/24),tData[Langligger01],1)</f>
        <v/>
      </c>
      <c r="E629" s="20">
        <f>COUNTIFS(tData[SEHTrajectPeriodeDatumTijdVan],"&lt;="&amp;($A629+1/24),tData[SEHTrajectPeriodeDatumTijdTotEnMet],"&gt;"&amp;($A629+1/24),tData[Langligger01],1)</f>
        <v/>
      </c>
      <c r="F629" s="20">
        <f>COUNTIFS(tData[SEHTrajectPeriodeDatumTijdVan],"&lt;="&amp;($A629+2/24),tData[SEHTrajectPeriodeDatumTijdTotEnMet],"&gt;"&amp;($A629+2/24),tData[Langligger01],1)</f>
        <v/>
      </c>
      <c r="G629" s="20">
        <f>COUNTIFS(tData[SEHTrajectPeriodeDatumTijdVan],"&lt;="&amp;($A629+3/24),tData[SEHTrajectPeriodeDatumTijdTotEnMet],"&gt;"&amp;($A629+3/24),tData[Langligger01],1)</f>
        <v/>
      </c>
      <c r="H629" s="20">
        <f>COUNTIFS(tData[SEHTrajectPeriodeDatumTijdVan],"&lt;="&amp;($A629+4/24),tData[SEHTrajectPeriodeDatumTijdTotEnMet],"&gt;"&amp;($A629+4/24),tData[Langligger01],1)</f>
        <v/>
      </c>
      <c r="I629" s="20">
        <f>COUNTIFS(tData[SEHTrajectPeriodeDatumTijdVan],"&lt;="&amp;($A629+5/24),tData[SEHTrajectPeriodeDatumTijdTotEnMet],"&gt;"&amp;($A629+5/24),tData[Langligger01],1)</f>
        <v/>
      </c>
      <c r="J629" s="20">
        <f>COUNTIFS(tData[SEHTrajectPeriodeDatumTijdVan],"&lt;="&amp;($A629+6/24),tData[SEHTrajectPeriodeDatumTijdTotEnMet],"&gt;"&amp;($A629+6/24),tData[Langligger01],1)</f>
        <v/>
      </c>
      <c r="K629" s="20">
        <f>COUNTIFS(tData[SEHTrajectPeriodeDatumTijdVan],"&lt;="&amp;($A629+7/24),tData[SEHTrajectPeriodeDatumTijdTotEnMet],"&gt;"&amp;($A629+7/24),tData[Langligger01],1)</f>
        <v/>
      </c>
      <c r="L629" s="20">
        <f>COUNTIFS(tData[SEHTrajectPeriodeDatumTijdVan],"&lt;="&amp;($A629+8/24),tData[SEHTrajectPeriodeDatumTijdTotEnMet],"&gt;"&amp;($A629+8/24),tData[Langligger01],1)</f>
        <v/>
      </c>
      <c r="M629" s="20">
        <f>COUNTIFS(tData[SEHTrajectPeriodeDatumTijdVan],"&lt;="&amp;($A629+9/24),tData[SEHTrajectPeriodeDatumTijdTotEnMet],"&gt;"&amp;($A629+9/24),tData[Langligger01],1)</f>
        <v/>
      </c>
      <c r="N629" s="20">
        <f>COUNTIFS(tData[SEHTrajectPeriodeDatumTijdVan],"&lt;="&amp;($A629+10/24),tData[SEHTrajectPeriodeDatumTijdTotEnMet],"&gt;"&amp;($A629+10/24),tData[Langligger01],1)</f>
        <v/>
      </c>
      <c r="O629" s="20">
        <f>COUNTIFS(tData[SEHTrajectPeriodeDatumTijdVan],"&lt;="&amp;($A629+11/24),tData[SEHTrajectPeriodeDatumTijdTotEnMet],"&gt;"&amp;($A629+11/24),tData[Langligger01],1)</f>
        <v/>
      </c>
      <c r="P629" s="20">
        <f>COUNTIFS(tData[SEHTrajectPeriodeDatumTijdVan],"&lt;="&amp;($A629+12/24),tData[SEHTrajectPeriodeDatumTijdTotEnMet],"&gt;"&amp;($A629+12/24),tData[Langligger01],1)</f>
        <v/>
      </c>
      <c r="Q629" s="20">
        <f>COUNTIFS(tData[SEHTrajectPeriodeDatumTijdVan],"&lt;="&amp;($A629+13/24),tData[SEHTrajectPeriodeDatumTijdTotEnMet],"&gt;"&amp;($A629+13/24),tData[Langligger01],1)</f>
        <v/>
      </c>
      <c r="R629" s="20">
        <f>COUNTIFS(tData[SEHTrajectPeriodeDatumTijdVan],"&lt;="&amp;($A629+14/24),tData[SEHTrajectPeriodeDatumTijdTotEnMet],"&gt;"&amp;($A629+14/24),tData[Langligger01],1)</f>
        <v/>
      </c>
      <c r="S629" s="20">
        <f>COUNTIFS(tData[SEHTrajectPeriodeDatumTijdVan],"&lt;="&amp;($A629+15/24),tData[SEHTrajectPeriodeDatumTijdTotEnMet],"&gt;"&amp;($A629+15/24),tData[Langligger01],1)</f>
        <v/>
      </c>
      <c r="T629" s="20">
        <f>COUNTIFS(tData[SEHTrajectPeriodeDatumTijdVan],"&lt;="&amp;($A629+16/24),tData[SEHTrajectPeriodeDatumTijdTotEnMet],"&gt;"&amp;($A629+16/24),tData[Langligger01],1)</f>
        <v/>
      </c>
      <c r="U629" s="20">
        <f>COUNTIFS(tData[SEHTrajectPeriodeDatumTijdVan],"&lt;="&amp;($A629+17/24),tData[SEHTrajectPeriodeDatumTijdTotEnMet],"&gt;"&amp;($A629+17/24),tData[Langligger01],1)</f>
        <v/>
      </c>
      <c r="V629" s="20">
        <f>COUNTIFS(tData[SEHTrajectPeriodeDatumTijdVan],"&lt;="&amp;($A629+18/24),tData[SEHTrajectPeriodeDatumTijdTotEnMet],"&gt;"&amp;($A629+18/24),tData[Langligger01],1)</f>
        <v/>
      </c>
      <c r="W629" s="20">
        <f>COUNTIFS(tData[SEHTrajectPeriodeDatumTijdVan],"&lt;="&amp;($A629+19/24),tData[SEHTrajectPeriodeDatumTijdTotEnMet],"&gt;"&amp;($A629+19/24),tData[Langligger01],1)</f>
        <v/>
      </c>
      <c r="X629" s="20">
        <f>COUNTIFS(tData[SEHTrajectPeriodeDatumTijdVan],"&lt;="&amp;($A629+20/24),tData[SEHTrajectPeriodeDatumTijdTotEnMet],"&gt;"&amp;($A629+20/24),tData[Langligger01],1)</f>
        <v/>
      </c>
      <c r="Y629" s="20">
        <f>COUNTIFS(tData[SEHTrajectPeriodeDatumTijdVan],"&lt;="&amp;($A629+21/24),tData[SEHTrajectPeriodeDatumTijdTotEnMet],"&gt;"&amp;($A629+21/24),tData[Langligger01],1)</f>
        <v/>
      </c>
      <c r="Z629" s="20">
        <f>COUNTIFS(tData[SEHTrajectPeriodeDatumTijdVan],"&lt;="&amp;($A629+22/24),tData[SEHTrajectPeriodeDatumTijdTotEnMet],"&gt;"&amp;($A629+22/24),tData[Langligger01],1)</f>
        <v/>
      </c>
      <c r="AA629" s="20">
        <f>COUNTIFS(tData[SEHTrajectPeriodeDatumTijdVan],"&lt;="&amp;($A629+23/24),tData[SEHTrajectPeriodeDatumTijdTotEnMet],"&gt;"&amp;($A629+23/24),tData[Langligger01],1)</f>
        <v/>
      </c>
    </row>
    <row r="630">
      <c r="A630" s="19" t="n">
        <v>45918</v>
      </c>
      <c r="B630" s="15">
        <f>WEEKDAY($A630,2)</f>
        <v/>
      </c>
      <c r="C630" s="15">
        <f>IF(AND($A630&gt;=INT(Instellingen!$B$5),$A630&lt;=INT(Instellingen!$B$6)),1,0)</f>
        <v/>
      </c>
      <c r="D630" s="20">
        <f>COUNTIFS(tData[SEHTrajectPeriodeDatumTijdVan],"&lt;="&amp;($A630+0/24),tData[SEHTrajectPeriodeDatumTijdTotEnMet],"&gt;"&amp;($A630+0/24),tData[Langligger01],1)</f>
        <v/>
      </c>
      <c r="E630" s="20">
        <f>COUNTIFS(tData[SEHTrajectPeriodeDatumTijdVan],"&lt;="&amp;($A630+1/24),tData[SEHTrajectPeriodeDatumTijdTotEnMet],"&gt;"&amp;($A630+1/24),tData[Langligger01],1)</f>
        <v/>
      </c>
      <c r="F630" s="20">
        <f>COUNTIFS(tData[SEHTrajectPeriodeDatumTijdVan],"&lt;="&amp;($A630+2/24),tData[SEHTrajectPeriodeDatumTijdTotEnMet],"&gt;"&amp;($A630+2/24),tData[Langligger01],1)</f>
        <v/>
      </c>
      <c r="G630" s="20">
        <f>COUNTIFS(tData[SEHTrajectPeriodeDatumTijdVan],"&lt;="&amp;($A630+3/24),tData[SEHTrajectPeriodeDatumTijdTotEnMet],"&gt;"&amp;($A630+3/24),tData[Langligger01],1)</f>
        <v/>
      </c>
      <c r="H630" s="20">
        <f>COUNTIFS(tData[SEHTrajectPeriodeDatumTijdVan],"&lt;="&amp;($A630+4/24),tData[SEHTrajectPeriodeDatumTijdTotEnMet],"&gt;"&amp;($A630+4/24),tData[Langligger01],1)</f>
        <v/>
      </c>
      <c r="I630" s="20">
        <f>COUNTIFS(tData[SEHTrajectPeriodeDatumTijdVan],"&lt;="&amp;($A630+5/24),tData[SEHTrajectPeriodeDatumTijdTotEnMet],"&gt;"&amp;($A630+5/24),tData[Langligger01],1)</f>
        <v/>
      </c>
      <c r="J630" s="20">
        <f>COUNTIFS(tData[SEHTrajectPeriodeDatumTijdVan],"&lt;="&amp;($A630+6/24),tData[SEHTrajectPeriodeDatumTijdTotEnMet],"&gt;"&amp;($A630+6/24),tData[Langligger01],1)</f>
        <v/>
      </c>
      <c r="K630" s="20">
        <f>COUNTIFS(tData[SEHTrajectPeriodeDatumTijdVan],"&lt;="&amp;($A630+7/24),tData[SEHTrajectPeriodeDatumTijdTotEnMet],"&gt;"&amp;($A630+7/24),tData[Langligger01],1)</f>
        <v/>
      </c>
      <c r="L630" s="20">
        <f>COUNTIFS(tData[SEHTrajectPeriodeDatumTijdVan],"&lt;="&amp;($A630+8/24),tData[SEHTrajectPeriodeDatumTijdTotEnMet],"&gt;"&amp;($A630+8/24),tData[Langligger01],1)</f>
        <v/>
      </c>
      <c r="M630" s="20">
        <f>COUNTIFS(tData[SEHTrajectPeriodeDatumTijdVan],"&lt;="&amp;($A630+9/24),tData[SEHTrajectPeriodeDatumTijdTotEnMet],"&gt;"&amp;($A630+9/24),tData[Langligger01],1)</f>
        <v/>
      </c>
      <c r="N630" s="20">
        <f>COUNTIFS(tData[SEHTrajectPeriodeDatumTijdVan],"&lt;="&amp;($A630+10/24),tData[SEHTrajectPeriodeDatumTijdTotEnMet],"&gt;"&amp;($A630+10/24),tData[Langligger01],1)</f>
        <v/>
      </c>
      <c r="O630" s="20">
        <f>COUNTIFS(tData[SEHTrajectPeriodeDatumTijdVan],"&lt;="&amp;($A630+11/24),tData[SEHTrajectPeriodeDatumTijdTotEnMet],"&gt;"&amp;($A630+11/24),tData[Langligger01],1)</f>
        <v/>
      </c>
      <c r="P630" s="20">
        <f>COUNTIFS(tData[SEHTrajectPeriodeDatumTijdVan],"&lt;="&amp;($A630+12/24),tData[SEHTrajectPeriodeDatumTijdTotEnMet],"&gt;"&amp;($A630+12/24),tData[Langligger01],1)</f>
        <v/>
      </c>
      <c r="Q630" s="20">
        <f>COUNTIFS(tData[SEHTrajectPeriodeDatumTijdVan],"&lt;="&amp;($A630+13/24),tData[SEHTrajectPeriodeDatumTijdTotEnMet],"&gt;"&amp;($A630+13/24),tData[Langligger01],1)</f>
        <v/>
      </c>
      <c r="R630" s="20">
        <f>COUNTIFS(tData[SEHTrajectPeriodeDatumTijdVan],"&lt;="&amp;($A630+14/24),tData[SEHTrajectPeriodeDatumTijdTotEnMet],"&gt;"&amp;($A630+14/24),tData[Langligger01],1)</f>
        <v/>
      </c>
      <c r="S630" s="20">
        <f>COUNTIFS(tData[SEHTrajectPeriodeDatumTijdVan],"&lt;="&amp;($A630+15/24),tData[SEHTrajectPeriodeDatumTijdTotEnMet],"&gt;"&amp;($A630+15/24),tData[Langligger01],1)</f>
        <v/>
      </c>
      <c r="T630" s="20">
        <f>COUNTIFS(tData[SEHTrajectPeriodeDatumTijdVan],"&lt;="&amp;($A630+16/24),tData[SEHTrajectPeriodeDatumTijdTotEnMet],"&gt;"&amp;($A630+16/24),tData[Langligger01],1)</f>
        <v/>
      </c>
      <c r="U630" s="20">
        <f>COUNTIFS(tData[SEHTrajectPeriodeDatumTijdVan],"&lt;="&amp;($A630+17/24),tData[SEHTrajectPeriodeDatumTijdTotEnMet],"&gt;"&amp;($A630+17/24),tData[Langligger01],1)</f>
        <v/>
      </c>
      <c r="V630" s="20">
        <f>COUNTIFS(tData[SEHTrajectPeriodeDatumTijdVan],"&lt;="&amp;($A630+18/24),tData[SEHTrajectPeriodeDatumTijdTotEnMet],"&gt;"&amp;($A630+18/24),tData[Langligger01],1)</f>
        <v/>
      </c>
      <c r="W630" s="20">
        <f>COUNTIFS(tData[SEHTrajectPeriodeDatumTijdVan],"&lt;="&amp;($A630+19/24),tData[SEHTrajectPeriodeDatumTijdTotEnMet],"&gt;"&amp;($A630+19/24),tData[Langligger01],1)</f>
        <v/>
      </c>
      <c r="X630" s="20">
        <f>COUNTIFS(tData[SEHTrajectPeriodeDatumTijdVan],"&lt;="&amp;($A630+20/24),tData[SEHTrajectPeriodeDatumTijdTotEnMet],"&gt;"&amp;($A630+20/24),tData[Langligger01],1)</f>
        <v/>
      </c>
      <c r="Y630" s="20">
        <f>COUNTIFS(tData[SEHTrajectPeriodeDatumTijdVan],"&lt;="&amp;($A630+21/24),tData[SEHTrajectPeriodeDatumTijdTotEnMet],"&gt;"&amp;($A630+21/24),tData[Langligger01],1)</f>
        <v/>
      </c>
      <c r="Z630" s="20">
        <f>COUNTIFS(tData[SEHTrajectPeriodeDatumTijdVan],"&lt;="&amp;($A630+22/24),tData[SEHTrajectPeriodeDatumTijdTotEnMet],"&gt;"&amp;($A630+22/24),tData[Langligger01],1)</f>
        <v/>
      </c>
      <c r="AA630" s="20">
        <f>COUNTIFS(tData[SEHTrajectPeriodeDatumTijdVan],"&lt;="&amp;($A630+23/24),tData[SEHTrajectPeriodeDatumTijdTotEnMet],"&gt;"&amp;($A630+23/24),tData[Langligger01],1)</f>
        <v/>
      </c>
    </row>
    <row r="631">
      <c r="A631" s="19" t="n">
        <v>45919</v>
      </c>
      <c r="B631" s="15">
        <f>WEEKDAY($A631,2)</f>
        <v/>
      </c>
      <c r="C631" s="15">
        <f>IF(AND($A631&gt;=INT(Instellingen!$B$5),$A631&lt;=INT(Instellingen!$B$6)),1,0)</f>
        <v/>
      </c>
      <c r="D631" s="20">
        <f>COUNTIFS(tData[SEHTrajectPeriodeDatumTijdVan],"&lt;="&amp;($A631+0/24),tData[SEHTrajectPeriodeDatumTijdTotEnMet],"&gt;"&amp;($A631+0/24),tData[Langligger01],1)</f>
        <v/>
      </c>
      <c r="E631" s="20">
        <f>COUNTIFS(tData[SEHTrajectPeriodeDatumTijdVan],"&lt;="&amp;($A631+1/24),tData[SEHTrajectPeriodeDatumTijdTotEnMet],"&gt;"&amp;($A631+1/24),tData[Langligger01],1)</f>
        <v/>
      </c>
      <c r="F631" s="20">
        <f>COUNTIFS(tData[SEHTrajectPeriodeDatumTijdVan],"&lt;="&amp;($A631+2/24),tData[SEHTrajectPeriodeDatumTijdTotEnMet],"&gt;"&amp;($A631+2/24),tData[Langligger01],1)</f>
        <v/>
      </c>
      <c r="G631" s="20">
        <f>COUNTIFS(tData[SEHTrajectPeriodeDatumTijdVan],"&lt;="&amp;($A631+3/24),tData[SEHTrajectPeriodeDatumTijdTotEnMet],"&gt;"&amp;($A631+3/24),tData[Langligger01],1)</f>
        <v/>
      </c>
      <c r="H631" s="20">
        <f>COUNTIFS(tData[SEHTrajectPeriodeDatumTijdVan],"&lt;="&amp;($A631+4/24),tData[SEHTrajectPeriodeDatumTijdTotEnMet],"&gt;"&amp;($A631+4/24),tData[Langligger01],1)</f>
        <v/>
      </c>
      <c r="I631" s="20">
        <f>COUNTIFS(tData[SEHTrajectPeriodeDatumTijdVan],"&lt;="&amp;($A631+5/24),tData[SEHTrajectPeriodeDatumTijdTotEnMet],"&gt;"&amp;($A631+5/24),tData[Langligger01],1)</f>
        <v/>
      </c>
      <c r="J631" s="20">
        <f>COUNTIFS(tData[SEHTrajectPeriodeDatumTijdVan],"&lt;="&amp;($A631+6/24),tData[SEHTrajectPeriodeDatumTijdTotEnMet],"&gt;"&amp;($A631+6/24),tData[Langligger01],1)</f>
        <v/>
      </c>
      <c r="K631" s="20">
        <f>COUNTIFS(tData[SEHTrajectPeriodeDatumTijdVan],"&lt;="&amp;($A631+7/24),tData[SEHTrajectPeriodeDatumTijdTotEnMet],"&gt;"&amp;($A631+7/24),tData[Langligger01],1)</f>
        <v/>
      </c>
      <c r="L631" s="20">
        <f>COUNTIFS(tData[SEHTrajectPeriodeDatumTijdVan],"&lt;="&amp;($A631+8/24),tData[SEHTrajectPeriodeDatumTijdTotEnMet],"&gt;"&amp;($A631+8/24),tData[Langligger01],1)</f>
        <v/>
      </c>
      <c r="M631" s="20">
        <f>COUNTIFS(tData[SEHTrajectPeriodeDatumTijdVan],"&lt;="&amp;($A631+9/24),tData[SEHTrajectPeriodeDatumTijdTotEnMet],"&gt;"&amp;($A631+9/24),tData[Langligger01],1)</f>
        <v/>
      </c>
      <c r="N631" s="20">
        <f>COUNTIFS(tData[SEHTrajectPeriodeDatumTijdVan],"&lt;="&amp;($A631+10/24),tData[SEHTrajectPeriodeDatumTijdTotEnMet],"&gt;"&amp;($A631+10/24),tData[Langligger01],1)</f>
        <v/>
      </c>
      <c r="O631" s="20">
        <f>COUNTIFS(tData[SEHTrajectPeriodeDatumTijdVan],"&lt;="&amp;($A631+11/24),tData[SEHTrajectPeriodeDatumTijdTotEnMet],"&gt;"&amp;($A631+11/24),tData[Langligger01],1)</f>
        <v/>
      </c>
      <c r="P631" s="20">
        <f>COUNTIFS(tData[SEHTrajectPeriodeDatumTijdVan],"&lt;="&amp;($A631+12/24),tData[SEHTrajectPeriodeDatumTijdTotEnMet],"&gt;"&amp;($A631+12/24),tData[Langligger01],1)</f>
        <v/>
      </c>
      <c r="Q631" s="20">
        <f>COUNTIFS(tData[SEHTrajectPeriodeDatumTijdVan],"&lt;="&amp;($A631+13/24),tData[SEHTrajectPeriodeDatumTijdTotEnMet],"&gt;"&amp;($A631+13/24),tData[Langligger01],1)</f>
        <v/>
      </c>
      <c r="R631" s="20">
        <f>COUNTIFS(tData[SEHTrajectPeriodeDatumTijdVan],"&lt;="&amp;($A631+14/24),tData[SEHTrajectPeriodeDatumTijdTotEnMet],"&gt;"&amp;($A631+14/24),tData[Langligger01],1)</f>
        <v/>
      </c>
      <c r="S631" s="20">
        <f>COUNTIFS(tData[SEHTrajectPeriodeDatumTijdVan],"&lt;="&amp;($A631+15/24),tData[SEHTrajectPeriodeDatumTijdTotEnMet],"&gt;"&amp;($A631+15/24),tData[Langligger01],1)</f>
        <v/>
      </c>
      <c r="T631" s="20">
        <f>COUNTIFS(tData[SEHTrajectPeriodeDatumTijdVan],"&lt;="&amp;($A631+16/24),tData[SEHTrajectPeriodeDatumTijdTotEnMet],"&gt;"&amp;($A631+16/24),tData[Langligger01],1)</f>
        <v/>
      </c>
      <c r="U631" s="20">
        <f>COUNTIFS(tData[SEHTrajectPeriodeDatumTijdVan],"&lt;="&amp;($A631+17/24),tData[SEHTrajectPeriodeDatumTijdTotEnMet],"&gt;"&amp;($A631+17/24),tData[Langligger01],1)</f>
        <v/>
      </c>
      <c r="V631" s="20">
        <f>COUNTIFS(tData[SEHTrajectPeriodeDatumTijdVan],"&lt;="&amp;($A631+18/24),tData[SEHTrajectPeriodeDatumTijdTotEnMet],"&gt;"&amp;($A631+18/24),tData[Langligger01],1)</f>
        <v/>
      </c>
      <c r="W631" s="20">
        <f>COUNTIFS(tData[SEHTrajectPeriodeDatumTijdVan],"&lt;="&amp;($A631+19/24),tData[SEHTrajectPeriodeDatumTijdTotEnMet],"&gt;"&amp;($A631+19/24),tData[Langligger01],1)</f>
        <v/>
      </c>
      <c r="X631" s="20">
        <f>COUNTIFS(tData[SEHTrajectPeriodeDatumTijdVan],"&lt;="&amp;($A631+20/24),tData[SEHTrajectPeriodeDatumTijdTotEnMet],"&gt;"&amp;($A631+20/24),tData[Langligger01],1)</f>
        <v/>
      </c>
      <c r="Y631" s="20">
        <f>COUNTIFS(tData[SEHTrajectPeriodeDatumTijdVan],"&lt;="&amp;($A631+21/24),tData[SEHTrajectPeriodeDatumTijdTotEnMet],"&gt;"&amp;($A631+21/24),tData[Langligger01],1)</f>
        <v/>
      </c>
      <c r="Z631" s="20">
        <f>COUNTIFS(tData[SEHTrajectPeriodeDatumTijdVan],"&lt;="&amp;($A631+22/24),tData[SEHTrajectPeriodeDatumTijdTotEnMet],"&gt;"&amp;($A631+22/24),tData[Langligger01],1)</f>
        <v/>
      </c>
      <c r="AA631" s="20">
        <f>COUNTIFS(tData[SEHTrajectPeriodeDatumTijdVan],"&lt;="&amp;($A631+23/24),tData[SEHTrajectPeriodeDatumTijdTotEnMet],"&gt;"&amp;($A631+23/24),tData[Langligger01],1)</f>
        <v/>
      </c>
    </row>
    <row r="632">
      <c r="A632" s="19" t="n">
        <v>45920</v>
      </c>
      <c r="B632" s="15">
        <f>WEEKDAY($A632,2)</f>
        <v/>
      </c>
      <c r="C632" s="15">
        <f>IF(AND($A632&gt;=INT(Instellingen!$B$5),$A632&lt;=INT(Instellingen!$B$6)),1,0)</f>
        <v/>
      </c>
      <c r="D632" s="20">
        <f>COUNTIFS(tData[SEHTrajectPeriodeDatumTijdVan],"&lt;="&amp;($A632+0/24),tData[SEHTrajectPeriodeDatumTijdTotEnMet],"&gt;"&amp;($A632+0/24),tData[Langligger01],1)</f>
        <v/>
      </c>
      <c r="E632" s="20">
        <f>COUNTIFS(tData[SEHTrajectPeriodeDatumTijdVan],"&lt;="&amp;($A632+1/24),tData[SEHTrajectPeriodeDatumTijdTotEnMet],"&gt;"&amp;($A632+1/24),tData[Langligger01],1)</f>
        <v/>
      </c>
      <c r="F632" s="20">
        <f>COUNTIFS(tData[SEHTrajectPeriodeDatumTijdVan],"&lt;="&amp;($A632+2/24),tData[SEHTrajectPeriodeDatumTijdTotEnMet],"&gt;"&amp;($A632+2/24),tData[Langligger01],1)</f>
        <v/>
      </c>
      <c r="G632" s="20">
        <f>COUNTIFS(tData[SEHTrajectPeriodeDatumTijdVan],"&lt;="&amp;($A632+3/24),tData[SEHTrajectPeriodeDatumTijdTotEnMet],"&gt;"&amp;($A632+3/24),tData[Langligger01],1)</f>
        <v/>
      </c>
      <c r="H632" s="20">
        <f>COUNTIFS(tData[SEHTrajectPeriodeDatumTijdVan],"&lt;="&amp;($A632+4/24),tData[SEHTrajectPeriodeDatumTijdTotEnMet],"&gt;"&amp;($A632+4/24),tData[Langligger01],1)</f>
        <v/>
      </c>
      <c r="I632" s="20">
        <f>COUNTIFS(tData[SEHTrajectPeriodeDatumTijdVan],"&lt;="&amp;($A632+5/24),tData[SEHTrajectPeriodeDatumTijdTotEnMet],"&gt;"&amp;($A632+5/24),tData[Langligger01],1)</f>
        <v/>
      </c>
      <c r="J632" s="20">
        <f>COUNTIFS(tData[SEHTrajectPeriodeDatumTijdVan],"&lt;="&amp;($A632+6/24),tData[SEHTrajectPeriodeDatumTijdTotEnMet],"&gt;"&amp;($A632+6/24),tData[Langligger01],1)</f>
        <v/>
      </c>
      <c r="K632" s="20">
        <f>COUNTIFS(tData[SEHTrajectPeriodeDatumTijdVan],"&lt;="&amp;($A632+7/24),tData[SEHTrajectPeriodeDatumTijdTotEnMet],"&gt;"&amp;($A632+7/24),tData[Langligger01],1)</f>
        <v/>
      </c>
      <c r="L632" s="20">
        <f>COUNTIFS(tData[SEHTrajectPeriodeDatumTijdVan],"&lt;="&amp;($A632+8/24),tData[SEHTrajectPeriodeDatumTijdTotEnMet],"&gt;"&amp;($A632+8/24),tData[Langligger01],1)</f>
        <v/>
      </c>
      <c r="M632" s="20">
        <f>COUNTIFS(tData[SEHTrajectPeriodeDatumTijdVan],"&lt;="&amp;($A632+9/24),tData[SEHTrajectPeriodeDatumTijdTotEnMet],"&gt;"&amp;($A632+9/24),tData[Langligger01],1)</f>
        <v/>
      </c>
      <c r="N632" s="20">
        <f>COUNTIFS(tData[SEHTrajectPeriodeDatumTijdVan],"&lt;="&amp;($A632+10/24),tData[SEHTrajectPeriodeDatumTijdTotEnMet],"&gt;"&amp;($A632+10/24),tData[Langligger01],1)</f>
        <v/>
      </c>
      <c r="O632" s="20">
        <f>COUNTIFS(tData[SEHTrajectPeriodeDatumTijdVan],"&lt;="&amp;($A632+11/24),tData[SEHTrajectPeriodeDatumTijdTotEnMet],"&gt;"&amp;($A632+11/24),tData[Langligger01],1)</f>
        <v/>
      </c>
      <c r="P632" s="20">
        <f>COUNTIFS(tData[SEHTrajectPeriodeDatumTijdVan],"&lt;="&amp;($A632+12/24),tData[SEHTrajectPeriodeDatumTijdTotEnMet],"&gt;"&amp;($A632+12/24),tData[Langligger01],1)</f>
        <v/>
      </c>
      <c r="Q632" s="20">
        <f>COUNTIFS(tData[SEHTrajectPeriodeDatumTijdVan],"&lt;="&amp;($A632+13/24),tData[SEHTrajectPeriodeDatumTijdTotEnMet],"&gt;"&amp;($A632+13/24),tData[Langligger01],1)</f>
        <v/>
      </c>
      <c r="R632" s="20">
        <f>COUNTIFS(tData[SEHTrajectPeriodeDatumTijdVan],"&lt;="&amp;($A632+14/24),tData[SEHTrajectPeriodeDatumTijdTotEnMet],"&gt;"&amp;($A632+14/24),tData[Langligger01],1)</f>
        <v/>
      </c>
      <c r="S632" s="20">
        <f>COUNTIFS(tData[SEHTrajectPeriodeDatumTijdVan],"&lt;="&amp;($A632+15/24),tData[SEHTrajectPeriodeDatumTijdTotEnMet],"&gt;"&amp;($A632+15/24),tData[Langligger01],1)</f>
        <v/>
      </c>
      <c r="T632" s="20">
        <f>COUNTIFS(tData[SEHTrajectPeriodeDatumTijdVan],"&lt;="&amp;($A632+16/24),tData[SEHTrajectPeriodeDatumTijdTotEnMet],"&gt;"&amp;($A632+16/24),tData[Langligger01],1)</f>
        <v/>
      </c>
      <c r="U632" s="20">
        <f>COUNTIFS(tData[SEHTrajectPeriodeDatumTijdVan],"&lt;="&amp;($A632+17/24),tData[SEHTrajectPeriodeDatumTijdTotEnMet],"&gt;"&amp;($A632+17/24),tData[Langligger01],1)</f>
        <v/>
      </c>
      <c r="V632" s="20">
        <f>COUNTIFS(tData[SEHTrajectPeriodeDatumTijdVan],"&lt;="&amp;($A632+18/24),tData[SEHTrajectPeriodeDatumTijdTotEnMet],"&gt;"&amp;($A632+18/24),tData[Langligger01],1)</f>
        <v/>
      </c>
      <c r="W632" s="20">
        <f>COUNTIFS(tData[SEHTrajectPeriodeDatumTijdVan],"&lt;="&amp;($A632+19/24),tData[SEHTrajectPeriodeDatumTijdTotEnMet],"&gt;"&amp;($A632+19/24),tData[Langligger01],1)</f>
        <v/>
      </c>
      <c r="X632" s="20">
        <f>COUNTIFS(tData[SEHTrajectPeriodeDatumTijdVan],"&lt;="&amp;($A632+20/24),tData[SEHTrajectPeriodeDatumTijdTotEnMet],"&gt;"&amp;($A632+20/24),tData[Langligger01],1)</f>
        <v/>
      </c>
      <c r="Y632" s="20">
        <f>COUNTIFS(tData[SEHTrajectPeriodeDatumTijdVan],"&lt;="&amp;($A632+21/24),tData[SEHTrajectPeriodeDatumTijdTotEnMet],"&gt;"&amp;($A632+21/24),tData[Langligger01],1)</f>
        <v/>
      </c>
      <c r="Z632" s="20">
        <f>COUNTIFS(tData[SEHTrajectPeriodeDatumTijdVan],"&lt;="&amp;($A632+22/24),tData[SEHTrajectPeriodeDatumTijdTotEnMet],"&gt;"&amp;($A632+22/24),tData[Langligger01],1)</f>
        <v/>
      </c>
      <c r="AA632" s="20">
        <f>COUNTIFS(tData[SEHTrajectPeriodeDatumTijdVan],"&lt;="&amp;($A632+23/24),tData[SEHTrajectPeriodeDatumTijdTotEnMet],"&gt;"&amp;($A632+23/24),tData[Langligger01],1)</f>
        <v/>
      </c>
    </row>
    <row r="633">
      <c r="A633" s="19" t="n">
        <v>45921</v>
      </c>
      <c r="B633" s="15">
        <f>WEEKDAY($A633,2)</f>
        <v/>
      </c>
      <c r="C633" s="15">
        <f>IF(AND($A633&gt;=INT(Instellingen!$B$5),$A633&lt;=INT(Instellingen!$B$6)),1,0)</f>
        <v/>
      </c>
      <c r="D633" s="20">
        <f>COUNTIFS(tData[SEHTrajectPeriodeDatumTijdVan],"&lt;="&amp;($A633+0/24),tData[SEHTrajectPeriodeDatumTijdTotEnMet],"&gt;"&amp;($A633+0/24),tData[Langligger01],1)</f>
        <v/>
      </c>
      <c r="E633" s="20">
        <f>COUNTIFS(tData[SEHTrajectPeriodeDatumTijdVan],"&lt;="&amp;($A633+1/24),tData[SEHTrajectPeriodeDatumTijdTotEnMet],"&gt;"&amp;($A633+1/24),tData[Langligger01],1)</f>
        <v/>
      </c>
      <c r="F633" s="20">
        <f>COUNTIFS(tData[SEHTrajectPeriodeDatumTijdVan],"&lt;="&amp;($A633+2/24),tData[SEHTrajectPeriodeDatumTijdTotEnMet],"&gt;"&amp;($A633+2/24),tData[Langligger01],1)</f>
        <v/>
      </c>
      <c r="G633" s="20">
        <f>COUNTIFS(tData[SEHTrajectPeriodeDatumTijdVan],"&lt;="&amp;($A633+3/24),tData[SEHTrajectPeriodeDatumTijdTotEnMet],"&gt;"&amp;($A633+3/24),tData[Langligger01],1)</f>
        <v/>
      </c>
      <c r="H633" s="20">
        <f>COUNTIFS(tData[SEHTrajectPeriodeDatumTijdVan],"&lt;="&amp;($A633+4/24),tData[SEHTrajectPeriodeDatumTijdTotEnMet],"&gt;"&amp;($A633+4/24),tData[Langligger01],1)</f>
        <v/>
      </c>
      <c r="I633" s="20">
        <f>COUNTIFS(tData[SEHTrajectPeriodeDatumTijdVan],"&lt;="&amp;($A633+5/24),tData[SEHTrajectPeriodeDatumTijdTotEnMet],"&gt;"&amp;($A633+5/24),tData[Langligger01],1)</f>
        <v/>
      </c>
      <c r="J633" s="20">
        <f>COUNTIFS(tData[SEHTrajectPeriodeDatumTijdVan],"&lt;="&amp;($A633+6/24),tData[SEHTrajectPeriodeDatumTijdTotEnMet],"&gt;"&amp;($A633+6/24),tData[Langligger01],1)</f>
        <v/>
      </c>
      <c r="K633" s="20">
        <f>COUNTIFS(tData[SEHTrajectPeriodeDatumTijdVan],"&lt;="&amp;($A633+7/24),tData[SEHTrajectPeriodeDatumTijdTotEnMet],"&gt;"&amp;($A633+7/24),tData[Langligger01],1)</f>
        <v/>
      </c>
      <c r="L633" s="20">
        <f>COUNTIFS(tData[SEHTrajectPeriodeDatumTijdVan],"&lt;="&amp;($A633+8/24),tData[SEHTrajectPeriodeDatumTijdTotEnMet],"&gt;"&amp;($A633+8/24),tData[Langligger01],1)</f>
        <v/>
      </c>
      <c r="M633" s="20">
        <f>COUNTIFS(tData[SEHTrajectPeriodeDatumTijdVan],"&lt;="&amp;($A633+9/24),tData[SEHTrajectPeriodeDatumTijdTotEnMet],"&gt;"&amp;($A633+9/24),tData[Langligger01],1)</f>
        <v/>
      </c>
      <c r="N633" s="20">
        <f>COUNTIFS(tData[SEHTrajectPeriodeDatumTijdVan],"&lt;="&amp;($A633+10/24),tData[SEHTrajectPeriodeDatumTijdTotEnMet],"&gt;"&amp;($A633+10/24),tData[Langligger01],1)</f>
        <v/>
      </c>
      <c r="O633" s="20">
        <f>COUNTIFS(tData[SEHTrajectPeriodeDatumTijdVan],"&lt;="&amp;($A633+11/24),tData[SEHTrajectPeriodeDatumTijdTotEnMet],"&gt;"&amp;($A633+11/24),tData[Langligger01],1)</f>
        <v/>
      </c>
      <c r="P633" s="20">
        <f>COUNTIFS(tData[SEHTrajectPeriodeDatumTijdVan],"&lt;="&amp;($A633+12/24),tData[SEHTrajectPeriodeDatumTijdTotEnMet],"&gt;"&amp;($A633+12/24),tData[Langligger01],1)</f>
        <v/>
      </c>
      <c r="Q633" s="20">
        <f>COUNTIFS(tData[SEHTrajectPeriodeDatumTijdVan],"&lt;="&amp;($A633+13/24),tData[SEHTrajectPeriodeDatumTijdTotEnMet],"&gt;"&amp;($A633+13/24),tData[Langligger01],1)</f>
        <v/>
      </c>
      <c r="R633" s="20">
        <f>COUNTIFS(tData[SEHTrajectPeriodeDatumTijdVan],"&lt;="&amp;($A633+14/24),tData[SEHTrajectPeriodeDatumTijdTotEnMet],"&gt;"&amp;($A633+14/24),tData[Langligger01],1)</f>
        <v/>
      </c>
      <c r="S633" s="20">
        <f>COUNTIFS(tData[SEHTrajectPeriodeDatumTijdVan],"&lt;="&amp;($A633+15/24),tData[SEHTrajectPeriodeDatumTijdTotEnMet],"&gt;"&amp;($A633+15/24),tData[Langligger01],1)</f>
        <v/>
      </c>
      <c r="T633" s="20">
        <f>COUNTIFS(tData[SEHTrajectPeriodeDatumTijdVan],"&lt;="&amp;($A633+16/24),tData[SEHTrajectPeriodeDatumTijdTotEnMet],"&gt;"&amp;($A633+16/24),tData[Langligger01],1)</f>
        <v/>
      </c>
      <c r="U633" s="20">
        <f>COUNTIFS(tData[SEHTrajectPeriodeDatumTijdVan],"&lt;="&amp;($A633+17/24),tData[SEHTrajectPeriodeDatumTijdTotEnMet],"&gt;"&amp;($A633+17/24),tData[Langligger01],1)</f>
        <v/>
      </c>
      <c r="V633" s="20">
        <f>COUNTIFS(tData[SEHTrajectPeriodeDatumTijdVan],"&lt;="&amp;($A633+18/24),tData[SEHTrajectPeriodeDatumTijdTotEnMet],"&gt;"&amp;($A633+18/24),tData[Langligger01],1)</f>
        <v/>
      </c>
      <c r="W633" s="20">
        <f>COUNTIFS(tData[SEHTrajectPeriodeDatumTijdVan],"&lt;="&amp;($A633+19/24),tData[SEHTrajectPeriodeDatumTijdTotEnMet],"&gt;"&amp;($A633+19/24),tData[Langligger01],1)</f>
        <v/>
      </c>
      <c r="X633" s="20">
        <f>COUNTIFS(tData[SEHTrajectPeriodeDatumTijdVan],"&lt;="&amp;($A633+20/24),tData[SEHTrajectPeriodeDatumTijdTotEnMet],"&gt;"&amp;($A633+20/24),tData[Langligger01],1)</f>
        <v/>
      </c>
      <c r="Y633" s="20">
        <f>COUNTIFS(tData[SEHTrajectPeriodeDatumTijdVan],"&lt;="&amp;($A633+21/24),tData[SEHTrajectPeriodeDatumTijdTotEnMet],"&gt;"&amp;($A633+21/24),tData[Langligger01],1)</f>
        <v/>
      </c>
      <c r="Z633" s="20">
        <f>COUNTIFS(tData[SEHTrajectPeriodeDatumTijdVan],"&lt;="&amp;($A633+22/24),tData[SEHTrajectPeriodeDatumTijdTotEnMet],"&gt;"&amp;($A633+22/24),tData[Langligger01],1)</f>
        <v/>
      </c>
      <c r="AA633" s="20">
        <f>COUNTIFS(tData[SEHTrajectPeriodeDatumTijdVan],"&lt;="&amp;($A633+23/24),tData[SEHTrajectPeriodeDatumTijdTotEnMet],"&gt;"&amp;($A633+23/24),tData[Langligger01],1)</f>
        <v/>
      </c>
    </row>
    <row r="634">
      <c r="A634" s="19" t="n">
        <v>45922</v>
      </c>
      <c r="B634" s="15">
        <f>WEEKDAY($A634,2)</f>
        <v/>
      </c>
      <c r="C634" s="15">
        <f>IF(AND($A634&gt;=INT(Instellingen!$B$5),$A634&lt;=INT(Instellingen!$B$6)),1,0)</f>
        <v/>
      </c>
      <c r="D634" s="20">
        <f>COUNTIFS(tData[SEHTrajectPeriodeDatumTijdVan],"&lt;="&amp;($A634+0/24),tData[SEHTrajectPeriodeDatumTijdTotEnMet],"&gt;"&amp;($A634+0/24),tData[Langligger01],1)</f>
        <v/>
      </c>
      <c r="E634" s="20">
        <f>COUNTIFS(tData[SEHTrajectPeriodeDatumTijdVan],"&lt;="&amp;($A634+1/24),tData[SEHTrajectPeriodeDatumTijdTotEnMet],"&gt;"&amp;($A634+1/24),tData[Langligger01],1)</f>
        <v/>
      </c>
      <c r="F634" s="20">
        <f>COUNTIFS(tData[SEHTrajectPeriodeDatumTijdVan],"&lt;="&amp;($A634+2/24),tData[SEHTrajectPeriodeDatumTijdTotEnMet],"&gt;"&amp;($A634+2/24),tData[Langligger01],1)</f>
        <v/>
      </c>
      <c r="G634" s="20">
        <f>COUNTIFS(tData[SEHTrajectPeriodeDatumTijdVan],"&lt;="&amp;($A634+3/24),tData[SEHTrajectPeriodeDatumTijdTotEnMet],"&gt;"&amp;($A634+3/24),tData[Langligger01],1)</f>
        <v/>
      </c>
      <c r="H634" s="20">
        <f>COUNTIFS(tData[SEHTrajectPeriodeDatumTijdVan],"&lt;="&amp;($A634+4/24),tData[SEHTrajectPeriodeDatumTijdTotEnMet],"&gt;"&amp;($A634+4/24),tData[Langligger01],1)</f>
        <v/>
      </c>
      <c r="I634" s="20">
        <f>COUNTIFS(tData[SEHTrajectPeriodeDatumTijdVan],"&lt;="&amp;($A634+5/24),tData[SEHTrajectPeriodeDatumTijdTotEnMet],"&gt;"&amp;($A634+5/24),tData[Langligger01],1)</f>
        <v/>
      </c>
      <c r="J634" s="20">
        <f>COUNTIFS(tData[SEHTrajectPeriodeDatumTijdVan],"&lt;="&amp;($A634+6/24),tData[SEHTrajectPeriodeDatumTijdTotEnMet],"&gt;"&amp;($A634+6/24),tData[Langligger01],1)</f>
        <v/>
      </c>
      <c r="K634" s="20">
        <f>COUNTIFS(tData[SEHTrajectPeriodeDatumTijdVan],"&lt;="&amp;($A634+7/24),tData[SEHTrajectPeriodeDatumTijdTotEnMet],"&gt;"&amp;($A634+7/24),tData[Langligger01],1)</f>
        <v/>
      </c>
      <c r="L634" s="20">
        <f>COUNTIFS(tData[SEHTrajectPeriodeDatumTijdVan],"&lt;="&amp;($A634+8/24),tData[SEHTrajectPeriodeDatumTijdTotEnMet],"&gt;"&amp;($A634+8/24),tData[Langligger01],1)</f>
        <v/>
      </c>
      <c r="M634" s="20">
        <f>COUNTIFS(tData[SEHTrajectPeriodeDatumTijdVan],"&lt;="&amp;($A634+9/24),tData[SEHTrajectPeriodeDatumTijdTotEnMet],"&gt;"&amp;($A634+9/24),tData[Langligger01],1)</f>
        <v/>
      </c>
      <c r="N634" s="20">
        <f>COUNTIFS(tData[SEHTrajectPeriodeDatumTijdVan],"&lt;="&amp;($A634+10/24),tData[SEHTrajectPeriodeDatumTijdTotEnMet],"&gt;"&amp;($A634+10/24),tData[Langligger01],1)</f>
        <v/>
      </c>
      <c r="O634" s="20">
        <f>COUNTIFS(tData[SEHTrajectPeriodeDatumTijdVan],"&lt;="&amp;($A634+11/24),tData[SEHTrajectPeriodeDatumTijdTotEnMet],"&gt;"&amp;($A634+11/24),tData[Langligger01],1)</f>
        <v/>
      </c>
      <c r="P634" s="20">
        <f>COUNTIFS(tData[SEHTrajectPeriodeDatumTijdVan],"&lt;="&amp;($A634+12/24),tData[SEHTrajectPeriodeDatumTijdTotEnMet],"&gt;"&amp;($A634+12/24),tData[Langligger01],1)</f>
        <v/>
      </c>
      <c r="Q634" s="20">
        <f>COUNTIFS(tData[SEHTrajectPeriodeDatumTijdVan],"&lt;="&amp;($A634+13/24),tData[SEHTrajectPeriodeDatumTijdTotEnMet],"&gt;"&amp;($A634+13/24),tData[Langligger01],1)</f>
        <v/>
      </c>
      <c r="R634" s="20">
        <f>COUNTIFS(tData[SEHTrajectPeriodeDatumTijdVan],"&lt;="&amp;($A634+14/24),tData[SEHTrajectPeriodeDatumTijdTotEnMet],"&gt;"&amp;($A634+14/24),tData[Langligger01],1)</f>
        <v/>
      </c>
      <c r="S634" s="20">
        <f>COUNTIFS(tData[SEHTrajectPeriodeDatumTijdVan],"&lt;="&amp;($A634+15/24),tData[SEHTrajectPeriodeDatumTijdTotEnMet],"&gt;"&amp;($A634+15/24),tData[Langligger01],1)</f>
        <v/>
      </c>
      <c r="T634" s="20">
        <f>COUNTIFS(tData[SEHTrajectPeriodeDatumTijdVan],"&lt;="&amp;($A634+16/24),tData[SEHTrajectPeriodeDatumTijdTotEnMet],"&gt;"&amp;($A634+16/24),tData[Langligger01],1)</f>
        <v/>
      </c>
      <c r="U634" s="20">
        <f>COUNTIFS(tData[SEHTrajectPeriodeDatumTijdVan],"&lt;="&amp;($A634+17/24),tData[SEHTrajectPeriodeDatumTijdTotEnMet],"&gt;"&amp;($A634+17/24),tData[Langligger01],1)</f>
        <v/>
      </c>
      <c r="V634" s="20">
        <f>COUNTIFS(tData[SEHTrajectPeriodeDatumTijdVan],"&lt;="&amp;($A634+18/24),tData[SEHTrajectPeriodeDatumTijdTotEnMet],"&gt;"&amp;($A634+18/24),tData[Langligger01],1)</f>
        <v/>
      </c>
      <c r="W634" s="20">
        <f>COUNTIFS(tData[SEHTrajectPeriodeDatumTijdVan],"&lt;="&amp;($A634+19/24),tData[SEHTrajectPeriodeDatumTijdTotEnMet],"&gt;"&amp;($A634+19/24),tData[Langligger01],1)</f>
        <v/>
      </c>
      <c r="X634" s="20">
        <f>COUNTIFS(tData[SEHTrajectPeriodeDatumTijdVan],"&lt;="&amp;($A634+20/24),tData[SEHTrajectPeriodeDatumTijdTotEnMet],"&gt;"&amp;($A634+20/24),tData[Langligger01],1)</f>
        <v/>
      </c>
      <c r="Y634" s="20">
        <f>COUNTIFS(tData[SEHTrajectPeriodeDatumTijdVan],"&lt;="&amp;($A634+21/24),tData[SEHTrajectPeriodeDatumTijdTotEnMet],"&gt;"&amp;($A634+21/24),tData[Langligger01],1)</f>
        <v/>
      </c>
      <c r="Z634" s="20">
        <f>COUNTIFS(tData[SEHTrajectPeriodeDatumTijdVan],"&lt;="&amp;($A634+22/24),tData[SEHTrajectPeriodeDatumTijdTotEnMet],"&gt;"&amp;($A634+22/24),tData[Langligger01],1)</f>
        <v/>
      </c>
      <c r="AA634" s="20">
        <f>COUNTIFS(tData[SEHTrajectPeriodeDatumTijdVan],"&lt;="&amp;($A634+23/24),tData[SEHTrajectPeriodeDatumTijdTotEnMet],"&gt;"&amp;($A634+23/24),tData[Langligger01],1)</f>
        <v/>
      </c>
    </row>
    <row r="635">
      <c r="A635" s="19" t="n">
        <v>45923</v>
      </c>
      <c r="B635" s="15">
        <f>WEEKDAY($A635,2)</f>
        <v/>
      </c>
      <c r="C635" s="15">
        <f>IF(AND($A635&gt;=INT(Instellingen!$B$5),$A635&lt;=INT(Instellingen!$B$6)),1,0)</f>
        <v/>
      </c>
      <c r="D635" s="20">
        <f>COUNTIFS(tData[SEHTrajectPeriodeDatumTijdVan],"&lt;="&amp;($A635+0/24),tData[SEHTrajectPeriodeDatumTijdTotEnMet],"&gt;"&amp;($A635+0/24),tData[Langligger01],1)</f>
        <v/>
      </c>
      <c r="E635" s="20">
        <f>COUNTIFS(tData[SEHTrajectPeriodeDatumTijdVan],"&lt;="&amp;($A635+1/24),tData[SEHTrajectPeriodeDatumTijdTotEnMet],"&gt;"&amp;($A635+1/24),tData[Langligger01],1)</f>
        <v/>
      </c>
      <c r="F635" s="20">
        <f>COUNTIFS(tData[SEHTrajectPeriodeDatumTijdVan],"&lt;="&amp;($A635+2/24),tData[SEHTrajectPeriodeDatumTijdTotEnMet],"&gt;"&amp;($A635+2/24),tData[Langligger01],1)</f>
        <v/>
      </c>
      <c r="G635" s="20">
        <f>COUNTIFS(tData[SEHTrajectPeriodeDatumTijdVan],"&lt;="&amp;($A635+3/24),tData[SEHTrajectPeriodeDatumTijdTotEnMet],"&gt;"&amp;($A635+3/24),tData[Langligger01],1)</f>
        <v/>
      </c>
      <c r="H635" s="20">
        <f>COUNTIFS(tData[SEHTrajectPeriodeDatumTijdVan],"&lt;="&amp;($A635+4/24),tData[SEHTrajectPeriodeDatumTijdTotEnMet],"&gt;"&amp;($A635+4/24),tData[Langligger01],1)</f>
        <v/>
      </c>
      <c r="I635" s="20">
        <f>COUNTIFS(tData[SEHTrajectPeriodeDatumTijdVan],"&lt;="&amp;($A635+5/24),tData[SEHTrajectPeriodeDatumTijdTotEnMet],"&gt;"&amp;($A635+5/24),tData[Langligger01],1)</f>
        <v/>
      </c>
      <c r="J635" s="20">
        <f>COUNTIFS(tData[SEHTrajectPeriodeDatumTijdVan],"&lt;="&amp;($A635+6/24),tData[SEHTrajectPeriodeDatumTijdTotEnMet],"&gt;"&amp;($A635+6/24),tData[Langligger01],1)</f>
        <v/>
      </c>
      <c r="K635" s="20">
        <f>COUNTIFS(tData[SEHTrajectPeriodeDatumTijdVan],"&lt;="&amp;($A635+7/24),tData[SEHTrajectPeriodeDatumTijdTotEnMet],"&gt;"&amp;($A635+7/24),tData[Langligger01],1)</f>
        <v/>
      </c>
      <c r="L635" s="20">
        <f>COUNTIFS(tData[SEHTrajectPeriodeDatumTijdVan],"&lt;="&amp;($A635+8/24),tData[SEHTrajectPeriodeDatumTijdTotEnMet],"&gt;"&amp;($A635+8/24),tData[Langligger01],1)</f>
        <v/>
      </c>
      <c r="M635" s="20">
        <f>COUNTIFS(tData[SEHTrajectPeriodeDatumTijdVan],"&lt;="&amp;($A635+9/24),tData[SEHTrajectPeriodeDatumTijdTotEnMet],"&gt;"&amp;($A635+9/24),tData[Langligger01],1)</f>
        <v/>
      </c>
      <c r="N635" s="20">
        <f>COUNTIFS(tData[SEHTrajectPeriodeDatumTijdVan],"&lt;="&amp;($A635+10/24),tData[SEHTrajectPeriodeDatumTijdTotEnMet],"&gt;"&amp;($A635+10/24),tData[Langligger01],1)</f>
        <v/>
      </c>
      <c r="O635" s="20">
        <f>COUNTIFS(tData[SEHTrajectPeriodeDatumTijdVan],"&lt;="&amp;($A635+11/24),tData[SEHTrajectPeriodeDatumTijdTotEnMet],"&gt;"&amp;($A635+11/24),tData[Langligger01],1)</f>
        <v/>
      </c>
      <c r="P635" s="20">
        <f>COUNTIFS(tData[SEHTrajectPeriodeDatumTijdVan],"&lt;="&amp;($A635+12/24),tData[SEHTrajectPeriodeDatumTijdTotEnMet],"&gt;"&amp;($A635+12/24),tData[Langligger01],1)</f>
        <v/>
      </c>
      <c r="Q635" s="20">
        <f>COUNTIFS(tData[SEHTrajectPeriodeDatumTijdVan],"&lt;="&amp;($A635+13/24),tData[SEHTrajectPeriodeDatumTijdTotEnMet],"&gt;"&amp;($A635+13/24),tData[Langligger01],1)</f>
        <v/>
      </c>
      <c r="R635" s="20">
        <f>COUNTIFS(tData[SEHTrajectPeriodeDatumTijdVan],"&lt;="&amp;($A635+14/24),tData[SEHTrajectPeriodeDatumTijdTotEnMet],"&gt;"&amp;($A635+14/24),tData[Langligger01],1)</f>
        <v/>
      </c>
      <c r="S635" s="20">
        <f>COUNTIFS(tData[SEHTrajectPeriodeDatumTijdVan],"&lt;="&amp;($A635+15/24),tData[SEHTrajectPeriodeDatumTijdTotEnMet],"&gt;"&amp;($A635+15/24),tData[Langligger01],1)</f>
        <v/>
      </c>
      <c r="T635" s="20">
        <f>COUNTIFS(tData[SEHTrajectPeriodeDatumTijdVan],"&lt;="&amp;($A635+16/24),tData[SEHTrajectPeriodeDatumTijdTotEnMet],"&gt;"&amp;($A635+16/24),tData[Langligger01],1)</f>
        <v/>
      </c>
      <c r="U635" s="20">
        <f>COUNTIFS(tData[SEHTrajectPeriodeDatumTijdVan],"&lt;="&amp;($A635+17/24),tData[SEHTrajectPeriodeDatumTijdTotEnMet],"&gt;"&amp;($A635+17/24),tData[Langligger01],1)</f>
        <v/>
      </c>
      <c r="V635" s="20">
        <f>COUNTIFS(tData[SEHTrajectPeriodeDatumTijdVan],"&lt;="&amp;($A635+18/24),tData[SEHTrajectPeriodeDatumTijdTotEnMet],"&gt;"&amp;($A635+18/24),tData[Langligger01],1)</f>
        <v/>
      </c>
      <c r="W635" s="20">
        <f>COUNTIFS(tData[SEHTrajectPeriodeDatumTijdVan],"&lt;="&amp;($A635+19/24),tData[SEHTrajectPeriodeDatumTijdTotEnMet],"&gt;"&amp;($A635+19/24),tData[Langligger01],1)</f>
        <v/>
      </c>
      <c r="X635" s="20">
        <f>COUNTIFS(tData[SEHTrajectPeriodeDatumTijdVan],"&lt;="&amp;($A635+20/24),tData[SEHTrajectPeriodeDatumTijdTotEnMet],"&gt;"&amp;($A635+20/24),tData[Langligger01],1)</f>
        <v/>
      </c>
      <c r="Y635" s="20">
        <f>COUNTIFS(tData[SEHTrajectPeriodeDatumTijdVan],"&lt;="&amp;($A635+21/24),tData[SEHTrajectPeriodeDatumTijdTotEnMet],"&gt;"&amp;($A635+21/24),tData[Langligger01],1)</f>
        <v/>
      </c>
      <c r="Z635" s="20">
        <f>COUNTIFS(tData[SEHTrajectPeriodeDatumTijdVan],"&lt;="&amp;($A635+22/24),tData[SEHTrajectPeriodeDatumTijdTotEnMet],"&gt;"&amp;($A635+22/24),tData[Langligger01],1)</f>
        <v/>
      </c>
      <c r="AA635" s="20">
        <f>COUNTIFS(tData[SEHTrajectPeriodeDatumTijdVan],"&lt;="&amp;($A635+23/24),tData[SEHTrajectPeriodeDatumTijdTotEnMet],"&gt;"&amp;($A635+23/24),tData[Langligger01],1)</f>
        <v/>
      </c>
    </row>
    <row r="636">
      <c r="A636" s="19" t="n">
        <v>45924</v>
      </c>
      <c r="B636" s="15">
        <f>WEEKDAY($A636,2)</f>
        <v/>
      </c>
      <c r="C636" s="15">
        <f>IF(AND($A636&gt;=INT(Instellingen!$B$5),$A636&lt;=INT(Instellingen!$B$6)),1,0)</f>
        <v/>
      </c>
      <c r="D636" s="20">
        <f>COUNTIFS(tData[SEHTrajectPeriodeDatumTijdVan],"&lt;="&amp;($A636+0/24),tData[SEHTrajectPeriodeDatumTijdTotEnMet],"&gt;"&amp;($A636+0/24),tData[Langligger01],1)</f>
        <v/>
      </c>
      <c r="E636" s="20">
        <f>COUNTIFS(tData[SEHTrajectPeriodeDatumTijdVan],"&lt;="&amp;($A636+1/24),tData[SEHTrajectPeriodeDatumTijdTotEnMet],"&gt;"&amp;($A636+1/24),tData[Langligger01],1)</f>
        <v/>
      </c>
      <c r="F636" s="20">
        <f>COUNTIFS(tData[SEHTrajectPeriodeDatumTijdVan],"&lt;="&amp;($A636+2/24),tData[SEHTrajectPeriodeDatumTijdTotEnMet],"&gt;"&amp;($A636+2/24),tData[Langligger01],1)</f>
        <v/>
      </c>
      <c r="G636" s="20">
        <f>COUNTIFS(tData[SEHTrajectPeriodeDatumTijdVan],"&lt;="&amp;($A636+3/24),tData[SEHTrajectPeriodeDatumTijdTotEnMet],"&gt;"&amp;($A636+3/24),tData[Langligger01],1)</f>
        <v/>
      </c>
      <c r="H636" s="20">
        <f>COUNTIFS(tData[SEHTrajectPeriodeDatumTijdVan],"&lt;="&amp;($A636+4/24),tData[SEHTrajectPeriodeDatumTijdTotEnMet],"&gt;"&amp;($A636+4/24),tData[Langligger01],1)</f>
        <v/>
      </c>
      <c r="I636" s="20">
        <f>COUNTIFS(tData[SEHTrajectPeriodeDatumTijdVan],"&lt;="&amp;($A636+5/24),tData[SEHTrajectPeriodeDatumTijdTotEnMet],"&gt;"&amp;($A636+5/24),tData[Langligger01],1)</f>
        <v/>
      </c>
      <c r="J636" s="20">
        <f>COUNTIFS(tData[SEHTrajectPeriodeDatumTijdVan],"&lt;="&amp;($A636+6/24),tData[SEHTrajectPeriodeDatumTijdTotEnMet],"&gt;"&amp;($A636+6/24),tData[Langligger01],1)</f>
        <v/>
      </c>
      <c r="K636" s="20">
        <f>COUNTIFS(tData[SEHTrajectPeriodeDatumTijdVan],"&lt;="&amp;($A636+7/24),tData[SEHTrajectPeriodeDatumTijdTotEnMet],"&gt;"&amp;($A636+7/24),tData[Langligger01],1)</f>
        <v/>
      </c>
      <c r="L636" s="20">
        <f>COUNTIFS(tData[SEHTrajectPeriodeDatumTijdVan],"&lt;="&amp;($A636+8/24),tData[SEHTrajectPeriodeDatumTijdTotEnMet],"&gt;"&amp;($A636+8/24),tData[Langligger01],1)</f>
        <v/>
      </c>
      <c r="M636" s="20">
        <f>COUNTIFS(tData[SEHTrajectPeriodeDatumTijdVan],"&lt;="&amp;($A636+9/24),tData[SEHTrajectPeriodeDatumTijdTotEnMet],"&gt;"&amp;($A636+9/24),tData[Langligger01],1)</f>
        <v/>
      </c>
      <c r="N636" s="20">
        <f>COUNTIFS(tData[SEHTrajectPeriodeDatumTijdVan],"&lt;="&amp;($A636+10/24),tData[SEHTrajectPeriodeDatumTijdTotEnMet],"&gt;"&amp;($A636+10/24),tData[Langligger01],1)</f>
        <v/>
      </c>
      <c r="O636" s="20">
        <f>COUNTIFS(tData[SEHTrajectPeriodeDatumTijdVan],"&lt;="&amp;($A636+11/24),tData[SEHTrajectPeriodeDatumTijdTotEnMet],"&gt;"&amp;($A636+11/24),tData[Langligger01],1)</f>
        <v/>
      </c>
      <c r="P636" s="20">
        <f>COUNTIFS(tData[SEHTrajectPeriodeDatumTijdVan],"&lt;="&amp;($A636+12/24),tData[SEHTrajectPeriodeDatumTijdTotEnMet],"&gt;"&amp;($A636+12/24),tData[Langligger01],1)</f>
        <v/>
      </c>
      <c r="Q636" s="20">
        <f>COUNTIFS(tData[SEHTrajectPeriodeDatumTijdVan],"&lt;="&amp;($A636+13/24),tData[SEHTrajectPeriodeDatumTijdTotEnMet],"&gt;"&amp;($A636+13/24),tData[Langligger01],1)</f>
        <v/>
      </c>
      <c r="R636" s="20">
        <f>COUNTIFS(tData[SEHTrajectPeriodeDatumTijdVan],"&lt;="&amp;($A636+14/24),tData[SEHTrajectPeriodeDatumTijdTotEnMet],"&gt;"&amp;($A636+14/24),tData[Langligger01],1)</f>
        <v/>
      </c>
      <c r="S636" s="20">
        <f>COUNTIFS(tData[SEHTrajectPeriodeDatumTijdVan],"&lt;="&amp;($A636+15/24),tData[SEHTrajectPeriodeDatumTijdTotEnMet],"&gt;"&amp;($A636+15/24),tData[Langligger01],1)</f>
        <v/>
      </c>
      <c r="T636" s="20">
        <f>COUNTIFS(tData[SEHTrajectPeriodeDatumTijdVan],"&lt;="&amp;($A636+16/24),tData[SEHTrajectPeriodeDatumTijdTotEnMet],"&gt;"&amp;($A636+16/24),tData[Langligger01],1)</f>
        <v/>
      </c>
      <c r="U636" s="20">
        <f>COUNTIFS(tData[SEHTrajectPeriodeDatumTijdVan],"&lt;="&amp;($A636+17/24),tData[SEHTrajectPeriodeDatumTijdTotEnMet],"&gt;"&amp;($A636+17/24),tData[Langligger01],1)</f>
        <v/>
      </c>
      <c r="V636" s="20">
        <f>COUNTIFS(tData[SEHTrajectPeriodeDatumTijdVan],"&lt;="&amp;($A636+18/24),tData[SEHTrajectPeriodeDatumTijdTotEnMet],"&gt;"&amp;($A636+18/24),tData[Langligger01],1)</f>
        <v/>
      </c>
      <c r="W636" s="20">
        <f>COUNTIFS(tData[SEHTrajectPeriodeDatumTijdVan],"&lt;="&amp;($A636+19/24),tData[SEHTrajectPeriodeDatumTijdTotEnMet],"&gt;"&amp;($A636+19/24),tData[Langligger01],1)</f>
        <v/>
      </c>
      <c r="X636" s="20">
        <f>COUNTIFS(tData[SEHTrajectPeriodeDatumTijdVan],"&lt;="&amp;($A636+20/24),tData[SEHTrajectPeriodeDatumTijdTotEnMet],"&gt;"&amp;($A636+20/24),tData[Langligger01],1)</f>
        <v/>
      </c>
      <c r="Y636" s="20">
        <f>COUNTIFS(tData[SEHTrajectPeriodeDatumTijdVan],"&lt;="&amp;($A636+21/24),tData[SEHTrajectPeriodeDatumTijdTotEnMet],"&gt;"&amp;($A636+21/24),tData[Langligger01],1)</f>
        <v/>
      </c>
      <c r="Z636" s="20">
        <f>COUNTIFS(tData[SEHTrajectPeriodeDatumTijdVan],"&lt;="&amp;($A636+22/24),tData[SEHTrajectPeriodeDatumTijdTotEnMet],"&gt;"&amp;($A636+22/24),tData[Langligger01],1)</f>
        <v/>
      </c>
      <c r="AA636" s="20">
        <f>COUNTIFS(tData[SEHTrajectPeriodeDatumTijdVan],"&lt;="&amp;($A636+23/24),tData[SEHTrajectPeriodeDatumTijdTotEnMet],"&gt;"&amp;($A636+23/24),tData[Langligger01],1)</f>
        <v/>
      </c>
    </row>
    <row r="637">
      <c r="A637" s="19" t="n">
        <v>45925</v>
      </c>
      <c r="B637" s="15">
        <f>WEEKDAY($A637,2)</f>
        <v/>
      </c>
      <c r="C637" s="15">
        <f>IF(AND($A637&gt;=INT(Instellingen!$B$5),$A637&lt;=INT(Instellingen!$B$6)),1,0)</f>
        <v/>
      </c>
      <c r="D637" s="20">
        <f>COUNTIFS(tData[SEHTrajectPeriodeDatumTijdVan],"&lt;="&amp;($A637+0/24),tData[SEHTrajectPeriodeDatumTijdTotEnMet],"&gt;"&amp;($A637+0/24),tData[Langligger01],1)</f>
        <v/>
      </c>
      <c r="E637" s="20">
        <f>COUNTIFS(tData[SEHTrajectPeriodeDatumTijdVan],"&lt;="&amp;($A637+1/24),tData[SEHTrajectPeriodeDatumTijdTotEnMet],"&gt;"&amp;($A637+1/24),tData[Langligger01],1)</f>
        <v/>
      </c>
      <c r="F637" s="20">
        <f>COUNTIFS(tData[SEHTrajectPeriodeDatumTijdVan],"&lt;="&amp;($A637+2/24),tData[SEHTrajectPeriodeDatumTijdTotEnMet],"&gt;"&amp;($A637+2/24),tData[Langligger01],1)</f>
        <v/>
      </c>
      <c r="G637" s="20">
        <f>COUNTIFS(tData[SEHTrajectPeriodeDatumTijdVan],"&lt;="&amp;($A637+3/24),tData[SEHTrajectPeriodeDatumTijdTotEnMet],"&gt;"&amp;($A637+3/24),tData[Langligger01],1)</f>
        <v/>
      </c>
      <c r="H637" s="20">
        <f>COUNTIFS(tData[SEHTrajectPeriodeDatumTijdVan],"&lt;="&amp;($A637+4/24),tData[SEHTrajectPeriodeDatumTijdTotEnMet],"&gt;"&amp;($A637+4/24),tData[Langligger01],1)</f>
        <v/>
      </c>
      <c r="I637" s="20">
        <f>COUNTIFS(tData[SEHTrajectPeriodeDatumTijdVan],"&lt;="&amp;($A637+5/24),tData[SEHTrajectPeriodeDatumTijdTotEnMet],"&gt;"&amp;($A637+5/24),tData[Langligger01],1)</f>
        <v/>
      </c>
      <c r="J637" s="20">
        <f>COUNTIFS(tData[SEHTrajectPeriodeDatumTijdVan],"&lt;="&amp;($A637+6/24),tData[SEHTrajectPeriodeDatumTijdTotEnMet],"&gt;"&amp;($A637+6/24),tData[Langligger01],1)</f>
        <v/>
      </c>
      <c r="K637" s="20">
        <f>COUNTIFS(tData[SEHTrajectPeriodeDatumTijdVan],"&lt;="&amp;($A637+7/24),tData[SEHTrajectPeriodeDatumTijdTotEnMet],"&gt;"&amp;($A637+7/24),tData[Langligger01],1)</f>
        <v/>
      </c>
      <c r="L637" s="20">
        <f>COUNTIFS(tData[SEHTrajectPeriodeDatumTijdVan],"&lt;="&amp;($A637+8/24),tData[SEHTrajectPeriodeDatumTijdTotEnMet],"&gt;"&amp;($A637+8/24),tData[Langligger01],1)</f>
        <v/>
      </c>
      <c r="M637" s="20">
        <f>COUNTIFS(tData[SEHTrajectPeriodeDatumTijdVan],"&lt;="&amp;($A637+9/24),tData[SEHTrajectPeriodeDatumTijdTotEnMet],"&gt;"&amp;($A637+9/24),tData[Langligger01],1)</f>
        <v/>
      </c>
      <c r="N637" s="20">
        <f>COUNTIFS(tData[SEHTrajectPeriodeDatumTijdVan],"&lt;="&amp;($A637+10/24),tData[SEHTrajectPeriodeDatumTijdTotEnMet],"&gt;"&amp;($A637+10/24),tData[Langligger01],1)</f>
        <v/>
      </c>
      <c r="O637" s="20">
        <f>COUNTIFS(tData[SEHTrajectPeriodeDatumTijdVan],"&lt;="&amp;($A637+11/24),tData[SEHTrajectPeriodeDatumTijdTotEnMet],"&gt;"&amp;($A637+11/24),tData[Langligger01],1)</f>
        <v/>
      </c>
      <c r="P637" s="20">
        <f>COUNTIFS(tData[SEHTrajectPeriodeDatumTijdVan],"&lt;="&amp;($A637+12/24),tData[SEHTrajectPeriodeDatumTijdTotEnMet],"&gt;"&amp;($A637+12/24),tData[Langligger01],1)</f>
        <v/>
      </c>
      <c r="Q637" s="20">
        <f>COUNTIFS(tData[SEHTrajectPeriodeDatumTijdVan],"&lt;="&amp;($A637+13/24),tData[SEHTrajectPeriodeDatumTijdTotEnMet],"&gt;"&amp;($A637+13/24),tData[Langligger01],1)</f>
        <v/>
      </c>
      <c r="R637" s="20">
        <f>COUNTIFS(tData[SEHTrajectPeriodeDatumTijdVan],"&lt;="&amp;($A637+14/24),tData[SEHTrajectPeriodeDatumTijdTotEnMet],"&gt;"&amp;($A637+14/24),tData[Langligger01],1)</f>
        <v/>
      </c>
      <c r="S637" s="20">
        <f>COUNTIFS(tData[SEHTrajectPeriodeDatumTijdVan],"&lt;="&amp;($A637+15/24),tData[SEHTrajectPeriodeDatumTijdTotEnMet],"&gt;"&amp;($A637+15/24),tData[Langligger01],1)</f>
        <v/>
      </c>
      <c r="T637" s="20">
        <f>COUNTIFS(tData[SEHTrajectPeriodeDatumTijdVan],"&lt;="&amp;($A637+16/24),tData[SEHTrajectPeriodeDatumTijdTotEnMet],"&gt;"&amp;($A637+16/24),tData[Langligger01],1)</f>
        <v/>
      </c>
      <c r="U637" s="20">
        <f>COUNTIFS(tData[SEHTrajectPeriodeDatumTijdVan],"&lt;="&amp;($A637+17/24),tData[SEHTrajectPeriodeDatumTijdTotEnMet],"&gt;"&amp;($A637+17/24),tData[Langligger01],1)</f>
        <v/>
      </c>
      <c r="V637" s="20">
        <f>COUNTIFS(tData[SEHTrajectPeriodeDatumTijdVan],"&lt;="&amp;($A637+18/24),tData[SEHTrajectPeriodeDatumTijdTotEnMet],"&gt;"&amp;($A637+18/24),tData[Langligger01],1)</f>
        <v/>
      </c>
      <c r="W637" s="20">
        <f>COUNTIFS(tData[SEHTrajectPeriodeDatumTijdVan],"&lt;="&amp;($A637+19/24),tData[SEHTrajectPeriodeDatumTijdTotEnMet],"&gt;"&amp;($A637+19/24),tData[Langligger01],1)</f>
        <v/>
      </c>
      <c r="X637" s="20">
        <f>COUNTIFS(tData[SEHTrajectPeriodeDatumTijdVan],"&lt;="&amp;($A637+20/24),tData[SEHTrajectPeriodeDatumTijdTotEnMet],"&gt;"&amp;($A637+20/24),tData[Langligger01],1)</f>
        <v/>
      </c>
      <c r="Y637" s="20">
        <f>COUNTIFS(tData[SEHTrajectPeriodeDatumTijdVan],"&lt;="&amp;($A637+21/24),tData[SEHTrajectPeriodeDatumTijdTotEnMet],"&gt;"&amp;($A637+21/24),tData[Langligger01],1)</f>
        <v/>
      </c>
      <c r="Z637" s="20">
        <f>COUNTIFS(tData[SEHTrajectPeriodeDatumTijdVan],"&lt;="&amp;($A637+22/24),tData[SEHTrajectPeriodeDatumTijdTotEnMet],"&gt;"&amp;($A637+22/24),tData[Langligger01],1)</f>
        <v/>
      </c>
      <c r="AA637" s="20">
        <f>COUNTIFS(tData[SEHTrajectPeriodeDatumTijdVan],"&lt;="&amp;($A637+23/24),tData[SEHTrajectPeriodeDatumTijdTotEnMet],"&gt;"&amp;($A637+23/24),tData[Langligger01],1)</f>
        <v/>
      </c>
    </row>
    <row r="638">
      <c r="A638" s="19" t="n">
        <v>45926</v>
      </c>
      <c r="B638" s="15">
        <f>WEEKDAY($A638,2)</f>
        <v/>
      </c>
      <c r="C638" s="15">
        <f>IF(AND($A638&gt;=INT(Instellingen!$B$5),$A638&lt;=INT(Instellingen!$B$6)),1,0)</f>
        <v/>
      </c>
      <c r="D638" s="20">
        <f>COUNTIFS(tData[SEHTrajectPeriodeDatumTijdVan],"&lt;="&amp;($A638+0/24),tData[SEHTrajectPeriodeDatumTijdTotEnMet],"&gt;"&amp;($A638+0/24),tData[Langligger01],1)</f>
        <v/>
      </c>
      <c r="E638" s="20">
        <f>COUNTIFS(tData[SEHTrajectPeriodeDatumTijdVan],"&lt;="&amp;($A638+1/24),tData[SEHTrajectPeriodeDatumTijdTotEnMet],"&gt;"&amp;($A638+1/24),tData[Langligger01],1)</f>
        <v/>
      </c>
      <c r="F638" s="20">
        <f>COUNTIFS(tData[SEHTrajectPeriodeDatumTijdVan],"&lt;="&amp;($A638+2/24),tData[SEHTrajectPeriodeDatumTijdTotEnMet],"&gt;"&amp;($A638+2/24),tData[Langligger01],1)</f>
        <v/>
      </c>
      <c r="G638" s="20">
        <f>COUNTIFS(tData[SEHTrajectPeriodeDatumTijdVan],"&lt;="&amp;($A638+3/24),tData[SEHTrajectPeriodeDatumTijdTotEnMet],"&gt;"&amp;($A638+3/24),tData[Langligger01],1)</f>
        <v/>
      </c>
      <c r="H638" s="20">
        <f>COUNTIFS(tData[SEHTrajectPeriodeDatumTijdVan],"&lt;="&amp;($A638+4/24),tData[SEHTrajectPeriodeDatumTijdTotEnMet],"&gt;"&amp;($A638+4/24),tData[Langligger01],1)</f>
        <v/>
      </c>
      <c r="I638" s="20">
        <f>COUNTIFS(tData[SEHTrajectPeriodeDatumTijdVan],"&lt;="&amp;($A638+5/24),tData[SEHTrajectPeriodeDatumTijdTotEnMet],"&gt;"&amp;($A638+5/24),tData[Langligger01],1)</f>
        <v/>
      </c>
      <c r="J638" s="20">
        <f>COUNTIFS(tData[SEHTrajectPeriodeDatumTijdVan],"&lt;="&amp;($A638+6/24),tData[SEHTrajectPeriodeDatumTijdTotEnMet],"&gt;"&amp;($A638+6/24),tData[Langligger01],1)</f>
        <v/>
      </c>
      <c r="K638" s="20">
        <f>COUNTIFS(tData[SEHTrajectPeriodeDatumTijdVan],"&lt;="&amp;($A638+7/24),tData[SEHTrajectPeriodeDatumTijdTotEnMet],"&gt;"&amp;($A638+7/24),tData[Langligger01],1)</f>
        <v/>
      </c>
      <c r="L638" s="20">
        <f>COUNTIFS(tData[SEHTrajectPeriodeDatumTijdVan],"&lt;="&amp;($A638+8/24),tData[SEHTrajectPeriodeDatumTijdTotEnMet],"&gt;"&amp;($A638+8/24),tData[Langligger01],1)</f>
        <v/>
      </c>
      <c r="M638" s="20">
        <f>COUNTIFS(tData[SEHTrajectPeriodeDatumTijdVan],"&lt;="&amp;($A638+9/24),tData[SEHTrajectPeriodeDatumTijdTotEnMet],"&gt;"&amp;($A638+9/24),tData[Langligger01],1)</f>
        <v/>
      </c>
      <c r="N638" s="20">
        <f>COUNTIFS(tData[SEHTrajectPeriodeDatumTijdVan],"&lt;="&amp;($A638+10/24),tData[SEHTrajectPeriodeDatumTijdTotEnMet],"&gt;"&amp;($A638+10/24),tData[Langligger01],1)</f>
        <v/>
      </c>
      <c r="O638" s="20">
        <f>COUNTIFS(tData[SEHTrajectPeriodeDatumTijdVan],"&lt;="&amp;($A638+11/24),tData[SEHTrajectPeriodeDatumTijdTotEnMet],"&gt;"&amp;($A638+11/24),tData[Langligger01],1)</f>
        <v/>
      </c>
      <c r="P638" s="20">
        <f>COUNTIFS(tData[SEHTrajectPeriodeDatumTijdVan],"&lt;="&amp;($A638+12/24),tData[SEHTrajectPeriodeDatumTijdTotEnMet],"&gt;"&amp;($A638+12/24),tData[Langligger01],1)</f>
        <v/>
      </c>
      <c r="Q638" s="20">
        <f>COUNTIFS(tData[SEHTrajectPeriodeDatumTijdVan],"&lt;="&amp;($A638+13/24),tData[SEHTrajectPeriodeDatumTijdTotEnMet],"&gt;"&amp;($A638+13/24),tData[Langligger01],1)</f>
        <v/>
      </c>
      <c r="R638" s="20">
        <f>COUNTIFS(tData[SEHTrajectPeriodeDatumTijdVan],"&lt;="&amp;($A638+14/24),tData[SEHTrajectPeriodeDatumTijdTotEnMet],"&gt;"&amp;($A638+14/24),tData[Langligger01],1)</f>
        <v/>
      </c>
      <c r="S638" s="20">
        <f>COUNTIFS(tData[SEHTrajectPeriodeDatumTijdVan],"&lt;="&amp;($A638+15/24),tData[SEHTrajectPeriodeDatumTijdTotEnMet],"&gt;"&amp;($A638+15/24),tData[Langligger01],1)</f>
        <v/>
      </c>
      <c r="T638" s="20">
        <f>COUNTIFS(tData[SEHTrajectPeriodeDatumTijdVan],"&lt;="&amp;($A638+16/24),tData[SEHTrajectPeriodeDatumTijdTotEnMet],"&gt;"&amp;($A638+16/24),tData[Langligger01],1)</f>
        <v/>
      </c>
      <c r="U638" s="20">
        <f>COUNTIFS(tData[SEHTrajectPeriodeDatumTijdVan],"&lt;="&amp;($A638+17/24),tData[SEHTrajectPeriodeDatumTijdTotEnMet],"&gt;"&amp;($A638+17/24),tData[Langligger01],1)</f>
        <v/>
      </c>
      <c r="V638" s="20">
        <f>COUNTIFS(tData[SEHTrajectPeriodeDatumTijdVan],"&lt;="&amp;($A638+18/24),tData[SEHTrajectPeriodeDatumTijdTotEnMet],"&gt;"&amp;($A638+18/24),tData[Langligger01],1)</f>
        <v/>
      </c>
      <c r="W638" s="20">
        <f>COUNTIFS(tData[SEHTrajectPeriodeDatumTijdVan],"&lt;="&amp;($A638+19/24),tData[SEHTrajectPeriodeDatumTijdTotEnMet],"&gt;"&amp;($A638+19/24),tData[Langligger01],1)</f>
        <v/>
      </c>
      <c r="X638" s="20">
        <f>COUNTIFS(tData[SEHTrajectPeriodeDatumTijdVan],"&lt;="&amp;($A638+20/24),tData[SEHTrajectPeriodeDatumTijdTotEnMet],"&gt;"&amp;($A638+20/24),tData[Langligger01],1)</f>
        <v/>
      </c>
      <c r="Y638" s="20">
        <f>COUNTIFS(tData[SEHTrajectPeriodeDatumTijdVan],"&lt;="&amp;($A638+21/24),tData[SEHTrajectPeriodeDatumTijdTotEnMet],"&gt;"&amp;($A638+21/24),tData[Langligger01],1)</f>
        <v/>
      </c>
      <c r="Z638" s="20">
        <f>COUNTIFS(tData[SEHTrajectPeriodeDatumTijdVan],"&lt;="&amp;($A638+22/24),tData[SEHTrajectPeriodeDatumTijdTotEnMet],"&gt;"&amp;($A638+22/24),tData[Langligger01],1)</f>
        <v/>
      </c>
      <c r="AA638" s="20">
        <f>COUNTIFS(tData[SEHTrajectPeriodeDatumTijdVan],"&lt;="&amp;($A638+23/24),tData[SEHTrajectPeriodeDatumTijdTotEnMet],"&gt;"&amp;($A638+23/24),tData[Langligger01],1)</f>
        <v/>
      </c>
    </row>
    <row r="639">
      <c r="A639" s="19" t="n">
        <v>45927</v>
      </c>
      <c r="B639" s="15">
        <f>WEEKDAY($A639,2)</f>
        <v/>
      </c>
      <c r="C639" s="15">
        <f>IF(AND($A639&gt;=INT(Instellingen!$B$5),$A639&lt;=INT(Instellingen!$B$6)),1,0)</f>
        <v/>
      </c>
      <c r="D639" s="20">
        <f>COUNTIFS(tData[SEHTrajectPeriodeDatumTijdVan],"&lt;="&amp;($A639+0/24),tData[SEHTrajectPeriodeDatumTijdTotEnMet],"&gt;"&amp;($A639+0/24),tData[Langligger01],1)</f>
        <v/>
      </c>
      <c r="E639" s="20">
        <f>COUNTIFS(tData[SEHTrajectPeriodeDatumTijdVan],"&lt;="&amp;($A639+1/24),tData[SEHTrajectPeriodeDatumTijdTotEnMet],"&gt;"&amp;($A639+1/24),tData[Langligger01],1)</f>
        <v/>
      </c>
      <c r="F639" s="20">
        <f>COUNTIFS(tData[SEHTrajectPeriodeDatumTijdVan],"&lt;="&amp;($A639+2/24),tData[SEHTrajectPeriodeDatumTijdTotEnMet],"&gt;"&amp;($A639+2/24),tData[Langligger01],1)</f>
        <v/>
      </c>
      <c r="G639" s="20">
        <f>COUNTIFS(tData[SEHTrajectPeriodeDatumTijdVan],"&lt;="&amp;($A639+3/24),tData[SEHTrajectPeriodeDatumTijdTotEnMet],"&gt;"&amp;($A639+3/24),tData[Langligger01],1)</f>
        <v/>
      </c>
      <c r="H639" s="20">
        <f>COUNTIFS(tData[SEHTrajectPeriodeDatumTijdVan],"&lt;="&amp;($A639+4/24),tData[SEHTrajectPeriodeDatumTijdTotEnMet],"&gt;"&amp;($A639+4/24),tData[Langligger01],1)</f>
        <v/>
      </c>
      <c r="I639" s="20">
        <f>COUNTIFS(tData[SEHTrajectPeriodeDatumTijdVan],"&lt;="&amp;($A639+5/24),tData[SEHTrajectPeriodeDatumTijdTotEnMet],"&gt;"&amp;($A639+5/24),tData[Langligger01],1)</f>
        <v/>
      </c>
      <c r="J639" s="20">
        <f>COUNTIFS(tData[SEHTrajectPeriodeDatumTijdVan],"&lt;="&amp;($A639+6/24),tData[SEHTrajectPeriodeDatumTijdTotEnMet],"&gt;"&amp;($A639+6/24),tData[Langligger01],1)</f>
        <v/>
      </c>
      <c r="K639" s="20">
        <f>COUNTIFS(tData[SEHTrajectPeriodeDatumTijdVan],"&lt;="&amp;($A639+7/24),tData[SEHTrajectPeriodeDatumTijdTotEnMet],"&gt;"&amp;($A639+7/24),tData[Langligger01],1)</f>
        <v/>
      </c>
      <c r="L639" s="20">
        <f>COUNTIFS(tData[SEHTrajectPeriodeDatumTijdVan],"&lt;="&amp;($A639+8/24),tData[SEHTrajectPeriodeDatumTijdTotEnMet],"&gt;"&amp;($A639+8/24),tData[Langligger01],1)</f>
        <v/>
      </c>
      <c r="M639" s="20">
        <f>COUNTIFS(tData[SEHTrajectPeriodeDatumTijdVan],"&lt;="&amp;($A639+9/24),tData[SEHTrajectPeriodeDatumTijdTotEnMet],"&gt;"&amp;($A639+9/24),tData[Langligger01],1)</f>
        <v/>
      </c>
      <c r="N639" s="20">
        <f>COUNTIFS(tData[SEHTrajectPeriodeDatumTijdVan],"&lt;="&amp;($A639+10/24),tData[SEHTrajectPeriodeDatumTijdTotEnMet],"&gt;"&amp;($A639+10/24),tData[Langligger01],1)</f>
        <v/>
      </c>
      <c r="O639" s="20">
        <f>COUNTIFS(tData[SEHTrajectPeriodeDatumTijdVan],"&lt;="&amp;($A639+11/24),tData[SEHTrajectPeriodeDatumTijdTotEnMet],"&gt;"&amp;($A639+11/24),tData[Langligger01],1)</f>
        <v/>
      </c>
      <c r="P639" s="20">
        <f>COUNTIFS(tData[SEHTrajectPeriodeDatumTijdVan],"&lt;="&amp;($A639+12/24),tData[SEHTrajectPeriodeDatumTijdTotEnMet],"&gt;"&amp;($A639+12/24),tData[Langligger01],1)</f>
        <v/>
      </c>
      <c r="Q639" s="20">
        <f>COUNTIFS(tData[SEHTrajectPeriodeDatumTijdVan],"&lt;="&amp;($A639+13/24),tData[SEHTrajectPeriodeDatumTijdTotEnMet],"&gt;"&amp;($A639+13/24),tData[Langligger01],1)</f>
        <v/>
      </c>
      <c r="R639" s="20">
        <f>COUNTIFS(tData[SEHTrajectPeriodeDatumTijdVan],"&lt;="&amp;($A639+14/24),tData[SEHTrajectPeriodeDatumTijdTotEnMet],"&gt;"&amp;($A639+14/24),tData[Langligger01],1)</f>
        <v/>
      </c>
      <c r="S639" s="20">
        <f>COUNTIFS(tData[SEHTrajectPeriodeDatumTijdVan],"&lt;="&amp;($A639+15/24),tData[SEHTrajectPeriodeDatumTijdTotEnMet],"&gt;"&amp;($A639+15/24),tData[Langligger01],1)</f>
        <v/>
      </c>
      <c r="T639" s="20">
        <f>COUNTIFS(tData[SEHTrajectPeriodeDatumTijdVan],"&lt;="&amp;($A639+16/24),tData[SEHTrajectPeriodeDatumTijdTotEnMet],"&gt;"&amp;($A639+16/24),tData[Langligger01],1)</f>
        <v/>
      </c>
      <c r="U639" s="20">
        <f>COUNTIFS(tData[SEHTrajectPeriodeDatumTijdVan],"&lt;="&amp;($A639+17/24),tData[SEHTrajectPeriodeDatumTijdTotEnMet],"&gt;"&amp;($A639+17/24),tData[Langligger01],1)</f>
        <v/>
      </c>
      <c r="V639" s="20">
        <f>COUNTIFS(tData[SEHTrajectPeriodeDatumTijdVan],"&lt;="&amp;($A639+18/24),tData[SEHTrajectPeriodeDatumTijdTotEnMet],"&gt;"&amp;($A639+18/24),tData[Langligger01],1)</f>
        <v/>
      </c>
      <c r="W639" s="20">
        <f>COUNTIFS(tData[SEHTrajectPeriodeDatumTijdVan],"&lt;="&amp;($A639+19/24),tData[SEHTrajectPeriodeDatumTijdTotEnMet],"&gt;"&amp;($A639+19/24),tData[Langligger01],1)</f>
        <v/>
      </c>
      <c r="X639" s="20">
        <f>COUNTIFS(tData[SEHTrajectPeriodeDatumTijdVan],"&lt;="&amp;($A639+20/24),tData[SEHTrajectPeriodeDatumTijdTotEnMet],"&gt;"&amp;($A639+20/24),tData[Langligger01],1)</f>
        <v/>
      </c>
      <c r="Y639" s="20">
        <f>COUNTIFS(tData[SEHTrajectPeriodeDatumTijdVan],"&lt;="&amp;($A639+21/24),tData[SEHTrajectPeriodeDatumTijdTotEnMet],"&gt;"&amp;($A639+21/24),tData[Langligger01],1)</f>
        <v/>
      </c>
      <c r="Z639" s="20">
        <f>COUNTIFS(tData[SEHTrajectPeriodeDatumTijdVan],"&lt;="&amp;($A639+22/24),tData[SEHTrajectPeriodeDatumTijdTotEnMet],"&gt;"&amp;($A639+22/24),tData[Langligger01],1)</f>
        <v/>
      </c>
      <c r="AA639" s="20">
        <f>COUNTIFS(tData[SEHTrajectPeriodeDatumTijdVan],"&lt;="&amp;($A639+23/24),tData[SEHTrajectPeriodeDatumTijdTotEnMet],"&gt;"&amp;($A639+23/24),tData[Langligger01],1)</f>
        <v/>
      </c>
    </row>
    <row r="640">
      <c r="A640" s="19" t="n">
        <v>45928</v>
      </c>
      <c r="B640" s="15">
        <f>WEEKDAY($A640,2)</f>
        <v/>
      </c>
      <c r="C640" s="15">
        <f>IF(AND($A640&gt;=INT(Instellingen!$B$5),$A640&lt;=INT(Instellingen!$B$6)),1,0)</f>
        <v/>
      </c>
      <c r="D640" s="20">
        <f>COUNTIFS(tData[SEHTrajectPeriodeDatumTijdVan],"&lt;="&amp;($A640+0/24),tData[SEHTrajectPeriodeDatumTijdTotEnMet],"&gt;"&amp;($A640+0/24),tData[Langligger01],1)</f>
        <v/>
      </c>
      <c r="E640" s="20">
        <f>COUNTIFS(tData[SEHTrajectPeriodeDatumTijdVan],"&lt;="&amp;($A640+1/24),tData[SEHTrajectPeriodeDatumTijdTotEnMet],"&gt;"&amp;($A640+1/24),tData[Langligger01],1)</f>
        <v/>
      </c>
      <c r="F640" s="20">
        <f>COUNTIFS(tData[SEHTrajectPeriodeDatumTijdVan],"&lt;="&amp;($A640+2/24),tData[SEHTrajectPeriodeDatumTijdTotEnMet],"&gt;"&amp;($A640+2/24),tData[Langligger01],1)</f>
        <v/>
      </c>
      <c r="G640" s="20">
        <f>COUNTIFS(tData[SEHTrajectPeriodeDatumTijdVan],"&lt;="&amp;($A640+3/24),tData[SEHTrajectPeriodeDatumTijdTotEnMet],"&gt;"&amp;($A640+3/24),tData[Langligger01],1)</f>
        <v/>
      </c>
      <c r="H640" s="20">
        <f>COUNTIFS(tData[SEHTrajectPeriodeDatumTijdVan],"&lt;="&amp;($A640+4/24),tData[SEHTrajectPeriodeDatumTijdTotEnMet],"&gt;"&amp;($A640+4/24),tData[Langligger01],1)</f>
        <v/>
      </c>
      <c r="I640" s="20">
        <f>COUNTIFS(tData[SEHTrajectPeriodeDatumTijdVan],"&lt;="&amp;($A640+5/24),tData[SEHTrajectPeriodeDatumTijdTotEnMet],"&gt;"&amp;($A640+5/24),tData[Langligger01],1)</f>
        <v/>
      </c>
      <c r="J640" s="20">
        <f>COUNTIFS(tData[SEHTrajectPeriodeDatumTijdVan],"&lt;="&amp;($A640+6/24),tData[SEHTrajectPeriodeDatumTijdTotEnMet],"&gt;"&amp;($A640+6/24),tData[Langligger01],1)</f>
        <v/>
      </c>
      <c r="K640" s="20">
        <f>COUNTIFS(tData[SEHTrajectPeriodeDatumTijdVan],"&lt;="&amp;($A640+7/24),tData[SEHTrajectPeriodeDatumTijdTotEnMet],"&gt;"&amp;($A640+7/24),tData[Langligger01],1)</f>
        <v/>
      </c>
      <c r="L640" s="20">
        <f>COUNTIFS(tData[SEHTrajectPeriodeDatumTijdVan],"&lt;="&amp;($A640+8/24),tData[SEHTrajectPeriodeDatumTijdTotEnMet],"&gt;"&amp;($A640+8/24),tData[Langligger01],1)</f>
        <v/>
      </c>
      <c r="M640" s="20">
        <f>COUNTIFS(tData[SEHTrajectPeriodeDatumTijdVan],"&lt;="&amp;($A640+9/24),tData[SEHTrajectPeriodeDatumTijdTotEnMet],"&gt;"&amp;($A640+9/24),tData[Langligger01],1)</f>
        <v/>
      </c>
      <c r="N640" s="20">
        <f>COUNTIFS(tData[SEHTrajectPeriodeDatumTijdVan],"&lt;="&amp;($A640+10/24),tData[SEHTrajectPeriodeDatumTijdTotEnMet],"&gt;"&amp;($A640+10/24),tData[Langligger01],1)</f>
        <v/>
      </c>
      <c r="O640" s="20">
        <f>COUNTIFS(tData[SEHTrajectPeriodeDatumTijdVan],"&lt;="&amp;($A640+11/24),tData[SEHTrajectPeriodeDatumTijdTotEnMet],"&gt;"&amp;($A640+11/24),tData[Langligger01],1)</f>
        <v/>
      </c>
      <c r="P640" s="20">
        <f>COUNTIFS(tData[SEHTrajectPeriodeDatumTijdVan],"&lt;="&amp;($A640+12/24),tData[SEHTrajectPeriodeDatumTijdTotEnMet],"&gt;"&amp;($A640+12/24),tData[Langligger01],1)</f>
        <v/>
      </c>
      <c r="Q640" s="20">
        <f>COUNTIFS(tData[SEHTrajectPeriodeDatumTijdVan],"&lt;="&amp;($A640+13/24),tData[SEHTrajectPeriodeDatumTijdTotEnMet],"&gt;"&amp;($A640+13/24),tData[Langligger01],1)</f>
        <v/>
      </c>
      <c r="R640" s="20">
        <f>COUNTIFS(tData[SEHTrajectPeriodeDatumTijdVan],"&lt;="&amp;($A640+14/24),tData[SEHTrajectPeriodeDatumTijdTotEnMet],"&gt;"&amp;($A640+14/24),tData[Langligger01],1)</f>
        <v/>
      </c>
      <c r="S640" s="20">
        <f>COUNTIFS(tData[SEHTrajectPeriodeDatumTijdVan],"&lt;="&amp;($A640+15/24),tData[SEHTrajectPeriodeDatumTijdTotEnMet],"&gt;"&amp;($A640+15/24),tData[Langligger01],1)</f>
        <v/>
      </c>
      <c r="T640" s="20">
        <f>COUNTIFS(tData[SEHTrajectPeriodeDatumTijdVan],"&lt;="&amp;($A640+16/24),tData[SEHTrajectPeriodeDatumTijdTotEnMet],"&gt;"&amp;($A640+16/24),tData[Langligger01],1)</f>
        <v/>
      </c>
      <c r="U640" s="20">
        <f>COUNTIFS(tData[SEHTrajectPeriodeDatumTijdVan],"&lt;="&amp;($A640+17/24),tData[SEHTrajectPeriodeDatumTijdTotEnMet],"&gt;"&amp;($A640+17/24),tData[Langligger01],1)</f>
        <v/>
      </c>
      <c r="V640" s="20">
        <f>COUNTIFS(tData[SEHTrajectPeriodeDatumTijdVan],"&lt;="&amp;($A640+18/24),tData[SEHTrajectPeriodeDatumTijdTotEnMet],"&gt;"&amp;($A640+18/24),tData[Langligger01],1)</f>
        <v/>
      </c>
      <c r="W640" s="20">
        <f>COUNTIFS(tData[SEHTrajectPeriodeDatumTijdVan],"&lt;="&amp;($A640+19/24),tData[SEHTrajectPeriodeDatumTijdTotEnMet],"&gt;"&amp;($A640+19/24),tData[Langligger01],1)</f>
        <v/>
      </c>
      <c r="X640" s="20">
        <f>COUNTIFS(tData[SEHTrajectPeriodeDatumTijdVan],"&lt;="&amp;($A640+20/24),tData[SEHTrajectPeriodeDatumTijdTotEnMet],"&gt;"&amp;($A640+20/24),tData[Langligger01],1)</f>
        <v/>
      </c>
      <c r="Y640" s="20">
        <f>COUNTIFS(tData[SEHTrajectPeriodeDatumTijdVan],"&lt;="&amp;($A640+21/24),tData[SEHTrajectPeriodeDatumTijdTotEnMet],"&gt;"&amp;($A640+21/24),tData[Langligger01],1)</f>
        <v/>
      </c>
      <c r="Z640" s="20">
        <f>COUNTIFS(tData[SEHTrajectPeriodeDatumTijdVan],"&lt;="&amp;($A640+22/24),tData[SEHTrajectPeriodeDatumTijdTotEnMet],"&gt;"&amp;($A640+22/24),tData[Langligger01],1)</f>
        <v/>
      </c>
      <c r="AA640" s="20">
        <f>COUNTIFS(tData[SEHTrajectPeriodeDatumTijdVan],"&lt;="&amp;($A640+23/24),tData[SEHTrajectPeriodeDatumTijdTotEnMet],"&gt;"&amp;($A640+23/24),tData[Langligger01],1)</f>
        <v/>
      </c>
    </row>
    <row r="641">
      <c r="A641" s="19" t="n">
        <v>45929</v>
      </c>
      <c r="B641" s="15">
        <f>WEEKDAY($A641,2)</f>
        <v/>
      </c>
      <c r="C641" s="15">
        <f>IF(AND($A641&gt;=INT(Instellingen!$B$5),$A641&lt;=INT(Instellingen!$B$6)),1,0)</f>
        <v/>
      </c>
      <c r="D641" s="20">
        <f>COUNTIFS(tData[SEHTrajectPeriodeDatumTijdVan],"&lt;="&amp;($A641+0/24),tData[SEHTrajectPeriodeDatumTijdTotEnMet],"&gt;"&amp;($A641+0/24),tData[Langligger01],1)</f>
        <v/>
      </c>
      <c r="E641" s="20">
        <f>COUNTIFS(tData[SEHTrajectPeriodeDatumTijdVan],"&lt;="&amp;($A641+1/24),tData[SEHTrajectPeriodeDatumTijdTotEnMet],"&gt;"&amp;($A641+1/24),tData[Langligger01],1)</f>
        <v/>
      </c>
      <c r="F641" s="20">
        <f>COUNTIFS(tData[SEHTrajectPeriodeDatumTijdVan],"&lt;="&amp;($A641+2/24),tData[SEHTrajectPeriodeDatumTijdTotEnMet],"&gt;"&amp;($A641+2/24),tData[Langligger01],1)</f>
        <v/>
      </c>
      <c r="G641" s="20">
        <f>COUNTIFS(tData[SEHTrajectPeriodeDatumTijdVan],"&lt;="&amp;($A641+3/24),tData[SEHTrajectPeriodeDatumTijdTotEnMet],"&gt;"&amp;($A641+3/24),tData[Langligger01],1)</f>
        <v/>
      </c>
      <c r="H641" s="20">
        <f>COUNTIFS(tData[SEHTrajectPeriodeDatumTijdVan],"&lt;="&amp;($A641+4/24),tData[SEHTrajectPeriodeDatumTijdTotEnMet],"&gt;"&amp;($A641+4/24),tData[Langligger01],1)</f>
        <v/>
      </c>
      <c r="I641" s="20">
        <f>COUNTIFS(tData[SEHTrajectPeriodeDatumTijdVan],"&lt;="&amp;($A641+5/24),tData[SEHTrajectPeriodeDatumTijdTotEnMet],"&gt;"&amp;($A641+5/24),tData[Langligger01],1)</f>
        <v/>
      </c>
      <c r="J641" s="20">
        <f>COUNTIFS(tData[SEHTrajectPeriodeDatumTijdVan],"&lt;="&amp;($A641+6/24),tData[SEHTrajectPeriodeDatumTijdTotEnMet],"&gt;"&amp;($A641+6/24),tData[Langligger01],1)</f>
        <v/>
      </c>
      <c r="K641" s="20">
        <f>COUNTIFS(tData[SEHTrajectPeriodeDatumTijdVan],"&lt;="&amp;($A641+7/24),tData[SEHTrajectPeriodeDatumTijdTotEnMet],"&gt;"&amp;($A641+7/24),tData[Langligger01],1)</f>
        <v/>
      </c>
      <c r="L641" s="20">
        <f>COUNTIFS(tData[SEHTrajectPeriodeDatumTijdVan],"&lt;="&amp;($A641+8/24),tData[SEHTrajectPeriodeDatumTijdTotEnMet],"&gt;"&amp;($A641+8/24),tData[Langligger01],1)</f>
        <v/>
      </c>
      <c r="M641" s="20">
        <f>COUNTIFS(tData[SEHTrajectPeriodeDatumTijdVan],"&lt;="&amp;($A641+9/24),tData[SEHTrajectPeriodeDatumTijdTotEnMet],"&gt;"&amp;($A641+9/24),tData[Langligger01],1)</f>
        <v/>
      </c>
      <c r="N641" s="20">
        <f>COUNTIFS(tData[SEHTrajectPeriodeDatumTijdVan],"&lt;="&amp;($A641+10/24),tData[SEHTrajectPeriodeDatumTijdTotEnMet],"&gt;"&amp;($A641+10/24),tData[Langligger01],1)</f>
        <v/>
      </c>
      <c r="O641" s="20">
        <f>COUNTIFS(tData[SEHTrajectPeriodeDatumTijdVan],"&lt;="&amp;($A641+11/24),tData[SEHTrajectPeriodeDatumTijdTotEnMet],"&gt;"&amp;($A641+11/24),tData[Langligger01],1)</f>
        <v/>
      </c>
      <c r="P641" s="20">
        <f>COUNTIFS(tData[SEHTrajectPeriodeDatumTijdVan],"&lt;="&amp;($A641+12/24),tData[SEHTrajectPeriodeDatumTijdTotEnMet],"&gt;"&amp;($A641+12/24),tData[Langligger01],1)</f>
        <v/>
      </c>
      <c r="Q641" s="20">
        <f>COUNTIFS(tData[SEHTrajectPeriodeDatumTijdVan],"&lt;="&amp;($A641+13/24),tData[SEHTrajectPeriodeDatumTijdTotEnMet],"&gt;"&amp;($A641+13/24),tData[Langligger01],1)</f>
        <v/>
      </c>
      <c r="R641" s="20">
        <f>COUNTIFS(tData[SEHTrajectPeriodeDatumTijdVan],"&lt;="&amp;($A641+14/24),tData[SEHTrajectPeriodeDatumTijdTotEnMet],"&gt;"&amp;($A641+14/24),tData[Langligger01],1)</f>
        <v/>
      </c>
      <c r="S641" s="20">
        <f>COUNTIFS(tData[SEHTrajectPeriodeDatumTijdVan],"&lt;="&amp;($A641+15/24),tData[SEHTrajectPeriodeDatumTijdTotEnMet],"&gt;"&amp;($A641+15/24),tData[Langligger01],1)</f>
        <v/>
      </c>
      <c r="T641" s="20">
        <f>COUNTIFS(tData[SEHTrajectPeriodeDatumTijdVan],"&lt;="&amp;($A641+16/24),tData[SEHTrajectPeriodeDatumTijdTotEnMet],"&gt;"&amp;($A641+16/24),tData[Langligger01],1)</f>
        <v/>
      </c>
      <c r="U641" s="20">
        <f>COUNTIFS(tData[SEHTrajectPeriodeDatumTijdVan],"&lt;="&amp;($A641+17/24),tData[SEHTrajectPeriodeDatumTijdTotEnMet],"&gt;"&amp;($A641+17/24),tData[Langligger01],1)</f>
        <v/>
      </c>
      <c r="V641" s="20">
        <f>COUNTIFS(tData[SEHTrajectPeriodeDatumTijdVan],"&lt;="&amp;($A641+18/24),tData[SEHTrajectPeriodeDatumTijdTotEnMet],"&gt;"&amp;($A641+18/24),tData[Langligger01],1)</f>
        <v/>
      </c>
      <c r="W641" s="20">
        <f>COUNTIFS(tData[SEHTrajectPeriodeDatumTijdVan],"&lt;="&amp;($A641+19/24),tData[SEHTrajectPeriodeDatumTijdTotEnMet],"&gt;"&amp;($A641+19/24),tData[Langligger01],1)</f>
        <v/>
      </c>
      <c r="X641" s="20">
        <f>COUNTIFS(tData[SEHTrajectPeriodeDatumTijdVan],"&lt;="&amp;($A641+20/24),tData[SEHTrajectPeriodeDatumTijdTotEnMet],"&gt;"&amp;($A641+20/24),tData[Langligger01],1)</f>
        <v/>
      </c>
      <c r="Y641" s="20">
        <f>COUNTIFS(tData[SEHTrajectPeriodeDatumTijdVan],"&lt;="&amp;($A641+21/24),tData[SEHTrajectPeriodeDatumTijdTotEnMet],"&gt;"&amp;($A641+21/24),tData[Langligger01],1)</f>
        <v/>
      </c>
      <c r="Z641" s="20">
        <f>COUNTIFS(tData[SEHTrajectPeriodeDatumTijdVan],"&lt;="&amp;($A641+22/24),tData[SEHTrajectPeriodeDatumTijdTotEnMet],"&gt;"&amp;($A641+22/24),tData[Langligger01],1)</f>
        <v/>
      </c>
      <c r="AA641" s="20">
        <f>COUNTIFS(tData[SEHTrajectPeriodeDatumTijdVan],"&lt;="&amp;($A641+23/24),tData[SEHTrajectPeriodeDatumTijdTotEnMet],"&gt;"&amp;($A641+23/24),tData[Langligger01],1)</f>
        <v/>
      </c>
    </row>
    <row r="642">
      <c r="A642" s="19" t="n">
        <v>45930</v>
      </c>
      <c r="B642" s="15">
        <f>WEEKDAY($A642,2)</f>
        <v/>
      </c>
      <c r="C642" s="15">
        <f>IF(AND($A642&gt;=INT(Instellingen!$B$5),$A642&lt;=INT(Instellingen!$B$6)),1,0)</f>
        <v/>
      </c>
      <c r="D642" s="20">
        <f>COUNTIFS(tData[SEHTrajectPeriodeDatumTijdVan],"&lt;="&amp;($A642+0/24),tData[SEHTrajectPeriodeDatumTijdTotEnMet],"&gt;"&amp;($A642+0/24),tData[Langligger01],1)</f>
        <v/>
      </c>
      <c r="E642" s="20">
        <f>COUNTIFS(tData[SEHTrajectPeriodeDatumTijdVan],"&lt;="&amp;($A642+1/24),tData[SEHTrajectPeriodeDatumTijdTotEnMet],"&gt;"&amp;($A642+1/24),tData[Langligger01],1)</f>
        <v/>
      </c>
      <c r="F642" s="20">
        <f>COUNTIFS(tData[SEHTrajectPeriodeDatumTijdVan],"&lt;="&amp;($A642+2/24),tData[SEHTrajectPeriodeDatumTijdTotEnMet],"&gt;"&amp;($A642+2/24),tData[Langligger01],1)</f>
        <v/>
      </c>
      <c r="G642" s="20">
        <f>COUNTIFS(tData[SEHTrajectPeriodeDatumTijdVan],"&lt;="&amp;($A642+3/24),tData[SEHTrajectPeriodeDatumTijdTotEnMet],"&gt;"&amp;($A642+3/24),tData[Langligger01],1)</f>
        <v/>
      </c>
      <c r="H642" s="20">
        <f>COUNTIFS(tData[SEHTrajectPeriodeDatumTijdVan],"&lt;="&amp;($A642+4/24),tData[SEHTrajectPeriodeDatumTijdTotEnMet],"&gt;"&amp;($A642+4/24),tData[Langligger01],1)</f>
        <v/>
      </c>
      <c r="I642" s="20">
        <f>COUNTIFS(tData[SEHTrajectPeriodeDatumTijdVan],"&lt;="&amp;($A642+5/24),tData[SEHTrajectPeriodeDatumTijdTotEnMet],"&gt;"&amp;($A642+5/24),tData[Langligger01],1)</f>
        <v/>
      </c>
      <c r="J642" s="20">
        <f>COUNTIFS(tData[SEHTrajectPeriodeDatumTijdVan],"&lt;="&amp;($A642+6/24),tData[SEHTrajectPeriodeDatumTijdTotEnMet],"&gt;"&amp;($A642+6/24),tData[Langligger01],1)</f>
        <v/>
      </c>
      <c r="K642" s="20">
        <f>COUNTIFS(tData[SEHTrajectPeriodeDatumTijdVan],"&lt;="&amp;($A642+7/24),tData[SEHTrajectPeriodeDatumTijdTotEnMet],"&gt;"&amp;($A642+7/24),tData[Langligger01],1)</f>
        <v/>
      </c>
      <c r="L642" s="20">
        <f>COUNTIFS(tData[SEHTrajectPeriodeDatumTijdVan],"&lt;="&amp;($A642+8/24),tData[SEHTrajectPeriodeDatumTijdTotEnMet],"&gt;"&amp;($A642+8/24),tData[Langligger01],1)</f>
        <v/>
      </c>
      <c r="M642" s="20">
        <f>COUNTIFS(tData[SEHTrajectPeriodeDatumTijdVan],"&lt;="&amp;($A642+9/24),tData[SEHTrajectPeriodeDatumTijdTotEnMet],"&gt;"&amp;($A642+9/24),tData[Langligger01],1)</f>
        <v/>
      </c>
      <c r="N642" s="20">
        <f>COUNTIFS(tData[SEHTrajectPeriodeDatumTijdVan],"&lt;="&amp;($A642+10/24),tData[SEHTrajectPeriodeDatumTijdTotEnMet],"&gt;"&amp;($A642+10/24),tData[Langligger01],1)</f>
        <v/>
      </c>
      <c r="O642" s="20">
        <f>COUNTIFS(tData[SEHTrajectPeriodeDatumTijdVan],"&lt;="&amp;($A642+11/24),tData[SEHTrajectPeriodeDatumTijdTotEnMet],"&gt;"&amp;($A642+11/24),tData[Langligger01],1)</f>
        <v/>
      </c>
      <c r="P642" s="20">
        <f>COUNTIFS(tData[SEHTrajectPeriodeDatumTijdVan],"&lt;="&amp;($A642+12/24),tData[SEHTrajectPeriodeDatumTijdTotEnMet],"&gt;"&amp;($A642+12/24),tData[Langligger01],1)</f>
        <v/>
      </c>
      <c r="Q642" s="20">
        <f>COUNTIFS(tData[SEHTrajectPeriodeDatumTijdVan],"&lt;="&amp;($A642+13/24),tData[SEHTrajectPeriodeDatumTijdTotEnMet],"&gt;"&amp;($A642+13/24),tData[Langligger01],1)</f>
        <v/>
      </c>
      <c r="R642" s="20">
        <f>COUNTIFS(tData[SEHTrajectPeriodeDatumTijdVan],"&lt;="&amp;($A642+14/24),tData[SEHTrajectPeriodeDatumTijdTotEnMet],"&gt;"&amp;($A642+14/24),tData[Langligger01],1)</f>
        <v/>
      </c>
      <c r="S642" s="20">
        <f>COUNTIFS(tData[SEHTrajectPeriodeDatumTijdVan],"&lt;="&amp;($A642+15/24),tData[SEHTrajectPeriodeDatumTijdTotEnMet],"&gt;"&amp;($A642+15/24),tData[Langligger01],1)</f>
        <v/>
      </c>
      <c r="T642" s="20">
        <f>COUNTIFS(tData[SEHTrajectPeriodeDatumTijdVan],"&lt;="&amp;($A642+16/24),tData[SEHTrajectPeriodeDatumTijdTotEnMet],"&gt;"&amp;($A642+16/24),tData[Langligger01],1)</f>
        <v/>
      </c>
      <c r="U642" s="20">
        <f>COUNTIFS(tData[SEHTrajectPeriodeDatumTijdVan],"&lt;="&amp;($A642+17/24),tData[SEHTrajectPeriodeDatumTijdTotEnMet],"&gt;"&amp;($A642+17/24),tData[Langligger01],1)</f>
        <v/>
      </c>
      <c r="V642" s="20">
        <f>COUNTIFS(tData[SEHTrajectPeriodeDatumTijdVan],"&lt;="&amp;($A642+18/24),tData[SEHTrajectPeriodeDatumTijdTotEnMet],"&gt;"&amp;($A642+18/24),tData[Langligger01],1)</f>
        <v/>
      </c>
      <c r="W642" s="20">
        <f>COUNTIFS(tData[SEHTrajectPeriodeDatumTijdVan],"&lt;="&amp;($A642+19/24),tData[SEHTrajectPeriodeDatumTijdTotEnMet],"&gt;"&amp;($A642+19/24),tData[Langligger01],1)</f>
        <v/>
      </c>
      <c r="X642" s="20">
        <f>COUNTIFS(tData[SEHTrajectPeriodeDatumTijdVan],"&lt;="&amp;($A642+20/24),tData[SEHTrajectPeriodeDatumTijdTotEnMet],"&gt;"&amp;($A642+20/24),tData[Langligger01],1)</f>
        <v/>
      </c>
      <c r="Y642" s="20">
        <f>COUNTIFS(tData[SEHTrajectPeriodeDatumTijdVan],"&lt;="&amp;($A642+21/24),tData[SEHTrajectPeriodeDatumTijdTotEnMet],"&gt;"&amp;($A642+21/24),tData[Langligger01],1)</f>
        <v/>
      </c>
      <c r="Z642" s="20">
        <f>COUNTIFS(tData[SEHTrajectPeriodeDatumTijdVan],"&lt;="&amp;($A642+22/24),tData[SEHTrajectPeriodeDatumTijdTotEnMet],"&gt;"&amp;($A642+22/24),tData[Langligger01],1)</f>
        <v/>
      </c>
      <c r="AA642" s="20">
        <f>COUNTIFS(tData[SEHTrajectPeriodeDatumTijdVan],"&lt;="&amp;($A642+23/24),tData[SEHTrajectPeriodeDatumTijdTotEnMet],"&gt;"&amp;($A642+23/24),tData[Langligger01],1)</f>
        <v/>
      </c>
    </row>
    <row r="643">
      <c r="A643" s="19" t="n">
        <v>45931</v>
      </c>
      <c r="B643" s="15">
        <f>WEEKDAY($A643,2)</f>
        <v/>
      </c>
      <c r="C643" s="15">
        <f>IF(AND($A643&gt;=INT(Instellingen!$B$5),$A643&lt;=INT(Instellingen!$B$6)),1,0)</f>
        <v/>
      </c>
      <c r="D643" s="20">
        <f>COUNTIFS(tData[SEHTrajectPeriodeDatumTijdVan],"&lt;="&amp;($A643+0/24),tData[SEHTrajectPeriodeDatumTijdTotEnMet],"&gt;"&amp;($A643+0/24),tData[Langligger01],1)</f>
        <v/>
      </c>
      <c r="E643" s="20">
        <f>COUNTIFS(tData[SEHTrajectPeriodeDatumTijdVan],"&lt;="&amp;($A643+1/24),tData[SEHTrajectPeriodeDatumTijdTotEnMet],"&gt;"&amp;($A643+1/24),tData[Langligger01],1)</f>
        <v/>
      </c>
      <c r="F643" s="20">
        <f>COUNTIFS(tData[SEHTrajectPeriodeDatumTijdVan],"&lt;="&amp;($A643+2/24),tData[SEHTrajectPeriodeDatumTijdTotEnMet],"&gt;"&amp;($A643+2/24),tData[Langligger01],1)</f>
        <v/>
      </c>
      <c r="G643" s="20">
        <f>COUNTIFS(tData[SEHTrajectPeriodeDatumTijdVan],"&lt;="&amp;($A643+3/24),tData[SEHTrajectPeriodeDatumTijdTotEnMet],"&gt;"&amp;($A643+3/24),tData[Langligger01],1)</f>
        <v/>
      </c>
      <c r="H643" s="20">
        <f>COUNTIFS(tData[SEHTrajectPeriodeDatumTijdVan],"&lt;="&amp;($A643+4/24),tData[SEHTrajectPeriodeDatumTijdTotEnMet],"&gt;"&amp;($A643+4/24),tData[Langligger01],1)</f>
        <v/>
      </c>
      <c r="I643" s="20">
        <f>COUNTIFS(tData[SEHTrajectPeriodeDatumTijdVan],"&lt;="&amp;($A643+5/24),tData[SEHTrajectPeriodeDatumTijdTotEnMet],"&gt;"&amp;($A643+5/24),tData[Langligger01],1)</f>
        <v/>
      </c>
      <c r="J643" s="20">
        <f>COUNTIFS(tData[SEHTrajectPeriodeDatumTijdVan],"&lt;="&amp;($A643+6/24),tData[SEHTrajectPeriodeDatumTijdTotEnMet],"&gt;"&amp;($A643+6/24),tData[Langligger01],1)</f>
        <v/>
      </c>
      <c r="K643" s="20">
        <f>COUNTIFS(tData[SEHTrajectPeriodeDatumTijdVan],"&lt;="&amp;($A643+7/24),tData[SEHTrajectPeriodeDatumTijdTotEnMet],"&gt;"&amp;($A643+7/24),tData[Langligger01],1)</f>
        <v/>
      </c>
      <c r="L643" s="20">
        <f>COUNTIFS(tData[SEHTrajectPeriodeDatumTijdVan],"&lt;="&amp;($A643+8/24),tData[SEHTrajectPeriodeDatumTijdTotEnMet],"&gt;"&amp;($A643+8/24),tData[Langligger01],1)</f>
        <v/>
      </c>
      <c r="M643" s="20">
        <f>COUNTIFS(tData[SEHTrajectPeriodeDatumTijdVan],"&lt;="&amp;($A643+9/24),tData[SEHTrajectPeriodeDatumTijdTotEnMet],"&gt;"&amp;($A643+9/24),tData[Langligger01],1)</f>
        <v/>
      </c>
      <c r="N643" s="20">
        <f>COUNTIFS(tData[SEHTrajectPeriodeDatumTijdVan],"&lt;="&amp;($A643+10/24),tData[SEHTrajectPeriodeDatumTijdTotEnMet],"&gt;"&amp;($A643+10/24),tData[Langligger01],1)</f>
        <v/>
      </c>
      <c r="O643" s="20">
        <f>COUNTIFS(tData[SEHTrajectPeriodeDatumTijdVan],"&lt;="&amp;($A643+11/24),tData[SEHTrajectPeriodeDatumTijdTotEnMet],"&gt;"&amp;($A643+11/24),tData[Langligger01],1)</f>
        <v/>
      </c>
      <c r="P643" s="20">
        <f>COUNTIFS(tData[SEHTrajectPeriodeDatumTijdVan],"&lt;="&amp;($A643+12/24),tData[SEHTrajectPeriodeDatumTijdTotEnMet],"&gt;"&amp;($A643+12/24),tData[Langligger01],1)</f>
        <v/>
      </c>
      <c r="Q643" s="20">
        <f>COUNTIFS(tData[SEHTrajectPeriodeDatumTijdVan],"&lt;="&amp;($A643+13/24),tData[SEHTrajectPeriodeDatumTijdTotEnMet],"&gt;"&amp;($A643+13/24),tData[Langligger01],1)</f>
        <v/>
      </c>
      <c r="R643" s="20">
        <f>COUNTIFS(tData[SEHTrajectPeriodeDatumTijdVan],"&lt;="&amp;($A643+14/24),tData[SEHTrajectPeriodeDatumTijdTotEnMet],"&gt;"&amp;($A643+14/24),tData[Langligger01],1)</f>
        <v/>
      </c>
      <c r="S643" s="20">
        <f>COUNTIFS(tData[SEHTrajectPeriodeDatumTijdVan],"&lt;="&amp;($A643+15/24),tData[SEHTrajectPeriodeDatumTijdTotEnMet],"&gt;"&amp;($A643+15/24),tData[Langligger01],1)</f>
        <v/>
      </c>
      <c r="T643" s="20">
        <f>COUNTIFS(tData[SEHTrajectPeriodeDatumTijdVan],"&lt;="&amp;($A643+16/24),tData[SEHTrajectPeriodeDatumTijdTotEnMet],"&gt;"&amp;($A643+16/24),tData[Langligger01],1)</f>
        <v/>
      </c>
      <c r="U643" s="20">
        <f>COUNTIFS(tData[SEHTrajectPeriodeDatumTijdVan],"&lt;="&amp;($A643+17/24),tData[SEHTrajectPeriodeDatumTijdTotEnMet],"&gt;"&amp;($A643+17/24),tData[Langligger01],1)</f>
        <v/>
      </c>
      <c r="V643" s="20">
        <f>COUNTIFS(tData[SEHTrajectPeriodeDatumTijdVan],"&lt;="&amp;($A643+18/24),tData[SEHTrajectPeriodeDatumTijdTotEnMet],"&gt;"&amp;($A643+18/24),tData[Langligger01],1)</f>
        <v/>
      </c>
      <c r="W643" s="20">
        <f>COUNTIFS(tData[SEHTrajectPeriodeDatumTijdVan],"&lt;="&amp;($A643+19/24),tData[SEHTrajectPeriodeDatumTijdTotEnMet],"&gt;"&amp;($A643+19/24),tData[Langligger01],1)</f>
        <v/>
      </c>
      <c r="X643" s="20">
        <f>COUNTIFS(tData[SEHTrajectPeriodeDatumTijdVan],"&lt;="&amp;($A643+20/24),tData[SEHTrajectPeriodeDatumTijdTotEnMet],"&gt;"&amp;($A643+20/24),tData[Langligger01],1)</f>
        <v/>
      </c>
      <c r="Y643" s="20">
        <f>COUNTIFS(tData[SEHTrajectPeriodeDatumTijdVan],"&lt;="&amp;($A643+21/24),tData[SEHTrajectPeriodeDatumTijdTotEnMet],"&gt;"&amp;($A643+21/24),tData[Langligger01],1)</f>
        <v/>
      </c>
      <c r="Z643" s="20">
        <f>COUNTIFS(tData[SEHTrajectPeriodeDatumTijdVan],"&lt;="&amp;($A643+22/24),tData[SEHTrajectPeriodeDatumTijdTotEnMet],"&gt;"&amp;($A643+22/24),tData[Langligger01],1)</f>
        <v/>
      </c>
      <c r="AA643" s="20">
        <f>COUNTIFS(tData[SEHTrajectPeriodeDatumTijdVan],"&lt;="&amp;($A643+23/24),tData[SEHTrajectPeriodeDatumTijdTotEnMet],"&gt;"&amp;($A643+23/24),tData[Langligger01],1)</f>
        <v/>
      </c>
    </row>
    <row r="644">
      <c r="A644" s="19" t="n">
        <v>45932</v>
      </c>
      <c r="B644" s="15">
        <f>WEEKDAY($A644,2)</f>
        <v/>
      </c>
      <c r="C644" s="15">
        <f>IF(AND($A644&gt;=INT(Instellingen!$B$5),$A644&lt;=INT(Instellingen!$B$6)),1,0)</f>
        <v/>
      </c>
      <c r="D644" s="20">
        <f>COUNTIFS(tData[SEHTrajectPeriodeDatumTijdVan],"&lt;="&amp;($A644+0/24),tData[SEHTrajectPeriodeDatumTijdTotEnMet],"&gt;"&amp;($A644+0/24),tData[Langligger01],1)</f>
        <v/>
      </c>
      <c r="E644" s="20">
        <f>COUNTIFS(tData[SEHTrajectPeriodeDatumTijdVan],"&lt;="&amp;($A644+1/24),tData[SEHTrajectPeriodeDatumTijdTotEnMet],"&gt;"&amp;($A644+1/24),tData[Langligger01],1)</f>
        <v/>
      </c>
      <c r="F644" s="20">
        <f>COUNTIFS(tData[SEHTrajectPeriodeDatumTijdVan],"&lt;="&amp;($A644+2/24),tData[SEHTrajectPeriodeDatumTijdTotEnMet],"&gt;"&amp;($A644+2/24),tData[Langligger01],1)</f>
        <v/>
      </c>
      <c r="G644" s="20">
        <f>COUNTIFS(tData[SEHTrajectPeriodeDatumTijdVan],"&lt;="&amp;($A644+3/24),tData[SEHTrajectPeriodeDatumTijdTotEnMet],"&gt;"&amp;($A644+3/24),tData[Langligger01],1)</f>
        <v/>
      </c>
      <c r="H644" s="20">
        <f>COUNTIFS(tData[SEHTrajectPeriodeDatumTijdVan],"&lt;="&amp;($A644+4/24),tData[SEHTrajectPeriodeDatumTijdTotEnMet],"&gt;"&amp;($A644+4/24),tData[Langligger01],1)</f>
        <v/>
      </c>
      <c r="I644" s="20">
        <f>COUNTIFS(tData[SEHTrajectPeriodeDatumTijdVan],"&lt;="&amp;($A644+5/24),tData[SEHTrajectPeriodeDatumTijdTotEnMet],"&gt;"&amp;($A644+5/24),tData[Langligger01],1)</f>
        <v/>
      </c>
      <c r="J644" s="20">
        <f>COUNTIFS(tData[SEHTrajectPeriodeDatumTijdVan],"&lt;="&amp;($A644+6/24),tData[SEHTrajectPeriodeDatumTijdTotEnMet],"&gt;"&amp;($A644+6/24),tData[Langligger01],1)</f>
        <v/>
      </c>
      <c r="K644" s="20">
        <f>COUNTIFS(tData[SEHTrajectPeriodeDatumTijdVan],"&lt;="&amp;($A644+7/24),tData[SEHTrajectPeriodeDatumTijdTotEnMet],"&gt;"&amp;($A644+7/24),tData[Langligger01],1)</f>
        <v/>
      </c>
      <c r="L644" s="20">
        <f>COUNTIFS(tData[SEHTrajectPeriodeDatumTijdVan],"&lt;="&amp;($A644+8/24),tData[SEHTrajectPeriodeDatumTijdTotEnMet],"&gt;"&amp;($A644+8/24),tData[Langligger01],1)</f>
        <v/>
      </c>
      <c r="M644" s="20">
        <f>COUNTIFS(tData[SEHTrajectPeriodeDatumTijdVan],"&lt;="&amp;($A644+9/24),tData[SEHTrajectPeriodeDatumTijdTotEnMet],"&gt;"&amp;($A644+9/24),tData[Langligger01],1)</f>
        <v/>
      </c>
      <c r="N644" s="20">
        <f>COUNTIFS(tData[SEHTrajectPeriodeDatumTijdVan],"&lt;="&amp;($A644+10/24),tData[SEHTrajectPeriodeDatumTijdTotEnMet],"&gt;"&amp;($A644+10/24),tData[Langligger01],1)</f>
        <v/>
      </c>
      <c r="O644" s="20">
        <f>COUNTIFS(tData[SEHTrajectPeriodeDatumTijdVan],"&lt;="&amp;($A644+11/24),tData[SEHTrajectPeriodeDatumTijdTotEnMet],"&gt;"&amp;($A644+11/24),tData[Langligger01],1)</f>
        <v/>
      </c>
      <c r="P644" s="20">
        <f>COUNTIFS(tData[SEHTrajectPeriodeDatumTijdVan],"&lt;="&amp;($A644+12/24),tData[SEHTrajectPeriodeDatumTijdTotEnMet],"&gt;"&amp;($A644+12/24),tData[Langligger01],1)</f>
        <v/>
      </c>
      <c r="Q644" s="20">
        <f>COUNTIFS(tData[SEHTrajectPeriodeDatumTijdVan],"&lt;="&amp;($A644+13/24),tData[SEHTrajectPeriodeDatumTijdTotEnMet],"&gt;"&amp;($A644+13/24),tData[Langligger01],1)</f>
        <v/>
      </c>
      <c r="R644" s="20">
        <f>COUNTIFS(tData[SEHTrajectPeriodeDatumTijdVan],"&lt;="&amp;($A644+14/24),tData[SEHTrajectPeriodeDatumTijdTotEnMet],"&gt;"&amp;($A644+14/24),tData[Langligger01],1)</f>
        <v/>
      </c>
      <c r="S644" s="20">
        <f>COUNTIFS(tData[SEHTrajectPeriodeDatumTijdVan],"&lt;="&amp;($A644+15/24),tData[SEHTrajectPeriodeDatumTijdTotEnMet],"&gt;"&amp;($A644+15/24),tData[Langligger01],1)</f>
        <v/>
      </c>
      <c r="T644" s="20">
        <f>COUNTIFS(tData[SEHTrajectPeriodeDatumTijdVan],"&lt;="&amp;($A644+16/24),tData[SEHTrajectPeriodeDatumTijdTotEnMet],"&gt;"&amp;($A644+16/24),tData[Langligger01],1)</f>
        <v/>
      </c>
      <c r="U644" s="20">
        <f>COUNTIFS(tData[SEHTrajectPeriodeDatumTijdVan],"&lt;="&amp;($A644+17/24),tData[SEHTrajectPeriodeDatumTijdTotEnMet],"&gt;"&amp;($A644+17/24),tData[Langligger01],1)</f>
        <v/>
      </c>
      <c r="V644" s="20">
        <f>COUNTIFS(tData[SEHTrajectPeriodeDatumTijdVan],"&lt;="&amp;($A644+18/24),tData[SEHTrajectPeriodeDatumTijdTotEnMet],"&gt;"&amp;($A644+18/24),tData[Langligger01],1)</f>
        <v/>
      </c>
      <c r="W644" s="20">
        <f>COUNTIFS(tData[SEHTrajectPeriodeDatumTijdVan],"&lt;="&amp;($A644+19/24),tData[SEHTrajectPeriodeDatumTijdTotEnMet],"&gt;"&amp;($A644+19/24),tData[Langligger01],1)</f>
        <v/>
      </c>
      <c r="X644" s="20">
        <f>COUNTIFS(tData[SEHTrajectPeriodeDatumTijdVan],"&lt;="&amp;($A644+20/24),tData[SEHTrajectPeriodeDatumTijdTotEnMet],"&gt;"&amp;($A644+20/24),tData[Langligger01],1)</f>
        <v/>
      </c>
      <c r="Y644" s="20">
        <f>COUNTIFS(tData[SEHTrajectPeriodeDatumTijdVan],"&lt;="&amp;($A644+21/24),tData[SEHTrajectPeriodeDatumTijdTotEnMet],"&gt;"&amp;($A644+21/24),tData[Langligger01],1)</f>
        <v/>
      </c>
      <c r="Z644" s="20">
        <f>COUNTIFS(tData[SEHTrajectPeriodeDatumTijdVan],"&lt;="&amp;($A644+22/24),tData[SEHTrajectPeriodeDatumTijdTotEnMet],"&gt;"&amp;($A644+22/24),tData[Langligger01],1)</f>
        <v/>
      </c>
      <c r="AA644" s="20">
        <f>COUNTIFS(tData[SEHTrajectPeriodeDatumTijdVan],"&lt;="&amp;($A644+23/24),tData[SEHTrajectPeriodeDatumTijdTotEnMet],"&gt;"&amp;($A644+23/24),tData[Langligger01],1)</f>
        <v/>
      </c>
    </row>
    <row r="645">
      <c r="A645" s="19" t="n">
        <v>45933</v>
      </c>
      <c r="B645" s="15">
        <f>WEEKDAY($A645,2)</f>
        <v/>
      </c>
      <c r="C645" s="15">
        <f>IF(AND($A645&gt;=INT(Instellingen!$B$5),$A645&lt;=INT(Instellingen!$B$6)),1,0)</f>
        <v/>
      </c>
      <c r="D645" s="20">
        <f>COUNTIFS(tData[SEHTrajectPeriodeDatumTijdVan],"&lt;="&amp;($A645+0/24),tData[SEHTrajectPeriodeDatumTijdTotEnMet],"&gt;"&amp;($A645+0/24),tData[Langligger01],1)</f>
        <v/>
      </c>
      <c r="E645" s="20">
        <f>COUNTIFS(tData[SEHTrajectPeriodeDatumTijdVan],"&lt;="&amp;($A645+1/24),tData[SEHTrajectPeriodeDatumTijdTotEnMet],"&gt;"&amp;($A645+1/24),tData[Langligger01],1)</f>
        <v/>
      </c>
      <c r="F645" s="20">
        <f>COUNTIFS(tData[SEHTrajectPeriodeDatumTijdVan],"&lt;="&amp;($A645+2/24),tData[SEHTrajectPeriodeDatumTijdTotEnMet],"&gt;"&amp;($A645+2/24),tData[Langligger01],1)</f>
        <v/>
      </c>
      <c r="G645" s="20">
        <f>COUNTIFS(tData[SEHTrajectPeriodeDatumTijdVan],"&lt;="&amp;($A645+3/24),tData[SEHTrajectPeriodeDatumTijdTotEnMet],"&gt;"&amp;($A645+3/24),tData[Langligger01],1)</f>
        <v/>
      </c>
      <c r="H645" s="20">
        <f>COUNTIFS(tData[SEHTrajectPeriodeDatumTijdVan],"&lt;="&amp;($A645+4/24),tData[SEHTrajectPeriodeDatumTijdTotEnMet],"&gt;"&amp;($A645+4/24),tData[Langligger01],1)</f>
        <v/>
      </c>
      <c r="I645" s="20">
        <f>COUNTIFS(tData[SEHTrajectPeriodeDatumTijdVan],"&lt;="&amp;($A645+5/24),tData[SEHTrajectPeriodeDatumTijdTotEnMet],"&gt;"&amp;($A645+5/24),tData[Langligger01],1)</f>
        <v/>
      </c>
      <c r="J645" s="20">
        <f>COUNTIFS(tData[SEHTrajectPeriodeDatumTijdVan],"&lt;="&amp;($A645+6/24),tData[SEHTrajectPeriodeDatumTijdTotEnMet],"&gt;"&amp;($A645+6/24),tData[Langligger01],1)</f>
        <v/>
      </c>
      <c r="K645" s="20">
        <f>COUNTIFS(tData[SEHTrajectPeriodeDatumTijdVan],"&lt;="&amp;($A645+7/24),tData[SEHTrajectPeriodeDatumTijdTotEnMet],"&gt;"&amp;($A645+7/24),tData[Langligger01],1)</f>
        <v/>
      </c>
      <c r="L645" s="20">
        <f>COUNTIFS(tData[SEHTrajectPeriodeDatumTijdVan],"&lt;="&amp;($A645+8/24),tData[SEHTrajectPeriodeDatumTijdTotEnMet],"&gt;"&amp;($A645+8/24),tData[Langligger01],1)</f>
        <v/>
      </c>
      <c r="M645" s="20">
        <f>COUNTIFS(tData[SEHTrajectPeriodeDatumTijdVan],"&lt;="&amp;($A645+9/24),tData[SEHTrajectPeriodeDatumTijdTotEnMet],"&gt;"&amp;($A645+9/24),tData[Langligger01],1)</f>
        <v/>
      </c>
      <c r="N645" s="20">
        <f>COUNTIFS(tData[SEHTrajectPeriodeDatumTijdVan],"&lt;="&amp;($A645+10/24),tData[SEHTrajectPeriodeDatumTijdTotEnMet],"&gt;"&amp;($A645+10/24),tData[Langligger01],1)</f>
        <v/>
      </c>
      <c r="O645" s="20">
        <f>COUNTIFS(tData[SEHTrajectPeriodeDatumTijdVan],"&lt;="&amp;($A645+11/24),tData[SEHTrajectPeriodeDatumTijdTotEnMet],"&gt;"&amp;($A645+11/24),tData[Langligger01],1)</f>
        <v/>
      </c>
      <c r="P645" s="20">
        <f>COUNTIFS(tData[SEHTrajectPeriodeDatumTijdVan],"&lt;="&amp;($A645+12/24),tData[SEHTrajectPeriodeDatumTijdTotEnMet],"&gt;"&amp;($A645+12/24),tData[Langligger01],1)</f>
        <v/>
      </c>
      <c r="Q645" s="20">
        <f>COUNTIFS(tData[SEHTrajectPeriodeDatumTijdVan],"&lt;="&amp;($A645+13/24),tData[SEHTrajectPeriodeDatumTijdTotEnMet],"&gt;"&amp;($A645+13/24),tData[Langligger01],1)</f>
        <v/>
      </c>
      <c r="R645" s="20">
        <f>COUNTIFS(tData[SEHTrajectPeriodeDatumTijdVan],"&lt;="&amp;($A645+14/24),tData[SEHTrajectPeriodeDatumTijdTotEnMet],"&gt;"&amp;($A645+14/24),tData[Langligger01],1)</f>
        <v/>
      </c>
      <c r="S645" s="20">
        <f>COUNTIFS(tData[SEHTrajectPeriodeDatumTijdVan],"&lt;="&amp;($A645+15/24),tData[SEHTrajectPeriodeDatumTijdTotEnMet],"&gt;"&amp;($A645+15/24),tData[Langligger01],1)</f>
        <v/>
      </c>
      <c r="T645" s="20">
        <f>COUNTIFS(tData[SEHTrajectPeriodeDatumTijdVan],"&lt;="&amp;($A645+16/24),tData[SEHTrajectPeriodeDatumTijdTotEnMet],"&gt;"&amp;($A645+16/24),tData[Langligger01],1)</f>
        <v/>
      </c>
      <c r="U645" s="20">
        <f>COUNTIFS(tData[SEHTrajectPeriodeDatumTijdVan],"&lt;="&amp;($A645+17/24),tData[SEHTrajectPeriodeDatumTijdTotEnMet],"&gt;"&amp;($A645+17/24),tData[Langligger01],1)</f>
        <v/>
      </c>
      <c r="V645" s="20">
        <f>COUNTIFS(tData[SEHTrajectPeriodeDatumTijdVan],"&lt;="&amp;($A645+18/24),tData[SEHTrajectPeriodeDatumTijdTotEnMet],"&gt;"&amp;($A645+18/24),tData[Langligger01],1)</f>
        <v/>
      </c>
      <c r="W645" s="20">
        <f>COUNTIFS(tData[SEHTrajectPeriodeDatumTijdVan],"&lt;="&amp;($A645+19/24),tData[SEHTrajectPeriodeDatumTijdTotEnMet],"&gt;"&amp;($A645+19/24),tData[Langligger01],1)</f>
        <v/>
      </c>
      <c r="X645" s="20">
        <f>COUNTIFS(tData[SEHTrajectPeriodeDatumTijdVan],"&lt;="&amp;($A645+20/24),tData[SEHTrajectPeriodeDatumTijdTotEnMet],"&gt;"&amp;($A645+20/24),tData[Langligger01],1)</f>
        <v/>
      </c>
      <c r="Y645" s="20">
        <f>COUNTIFS(tData[SEHTrajectPeriodeDatumTijdVan],"&lt;="&amp;($A645+21/24),tData[SEHTrajectPeriodeDatumTijdTotEnMet],"&gt;"&amp;($A645+21/24),tData[Langligger01],1)</f>
        <v/>
      </c>
      <c r="Z645" s="20">
        <f>COUNTIFS(tData[SEHTrajectPeriodeDatumTijdVan],"&lt;="&amp;($A645+22/24),tData[SEHTrajectPeriodeDatumTijdTotEnMet],"&gt;"&amp;($A645+22/24),tData[Langligger01],1)</f>
        <v/>
      </c>
      <c r="AA645" s="20">
        <f>COUNTIFS(tData[SEHTrajectPeriodeDatumTijdVan],"&lt;="&amp;($A645+23/24),tData[SEHTrajectPeriodeDatumTijdTotEnMet],"&gt;"&amp;($A645+23/24),tData[Langligger01],1)</f>
        <v/>
      </c>
    </row>
    <row r="646">
      <c r="A646" s="19" t="n">
        <v>45934</v>
      </c>
      <c r="B646" s="15">
        <f>WEEKDAY($A646,2)</f>
        <v/>
      </c>
      <c r="C646" s="15">
        <f>IF(AND($A646&gt;=INT(Instellingen!$B$5),$A646&lt;=INT(Instellingen!$B$6)),1,0)</f>
        <v/>
      </c>
      <c r="D646" s="20">
        <f>COUNTIFS(tData[SEHTrajectPeriodeDatumTijdVan],"&lt;="&amp;($A646+0/24),tData[SEHTrajectPeriodeDatumTijdTotEnMet],"&gt;"&amp;($A646+0/24),tData[Langligger01],1)</f>
        <v/>
      </c>
      <c r="E646" s="20">
        <f>COUNTIFS(tData[SEHTrajectPeriodeDatumTijdVan],"&lt;="&amp;($A646+1/24),tData[SEHTrajectPeriodeDatumTijdTotEnMet],"&gt;"&amp;($A646+1/24),tData[Langligger01],1)</f>
        <v/>
      </c>
      <c r="F646" s="20">
        <f>COUNTIFS(tData[SEHTrajectPeriodeDatumTijdVan],"&lt;="&amp;($A646+2/24),tData[SEHTrajectPeriodeDatumTijdTotEnMet],"&gt;"&amp;($A646+2/24),tData[Langligger01],1)</f>
        <v/>
      </c>
      <c r="G646" s="20">
        <f>COUNTIFS(tData[SEHTrajectPeriodeDatumTijdVan],"&lt;="&amp;($A646+3/24),tData[SEHTrajectPeriodeDatumTijdTotEnMet],"&gt;"&amp;($A646+3/24),tData[Langligger01],1)</f>
        <v/>
      </c>
      <c r="H646" s="20">
        <f>COUNTIFS(tData[SEHTrajectPeriodeDatumTijdVan],"&lt;="&amp;($A646+4/24),tData[SEHTrajectPeriodeDatumTijdTotEnMet],"&gt;"&amp;($A646+4/24),tData[Langligger01],1)</f>
        <v/>
      </c>
      <c r="I646" s="20">
        <f>COUNTIFS(tData[SEHTrajectPeriodeDatumTijdVan],"&lt;="&amp;($A646+5/24),tData[SEHTrajectPeriodeDatumTijdTotEnMet],"&gt;"&amp;($A646+5/24),tData[Langligger01],1)</f>
        <v/>
      </c>
      <c r="J646" s="20">
        <f>COUNTIFS(tData[SEHTrajectPeriodeDatumTijdVan],"&lt;="&amp;($A646+6/24),tData[SEHTrajectPeriodeDatumTijdTotEnMet],"&gt;"&amp;($A646+6/24),tData[Langligger01],1)</f>
        <v/>
      </c>
      <c r="K646" s="20">
        <f>COUNTIFS(tData[SEHTrajectPeriodeDatumTijdVan],"&lt;="&amp;($A646+7/24),tData[SEHTrajectPeriodeDatumTijdTotEnMet],"&gt;"&amp;($A646+7/24),tData[Langligger01],1)</f>
        <v/>
      </c>
      <c r="L646" s="20">
        <f>COUNTIFS(tData[SEHTrajectPeriodeDatumTijdVan],"&lt;="&amp;($A646+8/24),tData[SEHTrajectPeriodeDatumTijdTotEnMet],"&gt;"&amp;($A646+8/24),tData[Langligger01],1)</f>
        <v/>
      </c>
      <c r="M646" s="20">
        <f>COUNTIFS(tData[SEHTrajectPeriodeDatumTijdVan],"&lt;="&amp;($A646+9/24),tData[SEHTrajectPeriodeDatumTijdTotEnMet],"&gt;"&amp;($A646+9/24),tData[Langligger01],1)</f>
        <v/>
      </c>
      <c r="N646" s="20">
        <f>COUNTIFS(tData[SEHTrajectPeriodeDatumTijdVan],"&lt;="&amp;($A646+10/24),tData[SEHTrajectPeriodeDatumTijdTotEnMet],"&gt;"&amp;($A646+10/24),tData[Langligger01],1)</f>
        <v/>
      </c>
      <c r="O646" s="20">
        <f>COUNTIFS(tData[SEHTrajectPeriodeDatumTijdVan],"&lt;="&amp;($A646+11/24),tData[SEHTrajectPeriodeDatumTijdTotEnMet],"&gt;"&amp;($A646+11/24),tData[Langligger01],1)</f>
        <v/>
      </c>
      <c r="P646" s="20">
        <f>COUNTIFS(tData[SEHTrajectPeriodeDatumTijdVan],"&lt;="&amp;($A646+12/24),tData[SEHTrajectPeriodeDatumTijdTotEnMet],"&gt;"&amp;($A646+12/24),tData[Langligger01],1)</f>
        <v/>
      </c>
      <c r="Q646" s="20">
        <f>COUNTIFS(tData[SEHTrajectPeriodeDatumTijdVan],"&lt;="&amp;($A646+13/24),tData[SEHTrajectPeriodeDatumTijdTotEnMet],"&gt;"&amp;($A646+13/24),tData[Langligger01],1)</f>
        <v/>
      </c>
      <c r="R646" s="20">
        <f>COUNTIFS(tData[SEHTrajectPeriodeDatumTijdVan],"&lt;="&amp;($A646+14/24),tData[SEHTrajectPeriodeDatumTijdTotEnMet],"&gt;"&amp;($A646+14/24),tData[Langligger01],1)</f>
        <v/>
      </c>
      <c r="S646" s="20">
        <f>COUNTIFS(tData[SEHTrajectPeriodeDatumTijdVan],"&lt;="&amp;($A646+15/24),tData[SEHTrajectPeriodeDatumTijdTotEnMet],"&gt;"&amp;($A646+15/24),tData[Langligger01],1)</f>
        <v/>
      </c>
      <c r="T646" s="20">
        <f>COUNTIFS(tData[SEHTrajectPeriodeDatumTijdVan],"&lt;="&amp;($A646+16/24),tData[SEHTrajectPeriodeDatumTijdTotEnMet],"&gt;"&amp;($A646+16/24),tData[Langligger01],1)</f>
        <v/>
      </c>
      <c r="U646" s="20">
        <f>COUNTIFS(tData[SEHTrajectPeriodeDatumTijdVan],"&lt;="&amp;($A646+17/24),tData[SEHTrajectPeriodeDatumTijdTotEnMet],"&gt;"&amp;($A646+17/24),tData[Langligger01],1)</f>
        <v/>
      </c>
      <c r="V646" s="20">
        <f>COUNTIFS(tData[SEHTrajectPeriodeDatumTijdVan],"&lt;="&amp;($A646+18/24),tData[SEHTrajectPeriodeDatumTijdTotEnMet],"&gt;"&amp;($A646+18/24),tData[Langligger01],1)</f>
        <v/>
      </c>
      <c r="W646" s="20">
        <f>COUNTIFS(tData[SEHTrajectPeriodeDatumTijdVan],"&lt;="&amp;($A646+19/24),tData[SEHTrajectPeriodeDatumTijdTotEnMet],"&gt;"&amp;($A646+19/24),tData[Langligger01],1)</f>
        <v/>
      </c>
      <c r="X646" s="20">
        <f>COUNTIFS(tData[SEHTrajectPeriodeDatumTijdVan],"&lt;="&amp;($A646+20/24),tData[SEHTrajectPeriodeDatumTijdTotEnMet],"&gt;"&amp;($A646+20/24),tData[Langligger01],1)</f>
        <v/>
      </c>
      <c r="Y646" s="20">
        <f>COUNTIFS(tData[SEHTrajectPeriodeDatumTijdVan],"&lt;="&amp;($A646+21/24),tData[SEHTrajectPeriodeDatumTijdTotEnMet],"&gt;"&amp;($A646+21/24),tData[Langligger01],1)</f>
        <v/>
      </c>
      <c r="Z646" s="20">
        <f>COUNTIFS(tData[SEHTrajectPeriodeDatumTijdVan],"&lt;="&amp;($A646+22/24),tData[SEHTrajectPeriodeDatumTijdTotEnMet],"&gt;"&amp;($A646+22/24),tData[Langligger01],1)</f>
        <v/>
      </c>
      <c r="AA646" s="20">
        <f>COUNTIFS(tData[SEHTrajectPeriodeDatumTijdVan],"&lt;="&amp;($A646+23/24),tData[SEHTrajectPeriodeDatumTijdTotEnMet],"&gt;"&amp;($A646+23/24),tData[Langligger01],1)</f>
        <v/>
      </c>
    </row>
    <row r="647">
      <c r="A647" s="19" t="n">
        <v>45935</v>
      </c>
      <c r="B647" s="15">
        <f>WEEKDAY($A647,2)</f>
        <v/>
      </c>
      <c r="C647" s="15">
        <f>IF(AND($A647&gt;=INT(Instellingen!$B$5),$A647&lt;=INT(Instellingen!$B$6)),1,0)</f>
        <v/>
      </c>
      <c r="D647" s="20">
        <f>COUNTIFS(tData[SEHTrajectPeriodeDatumTijdVan],"&lt;="&amp;($A647+0/24),tData[SEHTrajectPeriodeDatumTijdTotEnMet],"&gt;"&amp;($A647+0/24),tData[Langligger01],1)</f>
        <v/>
      </c>
      <c r="E647" s="20">
        <f>COUNTIFS(tData[SEHTrajectPeriodeDatumTijdVan],"&lt;="&amp;($A647+1/24),tData[SEHTrajectPeriodeDatumTijdTotEnMet],"&gt;"&amp;($A647+1/24),tData[Langligger01],1)</f>
        <v/>
      </c>
      <c r="F647" s="20">
        <f>COUNTIFS(tData[SEHTrajectPeriodeDatumTijdVan],"&lt;="&amp;($A647+2/24),tData[SEHTrajectPeriodeDatumTijdTotEnMet],"&gt;"&amp;($A647+2/24),tData[Langligger01],1)</f>
        <v/>
      </c>
      <c r="G647" s="20">
        <f>COUNTIFS(tData[SEHTrajectPeriodeDatumTijdVan],"&lt;="&amp;($A647+3/24),tData[SEHTrajectPeriodeDatumTijdTotEnMet],"&gt;"&amp;($A647+3/24),tData[Langligger01],1)</f>
        <v/>
      </c>
      <c r="H647" s="20">
        <f>COUNTIFS(tData[SEHTrajectPeriodeDatumTijdVan],"&lt;="&amp;($A647+4/24),tData[SEHTrajectPeriodeDatumTijdTotEnMet],"&gt;"&amp;($A647+4/24),tData[Langligger01],1)</f>
        <v/>
      </c>
      <c r="I647" s="20">
        <f>COUNTIFS(tData[SEHTrajectPeriodeDatumTijdVan],"&lt;="&amp;($A647+5/24),tData[SEHTrajectPeriodeDatumTijdTotEnMet],"&gt;"&amp;($A647+5/24),tData[Langligger01],1)</f>
        <v/>
      </c>
      <c r="J647" s="20">
        <f>COUNTIFS(tData[SEHTrajectPeriodeDatumTijdVan],"&lt;="&amp;($A647+6/24),tData[SEHTrajectPeriodeDatumTijdTotEnMet],"&gt;"&amp;($A647+6/24),tData[Langligger01],1)</f>
        <v/>
      </c>
      <c r="K647" s="20">
        <f>COUNTIFS(tData[SEHTrajectPeriodeDatumTijdVan],"&lt;="&amp;($A647+7/24),tData[SEHTrajectPeriodeDatumTijdTotEnMet],"&gt;"&amp;($A647+7/24),tData[Langligger01],1)</f>
        <v/>
      </c>
      <c r="L647" s="20">
        <f>COUNTIFS(tData[SEHTrajectPeriodeDatumTijdVan],"&lt;="&amp;($A647+8/24),tData[SEHTrajectPeriodeDatumTijdTotEnMet],"&gt;"&amp;($A647+8/24),tData[Langligger01],1)</f>
        <v/>
      </c>
      <c r="M647" s="20">
        <f>COUNTIFS(tData[SEHTrajectPeriodeDatumTijdVan],"&lt;="&amp;($A647+9/24),tData[SEHTrajectPeriodeDatumTijdTotEnMet],"&gt;"&amp;($A647+9/24),tData[Langligger01],1)</f>
        <v/>
      </c>
      <c r="N647" s="20">
        <f>COUNTIFS(tData[SEHTrajectPeriodeDatumTijdVan],"&lt;="&amp;($A647+10/24),tData[SEHTrajectPeriodeDatumTijdTotEnMet],"&gt;"&amp;($A647+10/24),tData[Langligger01],1)</f>
        <v/>
      </c>
      <c r="O647" s="20">
        <f>COUNTIFS(tData[SEHTrajectPeriodeDatumTijdVan],"&lt;="&amp;($A647+11/24),tData[SEHTrajectPeriodeDatumTijdTotEnMet],"&gt;"&amp;($A647+11/24),tData[Langligger01],1)</f>
        <v/>
      </c>
      <c r="P647" s="20">
        <f>COUNTIFS(tData[SEHTrajectPeriodeDatumTijdVan],"&lt;="&amp;($A647+12/24),tData[SEHTrajectPeriodeDatumTijdTotEnMet],"&gt;"&amp;($A647+12/24),tData[Langligger01],1)</f>
        <v/>
      </c>
      <c r="Q647" s="20">
        <f>COUNTIFS(tData[SEHTrajectPeriodeDatumTijdVan],"&lt;="&amp;($A647+13/24),tData[SEHTrajectPeriodeDatumTijdTotEnMet],"&gt;"&amp;($A647+13/24),tData[Langligger01],1)</f>
        <v/>
      </c>
      <c r="R647" s="20">
        <f>COUNTIFS(tData[SEHTrajectPeriodeDatumTijdVan],"&lt;="&amp;($A647+14/24),tData[SEHTrajectPeriodeDatumTijdTotEnMet],"&gt;"&amp;($A647+14/24),tData[Langligger01],1)</f>
        <v/>
      </c>
      <c r="S647" s="20">
        <f>COUNTIFS(tData[SEHTrajectPeriodeDatumTijdVan],"&lt;="&amp;($A647+15/24),tData[SEHTrajectPeriodeDatumTijdTotEnMet],"&gt;"&amp;($A647+15/24),tData[Langligger01],1)</f>
        <v/>
      </c>
      <c r="T647" s="20">
        <f>COUNTIFS(tData[SEHTrajectPeriodeDatumTijdVan],"&lt;="&amp;($A647+16/24),tData[SEHTrajectPeriodeDatumTijdTotEnMet],"&gt;"&amp;($A647+16/24),tData[Langligger01],1)</f>
        <v/>
      </c>
      <c r="U647" s="20">
        <f>COUNTIFS(tData[SEHTrajectPeriodeDatumTijdVan],"&lt;="&amp;($A647+17/24),tData[SEHTrajectPeriodeDatumTijdTotEnMet],"&gt;"&amp;($A647+17/24),tData[Langligger01],1)</f>
        <v/>
      </c>
      <c r="V647" s="20">
        <f>COUNTIFS(tData[SEHTrajectPeriodeDatumTijdVan],"&lt;="&amp;($A647+18/24),tData[SEHTrajectPeriodeDatumTijdTotEnMet],"&gt;"&amp;($A647+18/24),tData[Langligger01],1)</f>
        <v/>
      </c>
      <c r="W647" s="20">
        <f>COUNTIFS(tData[SEHTrajectPeriodeDatumTijdVan],"&lt;="&amp;($A647+19/24),tData[SEHTrajectPeriodeDatumTijdTotEnMet],"&gt;"&amp;($A647+19/24),tData[Langligger01],1)</f>
        <v/>
      </c>
      <c r="X647" s="20">
        <f>COUNTIFS(tData[SEHTrajectPeriodeDatumTijdVan],"&lt;="&amp;($A647+20/24),tData[SEHTrajectPeriodeDatumTijdTotEnMet],"&gt;"&amp;($A647+20/24),tData[Langligger01],1)</f>
        <v/>
      </c>
      <c r="Y647" s="20">
        <f>COUNTIFS(tData[SEHTrajectPeriodeDatumTijdVan],"&lt;="&amp;($A647+21/24),tData[SEHTrajectPeriodeDatumTijdTotEnMet],"&gt;"&amp;($A647+21/24),tData[Langligger01],1)</f>
        <v/>
      </c>
      <c r="Z647" s="20">
        <f>COUNTIFS(tData[SEHTrajectPeriodeDatumTijdVan],"&lt;="&amp;($A647+22/24),tData[SEHTrajectPeriodeDatumTijdTotEnMet],"&gt;"&amp;($A647+22/24),tData[Langligger01],1)</f>
        <v/>
      </c>
      <c r="AA647" s="20">
        <f>COUNTIFS(tData[SEHTrajectPeriodeDatumTijdVan],"&lt;="&amp;($A647+23/24),tData[SEHTrajectPeriodeDatumTijdTotEnMet],"&gt;"&amp;($A647+23/24),tData[Langligger01],1)</f>
        <v/>
      </c>
    </row>
    <row r="648">
      <c r="A648" s="19" t="n">
        <v>45936</v>
      </c>
      <c r="B648" s="15">
        <f>WEEKDAY($A648,2)</f>
        <v/>
      </c>
      <c r="C648" s="15">
        <f>IF(AND($A648&gt;=INT(Instellingen!$B$5),$A648&lt;=INT(Instellingen!$B$6)),1,0)</f>
        <v/>
      </c>
      <c r="D648" s="20">
        <f>COUNTIFS(tData[SEHTrajectPeriodeDatumTijdVan],"&lt;="&amp;($A648+0/24),tData[SEHTrajectPeriodeDatumTijdTotEnMet],"&gt;"&amp;($A648+0/24),tData[Langligger01],1)</f>
        <v/>
      </c>
      <c r="E648" s="20">
        <f>COUNTIFS(tData[SEHTrajectPeriodeDatumTijdVan],"&lt;="&amp;($A648+1/24),tData[SEHTrajectPeriodeDatumTijdTotEnMet],"&gt;"&amp;($A648+1/24),tData[Langligger01],1)</f>
        <v/>
      </c>
      <c r="F648" s="20">
        <f>COUNTIFS(tData[SEHTrajectPeriodeDatumTijdVan],"&lt;="&amp;($A648+2/24),tData[SEHTrajectPeriodeDatumTijdTotEnMet],"&gt;"&amp;($A648+2/24),tData[Langligger01],1)</f>
        <v/>
      </c>
      <c r="G648" s="20">
        <f>COUNTIFS(tData[SEHTrajectPeriodeDatumTijdVan],"&lt;="&amp;($A648+3/24),tData[SEHTrajectPeriodeDatumTijdTotEnMet],"&gt;"&amp;($A648+3/24),tData[Langligger01],1)</f>
        <v/>
      </c>
      <c r="H648" s="20">
        <f>COUNTIFS(tData[SEHTrajectPeriodeDatumTijdVan],"&lt;="&amp;($A648+4/24),tData[SEHTrajectPeriodeDatumTijdTotEnMet],"&gt;"&amp;($A648+4/24),tData[Langligger01],1)</f>
        <v/>
      </c>
      <c r="I648" s="20">
        <f>COUNTIFS(tData[SEHTrajectPeriodeDatumTijdVan],"&lt;="&amp;($A648+5/24),tData[SEHTrajectPeriodeDatumTijdTotEnMet],"&gt;"&amp;($A648+5/24),tData[Langligger01],1)</f>
        <v/>
      </c>
      <c r="J648" s="20">
        <f>COUNTIFS(tData[SEHTrajectPeriodeDatumTijdVan],"&lt;="&amp;($A648+6/24),tData[SEHTrajectPeriodeDatumTijdTotEnMet],"&gt;"&amp;($A648+6/24),tData[Langligger01],1)</f>
        <v/>
      </c>
      <c r="K648" s="20">
        <f>COUNTIFS(tData[SEHTrajectPeriodeDatumTijdVan],"&lt;="&amp;($A648+7/24),tData[SEHTrajectPeriodeDatumTijdTotEnMet],"&gt;"&amp;($A648+7/24),tData[Langligger01],1)</f>
        <v/>
      </c>
      <c r="L648" s="20">
        <f>COUNTIFS(tData[SEHTrajectPeriodeDatumTijdVan],"&lt;="&amp;($A648+8/24),tData[SEHTrajectPeriodeDatumTijdTotEnMet],"&gt;"&amp;($A648+8/24),tData[Langligger01],1)</f>
        <v/>
      </c>
      <c r="M648" s="20">
        <f>COUNTIFS(tData[SEHTrajectPeriodeDatumTijdVan],"&lt;="&amp;($A648+9/24),tData[SEHTrajectPeriodeDatumTijdTotEnMet],"&gt;"&amp;($A648+9/24),tData[Langligger01],1)</f>
        <v/>
      </c>
      <c r="N648" s="20">
        <f>COUNTIFS(tData[SEHTrajectPeriodeDatumTijdVan],"&lt;="&amp;($A648+10/24),tData[SEHTrajectPeriodeDatumTijdTotEnMet],"&gt;"&amp;($A648+10/24),tData[Langligger01],1)</f>
        <v/>
      </c>
      <c r="O648" s="20">
        <f>COUNTIFS(tData[SEHTrajectPeriodeDatumTijdVan],"&lt;="&amp;($A648+11/24),tData[SEHTrajectPeriodeDatumTijdTotEnMet],"&gt;"&amp;($A648+11/24),tData[Langligger01],1)</f>
        <v/>
      </c>
      <c r="P648" s="20">
        <f>COUNTIFS(tData[SEHTrajectPeriodeDatumTijdVan],"&lt;="&amp;($A648+12/24),tData[SEHTrajectPeriodeDatumTijdTotEnMet],"&gt;"&amp;($A648+12/24),tData[Langligger01],1)</f>
        <v/>
      </c>
      <c r="Q648" s="20">
        <f>COUNTIFS(tData[SEHTrajectPeriodeDatumTijdVan],"&lt;="&amp;($A648+13/24),tData[SEHTrajectPeriodeDatumTijdTotEnMet],"&gt;"&amp;($A648+13/24),tData[Langligger01],1)</f>
        <v/>
      </c>
      <c r="R648" s="20">
        <f>COUNTIFS(tData[SEHTrajectPeriodeDatumTijdVan],"&lt;="&amp;($A648+14/24),tData[SEHTrajectPeriodeDatumTijdTotEnMet],"&gt;"&amp;($A648+14/24),tData[Langligger01],1)</f>
        <v/>
      </c>
      <c r="S648" s="20">
        <f>COUNTIFS(tData[SEHTrajectPeriodeDatumTijdVan],"&lt;="&amp;($A648+15/24),tData[SEHTrajectPeriodeDatumTijdTotEnMet],"&gt;"&amp;($A648+15/24),tData[Langligger01],1)</f>
        <v/>
      </c>
      <c r="T648" s="20">
        <f>COUNTIFS(tData[SEHTrajectPeriodeDatumTijdVan],"&lt;="&amp;($A648+16/24),tData[SEHTrajectPeriodeDatumTijdTotEnMet],"&gt;"&amp;($A648+16/24),tData[Langligger01],1)</f>
        <v/>
      </c>
      <c r="U648" s="20">
        <f>COUNTIFS(tData[SEHTrajectPeriodeDatumTijdVan],"&lt;="&amp;($A648+17/24),tData[SEHTrajectPeriodeDatumTijdTotEnMet],"&gt;"&amp;($A648+17/24),tData[Langligger01],1)</f>
        <v/>
      </c>
      <c r="V648" s="20">
        <f>COUNTIFS(tData[SEHTrajectPeriodeDatumTijdVan],"&lt;="&amp;($A648+18/24),tData[SEHTrajectPeriodeDatumTijdTotEnMet],"&gt;"&amp;($A648+18/24),tData[Langligger01],1)</f>
        <v/>
      </c>
      <c r="W648" s="20">
        <f>COUNTIFS(tData[SEHTrajectPeriodeDatumTijdVan],"&lt;="&amp;($A648+19/24),tData[SEHTrajectPeriodeDatumTijdTotEnMet],"&gt;"&amp;($A648+19/24),tData[Langligger01],1)</f>
        <v/>
      </c>
      <c r="X648" s="20">
        <f>COUNTIFS(tData[SEHTrajectPeriodeDatumTijdVan],"&lt;="&amp;($A648+20/24),tData[SEHTrajectPeriodeDatumTijdTotEnMet],"&gt;"&amp;($A648+20/24),tData[Langligger01],1)</f>
        <v/>
      </c>
      <c r="Y648" s="20">
        <f>COUNTIFS(tData[SEHTrajectPeriodeDatumTijdVan],"&lt;="&amp;($A648+21/24),tData[SEHTrajectPeriodeDatumTijdTotEnMet],"&gt;"&amp;($A648+21/24),tData[Langligger01],1)</f>
        <v/>
      </c>
      <c r="Z648" s="20">
        <f>COUNTIFS(tData[SEHTrajectPeriodeDatumTijdVan],"&lt;="&amp;($A648+22/24),tData[SEHTrajectPeriodeDatumTijdTotEnMet],"&gt;"&amp;($A648+22/24),tData[Langligger01],1)</f>
        <v/>
      </c>
      <c r="AA648" s="20">
        <f>COUNTIFS(tData[SEHTrajectPeriodeDatumTijdVan],"&lt;="&amp;($A648+23/24),tData[SEHTrajectPeriodeDatumTijdTotEnMet],"&gt;"&amp;($A648+23/24),tData[Langligger01],1)</f>
        <v/>
      </c>
    </row>
    <row r="649">
      <c r="A649" s="19" t="n">
        <v>45937</v>
      </c>
      <c r="B649" s="15">
        <f>WEEKDAY($A649,2)</f>
        <v/>
      </c>
      <c r="C649" s="15">
        <f>IF(AND($A649&gt;=INT(Instellingen!$B$5),$A649&lt;=INT(Instellingen!$B$6)),1,0)</f>
        <v/>
      </c>
      <c r="D649" s="20">
        <f>COUNTIFS(tData[SEHTrajectPeriodeDatumTijdVan],"&lt;="&amp;($A649+0/24),tData[SEHTrajectPeriodeDatumTijdTotEnMet],"&gt;"&amp;($A649+0/24),tData[Langligger01],1)</f>
        <v/>
      </c>
      <c r="E649" s="20">
        <f>COUNTIFS(tData[SEHTrajectPeriodeDatumTijdVan],"&lt;="&amp;($A649+1/24),tData[SEHTrajectPeriodeDatumTijdTotEnMet],"&gt;"&amp;($A649+1/24),tData[Langligger01],1)</f>
        <v/>
      </c>
      <c r="F649" s="20">
        <f>COUNTIFS(tData[SEHTrajectPeriodeDatumTijdVan],"&lt;="&amp;($A649+2/24),tData[SEHTrajectPeriodeDatumTijdTotEnMet],"&gt;"&amp;($A649+2/24),tData[Langligger01],1)</f>
        <v/>
      </c>
      <c r="G649" s="20">
        <f>COUNTIFS(tData[SEHTrajectPeriodeDatumTijdVan],"&lt;="&amp;($A649+3/24),tData[SEHTrajectPeriodeDatumTijdTotEnMet],"&gt;"&amp;($A649+3/24),tData[Langligger01],1)</f>
        <v/>
      </c>
      <c r="H649" s="20">
        <f>COUNTIFS(tData[SEHTrajectPeriodeDatumTijdVan],"&lt;="&amp;($A649+4/24),tData[SEHTrajectPeriodeDatumTijdTotEnMet],"&gt;"&amp;($A649+4/24),tData[Langligger01],1)</f>
        <v/>
      </c>
      <c r="I649" s="20">
        <f>COUNTIFS(tData[SEHTrajectPeriodeDatumTijdVan],"&lt;="&amp;($A649+5/24),tData[SEHTrajectPeriodeDatumTijdTotEnMet],"&gt;"&amp;($A649+5/24),tData[Langligger01],1)</f>
        <v/>
      </c>
      <c r="J649" s="20">
        <f>COUNTIFS(tData[SEHTrajectPeriodeDatumTijdVan],"&lt;="&amp;($A649+6/24),tData[SEHTrajectPeriodeDatumTijdTotEnMet],"&gt;"&amp;($A649+6/24),tData[Langligger01],1)</f>
        <v/>
      </c>
      <c r="K649" s="20">
        <f>COUNTIFS(tData[SEHTrajectPeriodeDatumTijdVan],"&lt;="&amp;($A649+7/24),tData[SEHTrajectPeriodeDatumTijdTotEnMet],"&gt;"&amp;($A649+7/24),tData[Langligger01],1)</f>
        <v/>
      </c>
      <c r="L649" s="20">
        <f>COUNTIFS(tData[SEHTrajectPeriodeDatumTijdVan],"&lt;="&amp;($A649+8/24),tData[SEHTrajectPeriodeDatumTijdTotEnMet],"&gt;"&amp;($A649+8/24),tData[Langligger01],1)</f>
        <v/>
      </c>
      <c r="M649" s="20">
        <f>COUNTIFS(tData[SEHTrajectPeriodeDatumTijdVan],"&lt;="&amp;($A649+9/24),tData[SEHTrajectPeriodeDatumTijdTotEnMet],"&gt;"&amp;($A649+9/24),tData[Langligger01],1)</f>
        <v/>
      </c>
      <c r="N649" s="20">
        <f>COUNTIFS(tData[SEHTrajectPeriodeDatumTijdVan],"&lt;="&amp;($A649+10/24),tData[SEHTrajectPeriodeDatumTijdTotEnMet],"&gt;"&amp;($A649+10/24),tData[Langligger01],1)</f>
        <v/>
      </c>
      <c r="O649" s="20">
        <f>COUNTIFS(tData[SEHTrajectPeriodeDatumTijdVan],"&lt;="&amp;($A649+11/24),tData[SEHTrajectPeriodeDatumTijdTotEnMet],"&gt;"&amp;($A649+11/24),tData[Langligger01],1)</f>
        <v/>
      </c>
      <c r="P649" s="20">
        <f>COUNTIFS(tData[SEHTrajectPeriodeDatumTijdVan],"&lt;="&amp;($A649+12/24),tData[SEHTrajectPeriodeDatumTijdTotEnMet],"&gt;"&amp;($A649+12/24),tData[Langligger01],1)</f>
        <v/>
      </c>
      <c r="Q649" s="20">
        <f>COUNTIFS(tData[SEHTrajectPeriodeDatumTijdVan],"&lt;="&amp;($A649+13/24),tData[SEHTrajectPeriodeDatumTijdTotEnMet],"&gt;"&amp;($A649+13/24),tData[Langligger01],1)</f>
        <v/>
      </c>
      <c r="R649" s="20">
        <f>COUNTIFS(tData[SEHTrajectPeriodeDatumTijdVan],"&lt;="&amp;($A649+14/24),tData[SEHTrajectPeriodeDatumTijdTotEnMet],"&gt;"&amp;($A649+14/24),tData[Langligger01],1)</f>
        <v/>
      </c>
      <c r="S649" s="20">
        <f>COUNTIFS(tData[SEHTrajectPeriodeDatumTijdVan],"&lt;="&amp;($A649+15/24),tData[SEHTrajectPeriodeDatumTijdTotEnMet],"&gt;"&amp;($A649+15/24),tData[Langligger01],1)</f>
        <v/>
      </c>
      <c r="T649" s="20">
        <f>COUNTIFS(tData[SEHTrajectPeriodeDatumTijdVan],"&lt;="&amp;($A649+16/24),tData[SEHTrajectPeriodeDatumTijdTotEnMet],"&gt;"&amp;($A649+16/24),tData[Langligger01],1)</f>
        <v/>
      </c>
      <c r="U649" s="20">
        <f>COUNTIFS(tData[SEHTrajectPeriodeDatumTijdVan],"&lt;="&amp;($A649+17/24),tData[SEHTrajectPeriodeDatumTijdTotEnMet],"&gt;"&amp;($A649+17/24),tData[Langligger01],1)</f>
        <v/>
      </c>
      <c r="V649" s="20">
        <f>COUNTIFS(tData[SEHTrajectPeriodeDatumTijdVan],"&lt;="&amp;($A649+18/24),tData[SEHTrajectPeriodeDatumTijdTotEnMet],"&gt;"&amp;($A649+18/24),tData[Langligger01],1)</f>
        <v/>
      </c>
      <c r="W649" s="20">
        <f>COUNTIFS(tData[SEHTrajectPeriodeDatumTijdVan],"&lt;="&amp;($A649+19/24),tData[SEHTrajectPeriodeDatumTijdTotEnMet],"&gt;"&amp;($A649+19/24),tData[Langligger01],1)</f>
        <v/>
      </c>
      <c r="X649" s="20">
        <f>COUNTIFS(tData[SEHTrajectPeriodeDatumTijdVan],"&lt;="&amp;($A649+20/24),tData[SEHTrajectPeriodeDatumTijdTotEnMet],"&gt;"&amp;($A649+20/24),tData[Langligger01],1)</f>
        <v/>
      </c>
      <c r="Y649" s="20">
        <f>COUNTIFS(tData[SEHTrajectPeriodeDatumTijdVan],"&lt;="&amp;($A649+21/24),tData[SEHTrajectPeriodeDatumTijdTotEnMet],"&gt;"&amp;($A649+21/24),tData[Langligger01],1)</f>
        <v/>
      </c>
      <c r="Z649" s="20">
        <f>COUNTIFS(tData[SEHTrajectPeriodeDatumTijdVan],"&lt;="&amp;($A649+22/24),tData[SEHTrajectPeriodeDatumTijdTotEnMet],"&gt;"&amp;($A649+22/24),tData[Langligger01],1)</f>
        <v/>
      </c>
      <c r="AA649" s="20">
        <f>COUNTIFS(tData[SEHTrajectPeriodeDatumTijdVan],"&lt;="&amp;($A649+23/24),tData[SEHTrajectPeriodeDatumTijdTotEnMet],"&gt;"&amp;($A649+23/24),tData[Langligger01],1)</f>
        <v/>
      </c>
    </row>
    <row r="650">
      <c r="A650" s="19" t="n">
        <v>45938</v>
      </c>
      <c r="B650" s="15">
        <f>WEEKDAY($A650,2)</f>
        <v/>
      </c>
      <c r="C650" s="15">
        <f>IF(AND($A650&gt;=INT(Instellingen!$B$5),$A650&lt;=INT(Instellingen!$B$6)),1,0)</f>
        <v/>
      </c>
      <c r="D650" s="20">
        <f>COUNTIFS(tData[SEHTrajectPeriodeDatumTijdVan],"&lt;="&amp;($A650+0/24),tData[SEHTrajectPeriodeDatumTijdTotEnMet],"&gt;"&amp;($A650+0/24),tData[Langligger01],1)</f>
        <v/>
      </c>
      <c r="E650" s="20">
        <f>COUNTIFS(tData[SEHTrajectPeriodeDatumTijdVan],"&lt;="&amp;($A650+1/24),tData[SEHTrajectPeriodeDatumTijdTotEnMet],"&gt;"&amp;($A650+1/24),tData[Langligger01],1)</f>
        <v/>
      </c>
      <c r="F650" s="20">
        <f>COUNTIFS(tData[SEHTrajectPeriodeDatumTijdVan],"&lt;="&amp;($A650+2/24),tData[SEHTrajectPeriodeDatumTijdTotEnMet],"&gt;"&amp;($A650+2/24),tData[Langligger01],1)</f>
        <v/>
      </c>
      <c r="G650" s="20">
        <f>COUNTIFS(tData[SEHTrajectPeriodeDatumTijdVan],"&lt;="&amp;($A650+3/24),tData[SEHTrajectPeriodeDatumTijdTotEnMet],"&gt;"&amp;($A650+3/24),tData[Langligger01],1)</f>
        <v/>
      </c>
      <c r="H650" s="20">
        <f>COUNTIFS(tData[SEHTrajectPeriodeDatumTijdVan],"&lt;="&amp;($A650+4/24),tData[SEHTrajectPeriodeDatumTijdTotEnMet],"&gt;"&amp;($A650+4/24),tData[Langligger01],1)</f>
        <v/>
      </c>
      <c r="I650" s="20">
        <f>COUNTIFS(tData[SEHTrajectPeriodeDatumTijdVan],"&lt;="&amp;($A650+5/24),tData[SEHTrajectPeriodeDatumTijdTotEnMet],"&gt;"&amp;($A650+5/24),tData[Langligger01],1)</f>
        <v/>
      </c>
      <c r="J650" s="20">
        <f>COUNTIFS(tData[SEHTrajectPeriodeDatumTijdVan],"&lt;="&amp;($A650+6/24),tData[SEHTrajectPeriodeDatumTijdTotEnMet],"&gt;"&amp;($A650+6/24),tData[Langligger01],1)</f>
        <v/>
      </c>
      <c r="K650" s="20">
        <f>COUNTIFS(tData[SEHTrajectPeriodeDatumTijdVan],"&lt;="&amp;($A650+7/24),tData[SEHTrajectPeriodeDatumTijdTotEnMet],"&gt;"&amp;($A650+7/24),tData[Langligger01],1)</f>
        <v/>
      </c>
      <c r="L650" s="20">
        <f>COUNTIFS(tData[SEHTrajectPeriodeDatumTijdVan],"&lt;="&amp;($A650+8/24),tData[SEHTrajectPeriodeDatumTijdTotEnMet],"&gt;"&amp;($A650+8/24),tData[Langligger01],1)</f>
        <v/>
      </c>
      <c r="M650" s="20">
        <f>COUNTIFS(tData[SEHTrajectPeriodeDatumTijdVan],"&lt;="&amp;($A650+9/24),tData[SEHTrajectPeriodeDatumTijdTotEnMet],"&gt;"&amp;($A650+9/24),tData[Langligger01],1)</f>
        <v/>
      </c>
      <c r="N650" s="20">
        <f>COUNTIFS(tData[SEHTrajectPeriodeDatumTijdVan],"&lt;="&amp;($A650+10/24),tData[SEHTrajectPeriodeDatumTijdTotEnMet],"&gt;"&amp;($A650+10/24),tData[Langligger01],1)</f>
        <v/>
      </c>
      <c r="O650" s="20">
        <f>COUNTIFS(tData[SEHTrajectPeriodeDatumTijdVan],"&lt;="&amp;($A650+11/24),tData[SEHTrajectPeriodeDatumTijdTotEnMet],"&gt;"&amp;($A650+11/24),tData[Langligger01],1)</f>
        <v/>
      </c>
      <c r="P650" s="20">
        <f>COUNTIFS(tData[SEHTrajectPeriodeDatumTijdVan],"&lt;="&amp;($A650+12/24),tData[SEHTrajectPeriodeDatumTijdTotEnMet],"&gt;"&amp;($A650+12/24),tData[Langligger01],1)</f>
        <v/>
      </c>
      <c r="Q650" s="20">
        <f>COUNTIFS(tData[SEHTrajectPeriodeDatumTijdVan],"&lt;="&amp;($A650+13/24),tData[SEHTrajectPeriodeDatumTijdTotEnMet],"&gt;"&amp;($A650+13/24),tData[Langligger01],1)</f>
        <v/>
      </c>
      <c r="R650" s="20">
        <f>COUNTIFS(tData[SEHTrajectPeriodeDatumTijdVan],"&lt;="&amp;($A650+14/24),tData[SEHTrajectPeriodeDatumTijdTotEnMet],"&gt;"&amp;($A650+14/24),tData[Langligger01],1)</f>
        <v/>
      </c>
      <c r="S650" s="20">
        <f>COUNTIFS(tData[SEHTrajectPeriodeDatumTijdVan],"&lt;="&amp;($A650+15/24),tData[SEHTrajectPeriodeDatumTijdTotEnMet],"&gt;"&amp;($A650+15/24),tData[Langligger01],1)</f>
        <v/>
      </c>
      <c r="T650" s="20">
        <f>COUNTIFS(tData[SEHTrajectPeriodeDatumTijdVan],"&lt;="&amp;($A650+16/24),tData[SEHTrajectPeriodeDatumTijdTotEnMet],"&gt;"&amp;($A650+16/24),tData[Langligger01],1)</f>
        <v/>
      </c>
      <c r="U650" s="20">
        <f>COUNTIFS(tData[SEHTrajectPeriodeDatumTijdVan],"&lt;="&amp;($A650+17/24),tData[SEHTrajectPeriodeDatumTijdTotEnMet],"&gt;"&amp;($A650+17/24),tData[Langligger01],1)</f>
        <v/>
      </c>
      <c r="V650" s="20">
        <f>COUNTIFS(tData[SEHTrajectPeriodeDatumTijdVan],"&lt;="&amp;($A650+18/24),tData[SEHTrajectPeriodeDatumTijdTotEnMet],"&gt;"&amp;($A650+18/24),tData[Langligger01],1)</f>
        <v/>
      </c>
      <c r="W650" s="20">
        <f>COUNTIFS(tData[SEHTrajectPeriodeDatumTijdVan],"&lt;="&amp;($A650+19/24),tData[SEHTrajectPeriodeDatumTijdTotEnMet],"&gt;"&amp;($A650+19/24),tData[Langligger01],1)</f>
        <v/>
      </c>
      <c r="X650" s="20">
        <f>COUNTIFS(tData[SEHTrajectPeriodeDatumTijdVan],"&lt;="&amp;($A650+20/24),tData[SEHTrajectPeriodeDatumTijdTotEnMet],"&gt;"&amp;($A650+20/24),tData[Langligger01],1)</f>
        <v/>
      </c>
      <c r="Y650" s="20">
        <f>COUNTIFS(tData[SEHTrajectPeriodeDatumTijdVan],"&lt;="&amp;($A650+21/24),tData[SEHTrajectPeriodeDatumTijdTotEnMet],"&gt;"&amp;($A650+21/24),tData[Langligger01],1)</f>
        <v/>
      </c>
      <c r="Z650" s="20">
        <f>COUNTIFS(tData[SEHTrajectPeriodeDatumTijdVan],"&lt;="&amp;($A650+22/24),tData[SEHTrajectPeriodeDatumTijdTotEnMet],"&gt;"&amp;($A650+22/24),tData[Langligger01],1)</f>
        <v/>
      </c>
      <c r="AA650" s="20">
        <f>COUNTIFS(tData[SEHTrajectPeriodeDatumTijdVan],"&lt;="&amp;($A650+23/24),tData[SEHTrajectPeriodeDatumTijdTotEnMet],"&gt;"&amp;($A650+23/24),tData[Langligger01],1)</f>
        <v/>
      </c>
    </row>
    <row r="651">
      <c r="A651" s="19" t="n">
        <v>45939</v>
      </c>
      <c r="B651" s="15">
        <f>WEEKDAY($A651,2)</f>
        <v/>
      </c>
      <c r="C651" s="15">
        <f>IF(AND($A651&gt;=INT(Instellingen!$B$5),$A651&lt;=INT(Instellingen!$B$6)),1,0)</f>
        <v/>
      </c>
      <c r="D651" s="20">
        <f>COUNTIFS(tData[SEHTrajectPeriodeDatumTijdVan],"&lt;="&amp;($A651+0/24),tData[SEHTrajectPeriodeDatumTijdTotEnMet],"&gt;"&amp;($A651+0/24),tData[Langligger01],1)</f>
        <v/>
      </c>
      <c r="E651" s="20">
        <f>COUNTIFS(tData[SEHTrajectPeriodeDatumTijdVan],"&lt;="&amp;($A651+1/24),tData[SEHTrajectPeriodeDatumTijdTotEnMet],"&gt;"&amp;($A651+1/24),tData[Langligger01],1)</f>
        <v/>
      </c>
      <c r="F651" s="20">
        <f>COUNTIFS(tData[SEHTrajectPeriodeDatumTijdVan],"&lt;="&amp;($A651+2/24),tData[SEHTrajectPeriodeDatumTijdTotEnMet],"&gt;"&amp;($A651+2/24),tData[Langligger01],1)</f>
        <v/>
      </c>
      <c r="G651" s="20">
        <f>COUNTIFS(tData[SEHTrajectPeriodeDatumTijdVan],"&lt;="&amp;($A651+3/24),tData[SEHTrajectPeriodeDatumTijdTotEnMet],"&gt;"&amp;($A651+3/24),tData[Langligger01],1)</f>
        <v/>
      </c>
      <c r="H651" s="20">
        <f>COUNTIFS(tData[SEHTrajectPeriodeDatumTijdVan],"&lt;="&amp;($A651+4/24),tData[SEHTrajectPeriodeDatumTijdTotEnMet],"&gt;"&amp;($A651+4/24),tData[Langligger01],1)</f>
        <v/>
      </c>
      <c r="I651" s="20">
        <f>COUNTIFS(tData[SEHTrajectPeriodeDatumTijdVan],"&lt;="&amp;($A651+5/24),tData[SEHTrajectPeriodeDatumTijdTotEnMet],"&gt;"&amp;($A651+5/24),tData[Langligger01],1)</f>
        <v/>
      </c>
      <c r="J651" s="20">
        <f>COUNTIFS(tData[SEHTrajectPeriodeDatumTijdVan],"&lt;="&amp;($A651+6/24),tData[SEHTrajectPeriodeDatumTijdTotEnMet],"&gt;"&amp;($A651+6/24),tData[Langligger01],1)</f>
        <v/>
      </c>
      <c r="K651" s="20">
        <f>COUNTIFS(tData[SEHTrajectPeriodeDatumTijdVan],"&lt;="&amp;($A651+7/24),tData[SEHTrajectPeriodeDatumTijdTotEnMet],"&gt;"&amp;($A651+7/24),tData[Langligger01],1)</f>
        <v/>
      </c>
      <c r="L651" s="20">
        <f>COUNTIFS(tData[SEHTrajectPeriodeDatumTijdVan],"&lt;="&amp;($A651+8/24),tData[SEHTrajectPeriodeDatumTijdTotEnMet],"&gt;"&amp;($A651+8/24),tData[Langligger01],1)</f>
        <v/>
      </c>
      <c r="M651" s="20">
        <f>COUNTIFS(tData[SEHTrajectPeriodeDatumTijdVan],"&lt;="&amp;($A651+9/24),tData[SEHTrajectPeriodeDatumTijdTotEnMet],"&gt;"&amp;($A651+9/24),tData[Langligger01],1)</f>
        <v/>
      </c>
      <c r="N651" s="20">
        <f>COUNTIFS(tData[SEHTrajectPeriodeDatumTijdVan],"&lt;="&amp;($A651+10/24),tData[SEHTrajectPeriodeDatumTijdTotEnMet],"&gt;"&amp;($A651+10/24),tData[Langligger01],1)</f>
        <v/>
      </c>
      <c r="O651" s="20">
        <f>COUNTIFS(tData[SEHTrajectPeriodeDatumTijdVan],"&lt;="&amp;($A651+11/24),tData[SEHTrajectPeriodeDatumTijdTotEnMet],"&gt;"&amp;($A651+11/24),tData[Langligger01],1)</f>
        <v/>
      </c>
      <c r="P651" s="20">
        <f>COUNTIFS(tData[SEHTrajectPeriodeDatumTijdVan],"&lt;="&amp;($A651+12/24),tData[SEHTrajectPeriodeDatumTijdTotEnMet],"&gt;"&amp;($A651+12/24),tData[Langligger01],1)</f>
        <v/>
      </c>
      <c r="Q651" s="20">
        <f>COUNTIFS(tData[SEHTrajectPeriodeDatumTijdVan],"&lt;="&amp;($A651+13/24),tData[SEHTrajectPeriodeDatumTijdTotEnMet],"&gt;"&amp;($A651+13/24),tData[Langligger01],1)</f>
        <v/>
      </c>
      <c r="R651" s="20">
        <f>COUNTIFS(tData[SEHTrajectPeriodeDatumTijdVan],"&lt;="&amp;($A651+14/24),tData[SEHTrajectPeriodeDatumTijdTotEnMet],"&gt;"&amp;($A651+14/24),tData[Langligger01],1)</f>
        <v/>
      </c>
      <c r="S651" s="20">
        <f>COUNTIFS(tData[SEHTrajectPeriodeDatumTijdVan],"&lt;="&amp;($A651+15/24),tData[SEHTrajectPeriodeDatumTijdTotEnMet],"&gt;"&amp;($A651+15/24),tData[Langligger01],1)</f>
        <v/>
      </c>
      <c r="T651" s="20">
        <f>COUNTIFS(tData[SEHTrajectPeriodeDatumTijdVan],"&lt;="&amp;($A651+16/24),tData[SEHTrajectPeriodeDatumTijdTotEnMet],"&gt;"&amp;($A651+16/24),tData[Langligger01],1)</f>
        <v/>
      </c>
      <c r="U651" s="20">
        <f>COUNTIFS(tData[SEHTrajectPeriodeDatumTijdVan],"&lt;="&amp;($A651+17/24),tData[SEHTrajectPeriodeDatumTijdTotEnMet],"&gt;"&amp;($A651+17/24),tData[Langligger01],1)</f>
        <v/>
      </c>
      <c r="V651" s="20">
        <f>COUNTIFS(tData[SEHTrajectPeriodeDatumTijdVan],"&lt;="&amp;($A651+18/24),tData[SEHTrajectPeriodeDatumTijdTotEnMet],"&gt;"&amp;($A651+18/24),tData[Langligger01],1)</f>
        <v/>
      </c>
      <c r="W651" s="20">
        <f>COUNTIFS(tData[SEHTrajectPeriodeDatumTijdVan],"&lt;="&amp;($A651+19/24),tData[SEHTrajectPeriodeDatumTijdTotEnMet],"&gt;"&amp;($A651+19/24),tData[Langligger01],1)</f>
        <v/>
      </c>
      <c r="X651" s="20">
        <f>COUNTIFS(tData[SEHTrajectPeriodeDatumTijdVan],"&lt;="&amp;($A651+20/24),tData[SEHTrajectPeriodeDatumTijdTotEnMet],"&gt;"&amp;($A651+20/24),tData[Langligger01],1)</f>
        <v/>
      </c>
      <c r="Y651" s="20">
        <f>COUNTIFS(tData[SEHTrajectPeriodeDatumTijdVan],"&lt;="&amp;($A651+21/24),tData[SEHTrajectPeriodeDatumTijdTotEnMet],"&gt;"&amp;($A651+21/24),tData[Langligger01],1)</f>
        <v/>
      </c>
      <c r="Z651" s="20">
        <f>COUNTIFS(tData[SEHTrajectPeriodeDatumTijdVan],"&lt;="&amp;($A651+22/24),tData[SEHTrajectPeriodeDatumTijdTotEnMet],"&gt;"&amp;($A651+22/24),tData[Langligger01],1)</f>
        <v/>
      </c>
      <c r="AA651" s="20">
        <f>COUNTIFS(tData[SEHTrajectPeriodeDatumTijdVan],"&lt;="&amp;($A651+23/24),tData[SEHTrajectPeriodeDatumTijdTotEnMet],"&gt;"&amp;($A651+23/24),tData[Langligger01],1)</f>
        <v/>
      </c>
    </row>
    <row r="652">
      <c r="A652" s="19" t="n">
        <v>45940</v>
      </c>
      <c r="B652" s="15">
        <f>WEEKDAY($A652,2)</f>
        <v/>
      </c>
      <c r="C652" s="15">
        <f>IF(AND($A652&gt;=INT(Instellingen!$B$5),$A652&lt;=INT(Instellingen!$B$6)),1,0)</f>
        <v/>
      </c>
      <c r="D652" s="20">
        <f>COUNTIFS(tData[SEHTrajectPeriodeDatumTijdVan],"&lt;="&amp;($A652+0/24),tData[SEHTrajectPeriodeDatumTijdTotEnMet],"&gt;"&amp;($A652+0/24),tData[Langligger01],1)</f>
        <v/>
      </c>
      <c r="E652" s="20">
        <f>COUNTIFS(tData[SEHTrajectPeriodeDatumTijdVan],"&lt;="&amp;($A652+1/24),tData[SEHTrajectPeriodeDatumTijdTotEnMet],"&gt;"&amp;($A652+1/24),tData[Langligger01],1)</f>
        <v/>
      </c>
      <c r="F652" s="20">
        <f>COUNTIFS(tData[SEHTrajectPeriodeDatumTijdVan],"&lt;="&amp;($A652+2/24),tData[SEHTrajectPeriodeDatumTijdTotEnMet],"&gt;"&amp;($A652+2/24),tData[Langligger01],1)</f>
        <v/>
      </c>
      <c r="G652" s="20">
        <f>COUNTIFS(tData[SEHTrajectPeriodeDatumTijdVan],"&lt;="&amp;($A652+3/24),tData[SEHTrajectPeriodeDatumTijdTotEnMet],"&gt;"&amp;($A652+3/24),tData[Langligger01],1)</f>
        <v/>
      </c>
      <c r="H652" s="20">
        <f>COUNTIFS(tData[SEHTrajectPeriodeDatumTijdVan],"&lt;="&amp;($A652+4/24),tData[SEHTrajectPeriodeDatumTijdTotEnMet],"&gt;"&amp;($A652+4/24),tData[Langligger01],1)</f>
        <v/>
      </c>
      <c r="I652" s="20">
        <f>COUNTIFS(tData[SEHTrajectPeriodeDatumTijdVan],"&lt;="&amp;($A652+5/24),tData[SEHTrajectPeriodeDatumTijdTotEnMet],"&gt;"&amp;($A652+5/24),tData[Langligger01],1)</f>
        <v/>
      </c>
      <c r="J652" s="20">
        <f>COUNTIFS(tData[SEHTrajectPeriodeDatumTijdVan],"&lt;="&amp;($A652+6/24),tData[SEHTrajectPeriodeDatumTijdTotEnMet],"&gt;"&amp;($A652+6/24),tData[Langligger01],1)</f>
        <v/>
      </c>
      <c r="K652" s="20">
        <f>COUNTIFS(tData[SEHTrajectPeriodeDatumTijdVan],"&lt;="&amp;($A652+7/24),tData[SEHTrajectPeriodeDatumTijdTotEnMet],"&gt;"&amp;($A652+7/24),tData[Langligger01],1)</f>
        <v/>
      </c>
      <c r="L652" s="20">
        <f>COUNTIFS(tData[SEHTrajectPeriodeDatumTijdVan],"&lt;="&amp;($A652+8/24),tData[SEHTrajectPeriodeDatumTijdTotEnMet],"&gt;"&amp;($A652+8/24),tData[Langligger01],1)</f>
        <v/>
      </c>
      <c r="M652" s="20">
        <f>COUNTIFS(tData[SEHTrajectPeriodeDatumTijdVan],"&lt;="&amp;($A652+9/24),tData[SEHTrajectPeriodeDatumTijdTotEnMet],"&gt;"&amp;($A652+9/24),tData[Langligger01],1)</f>
        <v/>
      </c>
      <c r="N652" s="20">
        <f>COUNTIFS(tData[SEHTrajectPeriodeDatumTijdVan],"&lt;="&amp;($A652+10/24),tData[SEHTrajectPeriodeDatumTijdTotEnMet],"&gt;"&amp;($A652+10/24),tData[Langligger01],1)</f>
        <v/>
      </c>
      <c r="O652" s="20">
        <f>COUNTIFS(tData[SEHTrajectPeriodeDatumTijdVan],"&lt;="&amp;($A652+11/24),tData[SEHTrajectPeriodeDatumTijdTotEnMet],"&gt;"&amp;($A652+11/24),tData[Langligger01],1)</f>
        <v/>
      </c>
      <c r="P652" s="20">
        <f>COUNTIFS(tData[SEHTrajectPeriodeDatumTijdVan],"&lt;="&amp;($A652+12/24),tData[SEHTrajectPeriodeDatumTijdTotEnMet],"&gt;"&amp;($A652+12/24),tData[Langligger01],1)</f>
        <v/>
      </c>
      <c r="Q652" s="20">
        <f>COUNTIFS(tData[SEHTrajectPeriodeDatumTijdVan],"&lt;="&amp;($A652+13/24),tData[SEHTrajectPeriodeDatumTijdTotEnMet],"&gt;"&amp;($A652+13/24),tData[Langligger01],1)</f>
        <v/>
      </c>
      <c r="R652" s="20">
        <f>COUNTIFS(tData[SEHTrajectPeriodeDatumTijdVan],"&lt;="&amp;($A652+14/24),tData[SEHTrajectPeriodeDatumTijdTotEnMet],"&gt;"&amp;($A652+14/24),tData[Langligger01],1)</f>
        <v/>
      </c>
      <c r="S652" s="20">
        <f>COUNTIFS(tData[SEHTrajectPeriodeDatumTijdVan],"&lt;="&amp;($A652+15/24),tData[SEHTrajectPeriodeDatumTijdTotEnMet],"&gt;"&amp;($A652+15/24),tData[Langligger01],1)</f>
        <v/>
      </c>
      <c r="T652" s="20">
        <f>COUNTIFS(tData[SEHTrajectPeriodeDatumTijdVan],"&lt;="&amp;($A652+16/24),tData[SEHTrajectPeriodeDatumTijdTotEnMet],"&gt;"&amp;($A652+16/24),tData[Langligger01],1)</f>
        <v/>
      </c>
      <c r="U652" s="20">
        <f>COUNTIFS(tData[SEHTrajectPeriodeDatumTijdVan],"&lt;="&amp;($A652+17/24),tData[SEHTrajectPeriodeDatumTijdTotEnMet],"&gt;"&amp;($A652+17/24),tData[Langligger01],1)</f>
        <v/>
      </c>
      <c r="V652" s="20">
        <f>COUNTIFS(tData[SEHTrajectPeriodeDatumTijdVan],"&lt;="&amp;($A652+18/24),tData[SEHTrajectPeriodeDatumTijdTotEnMet],"&gt;"&amp;($A652+18/24),tData[Langligger01],1)</f>
        <v/>
      </c>
      <c r="W652" s="20">
        <f>COUNTIFS(tData[SEHTrajectPeriodeDatumTijdVan],"&lt;="&amp;($A652+19/24),tData[SEHTrajectPeriodeDatumTijdTotEnMet],"&gt;"&amp;($A652+19/24),tData[Langligger01],1)</f>
        <v/>
      </c>
      <c r="X652" s="20">
        <f>COUNTIFS(tData[SEHTrajectPeriodeDatumTijdVan],"&lt;="&amp;($A652+20/24),tData[SEHTrajectPeriodeDatumTijdTotEnMet],"&gt;"&amp;($A652+20/24),tData[Langligger01],1)</f>
        <v/>
      </c>
      <c r="Y652" s="20">
        <f>COUNTIFS(tData[SEHTrajectPeriodeDatumTijdVan],"&lt;="&amp;($A652+21/24),tData[SEHTrajectPeriodeDatumTijdTotEnMet],"&gt;"&amp;($A652+21/24),tData[Langligger01],1)</f>
        <v/>
      </c>
      <c r="Z652" s="20">
        <f>COUNTIFS(tData[SEHTrajectPeriodeDatumTijdVan],"&lt;="&amp;($A652+22/24),tData[SEHTrajectPeriodeDatumTijdTotEnMet],"&gt;"&amp;($A652+22/24),tData[Langligger01],1)</f>
        <v/>
      </c>
      <c r="AA652" s="20">
        <f>COUNTIFS(tData[SEHTrajectPeriodeDatumTijdVan],"&lt;="&amp;($A652+23/24),tData[SEHTrajectPeriodeDatumTijdTotEnMet],"&gt;"&amp;($A652+23/24),tData[Langligger01],1)</f>
        <v/>
      </c>
    </row>
    <row r="653">
      <c r="A653" s="19" t="n">
        <v>45941</v>
      </c>
      <c r="B653" s="15">
        <f>WEEKDAY($A653,2)</f>
        <v/>
      </c>
      <c r="C653" s="15">
        <f>IF(AND($A653&gt;=INT(Instellingen!$B$5),$A653&lt;=INT(Instellingen!$B$6)),1,0)</f>
        <v/>
      </c>
      <c r="D653" s="20">
        <f>COUNTIFS(tData[SEHTrajectPeriodeDatumTijdVan],"&lt;="&amp;($A653+0/24),tData[SEHTrajectPeriodeDatumTijdTotEnMet],"&gt;"&amp;($A653+0/24),tData[Langligger01],1)</f>
        <v/>
      </c>
      <c r="E653" s="20">
        <f>COUNTIFS(tData[SEHTrajectPeriodeDatumTijdVan],"&lt;="&amp;($A653+1/24),tData[SEHTrajectPeriodeDatumTijdTotEnMet],"&gt;"&amp;($A653+1/24),tData[Langligger01],1)</f>
        <v/>
      </c>
      <c r="F653" s="20">
        <f>COUNTIFS(tData[SEHTrajectPeriodeDatumTijdVan],"&lt;="&amp;($A653+2/24),tData[SEHTrajectPeriodeDatumTijdTotEnMet],"&gt;"&amp;($A653+2/24),tData[Langligger01],1)</f>
        <v/>
      </c>
      <c r="G653" s="20">
        <f>COUNTIFS(tData[SEHTrajectPeriodeDatumTijdVan],"&lt;="&amp;($A653+3/24),tData[SEHTrajectPeriodeDatumTijdTotEnMet],"&gt;"&amp;($A653+3/24),tData[Langligger01],1)</f>
        <v/>
      </c>
      <c r="H653" s="20">
        <f>COUNTIFS(tData[SEHTrajectPeriodeDatumTijdVan],"&lt;="&amp;($A653+4/24),tData[SEHTrajectPeriodeDatumTijdTotEnMet],"&gt;"&amp;($A653+4/24),tData[Langligger01],1)</f>
        <v/>
      </c>
      <c r="I653" s="20">
        <f>COUNTIFS(tData[SEHTrajectPeriodeDatumTijdVan],"&lt;="&amp;($A653+5/24),tData[SEHTrajectPeriodeDatumTijdTotEnMet],"&gt;"&amp;($A653+5/24),tData[Langligger01],1)</f>
        <v/>
      </c>
      <c r="J653" s="20">
        <f>COUNTIFS(tData[SEHTrajectPeriodeDatumTijdVan],"&lt;="&amp;($A653+6/24),tData[SEHTrajectPeriodeDatumTijdTotEnMet],"&gt;"&amp;($A653+6/24),tData[Langligger01],1)</f>
        <v/>
      </c>
      <c r="K653" s="20">
        <f>COUNTIFS(tData[SEHTrajectPeriodeDatumTijdVan],"&lt;="&amp;($A653+7/24),tData[SEHTrajectPeriodeDatumTijdTotEnMet],"&gt;"&amp;($A653+7/24),tData[Langligger01],1)</f>
        <v/>
      </c>
      <c r="L653" s="20">
        <f>COUNTIFS(tData[SEHTrajectPeriodeDatumTijdVan],"&lt;="&amp;($A653+8/24),tData[SEHTrajectPeriodeDatumTijdTotEnMet],"&gt;"&amp;($A653+8/24),tData[Langligger01],1)</f>
        <v/>
      </c>
      <c r="M653" s="20">
        <f>COUNTIFS(tData[SEHTrajectPeriodeDatumTijdVan],"&lt;="&amp;($A653+9/24),tData[SEHTrajectPeriodeDatumTijdTotEnMet],"&gt;"&amp;($A653+9/24),tData[Langligger01],1)</f>
        <v/>
      </c>
      <c r="N653" s="20">
        <f>COUNTIFS(tData[SEHTrajectPeriodeDatumTijdVan],"&lt;="&amp;($A653+10/24),tData[SEHTrajectPeriodeDatumTijdTotEnMet],"&gt;"&amp;($A653+10/24),tData[Langligger01],1)</f>
        <v/>
      </c>
      <c r="O653" s="20">
        <f>COUNTIFS(tData[SEHTrajectPeriodeDatumTijdVan],"&lt;="&amp;($A653+11/24),tData[SEHTrajectPeriodeDatumTijdTotEnMet],"&gt;"&amp;($A653+11/24),tData[Langligger01],1)</f>
        <v/>
      </c>
      <c r="P653" s="20">
        <f>COUNTIFS(tData[SEHTrajectPeriodeDatumTijdVan],"&lt;="&amp;($A653+12/24),tData[SEHTrajectPeriodeDatumTijdTotEnMet],"&gt;"&amp;($A653+12/24),tData[Langligger01],1)</f>
        <v/>
      </c>
      <c r="Q653" s="20">
        <f>COUNTIFS(tData[SEHTrajectPeriodeDatumTijdVan],"&lt;="&amp;($A653+13/24),tData[SEHTrajectPeriodeDatumTijdTotEnMet],"&gt;"&amp;($A653+13/24),tData[Langligger01],1)</f>
        <v/>
      </c>
      <c r="R653" s="20">
        <f>COUNTIFS(tData[SEHTrajectPeriodeDatumTijdVan],"&lt;="&amp;($A653+14/24),tData[SEHTrajectPeriodeDatumTijdTotEnMet],"&gt;"&amp;($A653+14/24),tData[Langligger01],1)</f>
        <v/>
      </c>
      <c r="S653" s="20">
        <f>COUNTIFS(tData[SEHTrajectPeriodeDatumTijdVan],"&lt;="&amp;($A653+15/24),tData[SEHTrajectPeriodeDatumTijdTotEnMet],"&gt;"&amp;($A653+15/24),tData[Langligger01],1)</f>
        <v/>
      </c>
      <c r="T653" s="20">
        <f>COUNTIFS(tData[SEHTrajectPeriodeDatumTijdVan],"&lt;="&amp;($A653+16/24),tData[SEHTrajectPeriodeDatumTijdTotEnMet],"&gt;"&amp;($A653+16/24),tData[Langligger01],1)</f>
        <v/>
      </c>
      <c r="U653" s="20">
        <f>COUNTIFS(tData[SEHTrajectPeriodeDatumTijdVan],"&lt;="&amp;($A653+17/24),tData[SEHTrajectPeriodeDatumTijdTotEnMet],"&gt;"&amp;($A653+17/24),tData[Langligger01],1)</f>
        <v/>
      </c>
      <c r="V653" s="20">
        <f>COUNTIFS(tData[SEHTrajectPeriodeDatumTijdVan],"&lt;="&amp;($A653+18/24),tData[SEHTrajectPeriodeDatumTijdTotEnMet],"&gt;"&amp;($A653+18/24),tData[Langligger01],1)</f>
        <v/>
      </c>
      <c r="W653" s="20">
        <f>COUNTIFS(tData[SEHTrajectPeriodeDatumTijdVan],"&lt;="&amp;($A653+19/24),tData[SEHTrajectPeriodeDatumTijdTotEnMet],"&gt;"&amp;($A653+19/24),tData[Langligger01],1)</f>
        <v/>
      </c>
      <c r="X653" s="20">
        <f>COUNTIFS(tData[SEHTrajectPeriodeDatumTijdVan],"&lt;="&amp;($A653+20/24),tData[SEHTrajectPeriodeDatumTijdTotEnMet],"&gt;"&amp;($A653+20/24),tData[Langligger01],1)</f>
        <v/>
      </c>
      <c r="Y653" s="20">
        <f>COUNTIFS(tData[SEHTrajectPeriodeDatumTijdVan],"&lt;="&amp;($A653+21/24),tData[SEHTrajectPeriodeDatumTijdTotEnMet],"&gt;"&amp;($A653+21/24),tData[Langligger01],1)</f>
        <v/>
      </c>
      <c r="Z653" s="20">
        <f>COUNTIFS(tData[SEHTrajectPeriodeDatumTijdVan],"&lt;="&amp;($A653+22/24),tData[SEHTrajectPeriodeDatumTijdTotEnMet],"&gt;"&amp;($A653+22/24),tData[Langligger01],1)</f>
        <v/>
      </c>
      <c r="AA653" s="20">
        <f>COUNTIFS(tData[SEHTrajectPeriodeDatumTijdVan],"&lt;="&amp;($A653+23/24),tData[SEHTrajectPeriodeDatumTijdTotEnMet],"&gt;"&amp;($A653+23/24),tData[Langligger01],1)</f>
        <v/>
      </c>
    </row>
    <row r="654">
      <c r="A654" s="19" t="n">
        <v>45942</v>
      </c>
      <c r="B654" s="15">
        <f>WEEKDAY($A654,2)</f>
        <v/>
      </c>
      <c r="C654" s="15">
        <f>IF(AND($A654&gt;=INT(Instellingen!$B$5),$A654&lt;=INT(Instellingen!$B$6)),1,0)</f>
        <v/>
      </c>
      <c r="D654" s="20">
        <f>COUNTIFS(tData[SEHTrajectPeriodeDatumTijdVan],"&lt;="&amp;($A654+0/24),tData[SEHTrajectPeriodeDatumTijdTotEnMet],"&gt;"&amp;($A654+0/24),tData[Langligger01],1)</f>
        <v/>
      </c>
      <c r="E654" s="20">
        <f>COUNTIFS(tData[SEHTrajectPeriodeDatumTijdVan],"&lt;="&amp;($A654+1/24),tData[SEHTrajectPeriodeDatumTijdTotEnMet],"&gt;"&amp;($A654+1/24),tData[Langligger01],1)</f>
        <v/>
      </c>
      <c r="F654" s="20">
        <f>COUNTIFS(tData[SEHTrajectPeriodeDatumTijdVan],"&lt;="&amp;($A654+2/24),tData[SEHTrajectPeriodeDatumTijdTotEnMet],"&gt;"&amp;($A654+2/24),tData[Langligger01],1)</f>
        <v/>
      </c>
      <c r="G654" s="20">
        <f>COUNTIFS(tData[SEHTrajectPeriodeDatumTijdVan],"&lt;="&amp;($A654+3/24),tData[SEHTrajectPeriodeDatumTijdTotEnMet],"&gt;"&amp;($A654+3/24),tData[Langligger01],1)</f>
        <v/>
      </c>
      <c r="H654" s="20">
        <f>COUNTIFS(tData[SEHTrajectPeriodeDatumTijdVan],"&lt;="&amp;($A654+4/24),tData[SEHTrajectPeriodeDatumTijdTotEnMet],"&gt;"&amp;($A654+4/24),tData[Langligger01],1)</f>
        <v/>
      </c>
      <c r="I654" s="20">
        <f>COUNTIFS(tData[SEHTrajectPeriodeDatumTijdVan],"&lt;="&amp;($A654+5/24),tData[SEHTrajectPeriodeDatumTijdTotEnMet],"&gt;"&amp;($A654+5/24),tData[Langligger01],1)</f>
        <v/>
      </c>
      <c r="J654" s="20">
        <f>COUNTIFS(tData[SEHTrajectPeriodeDatumTijdVan],"&lt;="&amp;($A654+6/24),tData[SEHTrajectPeriodeDatumTijdTotEnMet],"&gt;"&amp;($A654+6/24),tData[Langligger01],1)</f>
        <v/>
      </c>
      <c r="K654" s="20">
        <f>COUNTIFS(tData[SEHTrajectPeriodeDatumTijdVan],"&lt;="&amp;($A654+7/24),tData[SEHTrajectPeriodeDatumTijdTotEnMet],"&gt;"&amp;($A654+7/24),tData[Langligger01],1)</f>
        <v/>
      </c>
      <c r="L654" s="20">
        <f>COUNTIFS(tData[SEHTrajectPeriodeDatumTijdVan],"&lt;="&amp;($A654+8/24),tData[SEHTrajectPeriodeDatumTijdTotEnMet],"&gt;"&amp;($A654+8/24),tData[Langligger01],1)</f>
        <v/>
      </c>
      <c r="M654" s="20">
        <f>COUNTIFS(tData[SEHTrajectPeriodeDatumTijdVan],"&lt;="&amp;($A654+9/24),tData[SEHTrajectPeriodeDatumTijdTotEnMet],"&gt;"&amp;($A654+9/24),tData[Langligger01],1)</f>
        <v/>
      </c>
      <c r="N654" s="20">
        <f>COUNTIFS(tData[SEHTrajectPeriodeDatumTijdVan],"&lt;="&amp;($A654+10/24),tData[SEHTrajectPeriodeDatumTijdTotEnMet],"&gt;"&amp;($A654+10/24),tData[Langligger01],1)</f>
        <v/>
      </c>
      <c r="O654" s="20">
        <f>COUNTIFS(tData[SEHTrajectPeriodeDatumTijdVan],"&lt;="&amp;($A654+11/24),tData[SEHTrajectPeriodeDatumTijdTotEnMet],"&gt;"&amp;($A654+11/24),tData[Langligger01],1)</f>
        <v/>
      </c>
      <c r="P654" s="20">
        <f>COUNTIFS(tData[SEHTrajectPeriodeDatumTijdVan],"&lt;="&amp;($A654+12/24),tData[SEHTrajectPeriodeDatumTijdTotEnMet],"&gt;"&amp;($A654+12/24),tData[Langligger01],1)</f>
        <v/>
      </c>
      <c r="Q654" s="20">
        <f>COUNTIFS(tData[SEHTrajectPeriodeDatumTijdVan],"&lt;="&amp;($A654+13/24),tData[SEHTrajectPeriodeDatumTijdTotEnMet],"&gt;"&amp;($A654+13/24),tData[Langligger01],1)</f>
        <v/>
      </c>
      <c r="R654" s="20">
        <f>COUNTIFS(tData[SEHTrajectPeriodeDatumTijdVan],"&lt;="&amp;($A654+14/24),tData[SEHTrajectPeriodeDatumTijdTotEnMet],"&gt;"&amp;($A654+14/24),tData[Langligger01],1)</f>
        <v/>
      </c>
      <c r="S654" s="20">
        <f>COUNTIFS(tData[SEHTrajectPeriodeDatumTijdVan],"&lt;="&amp;($A654+15/24),tData[SEHTrajectPeriodeDatumTijdTotEnMet],"&gt;"&amp;($A654+15/24),tData[Langligger01],1)</f>
        <v/>
      </c>
      <c r="T654" s="20">
        <f>COUNTIFS(tData[SEHTrajectPeriodeDatumTijdVan],"&lt;="&amp;($A654+16/24),tData[SEHTrajectPeriodeDatumTijdTotEnMet],"&gt;"&amp;($A654+16/24),tData[Langligger01],1)</f>
        <v/>
      </c>
      <c r="U654" s="20">
        <f>COUNTIFS(tData[SEHTrajectPeriodeDatumTijdVan],"&lt;="&amp;($A654+17/24),tData[SEHTrajectPeriodeDatumTijdTotEnMet],"&gt;"&amp;($A654+17/24),tData[Langligger01],1)</f>
        <v/>
      </c>
      <c r="V654" s="20">
        <f>COUNTIFS(tData[SEHTrajectPeriodeDatumTijdVan],"&lt;="&amp;($A654+18/24),tData[SEHTrajectPeriodeDatumTijdTotEnMet],"&gt;"&amp;($A654+18/24),tData[Langligger01],1)</f>
        <v/>
      </c>
      <c r="W654" s="20">
        <f>COUNTIFS(tData[SEHTrajectPeriodeDatumTijdVan],"&lt;="&amp;($A654+19/24),tData[SEHTrajectPeriodeDatumTijdTotEnMet],"&gt;"&amp;($A654+19/24),tData[Langligger01],1)</f>
        <v/>
      </c>
      <c r="X654" s="20">
        <f>COUNTIFS(tData[SEHTrajectPeriodeDatumTijdVan],"&lt;="&amp;($A654+20/24),tData[SEHTrajectPeriodeDatumTijdTotEnMet],"&gt;"&amp;($A654+20/24),tData[Langligger01],1)</f>
        <v/>
      </c>
      <c r="Y654" s="20">
        <f>COUNTIFS(tData[SEHTrajectPeriodeDatumTijdVan],"&lt;="&amp;($A654+21/24),tData[SEHTrajectPeriodeDatumTijdTotEnMet],"&gt;"&amp;($A654+21/24),tData[Langligger01],1)</f>
        <v/>
      </c>
      <c r="Z654" s="20">
        <f>COUNTIFS(tData[SEHTrajectPeriodeDatumTijdVan],"&lt;="&amp;($A654+22/24),tData[SEHTrajectPeriodeDatumTijdTotEnMet],"&gt;"&amp;($A654+22/24),tData[Langligger01],1)</f>
        <v/>
      </c>
      <c r="AA654" s="20">
        <f>COUNTIFS(tData[SEHTrajectPeriodeDatumTijdVan],"&lt;="&amp;($A654+23/24),tData[SEHTrajectPeriodeDatumTijdTotEnMet],"&gt;"&amp;($A654+23/24),tData[Langligger01],1)</f>
        <v/>
      </c>
    </row>
    <row r="655">
      <c r="A655" s="19" t="n">
        <v>45943</v>
      </c>
      <c r="B655" s="15">
        <f>WEEKDAY($A655,2)</f>
        <v/>
      </c>
      <c r="C655" s="15">
        <f>IF(AND($A655&gt;=INT(Instellingen!$B$5),$A655&lt;=INT(Instellingen!$B$6)),1,0)</f>
        <v/>
      </c>
      <c r="D655" s="20">
        <f>COUNTIFS(tData[SEHTrajectPeriodeDatumTijdVan],"&lt;="&amp;($A655+0/24),tData[SEHTrajectPeriodeDatumTijdTotEnMet],"&gt;"&amp;($A655+0/24),tData[Langligger01],1)</f>
        <v/>
      </c>
      <c r="E655" s="20">
        <f>COUNTIFS(tData[SEHTrajectPeriodeDatumTijdVan],"&lt;="&amp;($A655+1/24),tData[SEHTrajectPeriodeDatumTijdTotEnMet],"&gt;"&amp;($A655+1/24),tData[Langligger01],1)</f>
        <v/>
      </c>
      <c r="F655" s="20">
        <f>COUNTIFS(tData[SEHTrajectPeriodeDatumTijdVan],"&lt;="&amp;($A655+2/24),tData[SEHTrajectPeriodeDatumTijdTotEnMet],"&gt;"&amp;($A655+2/24),tData[Langligger01],1)</f>
        <v/>
      </c>
      <c r="G655" s="20">
        <f>COUNTIFS(tData[SEHTrajectPeriodeDatumTijdVan],"&lt;="&amp;($A655+3/24),tData[SEHTrajectPeriodeDatumTijdTotEnMet],"&gt;"&amp;($A655+3/24),tData[Langligger01],1)</f>
        <v/>
      </c>
      <c r="H655" s="20">
        <f>COUNTIFS(tData[SEHTrajectPeriodeDatumTijdVan],"&lt;="&amp;($A655+4/24),tData[SEHTrajectPeriodeDatumTijdTotEnMet],"&gt;"&amp;($A655+4/24),tData[Langligger01],1)</f>
        <v/>
      </c>
      <c r="I655" s="20">
        <f>COUNTIFS(tData[SEHTrajectPeriodeDatumTijdVan],"&lt;="&amp;($A655+5/24),tData[SEHTrajectPeriodeDatumTijdTotEnMet],"&gt;"&amp;($A655+5/24),tData[Langligger01],1)</f>
        <v/>
      </c>
      <c r="J655" s="20">
        <f>COUNTIFS(tData[SEHTrajectPeriodeDatumTijdVan],"&lt;="&amp;($A655+6/24),tData[SEHTrajectPeriodeDatumTijdTotEnMet],"&gt;"&amp;($A655+6/24),tData[Langligger01],1)</f>
        <v/>
      </c>
      <c r="K655" s="20">
        <f>COUNTIFS(tData[SEHTrajectPeriodeDatumTijdVan],"&lt;="&amp;($A655+7/24),tData[SEHTrajectPeriodeDatumTijdTotEnMet],"&gt;"&amp;($A655+7/24),tData[Langligger01],1)</f>
        <v/>
      </c>
      <c r="L655" s="20">
        <f>COUNTIFS(tData[SEHTrajectPeriodeDatumTijdVan],"&lt;="&amp;($A655+8/24),tData[SEHTrajectPeriodeDatumTijdTotEnMet],"&gt;"&amp;($A655+8/24),tData[Langligger01],1)</f>
        <v/>
      </c>
      <c r="M655" s="20">
        <f>COUNTIFS(tData[SEHTrajectPeriodeDatumTijdVan],"&lt;="&amp;($A655+9/24),tData[SEHTrajectPeriodeDatumTijdTotEnMet],"&gt;"&amp;($A655+9/24),tData[Langligger01],1)</f>
        <v/>
      </c>
      <c r="N655" s="20">
        <f>COUNTIFS(tData[SEHTrajectPeriodeDatumTijdVan],"&lt;="&amp;($A655+10/24),tData[SEHTrajectPeriodeDatumTijdTotEnMet],"&gt;"&amp;($A655+10/24),tData[Langligger01],1)</f>
        <v/>
      </c>
      <c r="O655" s="20">
        <f>COUNTIFS(tData[SEHTrajectPeriodeDatumTijdVan],"&lt;="&amp;($A655+11/24),tData[SEHTrajectPeriodeDatumTijdTotEnMet],"&gt;"&amp;($A655+11/24),tData[Langligger01],1)</f>
        <v/>
      </c>
      <c r="P655" s="20">
        <f>COUNTIFS(tData[SEHTrajectPeriodeDatumTijdVan],"&lt;="&amp;($A655+12/24),tData[SEHTrajectPeriodeDatumTijdTotEnMet],"&gt;"&amp;($A655+12/24),tData[Langligger01],1)</f>
        <v/>
      </c>
      <c r="Q655" s="20">
        <f>COUNTIFS(tData[SEHTrajectPeriodeDatumTijdVan],"&lt;="&amp;($A655+13/24),tData[SEHTrajectPeriodeDatumTijdTotEnMet],"&gt;"&amp;($A655+13/24),tData[Langligger01],1)</f>
        <v/>
      </c>
      <c r="R655" s="20">
        <f>COUNTIFS(tData[SEHTrajectPeriodeDatumTijdVan],"&lt;="&amp;($A655+14/24),tData[SEHTrajectPeriodeDatumTijdTotEnMet],"&gt;"&amp;($A655+14/24),tData[Langligger01],1)</f>
        <v/>
      </c>
      <c r="S655" s="20">
        <f>COUNTIFS(tData[SEHTrajectPeriodeDatumTijdVan],"&lt;="&amp;($A655+15/24),tData[SEHTrajectPeriodeDatumTijdTotEnMet],"&gt;"&amp;($A655+15/24),tData[Langligger01],1)</f>
        <v/>
      </c>
      <c r="T655" s="20">
        <f>COUNTIFS(tData[SEHTrajectPeriodeDatumTijdVan],"&lt;="&amp;($A655+16/24),tData[SEHTrajectPeriodeDatumTijdTotEnMet],"&gt;"&amp;($A655+16/24),tData[Langligger01],1)</f>
        <v/>
      </c>
      <c r="U655" s="20">
        <f>COUNTIFS(tData[SEHTrajectPeriodeDatumTijdVan],"&lt;="&amp;($A655+17/24),tData[SEHTrajectPeriodeDatumTijdTotEnMet],"&gt;"&amp;($A655+17/24),tData[Langligger01],1)</f>
        <v/>
      </c>
      <c r="V655" s="20">
        <f>COUNTIFS(tData[SEHTrajectPeriodeDatumTijdVan],"&lt;="&amp;($A655+18/24),tData[SEHTrajectPeriodeDatumTijdTotEnMet],"&gt;"&amp;($A655+18/24),tData[Langligger01],1)</f>
        <v/>
      </c>
      <c r="W655" s="20">
        <f>COUNTIFS(tData[SEHTrajectPeriodeDatumTijdVan],"&lt;="&amp;($A655+19/24),tData[SEHTrajectPeriodeDatumTijdTotEnMet],"&gt;"&amp;($A655+19/24),tData[Langligger01],1)</f>
        <v/>
      </c>
      <c r="X655" s="20">
        <f>COUNTIFS(tData[SEHTrajectPeriodeDatumTijdVan],"&lt;="&amp;($A655+20/24),tData[SEHTrajectPeriodeDatumTijdTotEnMet],"&gt;"&amp;($A655+20/24),tData[Langligger01],1)</f>
        <v/>
      </c>
      <c r="Y655" s="20">
        <f>COUNTIFS(tData[SEHTrajectPeriodeDatumTijdVan],"&lt;="&amp;($A655+21/24),tData[SEHTrajectPeriodeDatumTijdTotEnMet],"&gt;"&amp;($A655+21/24),tData[Langligger01],1)</f>
        <v/>
      </c>
      <c r="Z655" s="20">
        <f>COUNTIFS(tData[SEHTrajectPeriodeDatumTijdVan],"&lt;="&amp;($A655+22/24),tData[SEHTrajectPeriodeDatumTijdTotEnMet],"&gt;"&amp;($A655+22/24),tData[Langligger01],1)</f>
        <v/>
      </c>
      <c r="AA655" s="20">
        <f>COUNTIFS(tData[SEHTrajectPeriodeDatumTijdVan],"&lt;="&amp;($A655+23/24),tData[SEHTrajectPeriodeDatumTijdTotEnMet],"&gt;"&amp;($A655+23/24),tData[Langligger01],1)</f>
        <v/>
      </c>
    </row>
    <row r="656">
      <c r="A656" s="19" t="n">
        <v>45944</v>
      </c>
      <c r="B656" s="15">
        <f>WEEKDAY($A656,2)</f>
        <v/>
      </c>
      <c r="C656" s="15">
        <f>IF(AND($A656&gt;=INT(Instellingen!$B$5),$A656&lt;=INT(Instellingen!$B$6)),1,0)</f>
        <v/>
      </c>
      <c r="D656" s="20">
        <f>COUNTIFS(tData[SEHTrajectPeriodeDatumTijdVan],"&lt;="&amp;($A656+0/24),tData[SEHTrajectPeriodeDatumTijdTotEnMet],"&gt;"&amp;($A656+0/24),tData[Langligger01],1)</f>
        <v/>
      </c>
      <c r="E656" s="20">
        <f>COUNTIFS(tData[SEHTrajectPeriodeDatumTijdVan],"&lt;="&amp;($A656+1/24),tData[SEHTrajectPeriodeDatumTijdTotEnMet],"&gt;"&amp;($A656+1/24),tData[Langligger01],1)</f>
        <v/>
      </c>
      <c r="F656" s="20">
        <f>COUNTIFS(tData[SEHTrajectPeriodeDatumTijdVan],"&lt;="&amp;($A656+2/24),tData[SEHTrajectPeriodeDatumTijdTotEnMet],"&gt;"&amp;($A656+2/24),tData[Langligger01],1)</f>
        <v/>
      </c>
      <c r="G656" s="20">
        <f>COUNTIFS(tData[SEHTrajectPeriodeDatumTijdVan],"&lt;="&amp;($A656+3/24),tData[SEHTrajectPeriodeDatumTijdTotEnMet],"&gt;"&amp;($A656+3/24),tData[Langligger01],1)</f>
        <v/>
      </c>
      <c r="H656" s="20">
        <f>COUNTIFS(tData[SEHTrajectPeriodeDatumTijdVan],"&lt;="&amp;($A656+4/24),tData[SEHTrajectPeriodeDatumTijdTotEnMet],"&gt;"&amp;($A656+4/24),tData[Langligger01],1)</f>
        <v/>
      </c>
      <c r="I656" s="20">
        <f>COUNTIFS(tData[SEHTrajectPeriodeDatumTijdVan],"&lt;="&amp;($A656+5/24),tData[SEHTrajectPeriodeDatumTijdTotEnMet],"&gt;"&amp;($A656+5/24),tData[Langligger01],1)</f>
        <v/>
      </c>
      <c r="J656" s="20">
        <f>COUNTIFS(tData[SEHTrajectPeriodeDatumTijdVan],"&lt;="&amp;($A656+6/24),tData[SEHTrajectPeriodeDatumTijdTotEnMet],"&gt;"&amp;($A656+6/24),tData[Langligger01],1)</f>
        <v/>
      </c>
      <c r="K656" s="20">
        <f>COUNTIFS(tData[SEHTrajectPeriodeDatumTijdVan],"&lt;="&amp;($A656+7/24),tData[SEHTrajectPeriodeDatumTijdTotEnMet],"&gt;"&amp;($A656+7/24),tData[Langligger01],1)</f>
        <v/>
      </c>
      <c r="L656" s="20">
        <f>COUNTIFS(tData[SEHTrajectPeriodeDatumTijdVan],"&lt;="&amp;($A656+8/24),tData[SEHTrajectPeriodeDatumTijdTotEnMet],"&gt;"&amp;($A656+8/24),tData[Langligger01],1)</f>
        <v/>
      </c>
      <c r="M656" s="20">
        <f>COUNTIFS(tData[SEHTrajectPeriodeDatumTijdVan],"&lt;="&amp;($A656+9/24),tData[SEHTrajectPeriodeDatumTijdTotEnMet],"&gt;"&amp;($A656+9/24),tData[Langligger01],1)</f>
        <v/>
      </c>
      <c r="N656" s="20">
        <f>COUNTIFS(tData[SEHTrajectPeriodeDatumTijdVan],"&lt;="&amp;($A656+10/24),tData[SEHTrajectPeriodeDatumTijdTotEnMet],"&gt;"&amp;($A656+10/24),tData[Langligger01],1)</f>
        <v/>
      </c>
      <c r="O656" s="20">
        <f>COUNTIFS(tData[SEHTrajectPeriodeDatumTijdVan],"&lt;="&amp;($A656+11/24),tData[SEHTrajectPeriodeDatumTijdTotEnMet],"&gt;"&amp;($A656+11/24),tData[Langligger01],1)</f>
        <v/>
      </c>
      <c r="P656" s="20">
        <f>COUNTIFS(tData[SEHTrajectPeriodeDatumTijdVan],"&lt;="&amp;($A656+12/24),tData[SEHTrajectPeriodeDatumTijdTotEnMet],"&gt;"&amp;($A656+12/24),tData[Langligger01],1)</f>
        <v/>
      </c>
      <c r="Q656" s="20">
        <f>COUNTIFS(tData[SEHTrajectPeriodeDatumTijdVan],"&lt;="&amp;($A656+13/24),tData[SEHTrajectPeriodeDatumTijdTotEnMet],"&gt;"&amp;($A656+13/24),tData[Langligger01],1)</f>
        <v/>
      </c>
      <c r="R656" s="20">
        <f>COUNTIFS(tData[SEHTrajectPeriodeDatumTijdVan],"&lt;="&amp;($A656+14/24),tData[SEHTrajectPeriodeDatumTijdTotEnMet],"&gt;"&amp;($A656+14/24),tData[Langligger01],1)</f>
        <v/>
      </c>
      <c r="S656" s="20">
        <f>COUNTIFS(tData[SEHTrajectPeriodeDatumTijdVan],"&lt;="&amp;($A656+15/24),tData[SEHTrajectPeriodeDatumTijdTotEnMet],"&gt;"&amp;($A656+15/24),tData[Langligger01],1)</f>
        <v/>
      </c>
      <c r="T656" s="20">
        <f>COUNTIFS(tData[SEHTrajectPeriodeDatumTijdVan],"&lt;="&amp;($A656+16/24),tData[SEHTrajectPeriodeDatumTijdTotEnMet],"&gt;"&amp;($A656+16/24),tData[Langligger01],1)</f>
        <v/>
      </c>
      <c r="U656" s="20">
        <f>COUNTIFS(tData[SEHTrajectPeriodeDatumTijdVan],"&lt;="&amp;($A656+17/24),tData[SEHTrajectPeriodeDatumTijdTotEnMet],"&gt;"&amp;($A656+17/24),tData[Langligger01],1)</f>
        <v/>
      </c>
      <c r="V656" s="20">
        <f>COUNTIFS(tData[SEHTrajectPeriodeDatumTijdVan],"&lt;="&amp;($A656+18/24),tData[SEHTrajectPeriodeDatumTijdTotEnMet],"&gt;"&amp;($A656+18/24),tData[Langligger01],1)</f>
        <v/>
      </c>
      <c r="W656" s="20">
        <f>COUNTIFS(tData[SEHTrajectPeriodeDatumTijdVan],"&lt;="&amp;($A656+19/24),tData[SEHTrajectPeriodeDatumTijdTotEnMet],"&gt;"&amp;($A656+19/24),tData[Langligger01],1)</f>
        <v/>
      </c>
      <c r="X656" s="20">
        <f>COUNTIFS(tData[SEHTrajectPeriodeDatumTijdVan],"&lt;="&amp;($A656+20/24),tData[SEHTrajectPeriodeDatumTijdTotEnMet],"&gt;"&amp;($A656+20/24),tData[Langligger01],1)</f>
        <v/>
      </c>
      <c r="Y656" s="20">
        <f>COUNTIFS(tData[SEHTrajectPeriodeDatumTijdVan],"&lt;="&amp;($A656+21/24),tData[SEHTrajectPeriodeDatumTijdTotEnMet],"&gt;"&amp;($A656+21/24),tData[Langligger01],1)</f>
        <v/>
      </c>
      <c r="Z656" s="20">
        <f>COUNTIFS(tData[SEHTrajectPeriodeDatumTijdVan],"&lt;="&amp;($A656+22/24),tData[SEHTrajectPeriodeDatumTijdTotEnMet],"&gt;"&amp;($A656+22/24),tData[Langligger01],1)</f>
        <v/>
      </c>
      <c r="AA656" s="20">
        <f>COUNTIFS(tData[SEHTrajectPeriodeDatumTijdVan],"&lt;="&amp;($A656+23/24),tData[SEHTrajectPeriodeDatumTijdTotEnMet],"&gt;"&amp;($A656+23/24),tData[Langligger01],1)</f>
        <v/>
      </c>
    </row>
    <row r="657">
      <c r="A657" s="19" t="n">
        <v>45945</v>
      </c>
      <c r="B657" s="15">
        <f>WEEKDAY($A657,2)</f>
        <v/>
      </c>
      <c r="C657" s="15">
        <f>IF(AND($A657&gt;=INT(Instellingen!$B$5),$A657&lt;=INT(Instellingen!$B$6)),1,0)</f>
        <v/>
      </c>
      <c r="D657" s="20">
        <f>COUNTIFS(tData[SEHTrajectPeriodeDatumTijdVan],"&lt;="&amp;($A657+0/24),tData[SEHTrajectPeriodeDatumTijdTotEnMet],"&gt;"&amp;($A657+0/24),tData[Langligger01],1)</f>
        <v/>
      </c>
      <c r="E657" s="20">
        <f>COUNTIFS(tData[SEHTrajectPeriodeDatumTijdVan],"&lt;="&amp;($A657+1/24),tData[SEHTrajectPeriodeDatumTijdTotEnMet],"&gt;"&amp;($A657+1/24),tData[Langligger01],1)</f>
        <v/>
      </c>
      <c r="F657" s="20">
        <f>COUNTIFS(tData[SEHTrajectPeriodeDatumTijdVan],"&lt;="&amp;($A657+2/24),tData[SEHTrajectPeriodeDatumTijdTotEnMet],"&gt;"&amp;($A657+2/24),tData[Langligger01],1)</f>
        <v/>
      </c>
      <c r="G657" s="20">
        <f>COUNTIFS(tData[SEHTrajectPeriodeDatumTijdVan],"&lt;="&amp;($A657+3/24),tData[SEHTrajectPeriodeDatumTijdTotEnMet],"&gt;"&amp;($A657+3/24),tData[Langligger01],1)</f>
        <v/>
      </c>
      <c r="H657" s="20">
        <f>COUNTIFS(tData[SEHTrajectPeriodeDatumTijdVan],"&lt;="&amp;($A657+4/24),tData[SEHTrajectPeriodeDatumTijdTotEnMet],"&gt;"&amp;($A657+4/24),tData[Langligger01],1)</f>
        <v/>
      </c>
      <c r="I657" s="20">
        <f>COUNTIFS(tData[SEHTrajectPeriodeDatumTijdVan],"&lt;="&amp;($A657+5/24),tData[SEHTrajectPeriodeDatumTijdTotEnMet],"&gt;"&amp;($A657+5/24),tData[Langligger01],1)</f>
        <v/>
      </c>
      <c r="J657" s="20">
        <f>COUNTIFS(tData[SEHTrajectPeriodeDatumTijdVan],"&lt;="&amp;($A657+6/24),tData[SEHTrajectPeriodeDatumTijdTotEnMet],"&gt;"&amp;($A657+6/24),tData[Langligger01],1)</f>
        <v/>
      </c>
      <c r="K657" s="20">
        <f>COUNTIFS(tData[SEHTrajectPeriodeDatumTijdVan],"&lt;="&amp;($A657+7/24),tData[SEHTrajectPeriodeDatumTijdTotEnMet],"&gt;"&amp;($A657+7/24),tData[Langligger01],1)</f>
        <v/>
      </c>
      <c r="L657" s="20">
        <f>COUNTIFS(tData[SEHTrajectPeriodeDatumTijdVan],"&lt;="&amp;($A657+8/24),tData[SEHTrajectPeriodeDatumTijdTotEnMet],"&gt;"&amp;($A657+8/24),tData[Langligger01],1)</f>
        <v/>
      </c>
      <c r="M657" s="20">
        <f>COUNTIFS(tData[SEHTrajectPeriodeDatumTijdVan],"&lt;="&amp;($A657+9/24),tData[SEHTrajectPeriodeDatumTijdTotEnMet],"&gt;"&amp;($A657+9/24),tData[Langligger01],1)</f>
        <v/>
      </c>
      <c r="N657" s="20">
        <f>COUNTIFS(tData[SEHTrajectPeriodeDatumTijdVan],"&lt;="&amp;($A657+10/24),tData[SEHTrajectPeriodeDatumTijdTotEnMet],"&gt;"&amp;($A657+10/24),tData[Langligger01],1)</f>
        <v/>
      </c>
      <c r="O657" s="20">
        <f>COUNTIFS(tData[SEHTrajectPeriodeDatumTijdVan],"&lt;="&amp;($A657+11/24),tData[SEHTrajectPeriodeDatumTijdTotEnMet],"&gt;"&amp;($A657+11/24),tData[Langligger01],1)</f>
        <v/>
      </c>
      <c r="P657" s="20">
        <f>COUNTIFS(tData[SEHTrajectPeriodeDatumTijdVan],"&lt;="&amp;($A657+12/24),tData[SEHTrajectPeriodeDatumTijdTotEnMet],"&gt;"&amp;($A657+12/24),tData[Langligger01],1)</f>
        <v/>
      </c>
      <c r="Q657" s="20">
        <f>COUNTIFS(tData[SEHTrajectPeriodeDatumTijdVan],"&lt;="&amp;($A657+13/24),tData[SEHTrajectPeriodeDatumTijdTotEnMet],"&gt;"&amp;($A657+13/24),tData[Langligger01],1)</f>
        <v/>
      </c>
      <c r="R657" s="20">
        <f>COUNTIFS(tData[SEHTrajectPeriodeDatumTijdVan],"&lt;="&amp;($A657+14/24),tData[SEHTrajectPeriodeDatumTijdTotEnMet],"&gt;"&amp;($A657+14/24),tData[Langligger01],1)</f>
        <v/>
      </c>
      <c r="S657" s="20">
        <f>COUNTIFS(tData[SEHTrajectPeriodeDatumTijdVan],"&lt;="&amp;($A657+15/24),tData[SEHTrajectPeriodeDatumTijdTotEnMet],"&gt;"&amp;($A657+15/24),tData[Langligger01],1)</f>
        <v/>
      </c>
      <c r="T657" s="20">
        <f>COUNTIFS(tData[SEHTrajectPeriodeDatumTijdVan],"&lt;="&amp;($A657+16/24),tData[SEHTrajectPeriodeDatumTijdTotEnMet],"&gt;"&amp;($A657+16/24),tData[Langligger01],1)</f>
        <v/>
      </c>
      <c r="U657" s="20">
        <f>COUNTIFS(tData[SEHTrajectPeriodeDatumTijdVan],"&lt;="&amp;($A657+17/24),tData[SEHTrajectPeriodeDatumTijdTotEnMet],"&gt;"&amp;($A657+17/24),tData[Langligger01],1)</f>
        <v/>
      </c>
      <c r="V657" s="20">
        <f>COUNTIFS(tData[SEHTrajectPeriodeDatumTijdVan],"&lt;="&amp;($A657+18/24),tData[SEHTrajectPeriodeDatumTijdTotEnMet],"&gt;"&amp;($A657+18/24),tData[Langligger01],1)</f>
        <v/>
      </c>
      <c r="W657" s="20">
        <f>COUNTIFS(tData[SEHTrajectPeriodeDatumTijdVan],"&lt;="&amp;($A657+19/24),tData[SEHTrajectPeriodeDatumTijdTotEnMet],"&gt;"&amp;($A657+19/24),tData[Langligger01],1)</f>
        <v/>
      </c>
      <c r="X657" s="20">
        <f>COUNTIFS(tData[SEHTrajectPeriodeDatumTijdVan],"&lt;="&amp;($A657+20/24),tData[SEHTrajectPeriodeDatumTijdTotEnMet],"&gt;"&amp;($A657+20/24),tData[Langligger01],1)</f>
        <v/>
      </c>
      <c r="Y657" s="20">
        <f>COUNTIFS(tData[SEHTrajectPeriodeDatumTijdVan],"&lt;="&amp;($A657+21/24),tData[SEHTrajectPeriodeDatumTijdTotEnMet],"&gt;"&amp;($A657+21/24),tData[Langligger01],1)</f>
        <v/>
      </c>
      <c r="Z657" s="20">
        <f>COUNTIFS(tData[SEHTrajectPeriodeDatumTijdVan],"&lt;="&amp;($A657+22/24),tData[SEHTrajectPeriodeDatumTijdTotEnMet],"&gt;"&amp;($A657+22/24),tData[Langligger01],1)</f>
        <v/>
      </c>
      <c r="AA657" s="20">
        <f>COUNTIFS(tData[SEHTrajectPeriodeDatumTijdVan],"&lt;="&amp;($A657+23/24),tData[SEHTrajectPeriodeDatumTijdTotEnMet],"&gt;"&amp;($A657+23/24),tData[Langligger01],1)</f>
        <v/>
      </c>
    </row>
    <row r="658">
      <c r="A658" s="19" t="n">
        <v>45946</v>
      </c>
      <c r="B658" s="15">
        <f>WEEKDAY($A658,2)</f>
        <v/>
      </c>
      <c r="C658" s="15">
        <f>IF(AND($A658&gt;=INT(Instellingen!$B$5),$A658&lt;=INT(Instellingen!$B$6)),1,0)</f>
        <v/>
      </c>
      <c r="D658" s="20">
        <f>COUNTIFS(tData[SEHTrajectPeriodeDatumTijdVan],"&lt;="&amp;($A658+0/24),tData[SEHTrajectPeriodeDatumTijdTotEnMet],"&gt;"&amp;($A658+0/24),tData[Langligger01],1)</f>
        <v/>
      </c>
      <c r="E658" s="20">
        <f>COUNTIFS(tData[SEHTrajectPeriodeDatumTijdVan],"&lt;="&amp;($A658+1/24),tData[SEHTrajectPeriodeDatumTijdTotEnMet],"&gt;"&amp;($A658+1/24),tData[Langligger01],1)</f>
        <v/>
      </c>
      <c r="F658" s="20">
        <f>COUNTIFS(tData[SEHTrajectPeriodeDatumTijdVan],"&lt;="&amp;($A658+2/24),tData[SEHTrajectPeriodeDatumTijdTotEnMet],"&gt;"&amp;($A658+2/24),tData[Langligger01],1)</f>
        <v/>
      </c>
      <c r="G658" s="20">
        <f>COUNTIFS(tData[SEHTrajectPeriodeDatumTijdVan],"&lt;="&amp;($A658+3/24),tData[SEHTrajectPeriodeDatumTijdTotEnMet],"&gt;"&amp;($A658+3/24),tData[Langligger01],1)</f>
        <v/>
      </c>
      <c r="H658" s="20">
        <f>COUNTIFS(tData[SEHTrajectPeriodeDatumTijdVan],"&lt;="&amp;($A658+4/24),tData[SEHTrajectPeriodeDatumTijdTotEnMet],"&gt;"&amp;($A658+4/24),tData[Langligger01],1)</f>
        <v/>
      </c>
      <c r="I658" s="20">
        <f>COUNTIFS(tData[SEHTrajectPeriodeDatumTijdVan],"&lt;="&amp;($A658+5/24),tData[SEHTrajectPeriodeDatumTijdTotEnMet],"&gt;"&amp;($A658+5/24),tData[Langligger01],1)</f>
        <v/>
      </c>
      <c r="J658" s="20">
        <f>COUNTIFS(tData[SEHTrajectPeriodeDatumTijdVan],"&lt;="&amp;($A658+6/24),tData[SEHTrajectPeriodeDatumTijdTotEnMet],"&gt;"&amp;($A658+6/24),tData[Langligger01],1)</f>
        <v/>
      </c>
      <c r="K658" s="20">
        <f>COUNTIFS(tData[SEHTrajectPeriodeDatumTijdVan],"&lt;="&amp;($A658+7/24),tData[SEHTrajectPeriodeDatumTijdTotEnMet],"&gt;"&amp;($A658+7/24),tData[Langligger01],1)</f>
        <v/>
      </c>
      <c r="L658" s="20">
        <f>COUNTIFS(tData[SEHTrajectPeriodeDatumTijdVan],"&lt;="&amp;($A658+8/24),tData[SEHTrajectPeriodeDatumTijdTotEnMet],"&gt;"&amp;($A658+8/24),tData[Langligger01],1)</f>
        <v/>
      </c>
      <c r="M658" s="20">
        <f>COUNTIFS(tData[SEHTrajectPeriodeDatumTijdVan],"&lt;="&amp;($A658+9/24),tData[SEHTrajectPeriodeDatumTijdTotEnMet],"&gt;"&amp;($A658+9/24),tData[Langligger01],1)</f>
        <v/>
      </c>
      <c r="N658" s="20">
        <f>COUNTIFS(tData[SEHTrajectPeriodeDatumTijdVan],"&lt;="&amp;($A658+10/24),tData[SEHTrajectPeriodeDatumTijdTotEnMet],"&gt;"&amp;($A658+10/24),tData[Langligger01],1)</f>
        <v/>
      </c>
      <c r="O658" s="20">
        <f>COUNTIFS(tData[SEHTrajectPeriodeDatumTijdVan],"&lt;="&amp;($A658+11/24),tData[SEHTrajectPeriodeDatumTijdTotEnMet],"&gt;"&amp;($A658+11/24),tData[Langligger01],1)</f>
        <v/>
      </c>
      <c r="P658" s="20">
        <f>COUNTIFS(tData[SEHTrajectPeriodeDatumTijdVan],"&lt;="&amp;($A658+12/24),tData[SEHTrajectPeriodeDatumTijdTotEnMet],"&gt;"&amp;($A658+12/24),tData[Langligger01],1)</f>
        <v/>
      </c>
      <c r="Q658" s="20">
        <f>COUNTIFS(tData[SEHTrajectPeriodeDatumTijdVan],"&lt;="&amp;($A658+13/24),tData[SEHTrajectPeriodeDatumTijdTotEnMet],"&gt;"&amp;($A658+13/24),tData[Langligger01],1)</f>
        <v/>
      </c>
      <c r="R658" s="20">
        <f>COUNTIFS(tData[SEHTrajectPeriodeDatumTijdVan],"&lt;="&amp;($A658+14/24),tData[SEHTrajectPeriodeDatumTijdTotEnMet],"&gt;"&amp;($A658+14/24),tData[Langligger01],1)</f>
        <v/>
      </c>
      <c r="S658" s="20">
        <f>COUNTIFS(tData[SEHTrajectPeriodeDatumTijdVan],"&lt;="&amp;($A658+15/24),tData[SEHTrajectPeriodeDatumTijdTotEnMet],"&gt;"&amp;($A658+15/24),tData[Langligger01],1)</f>
        <v/>
      </c>
      <c r="T658" s="20">
        <f>COUNTIFS(tData[SEHTrajectPeriodeDatumTijdVan],"&lt;="&amp;($A658+16/24),tData[SEHTrajectPeriodeDatumTijdTotEnMet],"&gt;"&amp;($A658+16/24),tData[Langligger01],1)</f>
        <v/>
      </c>
      <c r="U658" s="20">
        <f>COUNTIFS(tData[SEHTrajectPeriodeDatumTijdVan],"&lt;="&amp;($A658+17/24),tData[SEHTrajectPeriodeDatumTijdTotEnMet],"&gt;"&amp;($A658+17/24),tData[Langligger01],1)</f>
        <v/>
      </c>
      <c r="V658" s="20">
        <f>COUNTIFS(tData[SEHTrajectPeriodeDatumTijdVan],"&lt;="&amp;($A658+18/24),tData[SEHTrajectPeriodeDatumTijdTotEnMet],"&gt;"&amp;($A658+18/24),tData[Langligger01],1)</f>
        <v/>
      </c>
      <c r="W658" s="20">
        <f>COUNTIFS(tData[SEHTrajectPeriodeDatumTijdVan],"&lt;="&amp;($A658+19/24),tData[SEHTrajectPeriodeDatumTijdTotEnMet],"&gt;"&amp;($A658+19/24),tData[Langligger01],1)</f>
        <v/>
      </c>
      <c r="X658" s="20">
        <f>COUNTIFS(tData[SEHTrajectPeriodeDatumTijdVan],"&lt;="&amp;($A658+20/24),tData[SEHTrajectPeriodeDatumTijdTotEnMet],"&gt;"&amp;($A658+20/24),tData[Langligger01],1)</f>
        <v/>
      </c>
      <c r="Y658" s="20">
        <f>COUNTIFS(tData[SEHTrajectPeriodeDatumTijdVan],"&lt;="&amp;($A658+21/24),tData[SEHTrajectPeriodeDatumTijdTotEnMet],"&gt;"&amp;($A658+21/24),tData[Langligger01],1)</f>
        <v/>
      </c>
      <c r="Z658" s="20">
        <f>COUNTIFS(tData[SEHTrajectPeriodeDatumTijdVan],"&lt;="&amp;($A658+22/24),tData[SEHTrajectPeriodeDatumTijdTotEnMet],"&gt;"&amp;($A658+22/24),tData[Langligger01],1)</f>
        <v/>
      </c>
      <c r="AA658" s="20">
        <f>COUNTIFS(tData[SEHTrajectPeriodeDatumTijdVan],"&lt;="&amp;($A658+23/24),tData[SEHTrajectPeriodeDatumTijdTotEnMet],"&gt;"&amp;($A658+23/24),tData[Langligger01],1)</f>
        <v/>
      </c>
    </row>
    <row r="659">
      <c r="A659" s="19" t="n">
        <v>45947</v>
      </c>
      <c r="B659" s="15">
        <f>WEEKDAY($A659,2)</f>
        <v/>
      </c>
      <c r="C659" s="15">
        <f>IF(AND($A659&gt;=INT(Instellingen!$B$5),$A659&lt;=INT(Instellingen!$B$6)),1,0)</f>
        <v/>
      </c>
      <c r="D659" s="20">
        <f>COUNTIFS(tData[SEHTrajectPeriodeDatumTijdVan],"&lt;="&amp;($A659+0/24),tData[SEHTrajectPeriodeDatumTijdTotEnMet],"&gt;"&amp;($A659+0/24),tData[Langligger01],1)</f>
        <v/>
      </c>
      <c r="E659" s="20">
        <f>COUNTIFS(tData[SEHTrajectPeriodeDatumTijdVan],"&lt;="&amp;($A659+1/24),tData[SEHTrajectPeriodeDatumTijdTotEnMet],"&gt;"&amp;($A659+1/24),tData[Langligger01],1)</f>
        <v/>
      </c>
      <c r="F659" s="20">
        <f>COUNTIFS(tData[SEHTrajectPeriodeDatumTijdVan],"&lt;="&amp;($A659+2/24),tData[SEHTrajectPeriodeDatumTijdTotEnMet],"&gt;"&amp;($A659+2/24),tData[Langligger01],1)</f>
        <v/>
      </c>
      <c r="G659" s="20">
        <f>COUNTIFS(tData[SEHTrajectPeriodeDatumTijdVan],"&lt;="&amp;($A659+3/24),tData[SEHTrajectPeriodeDatumTijdTotEnMet],"&gt;"&amp;($A659+3/24),tData[Langligger01],1)</f>
        <v/>
      </c>
      <c r="H659" s="20">
        <f>COUNTIFS(tData[SEHTrajectPeriodeDatumTijdVan],"&lt;="&amp;($A659+4/24),tData[SEHTrajectPeriodeDatumTijdTotEnMet],"&gt;"&amp;($A659+4/24),tData[Langligger01],1)</f>
        <v/>
      </c>
      <c r="I659" s="20">
        <f>COUNTIFS(tData[SEHTrajectPeriodeDatumTijdVan],"&lt;="&amp;($A659+5/24),tData[SEHTrajectPeriodeDatumTijdTotEnMet],"&gt;"&amp;($A659+5/24),tData[Langligger01],1)</f>
        <v/>
      </c>
      <c r="J659" s="20">
        <f>COUNTIFS(tData[SEHTrajectPeriodeDatumTijdVan],"&lt;="&amp;($A659+6/24),tData[SEHTrajectPeriodeDatumTijdTotEnMet],"&gt;"&amp;($A659+6/24),tData[Langligger01],1)</f>
        <v/>
      </c>
      <c r="K659" s="20">
        <f>COUNTIFS(tData[SEHTrajectPeriodeDatumTijdVan],"&lt;="&amp;($A659+7/24),tData[SEHTrajectPeriodeDatumTijdTotEnMet],"&gt;"&amp;($A659+7/24),tData[Langligger01],1)</f>
        <v/>
      </c>
      <c r="L659" s="20">
        <f>COUNTIFS(tData[SEHTrajectPeriodeDatumTijdVan],"&lt;="&amp;($A659+8/24),tData[SEHTrajectPeriodeDatumTijdTotEnMet],"&gt;"&amp;($A659+8/24),tData[Langligger01],1)</f>
        <v/>
      </c>
      <c r="M659" s="20">
        <f>COUNTIFS(tData[SEHTrajectPeriodeDatumTijdVan],"&lt;="&amp;($A659+9/24),tData[SEHTrajectPeriodeDatumTijdTotEnMet],"&gt;"&amp;($A659+9/24),tData[Langligger01],1)</f>
        <v/>
      </c>
      <c r="N659" s="20">
        <f>COUNTIFS(tData[SEHTrajectPeriodeDatumTijdVan],"&lt;="&amp;($A659+10/24),tData[SEHTrajectPeriodeDatumTijdTotEnMet],"&gt;"&amp;($A659+10/24),tData[Langligger01],1)</f>
        <v/>
      </c>
      <c r="O659" s="20">
        <f>COUNTIFS(tData[SEHTrajectPeriodeDatumTijdVan],"&lt;="&amp;($A659+11/24),tData[SEHTrajectPeriodeDatumTijdTotEnMet],"&gt;"&amp;($A659+11/24),tData[Langligger01],1)</f>
        <v/>
      </c>
      <c r="P659" s="20">
        <f>COUNTIFS(tData[SEHTrajectPeriodeDatumTijdVan],"&lt;="&amp;($A659+12/24),tData[SEHTrajectPeriodeDatumTijdTotEnMet],"&gt;"&amp;($A659+12/24),tData[Langligger01],1)</f>
        <v/>
      </c>
      <c r="Q659" s="20">
        <f>COUNTIFS(tData[SEHTrajectPeriodeDatumTijdVan],"&lt;="&amp;($A659+13/24),tData[SEHTrajectPeriodeDatumTijdTotEnMet],"&gt;"&amp;($A659+13/24),tData[Langligger01],1)</f>
        <v/>
      </c>
      <c r="R659" s="20">
        <f>COUNTIFS(tData[SEHTrajectPeriodeDatumTijdVan],"&lt;="&amp;($A659+14/24),tData[SEHTrajectPeriodeDatumTijdTotEnMet],"&gt;"&amp;($A659+14/24),tData[Langligger01],1)</f>
        <v/>
      </c>
      <c r="S659" s="20">
        <f>COUNTIFS(tData[SEHTrajectPeriodeDatumTijdVan],"&lt;="&amp;($A659+15/24),tData[SEHTrajectPeriodeDatumTijdTotEnMet],"&gt;"&amp;($A659+15/24),tData[Langligger01],1)</f>
        <v/>
      </c>
      <c r="T659" s="20">
        <f>COUNTIFS(tData[SEHTrajectPeriodeDatumTijdVan],"&lt;="&amp;($A659+16/24),tData[SEHTrajectPeriodeDatumTijdTotEnMet],"&gt;"&amp;($A659+16/24),tData[Langligger01],1)</f>
        <v/>
      </c>
      <c r="U659" s="20">
        <f>COUNTIFS(tData[SEHTrajectPeriodeDatumTijdVan],"&lt;="&amp;($A659+17/24),tData[SEHTrajectPeriodeDatumTijdTotEnMet],"&gt;"&amp;($A659+17/24),tData[Langligger01],1)</f>
        <v/>
      </c>
      <c r="V659" s="20">
        <f>COUNTIFS(tData[SEHTrajectPeriodeDatumTijdVan],"&lt;="&amp;($A659+18/24),tData[SEHTrajectPeriodeDatumTijdTotEnMet],"&gt;"&amp;($A659+18/24),tData[Langligger01],1)</f>
        <v/>
      </c>
      <c r="W659" s="20">
        <f>COUNTIFS(tData[SEHTrajectPeriodeDatumTijdVan],"&lt;="&amp;($A659+19/24),tData[SEHTrajectPeriodeDatumTijdTotEnMet],"&gt;"&amp;($A659+19/24),tData[Langligger01],1)</f>
        <v/>
      </c>
      <c r="X659" s="20">
        <f>COUNTIFS(tData[SEHTrajectPeriodeDatumTijdVan],"&lt;="&amp;($A659+20/24),tData[SEHTrajectPeriodeDatumTijdTotEnMet],"&gt;"&amp;($A659+20/24),tData[Langligger01],1)</f>
        <v/>
      </c>
      <c r="Y659" s="20">
        <f>COUNTIFS(tData[SEHTrajectPeriodeDatumTijdVan],"&lt;="&amp;($A659+21/24),tData[SEHTrajectPeriodeDatumTijdTotEnMet],"&gt;"&amp;($A659+21/24),tData[Langligger01],1)</f>
        <v/>
      </c>
      <c r="Z659" s="20">
        <f>COUNTIFS(tData[SEHTrajectPeriodeDatumTijdVan],"&lt;="&amp;($A659+22/24),tData[SEHTrajectPeriodeDatumTijdTotEnMet],"&gt;"&amp;($A659+22/24),tData[Langligger01],1)</f>
        <v/>
      </c>
      <c r="AA659" s="20">
        <f>COUNTIFS(tData[SEHTrajectPeriodeDatumTijdVan],"&lt;="&amp;($A659+23/24),tData[SEHTrajectPeriodeDatumTijdTotEnMet],"&gt;"&amp;($A659+23/24),tData[Langligger01],1)</f>
        <v/>
      </c>
    </row>
    <row r="660">
      <c r="A660" s="19" t="n">
        <v>45948</v>
      </c>
      <c r="B660" s="15">
        <f>WEEKDAY($A660,2)</f>
        <v/>
      </c>
      <c r="C660" s="15">
        <f>IF(AND($A660&gt;=INT(Instellingen!$B$5),$A660&lt;=INT(Instellingen!$B$6)),1,0)</f>
        <v/>
      </c>
      <c r="D660" s="20">
        <f>COUNTIFS(tData[SEHTrajectPeriodeDatumTijdVan],"&lt;="&amp;($A660+0/24),tData[SEHTrajectPeriodeDatumTijdTotEnMet],"&gt;"&amp;($A660+0/24),tData[Langligger01],1)</f>
        <v/>
      </c>
      <c r="E660" s="20">
        <f>COUNTIFS(tData[SEHTrajectPeriodeDatumTijdVan],"&lt;="&amp;($A660+1/24),tData[SEHTrajectPeriodeDatumTijdTotEnMet],"&gt;"&amp;($A660+1/24),tData[Langligger01],1)</f>
        <v/>
      </c>
      <c r="F660" s="20">
        <f>COUNTIFS(tData[SEHTrajectPeriodeDatumTijdVan],"&lt;="&amp;($A660+2/24),tData[SEHTrajectPeriodeDatumTijdTotEnMet],"&gt;"&amp;($A660+2/24),tData[Langligger01],1)</f>
        <v/>
      </c>
      <c r="G660" s="20">
        <f>COUNTIFS(tData[SEHTrajectPeriodeDatumTijdVan],"&lt;="&amp;($A660+3/24),tData[SEHTrajectPeriodeDatumTijdTotEnMet],"&gt;"&amp;($A660+3/24),tData[Langligger01],1)</f>
        <v/>
      </c>
      <c r="H660" s="20">
        <f>COUNTIFS(tData[SEHTrajectPeriodeDatumTijdVan],"&lt;="&amp;($A660+4/24),tData[SEHTrajectPeriodeDatumTijdTotEnMet],"&gt;"&amp;($A660+4/24),tData[Langligger01],1)</f>
        <v/>
      </c>
      <c r="I660" s="20">
        <f>COUNTIFS(tData[SEHTrajectPeriodeDatumTijdVan],"&lt;="&amp;($A660+5/24),tData[SEHTrajectPeriodeDatumTijdTotEnMet],"&gt;"&amp;($A660+5/24),tData[Langligger01],1)</f>
        <v/>
      </c>
      <c r="J660" s="20">
        <f>COUNTIFS(tData[SEHTrajectPeriodeDatumTijdVan],"&lt;="&amp;($A660+6/24),tData[SEHTrajectPeriodeDatumTijdTotEnMet],"&gt;"&amp;($A660+6/24),tData[Langligger01],1)</f>
        <v/>
      </c>
      <c r="K660" s="20">
        <f>COUNTIFS(tData[SEHTrajectPeriodeDatumTijdVan],"&lt;="&amp;($A660+7/24),tData[SEHTrajectPeriodeDatumTijdTotEnMet],"&gt;"&amp;($A660+7/24),tData[Langligger01],1)</f>
        <v/>
      </c>
      <c r="L660" s="20">
        <f>COUNTIFS(tData[SEHTrajectPeriodeDatumTijdVan],"&lt;="&amp;($A660+8/24),tData[SEHTrajectPeriodeDatumTijdTotEnMet],"&gt;"&amp;($A660+8/24),tData[Langligger01],1)</f>
        <v/>
      </c>
      <c r="M660" s="20">
        <f>COUNTIFS(tData[SEHTrajectPeriodeDatumTijdVan],"&lt;="&amp;($A660+9/24),tData[SEHTrajectPeriodeDatumTijdTotEnMet],"&gt;"&amp;($A660+9/24),tData[Langligger01],1)</f>
        <v/>
      </c>
      <c r="N660" s="20">
        <f>COUNTIFS(tData[SEHTrajectPeriodeDatumTijdVan],"&lt;="&amp;($A660+10/24),tData[SEHTrajectPeriodeDatumTijdTotEnMet],"&gt;"&amp;($A660+10/24),tData[Langligger01],1)</f>
        <v/>
      </c>
      <c r="O660" s="20">
        <f>COUNTIFS(tData[SEHTrajectPeriodeDatumTijdVan],"&lt;="&amp;($A660+11/24),tData[SEHTrajectPeriodeDatumTijdTotEnMet],"&gt;"&amp;($A660+11/24),tData[Langligger01],1)</f>
        <v/>
      </c>
      <c r="P660" s="20">
        <f>COUNTIFS(tData[SEHTrajectPeriodeDatumTijdVan],"&lt;="&amp;($A660+12/24),tData[SEHTrajectPeriodeDatumTijdTotEnMet],"&gt;"&amp;($A660+12/24),tData[Langligger01],1)</f>
        <v/>
      </c>
      <c r="Q660" s="20">
        <f>COUNTIFS(tData[SEHTrajectPeriodeDatumTijdVan],"&lt;="&amp;($A660+13/24),tData[SEHTrajectPeriodeDatumTijdTotEnMet],"&gt;"&amp;($A660+13/24),tData[Langligger01],1)</f>
        <v/>
      </c>
      <c r="R660" s="20">
        <f>COUNTIFS(tData[SEHTrajectPeriodeDatumTijdVan],"&lt;="&amp;($A660+14/24),tData[SEHTrajectPeriodeDatumTijdTotEnMet],"&gt;"&amp;($A660+14/24),tData[Langligger01],1)</f>
        <v/>
      </c>
      <c r="S660" s="20">
        <f>COUNTIFS(tData[SEHTrajectPeriodeDatumTijdVan],"&lt;="&amp;($A660+15/24),tData[SEHTrajectPeriodeDatumTijdTotEnMet],"&gt;"&amp;($A660+15/24),tData[Langligger01],1)</f>
        <v/>
      </c>
      <c r="T660" s="20">
        <f>COUNTIFS(tData[SEHTrajectPeriodeDatumTijdVan],"&lt;="&amp;($A660+16/24),tData[SEHTrajectPeriodeDatumTijdTotEnMet],"&gt;"&amp;($A660+16/24),tData[Langligger01],1)</f>
        <v/>
      </c>
      <c r="U660" s="20">
        <f>COUNTIFS(tData[SEHTrajectPeriodeDatumTijdVan],"&lt;="&amp;($A660+17/24),tData[SEHTrajectPeriodeDatumTijdTotEnMet],"&gt;"&amp;($A660+17/24),tData[Langligger01],1)</f>
        <v/>
      </c>
      <c r="V660" s="20">
        <f>COUNTIFS(tData[SEHTrajectPeriodeDatumTijdVan],"&lt;="&amp;($A660+18/24),tData[SEHTrajectPeriodeDatumTijdTotEnMet],"&gt;"&amp;($A660+18/24),tData[Langligger01],1)</f>
        <v/>
      </c>
      <c r="W660" s="20">
        <f>COUNTIFS(tData[SEHTrajectPeriodeDatumTijdVan],"&lt;="&amp;($A660+19/24),tData[SEHTrajectPeriodeDatumTijdTotEnMet],"&gt;"&amp;($A660+19/24),tData[Langligger01],1)</f>
        <v/>
      </c>
      <c r="X660" s="20">
        <f>COUNTIFS(tData[SEHTrajectPeriodeDatumTijdVan],"&lt;="&amp;($A660+20/24),tData[SEHTrajectPeriodeDatumTijdTotEnMet],"&gt;"&amp;($A660+20/24),tData[Langligger01],1)</f>
        <v/>
      </c>
      <c r="Y660" s="20">
        <f>COUNTIFS(tData[SEHTrajectPeriodeDatumTijdVan],"&lt;="&amp;($A660+21/24),tData[SEHTrajectPeriodeDatumTijdTotEnMet],"&gt;"&amp;($A660+21/24),tData[Langligger01],1)</f>
        <v/>
      </c>
      <c r="Z660" s="20">
        <f>COUNTIFS(tData[SEHTrajectPeriodeDatumTijdVan],"&lt;="&amp;($A660+22/24),tData[SEHTrajectPeriodeDatumTijdTotEnMet],"&gt;"&amp;($A660+22/24),tData[Langligger01],1)</f>
        <v/>
      </c>
      <c r="AA660" s="20">
        <f>COUNTIFS(tData[SEHTrajectPeriodeDatumTijdVan],"&lt;="&amp;($A660+23/24),tData[SEHTrajectPeriodeDatumTijdTotEnMet],"&gt;"&amp;($A660+23/24),tData[Langligger01],1)</f>
        <v/>
      </c>
    </row>
    <row r="661">
      <c r="A661" s="19" t="n">
        <v>45949</v>
      </c>
      <c r="B661" s="15">
        <f>WEEKDAY($A661,2)</f>
        <v/>
      </c>
      <c r="C661" s="15">
        <f>IF(AND($A661&gt;=INT(Instellingen!$B$5),$A661&lt;=INT(Instellingen!$B$6)),1,0)</f>
        <v/>
      </c>
      <c r="D661" s="20">
        <f>COUNTIFS(tData[SEHTrajectPeriodeDatumTijdVan],"&lt;="&amp;($A661+0/24),tData[SEHTrajectPeriodeDatumTijdTotEnMet],"&gt;"&amp;($A661+0/24),tData[Langligger01],1)</f>
        <v/>
      </c>
      <c r="E661" s="20">
        <f>COUNTIFS(tData[SEHTrajectPeriodeDatumTijdVan],"&lt;="&amp;($A661+1/24),tData[SEHTrajectPeriodeDatumTijdTotEnMet],"&gt;"&amp;($A661+1/24),tData[Langligger01],1)</f>
        <v/>
      </c>
      <c r="F661" s="20">
        <f>COUNTIFS(tData[SEHTrajectPeriodeDatumTijdVan],"&lt;="&amp;($A661+2/24),tData[SEHTrajectPeriodeDatumTijdTotEnMet],"&gt;"&amp;($A661+2/24),tData[Langligger01],1)</f>
        <v/>
      </c>
      <c r="G661" s="20">
        <f>COUNTIFS(tData[SEHTrajectPeriodeDatumTijdVan],"&lt;="&amp;($A661+3/24),tData[SEHTrajectPeriodeDatumTijdTotEnMet],"&gt;"&amp;($A661+3/24),tData[Langligger01],1)</f>
        <v/>
      </c>
      <c r="H661" s="20">
        <f>COUNTIFS(tData[SEHTrajectPeriodeDatumTijdVan],"&lt;="&amp;($A661+4/24),tData[SEHTrajectPeriodeDatumTijdTotEnMet],"&gt;"&amp;($A661+4/24),tData[Langligger01],1)</f>
        <v/>
      </c>
      <c r="I661" s="20">
        <f>COUNTIFS(tData[SEHTrajectPeriodeDatumTijdVan],"&lt;="&amp;($A661+5/24),tData[SEHTrajectPeriodeDatumTijdTotEnMet],"&gt;"&amp;($A661+5/24),tData[Langligger01],1)</f>
        <v/>
      </c>
      <c r="J661" s="20">
        <f>COUNTIFS(tData[SEHTrajectPeriodeDatumTijdVan],"&lt;="&amp;($A661+6/24),tData[SEHTrajectPeriodeDatumTijdTotEnMet],"&gt;"&amp;($A661+6/24),tData[Langligger01],1)</f>
        <v/>
      </c>
      <c r="K661" s="20">
        <f>COUNTIFS(tData[SEHTrajectPeriodeDatumTijdVan],"&lt;="&amp;($A661+7/24),tData[SEHTrajectPeriodeDatumTijdTotEnMet],"&gt;"&amp;($A661+7/24),tData[Langligger01],1)</f>
        <v/>
      </c>
      <c r="L661" s="20">
        <f>COUNTIFS(tData[SEHTrajectPeriodeDatumTijdVan],"&lt;="&amp;($A661+8/24),tData[SEHTrajectPeriodeDatumTijdTotEnMet],"&gt;"&amp;($A661+8/24),tData[Langligger01],1)</f>
        <v/>
      </c>
      <c r="M661" s="20">
        <f>COUNTIFS(tData[SEHTrajectPeriodeDatumTijdVan],"&lt;="&amp;($A661+9/24),tData[SEHTrajectPeriodeDatumTijdTotEnMet],"&gt;"&amp;($A661+9/24),tData[Langligger01],1)</f>
        <v/>
      </c>
      <c r="N661" s="20">
        <f>COUNTIFS(tData[SEHTrajectPeriodeDatumTijdVan],"&lt;="&amp;($A661+10/24),tData[SEHTrajectPeriodeDatumTijdTotEnMet],"&gt;"&amp;($A661+10/24),tData[Langligger01],1)</f>
        <v/>
      </c>
      <c r="O661" s="20">
        <f>COUNTIFS(tData[SEHTrajectPeriodeDatumTijdVan],"&lt;="&amp;($A661+11/24),tData[SEHTrajectPeriodeDatumTijdTotEnMet],"&gt;"&amp;($A661+11/24),tData[Langligger01],1)</f>
        <v/>
      </c>
      <c r="P661" s="20">
        <f>COUNTIFS(tData[SEHTrajectPeriodeDatumTijdVan],"&lt;="&amp;($A661+12/24),tData[SEHTrajectPeriodeDatumTijdTotEnMet],"&gt;"&amp;($A661+12/24),tData[Langligger01],1)</f>
        <v/>
      </c>
      <c r="Q661" s="20">
        <f>COUNTIFS(tData[SEHTrajectPeriodeDatumTijdVan],"&lt;="&amp;($A661+13/24),tData[SEHTrajectPeriodeDatumTijdTotEnMet],"&gt;"&amp;($A661+13/24),tData[Langligger01],1)</f>
        <v/>
      </c>
      <c r="R661" s="20">
        <f>COUNTIFS(tData[SEHTrajectPeriodeDatumTijdVan],"&lt;="&amp;($A661+14/24),tData[SEHTrajectPeriodeDatumTijdTotEnMet],"&gt;"&amp;($A661+14/24),tData[Langligger01],1)</f>
        <v/>
      </c>
      <c r="S661" s="20">
        <f>COUNTIFS(tData[SEHTrajectPeriodeDatumTijdVan],"&lt;="&amp;($A661+15/24),tData[SEHTrajectPeriodeDatumTijdTotEnMet],"&gt;"&amp;($A661+15/24),tData[Langligger01],1)</f>
        <v/>
      </c>
      <c r="T661" s="20">
        <f>COUNTIFS(tData[SEHTrajectPeriodeDatumTijdVan],"&lt;="&amp;($A661+16/24),tData[SEHTrajectPeriodeDatumTijdTotEnMet],"&gt;"&amp;($A661+16/24),tData[Langligger01],1)</f>
        <v/>
      </c>
      <c r="U661" s="20">
        <f>COUNTIFS(tData[SEHTrajectPeriodeDatumTijdVan],"&lt;="&amp;($A661+17/24),tData[SEHTrajectPeriodeDatumTijdTotEnMet],"&gt;"&amp;($A661+17/24),tData[Langligger01],1)</f>
        <v/>
      </c>
      <c r="V661" s="20">
        <f>COUNTIFS(tData[SEHTrajectPeriodeDatumTijdVan],"&lt;="&amp;($A661+18/24),tData[SEHTrajectPeriodeDatumTijdTotEnMet],"&gt;"&amp;($A661+18/24),tData[Langligger01],1)</f>
        <v/>
      </c>
      <c r="W661" s="20">
        <f>COUNTIFS(tData[SEHTrajectPeriodeDatumTijdVan],"&lt;="&amp;($A661+19/24),tData[SEHTrajectPeriodeDatumTijdTotEnMet],"&gt;"&amp;($A661+19/24),tData[Langligger01],1)</f>
        <v/>
      </c>
      <c r="X661" s="20">
        <f>COUNTIFS(tData[SEHTrajectPeriodeDatumTijdVan],"&lt;="&amp;($A661+20/24),tData[SEHTrajectPeriodeDatumTijdTotEnMet],"&gt;"&amp;($A661+20/24),tData[Langligger01],1)</f>
        <v/>
      </c>
      <c r="Y661" s="20">
        <f>COUNTIFS(tData[SEHTrajectPeriodeDatumTijdVan],"&lt;="&amp;($A661+21/24),tData[SEHTrajectPeriodeDatumTijdTotEnMet],"&gt;"&amp;($A661+21/24),tData[Langligger01],1)</f>
        <v/>
      </c>
      <c r="Z661" s="20">
        <f>COUNTIFS(tData[SEHTrajectPeriodeDatumTijdVan],"&lt;="&amp;($A661+22/24),tData[SEHTrajectPeriodeDatumTijdTotEnMet],"&gt;"&amp;($A661+22/24),tData[Langligger01],1)</f>
        <v/>
      </c>
      <c r="AA661" s="20">
        <f>COUNTIFS(tData[SEHTrajectPeriodeDatumTijdVan],"&lt;="&amp;($A661+23/24),tData[SEHTrajectPeriodeDatumTijdTotEnMet],"&gt;"&amp;($A661+23/24),tData[Langligger01],1)</f>
        <v/>
      </c>
    </row>
    <row r="662">
      <c r="A662" s="19" t="n">
        <v>45950</v>
      </c>
      <c r="B662" s="15">
        <f>WEEKDAY($A662,2)</f>
        <v/>
      </c>
      <c r="C662" s="15">
        <f>IF(AND($A662&gt;=INT(Instellingen!$B$5),$A662&lt;=INT(Instellingen!$B$6)),1,0)</f>
        <v/>
      </c>
      <c r="D662" s="20">
        <f>COUNTIFS(tData[SEHTrajectPeriodeDatumTijdVan],"&lt;="&amp;($A662+0/24),tData[SEHTrajectPeriodeDatumTijdTotEnMet],"&gt;"&amp;($A662+0/24),tData[Langligger01],1)</f>
        <v/>
      </c>
      <c r="E662" s="20">
        <f>COUNTIFS(tData[SEHTrajectPeriodeDatumTijdVan],"&lt;="&amp;($A662+1/24),tData[SEHTrajectPeriodeDatumTijdTotEnMet],"&gt;"&amp;($A662+1/24),tData[Langligger01],1)</f>
        <v/>
      </c>
      <c r="F662" s="20">
        <f>COUNTIFS(tData[SEHTrajectPeriodeDatumTijdVan],"&lt;="&amp;($A662+2/24),tData[SEHTrajectPeriodeDatumTijdTotEnMet],"&gt;"&amp;($A662+2/24),tData[Langligger01],1)</f>
        <v/>
      </c>
      <c r="G662" s="20">
        <f>COUNTIFS(tData[SEHTrajectPeriodeDatumTijdVan],"&lt;="&amp;($A662+3/24),tData[SEHTrajectPeriodeDatumTijdTotEnMet],"&gt;"&amp;($A662+3/24),tData[Langligger01],1)</f>
        <v/>
      </c>
      <c r="H662" s="20">
        <f>COUNTIFS(tData[SEHTrajectPeriodeDatumTijdVan],"&lt;="&amp;($A662+4/24),tData[SEHTrajectPeriodeDatumTijdTotEnMet],"&gt;"&amp;($A662+4/24),tData[Langligger01],1)</f>
        <v/>
      </c>
      <c r="I662" s="20">
        <f>COUNTIFS(tData[SEHTrajectPeriodeDatumTijdVan],"&lt;="&amp;($A662+5/24),tData[SEHTrajectPeriodeDatumTijdTotEnMet],"&gt;"&amp;($A662+5/24),tData[Langligger01],1)</f>
        <v/>
      </c>
      <c r="J662" s="20">
        <f>COUNTIFS(tData[SEHTrajectPeriodeDatumTijdVan],"&lt;="&amp;($A662+6/24),tData[SEHTrajectPeriodeDatumTijdTotEnMet],"&gt;"&amp;($A662+6/24),tData[Langligger01],1)</f>
        <v/>
      </c>
      <c r="K662" s="20">
        <f>COUNTIFS(tData[SEHTrajectPeriodeDatumTijdVan],"&lt;="&amp;($A662+7/24),tData[SEHTrajectPeriodeDatumTijdTotEnMet],"&gt;"&amp;($A662+7/24),tData[Langligger01],1)</f>
        <v/>
      </c>
      <c r="L662" s="20">
        <f>COUNTIFS(tData[SEHTrajectPeriodeDatumTijdVan],"&lt;="&amp;($A662+8/24),tData[SEHTrajectPeriodeDatumTijdTotEnMet],"&gt;"&amp;($A662+8/24),tData[Langligger01],1)</f>
        <v/>
      </c>
      <c r="M662" s="20">
        <f>COUNTIFS(tData[SEHTrajectPeriodeDatumTijdVan],"&lt;="&amp;($A662+9/24),tData[SEHTrajectPeriodeDatumTijdTotEnMet],"&gt;"&amp;($A662+9/24),tData[Langligger01],1)</f>
        <v/>
      </c>
      <c r="N662" s="20">
        <f>COUNTIFS(tData[SEHTrajectPeriodeDatumTijdVan],"&lt;="&amp;($A662+10/24),tData[SEHTrajectPeriodeDatumTijdTotEnMet],"&gt;"&amp;($A662+10/24),tData[Langligger01],1)</f>
        <v/>
      </c>
      <c r="O662" s="20">
        <f>COUNTIFS(tData[SEHTrajectPeriodeDatumTijdVan],"&lt;="&amp;($A662+11/24),tData[SEHTrajectPeriodeDatumTijdTotEnMet],"&gt;"&amp;($A662+11/24),tData[Langligger01],1)</f>
        <v/>
      </c>
      <c r="P662" s="20">
        <f>COUNTIFS(tData[SEHTrajectPeriodeDatumTijdVan],"&lt;="&amp;($A662+12/24),tData[SEHTrajectPeriodeDatumTijdTotEnMet],"&gt;"&amp;($A662+12/24),tData[Langligger01],1)</f>
        <v/>
      </c>
      <c r="Q662" s="20">
        <f>COUNTIFS(tData[SEHTrajectPeriodeDatumTijdVan],"&lt;="&amp;($A662+13/24),tData[SEHTrajectPeriodeDatumTijdTotEnMet],"&gt;"&amp;($A662+13/24),tData[Langligger01],1)</f>
        <v/>
      </c>
      <c r="R662" s="20">
        <f>COUNTIFS(tData[SEHTrajectPeriodeDatumTijdVan],"&lt;="&amp;($A662+14/24),tData[SEHTrajectPeriodeDatumTijdTotEnMet],"&gt;"&amp;($A662+14/24),tData[Langligger01],1)</f>
        <v/>
      </c>
      <c r="S662" s="20">
        <f>COUNTIFS(tData[SEHTrajectPeriodeDatumTijdVan],"&lt;="&amp;($A662+15/24),tData[SEHTrajectPeriodeDatumTijdTotEnMet],"&gt;"&amp;($A662+15/24),tData[Langligger01],1)</f>
        <v/>
      </c>
      <c r="T662" s="20">
        <f>COUNTIFS(tData[SEHTrajectPeriodeDatumTijdVan],"&lt;="&amp;($A662+16/24),tData[SEHTrajectPeriodeDatumTijdTotEnMet],"&gt;"&amp;($A662+16/24),tData[Langligger01],1)</f>
        <v/>
      </c>
      <c r="U662" s="20">
        <f>COUNTIFS(tData[SEHTrajectPeriodeDatumTijdVan],"&lt;="&amp;($A662+17/24),tData[SEHTrajectPeriodeDatumTijdTotEnMet],"&gt;"&amp;($A662+17/24),tData[Langligger01],1)</f>
        <v/>
      </c>
      <c r="V662" s="20">
        <f>COUNTIFS(tData[SEHTrajectPeriodeDatumTijdVan],"&lt;="&amp;($A662+18/24),tData[SEHTrajectPeriodeDatumTijdTotEnMet],"&gt;"&amp;($A662+18/24),tData[Langligger01],1)</f>
        <v/>
      </c>
      <c r="W662" s="20">
        <f>COUNTIFS(tData[SEHTrajectPeriodeDatumTijdVan],"&lt;="&amp;($A662+19/24),tData[SEHTrajectPeriodeDatumTijdTotEnMet],"&gt;"&amp;($A662+19/24),tData[Langligger01],1)</f>
        <v/>
      </c>
      <c r="X662" s="20">
        <f>COUNTIFS(tData[SEHTrajectPeriodeDatumTijdVan],"&lt;="&amp;($A662+20/24),tData[SEHTrajectPeriodeDatumTijdTotEnMet],"&gt;"&amp;($A662+20/24),tData[Langligger01],1)</f>
        <v/>
      </c>
      <c r="Y662" s="20">
        <f>COUNTIFS(tData[SEHTrajectPeriodeDatumTijdVan],"&lt;="&amp;($A662+21/24),tData[SEHTrajectPeriodeDatumTijdTotEnMet],"&gt;"&amp;($A662+21/24),tData[Langligger01],1)</f>
        <v/>
      </c>
      <c r="Z662" s="20">
        <f>COUNTIFS(tData[SEHTrajectPeriodeDatumTijdVan],"&lt;="&amp;($A662+22/24),tData[SEHTrajectPeriodeDatumTijdTotEnMet],"&gt;"&amp;($A662+22/24),tData[Langligger01],1)</f>
        <v/>
      </c>
      <c r="AA662" s="20">
        <f>COUNTIFS(tData[SEHTrajectPeriodeDatumTijdVan],"&lt;="&amp;($A662+23/24),tData[SEHTrajectPeriodeDatumTijdTotEnMet],"&gt;"&amp;($A662+23/24),tData[Langligger01],1)</f>
        <v/>
      </c>
    </row>
    <row r="663">
      <c r="A663" s="19" t="n">
        <v>45951</v>
      </c>
      <c r="B663" s="15">
        <f>WEEKDAY($A663,2)</f>
        <v/>
      </c>
      <c r="C663" s="15">
        <f>IF(AND($A663&gt;=INT(Instellingen!$B$5),$A663&lt;=INT(Instellingen!$B$6)),1,0)</f>
        <v/>
      </c>
      <c r="D663" s="20">
        <f>COUNTIFS(tData[SEHTrajectPeriodeDatumTijdVan],"&lt;="&amp;($A663+0/24),tData[SEHTrajectPeriodeDatumTijdTotEnMet],"&gt;"&amp;($A663+0/24),tData[Langligger01],1)</f>
        <v/>
      </c>
      <c r="E663" s="20">
        <f>COUNTIFS(tData[SEHTrajectPeriodeDatumTijdVan],"&lt;="&amp;($A663+1/24),tData[SEHTrajectPeriodeDatumTijdTotEnMet],"&gt;"&amp;($A663+1/24),tData[Langligger01],1)</f>
        <v/>
      </c>
      <c r="F663" s="20">
        <f>COUNTIFS(tData[SEHTrajectPeriodeDatumTijdVan],"&lt;="&amp;($A663+2/24),tData[SEHTrajectPeriodeDatumTijdTotEnMet],"&gt;"&amp;($A663+2/24),tData[Langligger01],1)</f>
        <v/>
      </c>
      <c r="G663" s="20">
        <f>COUNTIFS(tData[SEHTrajectPeriodeDatumTijdVan],"&lt;="&amp;($A663+3/24),tData[SEHTrajectPeriodeDatumTijdTotEnMet],"&gt;"&amp;($A663+3/24),tData[Langligger01],1)</f>
        <v/>
      </c>
      <c r="H663" s="20">
        <f>COUNTIFS(tData[SEHTrajectPeriodeDatumTijdVan],"&lt;="&amp;($A663+4/24),tData[SEHTrajectPeriodeDatumTijdTotEnMet],"&gt;"&amp;($A663+4/24),tData[Langligger01],1)</f>
        <v/>
      </c>
      <c r="I663" s="20">
        <f>COUNTIFS(tData[SEHTrajectPeriodeDatumTijdVan],"&lt;="&amp;($A663+5/24),tData[SEHTrajectPeriodeDatumTijdTotEnMet],"&gt;"&amp;($A663+5/24),tData[Langligger01],1)</f>
        <v/>
      </c>
      <c r="J663" s="20">
        <f>COUNTIFS(tData[SEHTrajectPeriodeDatumTijdVan],"&lt;="&amp;($A663+6/24),tData[SEHTrajectPeriodeDatumTijdTotEnMet],"&gt;"&amp;($A663+6/24),tData[Langligger01],1)</f>
        <v/>
      </c>
      <c r="K663" s="20">
        <f>COUNTIFS(tData[SEHTrajectPeriodeDatumTijdVan],"&lt;="&amp;($A663+7/24),tData[SEHTrajectPeriodeDatumTijdTotEnMet],"&gt;"&amp;($A663+7/24),tData[Langligger01],1)</f>
        <v/>
      </c>
      <c r="L663" s="20">
        <f>COUNTIFS(tData[SEHTrajectPeriodeDatumTijdVan],"&lt;="&amp;($A663+8/24),tData[SEHTrajectPeriodeDatumTijdTotEnMet],"&gt;"&amp;($A663+8/24),tData[Langligger01],1)</f>
        <v/>
      </c>
      <c r="M663" s="20">
        <f>COUNTIFS(tData[SEHTrajectPeriodeDatumTijdVan],"&lt;="&amp;($A663+9/24),tData[SEHTrajectPeriodeDatumTijdTotEnMet],"&gt;"&amp;($A663+9/24),tData[Langligger01],1)</f>
        <v/>
      </c>
      <c r="N663" s="20">
        <f>COUNTIFS(tData[SEHTrajectPeriodeDatumTijdVan],"&lt;="&amp;($A663+10/24),tData[SEHTrajectPeriodeDatumTijdTotEnMet],"&gt;"&amp;($A663+10/24),tData[Langligger01],1)</f>
        <v/>
      </c>
      <c r="O663" s="20">
        <f>COUNTIFS(tData[SEHTrajectPeriodeDatumTijdVan],"&lt;="&amp;($A663+11/24),tData[SEHTrajectPeriodeDatumTijdTotEnMet],"&gt;"&amp;($A663+11/24),tData[Langligger01],1)</f>
        <v/>
      </c>
      <c r="P663" s="20">
        <f>COUNTIFS(tData[SEHTrajectPeriodeDatumTijdVan],"&lt;="&amp;($A663+12/24),tData[SEHTrajectPeriodeDatumTijdTotEnMet],"&gt;"&amp;($A663+12/24),tData[Langligger01],1)</f>
        <v/>
      </c>
      <c r="Q663" s="20">
        <f>COUNTIFS(tData[SEHTrajectPeriodeDatumTijdVan],"&lt;="&amp;($A663+13/24),tData[SEHTrajectPeriodeDatumTijdTotEnMet],"&gt;"&amp;($A663+13/24),tData[Langligger01],1)</f>
        <v/>
      </c>
      <c r="R663" s="20">
        <f>COUNTIFS(tData[SEHTrajectPeriodeDatumTijdVan],"&lt;="&amp;($A663+14/24),tData[SEHTrajectPeriodeDatumTijdTotEnMet],"&gt;"&amp;($A663+14/24),tData[Langligger01],1)</f>
        <v/>
      </c>
      <c r="S663" s="20">
        <f>COUNTIFS(tData[SEHTrajectPeriodeDatumTijdVan],"&lt;="&amp;($A663+15/24),tData[SEHTrajectPeriodeDatumTijdTotEnMet],"&gt;"&amp;($A663+15/24),tData[Langligger01],1)</f>
        <v/>
      </c>
      <c r="T663" s="20">
        <f>COUNTIFS(tData[SEHTrajectPeriodeDatumTijdVan],"&lt;="&amp;($A663+16/24),tData[SEHTrajectPeriodeDatumTijdTotEnMet],"&gt;"&amp;($A663+16/24),tData[Langligger01],1)</f>
        <v/>
      </c>
      <c r="U663" s="20">
        <f>COUNTIFS(tData[SEHTrajectPeriodeDatumTijdVan],"&lt;="&amp;($A663+17/24),tData[SEHTrajectPeriodeDatumTijdTotEnMet],"&gt;"&amp;($A663+17/24),tData[Langligger01],1)</f>
        <v/>
      </c>
      <c r="V663" s="20">
        <f>COUNTIFS(tData[SEHTrajectPeriodeDatumTijdVan],"&lt;="&amp;($A663+18/24),tData[SEHTrajectPeriodeDatumTijdTotEnMet],"&gt;"&amp;($A663+18/24),tData[Langligger01],1)</f>
        <v/>
      </c>
      <c r="W663" s="20">
        <f>COUNTIFS(tData[SEHTrajectPeriodeDatumTijdVan],"&lt;="&amp;($A663+19/24),tData[SEHTrajectPeriodeDatumTijdTotEnMet],"&gt;"&amp;($A663+19/24),tData[Langligger01],1)</f>
        <v/>
      </c>
      <c r="X663" s="20">
        <f>COUNTIFS(tData[SEHTrajectPeriodeDatumTijdVan],"&lt;="&amp;($A663+20/24),tData[SEHTrajectPeriodeDatumTijdTotEnMet],"&gt;"&amp;($A663+20/24),tData[Langligger01],1)</f>
        <v/>
      </c>
      <c r="Y663" s="20">
        <f>COUNTIFS(tData[SEHTrajectPeriodeDatumTijdVan],"&lt;="&amp;($A663+21/24),tData[SEHTrajectPeriodeDatumTijdTotEnMet],"&gt;"&amp;($A663+21/24),tData[Langligger01],1)</f>
        <v/>
      </c>
      <c r="Z663" s="20">
        <f>COUNTIFS(tData[SEHTrajectPeriodeDatumTijdVan],"&lt;="&amp;($A663+22/24),tData[SEHTrajectPeriodeDatumTijdTotEnMet],"&gt;"&amp;($A663+22/24),tData[Langligger01],1)</f>
        <v/>
      </c>
      <c r="AA663" s="20">
        <f>COUNTIFS(tData[SEHTrajectPeriodeDatumTijdVan],"&lt;="&amp;($A663+23/24),tData[SEHTrajectPeriodeDatumTijdTotEnMet],"&gt;"&amp;($A663+23/24),tData[Langligger01],1)</f>
        <v/>
      </c>
    </row>
    <row r="664">
      <c r="A664" s="19" t="n">
        <v>45952</v>
      </c>
      <c r="B664" s="15">
        <f>WEEKDAY($A664,2)</f>
        <v/>
      </c>
      <c r="C664" s="15">
        <f>IF(AND($A664&gt;=INT(Instellingen!$B$5),$A664&lt;=INT(Instellingen!$B$6)),1,0)</f>
        <v/>
      </c>
      <c r="D664" s="20">
        <f>COUNTIFS(tData[SEHTrajectPeriodeDatumTijdVan],"&lt;="&amp;($A664+0/24),tData[SEHTrajectPeriodeDatumTijdTotEnMet],"&gt;"&amp;($A664+0/24),tData[Langligger01],1)</f>
        <v/>
      </c>
      <c r="E664" s="20">
        <f>COUNTIFS(tData[SEHTrajectPeriodeDatumTijdVan],"&lt;="&amp;($A664+1/24),tData[SEHTrajectPeriodeDatumTijdTotEnMet],"&gt;"&amp;($A664+1/24),tData[Langligger01],1)</f>
        <v/>
      </c>
      <c r="F664" s="20">
        <f>COUNTIFS(tData[SEHTrajectPeriodeDatumTijdVan],"&lt;="&amp;($A664+2/24),tData[SEHTrajectPeriodeDatumTijdTotEnMet],"&gt;"&amp;($A664+2/24),tData[Langligger01],1)</f>
        <v/>
      </c>
      <c r="G664" s="20">
        <f>COUNTIFS(tData[SEHTrajectPeriodeDatumTijdVan],"&lt;="&amp;($A664+3/24),tData[SEHTrajectPeriodeDatumTijdTotEnMet],"&gt;"&amp;($A664+3/24),tData[Langligger01],1)</f>
        <v/>
      </c>
      <c r="H664" s="20">
        <f>COUNTIFS(tData[SEHTrajectPeriodeDatumTijdVan],"&lt;="&amp;($A664+4/24),tData[SEHTrajectPeriodeDatumTijdTotEnMet],"&gt;"&amp;($A664+4/24),tData[Langligger01],1)</f>
        <v/>
      </c>
      <c r="I664" s="20">
        <f>COUNTIFS(tData[SEHTrajectPeriodeDatumTijdVan],"&lt;="&amp;($A664+5/24),tData[SEHTrajectPeriodeDatumTijdTotEnMet],"&gt;"&amp;($A664+5/24),tData[Langligger01],1)</f>
        <v/>
      </c>
      <c r="J664" s="20">
        <f>COUNTIFS(tData[SEHTrajectPeriodeDatumTijdVan],"&lt;="&amp;($A664+6/24),tData[SEHTrajectPeriodeDatumTijdTotEnMet],"&gt;"&amp;($A664+6/24),tData[Langligger01],1)</f>
        <v/>
      </c>
      <c r="K664" s="20">
        <f>COUNTIFS(tData[SEHTrajectPeriodeDatumTijdVan],"&lt;="&amp;($A664+7/24),tData[SEHTrajectPeriodeDatumTijdTotEnMet],"&gt;"&amp;($A664+7/24),tData[Langligger01],1)</f>
        <v/>
      </c>
      <c r="L664" s="20">
        <f>COUNTIFS(tData[SEHTrajectPeriodeDatumTijdVan],"&lt;="&amp;($A664+8/24),tData[SEHTrajectPeriodeDatumTijdTotEnMet],"&gt;"&amp;($A664+8/24),tData[Langligger01],1)</f>
        <v/>
      </c>
      <c r="M664" s="20">
        <f>COUNTIFS(tData[SEHTrajectPeriodeDatumTijdVan],"&lt;="&amp;($A664+9/24),tData[SEHTrajectPeriodeDatumTijdTotEnMet],"&gt;"&amp;($A664+9/24),tData[Langligger01],1)</f>
        <v/>
      </c>
      <c r="N664" s="20">
        <f>COUNTIFS(tData[SEHTrajectPeriodeDatumTijdVan],"&lt;="&amp;($A664+10/24),tData[SEHTrajectPeriodeDatumTijdTotEnMet],"&gt;"&amp;($A664+10/24),tData[Langligger01],1)</f>
        <v/>
      </c>
      <c r="O664" s="20">
        <f>COUNTIFS(tData[SEHTrajectPeriodeDatumTijdVan],"&lt;="&amp;($A664+11/24),tData[SEHTrajectPeriodeDatumTijdTotEnMet],"&gt;"&amp;($A664+11/24),tData[Langligger01],1)</f>
        <v/>
      </c>
      <c r="P664" s="20">
        <f>COUNTIFS(tData[SEHTrajectPeriodeDatumTijdVan],"&lt;="&amp;($A664+12/24),tData[SEHTrajectPeriodeDatumTijdTotEnMet],"&gt;"&amp;($A664+12/24),tData[Langligger01],1)</f>
        <v/>
      </c>
      <c r="Q664" s="20">
        <f>COUNTIFS(tData[SEHTrajectPeriodeDatumTijdVan],"&lt;="&amp;($A664+13/24),tData[SEHTrajectPeriodeDatumTijdTotEnMet],"&gt;"&amp;($A664+13/24),tData[Langligger01],1)</f>
        <v/>
      </c>
      <c r="R664" s="20">
        <f>COUNTIFS(tData[SEHTrajectPeriodeDatumTijdVan],"&lt;="&amp;($A664+14/24),tData[SEHTrajectPeriodeDatumTijdTotEnMet],"&gt;"&amp;($A664+14/24),tData[Langligger01],1)</f>
        <v/>
      </c>
      <c r="S664" s="20">
        <f>COUNTIFS(tData[SEHTrajectPeriodeDatumTijdVan],"&lt;="&amp;($A664+15/24),tData[SEHTrajectPeriodeDatumTijdTotEnMet],"&gt;"&amp;($A664+15/24),tData[Langligger01],1)</f>
        <v/>
      </c>
      <c r="T664" s="20">
        <f>COUNTIFS(tData[SEHTrajectPeriodeDatumTijdVan],"&lt;="&amp;($A664+16/24),tData[SEHTrajectPeriodeDatumTijdTotEnMet],"&gt;"&amp;($A664+16/24),tData[Langligger01],1)</f>
        <v/>
      </c>
      <c r="U664" s="20">
        <f>COUNTIFS(tData[SEHTrajectPeriodeDatumTijdVan],"&lt;="&amp;($A664+17/24),tData[SEHTrajectPeriodeDatumTijdTotEnMet],"&gt;"&amp;($A664+17/24),tData[Langligger01],1)</f>
        <v/>
      </c>
      <c r="V664" s="20">
        <f>COUNTIFS(tData[SEHTrajectPeriodeDatumTijdVan],"&lt;="&amp;($A664+18/24),tData[SEHTrajectPeriodeDatumTijdTotEnMet],"&gt;"&amp;($A664+18/24),tData[Langligger01],1)</f>
        <v/>
      </c>
      <c r="W664" s="20">
        <f>COUNTIFS(tData[SEHTrajectPeriodeDatumTijdVan],"&lt;="&amp;($A664+19/24),tData[SEHTrajectPeriodeDatumTijdTotEnMet],"&gt;"&amp;($A664+19/24),tData[Langligger01],1)</f>
        <v/>
      </c>
      <c r="X664" s="20">
        <f>COUNTIFS(tData[SEHTrajectPeriodeDatumTijdVan],"&lt;="&amp;($A664+20/24),tData[SEHTrajectPeriodeDatumTijdTotEnMet],"&gt;"&amp;($A664+20/24),tData[Langligger01],1)</f>
        <v/>
      </c>
      <c r="Y664" s="20">
        <f>COUNTIFS(tData[SEHTrajectPeriodeDatumTijdVan],"&lt;="&amp;($A664+21/24),tData[SEHTrajectPeriodeDatumTijdTotEnMet],"&gt;"&amp;($A664+21/24),tData[Langligger01],1)</f>
        <v/>
      </c>
      <c r="Z664" s="20">
        <f>COUNTIFS(tData[SEHTrajectPeriodeDatumTijdVan],"&lt;="&amp;($A664+22/24),tData[SEHTrajectPeriodeDatumTijdTotEnMet],"&gt;"&amp;($A664+22/24),tData[Langligger01],1)</f>
        <v/>
      </c>
      <c r="AA664" s="20">
        <f>COUNTIFS(tData[SEHTrajectPeriodeDatumTijdVan],"&lt;="&amp;($A664+23/24),tData[SEHTrajectPeriodeDatumTijdTotEnMet],"&gt;"&amp;($A664+23/24),tData[Langligger01],1)</f>
        <v/>
      </c>
    </row>
    <row r="665">
      <c r="A665" s="19" t="n">
        <v>45953</v>
      </c>
      <c r="B665" s="15">
        <f>WEEKDAY($A665,2)</f>
        <v/>
      </c>
      <c r="C665" s="15">
        <f>IF(AND($A665&gt;=INT(Instellingen!$B$5),$A665&lt;=INT(Instellingen!$B$6)),1,0)</f>
        <v/>
      </c>
      <c r="D665" s="20">
        <f>COUNTIFS(tData[SEHTrajectPeriodeDatumTijdVan],"&lt;="&amp;($A665+0/24),tData[SEHTrajectPeriodeDatumTijdTotEnMet],"&gt;"&amp;($A665+0/24),tData[Langligger01],1)</f>
        <v/>
      </c>
      <c r="E665" s="20">
        <f>COUNTIFS(tData[SEHTrajectPeriodeDatumTijdVan],"&lt;="&amp;($A665+1/24),tData[SEHTrajectPeriodeDatumTijdTotEnMet],"&gt;"&amp;($A665+1/24),tData[Langligger01],1)</f>
        <v/>
      </c>
      <c r="F665" s="20">
        <f>COUNTIFS(tData[SEHTrajectPeriodeDatumTijdVan],"&lt;="&amp;($A665+2/24),tData[SEHTrajectPeriodeDatumTijdTotEnMet],"&gt;"&amp;($A665+2/24),tData[Langligger01],1)</f>
        <v/>
      </c>
      <c r="G665" s="20">
        <f>COUNTIFS(tData[SEHTrajectPeriodeDatumTijdVan],"&lt;="&amp;($A665+3/24),tData[SEHTrajectPeriodeDatumTijdTotEnMet],"&gt;"&amp;($A665+3/24),tData[Langligger01],1)</f>
        <v/>
      </c>
      <c r="H665" s="20">
        <f>COUNTIFS(tData[SEHTrajectPeriodeDatumTijdVan],"&lt;="&amp;($A665+4/24),tData[SEHTrajectPeriodeDatumTijdTotEnMet],"&gt;"&amp;($A665+4/24),tData[Langligger01],1)</f>
        <v/>
      </c>
      <c r="I665" s="20">
        <f>COUNTIFS(tData[SEHTrajectPeriodeDatumTijdVan],"&lt;="&amp;($A665+5/24),tData[SEHTrajectPeriodeDatumTijdTotEnMet],"&gt;"&amp;($A665+5/24),tData[Langligger01],1)</f>
        <v/>
      </c>
      <c r="J665" s="20">
        <f>COUNTIFS(tData[SEHTrajectPeriodeDatumTijdVan],"&lt;="&amp;($A665+6/24),tData[SEHTrajectPeriodeDatumTijdTotEnMet],"&gt;"&amp;($A665+6/24),tData[Langligger01],1)</f>
        <v/>
      </c>
      <c r="K665" s="20">
        <f>COUNTIFS(tData[SEHTrajectPeriodeDatumTijdVan],"&lt;="&amp;($A665+7/24),tData[SEHTrajectPeriodeDatumTijdTotEnMet],"&gt;"&amp;($A665+7/24),tData[Langligger01],1)</f>
        <v/>
      </c>
      <c r="L665" s="20">
        <f>COUNTIFS(tData[SEHTrajectPeriodeDatumTijdVan],"&lt;="&amp;($A665+8/24),tData[SEHTrajectPeriodeDatumTijdTotEnMet],"&gt;"&amp;($A665+8/24),tData[Langligger01],1)</f>
        <v/>
      </c>
      <c r="M665" s="20">
        <f>COUNTIFS(tData[SEHTrajectPeriodeDatumTijdVan],"&lt;="&amp;($A665+9/24),tData[SEHTrajectPeriodeDatumTijdTotEnMet],"&gt;"&amp;($A665+9/24),tData[Langligger01],1)</f>
        <v/>
      </c>
      <c r="N665" s="20">
        <f>COUNTIFS(tData[SEHTrajectPeriodeDatumTijdVan],"&lt;="&amp;($A665+10/24),tData[SEHTrajectPeriodeDatumTijdTotEnMet],"&gt;"&amp;($A665+10/24),tData[Langligger01],1)</f>
        <v/>
      </c>
      <c r="O665" s="20">
        <f>COUNTIFS(tData[SEHTrajectPeriodeDatumTijdVan],"&lt;="&amp;($A665+11/24),tData[SEHTrajectPeriodeDatumTijdTotEnMet],"&gt;"&amp;($A665+11/24),tData[Langligger01],1)</f>
        <v/>
      </c>
      <c r="P665" s="20">
        <f>COUNTIFS(tData[SEHTrajectPeriodeDatumTijdVan],"&lt;="&amp;($A665+12/24),tData[SEHTrajectPeriodeDatumTijdTotEnMet],"&gt;"&amp;($A665+12/24),tData[Langligger01],1)</f>
        <v/>
      </c>
      <c r="Q665" s="20">
        <f>COUNTIFS(tData[SEHTrajectPeriodeDatumTijdVan],"&lt;="&amp;($A665+13/24),tData[SEHTrajectPeriodeDatumTijdTotEnMet],"&gt;"&amp;($A665+13/24),tData[Langligger01],1)</f>
        <v/>
      </c>
      <c r="R665" s="20">
        <f>COUNTIFS(tData[SEHTrajectPeriodeDatumTijdVan],"&lt;="&amp;($A665+14/24),tData[SEHTrajectPeriodeDatumTijdTotEnMet],"&gt;"&amp;($A665+14/24),tData[Langligger01],1)</f>
        <v/>
      </c>
      <c r="S665" s="20">
        <f>COUNTIFS(tData[SEHTrajectPeriodeDatumTijdVan],"&lt;="&amp;($A665+15/24),tData[SEHTrajectPeriodeDatumTijdTotEnMet],"&gt;"&amp;($A665+15/24),tData[Langligger01],1)</f>
        <v/>
      </c>
      <c r="T665" s="20">
        <f>COUNTIFS(tData[SEHTrajectPeriodeDatumTijdVan],"&lt;="&amp;($A665+16/24),tData[SEHTrajectPeriodeDatumTijdTotEnMet],"&gt;"&amp;($A665+16/24),tData[Langligger01],1)</f>
        <v/>
      </c>
      <c r="U665" s="20">
        <f>COUNTIFS(tData[SEHTrajectPeriodeDatumTijdVan],"&lt;="&amp;($A665+17/24),tData[SEHTrajectPeriodeDatumTijdTotEnMet],"&gt;"&amp;($A665+17/24),tData[Langligger01],1)</f>
        <v/>
      </c>
      <c r="V665" s="20">
        <f>COUNTIFS(tData[SEHTrajectPeriodeDatumTijdVan],"&lt;="&amp;($A665+18/24),tData[SEHTrajectPeriodeDatumTijdTotEnMet],"&gt;"&amp;($A665+18/24),tData[Langligger01],1)</f>
        <v/>
      </c>
      <c r="W665" s="20">
        <f>COUNTIFS(tData[SEHTrajectPeriodeDatumTijdVan],"&lt;="&amp;($A665+19/24),tData[SEHTrajectPeriodeDatumTijdTotEnMet],"&gt;"&amp;($A665+19/24),tData[Langligger01],1)</f>
        <v/>
      </c>
      <c r="X665" s="20">
        <f>COUNTIFS(tData[SEHTrajectPeriodeDatumTijdVan],"&lt;="&amp;($A665+20/24),tData[SEHTrajectPeriodeDatumTijdTotEnMet],"&gt;"&amp;($A665+20/24),tData[Langligger01],1)</f>
        <v/>
      </c>
      <c r="Y665" s="20">
        <f>COUNTIFS(tData[SEHTrajectPeriodeDatumTijdVan],"&lt;="&amp;($A665+21/24),tData[SEHTrajectPeriodeDatumTijdTotEnMet],"&gt;"&amp;($A665+21/24),tData[Langligger01],1)</f>
        <v/>
      </c>
      <c r="Z665" s="20">
        <f>COUNTIFS(tData[SEHTrajectPeriodeDatumTijdVan],"&lt;="&amp;($A665+22/24),tData[SEHTrajectPeriodeDatumTijdTotEnMet],"&gt;"&amp;($A665+22/24),tData[Langligger01],1)</f>
        <v/>
      </c>
      <c r="AA665" s="20">
        <f>COUNTIFS(tData[SEHTrajectPeriodeDatumTijdVan],"&lt;="&amp;($A665+23/24),tData[SEHTrajectPeriodeDatumTijdTotEnMet],"&gt;"&amp;($A665+23/24),tData[Langligger01],1)</f>
        <v/>
      </c>
    </row>
    <row r="666">
      <c r="A666" s="19" t="n">
        <v>45954</v>
      </c>
      <c r="B666" s="15">
        <f>WEEKDAY($A666,2)</f>
        <v/>
      </c>
      <c r="C666" s="15">
        <f>IF(AND($A666&gt;=INT(Instellingen!$B$5),$A666&lt;=INT(Instellingen!$B$6)),1,0)</f>
        <v/>
      </c>
      <c r="D666" s="20">
        <f>COUNTIFS(tData[SEHTrajectPeriodeDatumTijdVan],"&lt;="&amp;($A666+0/24),tData[SEHTrajectPeriodeDatumTijdTotEnMet],"&gt;"&amp;($A666+0/24),tData[Langligger01],1)</f>
        <v/>
      </c>
      <c r="E666" s="20">
        <f>COUNTIFS(tData[SEHTrajectPeriodeDatumTijdVan],"&lt;="&amp;($A666+1/24),tData[SEHTrajectPeriodeDatumTijdTotEnMet],"&gt;"&amp;($A666+1/24),tData[Langligger01],1)</f>
        <v/>
      </c>
      <c r="F666" s="20">
        <f>COUNTIFS(tData[SEHTrajectPeriodeDatumTijdVan],"&lt;="&amp;($A666+2/24),tData[SEHTrajectPeriodeDatumTijdTotEnMet],"&gt;"&amp;($A666+2/24),tData[Langligger01],1)</f>
        <v/>
      </c>
      <c r="G666" s="20">
        <f>COUNTIFS(tData[SEHTrajectPeriodeDatumTijdVan],"&lt;="&amp;($A666+3/24),tData[SEHTrajectPeriodeDatumTijdTotEnMet],"&gt;"&amp;($A666+3/24),tData[Langligger01],1)</f>
        <v/>
      </c>
      <c r="H666" s="20">
        <f>COUNTIFS(tData[SEHTrajectPeriodeDatumTijdVan],"&lt;="&amp;($A666+4/24),tData[SEHTrajectPeriodeDatumTijdTotEnMet],"&gt;"&amp;($A666+4/24),tData[Langligger01],1)</f>
        <v/>
      </c>
      <c r="I666" s="20">
        <f>COUNTIFS(tData[SEHTrajectPeriodeDatumTijdVan],"&lt;="&amp;($A666+5/24),tData[SEHTrajectPeriodeDatumTijdTotEnMet],"&gt;"&amp;($A666+5/24),tData[Langligger01],1)</f>
        <v/>
      </c>
      <c r="J666" s="20">
        <f>COUNTIFS(tData[SEHTrajectPeriodeDatumTijdVan],"&lt;="&amp;($A666+6/24),tData[SEHTrajectPeriodeDatumTijdTotEnMet],"&gt;"&amp;($A666+6/24),tData[Langligger01],1)</f>
        <v/>
      </c>
      <c r="K666" s="20">
        <f>COUNTIFS(tData[SEHTrajectPeriodeDatumTijdVan],"&lt;="&amp;($A666+7/24),tData[SEHTrajectPeriodeDatumTijdTotEnMet],"&gt;"&amp;($A666+7/24),tData[Langligger01],1)</f>
        <v/>
      </c>
      <c r="L666" s="20">
        <f>COUNTIFS(tData[SEHTrajectPeriodeDatumTijdVan],"&lt;="&amp;($A666+8/24),tData[SEHTrajectPeriodeDatumTijdTotEnMet],"&gt;"&amp;($A666+8/24),tData[Langligger01],1)</f>
        <v/>
      </c>
      <c r="M666" s="20">
        <f>COUNTIFS(tData[SEHTrajectPeriodeDatumTijdVan],"&lt;="&amp;($A666+9/24),tData[SEHTrajectPeriodeDatumTijdTotEnMet],"&gt;"&amp;($A666+9/24),tData[Langligger01],1)</f>
        <v/>
      </c>
      <c r="N666" s="20">
        <f>COUNTIFS(tData[SEHTrajectPeriodeDatumTijdVan],"&lt;="&amp;($A666+10/24),tData[SEHTrajectPeriodeDatumTijdTotEnMet],"&gt;"&amp;($A666+10/24),tData[Langligger01],1)</f>
        <v/>
      </c>
      <c r="O666" s="20">
        <f>COUNTIFS(tData[SEHTrajectPeriodeDatumTijdVan],"&lt;="&amp;($A666+11/24),tData[SEHTrajectPeriodeDatumTijdTotEnMet],"&gt;"&amp;($A666+11/24),tData[Langligger01],1)</f>
        <v/>
      </c>
      <c r="P666" s="20">
        <f>COUNTIFS(tData[SEHTrajectPeriodeDatumTijdVan],"&lt;="&amp;($A666+12/24),tData[SEHTrajectPeriodeDatumTijdTotEnMet],"&gt;"&amp;($A666+12/24),tData[Langligger01],1)</f>
        <v/>
      </c>
      <c r="Q666" s="20">
        <f>COUNTIFS(tData[SEHTrajectPeriodeDatumTijdVan],"&lt;="&amp;($A666+13/24),tData[SEHTrajectPeriodeDatumTijdTotEnMet],"&gt;"&amp;($A666+13/24),tData[Langligger01],1)</f>
        <v/>
      </c>
      <c r="R666" s="20">
        <f>COUNTIFS(tData[SEHTrajectPeriodeDatumTijdVan],"&lt;="&amp;($A666+14/24),tData[SEHTrajectPeriodeDatumTijdTotEnMet],"&gt;"&amp;($A666+14/24),tData[Langligger01],1)</f>
        <v/>
      </c>
      <c r="S666" s="20">
        <f>COUNTIFS(tData[SEHTrajectPeriodeDatumTijdVan],"&lt;="&amp;($A666+15/24),tData[SEHTrajectPeriodeDatumTijdTotEnMet],"&gt;"&amp;($A666+15/24),tData[Langligger01],1)</f>
        <v/>
      </c>
      <c r="T666" s="20">
        <f>COUNTIFS(tData[SEHTrajectPeriodeDatumTijdVan],"&lt;="&amp;($A666+16/24),tData[SEHTrajectPeriodeDatumTijdTotEnMet],"&gt;"&amp;($A666+16/24),tData[Langligger01],1)</f>
        <v/>
      </c>
      <c r="U666" s="20">
        <f>COUNTIFS(tData[SEHTrajectPeriodeDatumTijdVan],"&lt;="&amp;($A666+17/24),tData[SEHTrajectPeriodeDatumTijdTotEnMet],"&gt;"&amp;($A666+17/24),tData[Langligger01],1)</f>
        <v/>
      </c>
      <c r="V666" s="20">
        <f>COUNTIFS(tData[SEHTrajectPeriodeDatumTijdVan],"&lt;="&amp;($A666+18/24),tData[SEHTrajectPeriodeDatumTijdTotEnMet],"&gt;"&amp;($A666+18/24),tData[Langligger01],1)</f>
        <v/>
      </c>
      <c r="W666" s="20">
        <f>COUNTIFS(tData[SEHTrajectPeriodeDatumTijdVan],"&lt;="&amp;($A666+19/24),tData[SEHTrajectPeriodeDatumTijdTotEnMet],"&gt;"&amp;($A666+19/24),tData[Langligger01],1)</f>
        <v/>
      </c>
      <c r="X666" s="20">
        <f>COUNTIFS(tData[SEHTrajectPeriodeDatumTijdVan],"&lt;="&amp;($A666+20/24),tData[SEHTrajectPeriodeDatumTijdTotEnMet],"&gt;"&amp;($A666+20/24),tData[Langligger01],1)</f>
        <v/>
      </c>
      <c r="Y666" s="20">
        <f>COUNTIFS(tData[SEHTrajectPeriodeDatumTijdVan],"&lt;="&amp;($A666+21/24),tData[SEHTrajectPeriodeDatumTijdTotEnMet],"&gt;"&amp;($A666+21/24),tData[Langligger01],1)</f>
        <v/>
      </c>
      <c r="Z666" s="20">
        <f>COUNTIFS(tData[SEHTrajectPeriodeDatumTijdVan],"&lt;="&amp;($A666+22/24),tData[SEHTrajectPeriodeDatumTijdTotEnMet],"&gt;"&amp;($A666+22/24),tData[Langligger01],1)</f>
        <v/>
      </c>
      <c r="AA666" s="20">
        <f>COUNTIFS(tData[SEHTrajectPeriodeDatumTijdVan],"&lt;="&amp;($A666+23/24),tData[SEHTrajectPeriodeDatumTijdTotEnMet],"&gt;"&amp;($A666+23/24),tData[Langligger01],1)</f>
        <v/>
      </c>
    </row>
    <row r="667">
      <c r="A667" s="19" t="n">
        <v>45955</v>
      </c>
      <c r="B667" s="15">
        <f>WEEKDAY($A667,2)</f>
        <v/>
      </c>
      <c r="C667" s="15">
        <f>IF(AND($A667&gt;=INT(Instellingen!$B$5),$A667&lt;=INT(Instellingen!$B$6)),1,0)</f>
        <v/>
      </c>
      <c r="D667" s="20">
        <f>COUNTIFS(tData[SEHTrajectPeriodeDatumTijdVan],"&lt;="&amp;($A667+0/24),tData[SEHTrajectPeriodeDatumTijdTotEnMet],"&gt;"&amp;($A667+0/24),tData[Langligger01],1)</f>
        <v/>
      </c>
      <c r="E667" s="20">
        <f>COUNTIFS(tData[SEHTrajectPeriodeDatumTijdVan],"&lt;="&amp;($A667+1/24),tData[SEHTrajectPeriodeDatumTijdTotEnMet],"&gt;"&amp;($A667+1/24),tData[Langligger01],1)</f>
        <v/>
      </c>
      <c r="F667" s="20">
        <f>COUNTIFS(tData[SEHTrajectPeriodeDatumTijdVan],"&lt;="&amp;($A667+2/24),tData[SEHTrajectPeriodeDatumTijdTotEnMet],"&gt;"&amp;($A667+2/24),tData[Langligger01],1)</f>
        <v/>
      </c>
      <c r="G667" s="20">
        <f>COUNTIFS(tData[SEHTrajectPeriodeDatumTijdVan],"&lt;="&amp;($A667+3/24),tData[SEHTrajectPeriodeDatumTijdTotEnMet],"&gt;"&amp;($A667+3/24),tData[Langligger01],1)</f>
        <v/>
      </c>
      <c r="H667" s="20">
        <f>COUNTIFS(tData[SEHTrajectPeriodeDatumTijdVan],"&lt;="&amp;($A667+4/24),tData[SEHTrajectPeriodeDatumTijdTotEnMet],"&gt;"&amp;($A667+4/24),tData[Langligger01],1)</f>
        <v/>
      </c>
      <c r="I667" s="20">
        <f>COUNTIFS(tData[SEHTrajectPeriodeDatumTijdVan],"&lt;="&amp;($A667+5/24),tData[SEHTrajectPeriodeDatumTijdTotEnMet],"&gt;"&amp;($A667+5/24),tData[Langligger01],1)</f>
        <v/>
      </c>
      <c r="J667" s="20">
        <f>COUNTIFS(tData[SEHTrajectPeriodeDatumTijdVan],"&lt;="&amp;($A667+6/24),tData[SEHTrajectPeriodeDatumTijdTotEnMet],"&gt;"&amp;($A667+6/24),tData[Langligger01],1)</f>
        <v/>
      </c>
      <c r="K667" s="20">
        <f>COUNTIFS(tData[SEHTrajectPeriodeDatumTijdVan],"&lt;="&amp;($A667+7/24),tData[SEHTrajectPeriodeDatumTijdTotEnMet],"&gt;"&amp;($A667+7/24),tData[Langligger01],1)</f>
        <v/>
      </c>
      <c r="L667" s="20">
        <f>COUNTIFS(tData[SEHTrajectPeriodeDatumTijdVan],"&lt;="&amp;($A667+8/24),tData[SEHTrajectPeriodeDatumTijdTotEnMet],"&gt;"&amp;($A667+8/24),tData[Langligger01],1)</f>
        <v/>
      </c>
      <c r="M667" s="20">
        <f>COUNTIFS(tData[SEHTrajectPeriodeDatumTijdVan],"&lt;="&amp;($A667+9/24),tData[SEHTrajectPeriodeDatumTijdTotEnMet],"&gt;"&amp;($A667+9/24),tData[Langligger01],1)</f>
        <v/>
      </c>
      <c r="N667" s="20">
        <f>COUNTIFS(tData[SEHTrajectPeriodeDatumTijdVan],"&lt;="&amp;($A667+10/24),tData[SEHTrajectPeriodeDatumTijdTotEnMet],"&gt;"&amp;($A667+10/24),tData[Langligger01],1)</f>
        <v/>
      </c>
      <c r="O667" s="20">
        <f>COUNTIFS(tData[SEHTrajectPeriodeDatumTijdVan],"&lt;="&amp;($A667+11/24),tData[SEHTrajectPeriodeDatumTijdTotEnMet],"&gt;"&amp;($A667+11/24),tData[Langligger01],1)</f>
        <v/>
      </c>
      <c r="P667" s="20">
        <f>COUNTIFS(tData[SEHTrajectPeriodeDatumTijdVan],"&lt;="&amp;($A667+12/24),tData[SEHTrajectPeriodeDatumTijdTotEnMet],"&gt;"&amp;($A667+12/24),tData[Langligger01],1)</f>
        <v/>
      </c>
      <c r="Q667" s="20">
        <f>COUNTIFS(tData[SEHTrajectPeriodeDatumTijdVan],"&lt;="&amp;($A667+13/24),tData[SEHTrajectPeriodeDatumTijdTotEnMet],"&gt;"&amp;($A667+13/24),tData[Langligger01],1)</f>
        <v/>
      </c>
      <c r="R667" s="20">
        <f>COUNTIFS(tData[SEHTrajectPeriodeDatumTijdVan],"&lt;="&amp;($A667+14/24),tData[SEHTrajectPeriodeDatumTijdTotEnMet],"&gt;"&amp;($A667+14/24),tData[Langligger01],1)</f>
        <v/>
      </c>
      <c r="S667" s="20">
        <f>COUNTIFS(tData[SEHTrajectPeriodeDatumTijdVan],"&lt;="&amp;($A667+15/24),tData[SEHTrajectPeriodeDatumTijdTotEnMet],"&gt;"&amp;($A667+15/24),tData[Langligger01],1)</f>
        <v/>
      </c>
      <c r="T667" s="20">
        <f>COUNTIFS(tData[SEHTrajectPeriodeDatumTijdVan],"&lt;="&amp;($A667+16/24),tData[SEHTrajectPeriodeDatumTijdTotEnMet],"&gt;"&amp;($A667+16/24),tData[Langligger01],1)</f>
        <v/>
      </c>
      <c r="U667" s="20">
        <f>COUNTIFS(tData[SEHTrajectPeriodeDatumTijdVan],"&lt;="&amp;($A667+17/24),tData[SEHTrajectPeriodeDatumTijdTotEnMet],"&gt;"&amp;($A667+17/24),tData[Langligger01],1)</f>
        <v/>
      </c>
      <c r="V667" s="20">
        <f>COUNTIFS(tData[SEHTrajectPeriodeDatumTijdVan],"&lt;="&amp;($A667+18/24),tData[SEHTrajectPeriodeDatumTijdTotEnMet],"&gt;"&amp;($A667+18/24),tData[Langligger01],1)</f>
        <v/>
      </c>
      <c r="W667" s="20">
        <f>COUNTIFS(tData[SEHTrajectPeriodeDatumTijdVan],"&lt;="&amp;($A667+19/24),tData[SEHTrajectPeriodeDatumTijdTotEnMet],"&gt;"&amp;($A667+19/24),tData[Langligger01],1)</f>
        <v/>
      </c>
      <c r="X667" s="20">
        <f>COUNTIFS(tData[SEHTrajectPeriodeDatumTijdVan],"&lt;="&amp;($A667+20/24),tData[SEHTrajectPeriodeDatumTijdTotEnMet],"&gt;"&amp;($A667+20/24),tData[Langligger01],1)</f>
        <v/>
      </c>
      <c r="Y667" s="20">
        <f>COUNTIFS(tData[SEHTrajectPeriodeDatumTijdVan],"&lt;="&amp;($A667+21/24),tData[SEHTrajectPeriodeDatumTijdTotEnMet],"&gt;"&amp;($A667+21/24),tData[Langligger01],1)</f>
        <v/>
      </c>
      <c r="Z667" s="20">
        <f>COUNTIFS(tData[SEHTrajectPeriodeDatumTijdVan],"&lt;="&amp;($A667+22/24),tData[SEHTrajectPeriodeDatumTijdTotEnMet],"&gt;"&amp;($A667+22/24),tData[Langligger01],1)</f>
        <v/>
      </c>
      <c r="AA667" s="20">
        <f>COUNTIFS(tData[SEHTrajectPeriodeDatumTijdVan],"&lt;="&amp;($A667+23/24),tData[SEHTrajectPeriodeDatumTijdTotEnMet],"&gt;"&amp;($A667+23/24),tData[Langligger01],1)</f>
        <v/>
      </c>
    </row>
    <row r="668">
      <c r="A668" s="19" t="n">
        <v>45956</v>
      </c>
      <c r="B668" s="15">
        <f>WEEKDAY($A668,2)</f>
        <v/>
      </c>
      <c r="C668" s="15">
        <f>IF(AND($A668&gt;=INT(Instellingen!$B$5),$A668&lt;=INT(Instellingen!$B$6)),1,0)</f>
        <v/>
      </c>
      <c r="D668" s="20">
        <f>COUNTIFS(tData[SEHTrajectPeriodeDatumTijdVan],"&lt;="&amp;($A668+0/24),tData[SEHTrajectPeriodeDatumTijdTotEnMet],"&gt;"&amp;($A668+0/24),tData[Langligger01],1)</f>
        <v/>
      </c>
      <c r="E668" s="20">
        <f>COUNTIFS(tData[SEHTrajectPeriodeDatumTijdVan],"&lt;="&amp;($A668+1/24),tData[SEHTrajectPeriodeDatumTijdTotEnMet],"&gt;"&amp;($A668+1/24),tData[Langligger01],1)</f>
        <v/>
      </c>
      <c r="F668" s="20">
        <f>COUNTIFS(tData[SEHTrajectPeriodeDatumTijdVan],"&lt;="&amp;($A668+2/24),tData[SEHTrajectPeriodeDatumTijdTotEnMet],"&gt;"&amp;($A668+2/24),tData[Langligger01],1)</f>
        <v/>
      </c>
      <c r="G668" s="20">
        <f>COUNTIFS(tData[SEHTrajectPeriodeDatumTijdVan],"&lt;="&amp;($A668+3/24),tData[SEHTrajectPeriodeDatumTijdTotEnMet],"&gt;"&amp;($A668+3/24),tData[Langligger01],1)</f>
        <v/>
      </c>
      <c r="H668" s="20">
        <f>COUNTIFS(tData[SEHTrajectPeriodeDatumTijdVan],"&lt;="&amp;($A668+4/24),tData[SEHTrajectPeriodeDatumTijdTotEnMet],"&gt;"&amp;($A668+4/24),tData[Langligger01],1)</f>
        <v/>
      </c>
      <c r="I668" s="20">
        <f>COUNTIFS(tData[SEHTrajectPeriodeDatumTijdVan],"&lt;="&amp;($A668+5/24),tData[SEHTrajectPeriodeDatumTijdTotEnMet],"&gt;"&amp;($A668+5/24),tData[Langligger01],1)</f>
        <v/>
      </c>
      <c r="J668" s="20">
        <f>COUNTIFS(tData[SEHTrajectPeriodeDatumTijdVan],"&lt;="&amp;($A668+6/24),tData[SEHTrajectPeriodeDatumTijdTotEnMet],"&gt;"&amp;($A668+6/24),tData[Langligger01],1)</f>
        <v/>
      </c>
      <c r="K668" s="20">
        <f>COUNTIFS(tData[SEHTrajectPeriodeDatumTijdVan],"&lt;="&amp;($A668+7/24),tData[SEHTrajectPeriodeDatumTijdTotEnMet],"&gt;"&amp;($A668+7/24),tData[Langligger01],1)</f>
        <v/>
      </c>
      <c r="L668" s="20">
        <f>COUNTIFS(tData[SEHTrajectPeriodeDatumTijdVan],"&lt;="&amp;($A668+8/24),tData[SEHTrajectPeriodeDatumTijdTotEnMet],"&gt;"&amp;($A668+8/24),tData[Langligger01],1)</f>
        <v/>
      </c>
      <c r="M668" s="20">
        <f>COUNTIFS(tData[SEHTrajectPeriodeDatumTijdVan],"&lt;="&amp;($A668+9/24),tData[SEHTrajectPeriodeDatumTijdTotEnMet],"&gt;"&amp;($A668+9/24),tData[Langligger01],1)</f>
        <v/>
      </c>
      <c r="N668" s="20">
        <f>COUNTIFS(tData[SEHTrajectPeriodeDatumTijdVan],"&lt;="&amp;($A668+10/24),tData[SEHTrajectPeriodeDatumTijdTotEnMet],"&gt;"&amp;($A668+10/24),tData[Langligger01],1)</f>
        <v/>
      </c>
      <c r="O668" s="20">
        <f>COUNTIFS(tData[SEHTrajectPeriodeDatumTijdVan],"&lt;="&amp;($A668+11/24),tData[SEHTrajectPeriodeDatumTijdTotEnMet],"&gt;"&amp;($A668+11/24),tData[Langligger01],1)</f>
        <v/>
      </c>
      <c r="P668" s="20">
        <f>COUNTIFS(tData[SEHTrajectPeriodeDatumTijdVan],"&lt;="&amp;($A668+12/24),tData[SEHTrajectPeriodeDatumTijdTotEnMet],"&gt;"&amp;($A668+12/24),tData[Langligger01],1)</f>
        <v/>
      </c>
      <c r="Q668" s="20">
        <f>COUNTIFS(tData[SEHTrajectPeriodeDatumTijdVan],"&lt;="&amp;($A668+13/24),tData[SEHTrajectPeriodeDatumTijdTotEnMet],"&gt;"&amp;($A668+13/24),tData[Langligger01],1)</f>
        <v/>
      </c>
      <c r="R668" s="20">
        <f>COUNTIFS(tData[SEHTrajectPeriodeDatumTijdVan],"&lt;="&amp;($A668+14/24),tData[SEHTrajectPeriodeDatumTijdTotEnMet],"&gt;"&amp;($A668+14/24),tData[Langligger01],1)</f>
        <v/>
      </c>
      <c r="S668" s="20">
        <f>COUNTIFS(tData[SEHTrajectPeriodeDatumTijdVan],"&lt;="&amp;($A668+15/24),tData[SEHTrajectPeriodeDatumTijdTotEnMet],"&gt;"&amp;($A668+15/24),tData[Langligger01],1)</f>
        <v/>
      </c>
      <c r="T668" s="20">
        <f>COUNTIFS(tData[SEHTrajectPeriodeDatumTijdVan],"&lt;="&amp;($A668+16/24),tData[SEHTrajectPeriodeDatumTijdTotEnMet],"&gt;"&amp;($A668+16/24),tData[Langligger01],1)</f>
        <v/>
      </c>
      <c r="U668" s="20">
        <f>COUNTIFS(tData[SEHTrajectPeriodeDatumTijdVan],"&lt;="&amp;($A668+17/24),tData[SEHTrajectPeriodeDatumTijdTotEnMet],"&gt;"&amp;($A668+17/24),tData[Langligger01],1)</f>
        <v/>
      </c>
      <c r="V668" s="20">
        <f>COUNTIFS(tData[SEHTrajectPeriodeDatumTijdVan],"&lt;="&amp;($A668+18/24),tData[SEHTrajectPeriodeDatumTijdTotEnMet],"&gt;"&amp;($A668+18/24),tData[Langligger01],1)</f>
        <v/>
      </c>
      <c r="W668" s="20">
        <f>COUNTIFS(tData[SEHTrajectPeriodeDatumTijdVan],"&lt;="&amp;($A668+19/24),tData[SEHTrajectPeriodeDatumTijdTotEnMet],"&gt;"&amp;($A668+19/24),tData[Langligger01],1)</f>
        <v/>
      </c>
      <c r="X668" s="20">
        <f>COUNTIFS(tData[SEHTrajectPeriodeDatumTijdVan],"&lt;="&amp;($A668+20/24),tData[SEHTrajectPeriodeDatumTijdTotEnMet],"&gt;"&amp;($A668+20/24),tData[Langligger01],1)</f>
        <v/>
      </c>
      <c r="Y668" s="20">
        <f>COUNTIFS(tData[SEHTrajectPeriodeDatumTijdVan],"&lt;="&amp;($A668+21/24),tData[SEHTrajectPeriodeDatumTijdTotEnMet],"&gt;"&amp;($A668+21/24),tData[Langligger01],1)</f>
        <v/>
      </c>
      <c r="Z668" s="20">
        <f>COUNTIFS(tData[SEHTrajectPeriodeDatumTijdVan],"&lt;="&amp;($A668+22/24),tData[SEHTrajectPeriodeDatumTijdTotEnMet],"&gt;"&amp;($A668+22/24),tData[Langligger01],1)</f>
        <v/>
      </c>
      <c r="AA668" s="20">
        <f>COUNTIFS(tData[SEHTrajectPeriodeDatumTijdVan],"&lt;="&amp;($A668+23/24),tData[SEHTrajectPeriodeDatumTijdTotEnMet],"&gt;"&amp;($A668+23/24),tData[Langligger01],1)</f>
        <v/>
      </c>
    </row>
    <row r="669">
      <c r="A669" s="19" t="n">
        <v>45957</v>
      </c>
      <c r="B669" s="15">
        <f>WEEKDAY($A669,2)</f>
        <v/>
      </c>
      <c r="C669" s="15">
        <f>IF(AND($A669&gt;=INT(Instellingen!$B$5),$A669&lt;=INT(Instellingen!$B$6)),1,0)</f>
        <v/>
      </c>
      <c r="D669" s="20">
        <f>COUNTIFS(tData[SEHTrajectPeriodeDatumTijdVan],"&lt;="&amp;($A669+0/24),tData[SEHTrajectPeriodeDatumTijdTotEnMet],"&gt;"&amp;($A669+0/24),tData[Langligger01],1)</f>
        <v/>
      </c>
      <c r="E669" s="20">
        <f>COUNTIFS(tData[SEHTrajectPeriodeDatumTijdVan],"&lt;="&amp;($A669+1/24),tData[SEHTrajectPeriodeDatumTijdTotEnMet],"&gt;"&amp;($A669+1/24),tData[Langligger01],1)</f>
        <v/>
      </c>
      <c r="F669" s="20">
        <f>COUNTIFS(tData[SEHTrajectPeriodeDatumTijdVan],"&lt;="&amp;($A669+2/24),tData[SEHTrajectPeriodeDatumTijdTotEnMet],"&gt;"&amp;($A669+2/24),tData[Langligger01],1)</f>
        <v/>
      </c>
      <c r="G669" s="20">
        <f>COUNTIFS(tData[SEHTrajectPeriodeDatumTijdVan],"&lt;="&amp;($A669+3/24),tData[SEHTrajectPeriodeDatumTijdTotEnMet],"&gt;"&amp;($A669+3/24),tData[Langligger01],1)</f>
        <v/>
      </c>
      <c r="H669" s="20">
        <f>COUNTIFS(tData[SEHTrajectPeriodeDatumTijdVan],"&lt;="&amp;($A669+4/24),tData[SEHTrajectPeriodeDatumTijdTotEnMet],"&gt;"&amp;($A669+4/24),tData[Langligger01],1)</f>
        <v/>
      </c>
      <c r="I669" s="20">
        <f>COUNTIFS(tData[SEHTrajectPeriodeDatumTijdVan],"&lt;="&amp;($A669+5/24),tData[SEHTrajectPeriodeDatumTijdTotEnMet],"&gt;"&amp;($A669+5/24),tData[Langligger01],1)</f>
        <v/>
      </c>
      <c r="J669" s="20">
        <f>COUNTIFS(tData[SEHTrajectPeriodeDatumTijdVan],"&lt;="&amp;($A669+6/24),tData[SEHTrajectPeriodeDatumTijdTotEnMet],"&gt;"&amp;($A669+6/24),tData[Langligger01],1)</f>
        <v/>
      </c>
      <c r="K669" s="20">
        <f>COUNTIFS(tData[SEHTrajectPeriodeDatumTijdVan],"&lt;="&amp;($A669+7/24),tData[SEHTrajectPeriodeDatumTijdTotEnMet],"&gt;"&amp;($A669+7/24),tData[Langligger01],1)</f>
        <v/>
      </c>
      <c r="L669" s="20">
        <f>COUNTIFS(tData[SEHTrajectPeriodeDatumTijdVan],"&lt;="&amp;($A669+8/24),tData[SEHTrajectPeriodeDatumTijdTotEnMet],"&gt;"&amp;($A669+8/24),tData[Langligger01],1)</f>
        <v/>
      </c>
      <c r="M669" s="20">
        <f>COUNTIFS(tData[SEHTrajectPeriodeDatumTijdVan],"&lt;="&amp;($A669+9/24),tData[SEHTrajectPeriodeDatumTijdTotEnMet],"&gt;"&amp;($A669+9/24),tData[Langligger01],1)</f>
        <v/>
      </c>
      <c r="N669" s="20">
        <f>COUNTIFS(tData[SEHTrajectPeriodeDatumTijdVan],"&lt;="&amp;($A669+10/24),tData[SEHTrajectPeriodeDatumTijdTotEnMet],"&gt;"&amp;($A669+10/24),tData[Langligger01],1)</f>
        <v/>
      </c>
      <c r="O669" s="20">
        <f>COUNTIFS(tData[SEHTrajectPeriodeDatumTijdVan],"&lt;="&amp;($A669+11/24),tData[SEHTrajectPeriodeDatumTijdTotEnMet],"&gt;"&amp;($A669+11/24),tData[Langligger01],1)</f>
        <v/>
      </c>
      <c r="P669" s="20">
        <f>COUNTIFS(tData[SEHTrajectPeriodeDatumTijdVan],"&lt;="&amp;($A669+12/24),tData[SEHTrajectPeriodeDatumTijdTotEnMet],"&gt;"&amp;($A669+12/24),tData[Langligger01],1)</f>
        <v/>
      </c>
      <c r="Q669" s="20">
        <f>COUNTIFS(tData[SEHTrajectPeriodeDatumTijdVan],"&lt;="&amp;($A669+13/24),tData[SEHTrajectPeriodeDatumTijdTotEnMet],"&gt;"&amp;($A669+13/24),tData[Langligger01],1)</f>
        <v/>
      </c>
      <c r="R669" s="20">
        <f>COUNTIFS(tData[SEHTrajectPeriodeDatumTijdVan],"&lt;="&amp;($A669+14/24),tData[SEHTrajectPeriodeDatumTijdTotEnMet],"&gt;"&amp;($A669+14/24),tData[Langligger01],1)</f>
        <v/>
      </c>
      <c r="S669" s="20">
        <f>COUNTIFS(tData[SEHTrajectPeriodeDatumTijdVan],"&lt;="&amp;($A669+15/24),tData[SEHTrajectPeriodeDatumTijdTotEnMet],"&gt;"&amp;($A669+15/24),tData[Langligger01],1)</f>
        <v/>
      </c>
      <c r="T669" s="20">
        <f>COUNTIFS(tData[SEHTrajectPeriodeDatumTijdVan],"&lt;="&amp;($A669+16/24),tData[SEHTrajectPeriodeDatumTijdTotEnMet],"&gt;"&amp;($A669+16/24),tData[Langligger01],1)</f>
        <v/>
      </c>
      <c r="U669" s="20">
        <f>COUNTIFS(tData[SEHTrajectPeriodeDatumTijdVan],"&lt;="&amp;($A669+17/24),tData[SEHTrajectPeriodeDatumTijdTotEnMet],"&gt;"&amp;($A669+17/24),tData[Langligger01],1)</f>
        <v/>
      </c>
      <c r="V669" s="20">
        <f>COUNTIFS(tData[SEHTrajectPeriodeDatumTijdVan],"&lt;="&amp;($A669+18/24),tData[SEHTrajectPeriodeDatumTijdTotEnMet],"&gt;"&amp;($A669+18/24),tData[Langligger01],1)</f>
        <v/>
      </c>
      <c r="W669" s="20">
        <f>COUNTIFS(tData[SEHTrajectPeriodeDatumTijdVan],"&lt;="&amp;($A669+19/24),tData[SEHTrajectPeriodeDatumTijdTotEnMet],"&gt;"&amp;($A669+19/24),tData[Langligger01],1)</f>
        <v/>
      </c>
      <c r="X669" s="20">
        <f>COUNTIFS(tData[SEHTrajectPeriodeDatumTijdVan],"&lt;="&amp;($A669+20/24),tData[SEHTrajectPeriodeDatumTijdTotEnMet],"&gt;"&amp;($A669+20/24),tData[Langligger01],1)</f>
        <v/>
      </c>
      <c r="Y669" s="20">
        <f>COUNTIFS(tData[SEHTrajectPeriodeDatumTijdVan],"&lt;="&amp;($A669+21/24),tData[SEHTrajectPeriodeDatumTijdTotEnMet],"&gt;"&amp;($A669+21/24),tData[Langligger01],1)</f>
        <v/>
      </c>
      <c r="Z669" s="20">
        <f>COUNTIFS(tData[SEHTrajectPeriodeDatumTijdVan],"&lt;="&amp;($A669+22/24),tData[SEHTrajectPeriodeDatumTijdTotEnMet],"&gt;"&amp;($A669+22/24),tData[Langligger01],1)</f>
        <v/>
      </c>
      <c r="AA669" s="20">
        <f>COUNTIFS(tData[SEHTrajectPeriodeDatumTijdVan],"&lt;="&amp;($A669+23/24),tData[SEHTrajectPeriodeDatumTijdTotEnMet],"&gt;"&amp;($A669+23/24),tData[Langligger01],1)</f>
        <v/>
      </c>
    </row>
    <row r="670">
      <c r="A670" s="19" t="n">
        <v>45958</v>
      </c>
      <c r="B670" s="15">
        <f>WEEKDAY($A670,2)</f>
        <v/>
      </c>
      <c r="C670" s="15">
        <f>IF(AND($A670&gt;=INT(Instellingen!$B$5),$A670&lt;=INT(Instellingen!$B$6)),1,0)</f>
        <v/>
      </c>
      <c r="D670" s="20">
        <f>COUNTIFS(tData[SEHTrajectPeriodeDatumTijdVan],"&lt;="&amp;($A670+0/24),tData[SEHTrajectPeriodeDatumTijdTotEnMet],"&gt;"&amp;($A670+0/24),tData[Langligger01],1)</f>
        <v/>
      </c>
      <c r="E670" s="20">
        <f>COUNTIFS(tData[SEHTrajectPeriodeDatumTijdVan],"&lt;="&amp;($A670+1/24),tData[SEHTrajectPeriodeDatumTijdTotEnMet],"&gt;"&amp;($A670+1/24),tData[Langligger01],1)</f>
        <v/>
      </c>
      <c r="F670" s="20">
        <f>COUNTIFS(tData[SEHTrajectPeriodeDatumTijdVan],"&lt;="&amp;($A670+2/24),tData[SEHTrajectPeriodeDatumTijdTotEnMet],"&gt;"&amp;($A670+2/24),tData[Langligger01],1)</f>
        <v/>
      </c>
      <c r="G670" s="20">
        <f>COUNTIFS(tData[SEHTrajectPeriodeDatumTijdVan],"&lt;="&amp;($A670+3/24),tData[SEHTrajectPeriodeDatumTijdTotEnMet],"&gt;"&amp;($A670+3/24),tData[Langligger01],1)</f>
        <v/>
      </c>
      <c r="H670" s="20">
        <f>COUNTIFS(tData[SEHTrajectPeriodeDatumTijdVan],"&lt;="&amp;($A670+4/24),tData[SEHTrajectPeriodeDatumTijdTotEnMet],"&gt;"&amp;($A670+4/24),tData[Langligger01],1)</f>
        <v/>
      </c>
      <c r="I670" s="20">
        <f>COUNTIFS(tData[SEHTrajectPeriodeDatumTijdVan],"&lt;="&amp;($A670+5/24),tData[SEHTrajectPeriodeDatumTijdTotEnMet],"&gt;"&amp;($A670+5/24),tData[Langligger01],1)</f>
        <v/>
      </c>
      <c r="J670" s="20">
        <f>COUNTIFS(tData[SEHTrajectPeriodeDatumTijdVan],"&lt;="&amp;($A670+6/24),tData[SEHTrajectPeriodeDatumTijdTotEnMet],"&gt;"&amp;($A670+6/24),tData[Langligger01],1)</f>
        <v/>
      </c>
      <c r="K670" s="20">
        <f>COUNTIFS(tData[SEHTrajectPeriodeDatumTijdVan],"&lt;="&amp;($A670+7/24),tData[SEHTrajectPeriodeDatumTijdTotEnMet],"&gt;"&amp;($A670+7/24),tData[Langligger01],1)</f>
        <v/>
      </c>
      <c r="L670" s="20">
        <f>COUNTIFS(tData[SEHTrajectPeriodeDatumTijdVan],"&lt;="&amp;($A670+8/24),tData[SEHTrajectPeriodeDatumTijdTotEnMet],"&gt;"&amp;($A670+8/24),tData[Langligger01],1)</f>
        <v/>
      </c>
      <c r="M670" s="20">
        <f>COUNTIFS(tData[SEHTrajectPeriodeDatumTijdVan],"&lt;="&amp;($A670+9/24),tData[SEHTrajectPeriodeDatumTijdTotEnMet],"&gt;"&amp;($A670+9/24),tData[Langligger01],1)</f>
        <v/>
      </c>
      <c r="N670" s="20">
        <f>COUNTIFS(tData[SEHTrajectPeriodeDatumTijdVan],"&lt;="&amp;($A670+10/24),tData[SEHTrajectPeriodeDatumTijdTotEnMet],"&gt;"&amp;($A670+10/24),tData[Langligger01],1)</f>
        <v/>
      </c>
      <c r="O670" s="20">
        <f>COUNTIFS(tData[SEHTrajectPeriodeDatumTijdVan],"&lt;="&amp;($A670+11/24),tData[SEHTrajectPeriodeDatumTijdTotEnMet],"&gt;"&amp;($A670+11/24),tData[Langligger01],1)</f>
        <v/>
      </c>
      <c r="P670" s="20">
        <f>COUNTIFS(tData[SEHTrajectPeriodeDatumTijdVan],"&lt;="&amp;($A670+12/24),tData[SEHTrajectPeriodeDatumTijdTotEnMet],"&gt;"&amp;($A670+12/24),tData[Langligger01],1)</f>
        <v/>
      </c>
      <c r="Q670" s="20">
        <f>COUNTIFS(tData[SEHTrajectPeriodeDatumTijdVan],"&lt;="&amp;($A670+13/24),tData[SEHTrajectPeriodeDatumTijdTotEnMet],"&gt;"&amp;($A670+13/24),tData[Langligger01],1)</f>
        <v/>
      </c>
      <c r="R670" s="20">
        <f>COUNTIFS(tData[SEHTrajectPeriodeDatumTijdVan],"&lt;="&amp;($A670+14/24),tData[SEHTrajectPeriodeDatumTijdTotEnMet],"&gt;"&amp;($A670+14/24),tData[Langligger01],1)</f>
        <v/>
      </c>
      <c r="S670" s="20">
        <f>COUNTIFS(tData[SEHTrajectPeriodeDatumTijdVan],"&lt;="&amp;($A670+15/24),tData[SEHTrajectPeriodeDatumTijdTotEnMet],"&gt;"&amp;($A670+15/24),tData[Langligger01],1)</f>
        <v/>
      </c>
      <c r="T670" s="20">
        <f>COUNTIFS(tData[SEHTrajectPeriodeDatumTijdVan],"&lt;="&amp;($A670+16/24),tData[SEHTrajectPeriodeDatumTijdTotEnMet],"&gt;"&amp;($A670+16/24),tData[Langligger01],1)</f>
        <v/>
      </c>
      <c r="U670" s="20">
        <f>COUNTIFS(tData[SEHTrajectPeriodeDatumTijdVan],"&lt;="&amp;($A670+17/24),tData[SEHTrajectPeriodeDatumTijdTotEnMet],"&gt;"&amp;($A670+17/24),tData[Langligger01],1)</f>
        <v/>
      </c>
      <c r="V670" s="20">
        <f>COUNTIFS(tData[SEHTrajectPeriodeDatumTijdVan],"&lt;="&amp;($A670+18/24),tData[SEHTrajectPeriodeDatumTijdTotEnMet],"&gt;"&amp;($A670+18/24),tData[Langligger01],1)</f>
        <v/>
      </c>
      <c r="W670" s="20">
        <f>COUNTIFS(tData[SEHTrajectPeriodeDatumTijdVan],"&lt;="&amp;($A670+19/24),tData[SEHTrajectPeriodeDatumTijdTotEnMet],"&gt;"&amp;($A670+19/24),tData[Langligger01],1)</f>
        <v/>
      </c>
      <c r="X670" s="20">
        <f>COUNTIFS(tData[SEHTrajectPeriodeDatumTijdVan],"&lt;="&amp;($A670+20/24),tData[SEHTrajectPeriodeDatumTijdTotEnMet],"&gt;"&amp;($A670+20/24),tData[Langligger01],1)</f>
        <v/>
      </c>
      <c r="Y670" s="20">
        <f>COUNTIFS(tData[SEHTrajectPeriodeDatumTijdVan],"&lt;="&amp;($A670+21/24),tData[SEHTrajectPeriodeDatumTijdTotEnMet],"&gt;"&amp;($A670+21/24),tData[Langligger01],1)</f>
        <v/>
      </c>
      <c r="Z670" s="20">
        <f>COUNTIFS(tData[SEHTrajectPeriodeDatumTijdVan],"&lt;="&amp;($A670+22/24),tData[SEHTrajectPeriodeDatumTijdTotEnMet],"&gt;"&amp;($A670+22/24),tData[Langligger01],1)</f>
        <v/>
      </c>
      <c r="AA670" s="20">
        <f>COUNTIFS(tData[SEHTrajectPeriodeDatumTijdVan],"&lt;="&amp;($A670+23/24),tData[SEHTrajectPeriodeDatumTijdTotEnMet],"&gt;"&amp;($A670+23/24),tData[Langligger01],1)</f>
        <v/>
      </c>
    </row>
    <row r="671">
      <c r="A671" s="19" t="n">
        <v>45959</v>
      </c>
      <c r="B671" s="15">
        <f>WEEKDAY($A671,2)</f>
        <v/>
      </c>
      <c r="C671" s="15">
        <f>IF(AND($A671&gt;=INT(Instellingen!$B$5),$A671&lt;=INT(Instellingen!$B$6)),1,0)</f>
        <v/>
      </c>
      <c r="D671" s="20">
        <f>COUNTIFS(tData[SEHTrajectPeriodeDatumTijdVan],"&lt;="&amp;($A671+0/24),tData[SEHTrajectPeriodeDatumTijdTotEnMet],"&gt;"&amp;($A671+0/24),tData[Langligger01],1)</f>
        <v/>
      </c>
      <c r="E671" s="20">
        <f>COUNTIFS(tData[SEHTrajectPeriodeDatumTijdVan],"&lt;="&amp;($A671+1/24),tData[SEHTrajectPeriodeDatumTijdTotEnMet],"&gt;"&amp;($A671+1/24),tData[Langligger01],1)</f>
        <v/>
      </c>
      <c r="F671" s="20">
        <f>COUNTIFS(tData[SEHTrajectPeriodeDatumTijdVan],"&lt;="&amp;($A671+2/24),tData[SEHTrajectPeriodeDatumTijdTotEnMet],"&gt;"&amp;($A671+2/24),tData[Langligger01],1)</f>
        <v/>
      </c>
      <c r="G671" s="20">
        <f>COUNTIFS(tData[SEHTrajectPeriodeDatumTijdVan],"&lt;="&amp;($A671+3/24),tData[SEHTrajectPeriodeDatumTijdTotEnMet],"&gt;"&amp;($A671+3/24),tData[Langligger01],1)</f>
        <v/>
      </c>
      <c r="H671" s="20">
        <f>COUNTIFS(tData[SEHTrajectPeriodeDatumTijdVan],"&lt;="&amp;($A671+4/24),tData[SEHTrajectPeriodeDatumTijdTotEnMet],"&gt;"&amp;($A671+4/24),tData[Langligger01],1)</f>
        <v/>
      </c>
      <c r="I671" s="20">
        <f>COUNTIFS(tData[SEHTrajectPeriodeDatumTijdVan],"&lt;="&amp;($A671+5/24),tData[SEHTrajectPeriodeDatumTijdTotEnMet],"&gt;"&amp;($A671+5/24),tData[Langligger01],1)</f>
        <v/>
      </c>
      <c r="J671" s="20">
        <f>COUNTIFS(tData[SEHTrajectPeriodeDatumTijdVan],"&lt;="&amp;($A671+6/24),tData[SEHTrajectPeriodeDatumTijdTotEnMet],"&gt;"&amp;($A671+6/24),tData[Langligger01],1)</f>
        <v/>
      </c>
      <c r="K671" s="20">
        <f>COUNTIFS(tData[SEHTrajectPeriodeDatumTijdVan],"&lt;="&amp;($A671+7/24),tData[SEHTrajectPeriodeDatumTijdTotEnMet],"&gt;"&amp;($A671+7/24),tData[Langligger01],1)</f>
        <v/>
      </c>
      <c r="L671" s="20">
        <f>COUNTIFS(tData[SEHTrajectPeriodeDatumTijdVan],"&lt;="&amp;($A671+8/24),tData[SEHTrajectPeriodeDatumTijdTotEnMet],"&gt;"&amp;($A671+8/24),tData[Langligger01],1)</f>
        <v/>
      </c>
      <c r="M671" s="20">
        <f>COUNTIFS(tData[SEHTrajectPeriodeDatumTijdVan],"&lt;="&amp;($A671+9/24),tData[SEHTrajectPeriodeDatumTijdTotEnMet],"&gt;"&amp;($A671+9/24),tData[Langligger01],1)</f>
        <v/>
      </c>
      <c r="N671" s="20">
        <f>COUNTIFS(tData[SEHTrajectPeriodeDatumTijdVan],"&lt;="&amp;($A671+10/24),tData[SEHTrajectPeriodeDatumTijdTotEnMet],"&gt;"&amp;($A671+10/24),tData[Langligger01],1)</f>
        <v/>
      </c>
      <c r="O671" s="20">
        <f>COUNTIFS(tData[SEHTrajectPeriodeDatumTijdVan],"&lt;="&amp;($A671+11/24),tData[SEHTrajectPeriodeDatumTijdTotEnMet],"&gt;"&amp;($A671+11/24),tData[Langligger01],1)</f>
        <v/>
      </c>
      <c r="P671" s="20">
        <f>COUNTIFS(tData[SEHTrajectPeriodeDatumTijdVan],"&lt;="&amp;($A671+12/24),tData[SEHTrajectPeriodeDatumTijdTotEnMet],"&gt;"&amp;($A671+12/24),tData[Langligger01],1)</f>
        <v/>
      </c>
      <c r="Q671" s="20">
        <f>COUNTIFS(tData[SEHTrajectPeriodeDatumTijdVan],"&lt;="&amp;($A671+13/24),tData[SEHTrajectPeriodeDatumTijdTotEnMet],"&gt;"&amp;($A671+13/24),tData[Langligger01],1)</f>
        <v/>
      </c>
      <c r="R671" s="20">
        <f>COUNTIFS(tData[SEHTrajectPeriodeDatumTijdVan],"&lt;="&amp;($A671+14/24),tData[SEHTrajectPeriodeDatumTijdTotEnMet],"&gt;"&amp;($A671+14/24),tData[Langligger01],1)</f>
        <v/>
      </c>
      <c r="S671" s="20">
        <f>COUNTIFS(tData[SEHTrajectPeriodeDatumTijdVan],"&lt;="&amp;($A671+15/24),tData[SEHTrajectPeriodeDatumTijdTotEnMet],"&gt;"&amp;($A671+15/24),tData[Langligger01],1)</f>
        <v/>
      </c>
      <c r="T671" s="20">
        <f>COUNTIFS(tData[SEHTrajectPeriodeDatumTijdVan],"&lt;="&amp;($A671+16/24),tData[SEHTrajectPeriodeDatumTijdTotEnMet],"&gt;"&amp;($A671+16/24),tData[Langligger01],1)</f>
        <v/>
      </c>
      <c r="U671" s="20">
        <f>COUNTIFS(tData[SEHTrajectPeriodeDatumTijdVan],"&lt;="&amp;($A671+17/24),tData[SEHTrajectPeriodeDatumTijdTotEnMet],"&gt;"&amp;($A671+17/24),tData[Langligger01],1)</f>
        <v/>
      </c>
      <c r="V671" s="20">
        <f>COUNTIFS(tData[SEHTrajectPeriodeDatumTijdVan],"&lt;="&amp;($A671+18/24),tData[SEHTrajectPeriodeDatumTijdTotEnMet],"&gt;"&amp;($A671+18/24),tData[Langligger01],1)</f>
        <v/>
      </c>
      <c r="W671" s="20">
        <f>COUNTIFS(tData[SEHTrajectPeriodeDatumTijdVan],"&lt;="&amp;($A671+19/24),tData[SEHTrajectPeriodeDatumTijdTotEnMet],"&gt;"&amp;($A671+19/24),tData[Langligger01],1)</f>
        <v/>
      </c>
      <c r="X671" s="20">
        <f>COUNTIFS(tData[SEHTrajectPeriodeDatumTijdVan],"&lt;="&amp;($A671+20/24),tData[SEHTrajectPeriodeDatumTijdTotEnMet],"&gt;"&amp;($A671+20/24),tData[Langligger01],1)</f>
        <v/>
      </c>
      <c r="Y671" s="20">
        <f>COUNTIFS(tData[SEHTrajectPeriodeDatumTijdVan],"&lt;="&amp;($A671+21/24),tData[SEHTrajectPeriodeDatumTijdTotEnMet],"&gt;"&amp;($A671+21/24),tData[Langligger01],1)</f>
        <v/>
      </c>
      <c r="Z671" s="20">
        <f>COUNTIFS(tData[SEHTrajectPeriodeDatumTijdVan],"&lt;="&amp;($A671+22/24),tData[SEHTrajectPeriodeDatumTijdTotEnMet],"&gt;"&amp;($A671+22/24),tData[Langligger01],1)</f>
        <v/>
      </c>
      <c r="AA671" s="20">
        <f>COUNTIFS(tData[SEHTrajectPeriodeDatumTijdVan],"&lt;="&amp;($A671+23/24),tData[SEHTrajectPeriodeDatumTijdTotEnMet],"&gt;"&amp;($A671+23/24),tData[Langligger01],1)</f>
        <v/>
      </c>
    </row>
    <row r="672">
      <c r="A672" s="19" t="n">
        <v>45960</v>
      </c>
      <c r="B672" s="15">
        <f>WEEKDAY($A672,2)</f>
        <v/>
      </c>
      <c r="C672" s="15">
        <f>IF(AND($A672&gt;=INT(Instellingen!$B$5),$A672&lt;=INT(Instellingen!$B$6)),1,0)</f>
        <v/>
      </c>
      <c r="D672" s="20">
        <f>COUNTIFS(tData[SEHTrajectPeriodeDatumTijdVan],"&lt;="&amp;($A672+0/24),tData[SEHTrajectPeriodeDatumTijdTotEnMet],"&gt;"&amp;($A672+0/24),tData[Langligger01],1)</f>
        <v/>
      </c>
      <c r="E672" s="20">
        <f>COUNTIFS(tData[SEHTrajectPeriodeDatumTijdVan],"&lt;="&amp;($A672+1/24),tData[SEHTrajectPeriodeDatumTijdTotEnMet],"&gt;"&amp;($A672+1/24),tData[Langligger01],1)</f>
        <v/>
      </c>
      <c r="F672" s="20">
        <f>COUNTIFS(tData[SEHTrajectPeriodeDatumTijdVan],"&lt;="&amp;($A672+2/24),tData[SEHTrajectPeriodeDatumTijdTotEnMet],"&gt;"&amp;($A672+2/24),tData[Langligger01],1)</f>
        <v/>
      </c>
      <c r="G672" s="20">
        <f>COUNTIFS(tData[SEHTrajectPeriodeDatumTijdVan],"&lt;="&amp;($A672+3/24),tData[SEHTrajectPeriodeDatumTijdTotEnMet],"&gt;"&amp;($A672+3/24),tData[Langligger01],1)</f>
        <v/>
      </c>
      <c r="H672" s="20">
        <f>COUNTIFS(tData[SEHTrajectPeriodeDatumTijdVan],"&lt;="&amp;($A672+4/24),tData[SEHTrajectPeriodeDatumTijdTotEnMet],"&gt;"&amp;($A672+4/24),tData[Langligger01],1)</f>
        <v/>
      </c>
      <c r="I672" s="20">
        <f>COUNTIFS(tData[SEHTrajectPeriodeDatumTijdVan],"&lt;="&amp;($A672+5/24),tData[SEHTrajectPeriodeDatumTijdTotEnMet],"&gt;"&amp;($A672+5/24),tData[Langligger01],1)</f>
        <v/>
      </c>
      <c r="J672" s="20">
        <f>COUNTIFS(tData[SEHTrajectPeriodeDatumTijdVan],"&lt;="&amp;($A672+6/24),tData[SEHTrajectPeriodeDatumTijdTotEnMet],"&gt;"&amp;($A672+6/24),tData[Langligger01],1)</f>
        <v/>
      </c>
      <c r="K672" s="20">
        <f>COUNTIFS(tData[SEHTrajectPeriodeDatumTijdVan],"&lt;="&amp;($A672+7/24),tData[SEHTrajectPeriodeDatumTijdTotEnMet],"&gt;"&amp;($A672+7/24),tData[Langligger01],1)</f>
        <v/>
      </c>
      <c r="L672" s="20">
        <f>COUNTIFS(tData[SEHTrajectPeriodeDatumTijdVan],"&lt;="&amp;($A672+8/24),tData[SEHTrajectPeriodeDatumTijdTotEnMet],"&gt;"&amp;($A672+8/24),tData[Langligger01],1)</f>
        <v/>
      </c>
      <c r="M672" s="20">
        <f>COUNTIFS(tData[SEHTrajectPeriodeDatumTijdVan],"&lt;="&amp;($A672+9/24),tData[SEHTrajectPeriodeDatumTijdTotEnMet],"&gt;"&amp;($A672+9/24),tData[Langligger01],1)</f>
        <v/>
      </c>
      <c r="N672" s="20">
        <f>COUNTIFS(tData[SEHTrajectPeriodeDatumTijdVan],"&lt;="&amp;($A672+10/24),tData[SEHTrajectPeriodeDatumTijdTotEnMet],"&gt;"&amp;($A672+10/24),tData[Langligger01],1)</f>
        <v/>
      </c>
      <c r="O672" s="20">
        <f>COUNTIFS(tData[SEHTrajectPeriodeDatumTijdVan],"&lt;="&amp;($A672+11/24),tData[SEHTrajectPeriodeDatumTijdTotEnMet],"&gt;"&amp;($A672+11/24),tData[Langligger01],1)</f>
        <v/>
      </c>
      <c r="P672" s="20">
        <f>COUNTIFS(tData[SEHTrajectPeriodeDatumTijdVan],"&lt;="&amp;($A672+12/24),tData[SEHTrajectPeriodeDatumTijdTotEnMet],"&gt;"&amp;($A672+12/24),tData[Langligger01],1)</f>
        <v/>
      </c>
      <c r="Q672" s="20">
        <f>COUNTIFS(tData[SEHTrajectPeriodeDatumTijdVan],"&lt;="&amp;($A672+13/24),tData[SEHTrajectPeriodeDatumTijdTotEnMet],"&gt;"&amp;($A672+13/24),tData[Langligger01],1)</f>
        <v/>
      </c>
      <c r="R672" s="20">
        <f>COUNTIFS(tData[SEHTrajectPeriodeDatumTijdVan],"&lt;="&amp;($A672+14/24),tData[SEHTrajectPeriodeDatumTijdTotEnMet],"&gt;"&amp;($A672+14/24),tData[Langligger01],1)</f>
        <v/>
      </c>
      <c r="S672" s="20">
        <f>COUNTIFS(tData[SEHTrajectPeriodeDatumTijdVan],"&lt;="&amp;($A672+15/24),tData[SEHTrajectPeriodeDatumTijdTotEnMet],"&gt;"&amp;($A672+15/24),tData[Langligger01],1)</f>
        <v/>
      </c>
      <c r="T672" s="20">
        <f>COUNTIFS(tData[SEHTrajectPeriodeDatumTijdVan],"&lt;="&amp;($A672+16/24),tData[SEHTrajectPeriodeDatumTijdTotEnMet],"&gt;"&amp;($A672+16/24),tData[Langligger01],1)</f>
        <v/>
      </c>
      <c r="U672" s="20">
        <f>COUNTIFS(tData[SEHTrajectPeriodeDatumTijdVan],"&lt;="&amp;($A672+17/24),tData[SEHTrajectPeriodeDatumTijdTotEnMet],"&gt;"&amp;($A672+17/24),tData[Langligger01],1)</f>
        <v/>
      </c>
      <c r="V672" s="20">
        <f>COUNTIFS(tData[SEHTrajectPeriodeDatumTijdVan],"&lt;="&amp;($A672+18/24),tData[SEHTrajectPeriodeDatumTijdTotEnMet],"&gt;"&amp;($A672+18/24),tData[Langligger01],1)</f>
        <v/>
      </c>
      <c r="W672" s="20">
        <f>COUNTIFS(tData[SEHTrajectPeriodeDatumTijdVan],"&lt;="&amp;($A672+19/24),tData[SEHTrajectPeriodeDatumTijdTotEnMet],"&gt;"&amp;($A672+19/24),tData[Langligger01],1)</f>
        <v/>
      </c>
      <c r="X672" s="20">
        <f>COUNTIFS(tData[SEHTrajectPeriodeDatumTijdVan],"&lt;="&amp;($A672+20/24),tData[SEHTrajectPeriodeDatumTijdTotEnMet],"&gt;"&amp;($A672+20/24),tData[Langligger01],1)</f>
        <v/>
      </c>
      <c r="Y672" s="20">
        <f>COUNTIFS(tData[SEHTrajectPeriodeDatumTijdVan],"&lt;="&amp;($A672+21/24),tData[SEHTrajectPeriodeDatumTijdTotEnMet],"&gt;"&amp;($A672+21/24),tData[Langligger01],1)</f>
        <v/>
      </c>
      <c r="Z672" s="20">
        <f>COUNTIFS(tData[SEHTrajectPeriodeDatumTijdVan],"&lt;="&amp;($A672+22/24),tData[SEHTrajectPeriodeDatumTijdTotEnMet],"&gt;"&amp;($A672+22/24),tData[Langligger01],1)</f>
        <v/>
      </c>
      <c r="AA672" s="20">
        <f>COUNTIFS(tData[SEHTrajectPeriodeDatumTijdVan],"&lt;="&amp;($A672+23/24),tData[SEHTrajectPeriodeDatumTijdTotEnMet],"&gt;"&amp;($A672+23/24),tData[Langligger01],1)</f>
        <v/>
      </c>
    </row>
    <row r="673">
      <c r="A673" s="19" t="n">
        <v>45961</v>
      </c>
      <c r="B673" s="15">
        <f>WEEKDAY($A673,2)</f>
        <v/>
      </c>
      <c r="C673" s="15">
        <f>IF(AND($A673&gt;=INT(Instellingen!$B$5),$A673&lt;=INT(Instellingen!$B$6)),1,0)</f>
        <v/>
      </c>
      <c r="D673" s="20">
        <f>COUNTIFS(tData[SEHTrajectPeriodeDatumTijdVan],"&lt;="&amp;($A673+0/24),tData[SEHTrajectPeriodeDatumTijdTotEnMet],"&gt;"&amp;($A673+0/24),tData[Langligger01],1)</f>
        <v/>
      </c>
      <c r="E673" s="20">
        <f>COUNTIFS(tData[SEHTrajectPeriodeDatumTijdVan],"&lt;="&amp;($A673+1/24),tData[SEHTrajectPeriodeDatumTijdTotEnMet],"&gt;"&amp;($A673+1/24),tData[Langligger01],1)</f>
        <v/>
      </c>
      <c r="F673" s="20">
        <f>COUNTIFS(tData[SEHTrajectPeriodeDatumTijdVan],"&lt;="&amp;($A673+2/24),tData[SEHTrajectPeriodeDatumTijdTotEnMet],"&gt;"&amp;($A673+2/24),tData[Langligger01],1)</f>
        <v/>
      </c>
      <c r="G673" s="20">
        <f>COUNTIFS(tData[SEHTrajectPeriodeDatumTijdVan],"&lt;="&amp;($A673+3/24),tData[SEHTrajectPeriodeDatumTijdTotEnMet],"&gt;"&amp;($A673+3/24),tData[Langligger01],1)</f>
        <v/>
      </c>
      <c r="H673" s="20">
        <f>COUNTIFS(tData[SEHTrajectPeriodeDatumTijdVan],"&lt;="&amp;($A673+4/24),tData[SEHTrajectPeriodeDatumTijdTotEnMet],"&gt;"&amp;($A673+4/24),tData[Langligger01],1)</f>
        <v/>
      </c>
      <c r="I673" s="20">
        <f>COUNTIFS(tData[SEHTrajectPeriodeDatumTijdVan],"&lt;="&amp;($A673+5/24),tData[SEHTrajectPeriodeDatumTijdTotEnMet],"&gt;"&amp;($A673+5/24),tData[Langligger01],1)</f>
        <v/>
      </c>
      <c r="J673" s="20">
        <f>COUNTIFS(tData[SEHTrajectPeriodeDatumTijdVan],"&lt;="&amp;($A673+6/24),tData[SEHTrajectPeriodeDatumTijdTotEnMet],"&gt;"&amp;($A673+6/24),tData[Langligger01],1)</f>
        <v/>
      </c>
      <c r="K673" s="20">
        <f>COUNTIFS(tData[SEHTrajectPeriodeDatumTijdVan],"&lt;="&amp;($A673+7/24),tData[SEHTrajectPeriodeDatumTijdTotEnMet],"&gt;"&amp;($A673+7/24),tData[Langligger01],1)</f>
        <v/>
      </c>
      <c r="L673" s="20">
        <f>COUNTIFS(tData[SEHTrajectPeriodeDatumTijdVan],"&lt;="&amp;($A673+8/24),tData[SEHTrajectPeriodeDatumTijdTotEnMet],"&gt;"&amp;($A673+8/24),tData[Langligger01],1)</f>
        <v/>
      </c>
      <c r="M673" s="20">
        <f>COUNTIFS(tData[SEHTrajectPeriodeDatumTijdVan],"&lt;="&amp;($A673+9/24),tData[SEHTrajectPeriodeDatumTijdTotEnMet],"&gt;"&amp;($A673+9/24),tData[Langligger01],1)</f>
        <v/>
      </c>
      <c r="N673" s="20">
        <f>COUNTIFS(tData[SEHTrajectPeriodeDatumTijdVan],"&lt;="&amp;($A673+10/24),tData[SEHTrajectPeriodeDatumTijdTotEnMet],"&gt;"&amp;($A673+10/24),tData[Langligger01],1)</f>
        <v/>
      </c>
      <c r="O673" s="20">
        <f>COUNTIFS(tData[SEHTrajectPeriodeDatumTijdVan],"&lt;="&amp;($A673+11/24),tData[SEHTrajectPeriodeDatumTijdTotEnMet],"&gt;"&amp;($A673+11/24),tData[Langligger01],1)</f>
        <v/>
      </c>
      <c r="P673" s="20">
        <f>COUNTIFS(tData[SEHTrajectPeriodeDatumTijdVan],"&lt;="&amp;($A673+12/24),tData[SEHTrajectPeriodeDatumTijdTotEnMet],"&gt;"&amp;($A673+12/24),tData[Langligger01],1)</f>
        <v/>
      </c>
      <c r="Q673" s="20">
        <f>COUNTIFS(tData[SEHTrajectPeriodeDatumTijdVan],"&lt;="&amp;($A673+13/24),tData[SEHTrajectPeriodeDatumTijdTotEnMet],"&gt;"&amp;($A673+13/24),tData[Langligger01],1)</f>
        <v/>
      </c>
      <c r="R673" s="20">
        <f>COUNTIFS(tData[SEHTrajectPeriodeDatumTijdVan],"&lt;="&amp;($A673+14/24),tData[SEHTrajectPeriodeDatumTijdTotEnMet],"&gt;"&amp;($A673+14/24),tData[Langligger01],1)</f>
        <v/>
      </c>
      <c r="S673" s="20">
        <f>COUNTIFS(tData[SEHTrajectPeriodeDatumTijdVan],"&lt;="&amp;($A673+15/24),tData[SEHTrajectPeriodeDatumTijdTotEnMet],"&gt;"&amp;($A673+15/24),tData[Langligger01],1)</f>
        <v/>
      </c>
      <c r="T673" s="20">
        <f>COUNTIFS(tData[SEHTrajectPeriodeDatumTijdVan],"&lt;="&amp;($A673+16/24),tData[SEHTrajectPeriodeDatumTijdTotEnMet],"&gt;"&amp;($A673+16/24),tData[Langligger01],1)</f>
        <v/>
      </c>
      <c r="U673" s="20">
        <f>COUNTIFS(tData[SEHTrajectPeriodeDatumTijdVan],"&lt;="&amp;($A673+17/24),tData[SEHTrajectPeriodeDatumTijdTotEnMet],"&gt;"&amp;($A673+17/24),tData[Langligger01],1)</f>
        <v/>
      </c>
      <c r="V673" s="20">
        <f>COUNTIFS(tData[SEHTrajectPeriodeDatumTijdVan],"&lt;="&amp;($A673+18/24),tData[SEHTrajectPeriodeDatumTijdTotEnMet],"&gt;"&amp;($A673+18/24),tData[Langligger01],1)</f>
        <v/>
      </c>
      <c r="W673" s="20">
        <f>COUNTIFS(tData[SEHTrajectPeriodeDatumTijdVan],"&lt;="&amp;($A673+19/24),tData[SEHTrajectPeriodeDatumTijdTotEnMet],"&gt;"&amp;($A673+19/24),tData[Langligger01],1)</f>
        <v/>
      </c>
      <c r="X673" s="20">
        <f>COUNTIFS(tData[SEHTrajectPeriodeDatumTijdVan],"&lt;="&amp;($A673+20/24),tData[SEHTrajectPeriodeDatumTijdTotEnMet],"&gt;"&amp;($A673+20/24),tData[Langligger01],1)</f>
        <v/>
      </c>
      <c r="Y673" s="20">
        <f>COUNTIFS(tData[SEHTrajectPeriodeDatumTijdVan],"&lt;="&amp;($A673+21/24),tData[SEHTrajectPeriodeDatumTijdTotEnMet],"&gt;"&amp;($A673+21/24),tData[Langligger01],1)</f>
        <v/>
      </c>
      <c r="Z673" s="20">
        <f>COUNTIFS(tData[SEHTrajectPeriodeDatumTijdVan],"&lt;="&amp;($A673+22/24),tData[SEHTrajectPeriodeDatumTijdTotEnMet],"&gt;"&amp;($A673+22/24),tData[Langligger01],1)</f>
        <v/>
      </c>
      <c r="AA673" s="20">
        <f>COUNTIFS(tData[SEHTrajectPeriodeDatumTijdVan],"&lt;="&amp;($A673+23/24),tData[SEHTrajectPeriodeDatumTijdTotEnMet],"&gt;"&amp;($A673+23/24),tData[Langligger01],1)</f>
        <v/>
      </c>
    </row>
    <row r="674">
      <c r="A674" s="19" t="n">
        <v>45962</v>
      </c>
      <c r="B674" s="15">
        <f>WEEKDAY($A674,2)</f>
        <v/>
      </c>
      <c r="C674" s="15">
        <f>IF(AND($A674&gt;=INT(Instellingen!$B$5),$A674&lt;=INT(Instellingen!$B$6)),1,0)</f>
        <v/>
      </c>
      <c r="D674" s="20">
        <f>COUNTIFS(tData[SEHTrajectPeriodeDatumTijdVan],"&lt;="&amp;($A674+0/24),tData[SEHTrajectPeriodeDatumTijdTotEnMet],"&gt;"&amp;($A674+0/24),tData[Langligger01],1)</f>
        <v/>
      </c>
      <c r="E674" s="20">
        <f>COUNTIFS(tData[SEHTrajectPeriodeDatumTijdVan],"&lt;="&amp;($A674+1/24),tData[SEHTrajectPeriodeDatumTijdTotEnMet],"&gt;"&amp;($A674+1/24),tData[Langligger01],1)</f>
        <v/>
      </c>
      <c r="F674" s="20">
        <f>COUNTIFS(tData[SEHTrajectPeriodeDatumTijdVan],"&lt;="&amp;($A674+2/24),tData[SEHTrajectPeriodeDatumTijdTotEnMet],"&gt;"&amp;($A674+2/24),tData[Langligger01],1)</f>
        <v/>
      </c>
      <c r="G674" s="20">
        <f>COUNTIFS(tData[SEHTrajectPeriodeDatumTijdVan],"&lt;="&amp;($A674+3/24),tData[SEHTrajectPeriodeDatumTijdTotEnMet],"&gt;"&amp;($A674+3/24),tData[Langligger01],1)</f>
        <v/>
      </c>
      <c r="H674" s="20">
        <f>COUNTIFS(tData[SEHTrajectPeriodeDatumTijdVan],"&lt;="&amp;($A674+4/24),tData[SEHTrajectPeriodeDatumTijdTotEnMet],"&gt;"&amp;($A674+4/24),tData[Langligger01],1)</f>
        <v/>
      </c>
      <c r="I674" s="20">
        <f>COUNTIFS(tData[SEHTrajectPeriodeDatumTijdVan],"&lt;="&amp;($A674+5/24),tData[SEHTrajectPeriodeDatumTijdTotEnMet],"&gt;"&amp;($A674+5/24),tData[Langligger01],1)</f>
        <v/>
      </c>
      <c r="J674" s="20">
        <f>COUNTIFS(tData[SEHTrajectPeriodeDatumTijdVan],"&lt;="&amp;($A674+6/24),tData[SEHTrajectPeriodeDatumTijdTotEnMet],"&gt;"&amp;($A674+6/24),tData[Langligger01],1)</f>
        <v/>
      </c>
      <c r="K674" s="20">
        <f>COUNTIFS(tData[SEHTrajectPeriodeDatumTijdVan],"&lt;="&amp;($A674+7/24),tData[SEHTrajectPeriodeDatumTijdTotEnMet],"&gt;"&amp;($A674+7/24),tData[Langligger01],1)</f>
        <v/>
      </c>
      <c r="L674" s="20">
        <f>COUNTIFS(tData[SEHTrajectPeriodeDatumTijdVan],"&lt;="&amp;($A674+8/24),tData[SEHTrajectPeriodeDatumTijdTotEnMet],"&gt;"&amp;($A674+8/24),tData[Langligger01],1)</f>
        <v/>
      </c>
      <c r="M674" s="20">
        <f>COUNTIFS(tData[SEHTrajectPeriodeDatumTijdVan],"&lt;="&amp;($A674+9/24),tData[SEHTrajectPeriodeDatumTijdTotEnMet],"&gt;"&amp;($A674+9/24),tData[Langligger01],1)</f>
        <v/>
      </c>
      <c r="N674" s="20">
        <f>COUNTIFS(tData[SEHTrajectPeriodeDatumTijdVan],"&lt;="&amp;($A674+10/24),tData[SEHTrajectPeriodeDatumTijdTotEnMet],"&gt;"&amp;($A674+10/24),tData[Langligger01],1)</f>
        <v/>
      </c>
      <c r="O674" s="20">
        <f>COUNTIFS(tData[SEHTrajectPeriodeDatumTijdVan],"&lt;="&amp;($A674+11/24),tData[SEHTrajectPeriodeDatumTijdTotEnMet],"&gt;"&amp;($A674+11/24),tData[Langligger01],1)</f>
        <v/>
      </c>
      <c r="P674" s="20">
        <f>COUNTIFS(tData[SEHTrajectPeriodeDatumTijdVan],"&lt;="&amp;($A674+12/24),tData[SEHTrajectPeriodeDatumTijdTotEnMet],"&gt;"&amp;($A674+12/24),tData[Langligger01],1)</f>
        <v/>
      </c>
      <c r="Q674" s="20">
        <f>COUNTIFS(tData[SEHTrajectPeriodeDatumTijdVan],"&lt;="&amp;($A674+13/24),tData[SEHTrajectPeriodeDatumTijdTotEnMet],"&gt;"&amp;($A674+13/24),tData[Langligger01],1)</f>
        <v/>
      </c>
      <c r="R674" s="20">
        <f>COUNTIFS(tData[SEHTrajectPeriodeDatumTijdVan],"&lt;="&amp;($A674+14/24),tData[SEHTrajectPeriodeDatumTijdTotEnMet],"&gt;"&amp;($A674+14/24),tData[Langligger01],1)</f>
        <v/>
      </c>
      <c r="S674" s="20">
        <f>COUNTIFS(tData[SEHTrajectPeriodeDatumTijdVan],"&lt;="&amp;($A674+15/24),tData[SEHTrajectPeriodeDatumTijdTotEnMet],"&gt;"&amp;($A674+15/24),tData[Langligger01],1)</f>
        <v/>
      </c>
      <c r="T674" s="20">
        <f>COUNTIFS(tData[SEHTrajectPeriodeDatumTijdVan],"&lt;="&amp;($A674+16/24),tData[SEHTrajectPeriodeDatumTijdTotEnMet],"&gt;"&amp;($A674+16/24),tData[Langligger01],1)</f>
        <v/>
      </c>
      <c r="U674" s="20">
        <f>COUNTIFS(tData[SEHTrajectPeriodeDatumTijdVan],"&lt;="&amp;($A674+17/24),tData[SEHTrajectPeriodeDatumTijdTotEnMet],"&gt;"&amp;($A674+17/24),tData[Langligger01],1)</f>
        <v/>
      </c>
      <c r="V674" s="20">
        <f>COUNTIFS(tData[SEHTrajectPeriodeDatumTijdVan],"&lt;="&amp;($A674+18/24),tData[SEHTrajectPeriodeDatumTijdTotEnMet],"&gt;"&amp;($A674+18/24),tData[Langligger01],1)</f>
        <v/>
      </c>
      <c r="W674" s="20">
        <f>COUNTIFS(tData[SEHTrajectPeriodeDatumTijdVan],"&lt;="&amp;($A674+19/24),tData[SEHTrajectPeriodeDatumTijdTotEnMet],"&gt;"&amp;($A674+19/24),tData[Langligger01],1)</f>
        <v/>
      </c>
      <c r="X674" s="20">
        <f>COUNTIFS(tData[SEHTrajectPeriodeDatumTijdVan],"&lt;="&amp;($A674+20/24),tData[SEHTrajectPeriodeDatumTijdTotEnMet],"&gt;"&amp;($A674+20/24),tData[Langligger01],1)</f>
        <v/>
      </c>
      <c r="Y674" s="20">
        <f>COUNTIFS(tData[SEHTrajectPeriodeDatumTijdVan],"&lt;="&amp;($A674+21/24),tData[SEHTrajectPeriodeDatumTijdTotEnMet],"&gt;"&amp;($A674+21/24),tData[Langligger01],1)</f>
        <v/>
      </c>
      <c r="Z674" s="20">
        <f>COUNTIFS(tData[SEHTrajectPeriodeDatumTijdVan],"&lt;="&amp;($A674+22/24),tData[SEHTrajectPeriodeDatumTijdTotEnMet],"&gt;"&amp;($A674+22/24),tData[Langligger01],1)</f>
        <v/>
      </c>
      <c r="AA674" s="20">
        <f>COUNTIFS(tData[SEHTrajectPeriodeDatumTijdVan],"&lt;="&amp;($A674+23/24),tData[SEHTrajectPeriodeDatumTijdTotEnMet],"&gt;"&amp;($A674+23/24),tData[Langligger01],1)</f>
        <v/>
      </c>
    </row>
    <row r="675">
      <c r="A675" s="19" t="n">
        <v>45963</v>
      </c>
      <c r="B675" s="15">
        <f>WEEKDAY($A675,2)</f>
        <v/>
      </c>
      <c r="C675" s="15">
        <f>IF(AND($A675&gt;=INT(Instellingen!$B$5),$A675&lt;=INT(Instellingen!$B$6)),1,0)</f>
        <v/>
      </c>
      <c r="D675" s="20">
        <f>COUNTIFS(tData[SEHTrajectPeriodeDatumTijdVan],"&lt;="&amp;($A675+0/24),tData[SEHTrajectPeriodeDatumTijdTotEnMet],"&gt;"&amp;($A675+0/24),tData[Langligger01],1)</f>
        <v/>
      </c>
      <c r="E675" s="20">
        <f>COUNTIFS(tData[SEHTrajectPeriodeDatumTijdVan],"&lt;="&amp;($A675+1/24),tData[SEHTrajectPeriodeDatumTijdTotEnMet],"&gt;"&amp;($A675+1/24),tData[Langligger01],1)</f>
        <v/>
      </c>
      <c r="F675" s="20">
        <f>COUNTIFS(tData[SEHTrajectPeriodeDatumTijdVan],"&lt;="&amp;($A675+2/24),tData[SEHTrajectPeriodeDatumTijdTotEnMet],"&gt;"&amp;($A675+2/24),tData[Langligger01],1)</f>
        <v/>
      </c>
      <c r="G675" s="20">
        <f>COUNTIFS(tData[SEHTrajectPeriodeDatumTijdVan],"&lt;="&amp;($A675+3/24),tData[SEHTrajectPeriodeDatumTijdTotEnMet],"&gt;"&amp;($A675+3/24),tData[Langligger01],1)</f>
        <v/>
      </c>
      <c r="H675" s="20">
        <f>COUNTIFS(tData[SEHTrajectPeriodeDatumTijdVan],"&lt;="&amp;($A675+4/24),tData[SEHTrajectPeriodeDatumTijdTotEnMet],"&gt;"&amp;($A675+4/24),tData[Langligger01],1)</f>
        <v/>
      </c>
      <c r="I675" s="20">
        <f>COUNTIFS(tData[SEHTrajectPeriodeDatumTijdVan],"&lt;="&amp;($A675+5/24),tData[SEHTrajectPeriodeDatumTijdTotEnMet],"&gt;"&amp;($A675+5/24),tData[Langligger01],1)</f>
        <v/>
      </c>
      <c r="J675" s="20">
        <f>COUNTIFS(tData[SEHTrajectPeriodeDatumTijdVan],"&lt;="&amp;($A675+6/24),tData[SEHTrajectPeriodeDatumTijdTotEnMet],"&gt;"&amp;($A675+6/24),tData[Langligger01],1)</f>
        <v/>
      </c>
      <c r="K675" s="20">
        <f>COUNTIFS(tData[SEHTrajectPeriodeDatumTijdVan],"&lt;="&amp;($A675+7/24),tData[SEHTrajectPeriodeDatumTijdTotEnMet],"&gt;"&amp;($A675+7/24),tData[Langligger01],1)</f>
        <v/>
      </c>
      <c r="L675" s="20">
        <f>COUNTIFS(tData[SEHTrajectPeriodeDatumTijdVan],"&lt;="&amp;($A675+8/24),tData[SEHTrajectPeriodeDatumTijdTotEnMet],"&gt;"&amp;($A675+8/24),tData[Langligger01],1)</f>
        <v/>
      </c>
      <c r="M675" s="20">
        <f>COUNTIFS(tData[SEHTrajectPeriodeDatumTijdVan],"&lt;="&amp;($A675+9/24),tData[SEHTrajectPeriodeDatumTijdTotEnMet],"&gt;"&amp;($A675+9/24),tData[Langligger01],1)</f>
        <v/>
      </c>
      <c r="N675" s="20">
        <f>COUNTIFS(tData[SEHTrajectPeriodeDatumTijdVan],"&lt;="&amp;($A675+10/24),tData[SEHTrajectPeriodeDatumTijdTotEnMet],"&gt;"&amp;($A675+10/24),tData[Langligger01],1)</f>
        <v/>
      </c>
      <c r="O675" s="20">
        <f>COUNTIFS(tData[SEHTrajectPeriodeDatumTijdVan],"&lt;="&amp;($A675+11/24),tData[SEHTrajectPeriodeDatumTijdTotEnMet],"&gt;"&amp;($A675+11/24),tData[Langligger01],1)</f>
        <v/>
      </c>
      <c r="P675" s="20">
        <f>COUNTIFS(tData[SEHTrajectPeriodeDatumTijdVan],"&lt;="&amp;($A675+12/24),tData[SEHTrajectPeriodeDatumTijdTotEnMet],"&gt;"&amp;($A675+12/24),tData[Langligger01],1)</f>
        <v/>
      </c>
      <c r="Q675" s="20">
        <f>COUNTIFS(tData[SEHTrajectPeriodeDatumTijdVan],"&lt;="&amp;($A675+13/24),tData[SEHTrajectPeriodeDatumTijdTotEnMet],"&gt;"&amp;($A675+13/24),tData[Langligger01],1)</f>
        <v/>
      </c>
      <c r="R675" s="20">
        <f>COUNTIFS(tData[SEHTrajectPeriodeDatumTijdVan],"&lt;="&amp;($A675+14/24),tData[SEHTrajectPeriodeDatumTijdTotEnMet],"&gt;"&amp;($A675+14/24),tData[Langligger01],1)</f>
        <v/>
      </c>
      <c r="S675" s="20">
        <f>COUNTIFS(tData[SEHTrajectPeriodeDatumTijdVan],"&lt;="&amp;($A675+15/24),tData[SEHTrajectPeriodeDatumTijdTotEnMet],"&gt;"&amp;($A675+15/24),tData[Langligger01],1)</f>
        <v/>
      </c>
      <c r="T675" s="20">
        <f>COUNTIFS(tData[SEHTrajectPeriodeDatumTijdVan],"&lt;="&amp;($A675+16/24),tData[SEHTrajectPeriodeDatumTijdTotEnMet],"&gt;"&amp;($A675+16/24),tData[Langligger01],1)</f>
        <v/>
      </c>
      <c r="U675" s="20">
        <f>COUNTIFS(tData[SEHTrajectPeriodeDatumTijdVan],"&lt;="&amp;($A675+17/24),tData[SEHTrajectPeriodeDatumTijdTotEnMet],"&gt;"&amp;($A675+17/24),tData[Langligger01],1)</f>
        <v/>
      </c>
      <c r="V675" s="20">
        <f>COUNTIFS(tData[SEHTrajectPeriodeDatumTijdVan],"&lt;="&amp;($A675+18/24),tData[SEHTrajectPeriodeDatumTijdTotEnMet],"&gt;"&amp;($A675+18/24),tData[Langligger01],1)</f>
        <v/>
      </c>
      <c r="W675" s="20">
        <f>COUNTIFS(tData[SEHTrajectPeriodeDatumTijdVan],"&lt;="&amp;($A675+19/24),tData[SEHTrajectPeriodeDatumTijdTotEnMet],"&gt;"&amp;($A675+19/24),tData[Langligger01],1)</f>
        <v/>
      </c>
      <c r="X675" s="20">
        <f>COUNTIFS(tData[SEHTrajectPeriodeDatumTijdVan],"&lt;="&amp;($A675+20/24),tData[SEHTrajectPeriodeDatumTijdTotEnMet],"&gt;"&amp;($A675+20/24),tData[Langligger01],1)</f>
        <v/>
      </c>
      <c r="Y675" s="20">
        <f>COUNTIFS(tData[SEHTrajectPeriodeDatumTijdVan],"&lt;="&amp;($A675+21/24),tData[SEHTrajectPeriodeDatumTijdTotEnMet],"&gt;"&amp;($A675+21/24),tData[Langligger01],1)</f>
        <v/>
      </c>
      <c r="Z675" s="20">
        <f>COUNTIFS(tData[SEHTrajectPeriodeDatumTijdVan],"&lt;="&amp;($A675+22/24),tData[SEHTrajectPeriodeDatumTijdTotEnMet],"&gt;"&amp;($A675+22/24),tData[Langligger01],1)</f>
        <v/>
      </c>
      <c r="AA675" s="20">
        <f>COUNTIFS(tData[SEHTrajectPeriodeDatumTijdVan],"&lt;="&amp;($A675+23/24),tData[SEHTrajectPeriodeDatumTijdTotEnMet],"&gt;"&amp;($A675+23/24),tData[Langligger01],1)</f>
        <v/>
      </c>
    </row>
    <row r="676">
      <c r="A676" s="19" t="n">
        <v>45964</v>
      </c>
      <c r="B676" s="15">
        <f>WEEKDAY($A676,2)</f>
        <v/>
      </c>
      <c r="C676" s="15">
        <f>IF(AND($A676&gt;=INT(Instellingen!$B$5),$A676&lt;=INT(Instellingen!$B$6)),1,0)</f>
        <v/>
      </c>
      <c r="D676" s="20">
        <f>COUNTIFS(tData[SEHTrajectPeriodeDatumTijdVan],"&lt;="&amp;($A676+0/24),tData[SEHTrajectPeriodeDatumTijdTotEnMet],"&gt;"&amp;($A676+0/24),tData[Langligger01],1)</f>
        <v/>
      </c>
      <c r="E676" s="20">
        <f>COUNTIFS(tData[SEHTrajectPeriodeDatumTijdVan],"&lt;="&amp;($A676+1/24),tData[SEHTrajectPeriodeDatumTijdTotEnMet],"&gt;"&amp;($A676+1/24),tData[Langligger01],1)</f>
        <v/>
      </c>
      <c r="F676" s="20">
        <f>COUNTIFS(tData[SEHTrajectPeriodeDatumTijdVan],"&lt;="&amp;($A676+2/24),tData[SEHTrajectPeriodeDatumTijdTotEnMet],"&gt;"&amp;($A676+2/24),tData[Langligger01],1)</f>
        <v/>
      </c>
      <c r="G676" s="20">
        <f>COUNTIFS(tData[SEHTrajectPeriodeDatumTijdVan],"&lt;="&amp;($A676+3/24),tData[SEHTrajectPeriodeDatumTijdTotEnMet],"&gt;"&amp;($A676+3/24),tData[Langligger01],1)</f>
        <v/>
      </c>
      <c r="H676" s="20">
        <f>COUNTIFS(tData[SEHTrajectPeriodeDatumTijdVan],"&lt;="&amp;($A676+4/24),tData[SEHTrajectPeriodeDatumTijdTotEnMet],"&gt;"&amp;($A676+4/24),tData[Langligger01],1)</f>
        <v/>
      </c>
      <c r="I676" s="20">
        <f>COUNTIFS(tData[SEHTrajectPeriodeDatumTijdVan],"&lt;="&amp;($A676+5/24),tData[SEHTrajectPeriodeDatumTijdTotEnMet],"&gt;"&amp;($A676+5/24),tData[Langligger01],1)</f>
        <v/>
      </c>
      <c r="J676" s="20">
        <f>COUNTIFS(tData[SEHTrajectPeriodeDatumTijdVan],"&lt;="&amp;($A676+6/24),tData[SEHTrajectPeriodeDatumTijdTotEnMet],"&gt;"&amp;($A676+6/24),tData[Langligger01],1)</f>
        <v/>
      </c>
      <c r="K676" s="20">
        <f>COUNTIFS(tData[SEHTrajectPeriodeDatumTijdVan],"&lt;="&amp;($A676+7/24),tData[SEHTrajectPeriodeDatumTijdTotEnMet],"&gt;"&amp;($A676+7/24),tData[Langligger01],1)</f>
        <v/>
      </c>
      <c r="L676" s="20">
        <f>COUNTIFS(tData[SEHTrajectPeriodeDatumTijdVan],"&lt;="&amp;($A676+8/24),tData[SEHTrajectPeriodeDatumTijdTotEnMet],"&gt;"&amp;($A676+8/24),tData[Langligger01],1)</f>
        <v/>
      </c>
      <c r="M676" s="20">
        <f>COUNTIFS(tData[SEHTrajectPeriodeDatumTijdVan],"&lt;="&amp;($A676+9/24),tData[SEHTrajectPeriodeDatumTijdTotEnMet],"&gt;"&amp;($A676+9/24),tData[Langligger01],1)</f>
        <v/>
      </c>
      <c r="N676" s="20">
        <f>COUNTIFS(tData[SEHTrajectPeriodeDatumTijdVan],"&lt;="&amp;($A676+10/24),tData[SEHTrajectPeriodeDatumTijdTotEnMet],"&gt;"&amp;($A676+10/24),tData[Langligger01],1)</f>
        <v/>
      </c>
      <c r="O676" s="20">
        <f>COUNTIFS(tData[SEHTrajectPeriodeDatumTijdVan],"&lt;="&amp;($A676+11/24),tData[SEHTrajectPeriodeDatumTijdTotEnMet],"&gt;"&amp;($A676+11/24),tData[Langligger01],1)</f>
        <v/>
      </c>
      <c r="P676" s="20">
        <f>COUNTIFS(tData[SEHTrajectPeriodeDatumTijdVan],"&lt;="&amp;($A676+12/24),tData[SEHTrajectPeriodeDatumTijdTotEnMet],"&gt;"&amp;($A676+12/24),tData[Langligger01],1)</f>
        <v/>
      </c>
      <c r="Q676" s="20">
        <f>COUNTIFS(tData[SEHTrajectPeriodeDatumTijdVan],"&lt;="&amp;($A676+13/24),tData[SEHTrajectPeriodeDatumTijdTotEnMet],"&gt;"&amp;($A676+13/24),tData[Langligger01],1)</f>
        <v/>
      </c>
      <c r="R676" s="20">
        <f>COUNTIFS(tData[SEHTrajectPeriodeDatumTijdVan],"&lt;="&amp;($A676+14/24),tData[SEHTrajectPeriodeDatumTijdTotEnMet],"&gt;"&amp;($A676+14/24),tData[Langligger01],1)</f>
        <v/>
      </c>
      <c r="S676" s="20">
        <f>COUNTIFS(tData[SEHTrajectPeriodeDatumTijdVan],"&lt;="&amp;($A676+15/24),tData[SEHTrajectPeriodeDatumTijdTotEnMet],"&gt;"&amp;($A676+15/24),tData[Langligger01],1)</f>
        <v/>
      </c>
      <c r="T676" s="20">
        <f>COUNTIFS(tData[SEHTrajectPeriodeDatumTijdVan],"&lt;="&amp;($A676+16/24),tData[SEHTrajectPeriodeDatumTijdTotEnMet],"&gt;"&amp;($A676+16/24),tData[Langligger01],1)</f>
        <v/>
      </c>
      <c r="U676" s="20">
        <f>COUNTIFS(tData[SEHTrajectPeriodeDatumTijdVan],"&lt;="&amp;($A676+17/24),tData[SEHTrajectPeriodeDatumTijdTotEnMet],"&gt;"&amp;($A676+17/24),tData[Langligger01],1)</f>
        <v/>
      </c>
      <c r="V676" s="20">
        <f>COUNTIFS(tData[SEHTrajectPeriodeDatumTijdVan],"&lt;="&amp;($A676+18/24),tData[SEHTrajectPeriodeDatumTijdTotEnMet],"&gt;"&amp;($A676+18/24),tData[Langligger01],1)</f>
        <v/>
      </c>
      <c r="W676" s="20">
        <f>COUNTIFS(tData[SEHTrajectPeriodeDatumTijdVan],"&lt;="&amp;($A676+19/24),tData[SEHTrajectPeriodeDatumTijdTotEnMet],"&gt;"&amp;($A676+19/24),tData[Langligger01],1)</f>
        <v/>
      </c>
      <c r="X676" s="20">
        <f>COUNTIFS(tData[SEHTrajectPeriodeDatumTijdVan],"&lt;="&amp;($A676+20/24),tData[SEHTrajectPeriodeDatumTijdTotEnMet],"&gt;"&amp;($A676+20/24),tData[Langligger01],1)</f>
        <v/>
      </c>
      <c r="Y676" s="20">
        <f>COUNTIFS(tData[SEHTrajectPeriodeDatumTijdVan],"&lt;="&amp;($A676+21/24),tData[SEHTrajectPeriodeDatumTijdTotEnMet],"&gt;"&amp;($A676+21/24),tData[Langligger01],1)</f>
        <v/>
      </c>
      <c r="Z676" s="20">
        <f>COUNTIFS(tData[SEHTrajectPeriodeDatumTijdVan],"&lt;="&amp;($A676+22/24),tData[SEHTrajectPeriodeDatumTijdTotEnMet],"&gt;"&amp;($A676+22/24),tData[Langligger01],1)</f>
        <v/>
      </c>
      <c r="AA676" s="20">
        <f>COUNTIFS(tData[SEHTrajectPeriodeDatumTijdVan],"&lt;="&amp;($A676+23/24),tData[SEHTrajectPeriodeDatumTijdTotEnMet],"&gt;"&amp;($A676+23/24),tData[Langligger01],1)</f>
        <v/>
      </c>
    </row>
    <row r="677">
      <c r="A677" s="19" t="n">
        <v>45965</v>
      </c>
      <c r="B677" s="15">
        <f>WEEKDAY($A677,2)</f>
        <v/>
      </c>
      <c r="C677" s="15">
        <f>IF(AND($A677&gt;=INT(Instellingen!$B$5),$A677&lt;=INT(Instellingen!$B$6)),1,0)</f>
        <v/>
      </c>
      <c r="D677" s="20">
        <f>COUNTIFS(tData[SEHTrajectPeriodeDatumTijdVan],"&lt;="&amp;($A677+0/24),tData[SEHTrajectPeriodeDatumTijdTotEnMet],"&gt;"&amp;($A677+0/24),tData[Langligger01],1)</f>
        <v/>
      </c>
      <c r="E677" s="20">
        <f>COUNTIFS(tData[SEHTrajectPeriodeDatumTijdVan],"&lt;="&amp;($A677+1/24),tData[SEHTrajectPeriodeDatumTijdTotEnMet],"&gt;"&amp;($A677+1/24),tData[Langligger01],1)</f>
        <v/>
      </c>
      <c r="F677" s="20">
        <f>COUNTIFS(tData[SEHTrajectPeriodeDatumTijdVan],"&lt;="&amp;($A677+2/24),tData[SEHTrajectPeriodeDatumTijdTotEnMet],"&gt;"&amp;($A677+2/24),tData[Langligger01],1)</f>
        <v/>
      </c>
      <c r="G677" s="20">
        <f>COUNTIFS(tData[SEHTrajectPeriodeDatumTijdVan],"&lt;="&amp;($A677+3/24),tData[SEHTrajectPeriodeDatumTijdTotEnMet],"&gt;"&amp;($A677+3/24),tData[Langligger01],1)</f>
        <v/>
      </c>
      <c r="H677" s="20">
        <f>COUNTIFS(tData[SEHTrajectPeriodeDatumTijdVan],"&lt;="&amp;($A677+4/24),tData[SEHTrajectPeriodeDatumTijdTotEnMet],"&gt;"&amp;($A677+4/24),tData[Langligger01],1)</f>
        <v/>
      </c>
      <c r="I677" s="20">
        <f>COUNTIFS(tData[SEHTrajectPeriodeDatumTijdVan],"&lt;="&amp;($A677+5/24),tData[SEHTrajectPeriodeDatumTijdTotEnMet],"&gt;"&amp;($A677+5/24),tData[Langligger01],1)</f>
        <v/>
      </c>
      <c r="J677" s="20">
        <f>COUNTIFS(tData[SEHTrajectPeriodeDatumTijdVan],"&lt;="&amp;($A677+6/24),tData[SEHTrajectPeriodeDatumTijdTotEnMet],"&gt;"&amp;($A677+6/24),tData[Langligger01],1)</f>
        <v/>
      </c>
      <c r="K677" s="20">
        <f>COUNTIFS(tData[SEHTrajectPeriodeDatumTijdVan],"&lt;="&amp;($A677+7/24),tData[SEHTrajectPeriodeDatumTijdTotEnMet],"&gt;"&amp;($A677+7/24),tData[Langligger01],1)</f>
        <v/>
      </c>
      <c r="L677" s="20">
        <f>COUNTIFS(tData[SEHTrajectPeriodeDatumTijdVan],"&lt;="&amp;($A677+8/24),tData[SEHTrajectPeriodeDatumTijdTotEnMet],"&gt;"&amp;($A677+8/24),tData[Langligger01],1)</f>
        <v/>
      </c>
      <c r="M677" s="20">
        <f>COUNTIFS(tData[SEHTrajectPeriodeDatumTijdVan],"&lt;="&amp;($A677+9/24),tData[SEHTrajectPeriodeDatumTijdTotEnMet],"&gt;"&amp;($A677+9/24),tData[Langligger01],1)</f>
        <v/>
      </c>
      <c r="N677" s="20">
        <f>COUNTIFS(tData[SEHTrajectPeriodeDatumTijdVan],"&lt;="&amp;($A677+10/24),tData[SEHTrajectPeriodeDatumTijdTotEnMet],"&gt;"&amp;($A677+10/24),tData[Langligger01],1)</f>
        <v/>
      </c>
      <c r="O677" s="20">
        <f>COUNTIFS(tData[SEHTrajectPeriodeDatumTijdVan],"&lt;="&amp;($A677+11/24),tData[SEHTrajectPeriodeDatumTijdTotEnMet],"&gt;"&amp;($A677+11/24),tData[Langligger01],1)</f>
        <v/>
      </c>
      <c r="P677" s="20">
        <f>COUNTIFS(tData[SEHTrajectPeriodeDatumTijdVan],"&lt;="&amp;($A677+12/24),tData[SEHTrajectPeriodeDatumTijdTotEnMet],"&gt;"&amp;($A677+12/24),tData[Langligger01],1)</f>
        <v/>
      </c>
      <c r="Q677" s="20">
        <f>COUNTIFS(tData[SEHTrajectPeriodeDatumTijdVan],"&lt;="&amp;($A677+13/24),tData[SEHTrajectPeriodeDatumTijdTotEnMet],"&gt;"&amp;($A677+13/24),tData[Langligger01],1)</f>
        <v/>
      </c>
      <c r="R677" s="20">
        <f>COUNTIFS(tData[SEHTrajectPeriodeDatumTijdVan],"&lt;="&amp;($A677+14/24),tData[SEHTrajectPeriodeDatumTijdTotEnMet],"&gt;"&amp;($A677+14/24),tData[Langligger01],1)</f>
        <v/>
      </c>
      <c r="S677" s="20">
        <f>COUNTIFS(tData[SEHTrajectPeriodeDatumTijdVan],"&lt;="&amp;($A677+15/24),tData[SEHTrajectPeriodeDatumTijdTotEnMet],"&gt;"&amp;($A677+15/24),tData[Langligger01],1)</f>
        <v/>
      </c>
      <c r="T677" s="20">
        <f>COUNTIFS(tData[SEHTrajectPeriodeDatumTijdVan],"&lt;="&amp;($A677+16/24),tData[SEHTrajectPeriodeDatumTijdTotEnMet],"&gt;"&amp;($A677+16/24),tData[Langligger01],1)</f>
        <v/>
      </c>
      <c r="U677" s="20">
        <f>COUNTIFS(tData[SEHTrajectPeriodeDatumTijdVan],"&lt;="&amp;($A677+17/24),tData[SEHTrajectPeriodeDatumTijdTotEnMet],"&gt;"&amp;($A677+17/24),tData[Langligger01],1)</f>
        <v/>
      </c>
      <c r="V677" s="20">
        <f>COUNTIFS(tData[SEHTrajectPeriodeDatumTijdVan],"&lt;="&amp;($A677+18/24),tData[SEHTrajectPeriodeDatumTijdTotEnMet],"&gt;"&amp;($A677+18/24),tData[Langligger01],1)</f>
        <v/>
      </c>
      <c r="W677" s="20">
        <f>COUNTIFS(tData[SEHTrajectPeriodeDatumTijdVan],"&lt;="&amp;($A677+19/24),tData[SEHTrajectPeriodeDatumTijdTotEnMet],"&gt;"&amp;($A677+19/24),tData[Langligger01],1)</f>
        <v/>
      </c>
      <c r="X677" s="20">
        <f>COUNTIFS(tData[SEHTrajectPeriodeDatumTijdVan],"&lt;="&amp;($A677+20/24),tData[SEHTrajectPeriodeDatumTijdTotEnMet],"&gt;"&amp;($A677+20/24),tData[Langligger01],1)</f>
        <v/>
      </c>
      <c r="Y677" s="20">
        <f>COUNTIFS(tData[SEHTrajectPeriodeDatumTijdVan],"&lt;="&amp;($A677+21/24),tData[SEHTrajectPeriodeDatumTijdTotEnMet],"&gt;"&amp;($A677+21/24),tData[Langligger01],1)</f>
        <v/>
      </c>
      <c r="Z677" s="20">
        <f>COUNTIFS(tData[SEHTrajectPeriodeDatumTijdVan],"&lt;="&amp;($A677+22/24),tData[SEHTrajectPeriodeDatumTijdTotEnMet],"&gt;"&amp;($A677+22/24),tData[Langligger01],1)</f>
        <v/>
      </c>
      <c r="AA677" s="20">
        <f>COUNTIFS(tData[SEHTrajectPeriodeDatumTijdVan],"&lt;="&amp;($A677+23/24),tData[SEHTrajectPeriodeDatumTijdTotEnMet],"&gt;"&amp;($A677+23/24),tData[Langligger01],1)</f>
        <v/>
      </c>
    </row>
    <row r="678">
      <c r="A678" s="19" t="n">
        <v>45966</v>
      </c>
      <c r="B678" s="15">
        <f>WEEKDAY($A678,2)</f>
        <v/>
      </c>
      <c r="C678" s="15">
        <f>IF(AND($A678&gt;=INT(Instellingen!$B$5),$A678&lt;=INT(Instellingen!$B$6)),1,0)</f>
        <v/>
      </c>
      <c r="D678" s="20">
        <f>COUNTIFS(tData[SEHTrajectPeriodeDatumTijdVan],"&lt;="&amp;($A678+0/24),tData[SEHTrajectPeriodeDatumTijdTotEnMet],"&gt;"&amp;($A678+0/24),tData[Langligger01],1)</f>
        <v/>
      </c>
      <c r="E678" s="20">
        <f>COUNTIFS(tData[SEHTrajectPeriodeDatumTijdVan],"&lt;="&amp;($A678+1/24),tData[SEHTrajectPeriodeDatumTijdTotEnMet],"&gt;"&amp;($A678+1/24),tData[Langligger01],1)</f>
        <v/>
      </c>
      <c r="F678" s="20">
        <f>COUNTIFS(tData[SEHTrajectPeriodeDatumTijdVan],"&lt;="&amp;($A678+2/24),tData[SEHTrajectPeriodeDatumTijdTotEnMet],"&gt;"&amp;($A678+2/24),tData[Langligger01],1)</f>
        <v/>
      </c>
      <c r="G678" s="20">
        <f>COUNTIFS(tData[SEHTrajectPeriodeDatumTijdVan],"&lt;="&amp;($A678+3/24),tData[SEHTrajectPeriodeDatumTijdTotEnMet],"&gt;"&amp;($A678+3/24),tData[Langligger01],1)</f>
        <v/>
      </c>
      <c r="H678" s="20">
        <f>COUNTIFS(tData[SEHTrajectPeriodeDatumTijdVan],"&lt;="&amp;($A678+4/24),tData[SEHTrajectPeriodeDatumTijdTotEnMet],"&gt;"&amp;($A678+4/24),tData[Langligger01],1)</f>
        <v/>
      </c>
      <c r="I678" s="20">
        <f>COUNTIFS(tData[SEHTrajectPeriodeDatumTijdVan],"&lt;="&amp;($A678+5/24),tData[SEHTrajectPeriodeDatumTijdTotEnMet],"&gt;"&amp;($A678+5/24),tData[Langligger01],1)</f>
        <v/>
      </c>
      <c r="J678" s="20">
        <f>COUNTIFS(tData[SEHTrajectPeriodeDatumTijdVan],"&lt;="&amp;($A678+6/24),tData[SEHTrajectPeriodeDatumTijdTotEnMet],"&gt;"&amp;($A678+6/24),tData[Langligger01],1)</f>
        <v/>
      </c>
      <c r="K678" s="20">
        <f>COUNTIFS(tData[SEHTrajectPeriodeDatumTijdVan],"&lt;="&amp;($A678+7/24),tData[SEHTrajectPeriodeDatumTijdTotEnMet],"&gt;"&amp;($A678+7/24),tData[Langligger01],1)</f>
        <v/>
      </c>
      <c r="L678" s="20">
        <f>COUNTIFS(tData[SEHTrajectPeriodeDatumTijdVan],"&lt;="&amp;($A678+8/24),tData[SEHTrajectPeriodeDatumTijdTotEnMet],"&gt;"&amp;($A678+8/24),tData[Langligger01],1)</f>
        <v/>
      </c>
      <c r="M678" s="20">
        <f>COUNTIFS(tData[SEHTrajectPeriodeDatumTijdVan],"&lt;="&amp;($A678+9/24),tData[SEHTrajectPeriodeDatumTijdTotEnMet],"&gt;"&amp;($A678+9/24),tData[Langligger01],1)</f>
        <v/>
      </c>
      <c r="N678" s="20">
        <f>COUNTIFS(tData[SEHTrajectPeriodeDatumTijdVan],"&lt;="&amp;($A678+10/24),tData[SEHTrajectPeriodeDatumTijdTotEnMet],"&gt;"&amp;($A678+10/24),tData[Langligger01],1)</f>
        <v/>
      </c>
      <c r="O678" s="20">
        <f>COUNTIFS(tData[SEHTrajectPeriodeDatumTijdVan],"&lt;="&amp;($A678+11/24),tData[SEHTrajectPeriodeDatumTijdTotEnMet],"&gt;"&amp;($A678+11/24),tData[Langligger01],1)</f>
        <v/>
      </c>
      <c r="P678" s="20">
        <f>COUNTIFS(tData[SEHTrajectPeriodeDatumTijdVan],"&lt;="&amp;($A678+12/24),tData[SEHTrajectPeriodeDatumTijdTotEnMet],"&gt;"&amp;($A678+12/24),tData[Langligger01],1)</f>
        <v/>
      </c>
      <c r="Q678" s="20">
        <f>COUNTIFS(tData[SEHTrajectPeriodeDatumTijdVan],"&lt;="&amp;($A678+13/24),tData[SEHTrajectPeriodeDatumTijdTotEnMet],"&gt;"&amp;($A678+13/24),tData[Langligger01],1)</f>
        <v/>
      </c>
      <c r="R678" s="20">
        <f>COUNTIFS(tData[SEHTrajectPeriodeDatumTijdVan],"&lt;="&amp;($A678+14/24),tData[SEHTrajectPeriodeDatumTijdTotEnMet],"&gt;"&amp;($A678+14/24),tData[Langligger01],1)</f>
        <v/>
      </c>
      <c r="S678" s="20">
        <f>COUNTIFS(tData[SEHTrajectPeriodeDatumTijdVan],"&lt;="&amp;($A678+15/24),tData[SEHTrajectPeriodeDatumTijdTotEnMet],"&gt;"&amp;($A678+15/24),tData[Langligger01],1)</f>
        <v/>
      </c>
      <c r="T678" s="20">
        <f>COUNTIFS(tData[SEHTrajectPeriodeDatumTijdVan],"&lt;="&amp;($A678+16/24),tData[SEHTrajectPeriodeDatumTijdTotEnMet],"&gt;"&amp;($A678+16/24),tData[Langligger01],1)</f>
        <v/>
      </c>
      <c r="U678" s="20">
        <f>COUNTIFS(tData[SEHTrajectPeriodeDatumTijdVan],"&lt;="&amp;($A678+17/24),tData[SEHTrajectPeriodeDatumTijdTotEnMet],"&gt;"&amp;($A678+17/24),tData[Langligger01],1)</f>
        <v/>
      </c>
      <c r="V678" s="20">
        <f>COUNTIFS(tData[SEHTrajectPeriodeDatumTijdVan],"&lt;="&amp;($A678+18/24),tData[SEHTrajectPeriodeDatumTijdTotEnMet],"&gt;"&amp;($A678+18/24),tData[Langligger01],1)</f>
        <v/>
      </c>
      <c r="W678" s="20">
        <f>COUNTIFS(tData[SEHTrajectPeriodeDatumTijdVan],"&lt;="&amp;($A678+19/24),tData[SEHTrajectPeriodeDatumTijdTotEnMet],"&gt;"&amp;($A678+19/24),tData[Langligger01],1)</f>
        <v/>
      </c>
      <c r="X678" s="20">
        <f>COUNTIFS(tData[SEHTrajectPeriodeDatumTijdVan],"&lt;="&amp;($A678+20/24),tData[SEHTrajectPeriodeDatumTijdTotEnMet],"&gt;"&amp;($A678+20/24),tData[Langligger01],1)</f>
        <v/>
      </c>
      <c r="Y678" s="20">
        <f>COUNTIFS(tData[SEHTrajectPeriodeDatumTijdVan],"&lt;="&amp;($A678+21/24),tData[SEHTrajectPeriodeDatumTijdTotEnMet],"&gt;"&amp;($A678+21/24),tData[Langligger01],1)</f>
        <v/>
      </c>
      <c r="Z678" s="20">
        <f>COUNTIFS(tData[SEHTrajectPeriodeDatumTijdVan],"&lt;="&amp;($A678+22/24),tData[SEHTrajectPeriodeDatumTijdTotEnMet],"&gt;"&amp;($A678+22/24),tData[Langligger01],1)</f>
        <v/>
      </c>
      <c r="AA678" s="20">
        <f>COUNTIFS(tData[SEHTrajectPeriodeDatumTijdVan],"&lt;="&amp;($A678+23/24),tData[SEHTrajectPeriodeDatumTijdTotEnMet],"&gt;"&amp;($A678+23/24),tData[Langligger01],1)</f>
        <v/>
      </c>
    </row>
    <row r="679">
      <c r="A679" s="19" t="n">
        <v>45967</v>
      </c>
      <c r="B679" s="15">
        <f>WEEKDAY($A679,2)</f>
        <v/>
      </c>
      <c r="C679" s="15">
        <f>IF(AND($A679&gt;=INT(Instellingen!$B$5),$A679&lt;=INT(Instellingen!$B$6)),1,0)</f>
        <v/>
      </c>
      <c r="D679" s="20">
        <f>COUNTIFS(tData[SEHTrajectPeriodeDatumTijdVan],"&lt;="&amp;($A679+0/24),tData[SEHTrajectPeriodeDatumTijdTotEnMet],"&gt;"&amp;($A679+0/24),tData[Langligger01],1)</f>
        <v/>
      </c>
      <c r="E679" s="20">
        <f>COUNTIFS(tData[SEHTrajectPeriodeDatumTijdVan],"&lt;="&amp;($A679+1/24),tData[SEHTrajectPeriodeDatumTijdTotEnMet],"&gt;"&amp;($A679+1/24),tData[Langligger01],1)</f>
        <v/>
      </c>
      <c r="F679" s="20">
        <f>COUNTIFS(tData[SEHTrajectPeriodeDatumTijdVan],"&lt;="&amp;($A679+2/24),tData[SEHTrajectPeriodeDatumTijdTotEnMet],"&gt;"&amp;($A679+2/24),tData[Langligger01],1)</f>
        <v/>
      </c>
      <c r="G679" s="20">
        <f>COUNTIFS(tData[SEHTrajectPeriodeDatumTijdVan],"&lt;="&amp;($A679+3/24),tData[SEHTrajectPeriodeDatumTijdTotEnMet],"&gt;"&amp;($A679+3/24),tData[Langligger01],1)</f>
        <v/>
      </c>
      <c r="H679" s="20">
        <f>COUNTIFS(tData[SEHTrajectPeriodeDatumTijdVan],"&lt;="&amp;($A679+4/24),tData[SEHTrajectPeriodeDatumTijdTotEnMet],"&gt;"&amp;($A679+4/24),tData[Langligger01],1)</f>
        <v/>
      </c>
      <c r="I679" s="20">
        <f>COUNTIFS(tData[SEHTrajectPeriodeDatumTijdVan],"&lt;="&amp;($A679+5/24),tData[SEHTrajectPeriodeDatumTijdTotEnMet],"&gt;"&amp;($A679+5/24),tData[Langligger01],1)</f>
        <v/>
      </c>
      <c r="J679" s="20">
        <f>COUNTIFS(tData[SEHTrajectPeriodeDatumTijdVan],"&lt;="&amp;($A679+6/24),tData[SEHTrajectPeriodeDatumTijdTotEnMet],"&gt;"&amp;($A679+6/24),tData[Langligger01],1)</f>
        <v/>
      </c>
      <c r="K679" s="20">
        <f>COUNTIFS(tData[SEHTrajectPeriodeDatumTijdVan],"&lt;="&amp;($A679+7/24),tData[SEHTrajectPeriodeDatumTijdTotEnMet],"&gt;"&amp;($A679+7/24),tData[Langligger01],1)</f>
        <v/>
      </c>
      <c r="L679" s="20">
        <f>COUNTIFS(tData[SEHTrajectPeriodeDatumTijdVan],"&lt;="&amp;($A679+8/24),tData[SEHTrajectPeriodeDatumTijdTotEnMet],"&gt;"&amp;($A679+8/24),tData[Langligger01],1)</f>
        <v/>
      </c>
      <c r="M679" s="20">
        <f>COUNTIFS(tData[SEHTrajectPeriodeDatumTijdVan],"&lt;="&amp;($A679+9/24),tData[SEHTrajectPeriodeDatumTijdTotEnMet],"&gt;"&amp;($A679+9/24),tData[Langligger01],1)</f>
        <v/>
      </c>
      <c r="N679" s="20">
        <f>COUNTIFS(tData[SEHTrajectPeriodeDatumTijdVan],"&lt;="&amp;($A679+10/24),tData[SEHTrajectPeriodeDatumTijdTotEnMet],"&gt;"&amp;($A679+10/24),tData[Langligger01],1)</f>
        <v/>
      </c>
      <c r="O679" s="20">
        <f>COUNTIFS(tData[SEHTrajectPeriodeDatumTijdVan],"&lt;="&amp;($A679+11/24),tData[SEHTrajectPeriodeDatumTijdTotEnMet],"&gt;"&amp;($A679+11/24),tData[Langligger01],1)</f>
        <v/>
      </c>
      <c r="P679" s="20">
        <f>COUNTIFS(tData[SEHTrajectPeriodeDatumTijdVan],"&lt;="&amp;($A679+12/24),tData[SEHTrajectPeriodeDatumTijdTotEnMet],"&gt;"&amp;($A679+12/24),tData[Langligger01],1)</f>
        <v/>
      </c>
      <c r="Q679" s="20">
        <f>COUNTIFS(tData[SEHTrajectPeriodeDatumTijdVan],"&lt;="&amp;($A679+13/24),tData[SEHTrajectPeriodeDatumTijdTotEnMet],"&gt;"&amp;($A679+13/24),tData[Langligger01],1)</f>
        <v/>
      </c>
      <c r="R679" s="20">
        <f>COUNTIFS(tData[SEHTrajectPeriodeDatumTijdVan],"&lt;="&amp;($A679+14/24),tData[SEHTrajectPeriodeDatumTijdTotEnMet],"&gt;"&amp;($A679+14/24),tData[Langligger01],1)</f>
        <v/>
      </c>
      <c r="S679" s="20">
        <f>COUNTIFS(tData[SEHTrajectPeriodeDatumTijdVan],"&lt;="&amp;($A679+15/24),tData[SEHTrajectPeriodeDatumTijdTotEnMet],"&gt;"&amp;($A679+15/24),tData[Langligger01],1)</f>
        <v/>
      </c>
      <c r="T679" s="20">
        <f>COUNTIFS(tData[SEHTrajectPeriodeDatumTijdVan],"&lt;="&amp;($A679+16/24),tData[SEHTrajectPeriodeDatumTijdTotEnMet],"&gt;"&amp;($A679+16/24),tData[Langligger01],1)</f>
        <v/>
      </c>
      <c r="U679" s="20">
        <f>COUNTIFS(tData[SEHTrajectPeriodeDatumTijdVan],"&lt;="&amp;($A679+17/24),tData[SEHTrajectPeriodeDatumTijdTotEnMet],"&gt;"&amp;($A679+17/24),tData[Langligger01],1)</f>
        <v/>
      </c>
      <c r="V679" s="20">
        <f>COUNTIFS(tData[SEHTrajectPeriodeDatumTijdVan],"&lt;="&amp;($A679+18/24),tData[SEHTrajectPeriodeDatumTijdTotEnMet],"&gt;"&amp;($A679+18/24),tData[Langligger01],1)</f>
        <v/>
      </c>
      <c r="W679" s="20">
        <f>COUNTIFS(tData[SEHTrajectPeriodeDatumTijdVan],"&lt;="&amp;($A679+19/24),tData[SEHTrajectPeriodeDatumTijdTotEnMet],"&gt;"&amp;($A679+19/24),tData[Langligger01],1)</f>
        <v/>
      </c>
      <c r="X679" s="20">
        <f>COUNTIFS(tData[SEHTrajectPeriodeDatumTijdVan],"&lt;="&amp;($A679+20/24),tData[SEHTrajectPeriodeDatumTijdTotEnMet],"&gt;"&amp;($A679+20/24),tData[Langligger01],1)</f>
        <v/>
      </c>
      <c r="Y679" s="20">
        <f>COUNTIFS(tData[SEHTrajectPeriodeDatumTijdVan],"&lt;="&amp;($A679+21/24),tData[SEHTrajectPeriodeDatumTijdTotEnMet],"&gt;"&amp;($A679+21/24),tData[Langligger01],1)</f>
        <v/>
      </c>
      <c r="Z679" s="20">
        <f>COUNTIFS(tData[SEHTrajectPeriodeDatumTijdVan],"&lt;="&amp;($A679+22/24),tData[SEHTrajectPeriodeDatumTijdTotEnMet],"&gt;"&amp;($A679+22/24),tData[Langligger01],1)</f>
        <v/>
      </c>
      <c r="AA679" s="20">
        <f>COUNTIFS(tData[SEHTrajectPeriodeDatumTijdVan],"&lt;="&amp;($A679+23/24),tData[SEHTrajectPeriodeDatumTijdTotEnMet],"&gt;"&amp;($A679+23/24),tData[Langligger01],1)</f>
        <v/>
      </c>
    </row>
    <row r="680">
      <c r="A680" s="19" t="n">
        <v>45968</v>
      </c>
      <c r="B680" s="15">
        <f>WEEKDAY($A680,2)</f>
        <v/>
      </c>
      <c r="C680" s="15">
        <f>IF(AND($A680&gt;=INT(Instellingen!$B$5),$A680&lt;=INT(Instellingen!$B$6)),1,0)</f>
        <v/>
      </c>
      <c r="D680" s="20">
        <f>COUNTIFS(tData[SEHTrajectPeriodeDatumTijdVan],"&lt;="&amp;($A680+0/24),tData[SEHTrajectPeriodeDatumTijdTotEnMet],"&gt;"&amp;($A680+0/24),tData[Langligger01],1)</f>
        <v/>
      </c>
      <c r="E680" s="20">
        <f>COUNTIFS(tData[SEHTrajectPeriodeDatumTijdVan],"&lt;="&amp;($A680+1/24),tData[SEHTrajectPeriodeDatumTijdTotEnMet],"&gt;"&amp;($A680+1/24),tData[Langligger01],1)</f>
        <v/>
      </c>
      <c r="F680" s="20">
        <f>COUNTIFS(tData[SEHTrajectPeriodeDatumTijdVan],"&lt;="&amp;($A680+2/24),tData[SEHTrajectPeriodeDatumTijdTotEnMet],"&gt;"&amp;($A680+2/24),tData[Langligger01],1)</f>
        <v/>
      </c>
      <c r="G680" s="20">
        <f>COUNTIFS(tData[SEHTrajectPeriodeDatumTijdVan],"&lt;="&amp;($A680+3/24),tData[SEHTrajectPeriodeDatumTijdTotEnMet],"&gt;"&amp;($A680+3/24),tData[Langligger01],1)</f>
        <v/>
      </c>
      <c r="H680" s="20">
        <f>COUNTIFS(tData[SEHTrajectPeriodeDatumTijdVan],"&lt;="&amp;($A680+4/24),tData[SEHTrajectPeriodeDatumTijdTotEnMet],"&gt;"&amp;($A680+4/24),tData[Langligger01],1)</f>
        <v/>
      </c>
      <c r="I680" s="20">
        <f>COUNTIFS(tData[SEHTrajectPeriodeDatumTijdVan],"&lt;="&amp;($A680+5/24),tData[SEHTrajectPeriodeDatumTijdTotEnMet],"&gt;"&amp;($A680+5/24),tData[Langligger01],1)</f>
        <v/>
      </c>
      <c r="J680" s="20">
        <f>COUNTIFS(tData[SEHTrajectPeriodeDatumTijdVan],"&lt;="&amp;($A680+6/24),tData[SEHTrajectPeriodeDatumTijdTotEnMet],"&gt;"&amp;($A680+6/24),tData[Langligger01],1)</f>
        <v/>
      </c>
      <c r="K680" s="20">
        <f>COUNTIFS(tData[SEHTrajectPeriodeDatumTijdVan],"&lt;="&amp;($A680+7/24),tData[SEHTrajectPeriodeDatumTijdTotEnMet],"&gt;"&amp;($A680+7/24),tData[Langligger01],1)</f>
        <v/>
      </c>
      <c r="L680" s="20">
        <f>COUNTIFS(tData[SEHTrajectPeriodeDatumTijdVan],"&lt;="&amp;($A680+8/24),tData[SEHTrajectPeriodeDatumTijdTotEnMet],"&gt;"&amp;($A680+8/24),tData[Langligger01],1)</f>
        <v/>
      </c>
      <c r="M680" s="20">
        <f>COUNTIFS(tData[SEHTrajectPeriodeDatumTijdVan],"&lt;="&amp;($A680+9/24),tData[SEHTrajectPeriodeDatumTijdTotEnMet],"&gt;"&amp;($A680+9/24),tData[Langligger01],1)</f>
        <v/>
      </c>
      <c r="N680" s="20">
        <f>COUNTIFS(tData[SEHTrajectPeriodeDatumTijdVan],"&lt;="&amp;($A680+10/24),tData[SEHTrajectPeriodeDatumTijdTotEnMet],"&gt;"&amp;($A680+10/24),tData[Langligger01],1)</f>
        <v/>
      </c>
      <c r="O680" s="20">
        <f>COUNTIFS(tData[SEHTrajectPeriodeDatumTijdVan],"&lt;="&amp;($A680+11/24),tData[SEHTrajectPeriodeDatumTijdTotEnMet],"&gt;"&amp;($A680+11/24),tData[Langligger01],1)</f>
        <v/>
      </c>
      <c r="P680" s="20">
        <f>COUNTIFS(tData[SEHTrajectPeriodeDatumTijdVan],"&lt;="&amp;($A680+12/24),tData[SEHTrajectPeriodeDatumTijdTotEnMet],"&gt;"&amp;($A680+12/24),tData[Langligger01],1)</f>
        <v/>
      </c>
      <c r="Q680" s="20">
        <f>COUNTIFS(tData[SEHTrajectPeriodeDatumTijdVan],"&lt;="&amp;($A680+13/24),tData[SEHTrajectPeriodeDatumTijdTotEnMet],"&gt;"&amp;($A680+13/24),tData[Langligger01],1)</f>
        <v/>
      </c>
      <c r="R680" s="20">
        <f>COUNTIFS(tData[SEHTrajectPeriodeDatumTijdVan],"&lt;="&amp;($A680+14/24),tData[SEHTrajectPeriodeDatumTijdTotEnMet],"&gt;"&amp;($A680+14/24),tData[Langligger01],1)</f>
        <v/>
      </c>
      <c r="S680" s="20">
        <f>COUNTIFS(tData[SEHTrajectPeriodeDatumTijdVan],"&lt;="&amp;($A680+15/24),tData[SEHTrajectPeriodeDatumTijdTotEnMet],"&gt;"&amp;($A680+15/24),tData[Langligger01],1)</f>
        <v/>
      </c>
      <c r="T680" s="20">
        <f>COUNTIFS(tData[SEHTrajectPeriodeDatumTijdVan],"&lt;="&amp;($A680+16/24),tData[SEHTrajectPeriodeDatumTijdTotEnMet],"&gt;"&amp;($A680+16/24),tData[Langligger01],1)</f>
        <v/>
      </c>
      <c r="U680" s="20">
        <f>COUNTIFS(tData[SEHTrajectPeriodeDatumTijdVan],"&lt;="&amp;($A680+17/24),tData[SEHTrajectPeriodeDatumTijdTotEnMet],"&gt;"&amp;($A680+17/24),tData[Langligger01],1)</f>
        <v/>
      </c>
      <c r="V680" s="20">
        <f>COUNTIFS(tData[SEHTrajectPeriodeDatumTijdVan],"&lt;="&amp;($A680+18/24),tData[SEHTrajectPeriodeDatumTijdTotEnMet],"&gt;"&amp;($A680+18/24),tData[Langligger01],1)</f>
        <v/>
      </c>
      <c r="W680" s="20">
        <f>COUNTIFS(tData[SEHTrajectPeriodeDatumTijdVan],"&lt;="&amp;($A680+19/24),tData[SEHTrajectPeriodeDatumTijdTotEnMet],"&gt;"&amp;($A680+19/24),tData[Langligger01],1)</f>
        <v/>
      </c>
      <c r="X680" s="20">
        <f>COUNTIFS(tData[SEHTrajectPeriodeDatumTijdVan],"&lt;="&amp;($A680+20/24),tData[SEHTrajectPeriodeDatumTijdTotEnMet],"&gt;"&amp;($A680+20/24),tData[Langligger01],1)</f>
        <v/>
      </c>
      <c r="Y680" s="20">
        <f>COUNTIFS(tData[SEHTrajectPeriodeDatumTijdVan],"&lt;="&amp;($A680+21/24),tData[SEHTrajectPeriodeDatumTijdTotEnMet],"&gt;"&amp;($A680+21/24),tData[Langligger01],1)</f>
        <v/>
      </c>
      <c r="Z680" s="20">
        <f>COUNTIFS(tData[SEHTrajectPeriodeDatumTijdVan],"&lt;="&amp;($A680+22/24),tData[SEHTrajectPeriodeDatumTijdTotEnMet],"&gt;"&amp;($A680+22/24),tData[Langligger01],1)</f>
        <v/>
      </c>
      <c r="AA680" s="20">
        <f>COUNTIFS(tData[SEHTrajectPeriodeDatumTijdVan],"&lt;="&amp;($A680+23/24),tData[SEHTrajectPeriodeDatumTijdTotEnMet],"&gt;"&amp;($A680+23/24),tData[Langligger01],1)</f>
        <v/>
      </c>
    </row>
    <row r="681">
      <c r="A681" s="19" t="n">
        <v>45969</v>
      </c>
      <c r="B681" s="15">
        <f>WEEKDAY($A681,2)</f>
        <v/>
      </c>
      <c r="C681" s="15">
        <f>IF(AND($A681&gt;=INT(Instellingen!$B$5),$A681&lt;=INT(Instellingen!$B$6)),1,0)</f>
        <v/>
      </c>
      <c r="D681" s="20">
        <f>COUNTIFS(tData[SEHTrajectPeriodeDatumTijdVan],"&lt;="&amp;($A681+0/24),tData[SEHTrajectPeriodeDatumTijdTotEnMet],"&gt;"&amp;($A681+0/24),tData[Langligger01],1)</f>
        <v/>
      </c>
      <c r="E681" s="20">
        <f>COUNTIFS(tData[SEHTrajectPeriodeDatumTijdVan],"&lt;="&amp;($A681+1/24),tData[SEHTrajectPeriodeDatumTijdTotEnMet],"&gt;"&amp;($A681+1/24),tData[Langligger01],1)</f>
        <v/>
      </c>
      <c r="F681" s="20">
        <f>COUNTIFS(tData[SEHTrajectPeriodeDatumTijdVan],"&lt;="&amp;($A681+2/24),tData[SEHTrajectPeriodeDatumTijdTotEnMet],"&gt;"&amp;($A681+2/24),tData[Langligger01],1)</f>
        <v/>
      </c>
      <c r="G681" s="20">
        <f>COUNTIFS(tData[SEHTrajectPeriodeDatumTijdVan],"&lt;="&amp;($A681+3/24),tData[SEHTrajectPeriodeDatumTijdTotEnMet],"&gt;"&amp;($A681+3/24),tData[Langligger01],1)</f>
        <v/>
      </c>
      <c r="H681" s="20">
        <f>COUNTIFS(tData[SEHTrajectPeriodeDatumTijdVan],"&lt;="&amp;($A681+4/24),tData[SEHTrajectPeriodeDatumTijdTotEnMet],"&gt;"&amp;($A681+4/24),tData[Langligger01],1)</f>
        <v/>
      </c>
      <c r="I681" s="20">
        <f>COUNTIFS(tData[SEHTrajectPeriodeDatumTijdVan],"&lt;="&amp;($A681+5/24),tData[SEHTrajectPeriodeDatumTijdTotEnMet],"&gt;"&amp;($A681+5/24),tData[Langligger01],1)</f>
        <v/>
      </c>
      <c r="J681" s="20">
        <f>COUNTIFS(tData[SEHTrajectPeriodeDatumTijdVan],"&lt;="&amp;($A681+6/24),tData[SEHTrajectPeriodeDatumTijdTotEnMet],"&gt;"&amp;($A681+6/24),tData[Langligger01],1)</f>
        <v/>
      </c>
      <c r="K681" s="20">
        <f>COUNTIFS(tData[SEHTrajectPeriodeDatumTijdVan],"&lt;="&amp;($A681+7/24),tData[SEHTrajectPeriodeDatumTijdTotEnMet],"&gt;"&amp;($A681+7/24),tData[Langligger01],1)</f>
        <v/>
      </c>
      <c r="L681" s="20">
        <f>COUNTIFS(tData[SEHTrajectPeriodeDatumTijdVan],"&lt;="&amp;($A681+8/24),tData[SEHTrajectPeriodeDatumTijdTotEnMet],"&gt;"&amp;($A681+8/24),tData[Langligger01],1)</f>
        <v/>
      </c>
      <c r="M681" s="20">
        <f>COUNTIFS(tData[SEHTrajectPeriodeDatumTijdVan],"&lt;="&amp;($A681+9/24),tData[SEHTrajectPeriodeDatumTijdTotEnMet],"&gt;"&amp;($A681+9/24),tData[Langligger01],1)</f>
        <v/>
      </c>
      <c r="N681" s="20">
        <f>COUNTIFS(tData[SEHTrajectPeriodeDatumTijdVan],"&lt;="&amp;($A681+10/24),tData[SEHTrajectPeriodeDatumTijdTotEnMet],"&gt;"&amp;($A681+10/24),tData[Langligger01],1)</f>
        <v/>
      </c>
      <c r="O681" s="20">
        <f>COUNTIFS(tData[SEHTrajectPeriodeDatumTijdVan],"&lt;="&amp;($A681+11/24),tData[SEHTrajectPeriodeDatumTijdTotEnMet],"&gt;"&amp;($A681+11/24),tData[Langligger01],1)</f>
        <v/>
      </c>
      <c r="P681" s="20">
        <f>COUNTIFS(tData[SEHTrajectPeriodeDatumTijdVan],"&lt;="&amp;($A681+12/24),tData[SEHTrajectPeriodeDatumTijdTotEnMet],"&gt;"&amp;($A681+12/24),tData[Langligger01],1)</f>
        <v/>
      </c>
      <c r="Q681" s="20">
        <f>COUNTIFS(tData[SEHTrajectPeriodeDatumTijdVan],"&lt;="&amp;($A681+13/24),tData[SEHTrajectPeriodeDatumTijdTotEnMet],"&gt;"&amp;($A681+13/24),tData[Langligger01],1)</f>
        <v/>
      </c>
      <c r="R681" s="20">
        <f>COUNTIFS(tData[SEHTrajectPeriodeDatumTijdVan],"&lt;="&amp;($A681+14/24),tData[SEHTrajectPeriodeDatumTijdTotEnMet],"&gt;"&amp;($A681+14/24),tData[Langligger01],1)</f>
        <v/>
      </c>
      <c r="S681" s="20">
        <f>COUNTIFS(tData[SEHTrajectPeriodeDatumTijdVan],"&lt;="&amp;($A681+15/24),tData[SEHTrajectPeriodeDatumTijdTotEnMet],"&gt;"&amp;($A681+15/24),tData[Langligger01],1)</f>
        <v/>
      </c>
      <c r="T681" s="20">
        <f>COUNTIFS(tData[SEHTrajectPeriodeDatumTijdVan],"&lt;="&amp;($A681+16/24),tData[SEHTrajectPeriodeDatumTijdTotEnMet],"&gt;"&amp;($A681+16/24),tData[Langligger01],1)</f>
        <v/>
      </c>
      <c r="U681" s="20">
        <f>COUNTIFS(tData[SEHTrajectPeriodeDatumTijdVan],"&lt;="&amp;($A681+17/24),tData[SEHTrajectPeriodeDatumTijdTotEnMet],"&gt;"&amp;($A681+17/24),tData[Langligger01],1)</f>
        <v/>
      </c>
      <c r="V681" s="20">
        <f>COUNTIFS(tData[SEHTrajectPeriodeDatumTijdVan],"&lt;="&amp;($A681+18/24),tData[SEHTrajectPeriodeDatumTijdTotEnMet],"&gt;"&amp;($A681+18/24),tData[Langligger01],1)</f>
        <v/>
      </c>
      <c r="W681" s="20">
        <f>COUNTIFS(tData[SEHTrajectPeriodeDatumTijdVan],"&lt;="&amp;($A681+19/24),tData[SEHTrajectPeriodeDatumTijdTotEnMet],"&gt;"&amp;($A681+19/24),tData[Langligger01],1)</f>
        <v/>
      </c>
      <c r="X681" s="20">
        <f>COUNTIFS(tData[SEHTrajectPeriodeDatumTijdVan],"&lt;="&amp;($A681+20/24),tData[SEHTrajectPeriodeDatumTijdTotEnMet],"&gt;"&amp;($A681+20/24),tData[Langligger01],1)</f>
        <v/>
      </c>
      <c r="Y681" s="20">
        <f>COUNTIFS(tData[SEHTrajectPeriodeDatumTijdVan],"&lt;="&amp;($A681+21/24),tData[SEHTrajectPeriodeDatumTijdTotEnMet],"&gt;"&amp;($A681+21/24),tData[Langligger01],1)</f>
        <v/>
      </c>
      <c r="Z681" s="20">
        <f>COUNTIFS(tData[SEHTrajectPeriodeDatumTijdVan],"&lt;="&amp;($A681+22/24),tData[SEHTrajectPeriodeDatumTijdTotEnMet],"&gt;"&amp;($A681+22/24),tData[Langligger01],1)</f>
        <v/>
      </c>
      <c r="AA681" s="20">
        <f>COUNTIFS(tData[SEHTrajectPeriodeDatumTijdVan],"&lt;="&amp;($A681+23/24),tData[SEHTrajectPeriodeDatumTijdTotEnMet],"&gt;"&amp;($A681+23/24),tData[Langligger01],1)</f>
        <v/>
      </c>
    </row>
    <row r="682">
      <c r="A682" s="19" t="n">
        <v>45970</v>
      </c>
      <c r="B682" s="15">
        <f>WEEKDAY($A682,2)</f>
        <v/>
      </c>
      <c r="C682" s="15">
        <f>IF(AND($A682&gt;=INT(Instellingen!$B$5),$A682&lt;=INT(Instellingen!$B$6)),1,0)</f>
        <v/>
      </c>
      <c r="D682" s="20">
        <f>COUNTIFS(tData[SEHTrajectPeriodeDatumTijdVan],"&lt;="&amp;($A682+0/24),tData[SEHTrajectPeriodeDatumTijdTotEnMet],"&gt;"&amp;($A682+0/24),tData[Langligger01],1)</f>
        <v/>
      </c>
      <c r="E682" s="20">
        <f>COUNTIFS(tData[SEHTrajectPeriodeDatumTijdVan],"&lt;="&amp;($A682+1/24),tData[SEHTrajectPeriodeDatumTijdTotEnMet],"&gt;"&amp;($A682+1/24),tData[Langligger01],1)</f>
        <v/>
      </c>
      <c r="F682" s="20">
        <f>COUNTIFS(tData[SEHTrajectPeriodeDatumTijdVan],"&lt;="&amp;($A682+2/24),tData[SEHTrajectPeriodeDatumTijdTotEnMet],"&gt;"&amp;($A682+2/24),tData[Langligger01],1)</f>
        <v/>
      </c>
      <c r="G682" s="20">
        <f>COUNTIFS(tData[SEHTrajectPeriodeDatumTijdVan],"&lt;="&amp;($A682+3/24),tData[SEHTrajectPeriodeDatumTijdTotEnMet],"&gt;"&amp;($A682+3/24),tData[Langligger01],1)</f>
        <v/>
      </c>
      <c r="H682" s="20">
        <f>COUNTIFS(tData[SEHTrajectPeriodeDatumTijdVan],"&lt;="&amp;($A682+4/24),tData[SEHTrajectPeriodeDatumTijdTotEnMet],"&gt;"&amp;($A682+4/24),tData[Langligger01],1)</f>
        <v/>
      </c>
      <c r="I682" s="20">
        <f>COUNTIFS(tData[SEHTrajectPeriodeDatumTijdVan],"&lt;="&amp;($A682+5/24),tData[SEHTrajectPeriodeDatumTijdTotEnMet],"&gt;"&amp;($A682+5/24),tData[Langligger01],1)</f>
        <v/>
      </c>
      <c r="J682" s="20">
        <f>COUNTIFS(tData[SEHTrajectPeriodeDatumTijdVan],"&lt;="&amp;($A682+6/24),tData[SEHTrajectPeriodeDatumTijdTotEnMet],"&gt;"&amp;($A682+6/24),tData[Langligger01],1)</f>
        <v/>
      </c>
      <c r="K682" s="20">
        <f>COUNTIFS(tData[SEHTrajectPeriodeDatumTijdVan],"&lt;="&amp;($A682+7/24),tData[SEHTrajectPeriodeDatumTijdTotEnMet],"&gt;"&amp;($A682+7/24),tData[Langligger01],1)</f>
        <v/>
      </c>
      <c r="L682" s="20">
        <f>COUNTIFS(tData[SEHTrajectPeriodeDatumTijdVan],"&lt;="&amp;($A682+8/24),tData[SEHTrajectPeriodeDatumTijdTotEnMet],"&gt;"&amp;($A682+8/24),tData[Langligger01],1)</f>
        <v/>
      </c>
      <c r="M682" s="20">
        <f>COUNTIFS(tData[SEHTrajectPeriodeDatumTijdVan],"&lt;="&amp;($A682+9/24),tData[SEHTrajectPeriodeDatumTijdTotEnMet],"&gt;"&amp;($A682+9/24),tData[Langligger01],1)</f>
        <v/>
      </c>
      <c r="N682" s="20">
        <f>COUNTIFS(tData[SEHTrajectPeriodeDatumTijdVan],"&lt;="&amp;($A682+10/24),tData[SEHTrajectPeriodeDatumTijdTotEnMet],"&gt;"&amp;($A682+10/24),tData[Langligger01],1)</f>
        <v/>
      </c>
      <c r="O682" s="20">
        <f>COUNTIFS(tData[SEHTrajectPeriodeDatumTijdVan],"&lt;="&amp;($A682+11/24),tData[SEHTrajectPeriodeDatumTijdTotEnMet],"&gt;"&amp;($A682+11/24),tData[Langligger01],1)</f>
        <v/>
      </c>
      <c r="P682" s="20">
        <f>COUNTIFS(tData[SEHTrajectPeriodeDatumTijdVan],"&lt;="&amp;($A682+12/24),tData[SEHTrajectPeriodeDatumTijdTotEnMet],"&gt;"&amp;($A682+12/24),tData[Langligger01],1)</f>
        <v/>
      </c>
      <c r="Q682" s="20">
        <f>COUNTIFS(tData[SEHTrajectPeriodeDatumTijdVan],"&lt;="&amp;($A682+13/24),tData[SEHTrajectPeriodeDatumTijdTotEnMet],"&gt;"&amp;($A682+13/24),tData[Langligger01],1)</f>
        <v/>
      </c>
      <c r="R682" s="20">
        <f>COUNTIFS(tData[SEHTrajectPeriodeDatumTijdVan],"&lt;="&amp;($A682+14/24),tData[SEHTrajectPeriodeDatumTijdTotEnMet],"&gt;"&amp;($A682+14/24),tData[Langligger01],1)</f>
        <v/>
      </c>
      <c r="S682" s="20">
        <f>COUNTIFS(tData[SEHTrajectPeriodeDatumTijdVan],"&lt;="&amp;($A682+15/24),tData[SEHTrajectPeriodeDatumTijdTotEnMet],"&gt;"&amp;($A682+15/24),tData[Langligger01],1)</f>
        <v/>
      </c>
      <c r="T682" s="20">
        <f>COUNTIFS(tData[SEHTrajectPeriodeDatumTijdVan],"&lt;="&amp;($A682+16/24),tData[SEHTrajectPeriodeDatumTijdTotEnMet],"&gt;"&amp;($A682+16/24),tData[Langligger01],1)</f>
        <v/>
      </c>
      <c r="U682" s="20">
        <f>COUNTIFS(tData[SEHTrajectPeriodeDatumTijdVan],"&lt;="&amp;($A682+17/24),tData[SEHTrajectPeriodeDatumTijdTotEnMet],"&gt;"&amp;($A682+17/24),tData[Langligger01],1)</f>
        <v/>
      </c>
      <c r="V682" s="20">
        <f>COUNTIFS(tData[SEHTrajectPeriodeDatumTijdVan],"&lt;="&amp;($A682+18/24),tData[SEHTrajectPeriodeDatumTijdTotEnMet],"&gt;"&amp;($A682+18/24),tData[Langligger01],1)</f>
        <v/>
      </c>
      <c r="W682" s="20">
        <f>COUNTIFS(tData[SEHTrajectPeriodeDatumTijdVan],"&lt;="&amp;($A682+19/24),tData[SEHTrajectPeriodeDatumTijdTotEnMet],"&gt;"&amp;($A682+19/24),tData[Langligger01],1)</f>
        <v/>
      </c>
      <c r="X682" s="20">
        <f>COUNTIFS(tData[SEHTrajectPeriodeDatumTijdVan],"&lt;="&amp;($A682+20/24),tData[SEHTrajectPeriodeDatumTijdTotEnMet],"&gt;"&amp;($A682+20/24),tData[Langligger01],1)</f>
        <v/>
      </c>
      <c r="Y682" s="20">
        <f>COUNTIFS(tData[SEHTrajectPeriodeDatumTijdVan],"&lt;="&amp;($A682+21/24),tData[SEHTrajectPeriodeDatumTijdTotEnMet],"&gt;"&amp;($A682+21/24),tData[Langligger01],1)</f>
        <v/>
      </c>
      <c r="Z682" s="20">
        <f>COUNTIFS(tData[SEHTrajectPeriodeDatumTijdVan],"&lt;="&amp;($A682+22/24),tData[SEHTrajectPeriodeDatumTijdTotEnMet],"&gt;"&amp;($A682+22/24),tData[Langligger01],1)</f>
        <v/>
      </c>
      <c r="AA682" s="20">
        <f>COUNTIFS(tData[SEHTrajectPeriodeDatumTijdVan],"&lt;="&amp;($A682+23/24),tData[SEHTrajectPeriodeDatumTijdTotEnMet],"&gt;"&amp;($A682+23/24),tData[Langligger01],1)</f>
        <v/>
      </c>
    </row>
    <row r="683">
      <c r="A683" s="19" t="n">
        <v>45971</v>
      </c>
      <c r="B683" s="15">
        <f>WEEKDAY($A683,2)</f>
        <v/>
      </c>
      <c r="C683" s="15">
        <f>IF(AND($A683&gt;=INT(Instellingen!$B$5),$A683&lt;=INT(Instellingen!$B$6)),1,0)</f>
        <v/>
      </c>
      <c r="D683" s="20">
        <f>COUNTIFS(tData[SEHTrajectPeriodeDatumTijdVan],"&lt;="&amp;($A683+0/24),tData[SEHTrajectPeriodeDatumTijdTotEnMet],"&gt;"&amp;($A683+0/24),tData[Langligger01],1)</f>
        <v/>
      </c>
      <c r="E683" s="20">
        <f>COUNTIFS(tData[SEHTrajectPeriodeDatumTijdVan],"&lt;="&amp;($A683+1/24),tData[SEHTrajectPeriodeDatumTijdTotEnMet],"&gt;"&amp;($A683+1/24),tData[Langligger01],1)</f>
        <v/>
      </c>
      <c r="F683" s="20">
        <f>COUNTIFS(tData[SEHTrajectPeriodeDatumTijdVan],"&lt;="&amp;($A683+2/24),tData[SEHTrajectPeriodeDatumTijdTotEnMet],"&gt;"&amp;($A683+2/24),tData[Langligger01],1)</f>
        <v/>
      </c>
      <c r="G683" s="20">
        <f>COUNTIFS(tData[SEHTrajectPeriodeDatumTijdVan],"&lt;="&amp;($A683+3/24),tData[SEHTrajectPeriodeDatumTijdTotEnMet],"&gt;"&amp;($A683+3/24),tData[Langligger01],1)</f>
        <v/>
      </c>
      <c r="H683" s="20">
        <f>COUNTIFS(tData[SEHTrajectPeriodeDatumTijdVan],"&lt;="&amp;($A683+4/24),tData[SEHTrajectPeriodeDatumTijdTotEnMet],"&gt;"&amp;($A683+4/24),tData[Langligger01],1)</f>
        <v/>
      </c>
      <c r="I683" s="20">
        <f>COUNTIFS(tData[SEHTrajectPeriodeDatumTijdVan],"&lt;="&amp;($A683+5/24),tData[SEHTrajectPeriodeDatumTijdTotEnMet],"&gt;"&amp;($A683+5/24),tData[Langligger01],1)</f>
        <v/>
      </c>
      <c r="J683" s="20">
        <f>COUNTIFS(tData[SEHTrajectPeriodeDatumTijdVan],"&lt;="&amp;($A683+6/24),tData[SEHTrajectPeriodeDatumTijdTotEnMet],"&gt;"&amp;($A683+6/24),tData[Langligger01],1)</f>
        <v/>
      </c>
      <c r="K683" s="20">
        <f>COUNTIFS(tData[SEHTrajectPeriodeDatumTijdVan],"&lt;="&amp;($A683+7/24),tData[SEHTrajectPeriodeDatumTijdTotEnMet],"&gt;"&amp;($A683+7/24),tData[Langligger01],1)</f>
        <v/>
      </c>
      <c r="L683" s="20">
        <f>COUNTIFS(tData[SEHTrajectPeriodeDatumTijdVan],"&lt;="&amp;($A683+8/24),tData[SEHTrajectPeriodeDatumTijdTotEnMet],"&gt;"&amp;($A683+8/24),tData[Langligger01],1)</f>
        <v/>
      </c>
      <c r="M683" s="20">
        <f>COUNTIFS(tData[SEHTrajectPeriodeDatumTijdVan],"&lt;="&amp;($A683+9/24),tData[SEHTrajectPeriodeDatumTijdTotEnMet],"&gt;"&amp;($A683+9/24),tData[Langligger01],1)</f>
        <v/>
      </c>
      <c r="N683" s="20">
        <f>COUNTIFS(tData[SEHTrajectPeriodeDatumTijdVan],"&lt;="&amp;($A683+10/24),tData[SEHTrajectPeriodeDatumTijdTotEnMet],"&gt;"&amp;($A683+10/24),tData[Langligger01],1)</f>
        <v/>
      </c>
      <c r="O683" s="20">
        <f>COUNTIFS(tData[SEHTrajectPeriodeDatumTijdVan],"&lt;="&amp;($A683+11/24),tData[SEHTrajectPeriodeDatumTijdTotEnMet],"&gt;"&amp;($A683+11/24),tData[Langligger01],1)</f>
        <v/>
      </c>
      <c r="P683" s="20">
        <f>COUNTIFS(tData[SEHTrajectPeriodeDatumTijdVan],"&lt;="&amp;($A683+12/24),tData[SEHTrajectPeriodeDatumTijdTotEnMet],"&gt;"&amp;($A683+12/24),tData[Langligger01],1)</f>
        <v/>
      </c>
      <c r="Q683" s="20">
        <f>COUNTIFS(tData[SEHTrajectPeriodeDatumTijdVan],"&lt;="&amp;($A683+13/24),tData[SEHTrajectPeriodeDatumTijdTotEnMet],"&gt;"&amp;($A683+13/24),tData[Langligger01],1)</f>
        <v/>
      </c>
      <c r="R683" s="20">
        <f>COUNTIFS(tData[SEHTrajectPeriodeDatumTijdVan],"&lt;="&amp;($A683+14/24),tData[SEHTrajectPeriodeDatumTijdTotEnMet],"&gt;"&amp;($A683+14/24),tData[Langligger01],1)</f>
        <v/>
      </c>
      <c r="S683" s="20">
        <f>COUNTIFS(tData[SEHTrajectPeriodeDatumTijdVan],"&lt;="&amp;($A683+15/24),tData[SEHTrajectPeriodeDatumTijdTotEnMet],"&gt;"&amp;($A683+15/24),tData[Langligger01],1)</f>
        <v/>
      </c>
      <c r="T683" s="20">
        <f>COUNTIFS(tData[SEHTrajectPeriodeDatumTijdVan],"&lt;="&amp;($A683+16/24),tData[SEHTrajectPeriodeDatumTijdTotEnMet],"&gt;"&amp;($A683+16/24),tData[Langligger01],1)</f>
        <v/>
      </c>
      <c r="U683" s="20">
        <f>COUNTIFS(tData[SEHTrajectPeriodeDatumTijdVan],"&lt;="&amp;($A683+17/24),tData[SEHTrajectPeriodeDatumTijdTotEnMet],"&gt;"&amp;($A683+17/24),tData[Langligger01],1)</f>
        <v/>
      </c>
      <c r="V683" s="20">
        <f>COUNTIFS(tData[SEHTrajectPeriodeDatumTijdVan],"&lt;="&amp;($A683+18/24),tData[SEHTrajectPeriodeDatumTijdTotEnMet],"&gt;"&amp;($A683+18/24),tData[Langligger01],1)</f>
        <v/>
      </c>
      <c r="W683" s="20">
        <f>COUNTIFS(tData[SEHTrajectPeriodeDatumTijdVan],"&lt;="&amp;($A683+19/24),tData[SEHTrajectPeriodeDatumTijdTotEnMet],"&gt;"&amp;($A683+19/24),tData[Langligger01],1)</f>
        <v/>
      </c>
      <c r="X683" s="20">
        <f>COUNTIFS(tData[SEHTrajectPeriodeDatumTijdVan],"&lt;="&amp;($A683+20/24),tData[SEHTrajectPeriodeDatumTijdTotEnMet],"&gt;"&amp;($A683+20/24),tData[Langligger01],1)</f>
        <v/>
      </c>
      <c r="Y683" s="20">
        <f>COUNTIFS(tData[SEHTrajectPeriodeDatumTijdVan],"&lt;="&amp;($A683+21/24),tData[SEHTrajectPeriodeDatumTijdTotEnMet],"&gt;"&amp;($A683+21/24),tData[Langligger01],1)</f>
        <v/>
      </c>
      <c r="Z683" s="20">
        <f>COUNTIFS(tData[SEHTrajectPeriodeDatumTijdVan],"&lt;="&amp;($A683+22/24),tData[SEHTrajectPeriodeDatumTijdTotEnMet],"&gt;"&amp;($A683+22/24),tData[Langligger01],1)</f>
        <v/>
      </c>
      <c r="AA683" s="20">
        <f>COUNTIFS(tData[SEHTrajectPeriodeDatumTijdVan],"&lt;="&amp;($A683+23/24),tData[SEHTrajectPeriodeDatumTijdTotEnMet],"&gt;"&amp;($A683+23/24),tData[Langligger01],1)</f>
        <v/>
      </c>
    </row>
    <row r="684">
      <c r="A684" s="19" t="n">
        <v>45972</v>
      </c>
      <c r="B684" s="15">
        <f>WEEKDAY($A684,2)</f>
        <v/>
      </c>
      <c r="C684" s="15">
        <f>IF(AND($A684&gt;=INT(Instellingen!$B$5),$A684&lt;=INT(Instellingen!$B$6)),1,0)</f>
        <v/>
      </c>
      <c r="D684" s="20">
        <f>COUNTIFS(tData[SEHTrajectPeriodeDatumTijdVan],"&lt;="&amp;($A684+0/24),tData[SEHTrajectPeriodeDatumTijdTotEnMet],"&gt;"&amp;($A684+0/24),tData[Langligger01],1)</f>
        <v/>
      </c>
      <c r="E684" s="20">
        <f>COUNTIFS(tData[SEHTrajectPeriodeDatumTijdVan],"&lt;="&amp;($A684+1/24),tData[SEHTrajectPeriodeDatumTijdTotEnMet],"&gt;"&amp;($A684+1/24),tData[Langligger01],1)</f>
        <v/>
      </c>
      <c r="F684" s="20">
        <f>COUNTIFS(tData[SEHTrajectPeriodeDatumTijdVan],"&lt;="&amp;($A684+2/24),tData[SEHTrajectPeriodeDatumTijdTotEnMet],"&gt;"&amp;($A684+2/24),tData[Langligger01],1)</f>
        <v/>
      </c>
      <c r="G684" s="20">
        <f>COUNTIFS(tData[SEHTrajectPeriodeDatumTijdVan],"&lt;="&amp;($A684+3/24),tData[SEHTrajectPeriodeDatumTijdTotEnMet],"&gt;"&amp;($A684+3/24),tData[Langligger01],1)</f>
        <v/>
      </c>
      <c r="H684" s="20">
        <f>COUNTIFS(tData[SEHTrajectPeriodeDatumTijdVan],"&lt;="&amp;($A684+4/24),tData[SEHTrajectPeriodeDatumTijdTotEnMet],"&gt;"&amp;($A684+4/24),tData[Langligger01],1)</f>
        <v/>
      </c>
      <c r="I684" s="20">
        <f>COUNTIFS(tData[SEHTrajectPeriodeDatumTijdVan],"&lt;="&amp;($A684+5/24),tData[SEHTrajectPeriodeDatumTijdTotEnMet],"&gt;"&amp;($A684+5/24),tData[Langligger01],1)</f>
        <v/>
      </c>
      <c r="J684" s="20">
        <f>COUNTIFS(tData[SEHTrajectPeriodeDatumTijdVan],"&lt;="&amp;($A684+6/24),tData[SEHTrajectPeriodeDatumTijdTotEnMet],"&gt;"&amp;($A684+6/24),tData[Langligger01],1)</f>
        <v/>
      </c>
      <c r="K684" s="20">
        <f>COUNTIFS(tData[SEHTrajectPeriodeDatumTijdVan],"&lt;="&amp;($A684+7/24),tData[SEHTrajectPeriodeDatumTijdTotEnMet],"&gt;"&amp;($A684+7/24),tData[Langligger01],1)</f>
        <v/>
      </c>
      <c r="L684" s="20">
        <f>COUNTIFS(tData[SEHTrajectPeriodeDatumTijdVan],"&lt;="&amp;($A684+8/24),tData[SEHTrajectPeriodeDatumTijdTotEnMet],"&gt;"&amp;($A684+8/24),tData[Langligger01],1)</f>
        <v/>
      </c>
      <c r="M684" s="20">
        <f>COUNTIFS(tData[SEHTrajectPeriodeDatumTijdVan],"&lt;="&amp;($A684+9/24),tData[SEHTrajectPeriodeDatumTijdTotEnMet],"&gt;"&amp;($A684+9/24),tData[Langligger01],1)</f>
        <v/>
      </c>
      <c r="N684" s="20">
        <f>COUNTIFS(tData[SEHTrajectPeriodeDatumTijdVan],"&lt;="&amp;($A684+10/24),tData[SEHTrajectPeriodeDatumTijdTotEnMet],"&gt;"&amp;($A684+10/24),tData[Langligger01],1)</f>
        <v/>
      </c>
      <c r="O684" s="20">
        <f>COUNTIFS(tData[SEHTrajectPeriodeDatumTijdVan],"&lt;="&amp;($A684+11/24),tData[SEHTrajectPeriodeDatumTijdTotEnMet],"&gt;"&amp;($A684+11/24),tData[Langligger01],1)</f>
        <v/>
      </c>
      <c r="P684" s="20">
        <f>COUNTIFS(tData[SEHTrajectPeriodeDatumTijdVan],"&lt;="&amp;($A684+12/24),tData[SEHTrajectPeriodeDatumTijdTotEnMet],"&gt;"&amp;($A684+12/24),tData[Langligger01],1)</f>
        <v/>
      </c>
      <c r="Q684" s="20">
        <f>COUNTIFS(tData[SEHTrajectPeriodeDatumTijdVan],"&lt;="&amp;($A684+13/24),tData[SEHTrajectPeriodeDatumTijdTotEnMet],"&gt;"&amp;($A684+13/24),tData[Langligger01],1)</f>
        <v/>
      </c>
      <c r="R684" s="20">
        <f>COUNTIFS(tData[SEHTrajectPeriodeDatumTijdVan],"&lt;="&amp;($A684+14/24),tData[SEHTrajectPeriodeDatumTijdTotEnMet],"&gt;"&amp;($A684+14/24),tData[Langligger01],1)</f>
        <v/>
      </c>
      <c r="S684" s="20">
        <f>COUNTIFS(tData[SEHTrajectPeriodeDatumTijdVan],"&lt;="&amp;($A684+15/24),tData[SEHTrajectPeriodeDatumTijdTotEnMet],"&gt;"&amp;($A684+15/24),tData[Langligger01],1)</f>
        <v/>
      </c>
      <c r="T684" s="20">
        <f>COUNTIFS(tData[SEHTrajectPeriodeDatumTijdVan],"&lt;="&amp;($A684+16/24),tData[SEHTrajectPeriodeDatumTijdTotEnMet],"&gt;"&amp;($A684+16/24),tData[Langligger01],1)</f>
        <v/>
      </c>
      <c r="U684" s="20">
        <f>COUNTIFS(tData[SEHTrajectPeriodeDatumTijdVan],"&lt;="&amp;($A684+17/24),tData[SEHTrajectPeriodeDatumTijdTotEnMet],"&gt;"&amp;($A684+17/24),tData[Langligger01],1)</f>
        <v/>
      </c>
      <c r="V684" s="20">
        <f>COUNTIFS(tData[SEHTrajectPeriodeDatumTijdVan],"&lt;="&amp;($A684+18/24),tData[SEHTrajectPeriodeDatumTijdTotEnMet],"&gt;"&amp;($A684+18/24),tData[Langligger01],1)</f>
        <v/>
      </c>
      <c r="W684" s="20">
        <f>COUNTIFS(tData[SEHTrajectPeriodeDatumTijdVan],"&lt;="&amp;($A684+19/24),tData[SEHTrajectPeriodeDatumTijdTotEnMet],"&gt;"&amp;($A684+19/24),tData[Langligger01],1)</f>
        <v/>
      </c>
      <c r="X684" s="20">
        <f>COUNTIFS(tData[SEHTrajectPeriodeDatumTijdVan],"&lt;="&amp;($A684+20/24),tData[SEHTrajectPeriodeDatumTijdTotEnMet],"&gt;"&amp;($A684+20/24),tData[Langligger01],1)</f>
        <v/>
      </c>
      <c r="Y684" s="20">
        <f>COUNTIFS(tData[SEHTrajectPeriodeDatumTijdVan],"&lt;="&amp;($A684+21/24),tData[SEHTrajectPeriodeDatumTijdTotEnMet],"&gt;"&amp;($A684+21/24),tData[Langligger01],1)</f>
        <v/>
      </c>
      <c r="Z684" s="20">
        <f>COUNTIFS(tData[SEHTrajectPeriodeDatumTijdVan],"&lt;="&amp;($A684+22/24),tData[SEHTrajectPeriodeDatumTijdTotEnMet],"&gt;"&amp;($A684+22/24),tData[Langligger01],1)</f>
        <v/>
      </c>
      <c r="AA684" s="20">
        <f>COUNTIFS(tData[SEHTrajectPeriodeDatumTijdVan],"&lt;="&amp;($A684+23/24),tData[SEHTrajectPeriodeDatumTijdTotEnMet],"&gt;"&amp;($A684+23/24),tData[Langligger01],1)</f>
        <v/>
      </c>
    </row>
    <row r="685">
      <c r="A685" s="19" t="n">
        <v>45973</v>
      </c>
      <c r="B685" s="15">
        <f>WEEKDAY($A685,2)</f>
        <v/>
      </c>
      <c r="C685" s="15">
        <f>IF(AND($A685&gt;=INT(Instellingen!$B$5),$A685&lt;=INT(Instellingen!$B$6)),1,0)</f>
        <v/>
      </c>
      <c r="D685" s="20">
        <f>COUNTIFS(tData[SEHTrajectPeriodeDatumTijdVan],"&lt;="&amp;($A685+0/24),tData[SEHTrajectPeriodeDatumTijdTotEnMet],"&gt;"&amp;($A685+0/24),tData[Langligger01],1)</f>
        <v/>
      </c>
      <c r="E685" s="20">
        <f>COUNTIFS(tData[SEHTrajectPeriodeDatumTijdVan],"&lt;="&amp;($A685+1/24),tData[SEHTrajectPeriodeDatumTijdTotEnMet],"&gt;"&amp;($A685+1/24),tData[Langligger01],1)</f>
        <v/>
      </c>
      <c r="F685" s="20">
        <f>COUNTIFS(tData[SEHTrajectPeriodeDatumTijdVan],"&lt;="&amp;($A685+2/24),tData[SEHTrajectPeriodeDatumTijdTotEnMet],"&gt;"&amp;($A685+2/24),tData[Langligger01],1)</f>
        <v/>
      </c>
      <c r="G685" s="20">
        <f>COUNTIFS(tData[SEHTrajectPeriodeDatumTijdVan],"&lt;="&amp;($A685+3/24),tData[SEHTrajectPeriodeDatumTijdTotEnMet],"&gt;"&amp;($A685+3/24),tData[Langligger01],1)</f>
        <v/>
      </c>
      <c r="H685" s="20">
        <f>COUNTIFS(tData[SEHTrajectPeriodeDatumTijdVan],"&lt;="&amp;($A685+4/24),tData[SEHTrajectPeriodeDatumTijdTotEnMet],"&gt;"&amp;($A685+4/24),tData[Langligger01],1)</f>
        <v/>
      </c>
      <c r="I685" s="20">
        <f>COUNTIFS(tData[SEHTrajectPeriodeDatumTijdVan],"&lt;="&amp;($A685+5/24),tData[SEHTrajectPeriodeDatumTijdTotEnMet],"&gt;"&amp;($A685+5/24),tData[Langligger01],1)</f>
        <v/>
      </c>
      <c r="J685" s="20">
        <f>COUNTIFS(tData[SEHTrajectPeriodeDatumTijdVan],"&lt;="&amp;($A685+6/24),tData[SEHTrajectPeriodeDatumTijdTotEnMet],"&gt;"&amp;($A685+6/24),tData[Langligger01],1)</f>
        <v/>
      </c>
      <c r="K685" s="20">
        <f>COUNTIFS(tData[SEHTrajectPeriodeDatumTijdVan],"&lt;="&amp;($A685+7/24),tData[SEHTrajectPeriodeDatumTijdTotEnMet],"&gt;"&amp;($A685+7/24),tData[Langligger01],1)</f>
        <v/>
      </c>
      <c r="L685" s="20">
        <f>COUNTIFS(tData[SEHTrajectPeriodeDatumTijdVan],"&lt;="&amp;($A685+8/24),tData[SEHTrajectPeriodeDatumTijdTotEnMet],"&gt;"&amp;($A685+8/24),tData[Langligger01],1)</f>
        <v/>
      </c>
      <c r="M685" s="20">
        <f>COUNTIFS(tData[SEHTrajectPeriodeDatumTijdVan],"&lt;="&amp;($A685+9/24),tData[SEHTrajectPeriodeDatumTijdTotEnMet],"&gt;"&amp;($A685+9/24),tData[Langligger01],1)</f>
        <v/>
      </c>
      <c r="N685" s="20">
        <f>COUNTIFS(tData[SEHTrajectPeriodeDatumTijdVan],"&lt;="&amp;($A685+10/24),tData[SEHTrajectPeriodeDatumTijdTotEnMet],"&gt;"&amp;($A685+10/24),tData[Langligger01],1)</f>
        <v/>
      </c>
      <c r="O685" s="20">
        <f>COUNTIFS(tData[SEHTrajectPeriodeDatumTijdVan],"&lt;="&amp;($A685+11/24),tData[SEHTrajectPeriodeDatumTijdTotEnMet],"&gt;"&amp;($A685+11/24),tData[Langligger01],1)</f>
        <v/>
      </c>
      <c r="P685" s="20">
        <f>COUNTIFS(tData[SEHTrajectPeriodeDatumTijdVan],"&lt;="&amp;($A685+12/24),tData[SEHTrajectPeriodeDatumTijdTotEnMet],"&gt;"&amp;($A685+12/24),tData[Langligger01],1)</f>
        <v/>
      </c>
      <c r="Q685" s="20">
        <f>COUNTIFS(tData[SEHTrajectPeriodeDatumTijdVan],"&lt;="&amp;($A685+13/24),tData[SEHTrajectPeriodeDatumTijdTotEnMet],"&gt;"&amp;($A685+13/24),tData[Langligger01],1)</f>
        <v/>
      </c>
      <c r="R685" s="20">
        <f>COUNTIFS(tData[SEHTrajectPeriodeDatumTijdVan],"&lt;="&amp;($A685+14/24),tData[SEHTrajectPeriodeDatumTijdTotEnMet],"&gt;"&amp;($A685+14/24),tData[Langligger01],1)</f>
        <v/>
      </c>
      <c r="S685" s="20">
        <f>COUNTIFS(tData[SEHTrajectPeriodeDatumTijdVan],"&lt;="&amp;($A685+15/24),tData[SEHTrajectPeriodeDatumTijdTotEnMet],"&gt;"&amp;($A685+15/24),tData[Langligger01],1)</f>
        <v/>
      </c>
      <c r="T685" s="20">
        <f>COUNTIFS(tData[SEHTrajectPeriodeDatumTijdVan],"&lt;="&amp;($A685+16/24),tData[SEHTrajectPeriodeDatumTijdTotEnMet],"&gt;"&amp;($A685+16/24),tData[Langligger01],1)</f>
        <v/>
      </c>
      <c r="U685" s="20">
        <f>COUNTIFS(tData[SEHTrajectPeriodeDatumTijdVan],"&lt;="&amp;($A685+17/24),tData[SEHTrajectPeriodeDatumTijdTotEnMet],"&gt;"&amp;($A685+17/24),tData[Langligger01],1)</f>
        <v/>
      </c>
      <c r="V685" s="20">
        <f>COUNTIFS(tData[SEHTrajectPeriodeDatumTijdVan],"&lt;="&amp;($A685+18/24),tData[SEHTrajectPeriodeDatumTijdTotEnMet],"&gt;"&amp;($A685+18/24),tData[Langligger01],1)</f>
        <v/>
      </c>
      <c r="W685" s="20">
        <f>COUNTIFS(tData[SEHTrajectPeriodeDatumTijdVan],"&lt;="&amp;($A685+19/24),tData[SEHTrajectPeriodeDatumTijdTotEnMet],"&gt;"&amp;($A685+19/24),tData[Langligger01],1)</f>
        <v/>
      </c>
      <c r="X685" s="20">
        <f>COUNTIFS(tData[SEHTrajectPeriodeDatumTijdVan],"&lt;="&amp;($A685+20/24),tData[SEHTrajectPeriodeDatumTijdTotEnMet],"&gt;"&amp;($A685+20/24),tData[Langligger01],1)</f>
        <v/>
      </c>
      <c r="Y685" s="20">
        <f>COUNTIFS(tData[SEHTrajectPeriodeDatumTijdVan],"&lt;="&amp;($A685+21/24),tData[SEHTrajectPeriodeDatumTijdTotEnMet],"&gt;"&amp;($A685+21/24),tData[Langligger01],1)</f>
        <v/>
      </c>
      <c r="Z685" s="20">
        <f>COUNTIFS(tData[SEHTrajectPeriodeDatumTijdVan],"&lt;="&amp;($A685+22/24),tData[SEHTrajectPeriodeDatumTijdTotEnMet],"&gt;"&amp;($A685+22/24),tData[Langligger01],1)</f>
        <v/>
      </c>
      <c r="AA685" s="20">
        <f>COUNTIFS(tData[SEHTrajectPeriodeDatumTijdVan],"&lt;="&amp;($A685+23/24),tData[SEHTrajectPeriodeDatumTijdTotEnMet],"&gt;"&amp;($A685+23/24),tData[Langligger01],1)</f>
        <v/>
      </c>
    </row>
    <row r="686">
      <c r="A686" s="19" t="n">
        <v>45974</v>
      </c>
      <c r="B686" s="15">
        <f>WEEKDAY($A686,2)</f>
        <v/>
      </c>
      <c r="C686" s="15">
        <f>IF(AND($A686&gt;=INT(Instellingen!$B$5),$A686&lt;=INT(Instellingen!$B$6)),1,0)</f>
        <v/>
      </c>
      <c r="D686" s="20">
        <f>COUNTIFS(tData[SEHTrajectPeriodeDatumTijdVan],"&lt;="&amp;($A686+0/24),tData[SEHTrajectPeriodeDatumTijdTotEnMet],"&gt;"&amp;($A686+0/24),tData[Langligger01],1)</f>
        <v/>
      </c>
      <c r="E686" s="20">
        <f>COUNTIFS(tData[SEHTrajectPeriodeDatumTijdVan],"&lt;="&amp;($A686+1/24),tData[SEHTrajectPeriodeDatumTijdTotEnMet],"&gt;"&amp;($A686+1/24),tData[Langligger01],1)</f>
        <v/>
      </c>
      <c r="F686" s="20">
        <f>COUNTIFS(tData[SEHTrajectPeriodeDatumTijdVan],"&lt;="&amp;($A686+2/24),tData[SEHTrajectPeriodeDatumTijdTotEnMet],"&gt;"&amp;($A686+2/24),tData[Langligger01],1)</f>
        <v/>
      </c>
      <c r="G686" s="20">
        <f>COUNTIFS(tData[SEHTrajectPeriodeDatumTijdVan],"&lt;="&amp;($A686+3/24),tData[SEHTrajectPeriodeDatumTijdTotEnMet],"&gt;"&amp;($A686+3/24),tData[Langligger01],1)</f>
        <v/>
      </c>
      <c r="H686" s="20">
        <f>COUNTIFS(tData[SEHTrajectPeriodeDatumTijdVan],"&lt;="&amp;($A686+4/24),tData[SEHTrajectPeriodeDatumTijdTotEnMet],"&gt;"&amp;($A686+4/24),tData[Langligger01],1)</f>
        <v/>
      </c>
      <c r="I686" s="20">
        <f>COUNTIFS(tData[SEHTrajectPeriodeDatumTijdVan],"&lt;="&amp;($A686+5/24),tData[SEHTrajectPeriodeDatumTijdTotEnMet],"&gt;"&amp;($A686+5/24),tData[Langligger01],1)</f>
        <v/>
      </c>
      <c r="J686" s="20">
        <f>COUNTIFS(tData[SEHTrajectPeriodeDatumTijdVan],"&lt;="&amp;($A686+6/24),tData[SEHTrajectPeriodeDatumTijdTotEnMet],"&gt;"&amp;($A686+6/24),tData[Langligger01],1)</f>
        <v/>
      </c>
      <c r="K686" s="20">
        <f>COUNTIFS(tData[SEHTrajectPeriodeDatumTijdVan],"&lt;="&amp;($A686+7/24),tData[SEHTrajectPeriodeDatumTijdTotEnMet],"&gt;"&amp;($A686+7/24),tData[Langligger01],1)</f>
        <v/>
      </c>
      <c r="L686" s="20">
        <f>COUNTIFS(tData[SEHTrajectPeriodeDatumTijdVan],"&lt;="&amp;($A686+8/24),tData[SEHTrajectPeriodeDatumTijdTotEnMet],"&gt;"&amp;($A686+8/24),tData[Langligger01],1)</f>
        <v/>
      </c>
      <c r="M686" s="20">
        <f>COUNTIFS(tData[SEHTrajectPeriodeDatumTijdVan],"&lt;="&amp;($A686+9/24),tData[SEHTrajectPeriodeDatumTijdTotEnMet],"&gt;"&amp;($A686+9/24),tData[Langligger01],1)</f>
        <v/>
      </c>
      <c r="N686" s="20">
        <f>COUNTIFS(tData[SEHTrajectPeriodeDatumTijdVan],"&lt;="&amp;($A686+10/24),tData[SEHTrajectPeriodeDatumTijdTotEnMet],"&gt;"&amp;($A686+10/24),tData[Langligger01],1)</f>
        <v/>
      </c>
      <c r="O686" s="20">
        <f>COUNTIFS(tData[SEHTrajectPeriodeDatumTijdVan],"&lt;="&amp;($A686+11/24),tData[SEHTrajectPeriodeDatumTijdTotEnMet],"&gt;"&amp;($A686+11/24),tData[Langligger01],1)</f>
        <v/>
      </c>
      <c r="P686" s="20">
        <f>COUNTIFS(tData[SEHTrajectPeriodeDatumTijdVan],"&lt;="&amp;($A686+12/24),tData[SEHTrajectPeriodeDatumTijdTotEnMet],"&gt;"&amp;($A686+12/24),tData[Langligger01],1)</f>
        <v/>
      </c>
      <c r="Q686" s="20">
        <f>COUNTIFS(tData[SEHTrajectPeriodeDatumTijdVan],"&lt;="&amp;($A686+13/24),tData[SEHTrajectPeriodeDatumTijdTotEnMet],"&gt;"&amp;($A686+13/24),tData[Langligger01],1)</f>
        <v/>
      </c>
      <c r="R686" s="20">
        <f>COUNTIFS(tData[SEHTrajectPeriodeDatumTijdVan],"&lt;="&amp;($A686+14/24),tData[SEHTrajectPeriodeDatumTijdTotEnMet],"&gt;"&amp;($A686+14/24),tData[Langligger01],1)</f>
        <v/>
      </c>
      <c r="S686" s="20">
        <f>COUNTIFS(tData[SEHTrajectPeriodeDatumTijdVan],"&lt;="&amp;($A686+15/24),tData[SEHTrajectPeriodeDatumTijdTotEnMet],"&gt;"&amp;($A686+15/24),tData[Langligger01],1)</f>
        <v/>
      </c>
      <c r="T686" s="20">
        <f>COUNTIFS(tData[SEHTrajectPeriodeDatumTijdVan],"&lt;="&amp;($A686+16/24),tData[SEHTrajectPeriodeDatumTijdTotEnMet],"&gt;"&amp;($A686+16/24),tData[Langligger01],1)</f>
        <v/>
      </c>
      <c r="U686" s="20">
        <f>COUNTIFS(tData[SEHTrajectPeriodeDatumTijdVan],"&lt;="&amp;($A686+17/24),tData[SEHTrajectPeriodeDatumTijdTotEnMet],"&gt;"&amp;($A686+17/24),tData[Langligger01],1)</f>
        <v/>
      </c>
      <c r="V686" s="20">
        <f>COUNTIFS(tData[SEHTrajectPeriodeDatumTijdVan],"&lt;="&amp;($A686+18/24),tData[SEHTrajectPeriodeDatumTijdTotEnMet],"&gt;"&amp;($A686+18/24),tData[Langligger01],1)</f>
        <v/>
      </c>
      <c r="W686" s="20">
        <f>COUNTIFS(tData[SEHTrajectPeriodeDatumTijdVan],"&lt;="&amp;($A686+19/24),tData[SEHTrajectPeriodeDatumTijdTotEnMet],"&gt;"&amp;($A686+19/24),tData[Langligger01],1)</f>
        <v/>
      </c>
      <c r="X686" s="20">
        <f>COUNTIFS(tData[SEHTrajectPeriodeDatumTijdVan],"&lt;="&amp;($A686+20/24),tData[SEHTrajectPeriodeDatumTijdTotEnMet],"&gt;"&amp;($A686+20/24),tData[Langligger01],1)</f>
        <v/>
      </c>
      <c r="Y686" s="20">
        <f>COUNTIFS(tData[SEHTrajectPeriodeDatumTijdVan],"&lt;="&amp;($A686+21/24),tData[SEHTrajectPeriodeDatumTijdTotEnMet],"&gt;"&amp;($A686+21/24),tData[Langligger01],1)</f>
        <v/>
      </c>
      <c r="Z686" s="20">
        <f>COUNTIFS(tData[SEHTrajectPeriodeDatumTijdVan],"&lt;="&amp;($A686+22/24),tData[SEHTrajectPeriodeDatumTijdTotEnMet],"&gt;"&amp;($A686+22/24),tData[Langligger01],1)</f>
        <v/>
      </c>
      <c r="AA686" s="20">
        <f>COUNTIFS(tData[SEHTrajectPeriodeDatumTijdVan],"&lt;="&amp;($A686+23/24),tData[SEHTrajectPeriodeDatumTijdTotEnMet],"&gt;"&amp;($A686+23/24),tData[Langligger01],1)</f>
        <v/>
      </c>
    </row>
    <row r="687">
      <c r="A687" s="19" t="n">
        <v>45975</v>
      </c>
      <c r="B687" s="15">
        <f>WEEKDAY($A687,2)</f>
        <v/>
      </c>
      <c r="C687" s="15">
        <f>IF(AND($A687&gt;=INT(Instellingen!$B$5),$A687&lt;=INT(Instellingen!$B$6)),1,0)</f>
        <v/>
      </c>
      <c r="D687" s="20">
        <f>COUNTIFS(tData[SEHTrajectPeriodeDatumTijdVan],"&lt;="&amp;($A687+0/24),tData[SEHTrajectPeriodeDatumTijdTotEnMet],"&gt;"&amp;($A687+0/24),tData[Langligger01],1)</f>
        <v/>
      </c>
      <c r="E687" s="20">
        <f>COUNTIFS(tData[SEHTrajectPeriodeDatumTijdVan],"&lt;="&amp;($A687+1/24),tData[SEHTrajectPeriodeDatumTijdTotEnMet],"&gt;"&amp;($A687+1/24),tData[Langligger01],1)</f>
        <v/>
      </c>
      <c r="F687" s="20">
        <f>COUNTIFS(tData[SEHTrajectPeriodeDatumTijdVan],"&lt;="&amp;($A687+2/24),tData[SEHTrajectPeriodeDatumTijdTotEnMet],"&gt;"&amp;($A687+2/24),tData[Langligger01],1)</f>
        <v/>
      </c>
      <c r="G687" s="20">
        <f>COUNTIFS(tData[SEHTrajectPeriodeDatumTijdVan],"&lt;="&amp;($A687+3/24),tData[SEHTrajectPeriodeDatumTijdTotEnMet],"&gt;"&amp;($A687+3/24),tData[Langligger01],1)</f>
        <v/>
      </c>
      <c r="H687" s="20">
        <f>COUNTIFS(tData[SEHTrajectPeriodeDatumTijdVan],"&lt;="&amp;($A687+4/24),tData[SEHTrajectPeriodeDatumTijdTotEnMet],"&gt;"&amp;($A687+4/24),tData[Langligger01],1)</f>
        <v/>
      </c>
      <c r="I687" s="20">
        <f>COUNTIFS(tData[SEHTrajectPeriodeDatumTijdVan],"&lt;="&amp;($A687+5/24),tData[SEHTrajectPeriodeDatumTijdTotEnMet],"&gt;"&amp;($A687+5/24),tData[Langligger01],1)</f>
        <v/>
      </c>
      <c r="J687" s="20">
        <f>COUNTIFS(tData[SEHTrajectPeriodeDatumTijdVan],"&lt;="&amp;($A687+6/24),tData[SEHTrajectPeriodeDatumTijdTotEnMet],"&gt;"&amp;($A687+6/24),tData[Langligger01],1)</f>
        <v/>
      </c>
      <c r="K687" s="20">
        <f>COUNTIFS(tData[SEHTrajectPeriodeDatumTijdVan],"&lt;="&amp;($A687+7/24),tData[SEHTrajectPeriodeDatumTijdTotEnMet],"&gt;"&amp;($A687+7/24),tData[Langligger01],1)</f>
        <v/>
      </c>
      <c r="L687" s="20">
        <f>COUNTIFS(tData[SEHTrajectPeriodeDatumTijdVan],"&lt;="&amp;($A687+8/24),tData[SEHTrajectPeriodeDatumTijdTotEnMet],"&gt;"&amp;($A687+8/24),tData[Langligger01],1)</f>
        <v/>
      </c>
      <c r="M687" s="20">
        <f>COUNTIFS(tData[SEHTrajectPeriodeDatumTijdVan],"&lt;="&amp;($A687+9/24),tData[SEHTrajectPeriodeDatumTijdTotEnMet],"&gt;"&amp;($A687+9/24),tData[Langligger01],1)</f>
        <v/>
      </c>
      <c r="N687" s="20">
        <f>COUNTIFS(tData[SEHTrajectPeriodeDatumTijdVan],"&lt;="&amp;($A687+10/24),tData[SEHTrajectPeriodeDatumTijdTotEnMet],"&gt;"&amp;($A687+10/24),tData[Langligger01],1)</f>
        <v/>
      </c>
      <c r="O687" s="20">
        <f>COUNTIFS(tData[SEHTrajectPeriodeDatumTijdVan],"&lt;="&amp;($A687+11/24),tData[SEHTrajectPeriodeDatumTijdTotEnMet],"&gt;"&amp;($A687+11/24),tData[Langligger01],1)</f>
        <v/>
      </c>
      <c r="P687" s="20">
        <f>COUNTIFS(tData[SEHTrajectPeriodeDatumTijdVan],"&lt;="&amp;($A687+12/24),tData[SEHTrajectPeriodeDatumTijdTotEnMet],"&gt;"&amp;($A687+12/24),tData[Langligger01],1)</f>
        <v/>
      </c>
      <c r="Q687" s="20">
        <f>COUNTIFS(tData[SEHTrajectPeriodeDatumTijdVan],"&lt;="&amp;($A687+13/24),tData[SEHTrajectPeriodeDatumTijdTotEnMet],"&gt;"&amp;($A687+13/24),tData[Langligger01],1)</f>
        <v/>
      </c>
      <c r="R687" s="20">
        <f>COUNTIFS(tData[SEHTrajectPeriodeDatumTijdVan],"&lt;="&amp;($A687+14/24),tData[SEHTrajectPeriodeDatumTijdTotEnMet],"&gt;"&amp;($A687+14/24),tData[Langligger01],1)</f>
        <v/>
      </c>
      <c r="S687" s="20">
        <f>COUNTIFS(tData[SEHTrajectPeriodeDatumTijdVan],"&lt;="&amp;($A687+15/24),tData[SEHTrajectPeriodeDatumTijdTotEnMet],"&gt;"&amp;($A687+15/24),tData[Langligger01],1)</f>
        <v/>
      </c>
      <c r="T687" s="20">
        <f>COUNTIFS(tData[SEHTrajectPeriodeDatumTijdVan],"&lt;="&amp;($A687+16/24),tData[SEHTrajectPeriodeDatumTijdTotEnMet],"&gt;"&amp;($A687+16/24),tData[Langligger01],1)</f>
        <v/>
      </c>
      <c r="U687" s="20">
        <f>COUNTIFS(tData[SEHTrajectPeriodeDatumTijdVan],"&lt;="&amp;($A687+17/24),tData[SEHTrajectPeriodeDatumTijdTotEnMet],"&gt;"&amp;($A687+17/24),tData[Langligger01],1)</f>
        <v/>
      </c>
      <c r="V687" s="20">
        <f>COUNTIFS(tData[SEHTrajectPeriodeDatumTijdVan],"&lt;="&amp;($A687+18/24),tData[SEHTrajectPeriodeDatumTijdTotEnMet],"&gt;"&amp;($A687+18/24),tData[Langligger01],1)</f>
        <v/>
      </c>
      <c r="W687" s="20">
        <f>COUNTIFS(tData[SEHTrajectPeriodeDatumTijdVan],"&lt;="&amp;($A687+19/24),tData[SEHTrajectPeriodeDatumTijdTotEnMet],"&gt;"&amp;($A687+19/24),tData[Langligger01],1)</f>
        <v/>
      </c>
      <c r="X687" s="20">
        <f>COUNTIFS(tData[SEHTrajectPeriodeDatumTijdVan],"&lt;="&amp;($A687+20/24),tData[SEHTrajectPeriodeDatumTijdTotEnMet],"&gt;"&amp;($A687+20/24),tData[Langligger01],1)</f>
        <v/>
      </c>
      <c r="Y687" s="20">
        <f>COUNTIFS(tData[SEHTrajectPeriodeDatumTijdVan],"&lt;="&amp;($A687+21/24),tData[SEHTrajectPeriodeDatumTijdTotEnMet],"&gt;"&amp;($A687+21/24),tData[Langligger01],1)</f>
        <v/>
      </c>
      <c r="Z687" s="20">
        <f>COUNTIFS(tData[SEHTrajectPeriodeDatumTijdVan],"&lt;="&amp;($A687+22/24),tData[SEHTrajectPeriodeDatumTijdTotEnMet],"&gt;"&amp;($A687+22/24),tData[Langligger01],1)</f>
        <v/>
      </c>
      <c r="AA687" s="20">
        <f>COUNTIFS(tData[SEHTrajectPeriodeDatumTijdVan],"&lt;="&amp;($A687+23/24),tData[SEHTrajectPeriodeDatumTijdTotEnMet],"&gt;"&amp;($A687+23/24),tData[Langligger01],1)</f>
        <v/>
      </c>
    </row>
    <row r="688">
      <c r="A688" s="19" t="n">
        <v>45976</v>
      </c>
      <c r="B688" s="15">
        <f>WEEKDAY($A688,2)</f>
        <v/>
      </c>
      <c r="C688" s="15">
        <f>IF(AND($A688&gt;=INT(Instellingen!$B$5),$A688&lt;=INT(Instellingen!$B$6)),1,0)</f>
        <v/>
      </c>
      <c r="D688" s="20">
        <f>COUNTIFS(tData[SEHTrajectPeriodeDatumTijdVan],"&lt;="&amp;($A688+0/24),tData[SEHTrajectPeriodeDatumTijdTotEnMet],"&gt;"&amp;($A688+0/24),tData[Langligger01],1)</f>
        <v/>
      </c>
      <c r="E688" s="20">
        <f>COUNTIFS(tData[SEHTrajectPeriodeDatumTijdVan],"&lt;="&amp;($A688+1/24),tData[SEHTrajectPeriodeDatumTijdTotEnMet],"&gt;"&amp;($A688+1/24),tData[Langligger01],1)</f>
        <v/>
      </c>
      <c r="F688" s="20">
        <f>COUNTIFS(tData[SEHTrajectPeriodeDatumTijdVan],"&lt;="&amp;($A688+2/24),tData[SEHTrajectPeriodeDatumTijdTotEnMet],"&gt;"&amp;($A688+2/24),tData[Langligger01],1)</f>
        <v/>
      </c>
      <c r="G688" s="20">
        <f>COUNTIFS(tData[SEHTrajectPeriodeDatumTijdVan],"&lt;="&amp;($A688+3/24),tData[SEHTrajectPeriodeDatumTijdTotEnMet],"&gt;"&amp;($A688+3/24),tData[Langligger01],1)</f>
        <v/>
      </c>
      <c r="H688" s="20">
        <f>COUNTIFS(tData[SEHTrajectPeriodeDatumTijdVan],"&lt;="&amp;($A688+4/24),tData[SEHTrajectPeriodeDatumTijdTotEnMet],"&gt;"&amp;($A688+4/24),tData[Langligger01],1)</f>
        <v/>
      </c>
      <c r="I688" s="20">
        <f>COUNTIFS(tData[SEHTrajectPeriodeDatumTijdVan],"&lt;="&amp;($A688+5/24),tData[SEHTrajectPeriodeDatumTijdTotEnMet],"&gt;"&amp;($A688+5/24),tData[Langligger01],1)</f>
        <v/>
      </c>
      <c r="J688" s="20">
        <f>COUNTIFS(tData[SEHTrajectPeriodeDatumTijdVan],"&lt;="&amp;($A688+6/24),tData[SEHTrajectPeriodeDatumTijdTotEnMet],"&gt;"&amp;($A688+6/24),tData[Langligger01],1)</f>
        <v/>
      </c>
      <c r="K688" s="20">
        <f>COUNTIFS(tData[SEHTrajectPeriodeDatumTijdVan],"&lt;="&amp;($A688+7/24),tData[SEHTrajectPeriodeDatumTijdTotEnMet],"&gt;"&amp;($A688+7/24),tData[Langligger01],1)</f>
        <v/>
      </c>
      <c r="L688" s="20">
        <f>COUNTIFS(tData[SEHTrajectPeriodeDatumTijdVan],"&lt;="&amp;($A688+8/24),tData[SEHTrajectPeriodeDatumTijdTotEnMet],"&gt;"&amp;($A688+8/24),tData[Langligger01],1)</f>
        <v/>
      </c>
      <c r="M688" s="20">
        <f>COUNTIFS(tData[SEHTrajectPeriodeDatumTijdVan],"&lt;="&amp;($A688+9/24),tData[SEHTrajectPeriodeDatumTijdTotEnMet],"&gt;"&amp;($A688+9/24),tData[Langligger01],1)</f>
        <v/>
      </c>
      <c r="N688" s="20">
        <f>COUNTIFS(tData[SEHTrajectPeriodeDatumTijdVan],"&lt;="&amp;($A688+10/24),tData[SEHTrajectPeriodeDatumTijdTotEnMet],"&gt;"&amp;($A688+10/24),tData[Langligger01],1)</f>
        <v/>
      </c>
      <c r="O688" s="20">
        <f>COUNTIFS(tData[SEHTrajectPeriodeDatumTijdVan],"&lt;="&amp;($A688+11/24),tData[SEHTrajectPeriodeDatumTijdTotEnMet],"&gt;"&amp;($A688+11/24),tData[Langligger01],1)</f>
        <v/>
      </c>
      <c r="P688" s="20">
        <f>COUNTIFS(tData[SEHTrajectPeriodeDatumTijdVan],"&lt;="&amp;($A688+12/24),tData[SEHTrajectPeriodeDatumTijdTotEnMet],"&gt;"&amp;($A688+12/24),tData[Langligger01],1)</f>
        <v/>
      </c>
      <c r="Q688" s="20">
        <f>COUNTIFS(tData[SEHTrajectPeriodeDatumTijdVan],"&lt;="&amp;($A688+13/24),tData[SEHTrajectPeriodeDatumTijdTotEnMet],"&gt;"&amp;($A688+13/24),tData[Langligger01],1)</f>
        <v/>
      </c>
      <c r="R688" s="20">
        <f>COUNTIFS(tData[SEHTrajectPeriodeDatumTijdVan],"&lt;="&amp;($A688+14/24),tData[SEHTrajectPeriodeDatumTijdTotEnMet],"&gt;"&amp;($A688+14/24),tData[Langligger01],1)</f>
        <v/>
      </c>
      <c r="S688" s="20">
        <f>COUNTIFS(tData[SEHTrajectPeriodeDatumTijdVan],"&lt;="&amp;($A688+15/24),tData[SEHTrajectPeriodeDatumTijdTotEnMet],"&gt;"&amp;($A688+15/24),tData[Langligger01],1)</f>
        <v/>
      </c>
      <c r="T688" s="20">
        <f>COUNTIFS(tData[SEHTrajectPeriodeDatumTijdVan],"&lt;="&amp;($A688+16/24),tData[SEHTrajectPeriodeDatumTijdTotEnMet],"&gt;"&amp;($A688+16/24),tData[Langligger01],1)</f>
        <v/>
      </c>
      <c r="U688" s="20">
        <f>COUNTIFS(tData[SEHTrajectPeriodeDatumTijdVan],"&lt;="&amp;($A688+17/24),tData[SEHTrajectPeriodeDatumTijdTotEnMet],"&gt;"&amp;($A688+17/24),tData[Langligger01],1)</f>
        <v/>
      </c>
      <c r="V688" s="20">
        <f>COUNTIFS(tData[SEHTrajectPeriodeDatumTijdVan],"&lt;="&amp;($A688+18/24),tData[SEHTrajectPeriodeDatumTijdTotEnMet],"&gt;"&amp;($A688+18/24),tData[Langligger01],1)</f>
        <v/>
      </c>
      <c r="W688" s="20">
        <f>COUNTIFS(tData[SEHTrajectPeriodeDatumTijdVan],"&lt;="&amp;($A688+19/24),tData[SEHTrajectPeriodeDatumTijdTotEnMet],"&gt;"&amp;($A688+19/24),tData[Langligger01],1)</f>
        <v/>
      </c>
      <c r="X688" s="20">
        <f>COUNTIFS(tData[SEHTrajectPeriodeDatumTijdVan],"&lt;="&amp;($A688+20/24),tData[SEHTrajectPeriodeDatumTijdTotEnMet],"&gt;"&amp;($A688+20/24),tData[Langligger01],1)</f>
        <v/>
      </c>
      <c r="Y688" s="20">
        <f>COUNTIFS(tData[SEHTrajectPeriodeDatumTijdVan],"&lt;="&amp;($A688+21/24),tData[SEHTrajectPeriodeDatumTijdTotEnMet],"&gt;"&amp;($A688+21/24),tData[Langligger01],1)</f>
        <v/>
      </c>
      <c r="Z688" s="20">
        <f>COUNTIFS(tData[SEHTrajectPeriodeDatumTijdVan],"&lt;="&amp;($A688+22/24),tData[SEHTrajectPeriodeDatumTijdTotEnMet],"&gt;"&amp;($A688+22/24),tData[Langligger01],1)</f>
        <v/>
      </c>
      <c r="AA688" s="20">
        <f>COUNTIFS(tData[SEHTrajectPeriodeDatumTijdVan],"&lt;="&amp;($A688+23/24),tData[SEHTrajectPeriodeDatumTijdTotEnMet],"&gt;"&amp;($A688+23/24),tData[Langligger01],1)</f>
        <v/>
      </c>
    </row>
    <row r="689">
      <c r="A689" s="19" t="n">
        <v>45977</v>
      </c>
      <c r="B689" s="15">
        <f>WEEKDAY($A689,2)</f>
        <v/>
      </c>
      <c r="C689" s="15">
        <f>IF(AND($A689&gt;=INT(Instellingen!$B$5),$A689&lt;=INT(Instellingen!$B$6)),1,0)</f>
        <v/>
      </c>
      <c r="D689" s="20">
        <f>COUNTIFS(tData[SEHTrajectPeriodeDatumTijdVan],"&lt;="&amp;($A689+0/24),tData[SEHTrajectPeriodeDatumTijdTotEnMet],"&gt;"&amp;($A689+0/24),tData[Langligger01],1)</f>
        <v/>
      </c>
      <c r="E689" s="20">
        <f>COUNTIFS(tData[SEHTrajectPeriodeDatumTijdVan],"&lt;="&amp;($A689+1/24),tData[SEHTrajectPeriodeDatumTijdTotEnMet],"&gt;"&amp;($A689+1/24),tData[Langligger01],1)</f>
        <v/>
      </c>
      <c r="F689" s="20">
        <f>COUNTIFS(tData[SEHTrajectPeriodeDatumTijdVan],"&lt;="&amp;($A689+2/24),tData[SEHTrajectPeriodeDatumTijdTotEnMet],"&gt;"&amp;($A689+2/24),tData[Langligger01],1)</f>
        <v/>
      </c>
      <c r="G689" s="20">
        <f>COUNTIFS(tData[SEHTrajectPeriodeDatumTijdVan],"&lt;="&amp;($A689+3/24),tData[SEHTrajectPeriodeDatumTijdTotEnMet],"&gt;"&amp;($A689+3/24),tData[Langligger01],1)</f>
        <v/>
      </c>
      <c r="H689" s="20">
        <f>COUNTIFS(tData[SEHTrajectPeriodeDatumTijdVan],"&lt;="&amp;($A689+4/24),tData[SEHTrajectPeriodeDatumTijdTotEnMet],"&gt;"&amp;($A689+4/24),tData[Langligger01],1)</f>
        <v/>
      </c>
      <c r="I689" s="20">
        <f>COUNTIFS(tData[SEHTrajectPeriodeDatumTijdVan],"&lt;="&amp;($A689+5/24),tData[SEHTrajectPeriodeDatumTijdTotEnMet],"&gt;"&amp;($A689+5/24),tData[Langligger01],1)</f>
        <v/>
      </c>
      <c r="J689" s="20">
        <f>COUNTIFS(tData[SEHTrajectPeriodeDatumTijdVan],"&lt;="&amp;($A689+6/24),tData[SEHTrajectPeriodeDatumTijdTotEnMet],"&gt;"&amp;($A689+6/24),tData[Langligger01],1)</f>
        <v/>
      </c>
      <c r="K689" s="20">
        <f>COUNTIFS(tData[SEHTrajectPeriodeDatumTijdVan],"&lt;="&amp;($A689+7/24),tData[SEHTrajectPeriodeDatumTijdTotEnMet],"&gt;"&amp;($A689+7/24),tData[Langligger01],1)</f>
        <v/>
      </c>
      <c r="L689" s="20">
        <f>COUNTIFS(tData[SEHTrajectPeriodeDatumTijdVan],"&lt;="&amp;($A689+8/24),tData[SEHTrajectPeriodeDatumTijdTotEnMet],"&gt;"&amp;($A689+8/24),tData[Langligger01],1)</f>
        <v/>
      </c>
      <c r="M689" s="20">
        <f>COUNTIFS(tData[SEHTrajectPeriodeDatumTijdVan],"&lt;="&amp;($A689+9/24),tData[SEHTrajectPeriodeDatumTijdTotEnMet],"&gt;"&amp;($A689+9/24),tData[Langligger01],1)</f>
        <v/>
      </c>
      <c r="N689" s="20">
        <f>COUNTIFS(tData[SEHTrajectPeriodeDatumTijdVan],"&lt;="&amp;($A689+10/24),tData[SEHTrajectPeriodeDatumTijdTotEnMet],"&gt;"&amp;($A689+10/24),tData[Langligger01],1)</f>
        <v/>
      </c>
      <c r="O689" s="20">
        <f>COUNTIFS(tData[SEHTrajectPeriodeDatumTijdVan],"&lt;="&amp;($A689+11/24),tData[SEHTrajectPeriodeDatumTijdTotEnMet],"&gt;"&amp;($A689+11/24),tData[Langligger01],1)</f>
        <v/>
      </c>
      <c r="P689" s="20">
        <f>COUNTIFS(tData[SEHTrajectPeriodeDatumTijdVan],"&lt;="&amp;($A689+12/24),tData[SEHTrajectPeriodeDatumTijdTotEnMet],"&gt;"&amp;($A689+12/24),tData[Langligger01],1)</f>
        <v/>
      </c>
      <c r="Q689" s="20">
        <f>COUNTIFS(tData[SEHTrajectPeriodeDatumTijdVan],"&lt;="&amp;($A689+13/24),tData[SEHTrajectPeriodeDatumTijdTotEnMet],"&gt;"&amp;($A689+13/24),tData[Langligger01],1)</f>
        <v/>
      </c>
      <c r="R689" s="20">
        <f>COUNTIFS(tData[SEHTrajectPeriodeDatumTijdVan],"&lt;="&amp;($A689+14/24),tData[SEHTrajectPeriodeDatumTijdTotEnMet],"&gt;"&amp;($A689+14/24),tData[Langligger01],1)</f>
        <v/>
      </c>
      <c r="S689" s="20">
        <f>COUNTIFS(tData[SEHTrajectPeriodeDatumTijdVan],"&lt;="&amp;($A689+15/24),tData[SEHTrajectPeriodeDatumTijdTotEnMet],"&gt;"&amp;($A689+15/24),tData[Langligger01],1)</f>
        <v/>
      </c>
      <c r="T689" s="20">
        <f>COUNTIFS(tData[SEHTrajectPeriodeDatumTijdVan],"&lt;="&amp;($A689+16/24),tData[SEHTrajectPeriodeDatumTijdTotEnMet],"&gt;"&amp;($A689+16/24),tData[Langligger01],1)</f>
        <v/>
      </c>
      <c r="U689" s="20">
        <f>COUNTIFS(tData[SEHTrajectPeriodeDatumTijdVan],"&lt;="&amp;($A689+17/24),tData[SEHTrajectPeriodeDatumTijdTotEnMet],"&gt;"&amp;($A689+17/24),tData[Langligger01],1)</f>
        <v/>
      </c>
      <c r="V689" s="20">
        <f>COUNTIFS(tData[SEHTrajectPeriodeDatumTijdVan],"&lt;="&amp;($A689+18/24),tData[SEHTrajectPeriodeDatumTijdTotEnMet],"&gt;"&amp;($A689+18/24),tData[Langligger01],1)</f>
        <v/>
      </c>
      <c r="W689" s="20">
        <f>COUNTIFS(tData[SEHTrajectPeriodeDatumTijdVan],"&lt;="&amp;($A689+19/24),tData[SEHTrajectPeriodeDatumTijdTotEnMet],"&gt;"&amp;($A689+19/24),tData[Langligger01],1)</f>
        <v/>
      </c>
      <c r="X689" s="20">
        <f>COUNTIFS(tData[SEHTrajectPeriodeDatumTijdVan],"&lt;="&amp;($A689+20/24),tData[SEHTrajectPeriodeDatumTijdTotEnMet],"&gt;"&amp;($A689+20/24),tData[Langligger01],1)</f>
        <v/>
      </c>
      <c r="Y689" s="20">
        <f>COUNTIFS(tData[SEHTrajectPeriodeDatumTijdVan],"&lt;="&amp;($A689+21/24),tData[SEHTrajectPeriodeDatumTijdTotEnMet],"&gt;"&amp;($A689+21/24),tData[Langligger01],1)</f>
        <v/>
      </c>
      <c r="Z689" s="20">
        <f>COUNTIFS(tData[SEHTrajectPeriodeDatumTijdVan],"&lt;="&amp;($A689+22/24),tData[SEHTrajectPeriodeDatumTijdTotEnMet],"&gt;"&amp;($A689+22/24),tData[Langligger01],1)</f>
        <v/>
      </c>
      <c r="AA689" s="20">
        <f>COUNTIFS(tData[SEHTrajectPeriodeDatumTijdVan],"&lt;="&amp;($A689+23/24),tData[SEHTrajectPeriodeDatumTijdTotEnMet],"&gt;"&amp;($A689+23/24),tData[Langligger01],1)</f>
        <v/>
      </c>
    </row>
    <row r="690">
      <c r="A690" s="19" t="n">
        <v>45978</v>
      </c>
      <c r="B690" s="15">
        <f>WEEKDAY($A690,2)</f>
        <v/>
      </c>
      <c r="C690" s="15">
        <f>IF(AND($A690&gt;=INT(Instellingen!$B$5),$A690&lt;=INT(Instellingen!$B$6)),1,0)</f>
        <v/>
      </c>
      <c r="D690" s="20">
        <f>COUNTIFS(tData[SEHTrajectPeriodeDatumTijdVan],"&lt;="&amp;($A690+0/24),tData[SEHTrajectPeriodeDatumTijdTotEnMet],"&gt;"&amp;($A690+0/24),tData[Langligger01],1)</f>
        <v/>
      </c>
      <c r="E690" s="20">
        <f>COUNTIFS(tData[SEHTrajectPeriodeDatumTijdVan],"&lt;="&amp;($A690+1/24),tData[SEHTrajectPeriodeDatumTijdTotEnMet],"&gt;"&amp;($A690+1/24),tData[Langligger01],1)</f>
        <v/>
      </c>
      <c r="F690" s="20">
        <f>COUNTIFS(tData[SEHTrajectPeriodeDatumTijdVan],"&lt;="&amp;($A690+2/24),tData[SEHTrajectPeriodeDatumTijdTotEnMet],"&gt;"&amp;($A690+2/24),tData[Langligger01],1)</f>
        <v/>
      </c>
      <c r="G690" s="20">
        <f>COUNTIFS(tData[SEHTrajectPeriodeDatumTijdVan],"&lt;="&amp;($A690+3/24),tData[SEHTrajectPeriodeDatumTijdTotEnMet],"&gt;"&amp;($A690+3/24),tData[Langligger01],1)</f>
        <v/>
      </c>
      <c r="H690" s="20">
        <f>COUNTIFS(tData[SEHTrajectPeriodeDatumTijdVan],"&lt;="&amp;($A690+4/24),tData[SEHTrajectPeriodeDatumTijdTotEnMet],"&gt;"&amp;($A690+4/24),tData[Langligger01],1)</f>
        <v/>
      </c>
      <c r="I690" s="20">
        <f>COUNTIFS(tData[SEHTrajectPeriodeDatumTijdVan],"&lt;="&amp;($A690+5/24),tData[SEHTrajectPeriodeDatumTijdTotEnMet],"&gt;"&amp;($A690+5/24),tData[Langligger01],1)</f>
        <v/>
      </c>
      <c r="J690" s="20">
        <f>COUNTIFS(tData[SEHTrajectPeriodeDatumTijdVan],"&lt;="&amp;($A690+6/24),tData[SEHTrajectPeriodeDatumTijdTotEnMet],"&gt;"&amp;($A690+6/24),tData[Langligger01],1)</f>
        <v/>
      </c>
      <c r="K690" s="20">
        <f>COUNTIFS(tData[SEHTrajectPeriodeDatumTijdVan],"&lt;="&amp;($A690+7/24),tData[SEHTrajectPeriodeDatumTijdTotEnMet],"&gt;"&amp;($A690+7/24),tData[Langligger01],1)</f>
        <v/>
      </c>
      <c r="L690" s="20">
        <f>COUNTIFS(tData[SEHTrajectPeriodeDatumTijdVan],"&lt;="&amp;($A690+8/24),tData[SEHTrajectPeriodeDatumTijdTotEnMet],"&gt;"&amp;($A690+8/24),tData[Langligger01],1)</f>
        <v/>
      </c>
      <c r="M690" s="20">
        <f>COUNTIFS(tData[SEHTrajectPeriodeDatumTijdVan],"&lt;="&amp;($A690+9/24),tData[SEHTrajectPeriodeDatumTijdTotEnMet],"&gt;"&amp;($A690+9/24),tData[Langligger01],1)</f>
        <v/>
      </c>
      <c r="N690" s="20">
        <f>COUNTIFS(tData[SEHTrajectPeriodeDatumTijdVan],"&lt;="&amp;($A690+10/24),tData[SEHTrajectPeriodeDatumTijdTotEnMet],"&gt;"&amp;($A690+10/24),tData[Langligger01],1)</f>
        <v/>
      </c>
      <c r="O690" s="20">
        <f>COUNTIFS(tData[SEHTrajectPeriodeDatumTijdVan],"&lt;="&amp;($A690+11/24),tData[SEHTrajectPeriodeDatumTijdTotEnMet],"&gt;"&amp;($A690+11/24),tData[Langligger01],1)</f>
        <v/>
      </c>
      <c r="P690" s="20">
        <f>COUNTIFS(tData[SEHTrajectPeriodeDatumTijdVan],"&lt;="&amp;($A690+12/24),tData[SEHTrajectPeriodeDatumTijdTotEnMet],"&gt;"&amp;($A690+12/24),tData[Langligger01],1)</f>
        <v/>
      </c>
      <c r="Q690" s="20">
        <f>COUNTIFS(tData[SEHTrajectPeriodeDatumTijdVan],"&lt;="&amp;($A690+13/24),tData[SEHTrajectPeriodeDatumTijdTotEnMet],"&gt;"&amp;($A690+13/24),tData[Langligger01],1)</f>
        <v/>
      </c>
      <c r="R690" s="20">
        <f>COUNTIFS(tData[SEHTrajectPeriodeDatumTijdVan],"&lt;="&amp;($A690+14/24),tData[SEHTrajectPeriodeDatumTijdTotEnMet],"&gt;"&amp;($A690+14/24),tData[Langligger01],1)</f>
        <v/>
      </c>
      <c r="S690" s="20">
        <f>COUNTIFS(tData[SEHTrajectPeriodeDatumTijdVan],"&lt;="&amp;($A690+15/24),tData[SEHTrajectPeriodeDatumTijdTotEnMet],"&gt;"&amp;($A690+15/24),tData[Langligger01],1)</f>
        <v/>
      </c>
      <c r="T690" s="20">
        <f>COUNTIFS(tData[SEHTrajectPeriodeDatumTijdVan],"&lt;="&amp;($A690+16/24),tData[SEHTrajectPeriodeDatumTijdTotEnMet],"&gt;"&amp;($A690+16/24),tData[Langligger01],1)</f>
        <v/>
      </c>
      <c r="U690" s="20">
        <f>COUNTIFS(tData[SEHTrajectPeriodeDatumTijdVan],"&lt;="&amp;($A690+17/24),tData[SEHTrajectPeriodeDatumTijdTotEnMet],"&gt;"&amp;($A690+17/24),tData[Langligger01],1)</f>
        <v/>
      </c>
      <c r="V690" s="20">
        <f>COUNTIFS(tData[SEHTrajectPeriodeDatumTijdVan],"&lt;="&amp;($A690+18/24),tData[SEHTrajectPeriodeDatumTijdTotEnMet],"&gt;"&amp;($A690+18/24),tData[Langligger01],1)</f>
        <v/>
      </c>
      <c r="W690" s="20">
        <f>COUNTIFS(tData[SEHTrajectPeriodeDatumTijdVan],"&lt;="&amp;($A690+19/24),tData[SEHTrajectPeriodeDatumTijdTotEnMet],"&gt;"&amp;($A690+19/24),tData[Langligger01],1)</f>
        <v/>
      </c>
      <c r="X690" s="20">
        <f>COUNTIFS(tData[SEHTrajectPeriodeDatumTijdVan],"&lt;="&amp;($A690+20/24),tData[SEHTrajectPeriodeDatumTijdTotEnMet],"&gt;"&amp;($A690+20/24),tData[Langligger01],1)</f>
        <v/>
      </c>
      <c r="Y690" s="20">
        <f>COUNTIFS(tData[SEHTrajectPeriodeDatumTijdVan],"&lt;="&amp;($A690+21/24),tData[SEHTrajectPeriodeDatumTijdTotEnMet],"&gt;"&amp;($A690+21/24),tData[Langligger01],1)</f>
        <v/>
      </c>
      <c r="Z690" s="20">
        <f>COUNTIFS(tData[SEHTrajectPeriodeDatumTijdVan],"&lt;="&amp;($A690+22/24),tData[SEHTrajectPeriodeDatumTijdTotEnMet],"&gt;"&amp;($A690+22/24),tData[Langligger01],1)</f>
        <v/>
      </c>
      <c r="AA690" s="20">
        <f>COUNTIFS(tData[SEHTrajectPeriodeDatumTijdVan],"&lt;="&amp;($A690+23/24),tData[SEHTrajectPeriodeDatumTijdTotEnMet],"&gt;"&amp;($A690+23/24),tData[Langligger01],1)</f>
        <v/>
      </c>
    </row>
    <row r="691">
      <c r="A691" s="19" t="n">
        <v>45979</v>
      </c>
      <c r="B691" s="15">
        <f>WEEKDAY($A691,2)</f>
        <v/>
      </c>
      <c r="C691" s="15">
        <f>IF(AND($A691&gt;=INT(Instellingen!$B$5),$A691&lt;=INT(Instellingen!$B$6)),1,0)</f>
        <v/>
      </c>
      <c r="D691" s="20">
        <f>COUNTIFS(tData[SEHTrajectPeriodeDatumTijdVan],"&lt;="&amp;($A691+0/24),tData[SEHTrajectPeriodeDatumTijdTotEnMet],"&gt;"&amp;($A691+0/24),tData[Langligger01],1)</f>
        <v/>
      </c>
      <c r="E691" s="20">
        <f>COUNTIFS(tData[SEHTrajectPeriodeDatumTijdVan],"&lt;="&amp;($A691+1/24),tData[SEHTrajectPeriodeDatumTijdTotEnMet],"&gt;"&amp;($A691+1/24),tData[Langligger01],1)</f>
        <v/>
      </c>
      <c r="F691" s="20">
        <f>COUNTIFS(tData[SEHTrajectPeriodeDatumTijdVan],"&lt;="&amp;($A691+2/24),tData[SEHTrajectPeriodeDatumTijdTotEnMet],"&gt;"&amp;($A691+2/24),tData[Langligger01],1)</f>
        <v/>
      </c>
      <c r="G691" s="20">
        <f>COUNTIFS(tData[SEHTrajectPeriodeDatumTijdVan],"&lt;="&amp;($A691+3/24),tData[SEHTrajectPeriodeDatumTijdTotEnMet],"&gt;"&amp;($A691+3/24),tData[Langligger01],1)</f>
        <v/>
      </c>
      <c r="H691" s="20">
        <f>COUNTIFS(tData[SEHTrajectPeriodeDatumTijdVan],"&lt;="&amp;($A691+4/24),tData[SEHTrajectPeriodeDatumTijdTotEnMet],"&gt;"&amp;($A691+4/24),tData[Langligger01],1)</f>
        <v/>
      </c>
      <c r="I691" s="20">
        <f>COUNTIFS(tData[SEHTrajectPeriodeDatumTijdVan],"&lt;="&amp;($A691+5/24),tData[SEHTrajectPeriodeDatumTijdTotEnMet],"&gt;"&amp;($A691+5/24),tData[Langligger01],1)</f>
        <v/>
      </c>
      <c r="J691" s="20">
        <f>COUNTIFS(tData[SEHTrajectPeriodeDatumTijdVan],"&lt;="&amp;($A691+6/24),tData[SEHTrajectPeriodeDatumTijdTotEnMet],"&gt;"&amp;($A691+6/24),tData[Langligger01],1)</f>
        <v/>
      </c>
      <c r="K691" s="20">
        <f>COUNTIFS(tData[SEHTrajectPeriodeDatumTijdVan],"&lt;="&amp;($A691+7/24),tData[SEHTrajectPeriodeDatumTijdTotEnMet],"&gt;"&amp;($A691+7/24),tData[Langligger01],1)</f>
        <v/>
      </c>
      <c r="L691" s="20">
        <f>COUNTIFS(tData[SEHTrajectPeriodeDatumTijdVan],"&lt;="&amp;($A691+8/24),tData[SEHTrajectPeriodeDatumTijdTotEnMet],"&gt;"&amp;($A691+8/24),tData[Langligger01],1)</f>
        <v/>
      </c>
      <c r="M691" s="20">
        <f>COUNTIFS(tData[SEHTrajectPeriodeDatumTijdVan],"&lt;="&amp;($A691+9/24),tData[SEHTrajectPeriodeDatumTijdTotEnMet],"&gt;"&amp;($A691+9/24),tData[Langligger01],1)</f>
        <v/>
      </c>
      <c r="N691" s="20">
        <f>COUNTIFS(tData[SEHTrajectPeriodeDatumTijdVan],"&lt;="&amp;($A691+10/24),tData[SEHTrajectPeriodeDatumTijdTotEnMet],"&gt;"&amp;($A691+10/24),tData[Langligger01],1)</f>
        <v/>
      </c>
      <c r="O691" s="20">
        <f>COUNTIFS(tData[SEHTrajectPeriodeDatumTijdVan],"&lt;="&amp;($A691+11/24),tData[SEHTrajectPeriodeDatumTijdTotEnMet],"&gt;"&amp;($A691+11/24),tData[Langligger01],1)</f>
        <v/>
      </c>
      <c r="P691" s="20">
        <f>COUNTIFS(tData[SEHTrajectPeriodeDatumTijdVan],"&lt;="&amp;($A691+12/24),tData[SEHTrajectPeriodeDatumTijdTotEnMet],"&gt;"&amp;($A691+12/24),tData[Langligger01],1)</f>
        <v/>
      </c>
      <c r="Q691" s="20">
        <f>COUNTIFS(tData[SEHTrajectPeriodeDatumTijdVan],"&lt;="&amp;($A691+13/24),tData[SEHTrajectPeriodeDatumTijdTotEnMet],"&gt;"&amp;($A691+13/24),tData[Langligger01],1)</f>
        <v/>
      </c>
      <c r="R691" s="20">
        <f>COUNTIFS(tData[SEHTrajectPeriodeDatumTijdVan],"&lt;="&amp;($A691+14/24),tData[SEHTrajectPeriodeDatumTijdTotEnMet],"&gt;"&amp;($A691+14/24),tData[Langligger01],1)</f>
        <v/>
      </c>
      <c r="S691" s="20">
        <f>COUNTIFS(tData[SEHTrajectPeriodeDatumTijdVan],"&lt;="&amp;($A691+15/24),tData[SEHTrajectPeriodeDatumTijdTotEnMet],"&gt;"&amp;($A691+15/24),tData[Langligger01],1)</f>
        <v/>
      </c>
      <c r="T691" s="20">
        <f>COUNTIFS(tData[SEHTrajectPeriodeDatumTijdVan],"&lt;="&amp;($A691+16/24),tData[SEHTrajectPeriodeDatumTijdTotEnMet],"&gt;"&amp;($A691+16/24),tData[Langligger01],1)</f>
        <v/>
      </c>
      <c r="U691" s="20">
        <f>COUNTIFS(tData[SEHTrajectPeriodeDatumTijdVan],"&lt;="&amp;($A691+17/24),tData[SEHTrajectPeriodeDatumTijdTotEnMet],"&gt;"&amp;($A691+17/24),tData[Langligger01],1)</f>
        <v/>
      </c>
      <c r="V691" s="20">
        <f>COUNTIFS(tData[SEHTrajectPeriodeDatumTijdVan],"&lt;="&amp;($A691+18/24),tData[SEHTrajectPeriodeDatumTijdTotEnMet],"&gt;"&amp;($A691+18/24),tData[Langligger01],1)</f>
        <v/>
      </c>
      <c r="W691" s="20">
        <f>COUNTIFS(tData[SEHTrajectPeriodeDatumTijdVan],"&lt;="&amp;($A691+19/24),tData[SEHTrajectPeriodeDatumTijdTotEnMet],"&gt;"&amp;($A691+19/24),tData[Langligger01],1)</f>
        <v/>
      </c>
      <c r="X691" s="20">
        <f>COUNTIFS(tData[SEHTrajectPeriodeDatumTijdVan],"&lt;="&amp;($A691+20/24),tData[SEHTrajectPeriodeDatumTijdTotEnMet],"&gt;"&amp;($A691+20/24),tData[Langligger01],1)</f>
        <v/>
      </c>
      <c r="Y691" s="20">
        <f>COUNTIFS(tData[SEHTrajectPeriodeDatumTijdVan],"&lt;="&amp;($A691+21/24),tData[SEHTrajectPeriodeDatumTijdTotEnMet],"&gt;"&amp;($A691+21/24),tData[Langligger01],1)</f>
        <v/>
      </c>
      <c r="Z691" s="20">
        <f>COUNTIFS(tData[SEHTrajectPeriodeDatumTijdVan],"&lt;="&amp;($A691+22/24),tData[SEHTrajectPeriodeDatumTijdTotEnMet],"&gt;"&amp;($A691+22/24),tData[Langligger01],1)</f>
        <v/>
      </c>
      <c r="AA691" s="20">
        <f>COUNTIFS(tData[SEHTrajectPeriodeDatumTijdVan],"&lt;="&amp;($A691+23/24),tData[SEHTrajectPeriodeDatumTijdTotEnMet],"&gt;"&amp;($A691+23/24),tData[Langligger01],1)</f>
        <v/>
      </c>
    </row>
    <row r="692">
      <c r="A692" s="19" t="n">
        <v>45980</v>
      </c>
      <c r="B692" s="15">
        <f>WEEKDAY($A692,2)</f>
        <v/>
      </c>
      <c r="C692" s="15">
        <f>IF(AND($A692&gt;=INT(Instellingen!$B$5),$A692&lt;=INT(Instellingen!$B$6)),1,0)</f>
        <v/>
      </c>
      <c r="D692" s="20">
        <f>COUNTIFS(tData[SEHTrajectPeriodeDatumTijdVan],"&lt;="&amp;($A692+0/24),tData[SEHTrajectPeriodeDatumTijdTotEnMet],"&gt;"&amp;($A692+0/24),tData[Langligger01],1)</f>
        <v/>
      </c>
      <c r="E692" s="20">
        <f>COUNTIFS(tData[SEHTrajectPeriodeDatumTijdVan],"&lt;="&amp;($A692+1/24),tData[SEHTrajectPeriodeDatumTijdTotEnMet],"&gt;"&amp;($A692+1/24),tData[Langligger01],1)</f>
        <v/>
      </c>
      <c r="F692" s="20">
        <f>COUNTIFS(tData[SEHTrajectPeriodeDatumTijdVan],"&lt;="&amp;($A692+2/24),tData[SEHTrajectPeriodeDatumTijdTotEnMet],"&gt;"&amp;($A692+2/24),tData[Langligger01],1)</f>
        <v/>
      </c>
      <c r="G692" s="20">
        <f>COUNTIFS(tData[SEHTrajectPeriodeDatumTijdVan],"&lt;="&amp;($A692+3/24),tData[SEHTrajectPeriodeDatumTijdTotEnMet],"&gt;"&amp;($A692+3/24),tData[Langligger01],1)</f>
        <v/>
      </c>
      <c r="H692" s="20">
        <f>COUNTIFS(tData[SEHTrajectPeriodeDatumTijdVan],"&lt;="&amp;($A692+4/24),tData[SEHTrajectPeriodeDatumTijdTotEnMet],"&gt;"&amp;($A692+4/24),tData[Langligger01],1)</f>
        <v/>
      </c>
      <c r="I692" s="20">
        <f>COUNTIFS(tData[SEHTrajectPeriodeDatumTijdVan],"&lt;="&amp;($A692+5/24),tData[SEHTrajectPeriodeDatumTijdTotEnMet],"&gt;"&amp;($A692+5/24),tData[Langligger01],1)</f>
        <v/>
      </c>
      <c r="J692" s="20">
        <f>COUNTIFS(tData[SEHTrajectPeriodeDatumTijdVan],"&lt;="&amp;($A692+6/24),tData[SEHTrajectPeriodeDatumTijdTotEnMet],"&gt;"&amp;($A692+6/24),tData[Langligger01],1)</f>
        <v/>
      </c>
      <c r="K692" s="20">
        <f>COUNTIFS(tData[SEHTrajectPeriodeDatumTijdVan],"&lt;="&amp;($A692+7/24),tData[SEHTrajectPeriodeDatumTijdTotEnMet],"&gt;"&amp;($A692+7/24),tData[Langligger01],1)</f>
        <v/>
      </c>
      <c r="L692" s="20">
        <f>COUNTIFS(tData[SEHTrajectPeriodeDatumTijdVan],"&lt;="&amp;($A692+8/24),tData[SEHTrajectPeriodeDatumTijdTotEnMet],"&gt;"&amp;($A692+8/24),tData[Langligger01],1)</f>
        <v/>
      </c>
      <c r="M692" s="20">
        <f>COUNTIFS(tData[SEHTrajectPeriodeDatumTijdVan],"&lt;="&amp;($A692+9/24),tData[SEHTrajectPeriodeDatumTijdTotEnMet],"&gt;"&amp;($A692+9/24),tData[Langligger01],1)</f>
        <v/>
      </c>
      <c r="N692" s="20">
        <f>COUNTIFS(tData[SEHTrajectPeriodeDatumTijdVan],"&lt;="&amp;($A692+10/24),tData[SEHTrajectPeriodeDatumTijdTotEnMet],"&gt;"&amp;($A692+10/24),tData[Langligger01],1)</f>
        <v/>
      </c>
      <c r="O692" s="20">
        <f>COUNTIFS(tData[SEHTrajectPeriodeDatumTijdVan],"&lt;="&amp;($A692+11/24),tData[SEHTrajectPeriodeDatumTijdTotEnMet],"&gt;"&amp;($A692+11/24),tData[Langligger01],1)</f>
        <v/>
      </c>
      <c r="P692" s="20">
        <f>COUNTIFS(tData[SEHTrajectPeriodeDatumTijdVan],"&lt;="&amp;($A692+12/24),tData[SEHTrajectPeriodeDatumTijdTotEnMet],"&gt;"&amp;($A692+12/24),tData[Langligger01],1)</f>
        <v/>
      </c>
      <c r="Q692" s="20">
        <f>COUNTIFS(tData[SEHTrajectPeriodeDatumTijdVan],"&lt;="&amp;($A692+13/24),tData[SEHTrajectPeriodeDatumTijdTotEnMet],"&gt;"&amp;($A692+13/24),tData[Langligger01],1)</f>
        <v/>
      </c>
      <c r="R692" s="20">
        <f>COUNTIFS(tData[SEHTrajectPeriodeDatumTijdVan],"&lt;="&amp;($A692+14/24),tData[SEHTrajectPeriodeDatumTijdTotEnMet],"&gt;"&amp;($A692+14/24),tData[Langligger01],1)</f>
        <v/>
      </c>
      <c r="S692" s="20">
        <f>COUNTIFS(tData[SEHTrajectPeriodeDatumTijdVan],"&lt;="&amp;($A692+15/24),tData[SEHTrajectPeriodeDatumTijdTotEnMet],"&gt;"&amp;($A692+15/24),tData[Langligger01],1)</f>
        <v/>
      </c>
      <c r="T692" s="20">
        <f>COUNTIFS(tData[SEHTrajectPeriodeDatumTijdVan],"&lt;="&amp;($A692+16/24),tData[SEHTrajectPeriodeDatumTijdTotEnMet],"&gt;"&amp;($A692+16/24),tData[Langligger01],1)</f>
        <v/>
      </c>
      <c r="U692" s="20">
        <f>COUNTIFS(tData[SEHTrajectPeriodeDatumTijdVan],"&lt;="&amp;($A692+17/24),tData[SEHTrajectPeriodeDatumTijdTotEnMet],"&gt;"&amp;($A692+17/24),tData[Langligger01],1)</f>
        <v/>
      </c>
      <c r="V692" s="20">
        <f>COUNTIFS(tData[SEHTrajectPeriodeDatumTijdVan],"&lt;="&amp;($A692+18/24),tData[SEHTrajectPeriodeDatumTijdTotEnMet],"&gt;"&amp;($A692+18/24),tData[Langligger01],1)</f>
        <v/>
      </c>
      <c r="W692" s="20">
        <f>COUNTIFS(tData[SEHTrajectPeriodeDatumTijdVan],"&lt;="&amp;($A692+19/24),tData[SEHTrajectPeriodeDatumTijdTotEnMet],"&gt;"&amp;($A692+19/24),tData[Langligger01],1)</f>
        <v/>
      </c>
      <c r="X692" s="20">
        <f>COUNTIFS(tData[SEHTrajectPeriodeDatumTijdVan],"&lt;="&amp;($A692+20/24),tData[SEHTrajectPeriodeDatumTijdTotEnMet],"&gt;"&amp;($A692+20/24),tData[Langligger01],1)</f>
        <v/>
      </c>
      <c r="Y692" s="20">
        <f>COUNTIFS(tData[SEHTrajectPeriodeDatumTijdVan],"&lt;="&amp;($A692+21/24),tData[SEHTrajectPeriodeDatumTijdTotEnMet],"&gt;"&amp;($A692+21/24),tData[Langligger01],1)</f>
        <v/>
      </c>
      <c r="Z692" s="20">
        <f>COUNTIFS(tData[SEHTrajectPeriodeDatumTijdVan],"&lt;="&amp;($A692+22/24),tData[SEHTrajectPeriodeDatumTijdTotEnMet],"&gt;"&amp;($A692+22/24),tData[Langligger01],1)</f>
        <v/>
      </c>
      <c r="AA692" s="20">
        <f>COUNTIFS(tData[SEHTrajectPeriodeDatumTijdVan],"&lt;="&amp;($A692+23/24),tData[SEHTrajectPeriodeDatumTijdTotEnMet],"&gt;"&amp;($A692+23/24),tData[Langligger01],1)</f>
        <v/>
      </c>
    </row>
    <row r="693">
      <c r="A693" s="19" t="n">
        <v>45981</v>
      </c>
      <c r="B693" s="15">
        <f>WEEKDAY($A693,2)</f>
        <v/>
      </c>
      <c r="C693" s="15">
        <f>IF(AND($A693&gt;=INT(Instellingen!$B$5),$A693&lt;=INT(Instellingen!$B$6)),1,0)</f>
        <v/>
      </c>
      <c r="D693" s="20">
        <f>COUNTIFS(tData[SEHTrajectPeriodeDatumTijdVan],"&lt;="&amp;($A693+0/24),tData[SEHTrajectPeriodeDatumTijdTotEnMet],"&gt;"&amp;($A693+0/24),tData[Langligger01],1)</f>
        <v/>
      </c>
      <c r="E693" s="20">
        <f>COUNTIFS(tData[SEHTrajectPeriodeDatumTijdVan],"&lt;="&amp;($A693+1/24),tData[SEHTrajectPeriodeDatumTijdTotEnMet],"&gt;"&amp;($A693+1/24),tData[Langligger01],1)</f>
        <v/>
      </c>
      <c r="F693" s="20">
        <f>COUNTIFS(tData[SEHTrajectPeriodeDatumTijdVan],"&lt;="&amp;($A693+2/24),tData[SEHTrajectPeriodeDatumTijdTotEnMet],"&gt;"&amp;($A693+2/24),tData[Langligger01],1)</f>
        <v/>
      </c>
      <c r="G693" s="20">
        <f>COUNTIFS(tData[SEHTrajectPeriodeDatumTijdVan],"&lt;="&amp;($A693+3/24),tData[SEHTrajectPeriodeDatumTijdTotEnMet],"&gt;"&amp;($A693+3/24),tData[Langligger01],1)</f>
        <v/>
      </c>
      <c r="H693" s="20">
        <f>COUNTIFS(tData[SEHTrajectPeriodeDatumTijdVan],"&lt;="&amp;($A693+4/24),tData[SEHTrajectPeriodeDatumTijdTotEnMet],"&gt;"&amp;($A693+4/24),tData[Langligger01],1)</f>
        <v/>
      </c>
      <c r="I693" s="20">
        <f>COUNTIFS(tData[SEHTrajectPeriodeDatumTijdVan],"&lt;="&amp;($A693+5/24),tData[SEHTrajectPeriodeDatumTijdTotEnMet],"&gt;"&amp;($A693+5/24),tData[Langligger01],1)</f>
        <v/>
      </c>
      <c r="J693" s="20">
        <f>COUNTIFS(tData[SEHTrajectPeriodeDatumTijdVan],"&lt;="&amp;($A693+6/24),tData[SEHTrajectPeriodeDatumTijdTotEnMet],"&gt;"&amp;($A693+6/24),tData[Langligger01],1)</f>
        <v/>
      </c>
      <c r="K693" s="20">
        <f>COUNTIFS(tData[SEHTrajectPeriodeDatumTijdVan],"&lt;="&amp;($A693+7/24),tData[SEHTrajectPeriodeDatumTijdTotEnMet],"&gt;"&amp;($A693+7/24),tData[Langligger01],1)</f>
        <v/>
      </c>
      <c r="L693" s="20">
        <f>COUNTIFS(tData[SEHTrajectPeriodeDatumTijdVan],"&lt;="&amp;($A693+8/24),tData[SEHTrajectPeriodeDatumTijdTotEnMet],"&gt;"&amp;($A693+8/24),tData[Langligger01],1)</f>
        <v/>
      </c>
      <c r="M693" s="20">
        <f>COUNTIFS(tData[SEHTrajectPeriodeDatumTijdVan],"&lt;="&amp;($A693+9/24),tData[SEHTrajectPeriodeDatumTijdTotEnMet],"&gt;"&amp;($A693+9/24),tData[Langligger01],1)</f>
        <v/>
      </c>
      <c r="N693" s="20">
        <f>COUNTIFS(tData[SEHTrajectPeriodeDatumTijdVan],"&lt;="&amp;($A693+10/24),tData[SEHTrajectPeriodeDatumTijdTotEnMet],"&gt;"&amp;($A693+10/24),tData[Langligger01],1)</f>
        <v/>
      </c>
      <c r="O693" s="20">
        <f>COUNTIFS(tData[SEHTrajectPeriodeDatumTijdVan],"&lt;="&amp;($A693+11/24),tData[SEHTrajectPeriodeDatumTijdTotEnMet],"&gt;"&amp;($A693+11/24),tData[Langligger01],1)</f>
        <v/>
      </c>
      <c r="P693" s="20">
        <f>COUNTIFS(tData[SEHTrajectPeriodeDatumTijdVan],"&lt;="&amp;($A693+12/24),tData[SEHTrajectPeriodeDatumTijdTotEnMet],"&gt;"&amp;($A693+12/24),tData[Langligger01],1)</f>
        <v/>
      </c>
      <c r="Q693" s="20">
        <f>COUNTIFS(tData[SEHTrajectPeriodeDatumTijdVan],"&lt;="&amp;($A693+13/24),tData[SEHTrajectPeriodeDatumTijdTotEnMet],"&gt;"&amp;($A693+13/24),tData[Langligger01],1)</f>
        <v/>
      </c>
      <c r="R693" s="20">
        <f>COUNTIFS(tData[SEHTrajectPeriodeDatumTijdVan],"&lt;="&amp;($A693+14/24),tData[SEHTrajectPeriodeDatumTijdTotEnMet],"&gt;"&amp;($A693+14/24),tData[Langligger01],1)</f>
        <v/>
      </c>
      <c r="S693" s="20">
        <f>COUNTIFS(tData[SEHTrajectPeriodeDatumTijdVan],"&lt;="&amp;($A693+15/24),tData[SEHTrajectPeriodeDatumTijdTotEnMet],"&gt;"&amp;($A693+15/24),tData[Langligger01],1)</f>
        <v/>
      </c>
      <c r="T693" s="20">
        <f>COUNTIFS(tData[SEHTrajectPeriodeDatumTijdVan],"&lt;="&amp;($A693+16/24),tData[SEHTrajectPeriodeDatumTijdTotEnMet],"&gt;"&amp;($A693+16/24),tData[Langligger01],1)</f>
        <v/>
      </c>
      <c r="U693" s="20">
        <f>COUNTIFS(tData[SEHTrajectPeriodeDatumTijdVan],"&lt;="&amp;($A693+17/24),tData[SEHTrajectPeriodeDatumTijdTotEnMet],"&gt;"&amp;($A693+17/24),tData[Langligger01],1)</f>
        <v/>
      </c>
      <c r="V693" s="20">
        <f>COUNTIFS(tData[SEHTrajectPeriodeDatumTijdVan],"&lt;="&amp;($A693+18/24),tData[SEHTrajectPeriodeDatumTijdTotEnMet],"&gt;"&amp;($A693+18/24),tData[Langligger01],1)</f>
        <v/>
      </c>
      <c r="W693" s="20">
        <f>COUNTIFS(tData[SEHTrajectPeriodeDatumTijdVan],"&lt;="&amp;($A693+19/24),tData[SEHTrajectPeriodeDatumTijdTotEnMet],"&gt;"&amp;($A693+19/24),tData[Langligger01],1)</f>
        <v/>
      </c>
      <c r="X693" s="20">
        <f>COUNTIFS(tData[SEHTrajectPeriodeDatumTijdVan],"&lt;="&amp;($A693+20/24),tData[SEHTrajectPeriodeDatumTijdTotEnMet],"&gt;"&amp;($A693+20/24),tData[Langligger01],1)</f>
        <v/>
      </c>
      <c r="Y693" s="20">
        <f>COUNTIFS(tData[SEHTrajectPeriodeDatumTijdVan],"&lt;="&amp;($A693+21/24),tData[SEHTrajectPeriodeDatumTijdTotEnMet],"&gt;"&amp;($A693+21/24),tData[Langligger01],1)</f>
        <v/>
      </c>
      <c r="Z693" s="20">
        <f>COUNTIFS(tData[SEHTrajectPeriodeDatumTijdVan],"&lt;="&amp;($A693+22/24),tData[SEHTrajectPeriodeDatumTijdTotEnMet],"&gt;"&amp;($A693+22/24),tData[Langligger01],1)</f>
        <v/>
      </c>
      <c r="AA693" s="20">
        <f>COUNTIFS(tData[SEHTrajectPeriodeDatumTijdVan],"&lt;="&amp;($A693+23/24),tData[SEHTrajectPeriodeDatumTijdTotEnMet],"&gt;"&amp;($A693+23/24),tData[Langligger01],1)</f>
        <v/>
      </c>
    </row>
    <row r="694">
      <c r="A694" s="19" t="n">
        <v>45982</v>
      </c>
      <c r="B694" s="15">
        <f>WEEKDAY($A694,2)</f>
        <v/>
      </c>
      <c r="C694" s="15">
        <f>IF(AND($A694&gt;=INT(Instellingen!$B$5),$A694&lt;=INT(Instellingen!$B$6)),1,0)</f>
        <v/>
      </c>
      <c r="D694" s="20">
        <f>COUNTIFS(tData[SEHTrajectPeriodeDatumTijdVan],"&lt;="&amp;($A694+0/24),tData[SEHTrajectPeriodeDatumTijdTotEnMet],"&gt;"&amp;($A694+0/24),tData[Langligger01],1)</f>
        <v/>
      </c>
      <c r="E694" s="20">
        <f>COUNTIFS(tData[SEHTrajectPeriodeDatumTijdVan],"&lt;="&amp;($A694+1/24),tData[SEHTrajectPeriodeDatumTijdTotEnMet],"&gt;"&amp;($A694+1/24),tData[Langligger01],1)</f>
        <v/>
      </c>
      <c r="F694" s="20">
        <f>COUNTIFS(tData[SEHTrajectPeriodeDatumTijdVan],"&lt;="&amp;($A694+2/24),tData[SEHTrajectPeriodeDatumTijdTotEnMet],"&gt;"&amp;($A694+2/24),tData[Langligger01],1)</f>
        <v/>
      </c>
      <c r="G694" s="20">
        <f>COUNTIFS(tData[SEHTrajectPeriodeDatumTijdVan],"&lt;="&amp;($A694+3/24),tData[SEHTrajectPeriodeDatumTijdTotEnMet],"&gt;"&amp;($A694+3/24),tData[Langligger01],1)</f>
        <v/>
      </c>
      <c r="H694" s="20">
        <f>COUNTIFS(tData[SEHTrajectPeriodeDatumTijdVan],"&lt;="&amp;($A694+4/24),tData[SEHTrajectPeriodeDatumTijdTotEnMet],"&gt;"&amp;($A694+4/24),tData[Langligger01],1)</f>
        <v/>
      </c>
      <c r="I694" s="20">
        <f>COUNTIFS(tData[SEHTrajectPeriodeDatumTijdVan],"&lt;="&amp;($A694+5/24),tData[SEHTrajectPeriodeDatumTijdTotEnMet],"&gt;"&amp;($A694+5/24),tData[Langligger01],1)</f>
        <v/>
      </c>
      <c r="J694" s="20">
        <f>COUNTIFS(tData[SEHTrajectPeriodeDatumTijdVan],"&lt;="&amp;($A694+6/24),tData[SEHTrajectPeriodeDatumTijdTotEnMet],"&gt;"&amp;($A694+6/24),tData[Langligger01],1)</f>
        <v/>
      </c>
      <c r="K694" s="20">
        <f>COUNTIFS(tData[SEHTrajectPeriodeDatumTijdVan],"&lt;="&amp;($A694+7/24),tData[SEHTrajectPeriodeDatumTijdTotEnMet],"&gt;"&amp;($A694+7/24),tData[Langligger01],1)</f>
        <v/>
      </c>
      <c r="L694" s="20">
        <f>COUNTIFS(tData[SEHTrajectPeriodeDatumTijdVan],"&lt;="&amp;($A694+8/24),tData[SEHTrajectPeriodeDatumTijdTotEnMet],"&gt;"&amp;($A694+8/24),tData[Langligger01],1)</f>
        <v/>
      </c>
      <c r="M694" s="20">
        <f>COUNTIFS(tData[SEHTrajectPeriodeDatumTijdVan],"&lt;="&amp;($A694+9/24),tData[SEHTrajectPeriodeDatumTijdTotEnMet],"&gt;"&amp;($A694+9/24),tData[Langligger01],1)</f>
        <v/>
      </c>
      <c r="N694" s="20">
        <f>COUNTIFS(tData[SEHTrajectPeriodeDatumTijdVan],"&lt;="&amp;($A694+10/24),tData[SEHTrajectPeriodeDatumTijdTotEnMet],"&gt;"&amp;($A694+10/24),tData[Langligger01],1)</f>
        <v/>
      </c>
      <c r="O694" s="20">
        <f>COUNTIFS(tData[SEHTrajectPeriodeDatumTijdVan],"&lt;="&amp;($A694+11/24),tData[SEHTrajectPeriodeDatumTijdTotEnMet],"&gt;"&amp;($A694+11/24),tData[Langligger01],1)</f>
        <v/>
      </c>
      <c r="P694" s="20">
        <f>COUNTIFS(tData[SEHTrajectPeriodeDatumTijdVan],"&lt;="&amp;($A694+12/24),tData[SEHTrajectPeriodeDatumTijdTotEnMet],"&gt;"&amp;($A694+12/24),tData[Langligger01],1)</f>
        <v/>
      </c>
      <c r="Q694" s="20">
        <f>COUNTIFS(tData[SEHTrajectPeriodeDatumTijdVan],"&lt;="&amp;($A694+13/24),tData[SEHTrajectPeriodeDatumTijdTotEnMet],"&gt;"&amp;($A694+13/24),tData[Langligger01],1)</f>
        <v/>
      </c>
      <c r="R694" s="20">
        <f>COUNTIFS(tData[SEHTrajectPeriodeDatumTijdVan],"&lt;="&amp;($A694+14/24),tData[SEHTrajectPeriodeDatumTijdTotEnMet],"&gt;"&amp;($A694+14/24),tData[Langligger01],1)</f>
        <v/>
      </c>
      <c r="S694" s="20">
        <f>COUNTIFS(tData[SEHTrajectPeriodeDatumTijdVan],"&lt;="&amp;($A694+15/24),tData[SEHTrajectPeriodeDatumTijdTotEnMet],"&gt;"&amp;($A694+15/24),tData[Langligger01],1)</f>
        <v/>
      </c>
      <c r="T694" s="20">
        <f>COUNTIFS(tData[SEHTrajectPeriodeDatumTijdVan],"&lt;="&amp;($A694+16/24),tData[SEHTrajectPeriodeDatumTijdTotEnMet],"&gt;"&amp;($A694+16/24),tData[Langligger01],1)</f>
        <v/>
      </c>
      <c r="U694" s="20">
        <f>COUNTIFS(tData[SEHTrajectPeriodeDatumTijdVan],"&lt;="&amp;($A694+17/24),tData[SEHTrajectPeriodeDatumTijdTotEnMet],"&gt;"&amp;($A694+17/24),tData[Langligger01],1)</f>
        <v/>
      </c>
      <c r="V694" s="20">
        <f>COUNTIFS(tData[SEHTrajectPeriodeDatumTijdVan],"&lt;="&amp;($A694+18/24),tData[SEHTrajectPeriodeDatumTijdTotEnMet],"&gt;"&amp;($A694+18/24),tData[Langligger01],1)</f>
        <v/>
      </c>
      <c r="W694" s="20">
        <f>COUNTIFS(tData[SEHTrajectPeriodeDatumTijdVan],"&lt;="&amp;($A694+19/24),tData[SEHTrajectPeriodeDatumTijdTotEnMet],"&gt;"&amp;($A694+19/24),tData[Langligger01],1)</f>
        <v/>
      </c>
      <c r="X694" s="20">
        <f>COUNTIFS(tData[SEHTrajectPeriodeDatumTijdVan],"&lt;="&amp;($A694+20/24),tData[SEHTrajectPeriodeDatumTijdTotEnMet],"&gt;"&amp;($A694+20/24),tData[Langligger01],1)</f>
        <v/>
      </c>
      <c r="Y694" s="20">
        <f>COUNTIFS(tData[SEHTrajectPeriodeDatumTijdVan],"&lt;="&amp;($A694+21/24),tData[SEHTrajectPeriodeDatumTijdTotEnMet],"&gt;"&amp;($A694+21/24),tData[Langligger01],1)</f>
        <v/>
      </c>
      <c r="Z694" s="20">
        <f>COUNTIFS(tData[SEHTrajectPeriodeDatumTijdVan],"&lt;="&amp;($A694+22/24),tData[SEHTrajectPeriodeDatumTijdTotEnMet],"&gt;"&amp;($A694+22/24),tData[Langligger01],1)</f>
        <v/>
      </c>
      <c r="AA694" s="20">
        <f>COUNTIFS(tData[SEHTrajectPeriodeDatumTijdVan],"&lt;="&amp;($A694+23/24),tData[SEHTrajectPeriodeDatumTijdTotEnMet],"&gt;"&amp;($A694+23/24),tData[Langligger01],1)</f>
        <v/>
      </c>
    </row>
    <row r="695">
      <c r="A695" s="19" t="n">
        <v>45983</v>
      </c>
      <c r="B695" s="15">
        <f>WEEKDAY($A695,2)</f>
        <v/>
      </c>
      <c r="C695" s="15">
        <f>IF(AND($A695&gt;=INT(Instellingen!$B$5),$A695&lt;=INT(Instellingen!$B$6)),1,0)</f>
        <v/>
      </c>
      <c r="D695" s="20">
        <f>COUNTIFS(tData[SEHTrajectPeriodeDatumTijdVan],"&lt;="&amp;($A695+0/24),tData[SEHTrajectPeriodeDatumTijdTotEnMet],"&gt;"&amp;($A695+0/24),tData[Langligger01],1)</f>
        <v/>
      </c>
      <c r="E695" s="20">
        <f>COUNTIFS(tData[SEHTrajectPeriodeDatumTijdVan],"&lt;="&amp;($A695+1/24),tData[SEHTrajectPeriodeDatumTijdTotEnMet],"&gt;"&amp;($A695+1/24),tData[Langligger01],1)</f>
        <v/>
      </c>
      <c r="F695" s="20">
        <f>COUNTIFS(tData[SEHTrajectPeriodeDatumTijdVan],"&lt;="&amp;($A695+2/24),tData[SEHTrajectPeriodeDatumTijdTotEnMet],"&gt;"&amp;($A695+2/24),tData[Langligger01],1)</f>
        <v/>
      </c>
      <c r="G695" s="20">
        <f>COUNTIFS(tData[SEHTrajectPeriodeDatumTijdVan],"&lt;="&amp;($A695+3/24),tData[SEHTrajectPeriodeDatumTijdTotEnMet],"&gt;"&amp;($A695+3/24),tData[Langligger01],1)</f>
        <v/>
      </c>
      <c r="H695" s="20">
        <f>COUNTIFS(tData[SEHTrajectPeriodeDatumTijdVan],"&lt;="&amp;($A695+4/24),tData[SEHTrajectPeriodeDatumTijdTotEnMet],"&gt;"&amp;($A695+4/24),tData[Langligger01],1)</f>
        <v/>
      </c>
      <c r="I695" s="20">
        <f>COUNTIFS(tData[SEHTrajectPeriodeDatumTijdVan],"&lt;="&amp;($A695+5/24),tData[SEHTrajectPeriodeDatumTijdTotEnMet],"&gt;"&amp;($A695+5/24),tData[Langligger01],1)</f>
        <v/>
      </c>
      <c r="J695" s="20">
        <f>COUNTIFS(tData[SEHTrajectPeriodeDatumTijdVan],"&lt;="&amp;($A695+6/24),tData[SEHTrajectPeriodeDatumTijdTotEnMet],"&gt;"&amp;($A695+6/24),tData[Langligger01],1)</f>
        <v/>
      </c>
      <c r="K695" s="20">
        <f>COUNTIFS(tData[SEHTrajectPeriodeDatumTijdVan],"&lt;="&amp;($A695+7/24),tData[SEHTrajectPeriodeDatumTijdTotEnMet],"&gt;"&amp;($A695+7/24),tData[Langligger01],1)</f>
        <v/>
      </c>
      <c r="L695" s="20">
        <f>COUNTIFS(tData[SEHTrajectPeriodeDatumTijdVan],"&lt;="&amp;($A695+8/24),tData[SEHTrajectPeriodeDatumTijdTotEnMet],"&gt;"&amp;($A695+8/24),tData[Langligger01],1)</f>
        <v/>
      </c>
      <c r="M695" s="20">
        <f>COUNTIFS(tData[SEHTrajectPeriodeDatumTijdVan],"&lt;="&amp;($A695+9/24),tData[SEHTrajectPeriodeDatumTijdTotEnMet],"&gt;"&amp;($A695+9/24),tData[Langligger01],1)</f>
        <v/>
      </c>
      <c r="N695" s="20">
        <f>COUNTIFS(tData[SEHTrajectPeriodeDatumTijdVan],"&lt;="&amp;($A695+10/24),tData[SEHTrajectPeriodeDatumTijdTotEnMet],"&gt;"&amp;($A695+10/24),tData[Langligger01],1)</f>
        <v/>
      </c>
      <c r="O695" s="20">
        <f>COUNTIFS(tData[SEHTrajectPeriodeDatumTijdVan],"&lt;="&amp;($A695+11/24),tData[SEHTrajectPeriodeDatumTijdTotEnMet],"&gt;"&amp;($A695+11/24),tData[Langligger01],1)</f>
        <v/>
      </c>
      <c r="P695" s="20">
        <f>COUNTIFS(tData[SEHTrajectPeriodeDatumTijdVan],"&lt;="&amp;($A695+12/24),tData[SEHTrajectPeriodeDatumTijdTotEnMet],"&gt;"&amp;($A695+12/24),tData[Langligger01],1)</f>
        <v/>
      </c>
      <c r="Q695" s="20">
        <f>COUNTIFS(tData[SEHTrajectPeriodeDatumTijdVan],"&lt;="&amp;($A695+13/24),tData[SEHTrajectPeriodeDatumTijdTotEnMet],"&gt;"&amp;($A695+13/24),tData[Langligger01],1)</f>
        <v/>
      </c>
      <c r="R695" s="20">
        <f>COUNTIFS(tData[SEHTrajectPeriodeDatumTijdVan],"&lt;="&amp;($A695+14/24),tData[SEHTrajectPeriodeDatumTijdTotEnMet],"&gt;"&amp;($A695+14/24),tData[Langligger01],1)</f>
        <v/>
      </c>
      <c r="S695" s="20">
        <f>COUNTIFS(tData[SEHTrajectPeriodeDatumTijdVan],"&lt;="&amp;($A695+15/24),tData[SEHTrajectPeriodeDatumTijdTotEnMet],"&gt;"&amp;($A695+15/24),tData[Langligger01],1)</f>
        <v/>
      </c>
      <c r="T695" s="20">
        <f>COUNTIFS(tData[SEHTrajectPeriodeDatumTijdVan],"&lt;="&amp;($A695+16/24),tData[SEHTrajectPeriodeDatumTijdTotEnMet],"&gt;"&amp;($A695+16/24),tData[Langligger01],1)</f>
        <v/>
      </c>
      <c r="U695" s="20">
        <f>COUNTIFS(tData[SEHTrajectPeriodeDatumTijdVan],"&lt;="&amp;($A695+17/24),tData[SEHTrajectPeriodeDatumTijdTotEnMet],"&gt;"&amp;($A695+17/24),tData[Langligger01],1)</f>
        <v/>
      </c>
      <c r="V695" s="20">
        <f>COUNTIFS(tData[SEHTrajectPeriodeDatumTijdVan],"&lt;="&amp;($A695+18/24),tData[SEHTrajectPeriodeDatumTijdTotEnMet],"&gt;"&amp;($A695+18/24),tData[Langligger01],1)</f>
        <v/>
      </c>
      <c r="W695" s="20">
        <f>COUNTIFS(tData[SEHTrajectPeriodeDatumTijdVan],"&lt;="&amp;($A695+19/24),tData[SEHTrajectPeriodeDatumTijdTotEnMet],"&gt;"&amp;($A695+19/24),tData[Langligger01],1)</f>
        <v/>
      </c>
      <c r="X695" s="20">
        <f>COUNTIFS(tData[SEHTrajectPeriodeDatumTijdVan],"&lt;="&amp;($A695+20/24),tData[SEHTrajectPeriodeDatumTijdTotEnMet],"&gt;"&amp;($A695+20/24),tData[Langligger01],1)</f>
        <v/>
      </c>
      <c r="Y695" s="20">
        <f>COUNTIFS(tData[SEHTrajectPeriodeDatumTijdVan],"&lt;="&amp;($A695+21/24),tData[SEHTrajectPeriodeDatumTijdTotEnMet],"&gt;"&amp;($A695+21/24),tData[Langligger01],1)</f>
        <v/>
      </c>
      <c r="Z695" s="20">
        <f>COUNTIFS(tData[SEHTrajectPeriodeDatumTijdVan],"&lt;="&amp;($A695+22/24),tData[SEHTrajectPeriodeDatumTijdTotEnMet],"&gt;"&amp;($A695+22/24),tData[Langligger01],1)</f>
        <v/>
      </c>
      <c r="AA695" s="20">
        <f>COUNTIFS(tData[SEHTrajectPeriodeDatumTijdVan],"&lt;="&amp;($A695+23/24),tData[SEHTrajectPeriodeDatumTijdTotEnMet],"&gt;"&amp;($A695+23/24),tData[Langligger01],1)</f>
        <v/>
      </c>
    </row>
    <row r="696">
      <c r="A696" s="19" t="n">
        <v>45984</v>
      </c>
      <c r="B696" s="15">
        <f>WEEKDAY($A696,2)</f>
        <v/>
      </c>
      <c r="C696" s="15">
        <f>IF(AND($A696&gt;=INT(Instellingen!$B$5),$A696&lt;=INT(Instellingen!$B$6)),1,0)</f>
        <v/>
      </c>
      <c r="D696" s="20">
        <f>COUNTIFS(tData[SEHTrajectPeriodeDatumTijdVan],"&lt;="&amp;($A696+0/24),tData[SEHTrajectPeriodeDatumTijdTotEnMet],"&gt;"&amp;($A696+0/24),tData[Langligger01],1)</f>
        <v/>
      </c>
      <c r="E696" s="20">
        <f>COUNTIFS(tData[SEHTrajectPeriodeDatumTijdVan],"&lt;="&amp;($A696+1/24),tData[SEHTrajectPeriodeDatumTijdTotEnMet],"&gt;"&amp;($A696+1/24),tData[Langligger01],1)</f>
        <v/>
      </c>
      <c r="F696" s="20">
        <f>COUNTIFS(tData[SEHTrajectPeriodeDatumTijdVan],"&lt;="&amp;($A696+2/24),tData[SEHTrajectPeriodeDatumTijdTotEnMet],"&gt;"&amp;($A696+2/24),tData[Langligger01],1)</f>
        <v/>
      </c>
      <c r="G696" s="20">
        <f>COUNTIFS(tData[SEHTrajectPeriodeDatumTijdVan],"&lt;="&amp;($A696+3/24),tData[SEHTrajectPeriodeDatumTijdTotEnMet],"&gt;"&amp;($A696+3/24),tData[Langligger01],1)</f>
        <v/>
      </c>
      <c r="H696" s="20">
        <f>COUNTIFS(tData[SEHTrajectPeriodeDatumTijdVan],"&lt;="&amp;($A696+4/24),tData[SEHTrajectPeriodeDatumTijdTotEnMet],"&gt;"&amp;($A696+4/24),tData[Langligger01],1)</f>
        <v/>
      </c>
      <c r="I696" s="20">
        <f>COUNTIFS(tData[SEHTrajectPeriodeDatumTijdVan],"&lt;="&amp;($A696+5/24),tData[SEHTrajectPeriodeDatumTijdTotEnMet],"&gt;"&amp;($A696+5/24),tData[Langligger01],1)</f>
        <v/>
      </c>
      <c r="J696" s="20">
        <f>COUNTIFS(tData[SEHTrajectPeriodeDatumTijdVan],"&lt;="&amp;($A696+6/24),tData[SEHTrajectPeriodeDatumTijdTotEnMet],"&gt;"&amp;($A696+6/24),tData[Langligger01],1)</f>
        <v/>
      </c>
      <c r="K696" s="20">
        <f>COUNTIFS(tData[SEHTrajectPeriodeDatumTijdVan],"&lt;="&amp;($A696+7/24),tData[SEHTrajectPeriodeDatumTijdTotEnMet],"&gt;"&amp;($A696+7/24),tData[Langligger01],1)</f>
        <v/>
      </c>
      <c r="L696" s="20">
        <f>COUNTIFS(tData[SEHTrajectPeriodeDatumTijdVan],"&lt;="&amp;($A696+8/24),tData[SEHTrajectPeriodeDatumTijdTotEnMet],"&gt;"&amp;($A696+8/24),tData[Langligger01],1)</f>
        <v/>
      </c>
      <c r="M696" s="20">
        <f>COUNTIFS(tData[SEHTrajectPeriodeDatumTijdVan],"&lt;="&amp;($A696+9/24),tData[SEHTrajectPeriodeDatumTijdTotEnMet],"&gt;"&amp;($A696+9/24),tData[Langligger01],1)</f>
        <v/>
      </c>
      <c r="N696" s="20">
        <f>COUNTIFS(tData[SEHTrajectPeriodeDatumTijdVan],"&lt;="&amp;($A696+10/24),tData[SEHTrajectPeriodeDatumTijdTotEnMet],"&gt;"&amp;($A696+10/24),tData[Langligger01],1)</f>
        <v/>
      </c>
      <c r="O696" s="20">
        <f>COUNTIFS(tData[SEHTrajectPeriodeDatumTijdVan],"&lt;="&amp;($A696+11/24),tData[SEHTrajectPeriodeDatumTijdTotEnMet],"&gt;"&amp;($A696+11/24),tData[Langligger01],1)</f>
        <v/>
      </c>
      <c r="P696" s="20">
        <f>COUNTIFS(tData[SEHTrajectPeriodeDatumTijdVan],"&lt;="&amp;($A696+12/24),tData[SEHTrajectPeriodeDatumTijdTotEnMet],"&gt;"&amp;($A696+12/24),tData[Langligger01],1)</f>
        <v/>
      </c>
      <c r="Q696" s="20">
        <f>COUNTIFS(tData[SEHTrajectPeriodeDatumTijdVan],"&lt;="&amp;($A696+13/24),tData[SEHTrajectPeriodeDatumTijdTotEnMet],"&gt;"&amp;($A696+13/24),tData[Langligger01],1)</f>
        <v/>
      </c>
      <c r="R696" s="20">
        <f>COUNTIFS(tData[SEHTrajectPeriodeDatumTijdVan],"&lt;="&amp;($A696+14/24),tData[SEHTrajectPeriodeDatumTijdTotEnMet],"&gt;"&amp;($A696+14/24),tData[Langligger01],1)</f>
        <v/>
      </c>
      <c r="S696" s="20">
        <f>COUNTIFS(tData[SEHTrajectPeriodeDatumTijdVan],"&lt;="&amp;($A696+15/24),tData[SEHTrajectPeriodeDatumTijdTotEnMet],"&gt;"&amp;($A696+15/24),tData[Langligger01],1)</f>
        <v/>
      </c>
      <c r="T696" s="20">
        <f>COUNTIFS(tData[SEHTrajectPeriodeDatumTijdVan],"&lt;="&amp;($A696+16/24),tData[SEHTrajectPeriodeDatumTijdTotEnMet],"&gt;"&amp;($A696+16/24),tData[Langligger01],1)</f>
        <v/>
      </c>
      <c r="U696" s="20">
        <f>COUNTIFS(tData[SEHTrajectPeriodeDatumTijdVan],"&lt;="&amp;($A696+17/24),tData[SEHTrajectPeriodeDatumTijdTotEnMet],"&gt;"&amp;($A696+17/24),tData[Langligger01],1)</f>
        <v/>
      </c>
      <c r="V696" s="20">
        <f>COUNTIFS(tData[SEHTrajectPeriodeDatumTijdVan],"&lt;="&amp;($A696+18/24),tData[SEHTrajectPeriodeDatumTijdTotEnMet],"&gt;"&amp;($A696+18/24),tData[Langligger01],1)</f>
        <v/>
      </c>
      <c r="W696" s="20">
        <f>COUNTIFS(tData[SEHTrajectPeriodeDatumTijdVan],"&lt;="&amp;($A696+19/24),tData[SEHTrajectPeriodeDatumTijdTotEnMet],"&gt;"&amp;($A696+19/24),tData[Langligger01],1)</f>
        <v/>
      </c>
      <c r="X696" s="20">
        <f>COUNTIFS(tData[SEHTrajectPeriodeDatumTijdVan],"&lt;="&amp;($A696+20/24),tData[SEHTrajectPeriodeDatumTijdTotEnMet],"&gt;"&amp;($A696+20/24),tData[Langligger01],1)</f>
        <v/>
      </c>
      <c r="Y696" s="20">
        <f>COUNTIFS(tData[SEHTrajectPeriodeDatumTijdVan],"&lt;="&amp;($A696+21/24),tData[SEHTrajectPeriodeDatumTijdTotEnMet],"&gt;"&amp;($A696+21/24),tData[Langligger01],1)</f>
        <v/>
      </c>
      <c r="Z696" s="20">
        <f>COUNTIFS(tData[SEHTrajectPeriodeDatumTijdVan],"&lt;="&amp;($A696+22/24),tData[SEHTrajectPeriodeDatumTijdTotEnMet],"&gt;"&amp;($A696+22/24),tData[Langligger01],1)</f>
        <v/>
      </c>
      <c r="AA696" s="20">
        <f>COUNTIFS(tData[SEHTrajectPeriodeDatumTijdVan],"&lt;="&amp;($A696+23/24),tData[SEHTrajectPeriodeDatumTijdTotEnMet],"&gt;"&amp;($A696+23/24),tData[Langligger01],1)</f>
        <v/>
      </c>
    </row>
    <row r="697">
      <c r="A697" s="19" t="n">
        <v>45985</v>
      </c>
      <c r="B697" s="15">
        <f>WEEKDAY($A697,2)</f>
        <v/>
      </c>
      <c r="C697" s="15">
        <f>IF(AND($A697&gt;=INT(Instellingen!$B$5),$A697&lt;=INT(Instellingen!$B$6)),1,0)</f>
        <v/>
      </c>
      <c r="D697" s="20">
        <f>COUNTIFS(tData[SEHTrajectPeriodeDatumTijdVan],"&lt;="&amp;($A697+0/24),tData[SEHTrajectPeriodeDatumTijdTotEnMet],"&gt;"&amp;($A697+0/24),tData[Langligger01],1)</f>
        <v/>
      </c>
      <c r="E697" s="20">
        <f>COUNTIFS(tData[SEHTrajectPeriodeDatumTijdVan],"&lt;="&amp;($A697+1/24),tData[SEHTrajectPeriodeDatumTijdTotEnMet],"&gt;"&amp;($A697+1/24),tData[Langligger01],1)</f>
        <v/>
      </c>
      <c r="F697" s="20">
        <f>COUNTIFS(tData[SEHTrajectPeriodeDatumTijdVan],"&lt;="&amp;($A697+2/24),tData[SEHTrajectPeriodeDatumTijdTotEnMet],"&gt;"&amp;($A697+2/24),tData[Langligger01],1)</f>
        <v/>
      </c>
      <c r="G697" s="20">
        <f>COUNTIFS(tData[SEHTrajectPeriodeDatumTijdVan],"&lt;="&amp;($A697+3/24),tData[SEHTrajectPeriodeDatumTijdTotEnMet],"&gt;"&amp;($A697+3/24),tData[Langligger01],1)</f>
        <v/>
      </c>
      <c r="H697" s="20">
        <f>COUNTIFS(tData[SEHTrajectPeriodeDatumTijdVan],"&lt;="&amp;($A697+4/24),tData[SEHTrajectPeriodeDatumTijdTotEnMet],"&gt;"&amp;($A697+4/24),tData[Langligger01],1)</f>
        <v/>
      </c>
      <c r="I697" s="20">
        <f>COUNTIFS(tData[SEHTrajectPeriodeDatumTijdVan],"&lt;="&amp;($A697+5/24),tData[SEHTrajectPeriodeDatumTijdTotEnMet],"&gt;"&amp;($A697+5/24),tData[Langligger01],1)</f>
        <v/>
      </c>
      <c r="J697" s="20">
        <f>COUNTIFS(tData[SEHTrajectPeriodeDatumTijdVan],"&lt;="&amp;($A697+6/24),tData[SEHTrajectPeriodeDatumTijdTotEnMet],"&gt;"&amp;($A697+6/24),tData[Langligger01],1)</f>
        <v/>
      </c>
      <c r="K697" s="20">
        <f>COUNTIFS(tData[SEHTrajectPeriodeDatumTijdVan],"&lt;="&amp;($A697+7/24),tData[SEHTrajectPeriodeDatumTijdTotEnMet],"&gt;"&amp;($A697+7/24),tData[Langligger01],1)</f>
        <v/>
      </c>
      <c r="L697" s="20">
        <f>COUNTIFS(tData[SEHTrajectPeriodeDatumTijdVan],"&lt;="&amp;($A697+8/24),tData[SEHTrajectPeriodeDatumTijdTotEnMet],"&gt;"&amp;($A697+8/24),tData[Langligger01],1)</f>
        <v/>
      </c>
      <c r="M697" s="20">
        <f>COUNTIFS(tData[SEHTrajectPeriodeDatumTijdVan],"&lt;="&amp;($A697+9/24),tData[SEHTrajectPeriodeDatumTijdTotEnMet],"&gt;"&amp;($A697+9/24),tData[Langligger01],1)</f>
        <v/>
      </c>
      <c r="N697" s="20">
        <f>COUNTIFS(tData[SEHTrajectPeriodeDatumTijdVan],"&lt;="&amp;($A697+10/24),tData[SEHTrajectPeriodeDatumTijdTotEnMet],"&gt;"&amp;($A697+10/24),tData[Langligger01],1)</f>
        <v/>
      </c>
      <c r="O697" s="20">
        <f>COUNTIFS(tData[SEHTrajectPeriodeDatumTijdVan],"&lt;="&amp;($A697+11/24),tData[SEHTrajectPeriodeDatumTijdTotEnMet],"&gt;"&amp;($A697+11/24),tData[Langligger01],1)</f>
        <v/>
      </c>
      <c r="P697" s="20">
        <f>COUNTIFS(tData[SEHTrajectPeriodeDatumTijdVan],"&lt;="&amp;($A697+12/24),tData[SEHTrajectPeriodeDatumTijdTotEnMet],"&gt;"&amp;($A697+12/24),tData[Langligger01],1)</f>
        <v/>
      </c>
      <c r="Q697" s="20">
        <f>COUNTIFS(tData[SEHTrajectPeriodeDatumTijdVan],"&lt;="&amp;($A697+13/24),tData[SEHTrajectPeriodeDatumTijdTotEnMet],"&gt;"&amp;($A697+13/24),tData[Langligger01],1)</f>
        <v/>
      </c>
      <c r="R697" s="20">
        <f>COUNTIFS(tData[SEHTrajectPeriodeDatumTijdVan],"&lt;="&amp;($A697+14/24),tData[SEHTrajectPeriodeDatumTijdTotEnMet],"&gt;"&amp;($A697+14/24),tData[Langligger01],1)</f>
        <v/>
      </c>
      <c r="S697" s="20">
        <f>COUNTIFS(tData[SEHTrajectPeriodeDatumTijdVan],"&lt;="&amp;($A697+15/24),tData[SEHTrajectPeriodeDatumTijdTotEnMet],"&gt;"&amp;($A697+15/24),tData[Langligger01],1)</f>
        <v/>
      </c>
      <c r="T697" s="20">
        <f>COUNTIFS(tData[SEHTrajectPeriodeDatumTijdVan],"&lt;="&amp;($A697+16/24),tData[SEHTrajectPeriodeDatumTijdTotEnMet],"&gt;"&amp;($A697+16/24),tData[Langligger01],1)</f>
        <v/>
      </c>
      <c r="U697" s="20">
        <f>COUNTIFS(tData[SEHTrajectPeriodeDatumTijdVan],"&lt;="&amp;($A697+17/24),tData[SEHTrajectPeriodeDatumTijdTotEnMet],"&gt;"&amp;($A697+17/24),tData[Langligger01],1)</f>
        <v/>
      </c>
      <c r="V697" s="20">
        <f>COUNTIFS(tData[SEHTrajectPeriodeDatumTijdVan],"&lt;="&amp;($A697+18/24),tData[SEHTrajectPeriodeDatumTijdTotEnMet],"&gt;"&amp;($A697+18/24),tData[Langligger01],1)</f>
        <v/>
      </c>
      <c r="W697" s="20">
        <f>COUNTIFS(tData[SEHTrajectPeriodeDatumTijdVan],"&lt;="&amp;($A697+19/24),tData[SEHTrajectPeriodeDatumTijdTotEnMet],"&gt;"&amp;($A697+19/24),tData[Langligger01],1)</f>
        <v/>
      </c>
      <c r="X697" s="20">
        <f>COUNTIFS(tData[SEHTrajectPeriodeDatumTijdVan],"&lt;="&amp;($A697+20/24),tData[SEHTrajectPeriodeDatumTijdTotEnMet],"&gt;"&amp;($A697+20/24),tData[Langligger01],1)</f>
        <v/>
      </c>
      <c r="Y697" s="20">
        <f>COUNTIFS(tData[SEHTrajectPeriodeDatumTijdVan],"&lt;="&amp;($A697+21/24),tData[SEHTrajectPeriodeDatumTijdTotEnMet],"&gt;"&amp;($A697+21/24),tData[Langligger01],1)</f>
        <v/>
      </c>
      <c r="Z697" s="20">
        <f>COUNTIFS(tData[SEHTrajectPeriodeDatumTijdVan],"&lt;="&amp;($A697+22/24),tData[SEHTrajectPeriodeDatumTijdTotEnMet],"&gt;"&amp;($A697+22/24),tData[Langligger01],1)</f>
        <v/>
      </c>
      <c r="AA697" s="20">
        <f>COUNTIFS(tData[SEHTrajectPeriodeDatumTijdVan],"&lt;="&amp;($A697+23/24),tData[SEHTrajectPeriodeDatumTijdTotEnMet],"&gt;"&amp;($A697+23/24),tData[Langligger01],1)</f>
        <v/>
      </c>
    </row>
    <row r="698">
      <c r="A698" s="19" t="n">
        <v>45986</v>
      </c>
      <c r="B698" s="15">
        <f>WEEKDAY($A698,2)</f>
        <v/>
      </c>
      <c r="C698" s="15">
        <f>IF(AND($A698&gt;=INT(Instellingen!$B$5),$A698&lt;=INT(Instellingen!$B$6)),1,0)</f>
        <v/>
      </c>
      <c r="D698" s="20">
        <f>COUNTIFS(tData[SEHTrajectPeriodeDatumTijdVan],"&lt;="&amp;($A698+0/24),tData[SEHTrajectPeriodeDatumTijdTotEnMet],"&gt;"&amp;($A698+0/24),tData[Langligger01],1)</f>
        <v/>
      </c>
      <c r="E698" s="20">
        <f>COUNTIFS(tData[SEHTrajectPeriodeDatumTijdVan],"&lt;="&amp;($A698+1/24),tData[SEHTrajectPeriodeDatumTijdTotEnMet],"&gt;"&amp;($A698+1/24),tData[Langligger01],1)</f>
        <v/>
      </c>
      <c r="F698" s="20">
        <f>COUNTIFS(tData[SEHTrajectPeriodeDatumTijdVan],"&lt;="&amp;($A698+2/24),tData[SEHTrajectPeriodeDatumTijdTotEnMet],"&gt;"&amp;($A698+2/24),tData[Langligger01],1)</f>
        <v/>
      </c>
      <c r="G698" s="20">
        <f>COUNTIFS(tData[SEHTrajectPeriodeDatumTijdVan],"&lt;="&amp;($A698+3/24),tData[SEHTrajectPeriodeDatumTijdTotEnMet],"&gt;"&amp;($A698+3/24),tData[Langligger01],1)</f>
        <v/>
      </c>
      <c r="H698" s="20">
        <f>COUNTIFS(tData[SEHTrajectPeriodeDatumTijdVan],"&lt;="&amp;($A698+4/24),tData[SEHTrajectPeriodeDatumTijdTotEnMet],"&gt;"&amp;($A698+4/24),tData[Langligger01],1)</f>
        <v/>
      </c>
      <c r="I698" s="20">
        <f>COUNTIFS(tData[SEHTrajectPeriodeDatumTijdVan],"&lt;="&amp;($A698+5/24),tData[SEHTrajectPeriodeDatumTijdTotEnMet],"&gt;"&amp;($A698+5/24),tData[Langligger01],1)</f>
        <v/>
      </c>
      <c r="J698" s="20">
        <f>COUNTIFS(tData[SEHTrajectPeriodeDatumTijdVan],"&lt;="&amp;($A698+6/24),tData[SEHTrajectPeriodeDatumTijdTotEnMet],"&gt;"&amp;($A698+6/24),tData[Langligger01],1)</f>
        <v/>
      </c>
      <c r="K698" s="20">
        <f>COUNTIFS(tData[SEHTrajectPeriodeDatumTijdVan],"&lt;="&amp;($A698+7/24),tData[SEHTrajectPeriodeDatumTijdTotEnMet],"&gt;"&amp;($A698+7/24),tData[Langligger01],1)</f>
        <v/>
      </c>
      <c r="L698" s="20">
        <f>COUNTIFS(tData[SEHTrajectPeriodeDatumTijdVan],"&lt;="&amp;($A698+8/24),tData[SEHTrajectPeriodeDatumTijdTotEnMet],"&gt;"&amp;($A698+8/24),tData[Langligger01],1)</f>
        <v/>
      </c>
      <c r="M698" s="20">
        <f>COUNTIFS(tData[SEHTrajectPeriodeDatumTijdVan],"&lt;="&amp;($A698+9/24),tData[SEHTrajectPeriodeDatumTijdTotEnMet],"&gt;"&amp;($A698+9/24),tData[Langligger01],1)</f>
        <v/>
      </c>
      <c r="N698" s="20">
        <f>COUNTIFS(tData[SEHTrajectPeriodeDatumTijdVan],"&lt;="&amp;($A698+10/24),tData[SEHTrajectPeriodeDatumTijdTotEnMet],"&gt;"&amp;($A698+10/24),tData[Langligger01],1)</f>
        <v/>
      </c>
      <c r="O698" s="20">
        <f>COUNTIFS(tData[SEHTrajectPeriodeDatumTijdVan],"&lt;="&amp;($A698+11/24),tData[SEHTrajectPeriodeDatumTijdTotEnMet],"&gt;"&amp;($A698+11/24),tData[Langligger01],1)</f>
        <v/>
      </c>
      <c r="P698" s="20">
        <f>COUNTIFS(tData[SEHTrajectPeriodeDatumTijdVan],"&lt;="&amp;($A698+12/24),tData[SEHTrajectPeriodeDatumTijdTotEnMet],"&gt;"&amp;($A698+12/24),tData[Langligger01],1)</f>
        <v/>
      </c>
      <c r="Q698" s="20">
        <f>COUNTIFS(tData[SEHTrajectPeriodeDatumTijdVan],"&lt;="&amp;($A698+13/24),tData[SEHTrajectPeriodeDatumTijdTotEnMet],"&gt;"&amp;($A698+13/24),tData[Langligger01],1)</f>
        <v/>
      </c>
      <c r="R698" s="20">
        <f>COUNTIFS(tData[SEHTrajectPeriodeDatumTijdVan],"&lt;="&amp;($A698+14/24),tData[SEHTrajectPeriodeDatumTijdTotEnMet],"&gt;"&amp;($A698+14/24),tData[Langligger01],1)</f>
        <v/>
      </c>
      <c r="S698" s="20">
        <f>COUNTIFS(tData[SEHTrajectPeriodeDatumTijdVan],"&lt;="&amp;($A698+15/24),tData[SEHTrajectPeriodeDatumTijdTotEnMet],"&gt;"&amp;($A698+15/24),tData[Langligger01],1)</f>
        <v/>
      </c>
      <c r="T698" s="20">
        <f>COUNTIFS(tData[SEHTrajectPeriodeDatumTijdVan],"&lt;="&amp;($A698+16/24),tData[SEHTrajectPeriodeDatumTijdTotEnMet],"&gt;"&amp;($A698+16/24),tData[Langligger01],1)</f>
        <v/>
      </c>
      <c r="U698" s="20">
        <f>COUNTIFS(tData[SEHTrajectPeriodeDatumTijdVan],"&lt;="&amp;($A698+17/24),tData[SEHTrajectPeriodeDatumTijdTotEnMet],"&gt;"&amp;($A698+17/24),tData[Langligger01],1)</f>
        <v/>
      </c>
      <c r="V698" s="20">
        <f>COUNTIFS(tData[SEHTrajectPeriodeDatumTijdVan],"&lt;="&amp;($A698+18/24),tData[SEHTrajectPeriodeDatumTijdTotEnMet],"&gt;"&amp;($A698+18/24),tData[Langligger01],1)</f>
        <v/>
      </c>
      <c r="W698" s="20">
        <f>COUNTIFS(tData[SEHTrajectPeriodeDatumTijdVan],"&lt;="&amp;($A698+19/24),tData[SEHTrajectPeriodeDatumTijdTotEnMet],"&gt;"&amp;($A698+19/24),tData[Langligger01],1)</f>
        <v/>
      </c>
      <c r="X698" s="20">
        <f>COUNTIFS(tData[SEHTrajectPeriodeDatumTijdVan],"&lt;="&amp;($A698+20/24),tData[SEHTrajectPeriodeDatumTijdTotEnMet],"&gt;"&amp;($A698+20/24),tData[Langligger01],1)</f>
        <v/>
      </c>
      <c r="Y698" s="20">
        <f>COUNTIFS(tData[SEHTrajectPeriodeDatumTijdVan],"&lt;="&amp;($A698+21/24),tData[SEHTrajectPeriodeDatumTijdTotEnMet],"&gt;"&amp;($A698+21/24),tData[Langligger01],1)</f>
        <v/>
      </c>
      <c r="Z698" s="20">
        <f>COUNTIFS(tData[SEHTrajectPeriodeDatumTijdVan],"&lt;="&amp;($A698+22/24),tData[SEHTrajectPeriodeDatumTijdTotEnMet],"&gt;"&amp;($A698+22/24),tData[Langligger01],1)</f>
        <v/>
      </c>
      <c r="AA698" s="20">
        <f>COUNTIFS(tData[SEHTrajectPeriodeDatumTijdVan],"&lt;="&amp;($A698+23/24),tData[SEHTrajectPeriodeDatumTijdTotEnMet],"&gt;"&amp;($A698+23/24),tData[Langligger01],1)</f>
        <v/>
      </c>
    </row>
    <row r="699">
      <c r="A699" s="19" t="n">
        <v>45987</v>
      </c>
      <c r="B699" s="15">
        <f>WEEKDAY($A699,2)</f>
        <v/>
      </c>
      <c r="C699" s="15">
        <f>IF(AND($A699&gt;=INT(Instellingen!$B$5),$A699&lt;=INT(Instellingen!$B$6)),1,0)</f>
        <v/>
      </c>
      <c r="D699" s="20">
        <f>COUNTIFS(tData[SEHTrajectPeriodeDatumTijdVan],"&lt;="&amp;($A699+0/24),tData[SEHTrajectPeriodeDatumTijdTotEnMet],"&gt;"&amp;($A699+0/24),tData[Langligger01],1)</f>
        <v/>
      </c>
      <c r="E699" s="20">
        <f>COUNTIFS(tData[SEHTrajectPeriodeDatumTijdVan],"&lt;="&amp;($A699+1/24),tData[SEHTrajectPeriodeDatumTijdTotEnMet],"&gt;"&amp;($A699+1/24),tData[Langligger01],1)</f>
        <v/>
      </c>
      <c r="F699" s="20">
        <f>COUNTIFS(tData[SEHTrajectPeriodeDatumTijdVan],"&lt;="&amp;($A699+2/24),tData[SEHTrajectPeriodeDatumTijdTotEnMet],"&gt;"&amp;($A699+2/24),tData[Langligger01],1)</f>
        <v/>
      </c>
      <c r="G699" s="20">
        <f>COUNTIFS(tData[SEHTrajectPeriodeDatumTijdVan],"&lt;="&amp;($A699+3/24),tData[SEHTrajectPeriodeDatumTijdTotEnMet],"&gt;"&amp;($A699+3/24),tData[Langligger01],1)</f>
        <v/>
      </c>
      <c r="H699" s="20">
        <f>COUNTIFS(tData[SEHTrajectPeriodeDatumTijdVan],"&lt;="&amp;($A699+4/24),tData[SEHTrajectPeriodeDatumTijdTotEnMet],"&gt;"&amp;($A699+4/24),tData[Langligger01],1)</f>
        <v/>
      </c>
      <c r="I699" s="20">
        <f>COUNTIFS(tData[SEHTrajectPeriodeDatumTijdVan],"&lt;="&amp;($A699+5/24),tData[SEHTrajectPeriodeDatumTijdTotEnMet],"&gt;"&amp;($A699+5/24),tData[Langligger01],1)</f>
        <v/>
      </c>
      <c r="J699" s="20">
        <f>COUNTIFS(tData[SEHTrajectPeriodeDatumTijdVan],"&lt;="&amp;($A699+6/24),tData[SEHTrajectPeriodeDatumTijdTotEnMet],"&gt;"&amp;($A699+6/24),tData[Langligger01],1)</f>
        <v/>
      </c>
      <c r="K699" s="20">
        <f>COUNTIFS(tData[SEHTrajectPeriodeDatumTijdVan],"&lt;="&amp;($A699+7/24),tData[SEHTrajectPeriodeDatumTijdTotEnMet],"&gt;"&amp;($A699+7/24),tData[Langligger01],1)</f>
        <v/>
      </c>
      <c r="L699" s="20">
        <f>COUNTIFS(tData[SEHTrajectPeriodeDatumTijdVan],"&lt;="&amp;($A699+8/24),tData[SEHTrajectPeriodeDatumTijdTotEnMet],"&gt;"&amp;($A699+8/24),tData[Langligger01],1)</f>
        <v/>
      </c>
      <c r="M699" s="20">
        <f>COUNTIFS(tData[SEHTrajectPeriodeDatumTijdVan],"&lt;="&amp;($A699+9/24),tData[SEHTrajectPeriodeDatumTijdTotEnMet],"&gt;"&amp;($A699+9/24),tData[Langligger01],1)</f>
        <v/>
      </c>
      <c r="N699" s="20">
        <f>COUNTIFS(tData[SEHTrajectPeriodeDatumTijdVan],"&lt;="&amp;($A699+10/24),tData[SEHTrajectPeriodeDatumTijdTotEnMet],"&gt;"&amp;($A699+10/24),tData[Langligger01],1)</f>
        <v/>
      </c>
      <c r="O699" s="20">
        <f>COUNTIFS(tData[SEHTrajectPeriodeDatumTijdVan],"&lt;="&amp;($A699+11/24),tData[SEHTrajectPeriodeDatumTijdTotEnMet],"&gt;"&amp;($A699+11/24),tData[Langligger01],1)</f>
        <v/>
      </c>
      <c r="P699" s="20">
        <f>COUNTIFS(tData[SEHTrajectPeriodeDatumTijdVan],"&lt;="&amp;($A699+12/24),tData[SEHTrajectPeriodeDatumTijdTotEnMet],"&gt;"&amp;($A699+12/24),tData[Langligger01],1)</f>
        <v/>
      </c>
      <c r="Q699" s="20">
        <f>COUNTIFS(tData[SEHTrajectPeriodeDatumTijdVan],"&lt;="&amp;($A699+13/24),tData[SEHTrajectPeriodeDatumTijdTotEnMet],"&gt;"&amp;($A699+13/24),tData[Langligger01],1)</f>
        <v/>
      </c>
      <c r="R699" s="20">
        <f>COUNTIFS(tData[SEHTrajectPeriodeDatumTijdVan],"&lt;="&amp;($A699+14/24),tData[SEHTrajectPeriodeDatumTijdTotEnMet],"&gt;"&amp;($A699+14/24),tData[Langligger01],1)</f>
        <v/>
      </c>
      <c r="S699" s="20">
        <f>COUNTIFS(tData[SEHTrajectPeriodeDatumTijdVan],"&lt;="&amp;($A699+15/24),tData[SEHTrajectPeriodeDatumTijdTotEnMet],"&gt;"&amp;($A699+15/24),tData[Langligger01],1)</f>
        <v/>
      </c>
      <c r="T699" s="20">
        <f>COUNTIFS(tData[SEHTrajectPeriodeDatumTijdVan],"&lt;="&amp;($A699+16/24),tData[SEHTrajectPeriodeDatumTijdTotEnMet],"&gt;"&amp;($A699+16/24),tData[Langligger01],1)</f>
        <v/>
      </c>
      <c r="U699" s="20">
        <f>COUNTIFS(tData[SEHTrajectPeriodeDatumTijdVan],"&lt;="&amp;($A699+17/24),tData[SEHTrajectPeriodeDatumTijdTotEnMet],"&gt;"&amp;($A699+17/24),tData[Langligger01],1)</f>
        <v/>
      </c>
      <c r="V699" s="20">
        <f>COUNTIFS(tData[SEHTrajectPeriodeDatumTijdVan],"&lt;="&amp;($A699+18/24),tData[SEHTrajectPeriodeDatumTijdTotEnMet],"&gt;"&amp;($A699+18/24),tData[Langligger01],1)</f>
        <v/>
      </c>
      <c r="W699" s="20">
        <f>COUNTIFS(tData[SEHTrajectPeriodeDatumTijdVan],"&lt;="&amp;($A699+19/24),tData[SEHTrajectPeriodeDatumTijdTotEnMet],"&gt;"&amp;($A699+19/24),tData[Langligger01],1)</f>
        <v/>
      </c>
      <c r="X699" s="20">
        <f>COUNTIFS(tData[SEHTrajectPeriodeDatumTijdVan],"&lt;="&amp;($A699+20/24),tData[SEHTrajectPeriodeDatumTijdTotEnMet],"&gt;"&amp;($A699+20/24),tData[Langligger01],1)</f>
        <v/>
      </c>
      <c r="Y699" s="20">
        <f>COUNTIFS(tData[SEHTrajectPeriodeDatumTijdVan],"&lt;="&amp;($A699+21/24),tData[SEHTrajectPeriodeDatumTijdTotEnMet],"&gt;"&amp;($A699+21/24),tData[Langligger01],1)</f>
        <v/>
      </c>
      <c r="Z699" s="20">
        <f>COUNTIFS(tData[SEHTrajectPeriodeDatumTijdVan],"&lt;="&amp;($A699+22/24),tData[SEHTrajectPeriodeDatumTijdTotEnMet],"&gt;"&amp;($A699+22/24),tData[Langligger01],1)</f>
        <v/>
      </c>
      <c r="AA699" s="20">
        <f>COUNTIFS(tData[SEHTrajectPeriodeDatumTijdVan],"&lt;="&amp;($A699+23/24),tData[SEHTrajectPeriodeDatumTijdTotEnMet],"&gt;"&amp;($A699+23/24),tData[Langligger01],1)</f>
        <v/>
      </c>
    </row>
    <row r="700">
      <c r="A700" s="19" t="n">
        <v>45988</v>
      </c>
      <c r="B700" s="15">
        <f>WEEKDAY($A700,2)</f>
        <v/>
      </c>
      <c r="C700" s="15">
        <f>IF(AND($A700&gt;=INT(Instellingen!$B$5),$A700&lt;=INT(Instellingen!$B$6)),1,0)</f>
        <v/>
      </c>
      <c r="D700" s="20">
        <f>COUNTIFS(tData[SEHTrajectPeriodeDatumTijdVan],"&lt;="&amp;($A700+0/24),tData[SEHTrajectPeriodeDatumTijdTotEnMet],"&gt;"&amp;($A700+0/24),tData[Langligger01],1)</f>
        <v/>
      </c>
      <c r="E700" s="20">
        <f>COUNTIFS(tData[SEHTrajectPeriodeDatumTijdVan],"&lt;="&amp;($A700+1/24),tData[SEHTrajectPeriodeDatumTijdTotEnMet],"&gt;"&amp;($A700+1/24),tData[Langligger01],1)</f>
        <v/>
      </c>
      <c r="F700" s="20">
        <f>COUNTIFS(tData[SEHTrajectPeriodeDatumTijdVan],"&lt;="&amp;($A700+2/24),tData[SEHTrajectPeriodeDatumTijdTotEnMet],"&gt;"&amp;($A700+2/24),tData[Langligger01],1)</f>
        <v/>
      </c>
      <c r="G700" s="20">
        <f>COUNTIFS(tData[SEHTrajectPeriodeDatumTijdVan],"&lt;="&amp;($A700+3/24),tData[SEHTrajectPeriodeDatumTijdTotEnMet],"&gt;"&amp;($A700+3/24),tData[Langligger01],1)</f>
        <v/>
      </c>
      <c r="H700" s="20">
        <f>COUNTIFS(tData[SEHTrajectPeriodeDatumTijdVan],"&lt;="&amp;($A700+4/24),tData[SEHTrajectPeriodeDatumTijdTotEnMet],"&gt;"&amp;($A700+4/24),tData[Langligger01],1)</f>
        <v/>
      </c>
      <c r="I700" s="20">
        <f>COUNTIFS(tData[SEHTrajectPeriodeDatumTijdVan],"&lt;="&amp;($A700+5/24),tData[SEHTrajectPeriodeDatumTijdTotEnMet],"&gt;"&amp;($A700+5/24),tData[Langligger01],1)</f>
        <v/>
      </c>
      <c r="J700" s="20">
        <f>COUNTIFS(tData[SEHTrajectPeriodeDatumTijdVan],"&lt;="&amp;($A700+6/24),tData[SEHTrajectPeriodeDatumTijdTotEnMet],"&gt;"&amp;($A700+6/24),tData[Langligger01],1)</f>
        <v/>
      </c>
      <c r="K700" s="20">
        <f>COUNTIFS(tData[SEHTrajectPeriodeDatumTijdVan],"&lt;="&amp;($A700+7/24),tData[SEHTrajectPeriodeDatumTijdTotEnMet],"&gt;"&amp;($A700+7/24),tData[Langligger01],1)</f>
        <v/>
      </c>
      <c r="L700" s="20">
        <f>COUNTIFS(tData[SEHTrajectPeriodeDatumTijdVan],"&lt;="&amp;($A700+8/24),tData[SEHTrajectPeriodeDatumTijdTotEnMet],"&gt;"&amp;($A700+8/24),tData[Langligger01],1)</f>
        <v/>
      </c>
      <c r="M700" s="20">
        <f>COUNTIFS(tData[SEHTrajectPeriodeDatumTijdVan],"&lt;="&amp;($A700+9/24),tData[SEHTrajectPeriodeDatumTijdTotEnMet],"&gt;"&amp;($A700+9/24),tData[Langligger01],1)</f>
        <v/>
      </c>
      <c r="N700" s="20">
        <f>COUNTIFS(tData[SEHTrajectPeriodeDatumTijdVan],"&lt;="&amp;($A700+10/24),tData[SEHTrajectPeriodeDatumTijdTotEnMet],"&gt;"&amp;($A700+10/24),tData[Langligger01],1)</f>
        <v/>
      </c>
      <c r="O700" s="20">
        <f>COUNTIFS(tData[SEHTrajectPeriodeDatumTijdVan],"&lt;="&amp;($A700+11/24),tData[SEHTrajectPeriodeDatumTijdTotEnMet],"&gt;"&amp;($A700+11/24),tData[Langligger01],1)</f>
        <v/>
      </c>
      <c r="P700" s="20">
        <f>COUNTIFS(tData[SEHTrajectPeriodeDatumTijdVan],"&lt;="&amp;($A700+12/24),tData[SEHTrajectPeriodeDatumTijdTotEnMet],"&gt;"&amp;($A700+12/24),tData[Langligger01],1)</f>
        <v/>
      </c>
      <c r="Q700" s="20">
        <f>COUNTIFS(tData[SEHTrajectPeriodeDatumTijdVan],"&lt;="&amp;($A700+13/24),tData[SEHTrajectPeriodeDatumTijdTotEnMet],"&gt;"&amp;($A700+13/24),tData[Langligger01],1)</f>
        <v/>
      </c>
      <c r="R700" s="20">
        <f>COUNTIFS(tData[SEHTrajectPeriodeDatumTijdVan],"&lt;="&amp;($A700+14/24),tData[SEHTrajectPeriodeDatumTijdTotEnMet],"&gt;"&amp;($A700+14/24),tData[Langligger01],1)</f>
        <v/>
      </c>
      <c r="S700" s="20">
        <f>COUNTIFS(tData[SEHTrajectPeriodeDatumTijdVan],"&lt;="&amp;($A700+15/24),tData[SEHTrajectPeriodeDatumTijdTotEnMet],"&gt;"&amp;($A700+15/24),tData[Langligger01],1)</f>
        <v/>
      </c>
      <c r="T700" s="20">
        <f>COUNTIFS(tData[SEHTrajectPeriodeDatumTijdVan],"&lt;="&amp;($A700+16/24),tData[SEHTrajectPeriodeDatumTijdTotEnMet],"&gt;"&amp;($A700+16/24),tData[Langligger01],1)</f>
        <v/>
      </c>
      <c r="U700" s="20">
        <f>COUNTIFS(tData[SEHTrajectPeriodeDatumTijdVan],"&lt;="&amp;($A700+17/24),tData[SEHTrajectPeriodeDatumTijdTotEnMet],"&gt;"&amp;($A700+17/24),tData[Langligger01],1)</f>
        <v/>
      </c>
      <c r="V700" s="20">
        <f>COUNTIFS(tData[SEHTrajectPeriodeDatumTijdVan],"&lt;="&amp;($A700+18/24),tData[SEHTrajectPeriodeDatumTijdTotEnMet],"&gt;"&amp;($A700+18/24),tData[Langligger01],1)</f>
        <v/>
      </c>
      <c r="W700" s="20">
        <f>COUNTIFS(tData[SEHTrajectPeriodeDatumTijdVan],"&lt;="&amp;($A700+19/24),tData[SEHTrajectPeriodeDatumTijdTotEnMet],"&gt;"&amp;($A700+19/24),tData[Langligger01],1)</f>
        <v/>
      </c>
      <c r="X700" s="20">
        <f>COUNTIFS(tData[SEHTrajectPeriodeDatumTijdVan],"&lt;="&amp;($A700+20/24),tData[SEHTrajectPeriodeDatumTijdTotEnMet],"&gt;"&amp;($A700+20/24),tData[Langligger01],1)</f>
        <v/>
      </c>
      <c r="Y700" s="20">
        <f>COUNTIFS(tData[SEHTrajectPeriodeDatumTijdVan],"&lt;="&amp;($A700+21/24),tData[SEHTrajectPeriodeDatumTijdTotEnMet],"&gt;"&amp;($A700+21/24),tData[Langligger01],1)</f>
        <v/>
      </c>
      <c r="Z700" s="20">
        <f>COUNTIFS(tData[SEHTrajectPeriodeDatumTijdVan],"&lt;="&amp;($A700+22/24),tData[SEHTrajectPeriodeDatumTijdTotEnMet],"&gt;"&amp;($A700+22/24),tData[Langligger01],1)</f>
        <v/>
      </c>
      <c r="AA700" s="20">
        <f>COUNTIFS(tData[SEHTrajectPeriodeDatumTijdVan],"&lt;="&amp;($A700+23/24),tData[SEHTrajectPeriodeDatumTijdTotEnMet],"&gt;"&amp;($A700+23/24),tData[Langligger01],1)</f>
        <v/>
      </c>
    </row>
    <row r="701">
      <c r="A701" s="19" t="n">
        <v>45989</v>
      </c>
      <c r="B701" s="15">
        <f>WEEKDAY($A701,2)</f>
        <v/>
      </c>
      <c r="C701" s="15">
        <f>IF(AND($A701&gt;=INT(Instellingen!$B$5),$A701&lt;=INT(Instellingen!$B$6)),1,0)</f>
        <v/>
      </c>
      <c r="D701" s="20">
        <f>COUNTIFS(tData[SEHTrajectPeriodeDatumTijdVan],"&lt;="&amp;($A701+0/24),tData[SEHTrajectPeriodeDatumTijdTotEnMet],"&gt;"&amp;($A701+0/24),tData[Langligger01],1)</f>
        <v/>
      </c>
      <c r="E701" s="20">
        <f>COUNTIFS(tData[SEHTrajectPeriodeDatumTijdVan],"&lt;="&amp;($A701+1/24),tData[SEHTrajectPeriodeDatumTijdTotEnMet],"&gt;"&amp;($A701+1/24),tData[Langligger01],1)</f>
        <v/>
      </c>
      <c r="F701" s="20">
        <f>COUNTIFS(tData[SEHTrajectPeriodeDatumTijdVan],"&lt;="&amp;($A701+2/24),tData[SEHTrajectPeriodeDatumTijdTotEnMet],"&gt;"&amp;($A701+2/24),tData[Langligger01],1)</f>
        <v/>
      </c>
      <c r="G701" s="20">
        <f>COUNTIFS(tData[SEHTrajectPeriodeDatumTijdVan],"&lt;="&amp;($A701+3/24),tData[SEHTrajectPeriodeDatumTijdTotEnMet],"&gt;"&amp;($A701+3/24),tData[Langligger01],1)</f>
        <v/>
      </c>
      <c r="H701" s="20">
        <f>COUNTIFS(tData[SEHTrajectPeriodeDatumTijdVan],"&lt;="&amp;($A701+4/24),tData[SEHTrajectPeriodeDatumTijdTotEnMet],"&gt;"&amp;($A701+4/24),tData[Langligger01],1)</f>
        <v/>
      </c>
      <c r="I701" s="20">
        <f>COUNTIFS(tData[SEHTrajectPeriodeDatumTijdVan],"&lt;="&amp;($A701+5/24),tData[SEHTrajectPeriodeDatumTijdTotEnMet],"&gt;"&amp;($A701+5/24),tData[Langligger01],1)</f>
        <v/>
      </c>
      <c r="J701" s="20">
        <f>COUNTIFS(tData[SEHTrajectPeriodeDatumTijdVan],"&lt;="&amp;($A701+6/24),tData[SEHTrajectPeriodeDatumTijdTotEnMet],"&gt;"&amp;($A701+6/24),tData[Langligger01],1)</f>
        <v/>
      </c>
      <c r="K701" s="20">
        <f>COUNTIFS(tData[SEHTrajectPeriodeDatumTijdVan],"&lt;="&amp;($A701+7/24),tData[SEHTrajectPeriodeDatumTijdTotEnMet],"&gt;"&amp;($A701+7/24),tData[Langligger01],1)</f>
        <v/>
      </c>
      <c r="L701" s="20">
        <f>COUNTIFS(tData[SEHTrajectPeriodeDatumTijdVan],"&lt;="&amp;($A701+8/24),tData[SEHTrajectPeriodeDatumTijdTotEnMet],"&gt;"&amp;($A701+8/24),tData[Langligger01],1)</f>
        <v/>
      </c>
      <c r="M701" s="20">
        <f>COUNTIFS(tData[SEHTrajectPeriodeDatumTijdVan],"&lt;="&amp;($A701+9/24),tData[SEHTrajectPeriodeDatumTijdTotEnMet],"&gt;"&amp;($A701+9/24),tData[Langligger01],1)</f>
        <v/>
      </c>
      <c r="N701" s="20">
        <f>COUNTIFS(tData[SEHTrajectPeriodeDatumTijdVan],"&lt;="&amp;($A701+10/24),tData[SEHTrajectPeriodeDatumTijdTotEnMet],"&gt;"&amp;($A701+10/24),tData[Langligger01],1)</f>
        <v/>
      </c>
      <c r="O701" s="20">
        <f>COUNTIFS(tData[SEHTrajectPeriodeDatumTijdVan],"&lt;="&amp;($A701+11/24),tData[SEHTrajectPeriodeDatumTijdTotEnMet],"&gt;"&amp;($A701+11/24),tData[Langligger01],1)</f>
        <v/>
      </c>
      <c r="P701" s="20">
        <f>COUNTIFS(tData[SEHTrajectPeriodeDatumTijdVan],"&lt;="&amp;($A701+12/24),tData[SEHTrajectPeriodeDatumTijdTotEnMet],"&gt;"&amp;($A701+12/24),tData[Langligger01],1)</f>
        <v/>
      </c>
      <c r="Q701" s="20">
        <f>COUNTIFS(tData[SEHTrajectPeriodeDatumTijdVan],"&lt;="&amp;($A701+13/24),tData[SEHTrajectPeriodeDatumTijdTotEnMet],"&gt;"&amp;($A701+13/24),tData[Langligger01],1)</f>
        <v/>
      </c>
      <c r="R701" s="20">
        <f>COUNTIFS(tData[SEHTrajectPeriodeDatumTijdVan],"&lt;="&amp;($A701+14/24),tData[SEHTrajectPeriodeDatumTijdTotEnMet],"&gt;"&amp;($A701+14/24),tData[Langligger01],1)</f>
        <v/>
      </c>
      <c r="S701" s="20">
        <f>COUNTIFS(tData[SEHTrajectPeriodeDatumTijdVan],"&lt;="&amp;($A701+15/24),tData[SEHTrajectPeriodeDatumTijdTotEnMet],"&gt;"&amp;($A701+15/24),tData[Langligger01],1)</f>
        <v/>
      </c>
      <c r="T701" s="20">
        <f>COUNTIFS(tData[SEHTrajectPeriodeDatumTijdVan],"&lt;="&amp;($A701+16/24),tData[SEHTrajectPeriodeDatumTijdTotEnMet],"&gt;"&amp;($A701+16/24),tData[Langligger01],1)</f>
        <v/>
      </c>
      <c r="U701" s="20">
        <f>COUNTIFS(tData[SEHTrajectPeriodeDatumTijdVan],"&lt;="&amp;($A701+17/24),tData[SEHTrajectPeriodeDatumTijdTotEnMet],"&gt;"&amp;($A701+17/24),tData[Langligger01],1)</f>
        <v/>
      </c>
      <c r="V701" s="20">
        <f>COUNTIFS(tData[SEHTrajectPeriodeDatumTijdVan],"&lt;="&amp;($A701+18/24),tData[SEHTrajectPeriodeDatumTijdTotEnMet],"&gt;"&amp;($A701+18/24),tData[Langligger01],1)</f>
        <v/>
      </c>
      <c r="W701" s="20">
        <f>COUNTIFS(tData[SEHTrajectPeriodeDatumTijdVan],"&lt;="&amp;($A701+19/24),tData[SEHTrajectPeriodeDatumTijdTotEnMet],"&gt;"&amp;($A701+19/24),tData[Langligger01],1)</f>
        <v/>
      </c>
      <c r="X701" s="20">
        <f>COUNTIFS(tData[SEHTrajectPeriodeDatumTijdVan],"&lt;="&amp;($A701+20/24),tData[SEHTrajectPeriodeDatumTijdTotEnMet],"&gt;"&amp;($A701+20/24),tData[Langligger01],1)</f>
        <v/>
      </c>
      <c r="Y701" s="20">
        <f>COUNTIFS(tData[SEHTrajectPeriodeDatumTijdVan],"&lt;="&amp;($A701+21/24),tData[SEHTrajectPeriodeDatumTijdTotEnMet],"&gt;"&amp;($A701+21/24),tData[Langligger01],1)</f>
        <v/>
      </c>
      <c r="Z701" s="20">
        <f>COUNTIFS(tData[SEHTrajectPeriodeDatumTijdVan],"&lt;="&amp;($A701+22/24),tData[SEHTrajectPeriodeDatumTijdTotEnMet],"&gt;"&amp;($A701+22/24),tData[Langligger01],1)</f>
        <v/>
      </c>
      <c r="AA701" s="20">
        <f>COUNTIFS(tData[SEHTrajectPeriodeDatumTijdVan],"&lt;="&amp;($A701+23/24),tData[SEHTrajectPeriodeDatumTijdTotEnMet],"&gt;"&amp;($A701+23/24),tData[Langligger01],1)</f>
        <v/>
      </c>
    </row>
    <row r="702">
      <c r="A702" s="19" t="n">
        <v>45990</v>
      </c>
      <c r="B702" s="15">
        <f>WEEKDAY($A702,2)</f>
        <v/>
      </c>
      <c r="C702" s="15">
        <f>IF(AND($A702&gt;=INT(Instellingen!$B$5),$A702&lt;=INT(Instellingen!$B$6)),1,0)</f>
        <v/>
      </c>
      <c r="D702" s="20">
        <f>COUNTIFS(tData[SEHTrajectPeriodeDatumTijdVan],"&lt;="&amp;($A702+0/24),tData[SEHTrajectPeriodeDatumTijdTotEnMet],"&gt;"&amp;($A702+0/24),tData[Langligger01],1)</f>
        <v/>
      </c>
      <c r="E702" s="20">
        <f>COUNTIFS(tData[SEHTrajectPeriodeDatumTijdVan],"&lt;="&amp;($A702+1/24),tData[SEHTrajectPeriodeDatumTijdTotEnMet],"&gt;"&amp;($A702+1/24),tData[Langligger01],1)</f>
        <v/>
      </c>
      <c r="F702" s="20">
        <f>COUNTIFS(tData[SEHTrajectPeriodeDatumTijdVan],"&lt;="&amp;($A702+2/24),tData[SEHTrajectPeriodeDatumTijdTotEnMet],"&gt;"&amp;($A702+2/24),tData[Langligger01],1)</f>
        <v/>
      </c>
      <c r="G702" s="20">
        <f>COUNTIFS(tData[SEHTrajectPeriodeDatumTijdVan],"&lt;="&amp;($A702+3/24),tData[SEHTrajectPeriodeDatumTijdTotEnMet],"&gt;"&amp;($A702+3/24),tData[Langligger01],1)</f>
        <v/>
      </c>
      <c r="H702" s="20">
        <f>COUNTIFS(tData[SEHTrajectPeriodeDatumTijdVan],"&lt;="&amp;($A702+4/24),tData[SEHTrajectPeriodeDatumTijdTotEnMet],"&gt;"&amp;($A702+4/24),tData[Langligger01],1)</f>
        <v/>
      </c>
      <c r="I702" s="20">
        <f>COUNTIFS(tData[SEHTrajectPeriodeDatumTijdVan],"&lt;="&amp;($A702+5/24),tData[SEHTrajectPeriodeDatumTijdTotEnMet],"&gt;"&amp;($A702+5/24),tData[Langligger01],1)</f>
        <v/>
      </c>
      <c r="J702" s="20">
        <f>COUNTIFS(tData[SEHTrajectPeriodeDatumTijdVan],"&lt;="&amp;($A702+6/24),tData[SEHTrajectPeriodeDatumTijdTotEnMet],"&gt;"&amp;($A702+6/24),tData[Langligger01],1)</f>
        <v/>
      </c>
      <c r="K702" s="20">
        <f>COUNTIFS(tData[SEHTrajectPeriodeDatumTijdVan],"&lt;="&amp;($A702+7/24),tData[SEHTrajectPeriodeDatumTijdTotEnMet],"&gt;"&amp;($A702+7/24),tData[Langligger01],1)</f>
        <v/>
      </c>
      <c r="L702" s="20">
        <f>COUNTIFS(tData[SEHTrajectPeriodeDatumTijdVan],"&lt;="&amp;($A702+8/24),tData[SEHTrajectPeriodeDatumTijdTotEnMet],"&gt;"&amp;($A702+8/24),tData[Langligger01],1)</f>
        <v/>
      </c>
      <c r="M702" s="20">
        <f>COUNTIFS(tData[SEHTrajectPeriodeDatumTijdVan],"&lt;="&amp;($A702+9/24),tData[SEHTrajectPeriodeDatumTijdTotEnMet],"&gt;"&amp;($A702+9/24),tData[Langligger01],1)</f>
        <v/>
      </c>
      <c r="N702" s="20">
        <f>COUNTIFS(tData[SEHTrajectPeriodeDatumTijdVan],"&lt;="&amp;($A702+10/24),tData[SEHTrajectPeriodeDatumTijdTotEnMet],"&gt;"&amp;($A702+10/24),tData[Langligger01],1)</f>
        <v/>
      </c>
      <c r="O702" s="20">
        <f>COUNTIFS(tData[SEHTrajectPeriodeDatumTijdVan],"&lt;="&amp;($A702+11/24),tData[SEHTrajectPeriodeDatumTijdTotEnMet],"&gt;"&amp;($A702+11/24),tData[Langligger01],1)</f>
        <v/>
      </c>
      <c r="P702" s="20">
        <f>COUNTIFS(tData[SEHTrajectPeriodeDatumTijdVan],"&lt;="&amp;($A702+12/24),tData[SEHTrajectPeriodeDatumTijdTotEnMet],"&gt;"&amp;($A702+12/24),tData[Langligger01],1)</f>
        <v/>
      </c>
      <c r="Q702" s="20">
        <f>COUNTIFS(tData[SEHTrajectPeriodeDatumTijdVan],"&lt;="&amp;($A702+13/24),tData[SEHTrajectPeriodeDatumTijdTotEnMet],"&gt;"&amp;($A702+13/24),tData[Langligger01],1)</f>
        <v/>
      </c>
      <c r="R702" s="20">
        <f>COUNTIFS(tData[SEHTrajectPeriodeDatumTijdVan],"&lt;="&amp;($A702+14/24),tData[SEHTrajectPeriodeDatumTijdTotEnMet],"&gt;"&amp;($A702+14/24),tData[Langligger01],1)</f>
        <v/>
      </c>
      <c r="S702" s="20">
        <f>COUNTIFS(tData[SEHTrajectPeriodeDatumTijdVan],"&lt;="&amp;($A702+15/24),tData[SEHTrajectPeriodeDatumTijdTotEnMet],"&gt;"&amp;($A702+15/24),tData[Langligger01],1)</f>
        <v/>
      </c>
      <c r="T702" s="20">
        <f>COUNTIFS(tData[SEHTrajectPeriodeDatumTijdVan],"&lt;="&amp;($A702+16/24),tData[SEHTrajectPeriodeDatumTijdTotEnMet],"&gt;"&amp;($A702+16/24),tData[Langligger01],1)</f>
        <v/>
      </c>
      <c r="U702" s="20">
        <f>COUNTIFS(tData[SEHTrajectPeriodeDatumTijdVan],"&lt;="&amp;($A702+17/24),tData[SEHTrajectPeriodeDatumTijdTotEnMet],"&gt;"&amp;($A702+17/24),tData[Langligger01],1)</f>
        <v/>
      </c>
      <c r="V702" s="20">
        <f>COUNTIFS(tData[SEHTrajectPeriodeDatumTijdVan],"&lt;="&amp;($A702+18/24),tData[SEHTrajectPeriodeDatumTijdTotEnMet],"&gt;"&amp;($A702+18/24),tData[Langligger01],1)</f>
        <v/>
      </c>
      <c r="W702" s="20">
        <f>COUNTIFS(tData[SEHTrajectPeriodeDatumTijdVan],"&lt;="&amp;($A702+19/24),tData[SEHTrajectPeriodeDatumTijdTotEnMet],"&gt;"&amp;($A702+19/24),tData[Langligger01],1)</f>
        <v/>
      </c>
      <c r="X702" s="20">
        <f>COUNTIFS(tData[SEHTrajectPeriodeDatumTijdVan],"&lt;="&amp;($A702+20/24),tData[SEHTrajectPeriodeDatumTijdTotEnMet],"&gt;"&amp;($A702+20/24),tData[Langligger01],1)</f>
        <v/>
      </c>
      <c r="Y702" s="20">
        <f>COUNTIFS(tData[SEHTrajectPeriodeDatumTijdVan],"&lt;="&amp;($A702+21/24),tData[SEHTrajectPeriodeDatumTijdTotEnMet],"&gt;"&amp;($A702+21/24),tData[Langligger01],1)</f>
        <v/>
      </c>
      <c r="Z702" s="20">
        <f>COUNTIFS(tData[SEHTrajectPeriodeDatumTijdVan],"&lt;="&amp;($A702+22/24),tData[SEHTrajectPeriodeDatumTijdTotEnMet],"&gt;"&amp;($A702+22/24),tData[Langligger01],1)</f>
        <v/>
      </c>
      <c r="AA702" s="20">
        <f>COUNTIFS(tData[SEHTrajectPeriodeDatumTijdVan],"&lt;="&amp;($A702+23/24),tData[SEHTrajectPeriodeDatumTijdTotEnMet],"&gt;"&amp;($A702+23/24),tData[Langligger01],1)</f>
        <v/>
      </c>
    </row>
    <row r="703">
      <c r="A703" s="19" t="n">
        <v>45991</v>
      </c>
      <c r="B703" s="15">
        <f>WEEKDAY($A703,2)</f>
        <v/>
      </c>
      <c r="C703" s="15">
        <f>IF(AND($A703&gt;=INT(Instellingen!$B$5),$A703&lt;=INT(Instellingen!$B$6)),1,0)</f>
        <v/>
      </c>
      <c r="D703" s="20">
        <f>COUNTIFS(tData[SEHTrajectPeriodeDatumTijdVan],"&lt;="&amp;($A703+0/24),tData[SEHTrajectPeriodeDatumTijdTotEnMet],"&gt;"&amp;($A703+0/24),tData[Langligger01],1)</f>
        <v/>
      </c>
      <c r="E703" s="20">
        <f>COUNTIFS(tData[SEHTrajectPeriodeDatumTijdVan],"&lt;="&amp;($A703+1/24),tData[SEHTrajectPeriodeDatumTijdTotEnMet],"&gt;"&amp;($A703+1/24),tData[Langligger01],1)</f>
        <v/>
      </c>
      <c r="F703" s="20">
        <f>COUNTIFS(tData[SEHTrajectPeriodeDatumTijdVan],"&lt;="&amp;($A703+2/24),tData[SEHTrajectPeriodeDatumTijdTotEnMet],"&gt;"&amp;($A703+2/24),tData[Langligger01],1)</f>
        <v/>
      </c>
      <c r="G703" s="20">
        <f>COUNTIFS(tData[SEHTrajectPeriodeDatumTijdVan],"&lt;="&amp;($A703+3/24),tData[SEHTrajectPeriodeDatumTijdTotEnMet],"&gt;"&amp;($A703+3/24),tData[Langligger01],1)</f>
        <v/>
      </c>
      <c r="H703" s="20">
        <f>COUNTIFS(tData[SEHTrajectPeriodeDatumTijdVan],"&lt;="&amp;($A703+4/24),tData[SEHTrajectPeriodeDatumTijdTotEnMet],"&gt;"&amp;($A703+4/24),tData[Langligger01],1)</f>
        <v/>
      </c>
      <c r="I703" s="20">
        <f>COUNTIFS(tData[SEHTrajectPeriodeDatumTijdVan],"&lt;="&amp;($A703+5/24),tData[SEHTrajectPeriodeDatumTijdTotEnMet],"&gt;"&amp;($A703+5/24),tData[Langligger01],1)</f>
        <v/>
      </c>
      <c r="J703" s="20">
        <f>COUNTIFS(tData[SEHTrajectPeriodeDatumTijdVan],"&lt;="&amp;($A703+6/24),tData[SEHTrajectPeriodeDatumTijdTotEnMet],"&gt;"&amp;($A703+6/24),tData[Langligger01],1)</f>
        <v/>
      </c>
      <c r="K703" s="20">
        <f>COUNTIFS(tData[SEHTrajectPeriodeDatumTijdVan],"&lt;="&amp;($A703+7/24),tData[SEHTrajectPeriodeDatumTijdTotEnMet],"&gt;"&amp;($A703+7/24),tData[Langligger01],1)</f>
        <v/>
      </c>
      <c r="L703" s="20">
        <f>COUNTIFS(tData[SEHTrajectPeriodeDatumTijdVan],"&lt;="&amp;($A703+8/24),tData[SEHTrajectPeriodeDatumTijdTotEnMet],"&gt;"&amp;($A703+8/24),tData[Langligger01],1)</f>
        <v/>
      </c>
      <c r="M703" s="20">
        <f>COUNTIFS(tData[SEHTrajectPeriodeDatumTijdVan],"&lt;="&amp;($A703+9/24),tData[SEHTrajectPeriodeDatumTijdTotEnMet],"&gt;"&amp;($A703+9/24),tData[Langligger01],1)</f>
        <v/>
      </c>
      <c r="N703" s="20">
        <f>COUNTIFS(tData[SEHTrajectPeriodeDatumTijdVan],"&lt;="&amp;($A703+10/24),tData[SEHTrajectPeriodeDatumTijdTotEnMet],"&gt;"&amp;($A703+10/24),tData[Langligger01],1)</f>
        <v/>
      </c>
      <c r="O703" s="20">
        <f>COUNTIFS(tData[SEHTrajectPeriodeDatumTijdVan],"&lt;="&amp;($A703+11/24),tData[SEHTrajectPeriodeDatumTijdTotEnMet],"&gt;"&amp;($A703+11/24),tData[Langligger01],1)</f>
        <v/>
      </c>
      <c r="P703" s="20">
        <f>COUNTIFS(tData[SEHTrajectPeriodeDatumTijdVan],"&lt;="&amp;($A703+12/24),tData[SEHTrajectPeriodeDatumTijdTotEnMet],"&gt;"&amp;($A703+12/24),tData[Langligger01],1)</f>
        <v/>
      </c>
      <c r="Q703" s="20">
        <f>COUNTIFS(tData[SEHTrajectPeriodeDatumTijdVan],"&lt;="&amp;($A703+13/24),tData[SEHTrajectPeriodeDatumTijdTotEnMet],"&gt;"&amp;($A703+13/24),tData[Langligger01],1)</f>
        <v/>
      </c>
      <c r="R703" s="20">
        <f>COUNTIFS(tData[SEHTrajectPeriodeDatumTijdVan],"&lt;="&amp;($A703+14/24),tData[SEHTrajectPeriodeDatumTijdTotEnMet],"&gt;"&amp;($A703+14/24),tData[Langligger01],1)</f>
        <v/>
      </c>
      <c r="S703" s="20">
        <f>COUNTIFS(tData[SEHTrajectPeriodeDatumTijdVan],"&lt;="&amp;($A703+15/24),tData[SEHTrajectPeriodeDatumTijdTotEnMet],"&gt;"&amp;($A703+15/24),tData[Langligger01],1)</f>
        <v/>
      </c>
      <c r="T703" s="20">
        <f>COUNTIFS(tData[SEHTrajectPeriodeDatumTijdVan],"&lt;="&amp;($A703+16/24),tData[SEHTrajectPeriodeDatumTijdTotEnMet],"&gt;"&amp;($A703+16/24),tData[Langligger01],1)</f>
        <v/>
      </c>
      <c r="U703" s="20">
        <f>COUNTIFS(tData[SEHTrajectPeriodeDatumTijdVan],"&lt;="&amp;($A703+17/24),tData[SEHTrajectPeriodeDatumTijdTotEnMet],"&gt;"&amp;($A703+17/24),tData[Langligger01],1)</f>
        <v/>
      </c>
      <c r="V703" s="20">
        <f>COUNTIFS(tData[SEHTrajectPeriodeDatumTijdVan],"&lt;="&amp;($A703+18/24),tData[SEHTrajectPeriodeDatumTijdTotEnMet],"&gt;"&amp;($A703+18/24),tData[Langligger01],1)</f>
        <v/>
      </c>
      <c r="W703" s="20">
        <f>COUNTIFS(tData[SEHTrajectPeriodeDatumTijdVan],"&lt;="&amp;($A703+19/24),tData[SEHTrajectPeriodeDatumTijdTotEnMet],"&gt;"&amp;($A703+19/24),tData[Langligger01],1)</f>
        <v/>
      </c>
      <c r="X703" s="20">
        <f>COUNTIFS(tData[SEHTrajectPeriodeDatumTijdVan],"&lt;="&amp;($A703+20/24),tData[SEHTrajectPeriodeDatumTijdTotEnMet],"&gt;"&amp;($A703+20/24),tData[Langligger01],1)</f>
        <v/>
      </c>
      <c r="Y703" s="20">
        <f>COUNTIFS(tData[SEHTrajectPeriodeDatumTijdVan],"&lt;="&amp;($A703+21/24),tData[SEHTrajectPeriodeDatumTijdTotEnMet],"&gt;"&amp;($A703+21/24),tData[Langligger01],1)</f>
        <v/>
      </c>
      <c r="Z703" s="20">
        <f>COUNTIFS(tData[SEHTrajectPeriodeDatumTijdVan],"&lt;="&amp;($A703+22/24),tData[SEHTrajectPeriodeDatumTijdTotEnMet],"&gt;"&amp;($A703+22/24),tData[Langligger01],1)</f>
        <v/>
      </c>
      <c r="AA703" s="20">
        <f>COUNTIFS(tData[SEHTrajectPeriodeDatumTijdVan],"&lt;="&amp;($A703+23/24),tData[SEHTrajectPeriodeDatumTijdTotEnMet],"&gt;"&amp;($A703+23/24),tData[Langligger01],1)</f>
        <v/>
      </c>
    </row>
    <row r="704">
      <c r="A704" s="19" t="n">
        <v>45992</v>
      </c>
      <c r="B704" s="15">
        <f>WEEKDAY($A704,2)</f>
        <v/>
      </c>
      <c r="C704" s="15">
        <f>IF(AND($A704&gt;=INT(Instellingen!$B$5),$A704&lt;=INT(Instellingen!$B$6)),1,0)</f>
        <v/>
      </c>
      <c r="D704" s="20">
        <f>COUNTIFS(tData[SEHTrajectPeriodeDatumTijdVan],"&lt;="&amp;($A704+0/24),tData[SEHTrajectPeriodeDatumTijdTotEnMet],"&gt;"&amp;($A704+0/24),tData[Langligger01],1)</f>
        <v/>
      </c>
      <c r="E704" s="20">
        <f>COUNTIFS(tData[SEHTrajectPeriodeDatumTijdVan],"&lt;="&amp;($A704+1/24),tData[SEHTrajectPeriodeDatumTijdTotEnMet],"&gt;"&amp;($A704+1/24),tData[Langligger01],1)</f>
        <v/>
      </c>
      <c r="F704" s="20">
        <f>COUNTIFS(tData[SEHTrajectPeriodeDatumTijdVan],"&lt;="&amp;($A704+2/24),tData[SEHTrajectPeriodeDatumTijdTotEnMet],"&gt;"&amp;($A704+2/24),tData[Langligger01],1)</f>
        <v/>
      </c>
      <c r="G704" s="20">
        <f>COUNTIFS(tData[SEHTrajectPeriodeDatumTijdVan],"&lt;="&amp;($A704+3/24),tData[SEHTrajectPeriodeDatumTijdTotEnMet],"&gt;"&amp;($A704+3/24),tData[Langligger01],1)</f>
        <v/>
      </c>
      <c r="H704" s="20">
        <f>COUNTIFS(tData[SEHTrajectPeriodeDatumTijdVan],"&lt;="&amp;($A704+4/24),tData[SEHTrajectPeriodeDatumTijdTotEnMet],"&gt;"&amp;($A704+4/24),tData[Langligger01],1)</f>
        <v/>
      </c>
      <c r="I704" s="20">
        <f>COUNTIFS(tData[SEHTrajectPeriodeDatumTijdVan],"&lt;="&amp;($A704+5/24),tData[SEHTrajectPeriodeDatumTijdTotEnMet],"&gt;"&amp;($A704+5/24),tData[Langligger01],1)</f>
        <v/>
      </c>
      <c r="J704" s="20">
        <f>COUNTIFS(tData[SEHTrajectPeriodeDatumTijdVan],"&lt;="&amp;($A704+6/24),tData[SEHTrajectPeriodeDatumTijdTotEnMet],"&gt;"&amp;($A704+6/24),tData[Langligger01],1)</f>
        <v/>
      </c>
      <c r="K704" s="20">
        <f>COUNTIFS(tData[SEHTrajectPeriodeDatumTijdVan],"&lt;="&amp;($A704+7/24),tData[SEHTrajectPeriodeDatumTijdTotEnMet],"&gt;"&amp;($A704+7/24),tData[Langligger01],1)</f>
        <v/>
      </c>
      <c r="L704" s="20">
        <f>COUNTIFS(tData[SEHTrajectPeriodeDatumTijdVan],"&lt;="&amp;($A704+8/24),tData[SEHTrajectPeriodeDatumTijdTotEnMet],"&gt;"&amp;($A704+8/24),tData[Langligger01],1)</f>
        <v/>
      </c>
      <c r="M704" s="20">
        <f>COUNTIFS(tData[SEHTrajectPeriodeDatumTijdVan],"&lt;="&amp;($A704+9/24),tData[SEHTrajectPeriodeDatumTijdTotEnMet],"&gt;"&amp;($A704+9/24),tData[Langligger01],1)</f>
        <v/>
      </c>
      <c r="N704" s="20">
        <f>COUNTIFS(tData[SEHTrajectPeriodeDatumTijdVan],"&lt;="&amp;($A704+10/24),tData[SEHTrajectPeriodeDatumTijdTotEnMet],"&gt;"&amp;($A704+10/24),tData[Langligger01],1)</f>
        <v/>
      </c>
      <c r="O704" s="20">
        <f>COUNTIFS(tData[SEHTrajectPeriodeDatumTijdVan],"&lt;="&amp;($A704+11/24),tData[SEHTrajectPeriodeDatumTijdTotEnMet],"&gt;"&amp;($A704+11/24),tData[Langligger01],1)</f>
        <v/>
      </c>
      <c r="P704" s="20">
        <f>COUNTIFS(tData[SEHTrajectPeriodeDatumTijdVan],"&lt;="&amp;($A704+12/24),tData[SEHTrajectPeriodeDatumTijdTotEnMet],"&gt;"&amp;($A704+12/24),tData[Langligger01],1)</f>
        <v/>
      </c>
      <c r="Q704" s="20">
        <f>COUNTIFS(tData[SEHTrajectPeriodeDatumTijdVan],"&lt;="&amp;($A704+13/24),tData[SEHTrajectPeriodeDatumTijdTotEnMet],"&gt;"&amp;($A704+13/24),tData[Langligger01],1)</f>
        <v/>
      </c>
      <c r="R704" s="20">
        <f>COUNTIFS(tData[SEHTrajectPeriodeDatumTijdVan],"&lt;="&amp;($A704+14/24),tData[SEHTrajectPeriodeDatumTijdTotEnMet],"&gt;"&amp;($A704+14/24),tData[Langligger01],1)</f>
        <v/>
      </c>
      <c r="S704" s="20">
        <f>COUNTIFS(tData[SEHTrajectPeriodeDatumTijdVan],"&lt;="&amp;($A704+15/24),tData[SEHTrajectPeriodeDatumTijdTotEnMet],"&gt;"&amp;($A704+15/24),tData[Langligger01],1)</f>
        <v/>
      </c>
      <c r="T704" s="20">
        <f>COUNTIFS(tData[SEHTrajectPeriodeDatumTijdVan],"&lt;="&amp;($A704+16/24),tData[SEHTrajectPeriodeDatumTijdTotEnMet],"&gt;"&amp;($A704+16/24),tData[Langligger01],1)</f>
        <v/>
      </c>
      <c r="U704" s="20">
        <f>COUNTIFS(tData[SEHTrajectPeriodeDatumTijdVan],"&lt;="&amp;($A704+17/24),tData[SEHTrajectPeriodeDatumTijdTotEnMet],"&gt;"&amp;($A704+17/24),tData[Langligger01],1)</f>
        <v/>
      </c>
      <c r="V704" s="20">
        <f>COUNTIFS(tData[SEHTrajectPeriodeDatumTijdVan],"&lt;="&amp;($A704+18/24),tData[SEHTrajectPeriodeDatumTijdTotEnMet],"&gt;"&amp;($A704+18/24),tData[Langligger01],1)</f>
        <v/>
      </c>
      <c r="W704" s="20">
        <f>COUNTIFS(tData[SEHTrajectPeriodeDatumTijdVan],"&lt;="&amp;($A704+19/24),tData[SEHTrajectPeriodeDatumTijdTotEnMet],"&gt;"&amp;($A704+19/24),tData[Langligger01],1)</f>
        <v/>
      </c>
      <c r="X704" s="20">
        <f>COUNTIFS(tData[SEHTrajectPeriodeDatumTijdVan],"&lt;="&amp;($A704+20/24),tData[SEHTrajectPeriodeDatumTijdTotEnMet],"&gt;"&amp;($A704+20/24),tData[Langligger01],1)</f>
        <v/>
      </c>
      <c r="Y704" s="20">
        <f>COUNTIFS(tData[SEHTrajectPeriodeDatumTijdVan],"&lt;="&amp;($A704+21/24),tData[SEHTrajectPeriodeDatumTijdTotEnMet],"&gt;"&amp;($A704+21/24),tData[Langligger01],1)</f>
        <v/>
      </c>
      <c r="Z704" s="20">
        <f>COUNTIFS(tData[SEHTrajectPeriodeDatumTijdVan],"&lt;="&amp;($A704+22/24),tData[SEHTrajectPeriodeDatumTijdTotEnMet],"&gt;"&amp;($A704+22/24),tData[Langligger01],1)</f>
        <v/>
      </c>
      <c r="AA704" s="20">
        <f>COUNTIFS(tData[SEHTrajectPeriodeDatumTijdVan],"&lt;="&amp;($A704+23/24),tData[SEHTrajectPeriodeDatumTijdTotEnMet],"&gt;"&amp;($A704+23/24),tData[Langligger01],1)</f>
        <v/>
      </c>
    </row>
    <row r="705">
      <c r="A705" s="19" t="n">
        <v>45993</v>
      </c>
      <c r="B705" s="15">
        <f>WEEKDAY($A705,2)</f>
        <v/>
      </c>
      <c r="C705" s="15">
        <f>IF(AND($A705&gt;=INT(Instellingen!$B$5),$A705&lt;=INT(Instellingen!$B$6)),1,0)</f>
        <v/>
      </c>
      <c r="D705" s="20">
        <f>COUNTIFS(tData[SEHTrajectPeriodeDatumTijdVan],"&lt;="&amp;($A705+0/24),tData[SEHTrajectPeriodeDatumTijdTotEnMet],"&gt;"&amp;($A705+0/24),tData[Langligger01],1)</f>
        <v/>
      </c>
      <c r="E705" s="20">
        <f>COUNTIFS(tData[SEHTrajectPeriodeDatumTijdVan],"&lt;="&amp;($A705+1/24),tData[SEHTrajectPeriodeDatumTijdTotEnMet],"&gt;"&amp;($A705+1/24),tData[Langligger01],1)</f>
        <v/>
      </c>
      <c r="F705" s="20">
        <f>COUNTIFS(tData[SEHTrajectPeriodeDatumTijdVan],"&lt;="&amp;($A705+2/24),tData[SEHTrajectPeriodeDatumTijdTotEnMet],"&gt;"&amp;($A705+2/24),tData[Langligger01],1)</f>
        <v/>
      </c>
      <c r="G705" s="20">
        <f>COUNTIFS(tData[SEHTrajectPeriodeDatumTijdVan],"&lt;="&amp;($A705+3/24),tData[SEHTrajectPeriodeDatumTijdTotEnMet],"&gt;"&amp;($A705+3/24),tData[Langligger01],1)</f>
        <v/>
      </c>
      <c r="H705" s="20">
        <f>COUNTIFS(tData[SEHTrajectPeriodeDatumTijdVan],"&lt;="&amp;($A705+4/24),tData[SEHTrajectPeriodeDatumTijdTotEnMet],"&gt;"&amp;($A705+4/24),tData[Langligger01],1)</f>
        <v/>
      </c>
      <c r="I705" s="20">
        <f>COUNTIFS(tData[SEHTrajectPeriodeDatumTijdVan],"&lt;="&amp;($A705+5/24),tData[SEHTrajectPeriodeDatumTijdTotEnMet],"&gt;"&amp;($A705+5/24),tData[Langligger01],1)</f>
        <v/>
      </c>
      <c r="J705" s="20">
        <f>COUNTIFS(tData[SEHTrajectPeriodeDatumTijdVan],"&lt;="&amp;($A705+6/24),tData[SEHTrajectPeriodeDatumTijdTotEnMet],"&gt;"&amp;($A705+6/24),tData[Langligger01],1)</f>
        <v/>
      </c>
      <c r="K705" s="20">
        <f>COUNTIFS(tData[SEHTrajectPeriodeDatumTijdVan],"&lt;="&amp;($A705+7/24),tData[SEHTrajectPeriodeDatumTijdTotEnMet],"&gt;"&amp;($A705+7/24),tData[Langligger01],1)</f>
        <v/>
      </c>
      <c r="L705" s="20">
        <f>COUNTIFS(tData[SEHTrajectPeriodeDatumTijdVan],"&lt;="&amp;($A705+8/24),tData[SEHTrajectPeriodeDatumTijdTotEnMet],"&gt;"&amp;($A705+8/24),tData[Langligger01],1)</f>
        <v/>
      </c>
      <c r="M705" s="20">
        <f>COUNTIFS(tData[SEHTrajectPeriodeDatumTijdVan],"&lt;="&amp;($A705+9/24),tData[SEHTrajectPeriodeDatumTijdTotEnMet],"&gt;"&amp;($A705+9/24),tData[Langligger01],1)</f>
        <v/>
      </c>
      <c r="N705" s="20">
        <f>COUNTIFS(tData[SEHTrajectPeriodeDatumTijdVan],"&lt;="&amp;($A705+10/24),tData[SEHTrajectPeriodeDatumTijdTotEnMet],"&gt;"&amp;($A705+10/24),tData[Langligger01],1)</f>
        <v/>
      </c>
      <c r="O705" s="20">
        <f>COUNTIFS(tData[SEHTrajectPeriodeDatumTijdVan],"&lt;="&amp;($A705+11/24),tData[SEHTrajectPeriodeDatumTijdTotEnMet],"&gt;"&amp;($A705+11/24),tData[Langligger01],1)</f>
        <v/>
      </c>
      <c r="P705" s="20">
        <f>COUNTIFS(tData[SEHTrajectPeriodeDatumTijdVan],"&lt;="&amp;($A705+12/24),tData[SEHTrajectPeriodeDatumTijdTotEnMet],"&gt;"&amp;($A705+12/24),tData[Langligger01],1)</f>
        <v/>
      </c>
      <c r="Q705" s="20">
        <f>COUNTIFS(tData[SEHTrajectPeriodeDatumTijdVan],"&lt;="&amp;($A705+13/24),tData[SEHTrajectPeriodeDatumTijdTotEnMet],"&gt;"&amp;($A705+13/24),tData[Langligger01],1)</f>
        <v/>
      </c>
      <c r="R705" s="20">
        <f>COUNTIFS(tData[SEHTrajectPeriodeDatumTijdVan],"&lt;="&amp;($A705+14/24),tData[SEHTrajectPeriodeDatumTijdTotEnMet],"&gt;"&amp;($A705+14/24),tData[Langligger01],1)</f>
        <v/>
      </c>
      <c r="S705" s="20">
        <f>COUNTIFS(tData[SEHTrajectPeriodeDatumTijdVan],"&lt;="&amp;($A705+15/24),tData[SEHTrajectPeriodeDatumTijdTotEnMet],"&gt;"&amp;($A705+15/24),tData[Langligger01],1)</f>
        <v/>
      </c>
      <c r="T705" s="20">
        <f>COUNTIFS(tData[SEHTrajectPeriodeDatumTijdVan],"&lt;="&amp;($A705+16/24),tData[SEHTrajectPeriodeDatumTijdTotEnMet],"&gt;"&amp;($A705+16/24),tData[Langligger01],1)</f>
        <v/>
      </c>
      <c r="U705" s="20">
        <f>COUNTIFS(tData[SEHTrajectPeriodeDatumTijdVan],"&lt;="&amp;($A705+17/24),tData[SEHTrajectPeriodeDatumTijdTotEnMet],"&gt;"&amp;($A705+17/24),tData[Langligger01],1)</f>
        <v/>
      </c>
      <c r="V705" s="20">
        <f>COUNTIFS(tData[SEHTrajectPeriodeDatumTijdVan],"&lt;="&amp;($A705+18/24),tData[SEHTrajectPeriodeDatumTijdTotEnMet],"&gt;"&amp;($A705+18/24),tData[Langligger01],1)</f>
        <v/>
      </c>
      <c r="W705" s="20">
        <f>COUNTIFS(tData[SEHTrajectPeriodeDatumTijdVan],"&lt;="&amp;($A705+19/24),tData[SEHTrajectPeriodeDatumTijdTotEnMet],"&gt;"&amp;($A705+19/24),tData[Langligger01],1)</f>
        <v/>
      </c>
      <c r="X705" s="20">
        <f>COUNTIFS(tData[SEHTrajectPeriodeDatumTijdVan],"&lt;="&amp;($A705+20/24),tData[SEHTrajectPeriodeDatumTijdTotEnMet],"&gt;"&amp;($A705+20/24),tData[Langligger01],1)</f>
        <v/>
      </c>
      <c r="Y705" s="20">
        <f>COUNTIFS(tData[SEHTrajectPeriodeDatumTijdVan],"&lt;="&amp;($A705+21/24),tData[SEHTrajectPeriodeDatumTijdTotEnMet],"&gt;"&amp;($A705+21/24),tData[Langligger01],1)</f>
        <v/>
      </c>
      <c r="Z705" s="20">
        <f>COUNTIFS(tData[SEHTrajectPeriodeDatumTijdVan],"&lt;="&amp;($A705+22/24),tData[SEHTrajectPeriodeDatumTijdTotEnMet],"&gt;"&amp;($A705+22/24),tData[Langligger01],1)</f>
        <v/>
      </c>
      <c r="AA705" s="20">
        <f>COUNTIFS(tData[SEHTrajectPeriodeDatumTijdVan],"&lt;="&amp;($A705+23/24),tData[SEHTrajectPeriodeDatumTijdTotEnMet],"&gt;"&amp;($A705+23/24),tData[Langligger01],1)</f>
        <v/>
      </c>
    </row>
    <row r="706">
      <c r="A706" s="19" t="n">
        <v>45994</v>
      </c>
      <c r="B706" s="15">
        <f>WEEKDAY($A706,2)</f>
        <v/>
      </c>
      <c r="C706" s="15">
        <f>IF(AND($A706&gt;=INT(Instellingen!$B$5),$A706&lt;=INT(Instellingen!$B$6)),1,0)</f>
        <v/>
      </c>
      <c r="D706" s="20">
        <f>COUNTIFS(tData[SEHTrajectPeriodeDatumTijdVan],"&lt;="&amp;($A706+0/24),tData[SEHTrajectPeriodeDatumTijdTotEnMet],"&gt;"&amp;($A706+0/24),tData[Langligger01],1)</f>
        <v/>
      </c>
      <c r="E706" s="20">
        <f>COUNTIFS(tData[SEHTrajectPeriodeDatumTijdVan],"&lt;="&amp;($A706+1/24),tData[SEHTrajectPeriodeDatumTijdTotEnMet],"&gt;"&amp;($A706+1/24),tData[Langligger01],1)</f>
        <v/>
      </c>
      <c r="F706" s="20">
        <f>COUNTIFS(tData[SEHTrajectPeriodeDatumTijdVan],"&lt;="&amp;($A706+2/24),tData[SEHTrajectPeriodeDatumTijdTotEnMet],"&gt;"&amp;($A706+2/24),tData[Langligger01],1)</f>
        <v/>
      </c>
      <c r="G706" s="20">
        <f>COUNTIFS(tData[SEHTrajectPeriodeDatumTijdVan],"&lt;="&amp;($A706+3/24),tData[SEHTrajectPeriodeDatumTijdTotEnMet],"&gt;"&amp;($A706+3/24),tData[Langligger01],1)</f>
        <v/>
      </c>
      <c r="H706" s="20">
        <f>COUNTIFS(tData[SEHTrajectPeriodeDatumTijdVan],"&lt;="&amp;($A706+4/24),tData[SEHTrajectPeriodeDatumTijdTotEnMet],"&gt;"&amp;($A706+4/24),tData[Langligger01],1)</f>
        <v/>
      </c>
      <c r="I706" s="20">
        <f>COUNTIFS(tData[SEHTrajectPeriodeDatumTijdVan],"&lt;="&amp;($A706+5/24),tData[SEHTrajectPeriodeDatumTijdTotEnMet],"&gt;"&amp;($A706+5/24),tData[Langligger01],1)</f>
        <v/>
      </c>
      <c r="J706" s="20">
        <f>COUNTIFS(tData[SEHTrajectPeriodeDatumTijdVan],"&lt;="&amp;($A706+6/24),tData[SEHTrajectPeriodeDatumTijdTotEnMet],"&gt;"&amp;($A706+6/24),tData[Langligger01],1)</f>
        <v/>
      </c>
      <c r="K706" s="20">
        <f>COUNTIFS(tData[SEHTrajectPeriodeDatumTijdVan],"&lt;="&amp;($A706+7/24),tData[SEHTrajectPeriodeDatumTijdTotEnMet],"&gt;"&amp;($A706+7/24),tData[Langligger01],1)</f>
        <v/>
      </c>
      <c r="L706" s="20">
        <f>COUNTIFS(tData[SEHTrajectPeriodeDatumTijdVan],"&lt;="&amp;($A706+8/24),tData[SEHTrajectPeriodeDatumTijdTotEnMet],"&gt;"&amp;($A706+8/24),tData[Langligger01],1)</f>
        <v/>
      </c>
      <c r="M706" s="20">
        <f>COUNTIFS(tData[SEHTrajectPeriodeDatumTijdVan],"&lt;="&amp;($A706+9/24),tData[SEHTrajectPeriodeDatumTijdTotEnMet],"&gt;"&amp;($A706+9/24),tData[Langligger01],1)</f>
        <v/>
      </c>
      <c r="N706" s="20">
        <f>COUNTIFS(tData[SEHTrajectPeriodeDatumTijdVan],"&lt;="&amp;($A706+10/24),tData[SEHTrajectPeriodeDatumTijdTotEnMet],"&gt;"&amp;($A706+10/24),tData[Langligger01],1)</f>
        <v/>
      </c>
      <c r="O706" s="20">
        <f>COUNTIFS(tData[SEHTrajectPeriodeDatumTijdVan],"&lt;="&amp;($A706+11/24),tData[SEHTrajectPeriodeDatumTijdTotEnMet],"&gt;"&amp;($A706+11/24),tData[Langligger01],1)</f>
        <v/>
      </c>
      <c r="P706" s="20">
        <f>COUNTIFS(tData[SEHTrajectPeriodeDatumTijdVan],"&lt;="&amp;($A706+12/24),tData[SEHTrajectPeriodeDatumTijdTotEnMet],"&gt;"&amp;($A706+12/24),tData[Langligger01],1)</f>
        <v/>
      </c>
      <c r="Q706" s="20">
        <f>COUNTIFS(tData[SEHTrajectPeriodeDatumTijdVan],"&lt;="&amp;($A706+13/24),tData[SEHTrajectPeriodeDatumTijdTotEnMet],"&gt;"&amp;($A706+13/24),tData[Langligger01],1)</f>
        <v/>
      </c>
      <c r="R706" s="20">
        <f>COUNTIFS(tData[SEHTrajectPeriodeDatumTijdVan],"&lt;="&amp;($A706+14/24),tData[SEHTrajectPeriodeDatumTijdTotEnMet],"&gt;"&amp;($A706+14/24),tData[Langligger01],1)</f>
        <v/>
      </c>
      <c r="S706" s="20">
        <f>COUNTIFS(tData[SEHTrajectPeriodeDatumTijdVan],"&lt;="&amp;($A706+15/24),tData[SEHTrajectPeriodeDatumTijdTotEnMet],"&gt;"&amp;($A706+15/24),tData[Langligger01],1)</f>
        <v/>
      </c>
      <c r="T706" s="20">
        <f>COUNTIFS(tData[SEHTrajectPeriodeDatumTijdVan],"&lt;="&amp;($A706+16/24),tData[SEHTrajectPeriodeDatumTijdTotEnMet],"&gt;"&amp;($A706+16/24),tData[Langligger01],1)</f>
        <v/>
      </c>
      <c r="U706" s="20">
        <f>COUNTIFS(tData[SEHTrajectPeriodeDatumTijdVan],"&lt;="&amp;($A706+17/24),tData[SEHTrajectPeriodeDatumTijdTotEnMet],"&gt;"&amp;($A706+17/24),tData[Langligger01],1)</f>
        <v/>
      </c>
      <c r="V706" s="20">
        <f>COUNTIFS(tData[SEHTrajectPeriodeDatumTijdVan],"&lt;="&amp;($A706+18/24),tData[SEHTrajectPeriodeDatumTijdTotEnMet],"&gt;"&amp;($A706+18/24),tData[Langligger01],1)</f>
        <v/>
      </c>
      <c r="W706" s="20">
        <f>COUNTIFS(tData[SEHTrajectPeriodeDatumTijdVan],"&lt;="&amp;($A706+19/24),tData[SEHTrajectPeriodeDatumTijdTotEnMet],"&gt;"&amp;($A706+19/24),tData[Langligger01],1)</f>
        <v/>
      </c>
      <c r="X706" s="20">
        <f>COUNTIFS(tData[SEHTrajectPeriodeDatumTijdVan],"&lt;="&amp;($A706+20/24),tData[SEHTrajectPeriodeDatumTijdTotEnMet],"&gt;"&amp;($A706+20/24),tData[Langligger01],1)</f>
        <v/>
      </c>
      <c r="Y706" s="20">
        <f>COUNTIFS(tData[SEHTrajectPeriodeDatumTijdVan],"&lt;="&amp;($A706+21/24),tData[SEHTrajectPeriodeDatumTijdTotEnMet],"&gt;"&amp;($A706+21/24),tData[Langligger01],1)</f>
        <v/>
      </c>
      <c r="Z706" s="20">
        <f>COUNTIFS(tData[SEHTrajectPeriodeDatumTijdVan],"&lt;="&amp;($A706+22/24),tData[SEHTrajectPeriodeDatumTijdTotEnMet],"&gt;"&amp;($A706+22/24),tData[Langligger01],1)</f>
        <v/>
      </c>
      <c r="AA706" s="20">
        <f>COUNTIFS(tData[SEHTrajectPeriodeDatumTijdVan],"&lt;="&amp;($A706+23/24),tData[SEHTrajectPeriodeDatumTijdTotEnMet],"&gt;"&amp;($A706+23/24),tData[Langligger01],1)</f>
        <v/>
      </c>
    </row>
    <row r="707">
      <c r="A707" s="19" t="n">
        <v>45995</v>
      </c>
      <c r="B707" s="15">
        <f>WEEKDAY($A707,2)</f>
        <v/>
      </c>
      <c r="C707" s="15">
        <f>IF(AND($A707&gt;=INT(Instellingen!$B$5),$A707&lt;=INT(Instellingen!$B$6)),1,0)</f>
        <v/>
      </c>
      <c r="D707" s="20">
        <f>COUNTIFS(tData[SEHTrajectPeriodeDatumTijdVan],"&lt;="&amp;($A707+0/24),tData[SEHTrajectPeriodeDatumTijdTotEnMet],"&gt;"&amp;($A707+0/24),tData[Langligger01],1)</f>
        <v/>
      </c>
      <c r="E707" s="20">
        <f>COUNTIFS(tData[SEHTrajectPeriodeDatumTijdVan],"&lt;="&amp;($A707+1/24),tData[SEHTrajectPeriodeDatumTijdTotEnMet],"&gt;"&amp;($A707+1/24),tData[Langligger01],1)</f>
        <v/>
      </c>
      <c r="F707" s="20">
        <f>COUNTIFS(tData[SEHTrajectPeriodeDatumTijdVan],"&lt;="&amp;($A707+2/24),tData[SEHTrajectPeriodeDatumTijdTotEnMet],"&gt;"&amp;($A707+2/24),tData[Langligger01],1)</f>
        <v/>
      </c>
      <c r="G707" s="20">
        <f>COUNTIFS(tData[SEHTrajectPeriodeDatumTijdVan],"&lt;="&amp;($A707+3/24),tData[SEHTrajectPeriodeDatumTijdTotEnMet],"&gt;"&amp;($A707+3/24),tData[Langligger01],1)</f>
        <v/>
      </c>
      <c r="H707" s="20">
        <f>COUNTIFS(tData[SEHTrajectPeriodeDatumTijdVan],"&lt;="&amp;($A707+4/24),tData[SEHTrajectPeriodeDatumTijdTotEnMet],"&gt;"&amp;($A707+4/24),tData[Langligger01],1)</f>
        <v/>
      </c>
      <c r="I707" s="20">
        <f>COUNTIFS(tData[SEHTrajectPeriodeDatumTijdVan],"&lt;="&amp;($A707+5/24),tData[SEHTrajectPeriodeDatumTijdTotEnMet],"&gt;"&amp;($A707+5/24),tData[Langligger01],1)</f>
        <v/>
      </c>
      <c r="J707" s="20">
        <f>COUNTIFS(tData[SEHTrajectPeriodeDatumTijdVan],"&lt;="&amp;($A707+6/24),tData[SEHTrajectPeriodeDatumTijdTotEnMet],"&gt;"&amp;($A707+6/24),tData[Langligger01],1)</f>
        <v/>
      </c>
      <c r="K707" s="20">
        <f>COUNTIFS(tData[SEHTrajectPeriodeDatumTijdVan],"&lt;="&amp;($A707+7/24),tData[SEHTrajectPeriodeDatumTijdTotEnMet],"&gt;"&amp;($A707+7/24),tData[Langligger01],1)</f>
        <v/>
      </c>
      <c r="L707" s="20">
        <f>COUNTIFS(tData[SEHTrajectPeriodeDatumTijdVan],"&lt;="&amp;($A707+8/24),tData[SEHTrajectPeriodeDatumTijdTotEnMet],"&gt;"&amp;($A707+8/24),tData[Langligger01],1)</f>
        <v/>
      </c>
      <c r="M707" s="20">
        <f>COUNTIFS(tData[SEHTrajectPeriodeDatumTijdVan],"&lt;="&amp;($A707+9/24),tData[SEHTrajectPeriodeDatumTijdTotEnMet],"&gt;"&amp;($A707+9/24),tData[Langligger01],1)</f>
        <v/>
      </c>
      <c r="N707" s="20">
        <f>COUNTIFS(tData[SEHTrajectPeriodeDatumTijdVan],"&lt;="&amp;($A707+10/24),tData[SEHTrajectPeriodeDatumTijdTotEnMet],"&gt;"&amp;($A707+10/24),tData[Langligger01],1)</f>
        <v/>
      </c>
      <c r="O707" s="20">
        <f>COUNTIFS(tData[SEHTrajectPeriodeDatumTijdVan],"&lt;="&amp;($A707+11/24),tData[SEHTrajectPeriodeDatumTijdTotEnMet],"&gt;"&amp;($A707+11/24),tData[Langligger01],1)</f>
        <v/>
      </c>
      <c r="P707" s="20">
        <f>COUNTIFS(tData[SEHTrajectPeriodeDatumTijdVan],"&lt;="&amp;($A707+12/24),tData[SEHTrajectPeriodeDatumTijdTotEnMet],"&gt;"&amp;($A707+12/24),tData[Langligger01],1)</f>
        <v/>
      </c>
      <c r="Q707" s="20">
        <f>COUNTIFS(tData[SEHTrajectPeriodeDatumTijdVan],"&lt;="&amp;($A707+13/24),tData[SEHTrajectPeriodeDatumTijdTotEnMet],"&gt;"&amp;($A707+13/24),tData[Langligger01],1)</f>
        <v/>
      </c>
      <c r="R707" s="20">
        <f>COUNTIFS(tData[SEHTrajectPeriodeDatumTijdVan],"&lt;="&amp;($A707+14/24),tData[SEHTrajectPeriodeDatumTijdTotEnMet],"&gt;"&amp;($A707+14/24),tData[Langligger01],1)</f>
        <v/>
      </c>
      <c r="S707" s="20">
        <f>COUNTIFS(tData[SEHTrajectPeriodeDatumTijdVan],"&lt;="&amp;($A707+15/24),tData[SEHTrajectPeriodeDatumTijdTotEnMet],"&gt;"&amp;($A707+15/24),tData[Langligger01],1)</f>
        <v/>
      </c>
      <c r="T707" s="20">
        <f>COUNTIFS(tData[SEHTrajectPeriodeDatumTijdVan],"&lt;="&amp;($A707+16/24),tData[SEHTrajectPeriodeDatumTijdTotEnMet],"&gt;"&amp;($A707+16/24),tData[Langligger01],1)</f>
        <v/>
      </c>
      <c r="U707" s="20">
        <f>COUNTIFS(tData[SEHTrajectPeriodeDatumTijdVan],"&lt;="&amp;($A707+17/24),tData[SEHTrajectPeriodeDatumTijdTotEnMet],"&gt;"&amp;($A707+17/24),tData[Langligger01],1)</f>
        <v/>
      </c>
      <c r="V707" s="20">
        <f>COUNTIFS(tData[SEHTrajectPeriodeDatumTijdVan],"&lt;="&amp;($A707+18/24),tData[SEHTrajectPeriodeDatumTijdTotEnMet],"&gt;"&amp;($A707+18/24),tData[Langligger01],1)</f>
        <v/>
      </c>
      <c r="W707" s="20">
        <f>COUNTIFS(tData[SEHTrajectPeriodeDatumTijdVan],"&lt;="&amp;($A707+19/24),tData[SEHTrajectPeriodeDatumTijdTotEnMet],"&gt;"&amp;($A707+19/24),tData[Langligger01],1)</f>
        <v/>
      </c>
      <c r="X707" s="20">
        <f>COUNTIFS(tData[SEHTrajectPeriodeDatumTijdVan],"&lt;="&amp;($A707+20/24),tData[SEHTrajectPeriodeDatumTijdTotEnMet],"&gt;"&amp;($A707+20/24),tData[Langligger01],1)</f>
        <v/>
      </c>
      <c r="Y707" s="20">
        <f>COUNTIFS(tData[SEHTrajectPeriodeDatumTijdVan],"&lt;="&amp;($A707+21/24),tData[SEHTrajectPeriodeDatumTijdTotEnMet],"&gt;"&amp;($A707+21/24),tData[Langligger01],1)</f>
        <v/>
      </c>
      <c r="Z707" s="20">
        <f>COUNTIFS(tData[SEHTrajectPeriodeDatumTijdVan],"&lt;="&amp;($A707+22/24),tData[SEHTrajectPeriodeDatumTijdTotEnMet],"&gt;"&amp;($A707+22/24),tData[Langligger01],1)</f>
        <v/>
      </c>
      <c r="AA707" s="20">
        <f>COUNTIFS(tData[SEHTrajectPeriodeDatumTijdVan],"&lt;="&amp;($A707+23/24),tData[SEHTrajectPeriodeDatumTijdTotEnMet],"&gt;"&amp;($A707+23/24),tData[Langligger01],1)</f>
        <v/>
      </c>
    </row>
    <row r="708">
      <c r="A708" s="19" t="n">
        <v>45996</v>
      </c>
      <c r="B708" s="15">
        <f>WEEKDAY($A708,2)</f>
        <v/>
      </c>
      <c r="C708" s="15">
        <f>IF(AND($A708&gt;=INT(Instellingen!$B$5),$A708&lt;=INT(Instellingen!$B$6)),1,0)</f>
        <v/>
      </c>
      <c r="D708" s="20">
        <f>COUNTIFS(tData[SEHTrajectPeriodeDatumTijdVan],"&lt;="&amp;($A708+0/24),tData[SEHTrajectPeriodeDatumTijdTotEnMet],"&gt;"&amp;($A708+0/24),tData[Langligger01],1)</f>
        <v/>
      </c>
      <c r="E708" s="20">
        <f>COUNTIFS(tData[SEHTrajectPeriodeDatumTijdVan],"&lt;="&amp;($A708+1/24),tData[SEHTrajectPeriodeDatumTijdTotEnMet],"&gt;"&amp;($A708+1/24),tData[Langligger01],1)</f>
        <v/>
      </c>
      <c r="F708" s="20">
        <f>COUNTIFS(tData[SEHTrajectPeriodeDatumTijdVan],"&lt;="&amp;($A708+2/24),tData[SEHTrajectPeriodeDatumTijdTotEnMet],"&gt;"&amp;($A708+2/24),tData[Langligger01],1)</f>
        <v/>
      </c>
      <c r="G708" s="20">
        <f>COUNTIFS(tData[SEHTrajectPeriodeDatumTijdVan],"&lt;="&amp;($A708+3/24),tData[SEHTrajectPeriodeDatumTijdTotEnMet],"&gt;"&amp;($A708+3/24),tData[Langligger01],1)</f>
        <v/>
      </c>
      <c r="H708" s="20">
        <f>COUNTIFS(tData[SEHTrajectPeriodeDatumTijdVan],"&lt;="&amp;($A708+4/24),tData[SEHTrajectPeriodeDatumTijdTotEnMet],"&gt;"&amp;($A708+4/24),tData[Langligger01],1)</f>
        <v/>
      </c>
      <c r="I708" s="20">
        <f>COUNTIFS(tData[SEHTrajectPeriodeDatumTijdVan],"&lt;="&amp;($A708+5/24),tData[SEHTrajectPeriodeDatumTijdTotEnMet],"&gt;"&amp;($A708+5/24),tData[Langligger01],1)</f>
        <v/>
      </c>
      <c r="J708" s="20">
        <f>COUNTIFS(tData[SEHTrajectPeriodeDatumTijdVan],"&lt;="&amp;($A708+6/24),tData[SEHTrajectPeriodeDatumTijdTotEnMet],"&gt;"&amp;($A708+6/24),tData[Langligger01],1)</f>
        <v/>
      </c>
      <c r="K708" s="20">
        <f>COUNTIFS(tData[SEHTrajectPeriodeDatumTijdVan],"&lt;="&amp;($A708+7/24),tData[SEHTrajectPeriodeDatumTijdTotEnMet],"&gt;"&amp;($A708+7/24),tData[Langligger01],1)</f>
        <v/>
      </c>
      <c r="L708" s="20">
        <f>COUNTIFS(tData[SEHTrajectPeriodeDatumTijdVan],"&lt;="&amp;($A708+8/24),tData[SEHTrajectPeriodeDatumTijdTotEnMet],"&gt;"&amp;($A708+8/24),tData[Langligger01],1)</f>
        <v/>
      </c>
      <c r="M708" s="20">
        <f>COUNTIFS(tData[SEHTrajectPeriodeDatumTijdVan],"&lt;="&amp;($A708+9/24),tData[SEHTrajectPeriodeDatumTijdTotEnMet],"&gt;"&amp;($A708+9/24),tData[Langligger01],1)</f>
        <v/>
      </c>
      <c r="N708" s="20">
        <f>COUNTIFS(tData[SEHTrajectPeriodeDatumTijdVan],"&lt;="&amp;($A708+10/24),tData[SEHTrajectPeriodeDatumTijdTotEnMet],"&gt;"&amp;($A708+10/24),tData[Langligger01],1)</f>
        <v/>
      </c>
      <c r="O708" s="20">
        <f>COUNTIFS(tData[SEHTrajectPeriodeDatumTijdVan],"&lt;="&amp;($A708+11/24),tData[SEHTrajectPeriodeDatumTijdTotEnMet],"&gt;"&amp;($A708+11/24),tData[Langligger01],1)</f>
        <v/>
      </c>
      <c r="P708" s="20">
        <f>COUNTIFS(tData[SEHTrajectPeriodeDatumTijdVan],"&lt;="&amp;($A708+12/24),tData[SEHTrajectPeriodeDatumTijdTotEnMet],"&gt;"&amp;($A708+12/24),tData[Langligger01],1)</f>
        <v/>
      </c>
      <c r="Q708" s="20">
        <f>COUNTIFS(tData[SEHTrajectPeriodeDatumTijdVan],"&lt;="&amp;($A708+13/24),tData[SEHTrajectPeriodeDatumTijdTotEnMet],"&gt;"&amp;($A708+13/24),tData[Langligger01],1)</f>
        <v/>
      </c>
      <c r="R708" s="20">
        <f>COUNTIFS(tData[SEHTrajectPeriodeDatumTijdVan],"&lt;="&amp;($A708+14/24),tData[SEHTrajectPeriodeDatumTijdTotEnMet],"&gt;"&amp;($A708+14/24),tData[Langligger01],1)</f>
        <v/>
      </c>
      <c r="S708" s="20">
        <f>COUNTIFS(tData[SEHTrajectPeriodeDatumTijdVan],"&lt;="&amp;($A708+15/24),tData[SEHTrajectPeriodeDatumTijdTotEnMet],"&gt;"&amp;($A708+15/24),tData[Langligger01],1)</f>
        <v/>
      </c>
      <c r="T708" s="20">
        <f>COUNTIFS(tData[SEHTrajectPeriodeDatumTijdVan],"&lt;="&amp;($A708+16/24),tData[SEHTrajectPeriodeDatumTijdTotEnMet],"&gt;"&amp;($A708+16/24),tData[Langligger01],1)</f>
        <v/>
      </c>
      <c r="U708" s="20">
        <f>COUNTIFS(tData[SEHTrajectPeriodeDatumTijdVan],"&lt;="&amp;($A708+17/24),tData[SEHTrajectPeriodeDatumTijdTotEnMet],"&gt;"&amp;($A708+17/24),tData[Langligger01],1)</f>
        <v/>
      </c>
      <c r="V708" s="20">
        <f>COUNTIFS(tData[SEHTrajectPeriodeDatumTijdVan],"&lt;="&amp;($A708+18/24),tData[SEHTrajectPeriodeDatumTijdTotEnMet],"&gt;"&amp;($A708+18/24),tData[Langligger01],1)</f>
        <v/>
      </c>
      <c r="W708" s="20">
        <f>COUNTIFS(tData[SEHTrajectPeriodeDatumTijdVan],"&lt;="&amp;($A708+19/24),tData[SEHTrajectPeriodeDatumTijdTotEnMet],"&gt;"&amp;($A708+19/24),tData[Langligger01],1)</f>
        <v/>
      </c>
      <c r="X708" s="20">
        <f>COUNTIFS(tData[SEHTrajectPeriodeDatumTijdVan],"&lt;="&amp;($A708+20/24),tData[SEHTrajectPeriodeDatumTijdTotEnMet],"&gt;"&amp;($A708+20/24),tData[Langligger01],1)</f>
        <v/>
      </c>
      <c r="Y708" s="20">
        <f>COUNTIFS(tData[SEHTrajectPeriodeDatumTijdVan],"&lt;="&amp;($A708+21/24),tData[SEHTrajectPeriodeDatumTijdTotEnMet],"&gt;"&amp;($A708+21/24),tData[Langligger01],1)</f>
        <v/>
      </c>
      <c r="Z708" s="20">
        <f>COUNTIFS(tData[SEHTrajectPeriodeDatumTijdVan],"&lt;="&amp;($A708+22/24),tData[SEHTrajectPeriodeDatumTijdTotEnMet],"&gt;"&amp;($A708+22/24),tData[Langligger01],1)</f>
        <v/>
      </c>
      <c r="AA708" s="20">
        <f>COUNTIFS(tData[SEHTrajectPeriodeDatumTijdVan],"&lt;="&amp;($A708+23/24),tData[SEHTrajectPeriodeDatumTijdTotEnMet],"&gt;"&amp;($A708+23/24),tData[Langligger01],1)</f>
        <v/>
      </c>
    </row>
    <row r="709">
      <c r="A709" s="19" t="n">
        <v>45997</v>
      </c>
      <c r="B709" s="15">
        <f>WEEKDAY($A709,2)</f>
        <v/>
      </c>
      <c r="C709" s="15">
        <f>IF(AND($A709&gt;=INT(Instellingen!$B$5),$A709&lt;=INT(Instellingen!$B$6)),1,0)</f>
        <v/>
      </c>
      <c r="D709" s="20">
        <f>COUNTIFS(tData[SEHTrajectPeriodeDatumTijdVan],"&lt;="&amp;($A709+0/24),tData[SEHTrajectPeriodeDatumTijdTotEnMet],"&gt;"&amp;($A709+0/24),tData[Langligger01],1)</f>
        <v/>
      </c>
      <c r="E709" s="20">
        <f>COUNTIFS(tData[SEHTrajectPeriodeDatumTijdVan],"&lt;="&amp;($A709+1/24),tData[SEHTrajectPeriodeDatumTijdTotEnMet],"&gt;"&amp;($A709+1/24),tData[Langligger01],1)</f>
        <v/>
      </c>
      <c r="F709" s="20">
        <f>COUNTIFS(tData[SEHTrajectPeriodeDatumTijdVan],"&lt;="&amp;($A709+2/24),tData[SEHTrajectPeriodeDatumTijdTotEnMet],"&gt;"&amp;($A709+2/24),tData[Langligger01],1)</f>
        <v/>
      </c>
      <c r="G709" s="20">
        <f>COUNTIFS(tData[SEHTrajectPeriodeDatumTijdVan],"&lt;="&amp;($A709+3/24),tData[SEHTrajectPeriodeDatumTijdTotEnMet],"&gt;"&amp;($A709+3/24),tData[Langligger01],1)</f>
        <v/>
      </c>
      <c r="H709" s="20">
        <f>COUNTIFS(tData[SEHTrajectPeriodeDatumTijdVan],"&lt;="&amp;($A709+4/24),tData[SEHTrajectPeriodeDatumTijdTotEnMet],"&gt;"&amp;($A709+4/24),tData[Langligger01],1)</f>
        <v/>
      </c>
      <c r="I709" s="20">
        <f>COUNTIFS(tData[SEHTrajectPeriodeDatumTijdVan],"&lt;="&amp;($A709+5/24),tData[SEHTrajectPeriodeDatumTijdTotEnMet],"&gt;"&amp;($A709+5/24),tData[Langligger01],1)</f>
        <v/>
      </c>
      <c r="J709" s="20">
        <f>COUNTIFS(tData[SEHTrajectPeriodeDatumTijdVan],"&lt;="&amp;($A709+6/24),tData[SEHTrajectPeriodeDatumTijdTotEnMet],"&gt;"&amp;($A709+6/24),tData[Langligger01],1)</f>
        <v/>
      </c>
      <c r="K709" s="20">
        <f>COUNTIFS(tData[SEHTrajectPeriodeDatumTijdVan],"&lt;="&amp;($A709+7/24),tData[SEHTrajectPeriodeDatumTijdTotEnMet],"&gt;"&amp;($A709+7/24),tData[Langligger01],1)</f>
        <v/>
      </c>
      <c r="L709" s="20">
        <f>COUNTIFS(tData[SEHTrajectPeriodeDatumTijdVan],"&lt;="&amp;($A709+8/24),tData[SEHTrajectPeriodeDatumTijdTotEnMet],"&gt;"&amp;($A709+8/24),tData[Langligger01],1)</f>
        <v/>
      </c>
      <c r="M709" s="20">
        <f>COUNTIFS(tData[SEHTrajectPeriodeDatumTijdVan],"&lt;="&amp;($A709+9/24),tData[SEHTrajectPeriodeDatumTijdTotEnMet],"&gt;"&amp;($A709+9/24),tData[Langligger01],1)</f>
        <v/>
      </c>
      <c r="N709" s="20">
        <f>COUNTIFS(tData[SEHTrajectPeriodeDatumTijdVan],"&lt;="&amp;($A709+10/24),tData[SEHTrajectPeriodeDatumTijdTotEnMet],"&gt;"&amp;($A709+10/24),tData[Langligger01],1)</f>
        <v/>
      </c>
      <c r="O709" s="20">
        <f>COUNTIFS(tData[SEHTrajectPeriodeDatumTijdVan],"&lt;="&amp;($A709+11/24),tData[SEHTrajectPeriodeDatumTijdTotEnMet],"&gt;"&amp;($A709+11/24),tData[Langligger01],1)</f>
        <v/>
      </c>
      <c r="P709" s="20">
        <f>COUNTIFS(tData[SEHTrajectPeriodeDatumTijdVan],"&lt;="&amp;($A709+12/24),tData[SEHTrajectPeriodeDatumTijdTotEnMet],"&gt;"&amp;($A709+12/24),tData[Langligger01],1)</f>
        <v/>
      </c>
      <c r="Q709" s="20">
        <f>COUNTIFS(tData[SEHTrajectPeriodeDatumTijdVan],"&lt;="&amp;($A709+13/24),tData[SEHTrajectPeriodeDatumTijdTotEnMet],"&gt;"&amp;($A709+13/24),tData[Langligger01],1)</f>
        <v/>
      </c>
      <c r="R709" s="20">
        <f>COUNTIFS(tData[SEHTrajectPeriodeDatumTijdVan],"&lt;="&amp;($A709+14/24),tData[SEHTrajectPeriodeDatumTijdTotEnMet],"&gt;"&amp;($A709+14/24),tData[Langligger01],1)</f>
        <v/>
      </c>
      <c r="S709" s="20">
        <f>COUNTIFS(tData[SEHTrajectPeriodeDatumTijdVan],"&lt;="&amp;($A709+15/24),tData[SEHTrajectPeriodeDatumTijdTotEnMet],"&gt;"&amp;($A709+15/24),tData[Langligger01],1)</f>
        <v/>
      </c>
      <c r="T709" s="20">
        <f>COUNTIFS(tData[SEHTrajectPeriodeDatumTijdVan],"&lt;="&amp;($A709+16/24),tData[SEHTrajectPeriodeDatumTijdTotEnMet],"&gt;"&amp;($A709+16/24),tData[Langligger01],1)</f>
        <v/>
      </c>
      <c r="U709" s="20">
        <f>COUNTIFS(tData[SEHTrajectPeriodeDatumTijdVan],"&lt;="&amp;($A709+17/24),tData[SEHTrajectPeriodeDatumTijdTotEnMet],"&gt;"&amp;($A709+17/24),tData[Langligger01],1)</f>
        <v/>
      </c>
      <c r="V709" s="20">
        <f>COUNTIFS(tData[SEHTrajectPeriodeDatumTijdVan],"&lt;="&amp;($A709+18/24),tData[SEHTrajectPeriodeDatumTijdTotEnMet],"&gt;"&amp;($A709+18/24),tData[Langligger01],1)</f>
        <v/>
      </c>
      <c r="W709" s="20">
        <f>COUNTIFS(tData[SEHTrajectPeriodeDatumTijdVan],"&lt;="&amp;($A709+19/24),tData[SEHTrajectPeriodeDatumTijdTotEnMet],"&gt;"&amp;($A709+19/24),tData[Langligger01],1)</f>
        <v/>
      </c>
      <c r="X709" s="20">
        <f>COUNTIFS(tData[SEHTrajectPeriodeDatumTijdVan],"&lt;="&amp;($A709+20/24),tData[SEHTrajectPeriodeDatumTijdTotEnMet],"&gt;"&amp;($A709+20/24),tData[Langligger01],1)</f>
        <v/>
      </c>
      <c r="Y709" s="20">
        <f>COUNTIFS(tData[SEHTrajectPeriodeDatumTijdVan],"&lt;="&amp;($A709+21/24),tData[SEHTrajectPeriodeDatumTijdTotEnMet],"&gt;"&amp;($A709+21/24),tData[Langligger01],1)</f>
        <v/>
      </c>
      <c r="Z709" s="20">
        <f>COUNTIFS(tData[SEHTrajectPeriodeDatumTijdVan],"&lt;="&amp;($A709+22/24),tData[SEHTrajectPeriodeDatumTijdTotEnMet],"&gt;"&amp;($A709+22/24),tData[Langligger01],1)</f>
        <v/>
      </c>
      <c r="AA709" s="20">
        <f>COUNTIFS(tData[SEHTrajectPeriodeDatumTijdVan],"&lt;="&amp;($A709+23/24),tData[SEHTrajectPeriodeDatumTijdTotEnMet],"&gt;"&amp;($A709+23/24),tData[Langligger01],1)</f>
        <v/>
      </c>
    </row>
    <row r="710">
      <c r="A710" s="19" t="n">
        <v>45998</v>
      </c>
      <c r="B710" s="15">
        <f>WEEKDAY($A710,2)</f>
        <v/>
      </c>
      <c r="C710" s="15">
        <f>IF(AND($A710&gt;=INT(Instellingen!$B$5),$A710&lt;=INT(Instellingen!$B$6)),1,0)</f>
        <v/>
      </c>
      <c r="D710" s="20">
        <f>COUNTIFS(tData[SEHTrajectPeriodeDatumTijdVan],"&lt;="&amp;($A710+0/24),tData[SEHTrajectPeriodeDatumTijdTotEnMet],"&gt;"&amp;($A710+0/24),tData[Langligger01],1)</f>
        <v/>
      </c>
      <c r="E710" s="20">
        <f>COUNTIFS(tData[SEHTrajectPeriodeDatumTijdVan],"&lt;="&amp;($A710+1/24),tData[SEHTrajectPeriodeDatumTijdTotEnMet],"&gt;"&amp;($A710+1/24),tData[Langligger01],1)</f>
        <v/>
      </c>
      <c r="F710" s="20">
        <f>COUNTIFS(tData[SEHTrajectPeriodeDatumTijdVan],"&lt;="&amp;($A710+2/24),tData[SEHTrajectPeriodeDatumTijdTotEnMet],"&gt;"&amp;($A710+2/24),tData[Langligger01],1)</f>
        <v/>
      </c>
      <c r="G710" s="20">
        <f>COUNTIFS(tData[SEHTrajectPeriodeDatumTijdVan],"&lt;="&amp;($A710+3/24),tData[SEHTrajectPeriodeDatumTijdTotEnMet],"&gt;"&amp;($A710+3/24),tData[Langligger01],1)</f>
        <v/>
      </c>
      <c r="H710" s="20">
        <f>COUNTIFS(tData[SEHTrajectPeriodeDatumTijdVan],"&lt;="&amp;($A710+4/24),tData[SEHTrajectPeriodeDatumTijdTotEnMet],"&gt;"&amp;($A710+4/24),tData[Langligger01],1)</f>
        <v/>
      </c>
      <c r="I710" s="20">
        <f>COUNTIFS(tData[SEHTrajectPeriodeDatumTijdVan],"&lt;="&amp;($A710+5/24),tData[SEHTrajectPeriodeDatumTijdTotEnMet],"&gt;"&amp;($A710+5/24),tData[Langligger01],1)</f>
        <v/>
      </c>
      <c r="J710" s="20">
        <f>COUNTIFS(tData[SEHTrajectPeriodeDatumTijdVan],"&lt;="&amp;($A710+6/24),tData[SEHTrajectPeriodeDatumTijdTotEnMet],"&gt;"&amp;($A710+6/24),tData[Langligger01],1)</f>
        <v/>
      </c>
      <c r="K710" s="20">
        <f>COUNTIFS(tData[SEHTrajectPeriodeDatumTijdVan],"&lt;="&amp;($A710+7/24),tData[SEHTrajectPeriodeDatumTijdTotEnMet],"&gt;"&amp;($A710+7/24),tData[Langligger01],1)</f>
        <v/>
      </c>
      <c r="L710" s="20">
        <f>COUNTIFS(tData[SEHTrajectPeriodeDatumTijdVan],"&lt;="&amp;($A710+8/24),tData[SEHTrajectPeriodeDatumTijdTotEnMet],"&gt;"&amp;($A710+8/24),tData[Langligger01],1)</f>
        <v/>
      </c>
      <c r="M710" s="20">
        <f>COUNTIFS(tData[SEHTrajectPeriodeDatumTijdVan],"&lt;="&amp;($A710+9/24),tData[SEHTrajectPeriodeDatumTijdTotEnMet],"&gt;"&amp;($A710+9/24),tData[Langligger01],1)</f>
        <v/>
      </c>
      <c r="N710" s="20">
        <f>COUNTIFS(tData[SEHTrajectPeriodeDatumTijdVan],"&lt;="&amp;($A710+10/24),tData[SEHTrajectPeriodeDatumTijdTotEnMet],"&gt;"&amp;($A710+10/24),tData[Langligger01],1)</f>
        <v/>
      </c>
      <c r="O710" s="20">
        <f>COUNTIFS(tData[SEHTrajectPeriodeDatumTijdVan],"&lt;="&amp;($A710+11/24),tData[SEHTrajectPeriodeDatumTijdTotEnMet],"&gt;"&amp;($A710+11/24),tData[Langligger01],1)</f>
        <v/>
      </c>
      <c r="P710" s="20">
        <f>COUNTIFS(tData[SEHTrajectPeriodeDatumTijdVan],"&lt;="&amp;($A710+12/24),tData[SEHTrajectPeriodeDatumTijdTotEnMet],"&gt;"&amp;($A710+12/24),tData[Langligger01],1)</f>
        <v/>
      </c>
      <c r="Q710" s="20">
        <f>COUNTIFS(tData[SEHTrajectPeriodeDatumTijdVan],"&lt;="&amp;($A710+13/24),tData[SEHTrajectPeriodeDatumTijdTotEnMet],"&gt;"&amp;($A710+13/24),tData[Langligger01],1)</f>
        <v/>
      </c>
      <c r="R710" s="20">
        <f>COUNTIFS(tData[SEHTrajectPeriodeDatumTijdVan],"&lt;="&amp;($A710+14/24),tData[SEHTrajectPeriodeDatumTijdTotEnMet],"&gt;"&amp;($A710+14/24),tData[Langligger01],1)</f>
        <v/>
      </c>
      <c r="S710" s="20">
        <f>COUNTIFS(tData[SEHTrajectPeriodeDatumTijdVan],"&lt;="&amp;($A710+15/24),tData[SEHTrajectPeriodeDatumTijdTotEnMet],"&gt;"&amp;($A710+15/24),tData[Langligger01],1)</f>
        <v/>
      </c>
      <c r="T710" s="20">
        <f>COUNTIFS(tData[SEHTrajectPeriodeDatumTijdVan],"&lt;="&amp;($A710+16/24),tData[SEHTrajectPeriodeDatumTijdTotEnMet],"&gt;"&amp;($A710+16/24),tData[Langligger01],1)</f>
        <v/>
      </c>
      <c r="U710" s="20">
        <f>COUNTIFS(tData[SEHTrajectPeriodeDatumTijdVan],"&lt;="&amp;($A710+17/24),tData[SEHTrajectPeriodeDatumTijdTotEnMet],"&gt;"&amp;($A710+17/24),tData[Langligger01],1)</f>
        <v/>
      </c>
      <c r="V710" s="20">
        <f>COUNTIFS(tData[SEHTrajectPeriodeDatumTijdVan],"&lt;="&amp;($A710+18/24),tData[SEHTrajectPeriodeDatumTijdTotEnMet],"&gt;"&amp;($A710+18/24),tData[Langligger01],1)</f>
        <v/>
      </c>
      <c r="W710" s="20">
        <f>COUNTIFS(tData[SEHTrajectPeriodeDatumTijdVan],"&lt;="&amp;($A710+19/24),tData[SEHTrajectPeriodeDatumTijdTotEnMet],"&gt;"&amp;($A710+19/24),tData[Langligger01],1)</f>
        <v/>
      </c>
      <c r="X710" s="20">
        <f>COUNTIFS(tData[SEHTrajectPeriodeDatumTijdVan],"&lt;="&amp;($A710+20/24),tData[SEHTrajectPeriodeDatumTijdTotEnMet],"&gt;"&amp;($A710+20/24),tData[Langligger01],1)</f>
        <v/>
      </c>
      <c r="Y710" s="20">
        <f>COUNTIFS(tData[SEHTrajectPeriodeDatumTijdVan],"&lt;="&amp;($A710+21/24),tData[SEHTrajectPeriodeDatumTijdTotEnMet],"&gt;"&amp;($A710+21/24),tData[Langligger01],1)</f>
        <v/>
      </c>
      <c r="Z710" s="20">
        <f>COUNTIFS(tData[SEHTrajectPeriodeDatumTijdVan],"&lt;="&amp;($A710+22/24),tData[SEHTrajectPeriodeDatumTijdTotEnMet],"&gt;"&amp;($A710+22/24),tData[Langligger01],1)</f>
        <v/>
      </c>
      <c r="AA710" s="20">
        <f>COUNTIFS(tData[SEHTrajectPeriodeDatumTijdVan],"&lt;="&amp;($A710+23/24),tData[SEHTrajectPeriodeDatumTijdTotEnMet],"&gt;"&amp;($A710+23/24),tData[Langligger01],1)</f>
        <v/>
      </c>
    </row>
    <row r="711">
      <c r="A711" s="19" t="n">
        <v>45999</v>
      </c>
      <c r="B711" s="15">
        <f>WEEKDAY($A711,2)</f>
        <v/>
      </c>
      <c r="C711" s="15">
        <f>IF(AND($A711&gt;=INT(Instellingen!$B$5),$A711&lt;=INT(Instellingen!$B$6)),1,0)</f>
        <v/>
      </c>
      <c r="D711" s="20">
        <f>COUNTIFS(tData[SEHTrajectPeriodeDatumTijdVan],"&lt;="&amp;($A711+0/24),tData[SEHTrajectPeriodeDatumTijdTotEnMet],"&gt;"&amp;($A711+0/24),tData[Langligger01],1)</f>
        <v/>
      </c>
      <c r="E711" s="20">
        <f>COUNTIFS(tData[SEHTrajectPeriodeDatumTijdVan],"&lt;="&amp;($A711+1/24),tData[SEHTrajectPeriodeDatumTijdTotEnMet],"&gt;"&amp;($A711+1/24),tData[Langligger01],1)</f>
        <v/>
      </c>
      <c r="F711" s="20">
        <f>COUNTIFS(tData[SEHTrajectPeriodeDatumTijdVan],"&lt;="&amp;($A711+2/24),tData[SEHTrajectPeriodeDatumTijdTotEnMet],"&gt;"&amp;($A711+2/24),tData[Langligger01],1)</f>
        <v/>
      </c>
      <c r="G711" s="20">
        <f>COUNTIFS(tData[SEHTrajectPeriodeDatumTijdVan],"&lt;="&amp;($A711+3/24),tData[SEHTrajectPeriodeDatumTijdTotEnMet],"&gt;"&amp;($A711+3/24),tData[Langligger01],1)</f>
        <v/>
      </c>
      <c r="H711" s="20">
        <f>COUNTIFS(tData[SEHTrajectPeriodeDatumTijdVan],"&lt;="&amp;($A711+4/24),tData[SEHTrajectPeriodeDatumTijdTotEnMet],"&gt;"&amp;($A711+4/24),tData[Langligger01],1)</f>
        <v/>
      </c>
      <c r="I711" s="20">
        <f>COUNTIFS(tData[SEHTrajectPeriodeDatumTijdVan],"&lt;="&amp;($A711+5/24),tData[SEHTrajectPeriodeDatumTijdTotEnMet],"&gt;"&amp;($A711+5/24),tData[Langligger01],1)</f>
        <v/>
      </c>
      <c r="J711" s="20">
        <f>COUNTIFS(tData[SEHTrajectPeriodeDatumTijdVan],"&lt;="&amp;($A711+6/24),tData[SEHTrajectPeriodeDatumTijdTotEnMet],"&gt;"&amp;($A711+6/24),tData[Langligger01],1)</f>
        <v/>
      </c>
      <c r="K711" s="20">
        <f>COUNTIFS(tData[SEHTrajectPeriodeDatumTijdVan],"&lt;="&amp;($A711+7/24),tData[SEHTrajectPeriodeDatumTijdTotEnMet],"&gt;"&amp;($A711+7/24),tData[Langligger01],1)</f>
        <v/>
      </c>
      <c r="L711" s="20">
        <f>COUNTIFS(tData[SEHTrajectPeriodeDatumTijdVan],"&lt;="&amp;($A711+8/24),tData[SEHTrajectPeriodeDatumTijdTotEnMet],"&gt;"&amp;($A711+8/24),tData[Langligger01],1)</f>
        <v/>
      </c>
      <c r="M711" s="20">
        <f>COUNTIFS(tData[SEHTrajectPeriodeDatumTijdVan],"&lt;="&amp;($A711+9/24),tData[SEHTrajectPeriodeDatumTijdTotEnMet],"&gt;"&amp;($A711+9/24),tData[Langligger01],1)</f>
        <v/>
      </c>
      <c r="N711" s="20">
        <f>COUNTIFS(tData[SEHTrajectPeriodeDatumTijdVan],"&lt;="&amp;($A711+10/24),tData[SEHTrajectPeriodeDatumTijdTotEnMet],"&gt;"&amp;($A711+10/24),tData[Langligger01],1)</f>
        <v/>
      </c>
      <c r="O711" s="20">
        <f>COUNTIFS(tData[SEHTrajectPeriodeDatumTijdVan],"&lt;="&amp;($A711+11/24),tData[SEHTrajectPeriodeDatumTijdTotEnMet],"&gt;"&amp;($A711+11/24),tData[Langligger01],1)</f>
        <v/>
      </c>
      <c r="P711" s="20">
        <f>COUNTIFS(tData[SEHTrajectPeriodeDatumTijdVan],"&lt;="&amp;($A711+12/24),tData[SEHTrajectPeriodeDatumTijdTotEnMet],"&gt;"&amp;($A711+12/24),tData[Langligger01],1)</f>
        <v/>
      </c>
      <c r="Q711" s="20">
        <f>COUNTIFS(tData[SEHTrajectPeriodeDatumTijdVan],"&lt;="&amp;($A711+13/24),tData[SEHTrajectPeriodeDatumTijdTotEnMet],"&gt;"&amp;($A711+13/24),tData[Langligger01],1)</f>
        <v/>
      </c>
      <c r="R711" s="20">
        <f>COUNTIFS(tData[SEHTrajectPeriodeDatumTijdVan],"&lt;="&amp;($A711+14/24),tData[SEHTrajectPeriodeDatumTijdTotEnMet],"&gt;"&amp;($A711+14/24),tData[Langligger01],1)</f>
        <v/>
      </c>
      <c r="S711" s="20">
        <f>COUNTIFS(tData[SEHTrajectPeriodeDatumTijdVan],"&lt;="&amp;($A711+15/24),tData[SEHTrajectPeriodeDatumTijdTotEnMet],"&gt;"&amp;($A711+15/24),tData[Langligger01],1)</f>
        <v/>
      </c>
      <c r="T711" s="20">
        <f>COUNTIFS(tData[SEHTrajectPeriodeDatumTijdVan],"&lt;="&amp;($A711+16/24),tData[SEHTrajectPeriodeDatumTijdTotEnMet],"&gt;"&amp;($A711+16/24),tData[Langligger01],1)</f>
        <v/>
      </c>
      <c r="U711" s="20">
        <f>COUNTIFS(tData[SEHTrajectPeriodeDatumTijdVan],"&lt;="&amp;($A711+17/24),tData[SEHTrajectPeriodeDatumTijdTotEnMet],"&gt;"&amp;($A711+17/24),tData[Langligger01],1)</f>
        <v/>
      </c>
      <c r="V711" s="20">
        <f>COUNTIFS(tData[SEHTrajectPeriodeDatumTijdVan],"&lt;="&amp;($A711+18/24),tData[SEHTrajectPeriodeDatumTijdTotEnMet],"&gt;"&amp;($A711+18/24),tData[Langligger01],1)</f>
        <v/>
      </c>
      <c r="W711" s="20">
        <f>COUNTIFS(tData[SEHTrajectPeriodeDatumTijdVan],"&lt;="&amp;($A711+19/24),tData[SEHTrajectPeriodeDatumTijdTotEnMet],"&gt;"&amp;($A711+19/24),tData[Langligger01],1)</f>
        <v/>
      </c>
      <c r="X711" s="20">
        <f>COUNTIFS(tData[SEHTrajectPeriodeDatumTijdVan],"&lt;="&amp;($A711+20/24),tData[SEHTrajectPeriodeDatumTijdTotEnMet],"&gt;"&amp;($A711+20/24),tData[Langligger01],1)</f>
        <v/>
      </c>
      <c r="Y711" s="20">
        <f>COUNTIFS(tData[SEHTrajectPeriodeDatumTijdVan],"&lt;="&amp;($A711+21/24),tData[SEHTrajectPeriodeDatumTijdTotEnMet],"&gt;"&amp;($A711+21/24),tData[Langligger01],1)</f>
        <v/>
      </c>
      <c r="Z711" s="20">
        <f>COUNTIFS(tData[SEHTrajectPeriodeDatumTijdVan],"&lt;="&amp;($A711+22/24),tData[SEHTrajectPeriodeDatumTijdTotEnMet],"&gt;"&amp;($A711+22/24),tData[Langligger01],1)</f>
        <v/>
      </c>
      <c r="AA711" s="20">
        <f>COUNTIFS(tData[SEHTrajectPeriodeDatumTijdVan],"&lt;="&amp;($A711+23/24),tData[SEHTrajectPeriodeDatumTijdTotEnMet],"&gt;"&amp;($A711+23/24),tData[Langligger01],1)</f>
        <v/>
      </c>
    </row>
    <row r="712">
      <c r="A712" s="19" t="n">
        <v>46000</v>
      </c>
      <c r="B712" s="15">
        <f>WEEKDAY($A712,2)</f>
        <v/>
      </c>
      <c r="C712" s="15">
        <f>IF(AND($A712&gt;=INT(Instellingen!$B$5),$A712&lt;=INT(Instellingen!$B$6)),1,0)</f>
        <v/>
      </c>
      <c r="D712" s="20">
        <f>COUNTIFS(tData[SEHTrajectPeriodeDatumTijdVan],"&lt;="&amp;($A712+0/24),tData[SEHTrajectPeriodeDatumTijdTotEnMet],"&gt;"&amp;($A712+0/24),tData[Langligger01],1)</f>
        <v/>
      </c>
      <c r="E712" s="20">
        <f>COUNTIFS(tData[SEHTrajectPeriodeDatumTijdVan],"&lt;="&amp;($A712+1/24),tData[SEHTrajectPeriodeDatumTijdTotEnMet],"&gt;"&amp;($A712+1/24),tData[Langligger01],1)</f>
        <v/>
      </c>
      <c r="F712" s="20">
        <f>COUNTIFS(tData[SEHTrajectPeriodeDatumTijdVan],"&lt;="&amp;($A712+2/24),tData[SEHTrajectPeriodeDatumTijdTotEnMet],"&gt;"&amp;($A712+2/24),tData[Langligger01],1)</f>
        <v/>
      </c>
      <c r="G712" s="20">
        <f>COUNTIFS(tData[SEHTrajectPeriodeDatumTijdVan],"&lt;="&amp;($A712+3/24),tData[SEHTrajectPeriodeDatumTijdTotEnMet],"&gt;"&amp;($A712+3/24),tData[Langligger01],1)</f>
        <v/>
      </c>
      <c r="H712" s="20">
        <f>COUNTIFS(tData[SEHTrajectPeriodeDatumTijdVan],"&lt;="&amp;($A712+4/24),tData[SEHTrajectPeriodeDatumTijdTotEnMet],"&gt;"&amp;($A712+4/24),tData[Langligger01],1)</f>
        <v/>
      </c>
      <c r="I712" s="20">
        <f>COUNTIFS(tData[SEHTrajectPeriodeDatumTijdVan],"&lt;="&amp;($A712+5/24),tData[SEHTrajectPeriodeDatumTijdTotEnMet],"&gt;"&amp;($A712+5/24),tData[Langligger01],1)</f>
        <v/>
      </c>
      <c r="J712" s="20">
        <f>COUNTIFS(tData[SEHTrajectPeriodeDatumTijdVan],"&lt;="&amp;($A712+6/24),tData[SEHTrajectPeriodeDatumTijdTotEnMet],"&gt;"&amp;($A712+6/24),tData[Langligger01],1)</f>
        <v/>
      </c>
      <c r="K712" s="20">
        <f>COUNTIFS(tData[SEHTrajectPeriodeDatumTijdVan],"&lt;="&amp;($A712+7/24),tData[SEHTrajectPeriodeDatumTijdTotEnMet],"&gt;"&amp;($A712+7/24),tData[Langligger01],1)</f>
        <v/>
      </c>
      <c r="L712" s="20">
        <f>COUNTIFS(tData[SEHTrajectPeriodeDatumTijdVan],"&lt;="&amp;($A712+8/24),tData[SEHTrajectPeriodeDatumTijdTotEnMet],"&gt;"&amp;($A712+8/24),tData[Langligger01],1)</f>
        <v/>
      </c>
      <c r="M712" s="20">
        <f>COUNTIFS(tData[SEHTrajectPeriodeDatumTijdVan],"&lt;="&amp;($A712+9/24),tData[SEHTrajectPeriodeDatumTijdTotEnMet],"&gt;"&amp;($A712+9/24),tData[Langligger01],1)</f>
        <v/>
      </c>
      <c r="N712" s="20">
        <f>COUNTIFS(tData[SEHTrajectPeriodeDatumTijdVan],"&lt;="&amp;($A712+10/24),tData[SEHTrajectPeriodeDatumTijdTotEnMet],"&gt;"&amp;($A712+10/24),tData[Langligger01],1)</f>
        <v/>
      </c>
      <c r="O712" s="20">
        <f>COUNTIFS(tData[SEHTrajectPeriodeDatumTijdVan],"&lt;="&amp;($A712+11/24),tData[SEHTrajectPeriodeDatumTijdTotEnMet],"&gt;"&amp;($A712+11/24),tData[Langligger01],1)</f>
        <v/>
      </c>
      <c r="P712" s="20">
        <f>COUNTIFS(tData[SEHTrajectPeriodeDatumTijdVan],"&lt;="&amp;($A712+12/24),tData[SEHTrajectPeriodeDatumTijdTotEnMet],"&gt;"&amp;($A712+12/24),tData[Langligger01],1)</f>
        <v/>
      </c>
      <c r="Q712" s="20">
        <f>COUNTIFS(tData[SEHTrajectPeriodeDatumTijdVan],"&lt;="&amp;($A712+13/24),tData[SEHTrajectPeriodeDatumTijdTotEnMet],"&gt;"&amp;($A712+13/24),tData[Langligger01],1)</f>
        <v/>
      </c>
      <c r="R712" s="20">
        <f>COUNTIFS(tData[SEHTrajectPeriodeDatumTijdVan],"&lt;="&amp;($A712+14/24),tData[SEHTrajectPeriodeDatumTijdTotEnMet],"&gt;"&amp;($A712+14/24),tData[Langligger01],1)</f>
        <v/>
      </c>
      <c r="S712" s="20">
        <f>COUNTIFS(tData[SEHTrajectPeriodeDatumTijdVan],"&lt;="&amp;($A712+15/24),tData[SEHTrajectPeriodeDatumTijdTotEnMet],"&gt;"&amp;($A712+15/24),tData[Langligger01],1)</f>
        <v/>
      </c>
      <c r="T712" s="20">
        <f>COUNTIFS(tData[SEHTrajectPeriodeDatumTijdVan],"&lt;="&amp;($A712+16/24),tData[SEHTrajectPeriodeDatumTijdTotEnMet],"&gt;"&amp;($A712+16/24),tData[Langligger01],1)</f>
        <v/>
      </c>
      <c r="U712" s="20">
        <f>COUNTIFS(tData[SEHTrajectPeriodeDatumTijdVan],"&lt;="&amp;($A712+17/24),tData[SEHTrajectPeriodeDatumTijdTotEnMet],"&gt;"&amp;($A712+17/24),tData[Langligger01],1)</f>
        <v/>
      </c>
      <c r="V712" s="20">
        <f>COUNTIFS(tData[SEHTrajectPeriodeDatumTijdVan],"&lt;="&amp;($A712+18/24),tData[SEHTrajectPeriodeDatumTijdTotEnMet],"&gt;"&amp;($A712+18/24),tData[Langligger01],1)</f>
        <v/>
      </c>
      <c r="W712" s="20">
        <f>COUNTIFS(tData[SEHTrajectPeriodeDatumTijdVan],"&lt;="&amp;($A712+19/24),tData[SEHTrajectPeriodeDatumTijdTotEnMet],"&gt;"&amp;($A712+19/24),tData[Langligger01],1)</f>
        <v/>
      </c>
      <c r="X712" s="20">
        <f>COUNTIFS(tData[SEHTrajectPeriodeDatumTijdVan],"&lt;="&amp;($A712+20/24),tData[SEHTrajectPeriodeDatumTijdTotEnMet],"&gt;"&amp;($A712+20/24),tData[Langligger01],1)</f>
        <v/>
      </c>
      <c r="Y712" s="20">
        <f>COUNTIFS(tData[SEHTrajectPeriodeDatumTijdVan],"&lt;="&amp;($A712+21/24),tData[SEHTrajectPeriodeDatumTijdTotEnMet],"&gt;"&amp;($A712+21/24),tData[Langligger01],1)</f>
        <v/>
      </c>
      <c r="Z712" s="20">
        <f>COUNTIFS(tData[SEHTrajectPeriodeDatumTijdVan],"&lt;="&amp;($A712+22/24),tData[SEHTrajectPeriodeDatumTijdTotEnMet],"&gt;"&amp;($A712+22/24),tData[Langligger01],1)</f>
        <v/>
      </c>
      <c r="AA712" s="20">
        <f>COUNTIFS(tData[SEHTrajectPeriodeDatumTijdVan],"&lt;="&amp;($A712+23/24),tData[SEHTrajectPeriodeDatumTijdTotEnMet],"&gt;"&amp;($A712+23/24),tData[Langligger01],1)</f>
        <v/>
      </c>
    </row>
    <row r="713">
      <c r="A713" s="19" t="n">
        <v>46001</v>
      </c>
      <c r="B713" s="15">
        <f>WEEKDAY($A713,2)</f>
        <v/>
      </c>
      <c r="C713" s="15">
        <f>IF(AND($A713&gt;=INT(Instellingen!$B$5),$A713&lt;=INT(Instellingen!$B$6)),1,0)</f>
        <v/>
      </c>
      <c r="D713" s="20">
        <f>COUNTIFS(tData[SEHTrajectPeriodeDatumTijdVan],"&lt;="&amp;($A713+0/24),tData[SEHTrajectPeriodeDatumTijdTotEnMet],"&gt;"&amp;($A713+0/24),tData[Langligger01],1)</f>
        <v/>
      </c>
      <c r="E713" s="20">
        <f>COUNTIFS(tData[SEHTrajectPeriodeDatumTijdVan],"&lt;="&amp;($A713+1/24),tData[SEHTrajectPeriodeDatumTijdTotEnMet],"&gt;"&amp;($A713+1/24),tData[Langligger01],1)</f>
        <v/>
      </c>
      <c r="F713" s="20">
        <f>COUNTIFS(tData[SEHTrajectPeriodeDatumTijdVan],"&lt;="&amp;($A713+2/24),tData[SEHTrajectPeriodeDatumTijdTotEnMet],"&gt;"&amp;($A713+2/24),tData[Langligger01],1)</f>
        <v/>
      </c>
      <c r="G713" s="20">
        <f>COUNTIFS(tData[SEHTrajectPeriodeDatumTijdVan],"&lt;="&amp;($A713+3/24),tData[SEHTrajectPeriodeDatumTijdTotEnMet],"&gt;"&amp;($A713+3/24),tData[Langligger01],1)</f>
        <v/>
      </c>
      <c r="H713" s="20">
        <f>COUNTIFS(tData[SEHTrajectPeriodeDatumTijdVan],"&lt;="&amp;($A713+4/24),tData[SEHTrajectPeriodeDatumTijdTotEnMet],"&gt;"&amp;($A713+4/24),tData[Langligger01],1)</f>
        <v/>
      </c>
      <c r="I713" s="20">
        <f>COUNTIFS(tData[SEHTrajectPeriodeDatumTijdVan],"&lt;="&amp;($A713+5/24),tData[SEHTrajectPeriodeDatumTijdTotEnMet],"&gt;"&amp;($A713+5/24),tData[Langligger01],1)</f>
        <v/>
      </c>
      <c r="J713" s="20">
        <f>COUNTIFS(tData[SEHTrajectPeriodeDatumTijdVan],"&lt;="&amp;($A713+6/24),tData[SEHTrajectPeriodeDatumTijdTotEnMet],"&gt;"&amp;($A713+6/24),tData[Langligger01],1)</f>
        <v/>
      </c>
      <c r="K713" s="20">
        <f>COUNTIFS(tData[SEHTrajectPeriodeDatumTijdVan],"&lt;="&amp;($A713+7/24),tData[SEHTrajectPeriodeDatumTijdTotEnMet],"&gt;"&amp;($A713+7/24),tData[Langligger01],1)</f>
        <v/>
      </c>
      <c r="L713" s="20">
        <f>COUNTIFS(tData[SEHTrajectPeriodeDatumTijdVan],"&lt;="&amp;($A713+8/24),tData[SEHTrajectPeriodeDatumTijdTotEnMet],"&gt;"&amp;($A713+8/24),tData[Langligger01],1)</f>
        <v/>
      </c>
      <c r="M713" s="20">
        <f>COUNTIFS(tData[SEHTrajectPeriodeDatumTijdVan],"&lt;="&amp;($A713+9/24),tData[SEHTrajectPeriodeDatumTijdTotEnMet],"&gt;"&amp;($A713+9/24),tData[Langligger01],1)</f>
        <v/>
      </c>
      <c r="N713" s="20">
        <f>COUNTIFS(tData[SEHTrajectPeriodeDatumTijdVan],"&lt;="&amp;($A713+10/24),tData[SEHTrajectPeriodeDatumTijdTotEnMet],"&gt;"&amp;($A713+10/24),tData[Langligger01],1)</f>
        <v/>
      </c>
      <c r="O713" s="20">
        <f>COUNTIFS(tData[SEHTrajectPeriodeDatumTijdVan],"&lt;="&amp;($A713+11/24),tData[SEHTrajectPeriodeDatumTijdTotEnMet],"&gt;"&amp;($A713+11/24),tData[Langligger01],1)</f>
        <v/>
      </c>
      <c r="P713" s="20">
        <f>COUNTIFS(tData[SEHTrajectPeriodeDatumTijdVan],"&lt;="&amp;($A713+12/24),tData[SEHTrajectPeriodeDatumTijdTotEnMet],"&gt;"&amp;($A713+12/24),tData[Langligger01],1)</f>
        <v/>
      </c>
      <c r="Q713" s="20">
        <f>COUNTIFS(tData[SEHTrajectPeriodeDatumTijdVan],"&lt;="&amp;($A713+13/24),tData[SEHTrajectPeriodeDatumTijdTotEnMet],"&gt;"&amp;($A713+13/24),tData[Langligger01],1)</f>
        <v/>
      </c>
      <c r="R713" s="20">
        <f>COUNTIFS(tData[SEHTrajectPeriodeDatumTijdVan],"&lt;="&amp;($A713+14/24),tData[SEHTrajectPeriodeDatumTijdTotEnMet],"&gt;"&amp;($A713+14/24),tData[Langligger01],1)</f>
        <v/>
      </c>
      <c r="S713" s="20">
        <f>COUNTIFS(tData[SEHTrajectPeriodeDatumTijdVan],"&lt;="&amp;($A713+15/24),tData[SEHTrajectPeriodeDatumTijdTotEnMet],"&gt;"&amp;($A713+15/24),tData[Langligger01],1)</f>
        <v/>
      </c>
      <c r="T713" s="20">
        <f>COUNTIFS(tData[SEHTrajectPeriodeDatumTijdVan],"&lt;="&amp;($A713+16/24),tData[SEHTrajectPeriodeDatumTijdTotEnMet],"&gt;"&amp;($A713+16/24),tData[Langligger01],1)</f>
        <v/>
      </c>
      <c r="U713" s="20">
        <f>COUNTIFS(tData[SEHTrajectPeriodeDatumTijdVan],"&lt;="&amp;($A713+17/24),tData[SEHTrajectPeriodeDatumTijdTotEnMet],"&gt;"&amp;($A713+17/24),tData[Langligger01],1)</f>
        <v/>
      </c>
      <c r="V713" s="20">
        <f>COUNTIFS(tData[SEHTrajectPeriodeDatumTijdVan],"&lt;="&amp;($A713+18/24),tData[SEHTrajectPeriodeDatumTijdTotEnMet],"&gt;"&amp;($A713+18/24),tData[Langligger01],1)</f>
        <v/>
      </c>
      <c r="W713" s="20">
        <f>COUNTIFS(tData[SEHTrajectPeriodeDatumTijdVan],"&lt;="&amp;($A713+19/24),tData[SEHTrajectPeriodeDatumTijdTotEnMet],"&gt;"&amp;($A713+19/24),tData[Langligger01],1)</f>
        <v/>
      </c>
      <c r="X713" s="20">
        <f>COUNTIFS(tData[SEHTrajectPeriodeDatumTijdVan],"&lt;="&amp;($A713+20/24),tData[SEHTrajectPeriodeDatumTijdTotEnMet],"&gt;"&amp;($A713+20/24),tData[Langligger01],1)</f>
        <v/>
      </c>
      <c r="Y713" s="20">
        <f>COUNTIFS(tData[SEHTrajectPeriodeDatumTijdVan],"&lt;="&amp;($A713+21/24),tData[SEHTrajectPeriodeDatumTijdTotEnMet],"&gt;"&amp;($A713+21/24),tData[Langligger01],1)</f>
        <v/>
      </c>
      <c r="Z713" s="20">
        <f>COUNTIFS(tData[SEHTrajectPeriodeDatumTijdVan],"&lt;="&amp;($A713+22/24),tData[SEHTrajectPeriodeDatumTijdTotEnMet],"&gt;"&amp;($A713+22/24),tData[Langligger01],1)</f>
        <v/>
      </c>
      <c r="AA713" s="20">
        <f>COUNTIFS(tData[SEHTrajectPeriodeDatumTijdVan],"&lt;="&amp;($A713+23/24),tData[SEHTrajectPeriodeDatumTijdTotEnMet],"&gt;"&amp;($A713+23/24),tData[Langligger01],1)</f>
        <v/>
      </c>
    </row>
    <row r="714">
      <c r="A714" s="19" t="n">
        <v>46002</v>
      </c>
      <c r="B714" s="15">
        <f>WEEKDAY($A714,2)</f>
        <v/>
      </c>
      <c r="C714" s="15">
        <f>IF(AND($A714&gt;=INT(Instellingen!$B$5),$A714&lt;=INT(Instellingen!$B$6)),1,0)</f>
        <v/>
      </c>
      <c r="D714" s="20">
        <f>COUNTIFS(tData[SEHTrajectPeriodeDatumTijdVan],"&lt;="&amp;($A714+0/24),tData[SEHTrajectPeriodeDatumTijdTotEnMet],"&gt;"&amp;($A714+0/24),tData[Langligger01],1)</f>
        <v/>
      </c>
      <c r="E714" s="20">
        <f>COUNTIFS(tData[SEHTrajectPeriodeDatumTijdVan],"&lt;="&amp;($A714+1/24),tData[SEHTrajectPeriodeDatumTijdTotEnMet],"&gt;"&amp;($A714+1/24),tData[Langligger01],1)</f>
        <v/>
      </c>
      <c r="F714" s="20">
        <f>COUNTIFS(tData[SEHTrajectPeriodeDatumTijdVan],"&lt;="&amp;($A714+2/24),tData[SEHTrajectPeriodeDatumTijdTotEnMet],"&gt;"&amp;($A714+2/24),tData[Langligger01],1)</f>
        <v/>
      </c>
      <c r="G714" s="20">
        <f>COUNTIFS(tData[SEHTrajectPeriodeDatumTijdVan],"&lt;="&amp;($A714+3/24),tData[SEHTrajectPeriodeDatumTijdTotEnMet],"&gt;"&amp;($A714+3/24),tData[Langligger01],1)</f>
        <v/>
      </c>
      <c r="H714" s="20">
        <f>COUNTIFS(tData[SEHTrajectPeriodeDatumTijdVan],"&lt;="&amp;($A714+4/24),tData[SEHTrajectPeriodeDatumTijdTotEnMet],"&gt;"&amp;($A714+4/24),tData[Langligger01],1)</f>
        <v/>
      </c>
      <c r="I714" s="20">
        <f>COUNTIFS(tData[SEHTrajectPeriodeDatumTijdVan],"&lt;="&amp;($A714+5/24),tData[SEHTrajectPeriodeDatumTijdTotEnMet],"&gt;"&amp;($A714+5/24),tData[Langligger01],1)</f>
        <v/>
      </c>
      <c r="J714" s="20">
        <f>COUNTIFS(tData[SEHTrajectPeriodeDatumTijdVan],"&lt;="&amp;($A714+6/24),tData[SEHTrajectPeriodeDatumTijdTotEnMet],"&gt;"&amp;($A714+6/24),tData[Langligger01],1)</f>
        <v/>
      </c>
      <c r="K714" s="20">
        <f>COUNTIFS(tData[SEHTrajectPeriodeDatumTijdVan],"&lt;="&amp;($A714+7/24),tData[SEHTrajectPeriodeDatumTijdTotEnMet],"&gt;"&amp;($A714+7/24),tData[Langligger01],1)</f>
        <v/>
      </c>
      <c r="L714" s="20">
        <f>COUNTIFS(tData[SEHTrajectPeriodeDatumTijdVan],"&lt;="&amp;($A714+8/24),tData[SEHTrajectPeriodeDatumTijdTotEnMet],"&gt;"&amp;($A714+8/24),tData[Langligger01],1)</f>
        <v/>
      </c>
      <c r="M714" s="20">
        <f>COUNTIFS(tData[SEHTrajectPeriodeDatumTijdVan],"&lt;="&amp;($A714+9/24),tData[SEHTrajectPeriodeDatumTijdTotEnMet],"&gt;"&amp;($A714+9/24),tData[Langligger01],1)</f>
        <v/>
      </c>
      <c r="N714" s="20">
        <f>COUNTIFS(tData[SEHTrajectPeriodeDatumTijdVan],"&lt;="&amp;($A714+10/24),tData[SEHTrajectPeriodeDatumTijdTotEnMet],"&gt;"&amp;($A714+10/24),tData[Langligger01],1)</f>
        <v/>
      </c>
      <c r="O714" s="20">
        <f>COUNTIFS(tData[SEHTrajectPeriodeDatumTijdVan],"&lt;="&amp;($A714+11/24),tData[SEHTrajectPeriodeDatumTijdTotEnMet],"&gt;"&amp;($A714+11/24),tData[Langligger01],1)</f>
        <v/>
      </c>
      <c r="P714" s="20">
        <f>COUNTIFS(tData[SEHTrajectPeriodeDatumTijdVan],"&lt;="&amp;($A714+12/24),tData[SEHTrajectPeriodeDatumTijdTotEnMet],"&gt;"&amp;($A714+12/24),tData[Langligger01],1)</f>
        <v/>
      </c>
      <c r="Q714" s="20">
        <f>COUNTIFS(tData[SEHTrajectPeriodeDatumTijdVan],"&lt;="&amp;($A714+13/24),tData[SEHTrajectPeriodeDatumTijdTotEnMet],"&gt;"&amp;($A714+13/24),tData[Langligger01],1)</f>
        <v/>
      </c>
      <c r="R714" s="20">
        <f>COUNTIFS(tData[SEHTrajectPeriodeDatumTijdVan],"&lt;="&amp;($A714+14/24),tData[SEHTrajectPeriodeDatumTijdTotEnMet],"&gt;"&amp;($A714+14/24),tData[Langligger01],1)</f>
        <v/>
      </c>
      <c r="S714" s="20">
        <f>COUNTIFS(tData[SEHTrajectPeriodeDatumTijdVan],"&lt;="&amp;($A714+15/24),tData[SEHTrajectPeriodeDatumTijdTotEnMet],"&gt;"&amp;($A714+15/24),tData[Langligger01],1)</f>
        <v/>
      </c>
      <c r="T714" s="20">
        <f>COUNTIFS(tData[SEHTrajectPeriodeDatumTijdVan],"&lt;="&amp;($A714+16/24),tData[SEHTrajectPeriodeDatumTijdTotEnMet],"&gt;"&amp;($A714+16/24),tData[Langligger01],1)</f>
        <v/>
      </c>
      <c r="U714" s="20">
        <f>COUNTIFS(tData[SEHTrajectPeriodeDatumTijdVan],"&lt;="&amp;($A714+17/24),tData[SEHTrajectPeriodeDatumTijdTotEnMet],"&gt;"&amp;($A714+17/24),tData[Langligger01],1)</f>
        <v/>
      </c>
      <c r="V714" s="20">
        <f>COUNTIFS(tData[SEHTrajectPeriodeDatumTijdVan],"&lt;="&amp;($A714+18/24),tData[SEHTrajectPeriodeDatumTijdTotEnMet],"&gt;"&amp;($A714+18/24),tData[Langligger01],1)</f>
        <v/>
      </c>
      <c r="W714" s="20">
        <f>COUNTIFS(tData[SEHTrajectPeriodeDatumTijdVan],"&lt;="&amp;($A714+19/24),tData[SEHTrajectPeriodeDatumTijdTotEnMet],"&gt;"&amp;($A714+19/24),tData[Langligger01],1)</f>
        <v/>
      </c>
      <c r="X714" s="20">
        <f>COUNTIFS(tData[SEHTrajectPeriodeDatumTijdVan],"&lt;="&amp;($A714+20/24),tData[SEHTrajectPeriodeDatumTijdTotEnMet],"&gt;"&amp;($A714+20/24),tData[Langligger01],1)</f>
        <v/>
      </c>
      <c r="Y714" s="20">
        <f>COUNTIFS(tData[SEHTrajectPeriodeDatumTijdVan],"&lt;="&amp;($A714+21/24),tData[SEHTrajectPeriodeDatumTijdTotEnMet],"&gt;"&amp;($A714+21/24),tData[Langligger01],1)</f>
        <v/>
      </c>
      <c r="Z714" s="20">
        <f>COUNTIFS(tData[SEHTrajectPeriodeDatumTijdVan],"&lt;="&amp;($A714+22/24),tData[SEHTrajectPeriodeDatumTijdTotEnMet],"&gt;"&amp;($A714+22/24),tData[Langligger01],1)</f>
        <v/>
      </c>
      <c r="AA714" s="20">
        <f>COUNTIFS(tData[SEHTrajectPeriodeDatumTijdVan],"&lt;="&amp;($A714+23/24),tData[SEHTrajectPeriodeDatumTijdTotEnMet],"&gt;"&amp;($A714+23/24),tData[Langligger01],1)</f>
        <v/>
      </c>
    </row>
    <row r="715">
      <c r="A715" s="19" t="n">
        <v>46003</v>
      </c>
      <c r="B715" s="15">
        <f>WEEKDAY($A715,2)</f>
        <v/>
      </c>
      <c r="C715" s="15">
        <f>IF(AND($A715&gt;=INT(Instellingen!$B$5),$A715&lt;=INT(Instellingen!$B$6)),1,0)</f>
        <v/>
      </c>
      <c r="D715" s="20">
        <f>COUNTIFS(tData[SEHTrajectPeriodeDatumTijdVan],"&lt;="&amp;($A715+0/24),tData[SEHTrajectPeriodeDatumTijdTotEnMet],"&gt;"&amp;($A715+0/24),tData[Langligger01],1)</f>
        <v/>
      </c>
      <c r="E715" s="20">
        <f>COUNTIFS(tData[SEHTrajectPeriodeDatumTijdVan],"&lt;="&amp;($A715+1/24),tData[SEHTrajectPeriodeDatumTijdTotEnMet],"&gt;"&amp;($A715+1/24),tData[Langligger01],1)</f>
        <v/>
      </c>
      <c r="F715" s="20">
        <f>COUNTIFS(tData[SEHTrajectPeriodeDatumTijdVan],"&lt;="&amp;($A715+2/24),tData[SEHTrajectPeriodeDatumTijdTotEnMet],"&gt;"&amp;($A715+2/24),tData[Langligger01],1)</f>
        <v/>
      </c>
      <c r="G715" s="20">
        <f>COUNTIFS(tData[SEHTrajectPeriodeDatumTijdVan],"&lt;="&amp;($A715+3/24),tData[SEHTrajectPeriodeDatumTijdTotEnMet],"&gt;"&amp;($A715+3/24),tData[Langligger01],1)</f>
        <v/>
      </c>
      <c r="H715" s="20">
        <f>COUNTIFS(tData[SEHTrajectPeriodeDatumTijdVan],"&lt;="&amp;($A715+4/24),tData[SEHTrajectPeriodeDatumTijdTotEnMet],"&gt;"&amp;($A715+4/24),tData[Langligger01],1)</f>
        <v/>
      </c>
      <c r="I715" s="20">
        <f>COUNTIFS(tData[SEHTrajectPeriodeDatumTijdVan],"&lt;="&amp;($A715+5/24),tData[SEHTrajectPeriodeDatumTijdTotEnMet],"&gt;"&amp;($A715+5/24),tData[Langligger01],1)</f>
        <v/>
      </c>
      <c r="J715" s="20">
        <f>COUNTIFS(tData[SEHTrajectPeriodeDatumTijdVan],"&lt;="&amp;($A715+6/24),tData[SEHTrajectPeriodeDatumTijdTotEnMet],"&gt;"&amp;($A715+6/24),tData[Langligger01],1)</f>
        <v/>
      </c>
      <c r="K715" s="20">
        <f>COUNTIFS(tData[SEHTrajectPeriodeDatumTijdVan],"&lt;="&amp;($A715+7/24),tData[SEHTrajectPeriodeDatumTijdTotEnMet],"&gt;"&amp;($A715+7/24),tData[Langligger01],1)</f>
        <v/>
      </c>
      <c r="L715" s="20">
        <f>COUNTIFS(tData[SEHTrajectPeriodeDatumTijdVan],"&lt;="&amp;($A715+8/24),tData[SEHTrajectPeriodeDatumTijdTotEnMet],"&gt;"&amp;($A715+8/24),tData[Langligger01],1)</f>
        <v/>
      </c>
      <c r="M715" s="20">
        <f>COUNTIFS(tData[SEHTrajectPeriodeDatumTijdVan],"&lt;="&amp;($A715+9/24),tData[SEHTrajectPeriodeDatumTijdTotEnMet],"&gt;"&amp;($A715+9/24),tData[Langligger01],1)</f>
        <v/>
      </c>
      <c r="N715" s="20">
        <f>COUNTIFS(tData[SEHTrajectPeriodeDatumTijdVan],"&lt;="&amp;($A715+10/24),tData[SEHTrajectPeriodeDatumTijdTotEnMet],"&gt;"&amp;($A715+10/24),tData[Langligger01],1)</f>
        <v/>
      </c>
      <c r="O715" s="20">
        <f>COUNTIFS(tData[SEHTrajectPeriodeDatumTijdVan],"&lt;="&amp;($A715+11/24),tData[SEHTrajectPeriodeDatumTijdTotEnMet],"&gt;"&amp;($A715+11/24),tData[Langligger01],1)</f>
        <v/>
      </c>
      <c r="P715" s="20">
        <f>COUNTIFS(tData[SEHTrajectPeriodeDatumTijdVan],"&lt;="&amp;($A715+12/24),tData[SEHTrajectPeriodeDatumTijdTotEnMet],"&gt;"&amp;($A715+12/24),tData[Langligger01],1)</f>
        <v/>
      </c>
      <c r="Q715" s="20">
        <f>COUNTIFS(tData[SEHTrajectPeriodeDatumTijdVan],"&lt;="&amp;($A715+13/24),tData[SEHTrajectPeriodeDatumTijdTotEnMet],"&gt;"&amp;($A715+13/24),tData[Langligger01],1)</f>
        <v/>
      </c>
      <c r="R715" s="20">
        <f>COUNTIFS(tData[SEHTrajectPeriodeDatumTijdVan],"&lt;="&amp;($A715+14/24),tData[SEHTrajectPeriodeDatumTijdTotEnMet],"&gt;"&amp;($A715+14/24),tData[Langligger01],1)</f>
        <v/>
      </c>
      <c r="S715" s="20">
        <f>COUNTIFS(tData[SEHTrajectPeriodeDatumTijdVan],"&lt;="&amp;($A715+15/24),tData[SEHTrajectPeriodeDatumTijdTotEnMet],"&gt;"&amp;($A715+15/24),tData[Langligger01],1)</f>
        <v/>
      </c>
      <c r="T715" s="20">
        <f>COUNTIFS(tData[SEHTrajectPeriodeDatumTijdVan],"&lt;="&amp;($A715+16/24),tData[SEHTrajectPeriodeDatumTijdTotEnMet],"&gt;"&amp;($A715+16/24),tData[Langligger01],1)</f>
        <v/>
      </c>
      <c r="U715" s="20">
        <f>COUNTIFS(tData[SEHTrajectPeriodeDatumTijdVan],"&lt;="&amp;($A715+17/24),tData[SEHTrajectPeriodeDatumTijdTotEnMet],"&gt;"&amp;($A715+17/24),tData[Langligger01],1)</f>
        <v/>
      </c>
      <c r="V715" s="20">
        <f>COUNTIFS(tData[SEHTrajectPeriodeDatumTijdVan],"&lt;="&amp;($A715+18/24),tData[SEHTrajectPeriodeDatumTijdTotEnMet],"&gt;"&amp;($A715+18/24),tData[Langligger01],1)</f>
        <v/>
      </c>
      <c r="W715" s="20">
        <f>COUNTIFS(tData[SEHTrajectPeriodeDatumTijdVan],"&lt;="&amp;($A715+19/24),tData[SEHTrajectPeriodeDatumTijdTotEnMet],"&gt;"&amp;($A715+19/24),tData[Langligger01],1)</f>
        <v/>
      </c>
      <c r="X715" s="20">
        <f>COUNTIFS(tData[SEHTrajectPeriodeDatumTijdVan],"&lt;="&amp;($A715+20/24),tData[SEHTrajectPeriodeDatumTijdTotEnMet],"&gt;"&amp;($A715+20/24),tData[Langligger01],1)</f>
        <v/>
      </c>
      <c r="Y715" s="20">
        <f>COUNTIFS(tData[SEHTrajectPeriodeDatumTijdVan],"&lt;="&amp;($A715+21/24),tData[SEHTrajectPeriodeDatumTijdTotEnMet],"&gt;"&amp;($A715+21/24),tData[Langligger01],1)</f>
        <v/>
      </c>
      <c r="Z715" s="20">
        <f>COUNTIFS(tData[SEHTrajectPeriodeDatumTijdVan],"&lt;="&amp;($A715+22/24),tData[SEHTrajectPeriodeDatumTijdTotEnMet],"&gt;"&amp;($A715+22/24),tData[Langligger01],1)</f>
        <v/>
      </c>
      <c r="AA715" s="20">
        <f>COUNTIFS(tData[SEHTrajectPeriodeDatumTijdVan],"&lt;="&amp;($A715+23/24),tData[SEHTrajectPeriodeDatumTijdTotEnMet],"&gt;"&amp;($A715+23/24),tData[Langligger01],1)</f>
        <v/>
      </c>
    </row>
    <row r="716">
      <c r="A716" s="19" t="n">
        <v>46004</v>
      </c>
      <c r="B716" s="15">
        <f>WEEKDAY($A716,2)</f>
        <v/>
      </c>
      <c r="C716" s="15">
        <f>IF(AND($A716&gt;=INT(Instellingen!$B$5),$A716&lt;=INT(Instellingen!$B$6)),1,0)</f>
        <v/>
      </c>
      <c r="D716" s="20">
        <f>COUNTIFS(tData[SEHTrajectPeriodeDatumTijdVan],"&lt;="&amp;($A716+0/24),tData[SEHTrajectPeriodeDatumTijdTotEnMet],"&gt;"&amp;($A716+0/24),tData[Langligger01],1)</f>
        <v/>
      </c>
      <c r="E716" s="20">
        <f>COUNTIFS(tData[SEHTrajectPeriodeDatumTijdVan],"&lt;="&amp;($A716+1/24),tData[SEHTrajectPeriodeDatumTijdTotEnMet],"&gt;"&amp;($A716+1/24),tData[Langligger01],1)</f>
        <v/>
      </c>
      <c r="F716" s="20">
        <f>COUNTIFS(tData[SEHTrajectPeriodeDatumTijdVan],"&lt;="&amp;($A716+2/24),tData[SEHTrajectPeriodeDatumTijdTotEnMet],"&gt;"&amp;($A716+2/24),tData[Langligger01],1)</f>
        <v/>
      </c>
      <c r="G716" s="20">
        <f>COUNTIFS(tData[SEHTrajectPeriodeDatumTijdVan],"&lt;="&amp;($A716+3/24),tData[SEHTrajectPeriodeDatumTijdTotEnMet],"&gt;"&amp;($A716+3/24),tData[Langligger01],1)</f>
        <v/>
      </c>
      <c r="H716" s="20">
        <f>COUNTIFS(tData[SEHTrajectPeriodeDatumTijdVan],"&lt;="&amp;($A716+4/24),tData[SEHTrajectPeriodeDatumTijdTotEnMet],"&gt;"&amp;($A716+4/24),tData[Langligger01],1)</f>
        <v/>
      </c>
      <c r="I716" s="20">
        <f>COUNTIFS(tData[SEHTrajectPeriodeDatumTijdVan],"&lt;="&amp;($A716+5/24),tData[SEHTrajectPeriodeDatumTijdTotEnMet],"&gt;"&amp;($A716+5/24),tData[Langligger01],1)</f>
        <v/>
      </c>
      <c r="J716" s="20">
        <f>COUNTIFS(tData[SEHTrajectPeriodeDatumTijdVan],"&lt;="&amp;($A716+6/24),tData[SEHTrajectPeriodeDatumTijdTotEnMet],"&gt;"&amp;($A716+6/24),tData[Langligger01],1)</f>
        <v/>
      </c>
      <c r="K716" s="20">
        <f>COUNTIFS(tData[SEHTrajectPeriodeDatumTijdVan],"&lt;="&amp;($A716+7/24),tData[SEHTrajectPeriodeDatumTijdTotEnMet],"&gt;"&amp;($A716+7/24),tData[Langligger01],1)</f>
        <v/>
      </c>
      <c r="L716" s="20">
        <f>COUNTIFS(tData[SEHTrajectPeriodeDatumTijdVan],"&lt;="&amp;($A716+8/24),tData[SEHTrajectPeriodeDatumTijdTotEnMet],"&gt;"&amp;($A716+8/24),tData[Langligger01],1)</f>
        <v/>
      </c>
      <c r="M716" s="20">
        <f>COUNTIFS(tData[SEHTrajectPeriodeDatumTijdVan],"&lt;="&amp;($A716+9/24),tData[SEHTrajectPeriodeDatumTijdTotEnMet],"&gt;"&amp;($A716+9/24),tData[Langligger01],1)</f>
        <v/>
      </c>
      <c r="N716" s="20">
        <f>COUNTIFS(tData[SEHTrajectPeriodeDatumTijdVan],"&lt;="&amp;($A716+10/24),tData[SEHTrajectPeriodeDatumTijdTotEnMet],"&gt;"&amp;($A716+10/24),tData[Langligger01],1)</f>
        <v/>
      </c>
      <c r="O716" s="20">
        <f>COUNTIFS(tData[SEHTrajectPeriodeDatumTijdVan],"&lt;="&amp;($A716+11/24),tData[SEHTrajectPeriodeDatumTijdTotEnMet],"&gt;"&amp;($A716+11/24),tData[Langligger01],1)</f>
        <v/>
      </c>
      <c r="P716" s="20">
        <f>COUNTIFS(tData[SEHTrajectPeriodeDatumTijdVan],"&lt;="&amp;($A716+12/24),tData[SEHTrajectPeriodeDatumTijdTotEnMet],"&gt;"&amp;($A716+12/24),tData[Langligger01],1)</f>
        <v/>
      </c>
      <c r="Q716" s="20">
        <f>COUNTIFS(tData[SEHTrajectPeriodeDatumTijdVan],"&lt;="&amp;($A716+13/24),tData[SEHTrajectPeriodeDatumTijdTotEnMet],"&gt;"&amp;($A716+13/24),tData[Langligger01],1)</f>
        <v/>
      </c>
      <c r="R716" s="20">
        <f>COUNTIFS(tData[SEHTrajectPeriodeDatumTijdVan],"&lt;="&amp;($A716+14/24),tData[SEHTrajectPeriodeDatumTijdTotEnMet],"&gt;"&amp;($A716+14/24),tData[Langligger01],1)</f>
        <v/>
      </c>
      <c r="S716" s="20">
        <f>COUNTIFS(tData[SEHTrajectPeriodeDatumTijdVan],"&lt;="&amp;($A716+15/24),tData[SEHTrajectPeriodeDatumTijdTotEnMet],"&gt;"&amp;($A716+15/24),tData[Langligger01],1)</f>
        <v/>
      </c>
      <c r="T716" s="20">
        <f>COUNTIFS(tData[SEHTrajectPeriodeDatumTijdVan],"&lt;="&amp;($A716+16/24),tData[SEHTrajectPeriodeDatumTijdTotEnMet],"&gt;"&amp;($A716+16/24),tData[Langligger01],1)</f>
        <v/>
      </c>
      <c r="U716" s="20">
        <f>COUNTIFS(tData[SEHTrajectPeriodeDatumTijdVan],"&lt;="&amp;($A716+17/24),tData[SEHTrajectPeriodeDatumTijdTotEnMet],"&gt;"&amp;($A716+17/24),tData[Langligger01],1)</f>
        <v/>
      </c>
      <c r="V716" s="20">
        <f>COUNTIFS(tData[SEHTrajectPeriodeDatumTijdVan],"&lt;="&amp;($A716+18/24),tData[SEHTrajectPeriodeDatumTijdTotEnMet],"&gt;"&amp;($A716+18/24),tData[Langligger01],1)</f>
        <v/>
      </c>
      <c r="W716" s="20">
        <f>COUNTIFS(tData[SEHTrajectPeriodeDatumTijdVan],"&lt;="&amp;($A716+19/24),tData[SEHTrajectPeriodeDatumTijdTotEnMet],"&gt;"&amp;($A716+19/24),tData[Langligger01],1)</f>
        <v/>
      </c>
      <c r="X716" s="20">
        <f>COUNTIFS(tData[SEHTrajectPeriodeDatumTijdVan],"&lt;="&amp;($A716+20/24),tData[SEHTrajectPeriodeDatumTijdTotEnMet],"&gt;"&amp;($A716+20/24),tData[Langligger01],1)</f>
        <v/>
      </c>
      <c r="Y716" s="20">
        <f>COUNTIFS(tData[SEHTrajectPeriodeDatumTijdVan],"&lt;="&amp;($A716+21/24),tData[SEHTrajectPeriodeDatumTijdTotEnMet],"&gt;"&amp;($A716+21/24),tData[Langligger01],1)</f>
        <v/>
      </c>
      <c r="Z716" s="20">
        <f>COUNTIFS(tData[SEHTrajectPeriodeDatumTijdVan],"&lt;="&amp;($A716+22/24),tData[SEHTrajectPeriodeDatumTijdTotEnMet],"&gt;"&amp;($A716+22/24),tData[Langligger01],1)</f>
        <v/>
      </c>
      <c r="AA716" s="20">
        <f>COUNTIFS(tData[SEHTrajectPeriodeDatumTijdVan],"&lt;="&amp;($A716+23/24),tData[SEHTrajectPeriodeDatumTijdTotEnMet],"&gt;"&amp;($A716+23/24),tData[Langligger01],1)</f>
        <v/>
      </c>
    </row>
    <row r="717">
      <c r="A717" s="19" t="n">
        <v>46005</v>
      </c>
      <c r="B717" s="15">
        <f>WEEKDAY($A717,2)</f>
        <v/>
      </c>
      <c r="C717" s="15">
        <f>IF(AND($A717&gt;=INT(Instellingen!$B$5),$A717&lt;=INT(Instellingen!$B$6)),1,0)</f>
        <v/>
      </c>
      <c r="D717" s="20">
        <f>COUNTIFS(tData[SEHTrajectPeriodeDatumTijdVan],"&lt;="&amp;($A717+0/24),tData[SEHTrajectPeriodeDatumTijdTotEnMet],"&gt;"&amp;($A717+0/24),tData[Langligger01],1)</f>
        <v/>
      </c>
      <c r="E717" s="20">
        <f>COUNTIFS(tData[SEHTrajectPeriodeDatumTijdVan],"&lt;="&amp;($A717+1/24),tData[SEHTrajectPeriodeDatumTijdTotEnMet],"&gt;"&amp;($A717+1/24),tData[Langligger01],1)</f>
        <v/>
      </c>
      <c r="F717" s="20">
        <f>COUNTIFS(tData[SEHTrajectPeriodeDatumTijdVan],"&lt;="&amp;($A717+2/24),tData[SEHTrajectPeriodeDatumTijdTotEnMet],"&gt;"&amp;($A717+2/24),tData[Langligger01],1)</f>
        <v/>
      </c>
      <c r="G717" s="20">
        <f>COUNTIFS(tData[SEHTrajectPeriodeDatumTijdVan],"&lt;="&amp;($A717+3/24),tData[SEHTrajectPeriodeDatumTijdTotEnMet],"&gt;"&amp;($A717+3/24),tData[Langligger01],1)</f>
        <v/>
      </c>
      <c r="H717" s="20">
        <f>COUNTIFS(tData[SEHTrajectPeriodeDatumTijdVan],"&lt;="&amp;($A717+4/24),tData[SEHTrajectPeriodeDatumTijdTotEnMet],"&gt;"&amp;($A717+4/24),tData[Langligger01],1)</f>
        <v/>
      </c>
      <c r="I717" s="20">
        <f>COUNTIFS(tData[SEHTrajectPeriodeDatumTijdVan],"&lt;="&amp;($A717+5/24),tData[SEHTrajectPeriodeDatumTijdTotEnMet],"&gt;"&amp;($A717+5/24),tData[Langligger01],1)</f>
        <v/>
      </c>
      <c r="J717" s="20">
        <f>COUNTIFS(tData[SEHTrajectPeriodeDatumTijdVan],"&lt;="&amp;($A717+6/24),tData[SEHTrajectPeriodeDatumTijdTotEnMet],"&gt;"&amp;($A717+6/24),tData[Langligger01],1)</f>
        <v/>
      </c>
      <c r="K717" s="20">
        <f>COUNTIFS(tData[SEHTrajectPeriodeDatumTijdVan],"&lt;="&amp;($A717+7/24),tData[SEHTrajectPeriodeDatumTijdTotEnMet],"&gt;"&amp;($A717+7/24),tData[Langligger01],1)</f>
        <v/>
      </c>
      <c r="L717" s="20">
        <f>COUNTIFS(tData[SEHTrajectPeriodeDatumTijdVan],"&lt;="&amp;($A717+8/24),tData[SEHTrajectPeriodeDatumTijdTotEnMet],"&gt;"&amp;($A717+8/24),tData[Langligger01],1)</f>
        <v/>
      </c>
      <c r="M717" s="20">
        <f>COUNTIFS(tData[SEHTrajectPeriodeDatumTijdVan],"&lt;="&amp;($A717+9/24),tData[SEHTrajectPeriodeDatumTijdTotEnMet],"&gt;"&amp;($A717+9/24),tData[Langligger01],1)</f>
        <v/>
      </c>
      <c r="N717" s="20">
        <f>COUNTIFS(tData[SEHTrajectPeriodeDatumTijdVan],"&lt;="&amp;($A717+10/24),tData[SEHTrajectPeriodeDatumTijdTotEnMet],"&gt;"&amp;($A717+10/24),tData[Langligger01],1)</f>
        <v/>
      </c>
      <c r="O717" s="20">
        <f>COUNTIFS(tData[SEHTrajectPeriodeDatumTijdVan],"&lt;="&amp;($A717+11/24),tData[SEHTrajectPeriodeDatumTijdTotEnMet],"&gt;"&amp;($A717+11/24),tData[Langligger01],1)</f>
        <v/>
      </c>
      <c r="P717" s="20">
        <f>COUNTIFS(tData[SEHTrajectPeriodeDatumTijdVan],"&lt;="&amp;($A717+12/24),tData[SEHTrajectPeriodeDatumTijdTotEnMet],"&gt;"&amp;($A717+12/24),tData[Langligger01],1)</f>
        <v/>
      </c>
      <c r="Q717" s="20">
        <f>COUNTIFS(tData[SEHTrajectPeriodeDatumTijdVan],"&lt;="&amp;($A717+13/24),tData[SEHTrajectPeriodeDatumTijdTotEnMet],"&gt;"&amp;($A717+13/24),tData[Langligger01],1)</f>
        <v/>
      </c>
      <c r="R717" s="20">
        <f>COUNTIFS(tData[SEHTrajectPeriodeDatumTijdVan],"&lt;="&amp;($A717+14/24),tData[SEHTrajectPeriodeDatumTijdTotEnMet],"&gt;"&amp;($A717+14/24),tData[Langligger01],1)</f>
        <v/>
      </c>
      <c r="S717" s="20">
        <f>COUNTIFS(tData[SEHTrajectPeriodeDatumTijdVan],"&lt;="&amp;($A717+15/24),tData[SEHTrajectPeriodeDatumTijdTotEnMet],"&gt;"&amp;($A717+15/24),tData[Langligger01],1)</f>
        <v/>
      </c>
      <c r="T717" s="20">
        <f>COUNTIFS(tData[SEHTrajectPeriodeDatumTijdVan],"&lt;="&amp;($A717+16/24),tData[SEHTrajectPeriodeDatumTijdTotEnMet],"&gt;"&amp;($A717+16/24),tData[Langligger01],1)</f>
        <v/>
      </c>
      <c r="U717" s="20">
        <f>COUNTIFS(tData[SEHTrajectPeriodeDatumTijdVan],"&lt;="&amp;($A717+17/24),tData[SEHTrajectPeriodeDatumTijdTotEnMet],"&gt;"&amp;($A717+17/24),tData[Langligger01],1)</f>
        <v/>
      </c>
      <c r="V717" s="20">
        <f>COUNTIFS(tData[SEHTrajectPeriodeDatumTijdVan],"&lt;="&amp;($A717+18/24),tData[SEHTrajectPeriodeDatumTijdTotEnMet],"&gt;"&amp;($A717+18/24),tData[Langligger01],1)</f>
        <v/>
      </c>
      <c r="W717" s="20">
        <f>COUNTIFS(tData[SEHTrajectPeriodeDatumTijdVan],"&lt;="&amp;($A717+19/24),tData[SEHTrajectPeriodeDatumTijdTotEnMet],"&gt;"&amp;($A717+19/24),tData[Langligger01],1)</f>
        <v/>
      </c>
      <c r="X717" s="20">
        <f>COUNTIFS(tData[SEHTrajectPeriodeDatumTijdVan],"&lt;="&amp;($A717+20/24),tData[SEHTrajectPeriodeDatumTijdTotEnMet],"&gt;"&amp;($A717+20/24),tData[Langligger01],1)</f>
        <v/>
      </c>
      <c r="Y717" s="20">
        <f>COUNTIFS(tData[SEHTrajectPeriodeDatumTijdVan],"&lt;="&amp;($A717+21/24),tData[SEHTrajectPeriodeDatumTijdTotEnMet],"&gt;"&amp;($A717+21/24),tData[Langligger01],1)</f>
        <v/>
      </c>
      <c r="Z717" s="20">
        <f>COUNTIFS(tData[SEHTrajectPeriodeDatumTijdVan],"&lt;="&amp;($A717+22/24),tData[SEHTrajectPeriodeDatumTijdTotEnMet],"&gt;"&amp;($A717+22/24),tData[Langligger01],1)</f>
        <v/>
      </c>
      <c r="AA717" s="20">
        <f>COUNTIFS(tData[SEHTrajectPeriodeDatumTijdVan],"&lt;="&amp;($A717+23/24),tData[SEHTrajectPeriodeDatumTijdTotEnMet],"&gt;"&amp;($A717+23/24),tData[Langligger01],1)</f>
        <v/>
      </c>
    </row>
    <row r="718">
      <c r="A718" s="19" t="n">
        <v>46006</v>
      </c>
      <c r="B718" s="15">
        <f>WEEKDAY($A718,2)</f>
        <v/>
      </c>
      <c r="C718" s="15">
        <f>IF(AND($A718&gt;=INT(Instellingen!$B$5),$A718&lt;=INT(Instellingen!$B$6)),1,0)</f>
        <v/>
      </c>
      <c r="D718" s="20">
        <f>COUNTIFS(tData[SEHTrajectPeriodeDatumTijdVan],"&lt;="&amp;($A718+0/24),tData[SEHTrajectPeriodeDatumTijdTotEnMet],"&gt;"&amp;($A718+0/24),tData[Langligger01],1)</f>
        <v/>
      </c>
      <c r="E718" s="20">
        <f>COUNTIFS(tData[SEHTrajectPeriodeDatumTijdVan],"&lt;="&amp;($A718+1/24),tData[SEHTrajectPeriodeDatumTijdTotEnMet],"&gt;"&amp;($A718+1/24),tData[Langligger01],1)</f>
        <v/>
      </c>
      <c r="F718" s="20">
        <f>COUNTIFS(tData[SEHTrajectPeriodeDatumTijdVan],"&lt;="&amp;($A718+2/24),tData[SEHTrajectPeriodeDatumTijdTotEnMet],"&gt;"&amp;($A718+2/24),tData[Langligger01],1)</f>
        <v/>
      </c>
      <c r="G718" s="20">
        <f>COUNTIFS(tData[SEHTrajectPeriodeDatumTijdVan],"&lt;="&amp;($A718+3/24),tData[SEHTrajectPeriodeDatumTijdTotEnMet],"&gt;"&amp;($A718+3/24),tData[Langligger01],1)</f>
        <v/>
      </c>
      <c r="H718" s="20">
        <f>COUNTIFS(tData[SEHTrajectPeriodeDatumTijdVan],"&lt;="&amp;($A718+4/24),tData[SEHTrajectPeriodeDatumTijdTotEnMet],"&gt;"&amp;($A718+4/24),tData[Langligger01],1)</f>
        <v/>
      </c>
      <c r="I718" s="20">
        <f>COUNTIFS(tData[SEHTrajectPeriodeDatumTijdVan],"&lt;="&amp;($A718+5/24),tData[SEHTrajectPeriodeDatumTijdTotEnMet],"&gt;"&amp;($A718+5/24),tData[Langligger01],1)</f>
        <v/>
      </c>
      <c r="J718" s="20">
        <f>COUNTIFS(tData[SEHTrajectPeriodeDatumTijdVan],"&lt;="&amp;($A718+6/24),tData[SEHTrajectPeriodeDatumTijdTotEnMet],"&gt;"&amp;($A718+6/24),tData[Langligger01],1)</f>
        <v/>
      </c>
      <c r="K718" s="20">
        <f>COUNTIFS(tData[SEHTrajectPeriodeDatumTijdVan],"&lt;="&amp;($A718+7/24),tData[SEHTrajectPeriodeDatumTijdTotEnMet],"&gt;"&amp;($A718+7/24),tData[Langligger01],1)</f>
        <v/>
      </c>
      <c r="L718" s="20">
        <f>COUNTIFS(tData[SEHTrajectPeriodeDatumTijdVan],"&lt;="&amp;($A718+8/24),tData[SEHTrajectPeriodeDatumTijdTotEnMet],"&gt;"&amp;($A718+8/24),tData[Langligger01],1)</f>
        <v/>
      </c>
      <c r="M718" s="20">
        <f>COUNTIFS(tData[SEHTrajectPeriodeDatumTijdVan],"&lt;="&amp;($A718+9/24),tData[SEHTrajectPeriodeDatumTijdTotEnMet],"&gt;"&amp;($A718+9/24),tData[Langligger01],1)</f>
        <v/>
      </c>
      <c r="N718" s="20">
        <f>COUNTIFS(tData[SEHTrajectPeriodeDatumTijdVan],"&lt;="&amp;($A718+10/24),tData[SEHTrajectPeriodeDatumTijdTotEnMet],"&gt;"&amp;($A718+10/24),tData[Langligger01],1)</f>
        <v/>
      </c>
      <c r="O718" s="20">
        <f>COUNTIFS(tData[SEHTrajectPeriodeDatumTijdVan],"&lt;="&amp;($A718+11/24),tData[SEHTrajectPeriodeDatumTijdTotEnMet],"&gt;"&amp;($A718+11/24),tData[Langligger01],1)</f>
        <v/>
      </c>
      <c r="P718" s="20">
        <f>COUNTIFS(tData[SEHTrajectPeriodeDatumTijdVan],"&lt;="&amp;($A718+12/24),tData[SEHTrajectPeriodeDatumTijdTotEnMet],"&gt;"&amp;($A718+12/24),tData[Langligger01],1)</f>
        <v/>
      </c>
      <c r="Q718" s="20">
        <f>COUNTIFS(tData[SEHTrajectPeriodeDatumTijdVan],"&lt;="&amp;($A718+13/24),tData[SEHTrajectPeriodeDatumTijdTotEnMet],"&gt;"&amp;($A718+13/24),tData[Langligger01],1)</f>
        <v/>
      </c>
      <c r="R718" s="20">
        <f>COUNTIFS(tData[SEHTrajectPeriodeDatumTijdVan],"&lt;="&amp;($A718+14/24),tData[SEHTrajectPeriodeDatumTijdTotEnMet],"&gt;"&amp;($A718+14/24),tData[Langligger01],1)</f>
        <v/>
      </c>
      <c r="S718" s="20">
        <f>COUNTIFS(tData[SEHTrajectPeriodeDatumTijdVan],"&lt;="&amp;($A718+15/24),tData[SEHTrajectPeriodeDatumTijdTotEnMet],"&gt;"&amp;($A718+15/24),tData[Langligger01],1)</f>
        <v/>
      </c>
      <c r="T718" s="20">
        <f>COUNTIFS(tData[SEHTrajectPeriodeDatumTijdVan],"&lt;="&amp;($A718+16/24),tData[SEHTrajectPeriodeDatumTijdTotEnMet],"&gt;"&amp;($A718+16/24),tData[Langligger01],1)</f>
        <v/>
      </c>
      <c r="U718" s="20">
        <f>COUNTIFS(tData[SEHTrajectPeriodeDatumTijdVan],"&lt;="&amp;($A718+17/24),tData[SEHTrajectPeriodeDatumTijdTotEnMet],"&gt;"&amp;($A718+17/24),tData[Langligger01],1)</f>
        <v/>
      </c>
      <c r="V718" s="20">
        <f>COUNTIFS(tData[SEHTrajectPeriodeDatumTijdVan],"&lt;="&amp;($A718+18/24),tData[SEHTrajectPeriodeDatumTijdTotEnMet],"&gt;"&amp;($A718+18/24),tData[Langligger01],1)</f>
        <v/>
      </c>
      <c r="W718" s="20">
        <f>COUNTIFS(tData[SEHTrajectPeriodeDatumTijdVan],"&lt;="&amp;($A718+19/24),tData[SEHTrajectPeriodeDatumTijdTotEnMet],"&gt;"&amp;($A718+19/24),tData[Langligger01],1)</f>
        <v/>
      </c>
      <c r="X718" s="20">
        <f>COUNTIFS(tData[SEHTrajectPeriodeDatumTijdVan],"&lt;="&amp;($A718+20/24),tData[SEHTrajectPeriodeDatumTijdTotEnMet],"&gt;"&amp;($A718+20/24),tData[Langligger01],1)</f>
        <v/>
      </c>
      <c r="Y718" s="20">
        <f>COUNTIFS(tData[SEHTrajectPeriodeDatumTijdVan],"&lt;="&amp;($A718+21/24),tData[SEHTrajectPeriodeDatumTijdTotEnMet],"&gt;"&amp;($A718+21/24),tData[Langligger01],1)</f>
        <v/>
      </c>
      <c r="Z718" s="20">
        <f>COUNTIFS(tData[SEHTrajectPeriodeDatumTijdVan],"&lt;="&amp;($A718+22/24),tData[SEHTrajectPeriodeDatumTijdTotEnMet],"&gt;"&amp;($A718+22/24),tData[Langligger01],1)</f>
        <v/>
      </c>
      <c r="AA718" s="20">
        <f>COUNTIFS(tData[SEHTrajectPeriodeDatumTijdVan],"&lt;="&amp;($A718+23/24),tData[SEHTrajectPeriodeDatumTijdTotEnMet],"&gt;"&amp;($A718+23/24),tData[Langligger01],1)</f>
        <v/>
      </c>
    </row>
    <row r="719">
      <c r="A719" s="19" t="n">
        <v>46007</v>
      </c>
      <c r="B719" s="15">
        <f>WEEKDAY($A719,2)</f>
        <v/>
      </c>
      <c r="C719" s="15">
        <f>IF(AND($A719&gt;=INT(Instellingen!$B$5),$A719&lt;=INT(Instellingen!$B$6)),1,0)</f>
        <v/>
      </c>
      <c r="D719" s="20">
        <f>COUNTIFS(tData[SEHTrajectPeriodeDatumTijdVan],"&lt;="&amp;($A719+0/24),tData[SEHTrajectPeriodeDatumTijdTotEnMet],"&gt;"&amp;($A719+0/24),tData[Langligger01],1)</f>
        <v/>
      </c>
      <c r="E719" s="20">
        <f>COUNTIFS(tData[SEHTrajectPeriodeDatumTijdVan],"&lt;="&amp;($A719+1/24),tData[SEHTrajectPeriodeDatumTijdTotEnMet],"&gt;"&amp;($A719+1/24),tData[Langligger01],1)</f>
        <v/>
      </c>
      <c r="F719" s="20">
        <f>COUNTIFS(tData[SEHTrajectPeriodeDatumTijdVan],"&lt;="&amp;($A719+2/24),tData[SEHTrajectPeriodeDatumTijdTotEnMet],"&gt;"&amp;($A719+2/24),tData[Langligger01],1)</f>
        <v/>
      </c>
      <c r="G719" s="20">
        <f>COUNTIFS(tData[SEHTrajectPeriodeDatumTijdVan],"&lt;="&amp;($A719+3/24),tData[SEHTrajectPeriodeDatumTijdTotEnMet],"&gt;"&amp;($A719+3/24),tData[Langligger01],1)</f>
        <v/>
      </c>
      <c r="H719" s="20">
        <f>COUNTIFS(tData[SEHTrajectPeriodeDatumTijdVan],"&lt;="&amp;($A719+4/24),tData[SEHTrajectPeriodeDatumTijdTotEnMet],"&gt;"&amp;($A719+4/24),tData[Langligger01],1)</f>
        <v/>
      </c>
      <c r="I719" s="20">
        <f>COUNTIFS(tData[SEHTrajectPeriodeDatumTijdVan],"&lt;="&amp;($A719+5/24),tData[SEHTrajectPeriodeDatumTijdTotEnMet],"&gt;"&amp;($A719+5/24),tData[Langligger01],1)</f>
        <v/>
      </c>
      <c r="J719" s="20">
        <f>COUNTIFS(tData[SEHTrajectPeriodeDatumTijdVan],"&lt;="&amp;($A719+6/24),tData[SEHTrajectPeriodeDatumTijdTotEnMet],"&gt;"&amp;($A719+6/24),tData[Langligger01],1)</f>
        <v/>
      </c>
      <c r="K719" s="20">
        <f>COUNTIFS(tData[SEHTrajectPeriodeDatumTijdVan],"&lt;="&amp;($A719+7/24),tData[SEHTrajectPeriodeDatumTijdTotEnMet],"&gt;"&amp;($A719+7/24),tData[Langligger01],1)</f>
        <v/>
      </c>
      <c r="L719" s="20">
        <f>COUNTIFS(tData[SEHTrajectPeriodeDatumTijdVan],"&lt;="&amp;($A719+8/24),tData[SEHTrajectPeriodeDatumTijdTotEnMet],"&gt;"&amp;($A719+8/24),tData[Langligger01],1)</f>
        <v/>
      </c>
      <c r="M719" s="20">
        <f>COUNTIFS(tData[SEHTrajectPeriodeDatumTijdVan],"&lt;="&amp;($A719+9/24),tData[SEHTrajectPeriodeDatumTijdTotEnMet],"&gt;"&amp;($A719+9/24),tData[Langligger01],1)</f>
        <v/>
      </c>
      <c r="N719" s="20">
        <f>COUNTIFS(tData[SEHTrajectPeriodeDatumTijdVan],"&lt;="&amp;($A719+10/24),tData[SEHTrajectPeriodeDatumTijdTotEnMet],"&gt;"&amp;($A719+10/24),tData[Langligger01],1)</f>
        <v/>
      </c>
      <c r="O719" s="20">
        <f>COUNTIFS(tData[SEHTrajectPeriodeDatumTijdVan],"&lt;="&amp;($A719+11/24),tData[SEHTrajectPeriodeDatumTijdTotEnMet],"&gt;"&amp;($A719+11/24),tData[Langligger01],1)</f>
        <v/>
      </c>
      <c r="P719" s="20">
        <f>COUNTIFS(tData[SEHTrajectPeriodeDatumTijdVan],"&lt;="&amp;($A719+12/24),tData[SEHTrajectPeriodeDatumTijdTotEnMet],"&gt;"&amp;($A719+12/24),tData[Langligger01],1)</f>
        <v/>
      </c>
      <c r="Q719" s="20">
        <f>COUNTIFS(tData[SEHTrajectPeriodeDatumTijdVan],"&lt;="&amp;($A719+13/24),tData[SEHTrajectPeriodeDatumTijdTotEnMet],"&gt;"&amp;($A719+13/24),tData[Langligger01],1)</f>
        <v/>
      </c>
      <c r="R719" s="20">
        <f>COUNTIFS(tData[SEHTrajectPeriodeDatumTijdVan],"&lt;="&amp;($A719+14/24),tData[SEHTrajectPeriodeDatumTijdTotEnMet],"&gt;"&amp;($A719+14/24),tData[Langligger01],1)</f>
        <v/>
      </c>
      <c r="S719" s="20">
        <f>COUNTIFS(tData[SEHTrajectPeriodeDatumTijdVan],"&lt;="&amp;($A719+15/24),tData[SEHTrajectPeriodeDatumTijdTotEnMet],"&gt;"&amp;($A719+15/24),tData[Langligger01],1)</f>
        <v/>
      </c>
      <c r="T719" s="20">
        <f>COUNTIFS(tData[SEHTrajectPeriodeDatumTijdVan],"&lt;="&amp;($A719+16/24),tData[SEHTrajectPeriodeDatumTijdTotEnMet],"&gt;"&amp;($A719+16/24),tData[Langligger01],1)</f>
        <v/>
      </c>
      <c r="U719" s="20">
        <f>COUNTIFS(tData[SEHTrajectPeriodeDatumTijdVan],"&lt;="&amp;($A719+17/24),tData[SEHTrajectPeriodeDatumTijdTotEnMet],"&gt;"&amp;($A719+17/24),tData[Langligger01],1)</f>
        <v/>
      </c>
      <c r="V719" s="20">
        <f>COUNTIFS(tData[SEHTrajectPeriodeDatumTijdVan],"&lt;="&amp;($A719+18/24),tData[SEHTrajectPeriodeDatumTijdTotEnMet],"&gt;"&amp;($A719+18/24),tData[Langligger01],1)</f>
        <v/>
      </c>
      <c r="W719" s="20">
        <f>COUNTIFS(tData[SEHTrajectPeriodeDatumTijdVan],"&lt;="&amp;($A719+19/24),tData[SEHTrajectPeriodeDatumTijdTotEnMet],"&gt;"&amp;($A719+19/24),tData[Langligger01],1)</f>
        <v/>
      </c>
      <c r="X719" s="20">
        <f>COUNTIFS(tData[SEHTrajectPeriodeDatumTijdVan],"&lt;="&amp;($A719+20/24),tData[SEHTrajectPeriodeDatumTijdTotEnMet],"&gt;"&amp;($A719+20/24),tData[Langligger01],1)</f>
        <v/>
      </c>
      <c r="Y719" s="20">
        <f>COUNTIFS(tData[SEHTrajectPeriodeDatumTijdVan],"&lt;="&amp;($A719+21/24),tData[SEHTrajectPeriodeDatumTijdTotEnMet],"&gt;"&amp;($A719+21/24),tData[Langligger01],1)</f>
        <v/>
      </c>
      <c r="Z719" s="20">
        <f>COUNTIFS(tData[SEHTrajectPeriodeDatumTijdVan],"&lt;="&amp;($A719+22/24),tData[SEHTrajectPeriodeDatumTijdTotEnMet],"&gt;"&amp;($A719+22/24),tData[Langligger01],1)</f>
        <v/>
      </c>
      <c r="AA719" s="20">
        <f>COUNTIFS(tData[SEHTrajectPeriodeDatumTijdVan],"&lt;="&amp;($A719+23/24),tData[SEHTrajectPeriodeDatumTijdTotEnMet],"&gt;"&amp;($A719+23/24),tData[Langligger01],1)</f>
        <v/>
      </c>
    </row>
    <row r="720">
      <c r="A720" s="19" t="n">
        <v>46008</v>
      </c>
      <c r="B720" s="15">
        <f>WEEKDAY($A720,2)</f>
        <v/>
      </c>
      <c r="C720" s="15">
        <f>IF(AND($A720&gt;=INT(Instellingen!$B$5),$A720&lt;=INT(Instellingen!$B$6)),1,0)</f>
        <v/>
      </c>
      <c r="D720" s="20">
        <f>COUNTIFS(tData[SEHTrajectPeriodeDatumTijdVan],"&lt;="&amp;($A720+0/24),tData[SEHTrajectPeriodeDatumTijdTotEnMet],"&gt;"&amp;($A720+0/24),tData[Langligger01],1)</f>
        <v/>
      </c>
      <c r="E720" s="20">
        <f>COUNTIFS(tData[SEHTrajectPeriodeDatumTijdVan],"&lt;="&amp;($A720+1/24),tData[SEHTrajectPeriodeDatumTijdTotEnMet],"&gt;"&amp;($A720+1/24),tData[Langligger01],1)</f>
        <v/>
      </c>
      <c r="F720" s="20">
        <f>COUNTIFS(tData[SEHTrajectPeriodeDatumTijdVan],"&lt;="&amp;($A720+2/24),tData[SEHTrajectPeriodeDatumTijdTotEnMet],"&gt;"&amp;($A720+2/24),tData[Langligger01],1)</f>
        <v/>
      </c>
      <c r="G720" s="20">
        <f>COUNTIFS(tData[SEHTrajectPeriodeDatumTijdVan],"&lt;="&amp;($A720+3/24),tData[SEHTrajectPeriodeDatumTijdTotEnMet],"&gt;"&amp;($A720+3/24),tData[Langligger01],1)</f>
        <v/>
      </c>
      <c r="H720" s="20">
        <f>COUNTIFS(tData[SEHTrajectPeriodeDatumTijdVan],"&lt;="&amp;($A720+4/24),tData[SEHTrajectPeriodeDatumTijdTotEnMet],"&gt;"&amp;($A720+4/24),tData[Langligger01],1)</f>
        <v/>
      </c>
      <c r="I720" s="20">
        <f>COUNTIFS(tData[SEHTrajectPeriodeDatumTijdVan],"&lt;="&amp;($A720+5/24),tData[SEHTrajectPeriodeDatumTijdTotEnMet],"&gt;"&amp;($A720+5/24),tData[Langligger01],1)</f>
        <v/>
      </c>
      <c r="J720" s="20">
        <f>COUNTIFS(tData[SEHTrajectPeriodeDatumTijdVan],"&lt;="&amp;($A720+6/24),tData[SEHTrajectPeriodeDatumTijdTotEnMet],"&gt;"&amp;($A720+6/24),tData[Langligger01],1)</f>
        <v/>
      </c>
      <c r="K720" s="20">
        <f>COUNTIFS(tData[SEHTrajectPeriodeDatumTijdVan],"&lt;="&amp;($A720+7/24),tData[SEHTrajectPeriodeDatumTijdTotEnMet],"&gt;"&amp;($A720+7/24),tData[Langligger01],1)</f>
        <v/>
      </c>
      <c r="L720" s="20">
        <f>COUNTIFS(tData[SEHTrajectPeriodeDatumTijdVan],"&lt;="&amp;($A720+8/24),tData[SEHTrajectPeriodeDatumTijdTotEnMet],"&gt;"&amp;($A720+8/24),tData[Langligger01],1)</f>
        <v/>
      </c>
      <c r="M720" s="20">
        <f>COUNTIFS(tData[SEHTrajectPeriodeDatumTijdVan],"&lt;="&amp;($A720+9/24),tData[SEHTrajectPeriodeDatumTijdTotEnMet],"&gt;"&amp;($A720+9/24),tData[Langligger01],1)</f>
        <v/>
      </c>
      <c r="N720" s="20">
        <f>COUNTIFS(tData[SEHTrajectPeriodeDatumTijdVan],"&lt;="&amp;($A720+10/24),tData[SEHTrajectPeriodeDatumTijdTotEnMet],"&gt;"&amp;($A720+10/24),tData[Langligger01],1)</f>
        <v/>
      </c>
      <c r="O720" s="20">
        <f>COUNTIFS(tData[SEHTrajectPeriodeDatumTijdVan],"&lt;="&amp;($A720+11/24),tData[SEHTrajectPeriodeDatumTijdTotEnMet],"&gt;"&amp;($A720+11/24),tData[Langligger01],1)</f>
        <v/>
      </c>
      <c r="P720" s="20">
        <f>COUNTIFS(tData[SEHTrajectPeriodeDatumTijdVan],"&lt;="&amp;($A720+12/24),tData[SEHTrajectPeriodeDatumTijdTotEnMet],"&gt;"&amp;($A720+12/24),tData[Langligger01],1)</f>
        <v/>
      </c>
      <c r="Q720" s="20">
        <f>COUNTIFS(tData[SEHTrajectPeriodeDatumTijdVan],"&lt;="&amp;($A720+13/24),tData[SEHTrajectPeriodeDatumTijdTotEnMet],"&gt;"&amp;($A720+13/24),tData[Langligger01],1)</f>
        <v/>
      </c>
      <c r="R720" s="20">
        <f>COUNTIFS(tData[SEHTrajectPeriodeDatumTijdVan],"&lt;="&amp;($A720+14/24),tData[SEHTrajectPeriodeDatumTijdTotEnMet],"&gt;"&amp;($A720+14/24),tData[Langligger01],1)</f>
        <v/>
      </c>
      <c r="S720" s="20">
        <f>COUNTIFS(tData[SEHTrajectPeriodeDatumTijdVan],"&lt;="&amp;($A720+15/24),tData[SEHTrajectPeriodeDatumTijdTotEnMet],"&gt;"&amp;($A720+15/24),tData[Langligger01],1)</f>
        <v/>
      </c>
      <c r="T720" s="20">
        <f>COUNTIFS(tData[SEHTrajectPeriodeDatumTijdVan],"&lt;="&amp;($A720+16/24),tData[SEHTrajectPeriodeDatumTijdTotEnMet],"&gt;"&amp;($A720+16/24),tData[Langligger01],1)</f>
        <v/>
      </c>
      <c r="U720" s="20">
        <f>COUNTIFS(tData[SEHTrajectPeriodeDatumTijdVan],"&lt;="&amp;($A720+17/24),tData[SEHTrajectPeriodeDatumTijdTotEnMet],"&gt;"&amp;($A720+17/24),tData[Langligger01],1)</f>
        <v/>
      </c>
      <c r="V720" s="20">
        <f>COUNTIFS(tData[SEHTrajectPeriodeDatumTijdVan],"&lt;="&amp;($A720+18/24),tData[SEHTrajectPeriodeDatumTijdTotEnMet],"&gt;"&amp;($A720+18/24),tData[Langligger01],1)</f>
        <v/>
      </c>
      <c r="W720" s="20">
        <f>COUNTIFS(tData[SEHTrajectPeriodeDatumTijdVan],"&lt;="&amp;($A720+19/24),tData[SEHTrajectPeriodeDatumTijdTotEnMet],"&gt;"&amp;($A720+19/24),tData[Langligger01],1)</f>
        <v/>
      </c>
      <c r="X720" s="20">
        <f>COUNTIFS(tData[SEHTrajectPeriodeDatumTijdVan],"&lt;="&amp;($A720+20/24),tData[SEHTrajectPeriodeDatumTijdTotEnMet],"&gt;"&amp;($A720+20/24),tData[Langligger01],1)</f>
        <v/>
      </c>
      <c r="Y720" s="20">
        <f>COUNTIFS(tData[SEHTrajectPeriodeDatumTijdVan],"&lt;="&amp;($A720+21/24),tData[SEHTrajectPeriodeDatumTijdTotEnMet],"&gt;"&amp;($A720+21/24),tData[Langligger01],1)</f>
        <v/>
      </c>
      <c r="Z720" s="20">
        <f>COUNTIFS(tData[SEHTrajectPeriodeDatumTijdVan],"&lt;="&amp;($A720+22/24),tData[SEHTrajectPeriodeDatumTijdTotEnMet],"&gt;"&amp;($A720+22/24),tData[Langligger01],1)</f>
        <v/>
      </c>
      <c r="AA720" s="20">
        <f>COUNTIFS(tData[SEHTrajectPeriodeDatumTijdVan],"&lt;="&amp;($A720+23/24),tData[SEHTrajectPeriodeDatumTijdTotEnMet],"&gt;"&amp;($A720+23/24),tData[Langligger01],1)</f>
        <v/>
      </c>
    </row>
    <row r="721">
      <c r="A721" s="19" t="n">
        <v>46009</v>
      </c>
      <c r="B721" s="15">
        <f>WEEKDAY($A721,2)</f>
        <v/>
      </c>
      <c r="C721" s="15">
        <f>IF(AND($A721&gt;=INT(Instellingen!$B$5),$A721&lt;=INT(Instellingen!$B$6)),1,0)</f>
        <v/>
      </c>
      <c r="D721" s="20">
        <f>COUNTIFS(tData[SEHTrajectPeriodeDatumTijdVan],"&lt;="&amp;($A721+0/24),tData[SEHTrajectPeriodeDatumTijdTotEnMet],"&gt;"&amp;($A721+0/24),tData[Langligger01],1)</f>
        <v/>
      </c>
      <c r="E721" s="20">
        <f>COUNTIFS(tData[SEHTrajectPeriodeDatumTijdVan],"&lt;="&amp;($A721+1/24),tData[SEHTrajectPeriodeDatumTijdTotEnMet],"&gt;"&amp;($A721+1/24),tData[Langligger01],1)</f>
        <v/>
      </c>
      <c r="F721" s="20">
        <f>COUNTIFS(tData[SEHTrajectPeriodeDatumTijdVan],"&lt;="&amp;($A721+2/24),tData[SEHTrajectPeriodeDatumTijdTotEnMet],"&gt;"&amp;($A721+2/24),tData[Langligger01],1)</f>
        <v/>
      </c>
      <c r="G721" s="20">
        <f>COUNTIFS(tData[SEHTrajectPeriodeDatumTijdVan],"&lt;="&amp;($A721+3/24),tData[SEHTrajectPeriodeDatumTijdTotEnMet],"&gt;"&amp;($A721+3/24),tData[Langligger01],1)</f>
        <v/>
      </c>
      <c r="H721" s="20">
        <f>COUNTIFS(tData[SEHTrajectPeriodeDatumTijdVan],"&lt;="&amp;($A721+4/24),tData[SEHTrajectPeriodeDatumTijdTotEnMet],"&gt;"&amp;($A721+4/24),tData[Langligger01],1)</f>
        <v/>
      </c>
      <c r="I721" s="20">
        <f>COUNTIFS(tData[SEHTrajectPeriodeDatumTijdVan],"&lt;="&amp;($A721+5/24),tData[SEHTrajectPeriodeDatumTijdTotEnMet],"&gt;"&amp;($A721+5/24),tData[Langligger01],1)</f>
        <v/>
      </c>
      <c r="J721" s="20">
        <f>COUNTIFS(tData[SEHTrajectPeriodeDatumTijdVan],"&lt;="&amp;($A721+6/24),tData[SEHTrajectPeriodeDatumTijdTotEnMet],"&gt;"&amp;($A721+6/24),tData[Langligger01],1)</f>
        <v/>
      </c>
      <c r="K721" s="20">
        <f>COUNTIFS(tData[SEHTrajectPeriodeDatumTijdVan],"&lt;="&amp;($A721+7/24),tData[SEHTrajectPeriodeDatumTijdTotEnMet],"&gt;"&amp;($A721+7/24),tData[Langligger01],1)</f>
        <v/>
      </c>
      <c r="L721" s="20">
        <f>COUNTIFS(tData[SEHTrajectPeriodeDatumTijdVan],"&lt;="&amp;($A721+8/24),tData[SEHTrajectPeriodeDatumTijdTotEnMet],"&gt;"&amp;($A721+8/24),tData[Langligger01],1)</f>
        <v/>
      </c>
      <c r="M721" s="20">
        <f>COUNTIFS(tData[SEHTrajectPeriodeDatumTijdVan],"&lt;="&amp;($A721+9/24),tData[SEHTrajectPeriodeDatumTijdTotEnMet],"&gt;"&amp;($A721+9/24),tData[Langligger01],1)</f>
        <v/>
      </c>
      <c r="N721" s="20">
        <f>COUNTIFS(tData[SEHTrajectPeriodeDatumTijdVan],"&lt;="&amp;($A721+10/24),tData[SEHTrajectPeriodeDatumTijdTotEnMet],"&gt;"&amp;($A721+10/24),tData[Langligger01],1)</f>
        <v/>
      </c>
      <c r="O721" s="20">
        <f>COUNTIFS(tData[SEHTrajectPeriodeDatumTijdVan],"&lt;="&amp;($A721+11/24),tData[SEHTrajectPeriodeDatumTijdTotEnMet],"&gt;"&amp;($A721+11/24),tData[Langligger01],1)</f>
        <v/>
      </c>
      <c r="P721" s="20">
        <f>COUNTIFS(tData[SEHTrajectPeriodeDatumTijdVan],"&lt;="&amp;($A721+12/24),tData[SEHTrajectPeriodeDatumTijdTotEnMet],"&gt;"&amp;($A721+12/24),tData[Langligger01],1)</f>
        <v/>
      </c>
      <c r="Q721" s="20">
        <f>COUNTIFS(tData[SEHTrajectPeriodeDatumTijdVan],"&lt;="&amp;($A721+13/24),tData[SEHTrajectPeriodeDatumTijdTotEnMet],"&gt;"&amp;($A721+13/24),tData[Langligger01],1)</f>
        <v/>
      </c>
      <c r="R721" s="20">
        <f>COUNTIFS(tData[SEHTrajectPeriodeDatumTijdVan],"&lt;="&amp;($A721+14/24),tData[SEHTrajectPeriodeDatumTijdTotEnMet],"&gt;"&amp;($A721+14/24),tData[Langligger01],1)</f>
        <v/>
      </c>
      <c r="S721" s="20">
        <f>COUNTIFS(tData[SEHTrajectPeriodeDatumTijdVan],"&lt;="&amp;($A721+15/24),tData[SEHTrajectPeriodeDatumTijdTotEnMet],"&gt;"&amp;($A721+15/24),tData[Langligger01],1)</f>
        <v/>
      </c>
      <c r="T721" s="20">
        <f>COUNTIFS(tData[SEHTrajectPeriodeDatumTijdVan],"&lt;="&amp;($A721+16/24),tData[SEHTrajectPeriodeDatumTijdTotEnMet],"&gt;"&amp;($A721+16/24),tData[Langligger01],1)</f>
        <v/>
      </c>
      <c r="U721" s="20">
        <f>COUNTIFS(tData[SEHTrajectPeriodeDatumTijdVan],"&lt;="&amp;($A721+17/24),tData[SEHTrajectPeriodeDatumTijdTotEnMet],"&gt;"&amp;($A721+17/24),tData[Langligger01],1)</f>
        <v/>
      </c>
      <c r="V721" s="20">
        <f>COUNTIFS(tData[SEHTrajectPeriodeDatumTijdVan],"&lt;="&amp;($A721+18/24),tData[SEHTrajectPeriodeDatumTijdTotEnMet],"&gt;"&amp;($A721+18/24),tData[Langligger01],1)</f>
        <v/>
      </c>
      <c r="W721" s="20">
        <f>COUNTIFS(tData[SEHTrajectPeriodeDatumTijdVan],"&lt;="&amp;($A721+19/24),tData[SEHTrajectPeriodeDatumTijdTotEnMet],"&gt;"&amp;($A721+19/24),tData[Langligger01],1)</f>
        <v/>
      </c>
      <c r="X721" s="20">
        <f>COUNTIFS(tData[SEHTrajectPeriodeDatumTijdVan],"&lt;="&amp;($A721+20/24),tData[SEHTrajectPeriodeDatumTijdTotEnMet],"&gt;"&amp;($A721+20/24),tData[Langligger01],1)</f>
        <v/>
      </c>
      <c r="Y721" s="20">
        <f>COUNTIFS(tData[SEHTrajectPeriodeDatumTijdVan],"&lt;="&amp;($A721+21/24),tData[SEHTrajectPeriodeDatumTijdTotEnMet],"&gt;"&amp;($A721+21/24),tData[Langligger01],1)</f>
        <v/>
      </c>
      <c r="Z721" s="20">
        <f>COUNTIFS(tData[SEHTrajectPeriodeDatumTijdVan],"&lt;="&amp;($A721+22/24),tData[SEHTrajectPeriodeDatumTijdTotEnMet],"&gt;"&amp;($A721+22/24),tData[Langligger01],1)</f>
        <v/>
      </c>
      <c r="AA721" s="20">
        <f>COUNTIFS(tData[SEHTrajectPeriodeDatumTijdVan],"&lt;="&amp;($A721+23/24),tData[SEHTrajectPeriodeDatumTijdTotEnMet],"&gt;"&amp;($A721+23/24),tData[Langligger01],1)</f>
        <v/>
      </c>
    </row>
    <row r="722">
      <c r="A722" s="19" t="n">
        <v>46010</v>
      </c>
      <c r="B722" s="15">
        <f>WEEKDAY($A722,2)</f>
        <v/>
      </c>
      <c r="C722" s="15">
        <f>IF(AND($A722&gt;=INT(Instellingen!$B$5),$A722&lt;=INT(Instellingen!$B$6)),1,0)</f>
        <v/>
      </c>
      <c r="D722" s="20">
        <f>COUNTIFS(tData[SEHTrajectPeriodeDatumTijdVan],"&lt;="&amp;($A722+0/24),tData[SEHTrajectPeriodeDatumTijdTotEnMet],"&gt;"&amp;($A722+0/24),tData[Langligger01],1)</f>
        <v/>
      </c>
      <c r="E722" s="20">
        <f>COUNTIFS(tData[SEHTrajectPeriodeDatumTijdVan],"&lt;="&amp;($A722+1/24),tData[SEHTrajectPeriodeDatumTijdTotEnMet],"&gt;"&amp;($A722+1/24),tData[Langligger01],1)</f>
        <v/>
      </c>
      <c r="F722" s="20">
        <f>COUNTIFS(tData[SEHTrajectPeriodeDatumTijdVan],"&lt;="&amp;($A722+2/24),tData[SEHTrajectPeriodeDatumTijdTotEnMet],"&gt;"&amp;($A722+2/24),tData[Langligger01],1)</f>
        <v/>
      </c>
      <c r="G722" s="20">
        <f>COUNTIFS(tData[SEHTrajectPeriodeDatumTijdVan],"&lt;="&amp;($A722+3/24),tData[SEHTrajectPeriodeDatumTijdTotEnMet],"&gt;"&amp;($A722+3/24),tData[Langligger01],1)</f>
        <v/>
      </c>
      <c r="H722" s="20">
        <f>COUNTIFS(tData[SEHTrajectPeriodeDatumTijdVan],"&lt;="&amp;($A722+4/24),tData[SEHTrajectPeriodeDatumTijdTotEnMet],"&gt;"&amp;($A722+4/24),tData[Langligger01],1)</f>
        <v/>
      </c>
      <c r="I722" s="20">
        <f>COUNTIFS(tData[SEHTrajectPeriodeDatumTijdVan],"&lt;="&amp;($A722+5/24),tData[SEHTrajectPeriodeDatumTijdTotEnMet],"&gt;"&amp;($A722+5/24),tData[Langligger01],1)</f>
        <v/>
      </c>
      <c r="J722" s="20">
        <f>COUNTIFS(tData[SEHTrajectPeriodeDatumTijdVan],"&lt;="&amp;($A722+6/24),tData[SEHTrajectPeriodeDatumTijdTotEnMet],"&gt;"&amp;($A722+6/24),tData[Langligger01],1)</f>
        <v/>
      </c>
      <c r="K722" s="20">
        <f>COUNTIFS(tData[SEHTrajectPeriodeDatumTijdVan],"&lt;="&amp;($A722+7/24),tData[SEHTrajectPeriodeDatumTijdTotEnMet],"&gt;"&amp;($A722+7/24),tData[Langligger01],1)</f>
        <v/>
      </c>
      <c r="L722" s="20">
        <f>COUNTIFS(tData[SEHTrajectPeriodeDatumTijdVan],"&lt;="&amp;($A722+8/24),tData[SEHTrajectPeriodeDatumTijdTotEnMet],"&gt;"&amp;($A722+8/24),tData[Langligger01],1)</f>
        <v/>
      </c>
      <c r="M722" s="20">
        <f>COUNTIFS(tData[SEHTrajectPeriodeDatumTijdVan],"&lt;="&amp;($A722+9/24),tData[SEHTrajectPeriodeDatumTijdTotEnMet],"&gt;"&amp;($A722+9/24),tData[Langligger01],1)</f>
        <v/>
      </c>
      <c r="N722" s="20">
        <f>COUNTIFS(tData[SEHTrajectPeriodeDatumTijdVan],"&lt;="&amp;($A722+10/24),tData[SEHTrajectPeriodeDatumTijdTotEnMet],"&gt;"&amp;($A722+10/24),tData[Langligger01],1)</f>
        <v/>
      </c>
      <c r="O722" s="20">
        <f>COUNTIFS(tData[SEHTrajectPeriodeDatumTijdVan],"&lt;="&amp;($A722+11/24),tData[SEHTrajectPeriodeDatumTijdTotEnMet],"&gt;"&amp;($A722+11/24),tData[Langligger01],1)</f>
        <v/>
      </c>
      <c r="P722" s="20">
        <f>COUNTIFS(tData[SEHTrajectPeriodeDatumTijdVan],"&lt;="&amp;($A722+12/24),tData[SEHTrajectPeriodeDatumTijdTotEnMet],"&gt;"&amp;($A722+12/24),tData[Langligger01],1)</f>
        <v/>
      </c>
      <c r="Q722" s="20">
        <f>COUNTIFS(tData[SEHTrajectPeriodeDatumTijdVan],"&lt;="&amp;($A722+13/24),tData[SEHTrajectPeriodeDatumTijdTotEnMet],"&gt;"&amp;($A722+13/24),tData[Langligger01],1)</f>
        <v/>
      </c>
      <c r="R722" s="20">
        <f>COUNTIFS(tData[SEHTrajectPeriodeDatumTijdVan],"&lt;="&amp;($A722+14/24),tData[SEHTrajectPeriodeDatumTijdTotEnMet],"&gt;"&amp;($A722+14/24),tData[Langligger01],1)</f>
        <v/>
      </c>
      <c r="S722" s="20">
        <f>COUNTIFS(tData[SEHTrajectPeriodeDatumTijdVan],"&lt;="&amp;($A722+15/24),tData[SEHTrajectPeriodeDatumTijdTotEnMet],"&gt;"&amp;($A722+15/24),tData[Langligger01],1)</f>
        <v/>
      </c>
      <c r="T722" s="20">
        <f>COUNTIFS(tData[SEHTrajectPeriodeDatumTijdVan],"&lt;="&amp;($A722+16/24),tData[SEHTrajectPeriodeDatumTijdTotEnMet],"&gt;"&amp;($A722+16/24),tData[Langligger01],1)</f>
        <v/>
      </c>
      <c r="U722" s="20">
        <f>COUNTIFS(tData[SEHTrajectPeriodeDatumTijdVan],"&lt;="&amp;($A722+17/24),tData[SEHTrajectPeriodeDatumTijdTotEnMet],"&gt;"&amp;($A722+17/24),tData[Langligger01],1)</f>
        <v/>
      </c>
      <c r="V722" s="20">
        <f>COUNTIFS(tData[SEHTrajectPeriodeDatumTijdVan],"&lt;="&amp;($A722+18/24),tData[SEHTrajectPeriodeDatumTijdTotEnMet],"&gt;"&amp;($A722+18/24),tData[Langligger01],1)</f>
        <v/>
      </c>
      <c r="W722" s="20">
        <f>COUNTIFS(tData[SEHTrajectPeriodeDatumTijdVan],"&lt;="&amp;($A722+19/24),tData[SEHTrajectPeriodeDatumTijdTotEnMet],"&gt;"&amp;($A722+19/24),tData[Langligger01],1)</f>
        <v/>
      </c>
      <c r="X722" s="20">
        <f>COUNTIFS(tData[SEHTrajectPeriodeDatumTijdVan],"&lt;="&amp;($A722+20/24),tData[SEHTrajectPeriodeDatumTijdTotEnMet],"&gt;"&amp;($A722+20/24),tData[Langligger01],1)</f>
        <v/>
      </c>
      <c r="Y722" s="20">
        <f>COUNTIFS(tData[SEHTrajectPeriodeDatumTijdVan],"&lt;="&amp;($A722+21/24),tData[SEHTrajectPeriodeDatumTijdTotEnMet],"&gt;"&amp;($A722+21/24),tData[Langligger01],1)</f>
        <v/>
      </c>
      <c r="Z722" s="20">
        <f>COUNTIFS(tData[SEHTrajectPeriodeDatumTijdVan],"&lt;="&amp;($A722+22/24),tData[SEHTrajectPeriodeDatumTijdTotEnMet],"&gt;"&amp;($A722+22/24),tData[Langligger01],1)</f>
        <v/>
      </c>
      <c r="AA722" s="20">
        <f>COUNTIFS(tData[SEHTrajectPeriodeDatumTijdVan],"&lt;="&amp;($A722+23/24),tData[SEHTrajectPeriodeDatumTijdTotEnMet],"&gt;"&amp;($A722+23/24),tData[Langligger01],1)</f>
        <v/>
      </c>
    </row>
    <row r="723">
      <c r="A723" s="19" t="n">
        <v>46011</v>
      </c>
      <c r="B723" s="15">
        <f>WEEKDAY($A723,2)</f>
        <v/>
      </c>
      <c r="C723" s="15">
        <f>IF(AND($A723&gt;=INT(Instellingen!$B$5),$A723&lt;=INT(Instellingen!$B$6)),1,0)</f>
        <v/>
      </c>
      <c r="D723" s="20">
        <f>COUNTIFS(tData[SEHTrajectPeriodeDatumTijdVan],"&lt;="&amp;($A723+0/24),tData[SEHTrajectPeriodeDatumTijdTotEnMet],"&gt;"&amp;($A723+0/24),tData[Langligger01],1)</f>
        <v/>
      </c>
      <c r="E723" s="20">
        <f>COUNTIFS(tData[SEHTrajectPeriodeDatumTijdVan],"&lt;="&amp;($A723+1/24),tData[SEHTrajectPeriodeDatumTijdTotEnMet],"&gt;"&amp;($A723+1/24),tData[Langligger01],1)</f>
        <v/>
      </c>
      <c r="F723" s="20">
        <f>COUNTIFS(tData[SEHTrajectPeriodeDatumTijdVan],"&lt;="&amp;($A723+2/24),tData[SEHTrajectPeriodeDatumTijdTotEnMet],"&gt;"&amp;($A723+2/24),tData[Langligger01],1)</f>
        <v/>
      </c>
      <c r="G723" s="20">
        <f>COUNTIFS(tData[SEHTrajectPeriodeDatumTijdVan],"&lt;="&amp;($A723+3/24),tData[SEHTrajectPeriodeDatumTijdTotEnMet],"&gt;"&amp;($A723+3/24),tData[Langligger01],1)</f>
        <v/>
      </c>
      <c r="H723" s="20">
        <f>COUNTIFS(tData[SEHTrajectPeriodeDatumTijdVan],"&lt;="&amp;($A723+4/24),tData[SEHTrajectPeriodeDatumTijdTotEnMet],"&gt;"&amp;($A723+4/24),tData[Langligger01],1)</f>
        <v/>
      </c>
      <c r="I723" s="20">
        <f>COUNTIFS(tData[SEHTrajectPeriodeDatumTijdVan],"&lt;="&amp;($A723+5/24),tData[SEHTrajectPeriodeDatumTijdTotEnMet],"&gt;"&amp;($A723+5/24),tData[Langligger01],1)</f>
        <v/>
      </c>
      <c r="J723" s="20">
        <f>COUNTIFS(tData[SEHTrajectPeriodeDatumTijdVan],"&lt;="&amp;($A723+6/24),tData[SEHTrajectPeriodeDatumTijdTotEnMet],"&gt;"&amp;($A723+6/24),tData[Langligger01],1)</f>
        <v/>
      </c>
      <c r="K723" s="20">
        <f>COUNTIFS(tData[SEHTrajectPeriodeDatumTijdVan],"&lt;="&amp;($A723+7/24),tData[SEHTrajectPeriodeDatumTijdTotEnMet],"&gt;"&amp;($A723+7/24),tData[Langligger01],1)</f>
        <v/>
      </c>
      <c r="L723" s="20">
        <f>COUNTIFS(tData[SEHTrajectPeriodeDatumTijdVan],"&lt;="&amp;($A723+8/24),tData[SEHTrajectPeriodeDatumTijdTotEnMet],"&gt;"&amp;($A723+8/24),tData[Langligger01],1)</f>
        <v/>
      </c>
      <c r="M723" s="20">
        <f>COUNTIFS(tData[SEHTrajectPeriodeDatumTijdVan],"&lt;="&amp;($A723+9/24),tData[SEHTrajectPeriodeDatumTijdTotEnMet],"&gt;"&amp;($A723+9/24),tData[Langligger01],1)</f>
        <v/>
      </c>
      <c r="N723" s="20">
        <f>COUNTIFS(tData[SEHTrajectPeriodeDatumTijdVan],"&lt;="&amp;($A723+10/24),tData[SEHTrajectPeriodeDatumTijdTotEnMet],"&gt;"&amp;($A723+10/24),tData[Langligger01],1)</f>
        <v/>
      </c>
      <c r="O723" s="20">
        <f>COUNTIFS(tData[SEHTrajectPeriodeDatumTijdVan],"&lt;="&amp;($A723+11/24),tData[SEHTrajectPeriodeDatumTijdTotEnMet],"&gt;"&amp;($A723+11/24),tData[Langligger01],1)</f>
        <v/>
      </c>
      <c r="P723" s="20">
        <f>COUNTIFS(tData[SEHTrajectPeriodeDatumTijdVan],"&lt;="&amp;($A723+12/24),tData[SEHTrajectPeriodeDatumTijdTotEnMet],"&gt;"&amp;($A723+12/24),tData[Langligger01],1)</f>
        <v/>
      </c>
      <c r="Q723" s="20">
        <f>COUNTIFS(tData[SEHTrajectPeriodeDatumTijdVan],"&lt;="&amp;($A723+13/24),tData[SEHTrajectPeriodeDatumTijdTotEnMet],"&gt;"&amp;($A723+13/24),tData[Langligger01],1)</f>
        <v/>
      </c>
      <c r="R723" s="20">
        <f>COUNTIFS(tData[SEHTrajectPeriodeDatumTijdVan],"&lt;="&amp;($A723+14/24),tData[SEHTrajectPeriodeDatumTijdTotEnMet],"&gt;"&amp;($A723+14/24),tData[Langligger01],1)</f>
        <v/>
      </c>
      <c r="S723" s="20">
        <f>COUNTIFS(tData[SEHTrajectPeriodeDatumTijdVan],"&lt;="&amp;($A723+15/24),tData[SEHTrajectPeriodeDatumTijdTotEnMet],"&gt;"&amp;($A723+15/24),tData[Langligger01],1)</f>
        <v/>
      </c>
      <c r="T723" s="20">
        <f>COUNTIFS(tData[SEHTrajectPeriodeDatumTijdVan],"&lt;="&amp;($A723+16/24),tData[SEHTrajectPeriodeDatumTijdTotEnMet],"&gt;"&amp;($A723+16/24),tData[Langligger01],1)</f>
        <v/>
      </c>
      <c r="U723" s="20">
        <f>COUNTIFS(tData[SEHTrajectPeriodeDatumTijdVan],"&lt;="&amp;($A723+17/24),tData[SEHTrajectPeriodeDatumTijdTotEnMet],"&gt;"&amp;($A723+17/24),tData[Langligger01],1)</f>
        <v/>
      </c>
      <c r="V723" s="20">
        <f>COUNTIFS(tData[SEHTrajectPeriodeDatumTijdVan],"&lt;="&amp;($A723+18/24),tData[SEHTrajectPeriodeDatumTijdTotEnMet],"&gt;"&amp;($A723+18/24),tData[Langligger01],1)</f>
        <v/>
      </c>
      <c r="W723" s="20">
        <f>COUNTIFS(tData[SEHTrajectPeriodeDatumTijdVan],"&lt;="&amp;($A723+19/24),tData[SEHTrajectPeriodeDatumTijdTotEnMet],"&gt;"&amp;($A723+19/24),tData[Langligger01],1)</f>
        <v/>
      </c>
      <c r="X723" s="20">
        <f>COUNTIFS(tData[SEHTrajectPeriodeDatumTijdVan],"&lt;="&amp;($A723+20/24),tData[SEHTrajectPeriodeDatumTijdTotEnMet],"&gt;"&amp;($A723+20/24),tData[Langligger01],1)</f>
        <v/>
      </c>
      <c r="Y723" s="20">
        <f>COUNTIFS(tData[SEHTrajectPeriodeDatumTijdVan],"&lt;="&amp;($A723+21/24),tData[SEHTrajectPeriodeDatumTijdTotEnMet],"&gt;"&amp;($A723+21/24),tData[Langligger01],1)</f>
        <v/>
      </c>
      <c r="Z723" s="20">
        <f>COUNTIFS(tData[SEHTrajectPeriodeDatumTijdVan],"&lt;="&amp;($A723+22/24),tData[SEHTrajectPeriodeDatumTijdTotEnMet],"&gt;"&amp;($A723+22/24),tData[Langligger01],1)</f>
        <v/>
      </c>
      <c r="AA723" s="20">
        <f>COUNTIFS(tData[SEHTrajectPeriodeDatumTijdVan],"&lt;="&amp;($A723+23/24),tData[SEHTrajectPeriodeDatumTijdTotEnMet],"&gt;"&amp;($A723+23/24),tData[Langligger01],1)</f>
        <v/>
      </c>
    </row>
    <row r="724">
      <c r="A724" s="19" t="n">
        <v>46012</v>
      </c>
      <c r="B724" s="15">
        <f>WEEKDAY($A724,2)</f>
        <v/>
      </c>
      <c r="C724" s="15">
        <f>IF(AND($A724&gt;=INT(Instellingen!$B$5),$A724&lt;=INT(Instellingen!$B$6)),1,0)</f>
        <v/>
      </c>
      <c r="D724" s="20">
        <f>COUNTIFS(tData[SEHTrajectPeriodeDatumTijdVan],"&lt;="&amp;($A724+0/24),tData[SEHTrajectPeriodeDatumTijdTotEnMet],"&gt;"&amp;($A724+0/24),tData[Langligger01],1)</f>
        <v/>
      </c>
      <c r="E724" s="20">
        <f>COUNTIFS(tData[SEHTrajectPeriodeDatumTijdVan],"&lt;="&amp;($A724+1/24),tData[SEHTrajectPeriodeDatumTijdTotEnMet],"&gt;"&amp;($A724+1/24),tData[Langligger01],1)</f>
        <v/>
      </c>
      <c r="F724" s="20">
        <f>COUNTIFS(tData[SEHTrajectPeriodeDatumTijdVan],"&lt;="&amp;($A724+2/24),tData[SEHTrajectPeriodeDatumTijdTotEnMet],"&gt;"&amp;($A724+2/24),tData[Langligger01],1)</f>
        <v/>
      </c>
      <c r="G724" s="20">
        <f>COUNTIFS(tData[SEHTrajectPeriodeDatumTijdVan],"&lt;="&amp;($A724+3/24),tData[SEHTrajectPeriodeDatumTijdTotEnMet],"&gt;"&amp;($A724+3/24),tData[Langligger01],1)</f>
        <v/>
      </c>
      <c r="H724" s="20">
        <f>COUNTIFS(tData[SEHTrajectPeriodeDatumTijdVan],"&lt;="&amp;($A724+4/24),tData[SEHTrajectPeriodeDatumTijdTotEnMet],"&gt;"&amp;($A724+4/24),tData[Langligger01],1)</f>
        <v/>
      </c>
      <c r="I724" s="20">
        <f>COUNTIFS(tData[SEHTrajectPeriodeDatumTijdVan],"&lt;="&amp;($A724+5/24),tData[SEHTrajectPeriodeDatumTijdTotEnMet],"&gt;"&amp;($A724+5/24),tData[Langligger01],1)</f>
        <v/>
      </c>
      <c r="J724" s="20">
        <f>COUNTIFS(tData[SEHTrajectPeriodeDatumTijdVan],"&lt;="&amp;($A724+6/24),tData[SEHTrajectPeriodeDatumTijdTotEnMet],"&gt;"&amp;($A724+6/24),tData[Langligger01],1)</f>
        <v/>
      </c>
      <c r="K724" s="20">
        <f>COUNTIFS(tData[SEHTrajectPeriodeDatumTijdVan],"&lt;="&amp;($A724+7/24),tData[SEHTrajectPeriodeDatumTijdTotEnMet],"&gt;"&amp;($A724+7/24),tData[Langligger01],1)</f>
        <v/>
      </c>
      <c r="L724" s="20">
        <f>COUNTIFS(tData[SEHTrajectPeriodeDatumTijdVan],"&lt;="&amp;($A724+8/24),tData[SEHTrajectPeriodeDatumTijdTotEnMet],"&gt;"&amp;($A724+8/24),tData[Langligger01],1)</f>
        <v/>
      </c>
      <c r="M724" s="20">
        <f>COUNTIFS(tData[SEHTrajectPeriodeDatumTijdVan],"&lt;="&amp;($A724+9/24),tData[SEHTrajectPeriodeDatumTijdTotEnMet],"&gt;"&amp;($A724+9/24),tData[Langligger01],1)</f>
        <v/>
      </c>
      <c r="N724" s="20">
        <f>COUNTIFS(tData[SEHTrajectPeriodeDatumTijdVan],"&lt;="&amp;($A724+10/24),tData[SEHTrajectPeriodeDatumTijdTotEnMet],"&gt;"&amp;($A724+10/24),tData[Langligger01],1)</f>
        <v/>
      </c>
      <c r="O724" s="20">
        <f>COUNTIFS(tData[SEHTrajectPeriodeDatumTijdVan],"&lt;="&amp;($A724+11/24),tData[SEHTrajectPeriodeDatumTijdTotEnMet],"&gt;"&amp;($A724+11/24),tData[Langligger01],1)</f>
        <v/>
      </c>
      <c r="P724" s="20">
        <f>COUNTIFS(tData[SEHTrajectPeriodeDatumTijdVan],"&lt;="&amp;($A724+12/24),tData[SEHTrajectPeriodeDatumTijdTotEnMet],"&gt;"&amp;($A724+12/24),tData[Langligger01],1)</f>
        <v/>
      </c>
      <c r="Q724" s="20">
        <f>COUNTIFS(tData[SEHTrajectPeriodeDatumTijdVan],"&lt;="&amp;($A724+13/24),tData[SEHTrajectPeriodeDatumTijdTotEnMet],"&gt;"&amp;($A724+13/24),tData[Langligger01],1)</f>
        <v/>
      </c>
      <c r="R724" s="20">
        <f>COUNTIFS(tData[SEHTrajectPeriodeDatumTijdVan],"&lt;="&amp;($A724+14/24),tData[SEHTrajectPeriodeDatumTijdTotEnMet],"&gt;"&amp;($A724+14/24),tData[Langligger01],1)</f>
        <v/>
      </c>
      <c r="S724" s="20">
        <f>COUNTIFS(tData[SEHTrajectPeriodeDatumTijdVan],"&lt;="&amp;($A724+15/24),tData[SEHTrajectPeriodeDatumTijdTotEnMet],"&gt;"&amp;($A724+15/24),tData[Langligger01],1)</f>
        <v/>
      </c>
      <c r="T724" s="20">
        <f>COUNTIFS(tData[SEHTrajectPeriodeDatumTijdVan],"&lt;="&amp;($A724+16/24),tData[SEHTrajectPeriodeDatumTijdTotEnMet],"&gt;"&amp;($A724+16/24),tData[Langligger01],1)</f>
        <v/>
      </c>
      <c r="U724" s="20">
        <f>COUNTIFS(tData[SEHTrajectPeriodeDatumTijdVan],"&lt;="&amp;($A724+17/24),tData[SEHTrajectPeriodeDatumTijdTotEnMet],"&gt;"&amp;($A724+17/24),tData[Langligger01],1)</f>
        <v/>
      </c>
      <c r="V724" s="20">
        <f>COUNTIFS(tData[SEHTrajectPeriodeDatumTijdVan],"&lt;="&amp;($A724+18/24),tData[SEHTrajectPeriodeDatumTijdTotEnMet],"&gt;"&amp;($A724+18/24),tData[Langligger01],1)</f>
        <v/>
      </c>
      <c r="W724" s="20">
        <f>COUNTIFS(tData[SEHTrajectPeriodeDatumTijdVan],"&lt;="&amp;($A724+19/24),tData[SEHTrajectPeriodeDatumTijdTotEnMet],"&gt;"&amp;($A724+19/24),tData[Langligger01],1)</f>
        <v/>
      </c>
      <c r="X724" s="20">
        <f>COUNTIFS(tData[SEHTrajectPeriodeDatumTijdVan],"&lt;="&amp;($A724+20/24),tData[SEHTrajectPeriodeDatumTijdTotEnMet],"&gt;"&amp;($A724+20/24),tData[Langligger01],1)</f>
        <v/>
      </c>
      <c r="Y724" s="20">
        <f>COUNTIFS(tData[SEHTrajectPeriodeDatumTijdVan],"&lt;="&amp;($A724+21/24),tData[SEHTrajectPeriodeDatumTijdTotEnMet],"&gt;"&amp;($A724+21/24),tData[Langligger01],1)</f>
        <v/>
      </c>
      <c r="Z724" s="20">
        <f>COUNTIFS(tData[SEHTrajectPeriodeDatumTijdVan],"&lt;="&amp;($A724+22/24),tData[SEHTrajectPeriodeDatumTijdTotEnMet],"&gt;"&amp;($A724+22/24),tData[Langligger01],1)</f>
        <v/>
      </c>
      <c r="AA724" s="20">
        <f>COUNTIFS(tData[SEHTrajectPeriodeDatumTijdVan],"&lt;="&amp;($A724+23/24),tData[SEHTrajectPeriodeDatumTijdTotEnMet],"&gt;"&amp;($A724+23/24),tData[Langligger01],1)</f>
        <v/>
      </c>
    </row>
    <row r="725">
      <c r="A725" s="19" t="n">
        <v>46013</v>
      </c>
      <c r="B725" s="15">
        <f>WEEKDAY($A725,2)</f>
        <v/>
      </c>
      <c r="C725" s="15">
        <f>IF(AND($A725&gt;=INT(Instellingen!$B$5),$A725&lt;=INT(Instellingen!$B$6)),1,0)</f>
        <v/>
      </c>
      <c r="D725" s="20">
        <f>COUNTIFS(tData[SEHTrajectPeriodeDatumTijdVan],"&lt;="&amp;($A725+0/24),tData[SEHTrajectPeriodeDatumTijdTotEnMet],"&gt;"&amp;($A725+0/24),tData[Langligger01],1)</f>
        <v/>
      </c>
      <c r="E725" s="20">
        <f>COUNTIFS(tData[SEHTrajectPeriodeDatumTijdVan],"&lt;="&amp;($A725+1/24),tData[SEHTrajectPeriodeDatumTijdTotEnMet],"&gt;"&amp;($A725+1/24),tData[Langligger01],1)</f>
        <v/>
      </c>
      <c r="F725" s="20">
        <f>COUNTIFS(tData[SEHTrajectPeriodeDatumTijdVan],"&lt;="&amp;($A725+2/24),tData[SEHTrajectPeriodeDatumTijdTotEnMet],"&gt;"&amp;($A725+2/24),tData[Langligger01],1)</f>
        <v/>
      </c>
      <c r="G725" s="20">
        <f>COUNTIFS(tData[SEHTrajectPeriodeDatumTijdVan],"&lt;="&amp;($A725+3/24),tData[SEHTrajectPeriodeDatumTijdTotEnMet],"&gt;"&amp;($A725+3/24),tData[Langligger01],1)</f>
        <v/>
      </c>
      <c r="H725" s="20">
        <f>COUNTIFS(tData[SEHTrajectPeriodeDatumTijdVan],"&lt;="&amp;($A725+4/24),tData[SEHTrajectPeriodeDatumTijdTotEnMet],"&gt;"&amp;($A725+4/24),tData[Langligger01],1)</f>
        <v/>
      </c>
      <c r="I725" s="20">
        <f>COUNTIFS(tData[SEHTrajectPeriodeDatumTijdVan],"&lt;="&amp;($A725+5/24),tData[SEHTrajectPeriodeDatumTijdTotEnMet],"&gt;"&amp;($A725+5/24),tData[Langligger01],1)</f>
        <v/>
      </c>
      <c r="J725" s="20">
        <f>COUNTIFS(tData[SEHTrajectPeriodeDatumTijdVan],"&lt;="&amp;($A725+6/24),tData[SEHTrajectPeriodeDatumTijdTotEnMet],"&gt;"&amp;($A725+6/24),tData[Langligger01],1)</f>
        <v/>
      </c>
      <c r="K725" s="20">
        <f>COUNTIFS(tData[SEHTrajectPeriodeDatumTijdVan],"&lt;="&amp;($A725+7/24),tData[SEHTrajectPeriodeDatumTijdTotEnMet],"&gt;"&amp;($A725+7/24),tData[Langligger01],1)</f>
        <v/>
      </c>
      <c r="L725" s="20">
        <f>COUNTIFS(tData[SEHTrajectPeriodeDatumTijdVan],"&lt;="&amp;($A725+8/24),tData[SEHTrajectPeriodeDatumTijdTotEnMet],"&gt;"&amp;($A725+8/24),tData[Langligger01],1)</f>
        <v/>
      </c>
      <c r="M725" s="20">
        <f>COUNTIFS(tData[SEHTrajectPeriodeDatumTijdVan],"&lt;="&amp;($A725+9/24),tData[SEHTrajectPeriodeDatumTijdTotEnMet],"&gt;"&amp;($A725+9/24),tData[Langligger01],1)</f>
        <v/>
      </c>
      <c r="N725" s="20">
        <f>COUNTIFS(tData[SEHTrajectPeriodeDatumTijdVan],"&lt;="&amp;($A725+10/24),tData[SEHTrajectPeriodeDatumTijdTotEnMet],"&gt;"&amp;($A725+10/24),tData[Langligger01],1)</f>
        <v/>
      </c>
      <c r="O725" s="20">
        <f>COUNTIFS(tData[SEHTrajectPeriodeDatumTijdVan],"&lt;="&amp;($A725+11/24),tData[SEHTrajectPeriodeDatumTijdTotEnMet],"&gt;"&amp;($A725+11/24),tData[Langligger01],1)</f>
        <v/>
      </c>
      <c r="P725" s="20">
        <f>COUNTIFS(tData[SEHTrajectPeriodeDatumTijdVan],"&lt;="&amp;($A725+12/24),tData[SEHTrajectPeriodeDatumTijdTotEnMet],"&gt;"&amp;($A725+12/24),tData[Langligger01],1)</f>
        <v/>
      </c>
      <c r="Q725" s="20">
        <f>COUNTIFS(tData[SEHTrajectPeriodeDatumTijdVan],"&lt;="&amp;($A725+13/24),tData[SEHTrajectPeriodeDatumTijdTotEnMet],"&gt;"&amp;($A725+13/24),tData[Langligger01],1)</f>
        <v/>
      </c>
      <c r="R725" s="20">
        <f>COUNTIFS(tData[SEHTrajectPeriodeDatumTijdVan],"&lt;="&amp;($A725+14/24),tData[SEHTrajectPeriodeDatumTijdTotEnMet],"&gt;"&amp;($A725+14/24),tData[Langligger01],1)</f>
        <v/>
      </c>
      <c r="S725" s="20">
        <f>COUNTIFS(tData[SEHTrajectPeriodeDatumTijdVan],"&lt;="&amp;($A725+15/24),tData[SEHTrajectPeriodeDatumTijdTotEnMet],"&gt;"&amp;($A725+15/24),tData[Langligger01],1)</f>
        <v/>
      </c>
      <c r="T725" s="20">
        <f>COUNTIFS(tData[SEHTrajectPeriodeDatumTijdVan],"&lt;="&amp;($A725+16/24),tData[SEHTrajectPeriodeDatumTijdTotEnMet],"&gt;"&amp;($A725+16/24),tData[Langligger01],1)</f>
        <v/>
      </c>
      <c r="U725" s="20">
        <f>COUNTIFS(tData[SEHTrajectPeriodeDatumTijdVan],"&lt;="&amp;($A725+17/24),tData[SEHTrajectPeriodeDatumTijdTotEnMet],"&gt;"&amp;($A725+17/24),tData[Langligger01],1)</f>
        <v/>
      </c>
      <c r="V725" s="20">
        <f>COUNTIFS(tData[SEHTrajectPeriodeDatumTijdVan],"&lt;="&amp;($A725+18/24),tData[SEHTrajectPeriodeDatumTijdTotEnMet],"&gt;"&amp;($A725+18/24),tData[Langligger01],1)</f>
        <v/>
      </c>
      <c r="W725" s="20">
        <f>COUNTIFS(tData[SEHTrajectPeriodeDatumTijdVan],"&lt;="&amp;($A725+19/24),tData[SEHTrajectPeriodeDatumTijdTotEnMet],"&gt;"&amp;($A725+19/24),tData[Langligger01],1)</f>
        <v/>
      </c>
      <c r="X725" s="20">
        <f>COUNTIFS(tData[SEHTrajectPeriodeDatumTijdVan],"&lt;="&amp;($A725+20/24),tData[SEHTrajectPeriodeDatumTijdTotEnMet],"&gt;"&amp;($A725+20/24),tData[Langligger01],1)</f>
        <v/>
      </c>
      <c r="Y725" s="20">
        <f>COUNTIFS(tData[SEHTrajectPeriodeDatumTijdVan],"&lt;="&amp;($A725+21/24),tData[SEHTrajectPeriodeDatumTijdTotEnMet],"&gt;"&amp;($A725+21/24),tData[Langligger01],1)</f>
        <v/>
      </c>
      <c r="Z725" s="20">
        <f>COUNTIFS(tData[SEHTrajectPeriodeDatumTijdVan],"&lt;="&amp;($A725+22/24),tData[SEHTrajectPeriodeDatumTijdTotEnMet],"&gt;"&amp;($A725+22/24),tData[Langligger01],1)</f>
        <v/>
      </c>
      <c r="AA725" s="20">
        <f>COUNTIFS(tData[SEHTrajectPeriodeDatumTijdVan],"&lt;="&amp;($A725+23/24),tData[SEHTrajectPeriodeDatumTijdTotEnMet],"&gt;"&amp;($A725+23/24),tData[Langligger01],1)</f>
        <v/>
      </c>
    </row>
    <row r="726">
      <c r="A726" s="19" t="n">
        <v>46014</v>
      </c>
      <c r="B726" s="15">
        <f>WEEKDAY($A726,2)</f>
        <v/>
      </c>
      <c r="C726" s="15">
        <f>IF(AND($A726&gt;=INT(Instellingen!$B$5),$A726&lt;=INT(Instellingen!$B$6)),1,0)</f>
        <v/>
      </c>
      <c r="D726" s="20">
        <f>COUNTIFS(tData[SEHTrajectPeriodeDatumTijdVan],"&lt;="&amp;($A726+0/24),tData[SEHTrajectPeriodeDatumTijdTotEnMet],"&gt;"&amp;($A726+0/24),tData[Langligger01],1)</f>
        <v/>
      </c>
      <c r="E726" s="20">
        <f>COUNTIFS(tData[SEHTrajectPeriodeDatumTijdVan],"&lt;="&amp;($A726+1/24),tData[SEHTrajectPeriodeDatumTijdTotEnMet],"&gt;"&amp;($A726+1/24),tData[Langligger01],1)</f>
        <v/>
      </c>
      <c r="F726" s="20">
        <f>COUNTIFS(tData[SEHTrajectPeriodeDatumTijdVan],"&lt;="&amp;($A726+2/24),tData[SEHTrajectPeriodeDatumTijdTotEnMet],"&gt;"&amp;($A726+2/24),tData[Langligger01],1)</f>
        <v/>
      </c>
      <c r="G726" s="20">
        <f>COUNTIFS(tData[SEHTrajectPeriodeDatumTijdVan],"&lt;="&amp;($A726+3/24),tData[SEHTrajectPeriodeDatumTijdTotEnMet],"&gt;"&amp;($A726+3/24),tData[Langligger01],1)</f>
        <v/>
      </c>
      <c r="H726" s="20">
        <f>COUNTIFS(tData[SEHTrajectPeriodeDatumTijdVan],"&lt;="&amp;($A726+4/24),tData[SEHTrajectPeriodeDatumTijdTotEnMet],"&gt;"&amp;($A726+4/24),tData[Langligger01],1)</f>
        <v/>
      </c>
      <c r="I726" s="20">
        <f>COUNTIFS(tData[SEHTrajectPeriodeDatumTijdVan],"&lt;="&amp;($A726+5/24),tData[SEHTrajectPeriodeDatumTijdTotEnMet],"&gt;"&amp;($A726+5/24),tData[Langligger01],1)</f>
        <v/>
      </c>
      <c r="J726" s="20">
        <f>COUNTIFS(tData[SEHTrajectPeriodeDatumTijdVan],"&lt;="&amp;($A726+6/24),tData[SEHTrajectPeriodeDatumTijdTotEnMet],"&gt;"&amp;($A726+6/24),tData[Langligger01],1)</f>
        <v/>
      </c>
      <c r="K726" s="20">
        <f>COUNTIFS(tData[SEHTrajectPeriodeDatumTijdVan],"&lt;="&amp;($A726+7/24),tData[SEHTrajectPeriodeDatumTijdTotEnMet],"&gt;"&amp;($A726+7/24),tData[Langligger01],1)</f>
        <v/>
      </c>
      <c r="L726" s="20">
        <f>COUNTIFS(tData[SEHTrajectPeriodeDatumTijdVan],"&lt;="&amp;($A726+8/24),tData[SEHTrajectPeriodeDatumTijdTotEnMet],"&gt;"&amp;($A726+8/24),tData[Langligger01],1)</f>
        <v/>
      </c>
      <c r="M726" s="20">
        <f>COUNTIFS(tData[SEHTrajectPeriodeDatumTijdVan],"&lt;="&amp;($A726+9/24),tData[SEHTrajectPeriodeDatumTijdTotEnMet],"&gt;"&amp;($A726+9/24),tData[Langligger01],1)</f>
        <v/>
      </c>
      <c r="N726" s="20">
        <f>COUNTIFS(tData[SEHTrajectPeriodeDatumTijdVan],"&lt;="&amp;($A726+10/24),tData[SEHTrajectPeriodeDatumTijdTotEnMet],"&gt;"&amp;($A726+10/24),tData[Langligger01],1)</f>
        <v/>
      </c>
      <c r="O726" s="20">
        <f>COUNTIFS(tData[SEHTrajectPeriodeDatumTijdVan],"&lt;="&amp;($A726+11/24),tData[SEHTrajectPeriodeDatumTijdTotEnMet],"&gt;"&amp;($A726+11/24),tData[Langligger01],1)</f>
        <v/>
      </c>
      <c r="P726" s="20">
        <f>COUNTIFS(tData[SEHTrajectPeriodeDatumTijdVan],"&lt;="&amp;($A726+12/24),tData[SEHTrajectPeriodeDatumTijdTotEnMet],"&gt;"&amp;($A726+12/24),tData[Langligger01],1)</f>
        <v/>
      </c>
      <c r="Q726" s="20">
        <f>COUNTIFS(tData[SEHTrajectPeriodeDatumTijdVan],"&lt;="&amp;($A726+13/24),tData[SEHTrajectPeriodeDatumTijdTotEnMet],"&gt;"&amp;($A726+13/24),tData[Langligger01],1)</f>
        <v/>
      </c>
      <c r="R726" s="20">
        <f>COUNTIFS(tData[SEHTrajectPeriodeDatumTijdVan],"&lt;="&amp;($A726+14/24),tData[SEHTrajectPeriodeDatumTijdTotEnMet],"&gt;"&amp;($A726+14/24),tData[Langligger01],1)</f>
        <v/>
      </c>
      <c r="S726" s="20">
        <f>COUNTIFS(tData[SEHTrajectPeriodeDatumTijdVan],"&lt;="&amp;($A726+15/24),tData[SEHTrajectPeriodeDatumTijdTotEnMet],"&gt;"&amp;($A726+15/24),tData[Langligger01],1)</f>
        <v/>
      </c>
      <c r="T726" s="20">
        <f>COUNTIFS(tData[SEHTrajectPeriodeDatumTijdVan],"&lt;="&amp;($A726+16/24),tData[SEHTrajectPeriodeDatumTijdTotEnMet],"&gt;"&amp;($A726+16/24),tData[Langligger01],1)</f>
        <v/>
      </c>
      <c r="U726" s="20">
        <f>COUNTIFS(tData[SEHTrajectPeriodeDatumTijdVan],"&lt;="&amp;($A726+17/24),tData[SEHTrajectPeriodeDatumTijdTotEnMet],"&gt;"&amp;($A726+17/24),tData[Langligger01],1)</f>
        <v/>
      </c>
      <c r="V726" s="20">
        <f>COUNTIFS(tData[SEHTrajectPeriodeDatumTijdVan],"&lt;="&amp;($A726+18/24),tData[SEHTrajectPeriodeDatumTijdTotEnMet],"&gt;"&amp;($A726+18/24),tData[Langligger01],1)</f>
        <v/>
      </c>
      <c r="W726" s="20">
        <f>COUNTIFS(tData[SEHTrajectPeriodeDatumTijdVan],"&lt;="&amp;($A726+19/24),tData[SEHTrajectPeriodeDatumTijdTotEnMet],"&gt;"&amp;($A726+19/24),tData[Langligger01],1)</f>
        <v/>
      </c>
      <c r="X726" s="20">
        <f>COUNTIFS(tData[SEHTrajectPeriodeDatumTijdVan],"&lt;="&amp;($A726+20/24),tData[SEHTrajectPeriodeDatumTijdTotEnMet],"&gt;"&amp;($A726+20/24),tData[Langligger01],1)</f>
        <v/>
      </c>
      <c r="Y726" s="20">
        <f>COUNTIFS(tData[SEHTrajectPeriodeDatumTijdVan],"&lt;="&amp;($A726+21/24),tData[SEHTrajectPeriodeDatumTijdTotEnMet],"&gt;"&amp;($A726+21/24),tData[Langligger01],1)</f>
        <v/>
      </c>
      <c r="Z726" s="20">
        <f>COUNTIFS(tData[SEHTrajectPeriodeDatumTijdVan],"&lt;="&amp;($A726+22/24),tData[SEHTrajectPeriodeDatumTijdTotEnMet],"&gt;"&amp;($A726+22/24),tData[Langligger01],1)</f>
        <v/>
      </c>
      <c r="AA726" s="20">
        <f>COUNTIFS(tData[SEHTrajectPeriodeDatumTijdVan],"&lt;="&amp;($A726+23/24),tData[SEHTrajectPeriodeDatumTijdTotEnMet],"&gt;"&amp;($A726+23/24),tData[Langligger01],1)</f>
        <v/>
      </c>
    </row>
    <row r="727">
      <c r="A727" s="19" t="n">
        <v>46015</v>
      </c>
      <c r="B727" s="15">
        <f>WEEKDAY($A727,2)</f>
        <v/>
      </c>
      <c r="C727" s="15">
        <f>IF(AND($A727&gt;=INT(Instellingen!$B$5),$A727&lt;=INT(Instellingen!$B$6)),1,0)</f>
        <v/>
      </c>
      <c r="D727" s="20">
        <f>COUNTIFS(tData[SEHTrajectPeriodeDatumTijdVan],"&lt;="&amp;($A727+0/24),tData[SEHTrajectPeriodeDatumTijdTotEnMet],"&gt;"&amp;($A727+0/24),tData[Langligger01],1)</f>
        <v/>
      </c>
      <c r="E727" s="20">
        <f>COUNTIFS(tData[SEHTrajectPeriodeDatumTijdVan],"&lt;="&amp;($A727+1/24),tData[SEHTrajectPeriodeDatumTijdTotEnMet],"&gt;"&amp;($A727+1/24),tData[Langligger01],1)</f>
        <v/>
      </c>
      <c r="F727" s="20">
        <f>COUNTIFS(tData[SEHTrajectPeriodeDatumTijdVan],"&lt;="&amp;($A727+2/24),tData[SEHTrajectPeriodeDatumTijdTotEnMet],"&gt;"&amp;($A727+2/24),tData[Langligger01],1)</f>
        <v/>
      </c>
      <c r="G727" s="20">
        <f>COUNTIFS(tData[SEHTrajectPeriodeDatumTijdVan],"&lt;="&amp;($A727+3/24),tData[SEHTrajectPeriodeDatumTijdTotEnMet],"&gt;"&amp;($A727+3/24),tData[Langligger01],1)</f>
        <v/>
      </c>
      <c r="H727" s="20">
        <f>COUNTIFS(tData[SEHTrajectPeriodeDatumTijdVan],"&lt;="&amp;($A727+4/24),tData[SEHTrajectPeriodeDatumTijdTotEnMet],"&gt;"&amp;($A727+4/24),tData[Langligger01],1)</f>
        <v/>
      </c>
      <c r="I727" s="20">
        <f>COUNTIFS(tData[SEHTrajectPeriodeDatumTijdVan],"&lt;="&amp;($A727+5/24),tData[SEHTrajectPeriodeDatumTijdTotEnMet],"&gt;"&amp;($A727+5/24),tData[Langligger01],1)</f>
        <v/>
      </c>
      <c r="J727" s="20">
        <f>COUNTIFS(tData[SEHTrajectPeriodeDatumTijdVan],"&lt;="&amp;($A727+6/24),tData[SEHTrajectPeriodeDatumTijdTotEnMet],"&gt;"&amp;($A727+6/24),tData[Langligger01],1)</f>
        <v/>
      </c>
      <c r="K727" s="20">
        <f>COUNTIFS(tData[SEHTrajectPeriodeDatumTijdVan],"&lt;="&amp;($A727+7/24),tData[SEHTrajectPeriodeDatumTijdTotEnMet],"&gt;"&amp;($A727+7/24),tData[Langligger01],1)</f>
        <v/>
      </c>
      <c r="L727" s="20">
        <f>COUNTIFS(tData[SEHTrajectPeriodeDatumTijdVan],"&lt;="&amp;($A727+8/24),tData[SEHTrajectPeriodeDatumTijdTotEnMet],"&gt;"&amp;($A727+8/24),tData[Langligger01],1)</f>
        <v/>
      </c>
      <c r="M727" s="20">
        <f>COUNTIFS(tData[SEHTrajectPeriodeDatumTijdVan],"&lt;="&amp;($A727+9/24),tData[SEHTrajectPeriodeDatumTijdTotEnMet],"&gt;"&amp;($A727+9/24),tData[Langligger01],1)</f>
        <v/>
      </c>
      <c r="N727" s="20">
        <f>COUNTIFS(tData[SEHTrajectPeriodeDatumTijdVan],"&lt;="&amp;($A727+10/24),tData[SEHTrajectPeriodeDatumTijdTotEnMet],"&gt;"&amp;($A727+10/24),tData[Langligger01],1)</f>
        <v/>
      </c>
      <c r="O727" s="20">
        <f>COUNTIFS(tData[SEHTrajectPeriodeDatumTijdVan],"&lt;="&amp;($A727+11/24),tData[SEHTrajectPeriodeDatumTijdTotEnMet],"&gt;"&amp;($A727+11/24),tData[Langligger01],1)</f>
        <v/>
      </c>
      <c r="P727" s="20">
        <f>COUNTIFS(tData[SEHTrajectPeriodeDatumTijdVan],"&lt;="&amp;($A727+12/24),tData[SEHTrajectPeriodeDatumTijdTotEnMet],"&gt;"&amp;($A727+12/24),tData[Langligger01],1)</f>
        <v/>
      </c>
      <c r="Q727" s="20">
        <f>COUNTIFS(tData[SEHTrajectPeriodeDatumTijdVan],"&lt;="&amp;($A727+13/24),tData[SEHTrajectPeriodeDatumTijdTotEnMet],"&gt;"&amp;($A727+13/24),tData[Langligger01],1)</f>
        <v/>
      </c>
      <c r="R727" s="20">
        <f>COUNTIFS(tData[SEHTrajectPeriodeDatumTijdVan],"&lt;="&amp;($A727+14/24),tData[SEHTrajectPeriodeDatumTijdTotEnMet],"&gt;"&amp;($A727+14/24),tData[Langligger01],1)</f>
        <v/>
      </c>
      <c r="S727" s="20">
        <f>COUNTIFS(tData[SEHTrajectPeriodeDatumTijdVan],"&lt;="&amp;($A727+15/24),tData[SEHTrajectPeriodeDatumTijdTotEnMet],"&gt;"&amp;($A727+15/24),tData[Langligger01],1)</f>
        <v/>
      </c>
      <c r="T727" s="20">
        <f>COUNTIFS(tData[SEHTrajectPeriodeDatumTijdVan],"&lt;="&amp;($A727+16/24),tData[SEHTrajectPeriodeDatumTijdTotEnMet],"&gt;"&amp;($A727+16/24),tData[Langligger01],1)</f>
        <v/>
      </c>
      <c r="U727" s="20">
        <f>COUNTIFS(tData[SEHTrajectPeriodeDatumTijdVan],"&lt;="&amp;($A727+17/24),tData[SEHTrajectPeriodeDatumTijdTotEnMet],"&gt;"&amp;($A727+17/24),tData[Langligger01],1)</f>
        <v/>
      </c>
      <c r="V727" s="20">
        <f>COUNTIFS(tData[SEHTrajectPeriodeDatumTijdVan],"&lt;="&amp;($A727+18/24),tData[SEHTrajectPeriodeDatumTijdTotEnMet],"&gt;"&amp;($A727+18/24),tData[Langligger01],1)</f>
        <v/>
      </c>
      <c r="W727" s="20">
        <f>COUNTIFS(tData[SEHTrajectPeriodeDatumTijdVan],"&lt;="&amp;($A727+19/24),tData[SEHTrajectPeriodeDatumTijdTotEnMet],"&gt;"&amp;($A727+19/24),tData[Langligger01],1)</f>
        <v/>
      </c>
      <c r="X727" s="20">
        <f>COUNTIFS(tData[SEHTrajectPeriodeDatumTijdVan],"&lt;="&amp;($A727+20/24),tData[SEHTrajectPeriodeDatumTijdTotEnMet],"&gt;"&amp;($A727+20/24),tData[Langligger01],1)</f>
        <v/>
      </c>
      <c r="Y727" s="20">
        <f>COUNTIFS(tData[SEHTrajectPeriodeDatumTijdVan],"&lt;="&amp;($A727+21/24),tData[SEHTrajectPeriodeDatumTijdTotEnMet],"&gt;"&amp;($A727+21/24),tData[Langligger01],1)</f>
        <v/>
      </c>
      <c r="Z727" s="20">
        <f>COUNTIFS(tData[SEHTrajectPeriodeDatumTijdVan],"&lt;="&amp;($A727+22/24),tData[SEHTrajectPeriodeDatumTijdTotEnMet],"&gt;"&amp;($A727+22/24),tData[Langligger01],1)</f>
        <v/>
      </c>
      <c r="AA727" s="20">
        <f>COUNTIFS(tData[SEHTrajectPeriodeDatumTijdVan],"&lt;="&amp;($A727+23/24),tData[SEHTrajectPeriodeDatumTijdTotEnMet],"&gt;"&amp;($A727+23/24),tData[Langligger01],1)</f>
        <v/>
      </c>
    </row>
    <row r="728">
      <c r="A728" s="19" t="n">
        <v>46016</v>
      </c>
      <c r="B728" s="15">
        <f>WEEKDAY($A728,2)</f>
        <v/>
      </c>
      <c r="C728" s="15">
        <f>IF(AND($A728&gt;=INT(Instellingen!$B$5),$A728&lt;=INT(Instellingen!$B$6)),1,0)</f>
        <v/>
      </c>
      <c r="D728" s="20">
        <f>COUNTIFS(tData[SEHTrajectPeriodeDatumTijdVan],"&lt;="&amp;($A728+0/24),tData[SEHTrajectPeriodeDatumTijdTotEnMet],"&gt;"&amp;($A728+0/24),tData[Langligger01],1)</f>
        <v/>
      </c>
      <c r="E728" s="20">
        <f>COUNTIFS(tData[SEHTrajectPeriodeDatumTijdVan],"&lt;="&amp;($A728+1/24),tData[SEHTrajectPeriodeDatumTijdTotEnMet],"&gt;"&amp;($A728+1/24),tData[Langligger01],1)</f>
        <v/>
      </c>
      <c r="F728" s="20">
        <f>COUNTIFS(tData[SEHTrajectPeriodeDatumTijdVan],"&lt;="&amp;($A728+2/24),tData[SEHTrajectPeriodeDatumTijdTotEnMet],"&gt;"&amp;($A728+2/24),tData[Langligger01],1)</f>
        <v/>
      </c>
      <c r="G728" s="20">
        <f>COUNTIFS(tData[SEHTrajectPeriodeDatumTijdVan],"&lt;="&amp;($A728+3/24),tData[SEHTrajectPeriodeDatumTijdTotEnMet],"&gt;"&amp;($A728+3/24),tData[Langligger01],1)</f>
        <v/>
      </c>
      <c r="H728" s="20">
        <f>COUNTIFS(tData[SEHTrajectPeriodeDatumTijdVan],"&lt;="&amp;($A728+4/24),tData[SEHTrajectPeriodeDatumTijdTotEnMet],"&gt;"&amp;($A728+4/24),tData[Langligger01],1)</f>
        <v/>
      </c>
      <c r="I728" s="20">
        <f>COUNTIFS(tData[SEHTrajectPeriodeDatumTijdVan],"&lt;="&amp;($A728+5/24),tData[SEHTrajectPeriodeDatumTijdTotEnMet],"&gt;"&amp;($A728+5/24),tData[Langligger01],1)</f>
        <v/>
      </c>
      <c r="J728" s="20">
        <f>COUNTIFS(tData[SEHTrajectPeriodeDatumTijdVan],"&lt;="&amp;($A728+6/24),tData[SEHTrajectPeriodeDatumTijdTotEnMet],"&gt;"&amp;($A728+6/24),tData[Langligger01],1)</f>
        <v/>
      </c>
      <c r="K728" s="20">
        <f>COUNTIFS(tData[SEHTrajectPeriodeDatumTijdVan],"&lt;="&amp;($A728+7/24),tData[SEHTrajectPeriodeDatumTijdTotEnMet],"&gt;"&amp;($A728+7/24),tData[Langligger01],1)</f>
        <v/>
      </c>
      <c r="L728" s="20">
        <f>COUNTIFS(tData[SEHTrajectPeriodeDatumTijdVan],"&lt;="&amp;($A728+8/24),tData[SEHTrajectPeriodeDatumTijdTotEnMet],"&gt;"&amp;($A728+8/24),tData[Langligger01],1)</f>
        <v/>
      </c>
      <c r="M728" s="20">
        <f>COUNTIFS(tData[SEHTrajectPeriodeDatumTijdVan],"&lt;="&amp;($A728+9/24),tData[SEHTrajectPeriodeDatumTijdTotEnMet],"&gt;"&amp;($A728+9/24),tData[Langligger01],1)</f>
        <v/>
      </c>
      <c r="N728" s="20">
        <f>COUNTIFS(tData[SEHTrajectPeriodeDatumTijdVan],"&lt;="&amp;($A728+10/24),tData[SEHTrajectPeriodeDatumTijdTotEnMet],"&gt;"&amp;($A728+10/24),tData[Langligger01],1)</f>
        <v/>
      </c>
      <c r="O728" s="20">
        <f>COUNTIFS(tData[SEHTrajectPeriodeDatumTijdVan],"&lt;="&amp;($A728+11/24),tData[SEHTrajectPeriodeDatumTijdTotEnMet],"&gt;"&amp;($A728+11/24),tData[Langligger01],1)</f>
        <v/>
      </c>
      <c r="P728" s="20">
        <f>COUNTIFS(tData[SEHTrajectPeriodeDatumTijdVan],"&lt;="&amp;($A728+12/24),tData[SEHTrajectPeriodeDatumTijdTotEnMet],"&gt;"&amp;($A728+12/24),tData[Langligger01],1)</f>
        <v/>
      </c>
      <c r="Q728" s="20">
        <f>COUNTIFS(tData[SEHTrajectPeriodeDatumTijdVan],"&lt;="&amp;($A728+13/24),tData[SEHTrajectPeriodeDatumTijdTotEnMet],"&gt;"&amp;($A728+13/24),tData[Langligger01],1)</f>
        <v/>
      </c>
      <c r="R728" s="20">
        <f>COUNTIFS(tData[SEHTrajectPeriodeDatumTijdVan],"&lt;="&amp;($A728+14/24),tData[SEHTrajectPeriodeDatumTijdTotEnMet],"&gt;"&amp;($A728+14/24),tData[Langligger01],1)</f>
        <v/>
      </c>
      <c r="S728" s="20">
        <f>COUNTIFS(tData[SEHTrajectPeriodeDatumTijdVan],"&lt;="&amp;($A728+15/24),tData[SEHTrajectPeriodeDatumTijdTotEnMet],"&gt;"&amp;($A728+15/24),tData[Langligger01],1)</f>
        <v/>
      </c>
      <c r="T728" s="20">
        <f>COUNTIFS(tData[SEHTrajectPeriodeDatumTijdVan],"&lt;="&amp;($A728+16/24),tData[SEHTrajectPeriodeDatumTijdTotEnMet],"&gt;"&amp;($A728+16/24),tData[Langligger01],1)</f>
        <v/>
      </c>
      <c r="U728" s="20">
        <f>COUNTIFS(tData[SEHTrajectPeriodeDatumTijdVan],"&lt;="&amp;($A728+17/24),tData[SEHTrajectPeriodeDatumTijdTotEnMet],"&gt;"&amp;($A728+17/24),tData[Langligger01],1)</f>
        <v/>
      </c>
      <c r="V728" s="20">
        <f>COUNTIFS(tData[SEHTrajectPeriodeDatumTijdVan],"&lt;="&amp;($A728+18/24),tData[SEHTrajectPeriodeDatumTijdTotEnMet],"&gt;"&amp;($A728+18/24),tData[Langligger01],1)</f>
        <v/>
      </c>
      <c r="W728" s="20">
        <f>COUNTIFS(tData[SEHTrajectPeriodeDatumTijdVan],"&lt;="&amp;($A728+19/24),tData[SEHTrajectPeriodeDatumTijdTotEnMet],"&gt;"&amp;($A728+19/24),tData[Langligger01],1)</f>
        <v/>
      </c>
      <c r="X728" s="20">
        <f>COUNTIFS(tData[SEHTrajectPeriodeDatumTijdVan],"&lt;="&amp;($A728+20/24),tData[SEHTrajectPeriodeDatumTijdTotEnMet],"&gt;"&amp;($A728+20/24),tData[Langligger01],1)</f>
        <v/>
      </c>
      <c r="Y728" s="20">
        <f>COUNTIFS(tData[SEHTrajectPeriodeDatumTijdVan],"&lt;="&amp;($A728+21/24),tData[SEHTrajectPeriodeDatumTijdTotEnMet],"&gt;"&amp;($A728+21/24),tData[Langligger01],1)</f>
        <v/>
      </c>
      <c r="Z728" s="20">
        <f>COUNTIFS(tData[SEHTrajectPeriodeDatumTijdVan],"&lt;="&amp;($A728+22/24),tData[SEHTrajectPeriodeDatumTijdTotEnMet],"&gt;"&amp;($A728+22/24),tData[Langligger01],1)</f>
        <v/>
      </c>
      <c r="AA728" s="20">
        <f>COUNTIFS(tData[SEHTrajectPeriodeDatumTijdVan],"&lt;="&amp;($A728+23/24),tData[SEHTrajectPeriodeDatumTijdTotEnMet],"&gt;"&amp;($A728+23/24),tData[Langligger01],1)</f>
        <v/>
      </c>
    </row>
    <row r="729">
      <c r="A729" s="19" t="n">
        <v>46017</v>
      </c>
      <c r="B729" s="15">
        <f>WEEKDAY($A729,2)</f>
        <v/>
      </c>
      <c r="C729" s="15">
        <f>IF(AND($A729&gt;=INT(Instellingen!$B$5),$A729&lt;=INT(Instellingen!$B$6)),1,0)</f>
        <v/>
      </c>
      <c r="D729" s="20">
        <f>COUNTIFS(tData[SEHTrajectPeriodeDatumTijdVan],"&lt;="&amp;($A729+0/24),tData[SEHTrajectPeriodeDatumTijdTotEnMet],"&gt;"&amp;($A729+0/24),tData[Langligger01],1)</f>
        <v/>
      </c>
      <c r="E729" s="20">
        <f>COUNTIFS(tData[SEHTrajectPeriodeDatumTijdVan],"&lt;="&amp;($A729+1/24),tData[SEHTrajectPeriodeDatumTijdTotEnMet],"&gt;"&amp;($A729+1/24),tData[Langligger01],1)</f>
        <v/>
      </c>
      <c r="F729" s="20">
        <f>COUNTIFS(tData[SEHTrajectPeriodeDatumTijdVan],"&lt;="&amp;($A729+2/24),tData[SEHTrajectPeriodeDatumTijdTotEnMet],"&gt;"&amp;($A729+2/24),tData[Langligger01],1)</f>
        <v/>
      </c>
      <c r="G729" s="20">
        <f>COUNTIFS(tData[SEHTrajectPeriodeDatumTijdVan],"&lt;="&amp;($A729+3/24),tData[SEHTrajectPeriodeDatumTijdTotEnMet],"&gt;"&amp;($A729+3/24),tData[Langligger01],1)</f>
        <v/>
      </c>
      <c r="H729" s="20">
        <f>COUNTIFS(tData[SEHTrajectPeriodeDatumTijdVan],"&lt;="&amp;($A729+4/24),tData[SEHTrajectPeriodeDatumTijdTotEnMet],"&gt;"&amp;($A729+4/24),tData[Langligger01],1)</f>
        <v/>
      </c>
      <c r="I729" s="20">
        <f>COUNTIFS(tData[SEHTrajectPeriodeDatumTijdVan],"&lt;="&amp;($A729+5/24),tData[SEHTrajectPeriodeDatumTijdTotEnMet],"&gt;"&amp;($A729+5/24),tData[Langligger01],1)</f>
        <v/>
      </c>
      <c r="J729" s="20">
        <f>COUNTIFS(tData[SEHTrajectPeriodeDatumTijdVan],"&lt;="&amp;($A729+6/24),tData[SEHTrajectPeriodeDatumTijdTotEnMet],"&gt;"&amp;($A729+6/24),tData[Langligger01],1)</f>
        <v/>
      </c>
      <c r="K729" s="20">
        <f>COUNTIFS(tData[SEHTrajectPeriodeDatumTijdVan],"&lt;="&amp;($A729+7/24),tData[SEHTrajectPeriodeDatumTijdTotEnMet],"&gt;"&amp;($A729+7/24),tData[Langligger01],1)</f>
        <v/>
      </c>
      <c r="L729" s="20">
        <f>COUNTIFS(tData[SEHTrajectPeriodeDatumTijdVan],"&lt;="&amp;($A729+8/24),tData[SEHTrajectPeriodeDatumTijdTotEnMet],"&gt;"&amp;($A729+8/24),tData[Langligger01],1)</f>
        <v/>
      </c>
      <c r="M729" s="20">
        <f>COUNTIFS(tData[SEHTrajectPeriodeDatumTijdVan],"&lt;="&amp;($A729+9/24),tData[SEHTrajectPeriodeDatumTijdTotEnMet],"&gt;"&amp;($A729+9/24),tData[Langligger01],1)</f>
        <v/>
      </c>
      <c r="N729" s="20">
        <f>COUNTIFS(tData[SEHTrajectPeriodeDatumTijdVan],"&lt;="&amp;($A729+10/24),tData[SEHTrajectPeriodeDatumTijdTotEnMet],"&gt;"&amp;($A729+10/24),tData[Langligger01],1)</f>
        <v/>
      </c>
      <c r="O729" s="20">
        <f>COUNTIFS(tData[SEHTrajectPeriodeDatumTijdVan],"&lt;="&amp;($A729+11/24),tData[SEHTrajectPeriodeDatumTijdTotEnMet],"&gt;"&amp;($A729+11/24),tData[Langligger01],1)</f>
        <v/>
      </c>
      <c r="P729" s="20">
        <f>COUNTIFS(tData[SEHTrajectPeriodeDatumTijdVan],"&lt;="&amp;($A729+12/24),tData[SEHTrajectPeriodeDatumTijdTotEnMet],"&gt;"&amp;($A729+12/24),tData[Langligger01],1)</f>
        <v/>
      </c>
      <c r="Q729" s="20">
        <f>COUNTIFS(tData[SEHTrajectPeriodeDatumTijdVan],"&lt;="&amp;($A729+13/24),tData[SEHTrajectPeriodeDatumTijdTotEnMet],"&gt;"&amp;($A729+13/24),tData[Langligger01],1)</f>
        <v/>
      </c>
      <c r="R729" s="20">
        <f>COUNTIFS(tData[SEHTrajectPeriodeDatumTijdVan],"&lt;="&amp;($A729+14/24),tData[SEHTrajectPeriodeDatumTijdTotEnMet],"&gt;"&amp;($A729+14/24),tData[Langligger01],1)</f>
        <v/>
      </c>
      <c r="S729" s="20">
        <f>COUNTIFS(tData[SEHTrajectPeriodeDatumTijdVan],"&lt;="&amp;($A729+15/24),tData[SEHTrajectPeriodeDatumTijdTotEnMet],"&gt;"&amp;($A729+15/24),tData[Langligger01],1)</f>
        <v/>
      </c>
      <c r="T729" s="20">
        <f>COUNTIFS(tData[SEHTrajectPeriodeDatumTijdVan],"&lt;="&amp;($A729+16/24),tData[SEHTrajectPeriodeDatumTijdTotEnMet],"&gt;"&amp;($A729+16/24),tData[Langligger01],1)</f>
        <v/>
      </c>
      <c r="U729" s="20">
        <f>COUNTIFS(tData[SEHTrajectPeriodeDatumTijdVan],"&lt;="&amp;($A729+17/24),tData[SEHTrajectPeriodeDatumTijdTotEnMet],"&gt;"&amp;($A729+17/24),tData[Langligger01],1)</f>
        <v/>
      </c>
      <c r="V729" s="20">
        <f>COUNTIFS(tData[SEHTrajectPeriodeDatumTijdVan],"&lt;="&amp;($A729+18/24),tData[SEHTrajectPeriodeDatumTijdTotEnMet],"&gt;"&amp;($A729+18/24),tData[Langligger01],1)</f>
        <v/>
      </c>
      <c r="W729" s="20">
        <f>COUNTIFS(tData[SEHTrajectPeriodeDatumTijdVan],"&lt;="&amp;($A729+19/24),tData[SEHTrajectPeriodeDatumTijdTotEnMet],"&gt;"&amp;($A729+19/24),tData[Langligger01],1)</f>
        <v/>
      </c>
      <c r="X729" s="20">
        <f>COUNTIFS(tData[SEHTrajectPeriodeDatumTijdVan],"&lt;="&amp;($A729+20/24),tData[SEHTrajectPeriodeDatumTijdTotEnMet],"&gt;"&amp;($A729+20/24),tData[Langligger01],1)</f>
        <v/>
      </c>
      <c r="Y729" s="20">
        <f>COUNTIFS(tData[SEHTrajectPeriodeDatumTijdVan],"&lt;="&amp;($A729+21/24),tData[SEHTrajectPeriodeDatumTijdTotEnMet],"&gt;"&amp;($A729+21/24),tData[Langligger01],1)</f>
        <v/>
      </c>
      <c r="Z729" s="20">
        <f>COUNTIFS(tData[SEHTrajectPeriodeDatumTijdVan],"&lt;="&amp;($A729+22/24),tData[SEHTrajectPeriodeDatumTijdTotEnMet],"&gt;"&amp;($A729+22/24),tData[Langligger01],1)</f>
        <v/>
      </c>
      <c r="AA729" s="20">
        <f>COUNTIFS(tData[SEHTrajectPeriodeDatumTijdVan],"&lt;="&amp;($A729+23/24),tData[SEHTrajectPeriodeDatumTijdTotEnMet],"&gt;"&amp;($A729+23/24),tData[Langligger01],1)</f>
        <v/>
      </c>
    </row>
    <row r="730">
      <c r="A730" s="19" t="n">
        <v>46018</v>
      </c>
      <c r="B730" s="15">
        <f>WEEKDAY($A730,2)</f>
        <v/>
      </c>
      <c r="C730" s="15">
        <f>IF(AND($A730&gt;=INT(Instellingen!$B$5),$A730&lt;=INT(Instellingen!$B$6)),1,0)</f>
        <v/>
      </c>
      <c r="D730" s="20">
        <f>COUNTIFS(tData[SEHTrajectPeriodeDatumTijdVan],"&lt;="&amp;($A730+0/24),tData[SEHTrajectPeriodeDatumTijdTotEnMet],"&gt;"&amp;($A730+0/24),tData[Langligger01],1)</f>
        <v/>
      </c>
      <c r="E730" s="20">
        <f>COUNTIFS(tData[SEHTrajectPeriodeDatumTijdVan],"&lt;="&amp;($A730+1/24),tData[SEHTrajectPeriodeDatumTijdTotEnMet],"&gt;"&amp;($A730+1/24),tData[Langligger01],1)</f>
        <v/>
      </c>
      <c r="F730" s="20">
        <f>COUNTIFS(tData[SEHTrajectPeriodeDatumTijdVan],"&lt;="&amp;($A730+2/24),tData[SEHTrajectPeriodeDatumTijdTotEnMet],"&gt;"&amp;($A730+2/24),tData[Langligger01],1)</f>
        <v/>
      </c>
      <c r="G730" s="20">
        <f>COUNTIFS(tData[SEHTrajectPeriodeDatumTijdVan],"&lt;="&amp;($A730+3/24),tData[SEHTrajectPeriodeDatumTijdTotEnMet],"&gt;"&amp;($A730+3/24),tData[Langligger01],1)</f>
        <v/>
      </c>
      <c r="H730" s="20">
        <f>COUNTIFS(tData[SEHTrajectPeriodeDatumTijdVan],"&lt;="&amp;($A730+4/24),tData[SEHTrajectPeriodeDatumTijdTotEnMet],"&gt;"&amp;($A730+4/24),tData[Langligger01],1)</f>
        <v/>
      </c>
      <c r="I730" s="20">
        <f>COUNTIFS(tData[SEHTrajectPeriodeDatumTijdVan],"&lt;="&amp;($A730+5/24),tData[SEHTrajectPeriodeDatumTijdTotEnMet],"&gt;"&amp;($A730+5/24),tData[Langligger01],1)</f>
        <v/>
      </c>
      <c r="J730" s="20">
        <f>COUNTIFS(tData[SEHTrajectPeriodeDatumTijdVan],"&lt;="&amp;($A730+6/24),tData[SEHTrajectPeriodeDatumTijdTotEnMet],"&gt;"&amp;($A730+6/24),tData[Langligger01],1)</f>
        <v/>
      </c>
      <c r="K730" s="20">
        <f>COUNTIFS(tData[SEHTrajectPeriodeDatumTijdVan],"&lt;="&amp;($A730+7/24),tData[SEHTrajectPeriodeDatumTijdTotEnMet],"&gt;"&amp;($A730+7/24),tData[Langligger01],1)</f>
        <v/>
      </c>
      <c r="L730" s="20">
        <f>COUNTIFS(tData[SEHTrajectPeriodeDatumTijdVan],"&lt;="&amp;($A730+8/24),tData[SEHTrajectPeriodeDatumTijdTotEnMet],"&gt;"&amp;($A730+8/24),tData[Langligger01],1)</f>
        <v/>
      </c>
      <c r="M730" s="20">
        <f>COUNTIFS(tData[SEHTrajectPeriodeDatumTijdVan],"&lt;="&amp;($A730+9/24),tData[SEHTrajectPeriodeDatumTijdTotEnMet],"&gt;"&amp;($A730+9/24),tData[Langligger01],1)</f>
        <v/>
      </c>
      <c r="N730" s="20">
        <f>COUNTIFS(tData[SEHTrajectPeriodeDatumTijdVan],"&lt;="&amp;($A730+10/24),tData[SEHTrajectPeriodeDatumTijdTotEnMet],"&gt;"&amp;($A730+10/24),tData[Langligger01],1)</f>
        <v/>
      </c>
      <c r="O730" s="20">
        <f>COUNTIFS(tData[SEHTrajectPeriodeDatumTijdVan],"&lt;="&amp;($A730+11/24),tData[SEHTrajectPeriodeDatumTijdTotEnMet],"&gt;"&amp;($A730+11/24),tData[Langligger01],1)</f>
        <v/>
      </c>
      <c r="P730" s="20">
        <f>COUNTIFS(tData[SEHTrajectPeriodeDatumTijdVan],"&lt;="&amp;($A730+12/24),tData[SEHTrajectPeriodeDatumTijdTotEnMet],"&gt;"&amp;($A730+12/24),tData[Langligger01],1)</f>
        <v/>
      </c>
      <c r="Q730" s="20">
        <f>COUNTIFS(tData[SEHTrajectPeriodeDatumTijdVan],"&lt;="&amp;($A730+13/24),tData[SEHTrajectPeriodeDatumTijdTotEnMet],"&gt;"&amp;($A730+13/24),tData[Langligger01],1)</f>
        <v/>
      </c>
      <c r="R730" s="20">
        <f>COUNTIFS(tData[SEHTrajectPeriodeDatumTijdVan],"&lt;="&amp;($A730+14/24),tData[SEHTrajectPeriodeDatumTijdTotEnMet],"&gt;"&amp;($A730+14/24),tData[Langligger01],1)</f>
        <v/>
      </c>
      <c r="S730" s="20">
        <f>COUNTIFS(tData[SEHTrajectPeriodeDatumTijdVan],"&lt;="&amp;($A730+15/24),tData[SEHTrajectPeriodeDatumTijdTotEnMet],"&gt;"&amp;($A730+15/24),tData[Langligger01],1)</f>
        <v/>
      </c>
      <c r="T730" s="20">
        <f>COUNTIFS(tData[SEHTrajectPeriodeDatumTijdVan],"&lt;="&amp;($A730+16/24),tData[SEHTrajectPeriodeDatumTijdTotEnMet],"&gt;"&amp;($A730+16/24),tData[Langligger01],1)</f>
        <v/>
      </c>
      <c r="U730" s="20">
        <f>COUNTIFS(tData[SEHTrajectPeriodeDatumTijdVan],"&lt;="&amp;($A730+17/24),tData[SEHTrajectPeriodeDatumTijdTotEnMet],"&gt;"&amp;($A730+17/24),tData[Langligger01],1)</f>
        <v/>
      </c>
      <c r="V730" s="20">
        <f>COUNTIFS(tData[SEHTrajectPeriodeDatumTijdVan],"&lt;="&amp;($A730+18/24),tData[SEHTrajectPeriodeDatumTijdTotEnMet],"&gt;"&amp;($A730+18/24),tData[Langligger01],1)</f>
        <v/>
      </c>
      <c r="W730" s="20">
        <f>COUNTIFS(tData[SEHTrajectPeriodeDatumTijdVan],"&lt;="&amp;($A730+19/24),tData[SEHTrajectPeriodeDatumTijdTotEnMet],"&gt;"&amp;($A730+19/24),tData[Langligger01],1)</f>
        <v/>
      </c>
      <c r="X730" s="20">
        <f>COUNTIFS(tData[SEHTrajectPeriodeDatumTijdVan],"&lt;="&amp;($A730+20/24),tData[SEHTrajectPeriodeDatumTijdTotEnMet],"&gt;"&amp;($A730+20/24),tData[Langligger01],1)</f>
        <v/>
      </c>
      <c r="Y730" s="20">
        <f>COUNTIFS(tData[SEHTrajectPeriodeDatumTijdVan],"&lt;="&amp;($A730+21/24),tData[SEHTrajectPeriodeDatumTijdTotEnMet],"&gt;"&amp;($A730+21/24),tData[Langligger01],1)</f>
        <v/>
      </c>
      <c r="Z730" s="20">
        <f>COUNTIFS(tData[SEHTrajectPeriodeDatumTijdVan],"&lt;="&amp;($A730+22/24),tData[SEHTrajectPeriodeDatumTijdTotEnMet],"&gt;"&amp;($A730+22/24),tData[Langligger01],1)</f>
        <v/>
      </c>
      <c r="AA730" s="20">
        <f>COUNTIFS(tData[SEHTrajectPeriodeDatumTijdVan],"&lt;="&amp;($A730+23/24),tData[SEHTrajectPeriodeDatumTijdTotEnMet],"&gt;"&amp;($A730+23/24),tData[Langligger01],1)</f>
        <v/>
      </c>
    </row>
    <row r="731">
      <c r="A731" s="19" t="n">
        <v>46019</v>
      </c>
      <c r="B731" s="15">
        <f>WEEKDAY($A731,2)</f>
        <v/>
      </c>
      <c r="C731" s="15">
        <f>IF(AND($A731&gt;=INT(Instellingen!$B$5),$A731&lt;=INT(Instellingen!$B$6)),1,0)</f>
        <v/>
      </c>
      <c r="D731" s="20">
        <f>COUNTIFS(tData[SEHTrajectPeriodeDatumTijdVan],"&lt;="&amp;($A731+0/24),tData[SEHTrajectPeriodeDatumTijdTotEnMet],"&gt;"&amp;($A731+0/24),tData[Langligger01],1)</f>
        <v/>
      </c>
      <c r="E731" s="20">
        <f>COUNTIFS(tData[SEHTrajectPeriodeDatumTijdVan],"&lt;="&amp;($A731+1/24),tData[SEHTrajectPeriodeDatumTijdTotEnMet],"&gt;"&amp;($A731+1/24),tData[Langligger01],1)</f>
        <v/>
      </c>
      <c r="F731" s="20">
        <f>COUNTIFS(tData[SEHTrajectPeriodeDatumTijdVan],"&lt;="&amp;($A731+2/24),tData[SEHTrajectPeriodeDatumTijdTotEnMet],"&gt;"&amp;($A731+2/24),tData[Langligger01],1)</f>
        <v/>
      </c>
      <c r="G731" s="20">
        <f>COUNTIFS(tData[SEHTrajectPeriodeDatumTijdVan],"&lt;="&amp;($A731+3/24),tData[SEHTrajectPeriodeDatumTijdTotEnMet],"&gt;"&amp;($A731+3/24),tData[Langligger01],1)</f>
        <v/>
      </c>
      <c r="H731" s="20">
        <f>COUNTIFS(tData[SEHTrajectPeriodeDatumTijdVan],"&lt;="&amp;($A731+4/24),tData[SEHTrajectPeriodeDatumTijdTotEnMet],"&gt;"&amp;($A731+4/24),tData[Langligger01],1)</f>
        <v/>
      </c>
      <c r="I731" s="20">
        <f>COUNTIFS(tData[SEHTrajectPeriodeDatumTijdVan],"&lt;="&amp;($A731+5/24),tData[SEHTrajectPeriodeDatumTijdTotEnMet],"&gt;"&amp;($A731+5/24),tData[Langligger01],1)</f>
        <v/>
      </c>
      <c r="J731" s="20">
        <f>COUNTIFS(tData[SEHTrajectPeriodeDatumTijdVan],"&lt;="&amp;($A731+6/24),tData[SEHTrajectPeriodeDatumTijdTotEnMet],"&gt;"&amp;($A731+6/24),tData[Langligger01],1)</f>
        <v/>
      </c>
      <c r="K731" s="20">
        <f>COUNTIFS(tData[SEHTrajectPeriodeDatumTijdVan],"&lt;="&amp;($A731+7/24),tData[SEHTrajectPeriodeDatumTijdTotEnMet],"&gt;"&amp;($A731+7/24),tData[Langligger01],1)</f>
        <v/>
      </c>
      <c r="L731" s="20">
        <f>COUNTIFS(tData[SEHTrajectPeriodeDatumTijdVan],"&lt;="&amp;($A731+8/24),tData[SEHTrajectPeriodeDatumTijdTotEnMet],"&gt;"&amp;($A731+8/24),tData[Langligger01],1)</f>
        <v/>
      </c>
      <c r="M731" s="20">
        <f>COUNTIFS(tData[SEHTrajectPeriodeDatumTijdVan],"&lt;="&amp;($A731+9/24),tData[SEHTrajectPeriodeDatumTijdTotEnMet],"&gt;"&amp;($A731+9/24),tData[Langligger01],1)</f>
        <v/>
      </c>
      <c r="N731" s="20">
        <f>COUNTIFS(tData[SEHTrajectPeriodeDatumTijdVan],"&lt;="&amp;($A731+10/24),tData[SEHTrajectPeriodeDatumTijdTotEnMet],"&gt;"&amp;($A731+10/24),tData[Langligger01],1)</f>
        <v/>
      </c>
      <c r="O731" s="20">
        <f>COUNTIFS(tData[SEHTrajectPeriodeDatumTijdVan],"&lt;="&amp;($A731+11/24),tData[SEHTrajectPeriodeDatumTijdTotEnMet],"&gt;"&amp;($A731+11/24),tData[Langligger01],1)</f>
        <v/>
      </c>
      <c r="P731" s="20">
        <f>COUNTIFS(tData[SEHTrajectPeriodeDatumTijdVan],"&lt;="&amp;($A731+12/24),tData[SEHTrajectPeriodeDatumTijdTotEnMet],"&gt;"&amp;($A731+12/24),tData[Langligger01],1)</f>
        <v/>
      </c>
      <c r="Q731" s="20">
        <f>COUNTIFS(tData[SEHTrajectPeriodeDatumTijdVan],"&lt;="&amp;($A731+13/24),tData[SEHTrajectPeriodeDatumTijdTotEnMet],"&gt;"&amp;($A731+13/24),tData[Langligger01],1)</f>
        <v/>
      </c>
      <c r="R731" s="20">
        <f>COUNTIFS(tData[SEHTrajectPeriodeDatumTijdVan],"&lt;="&amp;($A731+14/24),tData[SEHTrajectPeriodeDatumTijdTotEnMet],"&gt;"&amp;($A731+14/24),tData[Langligger01],1)</f>
        <v/>
      </c>
      <c r="S731" s="20">
        <f>COUNTIFS(tData[SEHTrajectPeriodeDatumTijdVan],"&lt;="&amp;($A731+15/24),tData[SEHTrajectPeriodeDatumTijdTotEnMet],"&gt;"&amp;($A731+15/24),tData[Langligger01],1)</f>
        <v/>
      </c>
      <c r="T731" s="20">
        <f>COUNTIFS(tData[SEHTrajectPeriodeDatumTijdVan],"&lt;="&amp;($A731+16/24),tData[SEHTrajectPeriodeDatumTijdTotEnMet],"&gt;"&amp;($A731+16/24),tData[Langligger01],1)</f>
        <v/>
      </c>
      <c r="U731" s="20">
        <f>COUNTIFS(tData[SEHTrajectPeriodeDatumTijdVan],"&lt;="&amp;($A731+17/24),tData[SEHTrajectPeriodeDatumTijdTotEnMet],"&gt;"&amp;($A731+17/24),tData[Langligger01],1)</f>
        <v/>
      </c>
      <c r="V731" s="20">
        <f>COUNTIFS(tData[SEHTrajectPeriodeDatumTijdVan],"&lt;="&amp;($A731+18/24),tData[SEHTrajectPeriodeDatumTijdTotEnMet],"&gt;"&amp;($A731+18/24),tData[Langligger01],1)</f>
        <v/>
      </c>
      <c r="W731" s="20">
        <f>COUNTIFS(tData[SEHTrajectPeriodeDatumTijdVan],"&lt;="&amp;($A731+19/24),tData[SEHTrajectPeriodeDatumTijdTotEnMet],"&gt;"&amp;($A731+19/24),tData[Langligger01],1)</f>
        <v/>
      </c>
      <c r="X731" s="20">
        <f>COUNTIFS(tData[SEHTrajectPeriodeDatumTijdVan],"&lt;="&amp;($A731+20/24),tData[SEHTrajectPeriodeDatumTijdTotEnMet],"&gt;"&amp;($A731+20/24),tData[Langligger01],1)</f>
        <v/>
      </c>
      <c r="Y731" s="20">
        <f>COUNTIFS(tData[SEHTrajectPeriodeDatumTijdVan],"&lt;="&amp;($A731+21/24),tData[SEHTrajectPeriodeDatumTijdTotEnMet],"&gt;"&amp;($A731+21/24),tData[Langligger01],1)</f>
        <v/>
      </c>
      <c r="Z731" s="20">
        <f>COUNTIFS(tData[SEHTrajectPeriodeDatumTijdVan],"&lt;="&amp;($A731+22/24),tData[SEHTrajectPeriodeDatumTijdTotEnMet],"&gt;"&amp;($A731+22/24),tData[Langligger01],1)</f>
        <v/>
      </c>
      <c r="AA731" s="20">
        <f>COUNTIFS(tData[SEHTrajectPeriodeDatumTijdVan],"&lt;="&amp;($A731+23/24),tData[SEHTrajectPeriodeDatumTijdTotEnMet],"&gt;"&amp;($A731+23/24),tData[Langligger01],1)</f>
        <v/>
      </c>
    </row>
    <row r="732">
      <c r="A732" s="19" t="n">
        <v>46020</v>
      </c>
      <c r="B732" s="15">
        <f>WEEKDAY($A732,2)</f>
        <v/>
      </c>
      <c r="C732" s="15">
        <f>IF(AND($A732&gt;=INT(Instellingen!$B$5),$A732&lt;=INT(Instellingen!$B$6)),1,0)</f>
        <v/>
      </c>
      <c r="D732" s="20">
        <f>COUNTIFS(tData[SEHTrajectPeriodeDatumTijdVan],"&lt;="&amp;($A732+0/24),tData[SEHTrajectPeriodeDatumTijdTotEnMet],"&gt;"&amp;($A732+0/24),tData[Langligger01],1)</f>
        <v/>
      </c>
      <c r="E732" s="20">
        <f>COUNTIFS(tData[SEHTrajectPeriodeDatumTijdVan],"&lt;="&amp;($A732+1/24),tData[SEHTrajectPeriodeDatumTijdTotEnMet],"&gt;"&amp;($A732+1/24),tData[Langligger01],1)</f>
        <v/>
      </c>
      <c r="F732" s="20">
        <f>COUNTIFS(tData[SEHTrajectPeriodeDatumTijdVan],"&lt;="&amp;($A732+2/24),tData[SEHTrajectPeriodeDatumTijdTotEnMet],"&gt;"&amp;($A732+2/24),tData[Langligger01],1)</f>
        <v/>
      </c>
      <c r="G732" s="20">
        <f>COUNTIFS(tData[SEHTrajectPeriodeDatumTijdVan],"&lt;="&amp;($A732+3/24),tData[SEHTrajectPeriodeDatumTijdTotEnMet],"&gt;"&amp;($A732+3/24),tData[Langligger01],1)</f>
        <v/>
      </c>
      <c r="H732" s="20">
        <f>COUNTIFS(tData[SEHTrajectPeriodeDatumTijdVan],"&lt;="&amp;($A732+4/24),tData[SEHTrajectPeriodeDatumTijdTotEnMet],"&gt;"&amp;($A732+4/24),tData[Langligger01],1)</f>
        <v/>
      </c>
      <c r="I732" s="20">
        <f>COUNTIFS(tData[SEHTrajectPeriodeDatumTijdVan],"&lt;="&amp;($A732+5/24),tData[SEHTrajectPeriodeDatumTijdTotEnMet],"&gt;"&amp;($A732+5/24),tData[Langligger01],1)</f>
        <v/>
      </c>
      <c r="J732" s="20">
        <f>COUNTIFS(tData[SEHTrajectPeriodeDatumTijdVan],"&lt;="&amp;($A732+6/24),tData[SEHTrajectPeriodeDatumTijdTotEnMet],"&gt;"&amp;($A732+6/24),tData[Langligger01],1)</f>
        <v/>
      </c>
      <c r="K732" s="20">
        <f>COUNTIFS(tData[SEHTrajectPeriodeDatumTijdVan],"&lt;="&amp;($A732+7/24),tData[SEHTrajectPeriodeDatumTijdTotEnMet],"&gt;"&amp;($A732+7/24),tData[Langligger01],1)</f>
        <v/>
      </c>
      <c r="L732" s="20">
        <f>COUNTIFS(tData[SEHTrajectPeriodeDatumTijdVan],"&lt;="&amp;($A732+8/24),tData[SEHTrajectPeriodeDatumTijdTotEnMet],"&gt;"&amp;($A732+8/24),tData[Langligger01],1)</f>
        <v/>
      </c>
      <c r="M732" s="20">
        <f>COUNTIFS(tData[SEHTrajectPeriodeDatumTijdVan],"&lt;="&amp;($A732+9/24),tData[SEHTrajectPeriodeDatumTijdTotEnMet],"&gt;"&amp;($A732+9/24),tData[Langligger01],1)</f>
        <v/>
      </c>
      <c r="N732" s="20">
        <f>COUNTIFS(tData[SEHTrajectPeriodeDatumTijdVan],"&lt;="&amp;($A732+10/24),tData[SEHTrajectPeriodeDatumTijdTotEnMet],"&gt;"&amp;($A732+10/24),tData[Langligger01],1)</f>
        <v/>
      </c>
      <c r="O732" s="20">
        <f>COUNTIFS(tData[SEHTrajectPeriodeDatumTijdVan],"&lt;="&amp;($A732+11/24),tData[SEHTrajectPeriodeDatumTijdTotEnMet],"&gt;"&amp;($A732+11/24),tData[Langligger01],1)</f>
        <v/>
      </c>
      <c r="P732" s="20">
        <f>COUNTIFS(tData[SEHTrajectPeriodeDatumTijdVan],"&lt;="&amp;($A732+12/24),tData[SEHTrajectPeriodeDatumTijdTotEnMet],"&gt;"&amp;($A732+12/24),tData[Langligger01],1)</f>
        <v/>
      </c>
      <c r="Q732" s="20">
        <f>COUNTIFS(tData[SEHTrajectPeriodeDatumTijdVan],"&lt;="&amp;($A732+13/24),tData[SEHTrajectPeriodeDatumTijdTotEnMet],"&gt;"&amp;($A732+13/24),tData[Langligger01],1)</f>
        <v/>
      </c>
      <c r="R732" s="20">
        <f>COUNTIFS(tData[SEHTrajectPeriodeDatumTijdVan],"&lt;="&amp;($A732+14/24),tData[SEHTrajectPeriodeDatumTijdTotEnMet],"&gt;"&amp;($A732+14/24),tData[Langligger01],1)</f>
        <v/>
      </c>
      <c r="S732" s="20">
        <f>COUNTIFS(tData[SEHTrajectPeriodeDatumTijdVan],"&lt;="&amp;($A732+15/24),tData[SEHTrajectPeriodeDatumTijdTotEnMet],"&gt;"&amp;($A732+15/24),tData[Langligger01],1)</f>
        <v/>
      </c>
      <c r="T732" s="20">
        <f>COUNTIFS(tData[SEHTrajectPeriodeDatumTijdVan],"&lt;="&amp;($A732+16/24),tData[SEHTrajectPeriodeDatumTijdTotEnMet],"&gt;"&amp;($A732+16/24),tData[Langligger01],1)</f>
        <v/>
      </c>
      <c r="U732" s="20">
        <f>COUNTIFS(tData[SEHTrajectPeriodeDatumTijdVan],"&lt;="&amp;($A732+17/24),tData[SEHTrajectPeriodeDatumTijdTotEnMet],"&gt;"&amp;($A732+17/24),tData[Langligger01],1)</f>
        <v/>
      </c>
      <c r="V732" s="20">
        <f>COUNTIFS(tData[SEHTrajectPeriodeDatumTijdVan],"&lt;="&amp;($A732+18/24),tData[SEHTrajectPeriodeDatumTijdTotEnMet],"&gt;"&amp;($A732+18/24),tData[Langligger01],1)</f>
        <v/>
      </c>
      <c r="W732" s="20">
        <f>COUNTIFS(tData[SEHTrajectPeriodeDatumTijdVan],"&lt;="&amp;($A732+19/24),tData[SEHTrajectPeriodeDatumTijdTotEnMet],"&gt;"&amp;($A732+19/24),tData[Langligger01],1)</f>
        <v/>
      </c>
      <c r="X732" s="20">
        <f>COUNTIFS(tData[SEHTrajectPeriodeDatumTijdVan],"&lt;="&amp;($A732+20/24),tData[SEHTrajectPeriodeDatumTijdTotEnMet],"&gt;"&amp;($A732+20/24),tData[Langligger01],1)</f>
        <v/>
      </c>
      <c r="Y732" s="20">
        <f>COUNTIFS(tData[SEHTrajectPeriodeDatumTijdVan],"&lt;="&amp;($A732+21/24),tData[SEHTrajectPeriodeDatumTijdTotEnMet],"&gt;"&amp;($A732+21/24),tData[Langligger01],1)</f>
        <v/>
      </c>
      <c r="Z732" s="20">
        <f>COUNTIFS(tData[SEHTrajectPeriodeDatumTijdVan],"&lt;="&amp;($A732+22/24),tData[SEHTrajectPeriodeDatumTijdTotEnMet],"&gt;"&amp;($A732+22/24),tData[Langligger01],1)</f>
        <v/>
      </c>
      <c r="AA732" s="20">
        <f>COUNTIFS(tData[SEHTrajectPeriodeDatumTijdVan],"&lt;="&amp;($A732+23/24),tData[SEHTrajectPeriodeDatumTijdTotEnMet],"&gt;"&amp;($A732+23/24),tData[Langligger01],1)</f>
        <v/>
      </c>
    </row>
    <row r="733">
      <c r="A733" s="19" t="n">
        <v>46021</v>
      </c>
      <c r="B733" s="15">
        <f>WEEKDAY($A733,2)</f>
        <v/>
      </c>
      <c r="C733" s="15">
        <f>IF(AND($A733&gt;=INT(Instellingen!$B$5),$A733&lt;=INT(Instellingen!$B$6)),1,0)</f>
        <v/>
      </c>
      <c r="D733" s="20">
        <f>COUNTIFS(tData[SEHTrajectPeriodeDatumTijdVan],"&lt;="&amp;($A733+0/24),tData[SEHTrajectPeriodeDatumTijdTotEnMet],"&gt;"&amp;($A733+0/24),tData[Langligger01],1)</f>
        <v/>
      </c>
      <c r="E733" s="20">
        <f>COUNTIFS(tData[SEHTrajectPeriodeDatumTijdVan],"&lt;="&amp;($A733+1/24),tData[SEHTrajectPeriodeDatumTijdTotEnMet],"&gt;"&amp;($A733+1/24),tData[Langligger01],1)</f>
        <v/>
      </c>
      <c r="F733" s="20">
        <f>COUNTIFS(tData[SEHTrajectPeriodeDatumTijdVan],"&lt;="&amp;($A733+2/24),tData[SEHTrajectPeriodeDatumTijdTotEnMet],"&gt;"&amp;($A733+2/24),tData[Langligger01],1)</f>
        <v/>
      </c>
      <c r="G733" s="20">
        <f>COUNTIFS(tData[SEHTrajectPeriodeDatumTijdVan],"&lt;="&amp;($A733+3/24),tData[SEHTrajectPeriodeDatumTijdTotEnMet],"&gt;"&amp;($A733+3/24),tData[Langligger01],1)</f>
        <v/>
      </c>
      <c r="H733" s="20">
        <f>COUNTIFS(tData[SEHTrajectPeriodeDatumTijdVan],"&lt;="&amp;($A733+4/24),tData[SEHTrajectPeriodeDatumTijdTotEnMet],"&gt;"&amp;($A733+4/24),tData[Langligger01],1)</f>
        <v/>
      </c>
      <c r="I733" s="20">
        <f>COUNTIFS(tData[SEHTrajectPeriodeDatumTijdVan],"&lt;="&amp;($A733+5/24),tData[SEHTrajectPeriodeDatumTijdTotEnMet],"&gt;"&amp;($A733+5/24),tData[Langligger01],1)</f>
        <v/>
      </c>
      <c r="J733" s="20">
        <f>COUNTIFS(tData[SEHTrajectPeriodeDatumTijdVan],"&lt;="&amp;($A733+6/24),tData[SEHTrajectPeriodeDatumTijdTotEnMet],"&gt;"&amp;($A733+6/24),tData[Langligger01],1)</f>
        <v/>
      </c>
      <c r="K733" s="20">
        <f>COUNTIFS(tData[SEHTrajectPeriodeDatumTijdVan],"&lt;="&amp;($A733+7/24),tData[SEHTrajectPeriodeDatumTijdTotEnMet],"&gt;"&amp;($A733+7/24),tData[Langligger01],1)</f>
        <v/>
      </c>
      <c r="L733" s="20">
        <f>COUNTIFS(tData[SEHTrajectPeriodeDatumTijdVan],"&lt;="&amp;($A733+8/24),tData[SEHTrajectPeriodeDatumTijdTotEnMet],"&gt;"&amp;($A733+8/24),tData[Langligger01],1)</f>
        <v/>
      </c>
      <c r="M733" s="20">
        <f>COUNTIFS(tData[SEHTrajectPeriodeDatumTijdVan],"&lt;="&amp;($A733+9/24),tData[SEHTrajectPeriodeDatumTijdTotEnMet],"&gt;"&amp;($A733+9/24),tData[Langligger01],1)</f>
        <v/>
      </c>
      <c r="N733" s="20">
        <f>COUNTIFS(tData[SEHTrajectPeriodeDatumTijdVan],"&lt;="&amp;($A733+10/24),tData[SEHTrajectPeriodeDatumTijdTotEnMet],"&gt;"&amp;($A733+10/24),tData[Langligger01],1)</f>
        <v/>
      </c>
      <c r="O733" s="20">
        <f>COUNTIFS(tData[SEHTrajectPeriodeDatumTijdVan],"&lt;="&amp;($A733+11/24),tData[SEHTrajectPeriodeDatumTijdTotEnMet],"&gt;"&amp;($A733+11/24),tData[Langligger01],1)</f>
        <v/>
      </c>
      <c r="P733" s="20">
        <f>COUNTIFS(tData[SEHTrajectPeriodeDatumTijdVan],"&lt;="&amp;($A733+12/24),tData[SEHTrajectPeriodeDatumTijdTotEnMet],"&gt;"&amp;($A733+12/24),tData[Langligger01],1)</f>
        <v/>
      </c>
      <c r="Q733" s="20">
        <f>COUNTIFS(tData[SEHTrajectPeriodeDatumTijdVan],"&lt;="&amp;($A733+13/24),tData[SEHTrajectPeriodeDatumTijdTotEnMet],"&gt;"&amp;($A733+13/24),tData[Langligger01],1)</f>
        <v/>
      </c>
      <c r="R733" s="20">
        <f>COUNTIFS(tData[SEHTrajectPeriodeDatumTijdVan],"&lt;="&amp;($A733+14/24),tData[SEHTrajectPeriodeDatumTijdTotEnMet],"&gt;"&amp;($A733+14/24),tData[Langligger01],1)</f>
        <v/>
      </c>
      <c r="S733" s="20">
        <f>COUNTIFS(tData[SEHTrajectPeriodeDatumTijdVan],"&lt;="&amp;($A733+15/24),tData[SEHTrajectPeriodeDatumTijdTotEnMet],"&gt;"&amp;($A733+15/24),tData[Langligger01],1)</f>
        <v/>
      </c>
      <c r="T733" s="20">
        <f>COUNTIFS(tData[SEHTrajectPeriodeDatumTijdVan],"&lt;="&amp;($A733+16/24),tData[SEHTrajectPeriodeDatumTijdTotEnMet],"&gt;"&amp;($A733+16/24),tData[Langligger01],1)</f>
        <v/>
      </c>
      <c r="U733" s="20">
        <f>COUNTIFS(tData[SEHTrajectPeriodeDatumTijdVan],"&lt;="&amp;($A733+17/24),tData[SEHTrajectPeriodeDatumTijdTotEnMet],"&gt;"&amp;($A733+17/24),tData[Langligger01],1)</f>
        <v/>
      </c>
      <c r="V733" s="20">
        <f>COUNTIFS(tData[SEHTrajectPeriodeDatumTijdVan],"&lt;="&amp;($A733+18/24),tData[SEHTrajectPeriodeDatumTijdTotEnMet],"&gt;"&amp;($A733+18/24),tData[Langligger01],1)</f>
        <v/>
      </c>
      <c r="W733" s="20">
        <f>COUNTIFS(tData[SEHTrajectPeriodeDatumTijdVan],"&lt;="&amp;($A733+19/24),tData[SEHTrajectPeriodeDatumTijdTotEnMet],"&gt;"&amp;($A733+19/24),tData[Langligger01],1)</f>
        <v/>
      </c>
      <c r="X733" s="20">
        <f>COUNTIFS(tData[SEHTrajectPeriodeDatumTijdVan],"&lt;="&amp;($A733+20/24),tData[SEHTrajectPeriodeDatumTijdTotEnMet],"&gt;"&amp;($A733+20/24),tData[Langligger01],1)</f>
        <v/>
      </c>
      <c r="Y733" s="20">
        <f>COUNTIFS(tData[SEHTrajectPeriodeDatumTijdVan],"&lt;="&amp;($A733+21/24),tData[SEHTrajectPeriodeDatumTijdTotEnMet],"&gt;"&amp;($A733+21/24),tData[Langligger01],1)</f>
        <v/>
      </c>
      <c r="Z733" s="20">
        <f>COUNTIFS(tData[SEHTrajectPeriodeDatumTijdVan],"&lt;="&amp;($A733+22/24),tData[SEHTrajectPeriodeDatumTijdTotEnMet],"&gt;"&amp;($A733+22/24),tData[Langligger01],1)</f>
        <v/>
      </c>
      <c r="AA733" s="20">
        <f>COUNTIFS(tData[SEHTrajectPeriodeDatumTijdVan],"&lt;="&amp;($A733+23/24),tData[SEHTrajectPeriodeDatumTijdTotEnMet],"&gt;"&amp;($A733+23/24),tData[Langligger01],1)</f>
        <v/>
      </c>
    </row>
    <row r="734">
      <c r="A734" s="19" t="n">
        <v>46022</v>
      </c>
      <c r="B734" s="15">
        <f>WEEKDAY($A734,2)</f>
        <v/>
      </c>
      <c r="C734" s="15">
        <f>IF(AND($A734&gt;=INT(Instellingen!$B$5),$A734&lt;=INT(Instellingen!$B$6)),1,0)</f>
        <v/>
      </c>
      <c r="D734" s="20">
        <f>COUNTIFS(tData[SEHTrajectPeriodeDatumTijdVan],"&lt;="&amp;($A734+0/24),tData[SEHTrajectPeriodeDatumTijdTotEnMet],"&gt;"&amp;($A734+0/24),tData[Langligger01],1)</f>
        <v/>
      </c>
      <c r="E734" s="20">
        <f>COUNTIFS(tData[SEHTrajectPeriodeDatumTijdVan],"&lt;="&amp;($A734+1/24),tData[SEHTrajectPeriodeDatumTijdTotEnMet],"&gt;"&amp;($A734+1/24),tData[Langligger01],1)</f>
        <v/>
      </c>
      <c r="F734" s="20">
        <f>COUNTIFS(tData[SEHTrajectPeriodeDatumTijdVan],"&lt;="&amp;($A734+2/24),tData[SEHTrajectPeriodeDatumTijdTotEnMet],"&gt;"&amp;($A734+2/24),tData[Langligger01],1)</f>
        <v/>
      </c>
      <c r="G734" s="20">
        <f>COUNTIFS(tData[SEHTrajectPeriodeDatumTijdVan],"&lt;="&amp;($A734+3/24),tData[SEHTrajectPeriodeDatumTijdTotEnMet],"&gt;"&amp;($A734+3/24),tData[Langligger01],1)</f>
        <v/>
      </c>
      <c r="H734" s="20">
        <f>COUNTIFS(tData[SEHTrajectPeriodeDatumTijdVan],"&lt;="&amp;($A734+4/24),tData[SEHTrajectPeriodeDatumTijdTotEnMet],"&gt;"&amp;($A734+4/24),tData[Langligger01],1)</f>
        <v/>
      </c>
      <c r="I734" s="20">
        <f>COUNTIFS(tData[SEHTrajectPeriodeDatumTijdVan],"&lt;="&amp;($A734+5/24),tData[SEHTrajectPeriodeDatumTijdTotEnMet],"&gt;"&amp;($A734+5/24),tData[Langligger01],1)</f>
        <v/>
      </c>
      <c r="J734" s="20">
        <f>COUNTIFS(tData[SEHTrajectPeriodeDatumTijdVan],"&lt;="&amp;($A734+6/24),tData[SEHTrajectPeriodeDatumTijdTotEnMet],"&gt;"&amp;($A734+6/24),tData[Langligger01],1)</f>
        <v/>
      </c>
      <c r="K734" s="20">
        <f>COUNTIFS(tData[SEHTrajectPeriodeDatumTijdVan],"&lt;="&amp;($A734+7/24),tData[SEHTrajectPeriodeDatumTijdTotEnMet],"&gt;"&amp;($A734+7/24),tData[Langligger01],1)</f>
        <v/>
      </c>
      <c r="L734" s="20">
        <f>COUNTIFS(tData[SEHTrajectPeriodeDatumTijdVan],"&lt;="&amp;($A734+8/24),tData[SEHTrajectPeriodeDatumTijdTotEnMet],"&gt;"&amp;($A734+8/24),tData[Langligger01],1)</f>
        <v/>
      </c>
      <c r="M734" s="20">
        <f>COUNTIFS(tData[SEHTrajectPeriodeDatumTijdVan],"&lt;="&amp;($A734+9/24),tData[SEHTrajectPeriodeDatumTijdTotEnMet],"&gt;"&amp;($A734+9/24),tData[Langligger01],1)</f>
        <v/>
      </c>
      <c r="N734" s="20">
        <f>COUNTIFS(tData[SEHTrajectPeriodeDatumTijdVan],"&lt;="&amp;($A734+10/24),tData[SEHTrajectPeriodeDatumTijdTotEnMet],"&gt;"&amp;($A734+10/24),tData[Langligger01],1)</f>
        <v/>
      </c>
      <c r="O734" s="20">
        <f>COUNTIFS(tData[SEHTrajectPeriodeDatumTijdVan],"&lt;="&amp;($A734+11/24),tData[SEHTrajectPeriodeDatumTijdTotEnMet],"&gt;"&amp;($A734+11/24),tData[Langligger01],1)</f>
        <v/>
      </c>
      <c r="P734" s="20">
        <f>COUNTIFS(tData[SEHTrajectPeriodeDatumTijdVan],"&lt;="&amp;($A734+12/24),tData[SEHTrajectPeriodeDatumTijdTotEnMet],"&gt;"&amp;($A734+12/24),tData[Langligger01],1)</f>
        <v/>
      </c>
      <c r="Q734" s="20">
        <f>COUNTIFS(tData[SEHTrajectPeriodeDatumTijdVan],"&lt;="&amp;($A734+13/24),tData[SEHTrajectPeriodeDatumTijdTotEnMet],"&gt;"&amp;($A734+13/24),tData[Langligger01],1)</f>
        <v/>
      </c>
      <c r="R734" s="20">
        <f>COUNTIFS(tData[SEHTrajectPeriodeDatumTijdVan],"&lt;="&amp;($A734+14/24),tData[SEHTrajectPeriodeDatumTijdTotEnMet],"&gt;"&amp;($A734+14/24),tData[Langligger01],1)</f>
        <v/>
      </c>
      <c r="S734" s="20">
        <f>COUNTIFS(tData[SEHTrajectPeriodeDatumTijdVan],"&lt;="&amp;($A734+15/24),tData[SEHTrajectPeriodeDatumTijdTotEnMet],"&gt;"&amp;($A734+15/24),tData[Langligger01],1)</f>
        <v/>
      </c>
      <c r="T734" s="20">
        <f>COUNTIFS(tData[SEHTrajectPeriodeDatumTijdVan],"&lt;="&amp;($A734+16/24),tData[SEHTrajectPeriodeDatumTijdTotEnMet],"&gt;"&amp;($A734+16/24),tData[Langligger01],1)</f>
        <v/>
      </c>
      <c r="U734" s="20">
        <f>COUNTIFS(tData[SEHTrajectPeriodeDatumTijdVan],"&lt;="&amp;($A734+17/24),tData[SEHTrajectPeriodeDatumTijdTotEnMet],"&gt;"&amp;($A734+17/24),tData[Langligger01],1)</f>
        <v/>
      </c>
      <c r="V734" s="20">
        <f>COUNTIFS(tData[SEHTrajectPeriodeDatumTijdVan],"&lt;="&amp;($A734+18/24),tData[SEHTrajectPeriodeDatumTijdTotEnMet],"&gt;"&amp;($A734+18/24),tData[Langligger01],1)</f>
        <v/>
      </c>
      <c r="W734" s="20">
        <f>COUNTIFS(tData[SEHTrajectPeriodeDatumTijdVan],"&lt;="&amp;($A734+19/24),tData[SEHTrajectPeriodeDatumTijdTotEnMet],"&gt;"&amp;($A734+19/24),tData[Langligger01],1)</f>
        <v/>
      </c>
      <c r="X734" s="20">
        <f>COUNTIFS(tData[SEHTrajectPeriodeDatumTijdVan],"&lt;="&amp;($A734+20/24),tData[SEHTrajectPeriodeDatumTijdTotEnMet],"&gt;"&amp;($A734+20/24),tData[Langligger01],1)</f>
        <v/>
      </c>
      <c r="Y734" s="20">
        <f>COUNTIFS(tData[SEHTrajectPeriodeDatumTijdVan],"&lt;="&amp;($A734+21/24),tData[SEHTrajectPeriodeDatumTijdTotEnMet],"&gt;"&amp;($A734+21/24),tData[Langligger01],1)</f>
        <v/>
      </c>
      <c r="Z734" s="20">
        <f>COUNTIFS(tData[SEHTrajectPeriodeDatumTijdVan],"&lt;="&amp;($A734+22/24),tData[SEHTrajectPeriodeDatumTijdTotEnMet],"&gt;"&amp;($A734+22/24),tData[Langligger01],1)</f>
        <v/>
      </c>
      <c r="AA734" s="20">
        <f>COUNTIFS(tData[SEHTrajectPeriodeDatumTijdVan],"&lt;="&amp;($A734+23/24),tData[SEHTrajectPeriodeDatumTijdTotEnMet],"&gt;"&amp;($A734+23/24),tData[Langligger01],1)</f>
        <v/>
      </c>
    </row>
  </sheetData>
  <mergeCells count="1">
    <mergeCell ref="A2:N2"/>
  </mergeCells>
  <conditionalFormatting sqref="D4:AA734">
    <cfRule type="colorScale" priority="1">
      <colorScale>
        <cfvo type="num" val="0"/>
        <cfvo type="percentile" val="50"/>
        <cfvo type="max"/>
        <color rgb="00FFFFFF"/>
        <color rgb="00FFD966"/>
        <color rgb="00C0504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selection activeCell="A1" sqref="A1"/>
    </sheetView>
  </sheetViews>
  <sheetFormatPr baseColWidth="8" defaultRowHeight="15"/>
  <cols>
    <col hidden="1" width="4" customWidth="1" min="1" max="1"/>
    <col width="14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5.4" customWidth="1" min="15" max="15"/>
    <col width="5.4" customWidth="1" min="16" max="16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9" customWidth="1" min="27" max="27"/>
  </cols>
  <sheetData>
    <row r="1">
      <c r="A1" s="11" t="inlineStr">
        <is>
          <t>Vraag 1 – Langliggers per weekdag en uur (95e percentiel)</t>
        </is>
      </c>
    </row>
    <row r="2">
      <c r="A2" s="5" t="inlineStr">
        <is>
          <t>Op een DRUKKE dag: hoeveel langliggers liggen er tegelijk, per weekdag en uur? Getal = P95 uit de bezetting. Donkerder = drukker. Leg dit naast je artsenbezetting.</t>
        </is>
      </c>
    </row>
    <row r="4">
      <c r="A4" s="12" t="inlineStr">
        <is>
          <t>wd</t>
        </is>
      </c>
      <c r="B4" s="18" t="inlineStr">
        <is>
          <t>Weekdag \ Uur</t>
        </is>
      </c>
      <c r="C4" s="18" t="n">
        <v>0</v>
      </c>
      <c r="D4" s="18" t="n">
        <v>1</v>
      </c>
      <c r="E4" s="18" t="n">
        <v>2</v>
      </c>
      <c r="F4" s="18" t="n">
        <v>3</v>
      </c>
      <c r="G4" s="18" t="n">
        <v>4</v>
      </c>
      <c r="H4" s="18" t="n">
        <v>5</v>
      </c>
      <c r="I4" s="18" t="n">
        <v>6</v>
      </c>
      <c r="J4" s="18" t="n">
        <v>7</v>
      </c>
      <c r="K4" s="18" t="n">
        <v>8</v>
      </c>
      <c r="L4" s="18" t="n">
        <v>9</v>
      </c>
      <c r="M4" s="18" t="n">
        <v>10</v>
      </c>
      <c r="N4" s="18" t="n">
        <v>11</v>
      </c>
      <c r="O4" s="18" t="n">
        <v>12</v>
      </c>
      <c r="P4" s="18" t="n">
        <v>13</v>
      </c>
      <c r="Q4" s="18" t="n">
        <v>14</v>
      </c>
      <c r="R4" s="18" t="n">
        <v>15</v>
      </c>
      <c r="S4" s="18" t="n">
        <v>16</v>
      </c>
      <c r="T4" s="18" t="n">
        <v>17</v>
      </c>
      <c r="U4" s="18" t="n">
        <v>18</v>
      </c>
      <c r="V4" s="18" t="n">
        <v>19</v>
      </c>
      <c r="W4" s="18" t="n">
        <v>20</v>
      </c>
      <c r="X4" s="18" t="n">
        <v>21</v>
      </c>
      <c r="Y4" s="18" t="n">
        <v>22</v>
      </c>
      <c r="Z4" s="18" t="n">
        <v>23</v>
      </c>
      <c r="AA4" s="18" t="inlineStr">
        <is>
          <t>Hele dag</t>
        </is>
      </c>
    </row>
    <row r="5">
      <c r="A5" s="12" t="n">
        <v>1</v>
      </c>
      <c r="B5" s="21" t="inlineStr">
        <is>
          <t>maandag</t>
        </is>
      </c>
      <c r="C5" s="22">
        <f t="array" ref="C5">IFERROR(PERCENTILE(IF((Bezetting_Langlig!$B$4:$B$734=$A5)*(Bezetting_Langlig!$C$4:$C$734=1),Bezetting_Langlig!$D$4:$D$734),Instellingen!$B$3),"")</f>
        <v/>
      </c>
      <c r="D5" s="22">
        <f t="array" ref="D5">IFERROR(PERCENTILE(IF((Bezetting_Langlig!$B$4:$B$734=$A5)*(Bezetting_Langlig!$C$4:$C$734=1),Bezetting_Langlig!$E$4:$E$734),Instellingen!$B$3),"")</f>
        <v/>
      </c>
      <c r="E5" s="22">
        <f t="array" ref="E5">IFERROR(PERCENTILE(IF((Bezetting_Langlig!$B$4:$B$734=$A5)*(Bezetting_Langlig!$C$4:$C$734=1),Bezetting_Langlig!$F$4:$F$734),Instellingen!$B$3),"")</f>
        <v/>
      </c>
      <c r="F5" s="22">
        <f t="array" ref="F5">IFERROR(PERCENTILE(IF((Bezetting_Langlig!$B$4:$B$734=$A5)*(Bezetting_Langlig!$C$4:$C$734=1),Bezetting_Langlig!$G$4:$G$734),Instellingen!$B$3),"")</f>
        <v/>
      </c>
      <c r="G5" s="22">
        <f t="array" ref="G5">IFERROR(PERCENTILE(IF((Bezetting_Langlig!$B$4:$B$734=$A5)*(Bezetting_Langlig!$C$4:$C$734=1),Bezetting_Langlig!$H$4:$H$734),Instellingen!$B$3),"")</f>
        <v/>
      </c>
      <c r="H5" s="22">
        <f t="array" ref="H5">IFERROR(PERCENTILE(IF((Bezetting_Langlig!$B$4:$B$734=$A5)*(Bezetting_Langlig!$C$4:$C$734=1),Bezetting_Langlig!$I$4:$I$734),Instellingen!$B$3),"")</f>
        <v/>
      </c>
      <c r="I5" s="22">
        <f t="array" ref="I5">IFERROR(PERCENTILE(IF((Bezetting_Langlig!$B$4:$B$734=$A5)*(Bezetting_Langlig!$C$4:$C$734=1),Bezetting_Langlig!$J$4:$J$734),Instellingen!$B$3),"")</f>
        <v/>
      </c>
      <c r="J5" s="22">
        <f t="array" ref="J5">IFERROR(PERCENTILE(IF((Bezetting_Langlig!$B$4:$B$734=$A5)*(Bezetting_Langlig!$C$4:$C$734=1),Bezetting_Langlig!$K$4:$K$734),Instellingen!$B$3),"")</f>
        <v/>
      </c>
      <c r="K5" s="22">
        <f t="array" ref="K5">IFERROR(PERCENTILE(IF((Bezetting_Langlig!$B$4:$B$734=$A5)*(Bezetting_Langlig!$C$4:$C$734=1),Bezetting_Langlig!$L$4:$L$734),Instellingen!$B$3),"")</f>
        <v/>
      </c>
      <c r="L5" s="22">
        <f t="array" ref="L5">IFERROR(PERCENTILE(IF((Bezetting_Langlig!$B$4:$B$734=$A5)*(Bezetting_Langlig!$C$4:$C$734=1),Bezetting_Langlig!$M$4:$M$734),Instellingen!$B$3),"")</f>
        <v/>
      </c>
      <c r="M5" s="22">
        <f t="array" ref="M5">IFERROR(PERCENTILE(IF((Bezetting_Langlig!$B$4:$B$734=$A5)*(Bezetting_Langlig!$C$4:$C$734=1),Bezetting_Langlig!$N$4:$N$734),Instellingen!$B$3),"")</f>
        <v/>
      </c>
      <c r="N5" s="22">
        <f t="array" ref="N5">IFERROR(PERCENTILE(IF((Bezetting_Langlig!$B$4:$B$734=$A5)*(Bezetting_Langlig!$C$4:$C$734=1),Bezetting_Langlig!$O$4:$O$734),Instellingen!$B$3),"")</f>
        <v/>
      </c>
      <c r="O5" s="22">
        <f t="array" ref="O5">IFERROR(PERCENTILE(IF((Bezetting_Langlig!$B$4:$B$734=$A5)*(Bezetting_Langlig!$C$4:$C$734=1),Bezetting_Langlig!$P$4:$P$734),Instellingen!$B$3),"")</f>
        <v/>
      </c>
      <c r="P5" s="22">
        <f t="array" ref="P5">IFERROR(PERCENTILE(IF((Bezetting_Langlig!$B$4:$B$734=$A5)*(Bezetting_Langlig!$C$4:$C$734=1),Bezetting_Langlig!$Q$4:$Q$734),Instellingen!$B$3),"")</f>
        <v/>
      </c>
      <c r="Q5" s="22">
        <f t="array" ref="Q5">IFERROR(PERCENTILE(IF((Bezetting_Langlig!$B$4:$B$734=$A5)*(Bezetting_Langlig!$C$4:$C$734=1),Bezetting_Langlig!$R$4:$R$734),Instellingen!$B$3),"")</f>
        <v/>
      </c>
      <c r="R5" s="22">
        <f t="array" ref="R5">IFERROR(PERCENTILE(IF((Bezetting_Langlig!$B$4:$B$734=$A5)*(Bezetting_Langlig!$C$4:$C$734=1),Bezetting_Langlig!$S$4:$S$734),Instellingen!$B$3),"")</f>
        <v/>
      </c>
      <c r="S5" s="22">
        <f t="array" ref="S5">IFERROR(PERCENTILE(IF((Bezetting_Langlig!$B$4:$B$734=$A5)*(Bezetting_Langlig!$C$4:$C$734=1),Bezetting_Langlig!$T$4:$T$734),Instellingen!$B$3),"")</f>
        <v/>
      </c>
      <c r="T5" s="22">
        <f t="array" ref="T5">IFERROR(PERCENTILE(IF((Bezetting_Langlig!$B$4:$B$734=$A5)*(Bezetting_Langlig!$C$4:$C$734=1),Bezetting_Langlig!$U$4:$U$734),Instellingen!$B$3),"")</f>
        <v/>
      </c>
      <c r="U5" s="22">
        <f t="array" ref="U5">IFERROR(PERCENTILE(IF((Bezetting_Langlig!$B$4:$B$734=$A5)*(Bezetting_Langlig!$C$4:$C$734=1),Bezetting_Langlig!$V$4:$V$734),Instellingen!$B$3),"")</f>
        <v/>
      </c>
      <c r="V5" s="22">
        <f t="array" ref="V5">IFERROR(PERCENTILE(IF((Bezetting_Langlig!$B$4:$B$734=$A5)*(Bezetting_Langlig!$C$4:$C$734=1),Bezetting_Langlig!$W$4:$W$734),Instellingen!$B$3),"")</f>
        <v/>
      </c>
      <c r="W5" s="22">
        <f t="array" ref="W5">IFERROR(PERCENTILE(IF((Bezetting_Langlig!$B$4:$B$734=$A5)*(Bezetting_Langlig!$C$4:$C$734=1),Bezetting_Langlig!$X$4:$X$734),Instellingen!$B$3),"")</f>
        <v/>
      </c>
      <c r="X5" s="22">
        <f t="array" ref="X5">IFERROR(PERCENTILE(IF((Bezetting_Langlig!$B$4:$B$734=$A5)*(Bezetting_Langlig!$C$4:$C$734=1),Bezetting_Langlig!$Y$4:$Y$734),Instellingen!$B$3),"")</f>
        <v/>
      </c>
      <c r="Y5" s="22">
        <f t="array" ref="Y5">IFERROR(PERCENTILE(IF((Bezetting_Langlig!$B$4:$B$734=$A5)*(Bezetting_Langlig!$C$4:$C$734=1),Bezetting_Langlig!$Z$4:$Z$734),Instellingen!$B$3),"")</f>
        <v/>
      </c>
      <c r="Z5" s="22">
        <f t="array" ref="Z5">IFERROR(PERCENTILE(IF((Bezetting_Langlig!$B$4:$B$734=$A5)*(Bezetting_Langlig!$C$4:$C$734=1),Bezetting_Langlig!$AA$4:$AA$734),Instellingen!$B$3),"")</f>
        <v/>
      </c>
      <c r="AA5" s="23">
        <f t="array" ref="AA5">IFERROR(PERCENTILE(IF((Bezetting_Langlig!$B$4:$B$734=$A5)*(Bezetting_Langlig!$C$4:$C$734=1),Bezetting_Langlig!$D$4:$AA$734),Instellingen!$B$3),"")</f>
        <v/>
      </c>
    </row>
    <row r="6">
      <c r="A6" s="12" t="n">
        <v>2</v>
      </c>
      <c r="B6" s="21" t="inlineStr">
        <is>
          <t>dinsdag</t>
        </is>
      </c>
      <c r="C6" s="22">
        <f t="array" ref="C6">IFERROR(PERCENTILE(IF((Bezetting_Langlig!$B$4:$B$734=$A6)*(Bezetting_Langlig!$C$4:$C$734=1),Bezetting_Langlig!$D$4:$D$734),Instellingen!$B$3),"")</f>
        <v/>
      </c>
      <c r="D6" s="22">
        <f t="array" ref="D6">IFERROR(PERCENTILE(IF((Bezetting_Langlig!$B$4:$B$734=$A6)*(Bezetting_Langlig!$C$4:$C$734=1),Bezetting_Langlig!$E$4:$E$734),Instellingen!$B$3),"")</f>
        <v/>
      </c>
      <c r="E6" s="22">
        <f t="array" ref="E6">IFERROR(PERCENTILE(IF((Bezetting_Langlig!$B$4:$B$734=$A6)*(Bezetting_Langlig!$C$4:$C$734=1),Bezetting_Langlig!$F$4:$F$734),Instellingen!$B$3),"")</f>
        <v/>
      </c>
      <c r="F6" s="22">
        <f t="array" ref="F6">IFERROR(PERCENTILE(IF((Bezetting_Langlig!$B$4:$B$734=$A6)*(Bezetting_Langlig!$C$4:$C$734=1),Bezetting_Langlig!$G$4:$G$734),Instellingen!$B$3),"")</f>
        <v/>
      </c>
      <c r="G6" s="22">
        <f t="array" ref="G6">IFERROR(PERCENTILE(IF((Bezetting_Langlig!$B$4:$B$734=$A6)*(Bezetting_Langlig!$C$4:$C$734=1),Bezetting_Langlig!$H$4:$H$734),Instellingen!$B$3),"")</f>
        <v/>
      </c>
      <c r="H6" s="22">
        <f t="array" ref="H6">IFERROR(PERCENTILE(IF((Bezetting_Langlig!$B$4:$B$734=$A6)*(Bezetting_Langlig!$C$4:$C$734=1),Bezetting_Langlig!$I$4:$I$734),Instellingen!$B$3),"")</f>
        <v/>
      </c>
      <c r="I6" s="22">
        <f t="array" ref="I6">IFERROR(PERCENTILE(IF((Bezetting_Langlig!$B$4:$B$734=$A6)*(Bezetting_Langlig!$C$4:$C$734=1),Bezetting_Langlig!$J$4:$J$734),Instellingen!$B$3),"")</f>
        <v/>
      </c>
      <c r="J6" s="22">
        <f t="array" ref="J6">IFERROR(PERCENTILE(IF((Bezetting_Langlig!$B$4:$B$734=$A6)*(Bezetting_Langlig!$C$4:$C$734=1),Bezetting_Langlig!$K$4:$K$734),Instellingen!$B$3),"")</f>
        <v/>
      </c>
      <c r="K6" s="22">
        <f t="array" ref="K6">IFERROR(PERCENTILE(IF((Bezetting_Langlig!$B$4:$B$734=$A6)*(Bezetting_Langlig!$C$4:$C$734=1),Bezetting_Langlig!$L$4:$L$734),Instellingen!$B$3),"")</f>
        <v/>
      </c>
      <c r="L6" s="22">
        <f t="array" ref="L6">IFERROR(PERCENTILE(IF((Bezetting_Langlig!$B$4:$B$734=$A6)*(Bezetting_Langlig!$C$4:$C$734=1),Bezetting_Langlig!$M$4:$M$734),Instellingen!$B$3),"")</f>
        <v/>
      </c>
      <c r="M6" s="22">
        <f t="array" ref="M6">IFERROR(PERCENTILE(IF((Bezetting_Langlig!$B$4:$B$734=$A6)*(Bezetting_Langlig!$C$4:$C$734=1),Bezetting_Langlig!$N$4:$N$734),Instellingen!$B$3),"")</f>
        <v/>
      </c>
      <c r="N6" s="22">
        <f t="array" ref="N6">IFERROR(PERCENTILE(IF((Bezetting_Langlig!$B$4:$B$734=$A6)*(Bezetting_Langlig!$C$4:$C$734=1),Bezetting_Langlig!$O$4:$O$734),Instellingen!$B$3),"")</f>
        <v/>
      </c>
      <c r="O6" s="22">
        <f t="array" ref="O6">IFERROR(PERCENTILE(IF((Bezetting_Langlig!$B$4:$B$734=$A6)*(Bezetting_Langlig!$C$4:$C$734=1),Bezetting_Langlig!$P$4:$P$734),Instellingen!$B$3),"")</f>
        <v/>
      </c>
      <c r="P6" s="22">
        <f t="array" ref="P6">IFERROR(PERCENTILE(IF((Bezetting_Langlig!$B$4:$B$734=$A6)*(Bezetting_Langlig!$C$4:$C$734=1),Bezetting_Langlig!$Q$4:$Q$734),Instellingen!$B$3),"")</f>
        <v/>
      </c>
      <c r="Q6" s="22">
        <f t="array" ref="Q6">IFERROR(PERCENTILE(IF((Bezetting_Langlig!$B$4:$B$734=$A6)*(Bezetting_Langlig!$C$4:$C$734=1),Bezetting_Langlig!$R$4:$R$734),Instellingen!$B$3),"")</f>
        <v/>
      </c>
      <c r="R6" s="22">
        <f t="array" ref="R6">IFERROR(PERCENTILE(IF((Bezetting_Langlig!$B$4:$B$734=$A6)*(Bezetting_Langlig!$C$4:$C$734=1),Bezetting_Langlig!$S$4:$S$734),Instellingen!$B$3),"")</f>
        <v/>
      </c>
      <c r="S6" s="22">
        <f t="array" ref="S6">IFERROR(PERCENTILE(IF((Bezetting_Langlig!$B$4:$B$734=$A6)*(Bezetting_Langlig!$C$4:$C$734=1),Bezetting_Langlig!$T$4:$T$734),Instellingen!$B$3),"")</f>
        <v/>
      </c>
      <c r="T6" s="22">
        <f t="array" ref="T6">IFERROR(PERCENTILE(IF((Bezetting_Langlig!$B$4:$B$734=$A6)*(Bezetting_Langlig!$C$4:$C$734=1),Bezetting_Langlig!$U$4:$U$734),Instellingen!$B$3),"")</f>
        <v/>
      </c>
      <c r="U6" s="22">
        <f t="array" ref="U6">IFERROR(PERCENTILE(IF((Bezetting_Langlig!$B$4:$B$734=$A6)*(Bezetting_Langlig!$C$4:$C$734=1),Bezetting_Langlig!$V$4:$V$734),Instellingen!$B$3),"")</f>
        <v/>
      </c>
      <c r="V6" s="22">
        <f t="array" ref="V6">IFERROR(PERCENTILE(IF((Bezetting_Langlig!$B$4:$B$734=$A6)*(Bezetting_Langlig!$C$4:$C$734=1),Bezetting_Langlig!$W$4:$W$734),Instellingen!$B$3),"")</f>
        <v/>
      </c>
      <c r="W6" s="22">
        <f t="array" ref="W6">IFERROR(PERCENTILE(IF((Bezetting_Langlig!$B$4:$B$734=$A6)*(Bezetting_Langlig!$C$4:$C$734=1),Bezetting_Langlig!$X$4:$X$734),Instellingen!$B$3),"")</f>
        <v/>
      </c>
      <c r="X6" s="22">
        <f t="array" ref="X6">IFERROR(PERCENTILE(IF((Bezetting_Langlig!$B$4:$B$734=$A6)*(Bezetting_Langlig!$C$4:$C$734=1),Bezetting_Langlig!$Y$4:$Y$734),Instellingen!$B$3),"")</f>
        <v/>
      </c>
      <c r="Y6" s="22">
        <f t="array" ref="Y6">IFERROR(PERCENTILE(IF((Bezetting_Langlig!$B$4:$B$734=$A6)*(Bezetting_Langlig!$C$4:$C$734=1),Bezetting_Langlig!$Z$4:$Z$734),Instellingen!$B$3),"")</f>
        <v/>
      </c>
      <c r="Z6" s="22">
        <f t="array" ref="Z6">IFERROR(PERCENTILE(IF((Bezetting_Langlig!$B$4:$B$734=$A6)*(Bezetting_Langlig!$C$4:$C$734=1),Bezetting_Langlig!$AA$4:$AA$734),Instellingen!$B$3),"")</f>
        <v/>
      </c>
      <c r="AA6" s="23">
        <f t="array" ref="AA6">IFERROR(PERCENTILE(IF((Bezetting_Langlig!$B$4:$B$734=$A6)*(Bezetting_Langlig!$C$4:$C$734=1),Bezetting_Langlig!$D$4:$AA$734),Instellingen!$B$3),"")</f>
        <v/>
      </c>
    </row>
    <row r="7">
      <c r="A7" s="12" t="n">
        <v>3</v>
      </c>
      <c r="B7" s="21" t="inlineStr">
        <is>
          <t>woensdag</t>
        </is>
      </c>
      <c r="C7" s="22">
        <f t="array" ref="C7">IFERROR(PERCENTILE(IF((Bezetting_Langlig!$B$4:$B$734=$A7)*(Bezetting_Langlig!$C$4:$C$734=1),Bezetting_Langlig!$D$4:$D$734),Instellingen!$B$3),"")</f>
        <v/>
      </c>
      <c r="D7" s="22">
        <f t="array" ref="D7">IFERROR(PERCENTILE(IF((Bezetting_Langlig!$B$4:$B$734=$A7)*(Bezetting_Langlig!$C$4:$C$734=1),Bezetting_Langlig!$E$4:$E$734),Instellingen!$B$3),"")</f>
        <v/>
      </c>
      <c r="E7" s="22">
        <f t="array" ref="E7">IFERROR(PERCENTILE(IF((Bezetting_Langlig!$B$4:$B$734=$A7)*(Bezetting_Langlig!$C$4:$C$734=1),Bezetting_Langlig!$F$4:$F$734),Instellingen!$B$3),"")</f>
        <v/>
      </c>
      <c r="F7" s="22">
        <f t="array" ref="F7">IFERROR(PERCENTILE(IF((Bezetting_Langlig!$B$4:$B$734=$A7)*(Bezetting_Langlig!$C$4:$C$734=1),Bezetting_Langlig!$G$4:$G$734),Instellingen!$B$3),"")</f>
        <v/>
      </c>
      <c r="G7" s="22">
        <f t="array" ref="G7">IFERROR(PERCENTILE(IF((Bezetting_Langlig!$B$4:$B$734=$A7)*(Bezetting_Langlig!$C$4:$C$734=1),Bezetting_Langlig!$H$4:$H$734),Instellingen!$B$3),"")</f>
        <v/>
      </c>
      <c r="H7" s="22">
        <f t="array" ref="H7">IFERROR(PERCENTILE(IF((Bezetting_Langlig!$B$4:$B$734=$A7)*(Bezetting_Langlig!$C$4:$C$734=1),Bezetting_Langlig!$I$4:$I$734),Instellingen!$B$3),"")</f>
        <v/>
      </c>
      <c r="I7" s="22">
        <f t="array" ref="I7">IFERROR(PERCENTILE(IF((Bezetting_Langlig!$B$4:$B$734=$A7)*(Bezetting_Langlig!$C$4:$C$734=1),Bezetting_Langlig!$J$4:$J$734),Instellingen!$B$3),"")</f>
        <v/>
      </c>
      <c r="J7" s="22">
        <f t="array" ref="J7">IFERROR(PERCENTILE(IF((Bezetting_Langlig!$B$4:$B$734=$A7)*(Bezetting_Langlig!$C$4:$C$734=1),Bezetting_Langlig!$K$4:$K$734),Instellingen!$B$3),"")</f>
        <v/>
      </c>
      <c r="K7" s="22">
        <f t="array" ref="K7">IFERROR(PERCENTILE(IF((Bezetting_Langlig!$B$4:$B$734=$A7)*(Bezetting_Langlig!$C$4:$C$734=1),Bezetting_Langlig!$L$4:$L$734),Instellingen!$B$3),"")</f>
        <v/>
      </c>
      <c r="L7" s="22">
        <f t="array" ref="L7">IFERROR(PERCENTILE(IF((Bezetting_Langlig!$B$4:$B$734=$A7)*(Bezetting_Langlig!$C$4:$C$734=1),Bezetting_Langlig!$M$4:$M$734),Instellingen!$B$3),"")</f>
        <v/>
      </c>
      <c r="M7" s="22">
        <f t="array" ref="M7">IFERROR(PERCENTILE(IF((Bezetting_Langlig!$B$4:$B$734=$A7)*(Bezetting_Langlig!$C$4:$C$734=1),Bezetting_Langlig!$N$4:$N$734),Instellingen!$B$3),"")</f>
        <v/>
      </c>
      <c r="N7" s="22">
        <f t="array" ref="N7">IFERROR(PERCENTILE(IF((Bezetting_Langlig!$B$4:$B$734=$A7)*(Bezetting_Langlig!$C$4:$C$734=1),Bezetting_Langlig!$O$4:$O$734),Instellingen!$B$3),"")</f>
        <v/>
      </c>
      <c r="O7" s="22">
        <f t="array" ref="O7">IFERROR(PERCENTILE(IF((Bezetting_Langlig!$B$4:$B$734=$A7)*(Bezetting_Langlig!$C$4:$C$734=1),Bezetting_Langlig!$P$4:$P$734),Instellingen!$B$3),"")</f>
        <v/>
      </c>
      <c r="P7" s="22">
        <f t="array" ref="P7">IFERROR(PERCENTILE(IF((Bezetting_Langlig!$B$4:$B$734=$A7)*(Bezetting_Langlig!$C$4:$C$734=1),Bezetting_Langlig!$Q$4:$Q$734),Instellingen!$B$3),"")</f>
        <v/>
      </c>
      <c r="Q7" s="22">
        <f t="array" ref="Q7">IFERROR(PERCENTILE(IF((Bezetting_Langlig!$B$4:$B$734=$A7)*(Bezetting_Langlig!$C$4:$C$734=1),Bezetting_Langlig!$R$4:$R$734),Instellingen!$B$3),"")</f>
        <v/>
      </c>
      <c r="R7" s="22">
        <f t="array" ref="R7">IFERROR(PERCENTILE(IF((Bezetting_Langlig!$B$4:$B$734=$A7)*(Bezetting_Langlig!$C$4:$C$734=1),Bezetting_Langlig!$S$4:$S$734),Instellingen!$B$3),"")</f>
        <v/>
      </c>
      <c r="S7" s="22">
        <f t="array" ref="S7">IFERROR(PERCENTILE(IF((Bezetting_Langlig!$B$4:$B$734=$A7)*(Bezetting_Langlig!$C$4:$C$734=1),Bezetting_Langlig!$T$4:$T$734),Instellingen!$B$3),"")</f>
        <v/>
      </c>
      <c r="T7" s="22">
        <f t="array" ref="T7">IFERROR(PERCENTILE(IF((Bezetting_Langlig!$B$4:$B$734=$A7)*(Bezetting_Langlig!$C$4:$C$734=1),Bezetting_Langlig!$U$4:$U$734),Instellingen!$B$3),"")</f>
        <v/>
      </c>
      <c r="U7" s="22">
        <f t="array" ref="U7">IFERROR(PERCENTILE(IF((Bezetting_Langlig!$B$4:$B$734=$A7)*(Bezetting_Langlig!$C$4:$C$734=1),Bezetting_Langlig!$V$4:$V$734),Instellingen!$B$3),"")</f>
        <v/>
      </c>
      <c r="V7" s="22">
        <f t="array" ref="V7">IFERROR(PERCENTILE(IF((Bezetting_Langlig!$B$4:$B$734=$A7)*(Bezetting_Langlig!$C$4:$C$734=1),Bezetting_Langlig!$W$4:$W$734),Instellingen!$B$3),"")</f>
        <v/>
      </c>
      <c r="W7" s="22">
        <f t="array" ref="W7">IFERROR(PERCENTILE(IF((Bezetting_Langlig!$B$4:$B$734=$A7)*(Bezetting_Langlig!$C$4:$C$734=1),Bezetting_Langlig!$X$4:$X$734),Instellingen!$B$3),"")</f>
        <v/>
      </c>
      <c r="X7" s="22">
        <f t="array" ref="X7">IFERROR(PERCENTILE(IF((Bezetting_Langlig!$B$4:$B$734=$A7)*(Bezetting_Langlig!$C$4:$C$734=1),Bezetting_Langlig!$Y$4:$Y$734),Instellingen!$B$3),"")</f>
        <v/>
      </c>
      <c r="Y7" s="22">
        <f t="array" ref="Y7">IFERROR(PERCENTILE(IF((Bezetting_Langlig!$B$4:$B$734=$A7)*(Bezetting_Langlig!$C$4:$C$734=1),Bezetting_Langlig!$Z$4:$Z$734),Instellingen!$B$3),"")</f>
        <v/>
      </c>
      <c r="Z7" s="22">
        <f t="array" ref="Z7">IFERROR(PERCENTILE(IF((Bezetting_Langlig!$B$4:$B$734=$A7)*(Bezetting_Langlig!$C$4:$C$734=1),Bezetting_Langlig!$AA$4:$AA$734),Instellingen!$B$3),"")</f>
        <v/>
      </c>
      <c r="AA7" s="23">
        <f t="array" ref="AA7">IFERROR(PERCENTILE(IF((Bezetting_Langlig!$B$4:$B$734=$A7)*(Bezetting_Langlig!$C$4:$C$734=1),Bezetting_Langlig!$D$4:$AA$734),Instellingen!$B$3),"")</f>
        <v/>
      </c>
    </row>
    <row r="8">
      <c r="A8" s="12" t="n">
        <v>4</v>
      </c>
      <c r="B8" s="21" t="inlineStr">
        <is>
          <t>donderdag</t>
        </is>
      </c>
      <c r="C8" s="22">
        <f t="array" ref="C8">IFERROR(PERCENTILE(IF((Bezetting_Langlig!$B$4:$B$734=$A8)*(Bezetting_Langlig!$C$4:$C$734=1),Bezetting_Langlig!$D$4:$D$734),Instellingen!$B$3),"")</f>
        <v/>
      </c>
      <c r="D8" s="22">
        <f t="array" ref="D8">IFERROR(PERCENTILE(IF((Bezetting_Langlig!$B$4:$B$734=$A8)*(Bezetting_Langlig!$C$4:$C$734=1),Bezetting_Langlig!$E$4:$E$734),Instellingen!$B$3),"")</f>
        <v/>
      </c>
      <c r="E8" s="22">
        <f t="array" ref="E8">IFERROR(PERCENTILE(IF((Bezetting_Langlig!$B$4:$B$734=$A8)*(Bezetting_Langlig!$C$4:$C$734=1),Bezetting_Langlig!$F$4:$F$734),Instellingen!$B$3),"")</f>
        <v/>
      </c>
      <c r="F8" s="22">
        <f t="array" ref="F8">IFERROR(PERCENTILE(IF((Bezetting_Langlig!$B$4:$B$734=$A8)*(Bezetting_Langlig!$C$4:$C$734=1),Bezetting_Langlig!$G$4:$G$734),Instellingen!$B$3),"")</f>
        <v/>
      </c>
      <c r="G8" s="22">
        <f t="array" ref="G8">IFERROR(PERCENTILE(IF((Bezetting_Langlig!$B$4:$B$734=$A8)*(Bezetting_Langlig!$C$4:$C$734=1),Bezetting_Langlig!$H$4:$H$734),Instellingen!$B$3),"")</f>
        <v/>
      </c>
      <c r="H8" s="22">
        <f t="array" ref="H8">IFERROR(PERCENTILE(IF((Bezetting_Langlig!$B$4:$B$734=$A8)*(Bezetting_Langlig!$C$4:$C$734=1),Bezetting_Langlig!$I$4:$I$734),Instellingen!$B$3),"")</f>
        <v/>
      </c>
      <c r="I8" s="22">
        <f t="array" ref="I8">IFERROR(PERCENTILE(IF((Bezetting_Langlig!$B$4:$B$734=$A8)*(Bezetting_Langlig!$C$4:$C$734=1),Bezetting_Langlig!$J$4:$J$734),Instellingen!$B$3),"")</f>
        <v/>
      </c>
      <c r="J8" s="22">
        <f t="array" ref="J8">IFERROR(PERCENTILE(IF((Bezetting_Langlig!$B$4:$B$734=$A8)*(Bezetting_Langlig!$C$4:$C$734=1),Bezetting_Langlig!$K$4:$K$734),Instellingen!$B$3),"")</f>
        <v/>
      </c>
      <c r="K8" s="22">
        <f t="array" ref="K8">IFERROR(PERCENTILE(IF((Bezetting_Langlig!$B$4:$B$734=$A8)*(Bezetting_Langlig!$C$4:$C$734=1),Bezetting_Langlig!$L$4:$L$734),Instellingen!$B$3),"")</f>
        <v/>
      </c>
      <c r="L8" s="22">
        <f t="array" ref="L8">IFERROR(PERCENTILE(IF((Bezetting_Langlig!$B$4:$B$734=$A8)*(Bezetting_Langlig!$C$4:$C$734=1),Bezetting_Langlig!$M$4:$M$734),Instellingen!$B$3),"")</f>
        <v/>
      </c>
      <c r="M8" s="22">
        <f t="array" ref="M8">IFERROR(PERCENTILE(IF((Bezetting_Langlig!$B$4:$B$734=$A8)*(Bezetting_Langlig!$C$4:$C$734=1),Bezetting_Langlig!$N$4:$N$734),Instellingen!$B$3),"")</f>
        <v/>
      </c>
      <c r="N8" s="22">
        <f t="array" ref="N8">IFERROR(PERCENTILE(IF((Bezetting_Langlig!$B$4:$B$734=$A8)*(Bezetting_Langlig!$C$4:$C$734=1),Bezetting_Langlig!$O$4:$O$734),Instellingen!$B$3),"")</f>
        <v/>
      </c>
      <c r="O8" s="22">
        <f t="array" ref="O8">IFERROR(PERCENTILE(IF((Bezetting_Langlig!$B$4:$B$734=$A8)*(Bezetting_Langlig!$C$4:$C$734=1),Bezetting_Langlig!$P$4:$P$734),Instellingen!$B$3),"")</f>
        <v/>
      </c>
      <c r="P8" s="22">
        <f t="array" ref="P8">IFERROR(PERCENTILE(IF((Bezetting_Langlig!$B$4:$B$734=$A8)*(Bezetting_Langlig!$C$4:$C$734=1),Bezetting_Langlig!$Q$4:$Q$734),Instellingen!$B$3),"")</f>
        <v/>
      </c>
      <c r="Q8" s="22">
        <f t="array" ref="Q8">IFERROR(PERCENTILE(IF((Bezetting_Langlig!$B$4:$B$734=$A8)*(Bezetting_Langlig!$C$4:$C$734=1),Bezetting_Langlig!$R$4:$R$734),Instellingen!$B$3),"")</f>
        <v/>
      </c>
      <c r="R8" s="22">
        <f t="array" ref="R8">IFERROR(PERCENTILE(IF((Bezetting_Langlig!$B$4:$B$734=$A8)*(Bezetting_Langlig!$C$4:$C$734=1),Bezetting_Langlig!$S$4:$S$734),Instellingen!$B$3),"")</f>
        <v/>
      </c>
      <c r="S8" s="22">
        <f t="array" ref="S8">IFERROR(PERCENTILE(IF((Bezetting_Langlig!$B$4:$B$734=$A8)*(Bezetting_Langlig!$C$4:$C$734=1),Bezetting_Langlig!$T$4:$T$734),Instellingen!$B$3),"")</f>
        <v/>
      </c>
      <c r="T8" s="22">
        <f t="array" ref="T8">IFERROR(PERCENTILE(IF((Bezetting_Langlig!$B$4:$B$734=$A8)*(Bezetting_Langlig!$C$4:$C$734=1),Bezetting_Langlig!$U$4:$U$734),Instellingen!$B$3),"")</f>
        <v/>
      </c>
      <c r="U8" s="22">
        <f t="array" ref="U8">IFERROR(PERCENTILE(IF((Bezetting_Langlig!$B$4:$B$734=$A8)*(Bezetting_Langlig!$C$4:$C$734=1),Bezetting_Langlig!$V$4:$V$734),Instellingen!$B$3),"")</f>
        <v/>
      </c>
      <c r="V8" s="22">
        <f t="array" ref="V8">IFERROR(PERCENTILE(IF((Bezetting_Langlig!$B$4:$B$734=$A8)*(Bezetting_Langlig!$C$4:$C$734=1),Bezetting_Langlig!$W$4:$W$734),Instellingen!$B$3),"")</f>
        <v/>
      </c>
      <c r="W8" s="22">
        <f t="array" ref="W8">IFERROR(PERCENTILE(IF((Bezetting_Langlig!$B$4:$B$734=$A8)*(Bezetting_Langlig!$C$4:$C$734=1),Bezetting_Langlig!$X$4:$X$734),Instellingen!$B$3),"")</f>
        <v/>
      </c>
      <c r="X8" s="22">
        <f t="array" ref="X8">IFERROR(PERCENTILE(IF((Bezetting_Langlig!$B$4:$B$734=$A8)*(Bezetting_Langlig!$C$4:$C$734=1),Bezetting_Langlig!$Y$4:$Y$734),Instellingen!$B$3),"")</f>
        <v/>
      </c>
      <c r="Y8" s="22">
        <f t="array" ref="Y8">IFERROR(PERCENTILE(IF((Bezetting_Langlig!$B$4:$B$734=$A8)*(Bezetting_Langlig!$C$4:$C$734=1),Bezetting_Langlig!$Z$4:$Z$734),Instellingen!$B$3),"")</f>
        <v/>
      </c>
      <c r="Z8" s="22">
        <f t="array" ref="Z8">IFERROR(PERCENTILE(IF((Bezetting_Langlig!$B$4:$B$734=$A8)*(Bezetting_Langlig!$C$4:$C$734=1),Bezetting_Langlig!$AA$4:$AA$734),Instellingen!$B$3),"")</f>
        <v/>
      </c>
      <c r="AA8" s="23">
        <f t="array" ref="AA8">IFERROR(PERCENTILE(IF((Bezetting_Langlig!$B$4:$B$734=$A8)*(Bezetting_Langlig!$C$4:$C$734=1),Bezetting_Langlig!$D$4:$AA$734),Instellingen!$B$3),"")</f>
        <v/>
      </c>
    </row>
    <row r="9">
      <c r="A9" s="12" t="n">
        <v>5</v>
      </c>
      <c r="B9" s="21" t="inlineStr">
        <is>
          <t>vrijdag</t>
        </is>
      </c>
      <c r="C9" s="22">
        <f t="array" ref="C9">IFERROR(PERCENTILE(IF((Bezetting_Langlig!$B$4:$B$734=$A9)*(Bezetting_Langlig!$C$4:$C$734=1),Bezetting_Langlig!$D$4:$D$734),Instellingen!$B$3),"")</f>
        <v/>
      </c>
      <c r="D9" s="22">
        <f t="array" ref="D9">IFERROR(PERCENTILE(IF((Bezetting_Langlig!$B$4:$B$734=$A9)*(Bezetting_Langlig!$C$4:$C$734=1),Bezetting_Langlig!$E$4:$E$734),Instellingen!$B$3),"")</f>
        <v/>
      </c>
      <c r="E9" s="22">
        <f t="array" ref="E9">IFERROR(PERCENTILE(IF((Bezetting_Langlig!$B$4:$B$734=$A9)*(Bezetting_Langlig!$C$4:$C$734=1),Bezetting_Langlig!$F$4:$F$734),Instellingen!$B$3),"")</f>
        <v/>
      </c>
      <c r="F9" s="22">
        <f t="array" ref="F9">IFERROR(PERCENTILE(IF((Bezetting_Langlig!$B$4:$B$734=$A9)*(Bezetting_Langlig!$C$4:$C$734=1),Bezetting_Langlig!$G$4:$G$734),Instellingen!$B$3),"")</f>
        <v/>
      </c>
      <c r="G9" s="22">
        <f t="array" ref="G9">IFERROR(PERCENTILE(IF((Bezetting_Langlig!$B$4:$B$734=$A9)*(Bezetting_Langlig!$C$4:$C$734=1),Bezetting_Langlig!$H$4:$H$734),Instellingen!$B$3),"")</f>
        <v/>
      </c>
      <c r="H9" s="22">
        <f t="array" ref="H9">IFERROR(PERCENTILE(IF((Bezetting_Langlig!$B$4:$B$734=$A9)*(Bezetting_Langlig!$C$4:$C$734=1),Bezetting_Langlig!$I$4:$I$734),Instellingen!$B$3),"")</f>
        <v/>
      </c>
      <c r="I9" s="22">
        <f t="array" ref="I9">IFERROR(PERCENTILE(IF((Bezetting_Langlig!$B$4:$B$734=$A9)*(Bezetting_Langlig!$C$4:$C$734=1),Bezetting_Langlig!$J$4:$J$734),Instellingen!$B$3),"")</f>
        <v/>
      </c>
      <c r="J9" s="22">
        <f t="array" ref="J9">IFERROR(PERCENTILE(IF((Bezetting_Langlig!$B$4:$B$734=$A9)*(Bezetting_Langlig!$C$4:$C$734=1),Bezetting_Langlig!$K$4:$K$734),Instellingen!$B$3),"")</f>
        <v/>
      </c>
      <c r="K9" s="22">
        <f t="array" ref="K9">IFERROR(PERCENTILE(IF((Bezetting_Langlig!$B$4:$B$734=$A9)*(Bezetting_Langlig!$C$4:$C$734=1),Bezetting_Langlig!$L$4:$L$734),Instellingen!$B$3),"")</f>
        <v/>
      </c>
      <c r="L9" s="22">
        <f t="array" ref="L9">IFERROR(PERCENTILE(IF((Bezetting_Langlig!$B$4:$B$734=$A9)*(Bezetting_Langlig!$C$4:$C$734=1),Bezetting_Langlig!$M$4:$M$734),Instellingen!$B$3),"")</f>
        <v/>
      </c>
      <c r="M9" s="22">
        <f t="array" ref="M9">IFERROR(PERCENTILE(IF((Bezetting_Langlig!$B$4:$B$734=$A9)*(Bezetting_Langlig!$C$4:$C$734=1),Bezetting_Langlig!$N$4:$N$734),Instellingen!$B$3),"")</f>
        <v/>
      </c>
      <c r="N9" s="22">
        <f t="array" ref="N9">IFERROR(PERCENTILE(IF((Bezetting_Langlig!$B$4:$B$734=$A9)*(Bezetting_Langlig!$C$4:$C$734=1),Bezetting_Langlig!$O$4:$O$734),Instellingen!$B$3),"")</f>
        <v/>
      </c>
      <c r="O9" s="22">
        <f t="array" ref="O9">IFERROR(PERCENTILE(IF((Bezetting_Langlig!$B$4:$B$734=$A9)*(Bezetting_Langlig!$C$4:$C$734=1),Bezetting_Langlig!$P$4:$P$734),Instellingen!$B$3),"")</f>
        <v/>
      </c>
      <c r="P9" s="22">
        <f t="array" ref="P9">IFERROR(PERCENTILE(IF((Bezetting_Langlig!$B$4:$B$734=$A9)*(Bezetting_Langlig!$C$4:$C$734=1),Bezetting_Langlig!$Q$4:$Q$734),Instellingen!$B$3),"")</f>
        <v/>
      </c>
      <c r="Q9" s="22">
        <f t="array" ref="Q9">IFERROR(PERCENTILE(IF((Bezetting_Langlig!$B$4:$B$734=$A9)*(Bezetting_Langlig!$C$4:$C$734=1),Bezetting_Langlig!$R$4:$R$734),Instellingen!$B$3),"")</f>
        <v/>
      </c>
      <c r="R9" s="22">
        <f t="array" ref="R9">IFERROR(PERCENTILE(IF((Bezetting_Langlig!$B$4:$B$734=$A9)*(Bezetting_Langlig!$C$4:$C$734=1),Bezetting_Langlig!$S$4:$S$734),Instellingen!$B$3),"")</f>
        <v/>
      </c>
      <c r="S9" s="22">
        <f t="array" ref="S9">IFERROR(PERCENTILE(IF((Bezetting_Langlig!$B$4:$B$734=$A9)*(Bezetting_Langlig!$C$4:$C$734=1),Bezetting_Langlig!$T$4:$T$734),Instellingen!$B$3),"")</f>
        <v/>
      </c>
      <c r="T9" s="22">
        <f t="array" ref="T9">IFERROR(PERCENTILE(IF((Bezetting_Langlig!$B$4:$B$734=$A9)*(Bezetting_Langlig!$C$4:$C$734=1),Bezetting_Langlig!$U$4:$U$734),Instellingen!$B$3),"")</f>
        <v/>
      </c>
      <c r="U9" s="22">
        <f t="array" ref="U9">IFERROR(PERCENTILE(IF((Bezetting_Langlig!$B$4:$B$734=$A9)*(Bezetting_Langlig!$C$4:$C$734=1),Bezetting_Langlig!$V$4:$V$734),Instellingen!$B$3),"")</f>
        <v/>
      </c>
      <c r="V9" s="22">
        <f t="array" ref="V9">IFERROR(PERCENTILE(IF((Bezetting_Langlig!$B$4:$B$734=$A9)*(Bezetting_Langlig!$C$4:$C$734=1),Bezetting_Langlig!$W$4:$W$734),Instellingen!$B$3),"")</f>
        <v/>
      </c>
      <c r="W9" s="22">
        <f t="array" ref="W9">IFERROR(PERCENTILE(IF((Bezetting_Langlig!$B$4:$B$734=$A9)*(Bezetting_Langlig!$C$4:$C$734=1),Bezetting_Langlig!$X$4:$X$734),Instellingen!$B$3),"")</f>
        <v/>
      </c>
      <c r="X9" s="22">
        <f t="array" ref="X9">IFERROR(PERCENTILE(IF((Bezetting_Langlig!$B$4:$B$734=$A9)*(Bezetting_Langlig!$C$4:$C$734=1),Bezetting_Langlig!$Y$4:$Y$734),Instellingen!$B$3),"")</f>
        <v/>
      </c>
      <c r="Y9" s="22">
        <f t="array" ref="Y9">IFERROR(PERCENTILE(IF((Bezetting_Langlig!$B$4:$B$734=$A9)*(Bezetting_Langlig!$C$4:$C$734=1),Bezetting_Langlig!$Z$4:$Z$734),Instellingen!$B$3),"")</f>
        <v/>
      </c>
      <c r="Z9" s="22">
        <f t="array" ref="Z9">IFERROR(PERCENTILE(IF((Bezetting_Langlig!$B$4:$B$734=$A9)*(Bezetting_Langlig!$C$4:$C$734=1),Bezetting_Langlig!$AA$4:$AA$734),Instellingen!$B$3),"")</f>
        <v/>
      </c>
      <c r="AA9" s="23">
        <f t="array" ref="AA9">IFERROR(PERCENTILE(IF((Bezetting_Langlig!$B$4:$B$734=$A9)*(Bezetting_Langlig!$C$4:$C$734=1),Bezetting_Langlig!$D$4:$AA$734),Instellingen!$B$3),"")</f>
        <v/>
      </c>
    </row>
    <row r="10">
      <c r="A10" s="12" t="n">
        <v>6</v>
      </c>
      <c r="B10" s="21" t="inlineStr">
        <is>
          <t>zaterdag</t>
        </is>
      </c>
      <c r="C10" s="22">
        <f t="array" ref="C10">IFERROR(PERCENTILE(IF((Bezetting_Langlig!$B$4:$B$734=$A10)*(Bezetting_Langlig!$C$4:$C$734=1),Bezetting_Langlig!$D$4:$D$734),Instellingen!$B$3),"")</f>
        <v/>
      </c>
      <c r="D10" s="22">
        <f t="array" ref="D10">IFERROR(PERCENTILE(IF((Bezetting_Langlig!$B$4:$B$734=$A10)*(Bezetting_Langlig!$C$4:$C$734=1),Bezetting_Langlig!$E$4:$E$734),Instellingen!$B$3),"")</f>
        <v/>
      </c>
      <c r="E10" s="22">
        <f t="array" ref="E10">IFERROR(PERCENTILE(IF((Bezetting_Langlig!$B$4:$B$734=$A10)*(Bezetting_Langlig!$C$4:$C$734=1),Bezetting_Langlig!$F$4:$F$734),Instellingen!$B$3),"")</f>
        <v/>
      </c>
      <c r="F10" s="22">
        <f t="array" ref="F10">IFERROR(PERCENTILE(IF((Bezetting_Langlig!$B$4:$B$734=$A10)*(Bezetting_Langlig!$C$4:$C$734=1),Bezetting_Langlig!$G$4:$G$734),Instellingen!$B$3),"")</f>
        <v/>
      </c>
      <c r="G10" s="22">
        <f t="array" ref="G10">IFERROR(PERCENTILE(IF((Bezetting_Langlig!$B$4:$B$734=$A10)*(Bezetting_Langlig!$C$4:$C$734=1),Bezetting_Langlig!$H$4:$H$734),Instellingen!$B$3),"")</f>
        <v/>
      </c>
      <c r="H10" s="22">
        <f t="array" ref="H10">IFERROR(PERCENTILE(IF((Bezetting_Langlig!$B$4:$B$734=$A10)*(Bezetting_Langlig!$C$4:$C$734=1),Bezetting_Langlig!$I$4:$I$734),Instellingen!$B$3),"")</f>
        <v/>
      </c>
      <c r="I10" s="22">
        <f t="array" ref="I10">IFERROR(PERCENTILE(IF((Bezetting_Langlig!$B$4:$B$734=$A10)*(Bezetting_Langlig!$C$4:$C$734=1),Bezetting_Langlig!$J$4:$J$734),Instellingen!$B$3),"")</f>
        <v/>
      </c>
      <c r="J10" s="22">
        <f t="array" ref="J10">IFERROR(PERCENTILE(IF((Bezetting_Langlig!$B$4:$B$734=$A10)*(Bezetting_Langlig!$C$4:$C$734=1),Bezetting_Langlig!$K$4:$K$734),Instellingen!$B$3),"")</f>
        <v/>
      </c>
      <c r="K10" s="22">
        <f t="array" ref="K10">IFERROR(PERCENTILE(IF((Bezetting_Langlig!$B$4:$B$734=$A10)*(Bezetting_Langlig!$C$4:$C$734=1),Bezetting_Langlig!$L$4:$L$734),Instellingen!$B$3),"")</f>
        <v/>
      </c>
      <c r="L10" s="22">
        <f t="array" ref="L10">IFERROR(PERCENTILE(IF((Bezetting_Langlig!$B$4:$B$734=$A10)*(Bezetting_Langlig!$C$4:$C$734=1),Bezetting_Langlig!$M$4:$M$734),Instellingen!$B$3),"")</f>
        <v/>
      </c>
      <c r="M10" s="22">
        <f t="array" ref="M10">IFERROR(PERCENTILE(IF((Bezetting_Langlig!$B$4:$B$734=$A10)*(Bezetting_Langlig!$C$4:$C$734=1),Bezetting_Langlig!$N$4:$N$734),Instellingen!$B$3),"")</f>
        <v/>
      </c>
      <c r="N10" s="22">
        <f t="array" ref="N10">IFERROR(PERCENTILE(IF((Bezetting_Langlig!$B$4:$B$734=$A10)*(Bezetting_Langlig!$C$4:$C$734=1),Bezetting_Langlig!$O$4:$O$734),Instellingen!$B$3),"")</f>
        <v/>
      </c>
      <c r="O10" s="22">
        <f t="array" ref="O10">IFERROR(PERCENTILE(IF((Bezetting_Langlig!$B$4:$B$734=$A10)*(Bezetting_Langlig!$C$4:$C$734=1),Bezetting_Langlig!$P$4:$P$734),Instellingen!$B$3),"")</f>
        <v/>
      </c>
      <c r="P10" s="22">
        <f t="array" ref="P10">IFERROR(PERCENTILE(IF((Bezetting_Langlig!$B$4:$B$734=$A10)*(Bezetting_Langlig!$C$4:$C$734=1),Bezetting_Langlig!$Q$4:$Q$734),Instellingen!$B$3),"")</f>
        <v/>
      </c>
      <c r="Q10" s="22">
        <f t="array" ref="Q10">IFERROR(PERCENTILE(IF((Bezetting_Langlig!$B$4:$B$734=$A10)*(Bezetting_Langlig!$C$4:$C$734=1),Bezetting_Langlig!$R$4:$R$734),Instellingen!$B$3),"")</f>
        <v/>
      </c>
      <c r="R10" s="22">
        <f t="array" ref="R10">IFERROR(PERCENTILE(IF((Bezetting_Langlig!$B$4:$B$734=$A10)*(Bezetting_Langlig!$C$4:$C$734=1),Bezetting_Langlig!$S$4:$S$734),Instellingen!$B$3),"")</f>
        <v/>
      </c>
      <c r="S10" s="22">
        <f t="array" ref="S10">IFERROR(PERCENTILE(IF((Bezetting_Langlig!$B$4:$B$734=$A10)*(Bezetting_Langlig!$C$4:$C$734=1),Bezetting_Langlig!$T$4:$T$734),Instellingen!$B$3),"")</f>
        <v/>
      </c>
      <c r="T10" s="22">
        <f t="array" ref="T10">IFERROR(PERCENTILE(IF((Bezetting_Langlig!$B$4:$B$734=$A10)*(Bezetting_Langlig!$C$4:$C$734=1),Bezetting_Langlig!$U$4:$U$734),Instellingen!$B$3),"")</f>
        <v/>
      </c>
      <c r="U10" s="22">
        <f t="array" ref="U10">IFERROR(PERCENTILE(IF((Bezetting_Langlig!$B$4:$B$734=$A10)*(Bezetting_Langlig!$C$4:$C$734=1),Bezetting_Langlig!$V$4:$V$734),Instellingen!$B$3),"")</f>
        <v/>
      </c>
      <c r="V10" s="22">
        <f t="array" ref="V10">IFERROR(PERCENTILE(IF((Bezetting_Langlig!$B$4:$B$734=$A10)*(Bezetting_Langlig!$C$4:$C$734=1),Bezetting_Langlig!$W$4:$W$734),Instellingen!$B$3),"")</f>
        <v/>
      </c>
      <c r="W10" s="22">
        <f t="array" ref="W10">IFERROR(PERCENTILE(IF((Bezetting_Langlig!$B$4:$B$734=$A10)*(Bezetting_Langlig!$C$4:$C$734=1),Bezetting_Langlig!$X$4:$X$734),Instellingen!$B$3),"")</f>
        <v/>
      </c>
      <c r="X10" s="22">
        <f t="array" ref="X10">IFERROR(PERCENTILE(IF((Bezetting_Langlig!$B$4:$B$734=$A10)*(Bezetting_Langlig!$C$4:$C$734=1),Bezetting_Langlig!$Y$4:$Y$734),Instellingen!$B$3),"")</f>
        <v/>
      </c>
      <c r="Y10" s="22">
        <f t="array" ref="Y10">IFERROR(PERCENTILE(IF((Bezetting_Langlig!$B$4:$B$734=$A10)*(Bezetting_Langlig!$C$4:$C$734=1),Bezetting_Langlig!$Z$4:$Z$734),Instellingen!$B$3),"")</f>
        <v/>
      </c>
      <c r="Z10" s="22">
        <f t="array" ref="Z10">IFERROR(PERCENTILE(IF((Bezetting_Langlig!$B$4:$B$734=$A10)*(Bezetting_Langlig!$C$4:$C$734=1),Bezetting_Langlig!$AA$4:$AA$734),Instellingen!$B$3),"")</f>
        <v/>
      </c>
      <c r="AA10" s="23">
        <f t="array" ref="AA10">IFERROR(PERCENTILE(IF((Bezetting_Langlig!$B$4:$B$734=$A10)*(Bezetting_Langlig!$C$4:$C$734=1),Bezetting_Langlig!$D$4:$AA$734),Instellingen!$B$3),"")</f>
        <v/>
      </c>
    </row>
    <row r="11">
      <c r="A11" s="12" t="n">
        <v>7</v>
      </c>
      <c r="B11" s="21" t="inlineStr">
        <is>
          <t>zondag</t>
        </is>
      </c>
      <c r="C11" s="22">
        <f t="array" ref="C11">IFERROR(PERCENTILE(IF((Bezetting_Langlig!$B$4:$B$734=$A11)*(Bezetting_Langlig!$C$4:$C$734=1),Bezetting_Langlig!$D$4:$D$734),Instellingen!$B$3),"")</f>
        <v/>
      </c>
      <c r="D11" s="22">
        <f t="array" ref="D11">IFERROR(PERCENTILE(IF((Bezetting_Langlig!$B$4:$B$734=$A11)*(Bezetting_Langlig!$C$4:$C$734=1),Bezetting_Langlig!$E$4:$E$734),Instellingen!$B$3),"")</f>
        <v/>
      </c>
      <c r="E11" s="22">
        <f t="array" ref="E11">IFERROR(PERCENTILE(IF((Bezetting_Langlig!$B$4:$B$734=$A11)*(Bezetting_Langlig!$C$4:$C$734=1),Bezetting_Langlig!$F$4:$F$734),Instellingen!$B$3),"")</f>
        <v/>
      </c>
      <c r="F11" s="22">
        <f t="array" ref="F11">IFERROR(PERCENTILE(IF((Bezetting_Langlig!$B$4:$B$734=$A11)*(Bezetting_Langlig!$C$4:$C$734=1),Bezetting_Langlig!$G$4:$G$734),Instellingen!$B$3),"")</f>
        <v/>
      </c>
      <c r="G11" s="22">
        <f t="array" ref="G11">IFERROR(PERCENTILE(IF((Bezetting_Langlig!$B$4:$B$734=$A11)*(Bezetting_Langlig!$C$4:$C$734=1),Bezetting_Langlig!$H$4:$H$734),Instellingen!$B$3),"")</f>
        <v/>
      </c>
      <c r="H11" s="22">
        <f t="array" ref="H11">IFERROR(PERCENTILE(IF((Bezetting_Langlig!$B$4:$B$734=$A11)*(Bezetting_Langlig!$C$4:$C$734=1),Bezetting_Langlig!$I$4:$I$734),Instellingen!$B$3),"")</f>
        <v/>
      </c>
      <c r="I11" s="22">
        <f t="array" ref="I11">IFERROR(PERCENTILE(IF((Bezetting_Langlig!$B$4:$B$734=$A11)*(Bezetting_Langlig!$C$4:$C$734=1),Bezetting_Langlig!$J$4:$J$734),Instellingen!$B$3),"")</f>
        <v/>
      </c>
      <c r="J11" s="22">
        <f t="array" ref="J11">IFERROR(PERCENTILE(IF((Bezetting_Langlig!$B$4:$B$734=$A11)*(Bezetting_Langlig!$C$4:$C$734=1),Bezetting_Langlig!$K$4:$K$734),Instellingen!$B$3),"")</f>
        <v/>
      </c>
      <c r="K11" s="22">
        <f t="array" ref="K11">IFERROR(PERCENTILE(IF((Bezetting_Langlig!$B$4:$B$734=$A11)*(Bezetting_Langlig!$C$4:$C$734=1),Bezetting_Langlig!$L$4:$L$734),Instellingen!$B$3),"")</f>
        <v/>
      </c>
      <c r="L11" s="22">
        <f t="array" ref="L11">IFERROR(PERCENTILE(IF((Bezetting_Langlig!$B$4:$B$734=$A11)*(Bezetting_Langlig!$C$4:$C$734=1),Bezetting_Langlig!$M$4:$M$734),Instellingen!$B$3),"")</f>
        <v/>
      </c>
      <c r="M11" s="22">
        <f t="array" ref="M11">IFERROR(PERCENTILE(IF((Bezetting_Langlig!$B$4:$B$734=$A11)*(Bezetting_Langlig!$C$4:$C$734=1),Bezetting_Langlig!$N$4:$N$734),Instellingen!$B$3),"")</f>
        <v/>
      </c>
      <c r="N11" s="22">
        <f t="array" ref="N11">IFERROR(PERCENTILE(IF((Bezetting_Langlig!$B$4:$B$734=$A11)*(Bezetting_Langlig!$C$4:$C$734=1),Bezetting_Langlig!$O$4:$O$734),Instellingen!$B$3),"")</f>
        <v/>
      </c>
      <c r="O11" s="22">
        <f t="array" ref="O11">IFERROR(PERCENTILE(IF((Bezetting_Langlig!$B$4:$B$734=$A11)*(Bezetting_Langlig!$C$4:$C$734=1),Bezetting_Langlig!$P$4:$P$734),Instellingen!$B$3),"")</f>
        <v/>
      </c>
      <c r="P11" s="22">
        <f t="array" ref="P11">IFERROR(PERCENTILE(IF((Bezetting_Langlig!$B$4:$B$734=$A11)*(Bezetting_Langlig!$C$4:$C$734=1),Bezetting_Langlig!$Q$4:$Q$734),Instellingen!$B$3),"")</f>
        <v/>
      </c>
      <c r="Q11" s="22">
        <f t="array" ref="Q11">IFERROR(PERCENTILE(IF((Bezetting_Langlig!$B$4:$B$734=$A11)*(Bezetting_Langlig!$C$4:$C$734=1),Bezetting_Langlig!$R$4:$R$734),Instellingen!$B$3),"")</f>
        <v/>
      </c>
      <c r="R11" s="22">
        <f t="array" ref="R11">IFERROR(PERCENTILE(IF((Bezetting_Langlig!$B$4:$B$734=$A11)*(Bezetting_Langlig!$C$4:$C$734=1),Bezetting_Langlig!$S$4:$S$734),Instellingen!$B$3),"")</f>
        <v/>
      </c>
      <c r="S11" s="22">
        <f t="array" ref="S11">IFERROR(PERCENTILE(IF((Bezetting_Langlig!$B$4:$B$734=$A11)*(Bezetting_Langlig!$C$4:$C$734=1),Bezetting_Langlig!$T$4:$T$734),Instellingen!$B$3),"")</f>
        <v/>
      </c>
      <c r="T11" s="22">
        <f t="array" ref="T11">IFERROR(PERCENTILE(IF((Bezetting_Langlig!$B$4:$B$734=$A11)*(Bezetting_Langlig!$C$4:$C$734=1),Bezetting_Langlig!$U$4:$U$734),Instellingen!$B$3),"")</f>
        <v/>
      </c>
      <c r="U11" s="22">
        <f t="array" ref="U11">IFERROR(PERCENTILE(IF((Bezetting_Langlig!$B$4:$B$734=$A11)*(Bezetting_Langlig!$C$4:$C$734=1),Bezetting_Langlig!$V$4:$V$734),Instellingen!$B$3),"")</f>
        <v/>
      </c>
      <c r="V11" s="22">
        <f t="array" ref="V11">IFERROR(PERCENTILE(IF((Bezetting_Langlig!$B$4:$B$734=$A11)*(Bezetting_Langlig!$C$4:$C$734=1),Bezetting_Langlig!$W$4:$W$734),Instellingen!$B$3),"")</f>
        <v/>
      </c>
      <c r="W11" s="22">
        <f t="array" ref="W11">IFERROR(PERCENTILE(IF((Bezetting_Langlig!$B$4:$B$734=$A11)*(Bezetting_Langlig!$C$4:$C$734=1),Bezetting_Langlig!$X$4:$X$734),Instellingen!$B$3),"")</f>
        <v/>
      </c>
      <c r="X11" s="22">
        <f t="array" ref="X11">IFERROR(PERCENTILE(IF((Bezetting_Langlig!$B$4:$B$734=$A11)*(Bezetting_Langlig!$C$4:$C$734=1),Bezetting_Langlig!$Y$4:$Y$734),Instellingen!$B$3),"")</f>
        <v/>
      </c>
      <c r="Y11" s="22">
        <f t="array" ref="Y11">IFERROR(PERCENTILE(IF((Bezetting_Langlig!$B$4:$B$734=$A11)*(Bezetting_Langlig!$C$4:$C$734=1),Bezetting_Langlig!$Z$4:$Z$734),Instellingen!$B$3),"")</f>
        <v/>
      </c>
      <c r="Z11" s="22">
        <f t="array" ref="Z11">IFERROR(PERCENTILE(IF((Bezetting_Langlig!$B$4:$B$734=$A11)*(Bezetting_Langlig!$C$4:$C$734=1),Bezetting_Langlig!$AA$4:$AA$734),Instellingen!$B$3),"")</f>
        <v/>
      </c>
      <c r="AA11" s="23">
        <f t="array" ref="AA11">IFERROR(PERCENTILE(IF((Bezetting_Langlig!$B$4:$B$734=$A11)*(Bezetting_Langlig!$C$4:$C$734=1),Bezetting_Langlig!$D$4:$AA$734),Instellingen!$B$3),"")</f>
        <v/>
      </c>
    </row>
    <row r="12">
      <c r="B12" s="21" t="inlineStr">
        <is>
          <t>Alle dagen</t>
        </is>
      </c>
      <c r="C12" s="23">
        <f t="array" ref="C12">IFERROR(PERCENTILE(IF(Bezetting_Langlig!$C$4:$C$734=1,Bezetting_Langlig!$D$4:$D$734),Instellingen!$B$3),"")</f>
        <v/>
      </c>
      <c r="D12" s="23">
        <f t="array" ref="D12">IFERROR(PERCENTILE(IF(Bezetting_Langlig!$C$4:$C$734=1,Bezetting_Langlig!$E$4:$E$734),Instellingen!$B$3),"")</f>
        <v/>
      </c>
      <c r="E12" s="23">
        <f t="array" ref="E12">IFERROR(PERCENTILE(IF(Bezetting_Langlig!$C$4:$C$734=1,Bezetting_Langlig!$F$4:$F$734),Instellingen!$B$3),"")</f>
        <v/>
      </c>
      <c r="F12" s="23">
        <f t="array" ref="F12">IFERROR(PERCENTILE(IF(Bezetting_Langlig!$C$4:$C$734=1,Bezetting_Langlig!$G$4:$G$734),Instellingen!$B$3),"")</f>
        <v/>
      </c>
      <c r="G12" s="23">
        <f t="array" ref="G12">IFERROR(PERCENTILE(IF(Bezetting_Langlig!$C$4:$C$734=1,Bezetting_Langlig!$H$4:$H$734),Instellingen!$B$3),"")</f>
        <v/>
      </c>
      <c r="H12" s="23">
        <f t="array" ref="H12">IFERROR(PERCENTILE(IF(Bezetting_Langlig!$C$4:$C$734=1,Bezetting_Langlig!$I$4:$I$734),Instellingen!$B$3),"")</f>
        <v/>
      </c>
      <c r="I12" s="23">
        <f t="array" ref="I12">IFERROR(PERCENTILE(IF(Bezetting_Langlig!$C$4:$C$734=1,Bezetting_Langlig!$J$4:$J$734),Instellingen!$B$3),"")</f>
        <v/>
      </c>
      <c r="J12" s="23">
        <f t="array" ref="J12">IFERROR(PERCENTILE(IF(Bezetting_Langlig!$C$4:$C$734=1,Bezetting_Langlig!$K$4:$K$734),Instellingen!$B$3),"")</f>
        <v/>
      </c>
      <c r="K12" s="23">
        <f t="array" ref="K12">IFERROR(PERCENTILE(IF(Bezetting_Langlig!$C$4:$C$734=1,Bezetting_Langlig!$L$4:$L$734),Instellingen!$B$3),"")</f>
        <v/>
      </c>
      <c r="L12" s="23">
        <f t="array" ref="L12">IFERROR(PERCENTILE(IF(Bezetting_Langlig!$C$4:$C$734=1,Bezetting_Langlig!$M$4:$M$734),Instellingen!$B$3),"")</f>
        <v/>
      </c>
      <c r="M12" s="23">
        <f t="array" ref="M12">IFERROR(PERCENTILE(IF(Bezetting_Langlig!$C$4:$C$734=1,Bezetting_Langlig!$N$4:$N$734),Instellingen!$B$3),"")</f>
        <v/>
      </c>
      <c r="N12" s="23">
        <f t="array" ref="N12">IFERROR(PERCENTILE(IF(Bezetting_Langlig!$C$4:$C$734=1,Bezetting_Langlig!$O$4:$O$734),Instellingen!$B$3),"")</f>
        <v/>
      </c>
      <c r="O12" s="23">
        <f t="array" ref="O12">IFERROR(PERCENTILE(IF(Bezetting_Langlig!$C$4:$C$734=1,Bezetting_Langlig!$P$4:$P$734),Instellingen!$B$3),"")</f>
        <v/>
      </c>
      <c r="P12" s="23">
        <f t="array" ref="P12">IFERROR(PERCENTILE(IF(Bezetting_Langlig!$C$4:$C$734=1,Bezetting_Langlig!$Q$4:$Q$734),Instellingen!$B$3),"")</f>
        <v/>
      </c>
      <c r="Q12" s="23">
        <f t="array" ref="Q12">IFERROR(PERCENTILE(IF(Bezetting_Langlig!$C$4:$C$734=1,Bezetting_Langlig!$R$4:$R$734),Instellingen!$B$3),"")</f>
        <v/>
      </c>
      <c r="R12" s="23">
        <f t="array" ref="R12">IFERROR(PERCENTILE(IF(Bezetting_Langlig!$C$4:$C$734=1,Bezetting_Langlig!$S$4:$S$734),Instellingen!$B$3),"")</f>
        <v/>
      </c>
      <c r="S12" s="23">
        <f t="array" ref="S12">IFERROR(PERCENTILE(IF(Bezetting_Langlig!$C$4:$C$734=1,Bezetting_Langlig!$T$4:$T$734),Instellingen!$B$3),"")</f>
        <v/>
      </c>
      <c r="T12" s="23">
        <f t="array" ref="T12">IFERROR(PERCENTILE(IF(Bezetting_Langlig!$C$4:$C$734=1,Bezetting_Langlig!$U$4:$U$734),Instellingen!$B$3),"")</f>
        <v/>
      </c>
      <c r="U12" s="23">
        <f t="array" ref="U12">IFERROR(PERCENTILE(IF(Bezetting_Langlig!$C$4:$C$734=1,Bezetting_Langlig!$V$4:$V$734),Instellingen!$B$3),"")</f>
        <v/>
      </c>
      <c r="V12" s="23">
        <f t="array" ref="V12">IFERROR(PERCENTILE(IF(Bezetting_Langlig!$C$4:$C$734=1,Bezetting_Langlig!$W$4:$W$734),Instellingen!$B$3),"")</f>
        <v/>
      </c>
      <c r="W12" s="23">
        <f t="array" ref="W12">IFERROR(PERCENTILE(IF(Bezetting_Langlig!$C$4:$C$734=1,Bezetting_Langlig!$X$4:$X$734),Instellingen!$B$3),"")</f>
        <v/>
      </c>
      <c r="X12" s="23">
        <f t="array" ref="X12">IFERROR(PERCENTILE(IF(Bezetting_Langlig!$C$4:$C$734=1,Bezetting_Langlig!$Y$4:$Y$734),Instellingen!$B$3),"")</f>
        <v/>
      </c>
      <c r="Y12" s="23">
        <f t="array" ref="Y12">IFERROR(PERCENTILE(IF(Bezetting_Langlig!$C$4:$C$734=1,Bezetting_Langlig!$Z$4:$Z$734),Instellingen!$B$3),"")</f>
        <v/>
      </c>
      <c r="Z12" s="23">
        <f t="array" ref="Z12">IFERROR(PERCENTILE(IF(Bezetting_Langlig!$C$4:$C$734=1,Bezetting_Langlig!$AA$4:$AA$734),Instellingen!$B$3),"")</f>
        <v/>
      </c>
      <c r="AA12" s="23">
        <f t="array" ref="AA12">IFERROR(PERCENTILE(IF(Bezetting_Langlig!$C$4:$C$734=1,Bezetting_Langlig!$D$4:$AA$734),Instellingen!$B$3),"")</f>
        <v/>
      </c>
    </row>
  </sheetData>
  <mergeCells count="1">
    <mergeCell ref="A2:L2"/>
  </mergeCells>
  <conditionalFormatting sqref="C5:Z11">
    <cfRule type="colorScale" priority="1">
      <colorScale>
        <cfvo type="min"/>
        <cfvo type="percentile" val="50"/>
        <cfvo type="max"/>
        <color rgb="00FFFFFF"/>
        <color rgb="00FFD966"/>
        <color rgb="00C0504D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selection activeCell="A1" sqref="A1"/>
    </sheetView>
  </sheetViews>
  <sheetFormatPr baseColWidth="8" defaultRowHeight="15"/>
  <cols>
    <col hidden="1" width="4" customWidth="1" min="1" max="1"/>
    <col width="14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5.4" customWidth="1" min="15" max="15"/>
    <col width="5.4" customWidth="1" min="16" max="16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9" customWidth="1" min="27" max="27"/>
  </cols>
  <sheetData>
    <row r="1">
      <c r="A1" s="11" t="inlineStr">
        <is>
          <t>Vraag 2 – Totaal aanwezige patiënten per weekdag en uur (95e percentiel)</t>
        </is>
      </c>
    </row>
    <row r="2">
      <c r="A2" s="5" t="inlineStr">
        <is>
          <t>Op een DRUKKE dag: hoeveel patiënten liggen er in totaal tegelijk (= de drukte)? Hieronder het aandeel dat langligger is.</t>
        </is>
      </c>
    </row>
    <row r="4">
      <c r="A4" s="12" t="inlineStr">
        <is>
          <t>wd</t>
        </is>
      </c>
      <c r="B4" s="18" t="inlineStr">
        <is>
          <t>Weekdag \ Uur</t>
        </is>
      </c>
      <c r="C4" s="18" t="n">
        <v>0</v>
      </c>
      <c r="D4" s="18" t="n">
        <v>1</v>
      </c>
      <c r="E4" s="18" t="n">
        <v>2</v>
      </c>
      <c r="F4" s="18" t="n">
        <v>3</v>
      </c>
      <c r="G4" s="18" t="n">
        <v>4</v>
      </c>
      <c r="H4" s="18" t="n">
        <v>5</v>
      </c>
      <c r="I4" s="18" t="n">
        <v>6</v>
      </c>
      <c r="J4" s="18" t="n">
        <v>7</v>
      </c>
      <c r="K4" s="18" t="n">
        <v>8</v>
      </c>
      <c r="L4" s="18" t="n">
        <v>9</v>
      </c>
      <c r="M4" s="18" t="n">
        <v>10</v>
      </c>
      <c r="N4" s="18" t="n">
        <v>11</v>
      </c>
      <c r="O4" s="18" t="n">
        <v>12</v>
      </c>
      <c r="P4" s="18" t="n">
        <v>13</v>
      </c>
      <c r="Q4" s="18" t="n">
        <v>14</v>
      </c>
      <c r="R4" s="18" t="n">
        <v>15</v>
      </c>
      <c r="S4" s="18" t="n">
        <v>16</v>
      </c>
      <c r="T4" s="18" t="n">
        <v>17</v>
      </c>
      <c r="U4" s="18" t="n">
        <v>18</v>
      </c>
      <c r="V4" s="18" t="n">
        <v>19</v>
      </c>
      <c r="W4" s="18" t="n">
        <v>20</v>
      </c>
      <c r="X4" s="18" t="n">
        <v>21</v>
      </c>
      <c r="Y4" s="18" t="n">
        <v>22</v>
      </c>
      <c r="Z4" s="18" t="n">
        <v>23</v>
      </c>
      <c r="AA4" s="18" t="inlineStr">
        <is>
          <t>Hele dag</t>
        </is>
      </c>
    </row>
    <row r="5">
      <c r="A5" s="12" t="n">
        <v>1</v>
      </c>
      <c r="B5" s="21" t="inlineStr">
        <is>
          <t>maandag</t>
        </is>
      </c>
      <c r="C5" s="22">
        <f t="array" ref="C5">IFERROR(PERCENTILE(IF((Bezetting_Totaal!$B$4:$B$734=$A5)*(Bezetting_Totaal!$C$4:$C$734=1),Bezetting_Totaal!$D$4:$D$734),Instellingen!$B$3),"")</f>
        <v/>
      </c>
      <c r="D5" s="22">
        <f t="array" ref="D5">IFERROR(PERCENTILE(IF((Bezetting_Totaal!$B$4:$B$734=$A5)*(Bezetting_Totaal!$C$4:$C$734=1),Bezetting_Totaal!$E$4:$E$734),Instellingen!$B$3),"")</f>
        <v/>
      </c>
      <c r="E5" s="22">
        <f t="array" ref="E5">IFERROR(PERCENTILE(IF((Bezetting_Totaal!$B$4:$B$734=$A5)*(Bezetting_Totaal!$C$4:$C$734=1),Bezetting_Totaal!$F$4:$F$734),Instellingen!$B$3),"")</f>
        <v/>
      </c>
      <c r="F5" s="22">
        <f t="array" ref="F5">IFERROR(PERCENTILE(IF((Bezetting_Totaal!$B$4:$B$734=$A5)*(Bezetting_Totaal!$C$4:$C$734=1),Bezetting_Totaal!$G$4:$G$734),Instellingen!$B$3),"")</f>
        <v/>
      </c>
      <c r="G5" s="22">
        <f t="array" ref="G5">IFERROR(PERCENTILE(IF((Bezetting_Totaal!$B$4:$B$734=$A5)*(Bezetting_Totaal!$C$4:$C$734=1),Bezetting_Totaal!$H$4:$H$734),Instellingen!$B$3),"")</f>
        <v/>
      </c>
      <c r="H5" s="22">
        <f t="array" ref="H5">IFERROR(PERCENTILE(IF((Bezetting_Totaal!$B$4:$B$734=$A5)*(Bezetting_Totaal!$C$4:$C$734=1),Bezetting_Totaal!$I$4:$I$734),Instellingen!$B$3),"")</f>
        <v/>
      </c>
      <c r="I5" s="22">
        <f t="array" ref="I5">IFERROR(PERCENTILE(IF((Bezetting_Totaal!$B$4:$B$734=$A5)*(Bezetting_Totaal!$C$4:$C$734=1),Bezetting_Totaal!$J$4:$J$734),Instellingen!$B$3),"")</f>
        <v/>
      </c>
      <c r="J5" s="22">
        <f t="array" ref="J5">IFERROR(PERCENTILE(IF((Bezetting_Totaal!$B$4:$B$734=$A5)*(Bezetting_Totaal!$C$4:$C$734=1),Bezetting_Totaal!$K$4:$K$734),Instellingen!$B$3),"")</f>
        <v/>
      </c>
      <c r="K5" s="22">
        <f t="array" ref="K5">IFERROR(PERCENTILE(IF((Bezetting_Totaal!$B$4:$B$734=$A5)*(Bezetting_Totaal!$C$4:$C$734=1),Bezetting_Totaal!$L$4:$L$734),Instellingen!$B$3),"")</f>
        <v/>
      </c>
      <c r="L5" s="22">
        <f t="array" ref="L5">IFERROR(PERCENTILE(IF((Bezetting_Totaal!$B$4:$B$734=$A5)*(Bezetting_Totaal!$C$4:$C$734=1),Bezetting_Totaal!$M$4:$M$734),Instellingen!$B$3),"")</f>
        <v/>
      </c>
      <c r="M5" s="22">
        <f t="array" ref="M5">IFERROR(PERCENTILE(IF((Bezetting_Totaal!$B$4:$B$734=$A5)*(Bezetting_Totaal!$C$4:$C$734=1),Bezetting_Totaal!$N$4:$N$734),Instellingen!$B$3),"")</f>
        <v/>
      </c>
      <c r="N5" s="22">
        <f t="array" ref="N5">IFERROR(PERCENTILE(IF((Bezetting_Totaal!$B$4:$B$734=$A5)*(Bezetting_Totaal!$C$4:$C$734=1),Bezetting_Totaal!$O$4:$O$734),Instellingen!$B$3),"")</f>
        <v/>
      </c>
      <c r="O5" s="22">
        <f t="array" ref="O5">IFERROR(PERCENTILE(IF((Bezetting_Totaal!$B$4:$B$734=$A5)*(Bezetting_Totaal!$C$4:$C$734=1),Bezetting_Totaal!$P$4:$P$734),Instellingen!$B$3),"")</f>
        <v/>
      </c>
      <c r="P5" s="22">
        <f t="array" ref="P5">IFERROR(PERCENTILE(IF((Bezetting_Totaal!$B$4:$B$734=$A5)*(Bezetting_Totaal!$C$4:$C$734=1),Bezetting_Totaal!$Q$4:$Q$734),Instellingen!$B$3),"")</f>
        <v/>
      </c>
      <c r="Q5" s="22">
        <f t="array" ref="Q5">IFERROR(PERCENTILE(IF((Bezetting_Totaal!$B$4:$B$734=$A5)*(Bezetting_Totaal!$C$4:$C$734=1),Bezetting_Totaal!$R$4:$R$734),Instellingen!$B$3),"")</f>
        <v/>
      </c>
      <c r="R5" s="22">
        <f t="array" ref="R5">IFERROR(PERCENTILE(IF((Bezetting_Totaal!$B$4:$B$734=$A5)*(Bezetting_Totaal!$C$4:$C$734=1),Bezetting_Totaal!$S$4:$S$734),Instellingen!$B$3),"")</f>
        <v/>
      </c>
      <c r="S5" s="22">
        <f t="array" ref="S5">IFERROR(PERCENTILE(IF((Bezetting_Totaal!$B$4:$B$734=$A5)*(Bezetting_Totaal!$C$4:$C$734=1),Bezetting_Totaal!$T$4:$T$734),Instellingen!$B$3),"")</f>
        <v/>
      </c>
      <c r="T5" s="22">
        <f t="array" ref="T5">IFERROR(PERCENTILE(IF((Bezetting_Totaal!$B$4:$B$734=$A5)*(Bezetting_Totaal!$C$4:$C$734=1),Bezetting_Totaal!$U$4:$U$734),Instellingen!$B$3),"")</f>
        <v/>
      </c>
      <c r="U5" s="22">
        <f t="array" ref="U5">IFERROR(PERCENTILE(IF((Bezetting_Totaal!$B$4:$B$734=$A5)*(Bezetting_Totaal!$C$4:$C$734=1),Bezetting_Totaal!$V$4:$V$734),Instellingen!$B$3),"")</f>
        <v/>
      </c>
      <c r="V5" s="22">
        <f t="array" ref="V5">IFERROR(PERCENTILE(IF((Bezetting_Totaal!$B$4:$B$734=$A5)*(Bezetting_Totaal!$C$4:$C$734=1),Bezetting_Totaal!$W$4:$W$734),Instellingen!$B$3),"")</f>
        <v/>
      </c>
      <c r="W5" s="22">
        <f t="array" ref="W5">IFERROR(PERCENTILE(IF((Bezetting_Totaal!$B$4:$B$734=$A5)*(Bezetting_Totaal!$C$4:$C$734=1),Bezetting_Totaal!$X$4:$X$734),Instellingen!$B$3),"")</f>
        <v/>
      </c>
      <c r="X5" s="22">
        <f t="array" ref="X5">IFERROR(PERCENTILE(IF((Bezetting_Totaal!$B$4:$B$734=$A5)*(Bezetting_Totaal!$C$4:$C$734=1),Bezetting_Totaal!$Y$4:$Y$734),Instellingen!$B$3),"")</f>
        <v/>
      </c>
      <c r="Y5" s="22">
        <f t="array" ref="Y5">IFERROR(PERCENTILE(IF((Bezetting_Totaal!$B$4:$B$734=$A5)*(Bezetting_Totaal!$C$4:$C$734=1),Bezetting_Totaal!$Z$4:$Z$734),Instellingen!$B$3),"")</f>
        <v/>
      </c>
      <c r="Z5" s="22">
        <f t="array" ref="Z5">IFERROR(PERCENTILE(IF((Bezetting_Totaal!$B$4:$B$734=$A5)*(Bezetting_Totaal!$C$4:$C$734=1),Bezetting_Totaal!$AA$4:$AA$734),Instellingen!$B$3),"")</f>
        <v/>
      </c>
      <c r="AA5" s="23">
        <f t="array" ref="AA5">IFERROR(PERCENTILE(IF((Bezetting_Totaal!$B$4:$B$734=$A5)*(Bezetting_Totaal!$C$4:$C$734=1),Bezetting_Totaal!$D$4:$AA$734),Instellingen!$B$3),"")</f>
        <v/>
      </c>
    </row>
    <row r="6">
      <c r="A6" s="12" t="n">
        <v>2</v>
      </c>
      <c r="B6" s="21" t="inlineStr">
        <is>
          <t>dinsdag</t>
        </is>
      </c>
      <c r="C6" s="22">
        <f t="array" ref="C6">IFERROR(PERCENTILE(IF((Bezetting_Totaal!$B$4:$B$734=$A6)*(Bezetting_Totaal!$C$4:$C$734=1),Bezetting_Totaal!$D$4:$D$734),Instellingen!$B$3),"")</f>
        <v/>
      </c>
      <c r="D6" s="22">
        <f t="array" ref="D6">IFERROR(PERCENTILE(IF((Bezetting_Totaal!$B$4:$B$734=$A6)*(Bezetting_Totaal!$C$4:$C$734=1),Bezetting_Totaal!$E$4:$E$734),Instellingen!$B$3),"")</f>
        <v/>
      </c>
      <c r="E6" s="22">
        <f t="array" ref="E6">IFERROR(PERCENTILE(IF((Bezetting_Totaal!$B$4:$B$734=$A6)*(Bezetting_Totaal!$C$4:$C$734=1),Bezetting_Totaal!$F$4:$F$734),Instellingen!$B$3),"")</f>
        <v/>
      </c>
      <c r="F6" s="22">
        <f t="array" ref="F6">IFERROR(PERCENTILE(IF((Bezetting_Totaal!$B$4:$B$734=$A6)*(Bezetting_Totaal!$C$4:$C$734=1),Bezetting_Totaal!$G$4:$G$734),Instellingen!$B$3),"")</f>
        <v/>
      </c>
      <c r="G6" s="22">
        <f t="array" ref="G6">IFERROR(PERCENTILE(IF((Bezetting_Totaal!$B$4:$B$734=$A6)*(Bezetting_Totaal!$C$4:$C$734=1),Bezetting_Totaal!$H$4:$H$734),Instellingen!$B$3),"")</f>
        <v/>
      </c>
      <c r="H6" s="22">
        <f t="array" ref="H6">IFERROR(PERCENTILE(IF((Bezetting_Totaal!$B$4:$B$734=$A6)*(Bezetting_Totaal!$C$4:$C$734=1),Bezetting_Totaal!$I$4:$I$734),Instellingen!$B$3),"")</f>
        <v/>
      </c>
      <c r="I6" s="22">
        <f t="array" ref="I6">IFERROR(PERCENTILE(IF((Bezetting_Totaal!$B$4:$B$734=$A6)*(Bezetting_Totaal!$C$4:$C$734=1),Bezetting_Totaal!$J$4:$J$734),Instellingen!$B$3),"")</f>
        <v/>
      </c>
      <c r="J6" s="22">
        <f t="array" ref="J6">IFERROR(PERCENTILE(IF((Bezetting_Totaal!$B$4:$B$734=$A6)*(Bezetting_Totaal!$C$4:$C$734=1),Bezetting_Totaal!$K$4:$K$734),Instellingen!$B$3),"")</f>
        <v/>
      </c>
      <c r="K6" s="22">
        <f t="array" ref="K6">IFERROR(PERCENTILE(IF((Bezetting_Totaal!$B$4:$B$734=$A6)*(Bezetting_Totaal!$C$4:$C$734=1),Bezetting_Totaal!$L$4:$L$734),Instellingen!$B$3),"")</f>
        <v/>
      </c>
      <c r="L6" s="22">
        <f t="array" ref="L6">IFERROR(PERCENTILE(IF((Bezetting_Totaal!$B$4:$B$734=$A6)*(Bezetting_Totaal!$C$4:$C$734=1),Bezetting_Totaal!$M$4:$M$734),Instellingen!$B$3),"")</f>
        <v/>
      </c>
      <c r="M6" s="22">
        <f t="array" ref="M6">IFERROR(PERCENTILE(IF((Bezetting_Totaal!$B$4:$B$734=$A6)*(Bezetting_Totaal!$C$4:$C$734=1),Bezetting_Totaal!$N$4:$N$734),Instellingen!$B$3),"")</f>
        <v/>
      </c>
      <c r="N6" s="22">
        <f t="array" ref="N6">IFERROR(PERCENTILE(IF((Bezetting_Totaal!$B$4:$B$734=$A6)*(Bezetting_Totaal!$C$4:$C$734=1),Bezetting_Totaal!$O$4:$O$734),Instellingen!$B$3),"")</f>
        <v/>
      </c>
      <c r="O6" s="22">
        <f t="array" ref="O6">IFERROR(PERCENTILE(IF((Bezetting_Totaal!$B$4:$B$734=$A6)*(Bezetting_Totaal!$C$4:$C$734=1),Bezetting_Totaal!$P$4:$P$734),Instellingen!$B$3),"")</f>
        <v/>
      </c>
      <c r="P6" s="22">
        <f t="array" ref="P6">IFERROR(PERCENTILE(IF((Bezetting_Totaal!$B$4:$B$734=$A6)*(Bezetting_Totaal!$C$4:$C$734=1),Bezetting_Totaal!$Q$4:$Q$734),Instellingen!$B$3),"")</f>
        <v/>
      </c>
      <c r="Q6" s="22">
        <f t="array" ref="Q6">IFERROR(PERCENTILE(IF((Bezetting_Totaal!$B$4:$B$734=$A6)*(Bezetting_Totaal!$C$4:$C$734=1),Bezetting_Totaal!$R$4:$R$734),Instellingen!$B$3),"")</f>
        <v/>
      </c>
      <c r="R6" s="22">
        <f t="array" ref="R6">IFERROR(PERCENTILE(IF((Bezetting_Totaal!$B$4:$B$734=$A6)*(Bezetting_Totaal!$C$4:$C$734=1),Bezetting_Totaal!$S$4:$S$734),Instellingen!$B$3),"")</f>
        <v/>
      </c>
      <c r="S6" s="22">
        <f t="array" ref="S6">IFERROR(PERCENTILE(IF((Bezetting_Totaal!$B$4:$B$734=$A6)*(Bezetting_Totaal!$C$4:$C$734=1),Bezetting_Totaal!$T$4:$T$734),Instellingen!$B$3),"")</f>
        <v/>
      </c>
      <c r="T6" s="22">
        <f t="array" ref="T6">IFERROR(PERCENTILE(IF((Bezetting_Totaal!$B$4:$B$734=$A6)*(Bezetting_Totaal!$C$4:$C$734=1),Bezetting_Totaal!$U$4:$U$734),Instellingen!$B$3),"")</f>
        <v/>
      </c>
      <c r="U6" s="22">
        <f t="array" ref="U6">IFERROR(PERCENTILE(IF((Bezetting_Totaal!$B$4:$B$734=$A6)*(Bezetting_Totaal!$C$4:$C$734=1),Bezetting_Totaal!$V$4:$V$734),Instellingen!$B$3),"")</f>
        <v/>
      </c>
      <c r="V6" s="22">
        <f t="array" ref="V6">IFERROR(PERCENTILE(IF((Bezetting_Totaal!$B$4:$B$734=$A6)*(Bezetting_Totaal!$C$4:$C$734=1),Bezetting_Totaal!$W$4:$W$734),Instellingen!$B$3),"")</f>
        <v/>
      </c>
      <c r="W6" s="22">
        <f t="array" ref="W6">IFERROR(PERCENTILE(IF((Bezetting_Totaal!$B$4:$B$734=$A6)*(Bezetting_Totaal!$C$4:$C$734=1),Bezetting_Totaal!$X$4:$X$734),Instellingen!$B$3),"")</f>
        <v/>
      </c>
      <c r="X6" s="22">
        <f t="array" ref="X6">IFERROR(PERCENTILE(IF((Bezetting_Totaal!$B$4:$B$734=$A6)*(Bezetting_Totaal!$C$4:$C$734=1),Bezetting_Totaal!$Y$4:$Y$734),Instellingen!$B$3),"")</f>
        <v/>
      </c>
      <c r="Y6" s="22">
        <f t="array" ref="Y6">IFERROR(PERCENTILE(IF((Bezetting_Totaal!$B$4:$B$734=$A6)*(Bezetting_Totaal!$C$4:$C$734=1),Bezetting_Totaal!$Z$4:$Z$734),Instellingen!$B$3),"")</f>
        <v/>
      </c>
      <c r="Z6" s="22">
        <f t="array" ref="Z6">IFERROR(PERCENTILE(IF((Bezetting_Totaal!$B$4:$B$734=$A6)*(Bezetting_Totaal!$C$4:$C$734=1),Bezetting_Totaal!$AA$4:$AA$734),Instellingen!$B$3),"")</f>
        <v/>
      </c>
      <c r="AA6" s="23">
        <f t="array" ref="AA6">IFERROR(PERCENTILE(IF((Bezetting_Totaal!$B$4:$B$734=$A6)*(Bezetting_Totaal!$C$4:$C$734=1),Bezetting_Totaal!$D$4:$AA$734),Instellingen!$B$3),"")</f>
        <v/>
      </c>
    </row>
    <row r="7">
      <c r="A7" s="12" t="n">
        <v>3</v>
      </c>
      <c r="B7" s="21" t="inlineStr">
        <is>
          <t>woensdag</t>
        </is>
      </c>
      <c r="C7" s="22">
        <f t="array" ref="C7">IFERROR(PERCENTILE(IF((Bezetting_Totaal!$B$4:$B$734=$A7)*(Bezetting_Totaal!$C$4:$C$734=1),Bezetting_Totaal!$D$4:$D$734),Instellingen!$B$3),"")</f>
        <v/>
      </c>
      <c r="D7" s="22">
        <f t="array" ref="D7">IFERROR(PERCENTILE(IF((Bezetting_Totaal!$B$4:$B$734=$A7)*(Bezetting_Totaal!$C$4:$C$734=1),Bezetting_Totaal!$E$4:$E$734),Instellingen!$B$3),"")</f>
        <v/>
      </c>
      <c r="E7" s="22">
        <f t="array" ref="E7">IFERROR(PERCENTILE(IF((Bezetting_Totaal!$B$4:$B$734=$A7)*(Bezetting_Totaal!$C$4:$C$734=1),Bezetting_Totaal!$F$4:$F$734),Instellingen!$B$3),"")</f>
        <v/>
      </c>
      <c r="F7" s="22">
        <f t="array" ref="F7">IFERROR(PERCENTILE(IF((Bezetting_Totaal!$B$4:$B$734=$A7)*(Bezetting_Totaal!$C$4:$C$734=1),Bezetting_Totaal!$G$4:$G$734),Instellingen!$B$3),"")</f>
        <v/>
      </c>
      <c r="G7" s="22">
        <f t="array" ref="G7">IFERROR(PERCENTILE(IF((Bezetting_Totaal!$B$4:$B$734=$A7)*(Bezetting_Totaal!$C$4:$C$734=1),Bezetting_Totaal!$H$4:$H$734),Instellingen!$B$3),"")</f>
        <v/>
      </c>
      <c r="H7" s="22">
        <f t="array" ref="H7">IFERROR(PERCENTILE(IF((Bezetting_Totaal!$B$4:$B$734=$A7)*(Bezetting_Totaal!$C$4:$C$734=1),Bezetting_Totaal!$I$4:$I$734),Instellingen!$B$3),"")</f>
        <v/>
      </c>
      <c r="I7" s="22">
        <f t="array" ref="I7">IFERROR(PERCENTILE(IF((Bezetting_Totaal!$B$4:$B$734=$A7)*(Bezetting_Totaal!$C$4:$C$734=1),Bezetting_Totaal!$J$4:$J$734),Instellingen!$B$3),"")</f>
        <v/>
      </c>
      <c r="J7" s="22">
        <f t="array" ref="J7">IFERROR(PERCENTILE(IF((Bezetting_Totaal!$B$4:$B$734=$A7)*(Bezetting_Totaal!$C$4:$C$734=1),Bezetting_Totaal!$K$4:$K$734),Instellingen!$B$3),"")</f>
        <v/>
      </c>
      <c r="K7" s="22">
        <f t="array" ref="K7">IFERROR(PERCENTILE(IF((Bezetting_Totaal!$B$4:$B$734=$A7)*(Bezetting_Totaal!$C$4:$C$734=1),Bezetting_Totaal!$L$4:$L$734),Instellingen!$B$3),"")</f>
        <v/>
      </c>
      <c r="L7" s="22">
        <f t="array" ref="L7">IFERROR(PERCENTILE(IF((Bezetting_Totaal!$B$4:$B$734=$A7)*(Bezetting_Totaal!$C$4:$C$734=1),Bezetting_Totaal!$M$4:$M$734),Instellingen!$B$3),"")</f>
        <v/>
      </c>
      <c r="M7" s="22">
        <f t="array" ref="M7">IFERROR(PERCENTILE(IF((Bezetting_Totaal!$B$4:$B$734=$A7)*(Bezetting_Totaal!$C$4:$C$734=1),Bezetting_Totaal!$N$4:$N$734),Instellingen!$B$3),"")</f>
        <v/>
      </c>
      <c r="N7" s="22">
        <f t="array" ref="N7">IFERROR(PERCENTILE(IF((Bezetting_Totaal!$B$4:$B$734=$A7)*(Bezetting_Totaal!$C$4:$C$734=1),Bezetting_Totaal!$O$4:$O$734),Instellingen!$B$3),"")</f>
        <v/>
      </c>
      <c r="O7" s="22">
        <f t="array" ref="O7">IFERROR(PERCENTILE(IF((Bezetting_Totaal!$B$4:$B$734=$A7)*(Bezetting_Totaal!$C$4:$C$734=1),Bezetting_Totaal!$P$4:$P$734),Instellingen!$B$3),"")</f>
        <v/>
      </c>
      <c r="P7" s="22">
        <f t="array" ref="P7">IFERROR(PERCENTILE(IF((Bezetting_Totaal!$B$4:$B$734=$A7)*(Bezetting_Totaal!$C$4:$C$734=1),Bezetting_Totaal!$Q$4:$Q$734),Instellingen!$B$3),"")</f>
        <v/>
      </c>
      <c r="Q7" s="22">
        <f t="array" ref="Q7">IFERROR(PERCENTILE(IF((Bezetting_Totaal!$B$4:$B$734=$A7)*(Bezetting_Totaal!$C$4:$C$734=1),Bezetting_Totaal!$R$4:$R$734),Instellingen!$B$3),"")</f>
        <v/>
      </c>
      <c r="R7" s="22">
        <f t="array" ref="R7">IFERROR(PERCENTILE(IF((Bezetting_Totaal!$B$4:$B$734=$A7)*(Bezetting_Totaal!$C$4:$C$734=1),Bezetting_Totaal!$S$4:$S$734),Instellingen!$B$3),"")</f>
        <v/>
      </c>
      <c r="S7" s="22">
        <f t="array" ref="S7">IFERROR(PERCENTILE(IF((Bezetting_Totaal!$B$4:$B$734=$A7)*(Bezetting_Totaal!$C$4:$C$734=1),Bezetting_Totaal!$T$4:$T$734),Instellingen!$B$3),"")</f>
        <v/>
      </c>
      <c r="T7" s="22">
        <f t="array" ref="T7">IFERROR(PERCENTILE(IF((Bezetting_Totaal!$B$4:$B$734=$A7)*(Bezetting_Totaal!$C$4:$C$734=1),Bezetting_Totaal!$U$4:$U$734),Instellingen!$B$3),"")</f>
        <v/>
      </c>
      <c r="U7" s="22">
        <f t="array" ref="U7">IFERROR(PERCENTILE(IF((Bezetting_Totaal!$B$4:$B$734=$A7)*(Bezetting_Totaal!$C$4:$C$734=1),Bezetting_Totaal!$V$4:$V$734),Instellingen!$B$3),"")</f>
        <v/>
      </c>
      <c r="V7" s="22">
        <f t="array" ref="V7">IFERROR(PERCENTILE(IF((Bezetting_Totaal!$B$4:$B$734=$A7)*(Bezetting_Totaal!$C$4:$C$734=1),Bezetting_Totaal!$W$4:$W$734),Instellingen!$B$3),"")</f>
        <v/>
      </c>
      <c r="W7" s="22">
        <f t="array" ref="W7">IFERROR(PERCENTILE(IF((Bezetting_Totaal!$B$4:$B$734=$A7)*(Bezetting_Totaal!$C$4:$C$734=1),Bezetting_Totaal!$X$4:$X$734),Instellingen!$B$3),"")</f>
        <v/>
      </c>
      <c r="X7" s="22">
        <f t="array" ref="X7">IFERROR(PERCENTILE(IF((Bezetting_Totaal!$B$4:$B$734=$A7)*(Bezetting_Totaal!$C$4:$C$734=1),Bezetting_Totaal!$Y$4:$Y$734),Instellingen!$B$3),"")</f>
        <v/>
      </c>
      <c r="Y7" s="22">
        <f t="array" ref="Y7">IFERROR(PERCENTILE(IF((Bezetting_Totaal!$B$4:$B$734=$A7)*(Bezetting_Totaal!$C$4:$C$734=1),Bezetting_Totaal!$Z$4:$Z$734),Instellingen!$B$3),"")</f>
        <v/>
      </c>
      <c r="Z7" s="22">
        <f t="array" ref="Z7">IFERROR(PERCENTILE(IF((Bezetting_Totaal!$B$4:$B$734=$A7)*(Bezetting_Totaal!$C$4:$C$734=1),Bezetting_Totaal!$AA$4:$AA$734),Instellingen!$B$3),"")</f>
        <v/>
      </c>
      <c r="AA7" s="23">
        <f t="array" ref="AA7">IFERROR(PERCENTILE(IF((Bezetting_Totaal!$B$4:$B$734=$A7)*(Bezetting_Totaal!$C$4:$C$734=1),Bezetting_Totaal!$D$4:$AA$734),Instellingen!$B$3),"")</f>
        <v/>
      </c>
    </row>
    <row r="8">
      <c r="A8" s="12" t="n">
        <v>4</v>
      </c>
      <c r="B8" s="21" t="inlineStr">
        <is>
          <t>donderdag</t>
        </is>
      </c>
      <c r="C8" s="22">
        <f t="array" ref="C8">IFERROR(PERCENTILE(IF((Bezetting_Totaal!$B$4:$B$734=$A8)*(Bezetting_Totaal!$C$4:$C$734=1),Bezetting_Totaal!$D$4:$D$734),Instellingen!$B$3),"")</f>
        <v/>
      </c>
      <c r="D8" s="22">
        <f t="array" ref="D8">IFERROR(PERCENTILE(IF((Bezetting_Totaal!$B$4:$B$734=$A8)*(Bezetting_Totaal!$C$4:$C$734=1),Bezetting_Totaal!$E$4:$E$734),Instellingen!$B$3),"")</f>
        <v/>
      </c>
      <c r="E8" s="22">
        <f t="array" ref="E8">IFERROR(PERCENTILE(IF((Bezetting_Totaal!$B$4:$B$734=$A8)*(Bezetting_Totaal!$C$4:$C$734=1),Bezetting_Totaal!$F$4:$F$734),Instellingen!$B$3),"")</f>
        <v/>
      </c>
      <c r="F8" s="22">
        <f t="array" ref="F8">IFERROR(PERCENTILE(IF((Bezetting_Totaal!$B$4:$B$734=$A8)*(Bezetting_Totaal!$C$4:$C$734=1),Bezetting_Totaal!$G$4:$G$734),Instellingen!$B$3),"")</f>
        <v/>
      </c>
      <c r="G8" s="22">
        <f t="array" ref="G8">IFERROR(PERCENTILE(IF((Bezetting_Totaal!$B$4:$B$734=$A8)*(Bezetting_Totaal!$C$4:$C$734=1),Bezetting_Totaal!$H$4:$H$734),Instellingen!$B$3),"")</f>
        <v/>
      </c>
      <c r="H8" s="22">
        <f t="array" ref="H8">IFERROR(PERCENTILE(IF((Bezetting_Totaal!$B$4:$B$734=$A8)*(Bezetting_Totaal!$C$4:$C$734=1),Bezetting_Totaal!$I$4:$I$734),Instellingen!$B$3),"")</f>
        <v/>
      </c>
      <c r="I8" s="22">
        <f t="array" ref="I8">IFERROR(PERCENTILE(IF((Bezetting_Totaal!$B$4:$B$734=$A8)*(Bezetting_Totaal!$C$4:$C$734=1),Bezetting_Totaal!$J$4:$J$734),Instellingen!$B$3),"")</f>
        <v/>
      </c>
      <c r="J8" s="22">
        <f t="array" ref="J8">IFERROR(PERCENTILE(IF((Bezetting_Totaal!$B$4:$B$734=$A8)*(Bezetting_Totaal!$C$4:$C$734=1),Bezetting_Totaal!$K$4:$K$734),Instellingen!$B$3),"")</f>
        <v/>
      </c>
      <c r="K8" s="22">
        <f t="array" ref="K8">IFERROR(PERCENTILE(IF((Bezetting_Totaal!$B$4:$B$734=$A8)*(Bezetting_Totaal!$C$4:$C$734=1),Bezetting_Totaal!$L$4:$L$734),Instellingen!$B$3),"")</f>
        <v/>
      </c>
      <c r="L8" s="22">
        <f t="array" ref="L8">IFERROR(PERCENTILE(IF((Bezetting_Totaal!$B$4:$B$734=$A8)*(Bezetting_Totaal!$C$4:$C$734=1),Bezetting_Totaal!$M$4:$M$734),Instellingen!$B$3),"")</f>
        <v/>
      </c>
      <c r="M8" s="22">
        <f t="array" ref="M8">IFERROR(PERCENTILE(IF((Bezetting_Totaal!$B$4:$B$734=$A8)*(Bezetting_Totaal!$C$4:$C$734=1),Bezetting_Totaal!$N$4:$N$734),Instellingen!$B$3),"")</f>
        <v/>
      </c>
      <c r="N8" s="22">
        <f t="array" ref="N8">IFERROR(PERCENTILE(IF((Bezetting_Totaal!$B$4:$B$734=$A8)*(Bezetting_Totaal!$C$4:$C$734=1),Bezetting_Totaal!$O$4:$O$734),Instellingen!$B$3),"")</f>
        <v/>
      </c>
      <c r="O8" s="22">
        <f t="array" ref="O8">IFERROR(PERCENTILE(IF((Bezetting_Totaal!$B$4:$B$734=$A8)*(Bezetting_Totaal!$C$4:$C$734=1),Bezetting_Totaal!$P$4:$P$734),Instellingen!$B$3),"")</f>
        <v/>
      </c>
      <c r="P8" s="22">
        <f t="array" ref="P8">IFERROR(PERCENTILE(IF((Bezetting_Totaal!$B$4:$B$734=$A8)*(Bezetting_Totaal!$C$4:$C$734=1),Bezetting_Totaal!$Q$4:$Q$734),Instellingen!$B$3),"")</f>
        <v/>
      </c>
      <c r="Q8" s="22">
        <f t="array" ref="Q8">IFERROR(PERCENTILE(IF((Bezetting_Totaal!$B$4:$B$734=$A8)*(Bezetting_Totaal!$C$4:$C$734=1),Bezetting_Totaal!$R$4:$R$734),Instellingen!$B$3),"")</f>
        <v/>
      </c>
      <c r="R8" s="22">
        <f t="array" ref="R8">IFERROR(PERCENTILE(IF((Bezetting_Totaal!$B$4:$B$734=$A8)*(Bezetting_Totaal!$C$4:$C$734=1),Bezetting_Totaal!$S$4:$S$734),Instellingen!$B$3),"")</f>
        <v/>
      </c>
      <c r="S8" s="22">
        <f t="array" ref="S8">IFERROR(PERCENTILE(IF((Bezetting_Totaal!$B$4:$B$734=$A8)*(Bezetting_Totaal!$C$4:$C$734=1),Bezetting_Totaal!$T$4:$T$734),Instellingen!$B$3),"")</f>
        <v/>
      </c>
      <c r="T8" s="22">
        <f t="array" ref="T8">IFERROR(PERCENTILE(IF((Bezetting_Totaal!$B$4:$B$734=$A8)*(Bezetting_Totaal!$C$4:$C$734=1),Bezetting_Totaal!$U$4:$U$734),Instellingen!$B$3),"")</f>
        <v/>
      </c>
      <c r="U8" s="22">
        <f t="array" ref="U8">IFERROR(PERCENTILE(IF((Bezetting_Totaal!$B$4:$B$734=$A8)*(Bezetting_Totaal!$C$4:$C$734=1),Bezetting_Totaal!$V$4:$V$734),Instellingen!$B$3),"")</f>
        <v/>
      </c>
      <c r="V8" s="22">
        <f t="array" ref="V8">IFERROR(PERCENTILE(IF((Bezetting_Totaal!$B$4:$B$734=$A8)*(Bezetting_Totaal!$C$4:$C$734=1),Bezetting_Totaal!$W$4:$W$734),Instellingen!$B$3),"")</f>
        <v/>
      </c>
      <c r="W8" s="22">
        <f t="array" ref="W8">IFERROR(PERCENTILE(IF((Bezetting_Totaal!$B$4:$B$734=$A8)*(Bezetting_Totaal!$C$4:$C$734=1),Bezetting_Totaal!$X$4:$X$734),Instellingen!$B$3),"")</f>
        <v/>
      </c>
      <c r="X8" s="22">
        <f t="array" ref="X8">IFERROR(PERCENTILE(IF((Bezetting_Totaal!$B$4:$B$734=$A8)*(Bezetting_Totaal!$C$4:$C$734=1),Bezetting_Totaal!$Y$4:$Y$734),Instellingen!$B$3),"")</f>
        <v/>
      </c>
      <c r="Y8" s="22">
        <f t="array" ref="Y8">IFERROR(PERCENTILE(IF((Bezetting_Totaal!$B$4:$B$734=$A8)*(Bezetting_Totaal!$C$4:$C$734=1),Bezetting_Totaal!$Z$4:$Z$734),Instellingen!$B$3),"")</f>
        <v/>
      </c>
      <c r="Z8" s="22">
        <f t="array" ref="Z8">IFERROR(PERCENTILE(IF((Bezetting_Totaal!$B$4:$B$734=$A8)*(Bezetting_Totaal!$C$4:$C$734=1),Bezetting_Totaal!$AA$4:$AA$734),Instellingen!$B$3),"")</f>
        <v/>
      </c>
      <c r="AA8" s="23">
        <f t="array" ref="AA8">IFERROR(PERCENTILE(IF((Bezetting_Totaal!$B$4:$B$734=$A8)*(Bezetting_Totaal!$C$4:$C$734=1),Bezetting_Totaal!$D$4:$AA$734),Instellingen!$B$3),"")</f>
        <v/>
      </c>
    </row>
    <row r="9">
      <c r="A9" s="12" t="n">
        <v>5</v>
      </c>
      <c r="B9" s="21" t="inlineStr">
        <is>
          <t>vrijdag</t>
        </is>
      </c>
      <c r="C9" s="22">
        <f t="array" ref="C9">IFERROR(PERCENTILE(IF((Bezetting_Totaal!$B$4:$B$734=$A9)*(Bezetting_Totaal!$C$4:$C$734=1),Bezetting_Totaal!$D$4:$D$734),Instellingen!$B$3),"")</f>
        <v/>
      </c>
      <c r="D9" s="22">
        <f t="array" ref="D9">IFERROR(PERCENTILE(IF((Bezetting_Totaal!$B$4:$B$734=$A9)*(Bezetting_Totaal!$C$4:$C$734=1),Bezetting_Totaal!$E$4:$E$734),Instellingen!$B$3),"")</f>
        <v/>
      </c>
      <c r="E9" s="22">
        <f t="array" ref="E9">IFERROR(PERCENTILE(IF((Bezetting_Totaal!$B$4:$B$734=$A9)*(Bezetting_Totaal!$C$4:$C$734=1),Bezetting_Totaal!$F$4:$F$734),Instellingen!$B$3),"")</f>
        <v/>
      </c>
      <c r="F9" s="22">
        <f t="array" ref="F9">IFERROR(PERCENTILE(IF((Bezetting_Totaal!$B$4:$B$734=$A9)*(Bezetting_Totaal!$C$4:$C$734=1),Bezetting_Totaal!$G$4:$G$734),Instellingen!$B$3),"")</f>
        <v/>
      </c>
      <c r="G9" s="22">
        <f t="array" ref="G9">IFERROR(PERCENTILE(IF((Bezetting_Totaal!$B$4:$B$734=$A9)*(Bezetting_Totaal!$C$4:$C$734=1),Bezetting_Totaal!$H$4:$H$734),Instellingen!$B$3),"")</f>
        <v/>
      </c>
      <c r="H9" s="22">
        <f t="array" ref="H9">IFERROR(PERCENTILE(IF((Bezetting_Totaal!$B$4:$B$734=$A9)*(Bezetting_Totaal!$C$4:$C$734=1),Bezetting_Totaal!$I$4:$I$734),Instellingen!$B$3),"")</f>
        <v/>
      </c>
      <c r="I9" s="22">
        <f t="array" ref="I9">IFERROR(PERCENTILE(IF((Bezetting_Totaal!$B$4:$B$734=$A9)*(Bezetting_Totaal!$C$4:$C$734=1),Bezetting_Totaal!$J$4:$J$734),Instellingen!$B$3),"")</f>
        <v/>
      </c>
      <c r="J9" s="22">
        <f t="array" ref="J9">IFERROR(PERCENTILE(IF((Bezetting_Totaal!$B$4:$B$734=$A9)*(Bezetting_Totaal!$C$4:$C$734=1),Bezetting_Totaal!$K$4:$K$734),Instellingen!$B$3),"")</f>
        <v/>
      </c>
      <c r="K9" s="22">
        <f t="array" ref="K9">IFERROR(PERCENTILE(IF((Bezetting_Totaal!$B$4:$B$734=$A9)*(Bezetting_Totaal!$C$4:$C$734=1),Bezetting_Totaal!$L$4:$L$734),Instellingen!$B$3),"")</f>
        <v/>
      </c>
      <c r="L9" s="22">
        <f t="array" ref="L9">IFERROR(PERCENTILE(IF((Bezetting_Totaal!$B$4:$B$734=$A9)*(Bezetting_Totaal!$C$4:$C$734=1),Bezetting_Totaal!$M$4:$M$734),Instellingen!$B$3),"")</f>
        <v/>
      </c>
      <c r="M9" s="22">
        <f t="array" ref="M9">IFERROR(PERCENTILE(IF((Bezetting_Totaal!$B$4:$B$734=$A9)*(Bezetting_Totaal!$C$4:$C$734=1),Bezetting_Totaal!$N$4:$N$734),Instellingen!$B$3),"")</f>
        <v/>
      </c>
      <c r="N9" s="22">
        <f t="array" ref="N9">IFERROR(PERCENTILE(IF((Bezetting_Totaal!$B$4:$B$734=$A9)*(Bezetting_Totaal!$C$4:$C$734=1),Bezetting_Totaal!$O$4:$O$734),Instellingen!$B$3),"")</f>
        <v/>
      </c>
      <c r="O9" s="22">
        <f t="array" ref="O9">IFERROR(PERCENTILE(IF((Bezetting_Totaal!$B$4:$B$734=$A9)*(Bezetting_Totaal!$C$4:$C$734=1),Bezetting_Totaal!$P$4:$P$734),Instellingen!$B$3),"")</f>
        <v/>
      </c>
      <c r="P9" s="22">
        <f t="array" ref="P9">IFERROR(PERCENTILE(IF((Bezetting_Totaal!$B$4:$B$734=$A9)*(Bezetting_Totaal!$C$4:$C$734=1),Bezetting_Totaal!$Q$4:$Q$734),Instellingen!$B$3),"")</f>
        <v/>
      </c>
      <c r="Q9" s="22">
        <f t="array" ref="Q9">IFERROR(PERCENTILE(IF((Bezetting_Totaal!$B$4:$B$734=$A9)*(Bezetting_Totaal!$C$4:$C$734=1),Bezetting_Totaal!$R$4:$R$734),Instellingen!$B$3),"")</f>
        <v/>
      </c>
      <c r="R9" s="22">
        <f t="array" ref="R9">IFERROR(PERCENTILE(IF((Bezetting_Totaal!$B$4:$B$734=$A9)*(Bezetting_Totaal!$C$4:$C$734=1),Bezetting_Totaal!$S$4:$S$734),Instellingen!$B$3),"")</f>
        <v/>
      </c>
      <c r="S9" s="22">
        <f t="array" ref="S9">IFERROR(PERCENTILE(IF((Bezetting_Totaal!$B$4:$B$734=$A9)*(Bezetting_Totaal!$C$4:$C$734=1),Bezetting_Totaal!$T$4:$T$734),Instellingen!$B$3),"")</f>
        <v/>
      </c>
      <c r="T9" s="22">
        <f t="array" ref="T9">IFERROR(PERCENTILE(IF((Bezetting_Totaal!$B$4:$B$734=$A9)*(Bezetting_Totaal!$C$4:$C$734=1),Bezetting_Totaal!$U$4:$U$734),Instellingen!$B$3),"")</f>
        <v/>
      </c>
      <c r="U9" s="22">
        <f t="array" ref="U9">IFERROR(PERCENTILE(IF((Bezetting_Totaal!$B$4:$B$734=$A9)*(Bezetting_Totaal!$C$4:$C$734=1),Bezetting_Totaal!$V$4:$V$734),Instellingen!$B$3),"")</f>
        <v/>
      </c>
      <c r="V9" s="22">
        <f t="array" ref="V9">IFERROR(PERCENTILE(IF((Bezetting_Totaal!$B$4:$B$734=$A9)*(Bezetting_Totaal!$C$4:$C$734=1),Bezetting_Totaal!$W$4:$W$734),Instellingen!$B$3),"")</f>
        <v/>
      </c>
      <c r="W9" s="22">
        <f t="array" ref="W9">IFERROR(PERCENTILE(IF((Bezetting_Totaal!$B$4:$B$734=$A9)*(Bezetting_Totaal!$C$4:$C$734=1),Bezetting_Totaal!$X$4:$X$734),Instellingen!$B$3),"")</f>
        <v/>
      </c>
      <c r="X9" s="22">
        <f t="array" ref="X9">IFERROR(PERCENTILE(IF((Bezetting_Totaal!$B$4:$B$734=$A9)*(Bezetting_Totaal!$C$4:$C$734=1),Bezetting_Totaal!$Y$4:$Y$734),Instellingen!$B$3),"")</f>
        <v/>
      </c>
      <c r="Y9" s="22">
        <f t="array" ref="Y9">IFERROR(PERCENTILE(IF((Bezetting_Totaal!$B$4:$B$734=$A9)*(Bezetting_Totaal!$C$4:$C$734=1),Bezetting_Totaal!$Z$4:$Z$734),Instellingen!$B$3),"")</f>
        <v/>
      </c>
      <c r="Z9" s="22">
        <f t="array" ref="Z9">IFERROR(PERCENTILE(IF((Bezetting_Totaal!$B$4:$B$734=$A9)*(Bezetting_Totaal!$C$4:$C$734=1),Bezetting_Totaal!$AA$4:$AA$734),Instellingen!$B$3),"")</f>
        <v/>
      </c>
      <c r="AA9" s="23">
        <f t="array" ref="AA9">IFERROR(PERCENTILE(IF((Bezetting_Totaal!$B$4:$B$734=$A9)*(Bezetting_Totaal!$C$4:$C$734=1),Bezetting_Totaal!$D$4:$AA$734),Instellingen!$B$3),"")</f>
        <v/>
      </c>
    </row>
    <row r="10">
      <c r="A10" s="12" t="n">
        <v>6</v>
      </c>
      <c r="B10" s="21" t="inlineStr">
        <is>
          <t>zaterdag</t>
        </is>
      </c>
      <c r="C10" s="22">
        <f t="array" ref="C10">IFERROR(PERCENTILE(IF((Bezetting_Totaal!$B$4:$B$734=$A10)*(Bezetting_Totaal!$C$4:$C$734=1),Bezetting_Totaal!$D$4:$D$734),Instellingen!$B$3),"")</f>
        <v/>
      </c>
      <c r="D10" s="22">
        <f t="array" ref="D10">IFERROR(PERCENTILE(IF((Bezetting_Totaal!$B$4:$B$734=$A10)*(Bezetting_Totaal!$C$4:$C$734=1),Bezetting_Totaal!$E$4:$E$734),Instellingen!$B$3),"")</f>
        <v/>
      </c>
      <c r="E10" s="22">
        <f t="array" ref="E10">IFERROR(PERCENTILE(IF((Bezetting_Totaal!$B$4:$B$734=$A10)*(Bezetting_Totaal!$C$4:$C$734=1),Bezetting_Totaal!$F$4:$F$734),Instellingen!$B$3),"")</f>
        <v/>
      </c>
      <c r="F10" s="22">
        <f t="array" ref="F10">IFERROR(PERCENTILE(IF((Bezetting_Totaal!$B$4:$B$734=$A10)*(Bezetting_Totaal!$C$4:$C$734=1),Bezetting_Totaal!$G$4:$G$734),Instellingen!$B$3),"")</f>
        <v/>
      </c>
      <c r="G10" s="22">
        <f t="array" ref="G10">IFERROR(PERCENTILE(IF((Bezetting_Totaal!$B$4:$B$734=$A10)*(Bezetting_Totaal!$C$4:$C$734=1),Bezetting_Totaal!$H$4:$H$734),Instellingen!$B$3),"")</f>
        <v/>
      </c>
      <c r="H10" s="22">
        <f t="array" ref="H10">IFERROR(PERCENTILE(IF((Bezetting_Totaal!$B$4:$B$734=$A10)*(Bezetting_Totaal!$C$4:$C$734=1),Bezetting_Totaal!$I$4:$I$734),Instellingen!$B$3),"")</f>
        <v/>
      </c>
      <c r="I10" s="22">
        <f t="array" ref="I10">IFERROR(PERCENTILE(IF((Bezetting_Totaal!$B$4:$B$734=$A10)*(Bezetting_Totaal!$C$4:$C$734=1),Bezetting_Totaal!$J$4:$J$734),Instellingen!$B$3),"")</f>
        <v/>
      </c>
      <c r="J10" s="22">
        <f t="array" ref="J10">IFERROR(PERCENTILE(IF((Bezetting_Totaal!$B$4:$B$734=$A10)*(Bezetting_Totaal!$C$4:$C$734=1),Bezetting_Totaal!$K$4:$K$734),Instellingen!$B$3),"")</f>
        <v/>
      </c>
      <c r="K10" s="22">
        <f t="array" ref="K10">IFERROR(PERCENTILE(IF((Bezetting_Totaal!$B$4:$B$734=$A10)*(Bezetting_Totaal!$C$4:$C$734=1),Bezetting_Totaal!$L$4:$L$734),Instellingen!$B$3),"")</f>
        <v/>
      </c>
      <c r="L10" s="22">
        <f t="array" ref="L10">IFERROR(PERCENTILE(IF((Bezetting_Totaal!$B$4:$B$734=$A10)*(Bezetting_Totaal!$C$4:$C$734=1),Bezetting_Totaal!$M$4:$M$734),Instellingen!$B$3),"")</f>
        <v/>
      </c>
      <c r="M10" s="22">
        <f t="array" ref="M10">IFERROR(PERCENTILE(IF((Bezetting_Totaal!$B$4:$B$734=$A10)*(Bezetting_Totaal!$C$4:$C$734=1),Bezetting_Totaal!$N$4:$N$734),Instellingen!$B$3),"")</f>
        <v/>
      </c>
      <c r="N10" s="22">
        <f t="array" ref="N10">IFERROR(PERCENTILE(IF((Bezetting_Totaal!$B$4:$B$734=$A10)*(Bezetting_Totaal!$C$4:$C$734=1),Bezetting_Totaal!$O$4:$O$734),Instellingen!$B$3),"")</f>
        <v/>
      </c>
      <c r="O10" s="22">
        <f t="array" ref="O10">IFERROR(PERCENTILE(IF((Bezetting_Totaal!$B$4:$B$734=$A10)*(Bezetting_Totaal!$C$4:$C$734=1),Bezetting_Totaal!$P$4:$P$734),Instellingen!$B$3),"")</f>
        <v/>
      </c>
      <c r="P10" s="22">
        <f t="array" ref="P10">IFERROR(PERCENTILE(IF((Bezetting_Totaal!$B$4:$B$734=$A10)*(Bezetting_Totaal!$C$4:$C$734=1),Bezetting_Totaal!$Q$4:$Q$734),Instellingen!$B$3),"")</f>
        <v/>
      </c>
      <c r="Q10" s="22">
        <f t="array" ref="Q10">IFERROR(PERCENTILE(IF((Bezetting_Totaal!$B$4:$B$734=$A10)*(Bezetting_Totaal!$C$4:$C$734=1),Bezetting_Totaal!$R$4:$R$734),Instellingen!$B$3),"")</f>
        <v/>
      </c>
      <c r="R10" s="22">
        <f t="array" ref="R10">IFERROR(PERCENTILE(IF((Bezetting_Totaal!$B$4:$B$734=$A10)*(Bezetting_Totaal!$C$4:$C$734=1),Bezetting_Totaal!$S$4:$S$734),Instellingen!$B$3),"")</f>
        <v/>
      </c>
      <c r="S10" s="22">
        <f t="array" ref="S10">IFERROR(PERCENTILE(IF((Bezetting_Totaal!$B$4:$B$734=$A10)*(Bezetting_Totaal!$C$4:$C$734=1),Bezetting_Totaal!$T$4:$T$734),Instellingen!$B$3),"")</f>
        <v/>
      </c>
      <c r="T10" s="22">
        <f t="array" ref="T10">IFERROR(PERCENTILE(IF((Bezetting_Totaal!$B$4:$B$734=$A10)*(Bezetting_Totaal!$C$4:$C$734=1),Bezetting_Totaal!$U$4:$U$734),Instellingen!$B$3),"")</f>
        <v/>
      </c>
      <c r="U10" s="22">
        <f t="array" ref="U10">IFERROR(PERCENTILE(IF((Bezetting_Totaal!$B$4:$B$734=$A10)*(Bezetting_Totaal!$C$4:$C$734=1),Bezetting_Totaal!$V$4:$V$734),Instellingen!$B$3),"")</f>
        <v/>
      </c>
      <c r="V10" s="22">
        <f t="array" ref="V10">IFERROR(PERCENTILE(IF((Bezetting_Totaal!$B$4:$B$734=$A10)*(Bezetting_Totaal!$C$4:$C$734=1),Bezetting_Totaal!$W$4:$W$734),Instellingen!$B$3),"")</f>
        <v/>
      </c>
      <c r="W10" s="22">
        <f t="array" ref="W10">IFERROR(PERCENTILE(IF((Bezetting_Totaal!$B$4:$B$734=$A10)*(Bezetting_Totaal!$C$4:$C$734=1),Bezetting_Totaal!$X$4:$X$734),Instellingen!$B$3),"")</f>
        <v/>
      </c>
      <c r="X10" s="22">
        <f t="array" ref="X10">IFERROR(PERCENTILE(IF((Bezetting_Totaal!$B$4:$B$734=$A10)*(Bezetting_Totaal!$C$4:$C$734=1),Bezetting_Totaal!$Y$4:$Y$734),Instellingen!$B$3),"")</f>
        <v/>
      </c>
      <c r="Y10" s="22">
        <f t="array" ref="Y10">IFERROR(PERCENTILE(IF((Bezetting_Totaal!$B$4:$B$734=$A10)*(Bezetting_Totaal!$C$4:$C$734=1),Bezetting_Totaal!$Z$4:$Z$734),Instellingen!$B$3),"")</f>
        <v/>
      </c>
      <c r="Z10" s="22">
        <f t="array" ref="Z10">IFERROR(PERCENTILE(IF((Bezetting_Totaal!$B$4:$B$734=$A10)*(Bezetting_Totaal!$C$4:$C$734=1),Bezetting_Totaal!$AA$4:$AA$734),Instellingen!$B$3),"")</f>
        <v/>
      </c>
      <c r="AA10" s="23">
        <f t="array" ref="AA10">IFERROR(PERCENTILE(IF((Bezetting_Totaal!$B$4:$B$734=$A10)*(Bezetting_Totaal!$C$4:$C$734=1),Bezetting_Totaal!$D$4:$AA$734),Instellingen!$B$3),"")</f>
        <v/>
      </c>
    </row>
    <row r="11">
      <c r="A11" s="12" t="n">
        <v>7</v>
      </c>
      <c r="B11" s="21" t="inlineStr">
        <is>
          <t>zondag</t>
        </is>
      </c>
      <c r="C11" s="22">
        <f t="array" ref="C11">IFERROR(PERCENTILE(IF((Bezetting_Totaal!$B$4:$B$734=$A11)*(Bezetting_Totaal!$C$4:$C$734=1),Bezetting_Totaal!$D$4:$D$734),Instellingen!$B$3),"")</f>
        <v/>
      </c>
      <c r="D11" s="22">
        <f t="array" ref="D11">IFERROR(PERCENTILE(IF((Bezetting_Totaal!$B$4:$B$734=$A11)*(Bezetting_Totaal!$C$4:$C$734=1),Bezetting_Totaal!$E$4:$E$734),Instellingen!$B$3),"")</f>
        <v/>
      </c>
      <c r="E11" s="22">
        <f t="array" ref="E11">IFERROR(PERCENTILE(IF((Bezetting_Totaal!$B$4:$B$734=$A11)*(Bezetting_Totaal!$C$4:$C$734=1),Bezetting_Totaal!$F$4:$F$734),Instellingen!$B$3),"")</f>
        <v/>
      </c>
      <c r="F11" s="22">
        <f t="array" ref="F11">IFERROR(PERCENTILE(IF((Bezetting_Totaal!$B$4:$B$734=$A11)*(Bezetting_Totaal!$C$4:$C$734=1),Bezetting_Totaal!$G$4:$G$734),Instellingen!$B$3),"")</f>
        <v/>
      </c>
      <c r="G11" s="22">
        <f t="array" ref="G11">IFERROR(PERCENTILE(IF((Bezetting_Totaal!$B$4:$B$734=$A11)*(Bezetting_Totaal!$C$4:$C$734=1),Bezetting_Totaal!$H$4:$H$734),Instellingen!$B$3),"")</f>
        <v/>
      </c>
      <c r="H11" s="22">
        <f t="array" ref="H11">IFERROR(PERCENTILE(IF((Bezetting_Totaal!$B$4:$B$734=$A11)*(Bezetting_Totaal!$C$4:$C$734=1),Bezetting_Totaal!$I$4:$I$734),Instellingen!$B$3),"")</f>
        <v/>
      </c>
      <c r="I11" s="22">
        <f t="array" ref="I11">IFERROR(PERCENTILE(IF((Bezetting_Totaal!$B$4:$B$734=$A11)*(Bezetting_Totaal!$C$4:$C$734=1),Bezetting_Totaal!$J$4:$J$734),Instellingen!$B$3),"")</f>
        <v/>
      </c>
      <c r="J11" s="22">
        <f t="array" ref="J11">IFERROR(PERCENTILE(IF((Bezetting_Totaal!$B$4:$B$734=$A11)*(Bezetting_Totaal!$C$4:$C$734=1),Bezetting_Totaal!$K$4:$K$734),Instellingen!$B$3),"")</f>
        <v/>
      </c>
      <c r="K11" s="22">
        <f t="array" ref="K11">IFERROR(PERCENTILE(IF((Bezetting_Totaal!$B$4:$B$734=$A11)*(Bezetting_Totaal!$C$4:$C$734=1),Bezetting_Totaal!$L$4:$L$734),Instellingen!$B$3),"")</f>
        <v/>
      </c>
      <c r="L11" s="22">
        <f t="array" ref="L11">IFERROR(PERCENTILE(IF((Bezetting_Totaal!$B$4:$B$734=$A11)*(Bezetting_Totaal!$C$4:$C$734=1),Bezetting_Totaal!$M$4:$M$734),Instellingen!$B$3),"")</f>
        <v/>
      </c>
      <c r="M11" s="22">
        <f t="array" ref="M11">IFERROR(PERCENTILE(IF((Bezetting_Totaal!$B$4:$B$734=$A11)*(Bezetting_Totaal!$C$4:$C$734=1),Bezetting_Totaal!$N$4:$N$734),Instellingen!$B$3),"")</f>
        <v/>
      </c>
      <c r="N11" s="22">
        <f t="array" ref="N11">IFERROR(PERCENTILE(IF((Bezetting_Totaal!$B$4:$B$734=$A11)*(Bezetting_Totaal!$C$4:$C$734=1),Bezetting_Totaal!$O$4:$O$734),Instellingen!$B$3),"")</f>
        <v/>
      </c>
      <c r="O11" s="22">
        <f t="array" ref="O11">IFERROR(PERCENTILE(IF((Bezetting_Totaal!$B$4:$B$734=$A11)*(Bezetting_Totaal!$C$4:$C$734=1),Bezetting_Totaal!$P$4:$P$734),Instellingen!$B$3),"")</f>
        <v/>
      </c>
      <c r="P11" s="22">
        <f t="array" ref="P11">IFERROR(PERCENTILE(IF((Bezetting_Totaal!$B$4:$B$734=$A11)*(Bezetting_Totaal!$C$4:$C$734=1),Bezetting_Totaal!$Q$4:$Q$734),Instellingen!$B$3),"")</f>
        <v/>
      </c>
      <c r="Q11" s="22">
        <f t="array" ref="Q11">IFERROR(PERCENTILE(IF((Bezetting_Totaal!$B$4:$B$734=$A11)*(Bezetting_Totaal!$C$4:$C$734=1),Bezetting_Totaal!$R$4:$R$734),Instellingen!$B$3),"")</f>
        <v/>
      </c>
      <c r="R11" s="22">
        <f t="array" ref="R11">IFERROR(PERCENTILE(IF((Bezetting_Totaal!$B$4:$B$734=$A11)*(Bezetting_Totaal!$C$4:$C$734=1),Bezetting_Totaal!$S$4:$S$734),Instellingen!$B$3),"")</f>
        <v/>
      </c>
      <c r="S11" s="22">
        <f t="array" ref="S11">IFERROR(PERCENTILE(IF((Bezetting_Totaal!$B$4:$B$734=$A11)*(Bezetting_Totaal!$C$4:$C$734=1),Bezetting_Totaal!$T$4:$T$734),Instellingen!$B$3),"")</f>
        <v/>
      </c>
      <c r="T11" s="22">
        <f t="array" ref="T11">IFERROR(PERCENTILE(IF((Bezetting_Totaal!$B$4:$B$734=$A11)*(Bezetting_Totaal!$C$4:$C$734=1),Bezetting_Totaal!$U$4:$U$734),Instellingen!$B$3),"")</f>
        <v/>
      </c>
      <c r="U11" s="22">
        <f t="array" ref="U11">IFERROR(PERCENTILE(IF((Bezetting_Totaal!$B$4:$B$734=$A11)*(Bezetting_Totaal!$C$4:$C$734=1),Bezetting_Totaal!$V$4:$V$734),Instellingen!$B$3),"")</f>
        <v/>
      </c>
      <c r="V11" s="22">
        <f t="array" ref="V11">IFERROR(PERCENTILE(IF((Bezetting_Totaal!$B$4:$B$734=$A11)*(Bezetting_Totaal!$C$4:$C$734=1),Bezetting_Totaal!$W$4:$W$734),Instellingen!$B$3),"")</f>
        <v/>
      </c>
      <c r="W11" s="22">
        <f t="array" ref="W11">IFERROR(PERCENTILE(IF((Bezetting_Totaal!$B$4:$B$734=$A11)*(Bezetting_Totaal!$C$4:$C$734=1),Bezetting_Totaal!$X$4:$X$734),Instellingen!$B$3),"")</f>
        <v/>
      </c>
      <c r="X11" s="22">
        <f t="array" ref="X11">IFERROR(PERCENTILE(IF((Bezetting_Totaal!$B$4:$B$734=$A11)*(Bezetting_Totaal!$C$4:$C$734=1),Bezetting_Totaal!$Y$4:$Y$734),Instellingen!$B$3),"")</f>
        <v/>
      </c>
      <c r="Y11" s="22">
        <f t="array" ref="Y11">IFERROR(PERCENTILE(IF((Bezetting_Totaal!$B$4:$B$734=$A11)*(Bezetting_Totaal!$C$4:$C$734=1),Bezetting_Totaal!$Z$4:$Z$734),Instellingen!$B$3),"")</f>
        <v/>
      </c>
      <c r="Z11" s="22">
        <f t="array" ref="Z11">IFERROR(PERCENTILE(IF((Bezetting_Totaal!$B$4:$B$734=$A11)*(Bezetting_Totaal!$C$4:$C$734=1),Bezetting_Totaal!$AA$4:$AA$734),Instellingen!$B$3),"")</f>
        <v/>
      </c>
      <c r="AA11" s="23">
        <f t="array" ref="AA11">IFERROR(PERCENTILE(IF((Bezetting_Totaal!$B$4:$B$734=$A11)*(Bezetting_Totaal!$C$4:$C$734=1),Bezetting_Totaal!$D$4:$AA$734),Instellingen!$B$3),"")</f>
        <v/>
      </c>
    </row>
    <row r="12">
      <c r="B12" s="21" t="inlineStr">
        <is>
          <t>Alle dagen</t>
        </is>
      </c>
      <c r="C12" s="23">
        <f t="array" ref="C12">IFERROR(PERCENTILE(IF(Bezetting_Totaal!$C$4:$C$734=1,Bezetting_Totaal!$D$4:$D$734),Instellingen!$B$3),"")</f>
        <v/>
      </c>
      <c r="D12" s="23">
        <f t="array" ref="D12">IFERROR(PERCENTILE(IF(Bezetting_Totaal!$C$4:$C$734=1,Bezetting_Totaal!$E$4:$E$734),Instellingen!$B$3),"")</f>
        <v/>
      </c>
      <c r="E12" s="23">
        <f t="array" ref="E12">IFERROR(PERCENTILE(IF(Bezetting_Totaal!$C$4:$C$734=1,Bezetting_Totaal!$F$4:$F$734),Instellingen!$B$3),"")</f>
        <v/>
      </c>
      <c r="F12" s="23">
        <f t="array" ref="F12">IFERROR(PERCENTILE(IF(Bezetting_Totaal!$C$4:$C$734=1,Bezetting_Totaal!$G$4:$G$734),Instellingen!$B$3),"")</f>
        <v/>
      </c>
      <c r="G12" s="23">
        <f t="array" ref="G12">IFERROR(PERCENTILE(IF(Bezetting_Totaal!$C$4:$C$734=1,Bezetting_Totaal!$H$4:$H$734),Instellingen!$B$3),"")</f>
        <v/>
      </c>
      <c r="H12" s="23">
        <f t="array" ref="H12">IFERROR(PERCENTILE(IF(Bezetting_Totaal!$C$4:$C$734=1,Bezetting_Totaal!$I$4:$I$734),Instellingen!$B$3),"")</f>
        <v/>
      </c>
      <c r="I12" s="23">
        <f t="array" ref="I12">IFERROR(PERCENTILE(IF(Bezetting_Totaal!$C$4:$C$734=1,Bezetting_Totaal!$J$4:$J$734),Instellingen!$B$3),"")</f>
        <v/>
      </c>
      <c r="J12" s="23">
        <f t="array" ref="J12">IFERROR(PERCENTILE(IF(Bezetting_Totaal!$C$4:$C$734=1,Bezetting_Totaal!$K$4:$K$734),Instellingen!$B$3),"")</f>
        <v/>
      </c>
      <c r="K12" s="23">
        <f t="array" ref="K12">IFERROR(PERCENTILE(IF(Bezetting_Totaal!$C$4:$C$734=1,Bezetting_Totaal!$L$4:$L$734),Instellingen!$B$3),"")</f>
        <v/>
      </c>
      <c r="L12" s="23">
        <f t="array" ref="L12">IFERROR(PERCENTILE(IF(Bezetting_Totaal!$C$4:$C$734=1,Bezetting_Totaal!$M$4:$M$734),Instellingen!$B$3),"")</f>
        <v/>
      </c>
      <c r="M12" s="23">
        <f t="array" ref="M12">IFERROR(PERCENTILE(IF(Bezetting_Totaal!$C$4:$C$734=1,Bezetting_Totaal!$N$4:$N$734),Instellingen!$B$3),"")</f>
        <v/>
      </c>
      <c r="N12" s="23">
        <f t="array" ref="N12">IFERROR(PERCENTILE(IF(Bezetting_Totaal!$C$4:$C$734=1,Bezetting_Totaal!$O$4:$O$734),Instellingen!$B$3),"")</f>
        <v/>
      </c>
      <c r="O12" s="23">
        <f t="array" ref="O12">IFERROR(PERCENTILE(IF(Bezetting_Totaal!$C$4:$C$734=1,Bezetting_Totaal!$P$4:$P$734),Instellingen!$B$3),"")</f>
        <v/>
      </c>
      <c r="P12" s="23">
        <f t="array" ref="P12">IFERROR(PERCENTILE(IF(Bezetting_Totaal!$C$4:$C$734=1,Bezetting_Totaal!$Q$4:$Q$734),Instellingen!$B$3),"")</f>
        <v/>
      </c>
      <c r="Q12" s="23">
        <f t="array" ref="Q12">IFERROR(PERCENTILE(IF(Bezetting_Totaal!$C$4:$C$734=1,Bezetting_Totaal!$R$4:$R$734),Instellingen!$B$3),"")</f>
        <v/>
      </c>
      <c r="R12" s="23">
        <f t="array" ref="R12">IFERROR(PERCENTILE(IF(Bezetting_Totaal!$C$4:$C$734=1,Bezetting_Totaal!$S$4:$S$734),Instellingen!$B$3),"")</f>
        <v/>
      </c>
      <c r="S12" s="23">
        <f t="array" ref="S12">IFERROR(PERCENTILE(IF(Bezetting_Totaal!$C$4:$C$734=1,Bezetting_Totaal!$T$4:$T$734),Instellingen!$B$3),"")</f>
        <v/>
      </c>
      <c r="T12" s="23">
        <f t="array" ref="T12">IFERROR(PERCENTILE(IF(Bezetting_Totaal!$C$4:$C$734=1,Bezetting_Totaal!$U$4:$U$734),Instellingen!$B$3),"")</f>
        <v/>
      </c>
      <c r="U12" s="23">
        <f t="array" ref="U12">IFERROR(PERCENTILE(IF(Bezetting_Totaal!$C$4:$C$734=1,Bezetting_Totaal!$V$4:$V$734),Instellingen!$B$3),"")</f>
        <v/>
      </c>
      <c r="V12" s="23">
        <f t="array" ref="V12">IFERROR(PERCENTILE(IF(Bezetting_Totaal!$C$4:$C$734=1,Bezetting_Totaal!$W$4:$W$734),Instellingen!$B$3),"")</f>
        <v/>
      </c>
      <c r="W12" s="23">
        <f t="array" ref="W12">IFERROR(PERCENTILE(IF(Bezetting_Totaal!$C$4:$C$734=1,Bezetting_Totaal!$X$4:$X$734),Instellingen!$B$3),"")</f>
        <v/>
      </c>
      <c r="X12" s="23">
        <f t="array" ref="X12">IFERROR(PERCENTILE(IF(Bezetting_Totaal!$C$4:$C$734=1,Bezetting_Totaal!$Y$4:$Y$734),Instellingen!$B$3),"")</f>
        <v/>
      </c>
      <c r="Y12" s="23">
        <f t="array" ref="Y12">IFERROR(PERCENTILE(IF(Bezetting_Totaal!$C$4:$C$734=1,Bezetting_Totaal!$Z$4:$Z$734),Instellingen!$B$3),"")</f>
        <v/>
      </c>
      <c r="Z12" s="23">
        <f t="array" ref="Z12">IFERROR(PERCENTILE(IF(Bezetting_Totaal!$C$4:$C$734=1,Bezetting_Totaal!$AA$4:$AA$734),Instellingen!$B$3),"")</f>
        <v/>
      </c>
      <c r="AA12" s="23">
        <f t="array" ref="AA12">IFERROR(PERCENTILE(IF(Bezetting_Totaal!$C$4:$C$734=1,Bezetting_Totaal!$D$4:$AA$734),Instellingen!$B$3),"")</f>
        <v/>
      </c>
    </row>
    <row r="15">
      <c r="A15" s="11" t="inlineStr">
        <is>
          <t>Aandeel langliggers van het totaal (op drukke momenten)</t>
        </is>
      </c>
    </row>
    <row r="16">
      <c r="A16" s="12" t="inlineStr">
        <is>
          <t>Welk deel van de aanwezige patiënten is langligger? (P95-langliggers ÷ P95-totaal).</t>
        </is>
      </c>
    </row>
    <row r="18">
      <c r="B18" s="18" t="inlineStr">
        <is>
          <t>Weekdag \ Uur</t>
        </is>
      </c>
      <c r="C18" s="18" t="n">
        <v>0</v>
      </c>
      <c r="D18" s="18" t="n">
        <v>1</v>
      </c>
      <c r="E18" s="18" t="n">
        <v>2</v>
      </c>
      <c r="F18" s="18" t="n">
        <v>3</v>
      </c>
      <c r="G18" s="18" t="n">
        <v>4</v>
      </c>
      <c r="H18" s="18" t="n">
        <v>5</v>
      </c>
      <c r="I18" s="18" t="n">
        <v>6</v>
      </c>
      <c r="J18" s="18" t="n">
        <v>7</v>
      </c>
      <c r="K18" s="18" t="n">
        <v>8</v>
      </c>
      <c r="L18" s="18" t="n">
        <v>9</v>
      </c>
      <c r="M18" s="18" t="n">
        <v>10</v>
      </c>
      <c r="N18" s="18" t="n">
        <v>11</v>
      </c>
      <c r="O18" s="18" t="n">
        <v>12</v>
      </c>
      <c r="P18" s="18" t="n">
        <v>13</v>
      </c>
      <c r="Q18" s="18" t="n">
        <v>14</v>
      </c>
      <c r="R18" s="18" t="n">
        <v>15</v>
      </c>
      <c r="S18" s="18" t="n">
        <v>16</v>
      </c>
      <c r="T18" s="18" t="n">
        <v>17</v>
      </c>
      <c r="U18" s="18" t="n">
        <v>18</v>
      </c>
      <c r="V18" s="18" t="n">
        <v>19</v>
      </c>
      <c r="W18" s="18" t="n">
        <v>20</v>
      </c>
      <c r="X18" s="18" t="n">
        <v>21</v>
      </c>
      <c r="Y18" s="18" t="n">
        <v>22</v>
      </c>
      <c r="Z18" s="18" t="n">
        <v>23</v>
      </c>
      <c r="AA18" s="18" t="inlineStr">
        <is>
          <t>Hele dag</t>
        </is>
      </c>
    </row>
    <row r="19">
      <c r="B19" s="21" t="inlineStr">
        <is>
          <t>maandag</t>
        </is>
      </c>
      <c r="C19" s="24">
        <f>IFERROR('Q1_Verdeling'!C5/'Q2_Ratio'!C5,"")</f>
        <v/>
      </c>
      <c r="D19" s="24">
        <f>IFERROR('Q1_Verdeling'!D5/'Q2_Ratio'!D5,"")</f>
        <v/>
      </c>
      <c r="E19" s="24">
        <f>IFERROR('Q1_Verdeling'!E5/'Q2_Ratio'!E5,"")</f>
        <v/>
      </c>
      <c r="F19" s="24">
        <f>IFERROR('Q1_Verdeling'!F5/'Q2_Ratio'!F5,"")</f>
        <v/>
      </c>
      <c r="G19" s="24">
        <f>IFERROR('Q1_Verdeling'!G5/'Q2_Ratio'!G5,"")</f>
        <v/>
      </c>
      <c r="H19" s="24">
        <f>IFERROR('Q1_Verdeling'!H5/'Q2_Ratio'!H5,"")</f>
        <v/>
      </c>
      <c r="I19" s="24">
        <f>IFERROR('Q1_Verdeling'!I5/'Q2_Ratio'!I5,"")</f>
        <v/>
      </c>
      <c r="J19" s="24">
        <f>IFERROR('Q1_Verdeling'!J5/'Q2_Ratio'!J5,"")</f>
        <v/>
      </c>
      <c r="K19" s="24">
        <f>IFERROR('Q1_Verdeling'!K5/'Q2_Ratio'!K5,"")</f>
        <v/>
      </c>
      <c r="L19" s="24">
        <f>IFERROR('Q1_Verdeling'!L5/'Q2_Ratio'!L5,"")</f>
        <v/>
      </c>
      <c r="M19" s="24">
        <f>IFERROR('Q1_Verdeling'!M5/'Q2_Ratio'!M5,"")</f>
        <v/>
      </c>
      <c r="N19" s="24">
        <f>IFERROR('Q1_Verdeling'!N5/'Q2_Ratio'!N5,"")</f>
        <v/>
      </c>
      <c r="O19" s="24">
        <f>IFERROR('Q1_Verdeling'!O5/'Q2_Ratio'!O5,"")</f>
        <v/>
      </c>
      <c r="P19" s="24">
        <f>IFERROR('Q1_Verdeling'!P5/'Q2_Ratio'!P5,"")</f>
        <v/>
      </c>
      <c r="Q19" s="24">
        <f>IFERROR('Q1_Verdeling'!Q5/'Q2_Ratio'!Q5,"")</f>
        <v/>
      </c>
      <c r="R19" s="24">
        <f>IFERROR('Q1_Verdeling'!R5/'Q2_Ratio'!R5,"")</f>
        <v/>
      </c>
      <c r="S19" s="24">
        <f>IFERROR('Q1_Verdeling'!S5/'Q2_Ratio'!S5,"")</f>
        <v/>
      </c>
      <c r="T19" s="24">
        <f>IFERROR('Q1_Verdeling'!T5/'Q2_Ratio'!T5,"")</f>
        <v/>
      </c>
      <c r="U19" s="24">
        <f>IFERROR('Q1_Verdeling'!U5/'Q2_Ratio'!U5,"")</f>
        <v/>
      </c>
      <c r="V19" s="24">
        <f>IFERROR('Q1_Verdeling'!V5/'Q2_Ratio'!V5,"")</f>
        <v/>
      </c>
      <c r="W19" s="24">
        <f>IFERROR('Q1_Verdeling'!W5/'Q2_Ratio'!W5,"")</f>
        <v/>
      </c>
      <c r="X19" s="24">
        <f>IFERROR('Q1_Verdeling'!X5/'Q2_Ratio'!X5,"")</f>
        <v/>
      </c>
      <c r="Y19" s="24">
        <f>IFERROR('Q1_Verdeling'!Y5/'Q2_Ratio'!Y5,"")</f>
        <v/>
      </c>
      <c r="Z19" s="24">
        <f>IFERROR('Q1_Verdeling'!Z5/'Q2_Ratio'!Z5,"")</f>
        <v/>
      </c>
      <c r="AA19" s="25">
        <f>IFERROR('Q1_Verdeling'!AA5/'Q2_Ratio'!AA5,"")</f>
        <v/>
      </c>
    </row>
    <row r="20">
      <c r="B20" s="21" t="inlineStr">
        <is>
          <t>dinsdag</t>
        </is>
      </c>
      <c r="C20" s="24">
        <f>IFERROR('Q1_Verdeling'!C6/'Q2_Ratio'!C6,"")</f>
        <v/>
      </c>
      <c r="D20" s="24">
        <f>IFERROR('Q1_Verdeling'!D6/'Q2_Ratio'!D6,"")</f>
        <v/>
      </c>
      <c r="E20" s="24">
        <f>IFERROR('Q1_Verdeling'!E6/'Q2_Ratio'!E6,"")</f>
        <v/>
      </c>
      <c r="F20" s="24">
        <f>IFERROR('Q1_Verdeling'!F6/'Q2_Ratio'!F6,"")</f>
        <v/>
      </c>
      <c r="G20" s="24">
        <f>IFERROR('Q1_Verdeling'!G6/'Q2_Ratio'!G6,"")</f>
        <v/>
      </c>
      <c r="H20" s="24">
        <f>IFERROR('Q1_Verdeling'!H6/'Q2_Ratio'!H6,"")</f>
        <v/>
      </c>
      <c r="I20" s="24">
        <f>IFERROR('Q1_Verdeling'!I6/'Q2_Ratio'!I6,"")</f>
        <v/>
      </c>
      <c r="J20" s="24">
        <f>IFERROR('Q1_Verdeling'!J6/'Q2_Ratio'!J6,"")</f>
        <v/>
      </c>
      <c r="K20" s="24">
        <f>IFERROR('Q1_Verdeling'!K6/'Q2_Ratio'!K6,"")</f>
        <v/>
      </c>
      <c r="L20" s="24">
        <f>IFERROR('Q1_Verdeling'!L6/'Q2_Ratio'!L6,"")</f>
        <v/>
      </c>
      <c r="M20" s="24">
        <f>IFERROR('Q1_Verdeling'!M6/'Q2_Ratio'!M6,"")</f>
        <v/>
      </c>
      <c r="N20" s="24">
        <f>IFERROR('Q1_Verdeling'!N6/'Q2_Ratio'!N6,"")</f>
        <v/>
      </c>
      <c r="O20" s="24">
        <f>IFERROR('Q1_Verdeling'!O6/'Q2_Ratio'!O6,"")</f>
        <v/>
      </c>
      <c r="P20" s="24">
        <f>IFERROR('Q1_Verdeling'!P6/'Q2_Ratio'!P6,"")</f>
        <v/>
      </c>
      <c r="Q20" s="24">
        <f>IFERROR('Q1_Verdeling'!Q6/'Q2_Ratio'!Q6,"")</f>
        <v/>
      </c>
      <c r="R20" s="24">
        <f>IFERROR('Q1_Verdeling'!R6/'Q2_Ratio'!R6,"")</f>
        <v/>
      </c>
      <c r="S20" s="24">
        <f>IFERROR('Q1_Verdeling'!S6/'Q2_Ratio'!S6,"")</f>
        <v/>
      </c>
      <c r="T20" s="24">
        <f>IFERROR('Q1_Verdeling'!T6/'Q2_Ratio'!T6,"")</f>
        <v/>
      </c>
      <c r="U20" s="24">
        <f>IFERROR('Q1_Verdeling'!U6/'Q2_Ratio'!U6,"")</f>
        <v/>
      </c>
      <c r="V20" s="24">
        <f>IFERROR('Q1_Verdeling'!V6/'Q2_Ratio'!V6,"")</f>
        <v/>
      </c>
      <c r="W20" s="24">
        <f>IFERROR('Q1_Verdeling'!W6/'Q2_Ratio'!W6,"")</f>
        <v/>
      </c>
      <c r="X20" s="24">
        <f>IFERROR('Q1_Verdeling'!X6/'Q2_Ratio'!X6,"")</f>
        <v/>
      </c>
      <c r="Y20" s="24">
        <f>IFERROR('Q1_Verdeling'!Y6/'Q2_Ratio'!Y6,"")</f>
        <v/>
      </c>
      <c r="Z20" s="24">
        <f>IFERROR('Q1_Verdeling'!Z6/'Q2_Ratio'!Z6,"")</f>
        <v/>
      </c>
      <c r="AA20" s="25">
        <f>IFERROR('Q1_Verdeling'!AA6/'Q2_Ratio'!AA6,"")</f>
        <v/>
      </c>
    </row>
    <row r="21">
      <c r="B21" s="21" t="inlineStr">
        <is>
          <t>woensdag</t>
        </is>
      </c>
      <c r="C21" s="24">
        <f>IFERROR('Q1_Verdeling'!C7/'Q2_Ratio'!C7,"")</f>
        <v/>
      </c>
      <c r="D21" s="24">
        <f>IFERROR('Q1_Verdeling'!D7/'Q2_Ratio'!D7,"")</f>
        <v/>
      </c>
      <c r="E21" s="24">
        <f>IFERROR('Q1_Verdeling'!E7/'Q2_Ratio'!E7,"")</f>
        <v/>
      </c>
      <c r="F21" s="24">
        <f>IFERROR('Q1_Verdeling'!F7/'Q2_Ratio'!F7,"")</f>
        <v/>
      </c>
      <c r="G21" s="24">
        <f>IFERROR('Q1_Verdeling'!G7/'Q2_Ratio'!G7,"")</f>
        <v/>
      </c>
      <c r="H21" s="24">
        <f>IFERROR('Q1_Verdeling'!H7/'Q2_Ratio'!H7,"")</f>
        <v/>
      </c>
      <c r="I21" s="24">
        <f>IFERROR('Q1_Verdeling'!I7/'Q2_Ratio'!I7,"")</f>
        <v/>
      </c>
      <c r="J21" s="24">
        <f>IFERROR('Q1_Verdeling'!J7/'Q2_Ratio'!J7,"")</f>
        <v/>
      </c>
      <c r="K21" s="24">
        <f>IFERROR('Q1_Verdeling'!K7/'Q2_Ratio'!K7,"")</f>
        <v/>
      </c>
      <c r="L21" s="24">
        <f>IFERROR('Q1_Verdeling'!L7/'Q2_Ratio'!L7,"")</f>
        <v/>
      </c>
      <c r="M21" s="24">
        <f>IFERROR('Q1_Verdeling'!M7/'Q2_Ratio'!M7,"")</f>
        <v/>
      </c>
      <c r="N21" s="24">
        <f>IFERROR('Q1_Verdeling'!N7/'Q2_Ratio'!N7,"")</f>
        <v/>
      </c>
      <c r="O21" s="24">
        <f>IFERROR('Q1_Verdeling'!O7/'Q2_Ratio'!O7,"")</f>
        <v/>
      </c>
      <c r="P21" s="24">
        <f>IFERROR('Q1_Verdeling'!P7/'Q2_Ratio'!P7,"")</f>
        <v/>
      </c>
      <c r="Q21" s="24">
        <f>IFERROR('Q1_Verdeling'!Q7/'Q2_Ratio'!Q7,"")</f>
        <v/>
      </c>
      <c r="R21" s="24">
        <f>IFERROR('Q1_Verdeling'!R7/'Q2_Ratio'!R7,"")</f>
        <v/>
      </c>
      <c r="S21" s="24">
        <f>IFERROR('Q1_Verdeling'!S7/'Q2_Ratio'!S7,"")</f>
        <v/>
      </c>
      <c r="T21" s="24">
        <f>IFERROR('Q1_Verdeling'!T7/'Q2_Ratio'!T7,"")</f>
        <v/>
      </c>
      <c r="U21" s="24">
        <f>IFERROR('Q1_Verdeling'!U7/'Q2_Ratio'!U7,"")</f>
        <v/>
      </c>
      <c r="V21" s="24">
        <f>IFERROR('Q1_Verdeling'!V7/'Q2_Ratio'!V7,"")</f>
        <v/>
      </c>
      <c r="W21" s="24">
        <f>IFERROR('Q1_Verdeling'!W7/'Q2_Ratio'!W7,"")</f>
        <v/>
      </c>
      <c r="X21" s="24">
        <f>IFERROR('Q1_Verdeling'!X7/'Q2_Ratio'!X7,"")</f>
        <v/>
      </c>
      <c r="Y21" s="24">
        <f>IFERROR('Q1_Verdeling'!Y7/'Q2_Ratio'!Y7,"")</f>
        <v/>
      </c>
      <c r="Z21" s="24">
        <f>IFERROR('Q1_Verdeling'!Z7/'Q2_Ratio'!Z7,"")</f>
        <v/>
      </c>
      <c r="AA21" s="25">
        <f>IFERROR('Q1_Verdeling'!AA7/'Q2_Ratio'!AA7,"")</f>
        <v/>
      </c>
    </row>
    <row r="22">
      <c r="B22" s="21" t="inlineStr">
        <is>
          <t>donderdag</t>
        </is>
      </c>
      <c r="C22" s="24">
        <f>IFERROR('Q1_Verdeling'!C8/'Q2_Ratio'!C8,"")</f>
        <v/>
      </c>
      <c r="D22" s="24">
        <f>IFERROR('Q1_Verdeling'!D8/'Q2_Ratio'!D8,"")</f>
        <v/>
      </c>
      <c r="E22" s="24">
        <f>IFERROR('Q1_Verdeling'!E8/'Q2_Ratio'!E8,"")</f>
        <v/>
      </c>
      <c r="F22" s="24">
        <f>IFERROR('Q1_Verdeling'!F8/'Q2_Ratio'!F8,"")</f>
        <v/>
      </c>
      <c r="G22" s="24">
        <f>IFERROR('Q1_Verdeling'!G8/'Q2_Ratio'!G8,"")</f>
        <v/>
      </c>
      <c r="H22" s="24">
        <f>IFERROR('Q1_Verdeling'!H8/'Q2_Ratio'!H8,"")</f>
        <v/>
      </c>
      <c r="I22" s="24">
        <f>IFERROR('Q1_Verdeling'!I8/'Q2_Ratio'!I8,"")</f>
        <v/>
      </c>
      <c r="J22" s="24">
        <f>IFERROR('Q1_Verdeling'!J8/'Q2_Ratio'!J8,"")</f>
        <v/>
      </c>
      <c r="K22" s="24">
        <f>IFERROR('Q1_Verdeling'!K8/'Q2_Ratio'!K8,"")</f>
        <v/>
      </c>
      <c r="L22" s="24">
        <f>IFERROR('Q1_Verdeling'!L8/'Q2_Ratio'!L8,"")</f>
        <v/>
      </c>
      <c r="M22" s="24">
        <f>IFERROR('Q1_Verdeling'!M8/'Q2_Ratio'!M8,"")</f>
        <v/>
      </c>
      <c r="N22" s="24">
        <f>IFERROR('Q1_Verdeling'!N8/'Q2_Ratio'!N8,"")</f>
        <v/>
      </c>
      <c r="O22" s="24">
        <f>IFERROR('Q1_Verdeling'!O8/'Q2_Ratio'!O8,"")</f>
        <v/>
      </c>
      <c r="P22" s="24">
        <f>IFERROR('Q1_Verdeling'!P8/'Q2_Ratio'!P8,"")</f>
        <v/>
      </c>
      <c r="Q22" s="24">
        <f>IFERROR('Q1_Verdeling'!Q8/'Q2_Ratio'!Q8,"")</f>
        <v/>
      </c>
      <c r="R22" s="24">
        <f>IFERROR('Q1_Verdeling'!R8/'Q2_Ratio'!R8,"")</f>
        <v/>
      </c>
      <c r="S22" s="24">
        <f>IFERROR('Q1_Verdeling'!S8/'Q2_Ratio'!S8,"")</f>
        <v/>
      </c>
      <c r="T22" s="24">
        <f>IFERROR('Q1_Verdeling'!T8/'Q2_Ratio'!T8,"")</f>
        <v/>
      </c>
      <c r="U22" s="24">
        <f>IFERROR('Q1_Verdeling'!U8/'Q2_Ratio'!U8,"")</f>
        <v/>
      </c>
      <c r="V22" s="24">
        <f>IFERROR('Q1_Verdeling'!V8/'Q2_Ratio'!V8,"")</f>
        <v/>
      </c>
      <c r="W22" s="24">
        <f>IFERROR('Q1_Verdeling'!W8/'Q2_Ratio'!W8,"")</f>
        <v/>
      </c>
      <c r="X22" s="24">
        <f>IFERROR('Q1_Verdeling'!X8/'Q2_Ratio'!X8,"")</f>
        <v/>
      </c>
      <c r="Y22" s="24">
        <f>IFERROR('Q1_Verdeling'!Y8/'Q2_Ratio'!Y8,"")</f>
        <v/>
      </c>
      <c r="Z22" s="24">
        <f>IFERROR('Q1_Verdeling'!Z8/'Q2_Ratio'!Z8,"")</f>
        <v/>
      </c>
      <c r="AA22" s="25">
        <f>IFERROR('Q1_Verdeling'!AA8/'Q2_Ratio'!AA8,"")</f>
        <v/>
      </c>
    </row>
    <row r="23">
      <c r="B23" s="21" t="inlineStr">
        <is>
          <t>vrijdag</t>
        </is>
      </c>
      <c r="C23" s="24">
        <f>IFERROR('Q1_Verdeling'!C9/'Q2_Ratio'!C9,"")</f>
        <v/>
      </c>
      <c r="D23" s="24">
        <f>IFERROR('Q1_Verdeling'!D9/'Q2_Ratio'!D9,"")</f>
        <v/>
      </c>
      <c r="E23" s="24">
        <f>IFERROR('Q1_Verdeling'!E9/'Q2_Ratio'!E9,"")</f>
        <v/>
      </c>
      <c r="F23" s="24">
        <f>IFERROR('Q1_Verdeling'!F9/'Q2_Ratio'!F9,"")</f>
        <v/>
      </c>
      <c r="G23" s="24">
        <f>IFERROR('Q1_Verdeling'!G9/'Q2_Ratio'!G9,"")</f>
        <v/>
      </c>
      <c r="H23" s="24">
        <f>IFERROR('Q1_Verdeling'!H9/'Q2_Ratio'!H9,"")</f>
        <v/>
      </c>
      <c r="I23" s="24">
        <f>IFERROR('Q1_Verdeling'!I9/'Q2_Ratio'!I9,"")</f>
        <v/>
      </c>
      <c r="J23" s="24">
        <f>IFERROR('Q1_Verdeling'!J9/'Q2_Ratio'!J9,"")</f>
        <v/>
      </c>
      <c r="K23" s="24">
        <f>IFERROR('Q1_Verdeling'!K9/'Q2_Ratio'!K9,"")</f>
        <v/>
      </c>
      <c r="L23" s="24">
        <f>IFERROR('Q1_Verdeling'!L9/'Q2_Ratio'!L9,"")</f>
        <v/>
      </c>
      <c r="M23" s="24">
        <f>IFERROR('Q1_Verdeling'!M9/'Q2_Ratio'!M9,"")</f>
        <v/>
      </c>
      <c r="N23" s="24">
        <f>IFERROR('Q1_Verdeling'!N9/'Q2_Ratio'!N9,"")</f>
        <v/>
      </c>
      <c r="O23" s="24">
        <f>IFERROR('Q1_Verdeling'!O9/'Q2_Ratio'!O9,"")</f>
        <v/>
      </c>
      <c r="P23" s="24">
        <f>IFERROR('Q1_Verdeling'!P9/'Q2_Ratio'!P9,"")</f>
        <v/>
      </c>
      <c r="Q23" s="24">
        <f>IFERROR('Q1_Verdeling'!Q9/'Q2_Ratio'!Q9,"")</f>
        <v/>
      </c>
      <c r="R23" s="24">
        <f>IFERROR('Q1_Verdeling'!R9/'Q2_Ratio'!R9,"")</f>
        <v/>
      </c>
      <c r="S23" s="24">
        <f>IFERROR('Q1_Verdeling'!S9/'Q2_Ratio'!S9,"")</f>
        <v/>
      </c>
      <c r="T23" s="24">
        <f>IFERROR('Q1_Verdeling'!T9/'Q2_Ratio'!T9,"")</f>
        <v/>
      </c>
      <c r="U23" s="24">
        <f>IFERROR('Q1_Verdeling'!U9/'Q2_Ratio'!U9,"")</f>
        <v/>
      </c>
      <c r="V23" s="24">
        <f>IFERROR('Q1_Verdeling'!V9/'Q2_Ratio'!V9,"")</f>
        <v/>
      </c>
      <c r="W23" s="24">
        <f>IFERROR('Q1_Verdeling'!W9/'Q2_Ratio'!W9,"")</f>
        <v/>
      </c>
      <c r="X23" s="24">
        <f>IFERROR('Q1_Verdeling'!X9/'Q2_Ratio'!X9,"")</f>
        <v/>
      </c>
      <c r="Y23" s="24">
        <f>IFERROR('Q1_Verdeling'!Y9/'Q2_Ratio'!Y9,"")</f>
        <v/>
      </c>
      <c r="Z23" s="24">
        <f>IFERROR('Q1_Verdeling'!Z9/'Q2_Ratio'!Z9,"")</f>
        <v/>
      </c>
      <c r="AA23" s="25">
        <f>IFERROR('Q1_Verdeling'!AA9/'Q2_Ratio'!AA9,"")</f>
        <v/>
      </c>
    </row>
    <row r="24">
      <c r="B24" s="21" t="inlineStr">
        <is>
          <t>zaterdag</t>
        </is>
      </c>
      <c r="C24" s="24">
        <f>IFERROR('Q1_Verdeling'!C10/'Q2_Ratio'!C10,"")</f>
        <v/>
      </c>
      <c r="D24" s="24">
        <f>IFERROR('Q1_Verdeling'!D10/'Q2_Ratio'!D10,"")</f>
        <v/>
      </c>
      <c r="E24" s="24">
        <f>IFERROR('Q1_Verdeling'!E10/'Q2_Ratio'!E10,"")</f>
        <v/>
      </c>
      <c r="F24" s="24">
        <f>IFERROR('Q1_Verdeling'!F10/'Q2_Ratio'!F10,"")</f>
        <v/>
      </c>
      <c r="G24" s="24">
        <f>IFERROR('Q1_Verdeling'!G10/'Q2_Ratio'!G10,"")</f>
        <v/>
      </c>
      <c r="H24" s="24">
        <f>IFERROR('Q1_Verdeling'!H10/'Q2_Ratio'!H10,"")</f>
        <v/>
      </c>
      <c r="I24" s="24">
        <f>IFERROR('Q1_Verdeling'!I10/'Q2_Ratio'!I10,"")</f>
        <v/>
      </c>
      <c r="J24" s="24">
        <f>IFERROR('Q1_Verdeling'!J10/'Q2_Ratio'!J10,"")</f>
        <v/>
      </c>
      <c r="K24" s="24">
        <f>IFERROR('Q1_Verdeling'!K10/'Q2_Ratio'!K10,"")</f>
        <v/>
      </c>
      <c r="L24" s="24">
        <f>IFERROR('Q1_Verdeling'!L10/'Q2_Ratio'!L10,"")</f>
        <v/>
      </c>
      <c r="M24" s="24">
        <f>IFERROR('Q1_Verdeling'!M10/'Q2_Ratio'!M10,"")</f>
        <v/>
      </c>
      <c r="N24" s="24">
        <f>IFERROR('Q1_Verdeling'!N10/'Q2_Ratio'!N10,"")</f>
        <v/>
      </c>
      <c r="O24" s="24">
        <f>IFERROR('Q1_Verdeling'!O10/'Q2_Ratio'!O10,"")</f>
        <v/>
      </c>
      <c r="P24" s="24">
        <f>IFERROR('Q1_Verdeling'!P10/'Q2_Ratio'!P10,"")</f>
        <v/>
      </c>
      <c r="Q24" s="24">
        <f>IFERROR('Q1_Verdeling'!Q10/'Q2_Ratio'!Q10,"")</f>
        <v/>
      </c>
      <c r="R24" s="24">
        <f>IFERROR('Q1_Verdeling'!R10/'Q2_Ratio'!R10,"")</f>
        <v/>
      </c>
      <c r="S24" s="24">
        <f>IFERROR('Q1_Verdeling'!S10/'Q2_Ratio'!S10,"")</f>
        <v/>
      </c>
      <c r="T24" s="24">
        <f>IFERROR('Q1_Verdeling'!T10/'Q2_Ratio'!T10,"")</f>
        <v/>
      </c>
      <c r="U24" s="24">
        <f>IFERROR('Q1_Verdeling'!U10/'Q2_Ratio'!U10,"")</f>
        <v/>
      </c>
      <c r="V24" s="24">
        <f>IFERROR('Q1_Verdeling'!V10/'Q2_Ratio'!V10,"")</f>
        <v/>
      </c>
      <c r="W24" s="24">
        <f>IFERROR('Q1_Verdeling'!W10/'Q2_Ratio'!W10,"")</f>
        <v/>
      </c>
      <c r="X24" s="24">
        <f>IFERROR('Q1_Verdeling'!X10/'Q2_Ratio'!X10,"")</f>
        <v/>
      </c>
      <c r="Y24" s="24">
        <f>IFERROR('Q1_Verdeling'!Y10/'Q2_Ratio'!Y10,"")</f>
        <v/>
      </c>
      <c r="Z24" s="24">
        <f>IFERROR('Q1_Verdeling'!Z10/'Q2_Ratio'!Z10,"")</f>
        <v/>
      </c>
      <c r="AA24" s="25">
        <f>IFERROR('Q1_Verdeling'!AA10/'Q2_Ratio'!AA10,"")</f>
        <v/>
      </c>
    </row>
    <row r="25">
      <c r="B25" s="21" t="inlineStr">
        <is>
          <t>zondag</t>
        </is>
      </c>
      <c r="C25" s="24">
        <f>IFERROR('Q1_Verdeling'!C11/'Q2_Ratio'!C11,"")</f>
        <v/>
      </c>
      <c r="D25" s="24">
        <f>IFERROR('Q1_Verdeling'!D11/'Q2_Ratio'!D11,"")</f>
        <v/>
      </c>
      <c r="E25" s="24">
        <f>IFERROR('Q1_Verdeling'!E11/'Q2_Ratio'!E11,"")</f>
        <v/>
      </c>
      <c r="F25" s="24">
        <f>IFERROR('Q1_Verdeling'!F11/'Q2_Ratio'!F11,"")</f>
        <v/>
      </c>
      <c r="G25" s="24">
        <f>IFERROR('Q1_Verdeling'!G11/'Q2_Ratio'!G11,"")</f>
        <v/>
      </c>
      <c r="H25" s="24">
        <f>IFERROR('Q1_Verdeling'!H11/'Q2_Ratio'!H11,"")</f>
        <v/>
      </c>
      <c r="I25" s="24">
        <f>IFERROR('Q1_Verdeling'!I11/'Q2_Ratio'!I11,"")</f>
        <v/>
      </c>
      <c r="J25" s="24">
        <f>IFERROR('Q1_Verdeling'!J11/'Q2_Ratio'!J11,"")</f>
        <v/>
      </c>
      <c r="K25" s="24">
        <f>IFERROR('Q1_Verdeling'!K11/'Q2_Ratio'!K11,"")</f>
        <v/>
      </c>
      <c r="L25" s="24">
        <f>IFERROR('Q1_Verdeling'!L11/'Q2_Ratio'!L11,"")</f>
        <v/>
      </c>
      <c r="M25" s="24">
        <f>IFERROR('Q1_Verdeling'!M11/'Q2_Ratio'!M11,"")</f>
        <v/>
      </c>
      <c r="N25" s="24">
        <f>IFERROR('Q1_Verdeling'!N11/'Q2_Ratio'!N11,"")</f>
        <v/>
      </c>
      <c r="O25" s="24">
        <f>IFERROR('Q1_Verdeling'!O11/'Q2_Ratio'!O11,"")</f>
        <v/>
      </c>
      <c r="P25" s="24">
        <f>IFERROR('Q1_Verdeling'!P11/'Q2_Ratio'!P11,"")</f>
        <v/>
      </c>
      <c r="Q25" s="24">
        <f>IFERROR('Q1_Verdeling'!Q11/'Q2_Ratio'!Q11,"")</f>
        <v/>
      </c>
      <c r="R25" s="24">
        <f>IFERROR('Q1_Verdeling'!R11/'Q2_Ratio'!R11,"")</f>
        <v/>
      </c>
      <c r="S25" s="24">
        <f>IFERROR('Q1_Verdeling'!S11/'Q2_Ratio'!S11,"")</f>
        <v/>
      </c>
      <c r="T25" s="24">
        <f>IFERROR('Q1_Verdeling'!T11/'Q2_Ratio'!T11,"")</f>
        <v/>
      </c>
      <c r="U25" s="24">
        <f>IFERROR('Q1_Verdeling'!U11/'Q2_Ratio'!U11,"")</f>
        <v/>
      </c>
      <c r="V25" s="24">
        <f>IFERROR('Q1_Verdeling'!V11/'Q2_Ratio'!V11,"")</f>
        <v/>
      </c>
      <c r="W25" s="24">
        <f>IFERROR('Q1_Verdeling'!W11/'Q2_Ratio'!W11,"")</f>
        <v/>
      </c>
      <c r="X25" s="24">
        <f>IFERROR('Q1_Verdeling'!X11/'Q2_Ratio'!X11,"")</f>
        <v/>
      </c>
      <c r="Y25" s="24">
        <f>IFERROR('Q1_Verdeling'!Y11/'Q2_Ratio'!Y11,"")</f>
        <v/>
      </c>
      <c r="Z25" s="24">
        <f>IFERROR('Q1_Verdeling'!Z11/'Q2_Ratio'!Z11,"")</f>
        <v/>
      </c>
      <c r="AA25" s="25">
        <f>IFERROR('Q1_Verdeling'!AA11/'Q2_Ratio'!AA11,"")</f>
        <v/>
      </c>
    </row>
    <row r="26">
      <c r="B26" s="21" t="inlineStr">
        <is>
          <t>Alle dagen</t>
        </is>
      </c>
      <c r="C26" s="25">
        <f>IFERROR('Q1_Verdeling'!C12/'Q2_Ratio'!C12,"")</f>
        <v/>
      </c>
      <c r="D26" s="25">
        <f>IFERROR('Q1_Verdeling'!D12/'Q2_Ratio'!D12,"")</f>
        <v/>
      </c>
      <c r="E26" s="25">
        <f>IFERROR('Q1_Verdeling'!E12/'Q2_Ratio'!E12,"")</f>
        <v/>
      </c>
      <c r="F26" s="25">
        <f>IFERROR('Q1_Verdeling'!F12/'Q2_Ratio'!F12,"")</f>
        <v/>
      </c>
      <c r="G26" s="25">
        <f>IFERROR('Q1_Verdeling'!G12/'Q2_Ratio'!G12,"")</f>
        <v/>
      </c>
      <c r="H26" s="25">
        <f>IFERROR('Q1_Verdeling'!H12/'Q2_Ratio'!H12,"")</f>
        <v/>
      </c>
      <c r="I26" s="25">
        <f>IFERROR('Q1_Verdeling'!I12/'Q2_Ratio'!I12,"")</f>
        <v/>
      </c>
      <c r="J26" s="25">
        <f>IFERROR('Q1_Verdeling'!J12/'Q2_Ratio'!J12,"")</f>
        <v/>
      </c>
      <c r="K26" s="25">
        <f>IFERROR('Q1_Verdeling'!K12/'Q2_Ratio'!K12,"")</f>
        <v/>
      </c>
      <c r="L26" s="25">
        <f>IFERROR('Q1_Verdeling'!L12/'Q2_Ratio'!L12,"")</f>
        <v/>
      </c>
      <c r="M26" s="25">
        <f>IFERROR('Q1_Verdeling'!M12/'Q2_Ratio'!M12,"")</f>
        <v/>
      </c>
      <c r="N26" s="25">
        <f>IFERROR('Q1_Verdeling'!N12/'Q2_Ratio'!N12,"")</f>
        <v/>
      </c>
      <c r="O26" s="25">
        <f>IFERROR('Q1_Verdeling'!O12/'Q2_Ratio'!O12,"")</f>
        <v/>
      </c>
      <c r="P26" s="25">
        <f>IFERROR('Q1_Verdeling'!P12/'Q2_Ratio'!P12,"")</f>
        <v/>
      </c>
      <c r="Q26" s="25">
        <f>IFERROR('Q1_Verdeling'!Q12/'Q2_Ratio'!Q12,"")</f>
        <v/>
      </c>
      <c r="R26" s="25">
        <f>IFERROR('Q1_Verdeling'!R12/'Q2_Ratio'!R12,"")</f>
        <v/>
      </c>
      <c r="S26" s="25">
        <f>IFERROR('Q1_Verdeling'!S12/'Q2_Ratio'!S12,"")</f>
        <v/>
      </c>
      <c r="T26" s="25">
        <f>IFERROR('Q1_Verdeling'!T12/'Q2_Ratio'!T12,"")</f>
        <v/>
      </c>
      <c r="U26" s="25">
        <f>IFERROR('Q1_Verdeling'!U12/'Q2_Ratio'!U12,"")</f>
        <v/>
      </c>
      <c r="V26" s="25">
        <f>IFERROR('Q1_Verdeling'!V12/'Q2_Ratio'!V12,"")</f>
        <v/>
      </c>
      <c r="W26" s="25">
        <f>IFERROR('Q1_Verdeling'!W12/'Q2_Ratio'!W12,"")</f>
        <v/>
      </c>
      <c r="X26" s="25">
        <f>IFERROR('Q1_Verdeling'!X12/'Q2_Ratio'!X12,"")</f>
        <v/>
      </c>
      <c r="Y26" s="25">
        <f>IFERROR('Q1_Verdeling'!Y12/'Q2_Ratio'!Y12,"")</f>
        <v/>
      </c>
      <c r="Z26" s="25">
        <f>IFERROR('Q1_Verdeling'!Z12/'Q2_Ratio'!Z12,"")</f>
        <v/>
      </c>
      <c r="AA26" s="25">
        <f>IFERROR('Q1_Verdeling'!AA12/'Q2_Ratio'!AA12,"")</f>
        <v/>
      </c>
    </row>
  </sheetData>
  <mergeCells count="2">
    <mergeCell ref="A2:L2"/>
    <mergeCell ref="A16:L16"/>
  </mergeCells>
  <conditionalFormatting sqref="C5:Z11">
    <cfRule type="colorScale" priority="1">
      <colorScale>
        <cfvo type="min"/>
        <cfvo type="percentile" val="50"/>
        <cfvo type="max"/>
        <color rgb="00FFFFFF"/>
        <color rgb="00FFD966"/>
        <color rgb="004472C4"/>
      </colorScale>
    </cfRule>
  </conditionalFormatting>
  <conditionalFormatting sqref="C19:Z25">
    <cfRule type="colorScale" priority="2">
      <colorScale>
        <cfvo type="min"/>
        <cfvo type="percentile" val="50"/>
        <cfvo type="max"/>
        <color rgb="00FFFFFF"/>
        <color rgb="00FFD966"/>
        <color rgb="00ED7D31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6" customWidth="1" min="4" max="4"/>
    <col width="13" customWidth="1" min="5" max="5"/>
    <col width="16" customWidth="1" min="6" max="6"/>
    <col width="22" customWidth="1" min="7" max="7"/>
  </cols>
  <sheetData>
    <row r="1">
      <c r="A1" s="11" t="inlineStr">
        <is>
          <t>Vraag 3 – Per SEH-arts en per specialisme</t>
        </is>
      </c>
    </row>
    <row r="2" ht="42" customHeight="1">
      <c r="A2" s="5" t="inlineStr">
        <is>
          <t>Vul (geel) de namen in zoals ze in 'SEH specialist' staan; de kengetallen verschijnen vanzelf. Filter in de onderste tabel op specialisme 'SEH' voor de SEH-artsen. Ligduur = P95 van 'Minuten'.</t>
        </is>
      </c>
    </row>
    <row r="4" ht="30" customHeight="1">
      <c r="A4" s="6" t="inlineStr">
        <is>
          <t>SEH-arts (invullen)</t>
        </is>
      </c>
      <c r="B4" s="6" t="inlineStr">
        <is>
          <t>Specialisme</t>
        </is>
      </c>
      <c r="C4" s="6" t="inlineStr">
        <is>
          <t>Aantal regels</t>
        </is>
      </c>
      <c r="D4" s="6" t="inlineStr">
        <is>
          <t>Aantal langligg.</t>
        </is>
      </c>
      <c r="E4" s="6" t="inlineStr">
        <is>
          <t>% langligg.</t>
        </is>
      </c>
      <c r="F4" s="6" t="inlineStr">
        <is>
          <t>Ligduur P95 (min)</t>
        </is>
      </c>
      <c r="G4" s="6" t="inlineStr">
        <is>
          <t>Ligduur P95 langligg. (min)</t>
        </is>
      </c>
    </row>
    <row r="5">
      <c r="A5" s="26" t="inlineStr">
        <is>
          <t>Dr. Jansen</t>
        </is>
      </c>
      <c r="B5" s="27">
        <f>IF($A5="","",IFERROR(INDEX(tData[SpecialismeCodeIntern],MATCH($A5,tData[SEH specialist],0)),""))</f>
        <v/>
      </c>
      <c r="C5" s="28">
        <f>IF($A5="","",COUNTIF(tData[SEH specialist],$A5))</f>
        <v/>
      </c>
      <c r="D5" s="28">
        <f>IF($A5="","",COUNTIFS(tData[SEH specialist],$A5,tData[Langligger01],1))</f>
        <v/>
      </c>
      <c r="E5" s="29">
        <f>IF(OR($A5="",C5=0),"",D5/C5)</f>
        <v/>
      </c>
      <c r="F5" s="28">
        <f t="array" ref="F5">IF($A5="","",IFERROR(PERCENTILE(IF(tData[SEH specialist]=$A5,tData[Minuten]),Instellingen!$B$3),""))</f>
        <v/>
      </c>
      <c r="G5" s="28">
        <f t="array" ref="G5">IF($A5="","",IFERROR(PERCENTILE(IF((tData[SEH specialist]=$A5)*(tData[Langligger01]=1),tData[Minuten]),Instellingen!$B$3),""))</f>
        <v/>
      </c>
    </row>
    <row r="6">
      <c r="A6" s="26" t="inlineStr"/>
      <c r="B6" s="27">
        <f>IF($A6="","",IFERROR(INDEX(tData[SpecialismeCodeIntern],MATCH($A6,tData[SEH specialist],0)),""))</f>
        <v/>
      </c>
      <c r="C6" s="28">
        <f>IF($A6="","",COUNTIF(tData[SEH specialist],$A6))</f>
        <v/>
      </c>
      <c r="D6" s="28">
        <f>IF($A6="","",COUNTIFS(tData[SEH specialist],$A6,tData[Langligger01],1))</f>
        <v/>
      </c>
      <c r="E6" s="29">
        <f>IF(OR($A6="",C6=0),"",D6/C6)</f>
        <v/>
      </c>
      <c r="F6" s="28">
        <f t="array" ref="F6">IF($A6="","",IFERROR(PERCENTILE(IF(tData[SEH specialist]=$A6,tData[Minuten]),Instellingen!$B$3),""))</f>
        <v/>
      </c>
      <c r="G6" s="28">
        <f t="array" ref="G6">IF($A6="","",IFERROR(PERCENTILE(IF((tData[SEH specialist]=$A6)*(tData[Langligger01]=1),tData[Minuten]),Instellingen!$B$3),""))</f>
        <v/>
      </c>
    </row>
    <row r="7">
      <c r="A7" s="26" t="inlineStr"/>
      <c r="B7" s="27">
        <f>IF($A7="","",IFERROR(INDEX(tData[SpecialismeCodeIntern],MATCH($A7,tData[SEH specialist],0)),""))</f>
        <v/>
      </c>
      <c r="C7" s="28">
        <f>IF($A7="","",COUNTIF(tData[SEH specialist],$A7))</f>
        <v/>
      </c>
      <c r="D7" s="28">
        <f>IF($A7="","",COUNTIFS(tData[SEH specialist],$A7,tData[Langligger01],1))</f>
        <v/>
      </c>
      <c r="E7" s="29">
        <f>IF(OR($A7="",C7=0),"",D7/C7)</f>
        <v/>
      </c>
      <c r="F7" s="28">
        <f t="array" ref="F7">IF($A7="","",IFERROR(PERCENTILE(IF(tData[SEH specialist]=$A7,tData[Minuten]),Instellingen!$B$3),""))</f>
        <v/>
      </c>
      <c r="G7" s="28">
        <f t="array" ref="G7">IF($A7="","",IFERROR(PERCENTILE(IF((tData[SEH specialist]=$A7)*(tData[Langligger01]=1),tData[Minuten]),Instellingen!$B$3),""))</f>
        <v/>
      </c>
    </row>
    <row r="8">
      <c r="A8" s="26" t="inlineStr"/>
      <c r="B8" s="27">
        <f>IF($A8="","",IFERROR(INDEX(tData[SpecialismeCodeIntern],MATCH($A8,tData[SEH specialist],0)),""))</f>
        <v/>
      </c>
      <c r="C8" s="28">
        <f>IF($A8="","",COUNTIF(tData[SEH specialist],$A8))</f>
        <v/>
      </c>
      <c r="D8" s="28">
        <f>IF($A8="","",COUNTIFS(tData[SEH specialist],$A8,tData[Langligger01],1))</f>
        <v/>
      </c>
      <c r="E8" s="29">
        <f>IF(OR($A8="",C8=0),"",D8/C8)</f>
        <v/>
      </c>
      <c r="F8" s="28">
        <f t="array" ref="F8">IF($A8="","",IFERROR(PERCENTILE(IF(tData[SEH specialist]=$A8,tData[Minuten]),Instellingen!$B$3),""))</f>
        <v/>
      </c>
      <c r="G8" s="28">
        <f t="array" ref="G8">IF($A8="","",IFERROR(PERCENTILE(IF((tData[SEH specialist]=$A8)*(tData[Langligger01]=1),tData[Minuten]),Instellingen!$B$3),""))</f>
        <v/>
      </c>
    </row>
    <row r="9">
      <c r="A9" s="26" t="inlineStr"/>
      <c r="B9" s="27">
        <f>IF($A9="","",IFERROR(INDEX(tData[SpecialismeCodeIntern],MATCH($A9,tData[SEH specialist],0)),""))</f>
        <v/>
      </c>
      <c r="C9" s="28">
        <f>IF($A9="","",COUNTIF(tData[SEH specialist],$A9))</f>
        <v/>
      </c>
      <c r="D9" s="28">
        <f>IF($A9="","",COUNTIFS(tData[SEH specialist],$A9,tData[Langligger01],1))</f>
        <v/>
      </c>
      <c r="E9" s="29">
        <f>IF(OR($A9="",C9=0),"",D9/C9)</f>
        <v/>
      </c>
      <c r="F9" s="28">
        <f t="array" ref="F9">IF($A9="","",IFERROR(PERCENTILE(IF(tData[SEH specialist]=$A9,tData[Minuten]),Instellingen!$B$3),""))</f>
        <v/>
      </c>
      <c r="G9" s="28">
        <f t="array" ref="G9">IF($A9="","",IFERROR(PERCENTILE(IF((tData[SEH specialist]=$A9)*(tData[Langligger01]=1),tData[Minuten]),Instellingen!$B$3),""))</f>
        <v/>
      </c>
    </row>
    <row r="10">
      <c r="A10" s="26" t="inlineStr"/>
      <c r="B10" s="27">
        <f>IF($A10="","",IFERROR(INDEX(tData[SpecialismeCodeIntern],MATCH($A10,tData[SEH specialist],0)),""))</f>
        <v/>
      </c>
      <c r="C10" s="28">
        <f>IF($A10="","",COUNTIF(tData[SEH specialist],$A10))</f>
        <v/>
      </c>
      <c r="D10" s="28">
        <f>IF($A10="","",COUNTIFS(tData[SEH specialist],$A10,tData[Langligger01],1))</f>
        <v/>
      </c>
      <c r="E10" s="29">
        <f>IF(OR($A10="",C10=0),"",D10/C10)</f>
        <v/>
      </c>
      <c r="F10" s="28">
        <f t="array" ref="F10">IF($A10="","",IFERROR(PERCENTILE(IF(tData[SEH specialist]=$A10,tData[Minuten]),Instellingen!$B$3),""))</f>
        <v/>
      </c>
      <c r="G10" s="28">
        <f t="array" ref="G10">IF($A10="","",IFERROR(PERCENTILE(IF((tData[SEH specialist]=$A10)*(tData[Langligger01]=1),tData[Minuten]),Instellingen!$B$3),""))</f>
        <v/>
      </c>
    </row>
    <row r="11">
      <c r="A11" s="26" t="inlineStr"/>
      <c r="B11" s="27">
        <f>IF($A11="","",IFERROR(INDEX(tData[SpecialismeCodeIntern],MATCH($A11,tData[SEH specialist],0)),""))</f>
        <v/>
      </c>
      <c r="C11" s="28">
        <f>IF($A11="","",COUNTIF(tData[SEH specialist],$A11))</f>
        <v/>
      </c>
      <c r="D11" s="28">
        <f>IF($A11="","",COUNTIFS(tData[SEH specialist],$A11,tData[Langligger01],1))</f>
        <v/>
      </c>
      <c r="E11" s="29">
        <f>IF(OR($A11="",C11=0),"",D11/C11)</f>
        <v/>
      </c>
      <c r="F11" s="28">
        <f t="array" ref="F11">IF($A11="","",IFERROR(PERCENTILE(IF(tData[SEH specialist]=$A11,tData[Minuten]),Instellingen!$B$3),""))</f>
        <v/>
      </c>
      <c r="G11" s="28">
        <f t="array" ref="G11">IF($A11="","",IFERROR(PERCENTILE(IF((tData[SEH specialist]=$A11)*(tData[Langligger01]=1),tData[Minuten]),Instellingen!$B$3),""))</f>
        <v/>
      </c>
    </row>
    <row r="12">
      <c r="A12" s="26" t="inlineStr"/>
      <c r="B12" s="27">
        <f>IF($A12="","",IFERROR(INDEX(tData[SpecialismeCodeIntern],MATCH($A12,tData[SEH specialist],0)),""))</f>
        <v/>
      </c>
      <c r="C12" s="28">
        <f>IF($A12="","",COUNTIF(tData[SEH specialist],$A12))</f>
        <v/>
      </c>
      <c r="D12" s="28">
        <f>IF($A12="","",COUNTIFS(tData[SEH specialist],$A12,tData[Langligger01],1))</f>
        <v/>
      </c>
      <c r="E12" s="29">
        <f>IF(OR($A12="",C12=0),"",D12/C12)</f>
        <v/>
      </c>
      <c r="F12" s="28">
        <f t="array" ref="F12">IF($A12="","",IFERROR(PERCENTILE(IF(tData[SEH specialist]=$A12,tData[Minuten]),Instellingen!$B$3),""))</f>
        <v/>
      </c>
      <c r="G12" s="28">
        <f t="array" ref="G12">IF($A12="","",IFERROR(PERCENTILE(IF((tData[SEH specialist]=$A12)*(tData[Langligger01]=1),tData[Minuten]),Instellingen!$B$3),""))</f>
        <v/>
      </c>
    </row>
    <row r="13">
      <c r="A13" s="26" t="inlineStr"/>
      <c r="B13" s="27">
        <f>IF($A13="","",IFERROR(INDEX(tData[SpecialismeCodeIntern],MATCH($A13,tData[SEH specialist],0)),""))</f>
        <v/>
      </c>
      <c r="C13" s="28">
        <f>IF($A13="","",COUNTIF(tData[SEH specialist],$A13))</f>
        <v/>
      </c>
      <c r="D13" s="28">
        <f>IF($A13="","",COUNTIFS(tData[SEH specialist],$A13,tData[Langligger01],1))</f>
        <v/>
      </c>
      <c r="E13" s="29">
        <f>IF(OR($A13="",C13=0),"",D13/C13)</f>
        <v/>
      </c>
      <c r="F13" s="28">
        <f t="array" ref="F13">IF($A13="","",IFERROR(PERCENTILE(IF(tData[SEH specialist]=$A13,tData[Minuten]),Instellingen!$B$3),""))</f>
        <v/>
      </c>
      <c r="G13" s="28">
        <f t="array" ref="G13">IF($A13="","",IFERROR(PERCENTILE(IF((tData[SEH specialist]=$A13)*(tData[Langligger01]=1),tData[Minuten]),Instellingen!$B$3),""))</f>
        <v/>
      </c>
    </row>
    <row r="14">
      <c r="A14" s="26" t="inlineStr"/>
      <c r="B14" s="27">
        <f>IF($A14="","",IFERROR(INDEX(tData[SpecialismeCodeIntern],MATCH($A14,tData[SEH specialist],0)),""))</f>
        <v/>
      </c>
      <c r="C14" s="28">
        <f>IF($A14="","",COUNTIF(tData[SEH specialist],$A14))</f>
        <v/>
      </c>
      <c r="D14" s="28">
        <f>IF($A14="","",COUNTIFS(tData[SEH specialist],$A14,tData[Langligger01],1))</f>
        <v/>
      </c>
      <c r="E14" s="29">
        <f>IF(OR($A14="",C14=0),"",D14/C14)</f>
        <v/>
      </c>
      <c r="F14" s="28">
        <f t="array" ref="F14">IF($A14="","",IFERROR(PERCENTILE(IF(tData[SEH specialist]=$A14,tData[Minuten]),Instellingen!$B$3),""))</f>
        <v/>
      </c>
      <c r="G14" s="28">
        <f t="array" ref="G14">IF($A14="","",IFERROR(PERCENTILE(IF((tData[SEH specialist]=$A14)*(tData[Langligger01]=1),tData[Minuten]),Instellingen!$B$3),""))</f>
        <v/>
      </c>
    </row>
    <row r="15">
      <c r="A15" s="26" t="inlineStr"/>
      <c r="B15" s="27">
        <f>IF($A15="","",IFERROR(INDEX(tData[SpecialismeCodeIntern],MATCH($A15,tData[SEH specialist],0)),""))</f>
        <v/>
      </c>
      <c r="C15" s="28">
        <f>IF($A15="","",COUNTIF(tData[SEH specialist],$A15))</f>
        <v/>
      </c>
      <c r="D15" s="28">
        <f>IF($A15="","",COUNTIFS(tData[SEH specialist],$A15,tData[Langligger01],1))</f>
        <v/>
      </c>
      <c r="E15" s="29">
        <f>IF(OR($A15="",C15=0),"",D15/C15)</f>
        <v/>
      </c>
      <c r="F15" s="28">
        <f t="array" ref="F15">IF($A15="","",IFERROR(PERCENTILE(IF(tData[SEH specialist]=$A15,tData[Minuten]),Instellingen!$B$3),""))</f>
        <v/>
      </c>
      <c r="G15" s="28">
        <f t="array" ref="G15">IF($A15="","",IFERROR(PERCENTILE(IF((tData[SEH specialist]=$A15)*(tData[Langligger01]=1),tData[Minuten]),Instellingen!$B$3),""))</f>
        <v/>
      </c>
    </row>
    <row r="16">
      <c r="A16" s="26" t="inlineStr"/>
      <c r="B16" s="27">
        <f>IF($A16="","",IFERROR(INDEX(tData[SpecialismeCodeIntern],MATCH($A16,tData[SEH specialist],0)),""))</f>
        <v/>
      </c>
      <c r="C16" s="28">
        <f>IF($A16="","",COUNTIF(tData[SEH specialist],$A16))</f>
        <v/>
      </c>
      <c r="D16" s="28">
        <f>IF($A16="","",COUNTIFS(tData[SEH specialist],$A16,tData[Langligger01],1))</f>
        <v/>
      </c>
      <c r="E16" s="29">
        <f>IF(OR($A16="",C16=0),"",D16/C16)</f>
        <v/>
      </c>
      <c r="F16" s="28">
        <f t="array" ref="F16">IF($A16="","",IFERROR(PERCENTILE(IF(tData[SEH specialist]=$A16,tData[Minuten]),Instellingen!$B$3),""))</f>
        <v/>
      </c>
      <c r="G16" s="28">
        <f t="array" ref="G16">IF($A16="","",IFERROR(PERCENTILE(IF((tData[SEH specialist]=$A16)*(tData[Langligger01]=1),tData[Minuten]),Instellingen!$B$3),""))</f>
        <v/>
      </c>
    </row>
    <row r="19">
      <c r="A19" s="30" t="inlineStr">
        <is>
          <t>Per specialisme (SpecialismeCodeIntern)</t>
        </is>
      </c>
    </row>
    <row r="20" ht="30" customHeight="1">
      <c r="A20" s="6" t="inlineStr">
        <is>
          <t>Specialisme (invullen)</t>
        </is>
      </c>
      <c r="B20" s="6" t="inlineStr">
        <is>
          <t>Aantal regels</t>
        </is>
      </c>
      <c r="C20" s="6" t="inlineStr">
        <is>
          <t>Aantal langligg.</t>
        </is>
      </c>
      <c r="D20" s="6" t="inlineStr">
        <is>
          <t>% langligg.</t>
        </is>
      </c>
      <c r="E20" s="6" t="inlineStr">
        <is>
          <t>Ligduur P95 (min)</t>
        </is>
      </c>
      <c r="F20" s="6" t="inlineStr">
        <is>
          <t>Ligduur P95 langligg. (min)</t>
        </is>
      </c>
    </row>
    <row r="21">
      <c r="A21" s="26" t="inlineStr">
        <is>
          <t>SEH</t>
        </is>
      </c>
      <c r="B21" s="28">
        <f>IF($A21="","",COUNTIF(tData[SpecialismeCodeIntern],$A21))</f>
        <v/>
      </c>
      <c r="C21" s="28">
        <f>IF($A21="","",COUNTIFS(tData[SpecialismeCodeIntern],$A21,tData[Langligger01],1))</f>
        <v/>
      </c>
      <c r="D21" s="29">
        <f>IF(OR($A21="",B21=0),"",C21/B21)</f>
        <v/>
      </c>
      <c r="E21" s="28">
        <f t="array" ref="E21">IF($A21="","",IFERROR(PERCENTILE(IF(tData[SpecialismeCodeIntern]=$A21,tData[Minuten]),Instellingen!$B$3),""))</f>
        <v/>
      </c>
      <c r="F21" s="28">
        <f t="array" ref="F21">IF($A21="","",IFERROR(PERCENTILE(IF((tData[SpecialismeCodeIntern]=$A21)*(tData[Langligger01]=1),tData[Minuten]),Instellingen!$B$3),""))</f>
        <v/>
      </c>
    </row>
    <row r="22">
      <c r="A22" s="26" t="inlineStr">
        <is>
          <t>MDL</t>
        </is>
      </c>
      <c r="B22" s="28">
        <f>IF($A22="","",COUNTIF(tData[SpecialismeCodeIntern],$A22))</f>
        <v/>
      </c>
      <c r="C22" s="28">
        <f>IF($A22="","",COUNTIFS(tData[SpecialismeCodeIntern],$A22,tData[Langligger01],1))</f>
        <v/>
      </c>
      <c r="D22" s="29">
        <f>IF(OR($A22="",B22=0),"",C22/B22)</f>
        <v/>
      </c>
      <c r="E22" s="28">
        <f t="array" ref="E22">IF($A22="","",IFERROR(PERCENTILE(IF(tData[SpecialismeCodeIntern]=$A22,tData[Minuten]),Instellingen!$B$3),""))</f>
        <v/>
      </c>
      <c r="F22" s="28">
        <f t="array" ref="F22">IF($A22="","",IFERROR(PERCENTILE(IF((tData[SpecialismeCodeIntern]=$A22)*(tData[Langligger01]=1),tData[Minuten]),Instellingen!$B$3),""))</f>
        <v/>
      </c>
    </row>
    <row r="23">
      <c r="A23" s="26" t="inlineStr">
        <is>
          <t>LONG</t>
        </is>
      </c>
      <c r="B23" s="28">
        <f>IF($A23="","",COUNTIF(tData[SpecialismeCodeIntern],$A23))</f>
        <v/>
      </c>
      <c r="C23" s="28">
        <f>IF($A23="","",COUNTIFS(tData[SpecialismeCodeIntern],$A23,tData[Langligger01],1))</f>
        <v/>
      </c>
      <c r="D23" s="29">
        <f>IF(OR($A23="",B23=0),"",C23/B23)</f>
        <v/>
      </c>
      <c r="E23" s="28">
        <f t="array" ref="E23">IF($A23="","",IFERROR(PERCENTILE(IF(tData[SpecialismeCodeIntern]=$A23,tData[Minuten]),Instellingen!$B$3),""))</f>
        <v/>
      </c>
      <c r="F23" s="28">
        <f t="array" ref="F23">IF($A23="","",IFERROR(PERCENTILE(IF((tData[SpecialismeCodeIntern]=$A23)*(tData[Langligger01]=1),tData[Minuten]),Instellingen!$B$3),""))</f>
        <v/>
      </c>
    </row>
    <row r="24">
      <c r="A24" s="26" t="inlineStr">
        <is>
          <t>CARD</t>
        </is>
      </c>
      <c r="B24" s="28">
        <f>IF($A24="","",COUNTIF(tData[SpecialismeCodeIntern],$A24))</f>
        <v/>
      </c>
      <c r="C24" s="28">
        <f>IF($A24="","",COUNTIFS(tData[SpecialismeCodeIntern],$A24,tData[Langligger01],1))</f>
        <v/>
      </c>
      <c r="D24" s="29">
        <f>IF(OR($A24="",B24=0),"",C24/B24)</f>
        <v/>
      </c>
      <c r="E24" s="28">
        <f t="array" ref="E24">IF($A24="","",IFERROR(PERCENTILE(IF(tData[SpecialismeCodeIntern]=$A24,tData[Minuten]),Instellingen!$B$3),""))</f>
        <v/>
      </c>
      <c r="F24" s="28">
        <f t="array" ref="F24">IF($A24="","",IFERROR(PERCENTILE(IF((tData[SpecialismeCodeIntern]=$A24)*(tData[Langligger01]=1),tData[Minuten]),Instellingen!$B$3),""))</f>
        <v/>
      </c>
    </row>
    <row r="25">
      <c r="A25" s="26" t="inlineStr">
        <is>
          <t>CHIR</t>
        </is>
      </c>
      <c r="B25" s="28">
        <f>IF($A25="","",COUNTIF(tData[SpecialismeCodeIntern],$A25))</f>
        <v/>
      </c>
      <c r="C25" s="28">
        <f>IF($A25="","",COUNTIFS(tData[SpecialismeCodeIntern],$A25,tData[Langligger01],1))</f>
        <v/>
      </c>
      <c r="D25" s="29">
        <f>IF(OR($A25="",B25=0),"",C25/B25)</f>
        <v/>
      </c>
      <c r="E25" s="28">
        <f t="array" ref="E25">IF($A25="","",IFERROR(PERCENTILE(IF(tData[SpecialismeCodeIntern]=$A25,tData[Minuten]),Instellingen!$B$3),""))</f>
        <v/>
      </c>
      <c r="F25" s="28">
        <f t="array" ref="F25">IF($A25="","",IFERROR(PERCENTILE(IF((tData[SpecialismeCodeIntern]=$A25)*(tData[Langligger01]=1),tData[Minuten]),Instellingen!$B$3),""))</f>
        <v/>
      </c>
    </row>
    <row r="26">
      <c r="A26" s="26" t="inlineStr">
        <is>
          <t>INT</t>
        </is>
      </c>
      <c r="B26" s="28">
        <f>IF($A26="","",COUNTIF(tData[SpecialismeCodeIntern],$A26))</f>
        <v/>
      </c>
      <c r="C26" s="28">
        <f>IF($A26="","",COUNTIFS(tData[SpecialismeCodeIntern],$A26,tData[Langligger01],1))</f>
        <v/>
      </c>
      <c r="D26" s="29">
        <f>IF(OR($A26="",B26=0),"",C26/B26)</f>
        <v/>
      </c>
      <c r="E26" s="28">
        <f t="array" ref="E26">IF($A26="","",IFERROR(PERCENTILE(IF(tData[SpecialismeCodeIntern]=$A26,tData[Minuten]),Instellingen!$B$3),""))</f>
        <v/>
      </c>
      <c r="F26" s="28">
        <f t="array" ref="F26">IF($A26="","",IFERROR(PERCENTILE(IF((tData[SpecialismeCodeIntern]=$A26)*(tData[Langligger01]=1),tData[Minuten]),Instellingen!$B$3),""))</f>
        <v/>
      </c>
    </row>
    <row r="27">
      <c r="A27" s="26" t="inlineStr">
        <is>
          <t>NEU</t>
        </is>
      </c>
      <c r="B27" s="28">
        <f>IF($A27="","",COUNTIF(tData[SpecialismeCodeIntern],$A27))</f>
        <v/>
      </c>
      <c r="C27" s="28">
        <f>IF($A27="","",COUNTIFS(tData[SpecialismeCodeIntern],$A27,tData[Langligger01],1))</f>
        <v/>
      </c>
      <c r="D27" s="29">
        <f>IF(OR($A27="",B27=0),"",C27/B27)</f>
        <v/>
      </c>
      <c r="E27" s="28">
        <f t="array" ref="E27">IF($A27="","",IFERROR(PERCENTILE(IF(tData[SpecialismeCodeIntern]=$A27,tData[Minuten]),Instellingen!$B$3),""))</f>
        <v/>
      </c>
      <c r="F27" s="28">
        <f t="array" ref="F27">IF($A27="","",IFERROR(PERCENTILE(IF((tData[SpecialismeCodeIntern]=$A27)*(tData[Langligger01]=1),tData[Minuten]),Instellingen!$B$3),""))</f>
        <v/>
      </c>
    </row>
    <row r="28">
      <c r="A28" s="26" t="inlineStr">
        <is>
          <t>URO</t>
        </is>
      </c>
      <c r="B28" s="28">
        <f>IF($A28="","",COUNTIF(tData[SpecialismeCodeIntern],$A28))</f>
        <v/>
      </c>
      <c r="C28" s="28">
        <f>IF($A28="","",COUNTIFS(tData[SpecialismeCodeIntern],$A28,tData[Langligger01],1))</f>
        <v/>
      </c>
      <c r="D28" s="29">
        <f>IF(OR($A28="",B28=0),"",C28/B28)</f>
        <v/>
      </c>
      <c r="E28" s="28">
        <f t="array" ref="E28">IF($A28="","",IFERROR(PERCENTILE(IF(tData[SpecialismeCodeIntern]=$A28,tData[Minuten]),Instellingen!$B$3),""))</f>
        <v/>
      </c>
      <c r="F28" s="28">
        <f t="array" ref="F28">IF($A28="","",IFERROR(PERCENTILE(IF((tData[SpecialismeCodeIntern]=$A28)*(tData[Langligger01]=1),tData[Minuten]),Instellingen!$B$3),""))</f>
        <v/>
      </c>
    </row>
    <row r="29">
      <c r="A29" s="26" t="inlineStr">
        <is>
          <t>ORT</t>
        </is>
      </c>
      <c r="B29" s="28">
        <f>IF($A29="","",COUNTIF(tData[SpecialismeCodeIntern],$A29))</f>
        <v/>
      </c>
      <c r="C29" s="28">
        <f>IF($A29="","",COUNTIFS(tData[SpecialismeCodeIntern],$A29,tData[Langligger01],1))</f>
        <v/>
      </c>
      <c r="D29" s="29">
        <f>IF(OR($A29="",B29=0),"",C29/B29)</f>
        <v/>
      </c>
      <c r="E29" s="28">
        <f t="array" ref="E29">IF($A29="","",IFERROR(PERCENTILE(IF(tData[SpecialismeCodeIntern]=$A29,tData[Minuten]),Instellingen!$B$3),""))</f>
        <v/>
      </c>
      <c r="F29" s="28">
        <f t="array" ref="F29">IF($A29="","",IFERROR(PERCENTILE(IF((tData[SpecialismeCodeIntern]=$A29)*(tData[Langligger01]=1),tData[Minuten]),Instellingen!$B$3),""))</f>
        <v/>
      </c>
    </row>
    <row r="30">
      <c r="A30" s="26" t="inlineStr">
        <is>
          <t>KNO</t>
        </is>
      </c>
      <c r="B30" s="28">
        <f>IF($A30="","",COUNTIF(tData[SpecialismeCodeIntern],$A30))</f>
        <v/>
      </c>
      <c r="C30" s="28">
        <f>IF($A30="","",COUNTIFS(tData[SpecialismeCodeIntern],$A30,tData[Langligger01],1))</f>
        <v/>
      </c>
      <c r="D30" s="29">
        <f>IF(OR($A30="",B30=0),"",C30/B30)</f>
        <v/>
      </c>
      <c r="E30" s="28">
        <f t="array" ref="E30">IF($A30="","",IFERROR(PERCENTILE(IF(tData[SpecialismeCodeIntern]=$A30,tData[Minuten]),Instellingen!$B$3),""))</f>
        <v/>
      </c>
      <c r="F30" s="28">
        <f t="array" ref="F30">IF($A30="","",IFERROR(PERCENTILE(IF((tData[SpecialismeCodeIntern]=$A30)*(tData[Langligger01]=1),tData[Minuten]),Instellingen!$B$3),""))</f>
        <v/>
      </c>
    </row>
    <row r="31">
      <c r="A31" s="26" t="inlineStr">
        <is>
          <t>GYN</t>
        </is>
      </c>
      <c r="B31" s="28">
        <f>IF($A31="","",COUNTIF(tData[SpecialismeCodeIntern],$A31))</f>
        <v/>
      </c>
      <c r="C31" s="28">
        <f>IF($A31="","",COUNTIFS(tData[SpecialismeCodeIntern],$A31,tData[Langligger01],1))</f>
        <v/>
      </c>
      <c r="D31" s="29">
        <f>IF(OR($A31="",B31=0),"",C31/B31)</f>
        <v/>
      </c>
      <c r="E31" s="28">
        <f t="array" ref="E31">IF($A31="","",IFERROR(PERCENTILE(IF(tData[SpecialismeCodeIntern]=$A31,tData[Minuten]),Instellingen!$B$3),""))</f>
        <v/>
      </c>
      <c r="F31" s="28">
        <f t="array" ref="F31">IF($A31="","",IFERROR(PERCENTILE(IF((tData[SpecialismeCodeIntern]=$A31)*(tData[Langligger01]=1),tData[Minuten]),Instellingen!$B$3),""))</f>
        <v/>
      </c>
    </row>
    <row r="32">
      <c r="A32" s="26" t="inlineStr">
        <is>
          <t>KIND</t>
        </is>
      </c>
      <c r="B32" s="28">
        <f>IF($A32="","",COUNTIF(tData[SpecialismeCodeIntern],$A32))</f>
        <v/>
      </c>
      <c r="C32" s="28">
        <f>IF($A32="","",COUNTIFS(tData[SpecialismeCodeIntern],$A32,tData[Langligger01],1))</f>
        <v/>
      </c>
      <c r="D32" s="29">
        <f>IF(OR($A32="",B32=0),"",C32/B32)</f>
        <v/>
      </c>
      <c r="E32" s="28">
        <f t="array" ref="E32">IF($A32="","",IFERROR(PERCENTILE(IF(tData[SpecialismeCodeIntern]=$A32,tData[Minuten]),Instellingen!$B$3),""))</f>
        <v/>
      </c>
      <c r="F32" s="28">
        <f t="array" ref="F32">IF($A32="","",IFERROR(PERCENTILE(IF((tData[SpecialismeCodeIntern]=$A32)*(tData[Langligger01]=1),tData[Minuten]),Instellingen!$B$3),""))</f>
        <v/>
      </c>
    </row>
    <row r="34">
      <c r="A34" s="31" t="inlineStr">
        <is>
          <t>Belangrijk – SEH-arts als medebehandelaar</t>
        </is>
      </c>
    </row>
    <row r="35">
      <c r="A35" s="5" t="inlineStr">
        <is>
          <t>Na ontslag wordt soms een poortspecialist hoofdbehandelaar terwijl de SEH-arts MEDEbehandelaar blijft. Toont de export dan alleen de poortspecialist, dan is de SEH-arts niet zichtbaar. Voor 100% zekerheid: vraag in de bron een kolom 'Regievoerend SEH-arts' mee en filter daarop.</t>
        </is>
      </c>
    </row>
    <row r="36"/>
    <row r="37"/>
  </sheetData>
  <mergeCells count="2">
    <mergeCell ref="A2:G2"/>
    <mergeCell ref="A35:G3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64" customWidth="1" min="3" max="3"/>
  </cols>
  <sheetData>
    <row r="1">
      <c r="A1" s="11" t="inlineStr">
        <is>
          <t>Instellingen</t>
        </is>
      </c>
    </row>
    <row r="3">
      <c r="A3" s="13" t="inlineStr">
        <is>
          <t>Percentiel (0,95 = 95e percentiel)</t>
        </is>
      </c>
      <c r="B3" s="32" t="n">
        <v>0.95</v>
      </c>
      <c r="C3" s="5" t="inlineStr">
        <is>
          <t>Invoer. 0,95 = de drukke momenten. 0,50 = mediaan.</t>
        </is>
      </c>
    </row>
    <row r="5">
      <c r="A5" s="13" t="inlineStr">
        <is>
          <t>Begin data (automatisch)</t>
        </is>
      </c>
      <c r="B5" s="33">
        <f>IFERROR(MIN(tData[SEHTrajectPeriodeDatumTijdVan]),"")</f>
        <v/>
      </c>
      <c r="C5" s="5" t="inlineStr">
        <is>
          <t>Vroegste Periode-Van in je data.</t>
        </is>
      </c>
    </row>
    <row r="6">
      <c r="A6" s="13" t="inlineStr">
        <is>
          <t>Einde data (automatisch)</t>
        </is>
      </c>
      <c r="B6" s="33">
        <f>IFERROR(MAX(tData[SEHTrajectPeriodeDatumTijdTotEnMet]),"")</f>
        <v/>
      </c>
      <c r="C6" s="5" t="inlineStr">
        <is>
          <t>Laatste Periode-TotEnMet in je data.</t>
        </is>
      </c>
    </row>
    <row r="8">
      <c r="A8" s="13" t="inlineStr">
        <is>
          <t>Aantal periode-regels</t>
        </is>
      </c>
      <c r="B8" s="34">
        <f>COUNT(tData[SEHTrajectPeriodeDatumTijdVan])</f>
        <v/>
      </c>
      <c r="C8" s="5" t="inlineStr">
        <is>
          <t>Aantal geplakte regels.</t>
        </is>
      </c>
    </row>
    <row r="9">
      <c r="A9" s="13" t="inlineStr">
        <is>
          <t>Aantal langligger-regels</t>
        </is>
      </c>
      <c r="B9" s="34">
        <f>COUNTIF(tData[Langligger01],1)</f>
        <v/>
      </c>
      <c r="C9" s="5" t="inlineStr">
        <is>
          <t>Regels met 'Langer dan 4 uur' = ja.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27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Hulpgegevens voor de grafieken. Mag verborgen blijven.</t>
        </is>
      </c>
    </row>
    <row r="2">
      <c r="A2" s="30" t="inlineStr">
        <is>
          <t>Langliggers per uur (P95) — per dag</t>
        </is>
      </c>
      <c r="J2" s="30" t="inlineStr">
        <is>
          <t>Totaal aanwezig per uur (P95) — per dag</t>
        </is>
      </c>
    </row>
    <row r="3">
      <c r="A3" s="18" t="inlineStr">
        <is>
          <t>Uur</t>
        </is>
      </c>
      <c r="B3" s="18" t="inlineStr">
        <is>
          <t>maandag</t>
        </is>
      </c>
      <c r="C3" s="18" t="inlineStr">
        <is>
          <t>dinsdag</t>
        </is>
      </c>
      <c r="D3" s="18" t="inlineStr">
        <is>
          <t>woensdag</t>
        </is>
      </c>
      <c r="E3" s="18" t="inlineStr">
        <is>
          <t>donderdag</t>
        </is>
      </c>
      <c r="F3" s="18" t="inlineStr">
        <is>
          <t>vrijdag</t>
        </is>
      </c>
      <c r="G3" s="18" t="inlineStr">
        <is>
          <t>zaterdag</t>
        </is>
      </c>
      <c r="H3" s="18" t="inlineStr">
        <is>
          <t>zondag</t>
        </is>
      </c>
      <c r="J3" s="18" t="inlineStr">
        <is>
          <t>Uur</t>
        </is>
      </c>
      <c r="K3" s="18" t="inlineStr">
        <is>
          <t>maandag</t>
        </is>
      </c>
      <c r="L3" s="18" t="inlineStr">
        <is>
          <t>dinsdag</t>
        </is>
      </c>
      <c r="M3" s="18" t="inlineStr">
        <is>
          <t>woensdag</t>
        </is>
      </c>
      <c r="N3" s="18" t="inlineStr">
        <is>
          <t>donderdag</t>
        </is>
      </c>
      <c r="O3" s="18" t="inlineStr">
        <is>
          <t>vrijdag</t>
        </is>
      </c>
      <c r="P3" s="18" t="inlineStr">
        <is>
          <t>zaterdag</t>
        </is>
      </c>
      <c r="Q3" s="18" t="inlineStr">
        <is>
          <t>zondag</t>
        </is>
      </c>
      <c r="S3" s="18" t="inlineStr">
        <is>
          <t>Uur</t>
        </is>
      </c>
      <c r="T3" s="18" t="inlineStr">
        <is>
          <t>Langliggers</t>
        </is>
      </c>
      <c r="U3" s="18" t="inlineStr">
        <is>
          <t>Overige patiënten</t>
        </is>
      </c>
      <c r="V3" s="18" t="inlineStr">
        <is>
          <t>Totaal aanwezig</t>
        </is>
      </c>
      <c r="W3" s="18" t="inlineStr">
        <is>
          <t>Aandeel langliggers</t>
        </is>
      </c>
    </row>
    <row r="4">
      <c r="A4" s="15" t="n">
        <v>0</v>
      </c>
      <c r="B4" s="20">
        <f>IFERROR('Q1_Verdeling'!C5+0,0)</f>
        <v/>
      </c>
      <c r="C4" s="20">
        <f>IFERROR('Q1_Verdeling'!C6+0,0)</f>
        <v/>
      </c>
      <c r="D4" s="20">
        <f>IFERROR('Q1_Verdeling'!C7+0,0)</f>
        <v/>
      </c>
      <c r="E4" s="20">
        <f>IFERROR('Q1_Verdeling'!C8+0,0)</f>
        <v/>
      </c>
      <c r="F4" s="20">
        <f>IFERROR('Q1_Verdeling'!C9+0,0)</f>
        <v/>
      </c>
      <c r="G4" s="20">
        <f>IFERROR('Q1_Verdeling'!C10+0,0)</f>
        <v/>
      </c>
      <c r="H4" s="20">
        <f>IFERROR('Q1_Verdeling'!C11+0,0)</f>
        <v/>
      </c>
      <c r="J4" s="15" t="n">
        <v>0</v>
      </c>
      <c r="K4" s="20">
        <f>IFERROR('Q2_Ratio'!C5+0,0)</f>
        <v/>
      </c>
      <c r="L4" s="20">
        <f>IFERROR('Q2_Ratio'!C6+0,0)</f>
        <v/>
      </c>
      <c r="M4" s="20">
        <f>IFERROR('Q2_Ratio'!C7+0,0)</f>
        <v/>
      </c>
      <c r="N4" s="20">
        <f>IFERROR('Q2_Ratio'!C8+0,0)</f>
        <v/>
      </c>
      <c r="O4" s="20">
        <f>IFERROR('Q2_Ratio'!C9+0,0)</f>
        <v/>
      </c>
      <c r="P4" s="20">
        <f>IFERROR('Q2_Ratio'!C10+0,0)</f>
        <v/>
      </c>
      <c r="Q4" s="20">
        <f>IFERROR('Q2_Ratio'!C11+0,0)</f>
        <v/>
      </c>
      <c r="S4" s="15" t="n">
        <v>0</v>
      </c>
      <c r="T4" s="35">
        <f>IFERROR(INDEX('Q1_Verdeling'!$C$5:$Z$11,Grafieken!$AB$8,0+1)+0,0)</f>
        <v/>
      </c>
      <c r="U4" s="35">
        <f>MAX($V4-$T4,0)</f>
        <v/>
      </c>
      <c r="V4" s="35">
        <f>IFERROR(INDEX('Q2_Ratio'!$C$5:$Z$11,Grafieken!$AB$8,0+1)+0,0)</f>
        <v/>
      </c>
      <c r="W4" s="36">
        <f>IFERROR($T4/$V4,0)</f>
        <v/>
      </c>
    </row>
    <row r="5">
      <c r="A5" s="15" t="n">
        <v>1</v>
      </c>
      <c r="B5" s="20">
        <f>IFERROR('Q1_Verdeling'!D5+0,0)</f>
        <v/>
      </c>
      <c r="C5" s="20">
        <f>IFERROR('Q1_Verdeling'!D6+0,0)</f>
        <v/>
      </c>
      <c r="D5" s="20">
        <f>IFERROR('Q1_Verdeling'!D7+0,0)</f>
        <v/>
      </c>
      <c r="E5" s="20">
        <f>IFERROR('Q1_Verdeling'!D8+0,0)</f>
        <v/>
      </c>
      <c r="F5" s="20">
        <f>IFERROR('Q1_Verdeling'!D9+0,0)</f>
        <v/>
      </c>
      <c r="G5" s="20">
        <f>IFERROR('Q1_Verdeling'!D10+0,0)</f>
        <v/>
      </c>
      <c r="H5" s="20">
        <f>IFERROR('Q1_Verdeling'!D11+0,0)</f>
        <v/>
      </c>
      <c r="J5" s="15" t="n">
        <v>1</v>
      </c>
      <c r="K5" s="20">
        <f>IFERROR('Q2_Ratio'!D5+0,0)</f>
        <v/>
      </c>
      <c r="L5" s="20">
        <f>IFERROR('Q2_Ratio'!D6+0,0)</f>
        <v/>
      </c>
      <c r="M5" s="20">
        <f>IFERROR('Q2_Ratio'!D7+0,0)</f>
        <v/>
      </c>
      <c r="N5" s="20">
        <f>IFERROR('Q2_Ratio'!D8+0,0)</f>
        <v/>
      </c>
      <c r="O5" s="20">
        <f>IFERROR('Q2_Ratio'!D9+0,0)</f>
        <v/>
      </c>
      <c r="P5" s="20">
        <f>IFERROR('Q2_Ratio'!D10+0,0)</f>
        <v/>
      </c>
      <c r="Q5" s="20">
        <f>IFERROR('Q2_Ratio'!D11+0,0)</f>
        <v/>
      </c>
      <c r="S5" s="15" t="n">
        <v>1</v>
      </c>
      <c r="T5" s="35">
        <f>IFERROR(INDEX('Q1_Verdeling'!$C$5:$Z$11,Grafieken!$AB$8,1+1)+0,0)</f>
        <v/>
      </c>
      <c r="U5" s="35">
        <f>MAX($V5-$T5,0)</f>
        <v/>
      </c>
      <c r="V5" s="35">
        <f>IFERROR(INDEX('Q2_Ratio'!$C$5:$Z$11,Grafieken!$AB$8,1+1)+0,0)</f>
        <v/>
      </c>
      <c r="W5" s="36">
        <f>IFERROR($T5/$V5,0)</f>
        <v/>
      </c>
    </row>
    <row r="6">
      <c r="A6" s="15" t="n">
        <v>2</v>
      </c>
      <c r="B6" s="20">
        <f>IFERROR('Q1_Verdeling'!E5+0,0)</f>
        <v/>
      </c>
      <c r="C6" s="20">
        <f>IFERROR('Q1_Verdeling'!E6+0,0)</f>
        <v/>
      </c>
      <c r="D6" s="20">
        <f>IFERROR('Q1_Verdeling'!E7+0,0)</f>
        <v/>
      </c>
      <c r="E6" s="20">
        <f>IFERROR('Q1_Verdeling'!E8+0,0)</f>
        <v/>
      </c>
      <c r="F6" s="20">
        <f>IFERROR('Q1_Verdeling'!E9+0,0)</f>
        <v/>
      </c>
      <c r="G6" s="20">
        <f>IFERROR('Q1_Verdeling'!E10+0,0)</f>
        <v/>
      </c>
      <c r="H6" s="20">
        <f>IFERROR('Q1_Verdeling'!E11+0,0)</f>
        <v/>
      </c>
      <c r="J6" s="15" t="n">
        <v>2</v>
      </c>
      <c r="K6" s="20">
        <f>IFERROR('Q2_Ratio'!E5+0,0)</f>
        <v/>
      </c>
      <c r="L6" s="20">
        <f>IFERROR('Q2_Ratio'!E6+0,0)</f>
        <v/>
      </c>
      <c r="M6" s="20">
        <f>IFERROR('Q2_Ratio'!E7+0,0)</f>
        <v/>
      </c>
      <c r="N6" s="20">
        <f>IFERROR('Q2_Ratio'!E8+0,0)</f>
        <v/>
      </c>
      <c r="O6" s="20">
        <f>IFERROR('Q2_Ratio'!E9+0,0)</f>
        <v/>
      </c>
      <c r="P6" s="20">
        <f>IFERROR('Q2_Ratio'!E10+0,0)</f>
        <v/>
      </c>
      <c r="Q6" s="20">
        <f>IFERROR('Q2_Ratio'!E11+0,0)</f>
        <v/>
      </c>
      <c r="S6" s="15" t="n">
        <v>2</v>
      </c>
      <c r="T6" s="35">
        <f>IFERROR(INDEX('Q1_Verdeling'!$C$5:$Z$11,Grafieken!$AB$8,2+1)+0,0)</f>
        <v/>
      </c>
      <c r="U6" s="35">
        <f>MAX($V6-$T6,0)</f>
        <v/>
      </c>
      <c r="V6" s="35">
        <f>IFERROR(INDEX('Q2_Ratio'!$C$5:$Z$11,Grafieken!$AB$8,2+1)+0,0)</f>
        <v/>
      </c>
      <c r="W6" s="36">
        <f>IFERROR($T6/$V6,0)</f>
        <v/>
      </c>
    </row>
    <row r="7">
      <c r="A7" s="15" t="n">
        <v>3</v>
      </c>
      <c r="B7" s="20">
        <f>IFERROR('Q1_Verdeling'!F5+0,0)</f>
        <v/>
      </c>
      <c r="C7" s="20">
        <f>IFERROR('Q1_Verdeling'!F6+0,0)</f>
        <v/>
      </c>
      <c r="D7" s="20">
        <f>IFERROR('Q1_Verdeling'!F7+0,0)</f>
        <v/>
      </c>
      <c r="E7" s="20">
        <f>IFERROR('Q1_Verdeling'!F8+0,0)</f>
        <v/>
      </c>
      <c r="F7" s="20">
        <f>IFERROR('Q1_Verdeling'!F9+0,0)</f>
        <v/>
      </c>
      <c r="G7" s="20">
        <f>IFERROR('Q1_Verdeling'!F10+0,0)</f>
        <v/>
      </c>
      <c r="H7" s="20">
        <f>IFERROR('Q1_Verdeling'!F11+0,0)</f>
        <v/>
      </c>
      <c r="J7" s="15" t="n">
        <v>3</v>
      </c>
      <c r="K7" s="20">
        <f>IFERROR('Q2_Ratio'!F5+0,0)</f>
        <v/>
      </c>
      <c r="L7" s="20">
        <f>IFERROR('Q2_Ratio'!F6+0,0)</f>
        <v/>
      </c>
      <c r="M7" s="20">
        <f>IFERROR('Q2_Ratio'!F7+0,0)</f>
        <v/>
      </c>
      <c r="N7" s="20">
        <f>IFERROR('Q2_Ratio'!F8+0,0)</f>
        <v/>
      </c>
      <c r="O7" s="20">
        <f>IFERROR('Q2_Ratio'!F9+0,0)</f>
        <v/>
      </c>
      <c r="P7" s="20">
        <f>IFERROR('Q2_Ratio'!F10+0,0)</f>
        <v/>
      </c>
      <c r="Q7" s="20">
        <f>IFERROR('Q2_Ratio'!F11+0,0)</f>
        <v/>
      </c>
      <c r="S7" s="15" t="n">
        <v>3</v>
      </c>
      <c r="T7" s="35">
        <f>IFERROR(INDEX('Q1_Verdeling'!$C$5:$Z$11,Grafieken!$AB$8,3+1)+0,0)</f>
        <v/>
      </c>
      <c r="U7" s="35">
        <f>MAX($V7-$T7,0)</f>
        <v/>
      </c>
      <c r="V7" s="35">
        <f>IFERROR(INDEX('Q2_Ratio'!$C$5:$Z$11,Grafieken!$AB$8,3+1)+0,0)</f>
        <v/>
      </c>
      <c r="W7" s="36">
        <f>IFERROR($T7/$V7,0)</f>
        <v/>
      </c>
    </row>
    <row r="8">
      <c r="A8" s="15" t="n">
        <v>4</v>
      </c>
      <c r="B8" s="20">
        <f>IFERROR('Q1_Verdeling'!G5+0,0)</f>
        <v/>
      </c>
      <c r="C8" s="20">
        <f>IFERROR('Q1_Verdeling'!G6+0,0)</f>
        <v/>
      </c>
      <c r="D8" s="20">
        <f>IFERROR('Q1_Verdeling'!G7+0,0)</f>
        <v/>
      </c>
      <c r="E8" s="20">
        <f>IFERROR('Q1_Verdeling'!G8+0,0)</f>
        <v/>
      </c>
      <c r="F8" s="20">
        <f>IFERROR('Q1_Verdeling'!G9+0,0)</f>
        <v/>
      </c>
      <c r="G8" s="20">
        <f>IFERROR('Q1_Verdeling'!G10+0,0)</f>
        <v/>
      </c>
      <c r="H8" s="20">
        <f>IFERROR('Q1_Verdeling'!G11+0,0)</f>
        <v/>
      </c>
      <c r="J8" s="15" t="n">
        <v>4</v>
      </c>
      <c r="K8" s="20">
        <f>IFERROR('Q2_Ratio'!G5+0,0)</f>
        <v/>
      </c>
      <c r="L8" s="20">
        <f>IFERROR('Q2_Ratio'!G6+0,0)</f>
        <v/>
      </c>
      <c r="M8" s="20">
        <f>IFERROR('Q2_Ratio'!G7+0,0)</f>
        <v/>
      </c>
      <c r="N8" s="20">
        <f>IFERROR('Q2_Ratio'!G8+0,0)</f>
        <v/>
      </c>
      <c r="O8" s="20">
        <f>IFERROR('Q2_Ratio'!G9+0,0)</f>
        <v/>
      </c>
      <c r="P8" s="20">
        <f>IFERROR('Q2_Ratio'!G10+0,0)</f>
        <v/>
      </c>
      <c r="Q8" s="20">
        <f>IFERROR('Q2_Ratio'!G11+0,0)</f>
        <v/>
      </c>
      <c r="S8" s="15" t="n">
        <v>4</v>
      </c>
      <c r="T8" s="35">
        <f>IFERROR(INDEX('Q1_Verdeling'!$C$5:$Z$11,Grafieken!$AB$8,4+1)+0,0)</f>
        <v/>
      </c>
      <c r="U8" s="35">
        <f>MAX($V8-$T8,0)</f>
        <v/>
      </c>
      <c r="V8" s="35">
        <f>IFERROR(INDEX('Q2_Ratio'!$C$5:$Z$11,Grafieken!$AB$8,4+1)+0,0)</f>
        <v/>
      </c>
      <c r="W8" s="36">
        <f>IFERROR($T8/$V8,0)</f>
        <v/>
      </c>
    </row>
    <row r="9">
      <c r="A9" s="15" t="n">
        <v>5</v>
      </c>
      <c r="B9" s="20">
        <f>IFERROR('Q1_Verdeling'!H5+0,0)</f>
        <v/>
      </c>
      <c r="C9" s="20">
        <f>IFERROR('Q1_Verdeling'!H6+0,0)</f>
        <v/>
      </c>
      <c r="D9" s="20">
        <f>IFERROR('Q1_Verdeling'!H7+0,0)</f>
        <v/>
      </c>
      <c r="E9" s="20">
        <f>IFERROR('Q1_Verdeling'!H8+0,0)</f>
        <v/>
      </c>
      <c r="F9" s="20">
        <f>IFERROR('Q1_Verdeling'!H9+0,0)</f>
        <v/>
      </c>
      <c r="G9" s="20">
        <f>IFERROR('Q1_Verdeling'!H10+0,0)</f>
        <v/>
      </c>
      <c r="H9" s="20">
        <f>IFERROR('Q1_Verdeling'!H11+0,0)</f>
        <v/>
      </c>
      <c r="J9" s="15" t="n">
        <v>5</v>
      </c>
      <c r="K9" s="20">
        <f>IFERROR('Q2_Ratio'!H5+0,0)</f>
        <v/>
      </c>
      <c r="L9" s="20">
        <f>IFERROR('Q2_Ratio'!H6+0,0)</f>
        <v/>
      </c>
      <c r="M9" s="20">
        <f>IFERROR('Q2_Ratio'!H7+0,0)</f>
        <v/>
      </c>
      <c r="N9" s="20">
        <f>IFERROR('Q2_Ratio'!H8+0,0)</f>
        <v/>
      </c>
      <c r="O9" s="20">
        <f>IFERROR('Q2_Ratio'!H9+0,0)</f>
        <v/>
      </c>
      <c r="P9" s="20">
        <f>IFERROR('Q2_Ratio'!H10+0,0)</f>
        <v/>
      </c>
      <c r="Q9" s="20">
        <f>IFERROR('Q2_Ratio'!H11+0,0)</f>
        <v/>
      </c>
      <c r="S9" s="15" t="n">
        <v>5</v>
      </c>
      <c r="T9" s="35">
        <f>IFERROR(INDEX('Q1_Verdeling'!$C$5:$Z$11,Grafieken!$AB$8,5+1)+0,0)</f>
        <v/>
      </c>
      <c r="U9" s="35">
        <f>MAX($V9-$T9,0)</f>
        <v/>
      </c>
      <c r="V9" s="35">
        <f>IFERROR(INDEX('Q2_Ratio'!$C$5:$Z$11,Grafieken!$AB$8,5+1)+0,0)</f>
        <v/>
      </c>
      <c r="W9" s="36">
        <f>IFERROR($T9/$V9,0)</f>
        <v/>
      </c>
    </row>
    <row r="10">
      <c r="A10" s="15" t="n">
        <v>6</v>
      </c>
      <c r="B10" s="20">
        <f>IFERROR('Q1_Verdeling'!I5+0,0)</f>
        <v/>
      </c>
      <c r="C10" s="20">
        <f>IFERROR('Q1_Verdeling'!I6+0,0)</f>
        <v/>
      </c>
      <c r="D10" s="20">
        <f>IFERROR('Q1_Verdeling'!I7+0,0)</f>
        <v/>
      </c>
      <c r="E10" s="20">
        <f>IFERROR('Q1_Verdeling'!I8+0,0)</f>
        <v/>
      </c>
      <c r="F10" s="20">
        <f>IFERROR('Q1_Verdeling'!I9+0,0)</f>
        <v/>
      </c>
      <c r="G10" s="20">
        <f>IFERROR('Q1_Verdeling'!I10+0,0)</f>
        <v/>
      </c>
      <c r="H10" s="20">
        <f>IFERROR('Q1_Verdeling'!I11+0,0)</f>
        <v/>
      </c>
      <c r="J10" s="15" t="n">
        <v>6</v>
      </c>
      <c r="K10" s="20">
        <f>IFERROR('Q2_Ratio'!I5+0,0)</f>
        <v/>
      </c>
      <c r="L10" s="20">
        <f>IFERROR('Q2_Ratio'!I6+0,0)</f>
        <v/>
      </c>
      <c r="M10" s="20">
        <f>IFERROR('Q2_Ratio'!I7+0,0)</f>
        <v/>
      </c>
      <c r="N10" s="20">
        <f>IFERROR('Q2_Ratio'!I8+0,0)</f>
        <v/>
      </c>
      <c r="O10" s="20">
        <f>IFERROR('Q2_Ratio'!I9+0,0)</f>
        <v/>
      </c>
      <c r="P10" s="20">
        <f>IFERROR('Q2_Ratio'!I10+0,0)</f>
        <v/>
      </c>
      <c r="Q10" s="20">
        <f>IFERROR('Q2_Ratio'!I11+0,0)</f>
        <v/>
      </c>
      <c r="S10" s="15" t="n">
        <v>6</v>
      </c>
      <c r="T10" s="35">
        <f>IFERROR(INDEX('Q1_Verdeling'!$C$5:$Z$11,Grafieken!$AB$8,6+1)+0,0)</f>
        <v/>
      </c>
      <c r="U10" s="35">
        <f>MAX($V10-$T10,0)</f>
        <v/>
      </c>
      <c r="V10" s="35">
        <f>IFERROR(INDEX('Q2_Ratio'!$C$5:$Z$11,Grafieken!$AB$8,6+1)+0,0)</f>
        <v/>
      </c>
      <c r="W10" s="36">
        <f>IFERROR($T10/$V10,0)</f>
        <v/>
      </c>
    </row>
    <row r="11">
      <c r="A11" s="15" t="n">
        <v>7</v>
      </c>
      <c r="B11" s="20">
        <f>IFERROR('Q1_Verdeling'!J5+0,0)</f>
        <v/>
      </c>
      <c r="C11" s="20">
        <f>IFERROR('Q1_Verdeling'!J6+0,0)</f>
        <v/>
      </c>
      <c r="D11" s="20">
        <f>IFERROR('Q1_Verdeling'!J7+0,0)</f>
        <v/>
      </c>
      <c r="E11" s="20">
        <f>IFERROR('Q1_Verdeling'!J8+0,0)</f>
        <v/>
      </c>
      <c r="F11" s="20">
        <f>IFERROR('Q1_Verdeling'!J9+0,0)</f>
        <v/>
      </c>
      <c r="G11" s="20">
        <f>IFERROR('Q1_Verdeling'!J10+0,0)</f>
        <v/>
      </c>
      <c r="H11" s="20">
        <f>IFERROR('Q1_Verdeling'!J11+0,0)</f>
        <v/>
      </c>
      <c r="J11" s="15" t="n">
        <v>7</v>
      </c>
      <c r="K11" s="20">
        <f>IFERROR('Q2_Ratio'!J5+0,0)</f>
        <v/>
      </c>
      <c r="L11" s="20">
        <f>IFERROR('Q2_Ratio'!J6+0,0)</f>
        <v/>
      </c>
      <c r="M11" s="20">
        <f>IFERROR('Q2_Ratio'!J7+0,0)</f>
        <v/>
      </c>
      <c r="N11" s="20">
        <f>IFERROR('Q2_Ratio'!J8+0,0)</f>
        <v/>
      </c>
      <c r="O11" s="20">
        <f>IFERROR('Q2_Ratio'!J9+0,0)</f>
        <v/>
      </c>
      <c r="P11" s="20">
        <f>IFERROR('Q2_Ratio'!J10+0,0)</f>
        <v/>
      </c>
      <c r="Q11" s="20">
        <f>IFERROR('Q2_Ratio'!J11+0,0)</f>
        <v/>
      </c>
      <c r="S11" s="15" t="n">
        <v>7</v>
      </c>
      <c r="T11" s="35">
        <f>IFERROR(INDEX('Q1_Verdeling'!$C$5:$Z$11,Grafieken!$AB$8,7+1)+0,0)</f>
        <v/>
      </c>
      <c r="U11" s="35">
        <f>MAX($V11-$T11,0)</f>
        <v/>
      </c>
      <c r="V11" s="35">
        <f>IFERROR(INDEX('Q2_Ratio'!$C$5:$Z$11,Grafieken!$AB$8,7+1)+0,0)</f>
        <v/>
      </c>
      <c r="W11" s="36">
        <f>IFERROR($T11/$V11,0)</f>
        <v/>
      </c>
    </row>
    <row r="12">
      <c r="A12" s="15" t="n">
        <v>8</v>
      </c>
      <c r="B12" s="20">
        <f>IFERROR('Q1_Verdeling'!K5+0,0)</f>
        <v/>
      </c>
      <c r="C12" s="20">
        <f>IFERROR('Q1_Verdeling'!K6+0,0)</f>
        <v/>
      </c>
      <c r="D12" s="20">
        <f>IFERROR('Q1_Verdeling'!K7+0,0)</f>
        <v/>
      </c>
      <c r="E12" s="20">
        <f>IFERROR('Q1_Verdeling'!K8+0,0)</f>
        <v/>
      </c>
      <c r="F12" s="20">
        <f>IFERROR('Q1_Verdeling'!K9+0,0)</f>
        <v/>
      </c>
      <c r="G12" s="20">
        <f>IFERROR('Q1_Verdeling'!K10+0,0)</f>
        <v/>
      </c>
      <c r="H12" s="20">
        <f>IFERROR('Q1_Verdeling'!K11+0,0)</f>
        <v/>
      </c>
      <c r="J12" s="15" t="n">
        <v>8</v>
      </c>
      <c r="K12" s="20">
        <f>IFERROR('Q2_Ratio'!K5+0,0)</f>
        <v/>
      </c>
      <c r="L12" s="20">
        <f>IFERROR('Q2_Ratio'!K6+0,0)</f>
        <v/>
      </c>
      <c r="M12" s="20">
        <f>IFERROR('Q2_Ratio'!K7+0,0)</f>
        <v/>
      </c>
      <c r="N12" s="20">
        <f>IFERROR('Q2_Ratio'!K8+0,0)</f>
        <v/>
      </c>
      <c r="O12" s="20">
        <f>IFERROR('Q2_Ratio'!K9+0,0)</f>
        <v/>
      </c>
      <c r="P12" s="20">
        <f>IFERROR('Q2_Ratio'!K10+0,0)</f>
        <v/>
      </c>
      <c r="Q12" s="20">
        <f>IFERROR('Q2_Ratio'!K11+0,0)</f>
        <v/>
      </c>
      <c r="S12" s="15" t="n">
        <v>8</v>
      </c>
      <c r="T12" s="35">
        <f>IFERROR(INDEX('Q1_Verdeling'!$C$5:$Z$11,Grafieken!$AB$8,8+1)+0,0)</f>
        <v/>
      </c>
      <c r="U12" s="35">
        <f>MAX($V12-$T12,0)</f>
        <v/>
      </c>
      <c r="V12" s="35">
        <f>IFERROR(INDEX('Q2_Ratio'!$C$5:$Z$11,Grafieken!$AB$8,8+1)+0,0)</f>
        <v/>
      </c>
      <c r="W12" s="36">
        <f>IFERROR($T12/$V12,0)</f>
        <v/>
      </c>
    </row>
    <row r="13">
      <c r="A13" s="15" t="n">
        <v>9</v>
      </c>
      <c r="B13" s="20">
        <f>IFERROR('Q1_Verdeling'!L5+0,0)</f>
        <v/>
      </c>
      <c r="C13" s="20">
        <f>IFERROR('Q1_Verdeling'!L6+0,0)</f>
        <v/>
      </c>
      <c r="D13" s="20">
        <f>IFERROR('Q1_Verdeling'!L7+0,0)</f>
        <v/>
      </c>
      <c r="E13" s="20">
        <f>IFERROR('Q1_Verdeling'!L8+0,0)</f>
        <v/>
      </c>
      <c r="F13" s="20">
        <f>IFERROR('Q1_Verdeling'!L9+0,0)</f>
        <v/>
      </c>
      <c r="G13" s="20">
        <f>IFERROR('Q1_Verdeling'!L10+0,0)</f>
        <v/>
      </c>
      <c r="H13" s="20">
        <f>IFERROR('Q1_Verdeling'!L11+0,0)</f>
        <v/>
      </c>
      <c r="J13" s="15" t="n">
        <v>9</v>
      </c>
      <c r="K13" s="20">
        <f>IFERROR('Q2_Ratio'!L5+0,0)</f>
        <v/>
      </c>
      <c r="L13" s="20">
        <f>IFERROR('Q2_Ratio'!L6+0,0)</f>
        <v/>
      </c>
      <c r="M13" s="20">
        <f>IFERROR('Q2_Ratio'!L7+0,0)</f>
        <v/>
      </c>
      <c r="N13" s="20">
        <f>IFERROR('Q2_Ratio'!L8+0,0)</f>
        <v/>
      </c>
      <c r="O13" s="20">
        <f>IFERROR('Q2_Ratio'!L9+0,0)</f>
        <v/>
      </c>
      <c r="P13" s="20">
        <f>IFERROR('Q2_Ratio'!L10+0,0)</f>
        <v/>
      </c>
      <c r="Q13" s="20">
        <f>IFERROR('Q2_Ratio'!L11+0,0)</f>
        <v/>
      </c>
      <c r="S13" s="15" t="n">
        <v>9</v>
      </c>
      <c r="T13" s="35">
        <f>IFERROR(INDEX('Q1_Verdeling'!$C$5:$Z$11,Grafieken!$AB$8,9+1)+0,0)</f>
        <v/>
      </c>
      <c r="U13" s="35">
        <f>MAX($V13-$T13,0)</f>
        <v/>
      </c>
      <c r="V13" s="35">
        <f>IFERROR(INDEX('Q2_Ratio'!$C$5:$Z$11,Grafieken!$AB$8,9+1)+0,0)</f>
        <v/>
      </c>
      <c r="W13" s="36">
        <f>IFERROR($T13/$V13,0)</f>
        <v/>
      </c>
    </row>
    <row r="14">
      <c r="A14" s="15" t="n">
        <v>10</v>
      </c>
      <c r="B14" s="20">
        <f>IFERROR('Q1_Verdeling'!M5+0,0)</f>
        <v/>
      </c>
      <c r="C14" s="20">
        <f>IFERROR('Q1_Verdeling'!M6+0,0)</f>
        <v/>
      </c>
      <c r="D14" s="20">
        <f>IFERROR('Q1_Verdeling'!M7+0,0)</f>
        <v/>
      </c>
      <c r="E14" s="20">
        <f>IFERROR('Q1_Verdeling'!M8+0,0)</f>
        <v/>
      </c>
      <c r="F14" s="20">
        <f>IFERROR('Q1_Verdeling'!M9+0,0)</f>
        <v/>
      </c>
      <c r="G14" s="20">
        <f>IFERROR('Q1_Verdeling'!M10+0,0)</f>
        <v/>
      </c>
      <c r="H14" s="20">
        <f>IFERROR('Q1_Verdeling'!M11+0,0)</f>
        <v/>
      </c>
      <c r="J14" s="15" t="n">
        <v>10</v>
      </c>
      <c r="K14" s="20">
        <f>IFERROR('Q2_Ratio'!M5+0,0)</f>
        <v/>
      </c>
      <c r="L14" s="20">
        <f>IFERROR('Q2_Ratio'!M6+0,0)</f>
        <v/>
      </c>
      <c r="M14" s="20">
        <f>IFERROR('Q2_Ratio'!M7+0,0)</f>
        <v/>
      </c>
      <c r="N14" s="20">
        <f>IFERROR('Q2_Ratio'!M8+0,0)</f>
        <v/>
      </c>
      <c r="O14" s="20">
        <f>IFERROR('Q2_Ratio'!M9+0,0)</f>
        <v/>
      </c>
      <c r="P14" s="20">
        <f>IFERROR('Q2_Ratio'!M10+0,0)</f>
        <v/>
      </c>
      <c r="Q14" s="20">
        <f>IFERROR('Q2_Ratio'!M11+0,0)</f>
        <v/>
      </c>
      <c r="S14" s="15" t="n">
        <v>10</v>
      </c>
      <c r="T14" s="35">
        <f>IFERROR(INDEX('Q1_Verdeling'!$C$5:$Z$11,Grafieken!$AB$8,10+1)+0,0)</f>
        <v/>
      </c>
      <c r="U14" s="35">
        <f>MAX($V14-$T14,0)</f>
        <v/>
      </c>
      <c r="V14" s="35">
        <f>IFERROR(INDEX('Q2_Ratio'!$C$5:$Z$11,Grafieken!$AB$8,10+1)+0,0)</f>
        <v/>
      </c>
      <c r="W14" s="36">
        <f>IFERROR($T14/$V14,0)</f>
        <v/>
      </c>
    </row>
    <row r="15">
      <c r="A15" s="15" t="n">
        <v>11</v>
      </c>
      <c r="B15" s="20">
        <f>IFERROR('Q1_Verdeling'!N5+0,0)</f>
        <v/>
      </c>
      <c r="C15" s="20">
        <f>IFERROR('Q1_Verdeling'!N6+0,0)</f>
        <v/>
      </c>
      <c r="D15" s="20">
        <f>IFERROR('Q1_Verdeling'!N7+0,0)</f>
        <v/>
      </c>
      <c r="E15" s="20">
        <f>IFERROR('Q1_Verdeling'!N8+0,0)</f>
        <v/>
      </c>
      <c r="F15" s="20">
        <f>IFERROR('Q1_Verdeling'!N9+0,0)</f>
        <v/>
      </c>
      <c r="G15" s="20">
        <f>IFERROR('Q1_Verdeling'!N10+0,0)</f>
        <v/>
      </c>
      <c r="H15" s="20">
        <f>IFERROR('Q1_Verdeling'!N11+0,0)</f>
        <v/>
      </c>
      <c r="J15" s="15" t="n">
        <v>11</v>
      </c>
      <c r="K15" s="20">
        <f>IFERROR('Q2_Ratio'!N5+0,0)</f>
        <v/>
      </c>
      <c r="L15" s="20">
        <f>IFERROR('Q2_Ratio'!N6+0,0)</f>
        <v/>
      </c>
      <c r="M15" s="20">
        <f>IFERROR('Q2_Ratio'!N7+0,0)</f>
        <v/>
      </c>
      <c r="N15" s="20">
        <f>IFERROR('Q2_Ratio'!N8+0,0)</f>
        <v/>
      </c>
      <c r="O15" s="20">
        <f>IFERROR('Q2_Ratio'!N9+0,0)</f>
        <v/>
      </c>
      <c r="P15" s="20">
        <f>IFERROR('Q2_Ratio'!N10+0,0)</f>
        <v/>
      </c>
      <c r="Q15" s="20">
        <f>IFERROR('Q2_Ratio'!N11+0,0)</f>
        <v/>
      </c>
      <c r="S15" s="15" t="n">
        <v>11</v>
      </c>
      <c r="T15" s="35">
        <f>IFERROR(INDEX('Q1_Verdeling'!$C$5:$Z$11,Grafieken!$AB$8,11+1)+0,0)</f>
        <v/>
      </c>
      <c r="U15" s="35">
        <f>MAX($V15-$T15,0)</f>
        <v/>
      </c>
      <c r="V15" s="35">
        <f>IFERROR(INDEX('Q2_Ratio'!$C$5:$Z$11,Grafieken!$AB$8,11+1)+0,0)</f>
        <v/>
      </c>
      <c r="W15" s="36">
        <f>IFERROR($T15/$V15,0)</f>
        <v/>
      </c>
    </row>
    <row r="16">
      <c r="A16" s="15" t="n">
        <v>12</v>
      </c>
      <c r="B16" s="20">
        <f>IFERROR('Q1_Verdeling'!O5+0,0)</f>
        <v/>
      </c>
      <c r="C16" s="20">
        <f>IFERROR('Q1_Verdeling'!O6+0,0)</f>
        <v/>
      </c>
      <c r="D16" s="20">
        <f>IFERROR('Q1_Verdeling'!O7+0,0)</f>
        <v/>
      </c>
      <c r="E16" s="20">
        <f>IFERROR('Q1_Verdeling'!O8+0,0)</f>
        <v/>
      </c>
      <c r="F16" s="20">
        <f>IFERROR('Q1_Verdeling'!O9+0,0)</f>
        <v/>
      </c>
      <c r="G16" s="20">
        <f>IFERROR('Q1_Verdeling'!O10+0,0)</f>
        <v/>
      </c>
      <c r="H16" s="20">
        <f>IFERROR('Q1_Verdeling'!O11+0,0)</f>
        <v/>
      </c>
      <c r="J16" s="15" t="n">
        <v>12</v>
      </c>
      <c r="K16" s="20">
        <f>IFERROR('Q2_Ratio'!O5+0,0)</f>
        <v/>
      </c>
      <c r="L16" s="20">
        <f>IFERROR('Q2_Ratio'!O6+0,0)</f>
        <v/>
      </c>
      <c r="M16" s="20">
        <f>IFERROR('Q2_Ratio'!O7+0,0)</f>
        <v/>
      </c>
      <c r="N16" s="20">
        <f>IFERROR('Q2_Ratio'!O8+0,0)</f>
        <v/>
      </c>
      <c r="O16" s="20">
        <f>IFERROR('Q2_Ratio'!O9+0,0)</f>
        <v/>
      </c>
      <c r="P16" s="20">
        <f>IFERROR('Q2_Ratio'!O10+0,0)</f>
        <v/>
      </c>
      <c r="Q16" s="20">
        <f>IFERROR('Q2_Ratio'!O11+0,0)</f>
        <v/>
      </c>
      <c r="S16" s="15" t="n">
        <v>12</v>
      </c>
      <c r="T16" s="35">
        <f>IFERROR(INDEX('Q1_Verdeling'!$C$5:$Z$11,Grafieken!$AB$8,12+1)+0,0)</f>
        <v/>
      </c>
      <c r="U16" s="35">
        <f>MAX($V16-$T16,0)</f>
        <v/>
      </c>
      <c r="V16" s="35">
        <f>IFERROR(INDEX('Q2_Ratio'!$C$5:$Z$11,Grafieken!$AB$8,12+1)+0,0)</f>
        <v/>
      </c>
      <c r="W16" s="36">
        <f>IFERROR($T16/$V16,0)</f>
        <v/>
      </c>
    </row>
    <row r="17">
      <c r="A17" s="15" t="n">
        <v>13</v>
      </c>
      <c r="B17" s="20">
        <f>IFERROR('Q1_Verdeling'!P5+0,0)</f>
        <v/>
      </c>
      <c r="C17" s="20">
        <f>IFERROR('Q1_Verdeling'!P6+0,0)</f>
        <v/>
      </c>
      <c r="D17" s="20">
        <f>IFERROR('Q1_Verdeling'!P7+0,0)</f>
        <v/>
      </c>
      <c r="E17" s="20">
        <f>IFERROR('Q1_Verdeling'!P8+0,0)</f>
        <v/>
      </c>
      <c r="F17" s="20">
        <f>IFERROR('Q1_Verdeling'!P9+0,0)</f>
        <v/>
      </c>
      <c r="G17" s="20">
        <f>IFERROR('Q1_Verdeling'!P10+0,0)</f>
        <v/>
      </c>
      <c r="H17" s="20">
        <f>IFERROR('Q1_Verdeling'!P11+0,0)</f>
        <v/>
      </c>
      <c r="J17" s="15" t="n">
        <v>13</v>
      </c>
      <c r="K17" s="20">
        <f>IFERROR('Q2_Ratio'!P5+0,0)</f>
        <v/>
      </c>
      <c r="L17" s="20">
        <f>IFERROR('Q2_Ratio'!P6+0,0)</f>
        <v/>
      </c>
      <c r="M17" s="20">
        <f>IFERROR('Q2_Ratio'!P7+0,0)</f>
        <v/>
      </c>
      <c r="N17" s="20">
        <f>IFERROR('Q2_Ratio'!P8+0,0)</f>
        <v/>
      </c>
      <c r="O17" s="20">
        <f>IFERROR('Q2_Ratio'!P9+0,0)</f>
        <v/>
      </c>
      <c r="P17" s="20">
        <f>IFERROR('Q2_Ratio'!P10+0,0)</f>
        <v/>
      </c>
      <c r="Q17" s="20">
        <f>IFERROR('Q2_Ratio'!P11+0,0)</f>
        <v/>
      </c>
      <c r="S17" s="15" t="n">
        <v>13</v>
      </c>
      <c r="T17" s="35">
        <f>IFERROR(INDEX('Q1_Verdeling'!$C$5:$Z$11,Grafieken!$AB$8,13+1)+0,0)</f>
        <v/>
      </c>
      <c r="U17" s="35">
        <f>MAX($V17-$T17,0)</f>
        <v/>
      </c>
      <c r="V17" s="35">
        <f>IFERROR(INDEX('Q2_Ratio'!$C$5:$Z$11,Grafieken!$AB$8,13+1)+0,0)</f>
        <v/>
      </c>
      <c r="W17" s="36">
        <f>IFERROR($T17/$V17,0)</f>
        <v/>
      </c>
    </row>
    <row r="18">
      <c r="A18" s="15" t="n">
        <v>14</v>
      </c>
      <c r="B18" s="20">
        <f>IFERROR('Q1_Verdeling'!Q5+0,0)</f>
        <v/>
      </c>
      <c r="C18" s="20">
        <f>IFERROR('Q1_Verdeling'!Q6+0,0)</f>
        <v/>
      </c>
      <c r="D18" s="20">
        <f>IFERROR('Q1_Verdeling'!Q7+0,0)</f>
        <v/>
      </c>
      <c r="E18" s="20">
        <f>IFERROR('Q1_Verdeling'!Q8+0,0)</f>
        <v/>
      </c>
      <c r="F18" s="20">
        <f>IFERROR('Q1_Verdeling'!Q9+0,0)</f>
        <v/>
      </c>
      <c r="G18" s="20">
        <f>IFERROR('Q1_Verdeling'!Q10+0,0)</f>
        <v/>
      </c>
      <c r="H18" s="20">
        <f>IFERROR('Q1_Verdeling'!Q11+0,0)</f>
        <v/>
      </c>
      <c r="J18" s="15" t="n">
        <v>14</v>
      </c>
      <c r="K18" s="20">
        <f>IFERROR('Q2_Ratio'!Q5+0,0)</f>
        <v/>
      </c>
      <c r="L18" s="20">
        <f>IFERROR('Q2_Ratio'!Q6+0,0)</f>
        <v/>
      </c>
      <c r="M18" s="20">
        <f>IFERROR('Q2_Ratio'!Q7+0,0)</f>
        <v/>
      </c>
      <c r="N18" s="20">
        <f>IFERROR('Q2_Ratio'!Q8+0,0)</f>
        <v/>
      </c>
      <c r="O18" s="20">
        <f>IFERROR('Q2_Ratio'!Q9+0,0)</f>
        <v/>
      </c>
      <c r="P18" s="20">
        <f>IFERROR('Q2_Ratio'!Q10+0,0)</f>
        <v/>
      </c>
      <c r="Q18" s="20">
        <f>IFERROR('Q2_Ratio'!Q11+0,0)</f>
        <v/>
      </c>
      <c r="S18" s="15" t="n">
        <v>14</v>
      </c>
      <c r="T18" s="35">
        <f>IFERROR(INDEX('Q1_Verdeling'!$C$5:$Z$11,Grafieken!$AB$8,14+1)+0,0)</f>
        <v/>
      </c>
      <c r="U18" s="35">
        <f>MAX($V18-$T18,0)</f>
        <v/>
      </c>
      <c r="V18" s="35">
        <f>IFERROR(INDEX('Q2_Ratio'!$C$5:$Z$11,Grafieken!$AB$8,14+1)+0,0)</f>
        <v/>
      </c>
      <c r="W18" s="36">
        <f>IFERROR($T18/$V18,0)</f>
        <v/>
      </c>
    </row>
    <row r="19">
      <c r="A19" s="15" t="n">
        <v>15</v>
      </c>
      <c r="B19" s="20">
        <f>IFERROR('Q1_Verdeling'!R5+0,0)</f>
        <v/>
      </c>
      <c r="C19" s="20">
        <f>IFERROR('Q1_Verdeling'!R6+0,0)</f>
        <v/>
      </c>
      <c r="D19" s="20">
        <f>IFERROR('Q1_Verdeling'!R7+0,0)</f>
        <v/>
      </c>
      <c r="E19" s="20">
        <f>IFERROR('Q1_Verdeling'!R8+0,0)</f>
        <v/>
      </c>
      <c r="F19" s="20">
        <f>IFERROR('Q1_Verdeling'!R9+0,0)</f>
        <v/>
      </c>
      <c r="G19" s="20">
        <f>IFERROR('Q1_Verdeling'!R10+0,0)</f>
        <v/>
      </c>
      <c r="H19" s="20">
        <f>IFERROR('Q1_Verdeling'!R11+0,0)</f>
        <v/>
      </c>
      <c r="J19" s="15" t="n">
        <v>15</v>
      </c>
      <c r="K19" s="20">
        <f>IFERROR('Q2_Ratio'!R5+0,0)</f>
        <v/>
      </c>
      <c r="L19" s="20">
        <f>IFERROR('Q2_Ratio'!R6+0,0)</f>
        <v/>
      </c>
      <c r="M19" s="20">
        <f>IFERROR('Q2_Ratio'!R7+0,0)</f>
        <v/>
      </c>
      <c r="N19" s="20">
        <f>IFERROR('Q2_Ratio'!R8+0,0)</f>
        <v/>
      </c>
      <c r="O19" s="20">
        <f>IFERROR('Q2_Ratio'!R9+0,0)</f>
        <v/>
      </c>
      <c r="P19" s="20">
        <f>IFERROR('Q2_Ratio'!R10+0,0)</f>
        <v/>
      </c>
      <c r="Q19" s="20">
        <f>IFERROR('Q2_Ratio'!R11+0,0)</f>
        <v/>
      </c>
      <c r="S19" s="15" t="n">
        <v>15</v>
      </c>
      <c r="T19" s="35">
        <f>IFERROR(INDEX('Q1_Verdeling'!$C$5:$Z$11,Grafieken!$AB$8,15+1)+0,0)</f>
        <v/>
      </c>
      <c r="U19" s="35">
        <f>MAX($V19-$T19,0)</f>
        <v/>
      </c>
      <c r="V19" s="35">
        <f>IFERROR(INDEX('Q2_Ratio'!$C$5:$Z$11,Grafieken!$AB$8,15+1)+0,0)</f>
        <v/>
      </c>
      <c r="W19" s="36">
        <f>IFERROR($T19/$V19,0)</f>
        <v/>
      </c>
    </row>
    <row r="20">
      <c r="A20" s="15" t="n">
        <v>16</v>
      </c>
      <c r="B20" s="20">
        <f>IFERROR('Q1_Verdeling'!S5+0,0)</f>
        <v/>
      </c>
      <c r="C20" s="20">
        <f>IFERROR('Q1_Verdeling'!S6+0,0)</f>
        <v/>
      </c>
      <c r="D20" s="20">
        <f>IFERROR('Q1_Verdeling'!S7+0,0)</f>
        <v/>
      </c>
      <c r="E20" s="20">
        <f>IFERROR('Q1_Verdeling'!S8+0,0)</f>
        <v/>
      </c>
      <c r="F20" s="20">
        <f>IFERROR('Q1_Verdeling'!S9+0,0)</f>
        <v/>
      </c>
      <c r="G20" s="20">
        <f>IFERROR('Q1_Verdeling'!S10+0,0)</f>
        <v/>
      </c>
      <c r="H20" s="20">
        <f>IFERROR('Q1_Verdeling'!S11+0,0)</f>
        <v/>
      </c>
      <c r="J20" s="15" t="n">
        <v>16</v>
      </c>
      <c r="K20" s="20">
        <f>IFERROR('Q2_Ratio'!S5+0,0)</f>
        <v/>
      </c>
      <c r="L20" s="20">
        <f>IFERROR('Q2_Ratio'!S6+0,0)</f>
        <v/>
      </c>
      <c r="M20" s="20">
        <f>IFERROR('Q2_Ratio'!S7+0,0)</f>
        <v/>
      </c>
      <c r="N20" s="20">
        <f>IFERROR('Q2_Ratio'!S8+0,0)</f>
        <v/>
      </c>
      <c r="O20" s="20">
        <f>IFERROR('Q2_Ratio'!S9+0,0)</f>
        <v/>
      </c>
      <c r="P20" s="20">
        <f>IFERROR('Q2_Ratio'!S10+0,0)</f>
        <v/>
      </c>
      <c r="Q20" s="20">
        <f>IFERROR('Q2_Ratio'!S11+0,0)</f>
        <v/>
      </c>
      <c r="S20" s="15" t="n">
        <v>16</v>
      </c>
      <c r="T20" s="35">
        <f>IFERROR(INDEX('Q1_Verdeling'!$C$5:$Z$11,Grafieken!$AB$8,16+1)+0,0)</f>
        <v/>
      </c>
      <c r="U20" s="35">
        <f>MAX($V20-$T20,0)</f>
        <v/>
      </c>
      <c r="V20" s="35">
        <f>IFERROR(INDEX('Q2_Ratio'!$C$5:$Z$11,Grafieken!$AB$8,16+1)+0,0)</f>
        <v/>
      </c>
      <c r="W20" s="36">
        <f>IFERROR($T20/$V20,0)</f>
        <v/>
      </c>
    </row>
    <row r="21">
      <c r="A21" s="15" t="n">
        <v>17</v>
      </c>
      <c r="B21" s="20">
        <f>IFERROR('Q1_Verdeling'!T5+0,0)</f>
        <v/>
      </c>
      <c r="C21" s="20">
        <f>IFERROR('Q1_Verdeling'!T6+0,0)</f>
        <v/>
      </c>
      <c r="D21" s="20">
        <f>IFERROR('Q1_Verdeling'!T7+0,0)</f>
        <v/>
      </c>
      <c r="E21" s="20">
        <f>IFERROR('Q1_Verdeling'!T8+0,0)</f>
        <v/>
      </c>
      <c r="F21" s="20">
        <f>IFERROR('Q1_Verdeling'!T9+0,0)</f>
        <v/>
      </c>
      <c r="G21" s="20">
        <f>IFERROR('Q1_Verdeling'!T10+0,0)</f>
        <v/>
      </c>
      <c r="H21" s="20">
        <f>IFERROR('Q1_Verdeling'!T11+0,0)</f>
        <v/>
      </c>
      <c r="J21" s="15" t="n">
        <v>17</v>
      </c>
      <c r="K21" s="20">
        <f>IFERROR('Q2_Ratio'!T5+0,0)</f>
        <v/>
      </c>
      <c r="L21" s="20">
        <f>IFERROR('Q2_Ratio'!T6+0,0)</f>
        <v/>
      </c>
      <c r="M21" s="20">
        <f>IFERROR('Q2_Ratio'!T7+0,0)</f>
        <v/>
      </c>
      <c r="N21" s="20">
        <f>IFERROR('Q2_Ratio'!T8+0,0)</f>
        <v/>
      </c>
      <c r="O21" s="20">
        <f>IFERROR('Q2_Ratio'!T9+0,0)</f>
        <v/>
      </c>
      <c r="P21" s="20">
        <f>IFERROR('Q2_Ratio'!T10+0,0)</f>
        <v/>
      </c>
      <c r="Q21" s="20">
        <f>IFERROR('Q2_Ratio'!T11+0,0)</f>
        <v/>
      </c>
      <c r="S21" s="15" t="n">
        <v>17</v>
      </c>
      <c r="T21" s="35">
        <f>IFERROR(INDEX('Q1_Verdeling'!$C$5:$Z$11,Grafieken!$AB$8,17+1)+0,0)</f>
        <v/>
      </c>
      <c r="U21" s="35">
        <f>MAX($V21-$T21,0)</f>
        <v/>
      </c>
      <c r="V21" s="35">
        <f>IFERROR(INDEX('Q2_Ratio'!$C$5:$Z$11,Grafieken!$AB$8,17+1)+0,0)</f>
        <v/>
      </c>
      <c r="W21" s="36">
        <f>IFERROR($T21/$V21,0)</f>
        <v/>
      </c>
    </row>
    <row r="22">
      <c r="A22" s="15" t="n">
        <v>18</v>
      </c>
      <c r="B22" s="20">
        <f>IFERROR('Q1_Verdeling'!U5+0,0)</f>
        <v/>
      </c>
      <c r="C22" s="20">
        <f>IFERROR('Q1_Verdeling'!U6+0,0)</f>
        <v/>
      </c>
      <c r="D22" s="20">
        <f>IFERROR('Q1_Verdeling'!U7+0,0)</f>
        <v/>
      </c>
      <c r="E22" s="20">
        <f>IFERROR('Q1_Verdeling'!U8+0,0)</f>
        <v/>
      </c>
      <c r="F22" s="20">
        <f>IFERROR('Q1_Verdeling'!U9+0,0)</f>
        <v/>
      </c>
      <c r="G22" s="20">
        <f>IFERROR('Q1_Verdeling'!U10+0,0)</f>
        <v/>
      </c>
      <c r="H22" s="20">
        <f>IFERROR('Q1_Verdeling'!U11+0,0)</f>
        <v/>
      </c>
      <c r="J22" s="15" t="n">
        <v>18</v>
      </c>
      <c r="K22" s="20">
        <f>IFERROR('Q2_Ratio'!U5+0,0)</f>
        <v/>
      </c>
      <c r="L22" s="20">
        <f>IFERROR('Q2_Ratio'!U6+0,0)</f>
        <v/>
      </c>
      <c r="M22" s="20">
        <f>IFERROR('Q2_Ratio'!U7+0,0)</f>
        <v/>
      </c>
      <c r="N22" s="20">
        <f>IFERROR('Q2_Ratio'!U8+0,0)</f>
        <v/>
      </c>
      <c r="O22" s="20">
        <f>IFERROR('Q2_Ratio'!U9+0,0)</f>
        <v/>
      </c>
      <c r="P22" s="20">
        <f>IFERROR('Q2_Ratio'!U10+0,0)</f>
        <v/>
      </c>
      <c r="Q22" s="20">
        <f>IFERROR('Q2_Ratio'!U11+0,0)</f>
        <v/>
      </c>
      <c r="S22" s="15" t="n">
        <v>18</v>
      </c>
      <c r="T22" s="35">
        <f>IFERROR(INDEX('Q1_Verdeling'!$C$5:$Z$11,Grafieken!$AB$8,18+1)+0,0)</f>
        <v/>
      </c>
      <c r="U22" s="35">
        <f>MAX($V22-$T22,0)</f>
        <v/>
      </c>
      <c r="V22" s="35">
        <f>IFERROR(INDEX('Q2_Ratio'!$C$5:$Z$11,Grafieken!$AB$8,18+1)+0,0)</f>
        <v/>
      </c>
      <c r="W22" s="36">
        <f>IFERROR($T22/$V22,0)</f>
        <v/>
      </c>
    </row>
    <row r="23">
      <c r="A23" s="15" t="n">
        <v>19</v>
      </c>
      <c r="B23" s="20">
        <f>IFERROR('Q1_Verdeling'!V5+0,0)</f>
        <v/>
      </c>
      <c r="C23" s="20">
        <f>IFERROR('Q1_Verdeling'!V6+0,0)</f>
        <v/>
      </c>
      <c r="D23" s="20">
        <f>IFERROR('Q1_Verdeling'!V7+0,0)</f>
        <v/>
      </c>
      <c r="E23" s="20">
        <f>IFERROR('Q1_Verdeling'!V8+0,0)</f>
        <v/>
      </c>
      <c r="F23" s="20">
        <f>IFERROR('Q1_Verdeling'!V9+0,0)</f>
        <v/>
      </c>
      <c r="G23" s="20">
        <f>IFERROR('Q1_Verdeling'!V10+0,0)</f>
        <v/>
      </c>
      <c r="H23" s="20">
        <f>IFERROR('Q1_Verdeling'!V11+0,0)</f>
        <v/>
      </c>
      <c r="J23" s="15" t="n">
        <v>19</v>
      </c>
      <c r="K23" s="20">
        <f>IFERROR('Q2_Ratio'!V5+0,0)</f>
        <v/>
      </c>
      <c r="L23" s="20">
        <f>IFERROR('Q2_Ratio'!V6+0,0)</f>
        <v/>
      </c>
      <c r="M23" s="20">
        <f>IFERROR('Q2_Ratio'!V7+0,0)</f>
        <v/>
      </c>
      <c r="N23" s="20">
        <f>IFERROR('Q2_Ratio'!V8+0,0)</f>
        <v/>
      </c>
      <c r="O23" s="20">
        <f>IFERROR('Q2_Ratio'!V9+0,0)</f>
        <v/>
      </c>
      <c r="P23" s="20">
        <f>IFERROR('Q2_Ratio'!V10+0,0)</f>
        <v/>
      </c>
      <c r="Q23" s="20">
        <f>IFERROR('Q2_Ratio'!V11+0,0)</f>
        <v/>
      </c>
      <c r="S23" s="15" t="n">
        <v>19</v>
      </c>
      <c r="T23" s="35">
        <f>IFERROR(INDEX('Q1_Verdeling'!$C$5:$Z$11,Grafieken!$AB$8,19+1)+0,0)</f>
        <v/>
      </c>
      <c r="U23" s="35">
        <f>MAX($V23-$T23,0)</f>
        <v/>
      </c>
      <c r="V23" s="35">
        <f>IFERROR(INDEX('Q2_Ratio'!$C$5:$Z$11,Grafieken!$AB$8,19+1)+0,0)</f>
        <v/>
      </c>
      <c r="W23" s="36">
        <f>IFERROR($T23/$V23,0)</f>
        <v/>
      </c>
    </row>
    <row r="24">
      <c r="A24" s="15" t="n">
        <v>20</v>
      </c>
      <c r="B24" s="20">
        <f>IFERROR('Q1_Verdeling'!W5+0,0)</f>
        <v/>
      </c>
      <c r="C24" s="20">
        <f>IFERROR('Q1_Verdeling'!W6+0,0)</f>
        <v/>
      </c>
      <c r="D24" s="20">
        <f>IFERROR('Q1_Verdeling'!W7+0,0)</f>
        <v/>
      </c>
      <c r="E24" s="20">
        <f>IFERROR('Q1_Verdeling'!W8+0,0)</f>
        <v/>
      </c>
      <c r="F24" s="20">
        <f>IFERROR('Q1_Verdeling'!W9+0,0)</f>
        <v/>
      </c>
      <c r="G24" s="20">
        <f>IFERROR('Q1_Verdeling'!W10+0,0)</f>
        <v/>
      </c>
      <c r="H24" s="20">
        <f>IFERROR('Q1_Verdeling'!W11+0,0)</f>
        <v/>
      </c>
      <c r="J24" s="15" t="n">
        <v>20</v>
      </c>
      <c r="K24" s="20">
        <f>IFERROR('Q2_Ratio'!W5+0,0)</f>
        <v/>
      </c>
      <c r="L24" s="20">
        <f>IFERROR('Q2_Ratio'!W6+0,0)</f>
        <v/>
      </c>
      <c r="M24" s="20">
        <f>IFERROR('Q2_Ratio'!W7+0,0)</f>
        <v/>
      </c>
      <c r="N24" s="20">
        <f>IFERROR('Q2_Ratio'!W8+0,0)</f>
        <v/>
      </c>
      <c r="O24" s="20">
        <f>IFERROR('Q2_Ratio'!W9+0,0)</f>
        <v/>
      </c>
      <c r="P24" s="20">
        <f>IFERROR('Q2_Ratio'!W10+0,0)</f>
        <v/>
      </c>
      <c r="Q24" s="20">
        <f>IFERROR('Q2_Ratio'!W11+0,0)</f>
        <v/>
      </c>
      <c r="S24" s="15" t="n">
        <v>20</v>
      </c>
      <c r="T24" s="35">
        <f>IFERROR(INDEX('Q1_Verdeling'!$C$5:$Z$11,Grafieken!$AB$8,20+1)+0,0)</f>
        <v/>
      </c>
      <c r="U24" s="35">
        <f>MAX($V24-$T24,0)</f>
        <v/>
      </c>
      <c r="V24" s="35">
        <f>IFERROR(INDEX('Q2_Ratio'!$C$5:$Z$11,Grafieken!$AB$8,20+1)+0,0)</f>
        <v/>
      </c>
      <c r="W24" s="36">
        <f>IFERROR($T24/$V24,0)</f>
        <v/>
      </c>
    </row>
    <row r="25">
      <c r="A25" s="15" t="n">
        <v>21</v>
      </c>
      <c r="B25" s="20">
        <f>IFERROR('Q1_Verdeling'!X5+0,0)</f>
        <v/>
      </c>
      <c r="C25" s="20">
        <f>IFERROR('Q1_Verdeling'!X6+0,0)</f>
        <v/>
      </c>
      <c r="D25" s="20">
        <f>IFERROR('Q1_Verdeling'!X7+0,0)</f>
        <v/>
      </c>
      <c r="E25" s="20">
        <f>IFERROR('Q1_Verdeling'!X8+0,0)</f>
        <v/>
      </c>
      <c r="F25" s="20">
        <f>IFERROR('Q1_Verdeling'!X9+0,0)</f>
        <v/>
      </c>
      <c r="G25" s="20">
        <f>IFERROR('Q1_Verdeling'!X10+0,0)</f>
        <v/>
      </c>
      <c r="H25" s="20">
        <f>IFERROR('Q1_Verdeling'!X11+0,0)</f>
        <v/>
      </c>
      <c r="J25" s="15" t="n">
        <v>21</v>
      </c>
      <c r="K25" s="20">
        <f>IFERROR('Q2_Ratio'!X5+0,0)</f>
        <v/>
      </c>
      <c r="L25" s="20">
        <f>IFERROR('Q2_Ratio'!X6+0,0)</f>
        <v/>
      </c>
      <c r="M25" s="20">
        <f>IFERROR('Q2_Ratio'!X7+0,0)</f>
        <v/>
      </c>
      <c r="N25" s="20">
        <f>IFERROR('Q2_Ratio'!X8+0,0)</f>
        <v/>
      </c>
      <c r="O25" s="20">
        <f>IFERROR('Q2_Ratio'!X9+0,0)</f>
        <v/>
      </c>
      <c r="P25" s="20">
        <f>IFERROR('Q2_Ratio'!X10+0,0)</f>
        <v/>
      </c>
      <c r="Q25" s="20">
        <f>IFERROR('Q2_Ratio'!X11+0,0)</f>
        <v/>
      </c>
      <c r="S25" s="15" t="n">
        <v>21</v>
      </c>
      <c r="T25" s="35">
        <f>IFERROR(INDEX('Q1_Verdeling'!$C$5:$Z$11,Grafieken!$AB$8,21+1)+0,0)</f>
        <v/>
      </c>
      <c r="U25" s="35">
        <f>MAX($V25-$T25,0)</f>
        <v/>
      </c>
      <c r="V25" s="35">
        <f>IFERROR(INDEX('Q2_Ratio'!$C$5:$Z$11,Grafieken!$AB$8,21+1)+0,0)</f>
        <v/>
      </c>
      <c r="W25" s="36">
        <f>IFERROR($T25/$V25,0)</f>
        <v/>
      </c>
    </row>
    <row r="26">
      <c r="A26" s="15" t="n">
        <v>22</v>
      </c>
      <c r="B26" s="20">
        <f>IFERROR('Q1_Verdeling'!Y5+0,0)</f>
        <v/>
      </c>
      <c r="C26" s="20">
        <f>IFERROR('Q1_Verdeling'!Y6+0,0)</f>
        <v/>
      </c>
      <c r="D26" s="20">
        <f>IFERROR('Q1_Verdeling'!Y7+0,0)</f>
        <v/>
      </c>
      <c r="E26" s="20">
        <f>IFERROR('Q1_Verdeling'!Y8+0,0)</f>
        <v/>
      </c>
      <c r="F26" s="20">
        <f>IFERROR('Q1_Verdeling'!Y9+0,0)</f>
        <v/>
      </c>
      <c r="G26" s="20">
        <f>IFERROR('Q1_Verdeling'!Y10+0,0)</f>
        <v/>
      </c>
      <c r="H26" s="20">
        <f>IFERROR('Q1_Verdeling'!Y11+0,0)</f>
        <v/>
      </c>
      <c r="J26" s="15" t="n">
        <v>22</v>
      </c>
      <c r="K26" s="20">
        <f>IFERROR('Q2_Ratio'!Y5+0,0)</f>
        <v/>
      </c>
      <c r="L26" s="20">
        <f>IFERROR('Q2_Ratio'!Y6+0,0)</f>
        <v/>
      </c>
      <c r="M26" s="20">
        <f>IFERROR('Q2_Ratio'!Y7+0,0)</f>
        <v/>
      </c>
      <c r="N26" s="20">
        <f>IFERROR('Q2_Ratio'!Y8+0,0)</f>
        <v/>
      </c>
      <c r="O26" s="20">
        <f>IFERROR('Q2_Ratio'!Y9+0,0)</f>
        <v/>
      </c>
      <c r="P26" s="20">
        <f>IFERROR('Q2_Ratio'!Y10+0,0)</f>
        <v/>
      </c>
      <c r="Q26" s="20">
        <f>IFERROR('Q2_Ratio'!Y11+0,0)</f>
        <v/>
      </c>
      <c r="S26" s="15" t="n">
        <v>22</v>
      </c>
      <c r="T26" s="35">
        <f>IFERROR(INDEX('Q1_Verdeling'!$C$5:$Z$11,Grafieken!$AB$8,22+1)+0,0)</f>
        <v/>
      </c>
      <c r="U26" s="35">
        <f>MAX($V26-$T26,0)</f>
        <v/>
      </c>
      <c r="V26" s="35">
        <f>IFERROR(INDEX('Q2_Ratio'!$C$5:$Z$11,Grafieken!$AB$8,22+1)+0,0)</f>
        <v/>
      </c>
      <c r="W26" s="36">
        <f>IFERROR($T26/$V26,0)</f>
        <v/>
      </c>
    </row>
    <row r="27">
      <c r="A27" s="15" t="n">
        <v>23</v>
      </c>
      <c r="B27" s="20">
        <f>IFERROR('Q1_Verdeling'!Z5+0,0)</f>
        <v/>
      </c>
      <c r="C27" s="20">
        <f>IFERROR('Q1_Verdeling'!Z6+0,0)</f>
        <v/>
      </c>
      <c r="D27" s="20">
        <f>IFERROR('Q1_Verdeling'!Z7+0,0)</f>
        <v/>
      </c>
      <c r="E27" s="20">
        <f>IFERROR('Q1_Verdeling'!Z8+0,0)</f>
        <v/>
      </c>
      <c r="F27" s="20">
        <f>IFERROR('Q1_Verdeling'!Z9+0,0)</f>
        <v/>
      </c>
      <c r="G27" s="20">
        <f>IFERROR('Q1_Verdeling'!Z10+0,0)</f>
        <v/>
      </c>
      <c r="H27" s="20">
        <f>IFERROR('Q1_Verdeling'!Z11+0,0)</f>
        <v/>
      </c>
      <c r="J27" s="15" t="n">
        <v>23</v>
      </c>
      <c r="K27" s="20">
        <f>IFERROR('Q2_Ratio'!Z5+0,0)</f>
        <v/>
      </c>
      <c r="L27" s="20">
        <f>IFERROR('Q2_Ratio'!Z6+0,0)</f>
        <v/>
      </c>
      <c r="M27" s="20">
        <f>IFERROR('Q2_Ratio'!Z7+0,0)</f>
        <v/>
      </c>
      <c r="N27" s="20">
        <f>IFERROR('Q2_Ratio'!Z8+0,0)</f>
        <v/>
      </c>
      <c r="O27" s="20">
        <f>IFERROR('Q2_Ratio'!Z9+0,0)</f>
        <v/>
      </c>
      <c r="P27" s="20">
        <f>IFERROR('Q2_Ratio'!Z10+0,0)</f>
        <v/>
      </c>
      <c r="Q27" s="20">
        <f>IFERROR('Q2_Ratio'!Z11+0,0)</f>
        <v/>
      </c>
      <c r="S27" s="15" t="n">
        <v>23</v>
      </c>
      <c r="T27" s="35">
        <f>IFERROR(INDEX('Q1_Verdeling'!$C$5:$Z$11,Grafieken!$AB$8,23+1)+0,0)</f>
        <v/>
      </c>
      <c r="U27" s="35">
        <f>MAX($V27-$T27,0)</f>
        <v/>
      </c>
      <c r="V27" s="35">
        <f>IFERROR(INDEX('Q2_Ratio'!$C$5:$Z$11,Grafieken!$AB$8,23+1)+0,0)</f>
        <v/>
      </c>
      <c r="W27" s="36">
        <f>IFERROR($T27/$V27,0)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2026-08-03T10:23:16Z</dcterms:created>
  <dcterms:modified xsi:type="dcterms:W3CDTF">2026-08-03T10:23:16Z</dcterms:modified>
</cp:coreProperties>
</file>