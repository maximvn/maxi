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andleiding" sheetId="1" state="visible" r:id="rId1"/>
    <sheet name="Data" sheetId="2" state="visible" r:id="rId2"/>
    <sheet name="Dashboard" sheetId="3" state="visible" r:id="rId3"/>
  </sheets>
  <definedNames>
    <definedName name="_xlnm._FilterDatabase" localSheetId="1" hidden="1">'Data'!$A$1:$AE$250001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595959"/>
      <sz val="11"/>
    </font>
    <font>
      <name val="Arial"/>
      <b val="1"/>
      <color rgb="001F3864"/>
      <sz val="12"/>
    </font>
    <font>
      <name val="Arial"/>
      <b val="1"/>
      <sz val="10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4" fontId="2" fillId="0" borderId="0" pivotButton="0" quotePrefix="0" xfId="0"/>
    <xf numFmtId="0" fontId="2" fillId="0" borderId="0" pivotButton="0" quotePrefix="0" xfId="0"/>
    <xf numFmtId="0" fontId="5" fillId="4" borderId="1" pivotButton="0" quotePrefix="0" xfId="0"/>
    <xf numFmtId="0" fontId="6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/>
    </xf>
    <xf numFmtId="3" fontId="3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4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3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0" fontId="2" fillId="4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Model</author>
  </authors>
  <commentList>
    <comment ref="A1" authorId="0" shapeId="0">
      <text>
        <t>Plak uw data vanaf cel A2 (zonder de kopregel), via Plakken &gt; Waarden.
Plak niet over de gekleurde kolommen AC/AD/AE heen.</t>
      </text>
    </comment>
    <comment ref="AC1" authorId="0" shapeId="0">
      <text>
        <t>Ligduur = kolom H (OpnameperiodeDatumTijdTotEnMet) minus kolom G (OpnameperiodeDatumTijdVan), in uren.
De formules staan alleen in rij 2. Trek ze zelf door:
1. selecteer AC2:AE2
2. Ctrl+C
3. selecteer AC3:AE&lt;uw laatste rij&gt;  (Ctrl+Shift+Pijl-omlaag)
4. Ctrl+V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6" customWidth="1" min="3" max="3"/>
  </cols>
  <sheetData>
    <row r="2">
      <c r="B2" s="1" t="inlineStr">
        <is>
          <t>EHH ligduur analyse</t>
        </is>
      </c>
    </row>
    <row r="3">
      <c r="B3" s="2" t="inlineStr">
        <is>
          <t>Ligduur op basis van OpnameperiodeDatumTijd van en tot en met.</t>
        </is>
      </c>
    </row>
    <row r="5">
      <c r="B5" s="3" t="inlineStr">
        <is>
          <t>STAP 1 - Data plakken</t>
        </is>
      </c>
    </row>
    <row r="6">
      <c r="C6" s="4" t="inlineStr">
        <is>
          <t>Ga naar tabblad 'Data'. Rij 1 bevat exact uw 28 kolomnamen in dezelfde volgorde.</t>
        </is>
      </c>
    </row>
    <row r="7">
      <c r="C7" s="4" t="inlineStr">
        <is>
          <t>Klik op cel A2 en plak uw dataset zonder de kopregel, via Plakken &gt; Waarden.</t>
        </is>
      </c>
    </row>
    <row r="8">
      <c r="C8" s="4" t="inlineStr">
        <is>
          <t>Plak niet over de gekleurde kolommen AC, AD en AE heen.</t>
        </is>
      </c>
    </row>
    <row r="9">
      <c r="C9" s="4" t="inlineStr"/>
    </row>
    <row r="10">
      <c r="B10" s="3" t="inlineStr">
        <is>
          <t>STAP 2 - Formules doortrekken  (BELANGRIJK)</t>
        </is>
      </c>
    </row>
    <row r="11">
      <c r="C11" s="4" t="inlineStr">
        <is>
          <t>De formules staan alleen in rij 2, zodat het bestand klein blijft en Excel</t>
        </is>
      </c>
    </row>
    <row r="12">
      <c r="C12" s="4" t="inlineStr">
        <is>
          <t>het zonder foutmelding opent. Trek ze zelf door naar beneden:</t>
        </is>
      </c>
    </row>
    <row r="13">
      <c r="C13" s="4" t="inlineStr">
        <is>
          <t>1. selecteer AC2 tot en met AE2</t>
        </is>
      </c>
    </row>
    <row r="14">
      <c r="C14" s="4" t="inlineStr">
        <is>
          <t>2. Ctrl+C (kopieren)</t>
        </is>
      </c>
    </row>
    <row r="15">
      <c r="C15" s="4" t="inlineStr">
        <is>
          <t>3. selecteer AC3 tot en met AE op uw laatste datarij</t>
        </is>
      </c>
    </row>
    <row r="16">
      <c r="C16" s="4" t="inlineStr">
        <is>
          <t xml:space="preserve">   (tip: Ctrl+Shift+Pijl-omlaag selecteert razendsnel tot onderaan)</t>
        </is>
      </c>
    </row>
    <row r="17">
      <c r="C17" s="4" t="inlineStr">
        <is>
          <t>4. Ctrl+V (plakken)</t>
        </is>
      </c>
    </row>
    <row r="18">
      <c r="C18" s="4" t="inlineStr">
        <is>
          <t>Blok 'Controle' op het Dashboard meldt of u ver genoeg bent gekomen.</t>
        </is>
      </c>
    </row>
    <row r="19">
      <c r="C19" s="4" t="inlineStr"/>
    </row>
    <row r="20">
      <c r="B20" s="3" t="inlineStr">
        <is>
          <t>WAT DE KOLOMMEN DOEN</t>
        </is>
      </c>
    </row>
    <row r="21">
      <c r="B21" s="5" t="inlineStr">
        <is>
          <t>Ligduur (uren)  [AC]</t>
        </is>
      </c>
      <c r="C21" s="4" t="inlineStr">
        <is>
          <t>Kolom H (OpnameperiodeDatumTijdTotEnMet) min kolom G (OpnameperiodeDatumTijdVan), in uren.</t>
        </is>
      </c>
    </row>
    <row r="22">
      <c r="B22" s="5" t="inlineStr">
        <is>
          <t>Tussen 6 en 24 uur  [AD]</t>
        </is>
      </c>
      <c r="C22" s="4" t="inlineStr">
        <is>
          <t>'Ja' als de ligduur groter is dan 6 en niet groter dan 24 uur, anders 'Nee'.</t>
        </is>
      </c>
    </row>
    <row r="23">
      <c r="B23" s="5" t="inlineStr">
        <is>
          <t>Ligduur als 6-24 uur  [AE]</t>
        </is>
      </c>
      <c r="C23" s="4" t="inlineStr">
        <is>
          <t>Dezelfde ligduur, maar alleen ingevuld bij de regels met 'Ja'. Het Dashboard gebruikt deze kolom voor de kortste/gemiddelde/langste ligduur.</t>
        </is>
      </c>
    </row>
    <row r="24">
      <c r="C24" s="4" t="inlineStr"/>
    </row>
    <row r="25">
      <c r="B25" s="3" t="inlineStr">
        <is>
          <t>STAP 3 - Lijst op kortste ligduur</t>
        </is>
      </c>
    </row>
    <row r="26">
      <c r="C26" s="4" t="inlineStr">
        <is>
          <t>Op 'Data': klik op het filterpijltje van kolom AD en vink alleen 'Ja' aan.</t>
        </is>
      </c>
    </row>
    <row r="27">
      <c r="C27" s="4" t="inlineStr">
        <is>
          <t>Klik daarna op het filterpijltje van 'Ligduur (uren)' (AC) en kies</t>
        </is>
      </c>
    </row>
    <row r="28">
      <c r="C28" s="4" t="inlineStr">
        <is>
          <t>Sorteren van klein naar groot. U ziet dan de selectie, kortste ligduur bovenaan.</t>
        </is>
      </c>
    </row>
    <row r="29">
      <c r="C29" s="4" t="inlineStr"/>
    </row>
    <row r="30">
      <c r="B30" s="3" t="inlineStr">
        <is>
          <t>STAP 4 - Antwoord</t>
        </is>
      </c>
    </row>
    <row r="31">
      <c r="C31" s="4" t="inlineStr">
        <is>
          <t>Het tabblad 'Dashboard' toont het aantal regels tussen 6 en 24 uur,</t>
        </is>
      </c>
    </row>
    <row r="32">
      <c r="C32" s="4" t="inlineStr">
        <is>
          <t>plus de kortste, gemiddelde en langste ligduur en een verdeling per 2 uur.</t>
        </is>
      </c>
    </row>
    <row r="33">
      <c r="C33" s="4" t="inlineStr"/>
    </row>
    <row r="34">
      <c r="B34" s="3" t="inlineStr">
        <is>
          <t>ALS DE LIGDUUR LEEG OF #WAARDE! IS</t>
        </is>
      </c>
    </row>
    <row r="35">
      <c r="C35" s="4" t="inlineStr">
        <is>
          <t>Dan worden de kolommen G en H als tekst gelezen in plaats van als datum.</t>
        </is>
      </c>
    </row>
    <row r="36">
      <c r="C36" s="4" t="inlineStr">
        <is>
          <t>Selecteer kolom G en H, ga naar Gegevens &gt; Tekst naar kolommen &gt; Voltooien;</t>
        </is>
      </c>
    </row>
    <row r="37">
      <c r="C37" s="4" t="inlineStr">
        <is>
          <t>Excel maakt er dan echte datums van en de ligduur verschijnt vanzelf.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2" customWidth="1" min="3" max="3"/>
    <col width="20" customWidth="1" min="4" max="4"/>
    <col width="25" customWidth="1" min="5" max="5"/>
    <col width="23" customWidth="1" min="6" max="6"/>
    <col width="27" customWidth="1" min="7" max="7"/>
    <col width="30" customWidth="1" min="8" max="8"/>
    <col width="14" customWidth="1" min="9" max="9"/>
    <col width="12" customWidth="1" min="10" max="10"/>
    <col width="12" customWidth="1" min="11" max="11"/>
    <col width="15" customWidth="1" min="12" max="12"/>
    <col width="23" customWidth="1" min="13" max="13"/>
    <col width="28" customWidth="1" min="14" max="14"/>
    <col width="20" customWidth="1" min="15" max="15"/>
    <col width="24" customWidth="1" min="16" max="16"/>
    <col width="30" customWidth="1" min="17" max="17"/>
    <col width="15" customWidth="1" min="18" max="18"/>
    <col width="12" customWidth="1" min="19" max="19"/>
    <col width="12" customWidth="1" min="20" max="20"/>
    <col width="16" customWidth="1" min="21" max="21"/>
    <col width="18" customWidth="1" min="22" max="22"/>
    <col width="30" customWidth="1" min="23" max="23"/>
    <col width="30" customWidth="1" min="24" max="24"/>
    <col width="30" customWidth="1" min="25" max="25"/>
    <col width="17" customWidth="1" min="26" max="26"/>
    <col width="12" customWidth="1" min="27" max="27"/>
    <col width="13" customWidth="1" min="28" max="28"/>
    <col width="14" customWidth="1" min="29" max="29"/>
    <col width="15" customWidth="1" min="30" max="30"/>
    <col width="16" customWidth="1" min="31" max="31"/>
  </cols>
  <sheetData>
    <row r="1" ht="44" customHeight="1">
      <c r="A1" s="6" t="inlineStr">
        <is>
          <t>OpnameIDIntern</t>
        </is>
      </c>
      <c r="B1" s="6" t="inlineStr">
        <is>
          <t>CodePreferent</t>
        </is>
      </c>
      <c r="C1" s="6" t="inlineStr">
        <is>
          <t>Jaar</t>
        </is>
      </c>
      <c r="D1" s="6" t="inlineStr">
        <is>
          <t>OpnameDatumTijdVan</t>
        </is>
      </c>
      <c r="E1" s="6" t="inlineStr">
        <is>
          <t>OpnameDatumTijdTotEnMet</t>
        </is>
      </c>
      <c r="F1" s="6" t="inlineStr">
        <is>
          <t>OpnameperiodeIDIntern</t>
        </is>
      </c>
      <c r="G1" s="6" t="inlineStr">
        <is>
          <t>OpnameperiodeDatumTijdVan</t>
        </is>
      </c>
      <c r="H1" s="6" t="inlineStr">
        <is>
          <t>OpnameperiodeDatumTijdTotEnMet</t>
        </is>
      </c>
      <c r="I1" s="6" t="inlineStr">
        <is>
          <t>AfdelingCode</t>
        </is>
      </c>
      <c r="J1" s="6" t="inlineStr">
        <is>
          <t>KamerCode</t>
        </is>
      </c>
      <c r="K1" s="6" t="inlineStr">
        <is>
          <t>Code</t>
        </is>
      </c>
      <c r="L1" s="6" t="inlineStr">
        <is>
          <t>IsSpoedOpname</t>
        </is>
      </c>
      <c r="M1" s="6" t="inlineStr">
        <is>
          <t>SpecialismeCodeIntern</t>
        </is>
      </c>
      <c r="N1" s="6" t="inlineStr">
        <is>
          <t>OpnameDiagnoseOmschrijving</t>
        </is>
      </c>
      <c r="O1" s="6" t="inlineStr">
        <is>
          <t>OmschrijvingIntern</t>
        </is>
      </c>
      <c r="P1" s="6" t="inlineStr">
        <is>
          <t>OP_AantalOpnamePeriode</t>
        </is>
      </c>
      <c r="Q1" s="6" t="inlineStr">
        <is>
          <t>OP_DoorlooptijdOpnamePeriodeInMinuten</t>
        </is>
      </c>
      <c r="R1" s="6" t="inlineStr">
        <is>
          <t>Cardioversie?</t>
        </is>
      </c>
      <c r="S1" s="6" t="inlineStr">
        <is>
          <t>Overname?</t>
        </is>
      </c>
      <c r="T1" s="6" t="inlineStr">
        <is>
          <t>Rijnstate</t>
        </is>
      </c>
      <c r="U1" s="6" t="inlineStr">
        <is>
          <t>Datum tijd van</t>
        </is>
      </c>
      <c r="V1" s="6" t="inlineStr">
        <is>
          <t>Datum tot en met</t>
        </is>
      </c>
      <c r="W1" s="6" t="inlineStr">
        <is>
          <t>Ontslagdatumtijd Scenario 1 -  4 uur</t>
        </is>
      </c>
      <c r="X1" s="6" t="inlineStr">
        <is>
          <t>Ontslagdatumtijd Scenario 2 -  6 uur</t>
        </is>
      </c>
      <c r="Y1" s="6" t="inlineStr">
        <is>
          <t>Ontslagdatumtijd Scenario 3 -  24 uur</t>
        </is>
      </c>
      <c r="Z1" s="6" t="inlineStr">
        <is>
          <t>Patientvolgorde</t>
        </is>
      </c>
      <c r="AA1" s="6" t="inlineStr">
        <is>
          <t>CCU-Eerst?</t>
        </is>
      </c>
      <c r="AB1" s="6" t="inlineStr">
        <is>
          <t>Tijd bekend</t>
        </is>
      </c>
      <c r="AC1" s="7" t="inlineStr">
        <is>
          <t>Ligduur (uren)</t>
        </is>
      </c>
      <c r="AD1" s="7" t="inlineStr">
        <is>
          <t>Tussen 6 en 24 uur</t>
        </is>
      </c>
      <c r="AE1" s="7" t="inlineStr">
        <is>
          <t>Ligduur als 6-24 uur</t>
        </is>
      </c>
    </row>
    <row r="2">
      <c r="AC2" s="8">
        <f>IF(OR($G2="",$H2=""),"",IFERROR(($H2-$G2)*24,""))</f>
        <v/>
      </c>
      <c r="AD2" s="9">
        <f>IF($AC2="","",IF(AND($AC2&gt;6,$AC2&lt;=24),"Ja","Nee"))</f>
        <v/>
      </c>
      <c r="AE2" s="8">
        <f>IF($AD2="Ja",$AC2,"")</f>
        <v/>
      </c>
    </row>
  </sheetData>
  <autoFilter ref="A1:AE250001"/>
  <conditionalFormatting sqref="AD2:AD250001">
    <cfRule type="cellIs" priority="1" operator="equal" dxfId="0">
      <formula>"Ja"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3" customWidth="1" min="4" max="4"/>
    <col width="40" customWidth="1" min="5" max="5"/>
  </cols>
  <sheetData>
    <row r="2">
      <c r="B2" s="1" t="inlineStr">
        <is>
          <t>Dashboard EHH ligduur</t>
        </is>
      </c>
    </row>
    <row r="3">
      <c r="B3" s="2" t="inlineStr">
        <is>
          <t>Kernvraag: hoeveel regels hebben een ligduur langer dan 6 en tot en met 24 uur.</t>
        </is>
      </c>
    </row>
    <row r="5">
      <c r="B5" s="10" t="inlineStr">
        <is>
          <t>Controle</t>
        </is>
      </c>
      <c r="C5" s="11" t="inlineStr">
        <is>
          <t>Aantal</t>
        </is>
      </c>
      <c r="E5" s="11" t="inlineStr">
        <is>
          <t>Toelichting</t>
        </is>
      </c>
    </row>
    <row r="6">
      <c r="B6" s="12" t="inlineStr">
        <is>
          <t>Regels ingelezen</t>
        </is>
      </c>
      <c r="C6" s="13">
        <f>COUNTA(Data!$A$2:$A$250001)</f>
        <v/>
      </c>
      <c r="E6" s="14" t="inlineStr">
        <is>
          <t>Nul = nog geen data geplakt.</t>
        </is>
      </c>
    </row>
    <row r="7">
      <c r="B7" s="12" t="inlineStr">
        <is>
          <t>Regels waar de formules staan</t>
        </is>
      </c>
      <c r="C7" s="13">
        <f>COUNTA(Data!$AC$2:$AC$250001)</f>
        <v/>
      </c>
      <c r="E7" s="14" t="inlineStr">
        <is>
          <t>Lager dan 'Regels ingelezen'? Dan zijn de formules nog niet ver genoeg doorgetrokken (zie Handleiding stap 2).</t>
        </is>
      </c>
    </row>
    <row r="8">
      <c r="B8" s="12" t="inlineStr">
        <is>
          <t>Regels met een geldige ligduur</t>
        </is>
      </c>
      <c r="C8" s="13">
        <f>COUNT(Data!$AC$2:$AC$250001)</f>
        <v/>
      </c>
      <c r="E8" s="14" t="inlineStr">
        <is>
          <t>Kleiner dan 'Regels waar de formules staan'? Dan mist bij die regels een datum in kolom G of H, of staat daar tekst in plaats van een datum.</t>
        </is>
      </c>
    </row>
    <row r="9" ht="30" customHeight="1">
      <c r="B9" s="15">
        <f>IF(COUNTA(Data!$A$2:$A$250001)=0,"Nog geen data geplakt op het tabblad Data.",IF(COUNTA(Data!$AC$2:$AC$250001)&lt;COUNTA(Data!$A$2:$A$250001),"LET OP: er zijn "&amp;COUNTA(Data!$A$2:$A$250001)&amp;" regels, maar de formules staan pas op "&amp;COUNTA(Data!$AC$2:$AC$250001)&amp;" regels. Trek AC2:AE2 verder naar beneden.","In orde - alle regels zijn doorgerekend."))</f>
        <v/>
      </c>
    </row>
    <row r="11">
      <c r="B11" s="10" t="inlineStr">
        <is>
          <t>Tussen 6 en 24 uur</t>
        </is>
      </c>
      <c r="C11" s="11" t="inlineStr">
        <is>
          <t>Aantal</t>
        </is>
      </c>
      <c r="D11" s="11" t="inlineStr">
        <is>
          <t>% van geldige</t>
        </is>
      </c>
      <c r="E11" s="11" t="inlineStr">
        <is>
          <t>Toelichting</t>
        </is>
      </c>
    </row>
    <row r="12">
      <c r="B12" s="16" t="inlineStr">
        <is>
          <t>Regels met ligduur &gt; 6 en &lt;= 24 uur</t>
        </is>
      </c>
      <c r="C12" s="17">
        <f>COUNTIF(Data!$AD$2:$AD$250001,"Ja")</f>
        <v/>
      </c>
      <c r="D12" s="18">
        <f>IF(COUNT(Data!$AC$2:$AC$250001)=0,"",COUNTIF(Data!$AD$2:$AD$250001,"Ja")/COUNT(Data!$AC$2:$AC$250001))</f>
        <v/>
      </c>
      <c r="E12" s="19" t="inlineStr">
        <is>
          <t>DIT IS HET GEVRAAGDE AANTAL.</t>
        </is>
      </c>
    </row>
    <row r="14">
      <c r="B14" s="10" t="inlineStr">
        <is>
          <t>Ligduur binnen 6-24 uur</t>
        </is>
      </c>
      <c r="C14" s="11" t="inlineStr">
        <is>
          <t>Uren</t>
        </is>
      </c>
    </row>
    <row r="15">
      <c r="B15" s="12" t="inlineStr">
        <is>
          <t>Kortste ligduur</t>
        </is>
      </c>
      <c r="C15" s="20">
        <f>IF(COUNT(Data!$AE$2:$AE$250001)=0,"",ROUND(MIN(Data!$AE$2:$AE$250001),2))</f>
        <v/>
      </c>
    </row>
    <row r="16">
      <c r="B16" s="12" t="inlineStr">
        <is>
          <t>Gemiddelde ligduur</t>
        </is>
      </c>
      <c r="C16" s="20">
        <f>IF(COUNT(Data!$AE$2:$AE$250001)=0,"",ROUND(AVERAGE(Data!$AE$2:$AE$250001),2))</f>
        <v/>
      </c>
    </row>
    <row r="17">
      <c r="B17" s="12" t="inlineStr">
        <is>
          <t>Mediane ligduur</t>
        </is>
      </c>
      <c r="C17" s="20">
        <f>IF(COUNT(Data!$AE$2:$AE$250001)=0,"",ROUND(MEDIAN(Data!$AE$2:$AE$250001),2))</f>
        <v/>
      </c>
    </row>
    <row r="18">
      <c r="B18" s="12" t="inlineStr">
        <is>
          <t>Langste ligduur</t>
        </is>
      </c>
      <c r="C18" s="20">
        <f>IF(COUNT(Data!$AE$2:$AE$250001)=0,"",ROUND(MAX(Data!$AE$2:$AE$250001),2))</f>
        <v/>
      </c>
    </row>
    <row r="20">
      <c r="B20" s="10" t="inlineStr">
        <is>
          <t>Verdeling naar ligduur (alle regels met ligduur)</t>
        </is>
      </c>
      <c r="C20" s="11" t="inlineStr">
        <is>
          <t>Aantal</t>
        </is>
      </c>
      <c r="D20" s="11" t="inlineStr">
        <is>
          <t>% van geldige</t>
        </is>
      </c>
    </row>
    <row r="21">
      <c r="B21" s="12" t="inlineStr">
        <is>
          <t>0 tot 2 uur</t>
        </is>
      </c>
      <c r="C21" s="21">
        <f>COUNTIFS(Data!$AC$2:$AC$250001,"&gt;"&amp;0,Data!$AC$2:$AC$250001,"&lt;="&amp;2)</f>
        <v/>
      </c>
      <c r="D21" s="22">
        <f>IF(COUNT(Data!$AC$2:$AC$250001)=0,"",COUNTIFS(Data!$AC$2:$AC$250001,"&gt;"&amp;0,Data!$AC$2:$AC$250001,"&lt;="&amp;2)/COUNT(Data!$AC$2:$AC$250001))</f>
        <v/>
      </c>
    </row>
    <row r="22">
      <c r="B22" s="12" t="inlineStr">
        <is>
          <t>2 tot 4 uur</t>
        </is>
      </c>
      <c r="C22" s="21">
        <f>COUNTIFS(Data!$AC$2:$AC$250001,"&gt;"&amp;2,Data!$AC$2:$AC$250001,"&lt;="&amp;4)</f>
        <v/>
      </c>
      <c r="D22" s="22">
        <f>IF(COUNT(Data!$AC$2:$AC$250001)=0,"",COUNTIFS(Data!$AC$2:$AC$250001,"&gt;"&amp;2,Data!$AC$2:$AC$250001,"&lt;="&amp;4)/COUNT(Data!$AC$2:$AC$250001))</f>
        <v/>
      </c>
    </row>
    <row r="23">
      <c r="B23" s="12" t="inlineStr">
        <is>
          <t>4 tot 6 uur</t>
        </is>
      </c>
      <c r="C23" s="21">
        <f>COUNTIFS(Data!$AC$2:$AC$250001,"&gt;"&amp;4,Data!$AC$2:$AC$250001,"&lt;="&amp;6)</f>
        <v/>
      </c>
      <c r="D23" s="22">
        <f>IF(COUNT(Data!$AC$2:$AC$250001)=0,"",COUNTIFS(Data!$AC$2:$AC$250001,"&gt;"&amp;4,Data!$AC$2:$AC$250001,"&lt;="&amp;6)/COUNT(Data!$AC$2:$AC$250001))</f>
        <v/>
      </c>
    </row>
    <row r="24">
      <c r="B24" s="23" t="inlineStr">
        <is>
          <t>6 tot 8 uur</t>
        </is>
      </c>
      <c r="C24" s="24">
        <f>COUNTIFS(Data!$AC$2:$AC$250001,"&gt;"&amp;6,Data!$AC$2:$AC$250001,"&lt;="&amp;8)</f>
        <v/>
      </c>
      <c r="D24" s="25">
        <f>IF(COUNT(Data!$AC$2:$AC$250001)=0,"",COUNTIFS(Data!$AC$2:$AC$250001,"&gt;"&amp;6,Data!$AC$2:$AC$250001,"&lt;="&amp;8)/COUNT(Data!$AC$2:$AC$250001))</f>
        <v/>
      </c>
    </row>
    <row r="25">
      <c r="B25" s="23" t="inlineStr">
        <is>
          <t>8 tot 10 uur</t>
        </is>
      </c>
      <c r="C25" s="24">
        <f>COUNTIFS(Data!$AC$2:$AC$250001,"&gt;"&amp;8,Data!$AC$2:$AC$250001,"&lt;="&amp;10)</f>
        <v/>
      </c>
      <c r="D25" s="25">
        <f>IF(COUNT(Data!$AC$2:$AC$250001)=0,"",COUNTIFS(Data!$AC$2:$AC$250001,"&gt;"&amp;8,Data!$AC$2:$AC$250001,"&lt;="&amp;10)/COUNT(Data!$AC$2:$AC$250001))</f>
        <v/>
      </c>
    </row>
    <row r="26">
      <c r="B26" s="23" t="inlineStr">
        <is>
          <t>10 tot 12 uur</t>
        </is>
      </c>
      <c r="C26" s="24">
        <f>COUNTIFS(Data!$AC$2:$AC$250001,"&gt;"&amp;10,Data!$AC$2:$AC$250001,"&lt;="&amp;12)</f>
        <v/>
      </c>
      <c r="D26" s="25">
        <f>IF(COUNT(Data!$AC$2:$AC$250001)=0,"",COUNTIFS(Data!$AC$2:$AC$250001,"&gt;"&amp;10,Data!$AC$2:$AC$250001,"&lt;="&amp;12)/COUNT(Data!$AC$2:$AC$250001))</f>
        <v/>
      </c>
    </row>
    <row r="27">
      <c r="B27" s="23" t="inlineStr">
        <is>
          <t>12 tot 14 uur</t>
        </is>
      </c>
      <c r="C27" s="24">
        <f>COUNTIFS(Data!$AC$2:$AC$250001,"&gt;"&amp;12,Data!$AC$2:$AC$250001,"&lt;="&amp;14)</f>
        <v/>
      </c>
      <c r="D27" s="25">
        <f>IF(COUNT(Data!$AC$2:$AC$250001)=0,"",COUNTIFS(Data!$AC$2:$AC$250001,"&gt;"&amp;12,Data!$AC$2:$AC$250001,"&lt;="&amp;14)/COUNT(Data!$AC$2:$AC$250001))</f>
        <v/>
      </c>
    </row>
    <row r="28">
      <c r="B28" s="23" t="inlineStr">
        <is>
          <t>14 tot 16 uur</t>
        </is>
      </c>
      <c r="C28" s="24">
        <f>COUNTIFS(Data!$AC$2:$AC$250001,"&gt;"&amp;14,Data!$AC$2:$AC$250001,"&lt;="&amp;16)</f>
        <v/>
      </c>
      <c r="D28" s="25">
        <f>IF(COUNT(Data!$AC$2:$AC$250001)=0,"",COUNTIFS(Data!$AC$2:$AC$250001,"&gt;"&amp;14,Data!$AC$2:$AC$250001,"&lt;="&amp;16)/COUNT(Data!$AC$2:$AC$250001))</f>
        <v/>
      </c>
    </row>
    <row r="29">
      <c r="B29" s="23" t="inlineStr">
        <is>
          <t>16 tot 18 uur</t>
        </is>
      </c>
      <c r="C29" s="24">
        <f>COUNTIFS(Data!$AC$2:$AC$250001,"&gt;"&amp;16,Data!$AC$2:$AC$250001,"&lt;="&amp;18)</f>
        <v/>
      </c>
      <c r="D29" s="25">
        <f>IF(COUNT(Data!$AC$2:$AC$250001)=0,"",COUNTIFS(Data!$AC$2:$AC$250001,"&gt;"&amp;16,Data!$AC$2:$AC$250001,"&lt;="&amp;18)/COUNT(Data!$AC$2:$AC$250001))</f>
        <v/>
      </c>
    </row>
    <row r="30">
      <c r="B30" s="23" t="inlineStr">
        <is>
          <t>18 tot 20 uur</t>
        </is>
      </c>
      <c r="C30" s="24">
        <f>COUNTIFS(Data!$AC$2:$AC$250001,"&gt;"&amp;18,Data!$AC$2:$AC$250001,"&lt;="&amp;20)</f>
        <v/>
      </c>
      <c r="D30" s="25">
        <f>IF(COUNT(Data!$AC$2:$AC$250001)=0,"",COUNTIFS(Data!$AC$2:$AC$250001,"&gt;"&amp;18,Data!$AC$2:$AC$250001,"&lt;="&amp;20)/COUNT(Data!$AC$2:$AC$250001))</f>
        <v/>
      </c>
    </row>
    <row r="31">
      <c r="B31" s="23" t="inlineStr">
        <is>
          <t>20 tot 22 uur</t>
        </is>
      </c>
      <c r="C31" s="24">
        <f>COUNTIFS(Data!$AC$2:$AC$250001,"&gt;"&amp;20,Data!$AC$2:$AC$250001,"&lt;="&amp;22)</f>
        <v/>
      </c>
      <c r="D31" s="25">
        <f>IF(COUNT(Data!$AC$2:$AC$250001)=0,"",COUNTIFS(Data!$AC$2:$AC$250001,"&gt;"&amp;20,Data!$AC$2:$AC$250001,"&lt;="&amp;22)/COUNT(Data!$AC$2:$AC$250001))</f>
        <v/>
      </c>
    </row>
    <row r="32">
      <c r="B32" s="23" t="inlineStr">
        <is>
          <t>22 tot 24 uur</t>
        </is>
      </c>
      <c r="C32" s="24">
        <f>COUNTIFS(Data!$AC$2:$AC$250001,"&gt;"&amp;22,Data!$AC$2:$AC$250001,"&lt;="&amp;24)</f>
        <v/>
      </c>
      <c r="D32" s="25">
        <f>IF(COUNT(Data!$AC$2:$AC$250001)=0,"",COUNTIFS(Data!$AC$2:$AC$250001,"&gt;"&amp;22,Data!$AC$2:$AC$250001,"&lt;="&amp;24)/COUNT(Data!$AC$2:$AC$250001))</f>
        <v/>
      </c>
    </row>
    <row r="33">
      <c r="B33" s="12" t="inlineStr">
        <is>
          <t>Meer dan 24 uur</t>
        </is>
      </c>
      <c r="C33" s="21">
        <f>COUNTIFS(Data!$AC$2:$AC$250001,"&gt;24")</f>
        <v/>
      </c>
      <c r="D33" s="22">
        <f>IF(COUNT(Data!$AC$2:$AC$250001)=0,"",COUNTIFS(Data!$AC$2:$AC$250001,"&gt;24")/COUNT(Data!$AC$2:$AC$250001))</f>
        <v/>
      </c>
    </row>
    <row r="34">
      <c r="B34" s="26" t="inlineStr">
        <is>
          <t>Totaal met ligduur</t>
        </is>
      </c>
      <c r="C34" s="27">
        <f>SUM(C21:C33)</f>
        <v/>
      </c>
      <c r="D34" s="2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2026-07-30T12:27:10Z</dcterms:created>
  <dcterms:modified xsi:type="dcterms:W3CDTF">2026-07-30T12:27:10Z</dcterms:modified>
</cp:coreProperties>
</file>