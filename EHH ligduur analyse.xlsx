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leiding" sheetId="1" state="visible" r:id="rId1"/>
    <sheet name="Instellingen" sheetId="2" state="visible" r:id="rId2"/>
    <sheet name="Data" sheetId="3" state="visible" r:id="rId3"/>
    <sheet name="Dashboard" sheetId="4" state="visible" r:id="rId4"/>
    <sheet name="Verdeling" sheetId="5" state="visible" r:id="rId5"/>
  </sheets>
  <definedNames>
    <definedName name="Ligduur_Bron">Instellingen!$C$6</definedName>
    <definedName name="Start_Idx">Instellingen!$C$7</definedName>
    <definedName name="Eind_Idx">Instellingen!$C$8</definedName>
    <definedName name="Ondergrens_U">Instellingen!$C$11</definedName>
    <definedName name="Bovengrens_U">Instellingen!$C$12</definedName>
    <definedName name="Dedup_Regel">Instellingen!$C$15</definedName>
    <definedName name="Dedup_Nr">Instellingen!$C$16</definedName>
    <definedName name="Best_Kolom">Instellingen!$C$19</definedName>
    <definedName name="Best_Idx">Instellingen!$C$20</definedName>
    <definedName name="Best_Waarde">Instellingen!$C$21</definedName>
    <definedName name="Filter_Aan">Instellingen!$C$25</definedName>
    <definedName name="Filter_Kolom">Instellingen!$C$26</definedName>
    <definedName name="Filter_Idx">Instellingen!$C$27</definedName>
    <definedName name="Filter_Zoek">Instellingen!$C$28</definedName>
    <definedName name="Filter_Waarde">Instellingen!$C$29</definedName>
    <definedName name="Scenario_Gebruiken">Instellingen!$C$33</definedName>
    <definedName name="Tijd_Bekend_Ja">Instellingen!$C$34</definedName>
    <definedName name="Excl_Onbetrouwbaar">Instellingen!$C$35</definedName>
    <definedName name="_xlnm._FilterDatabase" localSheetId="2" hidden="1">'Data'!$A$1:$AQ$250001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 hh:mm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0000FF"/>
      <sz val="10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pivotButton="0" quotePrefix="0" xfId="0"/>
    <xf numFmtId="0" fontId="4" fillId="2" borderId="1" pivotButton="0" quotePrefix="0" xfId="0"/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0" pivotButton="0" quotePrefix="0" xfId="0"/>
    <xf numFmtId="3" fontId="4" fillId="4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3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3" fontId="4" fillId="0" borderId="0" pivotButton="0" quotePrefix="0" xfId="0"/>
    <xf numFmtId="4" fontId="4" fillId="0" borderId="0" pivotButton="0" quotePrefix="0" xfId="0"/>
    <xf numFmtId="164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3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pivotButton="0" quotePrefix="0" xfId="0"/>
    <xf numFmtId="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Model</author>
  </authors>
  <commentList>
    <comment ref="B6" authorId="0" shapeId="0">
      <text>
        <t>De hele export betreft de EHH. 'Opname totaal' geeft de ligduur van de hele opname; die staat op elke regel van dezelfde opname gelijk.</t>
      </text>
    </comment>
    <comment ref="B11" authorId="0" shapeId="0">
      <text>
        <t>Telt mee vanaf MEER dan dit aantal uren.</t>
      </text>
    </comment>
    <comment ref="B12" authorId="0" shapeId="0">
      <text>
        <t>Telt mee tot en met dit aantal uren.</t>
      </text>
    </comment>
    <comment ref="B15" authorId="0" shapeId="0">
      <text>
        <t>Een opname met een kamerwissel staat op meerdere regels. Zonder deze instelling telt u dezelfde patient meerdere keren.</t>
      </text>
    </comment>
    <comment ref="B19" authorId="0" shapeId="0">
      <text>
        <t>Standaard uw kolom 'Overname?'.</t>
      </text>
    </comment>
    <comment ref="B21" authorId="0" shapeId="0">
      <text>
        <t>Ook 1, J, Y, WAAR en TRUE gelden altijd als bevestigend. Leeg = naar huis.</t>
      </text>
    </comment>
    <comment ref="C22" authorId="0" shapeId="0">
      <text>
        <t>Aantal regels dat als 'Blijft in ziekenhuis' wordt gezien. Staat hier 0 terwijl u overnames verwacht, controleer dan de kolom en de waarde hierboven.</t>
      </text>
    </comment>
    <comment ref="B25" authorId="0" shapeId="0">
      <text>
        <t>Alleen nodig als u binnen dit bestand nog verder wilt afbakenen. De export is al EHH, dus normaal blijft dit op Nee.</t>
      </text>
    </comment>
    <comment ref="B33" authorId="0" shapeId="0">
      <text>
        <t>Ja = kolommen W/X/Y gebruiken waar die een geldige datum bevatten. Anders rekent het model de afkapwaarde zelf uit.</t>
      </text>
    </comment>
    <comment ref="B34" authorId="0" shapeId="0">
      <text>
        <t>Leeg geldt als betrouwbaar.</t>
      </text>
    </comment>
    <comment ref="B35" authorId="0" shapeId="0">
      <text>
        <t>Ja = deze regels vallen buiten de selectie.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A1" authorId="0" shapeId="0">
      <text>
        <t>Plak uw data vanaf cel A2 (zonder kopregel), via Plakken &gt; Waarden.
Plak niet over kolom AD en verder heen.</t>
      </text>
    </comment>
    <comment ref="AD1" authorId="0" shapeId="0">
      <text>
        <t>De formules staan alleen in rij 2.
TREK ZE ZELF DOOR:
1. selecteer AD2:AS2
2. Ctrl+C
3. selecteer AD3:AS&lt;uw laatste rij&gt;
4. Ctrl+V
Blok 0 op het Dashboard meldt of u ver genoeg bent gekomen.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00" customWidth="1" min="3" max="3"/>
  </cols>
  <sheetData>
    <row r="2">
      <c r="B2" s="1" t="inlineStr">
        <is>
          <t>EHH ligduur analyse</t>
        </is>
      </c>
    </row>
    <row r="3">
      <c r="B3" s="2" t="inlineStr">
        <is>
          <t>Ligduur, ontslagbestemming en potentiele tijdwinst.</t>
        </is>
      </c>
    </row>
    <row r="5">
      <c r="B5" s="3" t="inlineStr">
        <is>
          <t>STAP 1 - Data plakken</t>
        </is>
      </c>
    </row>
    <row r="6">
      <c r="C6" s="4" t="inlineStr">
        <is>
          <t>Ga naar tabblad 'Data'. Rij 1 bevat exact uw 28 kolomnamen in dezelfde volgorde.</t>
        </is>
      </c>
    </row>
    <row r="7">
      <c r="C7" s="4" t="inlineStr">
        <is>
          <t>Klik op cel A2 en plak uw dataset zonder de kopregel, via Plakken &gt; Waarden.</t>
        </is>
      </c>
    </row>
    <row r="8">
      <c r="C8" s="4" t="inlineStr">
        <is>
          <t>Plak NIET over kolom AD en verder heen: daar horen de formules.</t>
        </is>
      </c>
    </row>
    <row r="9">
      <c r="C9" s="4" t="inlineStr"/>
    </row>
    <row r="10">
      <c r="B10" s="3" t="inlineStr">
        <is>
          <t>STAP 2 - Formules doortrekken  (BELANGRIJK)</t>
        </is>
      </c>
    </row>
    <row r="11">
      <c r="C11" s="4" t="inlineStr">
        <is>
          <t>De formules staan alleen in rij 2, zodat het bestand klein blijft en</t>
        </is>
      </c>
    </row>
    <row r="12">
      <c r="C12" s="4" t="inlineStr">
        <is>
          <t>Excel het zonder foutmelding opent. Trek ze zelf door:</t>
        </is>
      </c>
    </row>
    <row r="13">
      <c r="C13" s="4" t="inlineStr">
        <is>
          <t>1. selecteer AD2 tot en met AS2</t>
        </is>
      </c>
    </row>
    <row r="14">
      <c r="C14" s="4" t="inlineStr">
        <is>
          <t>2. Ctrl+C</t>
        </is>
      </c>
    </row>
    <row r="15">
      <c r="C15" s="4" t="inlineStr">
        <is>
          <t>3. selecteer AD3 tot en met AS&lt;uw laatste rij&gt;</t>
        </is>
      </c>
    </row>
    <row r="16">
      <c r="C16" s="4" t="inlineStr">
        <is>
          <t xml:space="preserve">   (tip: Ctrl+Shift+Pijl-omlaag selecteert tot onderaan)</t>
        </is>
      </c>
    </row>
    <row r="17">
      <c r="C17" s="4" t="inlineStr">
        <is>
          <t>4. Ctrl+V</t>
        </is>
      </c>
    </row>
    <row r="18">
      <c r="C18" s="4" t="inlineStr">
        <is>
          <t>Blok 0 op het Dashboard controleert of u ver genoeg bent gekomen en</t>
        </is>
      </c>
    </row>
    <row r="19">
      <c r="C19" s="4" t="inlineStr">
        <is>
          <t>meldt het als de formules nog niet bij uw laatste datarij zijn.</t>
        </is>
      </c>
    </row>
    <row r="20">
      <c r="C20" s="4" t="inlineStr">
        <is>
          <t>Let op: dubbelklikken op het vulblokje werkt hier vaak niet, doordat er</t>
        </is>
      </c>
    </row>
    <row r="21">
      <c r="C21" s="4" t="inlineStr">
        <is>
          <t>een lege kolom (AC) tussen uw data en de formules staat. Gebruik kopieren</t>
        </is>
      </c>
    </row>
    <row r="22">
      <c r="C22" s="4" t="inlineStr">
        <is>
          <t>en plakken zoals hierboven; dat werkt altijd.</t>
        </is>
      </c>
    </row>
    <row r="23">
      <c r="C23" s="4" t="inlineStr"/>
    </row>
    <row r="24">
      <c r="B24" s="3" t="inlineStr">
        <is>
          <t>STAP 3 - Instellingen controleren</t>
        </is>
      </c>
    </row>
    <row r="25">
      <c r="C25" s="4" t="inlineStr">
        <is>
          <t>Op 'Instellingen' zijn alle gele cellen aanpasbaar. Standaard staat de</t>
        </is>
      </c>
    </row>
    <row r="26">
      <c r="C26" s="4" t="inlineStr">
        <is>
          <t>tijdbron op 'Opname totaal' en telt elke opname een keer, ook als die</t>
        </is>
      </c>
    </row>
    <row r="27">
      <c r="C27" s="4" t="inlineStr">
        <is>
          <t>door een kamerwissel over meerdere regels loopt.</t>
        </is>
      </c>
    </row>
    <row r="28">
      <c r="C28" s="4" t="inlineStr"/>
    </row>
    <row r="29">
      <c r="B29" s="3" t="inlineStr">
        <is>
          <t>STAP 4 - Antwoorden lezen</t>
        </is>
      </c>
    </row>
    <row r="30">
      <c r="C30" s="4" t="inlineStr">
        <is>
          <t>'Dashboard'  = alle kerncijfers, met bovenaan een controleblok.</t>
        </is>
      </c>
    </row>
    <row r="31">
      <c r="C31" s="4" t="inlineStr">
        <is>
          <t>'Verdeling'  = alle opnames per ligduurblok van 2 uur.</t>
        </is>
      </c>
    </row>
    <row r="32">
      <c r="C32" s="4" t="inlineStr">
        <is>
          <t>'Data'       = per regel, inclusief de reden waarom hij meetelt of niet.</t>
        </is>
      </c>
    </row>
    <row r="33">
      <c r="C33" s="4" t="inlineStr"/>
    </row>
    <row r="34">
      <c r="B34" s="3" t="inlineStr">
        <is>
          <t>GESORTEERDE LIJST OP KORTSTE LIGDUUR</t>
        </is>
      </c>
    </row>
    <row r="35">
      <c r="C35" s="4" t="inlineStr">
        <is>
          <t>Op 'Data' staat een filter klaar in rij 1. Filter kolom AD op de waarde 1,</t>
        </is>
      </c>
    </row>
    <row r="36">
      <c r="C36" s="4" t="inlineStr">
        <is>
          <t>klik dan op het filterpijltje van 'Ligduur (uren)' en kies Sorteren van</t>
        </is>
      </c>
    </row>
    <row r="37">
      <c r="C37" s="4" t="inlineStr">
        <is>
          <t>klein naar groot. U ziet dan de selectie met de kortste ligduur bovenaan.</t>
        </is>
      </c>
    </row>
    <row r="38">
      <c r="C38" s="4" t="inlineStr">
        <is>
          <t>Let op: sorteer pas nadat u de formules heeft doorgetrokken.</t>
        </is>
      </c>
    </row>
    <row r="39">
      <c r="C39" s="4" t="inlineStr"/>
    </row>
    <row r="40">
      <c r="B40" s="3" t="inlineStr">
        <is>
          <t>WAAROM TELT EEN REGEL NIET MEE?</t>
        </is>
      </c>
    </row>
    <row r="41">
      <c r="C41" s="4" t="inlineStr">
        <is>
          <t>Kolom 'Status / reden' op 'Data' geeft per regel het antwoord:</t>
        </is>
      </c>
    </row>
    <row r="42">
      <c r="B42" s="5" t="inlineStr">
        <is>
          <t>Extra regel van dezelfde opname</t>
        </is>
      </c>
      <c r="C42" s="4" t="inlineStr">
        <is>
          <t>Tweede of latere regel van dezelfde opname (bijvoorbeeld kamerwissel).</t>
        </is>
      </c>
    </row>
    <row r="43">
      <c r="B43" s="5" t="inlineStr">
        <is>
          <t>Geen geldige start- of eindtijd</t>
        </is>
      </c>
      <c r="C43" s="4" t="inlineStr">
        <is>
          <t>Start- of eindtijd ontbreekt of is geen geldige datum.</t>
        </is>
      </c>
    </row>
    <row r="44">
      <c r="B44" s="5" t="inlineStr">
        <is>
          <t>Te kort (t/m ondergrens)</t>
        </is>
      </c>
      <c r="C44" s="4" t="inlineStr">
        <is>
          <t>Ligduur is niet langer dan de ondergrens.</t>
        </is>
      </c>
    </row>
    <row r="45">
      <c r="B45" s="5" t="inlineStr">
        <is>
          <t>Te lang (boven bovengrens)</t>
        </is>
      </c>
      <c r="C45" s="4" t="inlineStr">
        <is>
          <t>Ligduur is langer dan de bovengrens.</t>
        </is>
      </c>
    </row>
    <row r="46">
      <c r="B46" s="5" t="inlineStr">
        <is>
          <t>Buiten het extra filter</t>
        </is>
      </c>
      <c r="C46" s="4" t="inlineStr">
        <is>
          <t>Valt buiten het optionele extra filter.</t>
        </is>
      </c>
    </row>
    <row r="47">
      <c r="B47" s="5" t="inlineStr">
        <is>
          <t>Tijd onbetrouwbaar (uitgesloten)</t>
        </is>
      </c>
      <c r="C47" s="4" t="inlineStr">
        <is>
          <t>'Tijd bekend' is niet bevestigend en u heeft uitsluiten aangezet.</t>
        </is>
      </c>
    </row>
    <row r="48">
      <c r="C48" s="4" t="inlineStr"/>
    </row>
    <row r="49">
      <c r="B49" s="3" t="inlineStr">
        <is>
          <t>HOE DE SCENARIO'S WERKEN</t>
        </is>
      </c>
    </row>
    <row r="50">
      <c r="C50" s="4" t="inlineStr">
        <is>
          <t>Uw kolommen 'Ontslagdatumtijd Scenario 1/2/3' bevatten de afgekapte</t>
        </is>
      </c>
    </row>
    <row r="51">
      <c r="C51" s="4" t="inlineStr">
        <is>
          <t>ontslagtijd: het vroegste van het werkelijke ontslag en de starttijd plus</t>
        </is>
      </c>
    </row>
    <row r="52">
      <c r="C52" s="4" t="inlineStr">
        <is>
          <t>4, 6 of 24 uur. De tijdwinst is het werkelijke ontslag min die afkapwaarde.</t>
        </is>
      </c>
    </row>
    <row r="53">
      <c r="C53" s="4" t="inlineStr">
        <is>
          <t>Is een scenariokolom leeg, dan rekent het model de afkapwaarde zelf uit.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32" customWidth="1" min="3" max="3"/>
    <col width="3" customWidth="1" min="4" max="4"/>
    <col width="40" customWidth="1" min="5" max="5"/>
    <col width="46" customWidth="1" min="6" max="6"/>
    <col hidden="1" width="13" customWidth="1" min="7" max="7"/>
    <col hidden="1" width="13" customWidth="1" min="8" max="8"/>
  </cols>
  <sheetData>
    <row r="2">
      <c r="B2" s="1" t="inlineStr">
        <is>
          <t>Instellingen</t>
        </is>
      </c>
    </row>
    <row r="3">
      <c r="B3" s="2" t="inlineStr">
        <is>
          <t>Alle gele cellen kunt u aanpassen. De analyse rekent direct mee.</t>
        </is>
      </c>
    </row>
    <row r="5">
      <c r="B5" s="6" t="inlineStr">
        <is>
          <t>A. Welke tijden bepalen de ligduur?</t>
        </is>
      </c>
      <c r="C5" s="7" t="inlineStr"/>
      <c r="E5" s="8" t="inlineStr">
        <is>
          <t>Tijdbron</t>
        </is>
      </c>
      <c r="F5" s="8" t="inlineStr">
        <is>
          <t>Gebruikt kolommen</t>
        </is>
      </c>
    </row>
    <row r="6">
      <c r="B6" s="9" t="inlineStr">
        <is>
          <t>Tijdbron</t>
        </is>
      </c>
      <c r="C6" s="10" t="inlineStr">
        <is>
          <t>Opname totaal (aanbevolen)</t>
        </is>
      </c>
      <c r="E6" s="11" t="inlineStr">
        <is>
          <t>Opname totaal (aanbevolen)</t>
        </is>
      </c>
      <c r="F6" s="11" t="inlineStr">
        <is>
          <t>OpnameDatumTijdVan -&gt; OpnameDatumTijdTotEnMet: de hele opname</t>
        </is>
      </c>
      <c r="G6" s="12" t="n">
        <v>4</v>
      </c>
      <c r="H6" s="12" t="n">
        <v>5</v>
      </c>
    </row>
    <row r="7">
      <c r="B7" s="9" t="inlineStr">
        <is>
          <t xml:space="preserve">   kolomnummer start (automatisch)</t>
        </is>
      </c>
      <c r="C7" s="13">
        <f>IFERROR(INDEX($G$6:$G$8,MATCH($C$6,$E$6:$E$8,0)),4)</f>
        <v/>
      </c>
      <c r="E7" s="11" t="inlineStr">
        <is>
          <t>Opnameperiode (deelperiode)</t>
        </is>
      </c>
      <c r="F7" s="11" t="inlineStr">
        <is>
          <t>OpnameperiodeDatumTijdVan -&gt; ...TotEnMet: per kamer/deelperiode</t>
        </is>
      </c>
      <c r="G7" s="12" t="n">
        <v>7</v>
      </c>
      <c r="H7" s="12" t="n">
        <v>8</v>
      </c>
    </row>
    <row r="8">
      <c r="B8" s="9" t="inlineStr">
        <is>
          <t xml:space="preserve">   kolomnummer eind (automatisch)</t>
        </is>
      </c>
      <c r="C8" s="13">
        <f>IFERROR(INDEX($H$6:$H$8,MATCH($C$6,$E$6:$E$8,0)),5)</f>
        <v/>
      </c>
      <c r="E8" s="11" t="inlineStr">
        <is>
          <t>Datum tijd van / tot en met</t>
        </is>
      </c>
      <c r="F8" s="11" t="inlineStr">
        <is>
          <t>Uw eigen kolommen 'Datum tijd van' en 'Datum tot en met'</t>
        </is>
      </c>
      <c r="G8" s="12" t="n">
        <v>21</v>
      </c>
      <c r="H8" s="12" t="n">
        <v>22</v>
      </c>
    </row>
    <row r="10">
      <c r="B10" s="6" t="inlineStr">
        <is>
          <t>B. Selectiegrenzen</t>
        </is>
      </c>
      <c r="C10" s="7" t="inlineStr"/>
      <c r="E10" s="8" t="inlineStr">
        <is>
          <t>Een regel per opname</t>
        </is>
      </c>
      <c r="F10" s="8" t="inlineStr">
        <is>
          <t>Toelichting</t>
        </is>
      </c>
    </row>
    <row r="11">
      <c r="B11" s="9" t="inlineStr">
        <is>
          <t>Ondergrens ligduur in uren (exclusief)</t>
        </is>
      </c>
      <c r="C11" s="14" t="n">
        <v>6</v>
      </c>
      <c r="E11" s="11" t="inlineStr">
        <is>
          <t>Ja - periodestart = opnamestart</t>
        </is>
      </c>
      <c r="F11" s="15" t="inlineStr">
        <is>
          <t>Telt de regel waarvan de deelperiode op hetzelfde moment begint als de opname. Werkt ongeacht de sorteervolgorde. Aanbevolen.</t>
        </is>
      </c>
    </row>
    <row r="12">
      <c r="B12" s="9" t="inlineStr">
        <is>
          <t>Bovengrens ligduur in uren (inclusief)</t>
        </is>
      </c>
      <c r="C12" s="14" t="n">
        <v>24</v>
      </c>
      <c r="E12" s="11" t="inlineStr">
        <is>
          <t>Ja - eerste regel per OpnameIDIntern</t>
        </is>
      </c>
      <c r="F12" s="15" t="inlineStr">
        <is>
          <t>Vergelijkt met de regel erboven. Vereist dat de data op OpnameIDIntern gesorteerd staat.</t>
        </is>
      </c>
    </row>
    <row r="13">
      <c r="E13" s="11" t="inlineStr">
        <is>
          <t>Nee - elke regel telt mee</t>
        </is>
      </c>
      <c r="F13" s="15" t="inlineStr">
        <is>
          <t>Gebruik dit als u deelperiodes wilt tellen in plaats van opnames.</t>
        </is>
      </c>
    </row>
    <row r="14">
      <c r="B14" s="6" t="inlineStr">
        <is>
          <t>C. Dubbele regels van dezelfde opname</t>
        </is>
      </c>
      <c r="C14" s="7" t="inlineStr"/>
    </row>
    <row r="15">
      <c r="B15" s="9" t="inlineStr">
        <is>
          <t>Een regel per opname?</t>
        </is>
      </c>
      <c r="C15" s="10" t="inlineStr">
        <is>
          <t>Ja - periodestart = opnamestart</t>
        </is>
      </c>
      <c r="E15" s="8" t="inlineStr">
        <is>
          <t>Ja / Nee</t>
        </is>
      </c>
    </row>
    <row r="16">
      <c r="B16" s="9" t="inlineStr">
        <is>
          <t xml:space="preserve">   volgnummer regel (automatisch)</t>
        </is>
      </c>
      <c r="C16" s="13">
        <f>IFERROR(MATCH($C$15,$E$11:$E$13,0),1)</f>
        <v/>
      </c>
      <c r="E16" s="11" t="inlineStr">
        <is>
          <t>Ja</t>
        </is>
      </c>
    </row>
    <row r="17">
      <c r="E17" s="11" t="inlineStr">
        <is>
          <t>Nee</t>
        </is>
      </c>
    </row>
    <row r="18">
      <c r="B18" s="6" t="inlineStr">
        <is>
          <t>D. Naar huis of in het ziekenhuis gebleven?</t>
        </is>
      </c>
      <c r="C18" s="7" t="inlineStr"/>
    </row>
    <row r="19">
      <c r="B19" s="9" t="inlineStr">
        <is>
          <t>Kolom die aangeeft dat de patient NIET naar huis ging</t>
        </is>
      </c>
      <c r="C19" s="10" t="inlineStr">
        <is>
          <t>Overname?</t>
        </is>
      </c>
      <c r="E19" s="8" t="inlineStr">
        <is>
          <t>Zoekwijze</t>
        </is>
      </c>
    </row>
    <row r="20">
      <c r="B20" s="9" t="inlineStr">
        <is>
          <t xml:space="preserve">   kolomnummer (automatisch)</t>
        </is>
      </c>
      <c r="C20" s="13">
        <f>IFERROR(MATCH($C$19,$E$24:$E$51,0),19)</f>
        <v/>
      </c>
      <c r="E20" s="11" t="inlineStr">
        <is>
          <t>Bevat</t>
        </is>
      </c>
    </row>
    <row r="21">
      <c r="B21" s="9" t="inlineStr">
        <is>
          <t>Waarde die 'niet naar huis' betekent</t>
        </is>
      </c>
      <c r="C21" s="10" t="inlineStr">
        <is>
          <t>Ja</t>
        </is>
      </c>
      <c r="E21" s="11" t="inlineStr">
        <is>
          <t>Is exact gelijk aan</t>
        </is>
      </c>
    </row>
    <row r="22">
      <c r="B22" s="9" t="inlineStr">
        <is>
          <t xml:space="preserve">   aantal regels dat hierop matcht</t>
        </is>
      </c>
      <c r="C22" s="16">
        <f>COUNTIF(Data!$AJ$2:$AJ$250001,"Blijft in ziekenhuis")</f>
        <v/>
      </c>
    </row>
    <row r="23">
      <c r="E23" s="8" t="inlineStr">
        <is>
          <t>Kolommen in de export</t>
        </is>
      </c>
    </row>
    <row r="24">
      <c r="B24" s="6" t="inlineStr">
        <is>
          <t>E. Extra filter (optioneel)</t>
        </is>
      </c>
      <c r="C24" s="7" t="inlineStr"/>
      <c r="E24" s="11" t="inlineStr">
        <is>
          <t>OpnameIDIntern</t>
        </is>
      </c>
    </row>
    <row r="25">
      <c r="B25" s="9" t="inlineStr">
        <is>
          <t>Extra filter gebruiken?</t>
        </is>
      </c>
      <c r="C25" s="10" t="inlineStr">
        <is>
          <t>Nee</t>
        </is>
      </c>
      <c r="E25" s="11" t="inlineStr">
        <is>
          <t>CodePreferent</t>
        </is>
      </c>
    </row>
    <row r="26">
      <c r="B26" s="9" t="inlineStr">
        <is>
          <t>Filterkolom</t>
        </is>
      </c>
      <c r="C26" s="10" t="inlineStr">
        <is>
          <t>SpecialismeCodeIntern</t>
        </is>
      </c>
      <c r="E26" s="11" t="inlineStr">
        <is>
          <t>Jaar</t>
        </is>
      </c>
    </row>
    <row r="27">
      <c r="B27" s="9" t="inlineStr">
        <is>
          <t xml:space="preserve">   kolomnummer (automatisch)</t>
        </is>
      </c>
      <c r="C27" s="13">
        <f>IFERROR(MATCH($C$26,$E$24:$E$51,0),13)</f>
        <v/>
      </c>
      <c r="E27" s="11" t="inlineStr">
        <is>
          <t>OpnameDatumTijdVan</t>
        </is>
      </c>
    </row>
    <row r="28">
      <c r="B28" s="9" t="inlineStr">
        <is>
          <t>Zoekwijze</t>
        </is>
      </c>
      <c r="C28" s="10" t="inlineStr">
        <is>
          <t>Bevat</t>
        </is>
      </c>
      <c r="E28" s="11" t="inlineStr">
        <is>
          <t>OpnameDatumTijdTotEnMet</t>
        </is>
      </c>
    </row>
    <row r="29">
      <c r="B29" s="9" t="inlineStr">
        <is>
          <t>Filterwaarde</t>
        </is>
      </c>
      <c r="C29" s="10" t="inlineStr">
        <is>
          <t>CAR</t>
        </is>
      </c>
      <c r="E29" s="11" t="inlineStr">
        <is>
          <t>OpnameperiodeIDIntern</t>
        </is>
      </c>
    </row>
    <row r="30">
      <c r="B30" s="9" t="inlineStr">
        <is>
          <t xml:space="preserve">   aantal regels dat hierop matcht</t>
        </is>
      </c>
      <c r="C30" s="16">
        <f>IF(Filter_Aan="Nee","filter staat uit",COUNTIF(Data!$AE$2:$AE$250001,"Buiten het extra filter"))</f>
        <v/>
      </c>
      <c r="E30" s="11" t="inlineStr">
        <is>
          <t>OpnameperiodeDatumTijdVan</t>
        </is>
      </c>
    </row>
    <row r="31">
      <c r="E31" s="11" t="inlineStr">
        <is>
          <t>OpnameperiodeDatumTijdTotEnMet</t>
        </is>
      </c>
    </row>
    <row r="32">
      <c r="B32" s="6" t="inlineStr">
        <is>
          <t>F. Scenario's en datakwaliteit</t>
        </is>
      </c>
      <c r="C32" s="7" t="inlineStr"/>
      <c r="E32" s="11" t="inlineStr">
        <is>
          <t>AfdelingCode</t>
        </is>
      </c>
    </row>
    <row r="33">
      <c r="B33" s="9" t="inlineStr">
        <is>
          <t>Scenariokolommen uit de data gebruiken?</t>
        </is>
      </c>
      <c r="C33" s="10" t="inlineStr">
        <is>
          <t>Ja</t>
        </is>
      </c>
      <c r="E33" s="11" t="inlineStr">
        <is>
          <t>KamerCode</t>
        </is>
      </c>
    </row>
    <row r="34">
      <c r="B34" s="9" t="inlineStr">
        <is>
          <t>Waarde in 'Tijd bekend' die 'ja' betekent</t>
        </is>
      </c>
      <c r="C34" s="10" t="inlineStr">
        <is>
          <t>Ja</t>
        </is>
      </c>
      <c r="E34" s="11" t="inlineStr">
        <is>
          <t>Code</t>
        </is>
      </c>
    </row>
    <row r="35">
      <c r="B35" s="9" t="inlineStr">
        <is>
          <t>Regels met onbetrouwbare tijd uitsluiten?</t>
        </is>
      </c>
      <c r="C35" s="10" t="inlineStr">
        <is>
          <t>Nee</t>
        </is>
      </c>
      <c r="E35" s="11" t="inlineStr">
        <is>
          <t>IsSpoedOpname</t>
        </is>
      </c>
    </row>
    <row r="36">
      <c r="E36" s="11" t="inlineStr">
        <is>
          <t>SpecialismeCodeIntern</t>
        </is>
      </c>
    </row>
    <row r="37">
      <c r="E37" s="11" t="inlineStr">
        <is>
          <t>OpnameDiagnoseOmschrijving</t>
        </is>
      </c>
    </row>
    <row r="38">
      <c r="E38" s="11" t="inlineStr">
        <is>
          <t>OmschrijvingIntern</t>
        </is>
      </c>
    </row>
    <row r="39">
      <c r="E39" s="11" t="inlineStr">
        <is>
          <t>OP_AantalOpnamePeriode</t>
        </is>
      </c>
    </row>
    <row r="40">
      <c r="E40" s="11" t="inlineStr">
        <is>
          <t>OP_DoorlooptijdOpnamePeriodeInMinuten</t>
        </is>
      </c>
    </row>
    <row r="41">
      <c r="E41" s="11" t="inlineStr">
        <is>
          <t>Cardioversie?</t>
        </is>
      </c>
    </row>
    <row r="42">
      <c r="E42" s="11" t="inlineStr">
        <is>
          <t>Overname?</t>
        </is>
      </c>
    </row>
    <row r="43">
      <c r="E43" s="11" t="inlineStr">
        <is>
          <t>Rijnstate</t>
        </is>
      </c>
    </row>
    <row r="44">
      <c r="E44" s="11" t="inlineStr">
        <is>
          <t>Datum tijd van</t>
        </is>
      </c>
    </row>
    <row r="45">
      <c r="E45" s="11" t="inlineStr">
        <is>
          <t>Datum tot en met</t>
        </is>
      </c>
    </row>
    <row r="46">
      <c r="E46" s="11" t="inlineStr">
        <is>
          <t>Ontslagdatumtijd Scenario 1 -  4 uur</t>
        </is>
      </c>
    </row>
    <row r="47">
      <c r="E47" s="11" t="inlineStr">
        <is>
          <t>Ontslagdatumtijd Scenario 2 -  6 uur</t>
        </is>
      </c>
    </row>
    <row r="48">
      <c r="E48" s="11" t="inlineStr">
        <is>
          <t>Ontslagdatumtijd Scenario 3 -  24 uur</t>
        </is>
      </c>
    </row>
    <row r="49">
      <c r="E49" s="11" t="inlineStr">
        <is>
          <t>Patientvolgorde</t>
        </is>
      </c>
    </row>
    <row r="50">
      <c r="E50" s="11" t="inlineStr">
        <is>
          <t>CCU-Eerst?</t>
        </is>
      </c>
    </row>
    <row r="51">
      <c r="E51" s="11" t="inlineStr">
        <is>
          <t>Tijd bekend</t>
        </is>
      </c>
    </row>
  </sheetData>
  <dataValidations count="5">
    <dataValidation sqref="C6" showDropDown="0" showInputMessage="0" showErrorMessage="0" allowBlank="0" type="list">
      <formula1>=$E$6:$E$8</formula1>
    </dataValidation>
    <dataValidation sqref="C15" showDropDown="0" showInputMessage="0" showErrorMessage="0" allowBlank="0" type="list">
      <formula1>=$E$11:$E$13</formula1>
    </dataValidation>
    <dataValidation sqref="C25 C33 C35" showDropDown="0" showInputMessage="0" showErrorMessage="0" allowBlank="0" type="list">
      <formula1>=$E$16:$E$17</formula1>
    </dataValidation>
    <dataValidation sqref="C28" showDropDown="0" showInputMessage="0" showErrorMessage="0" allowBlank="0" type="list">
      <formula1>=$E$20:$E$21</formula1>
    </dataValidation>
    <dataValidation sqref="C19 C26" showDropDown="0" showInputMessage="0" showErrorMessage="0" allowBlank="0" type="list">
      <formula1>=$E$24:$E$51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pane xSplit="29" ySplit="1" topLeftCell="A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20" customWidth="1" min="4" max="4"/>
    <col width="25" customWidth="1" min="5" max="5"/>
    <col width="23" customWidth="1" min="6" max="6"/>
    <col width="27" customWidth="1" min="7" max="7"/>
    <col width="30" customWidth="1" min="8" max="8"/>
    <col width="14" customWidth="1" min="9" max="9"/>
    <col width="12" customWidth="1" min="10" max="10"/>
    <col width="12" customWidth="1" min="11" max="11"/>
    <col width="15" customWidth="1" min="12" max="12"/>
    <col width="23" customWidth="1" min="13" max="13"/>
    <col width="28" customWidth="1" min="14" max="14"/>
    <col width="20" customWidth="1" min="15" max="15"/>
    <col width="24" customWidth="1" min="16" max="16"/>
    <col width="30" customWidth="1" min="17" max="17"/>
    <col width="15" customWidth="1" min="18" max="18"/>
    <col width="12" customWidth="1" min="19" max="19"/>
    <col width="12" customWidth="1" min="20" max="20"/>
    <col width="16" customWidth="1" min="21" max="21"/>
    <col width="18" customWidth="1" min="22" max="22"/>
    <col width="30" customWidth="1" min="23" max="23"/>
    <col width="30" customWidth="1" min="24" max="24"/>
    <col width="30" customWidth="1" min="25" max="25"/>
    <col width="17" customWidth="1" min="26" max="26"/>
    <col width="12" customWidth="1" min="27" max="27"/>
    <col width="13" customWidth="1" min="28" max="28"/>
    <col width="3" customWidth="1" min="29" max="29"/>
    <col width="11" customWidth="1" min="30" max="30"/>
    <col width="32" customWidth="1" min="31" max="31"/>
    <col width="13" customWidth="1" min="32" max="32"/>
    <col width="14" customWidth="1" min="33" max="33"/>
    <col width="18" customWidth="1" min="34" max="34"/>
    <col width="18" customWidth="1" min="35" max="35"/>
    <col width="20" customWidth="1" min="36" max="36"/>
    <col width="15" customWidth="1" min="37" max="37"/>
    <col width="15" customWidth="1" min="38" max="38"/>
    <col width="15" customWidth="1" min="39" max="39"/>
    <col width="13" customWidth="1" min="40" max="40"/>
    <col width="14" customWidth="1" min="41" max="41"/>
    <col width="14" customWidth="1" min="42" max="42"/>
    <col width="15" customWidth="1" min="43" max="43"/>
    <col hidden="1" width="12" customWidth="1" min="44" max="44"/>
    <col hidden="1" width="12" customWidth="1" min="45" max="45"/>
  </cols>
  <sheetData>
    <row r="1" ht="46" customHeight="1">
      <c r="A1" s="17" t="inlineStr">
        <is>
          <t>OpnameIDIntern</t>
        </is>
      </c>
      <c r="B1" s="17" t="inlineStr">
        <is>
          <t>CodePreferent</t>
        </is>
      </c>
      <c r="C1" s="17" t="inlineStr">
        <is>
          <t>Jaar</t>
        </is>
      </c>
      <c r="D1" s="17" t="inlineStr">
        <is>
          <t>OpnameDatumTijdVan</t>
        </is>
      </c>
      <c r="E1" s="17" t="inlineStr">
        <is>
          <t>OpnameDatumTijdTotEnMet</t>
        </is>
      </c>
      <c r="F1" s="17" t="inlineStr">
        <is>
          <t>OpnameperiodeIDIntern</t>
        </is>
      </c>
      <c r="G1" s="17" t="inlineStr">
        <is>
          <t>OpnameperiodeDatumTijdVan</t>
        </is>
      </c>
      <c r="H1" s="17" t="inlineStr">
        <is>
          <t>OpnameperiodeDatumTijdTotEnMet</t>
        </is>
      </c>
      <c r="I1" s="17" t="inlineStr">
        <is>
          <t>AfdelingCode</t>
        </is>
      </c>
      <c r="J1" s="17" t="inlineStr">
        <is>
          <t>KamerCode</t>
        </is>
      </c>
      <c r="K1" s="17" t="inlineStr">
        <is>
          <t>Code</t>
        </is>
      </c>
      <c r="L1" s="17" t="inlineStr">
        <is>
          <t>IsSpoedOpname</t>
        </is>
      </c>
      <c r="M1" s="17" t="inlineStr">
        <is>
          <t>SpecialismeCodeIntern</t>
        </is>
      </c>
      <c r="N1" s="17" t="inlineStr">
        <is>
          <t>OpnameDiagnoseOmschrijving</t>
        </is>
      </c>
      <c r="O1" s="17" t="inlineStr">
        <is>
          <t>OmschrijvingIntern</t>
        </is>
      </c>
      <c r="P1" s="17" t="inlineStr">
        <is>
          <t>OP_AantalOpnamePeriode</t>
        </is>
      </c>
      <c r="Q1" s="17" t="inlineStr">
        <is>
          <t>OP_DoorlooptijdOpnamePeriodeInMinuten</t>
        </is>
      </c>
      <c r="R1" s="17" t="inlineStr">
        <is>
          <t>Cardioversie?</t>
        </is>
      </c>
      <c r="S1" s="17" t="inlineStr">
        <is>
          <t>Overname?</t>
        </is>
      </c>
      <c r="T1" s="17" t="inlineStr">
        <is>
          <t>Rijnstate</t>
        </is>
      </c>
      <c r="U1" s="17" t="inlineStr">
        <is>
          <t>Datum tijd van</t>
        </is>
      </c>
      <c r="V1" s="17" t="inlineStr">
        <is>
          <t>Datum tot en met</t>
        </is>
      </c>
      <c r="W1" s="17" t="inlineStr">
        <is>
          <t>Ontslagdatumtijd Scenario 1 -  4 uur</t>
        </is>
      </c>
      <c r="X1" s="17" t="inlineStr">
        <is>
          <t>Ontslagdatumtijd Scenario 2 -  6 uur</t>
        </is>
      </c>
      <c r="Y1" s="17" t="inlineStr">
        <is>
          <t>Ontslagdatumtijd Scenario 3 -  24 uur</t>
        </is>
      </c>
      <c r="Z1" s="17" t="inlineStr">
        <is>
          <t>Patientvolgorde</t>
        </is>
      </c>
      <c r="AA1" s="17" t="inlineStr">
        <is>
          <t>CCU-Eerst?</t>
        </is>
      </c>
      <c r="AB1" s="17" t="inlineStr">
        <is>
          <t>Tijd bekend</t>
        </is>
      </c>
      <c r="AD1" s="18" t="inlineStr">
        <is>
          <t>In selectie (1/0)</t>
        </is>
      </c>
      <c r="AE1" s="18" t="inlineStr">
        <is>
          <t>Status / reden</t>
        </is>
      </c>
      <c r="AF1" s="18" t="inlineStr">
        <is>
          <t>Ligduur (uren)</t>
        </is>
      </c>
      <c r="AG1" s="18" t="inlineStr">
        <is>
          <t>Ligduur (d/u/m)</t>
        </is>
      </c>
      <c r="AH1" s="18" t="inlineStr">
        <is>
          <t>Start</t>
        </is>
      </c>
      <c r="AI1" s="18" t="inlineStr">
        <is>
          <t>Eind</t>
        </is>
      </c>
      <c r="AJ1" s="18" t="inlineStr">
        <is>
          <t>Bestemming</t>
        </is>
      </c>
      <c r="AK1" s="18" t="inlineStr">
        <is>
          <t>Winst t.o.v. 4 uur</t>
        </is>
      </c>
      <c r="AL1" s="18" t="inlineStr">
        <is>
          <t>Winst t.o.v. 6 uur</t>
        </is>
      </c>
      <c r="AM1" s="18" t="inlineStr">
        <is>
          <t>Winst t.o.v. 24 uur</t>
        </is>
      </c>
      <c r="AN1" s="18" t="inlineStr">
        <is>
          <t>Eerste regel van opname</t>
        </is>
      </c>
      <c r="AO1" s="18" t="inlineStr">
        <is>
          <t>Ligduur in selectie</t>
        </is>
      </c>
      <c r="AP1" s="18" t="inlineStr">
        <is>
          <t>Winst in selectie</t>
        </is>
      </c>
      <c r="AQ1" s="18" t="inlineStr">
        <is>
          <t>Controle vs doorlooptijd</t>
        </is>
      </c>
      <c r="AR1" s="18" t="inlineStr">
        <is>
          <t>hulp: start ruw</t>
        </is>
      </c>
      <c r="AS1" s="18" t="inlineStr">
        <is>
          <t>hulp: eind ruw</t>
        </is>
      </c>
    </row>
    <row r="2">
      <c r="AD2" s="19">
        <f>IF(OR($AE2="In selectie - naar huis",$AE2="In selectie - blijft in ziekenhuis"),1,0)</f>
        <v/>
      </c>
      <c r="AE2" s="12">
        <f>IF(TRIM($A2&amp;"")="","",IF($AN2=0,"Extra regel van dezelfde opname",IF($AF2="","Geen geldige start- of eindtijd",IF(NOT(IF(Filter_Aan="Nee",TRUE,IF(Filter_Zoek="Bevat",ISNUMBER(SEARCH(Filter_Waarde,INDEX($A2:$AB2,Filter_Idx)&amp;"")),UPPER(TRIM(INDEX($A2:$AB2,Filter_Idx)&amp;""))=UPPER(TRIM(Filter_Waarde&amp;""))))),"Buiten het extra filter",IF(AND(Excl_Onbetrouwbaar="Ja",TRIM($AB2&amp;"")&lt;&gt;"",NOT(OR(UPPER(TRIM($AB2&amp;""))=UPPER(TRIM(Tijd_Bekend_Ja&amp;"")),TRIM($AB2&amp;"")="1",UPPER(TRIM($AB2&amp;""))="WAAR",UPPER(TRIM($AB2&amp;""))="TRUE",UPPER(TRIM($AB2&amp;""))="J",UPPER(TRIM($AB2&amp;""))="Y"))),"Tijd onbetrouwbaar (uitgesloten)",IF($AF2&lt;=Ondergrens_U,"Te kort (t/m ondergrens)",IF($AF2&gt;Bovengrens_U,"Te lang (boven bovengrens)",IF($AJ2="Naar huis","In selectie - naar huis","In selectie - blijft in ziekenhuis"))))))))</f>
        <v/>
      </c>
      <c r="AF2" s="20">
        <f>IF(OR(NOT(ISNUMBER($AH2)),NOT(ISNUMBER($AI2)),$AI2&lt;$AH2),"",ROUND(($AI2-$AH2)*24,4))</f>
        <v/>
      </c>
      <c r="AG2" s="12">
        <f>IF($AF2="","",INT($AF2/24)&amp;"d "&amp;TEXT(INT(MOD($AF2,24)),"00")&amp;"u "&amp;TEXT(ROUND(MOD($AF2*60,60),0),"00")&amp;"m")</f>
        <v/>
      </c>
      <c r="AH2" s="21">
        <f>IF(OR(TRIM($AR2&amp;"")="",$AR2=0),"",IFERROR(IF(ISNUMBER($AR2),$AR2,--SUBSTITUTE(TRIM($AR2&amp;""),"T"," ")),""))</f>
        <v/>
      </c>
      <c r="AI2" s="21">
        <f>IF(OR(TRIM($AS2&amp;"")="",$AS2=0),"",IFERROR(IF(ISNUMBER($AS2),$AS2,--SUBSTITUTE(TRIM($AS2&amp;""),"T"," ")),""))</f>
        <v/>
      </c>
      <c r="AJ2" s="12">
        <f>IF(TRIM(INDEX($A2:$AB2,Best_Idx)&amp;"")="","Naar huis",IF(OR(UPPER(TRIM(INDEX($A2:$AB2,Best_Idx)&amp;""))=UPPER(TRIM(Best_Waarde&amp;"")),TRIM(INDEX($A2:$AB2,Best_Idx)&amp;"")="1",UPPER(TRIM(INDEX($A2:$AB2,Best_Idx)&amp;""))="WAAR",UPPER(TRIM(INDEX($A2:$AB2,Best_Idx)&amp;""))="TRUE",UPPER(TRIM(INDEX($A2:$AB2,Best_Idx)&amp;""))="J",UPPER(TRIM(INDEX($A2:$AB2,Best_Idx)&amp;""))="Y"),"Blijft in ziekenhuis","Naar huis"))</f>
        <v/>
      </c>
      <c r="AK2" s="20">
        <f>IF(OR($AF2="",$AJ2&lt;&gt;"Naar huis"),"",MAX(0,ROUND(($AI2-IF(AND(Scenario_Gebruiken="Ja",ISNUMBER($W2),$W2&gt;0),$W2,MIN($AI2,$AH2+4/24)))*24,2)))</f>
        <v/>
      </c>
      <c r="AL2" s="20">
        <f>IF(OR($AF2="",$AJ2&lt;&gt;"Naar huis"),"",MAX(0,ROUND(($AI2-IF(AND(Scenario_Gebruiken="Ja",ISNUMBER($X2),$X2&gt;0),$X2,MIN($AI2,$AH2+6/24)))*24,2)))</f>
        <v/>
      </c>
      <c r="AM2" s="20">
        <f>IF(OR($AF2="",$AJ2&lt;&gt;"Naar huis"),"",MAX(0,ROUND(($AI2-IF(AND(Scenario_Gebruiken="Ja",ISNUMBER($Y2),$Y2&gt;0),$Y2,MIN($AI2,$AH2+24/24)))*24,2)))</f>
        <v/>
      </c>
      <c r="AN2" s="19">
        <f>IF(Dedup_Nr=3,1,IF(Dedup_Nr=2,IF(TRIM($A2&amp;"")="",0,IF($A2&lt;&gt;$A1,1,0)),IF(OR(TRIM($D2&amp;"")="",TRIM($G2&amp;"")=""),1,IF(ROUND(IFERROR(IF(ISNUMBER($G2),$G2,--SUBSTITUTE(TRIM($G2&amp;""),"T"," ")),"")-IFERROR(IF(ISNUMBER($D2),$D2,--SUBSTITUTE(TRIM($D2&amp;""),"T"," ")),""),6)=0,1,0))))</f>
        <v/>
      </c>
      <c r="AO2" s="20">
        <f>IF($AD2=1,$AF2,"")</f>
        <v/>
      </c>
      <c r="AP2" s="20">
        <f>IF(AND($AD2=1,ISNUMBER($AL2)),$AL2,"")</f>
        <v/>
      </c>
      <c r="AQ2" s="19">
        <f>IF(OR($AF2="",NOT(ISNUMBER($Q2))),"",ROUND($AF2*60,0)-$Q2)</f>
        <v/>
      </c>
      <c r="AR2" s="12">
        <f>INDEX($A2:$AB2,Start_Idx)</f>
        <v/>
      </c>
      <c r="AS2" s="12">
        <f>INDEX($A2:$AB2,Eind_Idx)</f>
        <v/>
      </c>
    </row>
  </sheetData>
  <autoFilter ref="A1:AQ250001"/>
  <conditionalFormatting sqref="AE2:AE250001">
    <cfRule type="cellIs" priority="1" operator="equal" dxfId="0">
      <formula>"In selectie - naar huis"</formula>
    </cfRule>
    <cfRule type="cellIs" priority="2" operator="equal" dxfId="1">
      <formula>"In selectie - blijft in ziekenhuis"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8" customWidth="1" min="2" max="2"/>
    <col width="15" customWidth="1" min="3" max="3"/>
    <col width="13" customWidth="1" min="4" max="4"/>
    <col width="14" customWidth="1" min="5" max="5"/>
    <col width="13" customWidth="1" min="6" max="6"/>
    <col width="50" customWidth="1" min="7" max="7"/>
  </cols>
  <sheetData>
    <row r="2">
      <c r="B2" s="1" t="inlineStr">
        <is>
          <t>Dashboard EHH ligduur</t>
        </is>
      </c>
    </row>
    <row r="3">
      <c r="B3" s="2" t="inlineStr">
        <is>
          <t>Lees eerst blok 0. Alle cijfers volgen de instellingen.</t>
        </is>
      </c>
    </row>
    <row r="5">
      <c r="B5" s="6" t="inlineStr">
        <is>
          <t>0. Eerst controleren</t>
        </is>
      </c>
      <c r="C5" s="22" t="inlineStr">
        <is>
          <t>Aantal</t>
        </is>
      </c>
      <c r="G5" s="22" t="inlineStr">
        <is>
          <t>Toelichting</t>
        </is>
      </c>
    </row>
    <row r="6">
      <c r="B6" s="23" t="inlineStr">
        <is>
          <t>Regels ingelezen</t>
        </is>
      </c>
      <c r="C6" s="24">
        <f>COUNTIF(Data!$A$2:$A$250001,"?*")+COUNT(Data!$A$2:$A$250001)</f>
        <v/>
      </c>
      <c r="G6" s="25" t="inlineStr">
        <is>
          <t>Nul betekent dat er nog geen data geplakt is.</t>
        </is>
      </c>
    </row>
    <row r="7">
      <c r="B7" s="23" t="inlineStr">
        <is>
          <t>Regels waar de formules staan</t>
        </is>
      </c>
      <c r="C7" s="24">
        <f>COUNTIF(Data!$AE$2:$AE$250001,"?*")</f>
        <v/>
      </c>
      <c r="G7" s="25" t="inlineStr">
        <is>
          <t>Is dit lager dan 'Regels ingelezen', dan zijn de formules nog niet ver genoeg doorgetrokken. Zie de Handleiding, stap 2.</t>
        </is>
      </c>
    </row>
    <row r="8">
      <c r="B8" s="23" t="inlineStr">
        <is>
          <t>Unieke opnames (na ontdubbelen)</t>
        </is>
      </c>
      <c r="C8" s="24">
        <f>SUMIF(Data!$AN$2:$AN$250001,1)</f>
        <v/>
      </c>
      <c r="G8" s="25" t="inlineStr">
        <is>
          <t>Een opname met kamerwissel staat op meerdere regels; hier telt elke opname een keer.</t>
        </is>
      </c>
    </row>
    <row r="9">
      <c r="B9" s="23" t="inlineStr">
        <is>
          <t>Regels met een geldige ligduur</t>
        </is>
      </c>
      <c r="C9" s="24">
        <f>COUNT(Data!$AF$2:$AF$250001)</f>
        <v/>
      </c>
      <c r="G9" s="25" t="inlineStr">
        <is>
          <t>Blijft dit achter, dan staat de verkeerde tijdbron ingesteld.</t>
        </is>
      </c>
    </row>
    <row r="10" ht="34" customHeight="1">
      <c r="B10" s="26">
        <f>IF(COUNTIF(Data!$A$2:$A$250001,"?*")+COUNT(Data!$A$2:$A$250001)=0,"Nog geen data geplakt op het tabblad Data.",IF(COUNTIF(Data!$AE$2:$AE$250001,"?*")&lt;COUNTIF(Data!$A$2:$A$250001,"?*")+COUNT(Data!$A$2:$A$250001),"LET OP: de formules staan pas op "&amp;COUNTIF(Data!$AE$2:$AE$250001,"?*")&amp;" van de "&amp;COUNTIF(Data!$A$2:$A$250001,"?*")+COUNT(Data!$A$2:$A$250001)&amp;" regels. Trek AD2:AS2 door naar beneden; tot die tijd zijn de cijfers hieronder onvolledig.",IF(COUNT(Data!$AF$2:$AF$250001)=0,"LET OP: geen enkele regel heeft een geldige ligduur. Controleer de tijdbron op het tabblad Instellingen.","Controle in orde - de cijfers hieronder kloppen.")))</f>
        <v/>
      </c>
    </row>
    <row r="12">
      <c r="B12" s="6" t="inlineStr">
        <is>
          <t>1. Selectie: langer dan de ondergrens tot en met de bovengrens</t>
        </is>
      </c>
      <c r="C12" s="22" t="inlineStr">
        <is>
          <t>Aantal</t>
        </is>
      </c>
      <c r="D12" s="22" t="inlineStr">
        <is>
          <t>% van selectie</t>
        </is>
      </c>
      <c r="E12" s="22" t="inlineStr">
        <is>
          <t>Uren</t>
        </is>
      </c>
      <c r="F12" s="22" t="inlineStr">
        <is>
          <t>Bedddagen</t>
        </is>
      </c>
      <c r="G12" s="22" t="inlineStr">
        <is>
          <t>Toelichting</t>
        </is>
      </c>
    </row>
    <row r="13">
      <c r="B13" s="27" t="inlineStr">
        <is>
          <t>SELECTIE: langer dan ondergrens t/m bovengrens</t>
        </is>
      </c>
      <c r="C13" s="16">
        <f>COUNTIFS(Data!$AD$2:$AD$250001,1)</f>
        <v/>
      </c>
      <c r="D13" s="28" t="n"/>
      <c r="E13" s="29">
        <f>IF(COUNT(Data!$AO$2:$AO$250001)=0,"",ROUND(SUM(Data!$AO$2:$AO$250001),1))</f>
        <v/>
      </c>
      <c r="F13" s="29">
        <f>IF(COUNT(Data!$AO$2:$AO$250001)=0,"",ROUND(SUM(Data!$AO$2:$AO$250001)/24,1))</f>
        <v/>
      </c>
      <c r="G13" s="25" t="inlineStr">
        <is>
          <t>DIT IS DE GEVRAAGDE FILTERGROEP. Een opname telt hier een keer, ook bij een kamerwissel.</t>
        </is>
      </c>
    </row>
    <row r="14">
      <c r="B14" s="23" t="inlineStr">
        <is>
          <t xml:space="preserve">   waarvan met ontslag naar huis gegaan</t>
        </is>
      </c>
      <c r="C14" s="30">
        <f>COUNTIFS(Data!$AD$2:$AD$250001,1,Data!$AJ$2:$AJ$250001,"Naar huis")</f>
        <v/>
      </c>
      <c r="D14" s="31">
        <f>IF(COUNTIFS(Data!$AD$2:$AD$250001,1)=0,"",COUNTIFS(Data!$AD$2:$AD$250001,1,Data!$AJ$2:$AJ$250001,"Naar huis")/COUNTIFS(Data!$AD$2:$AD$250001,1))</f>
        <v/>
      </c>
      <c r="E14" s="32" t="n"/>
      <c r="F14" s="32" t="n"/>
      <c r="G14" s="25" t="inlineStr">
        <is>
          <t>Het aantal opnames dat u hiermee kunt faciliteren.</t>
        </is>
      </c>
    </row>
    <row r="15">
      <c r="B15" s="23" t="inlineStr">
        <is>
          <t xml:space="preserve">   waarvan in het ziekenhuis gebleven</t>
        </is>
      </c>
      <c r="C15" s="30">
        <f>COUNTIFS(Data!$AD$2:$AD$250001,1,Data!$AJ$2:$AJ$250001,"Blijft in ziekenhuis")</f>
        <v/>
      </c>
      <c r="D15" s="31">
        <f>IF(COUNTIFS(Data!$AD$2:$AD$250001,1)=0,"",COUNTIFS(Data!$AD$2:$AD$250001,1,Data!$AJ$2:$AJ$250001,"Blijft in ziekenhuis")/COUNTIFS(Data!$AD$2:$AD$250001,1))</f>
        <v/>
      </c>
      <c r="E15" s="32" t="n"/>
      <c r="F15" s="32" t="n"/>
      <c r="G15" s="25" t="inlineStr">
        <is>
          <t>IMPACT KLINIEK: deze patienten hebben na de ondergrens een klinisch bed nodig.</t>
        </is>
      </c>
    </row>
    <row r="16">
      <c r="B16" s="23" t="inlineStr">
        <is>
          <t xml:space="preserve">   die eerder naar huis hadden gekund</t>
        </is>
      </c>
      <c r="C16" s="30">
        <f>COUNTIFS(Data!$AD$2:$AD$250001,1,Data!$AJ$2:$AJ$250001,"Naar huis",Data!$AL$2:$AL$250001,"&gt;0")</f>
        <v/>
      </c>
      <c r="D16" s="31">
        <f>IF(COUNTIFS(Data!$AD$2:$AD$250001,1)=0,"",COUNTIFS(Data!$AD$2:$AD$250001,1,Data!$AJ$2:$AJ$250001,"Naar huis",Data!$AL$2:$AL$250001,"&gt;0")/COUNTIFS(Data!$AD$2:$AD$250001,1))</f>
        <v/>
      </c>
      <c r="E16" s="32" t="n"/>
      <c r="F16" s="32" t="n"/>
      <c r="G16" s="25" t="inlineStr">
        <is>
          <t>Staat de ondergrens op 6 uur, dan is dit per definitie gelijk aan de regel hierboven. Blok 3 toont het effect van afkappen op 4 uur.</t>
        </is>
      </c>
    </row>
    <row r="17">
      <c r="B17" s="23" t="inlineStr">
        <is>
          <t xml:space="preserve">   totale tijdwinst van die groep</t>
        </is>
      </c>
      <c r="C17" s="30" t="n"/>
      <c r="D17" s="31" t="n"/>
      <c r="E17" s="32">
        <f>IF(COUNT(Data!$AP$2:$AP$250001)=0,"",ROUND(SUM(Data!$AP$2:$AP$250001),1))</f>
        <v/>
      </c>
      <c r="F17" s="32">
        <f>IF(COUNT(Data!$AP$2:$AP$250001)=0,"",ROUND(SUM(Data!$AP$2:$AP$250001)/24,1))</f>
        <v/>
      </c>
      <c r="G17" s="25" t="inlineStr">
        <is>
          <t>Vrijgespeelde EHH-tijd bij ontslag op de ondergrens.</t>
        </is>
      </c>
    </row>
    <row r="18">
      <c r="B18" s="23" t="inlineStr">
        <is>
          <t xml:space="preserve">   gemiddelde tijdwinst per patient</t>
        </is>
      </c>
      <c r="C18" s="30" t="n"/>
      <c r="D18" s="31" t="n"/>
      <c r="E18" s="32">
        <f>IF(COUNT(Data!$AP$2:$AP$250001)=0,"",ROUND(AVERAGE(Data!$AP$2:$AP$250001),2))</f>
        <v/>
      </c>
      <c r="F18" s="32" t="n"/>
      <c r="G18" s="25" t="inlineStr">
        <is>
          <t>Gemiddeld aantal uren dat een patient te lang lag.</t>
        </is>
      </c>
    </row>
    <row r="19">
      <c r="B19" s="23" t="inlineStr">
        <is>
          <t xml:space="preserve">   mediane tijdwinst per patient</t>
        </is>
      </c>
      <c r="C19" s="30" t="n"/>
      <c r="D19" s="31" t="n"/>
      <c r="E19" s="32">
        <f>IF(COUNT(Data!$AP$2:$AP$250001)=0,"",ROUND(MEDIAN(Data!$AP$2:$AP$250001),2))</f>
        <v/>
      </c>
      <c r="F19" s="32" t="n"/>
      <c r="G19" s="25" t="inlineStr">
        <is>
          <t>Minder gevoelig voor uitschieters.</t>
        </is>
      </c>
    </row>
    <row r="21">
      <c r="B21" s="6" t="inlineStr">
        <is>
          <t>2. Ligduur binnen de selectie</t>
        </is>
      </c>
      <c r="C21" s="22" t="inlineStr">
        <is>
          <t>Uren</t>
        </is>
      </c>
    </row>
    <row r="22">
      <c r="B22" s="23" t="inlineStr">
        <is>
          <t>Kortste ligduur</t>
        </is>
      </c>
      <c r="C22" s="32">
        <f>IF(COUNT(Data!$AO$2:$AO$250001)=0,"",ROUND(MIN(Data!$AO$2:$AO$250001),2))</f>
        <v/>
      </c>
    </row>
    <row r="23">
      <c r="B23" s="23" t="inlineStr">
        <is>
          <t>Mediane ligduur</t>
        </is>
      </c>
      <c r="C23" s="32">
        <f>IF(COUNT(Data!$AO$2:$AO$250001)=0,"",ROUND(MEDIAN(Data!$AO$2:$AO$250001),2))</f>
        <v/>
      </c>
    </row>
    <row r="24">
      <c r="B24" s="23" t="inlineStr">
        <is>
          <t>Gemiddelde ligduur</t>
        </is>
      </c>
      <c r="C24" s="32">
        <f>IF(COUNT(Data!$AO$2:$AO$250001)=0,"",ROUND(AVERAGE(Data!$AO$2:$AO$250001),2))</f>
        <v/>
      </c>
    </row>
    <row r="25">
      <c r="B25" s="23" t="inlineStr">
        <is>
          <t>Langste ligduur</t>
        </is>
      </c>
      <c r="C25" s="32">
        <f>IF(COUNT(Data!$AO$2:$AO$250001)=0,"",ROUND(MAX(Data!$AO$2:$AO$250001),2))</f>
        <v/>
      </c>
    </row>
    <row r="26">
      <c r="B26" s="23" t="inlineStr">
        <is>
          <t>90e percentiel ligduur</t>
        </is>
      </c>
      <c r="C26" s="32">
        <f>IF(COUNT(Data!$AO$2:$AO$250001)=0,"",ROUND(PERCENTILE(Data!$AO$2:$AO$250001,0.9),2))</f>
        <v/>
      </c>
    </row>
    <row r="28">
      <c r="B28" s="6" t="inlineStr">
        <is>
          <t>3. Scenario's - afkappen op 4, 6 en 24 uur (alleen naar huis)</t>
        </is>
      </c>
      <c r="C28" s="22" t="inlineStr">
        <is>
          <t>Alle opnames</t>
        </is>
      </c>
      <c r="D28" s="22" t="inlineStr">
        <is>
          <t>In selectie</t>
        </is>
      </c>
      <c r="E28" s="22" t="inlineStr">
        <is>
          <t>Winst uren</t>
        </is>
      </c>
      <c r="F28" s="22" t="inlineStr">
        <is>
          <t>Bedddagen</t>
        </is>
      </c>
    </row>
    <row r="29">
      <c r="B29" s="23" t="inlineStr">
        <is>
          <t>Scenario 1 - afkappen op 4 uur</t>
        </is>
      </c>
      <c r="C29" s="30">
        <f>COUNTIFS(Data!$AN$2:$AN$250001,1,Data!$AJ$2:$AJ$250001,"Naar huis",Data!$AK$2:$AK$250001,"&gt;0")</f>
        <v/>
      </c>
      <c r="D29" s="30">
        <f>COUNTIFS(Data!$AD$2:$AD$250001,1,Data!$AJ$2:$AJ$250001,"Naar huis",Data!$AK$2:$AK$250001,"&gt;0")</f>
        <v/>
      </c>
      <c r="E29" s="32">
        <f>IF(COUNT(Data!$AK$2:$AK$250001)=0,"",ROUND(SUMIFS(Data!$AK$2:$AK$250001,Data!$AN$2:$AN$250001,1,Data!$AJ$2:$AJ$250001,"Naar huis"),1))</f>
        <v/>
      </c>
      <c r="F29" s="32">
        <f>IF(COUNT(Data!$AK$2:$AK$250001)=0,"",ROUND(SUMIFS(Data!$AK$2:$AK$250001,Data!$AN$2:$AN$250001,1,Data!$AJ$2:$AJ$250001,"Naar huis")/24,1))</f>
        <v/>
      </c>
      <c r="G29" s="25" t="inlineStr">
        <is>
          <t>Opnames die langer dan 4 uur duurden en toch naar huis gingen, met de tijd die zij te lang lagen.</t>
        </is>
      </c>
    </row>
    <row r="30">
      <c r="B30" s="23" t="inlineStr">
        <is>
          <t>Scenario 2 - afkappen op 6 uur</t>
        </is>
      </c>
      <c r="C30" s="30">
        <f>COUNTIFS(Data!$AN$2:$AN$250001,1,Data!$AJ$2:$AJ$250001,"Naar huis",Data!$AL$2:$AL$250001,"&gt;0")</f>
        <v/>
      </c>
      <c r="D30" s="30">
        <f>COUNTIFS(Data!$AD$2:$AD$250001,1,Data!$AJ$2:$AJ$250001,"Naar huis",Data!$AL$2:$AL$250001,"&gt;0")</f>
        <v/>
      </c>
      <c r="E30" s="32">
        <f>IF(COUNT(Data!$AL$2:$AL$250001)=0,"",ROUND(SUMIFS(Data!$AL$2:$AL$250001,Data!$AN$2:$AN$250001,1,Data!$AJ$2:$AJ$250001,"Naar huis"),1))</f>
        <v/>
      </c>
      <c r="F30" s="32">
        <f>IF(COUNT(Data!$AL$2:$AL$250001)=0,"",ROUND(SUMIFS(Data!$AL$2:$AL$250001,Data!$AN$2:$AN$250001,1,Data!$AJ$2:$AJ$250001,"Naar huis")/24,1))</f>
        <v/>
      </c>
      <c r="G30" s="25" t="inlineStr">
        <is>
          <t>Opnames die langer dan 6 uur duurden en toch naar huis gingen, met de tijd die zij te lang lagen.</t>
        </is>
      </c>
    </row>
    <row r="31">
      <c r="B31" s="23" t="inlineStr">
        <is>
          <t>Scenario 3 - afkappen op 24 uur</t>
        </is>
      </c>
      <c r="C31" s="30">
        <f>COUNTIFS(Data!$AN$2:$AN$250001,1,Data!$AJ$2:$AJ$250001,"Naar huis",Data!$AM$2:$AM$250001,"&gt;0")</f>
        <v/>
      </c>
      <c r="D31" s="30">
        <f>COUNTIFS(Data!$AD$2:$AD$250001,1,Data!$AJ$2:$AJ$250001,"Naar huis",Data!$AM$2:$AM$250001,"&gt;0")</f>
        <v/>
      </c>
      <c r="E31" s="32">
        <f>IF(COUNT(Data!$AM$2:$AM$250001)=0,"",ROUND(SUMIFS(Data!$AM$2:$AM$250001,Data!$AN$2:$AN$250001,1,Data!$AJ$2:$AJ$250001,"Naar huis"),1))</f>
        <v/>
      </c>
      <c r="F31" s="32">
        <f>IF(COUNT(Data!$AM$2:$AM$250001)=0,"",ROUND(SUMIFS(Data!$AM$2:$AM$250001,Data!$AN$2:$AN$250001,1,Data!$AJ$2:$AJ$250001,"Naar huis")/24,1))</f>
        <v/>
      </c>
      <c r="G31" s="25" t="inlineStr">
        <is>
          <t>Opnames die langer dan 24 uur duurden en toch naar huis gingen, met de tijd die zij te lang lagen.</t>
        </is>
      </c>
    </row>
    <row r="33">
      <c r="B33" s="6" t="inlineStr">
        <is>
          <t>4. Alle regels naar status</t>
        </is>
      </c>
      <c r="C33" s="22" t="inlineStr">
        <is>
          <t>Aantal</t>
        </is>
      </c>
      <c r="D33" s="22" t="inlineStr">
        <is>
          <t>% van regels</t>
        </is>
      </c>
    </row>
    <row r="34">
      <c r="B34" s="23" t="inlineStr">
        <is>
          <t>In selectie - naar huis</t>
        </is>
      </c>
      <c r="C34" s="30">
        <f>COUNTIFS(Data!$AE$2:$AE$250001,"In selectie - naar huis")</f>
        <v/>
      </c>
      <c r="D34" s="31">
        <f>IF(COUNTIF(Data!$AE$2:$AE$250001,"?*")=0,"",COUNTIFS(Data!$AE$2:$AE$250001,"In selectie - naar huis")/COUNTIF(Data!$AE$2:$AE$250001,"?*"))</f>
        <v/>
      </c>
    </row>
    <row r="35">
      <c r="B35" s="23" t="inlineStr">
        <is>
          <t>In selectie - blijft in ziekenhuis</t>
        </is>
      </c>
      <c r="C35" s="30">
        <f>COUNTIFS(Data!$AE$2:$AE$250001,"In selectie - blijft in ziekenhuis")</f>
        <v/>
      </c>
      <c r="D35" s="31">
        <f>IF(COUNTIF(Data!$AE$2:$AE$250001,"?*")=0,"",COUNTIFS(Data!$AE$2:$AE$250001,"In selectie - blijft in ziekenhuis")/COUNTIF(Data!$AE$2:$AE$250001,"?*"))</f>
        <v/>
      </c>
    </row>
    <row r="36">
      <c r="B36" s="23" t="inlineStr">
        <is>
          <t>Te kort (t/m ondergrens)</t>
        </is>
      </c>
      <c r="C36" s="30">
        <f>COUNTIFS(Data!$AE$2:$AE$250001,"Te kort (t/m ondergrens)")</f>
        <v/>
      </c>
      <c r="D36" s="31">
        <f>IF(COUNTIF(Data!$AE$2:$AE$250001,"?*")=0,"",COUNTIFS(Data!$AE$2:$AE$250001,"Te kort (t/m ondergrens)")/COUNTIF(Data!$AE$2:$AE$250001,"?*"))</f>
        <v/>
      </c>
    </row>
    <row r="37">
      <c r="B37" s="23" t="inlineStr">
        <is>
          <t>Te lang (boven bovengrens)</t>
        </is>
      </c>
      <c r="C37" s="30">
        <f>COUNTIFS(Data!$AE$2:$AE$250001,"Te lang (boven bovengrens)")</f>
        <v/>
      </c>
      <c r="D37" s="31">
        <f>IF(COUNTIF(Data!$AE$2:$AE$250001,"?*")=0,"",COUNTIFS(Data!$AE$2:$AE$250001,"Te lang (boven bovengrens)")/COUNTIF(Data!$AE$2:$AE$250001,"?*"))</f>
        <v/>
      </c>
    </row>
    <row r="38">
      <c r="B38" s="23" t="inlineStr">
        <is>
          <t>Geen geldige start- of eindtijd</t>
        </is>
      </c>
      <c r="C38" s="30">
        <f>COUNTIFS(Data!$AE$2:$AE$250001,"Geen geldige start- of eindtijd")</f>
        <v/>
      </c>
      <c r="D38" s="31">
        <f>IF(COUNTIF(Data!$AE$2:$AE$250001,"?*")=0,"",COUNTIFS(Data!$AE$2:$AE$250001,"Geen geldige start- of eindtijd")/COUNTIF(Data!$AE$2:$AE$250001,"?*"))</f>
        <v/>
      </c>
    </row>
    <row r="39">
      <c r="B39" s="23" t="inlineStr">
        <is>
          <t>Extra regel van dezelfde opname</t>
        </is>
      </c>
      <c r="C39" s="30">
        <f>COUNTIFS(Data!$AE$2:$AE$250001,"Extra regel van dezelfde opname")</f>
        <v/>
      </c>
      <c r="D39" s="31">
        <f>IF(COUNTIF(Data!$AE$2:$AE$250001,"?*")=0,"",COUNTIFS(Data!$AE$2:$AE$250001,"Extra regel van dezelfde opname")/COUNTIF(Data!$AE$2:$AE$250001,"?*"))</f>
        <v/>
      </c>
    </row>
    <row r="40">
      <c r="B40" s="23" t="inlineStr">
        <is>
          <t>Buiten het extra filter</t>
        </is>
      </c>
      <c r="C40" s="30">
        <f>COUNTIFS(Data!$AE$2:$AE$250001,"Buiten het extra filter")</f>
        <v/>
      </c>
      <c r="D40" s="31">
        <f>IF(COUNTIF(Data!$AE$2:$AE$250001,"?*")=0,"",COUNTIFS(Data!$AE$2:$AE$250001,"Buiten het extra filter")/COUNTIF(Data!$AE$2:$AE$250001,"?*"))</f>
        <v/>
      </c>
    </row>
    <row r="41">
      <c r="B41" s="23" t="inlineStr">
        <is>
          <t>Tijd onbetrouwbaar (uitgesloten)</t>
        </is>
      </c>
      <c r="C41" s="30">
        <f>COUNTIFS(Data!$AE$2:$AE$250001,"Tijd onbetrouwbaar (uitgesloten)")</f>
        <v/>
      </c>
      <c r="D41" s="31">
        <f>IF(COUNTIF(Data!$AE$2:$AE$250001,"?*")=0,"",COUNTIFS(Data!$AE$2:$AE$250001,"Tijd onbetrouwbaar (uitgesloten)")/COUNTIF(Data!$AE$2:$AE$250001,"?*"))</f>
        <v/>
      </c>
    </row>
    <row r="42">
      <c r="B42" s="33" t="inlineStr">
        <is>
          <t>Totaal met formule</t>
        </is>
      </c>
      <c r="C42" s="34">
        <f>SUM(C34:C41)</f>
        <v/>
      </c>
      <c r="D42" s="7" t="inlineStr"/>
      <c r="G42" s="25" t="inlineStr">
        <is>
          <t>Moet gelijk zijn aan 'Regels waar de formules staan'.</t>
        </is>
      </c>
    </row>
    <row r="44">
      <c r="B44" s="6" t="inlineStr">
        <is>
          <t>5. Datakwaliteit</t>
        </is>
      </c>
      <c r="C44" s="22" t="inlineStr">
        <is>
          <t>Aantal</t>
        </is>
      </c>
    </row>
    <row r="45">
      <c r="B45" s="9" t="inlineStr">
        <is>
          <t>Regels zonder geldige start- of eindtijd</t>
        </is>
      </c>
      <c r="C45" s="30">
        <f>COUNTIFS(Data!$AE$2:$AE$250001,"Geen geldige start- of eindtijd")</f>
        <v/>
      </c>
      <c r="G45" s="25" t="inlineStr">
        <is>
          <t>Controleer de tijdbron en of de datums als datum geplakt zijn.</t>
        </is>
      </c>
    </row>
    <row r="46">
      <c r="B46" s="9" t="inlineStr">
        <is>
          <t>Regels waar de ligduur afwijkt van OP_Doorlooptijd...</t>
        </is>
      </c>
      <c r="C46" s="30">
        <f>COUNTIFS(Data!$AQ$2:$AQ$250001,"&lt;&gt;0",Data!$AQ$2:$AQ$250001,"&lt;&gt;")</f>
        <v/>
      </c>
      <c r="G46" s="25" t="inlineStr">
        <is>
          <t>Bij tijdbron 'Opname totaal' is afwijking normaal: die kolom gaat over de deelperiode, niet over de hele opname.</t>
        </is>
      </c>
    </row>
    <row r="47">
      <c r="B47" s="9" t="inlineStr">
        <is>
          <t>Grootste afwijking in minuten</t>
        </is>
      </c>
      <c r="C47" s="30">
        <f>IF(COUNT(Data!$AQ$2:$AQ$250001)=0,"",MAX(MAX(Data!$AQ$2:$AQ$250001),-MIN(Data!$AQ$2:$AQ$250001)))</f>
        <v/>
      </c>
      <c r="G47" s="25" t="inlineStr">
        <is>
          <t>Nul betekent exacte overeenstemming met de brondata.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11" customWidth="1" min="4" max="4"/>
    <col width="14" customWidth="1" min="5" max="5"/>
    <col width="14" customWidth="1" min="6" max="6"/>
    <col width="18" customWidth="1" min="7" max="7"/>
    <col width="17" customWidth="1" min="8" max="8"/>
    <col width="12" customWidth="1" min="9" max="9"/>
  </cols>
  <sheetData>
    <row r="2">
      <c r="B2" s="1" t="inlineStr">
        <is>
          <t>Verdeling van de ligduur</t>
        </is>
      </c>
    </row>
    <row r="3">
      <c r="B3" s="2" t="inlineStr">
        <is>
          <t>Alle unieke opnames, per blok van 2 uur.</t>
        </is>
      </c>
    </row>
    <row r="5" ht="32" customHeight="1">
      <c r="B5" s="35" t="inlineStr">
        <is>
          <t>Ligduurblok</t>
        </is>
      </c>
      <c r="C5" s="35" t="inlineStr">
        <is>
          <t>Vanaf</t>
        </is>
      </c>
      <c r="D5" s="35" t="inlineStr">
        <is>
          <t>Tot</t>
        </is>
      </c>
      <c r="E5" s="35" t="inlineStr">
        <is>
          <t>Aantal</t>
        </is>
      </c>
      <c r="F5" s="35" t="inlineStr">
        <is>
          <t>Naar huis</t>
        </is>
      </c>
      <c r="G5" s="35" t="inlineStr">
        <is>
          <t>Blijft in ziekenhuis</t>
        </is>
      </c>
      <c r="H5" s="35" t="inlineStr">
        <is>
          <t>Winst uren (6u)</t>
        </is>
      </c>
      <c r="I5" s="35" t="inlineStr">
        <is>
          <t>% van totaal</t>
        </is>
      </c>
    </row>
    <row r="6">
      <c r="B6" s="23" t="inlineStr">
        <is>
          <t>0 tot 2 uur</t>
        </is>
      </c>
      <c r="C6" s="30" t="n">
        <v>0</v>
      </c>
      <c r="D6" s="30" t="n">
        <v>2</v>
      </c>
      <c r="E6" s="30">
        <f>COUNTIFS(Data!$AN$2:$AN$250001,1,Data!$AF$2:$AF$250001,"&gt;"&amp;$C6,Data!$AF$2:$AF$250001,"&lt;="&amp;$D6)</f>
        <v/>
      </c>
      <c r="F6" s="30">
        <f>COUNTIFS(Data!$AN$2:$AN$250001,1,Data!$AF$2:$AF$250001,"&gt;"&amp;$C6,Data!$AF$2:$AF$250001,"&lt;="&amp;$D6,Data!$AJ$2:$AJ$250001,"Naar huis")</f>
        <v/>
      </c>
      <c r="G6" s="30">
        <f>COUNTIFS(Data!$AN$2:$AN$250001,1,Data!$AF$2:$AF$250001,"&gt;"&amp;$C6,Data!$AF$2:$AF$250001,"&lt;="&amp;$D6,Data!$AJ$2:$AJ$250001,"Blijft in ziekenhuis")</f>
        <v/>
      </c>
      <c r="H6" s="32">
        <f>IF(COUNT(Data!$AL$2:$AL$250001)=0,"",ROUND(SUMIFS(Data!$AL$2:$AL$250001,Data!$AN$2:$AN$250001,1,Data!$AF$2:$AF$250001,"&gt;"&amp;$C6,Data!$AF$2:$AF$250001,"&lt;="&amp;$D6,Data!$AJ$2:$AJ$250001,"Naar huis"),1))</f>
        <v/>
      </c>
      <c r="I6" s="31">
        <f>IF(COUNTIFS(Data!$AN$2:$AN$250001,1,Data!$AF$2:$AF$250001,"&gt;=0")=0,"",COUNTIFS(Data!$AN$2:$AN$250001,1,Data!$AF$2:$AF$250001,"&gt;"&amp;$C6,Data!$AF$2:$AF$250001,"&lt;="&amp;$D6)/COUNTIFS(Data!$AN$2:$AN$250001,1,Data!$AF$2:$AF$250001,"&gt;=0"))</f>
        <v/>
      </c>
    </row>
    <row r="7">
      <c r="B7" s="23" t="inlineStr">
        <is>
          <t>2 tot 4 uur</t>
        </is>
      </c>
      <c r="C7" s="30" t="n">
        <v>2</v>
      </c>
      <c r="D7" s="30" t="n">
        <v>4</v>
      </c>
      <c r="E7" s="30">
        <f>COUNTIFS(Data!$AN$2:$AN$250001,1,Data!$AF$2:$AF$250001,"&gt;"&amp;$C7,Data!$AF$2:$AF$250001,"&lt;="&amp;$D7)</f>
        <v/>
      </c>
      <c r="F7" s="30">
        <f>COUNTIFS(Data!$AN$2:$AN$250001,1,Data!$AF$2:$AF$250001,"&gt;"&amp;$C7,Data!$AF$2:$AF$250001,"&lt;="&amp;$D7,Data!$AJ$2:$AJ$250001,"Naar huis")</f>
        <v/>
      </c>
      <c r="G7" s="30">
        <f>COUNTIFS(Data!$AN$2:$AN$250001,1,Data!$AF$2:$AF$250001,"&gt;"&amp;$C7,Data!$AF$2:$AF$250001,"&lt;="&amp;$D7,Data!$AJ$2:$AJ$250001,"Blijft in ziekenhuis")</f>
        <v/>
      </c>
      <c r="H7" s="32">
        <f>IF(COUNT(Data!$AL$2:$AL$250001)=0,"",ROUND(SUMIFS(Data!$AL$2:$AL$250001,Data!$AN$2:$AN$250001,1,Data!$AF$2:$AF$250001,"&gt;"&amp;$C7,Data!$AF$2:$AF$250001,"&lt;="&amp;$D7,Data!$AJ$2:$AJ$250001,"Naar huis"),1))</f>
        <v/>
      </c>
      <c r="I7" s="31">
        <f>IF(COUNTIFS(Data!$AN$2:$AN$250001,1,Data!$AF$2:$AF$250001,"&gt;=0")=0,"",COUNTIFS(Data!$AN$2:$AN$250001,1,Data!$AF$2:$AF$250001,"&gt;"&amp;$C7,Data!$AF$2:$AF$250001,"&lt;="&amp;$D7)/COUNTIFS(Data!$AN$2:$AN$250001,1,Data!$AF$2:$AF$250001,"&gt;=0"))</f>
        <v/>
      </c>
    </row>
    <row r="8">
      <c r="B8" s="23" t="inlineStr">
        <is>
          <t>4 tot 6 uur</t>
        </is>
      </c>
      <c r="C8" s="30" t="n">
        <v>4</v>
      </c>
      <c r="D8" s="30" t="n">
        <v>6</v>
      </c>
      <c r="E8" s="30">
        <f>COUNTIFS(Data!$AN$2:$AN$250001,1,Data!$AF$2:$AF$250001,"&gt;"&amp;$C8,Data!$AF$2:$AF$250001,"&lt;="&amp;$D8)</f>
        <v/>
      </c>
      <c r="F8" s="30">
        <f>COUNTIFS(Data!$AN$2:$AN$250001,1,Data!$AF$2:$AF$250001,"&gt;"&amp;$C8,Data!$AF$2:$AF$250001,"&lt;="&amp;$D8,Data!$AJ$2:$AJ$250001,"Naar huis")</f>
        <v/>
      </c>
      <c r="G8" s="30">
        <f>COUNTIFS(Data!$AN$2:$AN$250001,1,Data!$AF$2:$AF$250001,"&gt;"&amp;$C8,Data!$AF$2:$AF$250001,"&lt;="&amp;$D8,Data!$AJ$2:$AJ$250001,"Blijft in ziekenhuis")</f>
        <v/>
      </c>
      <c r="H8" s="32">
        <f>IF(COUNT(Data!$AL$2:$AL$250001)=0,"",ROUND(SUMIFS(Data!$AL$2:$AL$250001,Data!$AN$2:$AN$250001,1,Data!$AF$2:$AF$250001,"&gt;"&amp;$C8,Data!$AF$2:$AF$250001,"&lt;="&amp;$D8,Data!$AJ$2:$AJ$250001,"Naar huis"),1))</f>
        <v/>
      </c>
      <c r="I8" s="31">
        <f>IF(COUNTIFS(Data!$AN$2:$AN$250001,1,Data!$AF$2:$AF$250001,"&gt;=0")=0,"",COUNTIFS(Data!$AN$2:$AN$250001,1,Data!$AF$2:$AF$250001,"&gt;"&amp;$C8,Data!$AF$2:$AF$250001,"&lt;="&amp;$D8)/COUNTIFS(Data!$AN$2:$AN$250001,1,Data!$AF$2:$AF$250001,"&gt;=0"))</f>
        <v/>
      </c>
    </row>
    <row r="9">
      <c r="B9" s="23" t="inlineStr">
        <is>
          <t>6 tot 8 uur</t>
        </is>
      </c>
      <c r="C9" s="30" t="n">
        <v>6</v>
      </c>
      <c r="D9" s="30" t="n">
        <v>8</v>
      </c>
      <c r="E9" s="30">
        <f>COUNTIFS(Data!$AN$2:$AN$250001,1,Data!$AF$2:$AF$250001,"&gt;"&amp;$C9,Data!$AF$2:$AF$250001,"&lt;="&amp;$D9)</f>
        <v/>
      </c>
      <c r="F9" s="30">
        <f>COUNTIFS(Data!$AN$2:$AN$250001,1,Data!$AF$2:$AF$250001,"&gt;"&amp;$C9,Data!$AF$2:$AF$250001,"&lt;="&amp;$D9,Data!$AJ$2:$AJ$250001,"Naar huis")</f>
        <v/>
      </c>
      <c r="G9" s="30">
        <f>COUNTIFS(Data!$AN$2:$AN$250001,1,Data!$AF$2:$AF$250001,"&gt;"&amp;$C9,Data!$AF$2:$AF$250001,"&lt;="&amp;$D9,Data!$AJ$2:$AJ$250001,"Blijft in ziekenhuis")</f>
        <v/>
      </c>
      <c r="H9" s="32">
        <f>IF(COUNT(Data!$AL$2:$AL$250001)=0,"",ROUND(SUMIFS(Data!$AL$2:$AL$250001,Data!$AN$2:$AN$250001,1,Data!$AF$2:$AF$250001,"&gt;"&amp;$C9,Data!$AF$2:$AF$250001,"&lt;="&amp;$D9,Data!$AJ$2:$AJ$250001,"Naar huis"),1))</f>
        <v/>
      </c>
      <c r="I9" s="31">
        <f>IF(COUNTIFS(Data!$AN$2:$AN$250001,1,Data!$AF$2:$AF$250001,"&gt;=0")=0,"",COUNTIFS(Data!$AN$2:$AN$250001,1,Data!$AF$2:$AF$250001,"&gt;"&amp;$C9,Data!$AF$2:$AF$250001,"&lt;="&amp;$D9)/COUNTIFS(Data!$AN$2:$AN$250001,1,Data!$AF$2:$AF$250001,"&gt;=0"))</f>
        <v/>
      </c>
    </row>
    <row r="10">
      <c r="B10" s="23" t="inlineStr">
        <is>
          <t>8 tot 10 uur</t>
        </is>
      </c>
      <c r="C10" s="30" t="n">
        <v>8</v>
      </c>
      <c r="D10" s="30" t="n">
        <v>10</v>
      </c>
      <c r="E10" s="30">
        <f>COUNTIFS(Data!$AN$2:$AN$250001,1,Data!$AF$2:$AF$250001,"&gt;"&amp;$C10,Data!$AF$2:$AF$250001,"&lt;="&amp;$D10)</f>
        <v/>
      </c>
      <c r="F10" s="30">
        <f>COUNTIFS(Data!$AN$2:$AN$250001,1,Data!$AF$2:$AF$250001,"&gt;"&amp;$C10,Data!$AF$2:$AF$250001,"&lt;="&amp;$D10,Data!$AJ$2:$AJ$250001,"Naar huis")</f>
        <v/>
      </c>
      <c r="G10" s="30">
        <f>COUNTIFS(Data!$AN$2:$AN$250001,1,Data!$AF$2:$AF$250001,"&gt;"&amp;$C10,Data!$AF$2:$AF$250001,"&lt;="&amp;$D10,Data!$AJ$2:$AJ$250001,"Blijft in ziekenhuis")</f>
        <v/>
      </c>
      <c r="H10" s="32">
        <f>IF(COUNT(Data!$AL$2:$AL$250001)=0,"",ROUND(SUMIFS(Data!$AL$2:$AL$250001,Data!$AN$2:$AN$250001,1,Data!$AF$2:$AF$250001,"&gt;"&amp;$C10,Data!$AF$2:$AF$250001,"&lt;="&amp;$D10,Data!$AJ$2:$AJ$250001,"Naar huis"),1))</f>
        <v/>
      </c>
      <c r="I10" s="31">
        <f>IF(COUNTIFS(Data!$AN$2:$AN$250001,1,Data!$AF$2:$AF$250001,"&gt;=0")=0,"",COUNTIFS(Data!$AN$2:$AN$250001,1,Data!$AF$2:$AF$250001,"&gt;"&amp;$C10,Data!$AF$2:$AF$250001,"&lt;="&amp;$D10)/COUNTIFS(Data!$AN$2:$AN$250001,1,Data!$AF$2:$AF$250001,"&gt;=0"))</f>
        <v/>
      </c>
    </row>
    <row r="11">
      <c r="B11" s="23" t="inlineStr">
        <is>
          <t>10 tot 12 uur</t>
        </is>
      </c>
      <c r="C11" s="30" t="n">
        <v>10</v>
      </c>
      <c r="D11" s="30" t="n">
        <v>12</v>
      </c>
      <c r="E11" s="30">
        <f>COUNTIFS(Data!$AN$2:$AN$250001,1,Data!$AF$2:$AF$250001,"&gt;"&amp;$C11,Data!$AF$2:$AF$250001,"&lt;="&amp;$D11)</f>
        <v/>
      </c>
      <c r="F11" s="30">
        <f>COUNTIFS(Data!$AN$2:$AN$250001,1,Data!$AF$2:$AF$250001,"&gt;"&amp;$C11,Data!$AF$2:$AF$250001,"&lt;="&amp;$D11,Data!$AJ$2:$AJ$250001,"Naar huis")</f>
        <v/>
      </c>
      <c r="G11" s="30">
        <f>COUNTIFS(Data!$AN$2:$AN$250001,1,Data!$AF$2:$AF$250001,"&gt;"&amp;$C11,Data!$AF$2:$AF$250001,"&lt;="&amp;$D11,Data!$AJ$2:$AJ$250001,"Blijft in ziekenhuis")</f>
        <v/>
      </c>
      <c r="H11" s="32">
        <f>IF(COUNT(Data!$AL$2:$AL$250001)=0,"",ROUND(SUMIFS(Data!$AL$2:$AL$250001,Data!$AN$2:$AN$250001,1,Data!$AF$2:$AF$250001,"&gt;"&amp;$C11,Data!$AF$2:$AF$250001,"&lt;="&amp;$D11,Data!$AJ$2:$AJ$250001,"Naar huis"),1))</f>
        <v/>
      </c>
      <c r="I11" s="31">
        <f>IF(COUNTIFS(Data!$AN$2:$AN$250001,1,Data!$AF$2:$AF$250001,"&gt;=0")=0,"",COUNTIFS(Data!$AN$2:$AN$250001,1,Data!$AF$2:$AF$250001,"&gt;"&amp;$C11,Data!$AF$2:$AF$250001,"&lt;="&amp;$D11)/COUNTIFS(Data!$AN$2:$AN$250001,1,Data!$AF$2:$AF$250001,"&gt;=0"))</f>
        <v/>
      </c>
    </row>
    <row r="12">
      <c r="B12" s="23" t="inlineStr">
        <is>
          <t>12 tot 14 uur</t>
        </is>
      </c>
      <c r="C12" s="30" t="n">
        <v>12</v>
      </c>
      <c r="D12" s="30" t="n">
        <v>14</v>
      </c>
      <c r="E12" s="30">
        <f>COUNTIFS(Data!$AN$2:$AN$250001,1,Data!$AF$2:$AF$250001,"&gt;"&amp;$C12,Data!$AF$2:$AF$250001,"&lt;="&amp;$D12)</f>
        <v/>
      </c>
      <c r="F12" s="30">
        <f>COUNTIFS(Data!$AN$2:$AN$250001,1,Data!$AF$2:$AF$250001,"&gt;"&amp;$C12,Data!$AF$2:$AF$250001,"&lt;="&amp;$D12,Data!$AJ$2:$AJ$250001,"Naar huis")</f>
        <v/>
      </c>
      <c r="G12" s="30">
        <f>COUNTIFS(Data!$AN$2:$AN$250001,1,Data!$AF$2:$AF$250001,"&gt;"&amp;$C12,Data!$AF$2:$AF$250001,"&lt;="&amp;$D12,Data!$AJ$2:$AJ$250001,"Blijft in ziekenhuis")</f>
        <v/>
      </c>
      <c r="H12" s="32">
        <f>IF(COUNT(Data!$AL$2:$AL$250001)=0,"",ROUND(SUMIFS(Data!$AL$2:$AL$250001,Data!$AN$2:$AN$250001,1,Data!$AF$2:$AF$250001,"&gt;"&amp;$C12,Data!$AF$2:$AF$250001,"&lt;="&amp;$D12,Data!$AJ$2:$AJ$250001,"Naar huis"),1))</f>
        <v/>
      </c>
      <c r="I12" s="31">
        <f>IF(COUNTIFS(Data!$AN$2:$AN$250001,1,Data!$AF$2:$AF$250001,"&gt;=0")=0,"",COUNTIFS(Data!$AN$2:$AN$250001,1,Data!$AF$2:$AF$250001,"&gt;"&amp;$C12,Data!$AF$2:$AF$250001,"&lt;="&amp;$D12)/COUNTIFS(Data!$AN$2:$AN$250001,1,Data!$AF$2:$AF$250001,"&gt;=0"))</f>
        <v/>
      </c>
    </row>
    <row r="13">
      <c r="B13" s="23" t="inlineStr">
        <is>
          <t>14 tot 16 uur</t>
        </is>
      </c>
      <c r="C13" s="30" t="n">
        <v>14</v>
      </c>
      <c r="D13" s="30" t="n">
        <v>16</v>
      </c>
      <c r="E13" s="30">
        <f>COUNTIFS(Data!$AN$2:$AN$250001,1,Data!$AF$2:$AF$250001,"&gt;"&amp;$C13,Data!$AF$2:$AF$250001,"&lt;="&amp;$D13)</f>
        <v/>
      </c>
      <c r="F13" s="30">
        <f>COUNTIFS(Data!$AN$2:$AN$250001,1,Data!$AF$2:$AF$250001,"&gt;"&amp;$C13,Data!$AF$2:$AF$250001,"&lt;="&amp;$D13,Data!$AJ$2:$AJ$250001,"Naar huis")</f>
        <v/>
      </c>
      <c r="G13" s="30">
        <f>COUNTIFS(Data!$AN$2:$AN$250001,1,Data!$AF$2:$AF$250001,"&gt;"&amp;$C13,Data!$AF$2:$AF$250001,"&lt;="&amp;$D13,Data!$AJ$2:$AJ$250001,"Blijft in ziekenhuis")</f>
        <v/>
      </c>
      <c r="H13" s="32">
        <f>IF(COUNT(Data!$AL$2:$AL$250001)=0,"",ROUND(SUMIFS(Data!$AL$2:$AL$250001,Data!$AN$2:$AN$250001,1,Data!$AF$2:$AF$250001,"&gt;"&amp;$C13,Data!$AF$2:$AF$250001,"&lt;="&amp;$D13,Data!$AJ$2:$AJ$250001,"Naar huis"),1))</f>
        <v/>
      </c>
      <c r="I13" s="31">
        <f>IF(COUNTIFS(Data!$AN$2:$AN$250001,1,Data!$AF$2:$AF$250001,"&gt;=0")=0,"",COUNTIFS(Data!$AN$2:$AN$250001,1,Data!$AF$2:$AF$250001,"&gt;"&amp;$C13,Data!$AF$2:$AF$250001,"&lt;="&amp;$D13)/COUNTIFS(Data!$AN$2:$AN$250001,1,Data!$AF$2:$AF$250001,"&gt;=0"))</f>
        <v/>
      </c>
    </row>
    <row r="14">
      <c r="B14" s="23" t="inlineStr">
        <is>
          <t>16 tot 18 uur</t>
        </is>
      </c>
      <c r="C14" s="30" t="n">
        <v>16</v>
      </c>
      <c r="D14" s="30" t="n">
        <v>18</v>
      </c>
      <c r="E14" s="30">
        <f>COUNTIFS(Data!$AN$2:$AN$250001,1,Data!$AF$2:$AF$250001,"&gt;"&amp;$C14,Data!$AF$2:$AF$250001,"&lt;="&amp;$D14)</f>
        <v/>
      </c>
      <c r="F14" s="30">
        <f>COUNTIFS(Data!$AN$2:$AN$250001,1,Data!$AF$2:$AF$250001,"&gt;"&amp;$C14,Data!$AF$2:$AF$250001,"&lt;="&amp;$D14,Data!$AJ$2:$AJ$250001,"Naar huis")</f>
        <v/>
      </c>
      <c r="G14" s="30">
        <f>COUNTIFS(Data!$AN$2:$AN$250001,1,Data!$AF$2:$AF$250001,"&gt;"&amp;$C14,Data!$AF$2:$AF$250001,"&lt;="&amp;$D14,Data!$AJ$2:$AJ$250001,"Blijft in ziekenhuis")</f>
        <v/>
      </c>
      <c r="H14" s="32">
        <f>IF(COUNT(Data!$AL$2:$AL$250001)=0,"",ROUND(SUMIFS(Data!$AL$2:$AL$250001,Data!$AN$2:$AN$250001,1,Data!$AF$2:$AF$250001,"&gt;"&amp;$C14,Data!$AF$2:$AF$250001,"&lt;="&amp;$D14,Data!$AJ$2:$AJ$250001,"Naar huis"),1))</f>
        <v/>
      </c>
      <c r="I14" s="31">
        <f>IF(COUNTIFS(Data!$AN$2:$AN$250001,1,Data!$AF$2:$AF$250001,"&gt;=0")=0,"",COUNTIFS(Data!$AN$2:$AN$250001,1,Data!$AF$2:$AF$250001,"&gt;"&amp;$C14,Data!$AF$2:$AF$250001,"&lt;="&amp;$D14)/COUNTIFS(Data!$AN$2:$AN$250001,1,Data!$AF$2:$AF$250001,"&gt;=0"))</f>
        <v/>
      </c>
    </row>
    <row r="15">
      <c r="B15" s="23" t="inlineStr">
        <is>
          <t>18 tot 20 uur</t>
        </is>
      </c>
      <c r="C15" s="30" t="n">
        <v>18</v>
      </c>
      <c r="D15" s="30" t="n">
        <v>20</v>
      </c>
      <c r="E15" s="30">
        <f>COUNTIFS(Data!$AN$2:$AN$250001,1,Data!$AF$2:$AF$250001,"&gt;"&amp;$C15,Data!$AF$2:$AF$250001,"&lt;="&amp;$D15)</f>
        <v/>
      </c>
      <c r="F15" s="30">
        <f>COUNTIFS(Data!$AN$2:$AN$250001,1,Data!$AF$2:$AF$250001,"&gt;"&amp;$C15,Data!$AF$2:$AF$250001,"&lt;="&amp;$D15,Data!$AJ$2:$AJ$250001,"Naar huis")</f>
        <v/>
      </c>
      <c r="G15" s="30">
        <f>COUNTIFS(Data!$AN$2:$AN$250001,1,Data!$AF$2:$AF$250001,"&gt;"&amp;$C15,Data!$AF$2:$AF$250001,"&lt;="&amp;$D15,Data!$AJ$2:$AJ$250001,"Blijft in ziekenhuis")</f>
        <v/>
      </c>
      <c r="H15" s="32">
        <f>IF(COUNT(Data!$AL$2:$AL$250001)=0,"",ROUND(SUMIFS(Data!$AL$2:$AL$250001,Data!$AN$2:$AN$250001,1,Data!$AF$2:$AF$250001,"&gt;"&amp;$C15,Data!$AF$2:$AF$250001,"&lt;="&amp;$D15,Data!$AJ$2:$AJ$250001,"Naar huis"),1))</f>
        <v/>
      </c>
      <c r="I15" s="31">
        <f>IF(COUNTIFS(Data!$AN$2:$AN$250001,1,Data!$AF$2:$AF$250001,"&gt;=0")=0,"",COUNTIFS(Data!$AN$2:$AN$250001,1,Data!$AF$2:$AF$250001,"&gt;"&amp;$C15,Data!$AF$2:$AF$250001,"&lt;="&amp;$D15)/COUNTIFS(Data!$AN$2:$AN$250001,1,Data!$AF$2:$AF$250001,"&gt;=0"))</f>
        <v/>
      </c>
    </row>
    <row r="16">
      <c r="B16" s="23" t="inlineStr">
        <is>
          <t>20 tot 22 uur</t>
        </is>
      </c>
      <c r="C16" s="30" t="n">
        <v>20</v>
      </c>
      <c r="D16" s="30" t="n">
        <v>22</v>
      </c>
      <c r="E16" s="30">
        <f>COUNTIFS(Data!$AN$2:$AN$250001,1,Data!$AF$2:$AF$250001,"&gt;"&amp;$C16,Data!$AF$2:$AF$250001,"&lt;="&amp;$D16)</f>
        <v/>
      </c>
      <c r="F16" s="30">
        <f>COUNTIFS(Data!$AN$2:$AN$250001,1,Data!$AF$2:$AF$250001,"&gt;"&amp;$C16,Data!$AF$2:$AF$250001,"&lt;="&amp;$D16,Data!$AJ$2:$AJ$250001,"Naar huis")</f>
        <v/>
      </c>
      <c r="G16" s="30">
        <f>COUNTIFS(Data!$AN$2:$AN$250001,1,Data!$AF$2:$AF$250001,"&gt;"&amp;$C16,Data!$AF$2:$AF$250001,"&lt;="&amp;$D16,Data!$AJ$2:$AJ$250001,"Blijft in ziekenhuis")</f>
        <v/>
      </c>
      <c r="H16" s="32">
        <f>IF(COUNT(Data!$AL$2:$AL$250001)=0,"",ROUND(SUMIFS(Data!$AL$2:$AL$250001,Data!$AN$2:$AN$250001,1,Data!$AF$2:$AF$250001,"&gt;"&amp;$C16,Data!$AF$2:$AF$250001,"&lt;="&amp;$D16,Data!$AJ$2:$AJ$250001,"Naar huis"),1))</f>
        <v/>
      </c>
      <c r="I16" s="31">
        <f>IF(COUNTIFS(Data!$AN$2:$AN$250001,1,Data!$AF$2:$AF$250001,"&gt;=0")=0,"",COUNTIFS(Data!$AN$2:$AN$250001,1,Data!$AF$2:$AF$250001,"&gt;"&amp;$C16,Data!$AF$2:$AF$250001,"&lt;="&amp;$D16)/COUNTIFS(Data!$AN$2:$AN$250001,1,Data!$AF$2:$AF$250001,"&gt;=0"))</f>
        <v/>
      </c>
    </row>
    <row r="17">
      <c r="B17" s="23" t="inlineStr">
        <is>
          <t>22 tot 24 uur</t>
        </is>
      </c>
      <c r="C17" s="30" t="n">
        <v>22</v>
      </c>
      <c r="D17" s="30" t="n">
        <v>24</v>
      </c>
      <c r="E17" s="30">
        <f>COUNTIFS(Data!$AN$2:$AN$250001,1,Data!$AF$2:$AF$250001,"&gt;"&amp;$C17,Data!$AF$2:$AF$250001,"&lt;="&amp;$D17)</f>
        <v/>
      </c>
      <c r="F17" s="30">
        <f>COUNTIFS(Data!$AN$2:$AN$250001,1,Data!$AF$2:$AF$250001,"&gt;"&amp;$C17,Data!$AF$2:$AF$250001,"&lt;="&amp;$D17,Data!$AJ$2:$AJ$250001,"Naar huis")</f>
        <v/>
      </c>
      <c r="G17" s="30">
        <f>COUNTIFS(Data!$AN$2:$AN$250001,1,Data!$AF$2:$AF$250001,"&gt;"&amp;$C17,Data!$AF$2:$AF$250001,"&lt;="&amp;$D17,Data!$AJ$2:$AJ$250001,"Blijft in ziekenhuis")</f>
        <v/>
      </c>
      <c r="H17" s="32">
        <f>IF(COUNT(Data!$AL$2:$AL$250001)=0,"",ROUND(SUMIFS(Data!$AL$2:$AL$250001,Data!$AN$2:$AN$250001,1,Data!$AF$2:$AF$250001,"&gt;"&amp;$C17,Data!$AF$2:$AF$250001,"&lt;="&amp;$D17,Data!$AJ$2:$AJ$250001,"Naar huis"),1))</f>
        <v/>
      </c>
      <c r="I17" s="31">
        <f>IF(COUNTIFS(Data!$AN$2:$AN$250001,1,Data!$AF$2:$AF$250001,"&gt;=0")=0,"",COUNTIFS(Data!$AN$2:$AN$250001,1,Data!$AF$2:$AF$250001,"&gt;"&amp;$C17,Data!$AF$2:$AF$250001,"&lt;="&amp;$D17)/COUNTIFS(Data!$AN$2:$AN$250001,1,Data!$AF$2:$AF$250001,"&gt;=0"))</f>
        <v/>
      </c>
    </row>
    <row r="18">
      <c r="B18" s="36" t="inlineStr">
        <is>
          <t>Meer dan 24 uur</t>
        </is>
      </c>
      <c r="C18" s="13" t="n">
        <v>24</v>
      </c>
      <c r="D18" s="37" t="inlineStr"/>
      <c r="E18" s="13">
        <f>COUNTIFS(Data!$AN$2:$AN$250001,1,Data!$AF$2:$AF$250001,"&gt;24")</f>
        <v/>
      </c>
      <c r="F18" s="13">
        <f>COUNTIFS(Data!$AN$2:$AN$250001,1,Data!$AF$2:$AF$250001,"&gt;24",Data!$AJ$2:$AJ$250001,"Naar huis")</f>
        <v/>
      </c>
      <c r="G18" s="13">
        <f>COUNTIFS(Data!$AN$2:$AN$250001,1,Data!$AF$2:$AF$250001,"&gt;24",Data!$AJ$2:$AJ$250001,"Blijft in ziekenhuis")</f>
        <v/>
      </c>
      <c r="H18" s="38">
        <f>IF(COUNT(Data!$AL$2:$AL$250001)=0,"",ROUND(SUMIFS(Data!$AL$2:$AL$250001,Data!$AN$2:$AN$250001,1,Data!$AF$2:$AF$250001,"&gt;24",Data!$AJ$2:$AJ$250001,"Naar huis"),1))</f>
        <v/>
      </c>
      <c r="I18" s="39">
        <f>IF(COUNTIFS(Data!$AN$2:$AN$250001,1,Data!$AF$2:$AF$250001,"&gt;=0")=0,"",COUNTIFS(Data!$AN$2:$AN$250001,1,Data!$AF$2:$AF$250001,"&gt;24")/COUNTIFS(Data!$AN$2:$AN$250001,1,Data!$AF$2:$AF$250001,"&gt;=0"))</f>
        <v/>
      </c>
    </row>
    <row r="19">
      <c r="B19" s="33" t="inlineStr">
        <is>
          <t>Totaal</t>
        </is>
      </c>
      <c r="C19" s="7" t="inlineStr"/>
      <c r="D19" s="7" t="inlineStr"/>
      <c r="E19" s="34">
        <f>SUM(E6:E18)</f>
        <v/>
      </c>
      <c r="F19" s="34">
        <f>SUM(F6:F18)</f>
        <v/>
      </c>
      <c r="G19" s="34">
        <f>SUM(G6:G18)</f>
        <v/>
      </c>
      <c r="H19" s="40">
        <f>SUM(H6:H18)</f>
        <v/>
      </c>
      <c r="I19" s="41">
        <f>IF(COUNTIFS(Data!$AN$2:$AN$250001,1,Data!$AF$2:$AF$250001,"&gt;=0")=0,"",SUM(E6:E18)/COUNTIFS(Data!$AN$2:$AN$250001,1,Data!$AF$2:$AF$250001,"&gt;=0"))</f>
        <v/>
      </c>
    </row>
    <row r="21">
      <c r="B21" s="2" t="inlineStr">
        <is>
          <t>De blokken tellen 'groter dan vanaf' tot en met 'tot'. Een opname van precies 6,0 uur valt dus in 4 tot 6 uur en niet in de selectie.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2026-07-30T12:00:03Z</dcterms:created>
  <dcterms:modified xsi:type="dcterms:W3CDTF">2026-07-30T12:00:03Z</dcterms:modified>
</cp:coreProperties>
</file>